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Май_25\Данные\Строительство\МШП+Материалы\"/>
    </mc:Choice>
  </mc:AlternateContent>
  <xr:revisionPtr revIDLastSave="0" documentId="13_ncr:1_{75946CC1-B9A3-4595-8AF5-F53A2E55DDB0}" xr6:coauthVersionLast="45" xr6:coauthVersionMax="45" xr10:uidLastSave="{00000000-0000-0000-0000-000000000000}"/>
  <bookViews>
    <workbookView xWindow="-108" yWindow="-108" windowWidth="23256" windowHeight="12600" tabRatio="934" xr2:uid="{00000000-000D-0000-FFFF-FFFF00000000}"/>
  </bookViews>
  <sheets>
    <sheet name="Свод" sheetId="1" r:id="rId1"/>
    <sheet name="АПК" sheetId="2" r:id="rId2"/>
    <sheet name="Генплан митний склад" sheetId="3" r:id="rId3"/>
    <sheet name="Глобине-2" sheetId="4" r:id="rId4"/>
    <sheet name="Пожежений резервуар" sheetId="6" r:id="rId5"/>
    <sheet name="БигБег" sheetId="7" r:id="rId6"/>
    <sheet name="Соевая меляса" sheetId="8" r:id="rId7"/>
    <sheet name="СПК (Глобине)" sheetId="9" r:id="rId8"/>
    <sheet name="Транспортна галерея" sheetId="10" r:id="rId9"/>
    <sheet name="Цех екстракції " sheetId="11" r:id="rId10"/>
  </sheets>
  <definedNames>
    <definedName name="_xlnm._FilterDatabase" localSheetId="1" hidden="1">АПК!$A$1:$L$12</definedName>
    <definedName name="_xlnm._FilterDatabase" localSheetId="5" hidden="1">БигБег!$A$1:$L$10</definedName>
    <definedName name="_xlnm._FilterDatabase" localSheetId="3" hidden="1">'Глобине-2'!$A$1:$L$115</definedName>
    <definedName name="_xlnm._FilterDatabase" localSheetId="6" hidden="1">'Соевая меляса'!$A$1:$L$2</definedName>
    <definedName name="_xlnm._FilterDatabase" localSheetId="7" hidden="1">'СПК (Глобине)'!$A$1:$L$70</definedName>
    <definedName name="_xlnm._FilterDatabase" localSheetId="9" hidden="1">'Цех екстракції '!$A$1:$L$75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7" i="1"/>
  <c r="C6" i="1"/>
  <c r="C5" i="1"/>
  <c r="C4" i="1"/>
  <c r="C2" i="1"/>
  <c r="J77" i="11"/>
  <c r="J72" i="9"/>
  <c r="J12" i="7"/>
  <c r="J7" i="6"/>
  <c r="J117" i="4"/>
  <c r="J14" i="2"/>
  <c r="J9" i="10"/>
  <c r="C3" i="1"/>
  <c r="C11" i="1" l="1"/>
</calcChain>
</file>

<file path=xl/sharedStrings.xml><?xml version="1.0" encoding="utf-8"?>
<sst xmlns="http://schemas.openxmlformats.org/spreadsheetml/2006/main" count="2368" uniqueCount="289">
  <si>
    <t>АПК (Глобине)</t>
  </si>
  <si>
    <t>Генплан митний склад (Глобине)</t>
  </si>
  <si>
    <t>Глобине-2</t>
  </si>
  <si>
    <t>Пожежений резервуар (Глобине)</t>
  </si>
  <si>
    <t>Пункт фасування та зберігання в бігбегах (Глобине)</t>
  </si>
  <si>
    <t>Резервуарний парк соєвої меляси (Глобине)</t>
  </si>
  <si>
    <t>СПК (Глобине)</t>
  </si>
  <si>
    <t>Транспортна галерея (Глобине)</t>
  </si>
  <si>
    <t>Цех екстракції (Глобине)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</si>
  <si>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</si>
  <si>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</si>
  <si>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</si>
  <si>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</si>
  <si>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</si>
  <si>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</si>
  <si>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</si>
  <si>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</si>
  <si>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</si>
  <si>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Д</t>
  </si>
  <si>
    <t>05.05.2025</t>
  </si>
  <si>
    <t>Переміщення товарів ІБ00-000436 від 05.05.2025 11:10:00
Перемещение ТМЦ</t>
  </si>
  <si>
    <t>Обл. НДС
Рукавички трикотажні чорні ТМ Vulkan LUX, р.10
Надходження товарів і послуг ІБ00-002188 від 05.05.2025 11:00:00
АПК (Глобине)</t>
  </si>
  <si>
    <t>Обл. НДС
Рукавички трикотажні чорні ТМ Vulkan LUX, р.10
Надходження товарів і послуг ІБ00-002188 від 05.05.2025 11:00:00
Глобине-2</t>
  </si>
  <si>
    <t>221</t>
  </si>
  <si>
    <t xml:space="preserve"> </t>
  </si>
  <si>
    <t>Обл. НДС
Щітка чашкова 85 мм для УШМ
Надходження товарів і послуг ІБ00-002188 від 05.05.2025 11:00:00
АПК (Глобине)</t>
  </si>
  <si>
    <t>Обл. НДС
Щітка чашкова 85 мм для УШМ
Надходження товарів і послуг ІБ00-002188 від 05.05.2025 11:00:00
Глобине-2</t>
  </si>
  <si>
    <t>19.05.2025</t>
  </si>
  <si>
    <t>Надходження товарів і послуг ІБ00-002527 від 19.05.2025 11:00:00
Оприходованы ТМЦ</t>
  </si>
  <si>
    <t>Обл. НДС
Бур +14*200/260 бетон, цегла
Надходження товарів і послуг ІБ00-002527 від 19.05.2025 11:00:00
АПК (Глобине)</t>
  </si>
  <si>
    <t>Лук'ян Михайло Федорович ФОП
22/08-24-1 от 22.08.2024 (РАХУНКИ)_Глобине-2
Рахунок на оплату постачальника ІБ00-001903 від 12.05.2025 17:50:38</t>
  </si>
  <si>
    <t>631</t>
  </si>
  <si>
    <t>29.05.2025</t>
  </si>
  <si>
    <t>Передача малоцінних активів в експлуатацію ІБ00-000237 від 29.05.2025 12:29:24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</si>
  <si>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</si>
  <si>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231</t>
  </si>
  <si>
    <t>Обл. НДС
Круг відрізний 230*2.5*22 увігнутий
Надходження товарів і послуг ІБ00-001740 від 18.04.2025 11:00:00
АПК (Глобине)</t>
  </si>
  <si>
    <t>Обл. НДС
Круг відрізний по металу 125*1,6
Надходження товарів і послуг ІБ00-000976 від 07.03.2025 19:00:34
АПК (Глобине)</t>
  </si>
  <si>
    <t>Передача малоцінних активів в експлуатацію ІБ00-000258 від 29.05.2025 21:00:00
Списание стоимости малоценных активов</t>
  </si>
  <si>
    <t>Обл. НДС
Паяльник для пайки труб  800Вт
Надходження товарів і послуг ІБ00-001386 від 28.03.2025 20:00:18
АПК (Глобине)</t>
  </si>
  <si>
    <t>Обороти за період та сальдо на кінець</t>
  </si>
  <si>
    <t>Переміщення товарів ІБ00-000432 від 05.05.2025 11:10:00
Перемещение ТМЦ</t>
  </si>
  <si>
    <t>Обл. НДС
Електроди "Моноліт РЦ" 4 мм уп. 5,0 кг
Надходження товарів і послуг ІБ00-002188 від 05.05.2025 11:00:00
Генплан митний склад (Глобине)</t>
  </si>
  <si>
    <t>Обл. НДС
Електроди "Моноліт РЦ" 4 мм уп. 5,0 кг
Надходження товарів і послуг ІБ00-002188 від 05.05.2025 11:00:00
Глобине-2</t>
  </si>
  <si>
    <t>Переміщення товарів ІБ00-000521 від 29.05.2025 08:00:00
Перемещение ТМЦ</t>
  </si>
  <si>
    <t>Обл. НДС
Електроди "Моноліт РЦ" 4 мм уп. 5,0 кг
Надходження товарів і послуг ІБ00-002188 від 05.05.2025 11:00:00
Пожежений резервуар (Глобине)</t>
  </si>
  <si>
    <t>Надходження товарів і послуг ІБ00-002188 від 05.05.2025 11:00:00
Оприходованы ТМЦ</t>
  </si>
  <si>
    <t>Лук'ян Михайло Федорович ФОП
22/08-24-1 от 22.08.2024 (РАХУНКИ)_Глобине-2
Рахунок на оплату постачальника ІБ00-001787 від 05.05.2025 18:06:41</t>
  </si>
  <si>
    <t>Обл. НДС
Распіратор Мікрон-2ПК з клапаном FFP2
Надходження товарів і послуг ІБ00-002188 від 05.05.2025 11:00:00
Глобине-2</t>
  </si>
  <si>
    <t>Обл. НДС
Окуляри захисні
Надходження товарів і послуг ІБ00-002188 від 05.05.2025 11:00:00
Глобине-2</t>
  </si>
  <si>
    <t>Обл. НДС
Електроди "Моноліт РЦ" 3 мм 2,5кг
Надходження товарів і послуг ІБ00-002188 від 05.05.2025 11:00:00
Глобине-2</t>
  </si>
  <si>
    <t>Переміщення товарів ІБ00-000433 від 05.05.2025 11:10:00
Перемещение ТМЦ</t>
  </si>
  <si>
    <t>Обл. НДС
Рукавички трикотажні чорні ТМ Vulkan LUX, р.10
Надходження товарів і послуг ІБ00-002188 від 05.05.2025 11:00:00
СПК (Глобине)</t>
  </si>
  <si>
    <t>Переміщення товарів ІБ00-000434 від 05.05.2025 11:10:00
Перемещение ТМЦ</t>
  </si>
  <si>
    <t>Обл. НДС
Рукавички трикотажні чорні ТМ Vulkan LUX, р.10
Надходження товарів і послуг ІБ00-002188 від 05.05.2025 11:00:00
Цех екстракції (Глобине)</t>
  </si>
  <si>
    <t>Переміщення товарів ІБ00-000435 від 05.05.2025 11:10:00
Перемещение ТМЦ</t>
  </si>
  <si>
    <t>Обл. НДС
Рукавички трикотажні чорні ТМ Vulkan LUX, р.10
Надходження товарів і послуг ІБ00-002188 від 05.05.2025 11:00:00
Резервуарний парк соєвої меляси (Глобине)</t>
  </si>
  <si>
    <t>Обл. НДС
Електроди "Моноліт РЦ" 3 мм 2,5кг
Надходження товарів і послуг ІБ00-002188 від 05.05.2025 11:00:00
Резервуарний парк соєвої меляси (Глобине)</t>
  </si>
  <si>
    <t>17.05.2025</t>
  </si>
  <si>
    <t>Надходження товарів і послуг ІБ00-002303 від 17.05.2025 11:00:00
Оприходованы ТМЦ</t>
  </si>
  <si>
    <t>Обл. НДС
Скотч  200*48мм прозор 38мкм
Надходження товарів і послуг ІБ00-002303 від 17.05.2025 11:00:00
Глобине-2</t>
  </si>
  <si>
    <t>Обл. НДС
Стрейч-плівка 23 мікрон 200м (190м), брутто 2,3 кг
Надходження товарів і послуг ІБ00-002303 від 17.05.2025 11:00:00
Глобине-2</t>
  </si>
  <si>
    <t>Обл. НДС
Бита Рh2 51мм 
Надходження товарів і послуг ІБ00-002303 від 17.05.2025 11:00:00
Глобине-2</t>
  </si>
  <si>
    <t>Обл. НДС
Подовжувач магніт для біт М8*45
Надходження товарів і послуг ІБ00-002303 від 17.05.2025 11:00:00
Глобине-2</t>
  </si>
  <si>
    <t>Обл. НДС
Ніж  25мм
Надходження товарів і послуг ІБ00-002303 від 17.05.2025 11:00:00
Глобине-2</t>
  </si>
  <si>
    <t>Обл. НДС
Леза 25 мм сегментні 5шт
Надходження товарів і послуг ІБ00-002303 від 17.05.2025 11:00:00
Глобине-2</t>
  </si>
  <si>
    <t>Обл. НДС
Ізострічка 19 мм*20 м*0,13 мм, синя
Надходження товарів і послуг ІБ00-002303 від 17.05.2025 11:00:00
Глобине-2</t>
  </si>
  <si>
    <t>Обл. НДС
Свердло по металу HSS 9мм
Надходження товарів і послуг ІБ00-002303 від 17.05.2025 11:00:00
Глобине-2</t>
  </si>
  <si>
    <t>Обл. НДС
Свердло по металу HSS 11мм
Надходження товарів і послуг ІБ00-002303 від 17.05.2025 11:00:00
Глобине-2</t>
  </si>
  <si>
    <t>Обл. НДС
Свердло по металу 4,0мм 
Надходження товарів і послуг ІБ00-002303 від 17.05.2025 11:00:00
Глобине-2</t>
  </si>
  <si>
    <t>Обл. НДС
Замок навісний
Надходження товарів і послуг ІБ00-002303 від 17.05.2025 11:00:00
Глобине-2</t>
  </si>
  <si>
    <t>Обл. НДС
Лампа розжарювання 100Вт Е27 
Надходження товарів і послуг ІБ00-002303 від 17.05.2025 11:00:00
Глобине-2</t>
  </si>
  <si>
    <t>Обл. НДС
Плащ від дощу на кнопках 50мкм
Надходження товарів і послуг ІБ00-002303 від 17.05.2025 11:00:00
Глобине-2</t>
  </si>
  <si>
    <t>Обл. НДС
Каска будівельна
Надходження товарів і послуг ІБ00-002303 від 17.05.2025 11:00:00
Глобине-2</t>
  </si>
  <si>
    <t>Обл. НДС
Круг відрізний 230*2.5*22 увігнутий
Надходження товарів і послуг ІБ00-002303 від 17.05.2025 11:00:00
Глобине-2</t>
  </si>
  <si>
    <t>Обл. НДС
Рулетка 5м*25мм Black edition
Надходження товарів і послуг ІБ00-002303 від 17.05.2025 11:00:00
Глобине-2</t>
  </si>
  <si>
    <t>Обл. НДС
Електроди УОНИ-13/55 Плазма MONOLITH, 4 мм 5 кг
Надходження товарів і послуг ІБ00-002303 від 17.05.2025 11:00:00
Глобине-2</t>
  </si>
  <si>
    <t>Обл. НДС
Бур + 6*100/160 plus1 бетон,цегла
Надходження товарів і послуг ІБ00-002303 від 17.05.2025 11:00:00
Глобине-2</t>
  </si>
  <si>
    <t>Обл. НДС
Бур  8*160*100
Надходження товарів і послуг ІБ00-002303 від 17.05.2025 11:00:00
Глобине-2</t>
  </si>
  <si>
    <t>Обл. НДС
Бур 10*150*210мм  SDS Plus 
Надходження товарів і послуг ІБ00-002303 від 17.05.2025 11:00:00
Глобине-2</t>
  </si>
  <si>
    <t>Обл. НДС
Бур 12*150*210
Надходження товарів і послуг ІБ00-002303 від 17.05.2025 11:00:00
Глобине-2</t>
  </si>
  <si>
    <t>Обл. НДС
3М Фільтр 3М 6051 А1 (фарба,орг.гази) 
Надходження товарів і послуг ІБ00-002303 від 17.05.2025 11:00:00
Глобине-2</t>
  </si>
  <si>
    <t>Обл. НДС
Бур +14*200/260 бетон, цегла
Надходження товарів і послуг ІБ00-002303 від 17.05.2025 11:00:00
Глобине-2</t>
  </si>
  <si>
    <t>Переміщення товарів ІБ00-000445 від 17.05.2025 11:10:00
Перемещение ТМЦ</t>
  </si>
  <si>
    <t>Обл. НДС
Свердло по металу HSS 11мм
Надходження товарів і послуг ІБ00-002303 від 17.05.2025 11:00:00
СПК (Глобине)</t>
  </si>
  <si>
    <t>Обл. НДС
Свердло по металу 4,0мм 
Надходження товарів і послуг ІБ00-002303 від 17.05.2025 11:00:00
СПК (Глобине)</t>
  </si>
  <si>
    <t>Обл. НДС
Електроди УОНИ-13/55 Плазма MONOLITH, 4 мм 5 кг
Надходження товарів і послуг ІБ00-002303 від 17.05.2025 11:00:00
СПК (Глобине)</t>
  </si>
  <si>
    <t>Авансовий звіт ІБ00-000116 від 19.05.2025 15:48:32
Оприходованы ТМЦ</t>
  </si>
  <si>
    <t>Обл. НДС
Шеврон на спину (спецодяг)
Авансовий звіт ІБ00-000116 від 19.05.2025 15:48:32
Глобине-2</t>
  </si>
  <si>
    <t>Штиченко Олександр Володимирович</t>
  </si>
  <si>
    <t>3721</t>
  </si>
  <si>
    <t>20.05.2025</t>
  </si>
  <si>
    <t>Переміщення товарів ІБ00-000480 від 20.05.2025 15:00:33
Перемещение ТМЦ</t>
  </si>
  <si>
    <t>Обл. НДС
Замок навісний
Надходження товарів і послуг ІБ00-002303 від 17.05.2025 11:00:00
Генплан благоустрій (Глобине)</t>
  </si>
  <si>
    <t>205</t>
  </si>
  <si>
    <t>22.05.2025</t>
  </si>
  <si>
    <t>Передача малоцінних активів в експлуатацію ІБ00-000220 від 22.05.2025 13:21:56
Списание стоимости малоценных активов</t>
  </si>
  <si>
    <t>Обл. НДС
Костюм "Віват" р.104-108/170-176
Надходження товарів і послуг ІБ00-005042 від 02.10.2024 10:00:00
Глобине-2</t>
  </si>
  <si>
    <t>Передача малоцінних активів в експлуатацію ІБ00-000222 від 22.05.2025 14:05:23
Списание стоимости малоценных активов</t>
  </si>
  <si>
    <t>Передача малоцінних активів в експлуатацію ІБ00-000225 від 22.05.2025 15:29:39
Списание стоимости малоценных активов</t>
  </si>
  <si>
    <t>Передача малоцінних активів в експлуатацію ІБ00-000226 від 22.05.2025 16:12:52
Списание стоимости малоценных активов</t>
  </si>
  <si>
    <t>28.05.2025</t>
  </si>
  <si>
    <t>Надходження товарів і послуг ІБ00-002558 від 28.05.2025 11:00:00
Оприходованы ТМЦ</t>
  </si>
  <si>
    <t>Обл. НДС
Електрод  УОНІ13/55 д. 4 (5 кг), пак
Надходження товарів і послуг ІБ00-002558 від 28.05.2025 11:00:00
Глобине-2</t>
  </si>
  <si>
    <t>Лук'ян Михайло Федорович ФОП
22/08-24-1 от 22.08.2024 (РАХУНКИ)_Глобине-2
Рахунок на оплату постачальника ІБ00-002172 від 27.05.2025 18:43:20</t>
  </si>
  <si>
    <t>Обл. НДС
Вилка з з\к пряма Омега ІР44
Надходження товарів і послуг ІБ00-002558 від 28.05.2025 11:00:00
Глобине-2</t>
  </si>
  <si>
    <t>Обл. НДС
Різак пропан 142П 6/9 500мм товщ різа 100мм
Надходження товарів і послуг ІБ00-002558 від 28.05.2025 11:00:00
Глобине-2</t>
  </si>
  <si>
    <t>Обл. НДС
Рукав кисневий 9*3 20 атм
Надходження товарів і послуг ІБ00-002558 від 28.05.2025 11:00:00
Глобине-2</t>
  </si>
  <si>
    <t>Обл. НДС
Рукав пропан (ацетилен) 9*3
Надходження товарів і послуг ІБ00-002558 від 28.05.2025 11:00:00
Глобине-2</t>
  </si>
  <si>
    <t>Обл. НДС
Редуктор  БКО 50 ДМ ф9
Надходження товарів і послуг ІБ00-002558 від 28.05.2025 11:00:00
Глобине-2</t>
  </si>
  <si>
    <t>Обл. НДС
Редуктор БПО-5ДМ 9мм пропан з манометром
Надходження товарів і послуг ІБ00-002558 від 28.05.2025 11:00:00
Глобине-2</t>
  </si>
  <si>
    <t>Обл. НДС
Клапан зворотній вогнеперепиняючий КОГ М16*1,5 кисень
Надходження товарів і послуг ІБ00-002558 від 28.05.2025 11:00:00
Глобине-2</t>
  </si>
  <si>
    <t>Обл. НДС
Хомут 25*40мм
Надходження товарів і послуг ІБ00-002558 від 28.05.2025 11:00:00
Глобине-2</t>
  </si>
  <si>
    <t>Обл. НДС
Плоскогубці 180мм 
Надходження товарів і послуг ІБ00-002558 від 28.05.2025 11:00:00
Глобине-2</t>
  </si>
  <si>
    <t>Обл. НДС
Щітка чашкова Intertool ВТ-1075 кручений дріт 75 мм
Надходження товарів і послуг ІБ00-002558 від 28.05.2025 11:00:00
Глобине-2</t>
  </si>
  <si>
    <t>Обл. НДС
Щітка по металу вузька з пласт.ручкою, вигнута
Надходження товарів і послуг ІБ00-002558 від 28.05.2025 11:00:00
Глобине-2</t>
  </si>
  <si>
    <t>Обл. НДС
Бокорізи 180 мм Montero 10202
Надходження товарів і послуг ІБ00-002558 від 28.05.2025 11:00:00
Глобине-2</t>
  </si>
  <si>
    <t>Обл. НДС
Викрутка діелектрична 1*80мм
Надходження товарів і послуг ІБ00-002558 від 28.05.2025 11:00:00
Глобине-2</t>
  </si>
  <si>
    <t>Обл. НДС
Викрутка діелектрична 2*100мм
Надходження товарів і послуг ІБ00-002558 від 28.05.2025 11:00:00
Глобине-2</t>
  </si>
  <si>
    <t>Обл. НДС
Шнур відбивочний буд.(пластм.корпус) - 30м
Надходження товарів і послуг ІБ00-002558 від 28.05.2025 11:00:00
Глобине-2</t>
  </si>
  <si>
    <t>Обл. НДС
Шуруп 3,5*25 пкр
Надходження товарів і послуг ІБ00-002558 від 28.05.2025 11:00:00
Глобине-2</t>
  </si>
  <si>
    <t>Обл. НДС
Касета-розетка 3гн, з/к з кришками Омега ІР44  16А
Надходження товарів і послуг ІБ00-002558 від 28.05.2025 11:00:00
Глобине-2</t>
  </si>
  <si>
    <t>Обл. НДС
Леза 25 мм 5шт
Надходження товарів і послуг ІБ00-002558 від 28.05.2025 11:00:00
Глобине-2</t>
  </si>
  <si>
    <t>Обл. НДС
Ніж  25мм
Надходження товарів і послуг ІБ00-002558 від 28.05.2025 11:00:00
Глобине-2</t>
  </si>
  <si>
    <t>Обл. НДС
Викрутка діелектрична 3*100мм
Надходження товарів і послуг ІБ00-002558 від 28.05.2025 11:00:00
Глобине-2</t>
  </si>
  <si>
    <t>Обл. НДС
Шнур поліамідний 10мм/разрив 2300кг
Надходження товарів і послуг ІБ00-002558 від 28.05.2025 11:00:00
Глобине-2</t>
  </si>
  <si>
    <t>Переміщення товарів ІБ00-000487 від 28.05.2025 11:10:00
Перемещение ТМЦ</t>
  </si>
  <si>
    <t>Обл. НДС
Електрод  УОНІ13/55 д. 4 (5 кг), пак
Надходження товарів і послуг ІБ00-002558 від 28.05.2025 11:00:00
СПК (Глобине)</t>
  </si>
  <si>
    <t>Обл. НДС
Клапан зворотній вогнеперепиняючий КОГ М16*1,5 кисень
Надходження товарів і послуг ІБ00-002558 від 28.05.2025 11:00:00
СПК (Глобине)</t>
  </si>
  <si>
    <t>Обл. НДС
Хомут 25*40мм
Надходження товарів і послуг ІБ00-002558 від 28.05.2025 11:00:00
СПК (Глобине)</t>
  </si>
  <si>
    <t>Переміщення товарів ІБ00-000488 від 28.05.2025 11:10:00
Перемещение ТМЦ</t>
  </si>
  <si>
    <t>Обл. НДС
Вилка з з\к пряма Омега ІР44
Надходження товарів і послуг ІБ00-002558 від 28.05.2025 11:00:00
Цех екстракції (Глобине)</t>
  </si>
  <si>
    <t>Обл. НДС
Різак пропан 142П 6/9 500мм товщ різа 100мм
Надходження товарів і послуг ІБ00-002558 від 28.05.2025 11:00:00
Цех екстракції (Глобине)</t>
  </si>
  <si>
    <t>Обл. НДС
Рукав кисневий 9*3 20 атм
Надходження товарів і послуг ІБ00-002558 від 28.05.2025 11:00:00
Цех екстракції (Глобине)</t>
  </si>
  <si>
    <t>Обл. НДС
Рукав пропан (ацетилен) 9*3
Надходження товарів і послуг ІБ00-002558 від 28.05.2025 11:00:00
Цех екстракції (Глобине)</t>
  </si>
  <si>
    <t>Обл. НДС
Редуктор  БКО 50 ДМ ф9
Надходження товарів і послуг ІБ00-002558 від 28.05.2025 11:00:00
Цех екстракції (Глобине)</t>
  </si>
  <si>
    <t>Обл. НДС
Редуктор БПО-5ДМ 9мм пропан з манометром
Надходження товарів і послуг ІБ00-002558 від 28.05.2025 11:00:00
Цех екстракції (Глобине)</t>
  </si>
  <si>
    <t>Обл. НДС
Клапан зворотній вогнеперепиняючий КОГ М16*1,5 кисень
Надходження товарів і послуг ІБ00-002558 від 28.05.2025 11:00:00
Цех екстракції (Глобине)</t>
  </si>
  <si>
    <t>Обл. НДС
Плоскогубці 180мм 
Надходження товарів і послуг ІБ00-002558 від 28.05.2025 11:00:00
Цех екстракції (Глобине)</t>
  </si>
  <si>
    <t>Обл. НДС
Щітка чашкова Intertool ВТ-1075 кручений дріт 75 мм
Надходження товарів і послуг ІБ00-002558 від 28.05.2025 11:00:00
Цех екстракції (Глобине)</t>
  </si>
  <si>
    <t>Обл. НДС
Щітка по металу вузька з пласт.ручкою, вигнута
Надходження товарів і послуг ІБ00-002558 від 28.05.2025 11:00:00
Цех екстракції (Глобине)</t>
  </si>
  <si>
    <t>Переміщення товарів ІБ00-000489 від 28.05.2025 11:10:00
Перемещение ТМЦ</t>
  </si>
  <si>
    <t>Обл. НДС
Бокорізи 180 мм Montero 10202
Надходження товарів і послуг ІБ00-002558 від 28.05.2025 11:00:00
Котельна (Глобине)</t>
  </si>
  <si>
    <t>Обл. НДС
Викрутка діелектрична 1*80мм
Надходження товарів і послуг ІБ00-002558 від 28.05.2025 11:00:00
Котельна (Глобине)</t>
  </si>
  <si>
    <t>Обл. НДС
Викрутка діелектрична 2*100мм
Надходження товарів і послуг ІБ00-002558 від 28.05.2025 11:00:00
Котельна (Глобине)</t>
  </si>
  <si>
    <t>Обл. НДС
Шнур відбивочний буд.(пластм.корпус) - 30м
Надходження товарів і послуг ІБ00-002558 від 28.05.2025 11:00:00
Котельна (Глобине)</t>
  </si>
  <si>
    <t>Обл. НДС
Шуруп 3,5*25 пкр
Надходження товарів і послуг ІБ00-002558 від 28.05.2025 11:00:00
Котельна (Глобине)</t>
  </si>
  <si>
    <t>Обл. НДС
Касета-розетка 3гн, з/к з кришками Омега ІР44  16А
Надходження товарів і послуг ІБ00-002558 від 28.05.2025 11:00:00
Котельна (Глобине)</t>
  </si>
  <si>
    <t>Обл. НДС
Леза 25 мм 5шт
Надходження товарів і послуг ІБ00-002558 від 28.05.2025 11:00:00
Котельна (Глобине)</t>
  </si>
  <si>
    <t>Обл. НДС
Ніж  25мм
Надходження товарів і послуг ІБ00-002303 від 17.05.2025 11:00:00
Котельна (Глобине)</t>
  </si>
  <si>
    <t>Обл. НДС
Викрутка діелектрична 3*100мм
Надходження товарів і послуг ІБ00-002558 від 28.05.2025 11:00:00
Котельна (Глобине)</t>
  </si>
  <si>
    <t>Обл. НДС
Шнур поліамідний 10мм/разрив 2300кг
Надходження товарів і послуг ІБ00-002558 від 28.05.2025 11:00:00
Котельна (Глобине)</t>
  </si>
  <si>
    <t>Передача малоцінних активів в експлуатацію ІБ00-000236 від 29.05.2025 12:07:42
Списание стоимости малоценных активов</t>
  </si>
  <si>
    <t>Передача малоцінних активів в експлуатацію ІБ00-000238 від 29.05.2025 12:36:18
Списание стоимости малоценных активов</t>
  </si>
  <si>
    <t>Переміщення товарів ІБ00-000477 від 29.05.2025 13:34:55
Перемещение ТМЦ</t>
  </si>
  <si>
    <t>Обл. НДС
Електроди "Моноліт РЦ" 4 мм уп. 5,0 кг
Надходження товарів і послуг ІБ00-000108 від 14.01.2025 18:05:20
Глобине-2</t>
  </si>
  <si>
    <t>Обл. НДС
Електроди "Моноліт РЦ" 4 мм уп. 5,0 кг
Надходження товарів і послуг ІБ00-000108 від 14.01.2025 18:05:20
СПК (Глобине)</t>
  </si>
  <si>
    <t>Передача малоцінних активів в експлуатацію ІБ00-000239 від 29.05.2025 13:34:58
Списание стоимости малоценных активов</t>
  </si>
  <si>
    <t>Передача малоцінних активів в експлуатацію ІБ00-000241 від 29.05.2025 15:27:49
Списание стоимости малоценных активов</t>
  </si>
  <si>
    <t>Передача малоцінних активів в експлуатацію ІБ00-000242 від 29.05.2025 15:46:57
Списание стоимости малоценных активов</t>
  </si>
  <si>
    <t>Передача малоцінних активів в експлуатацію ІБ00-000252 від 29.05.2025 21:00:28
Списание стоимости малоценных активов</t>
  </si>
  <si>
    <t>Передача малоцінних активів в експлуатацію ІБ00-000254 від 29.05.2025 21:10:03
Списание стоимости малоценных активов</t>
  </si>
  <si>
    <t>Обл. НДС
Строп СТП 3,0/4000 (5911)
Надходження товарів і послуг ІБ00-004231 від 12.09.2024 18:41:34
Глобине-2</t>
  </si>
  <si>
    <t>Передача малоцінних активів в експлуатацію ІБ00-000260 від 29.05.2025 21:00:00
Списание стоимости малоценных активов</t>
  </si>
  <si>
    <t>02.05.2025</t>
  </si>
  <si>
    <t>Надходження товарів і послуг ІБ00-002029 від 02.05.2025 20:14:37
Оприходованы ТМЦ</t>
  </si>
  <si>
    <t>Обл. НДС
Пістолет для хім.анкера 380/410мл
Надходження товарів і послуг ІБ00-002029 від 02.05.2025 20:14:37
Пункт фасування та зберігання в бігбегах (Глобине)</t>
  </si>
  <si>
    <t>Солді і Ко ПАТ
Дог № 378542-55/19 від 21.01.2019 р. РАХ_Глобине-2
Рахунок на оплату постачальника ІБ00-001644 від 02.05.2025 20:14:36</t>
  </si>
  <si>
    <t>Передача малоцінних активів в експлуатацію ІБ00-000216 від 02.05.2025 21:00:00
Списание стоимости малоценных активов</t>
  </si>
  <si>
    <t>Передача малоцінних активів в експлуатацію ІБ00-000227 від 22.05.2025 16:27:05
Списание стоимости малоценных активов</t>
  </si>
  <si>
    <t>Обл. НДС
Електроди "Моноліт РЦ" 4 мм 5кг
Надходження товарів і послуг ІБ00-001281 від 07.03.2025 20:00:27
Пункт фасування та зберігання в бігбегах (Глобине)</t>
  </si>
  <si>
    <t>Обл. НДС
Електроди д. 4 мм "Моноліт РЦ" (5 кг) (Україна)
Надходження товарів і послуг ІБ00-001198 від 21.03.2025 19:26:08
Пункт фасування та зберігання в бігбегах (Глобине)</t>
  </si>
  <si>
    <t>Переміщення товарів ІБ00-000513 від 29.05.2025 08:00:00
Перемещение ТМЦ</t>
  </si>
  <si>
    <t>Обл. НДС
Електроди "Моноліт РЦ" 4 мм уп. 5,0 кг
Надходження товарів і послуг ІБ00-000711 від 18.02.2025 20:00:44
Цех екстракції (Глобине)</t>
  </si>
  <si>
    <t>Обл. НДС
Електроди "Моноліт РЦ" 4 мм уп. 5,0 кг
Надходження товарів і послуг ІБ00-000711 від 18.02.2025 20:00:44
Пункт фасування та зберігання в бігбегах (Глобине)</t>
  </si>
  <si>
    <t>Обл. НДС
Жилет сигнальний 
Надходження товарів і послуг ІБ00-001713 від 09.04.2025 12:59:59
Цех екстракції (Глобине)</t>
  </si>
  <si>
    <t>Обл. НДС
Жилет сигнальний 
Надходження товарів і послуг ІБ00-001713 від 09.04.2025 12:59:59
Пункт фасування та зберігання в бігбегах (Глобине)</t>
  </si>
  <si>
    <t>Обл. НДС
Костюм зварювальника брезент. ОП з посиленнями р.104-108/170-176
Надходження товарів і послуг ІБ00-001714 від 10.04.2025 11:00:00
Цех екстракції (Глобине)</t>
  </si>
  <si>
    <t>Обл. НДС
Костюм зварювальника брезент. ОП з посиленнями р.104-108/170-176
Надходження товарів і послуг ІБ00-001714 від 10.04.2025 11:00:00
Пункт фасування та зберігання в бігбегах (Глобине)</t>
  </si>
  <si>
    <t>Надходження товарів і послуг ІБ00-002036 від 05.05.2025 11:00:00
Оприходованы ТМЦ</t>
  </si>
  <si>
    <t>Обл. НДС
Вимикач автом модуль 3-п 63А С 6кА
Надходження товарів і послуг ІБ00-002036 від 05.05.2025 11:00:00
Резервуарний парк соєвої меляси (Глобине)</t>
  </si>
  <si>
    <t>СКАЙ-ЕНЕРДЖИ
Рахунки_Глобине-2
Рахунок на оплату постачальника ІБ00-001646 від 29.04.2025 18:09:43</t>
  </si>
  <si>
    <t>Переміщення товарів ІБ00-000514 від 29.05.2025 08:00:00
Перемещение ТМЦ</t>
  </si>
  <si>
    <t>Обл. НДС
Рукавиці брезентові
Надходження товарів і послуг ІБ00-002000 від 28.04.2025 11:00:00
Цех екстракції (Глобине)</t>
  </si>
  <si>
    <t>Обл. НДС
Рукавиці брезентові
Надходження товарів і послуг ІБ00-002000 від 28.04.2025 11:00:00
Резервуарний парк соєвої меляси (Глобине)</t>
  </si>
  <si>
    <t>Переміщення товарів ІБ00-000519 від 29.05.2025 08:00:00
Перемещение ТМЦ</t>
  </si>
  <si>
    <t>Обл. НДС
Вимикач автом модуль 3-п 63А С 6кА
Надходження товарів і послуг ІБ00-002036 від 05.05.2025 11:00:00
Транспортна галерея (Глобине)</t>
  </si>
  <si>
    <t>Переміщення товарів ІБ00-000524 від 29.05.2025 08:00:00
Перемещение ТМЦ</t>
  </si>
  <si>
    <t>Обл. НДС
Електроди "Моноліт РЦ" 4 мм уп. 5,0 кг
Надходження товарів і послуг ІБ00-001908 від 30.04.2025 11:00:00
Цех екстракції (Глобине)</t>
  </si>
  <si>
    <t>Обл. НДС
Електроди "Моноліт РЦ" 4 мм уп. 5,0 кг
Надходження товарів і послуг ІБ00-001908 від 30.04.2025 11:00:00
Резервуарний парк соєвої меляси (Глобине)</t>
  </si>
  <si>
    <t>Обл. НДС
Костюм зварювальника брезент. ОП з посиленнями р.104-108/182-188
Надходження товарів і послуг ІБ00-002000 від 28.04.2025 11:00:00
Цех екстракції (Глобине)</t>
  </si>
  <si>
    <t>Обл. НДС
Костюм зварювальника брезент. ОП з посиленнями р.104-108/182-188
Надходження товарів і послуг ІБ00-002000 від 28.04.2025 11:00:00
Резервуарний парк соєвої меляси (Глобине)</t>
  </si>
  <si>
    <t>Обл. НДС
Краги зварювальника, червона (11)
Надходження товарів і послуг ІБ00-002000 від 28.04.2025 11:00:00
Цех екстракції (Глобине)</t>
  </si>
  <si>
    <t>Обл. НДС
Краги зварювальника, червона (11)
Надходження товарів і послуг ІБ00-002000 від 28.04.2025 11:00:00
Резервуарний парк соєвої меляси (Глобине)</t>
  </si>
  <si>
    <t>Обл. НДС
Круг відрізний 230*2.5*22 увігнутий
Надходження товарів і послуг ІБ00-001614 від 11.04.2025 11:00:00
Цех екстракції (Глобине)</t>
  </si>
  <si>
    <t>Обл. НДС
Круг відрізний 230*2.5*22 увігнутий
Надходження товарів і послуг ІБ00-001614 від 11.04.2025 11:00:00
Резервуарний парк соєвої меляси (Глобине)</t>
  </si>
  <si>
    <t>01.05.2025</t>
  </si>
  <si>
    <t>Переміщення товарів ІБ00-000478 від 01.05.2025 23:41:13
Перемещение ТМЦ</t>
  </si>
  <si>
    <t>Обл. НДС
Розчинник УС Нефрас 0,94 л/ 0,70 кг
Надходження товарів і послуг ІБ00-001908 від 30.04.2025 11:00:00
СПК (Глобине)</t>
  </si>
  <si>
    <t>Надходження товарів і послуг ІБ00-001999 від 05.05.2025 11:00:00
Оприходованы ТМЦ</t>
  </si>
  <si>
    <t>Обл. НДС
Костюм охоронця Класик чорний р.104-108/170-176
Надходження товарів і послуг ІБ00-001999 від 05.05.2025 11:00:00
СПК (Глобине)</t>
  </si>
  <si>
    <t>БРАВО-СП ТОВ
РАХУНКИ_Глобине-2
Рахунок на оплату постачальника ІБ00-001623 від 02.05.2025 20:14:30</t>
  </si>
  <si>
    <t>14.05.2025</t>
  </si>
  <si>
    <t>Надходження товарів і послуг ІБ00-002382 від 14.05.2025 11:00:00
Оприходованы ТМЦ</t>
  </si>
  <si>
    <t>Обл. НДС
Електроди УОНИ-13/55 Плазма MONOLITH, 4 мм 5 кг
Надходження товарів і послуг ІБ00-002382 від 14.05.2025 11:00:00
СПК (Глобине)</t>
  </si>
  <si>
    <t>Надходження товарів і послуг ІБ00-002301 від 17.05.2025 11:00:00
Оприходованы ТМЦ</t>
  </si>
  <si>
    <t>Обл. НДС
Талреп М4*255 гак-кільце
Надходження товарів і послуг ІБ00-002301 від 17.05.2025 11:00:00
СПК (Глобине)</t>
  </si>
  <si>
    <t>Лук'ян Михайло Федорович ФОП
22/08-24-1 от 22.08.2024 (РАХУНКИ)_Глобине-2
Рахунок на оплату постачальника ІБ00-001901 від 01.05.2025 23:32:07</t>
  </si>
  <si>
    <t>Обл. НДС
Струбцина столярна (тип G) 211 мм
Надходження товарів і послуг ІБ00-002301 від 17.05.2025 11:00:00
СПК (Глобине)</t>
  </si>
  <si>
    <t>Переміщення товарів ІБ00-000454 від 22.05.2025 15:29:02
Перемещение ТМЦ</t>
  </si>
  <si>
    <t>Обл. НДС
Електроди "Моноліт РЦ" 3 мм 2,5кг
Надходження товарів і послуг ІБ00-001740 від 18.04.2025 11:00:00
Цех екстракції (Глобине)</t>
  </si>
  <si>
    <t>Обл. НДС
Електроди "Моноліт РЦ" 3 мм 2,5кг
Надходження товарів і послуг ІБ00-001740 від 18.04.2025 11:00:00
СПК (Глобине)</t>
  </si>
  <si>
    <t>Обл. НДС
Електроди "Моноліт РЦ" 4 мм 5кг
Надходження товарів і послуг ІБ00-000976 від 07.03.2025 19:00:34
Цех екстракції (Глобине)</t>
  </si>
  <si>
    <t>Обл. НДС
Електроди "Моноліт РЦ" 4 мм 5кг
Надходження товарів і послуг ІБ00-000976 від 07.03.2025 19:00:34
СПК (Глобине)</t>
  </si>
  <si>
    <t>Обл. НДС
Електроди "Моноліт РЦ" 4 мм уп. 5,0 кг
Надходження товарів і послуг ІБ00-006233 від 14.12.2024 17:00:01
Цех екстракції (Глобине)</t>
  </si>
  <si>
    <t>Обл. НДС
Електроди "Моноліт РЦ" 4 мм уп. 5,0 кг
Надходження товарів і послуг ІБ00-006233 від 14.12.2024 17:00:01
СПК (Глобине)</t>
  </si>
  <si>
    <t>Надходження товарів і послуг ІБ00-002557 від 28.05.2025 11:00:00
Оприходованы ТМЦ</t>
  </si>
  <si>
    <t>Обл. НДС
Канат ОЦ DIN3060 8,0 мм
Надходження товарів і послуг ІБ00-002557 від 28.05.2025 11:00:00
СПК (Глобине)</t>
  </si>
  <si>
    <t>ЛОАД-ТЕХ ТОВ
Договір № 26/03/25 від 26.03.2025 р.Глобине2
Рахунок на оплату постачальника ІБ00-002171 від 27.05.2025 18:43:19</t>
  </si>
  <si>
    <t>Обл. НДС
Затискач для тросу DIN741 8мм
Надходження товарів і послуг ІБ00-002557 від 28.05.2025 11:00:00
СПК (Глобине)</t>
  </si>
  <si>
    <t>Передача малоцінних активів в експлуатацію ІБ00-000240 від 29.05.2025 14:03:45
Списание стоимости малоценных активов</t>
  </si>
  <si>
    <t>Обл. НДС
Авт.вим. ВА47-29 ІЕК 3-пол.С 63А
Надходження товарів і послуг ІБ00-001908 від 30.04.2025 11:00:00
СПК (Глобине)</t>
  </si>
  <si>
    <t>Обл. НДС
Автовимикач ВА47-29М 3р 25А
Надходження товарів і послуг ІБ00-001908 від 30.04.2025 11:00:00
СПК (Глобине)</t>
  </si>
  <si>
    <t>Обл. НДС
Автовимикач ВА47-29М 3р 40А
Надходження товарів і послуг ІБ00-001908 від 30.04.2025 11:00:00
СПК (Глобине)</t>
  </si>
  <si>
    <t>Обл. НДС
Вилка з/з, 16А, каучук, пряма (ІР 44)
Надходження товарів і послуг ІБ00-001845 від 23.04.2025 11:00:00
СПК (Глобине)</t>
  </si>
  <si>
    <t>Обл. НДС
Вилка пряма з з/к,ІР44
Надходження товарів і послуг ІБ00-001740 від 18.04.2025 11:00:00
СПК (Глобине)</t>
  </si>
  <si>
    <t>Обл. НДС
Електроди "Моноліт РЦ" 4 мм уп. 5,0 кг
Надходження товарів і послуг ІБ00-001715 від 16.04.2025 11:00:00
СПК (Глобине)</t>
  </si>
  <si>
    <t>Обл. НДС
Жилет сигнальний 
Надходження товарів і послуг ІБ00-001828 від 18.04.2025 11:00:00
СПК (Глобине)</t>
  </si>
  <si>
    <t>Обл. НДС
Рулетка  5 м*19 мм 
Надходження товарів і послуг ІБ00-001845 від 23.04.2025 11:00:00
СПК (Глобине)</t>
  </si>
  <si>
    <t>Обл. НДС
Рулетка 10 м*25 мм
Надходження товарів і послуг ІБ00-001740 від 18.04.2025 11:00:00
СПК (Глобине)</t>
  </si>
  <si>
    <t>Обл. НДС
Рулетка 10 м*25 мм
Надходження товарів і послуг ІБ00-001845 від 23.04.2025 11:00:00
СПК (Глобине)</t>
  </si>
  <si>
    <t>Обл. НДС
Хомут 10-16 для шланга
Надходження товарів і послуг ІБ00-001715 від 16.04.2025 11:00:00
СПК (Глобине)</t>
  </si>
  <si>
    <t>Обл. НДС
Чохол 150\4000 (стрічковий)
Надходження товарів і послуг ІБ00-000259 від 24.01.2025 18:10:11
СПК (Глобине)</t>
  </si>
  <si>
    <t>Обл. НДС
Різак пропан 142П 6/9 500мм товщ різа 100мм
Надходження товарів і послуг ІБ00-001715 від 16.04.2025 11:00:00
СПК (Глобине)</t>
  </si>
  <si>
    <t>Обл. НДС
Рукав кисневий 9*3 20 атм
Надходження товарів і послуг ІБ00-001715 від 16.04.2025 11:00:00
СПК (Глобине)</t>
  </si>
  <si>
    <t>Обл. НДС
Рукав пропан (ацетилен) 9*3
Надходження товарів і послуг ІБ00-001715 від 16.04.2025 11:00:00
СПК (Глобине)</t>
  </si>
  <si>
    <t>Обл. НДС
Рукавиці трикотажні з ПВХ чорні 7клас розм 10
Надходження товарів і послуг ІБ00-001740 від 18.04.2025 11:00:00
СПК (Глобине)</t>
  </si>
  <si>
    <t>Обл. НДС
Маска зварювальника
Надходження товарів і послуг ІБ00-001740 від 18.04.2025 11:00:00
СПК (Глобине)</t>
  </si>
  <si>
    <t>Обл. НДС
Маска зварювальника "Хамелеон" МС-3500
Надходження товарів і послуг ІБ00-001845 від 23.04.2025 11:00:00
СПК (Глобине)</t>
  </si>
  <si>
    <t>Обл. НДС
Молоток  500 гр.
Надходження товарів і послуг ІБ00-001821 від 24.04.2025 11:00:00
СПК (Глобине)</t>
  </si>
  <si>
    <t>Обл. НДС
Костюм зварювальника куртка+штани брезент.
Надходження товарів і послуг ІБ00-005864 від 18.11.2024 17:50:01
СПК (Глобине)</t>
  </si>
  <si>
    <t>Передача малоцінних активів в експлуатацію ІБ00-000253 від 29.05.2025 21:00:00
Списание стоимости малоценных активов</t>
  </si>
  <si>
    <t>Обл. НДС
Електроди "Моноліт РЦ" 4 мм уп. 5,0 кг
Надходження товарів і послуг ІБ00-001740 від 18.04.2025 11:00:00
СПК (Глобине)</t>
  </si>
  <si>
    <t>Обл. НДС
Лом будівельний, 1,4 м
Надходження товарів і послуг ІБ00-001845 від 23.04.2025 11:00:00
СПК (Глобине)</t>
  </si>
  <si>
    <t>Обл. НДС
Перетворювач іржі 0,94 л/0,9 кг
Надходження товарів і послуг ІБ00-001908 від 30.04.2025 11:00:00
СПК (Глобине)</t>
  </si>
  <si>
    <t>Обл. НДС
Перчатки зварюв.червоні(краги)
Надходження товарів і послуг ІБ00-001740 від 18.04.2025 11:00:00
СПК (Глобине)</t>
  </si>
  <si>
    <t>Обл. НДС
Провід ПВС 3*2,5 бухта 100м 
Надходження товарів і послуг ІБ00-001740 від 18.04.2025 11:00:00
СПК (Глобине)</t>
  </si>
  <si>
    <t>Обл. НДС
Прокладка вхідного штуцера БКО АР УР
Надходження товарів і послуг ІБ00-001715 від 16.04.2025 11:00:00
СПК (Глобине)</t>
  </si>
  <si>
    <t>Обл. НДС
Прокладка вхідного штуцера БПО
Надходження товарів і послуг ІБ00-001715 від 16.04.2025 11:00:00
СПК (Глобине)</t>
  </si>
  <si>
    <t>Обл. НДС
Рівень 100 см
Надходження товарів і послуг ІБ00-001845 від 23.04.2025 11:00:00
СПК (Глобине)</t>
  </si>
  <si>
    <t>Обл. НДС
Рівень 100 см
Надходження товарів і послуг ІБ00-001821 від 24.04.2025 11:00:00
СПК (Глобине)</t>
  </si>
  <si>
    <t>Обл. НДС
Кувалда 3 кг з ручкою
Надходження товарів і послуг ІБ00-001845 від 23.04.2025 11:00:00
СПК (Глобине)</t>
  </si>
  <si>
    <t>Обл. НДС
Кувалда 4,0 кг з руч.
Надходження товарів і послуг ІБ00-000089 від 01.01.2025 18:00:23
СПК (Глобине)</t>
  </si>
  <si>
    <t>Обл. НДС
Круг відрізний  125*1,6*22
Надходження товарів і послуг ІБ00-001908 від 30.04.2025 11:00:00
СПК (Глобине)</t>
  </si>
  <si>
    <t>Обл. НДС
Круг відрізний 230*2.5*22 увігнутий
Надходження товарів і послуг ІБ00-001614 від 11.04.2025 11:00:00
СПК (Глобине)</t>
  </si>
  <si>
    <t>Обл. НДС
Круг зачисний по металу 125х6,0х22 
Надходження товарів і послуг ІБ00-001908 від 30.04.2025 11:00:00
СПК (Глобине)</t>
  </si>
  <si>
    <t>Обл. НДС
Касета-розетка 3гн, з/к з кришками Омега ІР44  16А
Надходження товарів і послуг ІБ00-000506 від 04.02.2025 17:50:27
СПК (Глобине)</t>
  </si>
  <si>
    <t>Обл. НДС
Касета-розетка 3гн, з/к з кришками Омега ІР44  16А
Надходження товарів і послуг ІБ00-001740 від 18.04.2025 11:00:00
СПК (Глобине)</t>
  </si>
  <si>
    <t>Обл. НДС
Каска захисна "Універсал" помаранчева
Надходження товарів і послуг ІБ00-001827 від 18.04.2025 11:00:00
СПК (Глобине)</t>
  </si>
  <si>
    <t>Обл. НДС
Електродотримач DE 2400 (400A)
Надходження товарів і послуг ІБ00-001845 від 23.04.2025 11:00:00
СПК (Глобине)</t>
  </si>
  <si>
    <t>Обл. НДС
Взуття чоловіче SEVEN SAFETY р.43
Надходження товарів і послуг ІБ00-005439 від 04.11.2024 17:12:48
СПК (Глобине)</t>
  </si>
  <si>
    <t>Обл. НДС
Взуття чоловіче SEVEN SAFETY р.44
Надходження товарів і послуг ІБ00-005439 від 04.11.2024 17:12:48
СПК (Глобине)</t>
  </si>
  <si>
    <t>Обл. НДС
Взуття чоловіче SEVEN SAFETY р.45
Надходження товарів і послуг ІБ00-005439 від 04.11.2024 17:12:48
СПК (Глобине)</t>
  </si>
  <si>
    <t>Передача малоцінних активів в експлуатацію ІБ00-000261 від 29.05.2025 21:50:02
Списание стоимости малоценных активов</t>
  </si>
  <si>
    <t>Передача малоцінних активів в експлуатацію ІБ00-000259 від 29.05.2025 21:00:00
Списание стоимости малоценных активов</t>
  </si>
  <si>
    <t>Надходження товарів і послуг ІБ00-002304 від 17.05.2025 11:00:00
Оприходованы ТМЦ</t>
  </si>
  <si>
    <t>Обл. НДС
Напилок плоский 30*6,5мм 300мм №2
Надходження товарів і послуг ІБ00-002304 від 17.05.2025 11:00:00
Цех екстракції (Глобине)</t>
  </si>
  <si>
    <t>Лук'ян Михайло Федорович ФОП
22/08-24-1 от 22.08.2024 (РАХУНКИ)_Глобине-2
Рахунок на оплату постачальника ІБ00-001904 від 12.05.2025 17:50:39</t>
  </si>
  <si>
    <t>Обл. НДС
Набір викруток 10 шт
Надходження товарів і послуг ІБ00-002304 від 17.05.2025 11:00:00
Цех екстракції (Глобине)</t>
  </si>
  <si>
    <t>Обл. НДС
Плоскогубці 180мм 
Надходження товарів і послуг ІБ00-002304 від 17.05.2025 11:00:00
Цех екстракції (Глобине)</t>
  </si>
  <si>
    <t>Обл. НДС
Бокорізи 180 мм Montero 10202
Надходження товарів і послуг ІБ00-002304 від 17.05.2025 11:00:00
Цех екстракції (Глобине)</t>
  </si>
  <si>
    <t>Обл. НДС
Молоток  500 гр.
Надходження товарів і послуг ІБ00-002304 від 17.05.2025 11:00:00
Цех екстракції (Глобине)</t>
  </si>
  <si>
    <t>Обл. НДС
Лопатка шиномонт 750мм монтіровка
Надходження товарів і послуг ІБ00-002304 від 17.05.2025 11:00:00
Цех екстракції (Глобине)</t>
  </si>
  <si>
    <t>Обл. НДС
Головка ударна 1/2"  30мм
Надходження товарів і послуг ІБ00-002304 від 17.05.2025 11:00:00
Цех екстракції (Глобине)</t>
  </si>
  <si>
    <t>Обл. НДС
Шліфувальна шкурка на тканев осн 200х50м/180 пог м
Надходження товарів і послуг ІБ00-002304 від 17.05.2025 11:00:00
Цех екстракції (Глобине)</t>
  </si>
  <si>
    <t>Обл. НДС
Римболт М30*45
Надходження товарів і послуг ІБ00-002304 від 17.05.2025 11:00:00
Цех екстракції (Глобине)</t>
  </si>
  <si>
    <t>Надходження товарів і послуг ІБ00-002516 від 22.05.2025 11:00:00
Оприходованы ТМЦ</t>
  </si>
  <si>
    <t>Обл. НДС
Подовжувач 3/4"  100мм ударний
Надходження товарів і послуг ІБ00-002516 від 22.05.2025 11:00:00
Цех екстракції (Глобине)</t>
  </si>
  <si>
    <t>Обл. НДС
Подовжувач 1/2"  125мм
Надходження товарів і послуг ІБ00-002516 від 22.05.2025 11:00:00
Цех екстракції (Глобине)</t>
  </si>
  <si>
    <t>Обл. НДС
Подовжувач 1/2"  250мм
Надходження товарів і послуг ІБ00-002516 від 22.05.2025 11:00:00
Цех екстракції (Глобине)</t>
  </si>
  <si>
    <t>Передача малоцінних активів в експлуатацію ІБ00-000221 від 22.05.2025 13:29:35
Списание стоимости малоценных активов</t>
  </si>
  <si>
    <t>Обл. НДС
Строп СТП-8,0/4500
Надходження товарів і послуг ІБ00-001747 від 18.04.2025 11:00:00
Цех екстракції (Глобине)</t>
  </si>
  <si>
    <t>Передача малоцінних активів в експлуатацію ІБ00-000224 від 22.05.2025 16:27:06
Списание стоимости малоценных активов</t>
  </si>
  <si>
    <t>Передача малоцінних активів в експлуатацію ІБ00-000255 від 29.05.2025 21:00:00
Списание стоимости малоценных активов</t>
  </si>
  <si>
    <t>Передача малоцінних активів в експлуатацію ІБ00-000256 від 29.05.2025 21:00:00
Списание стоимости малоценных активов</t>
  </si>
  <si>
    <t>Передача малоцінних активів в експлуатацію ІБ00-000257 від 29.05.2025 21:00:00
Списание стоимости малоценных активов</t>
  </si>
  <si>
    <t>Передача малоцінних активів в експлуатацію ІБ00-000251 від 29.05.2025 21:00:27
Списание стоимости малоценных активов</t>
  </si>
  <si>
    <t>Обл. НДС
Скоба такелажна G-210  1-1/2" 17,0 тн
Надходження товарів і послуг ІБ00-001646 від 11.04.2025 11:00:00
Цех екстракції (Глобине)</t>
  </si>
  <si>
    <t>Обл. НДС
Скоба такелажна G-210  1-1/8"9,5 тн
Надходження товарів і послуг ІБ00-001646 від 11.04.2025 11:00:00
Цех екстракції (Глобине)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</si>
</sst>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21"/>
      <name val="Arial"/>
    </font>
    <font>
      <sz val="8"/>
      <color indexed="21"/>
      <name val="Arial"/>
      <family val="2"/>
      <charset val="204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37">
    <xf numFmtId="0" fontId="0" fillId="0" borderId="0" xfId="0"/>
    <xf numFmtId="0" fontId="0" fillId="0" borderId="0" xfId="0" applyAlignment="1"/>
    <xf numFmtId="0" fontId="3" fillId="2" borderId="2" xfId="1" applyNumberFormat="1" applyFont="1" applyFill="1" applyBorder="1" applyAlignment="1">
      <alignment vertical="top" wrapText="1"/>
    </xf>
    <xf numFmtId="4" fontId="0" fillId="0" borderId="2" xfId="0" applyNumberFormat="1" applyBorder="1"/>
    <xf numFmtId="4" fontId="1" fillId="0" borderId="2" xfId="0" applyNumberFormat="1" applyFont="1" applyBorder="1"/>
    <xf numFmtId="0" fontId="4" fillId="2" borderId="2" xfId="1" applyNumberFormat="1" applyFont="1" applyFill="1" applyBorder="1" applyAlignment="1">
      <alignment vertical="top" wrapText="1"/>
    </xf>
    <xf numFmtId="0" fontId="5" fillId="2" borderId="3" xfId="2" applyNumberFormat="1" applyFont="1" applyFill="1" applyBorder="1" applyAlignment="1">
      <alignment vertical="top"/>
    </xf>
    <xf numFmtId="0" fontId="5" fillId="2" borderId="4" xfId="2" applyNumberFormat="1" applyFont="1" applyFill="1" applyBorder="1" applyAlignment="1">
      <alignment vertical="top"/>
    </xf>
    <xf numFmtId="0" fontId="5" fillId="2" borderId="5" xfId="2" applyNumberFormat="1" applyFont="1" applyFill="1" applyBorder="1" applyAlignment="1">
      <alignment vertical="top"/>
    </xf>
    <xf numFmtId="0" fontId="5" fillId="2" borderId="4" xfId="2" applyNumberFormat="1" applyFont="1" applyFill="1" applyBorder="1" applyAlignment="1">
      <alignment horizontal="center" vertical="top"/>
    </xf>
    <xf numFmtId="0" fontId="5" fillId="2" borderId="6" xfId="2" applyNumberFormat="1" applyFont="1" applyFill="1" applyBorder="1" applyAlignment="1">
      <alignment horizontal="center" vertical="top"/>
    </xf>
    <xf numFmtId="0" fontId="5" fillId="2" borderId="7" xfId="2" applyNumberFormat="1" applyFont="1" applyFill="1" applyBorder="1" applyAlignment="1">
      <alignment vertical="top"/>
    </xf>
    <xf numFmtId="0" fontId="5" fillId="2" borderId="8" xfId="2" applyNumberFormat="1" applyFont="1" applyFill="1" applyBorder="1" applyAlignment="1">
      <alignment vertical="top"/>
    </xf>
    <xf numFmtId="0" fontId="5" fillId="2" borderId="9" xfId="2" applyNumberFormat="1" applyFont="1" applyFill="1" applyBorder="1" applyAlignment="1">
      <alignment vertical="top"/>
    </xf>
    <xf numFmtId="0" fontId="5" fillId="2" borderId="6" xfId="2" applyNumberFormat="1" applyFont="1" applyFill="1" applyBorder="1" applyAlignment="1">
      <alignment vertical="top"/>
    </xf>
    <xf numFmtId="0" fontId="5" fillId="2" borderId="10" xfId="2" applyNumberFormat="1" applyFont="1" applyFill="1" applyBorder="1" applyAlignment="1">
      <alignment vertical="top"/>
    </xf>
    <xf numFmtId="0" fontId="5" fillId="2" borderId="10" xfId="2" applyNumberFormat="1" applyFont="1" applyFill="1" applyBorder="1" applyAlignment="1">
      <alignment vertical="top"/>
    </xf>
    <xf numFmtId="0" fontId="5" fillId="2" borderId="11" xfId="2" applyNumberFormat="1" applyFont="1" applyFill="1" applyBorder="1" applyAlignment="1">
      <alignment vertical="top"/>
    </xf>
    <xf numFmtId="0" fontId="5" fillId="2" borderId="12" xfId="2" applyNumberFormat="1" applyFont="1" applyFill="1" applyBorder="1" applyAlignment="1">
      <alignment vertical="top"/>
    </xf>
    <xf numFmtId="0" fontId="6" fillId="0" borderId="1" xfId="2" applyNumberFormat="1" applyFont="1" applyBorder="1" applyAlignment="1">
      <alignment vertical="top"/>
    </xf>
    <xf numFmtId="0" fontId="6" fillId="0" borderId="1" xfId="2" applyNumberFormat="1" applyFont="1" applyBorder="1" applyAlignment="1">
      <alignment vertical="top" wrapText="1"/>
    </xf>
    <xf numFmtId="0" fontId="6" fillId="0" borderId="1" xfId="2" applyNumberFormat="1" applyFont="1" applyBorder="1" applyAlignment="1">
      <alignment horizontal="left" vertical="top"/>
    </xf>
    <xf numFmtId="2" fontId="6" fillId="0" borderId="1" xfId="2" applyNumberFormat="1" applyFont="1" applyBorder="1" applyAlignment="1">
      <alignment horizontal="right" vertical="top" wrapText="1"/>
    </xf>
    <xf numFmtId="0" fontId="6" fillId="0" borderId="14" xfId="2" applyNumberFormat="1" applyFont="1" applyBorder="1" applyAlignment="1">
      <alignment horizontal="right" vertical="top" wrapText="1"/>
    </xf>
    <xf numFmtId="0" fontId="6" fillId="0" borderId="13" xfId="2" applyNumberFormat="1" applyFont="1" applyBorder="1" applyAlignment="1">
      <alignment horizontal="center" vertical="top"/>
    </xf>
    <xf numFmtId="4" fontId="6" fillId="0" borderId="14" xfId="2" applyNumberFormat="1" applyFont="1" applyBorder="1" applyAlignment="1">
      <alignment horizontal="right" vertical="top" wrapText="1"/>
    </xf>
    <xf numFmtId="0" fontId="6" fillId="0" borderId="1" xfId="2" applyNumberFormat="1" applyFont="1" applyBorder="1" applyAlignment="1">
      <alignment horizontal="right" vertical="top" wrapText="1"/>
    </xf>
    <xf numFmtId="2" fontId="6" fillId="0" borderId="14" xfId="2" applyNumberFormat="1" applyFont="1" applyBorder="1" applyAlignment="1">
      <alignment horizontal="right" vertical="top" wrapText="1"/>
    </xf>
    <xf numFmtId="4" fontId="6" fillId="0" borderId="14" xfId="2" applyNumberFormat="1" applyFont="1" applyBorder="1" applyAlignment="1">
      <alignment horizontal="right" vertical="top" wrapText="1"/>
    </xf>
    <xf numFmtId="0" fontId="7" fillId="2" borderId="1" xfId="2" applyNumberFormat="1" applyFont="1" applyFill="1" applyBorder="1" applyAlignment="1">
      <alignment vertical="top"/>
    </xf>
    <xf numFmtId="4" fontId="7" fillId="2" borderId="1" xfId="2" applyNumberFormat="1" applyFont="1" applyFill="1" applyBorder="1" applyAlignment="1">
      <alignment horizontal="right" vertical="top" wrapText="1"/>
    </xf>
    <xf numFmtId="0" fontId="7" fillId="2" borderId="13" xfId="2" applyNumberFormat="1" applyFont="1" applyFill="1" applyBorder="1" applyAlignment="1">
      <alignment horizontal="center" vertical="top"/>
    </xf>
    <xf numFmtId="4" fontId="7" fillId="2" borderId="14" xfId="2" applyNumberFormat="1" applyFont="1" applyFill="1" applyBorder="1" applyAlignment="1">
      <alignment horizontal="right" vertical="top" wrapText="1"/>
    </xf>
    <xf numFmtId="0" fontId="5" fillId="2" borderId="3" xfId="3" applyNumberFormat="1" applyFont="1" applyFill="1" applyBorder="1" applyAlignment="1">
      <alignment vertical="top"/>
    </xf>
    <xf numFmtId="0" fontId="5" fillId="2" borderId="4" xfId="3" applyNumberFormat="1" applyFont="1" applyFill="1" applyBorder="1" applyAlignment="1">
      <alignment vertical="top"/>
    </xf>
    <xf numFmtId="0" fontId="5" fillId="2" borderId="5" xfId="3" applyNumberFormat="1" applyFont="1" applyFill="1" applyBorder="1" applyAlignment="1">
      <alignment vertical="top"/>
    </xf>
    <xf numFmtId="0" fontId="5" fillId="2" borderId="4" xfId="3" applyNumberFormat="1" applyFont="1" applyFill="1" applyBorder="1" applyAlignment="1">
      <alignment horizontal="center" vertical="top"/>
    </xf>
    <xf numFmtId="0" fontId="5" fillId="2" borderId="6" xfId="3" applyNumberFormat="1" applyFont="1" applyFill="1" applyBorder="1" applyAlignment="1">
      <alignment horizontal="center" vertical="top"/>
    </xf>
    <xf numFmtId="0" fontId="5" fillId="2" borderId="7" xfId="3" applyNumberFormat="1" applyFont="1" applyFill="1" applyBorder="1" applyAlignment="1">
      <alignment vertical="top"/>
    </xf>
    <xf numFmtId="0" fontId="5" fillId="2" borderId="8" xfId="3" applyNumberFormat="1" applyFont="1" applyFill="1" applyBorder="1" applyAlignment="1">
      <alignment vertical="top"/>
    </xf>
    <xf numFmtId="0" fontId="5" fillId="2" borderId="9" xfId="3" applyNumberFormat="1" applyFont="1" applyFill="1" applyBorder="1" applyAlignment="1">
      <alignment vertical="top"/>
    </xf>
    <xf numFmtId="0" fontId="5" fillId="2" borderId="6" xfId="3" applyNumberFormat="1" applyFont="1" applyFill="1" applyBorder="1" applyAlignment="1">
      <alignment vertical="top"/>
    </xf>
    <xf numFmtId="0" fontId="5" fillId="2" borderId="10" xfId="3" applyNumberFormat="1" applyFont="1" applyFill="1" applyBorder="1" applyAlignment="1">
      <alignment vertical="top"/>
    </xf>
    <xf numFmtId="0" fontId="5" fillId="2" borderId="10" xfId="3" applyNumberFormat="1" applyFont="1" applyFill="1" applyBorder="1" applyAlignment="1">
      <alignment vertical="top"/>
    </xf>
    <xf numFmtId="0" fontId="5" fillId="2" borderId="11" xfId="3" applyNumberFormat="1" applyFont="1" applyFill="1" applyBorder="1" applyAlignment="1">
      <alignment vertical="top"/>
    </xf>
    <xf numFmtId="0" fontId="5" fillId="2" borderId="12" xfId="3" applyNumberFormat="1" applyFont="1" applyFill="1" applyBorder="1" applyAlignment="1">
      <alignment vertical="top"/>
    </xf>
    <xf numFmtId="0" fontId="5" fillId="2" borderId="1" xfId="3" applyNumberFormat="1" applyFont="1" applyFill="1" applyBorder="1" applyAlignment="1">
      <alignment vertical="top"/>
    </xf>
    <xf numFmtId="0" fontId="5" fillId="2" borderId="1" xfId="3" applyNumberFormat="1" applyFont="1" applyFill="1" applyBorder="1" applyAlignment="1">
      <alignment horizontal="right" vertical="top"/>
    </xf>
    <xf numFmtId="0" fontId="5" fillId="2" borderId="13" xfId="3" applyNumberFormat="1" applyFont="1" applyFill="1" applyBorder="1" applyAlignment="1">
      <alignment horizontal="center" vertical="top"/>
    </xf>
    <xf numFmtId="2" fontId="5" fillId="2" borderId="14" xfId="3" applyNumberFormat="1" applyFont="1" applyFill="1" applyBorder="1" applyAlignment="1">
      <alignment horizontal="right" vertical="top" wrapText="1"/>
    </xf>
    <xf numFmtId="0" fontId="6" fillId="0" borderId="1" xfId="3" applyNumberFormat="1" applyFont="1" applyBorder="1" applyAlignment="1">
      <alignment vertical="top"/>
    </xf>
    <xf numFmtId="0" fontId="6" fillId="0" borderId="1" xfId="3" applyNumberFormat="1" applyFont="1" applyBorder="1" applyAlignment="1">
      <alignment vertical="top" wrapText="1"/>
    </xf>
    <xf numFmtId="0" fontId="6" fillId="0" borderId="1" xfId="3" applyNumberFormat="1" applyFont="1" applyBorder="1" applyAlignment="1">
      <alignment horizontal="left" vertical="top"/>
    </xf>
    <xf numFmtId="4" fontId="6" fillId="0" borderId="1" xfId="3" applyNumberFormat="1" applyFont="1" applyBorder="1" applyAlignment="1">
      <alignment horizontal="right" vertical="top" wrapText="1"/>
    </xf>
    <xf numFmtId="0" fontId="6" fillId="0" borderId="14" xfId="3" applyNumberFormat="1" applyFont="1" applyBorder="1" applyAlignment="1">
      <alignment horizontal="right" vertical="top" wrapText="1"/>
    </xf>
    <xf numFmtId="0" fontId="6" fillId="0" borderId="13" xfId="3" applyNumberFormat="1" applyFont="1" applyBorder="1" applyAlignment="1">
      <alignment horizontal="center" vertical="top"/>
    </xf>
    <xf numFmtId="4" fontId="6" fillId="0" borderId="14" xfId="3" applyNumberFormat="1" applyFont="1" applyBorder="1" applyAlignment="1">
      <alignment horizontal="right" vertical="top" wrapText="1"/>
    </xf>
    <xf numFmtId="0" fontId="6" fillId="0" borderId="1" xfId="3" applyNumberFormat="1" applyFont="1" applyBorder="1" applyAlignment="1">
      <alignment horizontal="right" vertical="top" wrapText="1"/>
    </xf>
    <xf numFmtId="4" fontId="6" fillId="0" borderId="14" xfId="3" applyNumberFormat="1" applyFont="1" applyBorder="1" applyAlignment="1">
      <alignment horizontal="right" vertical="top" wrapText="1"/>
    </xf>
    <xf numFmtId="0" fontId="6" fillId="0" borderId="14" xfId="3" applyNumberFormat="1" applyFont="1" applyBorder="1" applyAlignment="1">
      <alignment horizontal="right" vertical="top" wrapText="1"/>
    </xf>
    <xf numFmtId="0" fontId="7" fillId="2" borderId="1" xfId="3" applyNumberFormat="1" applyFont="1" applyFill="1" applyBorder="1" applyAlignment="1">
      <alignment vertical="top"/>
    </xf>
    <xf numFmtId="4" fontId="7" fillId="2" borderId="1" xfId="3" applyNumberFormat="1" applyFont="1" applyFill="1" applyBorder="1" applyAlignment="1">
      <alignment horizontal="right" vertical="top" wrapText="1"/>
    </xf>
    <xf numFmtId="0" fontId="7" fillId="2" borderId="13" xfId="3" applyNumberFormat="1" applyFont="1" applyFill="1" applyBorder="1" applyAlignment="1">
      <alignment horizontal="center" vertical="top"/>
    </xf>
    <xf numFmtId="2" fontId="7" fillId="2" borderId="14" xfId="3" applyNumberFormat="1" applyFont="1" applyFill="1" applyBorder="1" applyAlignment="1">
      <alignment horizontal="right" vertical="top" wrapText="1"/>
    </xf>
    <xf numFmtId="2" fontId="6" fillId="0" borderId="1" xfId="3" applyNumberFormat="1" applyFont="1" applyBorder="1" applyAlignment="1">
      <alignment horizontal="right" vertical="top" wrapText="1"/>
    </xf>
    <xf numFmtId="2" fontId="6" fillId="0" borderId="14" xfId="3" applyNumberFormat="1" applyFont="1" applyBorder="1" applyAlignment="1">
      <alignment horizontal="right" vertical="top" wrapText="1"/>
    </xf>
    <xf numFmtId="4" fontId="7" fillId="2" borderId="14" xfId="3" applyNumberFormat="1" applyFont="1" applyFill="1" applyBorder="1" applyAlignment="1">
      <alignment horizontal="right" vertical="top" wrapText="1"/>
    </xf>
    <xf numFmtId="0" fontId="5" fillId="2" borderId="3" xfId="4" applyNumberFormat="1" applyFont="1" applyFill="1" applyBorder="1" applyAlignment="1">
      <alignment vertical="top"/>
    </xf>
    <xf numFmtId="0" fontId="5" fillId="2" borderId="4" xfId="4" applyNumberFormat="1" applyFont="1" applyFill="1" applyBorder="1" applyAlignment="1">
      <alignment vertical="top"/>
    </xf>
    <xf numFmtId="0" fontId="5" fillId="2" borderId="5" xfId="4" applyNumberFormat="1" applyFont="1" applyFill="1" applyBorder="1" applyAlignment="1">
      <alignment vertical="top"/>
    </xf>
    <xf numFmtId="0" fontId="5" fillId="2" borderId="4" xfId="4" applyNumberFormat="1" applyFont="1" applyFill="1" applyBorder="1" applyAlignment="1">
      <alignment horizontal="center" vertical="top"/>
    </xf>
    <xf numFmtId="0" fontId="5" fillId="2" borderId="6" xfId="4" applyNumberFormat="1" applyFont="1" applyFill="1" applyBorder="1" applyAlignment="1">
      <alignment horizontal="center" vertical="top"/>
    </xf>
    <xf numFmtId="0" fontId="5" fillId="2" borderId="7" xfId="4" applyNumberFormat="1" applyFont="1" applyFill="1" applyBorder="1" applyAlignment="1">
      <alignment vertical="top"/>
    </xf>
    <xf numFmtId="0" fontId="5" fillId="2" borderId="8" xfId="4" applyNumberFormat="1" applyFont="1" applyFill="1" applyBorder="1" applyAlignment="1">
      <alignment vertical="top"/>
    </xf>
    <xf numFmtId="0" fontId="5" fillId="2" borderId="9" xfId="4" applyNumberFormat="1" applyFont="1" applyFill="1" applyBorder="1" applyAlignment="1">
      <alignment vertical="top"/>
    </xf>
    <xf numFmtId="0" fontId="5" fillId="2" borderId="6" xfId="4" applyNumberFormat="1" applyFont="1" applyFill="1" applyBorder="1" applyAlignment="1">
      <alignment vertical="top"/>
    </xf>
    <xf numFmtId="0" fontId="5" fillId="2" borderId="10" xfId="4" applyNumberFormat="1" applyFont="1" applyFill="1" applyBorder="1" applyAlignment="1">
      <alignment vertical="top"/>
    </xf>
    <xf numFmtId="0" fontId="5" fillId="2" borderId="10" xfId="4" applyNumberFormat="1" applyFont="1" applyFill="1" applyBorder="1" applyAlignment="1">
      <alignment vertical="top"/>
    </xf>
    <xf numFmtId="0" fontId="5" fillId="2" borderId="11" xfId="4" applyNumberFormat="1" applyFont="1" applyFill="1" applyBorder="1" applyAlignment="1">
      <alignment vertical="top"/>
    </xf>
    <xf numFmtId="0" fontId="5" fillId="2" borderId="12" xfId="4" applyNumberFormat="1" applyFont="1" applyFill="1" applyBorder="1" applyAlignment="1">
      <alignment vertical="top"/>
    </xf>
    <xf numFmtId="0" fontId="6" fillId="0" borderId="1" xfId="4" applyNumberFormat="1" applyFont="1" applyBorder="1" applyAlignment="1">
      <alignment vertical="top"/>
    </xf>
    <xf numFmtId="0" fontId="6" fillId="0" borderId="1" xfId="4" applyNumberFormat="1" applyFont="1" applyBorder="1" applyAlignment="1">
      <alignment vertical="top" wrapText="1"/>
    </xf>
    <xf numFmtId="0" fontId="6" fillId="0" borderId="1" xfId="4" applyNumberFormat="1" applyFont="1" applyBorder="1" applyAlignment="1">
      <alignment horizontal="left" vertical="top"/>
    </xf>
    <xf numFmtId="4" fontId="6" fillId="0" borderId="1" xfId="4" applyNumberFormat="1" applyFont="1" applyBorder="1" applyAlignment="1">
      <alignment horizontal="right" vertical="top" wrapText="1"/>
    </xf>
    <xf numFmtId="0" fontId="6" fillId="0" borderId="14" xfId="4" applyNumberFormat="1" applyFont="1" applyBorder="1" applyAlignment="1">
      <alignment horizontal="right" vertical="top" wrapText="1"/>
    </xf>
    <xf numFmtId="0" fontId="6" fillId="0" borderId="13" xfId="4" applyNumberFormat="1" applyFont="1" applyBorder="1" applyAlignment="1">
      <alignment horizontal="center" vertical="top"/>
    </xf>
    <xf numFmtId="4" fontId="6" fillId="0" borderId="14" xfId="4" applyNumberFormat="1" applyFont="1" applyBorder="1" applyAlignment="1">
      <alignment horizontal="right" vertical="top" wrapText="1"/>
    </xf>
    <xf numFmtId="0" fontId="6" fillId="0" borderId="1" xfId="4" applyNumberFormat="1" applyFont="1" applyBorder="1" applyAlignment="1">
      <alignment horizontal="right" vertical="top" wrapText="1"/>
    </xf>
    <xf numFmtId="4" fontId="6" fillId="0" borderId="14" xfId="4" applyNumberFormat="1" applyFont="1" applyBorder="1" applyAlignment="1">
      <alignment horizontal="right" vertical="top" wrapText="1"/>
    </xf>
    <xf numFmtId="0" fontId="6" fillId="0" borderId="14" xfId="4" applyNumberFormat="1" applyFont="1" applyBorder="1" applyAlignment="1">
      <alignment horizontal="right" vertical="top" wrapText="1"/>
    </xf>
    <xf numFmtId="0" fontId="7" fillId="2" borderId="1" xfId="4" applyNumberFormat="1" applyFont="1" applyFill="1" applyBorder="1" applyAlignment="1">
      <alignment vertical="top"/>
    </xf>
    <xf numFmtId="4" fontId="7" fillId="2" borderId="1" xfId="4" applyNumberFormat="1" applyFont="1" applyFill="1" applyBorder="1" applyAlignment="1">
      <alignment horizontal="right" vertical="top" wrapText="1"/>
    </xf>
    <xf numFmtId="0" fontId="7" fillId="2" borderId="13" xfId="4" applyNumberFormat="1" applyFont="1" applyFill="1" applyBorder="1" applyAlignment="1">
      <alignment horizontal="center" vertical="top"/>
    </xf>
    <xf numFmtId="2" fontId="7" fillId="2" borderId="14" xfId="4" applyNumberFormat="1" applyFont="1" applyFill="1" applyBorder="1" applyAlignment="1">
      <alignment horizontal="right" vertical="top" wrapText="1"/>
    </xf>
    <xf numFmtId="0" fontId="5" fillId="2" borderId="3" xfId="5" applyNumberFormat="1" applyFont="1" applyFill="1" applyBorder="1" applyAlignment="1">
      <alignment vertical="top"/>
    </xf>
    <xf numFmtId="0" fontId="5" fillId="2" borderId="4" xfId="5" applyNumberFormat="1" applyFont="1" applyFill="1" applyBorder="1" applyAlignment="1">
      <alignment vertical="top"/>
    </xf>
    <xf numFmtId="0" fontId="5" fillId="2" borderId="5" xfId="5" applyNumberFormat="1" applyFont="1" applyFill="1" applyBorder="1" applyAlignment="1">
      <alignment vertical="top"/>
    </xf>
    <xf numFmtId="0" fontId="5" fillId="2" borderId="4" xfId="5" applyNumberFormat="1" applyFont="1" applyFill="1" applyBorder="1" applyAlignment="1">
      <alignment horizontal="center" vertical="top"/>
    </xf>
    <xf numFmtId="0" fontId="5" fillId="2" borderId="6" xfId="5" applyNumberFormat="1" applyFont="1" applyFill="1" applyBorder="1" applyAlignment="1">
      <alignment horizontal="center" vertical="top"/>
    </xf>
    <xf numFmtId="0" fontId="5" fillId="2" borderId="7" xfId="5" applyNumberFormat="1" applyFont="1" applyFill="1" applyBorder="1" applyAlignment="1">
      <alignment vertical="top"/>
    </xf>
    <xf numFmtId="0" fontId="5" fillId="2" borderId="8" xfId="5" applyNumberFormat="1" applyFont="1" applyFill="1" applyBorder="1" applyAlignment="1">
      <alignment vertical="top"/>
    </xf>
    <xf numFmtId="0" fontId="5" fillId="2" borderId="9" xfId="5" applyNumberFormat="1" applyFont="1" applyFill="1" applyBorder="1" applyAlignment="1">
      <alignment vertical="top"/>
    </xf>
    <xf numFmtId="0" fontId="5" fillId="2" borderId="6" xfId="5" applyNumberFormat="1" applyFont="1" applyFill="1" applyBorder="1" applyAlignment="1">
      <alignment vertical="top"/>
    </xf>
    <xf numFmtId="0" fontId="5" fillId="2" borderId="10" xfId="5" applyNumberFormat="1" applyFont="1" applyFill="1" applyBorder="1" applyAlignment="1">
      <alignment vertical="top"/>
    </xf>
    <xf numFmtId="0" fontId="5" fillId="2" borderId="10" xfId="5" applyNumberFormat="1" applyFont="1" applyFill="1" applyBorder="1" applyAlignment="1">
      <alignment vertical="top"/>
    </xf>
    <xf numFmtId="0" fontId="5" fillId="2" borderId="11" xfId="5" applyNumberFormat="1" applyFont="1" applyFill="1" applyBorder="1" applyAlignment="1">
      <alignment vertical="top"/>
    </xf>
    <xf numFmtId="0" fontId="5" fillId="2" borderId="12" xfId="5" applyNumberFormat="1" applyFont="1" applyFill="1" applyBorder="1" applyAlignment="1">
      <alignment vertical="top"/>
    </xf>
    <xf numFmtId="0" fontId="6" fillId="0" borderId="1" xfId="5" applyNumberFormat="1" applyFont="1" applyBorder="1" applyAlignment="1">
      <alignment vertical="top"/>
    </xf>
    <xf numFmtId="0" fontId="6" fillId="0" borderId="1" xfId="5" applyNumberFormat="1" applyFont="1" applyBorder="1" applyAlignment="1">
      <alignment vertical="top" wrapText="1"/>
    </xf>
    <xf numFmtId="0" fontId="6" fillId="0" borderId="1" xfId="5" applyNumberFormat="1" applyFont="1" applyBorder="1" applyAlignment="1">
      <alignment horizontal="left" vertical="top"/>
    </xf>
    <xf numFmtId="4" fontId="6" fillId="0" borderId="1" xfId="5" applyNumberFormat="1" applyFont="1" applyBorder="1" applyAlignment="1">
      <alignment horizontal="right" vertical="top" wrapText="1"/>
    </xf>
    <xf numFmtId="0" fontId="6" fillId="0" borderId="14" xfId="5" applyNumberFormat="1" applyFont="1" applyBorder="1" applyAlignment="1">
      <alignment horizontal="right" vertical="top" wrapText="1"/>
    </xf>
    <xf numFmtId="0" fontId="6" fillId="0" borderId="13" xfId="5" applyNumberFormat="1" applyFont="1" applyBorder="1" applyAlignment="1">
      <alignment horizontal="center" vertical="top"/>
    </xf>
    <xf numFmtId="4" fontId="6" fillId="0" borderId="14" xfId="5" applyNumberFormat="1" applyFont="1" applyBorder="1" applyAlignment="1">
      <alignment horizontal="right" vertical="top" wrapText="1"/>
    </xf>
    <xf numFmtId="0" fontId="6" fillId="0" borderId="1" xfId="5" applyNumberFormat="1" applyFont="1" applyBorder="1" applyAlignment="1">
      <alignment horizontal="right" vertical="top" wrapText="1"/>
    </xf>
    <xf numFmtId="4" fontId="6" fillId="0" borderId="14" xfId="5" applyNumberFormat="1" applyFont="1" applyBorder="1" applyAlignment="1">
      <alignment horizontal="right" vertical="top" wrapText="1"/>
    </xf>
    <xf numFmtId="2" fontId="6" fillId="0" borderId="14" xfId="5" applyNumberFormat="1" applyFont="1" applyBorder="1" applyAlignment="1">
      <alignment horizontal="right" vertical="top" wrapText="1"/>
    </xf>
    <xf numFmtId="0" fontId="7" fillId="2" borderId="1" xfId="5" applyNumberFormat="1" applyFont="1" applyFill="1" applyBorder="1" applyAlignment="1">
      <alignment vertical="top"/>
    </xf>
    <xf numFmtId="4" fontId="7" fillId="2" borderId="1" xfId="5" applyNumberFormat="1" applyFont="1" applyFill="1" applyBorder="1" applyAlignment="1">
      <alignment horizontal="right" vertical="top" wrapText="1"/>
    </xf>
    <xf numFmtId="0" fontId="7" fillId="2" borderId="13" xfId="5" applyNumberFormat="1" applyFont="1" applyFill="1" applyBorder="1" applyAlignment="1">
      <alignment horizontal="center" vertical="top"/>
    </xf>
    <xf numFmtId="4" fontId="7" fillId="2" borderId="14" xfId="5" applyNumberFormat="1" applyFont="1" applyFill="1" applyBorder="1" applyAlignment="1">
      <alignment horizontal="right" vertical="top" wrapText="1"/>
    </xf>
    <xf numFmtId="0" fontId="5" fillId="2" borderId="3" xfId="6" applyNumberFormat="1" applyFont="1" applyFill="1" applyBorder="1" applyAlignment="1">
      <alignment vertical="top"/>
    </xf>
    <xf numFmtId="0" fontId="5" fillId="2" borderId="4" xfId="6" applyNumberFormat="1" applyFont="1" applyFill="1" applyBorder="1" applyAlignment="1">
      <alignment vertical="top"/>
    </xf>
    <xf numFmtId="0" fontId="5" fillId="2" borderId="5" xfId="6" applyNumberFormat="1" applyFont="1" applyFill="1" applyBorder="1" applyAlignment="1">
      <alignment vertical="top"/>
    </xf>
    <xf numFmtId="0" fontId="5" fillId="2" borderId="4" xfId="6" applyNumberFormat="1" applyFont="1" applyFill="1" applyBorder="1" applyAlignment="1">
      <alignment horizontal="center" vertical="top"/>
    </xf>
    <xf numFmtId="0" fontId="5" fillId="2" borderId="6" xfId="6" applyNumberFormat="1" applyFont="1" applyFill="1" applyBorder="1" applyAlignment="1">
      <alignment horizontal="center" vertical="top"/>
    </xf>
    <xf numFmtId="0" fontId="5" fillId="2" borderId="7" xfId="6" applyNumberFormat="1" applyFont="1" applyFill="1" applyBorder="1" applyAlignment="1">
      <alignment vertical="top"/>
    </xf>
    <xf numFmtId="0" fontId="5" fillId="2" borderId="8" xfId="6" applyNumberFormat="1" applyFont="1" applyFill="1" applyBorder="1" applyAlignment="1">
      <alignment vertical="top"/>
    </xf>
    <xf numFmtId="0" fontId="5" fillId="2" borderId="9" xfId="6" applyNumberFormat="1" applyFont="1" applyFill="1" applyBorder="1" applyAlignment="1">
      <alignment vertical="top"/>
    </xf>
    <xf numFmtId="0" fontId="5" fillId="2" borderId="6" xfId="6" applyNumberFormat="1" applyFont="1" applyFill="1" applyBorder="1" applyAlignment="1">
      <alignment vertical="top"/>
    </xf>
    <xf numFmtId="0" fontId="5" fillId="2" borderId="10" xfId="6" applyNumberFormat="1" applyFont="1" applyFill="1" applyBorder="1" applyAlignment="1">
      <alignment vertical="top"/>
    </xf>
    <xf numFmtId="0" fontId="5" fillId="2" borderId="10" xfId="6" applyNumberFormat="1" applyFont="1" applyFill="1" applyBorder="1" applyAlignment="1">
      <alignment vertical="top"/>
    </xf>
    <xf numFmtId="0" fontId="5" fillId="2" borderId="11" xfId="6" applyNumberFormat="1" applyFont="1" applyFill="1" applyBorder="1" applyAlignment="1">
      <alignment vertical="top"/>
    </xf>
    <xf numFmtId="0" fontId="5" fillId="2" borderId="12" xfId="6" applyNumberFormat="1" applyFont="1" applyFill="1" applyBorder="1" applyAlignment="1">
      <alignment vertical="top"/>
    </xf>
    <xf numFmtId="0" fontId="6" fillId="0" borderId="1" xfId="6" applyNumberFormat="1" applyFont="1" applyBorder="1" applyAlignment="1">
      <alignment vertical="top"/>
    </xf>
    <xf numFmtId="0" fontId="6" fillId="0" borderId="1" xfId="6" applyNumberFormat="1" applyFont="1" applyBorder="1" applyAlignment="1">
      <alignment vertical="top" wrapText="1"/>
    </xf>
    <xf numFmtId="0" fontId="6" fillId="0" borderId="1" xfId="6" applyNumberFormat="1" applyFont="1" applyBorder="1" applyAlignment="1">
      <alignment horizontal="left" vertical="top"/>
    </xf>
    <xf numFmtId="2" fontId="6" fillId="0" borderId="1" xfId="6" applyNumberFormat="1" applyFont="1" applyBorder="1" applyAlignment="1">
      <alignment horizontal="right" vertical="top" wrapText="1"/>
    </xf>
    <xf numFmtId="0" fontId="6" fillId="0" borderId="14" xfId="6" applyNumberFormat="1" applyFont="1" applyBorder="1" applyAlignment="1">
      <alignment horizontal="right" vertical="top" wrapText="1"/>
    </xf>
    <xf numFmtId="0" fontId="6" fillId="0" borderId="13" xfId="6" applyNumberFormat="1" applyFont="1" applyBorder="1" applyAlignment="1">
      <alignment horizontal="center" vertical="top"/>
    </xf>
    <xf numFmtId="4" fontId="6" fillId="0" borderId="14" xfId="6" applyNumberFormat="1" applyFont="1" applyBorder="1" applyAlignment="1">
      <alignment horizontal="right" vertical="top" wrapText="1"/>
    </xf>
    <xf numFmtId="4" fontId="6" fillId="0" borderId="1" xfId="6" applyNumberFormat="1" applyFont="1" applyBorder="1" applyAlignment="1">
      <alignment horizontal="right" vertical="top" wrapText="1"/>
    </xf>
    <xf numFmtId="0" fontId="6" fillId="0" borderId="1" xfId="6" applyNumberFormat="1" applyFont="1" applyBorder="1" applyAlignment="1">
      <alignment horizontal="right" vertical="top" wrapText="1"/>
    </xf>
    <xf numFmtId="2" fontId="6" fillId="0" borderId="14" xfId="6" applyNumberFormat="1" applyFont="1" applyBorder="1" applyAlignment="1">
      <alignment horizontal="right" vertical="top" wrapText="1"/>
    </xf>
    <xf numFmtId="4" fontId="6" fillId="0" borderId="14" xfId="6" applyNumberFormat="1" applyFont="1" applyBorder="1" applyAlignment="1">
      <alignment horizontal="right" vertical="top" wrapText="1"/>
    </xf>
    <xf numFmtId="0" fontId="7" fillId="2" borderId="1" xfId="6" applyNumberFormat="1" applyFont="1" applyFill="1" applyBorder="1" applyAlignment="1">
      <alignment vertical="top"/>
    </xf>
    <xf numFmtId="4" fontId="7" fillId="2" borderId="1" xfId="6" applyNumberFormat="1" applyFont="1" applyFill="1" applyBorder="1" applyAlignment="1">
      <alignment horizontal="right" vertical="top" wrapText="1"/>
    </xf>
    <xf numFmtId="0" fontId="7" fillId="2" borderId="13" xfId="6" applyNumberFormat="1" applyFont="1" applyFill="1" applyBorder="1" applyAlignment="1">
      <alignment horizontal="center" vertical="top"/>
    </xf>
    <xf numFmtId="4" fontId="7" fillId="2" borderId="14" xfId="6" applyNumberFormat="1" applyFont="1" applyFill="1" applyBorder="1" applyAlignment="1">
      <alignment horizontal="right" vertical="top" wrapText="1"/>
    </xf>
    <xf numFmtId="0" fontId="5" fillId="2" borderId="3" xfId="7" applyNumberFormat="1" applyFont="1" applyFill="1" applyBorder="1" applyAlignment="1">
      <alignment vertical="top"/>
    </xf>
    <xf numFmtId="0" fontId="5" fillId="2" borderId="4" xfId="7" applyNumberFormat="1" applyFont="1" applyFill="1" applyBorder="1" applyAlignment="1">
      <alignment vertical="top"/>
    </xf>
    <xf numFmtId="0" fontId="5" fillId="2" borderId="5" xfId="7" applyNumberFormat="1" applyFont="1" applyFill="1" applyBorder="1" applyAlignment="1">
      <alignment vertical="top"/>
    </xf>
    <xf numFmtId="0" fontId="5" fillId="2" borderId="4" xfId="7" applyNumberFormat="1" applyFont="1" applyFill="1" applyBorder="1" applyAlignment="1">
      <alignment horizontal="center" vertical="top"/>
    </xf>
    <xf numFmtId="0" fontId="5" fillId="2" borderId="6" xfId="7" applyNumberFormat="1" applyFont="1" applyFill="1" applyBorder="1" applyAlignment="1">
      <alignment horizontal="center" vertical="top"/>
    </xf>
    <xf numFmtId="0" fontId="5" fillId="2" borderId="7" xfId="7" applyNumberFormat="1" applyFont="1" applyFill="1" applyBorder="1" applyAlignment="1">
      <alignment vertical="top"/>
    </xf>
    <xf numFmtId="0" fontId="5" fillId="2" borderId="8" xfId="7" applyNumberFormat="1" applyFont="1" applyFill="1" applyBorder="1" applyAlignment="1">
      <alignment vertical="top"/>
    </xf>
    <xf numFmtId="0" fontId="5" fillId="2" borderId="9" xfId="7" applyNumberFormat="1" applyFont="1" applyFill="1" applyBorder="1" applyAlignment="1">
      <alignment vertical="top"/>
    </xf>
    <xf numFmtId="0" fontId="5" fillId="2" borderId="6" xfId="7" applyNumberFormat="1" applyFont="1" applyFill="1" applyBorder="1" applyAlignment="1">
      <alignment vertical="top"/>
    </xf>
    <xf numFmtId="0" fontId="5" fillId="2" borderId="10" xfId="7" applyNumberFormat="1" applyFont="1" applyFill="1" applyBorder="1" applyAlignment="1">
      <alignment vertical="top"/>
    </xf>
    <xf numFmtId="0" fontId="5" fillId="2" borderId="10" xfId="7" applyNumberFormat="1" applyFont="1" applyFill="1" applyBorder="1" applyAlignment="1">
      <alignment vertical="top"/>
    </xf>
    <xf numFmtId="0" fontId="5" fillId="2" borderId="11" xfId="7" applyNumberFormat="1" applyFont="1" applyFill="1" applyBorder="1" applyAlignment="1">
      <alignment vertical="top"/>
    </xf>
    <xf numFmtId="0" fontId="5" fillId="2" borderId="12" xfId="7" applyNumberFormat="1" applyFont="1" applyFill="1" applyBorder="1" applyAlignment="1">
      <alignment vertical="top"/>
    </xf>
    <xf numFmtId="0" fontId="6" fillId="0" borderId="1" xfId="7" applyNumberFormat="1" applyFont="1" applyBorder="1" applyAlignment="1">
      <alignment vertical="top"/>
    </xf>
    <xf numFmtId="0" fontId="6" fillId="0" borderId="1" xfId="7" applyNumberFormat="1" applyFont="1" applyBorder="1" applyAlignment="1">
      <alignment vertical="top" wrapText="1"/>
    </xf>
    <xf numFmtId="0" fontId="6" fillId="0" borderId="1" xfId="7" applyNumberFormat="1" applyFont="1" applyBorder="1" applyAlignment="1">
      <alignment horizontal="left" vertical="top"/>
    </xf>
    <xf numFmtId="0" fontId="6" fillId="0" borderId="1" xfId="7" applyNumberFormat="1" applyFont="1" applyBorder="1" applyAlignment="1">
      <alignment horizontal="right" vertical="top" wrapText="1"/>
    </xf>
    <xf numFmtId="4" fontId="6" fillId="0" borderId="14" xfId="7" applyNumberFormat="1" applyFont="1" applyBorder="1" applyAlignment="1">
      <alignment horizontal="right" vertical="top" wrapText="1"/>
    </xf>
    <xf numFmtId="0" fontId="6" fillId="0" borderId="13" xfId="7" applyNumberFormat="1" applyFont="1" applyBorder="1" applyAlignment="1">
      <alignment horizontal="center" vertical="top"/>
    </xf>
    <xf numFmtId="4" fontId="6" fillId="0" borderId="14" xfId="7" applyNumberFormat="1" applyFont="1" applyBorder="1" applyAlignment="1">
      <alignment horizontal="right" vertical="top" wrapText="1"/>
    </xf>
    <xf numFmtId="4" fontId="6" fillId="0" borderId="1" xfId="7" applyNumberFormat="1" applyFont="1" applyBorder="1" applyAlignment="1">
      <alignment horizontal="right" vertical="top" wrapText="1"/>
    </xf>
    <xf numFmtId="0" fontId="6" fillId="0" borderId="14" xfId="7" applyNumberFormat="1" applyFont="1" applyBorder="1" applyAlignment="1">
      <alignment horizontal="right" vertical="top" wrapText="1"/>
    </xf>
    <xf numFmtId="2" fontId="6" fillId="0" borderId="1" xfId="7" applyNumberFormat="1" applyFont="1" applyBorder="1" applyAlignment="1">
      <alignment horizontal="right" vertical="top" wrapText="1"/>
    </xf>
    <xf numFmtId="2" fontId="6" fillId="0" borderId="14" xfId="7" applyNumberFormat="1" applyFont="1" applyBorder="1" applyAlignment="1">
      <alignment horizontal="right" vertical="top" wrapText="1"/>
    </xf>
    <xf numFmtId="0" fontId="7" fillId="2" borderId="1" xfId="7" applyNumberFormat="1" applyFont="1" applyFill="1" applyBorder="1" applyAlignment="1">
      <alignment vertical="top"/>
    </xf>
    <xf numFmtId="4" fontId="7" fillId="2" borderId="1" xfId="7" applyNumberFormat="1" applyFont="1" applyFill="1" applyBorder="1" applyAlignment="1">
      <alignment horizontal="right" vertical="top" wrapText="1"/>
    </xf>
    <xf numFmtId="0" fontId="7" fillId="2" borderId="13" xfId="7" applyNumberFormat="1" applyFont="1" applyFill="1" applyBorder="1" applyAlignment="1">
      <alignment horizontal="center" vertical="top"/>
    </xf>
    <xf numFmtId="4" fontId="7" fillId="2" borderId="14" xfId="7" applyNumberFormat="1" applyFont="1" applyFill="1" applyBorder="1" applyAlignment="1">
      <alignment horizontal="right" vertical="top" wrapText="1"/>
    </xf>
    <xf numFmtId="0" fontId="5" fillId="2" borderId="3" xfId="8" applyNumberFormat="1" applyFont="1" applyFill="1" applyBorder="1" applyAlignment="1">
      <alignment vertical="top"/>
    </xf>
    <xf numFmtId="0" fontId="5" fillId="2" borderId="4" xfId="8" applyNumberFormat="1" applyFont="1" applyFill="1" applyBorder="1" applyAlignment="1">
      <alignment vertical="top"/>
    </xf>
    <xf numFmtId="0" fontId="5" fillId="2" borderId="5" xfId="8" applyNumberFormat="1" applyFont="1" applyFill="1" applyBorder="1" applyAlignment="1">
      <alignment vertical="top"/>
    </xf>
    <xf numFmtId="0" fontId="5" fillId="2" borderId="4" xfId="8" applyNumberFormat="1" applyFont="1" applyFill="1" applyBorder="1" applyAlignment="1">
      <alignment horizontal="center" vertical="top"/>
    </xf>
    <xf numFmtId="0" fontId="5" fillId="2" borderId="6" xfId="8" applyNumberFormat="1" applyFont="1" applyFill="1" applyBorder="1" applyAlignment="1">
      <alignment horizontal="center" vertical="top"/>
    </xf>
    <xf numFmtId="0" fontId="5" fillId="2" borderId="7" xfId="8" applyNumberFormat="1" applyFont="1" applyFill="1" applyBorder="1" applyAlignment="1">
      <alignment vertical="top"/>
    </xf>
    <xf numFmtId="0" fontId="5" fillId="2" borderId="8" xfId="8" applyNumberFormat="1" applyFont="1" applyFill="1" applyBorder="1" applyAlignment="1">
      <alignment vertical="top"/>
    </xf>
    <xf numFmtId="0" fontId="5" fillId="2" borderId="9" xfId="8" applyNumberFormat="1" applyFont="1" applyFill="1" applyBorder="1" applyAlignment="1">
      <alignment vertical="top"/>
    </xf>
    <xf numFmtId="0" fontId="5" fillId="2" borderId="6" xfId="8" applyNumberFormat="1" applyFont="1" applyFill="1" applyBorder="1" applyAlignment="1">
      <alignment vertical="top"/>
    </xf>
    <xf numFmtId="0" fontId="5" fillId="2" borderId="10" xfId="8" applyNumberFormat="1" applyFont="1" applyFill="1" applyBorder="1" applyAlignment="1">
      <alignment vertical="top"/>
    </xf>
    <xf numFmtId="0" fontId="5" fillId="2" borderId="10" xfId="8" applyNumberFormat="1" applyFont="1" applyFill="1" applyBorder="1" applyAlignment="1">
      <alignment vertical="top"/>
    </xf>
    <xf numFmtId="0" fontId="5" fillId="2" borderId="11" xfId="8" applyNumberFormat="1" applyFont="1" applyFill="1" applyBorder="1" applyAlignment="1">
      <alignment vertical="top"/>
    </xf>
    <xf numFmtId="0" fontId="5" fillId="2" borderId="12" xfId="8" applyNumberFormat="1" applyFont="1" applyFill="1" applyBorder="1" applyAlignment="1">
      <alignment vertical="top"/>
    </xf>
    <xf numFmtId="0" fontId="5" fillId="2" borderId="1" xfId="8" applyNumberFormat="1" applyFont="1" applyFill="1" applyBorder="1" applyAlignment="1">
      <alignment vertical="top"/>
    </xf>
    <xf numFmtId="0" fontId="5" fillId="2" borderId="1" xfId="8" applyNumberFormat="1" applyFont="1" applyFill="1" applyBorder="1" applyAlignment="1">
      <alignment horizontal="right" vertical="top"/>
    </xf>
    <xf numFmtId="0" fontId="5" fillId="2" borderId="13" xfId="8" applyNumberFormat="1" applyFont="1" applyFill="1" applyBorder="1" applyAlignment="1">
      <alignment horizontal="center" vertical="top"/>
    </xf>
    <xf numFmtId="2" fontId="5" fillId="2" borderId="14" xfId="8" applyNumberFormat="1" applyFont="1" applyFill="1" applyBorder="1" applyAlignment="1">
      <alignment horizontal="right" vertical="top" wrapText="1"/>
    </xf>
    <xf numFmtId="0" fontId="6" fillId="0" borderId="1" xfId="8" applyNumberFormat="1" applyFont="1" applyBorder="1" applyAlignment="1">
      <alignment vertical="top"/>
    </xf>
    <xf numFmtId="0" fontId="6" fillId="0" borderId="1" xfId="8" applyNumberFormat="1" applyFont="1" applyBorder="1" applyAlignment="1">
      <alignment vertical="top" wrapText="1"/>
    </xf>
    <xf numFmtId="0" fontId="6" fillId="0" borderId="1" xfId="8" applyNumberFormat="1" applyFont="1" applyBorder="1" applyAlignment="1">
      <alignment horizontal="left" vertical="top"/>
    </xf>
    <xf numFmtId="2" fontId="6" fillId="0" borderId="1" xfId="8" applyNumberFormat="1" applyFont="1" applyBorder="1" applyAlignment="1">
      <alignment horizontal="right" vertical="top" wrapText="1"/>
    </xf>
    <xf numFmtId="0" fontId="6" fillId="0" borderId="14" xfId="8" applyNumberFormat="1" applyFont="1" applyBorder="1" applyAlignment="1">
      <alignment horizontal="right" vertical="top" wrapText="1"/>
    </xf>
    <xf numFmtId="0" fontId="6" fillId="0" borderId="13" xfId="8" applyNumberFormat="1" applyFont="1" applyBorder="1" applyAlignment="1">
      <alignment horizontal="center" vertical="top"/>
    </xf>
    <xf numFmtId="2" fontId="6" fillId="0" borderId="14" xfId="8" applyNumberFormat="1" applyFont="1" applyBorder="1" applyAlignment="1">
      <alignment horizontal="right" vertical="top" wrapText="1"/>
    </xf>
    <xf numFmtId="0" fontId="6" fillId="0" borderId="1" xfId="8" applyNumberFormat="1" applyFont="1" applyBorder="1" applyAlignment="1">
      <alignment horizontal="right" vertical="top" wrapText="1"/>
    </xf>
    <xf numFmtId="2" fontId="6" fillId="0" borderId="14" xfId="8" applyNumberFormat="1" applyFont="1" applyBorder="1" applyAlignment="1">
      <alignment horizontal="right" vertical="top" wrapText="1"/>
    </xf>
    <xf numFmtId="0" fontId="6" fillId="0" borderId="14" xfId="8" applyNumberFormat="1" applyFont="1" applyBorder="1" applyAlignment="1">
      <alignment horizontal="right" vertical="top" wrapText="1"/>
    </xf>
    <xf numFmtId="0" fontId="7" fillId="2" borderId="1" xfId="8" applyNumberFormat="1" applyFont="1" applyFill="1" applyBorder="1" applyAlignment="1">
      <alignment vertical="top"/>
    </xf>
    <xf numFmtId="2" fontId="7" fillId="2" borderId="1" xfId="8" applyNumberFormat="1" applyFont="1" applyFill="1" applyBorder="1" applyAlignment="1">
      <alignment horizontal="right" vertical="top" wrapText="1"/>
    </xf>
    <xf numFmtId="0" fontId="7" fillId="2" borderId="13" xfId="8" applyNumberFormat="1" applyFont="1" applyFill="1" applyBorder="1" applyAlignment="1">
      <alignment horizontal="center" vertical="top"/>
    </xf>
    <xf numFmtId="2" fontId="7" fillId="2" borderId="14" xfId="8" applyNumberFormat="1" applyFont="1" applyFill="1" applyBorder="1" applyAlignment="1">
      <alignment horizontal="right" vertical="top" wrapText="1"/>
    </xf>
    <xf numFmtId="0" fontId="5" fillId="2" borderId="3" xfId="9" applyNumberFormat="1" applyFont="1" applyFill="1" applyBorder="1" applyAlignment="1">
      <alignment vertical="top"/>
    </xf>
    <xf numFmtId="0" fontId="5" fillId="2" borderId="4" xfId="9" applyNumberFormat="1" applyFont="1" applyFill="1" applyBorder="1" applyAlignment="1">
      <alignment vertical="top"/>
    </xf>
    <xf numFmtId="0" fontId="5" fillId="2" borderId="5" xfId="9" applyNumberFormat="1" applyFont="1" applyFill="1" applyBorder="1" applyAlignment="1">
      <alignment vertical="top"/>
    </xf>
    <xf numFmtId="0" fontId="5" fillId="2" borderId="4" xfId="9" applyNumberFormat="1" applyFont="1" applyFill="1" applyBorder="1" applyAlignment="1">
      <alignment horizontal="center" vertical="top"/>
    </xf>
    <xf numFmtId="0" fontId="5" fillId="2" borderId="6" xfId="9" applyNumberFormat="1" applyFont="1" applyFill="1" applyBorder="1" applyAlignment="1">
      <alignment horizontal="center" vertical="top"/>
    </xf>
    <xf numFmtId="0" fontId="5" fillId="2" borderId="7" xfId="9" applyNumberFormat="1" applyFont="1" applyFill="1" applyBorder="1" applyAlignment="1">
      <alignment vertical="top"/>
    </xf>
    <xf numFmtId="0" fontId="5" fillId="2" borderId="8" xfId="9" applyNumberFormat="1" applyFont="1" applyFill="1" applyBorder="1" applyAlignment="1">
      <alignment vertical="top"/>
    </xf>
    <xf numFmtId="0" fontId="5" fillId="2" borderId="9" xfId="9" applyNumberFormat="1" applyFont="1" applyFill="1" applyBorder="1" applyAlignment="1">
      <alignment vertical="top"/>
    </xf>
    <xf numFmtId="0" fontId="5" fillId="2" borderId="6" xfId="9" applyNumberFormat="1" applyFont="1" applyFill="1" applyBorder="1" applyAlignment="1">
      <alignment vertical="top"/>
    </xf>
    <xf numFmtId="0" fontId="5" fillId="2" borderId="10" xfId="9" applyNumberFormat="1" applyFont="1" applyFill="1" applyBorder="1" applyAlignment="1">
      <alignment vertical="top"/>
    </xf>
    <xf numFmtId="0" fontId="5" fillId="2" borderId="10" xfId="9" applyNumberFormat="1" applyFont="1" applyFill="1" applyBorder="1" applyAlignment="1">
      <alignment vertical="top"/>
    </xf>
    <xf numFmtId="0" fontId="5" fillId="2" borderId="11" xfId="9" applyNumberFormat="1" applyFont="1" applyFill="1" applyBorder="1" applyAlignment="1">
      <alignment vertical="top"/>
    </xf>
    <xf numFmtId="0" fontId="5" fillId="2" borderId="12" xfId="9" applyNumberFormat="1" applyFont="1" applyFill="1" applyBorder="1" applyAlignment="1">
      <alignment vertical="top"/>
    </xf>
    <xf numFmtId="0" fontId="6" fillId="0" borderId="1" xfId="9" applyNumberFormat="1" applyFont="1" applyBorder="1" applyAlignment="1">
      <alignment vertical="top"/>
    </xf>
    <xf numFmtId="0" fontId="6" fillId="0" borderId="1" xfId="9" applyNumberFormat="1" applyFont="1" applyBorder="1" applyAlignment="1">
      <alignment vertical="top" wrapText="1"/>
    </xf>
    <xf numFmtId="0" fontId="6" fillId="0" borderId="1" xfId="9" applyNumberFormat="1" applyFont="1" applyBorder="1" applyAlignment="1">
      <alignment horizontal="left" vertical="top"/>
    </xf>
    <xf numFmtId="2" fontId="6" fillId="0" borderId="1" xfId="9" applyNumberFormat="1" applyFont="1" applyBorder="1" applyAlignment="1">
      <alignment horizontal="right" vertical="top" wrapText="1"/>
    </xf>
    <xf numFmtId="0" fontId="6" fillId="0" borderId="14" xfId="9" applyNumberFormat="1" applyFont="1" applyBorder="1" applyAlignment="1">
      <alignment horizontal="right" vertical="top" wrapText="1"/>
    </xf>
    <xf numFmtId="0" fontId="6" fillId="0" borderId="13" xfId="9" applyNumberFormat="1" applyFont="1" applyBorder="1" applyAlignment="1">
      <alignment horizontal="center" vertical="top"/>
    </xf>
    <xf numFmtId="4" fontId="6" fillId="0" borderId="14" xfId="9" applyNumberFormat="1" applyFont="1" applyBorder="1" applyAlignment="1">
      <alignment horizontal="right" vertical="top" wrapText="1"/>
    </xf>
    <xf numFmtId="4" fontId="6" fillId="0" borderId="1" xfId="9" applyNumberFormat="1" applyFont="1" applyBorder="1" applyAlignment="1">
      <alignment horizontal="right" vertical="top" wrapText="1"/>
    </xf>
    <xf numFmtId="0" fontId="6" fillId="0" borderId="1" xfId="9" applyNumberFormat="1" applyFont="1" applyBorder="1" applyAlignment="1">
      <alignment horizontal="right" vertical="top" wrapText="1"/>
    </xf>
    <xf numFmtId="4" fontId="6" fillId="0" borderId="14" xfId="9" applyNumberFormat="1" applyFont="1" applyBorder="1" applyAlignment="1">
      <alignment horizontal="right" vertical="top" wrapText="1"/>
    </xf>
    <xf numFmtId="2" fontId="6" fillId="0" borderId="14" xfId="9" applyNumberFormat="1" applyFont="1" applyBorder="1" applyAlignment="1">
      <alignment horizontal="right" vertical="top" wrapText="1"/>
    </xf>
    <xf numFmtId="0" fontId="7" fillId="2" borderId="1" xfId="9" applyNumberFormat="1" applyFont="1" applyFill="1" applyBorder="1" applyAlignment="1">
      <alignment vertical="top"/>
    </xf>
    <xf numFmtId="4" fontId="7" fillId="2" borderId="1" xfId="9" applyNumberFormat="1" applyFont="1" applyFill="1" applyBorder="1" applyAlignment="1">
      <alignment horizontal="right" vertical="top" wrapText="1"/>
    </xf>
    <xf numFmtId="0" fontId="7" fillId="2" borderId="13" xfId="9" applyNumberFormat="1" applyFont="1" applyFill="1" applyBorder="1" applyAlignment="1">
      <alignment horizontal="center" vertical="top"/>
    </xf>
    <xf numFmtId="4" fontId="7" fillId="2" borderId="14" xfId="9" applyNumberFormat="1" applyFont="1" applyFill="1" applyBorder="1" applyAlignment="1">
      <alignment horizontal="right" vertical="top" wrapText="1"/>
    </xf>
    <xf numFmtId="4" fontId="0" fillId="0" borderId="0" xfId="0" applyNumberFormat="1"/>
  </cellXfs>
  <cellStyles count="10">
    <cellStyle name="Обычный" xfId="0" builtinId="0"/>
    <cellStyle name="Обычный_Sheet1" xfId="1" xr:uid="{A4564DD8-8C81-414B-8A29-0E437CACDB57}"/>
    <cellStyle name="Обычный_АПК" xfId="2" xr:uid="{CA923CAB-F56D-44B8-BFC6-CC78BD2E0823}"/>
    <cellStyle name="Обычный_БигБег" xfId="5" xr:uid="{6DCC7181-6572-42FB-A5DB-3B800093018A}"/>
    <cellStyle name="Обычный_Глобине-2" xfId="3" xr:uid="{E0CD87C8-BC85-4AC6-BCE6-804712F4D7C4}"/>
    <cellStyle name="Обычный_Пожежений резервуар" xfId="4" xr:uid="{FE41241D-652B-4A76-B2C4-02F0720185A3}"/>
    <cellStyle name="Обычный_Соевая меляса" xfId="6" xr:uid="{CE35F45F-E5BC-4059-B6E7-0A4F5A007283}"/>
    <cellStyle name="Обычный_СПК (Глобине)" xfId="7" xr:uid="{B5CE735F-5E71-4257-9DFF-6A8400CBA789}"/>
    <cellStyle name="Обычный_Транспортна галерея" xfId="8" xr:uid="{5924DD03-C374-48E7-BFFF-A312D2A9068F}"/>
    <cellStyle name="Обычный_Цех екстракції" xfId="9" xr:uid="{BF7D8078-B98B-4CEC-AA05-CCE1DE7948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tabSelected="1" workbookViewId="0">
      <selection activeCell="C11" sqref="C11"/>
    </sheetView>
  </sheetViews>
  <sheetFormatPr defaultRowHeight="14.4" x14ac:dyDescent="0.3"/>
  <cols>
    <col min="1" max="1" width="4.21875" customWidth="1"/>
    <col min="2" max="2" width="35.88671875" style="1" bestFit="1" customWidth="1"/>
    <col min="3" max="3" width="12.6640625" customWidth="1"/>
  </cols>
  <sheetData>
    <row r="2" spans="2:3" x14ac:dyDescent="0.3">
      <c r="B2" s="2" t="s">
        <v>0</v>
      </c>
      <c r="C2" s="3">
        <f>АПК!J14*1.2</f>
        <v>5667.42</v>
      </c>
    </row>
    <row r="3" spans="2:3" x14ac:dyDescent="0.3">
      <c r="B3" s="5" t="s">
        <v>1</v>
      </c>
      <c r="C3" s="3">
        <f>'Генплан митний склад'!J8</f>
        <v>0</v>
      </c>
    </row>
    <row r="4" spans="2:3" x14ac:dyDescent="0.3">
      <c r="B4" s="2" t="s">
        <v>2</v>
      </c>
      <c r="C4" s="3">
        <f>'Глобине-2'!J117*1.2</f>
        <v>21038.16</v>
      </c>
    </row>
    <row r="5" spans="2:3" x14ac:dyDescent="0.3">
      <c r="B5" s="2" t="s">
        <v>3</v>
      </c>
      <c r="C5" s="3">
        <f>'Пожежений резервуар'!J7*1.2</f>
        <v>1752.336</v>
      </c>
    </row>
    <row r="6" spans="2:3" x14ac:dyDescent="0.3">
      <c r="B6" s="5" t="s">
        <v>4</v>
      </c>
      <c r="C6" s="3">
        <f>БигБег!J12*1.2</f>
        <v>4483.7159999999994</v>
      </c>
    </row>
    <row r="7" spans="2:3" x14ac:dyDescent="0.3">
      <c r="B7" s="2" t="s">
        <v>5</v>
      </c>
      <c r="C7" s="3">
        <f>'Соевая меляса'!J15</f>
        <v>0</v>
      </c>
    </row>
    <row r="8" spans="2:3" x14ac:dyDescent="0.3">
      <c r="B8" s="2" t="s">
        <v>6</v>
      </c>
      <c r="C8" s="3">
        <f>'СПК (Глобине)'!J72*1.2</f>
        <v>130576.97999999998</v>
      </c>
    </row>
    <row r="9" spans="2:3" x14ac:dyDescent="0.3">
      <c r="B9" s="5" t="s">
        <v>7</v>
      </c>
      <c r="C9" s="3">
        <f>'Транспортна галерея'!J9*1.2</f>
        <v>1170.4319999999998</v>
      </c>
    </row>
    <row r="10" spans="2:3" x14ac:dyDescent="0.3">
      <c r="B10" s="5" t="s">
        <v>8</v>
      </c>
      <c r="C10" s="3">
        <f>'Цех екстракції '!J77*1.2</f>
        <v>72049.656000000003</v>
      </c>
    </row>
    <row r="11" spans="2:3" x14ac:dyDescent="0.3">
      <c r="C11" s="4">
        <f>SUM(C2:C10)</f>
        <v>236738.69999999995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B32C-B0CE-4E0F-8145-E17A3DB89EA1}">
  <sheetPr filterMode="1"/>
  <dimension ref="A1:L14"/>
  <sheetViews>
    <sheetView workbookViewId="0">
      <selection activeCell="J14" sqref="J14"/>
    </sheetView>
  </sheetViews>
  <sheetFormatPr defaultRowHeight="14.4" x14ac:dyDescent="0.3"/>
  <cols>
    <col min="2" max="4" width="26.5546875" customWidth="1"/>
  </cols>
  <sheetData>
    <row r="1" spans="1:12" x14ac:dyDescent="0.3">
      <c r="A1" s="6" t="s">
        <v>9</v>
      </c>
      <c r="B1" s="7" t="s">
        <v>10</v>
      </c>
      <c r="C1" s="7" t="s">
        <v>11</v>
      </c>
      <c r="D1" s="8" t="s">
        <v>12</v>
      </c>
      <c r="E1" s="9" t="s">
        <v>13</v>
      </c>
      <c r="F1" s="9"/>
      <c r="G1" s="9"/>
      <c r="H1" s="10" t="s">
        <v>14</v>
      </c>
      <c r="I1" s="10"/>
      <c r="J1" s="10"/>
      <c r="K1" s="7" t="s">
        <v>15</v>
      </c>
      <c r="L1" s="7"/>
    </row>
    <row r="2" spans="1:12" hidden="1" x14ac:dyDescent="0.3">
      <c r="A2" s="11"/>
      <c r="B2" s="12"/>
      <c r="C2" s="12"/>
      <c r="D2" s="13"/>
      <c r="E2" s="14" t="s">
        <v>16</v>
      </c>
      <c r="F2" s="15"/>
      <c r="G2" s="15"/>
      <c r="H2" s="16" t="s">
        <v>16</v>
      </c>
      <c r="I2" s="17"/>
      <c r="J2" s="17"/>
      <c r="K2" s="11"/>
      <c r="L2" s="18"/>
    </row>
    <row r="3" spans="1:12" ht="61.2" hidden="1" x14ac:dyDescent="0.3">
      <c r="A3" s="19" t="s">
        <v>19</v>
      </c>
      <c r="B3" s="20" t="s">
        <v>20</v>
      </c>
      <c r="C3" s="20" t="s">
        <v>21</v>
      </c>
      <c r="D3" s="20" t="s">
        <v>22</v>
      </c>
      <c r="E3" s="21" t="s">
        <v>23</v>
      </c>
      <c r="F3" s="22">
        <v>367.5</v>
      </c>
      <c r="G3" s="22"/>
      <c r="H3" s="21" t="s">
        <v>23</v>
      </c>
      <c r="I3" s="23" t="s">
        <v>24</v>
      </c>
      <c r="J3" s="23"/>
      <c r="K3" s="24" t="s">
        <v>18</v>
      </c>
      <c r="L3" s="25">
        <v>8220.5</v>
      </c>
    </row>
    <row r="4" spans="1:12" ht="51" hidden="1" x14ac:dyDescent="0.3">
      <c r="A4" s="19" t="s">
        <v>19</v>
      </c>
      <c r="B4" s="20" t="s">
        <v>20</v>
      </c>
      <c r="C4" s="20" t="s">
        <v>25</v>
      </c>
      <c r="D4" s="20" t="s">
        <v>26</v>
      </c>
      <c r="E4" s="21" t="s">
        <v>23</v>
      </c>
      <c r="F4" s="22">
        <v>462.75</v>
      </c>
      <c r="G4" s="22"/>
      <c r="H4" s="21" t="s">
        <v>23</v>
      </c>
      <c r="I4" s="23" t="s">
        <v>24</v>
      </c>
      <c r="J4" s="23"/>
      <c r="K4" s="24" t="s">
        <v>18</v>
      </c>
      <c r="L4" s="25">
        <v>8683.25</v>
      </c>
    </row>
    <row r="5" spans="1:12" ht="51" hidden="1" x14ac:dyDescent="0.3">
      <c r="A5" s="19" t="s">
        <v>27</v>
      </c>
      <c r="B5" s="20" t="s">
        <v>28</v>
      </c>
      <c r="C5" s="20" t="s">
        <v>29</v>
      </c>
      <c r="D5" s="20" t="s">
        <v>30</v>
      </c>
      <c r="E5" s="21" t="s">
        <v>23</v>
      </c>
      <c r="F5" s="22">
        <v>209.6</v>
      </c>
      <c r="G5" s="22"/>
      <c r="H5" s="21" t="s">
        <v>31</v>
      </c>
      <c r="I5" s="23" t="s">
        <v>24</v>
      </c>
      <c r="J5" s="23"/>
      <c r="K5" s="24" t="s">
        <v>18</v>
      </c>
      <c r="L5" s="25">
        <v>8892.85</v>
      </c>
    </row>
    <row r="6" spans="1:12" ht="61.2" x14ac:dyDescent="0.3">
      <c r="A6" s="19" t="s">
        <v>32</v>
      </c>
      <c r="B6" s="20" t="s">
        <v>33</v>
      </c>
      <c r="C6" s="20" t="s">
        <v>34</v>
      </c>
      <c r="D6" s="20" t="s">
        <v>21</v>
      </c>
      <c r="E6" s="21" t="s">
        <v>35</v>
      </c>
      <c r="F6" s="26" t="s">
        <v>24</v>
      </c>
      <c r="G6" s="26"/>
      <c r="H6" s="21" t="s">
        <v>23</v>
      </c>
      <c r="I6" s="27">
        <v>367.5</v>
      </c>
      <c r="J6" s="27"/>
      <c r="K6" s="24" t="s">
        <v>18</v>
      </c>
      <c r="L6" s="25">
        <v>8525.35</v>
      </c>
    </row>
    <row r="7" spans="1:12" ht="51" x14ac:dyDescent="0.3">
      <c r="A7" s="19" t="s">
        <v>32</v>
      </c>
      <c r="B7" s="20" t="s">
        <v>33</v>
      </c>
      <c r="C7" s="20" t="s">
        <v>34</v>
      </c>
      <c r="D7" s="20" t="s">
        <v>25</v>
      </c>
      <c r="E7" s="21" t="s">
        <v>35</v>
      </c>
      <c r="F7" s="26" t="s">
        <v>24</v>
      </c>
      <c r="G7" s="26"/>
      <c r="H7" s="21" t="s">
        <v>23</v>
      </c>
      <c r="I7" s="27">
        <v>462.75</v>
      </c>
      <c r="J7" s="27"/>
      <c r="K7" s="24" t="s">
        <v>18</v>
      </c>
      <c r="L7" s="25">
        <v>8062.6</v>
      </c>
    </row>
    <row r="8" spans="1:12" ht="51" x14ac:dyDescent="0.3">
      <c r="A8" s="19" t="s">
        <v>32</v>
      </c>
      <c r="B8" s="20" t="s">
        <v>33</v>
      </c>
      <c r="C8" s="20" t="s">
        <v>34</v>
      </c>
      <c r="D8" s="20" t="s">
        <v>36</v>
      </c>
      <c r="E8" s="21" t="s">
        <v>35</v>
      </c>
      <c r="F8" s="26" t="s">
        <v>24</v>
      </c>
      <c r="G8" s="26"/>
      <c r="H8" s="21" t="s">
        <v>23</v>
      </c>
      <c r="I8" s="28">
        <v>1410</v>
      </c>
      <c r="J8" s="28"/>
      <c r="K8" s="24" t="s">
        <v>18</v>
      </c>
      <c r="L8" s="25">
        <v>6652.6</v>
      </c>
    </row>
    <row r="9" spans="1:12" ht="51" x14ac:dyDescent="0.3">
      <c r="A9" s="19" t="s">
        <v>32</v>
      </c>
      <c r="B9" s="20" t="s">
        <v>33</v>
      </c>
      <c r="C9" s="20" t="s">
        <v>34</v>
      </c>
      <c r="D9" s="20" t="s">
        <v>37</v>
      </c>
      <c r="E9" s="21" t="s">
        <v>35</v>
      </c>
      <c r="F9" s="26" t="s">
        <v>24</v>
      </c>
      <c r="G9" s="26"/>
      <c r="H9" s="21" t="s">
        <v>23</v>
      </c>
      <c r="I9" s="28">
        <v>1205</v>
      </c>
      <c r="J9" s="28"/>
      <c r="K9" s="24" t="s">
        <v>18</v>
      </c>
      <c r="L9" s="25">
        <v>5447.6</v>
      </c>
    </row>
    <row r="10" spans="1:12" ht="51" x14ac:dyDescent="0.3">
      <c r="A10" s="19" t="s">
        <v>32</v>
      </c>
      <c r="B10" s="20" t="s">
        <v>38</v>
      </c>
      <c r="C10" s="20" t="s">
        <v>34</v>
      </c>
      <c r="D10" s="20" t="s">
        <v>29</v>
      </c>
      <c r="E10" s="21" t="s">
        <v>35</v>
      </c>
      <c r="F10" s="26" t="s">
        <v>24</v>
      </c>
      <c r="G10" s="26"/>
      <c r="H10" s="21" t="s">
        <v>23</v>
      </c>
      <c r="I10" s="27">
        <v>209.6</v>
      </c>
      <c r="J10" s="27"/>
      <c r="K10" s="24" t="s">
        <v>18</v>
      </c>
      <c r="L10" s="25">
        <v>5238</v>
      </c>
    </row>
    <row r="11" spans="1:12" ht="51" x14ac:dyDescent="0.3">
      <c r="A11" s="19" t="s">
        <v>32</v>
      </c>
      <c r="B11" s="20" t="s">
        <v>38</v>
      </c>
      <c r="C11" s="20" t="s">
        <v>34</v>
      </c>
      <c r="D11" s="20" t="s">
        <v>39</v>
      </c>
      <c r="E11" s="21" t="s">
        <v>35</v>
      </c>
      <c r="F11" s="26" t="s">
        <v>24</v>
      </c>
      <c r="G11" s="26"/>
      <c r="H11" s="21" t="s">
        <v>23</v>
      </c>
      <c r="I11" s="28">
        <v>1068</v>
      </c>
      <c r="J11" s="28"/>
      <c r="K11" s="24" t="s">
        <v>18</v>
      </c>
      <c r="L11" s="25">
        <v>4170</v>
      </c>
    </row>
    <row r="12" spans="1:12" hidden="1" x14ac:dyDescent="0.3">
      <c r="A12" s="29" t="s">
        <v>40</v>
      </c>
      <c r="B12" s="29"/>
      <c r="C12" s="29"/>
      <c r="D12" s="29"/>
      <c r="E12" s="30">
        <v>1039.8499999999999</v>
      </c>
      <c r="F12" s="30"/>
      <c r="G12" s="30"/>
      <c r="H12" s="30">
        <v>4722.8500000000004</v>
      </c>
      <c r="I12" s="30"/>
      <c r="J12" s="30"/>
      <c r="K12" s="31" t="s">
        <v>18</v>
      </c>
      <c r="L12" s="32">
        <v>4170</v>
      </c>
    </row>
    <row r="14" spans="1:12" x14ac:dyDescent="0.3">
      <c r="J14" s="236">
        <f>SUBTOTAL(9,I6:J11)</f>
        <v>4722.8500000000004</v>
      </c>
    </row>
  </sheetData>
  <autoFilter ref="A1:L12" xr:uid="{1858BB83-143D-456A-A80C-B8F29DD0A5D6}">
    <filterColumn colId="1">
      <filters>
        <filter val="Передача малоцінних активів в експлуатацію ІБ00-000237 від 29.05.2025 12:29:24_x000a_Списание стоимости малоценных активов"/>
        <filter val="Передача малоцінних активів в експлуатацію ІБ00-000258 від 29.05.2025 21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30">
    <mergeCell ref="F10:G10"/>
    <mergeCell ref="I10:J10"/>
    <mergeCell ref="F11:G11"/>
    <mergeCell ref="I11:J11"/>
    <mergeCell ref="A12:D12"/>
    <mergeCell ref="E12:G12"/>
    <mergeCell ref="H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2711-9E7A-4374-BDE2-7E50948527E4}">
  <dimension ref="A1:L8"/>
  <sheetViews>
    <sheetView workbookViewId="0">
      <selection activeCell="J9" sqref="J9"/>
    </sheetView>
  </sheetViews>
  <sheetFormatPr defaultRowHeight="14.4" x14ac:dyDescent="0.3"/>
  <cols>
    <col min="2" max="4" width="16.77734375" customWidth="1"/>
  </cols>
  <sheetData>
    <row r="1" spans="1:12" x14ac:dyDescent="0.3">
      <c r="A1" s="33" t="s">
        <v>9</v>
      </c>
      <c r="B1" s="34" t="s">
        <v>10</v>
      </c>
      <c r="C1" s="34" t="s">
        <v>11</v>
      </c>
      <c r="D1" s="35" t="s">
        <v>12</v>
      </c>
      <c r="E1" s="36" t="s">
        <v>13</v>
      </c>
      <c r="F1" s="36"/>
      <c r="G1" s="36"/>
      <c r="H1" s="37" t="s">
        <v>14</v>
      </c>
      <c r="I1" s="37"/>
      <c r="J1" s="37"/>
      <c r="K1" s="34" t="s">
        <v>15</v>
      </c>
      <c r="L1" s="34"/>
    </row>
    <row r="2" spans="1:12" x14ac:dyDescent="0.3">
      <c r="A2" s="38"/>
      <c r="B2" s="39"/>
      <c r="C2" s="39"/>
      <c r="D2" s="40"/>
      <c r="E2" s="41" t="s">
        <v>16</v>
      </c>
      <c r="F2" s="42"/>
      <c r="G2" s="42"/>
      <c r="H2" s="43" t="s">
        <v>16</v>
      </c>
      <c r="I2" s="44"/>
      <c r="J2" s="44"/>
      <c r="K2" s="38"/>
      <c r="L2" s="45"/>
    </row>
    <row r="3" spans="1:12" x14ac:dyDescent="0.3">
      <c r="A3" s="46" t="s">
        <v>17</v>
      </c>
      <c r="B3" s="46"/>
      <c r="C3" s="46"/>
      <c r="D3" s="46"/>
      <c r="E3" s="47"/>
      <c r="F3" s="47"/>
      <c r="G3" s="47"/>
      <c r="H3" s="47"/>
      <c r="I3" s="47"/>
      <c r="J3" s="47"/>
      <c r="K3" s="48"/>
      <c r="L3" s="49">
        <v>0</v>
      </c>
    </row>
    <row r="4" spans="1:12" ht="81.599999999999994" x14ac:dyDescent="0.3">
      <c r="A4" s="50" t="s">
        <v>19</v>
      </c>
      <c r="B4" s="51" t="s">
        <v>41</v>
      </c>
      <c r="C4" s="51" t="s">
        <v>42</v>
      </c>
      <c r="D4" s="51" t="s">
        <v>43</v>
      </c>
      <c r="E4" s="52" t="s">
        <v>23</v>
      </c>
      <c r="F4" s="53">
        <v>1216.9000000000001</v>
      </c>
      <c r="G4" s="53"/>
      <c r="H4" s="52" t="s">
        <v>23</v>
      </c>
      <c r="I4" s="54" t="s">
        <v>24</v>
      </c>
      <c r="J4" s="54"/>
      <c r="K4" s="55" t="s">
        <v>18</v>
      </c>
      <c r="L4" s="56">
        <v>1216.9000000000001</v>
      </c>
    </row>
    <row r="5" spans="1:12" ht="81.599999999999994" x14ac:dyDescent="0.3">
      <c r="A5" s="50" t="s">
        <v>32</v>
      </c>
      <c r="B5" s="51" t="s">
        <v>44</v>
      </c>
      <c r="C5" s="51" t="s">
        <v>45</v>
      </c>
      <c r="D5" s="51" t="s">
        <v>42</v>
      </c>
      <c r="E5" s="52" t="s">
        <v>23</v>
      </c>
      <c r="F5" s="57" t="s">
        <v>24</v>
      </c>
      <c r="G5" s="57"/>
      <c r="H5" s="52" t="s">
        <v>23</v>
      </c>
      <c r="I5" s="58">
        <v>1216.9000000000001</v>
      </c>
      <c r="J5" s="58"/>
      <c r="K5" s="55"/>
      <c r="L5" s="59"/>
    </row>
    <row r="6" spans="1:12" x14ac:dyDescent="0.3">
      <c r="A6" s="60" t="s">
        <v>40</v>
      </c>
      <c r="B6" s="60"/>
      <c r="C6" s="60"/>
      <c r="D6" s="60"/>
      <c r="E6" s="61">
        <v>1216.9000000000001</v>
      </c>
      <c r="F6" s="61"/>
      <c r="G6" s="61"/>
      <c r="H6" s="61">
        <v>1216.9000000000001</v>
      </c>
      <c r="I6" s="61"/>
      <c r="J6" s="61"/>
      <c r="K6" s="62"/>
      <c r="L6" s="63">
        <v>0</v>
      </c>
    </row>
    <row r="8" spans="1:12" x14ac:dyDescent="0.3">
      <c r="J8">
        <v>0</v>
      </c>
    </row>
  </sheetData>
  <mergeCells count="18">
    <mergeCell ref="F5:G5"/>
    <mergeCell ref="I5:J5"/>
    <mergeCell ref="A6:D6"/>
    <mergeCell ref="E6:G6"/>
    <mergeCell ref="H6:J6"/>
    <mergeCell ref="K1:L2"/>
    <mergeCell ref="F2:G2"/>
    <mergeCell ref="I2:J2"/>
    <mergeCell ref="A3:D3"/>
    <mergeCell ref="E3:J3"/>
    <mergeCell ref="F4:G4"/>
    <mergeCell ref="I4:J4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78E3-3104-4471-9CF0-469FC225C6CD}">
  <sheetPr filterMode="1"/>
  <dimension ref="A1:L117"/>
  <sheetViews>
    <sheetView topLeftCell="A111" workbookViewId="0">
      <selection activeCell="J117" sqref="J117"/>
    </sheetView>
  </sheetViews>
  <sheetFormatPr defaultRowHeight="14.4" x14ac:dyDescent="0.3"/>
  <cols>
    <col min="2" max="4" width="16.77734375" customWidth="1"/>
  </cols>
  <sheetData>
    <row r="1" spans="1:12" x14ac:dyDescent="0.3">
      <c r="A1" s="33" t="s">
        <v>9</v>
      </c>
      <c r="B1" s="34" t="s">
        <v>10</v>
      </c>
      <c r="C1" s="34" t="s">
        <v>11</v>
      </c>
      <c r="D1" s="35" t="s">
        <v>12</v>
      </c>
      <c r="E1" s="36" t="s">
        <v>13</v>
      </c>
      <c r="F1" s="36"/>
      <c r="G1" s="36"/>
      <c r="H1" s="37" t="s">
        <v>14</v>
      </c>
      <c r="I1" s="37"/>
      <c r="J1" s="37"/>
      <c r="K1" s="34" t="s">
        <v>15</v>
      </c>
      <c r="L1" s="34"/>
    </row>
    <row r="2" spans="1:12" hidden="1" x14ac:dyDescent="0.3">
      <c r="A2" s="38"/>
      <c r="B2" s="39"/>
      <c r="C2" s="39"/>
      <c r="D2" s="40"/>
      <c r="E2" s="41" t="s">
        <v>16</v>
      </c>
      <c r="F2" s="42"/>
      <c r="G2" s="42"/>
      <c r="H2" s="43" t="s">
        <v>16</v>
      </c>
      <c r="I2" s="44"/>
      <c r="J2" s="44"/>
      <c r="K2" s="38"/>
      <c r="L2" s="45"/>
    </row>
    <row r="3" spans="1:12" ht="91.8" hidden="1" x14ac:dyDescent="0.3">
      <c r="A3" s="50" t="s">
        <v>19</v>
      </c>
      <c r="B3" s="51" t="s">
        <v>46</v>
      </c>
      <c r="C3" s="51" t="s">
        <v>43</v>
      </c>
      <c r="D3" s="51" t="s">
        <v>47</v>
      </c>
      <c r="E3" s="52" t="s">
        <v>23</v>
      </c>
      <c r="F3" s="53">
        <v>1216.9000000000001</v>
      </c>
      <c r="G3" s="53"/>
      <c r="H3" s="52" t="s">
        <v>31</v>
      </c>
      <c r="I3" s="54" t="s">
        <v>24</v>
      </c>
      <c r="J3" s="54"/>
      <c r="K3" s="55" t="s">
        <v>18</v>
      </c>
      <c r="L3" s="56">
        <v>3190.5</v>
      </c>
    </row>
    <row r="4" spans="1:12" ht="91.8" hidden="1" x14ac:dyDescent="0.3">
      <c r="A4" s="50" t="s">
        <v>19</v>
      </c>
      <c r="B4" s="51" t="s">
        <v>46</v>
      </c>
      <c r="C4" s="51" t="s">
        <v>22</v>
      </c>
      <c r="D4" s="51" t="s">
        <v>47</v>
      </c>
      <c r="E4" s="52" t="s">
        <v>23</v>
      </c>
      <c r="F4" s="53">
        <v>1470</v>
      </c>
      <c r="G4" s="53"/>
      <c r="H4" s="52" t="s">
        <v>31</v>
      </c>
      <c r="I4" s="54" t="s">
        <v>24</v>
      </c>
      <c r="J4" s="54"/>
      <c r="K4" s="55" t="s">
        <v>18</v>
      </c>
      <c r="L4" s="56">
        <v>4660.5</v>
      </c>
    </row>
    <row r="5" spans="1:12" ht="91.8" hidden="1" x14ac:dyDescent="0.3">
      <c r="A5" s="50" t="s">
        <v>19</v>
      </c>
      <c r="B5" s="51" t="s">
        <v>46</v>
      </c>
      <c r="C5" s="51" t="s">
        <v>48</v>
      </c>
      <c r="D5" s="51" t="s">
        <v>47</v>
      </c>
      <c r="E5" s="52" t="s">
        <v>23</v>
      </c>
      <c r="F5" s="64">
        <v>334</v>
      </c>
      <c r="G5" s="64"/>
      <c r="H5" s="52" t="s">
        <v>31</v>
      </c>
      <c r="I5" s="54" t="s">
        <v>24</v>
      </c>
      <c r="J5" s="54"/>
      <c r="K5" s="55" t="s">
        <v>18</v>
      </c>
      <c r="L5" s="56">
        <v>4994.5</v>
      </c>
    </row>
    <row r="6" spans="1:12" ht="91.8" hidden="1" x14ac:dyDescent="0.3">
      <c r="A6" s="50" t="s">
        <v>19</v>
      </c>
      <c r="B6" s="51" t="s">
        <v>46</v>
      </c>
      <c r="C6" s="51" t="s">
        <v>49</v>
      </c>
      <c r="D6" s="51" t="s">
        <v>47</v>
      </c>
      <c r="E6" s="52" t="s">
        <v>23</v>
      </c>
      <c r="F6" s="53">
        <v>1917</v>
      </c>
      <c r="G6" s="53"/>
      <c r="H6" s="52" t="s">
        <v>31</v>
      </c>
      <c r="I6" s="54" t="s">
        <v>24</v>
      </c>
      <c r="J6" s="54"/>
      <c r="K6" s="55" t="s">
        <v>18</v>
      </c>
      <c r="L6" s="56">
        <v>6911.5</v>
      </c>
    </row>
    <row r="7" spans="1:12" ht="91.8" hidden="1" x14ac:dyDescent="0.3">
      <c r="A7" s="50" t="s">
        <v>19</v>
      </c>
      <c r="B7" s="51" t="s">
        <v>46</v>
      </c>
      <c r="C7" s="51" t="s">
        <v>50</v>
      </c>
      <c r="D7" s="51" t="s">
        <v>47</v>
      </c>
      <c r="E7" s="52" t="s">
        <v>23</v>
      </c>
      <c r="F7" s="53">
        <v>2524</v>
      </c>
      <c r="G7" s="53"/>
      <c r="H7" s="52" t="s">
        <v>31</v>
      </c>
      <c r="I7" s="54" t="s">
        <v>24</v>
      </c>
      <c r="J7" s="54"/>
      <c r="K7" s="55" t="s">
        <v>18</v>
      </c>
      <c r="L7" s="56">
        <v>9435.5</v>
      </c>
    </row>
    <row r="8" spans="1:12" ht="91.8" hidden="1" x14ac:dyDescent="0.3">
      <c r="A8" s="50" t="s">
        <v>19</v>
      </c>
      <c r="B8" s="51" t="s">
        <v>46</v>
      </c>
      <c r="C8" s="51" t="s">
        <v>26</v>
      </c>
      <c r="D8" s="51" t="s">
        <v>47</v>
      </c>
      <c r="E8" s="52" t="s">
        <v>23</v>
      </c>
      <c r="F8" s="64">
        <v>462.75</v>
      </c>
      <c r="G8" s="64"/>
      <c r="H8" s="52" t="s">
        <v>31</v>
      </c>
      <c r="I8" s="54" t="s">
        <v>24</v>
      </c>
      <c r="J8" s="54"/>
      <c r="K8" s="55" t="s">
        <v>18</v>
      </c>
      <c r="L8" s="56">
        <v>9898.25</v>
      </c>
    </row>
    <row r="9" spans="1:12" ht="81.599999999999994" hidden="1" x14ac:dyDescent="0.3">
      <c r="A9" s="50" t="s">
        <v>19</v>
      </c>
      <c r="B9" s="51" t="s">
        <v>41</v>
      </c>
      <c r="C9" s="51" t="s">
        <v>42</v>
      </c>
      <c r="D9" s="51" t="s">
        <v>43</v>
      </c>
      <c r="E9" s="52" t="s">
        <v>23</v>
      </c>
      <c r="F9" s="57" t="s">
        <v>24</v>
      </c>
      <c r="G9" s="57"/>
      <c r="H9" s="52" t="s">
        <v>23</v>
      </c>
      <c r="I9" s="58">
        <v>1216.9000000000001</v>
      </c>
      <c r="J9" s="58"/>
      <c r="K9" s="55" t="s">
        <v>18</v>
      </c>
      <c r="L9" s="56">
        <v>8681.35</v>
      </c>
    </row>
    <row r="10" spans="1:12" ht="81.599999999999994" hidden="1" x14ac:dyDescent="0.3">
      <c r="A10" s="50" t="s">
        <v>19</v>
      </c>
      <c r="B10" s="51" t="s">
        <v>51</v>
      </c>
      <c r="C10" s="51" t="s">
        <v>52</v>
      </c>
      <c r="D10" s="51" t="s">
        <v>22</v>
      </c>
      <c r="E10" s="52" t="s">
        <v>23</v>
      </c>
      <c r="F10" s="57" t="s">
        <v>24</v>
      </c>
      <c r="G10" s="57"/>
      <c r="H10" s="52" t="s">
        <v>23</v>
      </c>
      <c r="I10" s="65">
        <v>367.5</v>
      </c>
      <c r="J10" s="65"/>
      <c r="K10" s="55" t="s">
        <v>18</v>
      </c>
      <c r="L10" s="56">
        <v>8313.85</v>
      </c>
    </row>
    <row r="11" spans="1:12" ht="91.8" hidden="1" x14ac:dyDescent="0.3">
      <c r="A11" s="50" t="s">
        <v>19</v>
      </c>
      <c r="B11" s="51" t="s">
        <v>53</v>
      </c>
      <c r="C11" s="51" t="s">
        <v>54</v>
      </c>
      <c r="D11" s="51" t="s">
        <v>22</v>
      </c>
      <c r="E11" s="52" t="s">
        <v>23</v>
      </c>
      <c r="F11" s="57" t="s">
        <v>24</v>
      </c>
      <c r="G11" s="57"/>
      <c r="H11" s="52" t="s">
        <v>23</v>
      </c>
      <c r="I11" s="65">
        <v>367.5</v>
      </c>
      <c r="J11" s="65"/>
      <c r="K11" s="55" t="s">
        <v>18</v>
      </c>
      <c r="L11" s="56">
        <v>7946.35</v>
      </c>
    </row>
    <row r="12" spans="1:12" ht="102" hidden="1" x14ac:dyDescent="0.3">
      <c r="A12" s="50" t="s">
        <v>19</v>
      </c>
      <c r="B12" s="51" t="s">
        <v>55</v>
      </c>
      <c r="C12" s="51" t="s">
        <v>56</v>
      </c>
      <c r="D12" s="51" t="s">
        <v>22</v>
      </c>
      <c r="E12" s="52" t="s">
        <v>23</v>
      </c>
      <c r="F12" s="57" t="s">
        <v>24</v>
      </c>
      <c r="G12" s="57"/>
      <c r="H12" s="52" t="s">
        <v>23</v>
      </c>
      <c r="I12" s="65">
        <v>367.5</v>
      </c>
      <c r="J12" s="65"/>
      <c r="K12" s="55" t="s">
        <v>18</v>
      </c>
      <c r="L12" s="56">
        <v>7578.85</v>
      </c>
    </row>
    <row r="13" spans="1:12" ht="91.8" hidden="1" x14ac:dyDescent="0.3">
      <c r="A13" s="50" t="s">
        <v>19</v>
      </c>
      <c r="B13" s="51" t="s">
        <v>55</v>
      </c>
      <c r="C13" s="51" t="s">
        <v>57</v>
      </c>
      <c r="D13" s="51" t="s">
        <v>50</v>
      </c>
      <c r="E13" s="52" t="s">
        <v>23</v>
      </c>
      <c r="F13" s="57" t="s">
        <v>24</v>
      </c>
      <c r="G13" s="57"/>
      <c r="H13" s="52" t="s">
        <v>23</v>
      </c>
      <c r="I13" s="58">
        <v>2524</v>
      </c>
      <c r="J13" s="58"/>
      <c r="K13" s="55" t="s">
        <v>18</v>
      </c>
      <c r="L13" s="56">
        <v>5054.8500000000004</v>
      </c>
    </row>
    <row r="14" spans="1:12" ht="81.599999999999994" hidden="1" x14ac:dyDescent="0.3">
      <c r="A14" s="50" t="s">
        <v>19</v>
      </c>
      <c r="B14" s="51" t="s">
        <v>20</v>
      </c>
      <c r="C14" s="51" t="s">
        <v>21</v>
      </c>
      <c r="D14" s="51" t="s">
        <v>22</v>
      </c>
      <c r="E14" s="52" t="s">
        <v>23</v>
      </c>
      <c r="F14" s="57" t="s">
        <v>24</v>
      </c>
      <c r="G14" s="57"/>
      <c r="H14" s="52" t="s">
        <v>23</v>
      </c>
      <c r="I14" s="65">
        <v>367.5</v>
      </c>
      <c r="J14" s="65"/>
      <c r="K14" s="55" t="s">
        <v>18</v>
      </c>
      <c r="L14" s="56">
        <v>4687.3500000000004</v>
      </c>
    </row>
    <row r="15" spans="1:12" ht="71.400000000000006" hidden="1" x14ac:dyDescent="0.3">
      <c r="A15" s="50" t="s">
        <v>19</v>
      </c>
      <c r="B15" s="51" t="s">
        <v>20</v>
      </c>
      <c r="C15" s="51" t="s">
        <v>25</v>
      </c>
      <c r="D15" s="51" t="s">
        <v>26</v>
      </c>
      <c r="E15" s="52" t="s">
        <v>23</v>
      </c>
      <c r="F15" s="57" t="s">
        <v>24</v>
      </c>
      <c r="G15" s="57"/>
      <c r="H15" s="52" t="s">
        <v>23</v>
      </c>
      <c r="I15" s="65">
        <v>462.75</v>
      </c>
      <c r="J15" s="65"/>
      <c r="K15" s="55" t="s">
        <v>18</v>
      </c>
      <c r="L15" s="56">
        <v>4224.6000000000004</v>
      </c>
    </row>
    <row r="16" spans="1:12" ht="91.8" hidden="1" x14ac:dyDescent="0.3">
      <c r="A16" s="50" t="s">
        <v>58</v>
      </c>
      <c r="B16" s="51" t="s">
        <v>59</v>
      </c>
      <c r="C16" s="51" t="s">
        <v>60</v>
      </c>
      <c r="D16" s="51" t="s">
        <v>30</v>
      </c>
      <c r="E16" s="52" t="s">
        <v>23</v>
      </c>
      <c r="F16" s="64">
        <v>229.25</v>
      </c>
      <c r="G16" s="64"/>
      <c r="H16" s="52" t="s">
        <v>31</v>
      </c>
      <c r="I16" s="54" t="s">
        <v>24</v>
      </c>
      <c r="J16" s="54"/>
      <c r="K16" s="55" t="s">
        <v>18</v>
      </c>
      <c r="L16" s="56">
        <v>4453.8500000000004</v>
      </c>
    </row>
    <row r="17" spans="1:12" ht="91.8" hidden="1" x14ac:dyDescent="0.3">
      <c r="A17" s="50" t="s">
        <v>58</v>
      </c>
      <c r="B17" s="51" t="s">
        <v>59</v>
      </c>
      <c r="C17" s="51" t="s">
        <v>61</v>
      </c>
      <c r="D17" s="51" t="s">
        <v>30</v>
      </c>
      <c r="E17" s="52" t="s">
        <v>23</v>
      </c>
      <c r="F17" s="64">
        <v>580.04999999999995</v>
      </c>
      <c r="G17" s="64"/>
      <c r="H17" s="52" t="s">
        <v>31</v>
      </c>
      <c r="I17" s="54" t="s">
        <v>24</v>
      </c>
      <c r="J17" s="54"/>
      <c r="K17" s="55" t="s">
        <v>18</v>
      </c>
      <c r="L17" s="56">
        <v>5033.8999999999996</v>
      </c>
    </row>
    <row r="18" spans="1:12" ht="91.8" hidden="1" x14ac:dyDescent="0.3">
      <c r="A18" s="50" t="s">
        <v>58</v>
      </c>
      <c r="B18" s="51" t="s">
        <v>59</v>
      </c>
      <c r="C18" s="51" t="s">
        <v>62</v>
      </c>
      <c r="D18" s="51" t="s">
        <v>30</v>
      </c>
      <c r="E18" s="52" t="s">
        <v>23</v>
      </c>
      <c r="F18" s="64">
        <v>179.5</v>
      </c>
      <c r="G18" s="64"/>
      <c r="H18" s="52" t="s">
        <v>31</v>
      </c>
      <c r="I18" s="54" t="s">
        <v>24</v>
      </c>
      <c r="J18" s="54"/>
      <c r="K18" s="55" t="s">
        <v>18</v>
      </c>
      <c r="L18" s="56">
        <v>5213.3999999999996</v>
      </c>
    </row>
    <row r="19" spans="1:12" ht="91.8" hidden="1" x14ac:dyDescent="0.3">
      <c r="A19" s="50" t="s">
        <v>58</v>
      </c>
      <c r="B19" s="51" t="s">
        <v>59</v>
      </c>
      <c r="C19" s="51" t="s">
        <v>63</v>
      </c>
      <c r="D19" s="51" t="s">
        <v>30</v>
      </c>
      <c r="E19" s="52" t="s">
        <v>23</v>
      </c>
      <c r="F19" s="64">
        <v>186.5</v>
      </c>
      <c r="G19" s="64"/>
      <c r="H19" s="52" t="s">
        <v>31</v>
      </c>
      <c r="I19" s="54" t="s">
        <v>24</v>
      </c>
      <c r="J19" s="54"/>
      <c r="K19" s="55" t="s">
        <v>18</v>
      </c>
      <c r="L19" s="56">
        <v>5399.9</v>
      </c>
    </row>
    <row r="20" spans="1:12" ht="91.8" hidden="1" x14ac:dyDescent="0.3">
      <c r="A20" s="50" t="s">
        <v>58</v>
      </c>
      <c r="B20" s="51" t="s">
        <v>59</v>
      </c>
      <c r="C20" s="51" t="s">
        <v>64</v>
      </c>
      <c r="D20" s="51" t="s">
        <v>30</v>
      </c>
      <c r="E20" s="52" t="s">
        <v>23</v>
      </c>
      <c r="F20" s="53">
        <v>1829</v>
      </c>
      <c r="G20" s="53"/>
      <c r="H20" s="52" t="s">
        <v>31</v>
      </c>
      <c r="I20" s="54" t="s">
        <v>24</v>
      </c>
      <c r="J20" s="54"/>
      <c r="K20" s="55" t="s">
        <v>18</v>
      </c>
      <c r="L20" s="56">
        <v>7228.9</v>
      </c>
    </row>
    <row r="21" spans="1:12" ht="91.8" hidden="1" x14ac:dyDescent="0.3">
      <c r="A21" s="50" t="s">
        <v>58</v>
      </c>
      <c r="B21" s="51" t="s">
        <v>59</v>
      </c>
      <c r="C21" s="51" t="s">
        <v>65</v>
      </c>
      <c r="D21" s="51" t="s">
        <v>30</v>
      </c>
      <c r="E21" s="52" t="s">
        <v>23</v>
      </c>
      <c r="F21" s="64">
        <v>164.8</v>
      </c>
      <c r="G21" s="64"/>
      <c r="H21" s="52" t="s">
        <v>31</v>
      </c>
      <c r="I21" s="54" t="s">
        <v>24</v>
      </c>
      <c r="J21" s="54"/>
      <c r="K21" s="55" t="s">
        <v>18</v>
      </c>
      <c r="L21" s="56">
        <v>7393.7</v>
      </c>
    </row>
    <row r="22" spans="1:12" ht="91.8" hidden="1" x14ac:dyDescent="0.3">
      <c r="A22" s="50" t="s">
        <v>58</v>
      </c>
      <c r="B22" s="51" t="s">
        <v>59</v>
      </c>
      <c r="C22" s="51" t="s">
        <v>66</v>
      </c>
      <c r="D22" s="51" t="s">
        <v>30</v>
      </c>
      <c r="E22" s="52" t="s">
        <v>23</v>
      </c>
      <c r="F22" s="64">
        <v>168.25</v>
      </c>
      <c r="G22" s="64"/>
      <c r="H22" s="52" t="s">
        <v>31</v>
      </c>
      <c r="I22" s="54" t="s">
        <v>24</v>
      </c>
      <c r="J22" s="54"/>
      <c r="K22" s="55" t="s">
        <v>18</v>
      </c>
      <c r="L22" s="56">
        <v>7561.95</v>
      </c>
    </row>
    <row r="23" spans="1:12" ht="91.8" hidden="1" x14ac:dyDescent="0.3">
      <c r="A23" s="50" t="s">
        <v>58</v>
      </c>
      <c r="B23" s="51" t="s">
        <v>59</v>
      </c>
      <c r="C23" s="51" t="s">
        <v>67</v>
      </c>
      <c r="D23" s="51" t="s">
        <v>30</v>
      </c>
      <c r="E23" s="52" t="s">
        <v>23</v>
      </c>
      <c r="F23" s="53">
        <v>1049</v>
      </c>
      <c r="G23" s="53"/>
      <c r="H23" s="52" t="s">
        <v>31</v>
      </c>
      <c r="I23" s="54" t="s">
        <v>24</v>
      </c>
      <c r="J23" s="54"/>
      <c r="K23" s="55" t="s">
        <v>18</v>
      </c>
      <c r="L23" s="56">
        <v>8610.9500000000007</v>
      </c>
    </row>
    <row r="24" spans="1:12" ht="91.8" hidden="1" x14ac:dyDescent="0.3">
      <c r="A24" s="50" t="s">
        <v>58</v>
      </c>
      <c r="B24" s="51" t="s">
        <v>59</v>
      </c>
      <c r="C24" s="51" t="s">
        <v>68</v>
      </c>
      <c r="D24" s="51" t="s">
        <v>30</v>
      </c>
      <c r="E24" s="52" t="s">
        <v>23</v>
      </c>
      <c r="F24" s="53">
        <v>1117.5</v>
      </c>
      <c r="G24" s="53"/>
      <c r="H24" s="52" t="s">
        <v>31</v>
      </c>
      <c r="I24" s="54" t="s">
        <v>24</v>
      </c>
      <c r="J24" s="54"/>
      <c r="K24" s="55" t="s">
        <v>18</v>
      </c>
      <c r="L24" s="56">
        <v>9728.4500000000007</v>
      </c>
    </row>
    <row r="25" spans="1:12" ht="91.8" hidden="1" x14ac:dyDescent="0.3">
      <c r="A25" s="50" t="s">
        <v>58</v>
      </c>
      <c r="B25" s="51" t="s">
        <v>59</v>
      </c>
      <c r="C25" s="51" t="s">
        <v>69</v>
      </c>
      <c r="D25" s="51" t="s">
        <v>30</v>
      </c>
      <c r="E25" s="52" t="s">
        <v>23</v>
      </c>
      <c r="F25" s="64">
        <v>251</v>
      </c>
      <c r="G25" s="64"/>
      <c r="H25" s="52" t="s">
        <v>31</v>
      </c>
      <c r="I25" s="54" t="s">
        <v>24</v>
      </c>
      <c r="J25" s="54"/>
      <c r="K25" s="55" t="s">
        <v>18</v>
      </c>
      <c r="L25" s="56">
        <v>9979.4500000000007</v>
      </c>
    </row>
    <row r="26" spans="1:12" ht="91.8" hidden="1" x14ac:dyDescent="0.3">
      <c r="A26" s="50" t="s">
        <v>58</v>
      </c>
      <c r="B26" s="51" t="s">
        <v>59</v>
      </c>
      <c r="C26" s="51" t="s">
        <v>70</v>
      </c>
      <c r="D26" s="51" t="s">
        <v>30</v>
      </c>
      <c r="E26" s="52" t="s">
        <v>23</v>
      </c>
      <c r="F26" s="53">
        <v>1045.5</v>
      </c>
      <c r="G26" s="53"/>
      <c r="H26" s="52" t="s">
        <v>31</v>
      </c>
      <c r="I26" s="54" t="s">
        <v>24</v>
      </c>
      <c r="J26" s="54"/>
      <c r="K26" s="55" t="s">
        <v>18</v>
      </c>
      <c r="L26" s="56">
        <v>11024.95</v>
      </c>
    </row>
    <row r="27" spans="1:12" ht="91.8" hidden="1" x14ac:dyDescent="0.3">
      <c r="A27" s="50" t="s">
        <v>58</v>
      </c>
      <c r="B27" s="51" t="s">
        <v>59</v>
      </c>
      <c r="C27" s="51" t="s">
        <v>71</v>
      </c>
      <c r="D27" s="51" t="s">
        <v>30</v>
      </c>
      <c r="E27" s="52" t="s">
        <v>23</v>
      </c>
      <c r="F27" s="64">
        <v>120</v>
      </c>
      <c r="G27" s="64"/>
      <c r="H27" s="52" t="s">
        <v>31</v>
      </c>
      <c r="I27" s="54" t="s">
        <v>24</v>
      </c>
      <c r="J27" s="54"/>
      <c r="K27" s="55" t="s">
        <v>18</v>
      </c>
      <c r="L27" s="56">
        <v>11144.95</v>
      </c>
    </row>
    <row r="28" spans="1:12" ht="91.8" hidden="1" x14ac:dyDescent="0.3">
      <c r="A28" s="50" t="s">
        <v>58</v>
      </c>
      <c r="B28" s="51" t="s">
        <v>59</v>
      </c>
      <c r="C28" s="51" t="s">
        <v>72</v>
      </c>
      <c r="D28" s="51" t="s">
        <v>30</v>
      </c>
      <c r="E28" s="52" t="s">
        <v>23</v>
      </c>
      <c r="F28" s="64">
        <v>595</v>
      </c>
      <c r="G28" s="64"/>
      <c r="H28" s="52" t="s">
        <v>31</v>
      </c>
      <c r="I28" s="54" t="s">
        <v>24</v>
      </c>
      <c r="J28" s="54"/>
      <c r="K28" s="55" t="s">
        <v>18</v>
      </c>
      <c r="L28" s="56">
        <v>11739.95</v>
      </c>
    </row>
    <row r="29" spans="1:12" ht="91.8" hidden="1" x14ac:dyDescent="0.3">
      <c r="A29" s="50" t="s">
        <v>58</v>
      </c>
      <c r="B29" s="51" t="s">
        <v>59</v>
      </c>
      <c r="C29" s="51" t="s">
        <v>73</v>
      </c>
      <c r="D29" s="51" t="s">
        <v>30</v>
      </c>
      <c r="E29" s="52" t="s">
        <v>23</v>
      </c>
      <c r="F29" s="53">
        <v>1615.75</v>
      </c>
      <c r="G29" s="53"/>
      <c r="H29" s="52" t="s">
        <v>31</v>
      </c>
      <c r="I29" s="54" t="s">
        <v>24</v>
      </c>
      <c r="J29" s="54"/>
      <c r="K29" s="55" t="s">
        <v>18</v>
      </c>
      <c r="L29" s="56">
        <v>13355.7</v>
      </c>
    </row>
    <row r="30" spans="1:12" ht="91.8" hidden="1" x14ac:dyDescent="0.3">
      <c r="A30" s="50" t="s">
        <v>58</v>
      </c>
      <c r="B30" s="51" t="s">
        <v>59</v>
      </c>
      <c r="C30" s="51" t="s">
        <v>74</v>
      </c>
      <c r="D30" s="51" t="s">
        <v>30</v>
      </c>
      <c r="E30" s="52" t="s">
        <v>23</v>
      </c>
      <c r="F30" s="53">
        <v>2820</v>
      </c>
      <c r="G30" s="53"/>
      <c r="H30" s="52" t="s">
        <v>31</v>
      </c>
      <c r="I30" s="54" t="s">
        <v>24</v>
      </c>
      <c r="J30" s="54"/>
      <c r="K30" s="55" t="s">
        <v>18</v>
      </c>
      <c r="L30" s="56">
        <v>16175.7</v>
      </c>
    </row>
    <row r="31" spans="1:12" ht="91.8" hidden="1" x14ac:dyDescent="0.3">
      <c r="A31" s="50" t="s">
        <v>58</v>
      </c>
      <c r="B31" s="51" t="s">
        <v>59</v>
      </c>
      <c r="C31" s="51" t="s">
        <v>75</v>
      </c>
      <c r="D31" s="51" t="s">
        <v>30</v>
      </c>
      <c r="E31" s="52" t="s">
        <v>23</v>
      </c>
      <c r="F31" s="64">
        <v>526.5</v>
      </c>
      <c r="G31" s="64"/>
      <c r="H31" s="52" t="s">
        <v>31</v>
      </c>
      <c r="I31" s="54" t="s">
        <v>24</v>
      </c>
      <c r="J31" s="54"/>
      <c r="K31" s="55" t="s">
        <v>18</v>
      </c>
      <c r="L31" s="56">
        <v>16702.2</v>
      </c>
    </row>
    <row r="32" spans="1:12" ht="91.8" hidden="1" x14ac:dyDescent="0.3">
      <c r="A32" s="50" t="s">
        <v>58</v>
      </c>
      <c r="B32" s="51" t="s">
        <v>59</v>
      </c>
      <c r="C32" s="51" t="s">
        <v>76</v>
      </c>
      <c r="D32" s="51" t="s">
        <v>30</v>
      </c>
      <c r="E32" s="52" t="s">
        <v>23</v>
      </c>
      <c r="F32" s="53">
        <v>8750</v>
      </c>
      <c r="G32" s="53"/>
      <c r="H32" s="52" t="s">
        <v>31</v>
      </c>
      <c r="I32" s="54" t="s">
        <v>24</v>
      </c>
      <c r="J32" s="54"/>
      <c r="K32" s="55" t="s">
        <v>18</v>
      </c>
      <c r="L32" s="56">
        <v>25452.2</v>
      </c>
    </row>
    <row r="33" spans="1:12" ht="91.8" hidden="1" x14ac:dyDescent="0.3">
      <c r="A33" s="50" t="s">
        <v>58</v>
      </c>
      <c r="B33" s="51" t="s">
        <v>59</v>
      </c>
      <c r="C33" s="51" t="s">
        <v>77</v>
      </c>
      <c r="D33" s="51" t="s">
        <v>30</v>
      </c>
      <c r="E33" s="52" t="s">
        <v>23</v>
      </c>
      <c r="F33" s="64">
        <v>117.6</v>
      </c>
      <c r="G33" s="64"/>
      <c r="H33" s="52" t="s">
        <v>31</v>
      </c>
      <c r="I33" s="54" t="s">
        <v>24</v>
      </c>
      <c r="J33" s="54"/>
      <c r="K33" s="55" t="s">
        <v>18</v>
      </c>
      <c r="L33" s="56">
        <v>25569.8</v>
      </c>
    </row>
    <row r="34" spans="1:12" ht="91.8" hidden="1" x14ac:dyDescent="0.3">
      <c r="A34" s="50" t="s">
        <v>58</v>
      </c>
      <c r="B34" s="51" t="s">
        <v>59</v>
      </c>
      <c r="C34" s="51" t="s">
        <v>78</v>
      </c>
      <c r="D34" s="51" t="s">
        <v>30</v>
      </c>
      <c r="E34" s="52" t="s">
        <v>23</v>
      </c>
      <c r="F34" s="64">
        <v>123.6</v>
      </c>
      <c r="G34" s="64"/>
      <c r="H34" s="52" t="s">
        <v>31</v>
      </c>
      <c r="I34" s="54" t="s">
        <v>24</v>
      </c>
      <c r="J34" s="54"/>
      <c r="K34" s="55" t="s">
        <v>18</v>
      </c>
      <c r="L34" s="56">
        <v>25693.4</v>
      </c>
    </row>
    <row r="35" spans="1:12" ht="91.8" hidden="1" x14ac:dyDescent="0.3">
      <c r="A35" s="50" t="s">
        <v>58</v>
      </c>
      <c r="B35" s="51" t="s">
        <v>59</v>
      </c>
      <c r="C35" s="51" t="s">
        <v>79</v>
      </c>
      <c r="D35" s="51" t="s">
        <v>30</v>
      </c>
      <c r="E35" s="52" t="s">
        <v>23</v>
      </c>
      <c r="F35" s="64">
        <v>161.69999999999999</v>
      </c>
      <c r="G35" s="64"/>
      <c r="H35" s="52" t="s">
        <v>31</v>
      </c>
      <c r="I35" s="54" t="s">
        <v>24</v>
      </c>
      <c r="J35" s="54"/>
      <c r="K35" s="55" t="s">
        <v>18</v>
      </c>
      <c r="L35" s="56">
        <v>25855.1</v>
      </c>
    </row>
    <row r="36" spans="1:12" ht="91.8" hidden="1" x14ac:dyDescent="0.3">
      <c r="A36" s="50" t="s">
        <v>58</v>
      </c>
      <c r="B36" s="51" t="s">
        <v>59</v>
      </c>
      <c r="C36" s="51" t="s">
        <v>80</v>
      </c>
      <c r="D36" s="51" t="s">
        <v>30</v>
      </c>
      <c r="E36" s="52" t="s">
        <v>23</v>
      </c>
      <c r="F36" s="64">
        <v>185.1</v>
      </c>
      <c r="G36" s="64"/>
      <c r="H36" s="52" t="s">
        <v>31</v>
      </c>
      <c r="I36" s="54" t="s">
        <v>24</v>
      </c>
      <c r="J36" s="54"/>
      <c r="K36" s="55" t="s">
        <v>18</v>
      </c>
      <c r="L36" s="56">
        <v>26040.2</v>
      </c>
    </row>
    <row r="37" spans="1:12" ht="91.8" hidden="1" x14ac:dyDescent="0.3">
      <c r="A37" s="50" t="s">
        <v>58</v>
      </c>
      <c r="B37" s="51" t="s">
        <v>59</v>
      </c>
      <c r="C37" s="51" t="s">
        <v>81</v>
      </c>
      <c r="D37" s="51" t="s">
        <v>30</v>
      </c>
      <c r="E37" s="52" t="s">
        <v>23</v>
      </c>
      <c r="F37" s="53">
        <v>1291.7</v>
      </c>
      <c r="G37" s="53"/>
      <c r="H37" s="52" t="s">
        <v>31</v>
      </c>
      <c r="I37" s="54" t="s">
        <v>24</v>
      </c>
      <c r="J37" s="54"/>
      <c r="K37" s="55" t="s">
        <v>18</v>
      </c>
      <c r="L37" s="56">
        <v>27331.9</v>
      </c>
    </row>
    <row r="38" spans="1:12" ht="91.8" hidden="1" x14ac:dyDescent="0.3">
      <c r="A38" s="50" t="s">
        <v>58</v>
      </c>
      <c r="B38" s="51" t="s">
        <v>59</v>
      </c>
      <c r="C38" s="51" t="s">
        <v>82</v>
      </c>
      <c r="D38" s="51" t="s">
        <v>30</v>
      </c>
      <c r="E38" s="52" t="s">
        <v>23</v>
      </c>
      <c r="F38" s="64">
        <v>104.8</v>
      </c>
      <c r="G38" s="64"/>
      <c r="H38" s="52" t="s">
        <v>31</v>
      </c>
      <c r="I38" s="54" t="s">
        <v>24</v>
      </c>
      <c r="J38" s="54"/>
      <c r="K38" s="55" t="s">
        <v>18</v>
      </c>
      <c r="L38" s="56">
        <v>27436.7</v>
      </c>
    </row>
    <row r="39" spans="1:12" ht="71.400000000000006" hidden="1" x14ac:dyDescent="0.3">
      <c r="A39" s="50" t="s">
        <v>58</v>
      </c>
      <c r="B39" s="51" t="s">
        <v>83</v>
      </c>
      <c r="C39" s="51" t="s">
        <v>84</v>
      </c>
      <c r="D39" s="51" t="s">
        <v>68</v>
      </c>
      <c r="E39" s="52" t="s">
        <v>23</v>
      </c>
      <c r="F39" s="57" t="s">
        <v>24</v>
      </c>
      <c r="G39" s="57"/>
      <c r="H39" s="52" t="s">
        <v>23</v>
      </c>
      <c r="I39" s="58">
        <v>1117.5</v>
      </c>
      <c r="J39" s="58"/>
      <c r="K39" s="55" t="s">
        <v>18</v>
      </c>
      <c r="L39" s="56">
        <v>26319.200000000001</v>
      </c>
    </row>
    <row r="40" spans="1:12" ht="71.400000000000006" hidden="1" x14ac:dyDescent="0.3">
      <c r="A40" s="50" t="s">
        <v>58</v>
      </c>
      <c r="B40" s="51" t="s">
        <v>83</v>
      </c>
      <c r="C40" s="51" t="s">
        <v>85</v>
      </c>
      <c r="D40" s="51" t="s">
        <v>69</v>
      </c>
      <c r="E40" s="52" t="s">
        <v>23</v>
      </c>
      <c r="F40" s="57" t="s">
        <v>24</v>
      </c>
      <c r="G40" s="57"/>
      <c r="H40" s="52" t="s">
        <v>23</v>
      </c>
      <c r="I40" s="65">
        <v>251</v>
      </c>
      <c r="J40" s="65"/>
      <c r="K40" s="55" t="s">
        <v>18</v>
      </c>
      <c r="L40" s="56">
        <v>26068.2</v>
      </c>
    </row>
    <row r="41" spans="1:12" ht="81.599999999999994" hidden="1" x14ac:dyDescent="0.3">
      <c r="A41" s="50" t="s">
        <v>58</v>
      </c>
      <c r="B41" s="51" t="s">
        <v>83</v>
      </c>
      <c r="C41" s="51" t="s">
        <v>86</v>
      </c>
      <c r="D41" s="51" t="s">
        <v>76</v>
      </c>
      <c r="E41" s="52" t="s">
        <v>23</v>
      </c>
      <c r="F41" s="57" t="s">
        <v>24</v>
      </c>
      <c r="G41" s="57"/>
      <c r="H41" s="52" t="s">
        <v>23</v>
      </c>
      <c r="I41" s="58">
        <v>8750</v>
      </c>
      <c r="J41" s="58"/>
      <c r="K41" s="55" t="s">
        <v>18</v>
      </c>
      <c r="L41" s="56">
        <v>17318.2</v>
      </c>
    </row>
    <row r="42" spans="1:12" ht="71.400000000000006" x14ac:dyDescent="0.3">
      <c r="A42" s="50" t="s">
        <v>27</v>
      </c>
      <c r="B42" s="51" t="s">
        <v>87</v>
      </c>
      <c r="C42" s="51" t="s">
        <v>88</v>
      </c>
      <c r="D42" s="51" t="s">
        <v>89</v>
      </c>
      <c r="E42" s="52" t="s">
        <v>23</v>
      </c>
      <c r="F42" s="64">
        <v>117</v>
      </c>
      <c r="G42" s="64"/>
      <c r="H42" s="52" t="s">
        <v>90</v>
      </c>
      <c r="I42" s="54" t="s">
        <v>24</v>
      </c>
      <c r="J42" s="54"/>
      <c r="K42" s="55" t="s">
        <v>18</v>
      </c>
      <c r="L42" s="56">
        <v>17435.2</v>
      </c>
    </row>
    <row r="43" spans="1:12" ht="71.400000000000006" hidden="1" x14ac:dyDescent="0.3">
      <c r="A43" s="50" t="s">
        <v>91</v>
      </c>
      <c r="B43" s="51" t="s">
        <v>92</v>
      </c>
      <c r="C43" s="51" t="s">
        <v>93</v>
      </c>
      <c r="D43" s="51" t="s">
        <v>70</v>
      </c>
      <c r="E43" s="52" t="s">
        <v>94</v>
      </c>
      <c r="F43" s="57" t="s">
        <v>24</v>
      </c>
      <c r="G43" s="57"/>
      <c r="H43" s="52" t="s">
        <v>23</v>
      </c>
      <c r="I43" s="65">
        <v>418.2</v>
      </c>
      <c r="J43" s="65"/>
      <c r="K43" s="55" t="s">
        <v>18</v>
      </c>
      <c r="L43" s="56">
        <v>17017</v>
      </c>
    </row>
    <row r="44" spans="1:12" ht="71.400000000000006" x14ac:dyDescent="0.3">
      <c r="A44" s="50" t="s">
        <v>95</v>
      </c>
      <c r="B44" s="51" t="s">
        <v>96</v>
      </c>
      <c r="C44" s="51" t="s">
        <v>34</v>
      </c>
      <c r="D44" s="51" t="s">
        <v>97</v>
      </c>
      <c r="E44" s="52" t="s">
        <v>35</v>
      </c>
      <c r="F44" s="57" t="s">
        <v>24</v>
      </c>
      <c r="G44" s="57"/>
      <c r="H44" s="52" t="s">
        <v>23</v>
      </c>
      <c r="I44" s="58">
        <v>1477.5</v>
      </c>
      <c r="J44" s="58"/>
      <c r="K44" s="55" t="s">
        <v>18</v>
      </c>
      <c r="L44" s="56">
        <v>15539.5</v>
      </c>
    </row>
    <row r="45" spans="1:12" ht="71.400000000000006" x14ac:dyDescent="0.3">
      <c r="A45" s="50" t="s">
        <v>95</v>
      </c>
      <c r="B45" s="51" t="s">
        <v>98</v>
      </c>
      <c r="C45" s="51" t="s">
        <v>34</v>
      </c>
      <c r="D45" s="51" t="s">
        <v>60</v>
      </c>
      <c r="E45" s="52" t="s">
        <v>35</v>
      </c>
      <c r="F45" s="57" t="s">
        <v>24</v>
      </c>
      <c r="G45" s="57"/>
      <c r="H45" s="52" t="s">
        <v>23</v>
      </c>
      <c r="I45" s="65">
        <v>229.25</v>
      </c>
      <c r="J45" s="65"/>
      <c r="K45" s="55" t="s">
        <v>18</v>
      </c>
      <c r="L45" s="56">
        <v>15310.25</v>
      </c>
    </row>
    <row r="46" spans="1:12" ht="71.400000000000006" x14ac:dyDescent="0.3">
      <c r="A46" s="50" t="s">
        <v>95</v>
      </c>
      <c r="B46" s="51" t="s">
        <v>99</v>
      </c>
      <c r="C46" s="51" t="s">
        <v>34</v>
      </c>
      <c r="D46" s="51" t="s">
        <v>66</v>
      </c>
      <c r="E46" s="52" t="s">
        <v>35</v>
      </c>
      <c r="F46" s="57" t="s">
        <v>24</v>
      </c>
      <c r="G46" s="57"/>
      <c r="H46" s="52" t="s">
        <v>23</v>
      </c>
      <c r="I46" s="65">
        <v>168.25</v>
      </c>
      <c r="J46" s="65"/>
      <c r="K46" s="55" t="s">
        <v>18</v>
      </c>
      <c r="L46" s="56">
        <v>15142</v>
      </c>
    </row>
    <row r="47" spans="1:12" ht="71.400000000000006" x14ac:dyDescent="0.3">
      <c r="A47" s="50" t="s">
        <v>95</v>
      </c>
      <c r="B47" s="51" t="s">
        <v>99</v>
      </c>
      <c r="C47" s="51" t="s">
        <v>34</v>
      </c>
      <c r="D47" s="51" t="s">
        <v>73</v>
      </c>
      <c r="E47" s="52" t="s">
        <v>35</v>
      </c>
      <c r="F47" s="57" t="s">
        <v>24</v>
      </c>
      <c r="G47" s="57"/>
      <c r="H47" s="52" t="s">
        <v>23</v>
      </c>
      <c r="I47" s="58">
        <v>1615.75</v>
      </c>
      <c r="J47" s="58"/>
      <c r="K47" s="55" t="s">
        <v>18</v>
      </c>
      <c r="L47" s="56">
        <v>13526.25</v>
      </c>
    </row>
    <row r="48" spans="1:12" ht="71.400000000000006" x14ac:dyDescent="0.3">
      <c r="A48" s="50" t="s">
        <v>95</v>
      </c>
      <c r="B48" s="51" t="s">
        <v>99</v>
      </c>
      <c r="C48" s="51" t="s">
        <v>34</v>
      </c>
      <c r="D48" s="51" t="s">
        <v>67</v>
      </c>
      <c r="E48" s="52" t="s">
        <v>35</v>
      </c>
      <c r="F48" s="57" t="s">
        <v>24</v>
      </c>
      <c r="G48" s="57"/>
      <c r="H48" s="52" t="s">
        <v>23</v>
      </c>
      <c r="I48" s="58">
        <v>1049</v>
      </c>
      <c r="J48" s="58"/>
      <c r="K48" s="55" t="s">
        <v>18</v>
      </c>
      <c r="L48" s="56">
        <v>12477.25</v>
      </c>
    </row>
    <row r="49" spans="1:12" ht="81.599999999999994" x14ac:dyDescent="0.3">
      <c r="A49" s="50" t="s">
        <v>95</v>
      </c>
      <c r="B49" s="51" t="s">
        <v>99</v>
      </c>
      <c r="C49" s="51" t="s">
        <v>34</v>
      </c>
      <c r="D49" s="51" t="s">
        <v>61</v>
      </c>
      <c r="E49" s="52" t="s">
        <v>35</v>
      </c>
      <c r="F49" s="57" t="s">
        <v>24</v>
      </c>
      <c r="G49" s="57"/>
      <c r="H49" s="52" t="s">
        <v>23</v>
      </c>
      <c r="I49" s="65">
        <v>580.04999999999995</v>
      </c>
      <c r="J49" s="65"/>
      <c r="K49" s="55" t="s">
        <v>18</v>
      </c>
      <c r="L49" s="56">
        <v>11897.2</v>
      </c>
    </row>
    <row r="50" spans="1:12" ht="71.400000000000006" x14ac:dyDescent="0.3">
      <c r="A50" s="50" t="s">
        <v>95</v>
      </c>
      <c r="B50" s="51" t="s">
        <v>100</v>
      </c>
      <c r="C50" s="51" t="s">
        <v>34</v>
      </c>
      <c r="D50" s="51" t="s">
        <v>62</v>
      </c>
      <c r="E50" s="52" t="s">
        <v>35</v>
      </c>
      <c r="F50" s="57" t="s">
        <v>24</v>
      </c>
      <c r="G50" s="57"/>
      <c r="H50" s="52" t="s">
        <v>23</v>
      </c>
      <c r="I50" s="65">
        <v>179.5</v>
      </c>
      <c r="J50" s="65"/>
      <c r="K50" s="55" t="s">
        <v>18</v>
      </c>
      <c r="L50" s="56">
        <v>11717.7</v>
      </c>
    </row>
    <row r="51" spans="1:12" ht="71.400000000000006" x14ac:dyDescent="0.3">
      <c r="A51" s="50" t="s">
        <v>95</v>
      </c>
      <c r="B51" s="51" t="s">
        <v>100</v>
      </c>
      <c r="C51" s="51" t="s">
        <v>34</v>
      </c>
      <c r="D51" s="51" t="s">
        <v>78</v>
      </c>
      <c r="E51" s="52" t="s">
        <v>35</v>
      </c>
      <c r="F51" s="57" t="s">
        <v>24</v>
      </c>
      <c r="G51" s="57"/>
      <c r="H51" s="52" t="s">
        <v>23</v>
      </c>
      <c r="I51" s="65">
        <v>123.6</v>
      </c>
      <c r="J51" s="65"/>
      <c r="K51" s="55" t="s">
        <v>18</v>
      </c>
      <c r="L51" s="56">
        <v>11594.1</v>
      </c>
    </row>
    <row r="52" spans="1:12" ht="71.400000000000006" x14ac:dyDescent="0.3">
      <c r="A52" s="50" t="s">
        <v>95</v>
      </c>
      <c r="B52" s="51" t="s">
        <v>100</v>
      </c>
      <c r="C52" s="51" t="s">
        <v>34</v>
      </c>
      <c r="D52" s="51" t="s">
        <v>77</v>
      </c>
      <c r="E52" s="52" t="s">
        <v>35</v>
      </c>
      <c r="F52" s="57" t="s">
        <v>24</v>
      </c>
      <c r="G52" s="57"/>
      <c r="H52" s="52" t="s">
        <v>23</v>
      </c>
      <c r="I52" s="65">
        <v>117.6</v>
      </c>
      <c r="J52" s="65"/>
      <c r="K52" s="55" t="s">
        <v>18</v>
      </c>
      <c r="L52" s="56">
        <v>11476.5</v>
      </c>
    </row>
    <row r="53" spans="1:12" ht="71.400000000000006" x14ac:dyDescent="0.3">
      <c r="A53" s="50" t="s">
        <v>95</v>
      </c>
      <c r="B53" s="51" t="s">
        <v>100</v>
      </c>
      <c r="C53" s="51" t="s">
        <v>34</v>
      </c>
      <c r="D53" s="51" t="s">
        <v>71</v>
      </c>
      <c r="E53" s="52" t="s">
        <v>35</v>
      </c>
      <c r="F53" s="57" t="s">
        <v>24</v>
      </c>
      <c r="G53" s="57"/>
      <c r="H53" s="52" t="s">
        <v>23</v>
      </c>
      <c r="I53" s="65">
        <v>120</v>
      </c>
      <c r="J53" s="65"/>
      <c r="K53" s="55" t="s">
        <v>18</v>
      </c>
      <c r="L53" s="56">
        <v>11356.5</v>
      </c>
    </row>
    <row r="54" spans="1:12" ht="71.400000000000006" x14ac:dyDescent="0.3">
      <c r="A54" s="50" t="s">
        <v>95</v>
      </c>
      <c r="B54" s="51" t="s">
        <v>100</v>
      </c>
      <c r="C54" s="51" t="s">
        <v>34</v>
      </c>
      <c r="D54" s="51" t="s">
        <v>65</v>
      </c>
      <c r="E54" s="52" t="s">
        <v>35</v>
      </c>
      <c r="F54" s="57" t="s">
        <v>24</v>
      </c>
      <c r="G54" s="57"/>
      <c r="H54" s="52" t="s">
        <v>23</v>
      </c>
      <c r="I54" s="65">
        <v>164.8</v>
      </c>
      <c r="J54" s="65"/>
      <c r="K54" s="55" t="s">
        <v>18</v>
      </c>
      <c r="L54" s="56">
        <v>11191.7</v>
      </c>
    </row>
    <row r="55" spans="1:12" ht="91.8" hidden="1" x14ac:dyDescent="0.3">
      <c r="A55" s="50" t="s">
        <v>101</v>
      </c>
      <c r="B55" s="51" t="s">
        <v>102</v>
      </c>
      <c r="C55" s="51" t="s">
        <v>103</v>
      </c>
      <c r="D55" s="51" t="s">
        <v>104</v>
      </c>
      <c r="E55" s="52" t="s">
        <v>23</v>
      </c>
      <c r="F55" s="53">
        <v>17500</v>
      </c>
      <c r="G55" s="53"/>
      <c r="H55" s="52" t="s">
        <v>31</v>
      </c>
      <c r="I55" s="54" t="s">
        <v>24</v>
      </c>
      <c r="J55" s="54"/>
      <c r="K55" s="55" t="s">
        <v>18</v>
      </c>
      <c r="L55" s="56">
        <v>28691.7</v>
      </c>
    </row>
    <row r="56" spans="1:12" ht="91.8" hidden="1" x14ac:dyDescent="0.3">
      <c r="A56" s="50" t="s">
        <v>101</v>
      </c>
      <c r="B56" s="51" t="s">
        <v>102</v>
      </c>
      <c r="C56" s="51" t="s">
        <v>105</v>
      </c>
      <c r="D56" s="51" t="s">
        <v>104</v>
      </c>
      <c r="E56" s="52" t="s">
        <v>23</v>
      </c>
      <c r="F56" s="64">
        <v>645</v>
      </c>
      <c r="G56" s="64"/>
      <c r="H56" s="52" t="s">
        <v>31</v>
      </c>
      <c r="I56" s="54" t="s">
        <v>24</v>
      </c>
      <c r="J56" s="54"/>
      <c r="K56" s="55" t="s">
        <v>18</v>
      </c>
      <c r="L56" s="56">
        <v>29336.7</v>
      </c>
    </row>
    <row r="57" spans="1:12" ht="91.8" hidden="1" x14ac:dyDescent="0.3">
      <c r="A57" s="50" t="s">
        <v>101</v>
      </c>
      <c r="B57" s="51" t="s">
        <v>102</v>
      </c>
      <c r="C57" s="51" t="s">
        <v>106</v>
      </c>
      <c r="D57" s="51" t="s">
        <v>104</v>
      </c>
      <c r="E57" s="52" t="s">
        <v>23</v>
      </c>
      <c r="F57" s="53">
        <v>2771.1</v>
      </c>
      <c r="G57" s="53"/>
      <c r="H57" s="52" t="s">
        <v>31</v>
      </c>
      <c r="I57" s="54" t="s">
        <v>24</v>
      </c>
      <c r="J57" s="54"/>
      <c r="K57" s="55" t="s">
        <v>18</v>
      </c>
      <c r="L57" s="56">
        <v>32107.8</v>
      </c>
    </row>
    <row r="58" spans="1:12" ht="91.8" hidden="1" x14ac:dyDescent="0.3">
      <c r="A58" s="50" t="s">
        <v>101</v>
      </c>
      <c r="B58" s="51" t="s">
        <v>102</v>
      </c>
      <c r="C58" s="51" t="s">
        <v>107</v>
      </c>
      <c r="D58" s="51" t="s">
        <v>104</v>
      </c>
      <c r="E58" s="52" t="s">
        <v>23</v>
      </c>
      <c r="F58" s="53">
        <v>2035</v>
      </c>
      <c r="G58" s="53"/>
      <c r="H58" s="52" t="s">
        <v>31</v>
      </c>
      <c r="I58" s="54" t="s">
        <v>24</v>
      </c>
      <c r="J58" s="54"/>
      <c r="K58" s="55" t="s">
        <v>18</v>
      </c>
      <c r="L58" s="56">
        <v>34142.800000000003</v>
      </c>
    </row>
    <row r="59" spans="1:12" ht="91.8" hidden="1" x14ac:dyDescent="0.3">
      <c r="A59" s="50" t="s">
        <v>101</v>
      </c>
      <c r="B59" s="51" t="s">
        <v>102</v>
      </c>
      <c r="C59" s="51" t="s">
        <v>108</v>
      </c>
      <c r="D59" s="51" t="s">
        <v>104</v>
      </c>
      <c r="E59" s="52" t="s">
        <v>23</v>
      </c>
      <c r="F59" s="53">
        <v>2140</v>
      </c>
      <c r="G59" s="53"/>
      <c r="H59" s="52" t="s">
        <v>31</v>
      </c>
      <c r="I59" s="54" t="s">
        <v>24</v>
      </c>
      <c r="J59" s="54"/>
      <c r="K59" s="55" t="s">
        <v>18</v>
      </c>
      <c r="L59" s="56">
        <v>36282.800000000003</v>
      </c>
    </row>
    <row r="60" spans="1:12" ht="91.8" hidden="1" x14ac:dyDescent="0.3">
      <c r="A60" s="50" t="s">
        <v>101</v>
      </c>
      <c r="B60" s="51" t="s">
        <v>102</v>
      </c>
      <c r="C60" s="51" t="s">
        <v>109</v>
      </c>
      <c r="D60" s="51" t="s">
        <v>104</v>
      </c>
      <c r="E60" s="52" t="s">
        <v>23</v>
      </c>
      <c r="F60" s="53">
        <v>1195.8499999999999</v>
      </c>
      <c r="G60" s="53"/>
      <c r="H60" s="52" t="s">
        <v>31</v>
      </c>
      <c r="I60" s="54" t="s">
        <v>24</v>
      </c>
      <c r="J60" s="54"/>
      <c r="K60" s="55" t="s">
        <v>18</v>
      </c>
      <c r="L60" s="56">
        <v>37478.65</v>
      </c>
    </row>
    <row r="61" spans="1:12" ht="91.8" hidden="1" x14ac:dyDescent="0.3">
      <c r="A61" s="50" t="s">
        <v>101</v>
      </c>
      <c r="B61" s="51" t="s">
        <v>102</v>
      </c>
      <c r="C61" s="51" t="s">
        <v>110</v>
      </c>
      <c r="D61" s="51" t="s">
        <v>104</v>
      </c>
      <c r="E61" s="52" t="s">
        <v>23</v>
      </c>
      <c r="F61" s="64">
        <v>803.9</v>
      </c>
      <c r="G61" s="64"/>
      <c r="H61" s="52" t="s">
        <v>31</v>
      </c>
      <c r="I61" s="54" t="s">
        <v>24</v>
      </c>
      <c r="J61" s="54"/>
      <c r="K61" s="55" t="s">
        <v>18</v>
      </c>
      <c r="L61" s="56">
        <v>38282.550000000003</v>
      </c>
    </row>
    <row r="62" spans="1:12" ht="91.8" hidden="1" x14ac:dyDescent="0.3">
      <c r="A62" s="50" t="s">
        <v>101</v>
      </c>
      <c r="B62" s="51" t="s">
        <v>102</v>
      </c>
      <c r="C62" s="51" t="s">
        <v>111</v>
      </c>
      <c r="D62" s="51" t="s">
        <v>104</v>
      </c>
      <c r="E62" s="52" t="s">
        <v>23</v>
      </c>
      <c r="F62" s="53">
        <v>2587.1999999999998</v>
      </c>
      <c r="G62" s="53"/>
      <c r="H62" s="52" t="s">
        <v>31</v>
      </c>
      <c r="I62" s="54" t="s">
        <v>24</v>
      </c>
      <c r="J62" s="54"/>
      <c r="K62" s="55" t="s">
        <v>18</v>
      </c>
      <c r="L62" s="56">
        <v>40869.75</v>
      </c>
    </row>
    <row r="63" spans="1:12" ht="91.8" hidden="1" x14ac:dyDescent="0.3">
      <c r="A63" s="50" t="s">
        <v>101</v>
      </c>
      <c r="B63" s="51" t="s">
        <v>102</v>
      </c>
      <c r="C63" s="51" t="s">
        <v>112</v>
      </c>
      <c r="D63" s="51" t="s">
        <v>104</v>
      </c>
      <c r="E63" s="52" t="s">
        <v>23</v>
      </c>
      <c r="F63" s="64">
        <v>222</v>
      </c>
      <c r="G63" s="64"/>
      <c r="H63" s="52" t="s">
        <v>31</v>
      </c>
      <c r="I63" s="54" t="s">
        <v>24</v>
      </c>
      <c r="J63" s="54"/>
      <c r="K63" s="55" t="s">
        <v>18</v>
      </c>
      <c r="L63" s="56">
        <v>41091.75</v>
      </c>
    </row>
    <row r="64" spans="1:12" ht="91.8" hidden="1" x14ac:dyDescent="0.3">
      <c r="A64" s="50" t="s">
        <v>101</v>
      </c>
      <c r="B64" s="51" t="s">
        <v>102</v>
      </c>
      <c r="C64" s="51" t="s">
        <v>113</v>
      </c>
      <c r="D64" s="51" t="s">
        <v>104</v>
      </c>
      <c r="E64" s="52" t="s">
        <v>23</v>
      </c>
      <c r="F64" s="64">
        <v>420.8</v>
      </c>
      <c r="G64" s="64"/>
      <c r="H64" s="52" t="s">
        <v>31</v>
      </c>
      <c r="I64" s="54" t="s">
        <v>24</v>
      </c>
      <c r="J64" s="54"/>
      <c r="K64" s="55" t="s">
        <v>18</v>
      </c>
      <c r="L64" s="56">
        <v>41512.550000000003</v>
      </c>
    </row>
    <row r="65" spans="1:12" ht="91.8" hidden="1" x14ac:dyDescent="0.3">
      <c r="A65" s="50" t="s">
        <v>101</v>
      </c>
      <c r="B65" s="51" t="s">
        <v>102</v>
      </c>
      <c r="C65" s="51" t="s">
        <v>114</v>
      </c>
      <c r="D65" s="51" t="s">
        <v>104</v>
      </c>
      <c r="E65" s="52" t="s">
        <v>23</v>
      </c>
      <c r="F65" s="64">
        <v>780.5</v>
      </c>
      <c r="G65" s="64"/>
      <c r="H65" s="52" t="s">
        <v>31</v>
      </c>
      <c r="I65" s="54" t="s">
        <v>24</v>
      </c>
      <c r="J65" s="54"/>
      <c r="K65" s="55" t="s">
        <v>18</v>
      </c>
      <c r="L65" s="56">
        <v>42293.05</v>
      </c>
    </row>
    <row r="66" spans="1:12" ht="91.8" hidden="1" x14ac:dyDescent="0.3">
      <c r="A66" s="50" t="s">
        <v>101</v>
      </c>
      <c r="B66" s="51" t="s">
        <v>102</v>
      </c>
      <c r="C66" s="51" t="s">
        <v>115</v>
      </c>
      <c r="D66" s="51" t="s">
        <v>104</v>
      </c>
      <c r="E66" s="52" t="s">
        <v>23</v>
      </c>
      <c r="F66" s="64">
        <v>367</v>
      </c>
      <c r="G66" s="64"/>
      <c r="H66" s="52" t="s">
        <v>31</v>
      </c>
      <c r="I66" s="54" t="s">
        <v>24</v>
      </c>
      <c r="J66" s="54"/>
      <c r="K66" s="55" t="s">
        <v>18</v>
      </c>
      <c r="L66" s="56">
        <v>42660.05</v>
      </c>
    </row>
    <row r="67" spans="1:12" ht="91.8" hidden="1" x14ac:dyDescent="0.3">
      <c r="A67" s="50" t="s">
        <v>101</v>
      </c>
      <c r="B67" s="51" t="s">
        <v>102</v>
      </c>
      <c r="C67" s="51" t="s">
        <v>116</v>
      </c>
      <c r="D67" s="51" t="s">
        <v>104</v>
      </c>
      <c r="E67" s="52" t="s">
        <v>23</v>
      </c>
      <c r="F67" s="64">
        <v>193.5</v>
      </c>
      <c r="G67" s="64"/>
      <c r="H67" s="52" t="s">
        <v>31</v>
      </c>
      <c r="I67" s="54" t="s">
        <v>24</v>
      </c>
      <c r="J67" s="54"/>
      <c r="K67" s="55" t="s">
        <v>18</v>
      </c>
      <c r="L67" s="56">
        <v>42853.55</v>
      </c>
    </row>
    <row r="68" spans="1:12" ht="91.8" hidden="1" x14ac:dyDescent="0.3">
      <c r="A68" s="50" t="s">
        <v>101</v>
      </c>
      <c r="B68" s="51" t="s">
        <v>102</v>
      </c>
      <c r="C68" s="51" t="s">
        <v>117</v>
      </c>
      <c r="D68" s="51" t="s">
        <v>104</v>
      </c>
      <c r="E68" s="52" t="s">
        <v>23</v>
      </c>
      <c r="F68" s="64">
        <v>94.75</v>
      </c>
      <c r="G68" s="64"/>
      <c r="H68" s="52" t="s">
        <v>31</v>
      </c>
      <c r="I68" s="54" t="s">
        <v>24</v>
      </c>
      <c r="J68" s="54"/>
      <c r="K68" s="55" t="s">
        <v>18</v>
      </c>
      <c r="L68" s="56">
        <v>42948.3</v>
      </c>
    </row>
    <row r="69" spans="1:12" ht="91.8" hidden="1" x14ac:dyDescent="0.3">
      <c r="A69" s="50" t="s">
        <v>101</v>
      </c>
      <c r="B69" s="51" t="s">
        <v>102</v>
      </c>
      <c r="C69" s="51" t="s">
        <v>118</v>
      </c>
      <c r="D69" s="51" t="s">
        <v>104</v>
      </c>
      <c r="E69" s="52" t="s">
        <v>23</v>
      </c>
      <c r="F69" s="64">
        <v>110.9</v>
      </c>
      <c r="G69" s="64"/>
      <c r="H69" s="52" t="s">
        <v>31</v>
      </c>
      <c r="I69" s="54" t="s">
        <v>24</v>
      </c>
      <c r="J69" s="54"/>
      <c r="K69" s="55" t="s">
        <v>18</v>
      </c>
      <c r="L69" s="56">
        <v>43059.199999999997</v>
      </c>
    </row>
    <row r="70" spans="1:12" ht="91.8" hidden="1" x14ac:dyDescent="0.3">
      <c r="A70" s="50" t="s">
        <v>101</v>
      </c>
      <c r="B70" s="51" t="s">
        <v>102</v>
      </c>
      <c r="C70" s="51" t="s">
        <v>119</v>
      </c>
      <c r="D70" s="51" t="s">
        <v>104</v>
      </c>
      <c r="E70" s="52" t="s">
        <v>23</v>
      </c>
      <c r="F70" s="64">
        <v>301.55</v>
      </c>
      <c r="G70" s="64"/>
      <c r="H70" s="52" t="s">
        <v>31</v>
      </c>
      <c r="I70" s="54" t="s">
        <v>24</v>
      </c>
      <c r="J70" s="54"/>
      <c r="K70" s="55" t="s">
        <v>18</v>
      </c>
      <c r="L70" s="56">
        <v>43360.75</v>
      </c>
    </row>
    <row r="71" spans="1:12" ht="91.8" hidden="1" x14ac:dyDescent="0.3">
      <c r="A71" s="50" t="s">
        <v>101</v>
      </c>
      <c r="B71" s="51" t="s">
        <v>102</v>
      </c>
      <c r="C71" s="51" t="s">
        <v>120</v>
      </c>
      <c r="D71" s="51" t="s">
        <v>104</v>
      </c>
      <c r="E71" s="52" t="s">
        <v>23</v>
      </c>
      <c r="F71" s="64">
        <v>159.94999999999999</v>
      </c>
      <c r="G71" s="64"/>
      <c r="H71" s="52" t="s">
        <v>31</v>
      </c>
      <c r="I71" s="54" t="s">
        <v>24</v>
      </c>
      <c r="J71" s="54"/>
      <c r="K71" s="55" t="s">
        <v>18</v>
      </c>
      <c r="L71" s="56">
        <v>43520.7</v>
      </c>
    </row>
    <row r="72" spans="1:12" ht="91.8" hidden="1" x14ac:dyDescent="0.3">
      <c r="A72" s="50" t="s">
        <v>101</v>
      </c>
      <c r="B72" s="51" t="s">
        <v>102</v>
      </c>
      <c r="C72" s="51" t="s">
        <v>121</v>
      </c>
      <c r="D72" s="51" t="s">
        <v>104</v>
      </c>
      <c r="E72" s="52" t="s">
        <v>23</v>
      </c>
      <c r="F72" s="64">
        <v>446.4</v>
      </c>
      <c r="G72" s="64"/>
      <c r="H72" s="52" t="s">
        <v>31</v>
      </c>
      <c r="I72" s="54" t="s">
        <v>24</v>
      </c>
      <c r="J72" s="54"/>
      <c r="K72" s="55" t="s">
        <v>18</v>
      </c>
      <c r="L72" s="56">
        <v>43967.1</v>
      </c>
    </row>
    <row r="73" spans="1:12" ht="91.8" hidden="1" x14ac:dyDescent="0.3">
      <c r="A73" s="50" t="s">
        <v>101</v>
      </c>
      <c r="B73" s="51" t="s">
        <v>102</v>
      </c>
      <c r="C73" s="51" t="s">
        <v>122</v>
      </c>
      <c r="D73" s="51" t="s">
        <v>104</v>
      </c>
      <c r="E73" s="52" t="s">
        <v>23</v>
      </c>
      <c r="F73" s="64">
        <v>164.8</v>
      </c>
      <c r="G73" s="64"/>
      <c r="H73" s="52" t="s">
        <v>31</v>
      </c>
      <c r="I73" s="54" t="s">
        <v>24</v>
      </c>
      <c r="J73" s="54"/>
      <c r="K73" s="55" t="s">
        <v>18</v>
      </c>
      <c r="L73" s="56">
        <v>44131.9</v>
      </c>
    </row>
    <row r="74" spans="1:12" ht="91.8" hidden="1" x14ac:dyDescent="0.3">
      <c r="A74" s="50" t="s">
        <v>101</v>
      </c>
      <c r="B74" s="51" t="s">
        <v>102</v>
      </c>
      <c r="C74" s="51" t="s">
        <v>123</v>
      </c>
      <c r="D74" s="51" t="s">
        <v>104</v>
      </c>
      <c r="E74" s="52" t="s">
        <v>23</v>
      </c>
      <c r="F74" s="64">
        <v>182.9</v>
      </c>
      <c r="G74" s="64"/>
      <c r="H74" s="52" t="s">
        <v>31</v>
      </c>
      <c r="I74" s="54" t="s">
        <v>24</v>
      </c>
      <c r="J74" s="54"/>
      <c r="K74" s="55" t="s">
        <v>18</v>
      </c>
      <c r="L74" s="56">
        <v>44314.8</v>
      </c>
    </row>
    <row r="75" spans="1:12" ht="91.8" hidden="1" x14ac:dyDescent="0.3">
      <c r="A75" s="50" t="s">
        <v>101</v>
      </c>
      <c r="B75" s="51" t="s">
        <v>102</v>
      </c>
      <c r="C75" s="51" t="s">
        <v>124</v>
      </c>
      <c r="D75" s="51" t="s">
        <v>104</v>
      </c>
      <c r="E75" s="52" t="s">
        <v>23</v>
      </c>
      <c r="F75" s="64">
        <v>88.45</v>
      </c>
      <c r="G75" s="64"/>
      <c r="H75" s="52" t="s">
        <v>31</v>
      </c>
      <c r="I75" s="54" t="s">
        <v>24</v>
      </c>
      <c r="J75" s="54"/>
      <c r="K75" s="55" t="s">
        <v>18</v>
      </c>
      <c r="L75" s="56">
        <v>44403.25</v>
      </c>
    </row>
    <row r="76" spans="1:12" ht="91.8" hidden="1" x14ac:dyDescent="0.3">
      <c r="A76" s="50" t="s">
        <v>101</v>
      </c>
      <c r="B76" s="51" t="s">
        <v>102</v>
      </c>
      <c r="C76" s="51" t="s">
        <v>125</v>
      </c>
      <c r="D76" s="51" t="s">
        <v>104</v>
      </c>
      <c r="E76" s="52" t="s">
        <v>23</v>
      </c>
      <c r="F76" s="53">
        <v>1135</v>
      </c>
      <c r="G76" s="53"/>
      <c r="H76" s="52" t="s">
        <v>31</v>
      </c>
      <c r="I76" s="54" t="s">
        <v>24</v>
      </c>
      <c r="J76" s="54"/>
      <c r="K76" s="55" t="s">
        <v>18</v>
      </c>
      <c r="L76" s="56">
        <v>45538.25</v>
      </c>
    </row>
    <row r="77" spans="1:12" ht="71.400000000000006" hidden="1" x14ac:dyDescent="0.3">
      <c r="A77" s="50" t="s">
        <v>101</v>
      </c>
      <c r="B77" s="51" t="s">
        <v>126</v>
      </c>
      <c r="C77" s="51" t="s">
        <v>127</v>
      </c>
      <c r="D77" s="51" t="s">
        <v>103</v>
      </c>
      <c r="E77" s="52" t="s">
        <v>23</v>
      </c>
      <c r="F77" s="57" t="s">
        <v>24</v>
      </c>
      <c r="G77" s="57"/>
      <c r="H77" s="52" t="s">
        <v>23</v>
      </c>
      <c r="I77" s="58">
        <v>17500</v>
      </c>
      <c r="J77" s="58"/>
      <c r="K77" s="55" t="s">
        <v>18</v>
      </c>
      <c r="L77" s="56">
        <v>28038.25</v>
      </c>
    </row>
    <row r="78" spans="1:12" ht="81.599999999999994" hidden="1" x14ac:dyDescent="0.3">
      <c r="A78" s="50" t="s">
        <v>101</v>
      </c>
      <c r="B78" s="51" t="s">
        <v>126</v>
      </c>
      <c r="C78" s="51" t="s">
        <v>128</v>
      </c>
      <c r="D78" s="51" t="s">
        <v>111</v>
      </c>
      <c r="E78" s="52" t="s">
        <v>23</v>
      </c>
      <c r="F78" s="57" t="s">
        <v>24</v>
      </c>
      <c r="G78" s="57"/>
      <c r="H78" s="52" t="s">
        <v>23</v>
      </c>
      <c r="I78" s="58">
        <v>1293.5999999999999</v>
      </c>
      <c r="J78" s="58"/>
      <c r="K78" s="55" t="s">
        <v>18</v>
      </c>
      <c r="L78" s="56">
        <v>26744.65</v>
      </c>
    </row>
    <row r="79" spans="1:12" ht="61.2" hidden="1" x14ac:dyDescent="0.3">
      <c r="A79" s="50" t="s">
        <v>101</v>
      </c>
      <c r="B79" s="51" t="s">
        <v>126</v>
      </c>
      <c r="C79" s="51" t="s">
        <v>129</v>
      </c>
      <c r="D79" s="51" t="s">
        <v>112</v>
      </c>
      <c r="E79" s="52" t="s">
        <v>23</v>
      </c>
      <c r="F79" s="57" t="s">
        <v>24</v>
      </c>
      <c r="G79" s="57"/>
      <c r="H79" s="52" t="s">
        <v>23</v>
      </c>
      <c r="I79" s="65">
        <v>222</v>
      </c>
      <c r="J79" s="65"/>
      <c r="K79" s="55" t="s">
        <v>18</v>
      </c>
      <c r="L79" s="56">
        <v>26522.65</v>
      </c>
    </row>
    <row r="80" spans="1:12" ht="81.599999999999994" hidden="1" x14ac:dyDescent="0.3">
      <c r="A80" s="50" t="s">
        <v>101</v>
      </c>
      <c r="B80" s="51" t="s">
        <v>130</v>
      </c>
      <c r="C80" s="51" t="s">
        <v>131</v>
      </c>
      <c r="D80" s="51" t="s">
        <v>105</v>
      </c>
      <c r="E80" s="52" t="s">
        <v>23</v>
      </c>
      <c r="F80" s="57" t="s">
        <v>24</v>
      </c>
      <c r="G80" s="57"/>
      <c r="H80" s="52" t="s">
        <v>23</v>
      </c>
      <c r="I80" s="65">
        <v>645</v>
      </c>
      <c r="J80" s="65"/>
      <c r="K80" s="55" t="s">
        <v>18</v>
      </c>
      <c r="L80" s="56">
        <v>25877.65</v>
      </c>
    </row>
    <row r="81" spans="1:12" ht="91.8" hidden="1" x14ac:dyDescent="0.3">
      <c r="A81" s="50" t="s">
        <v>101</v>
      </c>
      <c r="B81" s="51" t="s">
        <v>130</v>
      </c>
      <c r="C81" s="51" t="s">
        <v>132</v>
      </c>
      <c r="D81" s="51" t="s">
        <v>106</v>
      </c>
      <c r="E81" s="52" t="s">
        <v>23</v>
      </c>
      <c r="F81" s="57" t="s">
        <v>24</v>
      </c>
      <c r="G81" s="57"/>
      <c r="H81" s="52" t="s">
        <v>23</v>
      </c>
      <c r="I81" s="58">
        <v>2771.1</v>
      </c>
      <c r="J81" s="58"/>
      <c r="K81" s="55" t="s">
        <v>18</v>
      </c>
      <c r="L81" s="56">
        <v>23106.55</v>
      </c>
    </row>
    <row r="82" spans="1:12" ht="81.599999999999994" hidden="1" x14ac:dyDescent="0.3">
      <c r="A82" s="50" t="s">
        <v>101</v>
      </c>
      <c r="B82" s="51" t="s">
        <v>130</v>
      </c>
      <c r="C82" s="51" t="s">
        <v>133</v>
      </c>
      <c r="D82" s="51" t="s">
        <v>107</v>
      </c>
      <c r="E82" s="52" t="s">
        <v>23</v>
      </c>
      <c r="F82" s="57" t="s">
        <v>24</v>
      </c>
      <c r="G82" s="57"/>
      <c r="H82" s="52" t="s">
        <v>23</v>
      </c>
      <c r="I82" s="58">
        <v>2035</v>
      </c>
      <c r="J82" s="58"/>
      <c r="K82" s="55" t="s">
        <v>18</v>
      </c>
      <c r="L82" s="56">
        <v>21071.55</v>
      </c>
    </row>
    <row r="83" spans="1:12" ht="81.599999999999994" hidden="1" x14ac:dyDescent="0.3">
      <c r="A83" s="50" t="s">
        <v>101</v>
      </c>
      <c r="B83" s="51" t="s">
        <v>130</v>
      </c>
      <c r="C83" s="51" t="s">
        <v>134</v>
      </c>
      <c r="D83" s="51" t="s">
        <v>108</v>
      </c>
      <c r="E83" s="52" t="s">
        <v>23</v>
      </c>
      <c r="F83" s="57" t="s">
        <v>24</v>
      </c>
      <c r="G83" s="57"/>
      <c r="H83" s="52" t="s">
        <v>23</v>
      </c>
      <c r="I83" s="58">
        <v>2140</v>
      </c>
      <c r="J83" s="58"/>
      <c r="K83" s="55" t="s">
        <v>18</v>
      </c>
      <c r="L83" s="56">
        <v>18931.55</v>
      </c>
    </row>
    <row r="84" spans="1:12" ht="81.599999999999994" hidden="1" x14ac:dyDescent="0.3">
      <c r="A84" s="50" t="s">
        <v>101</v>
      </c>
      <c r="B84" s="51" t="s">
        <v>130</v>
      </c>
      <c r="C84" s="51" t="s">
        <v>135</v>
      </c>
      <c r="D84" s="51" t="s">
        <v>109</v>
      </c>
      <c r="E84" s="52" t="s">
        <v>23</v>
      </c>
      <c r="F84" s="57" t="s">
        <v>24</v>
      </c>
      <c r="G84" s="57"/>
      <c r="H84" s="52" t="s">
        <v>23</v>
      </c>
      <c r="I84" s="58">
        <v>1195.8499999999999</v>
      </c>
      <c r="J84" s="58"/>
      <c r="K84" s="55" t="s">
        <v>18</v>
      </c>
      <c r="L84" s="56">
        <v>17735.7</v>
      </c>
    </row>
    <row r="85" spans="1:12" ht="91.8" hidden="1" x14ac:dyDescent="0.3">
      <c r="A85" s="50" t="s">
        <v>101</v>
      </c>
      <c r="B85" s="51" t="s">
        <v>130</v>
      </c>
      <c r="C85" s="51" t="s">
        <v>136</v>
      </c>
      <c r="D85" s="51" t="s">
        <v>110</v>
      </c>
      <c r="E85" s="52" t="s">
        <v>23</v>
      </c>
      <c r="F85" s="57" t="s">
        <v>24</v>
      </c>
      <c r="G85" s="57"/>
      <c r="H85" s="52" t="s">
        <v>23</v>
      </c>
      <c r="I85" s="65">
        <v>803.9</v>
      </c>
      <c r="J85" s="65"/>
      <c r="K85" s="55" t="s">
        <v>18</v>
      </c>
      <c r="L85" s="56">
        <v>16931.8</v>
      </c>
    </row>
    <row r="86" spans="1:12" ht="91.8" hidden="1" x14ac:dyDescent="0.3">
      <c r="A86" s="50" t="s">
        <v>101</v>
      </c>
      <c r="B86" s="51" t="s">
        <v>130</v>
      </c>
      <c r="C86" s="51" t="s">
        <v>137</v>
      </c>
      <c r="D86" s="51" t="s">
        <v>111</v>
      </c>
      <c r="E86" s="52" t="s">
        <v>23</v>
      </c>
      <c r="F86" s="57" t="s">
        <v>24</v>
      </c>
      <c r="G86" s="57"/>
      <c r="H86" s="52" t="s">
        <v>23</v>
      </c>
      <c r="I86" s="58">
        <v>1293.5999999999999</v>
      </c>
      <c r="J86" s="58"/>
      <c r="K86" s="55" t="s">
        <v>18</v>
      </c>
      <c r="L86" s="56">
        <v>15638.2</v>
      </c>
    </row>
    <row r="87" spans="1:12" ht="71.400000000000006" hidden="1" x14ac:dyDescent="0.3">
      <c r="A87" s="50" t="s">
        <v>101</v>
      </c>
      <c r="B87" s="51" t="s">
        <v>130</v>
      </c>
      <c r="C87" s="51" t="s">
        <v>138</v>
      </c>
      <c r="D87" s="51" t="s">
        <v>113</v>
      </c>
      <c r="E87" s="52" t="s">
        <v>23</v>
      </c>
      <c r="F87" s="57" t="s">
        <v>24</v>
      </c>
      <c r="G87" s="57"/>
      <c r="H87" s="52" t="s">
        <v>23</v>
      </c>
      <c r="I87" s="65">
        <v>420.8</v>
      </c>
      <c r="J87" s="65"/>
      <c r="K87" s="55" t="s">
        <v>18</v>
      </c>
      <c r="L87" s="56">
        <v>15217.4</v>
      </c>
    </row>
    <row r="88" spans="1:12" ht="91.8" hidden="1" x14ac:dyDescent="0.3">
      <c r="A88" s="50" t="s">
        <v>101</v>
      </c>
      <c r="B88" s="51" t="s">
        <v>130</v>
      </c>
      <c r="C88" s="51" t="s">
        <v>139</v>
      </c>
      <c r="D88" s="51" t="s">
        <v>114</v>
      </c>
      <c r="E88" s="52" t="s">
        <v>23</v>
      </c>
      <c r="F88" s="57" t="s">
        <v>24</v>
      </c>
      <c r="G88" s="57"/>
      <c r="H88" s="52" t="s">
        <v>23</v>
      </c>
      <c r="I88" s="65">
        <v>780.5</v>
      </c>
      <c r="J88" s="65"/>
      <c r="K88" s="55" t="s">
        <v>18</v>
      </c>
      <c r="L88" s="56">
        <v>14436.9</v>
      </c>
    </row>
    <row r="89" spans="1:12" ht="91.8" hidden="1" x14ac:dyDescent="0.3">
      <c r="A89" s="50" t="s">
        <v>101</v>
      </c>
      <c r="B89" s="51" t="s">
        <v>130</v>
      </c>
      <c r="C89" s="51" t="s">
        <v>140</v>
      </c>
      <c r="D89" s="51" t="s">
        <v>115</v>
      </c>
      <c r="E89" s="52" t="s">
        <v>23</v>
      </c>
      <c r="F89" s="57" t="s">
        <v>24</v>
      </c>
      <c r="G89" s="57"/>
      <c r="H89" s="52" t="s">
        <v>23</v>
      </c>
      <c r="I89" s="65">
        <v>367</v>
      </c>
      <c r="J89" s="65"/>
      <c r="K89" s="55" t="s">
        <v>18</v>
      </c>
      <c r="L89" s="56">
        <v>14069.9</v>
      </c>
    </row>
    <row r="90" spans="1:12" ht="71.400000000000006" hidden="1" x14ac:dyDescent="0.3">
      <c r="A90" s="50" t="s">
        <v>101</v>
      </c>
      <c r="B90" s="51" t="s">
        <v>141</v>
      </c>
      <c r="C90" s="51" t="s">
        <v>142</v>
      </c>
      <c r="D90" s="51" t="s">
        <v>116</v>
      </c>
      <c r="E90" s="52" t="s">
        <v>23</v>
      </c>
      <c r="F90" s="57" t="s">
        <v>24</v>
      </c>
      <c r="G90" s="57"/>
      <c r="H90" s="52" t="s">
        <v>23</v>
      </c>
      <c r="I90" s="65">
        <v>193.5</v>
      </c>
      <c r="J90" s="65"/>
      <c r="K90" s="55" t="s">
        <v>18</v>
      </c>
      <c r="L90" s="56">
        <v>13876.4</v>
      </c>
    </row>
    <row r="91" spans="1:12" ht="71.400000000000006" hidden="1" x14ac:dyDescent="0.3">
      <c r="A91" s="50" t="s">
        <v>101</v>
      </c>
      <c r="B91" s="51" t="s">
        <v>141</v>
      </c>
      <c r="C91" s="51" t="s">
        <v>143</v>
      </c>
      <c r="D91" s="51" t="s">
        <v>117</v>
      </c>
      <c r="E91" s="52" t="s">
        <v>23</v>
      </c>
      <c r="F91" s="57" t="s">
        <v>24</v>
      </c>
      <c r="G91" s="57"/>
      <c r="H91" s="52" t="s">
        <v>23</v>
      </c>
      <c r="I91" s="65">
        <v>94.75</v>
      </c>
      <c r="J91" s="65"/>
      <c r="K91" s="55" t="s">
        <v>18</v>
      </c>
      <c r="L91" s="56">
        <v>13781.65</v>
      </c>
    </row>
    <row r="92" spans="1:12" ht="71.400000000000006" hidden="1" x14ac:dyDescent="0.3">
      <c r="A92" s="50" t="s">
        <v>101</v>
      </c>
      <c r="B92" s="51" t="s">
        <v>141</v>
      </c>
      <c r="C92" s="51" t="s">
        <v>144</v>
      </c>
      <c r="D92" s="51" t="s">
        <v>118</v>
      </c>
      <c r="E92" s="52" t="s">
        <v>23</v>
      </c>
      <c r="F92" s="57" t="s">
        <v>24</v>
      </c>
      <c r="G92" s="57"/>
      <c r="H92" s="52" t="s">
        <v>23</v>
      </c>
      <c r="I92" s="65">
        <v>110.9</v>
      </c>
      <c r="J92" s="65"/>
      <c r="K92" s="55" t="s">
        <v>18</v>
      </c>
      <c r="L92" s="56">
        <v>13670.75</v>
      </c>
    </row>
    <row r="93" spans="1:12" ht="81.599999999999994" hidden="1" x14ac:dyDescent="0.3">
      <c r="A93" s="50" t="s">
        <v>101</v>
      </c>
      <c r="B93" s="51" t="s">
        <v>141</v>
      </c>
      <c r="C93" s="51" t="s">
        <v>145</v>
      </c>
      <c r="D93" s="51" t="s">
        <v>119</v>
      </c>
      <c r="E93" s="52" t="s">
        <v>23</v>
      </c>
      <c r="F93" s="57" t="s">
        <v>24</v>
      </c>
      <c r="G93" s="57"/>
      <c r="H93" s="52" t="s">
        <v>23</v>
      </c>
      <c r="I93" s="65">
        <v>301.55</v>
      </c>
      <c r="J93" s="65"/>
      <c r="K93" s="55" t="s">
        <v>18</v>
      </c>
      <c r="L93" s="56">
        <v>13369.2</v>
      </c>
    </row>
    <row r="94" spans="1:12" ht="61.2" hidden="1" x14ac:dyDescent="0.3">
      <c r="A94" s="50" t="s">
        <v>101</v>
      </c>
      <c r="B94" s="51" t="s">
        <v>141</v>
      </c>
      <c r="C94" s="51" t="s">
        <v>146</v>
      </c>
      <c r="D94" s="51" t="s">
        <v>120</v>
      </c>
      <c r="E94" s="52" t="s">
        <v>23</v>
      </c>
      <c r="F94" s="57" t="s">
        <v>24</v>
      </c>
      <c r="G94" s="57"/>
      <c r="H94" s="52" t="s">
        <v>23</v>
      </c>
      <c r="I94" s="65">
        <v>159.94999999999999</v>
      </c>
      <c r="J94" s="65"/>
      <c r="K94" s="55" t="s">
        <v>18</v>
      </c>
      <c r="L94" s="56">
        <v>13209.25</v>
      </c>
    </row>
    <row r="95" spans="1:12" ht="81.599999999999994" hidden="1" x14ac:dyDescent="0.3">
      <c r="A95" s="50" t="s">
        <v>101</v>
      </c>
      <c r="B95" s="51" t="s">
        <v>141</v>
      </c>
      <c r="C95" s="51" t="s">
        <v>147</v>
      </c>
      <c r="D95" s="51" t="s">
        <v>121</v>
      </c>
      <c r="E95" s="52" t="s">
        <v>23</v>
      </c>
      <c r="F95" s="57" t="s">
        <v>24</v>
      </c>
      <c r="G95" s="57"/>
      <c r="H95" s="52" t="s">
        <v>23</v>
      </c>
      <c r="I95" s="65">
        <v>446.4</v>
      </c>
      <c r="J95" s="65"/>
      <c r="K95" s="55" t="s">
        <v>18</v>
      </c>
      <c r="L95" s="56">
        <v>12762.85</v>
      </c>
    </row>
    <row r="96" spans="1:12" ht="61.2" hidden="1" x14ac:dyDescent="0.3">
      <c r="A96" s="50" t="s">
        <v>101</v>
      </c>
      <c r="B96" s="51" t="s">
        <v>141</v>
      </c>
      <c r="C96" s="51" t="s">
        <v>148</v>
      </c>
      <c r="D96" s="51" t="s">
        <v>122</v>
      </c>
      <c r="E96" s="52" t="s">
        <v>23</v>
      </c>
      <c r="F96" s="57" t="s">
        <v>24</v>
      </c>
      <c r="G96" s="57"/>
      <c r="H96" s="52" t="s">
        <v>23</v>
      </c>
      <c r="I96" s="65">
        <v>164.8</v>
      </c>
      <c r="J96" s="65"/>
      <c r="K96" s="55" t="s">
        <v>18</v>
      </c>
      <c r="L96" s="56">
        <v>12598.05</v>
      </c>
    </row>
    <row r="97" spans="1:12" ht="61.2" hidden="1" x14ac:dyDescent="0.3">
      <c r="A97" s="50" t="s">
        <v>101</v>
      </c>
      <c r="B97" s="51" t="s">
        <v>141</v>
      </c>
      <c r="C97" s="51" t="s">
        <v>149</v>
      </c>
      <c r="D97" s="51" t="s">
        <v>64</v>
      </c>
      <c r="E97" s="52" t="s">
        <v>23</v>
      </c>
      <c r="F97" s="57" t="s">
        <v>24</v>
      </c>
      <c r="G97" s="57"/>
      <c r="H97" s="52" t="s">
        <v>23</v>
      </c>
      <c r="I97" s="65">
        <v>182.9</v>
      </c>
      <c r="J97" s="65"/>
      <c r="K97" s="55" t="s">
        <v>18</v>
      </c>
      <c r="L97" s="56">
        <v>12415.15</v>
      </c>
    </row>
    <row r="98" spans="1:12" ht="71.400000000000006" hidden="1" x14ac:dyDescent="0.3">
      <c r="A98" s="50" t="s">
        <v>101</v>
      </c>
      <c r="B98" s="51" t="s">
        <v>141</v>
      </c>
      <c r="C98" s="51" t="s">
        <v>150</v>
      </c>
      <c r="D98" s="51" t="s">
        <v>124</v>
      </c>
      <c r="E98" s="52" t="s">
        <v>23</v>
      </c>
      <c r="F98" s="57" t="s">
        <v>24</v>
      </c>
      <c r="G98" s="57"/>
      <c r="H98" s="52" t="s">
        <v>23</v>
      </c>
      <c r="I98" s="65">
        <v>88.45</v>
      </c>
      <c r="J98" s="65"/>
      <c r="K98" s="55" t="s">
        <v>18</v>
      </c>
      <c r="L98" s="56">
        <v>12326.7</v>
      </c>
    </row>
    <row r="99" spans="1:12" ht="71.400000000000006" hidden="1" x14ac:dyDescent="0.3">
      <c r="A99" s="50" t="s">
        <v>101</v>
      </c>
      <c r="B99" s="51" t="s">
        <v>141</v>
      </c>
      <c r="C99" s="51" t="s">
        <v>151</v>
      </c>
      <c r="D99" s="51" t="s">
        <v>125</v>
      </c>
      <c r="E99" s="52" t="s">
        <v>23</v>
      </c>
      <c r="F99" s="57" t="s">
        <v>24</v>
      </c>
      <c r="G99" s="57"/>
      <c r="H99" s="52" t="s">
        <v>23</v>
      </c>
      <c r="I99" s="58">
        <v>1135</v>
      </c>
      <c r="J99" s="58"/>
      <c r="K99" s="55" t="s">
        <v>18</v>
      </c>
      <c r="L99" s="56">
        <v>11191.7</v>
      </c>
    </row>
    <row r="100" spans="1:12" ht="71.400000000000006" x14ac:dyDescent="0.3">
      <c r="A100" s="50" t="s">
        <v>32</v>
      </c>
      <c r="B100" s="51" t="s">
        <v>152</v>
      </c>
      <c r="C100" s="51" t="s">
        <v>34</v>
      </c>
      <c r="D100" s="51" t="s">
        <v>88</v>
      </c>
      <c r="E100" s="52" t="s">
        <v>35</v>
      </c>
      <c r="F100" s="57" t="s">
        <v>24</v>
      </c>
      <c r="G100" s="57"/>
      <c r="H100" s="52" t="s">
        <v>23</v>
      </c>
      <c r="I100" s="65">
        <v>117</v>
      </c>
      <c r="J100" s="65"/>
      <c r="K100" s="55" t="s">
        <v>18</v>
      </c>
      <c r="L100" s="56">
        <v>11074.7</v>
      </c>
    </row>
    <row r="101" spans="1:12" ht="71.400000000000006" x14ac:dyDescent="0.3">
      <c r="A101" s="50" t="s">
        <v>32</v>
      </c>
      <c r="B101" s="51" t="s">
        <v>153</v>
      </c>
      <c r="C101" s="51" t="s">
        <v>34</v>
      </c>
      <c r="D101" s="51" t="s">
        <v>49</v>
      </c>
      <c r="E101" s="52" t="s">
        <v>35</v>
      </c>
      <c r="F101" s="57" t="s">
        <v>24</v>
      </c>
      <c r="G101" s="57"/>
      <c r="H101" s="52" t="s">
        <v>23</v>
      </c>
      <c r="I101" s="58">
        <v>1917</v>
      </c>
      <c r="J101" s="58"/>
      <c r="K101" s="55" t="s">
        <v>18</v>
      </c>
      <c r="L101" s="56">
        <v>9157.7000000000007</v>
      </c>
    </row>
    <row r="102" spans="1:12" ht="71.400000000000006" hidden="1" x14ac:dyDescent="0.3">
      <c r="A102" s="50" t="s">
        <v>32</v>
      </c>
      <c r="B102" s="51" t="s">
        <v>154</v>
      </c>
      <c r="C102" s="51" t="s">
        <v>155</v>
      </c>
      <c r="D102" s="51" t="s">
        <v>156</v>
      </c>
      <c r="E102" s="52" t="s">
        <v>23</v>
      </c>
      <c r="F102" s="53">
        <v>2433.8000000000002</v>
      </c>
      <c r="G102" s="53"/>
      <c r="H102" s="52" t="s">
        <v>23</v>
      </c>
      <c r="I102" s="54" t="s">
        <v>24</v>
      </c>
      <c r="J102" s="54"/>
      <c r="K102" s="55" t="s">
        <v>18</v>
      </c>
      <c r="L102" s="56">
        <v>11591.5</v>
      </c>
    </row>
    <row r="103" spans="1:12" ht="71.400000000000006" x14ac:dyDescent="0.3">
      <c r="A103" s="50" t="s">
        <v>32</v>
      </c>
      <c r="B103" s="51" t="s">
        <v>157</v>
      </c>
      <c r="C103" s="51" t="s">
        <v>34</v>
      </c>
      <c r="D103" s="51" t="s">
        <v>82</v>
      </c>
      <c r="E103" s="52" t="s">
        <v>35</v>
      </c>
      <c r="F103" s="57" t="s">
        <v>24</v>
      </c>
      <c r="G103" s="57"/>
      <c r="H103" s="52" t="s">
        <v>23</v>
      </c>
      <c r="I103" s="65">
        <v>104.8</v>
      </c>
      <c r="J103" s="65"/>
      <c r="K103" s="55" t="s">
        <v>18</v>
      </c>
      <c r="L103" s="56">
        <v>11486.7</v>
      </c>
    </row>
    <row r="104" spans="1:12" ht="71.400000000000006" x14ac:dyDescent="0.3">
      <c r="A104" s="50" t="s">
        <v>32</v>
      </c>
      <c r="B104" s="51" t="s">
        <v>157</v>
      </c>
      <c r="C104" s="51" t="s">
        <v>34</v>
      </c>
      <c r="D104" s="51" t="s">
        <v>79</v>
      </c>
      <c r="E104" s="52" t="s">
        <v>35</v>
      </c>
      <c r="F104" s="57" t="s">
        <v>24</v>
      </c>
      <c r="G104" s="57"/>
      <c r="H104" s="52" t="s">
        <v>23</v>
      </c>
      <c r="I104" s="65">
        <v>161.69999999999999</v>
      </c>
      <c r="J104" s="65"/>
      <c r="K104" s="55" t="s">
        <v>18</v>
      </c>
      <c r="L104" s="56">
        <v>11325</v>
      </c>
    </row>
    <row r="105" spans="1:12" ht="71.400000000000006" x14ac:dyDescent="0.3">
      <c r="A105" s="50" t="s">
        <v>32</v>
      </c>
      <c r="B105" s="51" t="s">
        <v>157</v>
      </c>
      <c r="C105" s="51" t="s">
        <v>34</v>
      </c>
      <c r="D105" s="51" t="s">
        <v>80</v>
      </c>
      <c r="E105" s="52" t="s">
        <v>35</v>
      </c>
      <c r="F105" s="57" t="s">
        <v>24</v>
      </c>
      <c r="G105" s="57"/>
      <c r="H105" s="52" t="s">
        <v>23</v>
      </c>
      <c r="I105" s="65">
        <v>185.1</v>
      </c>
      <c r="J105" s="65"/>
      <c r="K105" s="55" t="s">
        <v>18</v>
      </c>
      <c r="L105" s="56">
        <v>11139.9</v>
      </c>
    </row>
    <row r="106" spans="1:12" ht="71.400000000000006" x14ac:dyDescent="0.3">
      <c r="A106" s="50" t="s">
        <v>32</v>
      </c>
      <c r="B106" s="51" t="s">
        <v>157</v>
      </c>
      <c r="C106" s="51" t="s">
        <v>34</v>
      </c>
      <c r="D106" s="51" t="s">
        <v>74</v>
      </c>
      <c r="E106" s="52" t="s">
        <v>35</v>
      </c>
      <c r="F106" s="57" t="s">
        <v>24</v>
      </c>
      <c r="G106" s="57"/>
      <c r="H106" s="52" t="s">
        <v>23</v>
      </c>
      <c r="I106" s="58">
        <v>2820</v>
      </c>
      <c r="J106" s="58"/>
      <c r="K106" s="55" t="s">
        <v>18</v>
      </c>
      <c r="L106" s="56">
        <v>8319.9</v>
      </c>
    </row>
    <row r="107" spans="1:12" ht="71.400000000000006" x14ac:dyDescent="0.3">
      <c r="A107" s="50" t="s">
        <v>32</v>
      </c>
      <c r="B107" s="51" t="s">
        <v>157</v>
      </c>
      <c r="C107" s="51" t="s">
        <v>34</v>
      </c>
      <c r="D107" s="51" t="s">
        <v>64</v>
      </c>
      <c r="E107" s="52" t="s">
        <v>35</v>
      </c>
      <c r="F107" s="57" t="s">
        <v>24</v>
      </c>
      <c r="G107" s="57"/>
      <c r="H107" s="52" t="s">
        <v>23</v>
      </c>
      <c r="I107" s="58">
        <v>1646.1</v>
      </c>
      <c r="J107" s="58"/>
      <c r="K107" s="55" t="s">
        <v>18</v>
      </c>
      <c r="L107" s="56">
        <v>6673.8</v>
      </c>
    </row>
    <row r="108" spans="1:12" ht="71.400000000000006" x14ac:dyDescent="0.3">
      <c r="A108" s="50" t="s">
        <v>32</v>
      </c>
      <c r="B108" s="51" t="s">
        <v>157</v>
      </c>
      <c r="C108" s="51" t="s">
        <v>34</v>
      </c>
      <c r="D108" s="51" t="s">
        <v>123</v>
      </c>
      <c r="E108" s="52" t="s">
        <v>35</v>
      </c>
      <c r="F108" s="57" t="s">
        <v>24</v>
      </c>
      <c r="G108" s="57"/>
      <c r="H108" s="52" t="s">
        <v>23</v>
      </c>
      <c r="I108" s="65">
        <v>182.9</v>
      </c>
      <c r="J108" s="65"/>
      <c r="K108" s="55" t="s">
        <v>18</v>
      </c>
      <c r="L108" s="56">
        <v>6490.9</v>
      </c>
    </row>
    <row r="109" spans="1:12" ht="71.400000000000006" x14ac:dyDescent="0.3">
      <c r="A109" s="50" t="s">
        <v>32</v>
      </c>
      <c r="B109" s="51" t="s">
        <v>157</v>
      </c>
      <c r="C109" s="51" t="s">
        <v>34</v>
      </c>
      <c r="D109" s="51" t="s">
        <v>155</v>
      </c>
      <c r="E109" s="52" t="s">
        <v>35</v>
      </c>
      <c r="F109" s="57" t="s">
        <v>24</v>
      </c>
      <c r="G109" s="57"/>
      <c r="H109" s="52" t="s">
        <v>23</v>
      </c>
      <c r="I109" s="58">
        <v>2433.8000000000002</v>
      </c>
      <c r="J109" s="58"/>
      <c r="K109" s="55" t="s">
        <v>18</v>
      </c>
      <c r="L109" s="56">
        <v>4057.1</v>
      </c>
    </row>
    <row r="110" spans="1:12" ht="71.400000000000006" x14ac:dyDescent="0.3">
      <c r="A110" s="50" t="s">
        <v>32</v>
      </c>
      <c r="B110" s="51" t="s">
        <v>158</v>
      </c>
      <c r="C110" s="51" t="s">
        <v>34</v>
      </c>
      <c r="D110" s="51" t="s">
        <v>72</v>
      </c>
      <c r="E110" s="52" t="s">
        <v>35</v>
      </c>
      <c r="F110" s="57" t="s">
        <v>24</v>
      </c>
      <c r="G110" s="57"/>
      <c r="H110" s="52" t="s">
        <v>23</v>
      </c>
      <c r="I110" s="65">
        <v>595</v>
      </c>
      <c r="J110" s="65"/>
      <c r="K110" s="55" t="s">
        <v>18</v>
      </c>
      <c r="L110" s="56">
        <v>3462.1</v>
      </c>
    </row>
    <row r="111" spans="1:12" ht="71.400000000000006" x14ac:dyDescent="0.3">
      <c r="A111" s="50" t="s">
        <v>32</v>
      </c>
      <c r="B111" s="51" t="s">
        <v>159</v>
      </c>
      <c r="C111" s="51" t="s">
        <v>34</v>
      </c>
      <c r="D111" s="51" t="s">
        <v>48</v>
      </c>
      <c r="E111" s="52" t="s">
        <v>35</v>
      </c>
      <c r="F111" s="57" t="s">
        <v>24</v>
      </c>
      <c r="G111" s="57"/>
      <c r="H111" s="52" t="s">
        <v>23</v>
      </c>
      <c r="I111" s="65">
        <v>334</v>
      </c>
      <c r="J111" s="65"/>
      <c r="K111" s="55" t="s">
        <v>18</v>
      </c>
      <c r="L111" s="56">
        <v>3128.1</v>
      </c>
    </row>
    <row r="112" spans="1:12" ht="71.400000000000006" x14ac:dyDescent="0.3">
      <c r="A112" s="50" t="s">
        <v>32</v>
      </c>
      <c r="B112" s="51" t="s">
        <v>159</v>
      </c>
      <c r="C112" s="51" t="s">
        <v>34</v>
      </c>
      <c r="D112" s="51" t="s">
        <v>75</v>
      </c>
      <c r="E112" s="52" t="s">
        <v>35</v>
      </c>
      <c r="F112" s="57" t="s">
        <v>24</v>
      </c>
      <c r="G112" s="57"/>
      <c r="H112" s="52" t="s">
        <v>23</v>
      </c>
      <c r="I112" s="65">
        <v>526.5</v>
      </c>
      <c r="J112" s="65"/>
      <c r="K112" s="55" t="s">
        <v>18</v>
      </c>
      <c r="L112" s="56">
        <v>2601.6</v>
      </c>
    </row>
    <row r="113" spans="1:12" ht="71.400000000000006" x14ac:dyDescent="0.3">
      <c r="A113" s="50" t="s">
        <v>32</v>
      </c>
      <c r="B113" s="51" t="s">
        <v>160</v>
      </c>
      <c r="C113" s="51" t="s">
        <v>34</v>
      </c>
      <c r="D113" s="51" t="s">
        <v>63</v>
      </c>
      <c r="E113" s="52" t="s">
        <v>35</v>
      </c>
      <c r="F113" s="57" t="s">
        <v>24</v>
      </c>
      <c r="G113" s="57"/>
      <c r="H113" s="52" t="s">
        <v>23</v>
      </c>
      <c r="I113" s="65">
        <v>186.5</v>
      </c>
      <c r="J113" s="65"/>
      <c r="K113" s="55" t="s">
        <v>18</v>
      </c>
      <c r="L113" s="56">
        <v>2415.1</v>
      </c>
    </row>
    <row r="114" spans="1:12" ht="71.400000000000006" x14ac:dyDescent="0.3">
      <c r="A114" s="50" t="s">
        <v>32</v>
      </c>
      <c r="B114" s="51" t="s">
        <v>161</v>
      </c>
      <c r="C114" s="51" t="s">
        <v>34</v>
      </c>
      <c r="D114" s="51" t="s">
        <v>162</v>
      </c>
      <c r="E114" s="52" t="s">
        <v>35</v>
      </c>
      <c r="F114" s="57" t="s">
        <v>24</v>
      </c>
      <c r="G114" s="57"/>
      <c r="H114" s="52" t="s">
        <v>23</v>
      </c>
      <c r="I114" s="65">
        <v>496.1</v>
      </c>
      <c r="J114" s="65"/>
      <c r="K114" s="55" t="s">
        <v>18</v>
      </c>
      <c r="L114" s="56">
        <v>1919</v>
      </c>
    </row>
    <row r="115" spans="1:12" hidden="1" x14ac:dyDescent="0.3">
      <c r="A115" s="60" t="s">
        <v>40</v>
      </c>
      <c r="B115" s="60"/>
      <c r="C115" s="60"/>
      <c r="D115" s="60"/>
      <c r="E115" s="61">
        <v>68034.100000000006</v>
      </c>
      <c r="F115" s="61"/>
      <c r="G115" s="61"/>
      <c r="H115" s="61">
        <v>68088.7</v>
      </c>
      <c r="I115" s="61"/>
      <c r="J115" s="61"/>
      <c r="K115" s="62" t="s">
        <v>18</v>
      </c>
      <c r="L115" s="66">
        <v>1919</v>
      </c>
    </row>
    <row r="117" spans="1:12" x14ac:dyDescent="0.3">
      <c r="J117" s="236">
        <f>SUBTOTAL(9,I42:J114)</f>
        <v>17531.8</v>
      </c>
    </row>
  </sheetData>
  <autoFilter ref="A1:L115" xr:uid="{E02BB5E3-C57B-4581-9EC0-29B765500D8C}">
    <filterColumn colId="1">
      <filters>
        <filter val="Авансовий звіт ІБ00-000116 від 19.05.2025 15:48:32_x000a_Оприходованы ТМЦ"/>
        <filter val="Передача малоцінних активів в експлуатацію ІБ00-000220 від 22.05.2025 13:21:56_x000a_Списание стоимости малоценных активов"/>
        <filter val="Передача малоцінних активів в експлуатацію ІБ00-000222 від 22.05.2025 14:05:23_x000a_Списание стоимости малоценных активов"/>
        <filter val="Передача малоцінних активів в експлуатацію ІБ00-000225 від 22.05.2025 15:29:39_x000a_Списание стоимости малоценных активов"/>
        <filter val="Передача малоцінних активів в експлуатацію ІБ00-000226 від 22.05.2025 16:12:52_x000a_Списание стоимости малоценных активов"/>
        <filter val="Передача малоцінних активів в експлуатацію ІБ00-000236 від 29.05.2025 12:07:42_x000a_Списание стоимости малоценных активов"/>
        <filter val="Передача малоцінних активів в експлуатацію ІБ00-000238 від 29.05.2025 12:36:18_x000a_Списание стоимости малоценных активов"/>
        <filter val="Передача малоцінних активів в експлуатацію ІБ00-000239 від 29.05.2025 13:34:58_x000a_Списание стоимости малоценных активов"/>
        <filter val="Передача малоцінних активів в експлуатацію ІБ00-000241 від 29.05.2025 15:27:49_x000a_Списание стоимости малоценных активов"/>
        <filter val="Передача малоцінних активів в експлуатацію ІБ00-000242 від 29.05.2025 15:46:57_x000a_Списание стоимости малоценных активов"/>
        <filter val="Передача малоцінних активів в експлуатацію ІБ00-000252 від 29.05.2025 21:00:28_x000a_Списание стоимости малоценных активов"/>
        <filter val="Передача малоцінних активів в експлуатацію ІБ00-000254 від 29.05.2025 21:10:03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36">
    <mergeCell ref="F113:G113"/>
    <mergeCell ref="I113:J113"/>
    <mergeCell ref="F114:G114"/>
    <mergeCell ref="I114:J114"/>
    <mergeCell ref="A115:D115"/>
    <mergeCell ref="E115:G115"/>
    <mergeCell ref="H115:J115"/>
    <mergeCell ref="F110:G110"/>
    <mergeCell ref="I110:J110"/>
    <mergeCell ref="F111:G111"/>
    <mergeCell ref="I111:J111"/>
    <mergeCell ref="F112:G112"/>
    <mergeCell ref="I112:J112"/>
    <mergeCell ref="F107:G107"/>
    <mergeCell ref="I107:J107"/>
    <mergeCell ref="F108:G108"/>
    <mergeCell ref="I108:J108"/>
    <mergeCell ref="F109:G109"/>
    <mergeCell ref="I109:J109"/>
    <mergeCell ref="F104:G104"/>
    <mergeCell ref="I104:J104"/>
    <mergeCell ref="F105:G105"/>
    <mergeCell ref="I105:J105"/>
    <mergeCell ref="F106:G106"/>
    <mergeCell ref="I106:J106"/>
    <mergeCell ref="F101:G101"/>
    <mergeCell ref="I101:J101"/>
    <mergeCell ref="F102:G102"/>
    <mergeCell ref="I102:J102"/>
    <mergeCell ref="F103:G103"/>
    <mergeCell ref="I103:J103"/>
    <mergeCell ref="F98:G98"/>
    <mergeCell ref="I98:J98"/>
    <mergeCell ref="F99:G99"/>
    <mergeCell ref="I99:J99"/>
    <mergeCell ref="F100:G100"/>
    <mergeCell ref="I100:J100"/>
    <mergeCell ref="F95:G95"/>
    <mergeCell ref="I95:J95"/>
    <mergeCell ref="F96:G96"/>
    <mergeCell ref="I96:J96"/>
    <mergeCell ref="F97:G97"/>
    <mergeCell ref="I97:J97"/>
    <mergeCell ref="F92:G92"/>
    <mergeCell ref="I92:J92"/>
    <mergeCell ref="F93:G93"/>
    <mergeCell ref="I93:J93"/>
    <mergeCell ref="F94:G94"/>
    <mergeCell ref="I94:J94"/>
    <mergeCell ref="F89:G89"/>
    <mergeCell ref="I89:J89"/>
    <mergeCell ref="F90:G90"/>
    <mergeCell ref="I90:J90"/>
    <mergeCell ref="F91:G91"/>
    <mergeCell ref="I91:J91"/>
    <mergeCell ref="F86:G86"/>
    <mergeCell ref="I86:J86"/>
    <mergeCell ref="F87:G87"/>
    <mergeCell ref="I87:J87"/>
    <mergeCell ref="F88:G88"/>
    <mergeCell ref="I88:J88"/>
    <mergeCell ref="F83:G83"/>
    <mergeCell ref="I83:J83"/>
    <mergeCell ref="F84:G84"/>
    <mergeCell ref="I84:J84"/>
    <mergeCell ref="F85:G85"/>
    <mergeCell ref="I85:J85"/>
    <mergeCell ref="F80:G80"/>
    <mergeCell ref="I80:J80"/>
    <mergeCell ref="F81:G81"/>
    <mergeCell ref="I81:J81"/>
    <mergeCell ref="F82:G82"/>
    <mergeCell ref="I82:J82"/>
    <mergeCell ref="F77:G77"/>
    <mergeCell ref="I77:J77"/>
    <mergeCell ref="F78:G78"/>
    <mergeCell ref="I78:J78"/>
    <mergeCell ref="F79:G79"/>
    <mergeCell ref="I79:J79"/>
    <mergeCell ref="F74:G74"/>
    <mergeCell ref="I74:J74"/>
    <mergeCell ref="F75:G75"/>
    <mergeCell ref="I75:J75"/>
    <mergeCell ref="F76:G76"/>
    <mergeCell ref="I76:J76"/>
    <mergeCell ref="F71:G71"/>
    <mergeCell ref="I71:J71"/>
    <mergeCell ref="F72:G72"/>
    <mergeCell ref="I72:J72"/>
    <mergeCell ref="F73:G73"/>
    <mergeCell ref="I73:J73"/>
    <mergeCell ref="F68:G68"/>
    <mergeCell ref="I68:J68"/>
    <mergeCell ref="F69:G69"/>
    <mergeCell ref="I69:J69"/>
    <mergeCell ref="F70:G70"/>
    <mergeCell ref="I70:J70"/>
    <mergeCell ref="F65:G65"/>
    <mergeCell ref="I65:J65"/>
    <mergeCell ref="F66:G66"/>
    <mergeCell ref="I66:J66"/>
    <mergeCell ref="F67:G67"/>
    <mergeCell ref="I67:J67"/>
    <mergeCell ref="F62:G62"/>
    <mergeCell ref="I62:J62"/>
    <mergeCell ref="F63:G63"/>
    <mergeCell ref="I63:J63"/>
    <mergeCell ref="F64:G64"/>
    <mergeCell ref="I64:J64"/>
    <mergeCell ref="F59:G59"/>
    <mergeCell ref="I59:J59"/>
    <mergeCell ref="F60:G60"/>
    <mergeCell ref="I60:J60"/>
    <mergeCell ref="F61:G61"/>
    <mergeCell ref="I61:J61"/>
    <mergeCell ref="F56:G56"/>
    <mergeCell ref="I56:J56"/>
    <mergeCell ref="F57:G57"/>
    <mergeCell ref="I57:J57"/>
    <mergeCell ref="F58:G58"/>
    <mergeCell ref="I58:J58"/>
    <mergeCell ref="F53:G53"/>
    <mergeCell ref="I53:J53"/>
    <mergeCell ref="F54:G54"/>
    <mergeCell ref="I54:J54"/>
    <mergeCell ref="F55:G55"/>
    <mergeCell ref="I55:J55"/>
    <mergeCell ref="F50:G50"/>
    <mergeCell ref="I50:J50"/>
    <mergeCell ref="F51:G51"/>
    <mergeCell ref="I51:J51"/>
    <mergeCell ref="F52:G52"/>
    <mergeCell ref="I52:J52"/>
    <mergeCell ref="F47:G47"/>
    <mergeCell ref="I47:J47"/>
    <mergeCell ref="F48:G48"/>
    <mergeCell ref="I48:J48"/>
    <mergeCell ref="F49:G49"/>
    <mergeCell ref="I49:J49"/>
    <mergeCell ref="F44:G44"/>
    <mergeCell ref="I44:J44"/>
    <mergeCell ref="F45:G45"/>
    <mergeCell ref="I45:J45"/>
    <mergeCell ref="F46:G46"/>
    <mergeCell ref="I46:J46"/>
    <mergeCell ref="F41:G41"/>
    <mergeCell ref="I41:J41"/>
    <mergeCell ref="F42:G42"/>
    <mergeCell ref="I42:J42"/>
    <mergeCell ref="F43:G43"/>
    <mergeCell ref="I43:J43"/>
    <mergeCell ref="F38:G38"/>
    <mergeCell ref="I38:J38"/>
    <mergeCell ref="F39:G39"/>
    <mergeCell ref="I39:J39"/>
    <mergeCell ref="F40:G40"/>
    <mergeCell ref="I40:J40"/>
    <mergeCell ref="F35:G35"/>
    <mergeCell ref="I35:J35"/>
    <mergeCell ref="F36:G36"/>
    <mergeCell ref="I36:J36"/>
    <mergeCell ref="F37:G37"/>
    <mergeCell ref="I37:J37"/>
    <mergeCell ref="F32:G32"/>
    <mergeCell ref="I32:J32"/>
    <mergeCell ref="F33:G33"/>
    <mergeCell ref="I33:J33"/>
    <mergeCell ref="F34:G34"/>
    <mergeCell ref="I34:J34"/>
    <mergeCell ref="F29:G29"/>
    <mergeCell ref="I29:J29"/>
    <mergeCell ref="F30:G30"/>
    <mergeCell ref="I30:J30"/>
    <mergeCell ref="F31:G31"/>
    <mergeCell ref="I31:J31"/>
    <mergeCell ref="F26:G26"/>
    <mergeCell ref="I26:J26"/>
    <mergeCell ref="F27:G27"/>
    <mergeCell ref="I27:J27"/>
    <mergeCell ref="F28:G28"/>
    <mergeCell ref="I28:J28"/>
    <mergeCell ref="F23:G23"/>
    <mergeCell ref="I23:J23"/>
    <mergeCell ref="F24:G24"/>
    <mergeCell ref="I24:J24"/>
    <mergeCell ref="F25:G25"/>
    <mergeCell ref="I25:J25"/>
    <mergeCell ref="F20:G20"/>
    <mergeCell ref="I20:J20"/>
    <mergeCell ref="F21:G21"/>
    <mergeCell ref="I21:J21"/>
    <mergeCell ref="F22:G22"/>
    <mergeCell ref="I22:J22"/>
    <mergeCell ref="F17:G17"/>
    <mergeCell ref="I17:J17"/>
    <mergeCell ref="F18:G18"/>
    <mergeCell ref="I18:J18"/>
    <mergeCell ref="F19:G19"/>
    <mergeCell ref="I19:J19"/>
    <mergeCell ref="F14:G14"/>
    <mergeCell ref="I14:J14"/>
    <mergeCell ref="F15:G15"/>
    <mergeCell ref="I15:J15"/>
    <mergeCell ref="F16:G16"/>
    <mergeCell ref="I16:J16"/>
    <mergeCell ref="F11:G11"/>
    <mergeCell ref="I11:J11"/>
    <mergeCell ref="F12:G12"/>
    <mergeCell ref="I12:J12"/>
    <mergeCell ref="F13:G13"/>
    <mergeCell ref="I13:J13"/>
    <mergeCell ref="F8:G8"/>
    <mergeCell ref="I8:J8"/>
    <mergeCell ref="F9:G9"/>
    <mergeCell ref="I9:J9"/>
    <mergeCell ref="F10:G10"/>
    <mergeCell ref="I10:J10"/>
    <mergeCell ref="F5:G5"/>
    <mergeCell ref="I5:J5"/>
    <mergeCell ref="F6:G6"/>
    <mergeCell ref="I6:J6"/>
    <mergeCell ref="F7:G7"/>
    <mergeCell ref="I7:J7"/>
    <mergeCell ref="F3:G3"/>
    <mergeCell ref="I3:J3"/>
    <mergeCell ref="F4:G4"/>
    <mergeCell ref="I4:J4"/>
    <mergeCell ref="A1:A2"/>
    <mergeCell ref="B1:B2"/>
    <mergeCell ref="C1:C2"/>
    <mergeCell ref="D1:D2"/>
    <mergeCell ref="E1:G1"/>
    <mergeCell ref="H1:J1"/>
    <mergeCell ref="K1:L2"/>
    <mergeCell ref="F2:G2"/>
    <mergeCell ref="I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EB7E-E969-4AED-B764-29C2E7A001AD}">
  <dimension ref="A1:L7"/>
  <sheetViews>
    <sheetView workbookViewId="0">
      <selection activeCell="J7" sqref="J7"/>
    </sheetView>
  </sheetViews>
  <sheetFormatPr defaultRowHeight="14.4" x14ac:dyDescent="0.3"/>
  <cols>
    <col min="2" max="4" width="19.21875" customWidth="1"/>
  </cols>
  <sheetData>
    <row r="1" spans="1:12" x14ac:dyDescent="0.3">
      <c r="A1" s="67" t="s">
        <v>9</v>
      </c>
      <c r="B1" s="68" t="s">
        <v>10</v>
      </c>
      <c r="C1" s="68" t="s">
        <v>11</v>
      </c>
      <c r="D1" s="69" t="s">
        <v>12</v>
      </c>
      <c r="E1" s="70" t="s">
        <v>13</v>
      </c>
      <c r="F1" s="70"/>
      <c r="G1" s="70"/>
      <c r="H1" s="71" t="s">
        <v>14</v>
      </c>
      <c r="I1" s="71"/>
      <c r="J1" s="71"/>
      <c r="K1" s="68" t="s">
        <v>15</v>
      </c>
      <c r="L1" s="68"/>
    </row>
    <row r="2" spans="1:12" x14ac:dyDescent="0.3">
      <c r="A2" s="72"/>
      <c r="B2" s="73"/>
      <c r="C2" s="73"/>
      <c r="D2" s="74"/>
      <c r="E2" s="75" t="s">
        <v>16</v>
      </c>
      <c r="F2" s="76"/>
      <c r="G2" s="76"/>
      <c r="H2" s="77" t="s">
        <v>16</v>
      </c>
      <c r="I2" s="78"/>
      <c r="J2" s="78"/>
      <c r="K2" s="72"/>
      <c r="L2" s="79"/>
    </row>
    <row r="3" spans="1:12" ht="81.599999999999994" x14ac:dyDescent="0.3">
      <c r="A3" s="80" t="s">
        <v>32</v>
      </c>
      <c r="B3" s="81" t="s">
        <v>44</v>
      </c>
      <c r="C3" s="81" t="s">
        <v>45</v>
      </c>
      <c r="D3" s="81" t="s">
        <v>42</v>
      </c>
      <c r="E3" s="82" t="s">
        <v>23</v>
      </c>
      <c r="F3" s="83">
        <v>1216.9000000000001</v>
      </c>
      <c r="G3" s="83"/>
      <c r="H3" s="82" t="s">
        <v>23</v>
      </c>
      <c r="I3" s="84" t="s">
        <v>24</v>
      </c>
      <c r="J3" s="84"/>
      <c r="K3" s="85" t="s">
        <v>18</v>
      </c>
      <c r="L3" s="86">
        <v>1216.9000000000001</v>
      </c>
    </row>
    <row r="4" spans="1:12" ht="81.599999999999994" x14ac:dyDescent="0.3">
      <c r="A4" s="80" t="s">
        <v>32</v>
      </c>
      <c r="B4" s="81" t="s">
        <v>163</v>
      </c>
      <c r="C4" s="81" t="s">
        <v>34</v>
      </c>
      <c r="D4" s="81" t="s">
        <v>45</v>
      </c>
      <c r="E4" s="82" t="s">
        <v>35</v>
      </c>
      <c r="F4" s="87" t="s">
        <v>24</v>
      </c>
      <c r="G4" s="87"/>
      <c r="H4" s="82" t="s">
        <v>23</v>
      </c>
      <c r="I4" s="88">
        <v>1216.9000000000001</v>
      </c>
      <c r="J4" s="88"/>
      <c r="K4" s="85"/>
      <c r="L4" s="89"/>
    </row>
    <row r="5" spans="1:12" x14ac:dyDescent="0.3">
      <c r="A5" s="90" t="s">
        <v>40</v>
      </c>
      <c r="B5" s="90"/>
      <c r="C5" s="90"/>
      <c r="D5" s="90"/>
      <c r="E5" s="91">
        <v>1216.9000000000001</v>
      </c>
      <c r="F5" s="91"/>
      <c r="G5" s="91"/>
      <c r="H5" s="91">
        <v>1216.9000000000001</v>
      </c>
      <c r="I5" s="91"/>
      <c r="J5" s="91"/>
      <c r="K5" s="92"/>
      <c r="L5" s="93">
        <v>0</v>
      </c>
    </row>
    <row r="7" spans="1:12" x14ac:dyDescent="0.3">
      <c r="J7" s="236">
        <f>I4*1.2</f>
        <v>1460.28</v>
      </c>
    </row>
  </sheetData>
  <mergeCells count="16">
    <mergeCell ref="F4:G4"/>
    <mergeCell ref="I4:J4"/>
    <mergeCell ref="A5:D5"/>
    <mergeCell ref="E5:G5"/>
    <mergeCell ref="H5:J5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3B48-2CBA-4387-BFD4-3823206068B8}">
  <sheetPr filterMode="1"/>
  <dimension ref="A1:L12"/>
  <sheetViews>
    <sheetView workbookViewId="0">
      <selection activeCell="J12" sqref="J12"/>
    </sheetView>
  </sheetViews>
  <sheetFormatPr defaultRowHeight="14.4" x14ac:dyDescent="0.3"/>
  <cols>
    <col min="2" max="4" width="19" customWidth="1"/>
  </cols>
  <sheetData>
    <row r="1" spans="1:12" x14ac:dyDescent="0.3">
      <c r="A1" s="94" t="s">
        <v>9</v>
      </c>
      <c r="B1" s="95" t="s">
        <v>10</v>
      </c>
      <c r="C1" s="95" t="s">
        <v>11</v>
      </c>
      <c r="D1" s="96" t="s">
        <v>12</v>
      </c>
      <c r="E1" s="97" t="s">
        <v>13</v>
      </c>
      <c r="F1" s="97"/>
      <c r="G1" s="97"/>
      <c r="H1" s="98" t="s">
        <v>14</v>
      </c>
      <c r="I1" s="98"/>
      <c r="J1" s="98"/>
      <c r="K1" s="95" t="s">
        <v>15</v>
      </c>
      <c r="L1" s="95"/>
    </row>
    <row r="2" spans="1:12" hidden="1" x14ac:dyDescent="0.3">
      <c r="A2" s="99"/>
      <c r="B2" s="100"/>
      <c r="C2" s="100"/>
      <c r="D2" s="101"/>
      <c r="E2" s="102" t="s">
        <v>16</v>
      </c>
      <c r="F2" s="103"/>
      <c r="G2" s="103"/>
      <c r="H2" s="104" t="s">
        <v>16</v>
      </c>
      <c r="I2" s="105"/>
      <c r="J2" s="105"/>
      <c r="K2" s="99"/>
      <c r="L2" s="106"/>
    </row>
    <row r="3" spans="1:12" ht="91.8" hidden="1" x14ac:dyDescent="0.3">
      <c r="A3" s="107" t="s">
        <v>164</v>
      </c>
      <c r="B3" s="108" t="s">
        <v>165</v>
      </c>
      <c r="C3" s="108" t="s">
        <v>166</v>
      </c>
      <c r="D3" s="108" t="s">
        <v>167</v>
      </c>
      <c r="E3" s="109" t="s">
        <v>23</v>
      </c>
      <c r="F3" s="110">
        <v>1787.1</v>
      </c>
      <c r="G3" s="110"/>
      <c r="H3" s="109" t="s">
        <v>31</v>
      </c>
      <c r="I3" s="111" t="s">
        <v>24</v>
      </c>
      <c r="J3" s="111"/>
      <c r="K3" s="112" t="s">
        <v>18</v>
      </c>
      <c r="L3" s="113">
        <v>55371.13</v>
      </c>
    </row>
    <row r="4" spans="1:12" ht="91.8" x14ac:dyDescent="0.3">
      <c r="A4" s="107" t="s">
        <v>164</v>
      </c>
      <c r="B4" s="108" t="s">
        <v>168</v>
      </c>
      <c r="C4" s="108" t="s">
        <v>34</v>
      </c>
      <c r="D4" s="108" t="s">
        <v>166</v>
      </c>
      <c r="E4" s="109" t="s">
        <v>35</v>
      </c>
      <c r="F4" s="114" t="s">
        <v>24</v>
      </c>
      <c r="G4" s="114"/>
      <c r="H4" s="109" t="s">
        <v>23</v>
      </c>
      <c r="I4" s="115">
        <v>1787.1</v>
      </c>
      <c r="J4" s="115"/>
      <c r="K4" s="112" t="s">
        <v>18</v>
      </c>
      <c r="L4" s="113">
        <v>53584.03</v>
      </c>
    </row>
    <row r="5" spans="1:12" ht="91.8" x14ac:dyDescent="0.3">
      <c r="A5" s="107" t="s">
        <v>95</v>
      </c>
      <c r="B5" s="108" t="s">
        <v>169</v>
      </c>
      <c r="C5" s="108" t="s">
        <v>34</v>
      </c>
      <c r="D5" s="108" t="s">
        <v>170</v>
      </c>
      <c r="E5" s="109" t="s">
        <v>35</v>
      </c>
      <c r="F5" s="114" t="s">
        <v>24</v>
      </c>
      <c r="G5" s="114"/>
      <c r="H5" s="109" t="s">
        <v>23</v>
      </c>
      <c r="I5" s="115">
        <v>1097.5</v>
      </c>
      <c r="J5" s="115"/>
      <c r="K5" s="112" t="s">
        <v>18</v>
      </c>
      <c r="L5" s="113">
        <v>52486.53</v>
      </c>
    </row>
    <row r="6" spans="1:12" ht="102" x14ac:dyDescent="0.3">
      <c r="A6" s="107" t="s">
        <v>95</v>
      </c>
      <c r="B6" s="108" t="s">
        <v>169</v>
      </c>
      <c r="C6" s="108" t="s">
        <v>34</v>
      </c>
      <c r="D6" s="108" t="s">
        <v>171</v>
      </c>
      <c r="E6" s="109" t="s">
        <v>35</v>
      </c>
      <c r="F6" s="114" t="s">
        <v>24</v>
      </c>
      <c r="G6" s="114"/>
      <c r="H6" s="109" t="s">
        <v>23</v>
      </c>
      <c r="I6" s="116">
        <v>851.83</v>
      </c>
      <c r="J6" s="116"/>
      <c r="K6" s="112" t="s">
        <v>18</v>
      </c>
      <c r="L6" s="113">
        <v>51634.7</v>
      </c>
    </row>
    <row r="7" spans="1:12" ht="91.8" hidden="1" x14ac:dyDescent="0.3">
      <c r="A7" s="107" t="s">
        <v>32</v>
      </c>
      <c r="B7" s="108" t="s">
        <v>172</v>
      </c>
      <c r="C7" s="108" t="s">
        <v>173</v>
      </c>
      <c r="D7" s="108" t="s">
        <v>174</v>
      </c>
      <c r="E7" s="109" t="s">
        <v>23</v>
      </c>
      <c r="F7" s="114" t="s">
        <v>24</v>
      </c>
      <c r="G7" s="114"/>
      <c r="H7" s="109" t="s">
        <v>23</v>
      </c>
      <c r="I7" s="115">
        <v>4867.6000000000004</v>
      </c>
      <c r="J7" s="115"/>
      <c r="K7" s="112" t="s">
        <v>18</v>
      </c>
      <c r="L7" s="113">
        <v>46767.1</v>
      </c>
    </row>
    <row r="8" spans="1:12" ht="81.599999999999994" hidden="1" x14ac:dyDescent="0.3">
      <c r="A8" s="107" t="s">
        <v>32</v>
      </c>
      <c r="B8" s="108" t="s">
        <v>172</v>
      </c>
      <c r="C8" s="108" t="s">
        <v>175</v>
      </c>
      <c r="D8" s="108" t="s">
        <v>176</v>
      </c>
      <c r="E8" s="109" t="s">
        <v>23</v>
      </c>
      <c r="F8" s="114" t="s">
        <v>24</v>
      </c>
      <c r="G8" s="114"/>
      <c r="H8" s="109" t="s">
        <v>23</v>
      </c>
      <c r="I8" s="115">
        <v>3336.6</v>
      </c>
      <c r="J8" s="115"/>
      <c r="K8" s="112" t="s">
        <v>18</v>
      </c>
      <c r="L8" s="113">
        <v>43430.5</v>
      </c>
    </row>
    <row r="9" spans="1:12" ht="112.2" hidden="1" x14ac:dyDescent="0.3">
      <c r="A9" s="107" t="s">
        <v>32</v>
      </c>
      <c r="B9" s="108" t="s">
        <v>172</v>
      </c>
      <c r="C9" s="108" t="s">
        <v>177</v>
      </c>
      <c r="D9" s="108" t="s">
        <v>178</v>
      </c>
      <c r="E9" s="109" t="s">
        <v>23</v>
      </c>
      <c r="F9" s="114" t="s">
        <v>24</v>
      </c>
      <c r="G9" s="114"/>
      <c r="H9" s="109" t="s">
        <v>23</v>
      </c>
      <c r="I9" s="115">
        <v>2582.5</v>
      </c>
      <c r="J9" s="115"/>
      <c r="K9" s="112" t="s">
        <v>18</v>
      </c>
      <c r="L9" s="113">
        <v>40848</v>
      </c>
    </row>
    <row r="10" spans="1:12" hidden="1" x14ac:dyDescent="0.3">
      <c r="A10" s="117" t="s">
        <v>40</v>
      </c>
      <c r="B10" s="117"/>
      <c r="C10" s="117"/>
      <c r="D10" s="117"/>
      <c r="E10" s="118">
        <v>1787.1</v>
      </c>
      <c r="F10" s="118"/>
      <c r="G10" s="118"/>
      <c r="H10" s="118">
        <v>14523.13</v>
      </c>
      <c r="I10" s="118"/>
      <c r="J10" s="118"/>
      <c r="K10" s="119" t="s">
        <v>18</v>
      </c>
      <c r="L10" s="120">
        <v>40848</v>
      </c>
    </row>
    <row r="12" spans="1:12" x14ac:dyDescent="0.3">
      <c r="J12" s="236">
        <f>SUBTOTAL(9,I4:J6)</f>
        <v>3736.43</v>
      </c>
    </row>
  </sheetData>
  <autoFilter ref="A1:L10" xr:uid="{5B927243-CB26-4A6A-A007-2B6497B24769}">
    <filterColumn colId="1">
      <filters>
        <filter val="Передача малоцінних активів в експлуатацію ІБ00-000216 від 02.05.2025 21:00:00_x000a_Списание стоимости малоценных активов"/>
        <filter val="Передача малоцінних активів в експлуатацію ІБ00-000227 від 22.05.2025 16:27:05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26">
    <mergeCell ref="A10:D10"/>
    <mergeCell ref="E10:G10"/>
    <mergeCell ref="H10:J10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9B2E-0D2D-4671-B72A-A0A9F9BECD65}">
  <dimension ref="A1:L15"/>
  <sheetViews>
    <sheetView topLeftCell="A10" workbookViewId="0">
      <selection activeCell="J16" sqref="J16"/>
    </sheetView>
  </sheetViews>
  <sheetFormatPr defaultRowHeight="14.4" x14ac:dyDescent="0.3"/>
  <cols>
    <col min="2" max="4" width="21.33203125" customWidth="1"/>
  </cols>
  <sheetData>
    <row r="1" spans="1:12" x14ac:dyDescent="0.3">
      <c r="A1" s="121" t="s">
        <v>9</v>
      </c>
      <c r="B1" s="122" t="s">
        <v>10</v>
      </c>
      <c r="C1" s="122" t="s">
        <v>11</v>
      </c>
      <c r="D1" s="123" t="s">
        <v>12</v>
      </c>
      <c r="E1" s="124" t="s">
        <v>13</v>
      </c>
      <c r="F1" s="124"/>
      <c r="G1" s="124"/>
      <c r="H1" s="125" t="s">
        <v>14</v>
      </c>
      <c r="I1" s="125"/>
      <c r="J1" s="125"/>
      <c r="K1" s="122" t="s">
        <v>15</v>
      </c>
      <c r="L1" s="122"/>
    </row>
    <row r="2" spans="1:12" x14ac:dyDescent="0.3">
      <c r="A2" s="126"/>
      <c r="B2" s="127"/>
      <c r="C2" s="127"/>
      <c r="D2" s="128"/>
      <c r="E2" s="129" t="s">
        <v>16</v>
      </c>
      <c r="F2" s="130"/>
      <c r="G2" s="130"/>
      <c r="H2" s="131" t="s">
        <v>16</v>
      </c>
      <c r="I2" s="132"/>
      <c r="J2" s="132"/>
      <c r="K2" s="126"/>
      <c r="L2" s="133"/>
    </row>
    <row r="3" spans="1:12" ht="81.599999999999994" x14ac:dyDescent="0.3">
      <c r="A3" s="134" t="s">
        <v>19</v>
      </c>
      <c r="B3" s="135" t="s">
        <v>179</v>
      </c>
      <c r="C3" s="135" t="s">
        <v>180</v>
      </c>
      <c r="D3" s="135" t="s">
        <v>181</v>
      </c>
      <c r="E3" s="136" t="s">
        <v>23</v>
      </c>
      <c r="F3" s="137">
        <v>812.8</v>
      </c>
      <c r="G3" s="137"/>
      <c r="H3" s="136" t="s">
        <v>31</v>
      </c>
      <c r="I3" s="138" t="s">
        <v>24</v>
      </c>
      <c r="J3" s="138"/>
      <c r="K3" s="139" t="s">
        <v>18</v>
      </c>
      <c r="L3" s="140">
        <v>39941.870000000003</v>
      </c>
    </row>
    <row r="4" spans="1:12" ht="81.599999999999994" x14ac:dyDescent="0.3">
      <c r="A4" s="134" t="s">
        <v>19</v>
      </c>
      <c r="B4" s="135" t="s">
        <v>55</v>
      </c>
      <c r="C4" s="135" t="s">
        <v>56</v>
      </c>
      <c r="D4" s="135" t="s">
        <v>22</v>
      </c>
      <c r="E4" s="136" t="s">
        <v>23</v>
      </c>
      <c r="F4" s="137">
        <v>367.5</v>
      </c>
      <c r="G4" s="137"/>
      <c r="H4" s="136" t="s">
        <v>23</v>
      </c>
      <c r="I4" s="138" t="s">
        <v>24</v>
      </c>
      <c r="J4" s="138"/>
      <c r="K4" s="139" t="s">
        <v>18</v>
      </c>
      <c r="L4" s="140">
        <v>40309.370000000003</v>
      </c>
    </row>
    <row r="5" spans="1:12" ht="81.599999999999994" x14ac:dyDescent="0.3">
      <c r="A5" s="134" t="s">
        <v>19</v>
      </c>
      <c r="B5" s="135" t="s">
        <v>55</v>
      </c>
      <c r="C5" s="135" t="s">
        <v>57</v>
      </c>
      <c r="D5" s="135" t="s">
        <v>50</v>
      </c>
      <c r="E5" s="136" t="s">
        <v>23</v>
      </c>
      <c r="F5" s="141">
        <v>2524</v>
      </c>
      <c r="G5" s="141"/>
      <c r="H5" s="136" t="s">
        <v>23</v>
      </c>
      <c r="I5" s="138" t="s">
        <v>24</v>
      </c>
      <c r="J5" s="138"/>
      <c r="K5" s="139" t="s">
        <v>18</v>
      </c>
      <c r="L5" s="140">
        <v>42833.37</v>
      </c>
    </row>
    <row r="6" spans="1:12" ht="71.400000000000006" x14ac:dyDescent="0.3">
      <c r="A6" s="134" t="s">
        <v>32</v>
      </c>
      <c r="B6" s="135" t="s">
        <v>182</v>
      </c>
      <c r="C6" s="135" t="s">
        <v>183</v>
      </c>
      <c r="D6" s="135" t="s">
        <v>184</v>
      </c>
      <c r="E6" s="136" t="s">
        <v>23</v>
      </c>
      <c r="F6" s="142" t="s">
        <v>24</v>
      </c>
      <c r="G6" s="142"/>
      <c r="H6" s="136" t="s">
        <v>23</v>
      </c>
      <c r="I6" s="143">
        <v>900</v>
      </c>
      <c r="J6" s="143"/>
      <c r="K6" s="139" t="s">
        <v>18</v>
      </c>
      <c r="L6" s="140">
        <v>41933.370000000003</v>
      </c>
    </row>
    <row r="7" spans="1:12" ht="81.599999999999994" x14ac:dyDescent="0.3">
      <c r="A7" s="134" t="s">
        <v>32</v>
      </c>
      <c r="B7" s="135" t="s">
        <v>182</v>
      </c>
      <c r="C7" s="135" t="s">
        <v>54</v>
      </c>
      <c r="D7" s="135" t="s">
        <v>56</v>
      </c>
      <c r="E7" s="136" t="s">
        <v>23</v>
      </c>
      <c r="F7" s="142" t="s">
        <v>24</v>
      </c>
      <c r="G7" s="142"/>
      <c r="H7" s="136" t="s">
        <v>23</v>
      </c>
      <c r="I7" s="143">
        <v>367.5</v>
      </c>
      <c r="J7" s="143"/>
      <c r="K7" s="139" t="s">
        <v>18</v>
      </c>
      <c r="L7" s="140">
        <v>41565.870000000003</v>
      </c>
    </row>
    <row r="8" spans="1:12" ht="81.599999999999994" x14ac:dyDescent="0.3">
      <c r="A8" s="134" t="s">
        <v>32</v>
      </c>
      <c r="B8" s="135" t="s">
        <v>185</v>
      </c>
      <c r="C8" s="135" t="s">
        <v>186</v>
      </c>
      <c r="D8" s="135" t="s">
        <v>180</v>
      </c>
      <c r="E8" s="136" t="s">
        <v>23</v>
      </c>
      <c r="F8" s="142" t="s">
        <v>24</v>
      </c>
      <c r="G8" s="142"/>
      <c r="H8" s="136" t="s">
        <v>23</v>
      </c>
      <c r="I8" s="143">
        <v>812.8</v>
      </c>
      <c r="J8" s="143"/>
      <c r="K8" s="139" t="s">
        <v>18</v>
      </c>
      <c r="L8" s="140">
        <v>40753.07</v>
      </c>
    </row>
    <row r="9" spans="1:12" ht="81.599999999999994" x14ac:dyDescent="0.3">
      <c r="A9" s="134" t="s">
        <v>32</v>
      </c>
      <c r="B9" s="135" t="s">
        <v>187</v>
      </c>
      <c r="C9" s="135" t="s">
        <v>188</v>
      </c>
      <c r="D9" s="135" t="s">
        <v>189</v>
      </c>
      <c r="E9" s="136" t="s">
        <v>23</v>
      </c>
      <c r="F9" s="142" t="s">
        <v>24</v>
      </c>
      <c r="G9" s="142"/>
      <c r="H9" s="136" t="s">
        <v>23</v>
      </c>
      <c r="I9" s="144">
        <v>6084.5</v>
      </c>
      <c r="J9" s="144"/>
      <c r="K9" s="139" t="s">
        <v>18</v>
      </c>
      <c r="L9" s="140">
        <v>34668.57</v>
      </c>
    </row>
    <row r="10" spans="1:12" ht="91.8" x14ac:dyDescent="0.3">
      <c r="A10" s="134" t="s">
        <v>32</v>
      </c>
      <c r="B10" s="135" t="s">
        <v>187</v>
      </c>
      <c r="C10" s="135" t="s">
        <v>190</v>
      </c>
      <c r="D10" s="135" t="s">
        <v>191</v>
      </c>
      <c r="E10" s="136" t="s">
        <v>23</v>
      </c>
      <c r="F10" s="142" t="s">
        <v>24</v>
      </c>
      <c r="G10" s="142"/>
      <c r="H10" s="136" t="s">
        <v>23</v>
      </c>
      <c r="I10" s="144">
        <v>2640.83</v>
      </c>
      <c r="J10" s="144"/>
      <c r="K10" s="139" t="s">
        <v>18</v>
      </c>
      <c r="L10" s="140">
        <v>32027.74</v>
      </c>
    </row>
    <row r="11" spans="1:12" ht="81.599999999999994" x14ac:dyDescent="0.3">
      <c r="A11" s="134" t="s">
        <v>32</v>
      </c>
      <c r="B11" s="135" t="s">
        <v>187</v>
      </c>
      <c r="C11" s="135" t="s">
        <v>192</v>
      </c>
      <c r="D11" s="135" t="s">
        <v>193</v>
      </c>
      <c r="E11" s="136" t="s">
        <v>23</v>
      </c>
      <c r="F11" s="142" t="s">
        <v>24</v>
      </c>
      <c r="G11" s="142"/>
      <c r="H11" s="136" t="s">
        <v>23</v>
      </c>
      <c r="I11" s="143">
        <v>409.5</v>
      </c>
      <c r="J11" s="143"/>
      <c r="K11" s="139" t="s">
        <v>18</v>
      </c>
      <c r="L11" s="140">
        <v>31618.240000000002</v>
      </c>
    </row>
    <row r="12" spans="1:12" ht="81.599999999999994" x14ac:dyDescent="0.3">
      <c r="A12" s="134" t="s">
        <v>32</v>
      </c>
      <c r="B12" s="135" t="s">
        <v>187</v>
      </c>
      <c r="C12" s="135" t="s">
        <v>194</v>
      </c>
      <c r="D12" s="135" t="s">
        <v>195</v>
      </c>
      <c r="E12" s="136" t="s">
        <v>23</v>
      </c>
      <c r="F12" s="142" t="s">
        <v>24</v>
      </c>
      <c r="G12" s="142"/>
      <c r="H12" s="136" t="s">
        <v>23</v>
      </c>
      <c r="I12" s="144">
        <v>1410</v>
      </c>
      <c r="J12" s="144"/>
      <c r="K12" s="139" t="s">
        <v>18</v>
      </c>
      <c r="L12" s="140">
        <v>30208.240000000002</v>
      </c>
    </row>
    <row r="13" spans="1:12" x14ac:dyDescent="0.3">
      <c r="A13" s="145" t="s">
        <v>40</v>
      </c>
      <c r="B13" s="145"/>
      <c r="C13" s="145"/>
      <c r="D13" s="145"/>
      <c r="E13" s="146">
        <v>3704.3</v>
      </c>
      <c r="F13" s="146"/>
      <c r="G13" s="146"/>
      <c r="H13" s="146">
        <v>12625.13</v>
      </c>
      <c r="I13" s="146"/>
      <c r="J13" s="146"/>
      <c r="K13" s="147" t="s">
        <v>18</v>
      </c>
      <c r="L13" s="148">
        <v>30208.240000000002</v>
      </c>
    </row>
    <row r="15" spans="1:12" x14ac:dyDescent="0.3">
      <c r="J15">
        <v>0</v>
      </c>
    </row>
  </sheetData>
  <autoFilter ref="A1:L2" xr:uid="{9641BD16-78F7-4D1E-9DCE-3B72EA8953E6}">
    <filterColumn colId="4" showButton="0"/>
    <filterColumn colId="5" showButton="0"/>
    <filterColumn colId="7" showButton="0"/>
    <filterColumn colId="8" showButton="0"/>
    <filterColumn colId="10" showButton="0"/>
  </autoFilter>
  <mergeCells count="32">
    <mergeCell ref="A13:D13"/>
    <mergeCell ref="E13:G13"/>
    <mergeCell ref="H13:J13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0AF9-B0C8-4524-B76A-7DE57FEFC551}">
  <sheetPr filterMode="1"/>
  <dimension ref="A1:L72"/>
  <sheetViews>
    <sheetView topLeftCell="A66" workbookViewId="0">
      <selection activeCell="J72" sqref="J72"/>
    </sheetView>
  </sheetViews>
  <sheetFormatPr defaultRowHeight="14.4" x14ac:dyDescent="0.3"/>
  <cols>
    <col min="2" max="4" width="23.5546875" customWidth="1"/>
    <col min="10" max="10" width="9.88671875" bestFit="1" customWidth="1"/>
    <col min="12" max="12" width="10.109375" bestFit="1" customWidth="1"/>
  </cols>
  <sheetData>
    <row r="1" spans="1:12" x14ac:dyDescent="0.3">
      <c r="A1" s="149" t="s">
        <v>9</v>
      </c>
      <c r="B1" s="150" t="s">
        <v>10</v>
      </c>
      <c r="C1" s="150" t="s">
        <v>11</v>
      </c>
      <c r="D1" s="151" t="s">
        <v>12</v>
      </c>
      <c r="E1" s="152" t="s">
        <v>13</v>
      </c>
      <c r="F1" s="152"/>
      <c r="G1" s="152"/>
      <c r="H1" s="153" t="s">
        <v>14</v>
      </c>
      <c r="I1" s="153"/>
      <c r="J1" s="153"/>
      <c r="K1" s="150" t="s">
        <v>15</v>
      </c>
      <c r="L1" s="150"/>
    </row>
    <row r="2" spans="1:12" hidden="1" x14ac:dyDescent="0.3">
      <c r="A2" s="154"/>
      <c r="B2" s="155"/>
      <c r="C2" s="155"/>
      <c r="D2" s="156"/>
      <c r="E2" s="157" t="s">
        <v>16</v>
      </c>
      <c r="F2" s="158"/>
      <c r="G2" s="158"/>
      <c r="H2" s="159" t="s">
        <v>16</v>
      </c>
      <c r="I2" s="160"/>
      <c r="J2" s="160"/>
      <c r="K2" s="154"/>
      <c r="L2" s="161"/>
    </row>
    <row r="3" spans="1:12" ht="71.400000000000006" hidden="1" x14ac:dyDescent="0.3">
      <c r="A3" s="162" t="s">
        <v>196</v>
      </c>
      <c r="B3" s="163" t="s">
        <v>197</v>
      </c>
      <c r="C3" s="163" t="s">
        <v>198</v>
      </c>
      <c r="D3" s="163" t="s">
        <v>198</v>
      </c>
      <c r="E3" s="164" t="s">
        <v>94</v>
      </c>
      <c r="F3" s="165" t="s">
        <v>24</v>
      </c>
      <c r="G3" s="165"/>
      <c r="H3" s="164" t="s">
        <v>23</v>
      </c>
      <c r="I3" s="166">
        <v>2402</v>
      </c>
      <c r="J3" s="166"/>
      <c r="K3" s="167" t="s">
        <v>18</v>
      </c>
      <c r="L3" s="168">
        <v>119611.13</v>
      </c>
    </row>
    <row r="4" spans="1:12" ht="71.400000000000006" hidden="1" x14ac:dyDescent="0.3">
      <c r="A4" s="162" t="s">
        <v>19</v>
      </c>
      <c r="B4" s="163" t="s">
        <v>199</v>
      </c>
      <c r="C4" s="163" t="s">
        <v>200</v>
      </c>
      <c r="D4" s="163" t="s">
        <v>201</v>
      </c>
      <c r="E4" s="164" t="s">
        <v>23</v>
      </c>
      <c r="F4" s="169">
        <v>1930.5</v>
      </c>
      <c r="G4" s="169"/>
      <c r="H4" s="164" t="s">
        <v>31</v>
      </c>
      <c r="I4" s="170" t="s">
        <v>24</v>
      </c>
      <c r="J4" s="170"/>
      <c r="K4" s="167" t="s">
        <v>18</v>
      </c>
      <c r="L4" s="168">
        <v>121541.63</v>
      </c>
    </row>
    <row r="5" spans="1:12" ht="71.400000000000006" hidden="1" x14ac:dyDescent="0.3">
      <c r="A5" s="162" t="s">
        <v>19</v>
      </c>
      <c r="B5" s="163" t="s">
        <v>51</v>
      </c>
      <c r="C5" s="163" t="s">
        <v>52</v>
      </c>
      <c r="D5" s="163" t="s">
        <v>22</v>
      </c>
      <c r="E5" s="164" t="s">
        <v>23</v>
      </c>
      <c r="F5" s="171">
        <v>367.5</v>
      </c>
      <c r="G5" s="171"/>
      <c r="H5" s="164" t="s">
        <v>23</v>
      </c>
      <c r="I5" s="170" t="s">
        <v>24</v>
      </c>
      <c r="J5" s="170"/>
      <c r="K5" s="167" t="s">
        <v>18</v>
      </c>
      <c r="L5" s="168">
        <v>121909.13</v>
      </c>
    </row>
    <row r="6" spans="1:12" ht="71.400000000000006" hidden="1" x14ac:dyDescent="0.3">
      <c r="A6" s="162" t="s">
        <v>202</v>
      </c>
      <c r="B6" s="163" t="s">
        <v>203</v>
      </c>
      <c r="C6" s="163" t="s">
        <v>204</v>
      </c>
      <c r="D6" s="163" t="s">
        <v>30</v>
      </c>
      <c r="E6" s="164" t="s">
        <v>23</v>
      </c>
      <c r="F6" s="169">
        <v>8750</v>
      </c>
      <c r="G6" s="169"/>
      <c r="H6" s="164" t="s">
        <v>31</v>
      </c>
      <c r="I6" s="170" t="s">
        <v>24</v>
      </c>
      <c r="J6" s="170"/>
      <c r="K6" s="167" t="s">
        <v>18</v>
      </c>
      <c r="L6" s="168">
        <v>130659.13</v>
      </c>
    </row>
    <row r="7" spans="1:12" ht="61.2" hidden="1" x14ac:dyDescent="0.3">
      <c r="A7" s="162" t="s">
        <v>58</v>
      </c>
      <c r="B7" s="163" t="s">
        <v>205</v>
      </c>
      <c r="C7" s="163" t="s">
        <v>206</v>
      </c>
      <c r="D7" s="163" t="s">
        <v>207</v>
      </c>
      <c r="E7" s="164" t="s">
        <v>23</v>
      </c>
      <c r="F7" s="171">
        <v>933.4</v>
      </c>
      <c r="G7" s="171"/>
      <c r="H7" s="164" t="s">
        <v>31</v>
      </c>
      <c r="I7" s="170" t="s">
        <v>24</v>
      </c>
      <c r="J7" s="170"/>
      <c r="K7" s="167" t="s">
        <v>18</v>
      </c>
      <c r="L7" s="168">
        <v>131592.53</v>
      </c>
    </row>
    <row r="8" spans="1:12" ht="71.400000000000006" hidden="1" x14ac:dyDescent="0.3">
      <c r="A8" s="162" t="s">
        <v>58</v>
      </c>
      <c r="B8" s="163" t="s">
        <v>205</v>
      </c>
      <c r="C8" s="163" t="s">
        <v>208</v>
      </c>
      <c r="D8" s="163" t="s">
        <v>207</v>
      </c>
      <c r="E8" s="164" t="s">
        <v>23</v>
      </c>
      <c r="F8" s="169">
        <v>3333.4</v>
      </c>
      <c r="G8" s="169"/>
      <c r="H8" s="164" t="s">
        <v>31</v>
      </c>
      <c r="I8" s="170" t="s">
        <v>24</v>
      </c>
      <c r="J8" s="170"/>
      <c r="K8" s="167" t="s">
        <v>18</v>
      </c>
      <c r="L8" s="168">
        <v>134925.93</v>
      </c>
    </row>
    <row r="9" spans="1:12" ht="61.2" hidden="1" x14ac:dyDescent="0.3">
      <c r="A9" s="162" t="s">
        <v>58</v>
      </c>
      <c r="B9" s="163" t="s">
        <v>83</v>
      </c>
      <c r="C9" s="163" t="s">
        <v>84</v>
      </c>
      <c r="D9" s="163" t="s">
        <v>68</v>
      </c>
      <c r="E9" s="164" t="s">
        <v>23</v>
      </c>
      <c r="F9" s="169">
        <v>1117.5</v>
      </c>
      <c r="G9" s="169"/>
      <c r="H9" s="164" t="s">
        <v>23</v>
      </c>
      <c r="I9" s="170" t="s">
        <v>24</v>
      </c>
      <c r="J9" s="170"/>
      <c r="K9" s="167" t="s">
        <v>18</v>
      </c>
      <c r="L9" s="168">
        <v>136043.43</v>
      </c>
    </row>
    <row r="10" spans="1:12" ht="61.2" hidden="1" x14ac:dyDescent="0.3">
      <c r="A10" s="162" t="s">
        <v>58</v>
      </c>
      <c r="B10" s="163" t="s">
        <v>83</v>
      </c>
      <c r="C10" s="163" t="s">
        <v>85</v>
      </c>
      <c r="D10" s="163" t="s">
        <v>69</v>
      </c>
      <c r="E10" s="164" t="s">
        <v>23</v>
      </c>
      <c r="F10" s="171">
        <v>251</v>
      </c>
      <c r="G10" s="171"/>
      <c r="H10" s="164" t="s">
        <v>23</v>
      </c>
      <c r="I10" s="170" t="s">
        <v>24</v>
      </c>
      <c r="J10" s="170"/>
      <c r="K10" s="167" t="s">
        <v>18</v>
      </c>
      <c r="L10" s="168">
        <v>136294.43</v>
      </c>
    </row>
    <row r="11" spans="1:12" ht="71.400000000000006" hidden="1" x14ac:dyDescent="0.3">
      <c r="A11" s="162" t="s">
        <v>58</v>
      </c>
      <c r="B11" s="163" t="s">
        <v>83</v>
      </c>
      <c r="C11" s="163" t="s">
        <v>86</v>
      </c>
      <c r="D11" s="163" t="s">
        <v>76</v>
      </c>
      <c r="E11" s="164" t="s">
        <v>23</v>
      </c>
      <c r="F11" s="169">
        <v>8750</v>
      </c>
      <c r="G11" s="169"/>
      <c r="H11" s="164" t="s">
        <v>23</v>
      </c>
      <c r="I11" s="170" t="s">
        <v>24</v>
      </c>
      <c r="J11" s="170"/>
      <c r="K11" s="167" t="s">
        <v>18</v>
      </c>
      <c r="L11" s="168">
        <v>145044.43</v>
      </c>
    </row>
    <row r="12" spans="1:12" ht="71.400000000000006" hidden="1" x14ac:dyDescent="0.3">
      <c r="A12" s="162" t="s">
        <v>95</v>
      </c>
      <c r="B12" s="163" t="s">
        <v>209</v>
      </c>
      <c r="C12" s="163" t="s">
        <v>210</v>
      </c>
      <c r="D12" s="163" t="s">
        <v>211</v>
      </c>
      <c r="E12" s="164" t="s">
        <v>23</v>
      </c>
      <c r="F12" s="165" t="s">
        <v>24</v>
      </c>
      <c r="G12" s="165"/>
      <c r="H12" s="164" t="s">
        <v>23</v>
      </c>
      <c r="I12" s="166">
        <v>2524</v>
      </c>
      <c r="J12" s="166"/>
      <c r="K12" s="167" t="s">
        <v>18</v>
      </c>
      <c r="L12" s="168">
        <v>142520.43</v>
      </c>
    </row>
    <row r="13" spans="1:12" ht="61.2" hidden="1" x14ac:dyDescent="0.3">
      <c r="A13" s="162" t="s">
        <v>95</v>
      </c>
      <c r="B13" s="163" t="s">
        <v>209</v>
      </c>
      <c r="C13" s="163" t="s">
        <v>212</v>
      </c>
      <c r="D13" s="163" t="s">
        <v>213</v>
      </c>
      <c r="E13" s="164" t="s">
        <v>23</v>
      </c>
      <c r="F13" s="165" t="s">
        <v>24</v>
      </c>
      <c r="G13" s="165"/>
      <c r="H13" s="164" t="s">
        <v>23</v>
      </c>
      <c r="I13" s="166">
        <v>4390</v>
      </c>
      <c r="J13" s="166"/>
      <c r="K13" s="167" t="s">
        <v>18</v>
      </c>
      <c r="L13" s="168">
        <v>138130.43</v>
      </c>
    </row>
    <row r="14" spans="1:12" ht="71.400000000000006" hidden="1" x14ac:dyDescent="0.3">
      <c r="A14" s="162" t="s">
        <v>95</v>
      </c>
      <c r="B14" s="163" t="s">
        <v>209</v>
      </c>
      <c r="C14" s="163" t="s">
        <v>214</v>
      </c>
      <c r="D14" s="163" t="s">
        <v>215</v>
      </c>
      <c r="E14" s="164" t="s">
        <v>23</v>
      </c>
      <c r="F14" s="165" t="s">
        <v>24</v>
      </c>
      <c r="G14" s="165"/>
      <c r="H14" s="164" t="s">
        <v>23</v>
      </c>
      <c r="I14" s="166">
        <v>2355.1999999999998</v>
      </c>
      <c r="J14" s="166"/>
      <c r="K14" s="167" t="s">
        <v>18</v>
      </c>
      <c r="L14" s="168">
        <v>135775.23000000001</v>
      </c>
    </row>
    <row r="15" spans="1:12" ht="61.2" hidden="1" x14ac:dyDescent="0.3">
      <c r="A15" s="162" t="s">
        <v>101</v>
      </c>
      <c r="B15" s="163" t="s">
        <v>216</v>
      </c>
      <c r="C15" s="163" t="s">
        <v>217</v>
      </c>
      <c r="D15" s="163" t="s">
        <v>218</v>
      </c>
      <c r="E15" s="164" t="s">
        <v>23</v>
      </c>
      <c r="F15" s="169">
        <v>3018</v>
      </c>
      <c r="G15" s="169"/>
      <c r="H15" s="164" t="s">
        <v>31</v>
      </c>
      <c r="I15" s="170" t="s">
        <v>24</v>
      </c>
      <c r="J15" s="170"/>
      <c r="K15" s="167" t="s">
        <v>18</v>
      </c>
      <c r="L15" s="168">
        <v>138793.23000000001</v>
      </c>
    </row>
    <row r="16" spans="1:12" ht="61.2" hidden="1" x14ac:dyDescent="0.3">
      <c r="A16" s="162" t="s">
        <v>101</v>
      </c>
      <c r="B16" s="163" t="s">
        <v>216</v>
      </c>
      <c r="C16" s="163" t="s">
        <v>219</v>
      </c>
      <c r="D16" s="163" t="s">
        <v>218</v>
      </c>
      <c r="E16" s="164" t="s">
        <v>23</v>
      </c>
      <c r="F16" s="171">
        <v>87</v>
      </c>
      <c r="G16" s="171"/>
      <c r="H16" s="164" t="s">
        <v>31</v>
      </c>
      <c r="I16" s="170" t="s">
        <v>24</v>
      </c>
      <c r="J16" s="170"/>
      <c r="K16" s="167" t="s">
        <v>18</v>
      </c>
      <c r="L16" s="168">
        <v>138880.23000000001</v>
      </c>
    </row>
    <row r="17" spans="1:12" ht="71.400000000000006" hidden="1" x14ac:dyDescent="0.3">
      <c r="A17" s="162" t="s">
        <v>101</v>
      </c>
      <c r="B17" s="163" t="s">
        <v>126</v>
      </c>
      <c r="C17" s="163" t="s">
        <v>127</v>
      </c>
      <c r="D17" s="163" t="s">
        <v>103</v>
      </c>
      <c r="E17" s="164" t="s">
        <v>23</v>
      </c>
      <c r="F17" s="169">
        <v>17500</v>
      </c>
      <c r="G17" s="169"/>
      <c r="H17" s="164" t="s">
        <v>23</v>
      </c>
      <c r="I17" s="170" t="s">
        <v>24</v>
      </c>
      <c r="J17" s="170"/>
      <c r="K17" s="167" t="s">
        <v>18</v>
      </c>
      <c r="L17" s="168">
        <v>156380.23000000001</v>
      </c>
    </row>
    <row r="18" spans="1:12" ht="81.599999999999994" hidden="1" x14ac:dyDescent="0.3">
      <c r="A18" s="162" t="s">
        <v>101</v>
      </c>
      <c r="B18" s="163" t="s">
        <v>126</v>
      </c>
      <c r="C18" s="163" t="s">
        <v>128</v>
      </c>
      <c r="D18" s="163" t="s">
        <v>111</v>
      </c>
      <c r="E18" s="164" t="s">
        <v>23</v>
      </c>
      <c r="F18" s="169">
        <v>1293.5999999999999</v>
      </c>
      <c r="G18" s="169"/>
      <c r="H18" s="164" t="s">
        <v>23</v>
      </c>
      <c r="I18" s="170" t="s">
        <v>24</v>
      </c>
      <c r="J18" s="170"/>
      <c r="K18" s="167" t="s">
        <v>18</v>
      </c>
      <c r="L18" s="168">
        <v>157673.82999999999</v>
      </c>
    </row>
    <row r="19" spans="1:12" ht="61.2" hidden="1" x14ac:dyDescent="0.3">
      <c r="A19" s="162" t="s">
        <v>101</v>
      </c>
      <c r="B19" s="163" t="s">
        <v>126</v>
      </c>
      <c r="C19" s="163" t="s">
        <v>129</v>
      </c>
      <c r="D19" s="163" t="s">
        <v>112</v>
      </c>
      <c r="E19" s="164" t="s">
        <v>23</v>
      </c>
      <c r="F19" s="171">
        <v>222</v>
      </c>
      <c r="G19" s="171"/>
      <c r="H19" s="164" t="s">
        <v>23</v>
      </c>
      <c r="I19" s="170" t="s">
        <v>24</v>
      </c>
      <c r="J19" s="170"/>
      <c r="K19" s="167" t="s">
        <v>18</v>
      </c>
      <c r="L19" s="168">
        <v>157895.82999999999</v>
      </c>
    </row>
    <row r="20" spans="1:12" ht="71.400000000000006" hidden="1" x14ac:dyDescent="0.3">
      <c r="A20" s="162" t="s">
        <v>32</v>
      </c>
      <c r="B20" s="163" t="s">
        <v>154</v>
      </c>
      <c r="C20" s="163" t="s">
        <v>155</v>
      </c>
      <c r="D20" s="163" t="s">
        <v>156</v>
      </c>
      <c r="E20" s="164" t="s">
        <v>23</v>
      </c>
      <c r="F20" s="165" t="s">
        <v>24</v>
      </c>
      <c r="G20" s="165"/>
      <c r="H20" s="164" t="s">
        <v>23</v>
      </c>
      <c r="I20" s="166">
        <v>2433.8000000000002</v>
      </c>
      <c r="J20" s="166"/>
      <c r="K20" s="167" t="s">
        <v>18</v>
      </c>
      <c r="L20" s="168">
        <v>155462.03</v>
      </c>
    </row>
    <row r="21" spans="1:12" ht="71.400000000000006" x14ac:dyDescent="0.3">
      <c r="A21" s="162" t="s">
        <v>32</v>
      </c>
      <c r="B21" s="163" t="s">
        <v>220</v>
      </c>
      <c r="C21" s="163" t="s">
        <v>34</v>
      </c>
      <c r="D21" s="163" t="s">
        <v>221</v>
      </c>
      <c r="E21" s="164" t="s">
        <v>35</v>
      </c>
      <c r="F21" s="165" t="s">
        <v>24</v>
      </c>
      <c r="G21" s="165"/>
      <c r="H21" s="164" t="s">
        <v>23</v>
      </c>
      <c r="I21" s="172">
        <v>289.3</v>
      </c>
      <c r="J21" s="172"/>
      <c r="K21" s="167" t="s">
        <v>18</v>
      </c>
      <c r="L21" s="168">
        <v>155172.73000000001</v>
      </c>
    </row>
    <row r="22" spans="1:12" ht="61.2" x14ac:dyDescent="0.3">
      <c r="A22" s="162" t="s">
        <v>32</v>
      </c>
      <c r="B22" s="163" t="s">
        <v>220</v>
      </c>
      <c r="C22" s="163" t="s">
        <v>34</v>
      </c>
      <c r="D22" s="163" t="s">
        <v>222</v>
      </c>
      <c r="E22" s="164" t="s">
        <v>35</v>
      </c>
      <c r="F22" s="165" t="s">
        <v>24</v>
      </c>
      <c r="G22" s="165"/>
      <c r="H22" s="164" t="s">
        <v>23</v>
      </c>
      <c r="I22" s="166">
        <v>2427.5</v>
      </c>
      <c r="J22" s="166"/>
      <c r="K22" s="167" t="s">
        <v>18</v>
      </c>
      <c r="L22" s="168">
        <v>152745.23000000001</v>
      </c>
    </row>
    <row r="23" spans="1:12" ht="61.2" x14ac:dyDescent="0.3">
      <c r="A23" s="162" t="s">
        <v>32</v>
      </c>
      <c r="B23" s="163" t="s">
        <v>220</v>
      </c>
      <c r="C23" s="163" t="s">
        <v>34</v>
      </c>
      <c r="D23" s="163" t="s">
        <v>223</v>
      </c>
      <c r="E23" s="164" t="s">
        <v>35</v>
      </c>
      <c r="F23" s="165" t="s">
        <v>24</v>
      </c>
      <c r="G23" s="165"/>
      <c r="H23" s="164" t="s">
        <v>23</v>
      </c>
      <c r="I23" s="172">
        <v>254.05</v>
      </c>
      <c r="J23" s="172"/>
      <c r="K23" s="167" t="s">
        <v>18</v>
      </c>
      <c r="L23" s="168">
        <v>152491.18</v>
      </c>
    </row>
    <row r="24" spans="1:12" ht="71.400000000000006" x14ac:dyDescent="0.3">
      <c r="A24" s="162" t="s">
        <v>32</v>
      </c>
      <c r="B24" s="163" t="s">
        <v>220</v>
      </c>
      <c r="C24" s="163" t="s">
        <v>34</v>
      </c>
      <c r="D24" s="163" t="s">
        <v>224</v>
      </c>
      <c r="E24" s="164" t="s">
        <v>35</v>
      </c>
      <c r="F24" s="165" t="s">
        <v>24</v>
      </c>
      <c r="G24" s="165"/>
      <c r="H24" s="164" t="s">
        <v>23</v>
      </c>
      <c r="I24" s="172">
        <v>108.4</v>
      </c>
      <c r="J24" s="172"/>
      <c r="K24" s="167" t="s">
        <v>18</v>
      </c>
      <c r="L24" s="168">
        <v>152382.78</v>
      </c>
    </row>
    <row r="25" spans="1:12" ht="61.2" x14ac:dyDescent="0.3">
      <c r="A25" s="162" t="s">
        <v>32</v>
      </c>
      <c r="B25" s="163" t="s">
        <v>220</v>
      </c>
      <c r="C25" s="163" t="s">
        <v>34</v>
      </c>
      <c r="D25" s="163" t="s">
        <v>225</v>
      </c>
      <c r="E25" s="164" t="s">
        <v>35</v>
      </c>
      <c r="F25" s="165" t="s">
        <v>24</v>
      </c>
      <c r="G25" s="165"/>
      <c r="H25" s="164" t="s">
        <v>23</v>
      </c>
      <c r="I25" s="172">
        <v>53.75</v>
      </c>
      <c r="J25" s="172"/>
      <c r="K25" s="167" t="s">
        <v>18</v>
      </c>
      <c r="L25" s="168">
        <v>152329.03</v>
      </c>
    </row>
    <row r="26" spans="1:12" ht="71.400000000000006" x14ac:dyDescent="0.3">
      <c r="A26" s="162" t="s">
        <v>32</v>
      </c>
      <c r="B26" s="163" t="s">
        <v>220</v>
      </c>
      <c r="C26" s="163" t="s">
        <v>34</v>
      </c>
      <c r="D26" s="163" t="s">
        <v>226</v>
      </c>
      <c r="E26" s="164" t="s">
        <v>35</v>
      </c>
      <c r="F26" s="165" t="s">
        <v>24</v>
      </c>
      <c r="G26" s="165"/>
      <c r="H26" s="164" t="s">
        <v>23</v>
      </c>
      <c r="I26" s="166">
        <v>17500</v>
      </c>
      <c r="J26" s="166"/>
      <c r="K26" s="167" t="s">
        <v>18</v>
      </c>
      <c r="L26" s="168">
        <v>134829.03</v>
      </c>
    </row>
    <row r="27" spans="1:12" ht="61.2" x14ac:dyDescent="0.3">
      <c r="A27" s="162" t="s">
        <v>32</v>
      </c>
      <c r="B27" s="163" t="s">
        <v>220</v>
      </c>
      <c r="C27" s="163" t="s">
        <v>34</v>
      </c>
      <c r="D27" s="163" t="s">
        <v>227</v>
      </c>
      <c r="E27" s="164" t="s">
        <v>35</v>
      </c>
      <c r="F27" s="165" t="s">
        <v>24</v>
      </c>
      <c r="G27" s="165"/>
      <c r="H27" s="164" t="s">
        <v>23</v>
      </c>
      <c r="I27" s="166">
        <v>2502.4499999999998</v>
      </c>
      <c r="J27" s="166"/>
      <c r="K27" s="167" t="s">
        <v>18</v>
      </c>
      <c r="L27" s="168">
        <v>132326.57999999999</v>
      </c>
    </row>
    <row r="28" spans="1:12" ht="61.2" x14ac:dyDescent="0.3">
      <c r="A28" s="162" t="s">
        <v>32</v>
      </c>
      <c r="B28" s="163" t="s">
        <v>220</v>
      </c>
      <c r="C28" s="163" t="s">
        <v>34</v>
      </c>
      <c r="D28" s="163" t="s">
        <v>228</v>
      </c>
      <c r="E28" s="164" t="s">
        <v>35</v>
      </c>
      <c r="F28" s="165" t="s">
        <v>24</v>
      </c>
      <c r="G28" s="165"/>
      <c r="H28" s="164" t="s">
        <v>23</v>
      </c>
      <c r="I28" s="172">
        <v>158.4</v>
      </c>
      <c r="J28" s="172"/>
      <c r="K28" s="167" t="s">
        <v>18</v>
      </c>
      <c r="L28" s="168">
        <v>132168.18</v>
      </c>
    </row>
    <row r="29" spans="1:12" ht="61.2" x14ac:dyDescent="0.3">
      <c r="A29" s="162" t="s">
        <v>32</v>
      </c>
      <c r="B29" s="163" t="s">
        <v>220</v>
      </c>
      <c r="C29" s="163" t="s">
        <v>34</v>
      </c>
      <c r="D29" s="163" t="s">
        <v>85</v>
      </c>
      <c r="E29" s="164" t="s">
        <v>35</v>
      </c>
      <c r="F29" s="165" t="s">
        <v>24</v>
      </c>
      <c r="G29" s="165"/>
      <c r="H29" s="164" t="s">
        <v>23</v>
      </c>
      <c r="I29" s="172">
        <v>251</v>
      </c>
      <c r="J29" s="172"/>
      <c r="K29" s="167" t="s">
        <v>18</v>
      </c>
      <c r="L29" s="168">
        <v>131917.18</v>
      </c>
    </row>
    <row r="30" spans="1:12" ht="61.2" x14ac:dyDescent="0.3">
      <c r="A30" s="162" t="s">
        <v>32</v>
      </c>
      <c r="B30" s="163" t="s">
        <v>220</v>
      </c>
      <c r="C30" s="163" t="s">
        <v>34</v>
      </c>
      <c r="D30" s="163" t="s">
        <v>229</v>
      </c>
      <c r="E30" s="164" t="s">
        <v>35</v>
      </c>
      <c r="F30" s="165" t="s">
        <v>24</v>
      </c>
      <c r="G30" s="165"/>
      <c r="H30" s="164" t="s">
        <v>23</v>
      </c>
      <c r="I30" s="172">
        <v>198.15</v>
      </c>
      <c r="J30" s="172"/>
      <c r="K30" s="167" t="s">
        <v>18</v>
      </c>
      <c r="L30" s="168">
        <v>131719.03</v>
      </c>
    </row>
    <row r="31" spans="1:12" ht="61.2" x14ac:dyDescent="0.3">
      <c r="A31" s="162" t="s">
        <v>32</v>
      </c>
      <c r="B31" s="163" t="s">
        <v>220</v>
      </c>
      <c r="C31" s="163" t="s">
        <v>34</v>
      </c>
      <c r="D31" s="163" t="s">
        <v>230</v>
      </c>
      <c r="E31" s="164" t="s">
        <v>35</v>
      </c>
      <c r="F31" s="165" t="s">
        <v>24</v>
      </c>
      <c r="G31" s="165"/>
      <c r="H31" s="164" t="s">
        <v>23</v>
      </c>
      <c r="I31" s="172">
        <v>475.2</v>
      </c>
      <c r="J31" s="172"/>
      <c r="K31" s="167" t="s">
        <v>18</v>
      </c>
      <c r="L31" s="168">
        <v>131243.82999999999</v>
      </c>
    </row>
    <row r="32" spans="1:12" ht="61.2" x14ac:dyDescent="0.3">
      <c r="A32" s="162" t="s">
        <v>32</v>
      </c>
      <c r="B32" s="163" t="s">
        <v>220</v>
      </c>
      <c r="C32" s="163" t="s">
        <v>34</v>
      </c>
      <c r="D32" s="163" t="s">
        <v>84</v>
      </c>
      <c r="E32" s="164" t="s">
        <v>35</v>
      </c>
      <c r="F32" s="165" t="s">
        <v>24</v>
      </c>
      <c r="G32" s="165"/>
      <c r="H32" s="164" t="s">
        <v>23</v>
      </c>
      <c r="I32" s="166">
        <v>1117.5</v>
      </c>
      <c r="J32" s="166"/>
      <c r="K32" s="167" t="s">
        <v>18</v>
      </c>
      <c r="L32" s="168">
        <v>130126.33</v>
      </c>
    </row>
    <row r="33" spans="1:12" ht="71.400000000000006" x14ac:dyDescent="0.3">
      <c r="A33" s="162" t="s">
        <v>32</v>
      </c>
      <c r="B33" s="163" t="s">
        <v>220</v>
      </c>
      <c r="C33" s="163" t="s">
        <v>34</v>
      </c>
      <c r="D33" s="163" t="s">
        <v>208</v>
      </c>
      <c r="E33" s="164" t="s">
        <v>35</v>
      </c>
      <c r="F33" s="165" t="s">
        <v>24</v>
      </c>
      <c r="G33" s="165"/>
      <c r="H33" s="164" t="s">
        <v>23</v>
      </c>
      <c r="I33" s="166">
        <v>3333.4</v>
      </c>
      <c r="J33" s="166"/>
      <c r="K33" s="167" t="s">
        <v>18</v>
      </c>
      <c r="L33" s="168">
        <v>126792.93</v>
      </c>
    </row>
    <row r="34" spans="1:12" ht="61.2" x14ac:dyDescent="0.3">
      <c r="A34" s="162" t="s">
        <v>32</v>
      </c>
      <c r="B34" s="163" t="s">
        <v>220</v>
      </c>
      <c r="C34" s="163" t="s">
        <v>34</v>
      </c>
      <c r="D34" s="163" t="s">
        <v>206</v>
      </c>
      <c r="E34" s="164" t="s">
        <v>35</v>
      </c>
      <c r="F34" s="165" t="s">
        <v>24</v>
      </c>
      <c r="G34" s="165"/>
      <c r="H34" s="164" t="s">
        <v>23</v>
      </c>
      <c r="I34" s="172">
        <v>933.4</v>
      </c>
      <c r="J34" s="172"/>
      <c r="K34" s="167" t="s">
        <v>18</v>
      </c>
      <c r="L34" s="168">
        <v>125859.53</v>
      </c>
    </row>
    <row r="35" spans="1:12" ht="61.2" x14ac:dyDescent="0.3">
      <c r="A35" s="162" t="s">
        <v>32</v>
      </c>
      <c r="B35" s="163" t="s">
        <v>220</v>
      </c>
      <c r="C35" s="163" t="s">
        <v>34</v>
      </c>
      <c r="D35" s="163" t="s">
        <v>231</v>
      </c>
      <c r="E35" s="164" t="s">
        <v>35</v>
      </c>
      <c r="F35" s="165" t="s">
        <v>24</v>
      </c>
      <c r="G35" s="165"/>
      <c r="H35" s="164" t="s">
        <v>23</v>
      </c>
      <c r="I35" s="172">
        <v>108</v>
      </c>
      <c r="J35" s="172"/>
      <c r="K35" s="167" t="s">
        <v>18</v>
      </c>
      <c r="L35" s="168">
        <v>125751.53</v>
      </c>
    </row>
    <row r="36" spans="1:12" ht="61.2" x14ac:dyDescent="0.3">
      <c r="A36" s="162" t="s">
        <v>32</v>
      </c>
      <c r="B36" s="163" t="s">
        <v>220</v>
      </c>
      <c r="C36" s="163" t="s">
        <v>34</v>
      </c>
      <c r="D36" s="163" t="s">
        <v>232</v>
      </c>
      <c r="E36" s="164" t="s">
        <v>35</v>
      </c>
      <c r="F36" s="165" t="s">
        <v>24</v>
      </c>
      <c r="G36" s="165"/>
      <c r="H36" s="164" t="s">
        <v>23</v>
      </c>
      <c r="I36" s="166">
        <v>1788.4</v>
      </c>
      <c r="J36" s="166"/>
      <c r="K36" s="167" t="s">
        <v>18</v>
      </c>
      <c r="L36" s="168">
        <v>123963.13</v>
      </c>
    </row>
    <row r="37" spans="1:12" ht="71.400000000000006" x14ac:dyDescent="0.3">
      <c r="A37" s="162" t="s">
        <v>32</v>
      </c>
      <c r="B37" s="163" t="s">
        <v>220</v>
      </c>
      <c r="C37" s="163" t="s">
        <v>34</v>
      </c>
      <c r="D37" s="163" t="s">
        <v>233</v>
      </c>
      <c r="E37" s="164" t="s">
        <v>35</v>
      </c>
      <c r="F37" s="165" t="s">
        <v>24</v>
      </c>
      <c r="G37" s="165"/>
      <c r="H37" s="164" t="s">
        <v>23</v>
      </c>
      <c r="I37" s="166">
        <v>2771.1</v>
      </c>
      <c r="J37" s="166"/>
      <c r="K37" s="167" t="s">
        <v>18</v>
      </c>
      <c r="L37" s="168">
        <v>121192.03</v>
      </c>
    </row>
    <row r="38" spans="1:12" ht="61.2" x14ac:dyDescent="0.3">
      <c r="A38" s="162" t="s">
        <v>32</v>
      </c>
      <c r="B38" s="163" t="s">
        <v>220</v>
      </c>
      <c r="C38" s="163" t="s">
        <v>34</v>
      </c>
      <c r="D38" s="163" t="s">
        <v>234</v>
      </c>
      <c r="E38" s="164" t="s">
        <v>35</v>
      </c>
      <c r="F38" s="165" t="s">
        <v>24</v>
      </c>
      <c r="G38" s="165"/>
      <c r="H38" s="164" t="s">
        <v>23</v>
      </c>
      <c r="I38" s="166">
        <v>3256</v>
      </c>
      <c r="J38" s="166"/>
      <c r="K38" s="167" t="s">
        <v>18</v>
      </c>
      <c r="L38" s="168">
        <v>117936.03</v>
      </c>
    </row>
    <row r="39" spans="1:12" ht="61.2" x14ac:dyDescent="0.3">
      <c r="A39" s="162" t="s">
        <v>32</v>
      </c>
      <c r="B39" s="163" t="s">
        <v>220</v>
      </c>
      <c r="C39" s="163" t="s">
        <v>34</v>
      </c>
      <c r="D39" s="163" t="s">
        <v>235</v>
      </c>
      <c r="E39" s="164" t="s">
        <v>35</v>
      </c>
      <c r="F39" s="165" t="s">
        <v>24</v>
      </c>
      <c r="G39" s="165"/>
      <c r="H39" s="164" t="s">
        <v>23</v>
      </c>
      <c r="I39" s="166">
        <v>3424</v>
      </c>
      <c r="J39" s="166"/>
      <c r="K39" s="167" t="s">
        <v>18</v>
      </c>
      <c r="L39" s="168">
        <v>114512.03</v>
      </c>
    </row>
    <row r="40" spans="1:12" ht="71.400000000000006" x14ac:dyDescent="0.3">
      <c r="A40" s="162" t="s">
        <v>32</v>
      </c>
      <c r="B40" s="163" t="s">
        <v>220</v>
      </c>
      <c r="C40" s="163" t="s">
        <v>34</v>
      </c>
      <c r="D40" s="163" t="s">
        <v>236</v>
      </c>
      <c r="E40" s="164" t="s">
        <v>35</v>
      </c>
      <c r="F40" s="165" t="s">
        <v>24</v>
      </c>
      <c r="G40" s="165"/>
      <c r="H40" s="164" t="s">
        <v>23</v>
      </c>
      <c r="I40" s="166">
        <v>1470</v>
      </c>
      <c r="J40" s="166"/>
      <c r="K40" s="167" t="s">
        <v>18</v>
      </c>
      <c r="L40" s="168">
        <v>113042.03</v>
      </c>
    </row>
    <row r="41" spans="1:12" ht="71.400000000000006" x14ac:dyDescent="0.3">
      <c r="A41" s="162" t="s">
        <v>32</v>
      </c>
      <c r="B41" s="163" t="s">
        <v>220</v>
      </c>
      <c r="C41" s="163" t="s">
        <v>34</v>
      </c>
      <c r="D41" s="163" t="s">
        <v>52</v>
      </c>
      <c r="E41" s="164" t="s">
        <v>35</v>
      </c>
      <c r="F41" s="165" t="s">
        <v>24</v>
      </c>
      <c r="G41" s="165"/>
      <c r="H41" s="164" t="s">
        <v>23</v>
      </c>
      <c r="I41" s="172">
        <v>367.5</v>
      </c>
      <c r="J41" s="172"/>
      <c r="K41" s="167" t="s">
        <v>18</v>
      </c>
      <c r="L41" s="168">
        <v>112674.53</v>
      </c>
    </row>
    <row r="42" spans="1:12" ht="61.2" x14ac:dyDescent="0.3">
      <c r="A42" s="162" t="s">
        <v>32</v>
      </c>
      <c r="B42" s="163" t="s">
        <v>220</v>
      </c>
      <c r="C42" s="163" t="s">
        <v>34</v>
      </c>
      <c r="D42" s="163" t="s">
        <v>237</v>
      </c>
      <c r="E42" s="164" t="s">
        <v>35</v>
      </c>
      <c r="F42" s="165" t="s">
        <v>24</v>
      </c>
      <c r="G42" s="165"/>
      <c r="H42" s="164" t="s">
        <v>23</v>
      </c>
      <c r="I42" s="166">
        <v>1916.7</v>
      </c>
      <c r="J42" s="166"/>
      <c r="K42" s="167" t="s">
        <v>18</v>
      </c>
      <c r="L42" s="168">
        <v>110757.83</v>
      </c>
    </row>
    <row r="43" spans="1:12" ht="71.400000000000006" x14ac:dyDescent="0.3">
      <c r="A43" s="162" t="s">
        <v>32</v>
      </c>
      <c r="B43" s="163" t="s">
        <v>220</v>
      </c>
      <c r="C43" s="163" t="s">
        <v>34</v>
      </c>
      <c r="D43" s="163" t="s">
        <v>238</v>
      </c>
      <c r="E43" s="164" t="s">
        <v>35</v>
      </c>
      <c r="F43" s="165" t="s">
        <v>24</v>
      </c>
      <c r="G43" s="165"/>
      <c r="H43" s="164" t="s">
        <v>23</v>
      </c>
      <c r="I43" s="172">
        <v>590.5</v>
      </c>
      <c r="J43" s="172"/>
      <c r="K43" s="167" t="s">
        <v>18</v>
      </c>
      <c r="L43" s="168">
        <v>110167.33</v>
      </c>
    </row>
    <row r="44" spans="1:12" ht="61.2" x14ac:dyDescent="0.3">
      <c r="A44" s="162" t="s">
        <v>32</v>
      </c>
      <c r="B44" s="163" t="s">
        <v>220</v>
      </c>
      <c r="C44" s="163" t="s">
        <v>34</v>
      </c>
      <c r="D44" s="163" t="s">
        <v>239</v>
      </c>
      <c r="E44" s="164" t="s">
        <v>35</v>
      </c>
      <c r="F44" s="165" t="s">
        <v>24</v>
      </c>
      <c r="G44" s="165"/>
      <c r="H44" s="164" t="s">
        <v>23</v>
      </c>
      <c r="I44" s="172">
        <v>611.70000000000005</v>
      </c>
      <c r="J44" s="172"/>
      <c r="K44" s="167" t="s">
        <v>18</v>
      </c>
      <c r="L44" s="168">
        <v>109555.63</v>
      </c>
    </row>
    <row r="45" spans="1:12" ht="71.400000000000006" x14ac:dyDescent="0.3">
      <c r="A45" s="162" t="s">
        <v>32</v>
      </c>
      <c r="B45" s="163" t="s">
        <v>220</v>
      </c>
      <c r="C45" s="163" t="s">
        <v>34</v>
      </c>
      <c r="D45" s="163" t="s">
        <v>240</v>
      </c>
      <c r="E45" s="164" t="s">
        <v>35</v>
      </c>
      <c r="F45" s="165" t="s">
        <v>24</v>
      </c>
      <c r="G45" s="165"/>
      <c r="H45" s="164" t="s">
        <v>23</v>
      </c>
      <c r="I45" s="166">
        <v>1291.7</v>
      </c>
      <c r="J45" s="166"/>
      <c r="K45" s="167" t="s">
        <v>18</v>
      </c>
      <c r="L45" s="168">
        <v>108263.93</v>
      </c>
    </row>
    <row r="46" spans="1:12" ht="71.400000000000006" x14ac:dyDescent="0.3">
      <c r="A46" s="162" t="s">
        <v>32</v>
      </c>
      <c r="B46" s="163" t="s">
        <v>220</v>
      </c>
      <c r="C46" s="163" t="s">
        <v>34</v>
      </c>
      <c r="D46" s="163" t="s">
        <v>204</v>
      </c>
      <c r="E46" s="164" t="s">
        <v>35</v>
      </c>
      <c r="F46" s="165" t="s">
        <v>24</v>
      </c>
      <c r="G46" s="165"/>
      <c r="H46" s="164" t="s">
        <v>23</v>
      </c>
      <c r="I46" s="166">
        <v>8750</v>
      </c>
      <c r="J46" s="166"/>
      <c r="K46" s="167" t="s">
        <v>18</v>
      </c>
      <c r="L46" s="168">
        <v>99513.93</v>
      </c>
    </row>
    <row r="47" spans="1:12" ht="71.400000000000006" x14ac:dyDescent="0.3">
      <c r="A47" s="162" t="s">
        <v>32</v>
      </c>
      <c r="B47" s="163" t="s">
        <v>241</v>
      </c>
      <c r="C47" s="163" t="s">
        <v>34</v>
      </c>
      <c r="D47" s="163" t="s">
        <v>242</v>
      </c>
      <c r="E47" s="164" t="s">
        <v>35</v>
      </c>
      <c r="F47" s="165" t="s">
        <v>24</v>
      </c>
      <c r="G47" s="165"/>
      <c r="H47" s="164" t="s">
        <v>23</v>
      </c>
      <c r="I47" s="166">
        <v>12169</v>
      </c>
      <c r="J47" s="166"/>
      <c r="K47" s="167" t="s">
        <v>18</v>
      </c>
      <c r="L47" s="168">
        <v>87344.93</v>
      </c>
    </row>
    <row r="48" spans="1:12" ht="61.2" x14ac:dyDescent="0.3">
      <c r="A48" s="162" t="s">
        <v>32</v>
      </c>
      <c r="B48" s="163" t="s">
        <v>241</v>
      </c>
      <c r="C48" s="163" t="s">
        <v>34</v>
      </c>
      <c r="D48" s="163" t="s">
        <v>243</v>
      </c>
      <c r="E48" s="164" t="s">
        <v>35</v>
      </c>
      <c r="F48" s="165" t="s">
        <v>24</v>
      </c>
      <c r="G48" s="165"/>
      <c r="H48" s="164" t="s">
        <v>23</v>
      </c>
      <c r="I48" s="172">
        <v>936</v>
      </c>
      <c r="J48" s="172"/>
      <c r="K48" s="167" t="s">
        <v>18</v>
      </c>
      <c r="L48" s="168">
        <v>86408.93</v>
      </c>
    </row>
    <row r="49" spans="1:12" ht="61.2" x14ac:dyDescent="0.3">
      <c r="A49" s="162" t="s">
        <v>32</v>
      </c>
      <c r="B49" s="163" t="s">
        <v>241</v>
      </c>
      <c r="C49" s="163" t="s">
        <v>34</v>
      </c>
      <c r="D49" s="163" t="s">
        <v>244</v>
      </c>
      <c r="E49" s="164" t="s">
        <v>35</v>
      </c>
      <c r="F49" s="165" t="s">
        <v>24</v>
      </c>
      <c r="G49" s="165"/>
      <c r="H49" s="164" t="s">
        <v>23</v>
      </c>
      <c r="I49" s="172">
        <v>608</v>
      </c>
      <c r="J49" s="172"/>
      <c r="K49" s="167" t="s">
        <v>18</v>
      </c>
      <c r="L49" s="168">
        <v>85800.93</v>
      </c>
    </row>
    <row r="50" spans="1:12" ht="61.2" x14ac:dyDescent="0.3">
      <c r="A50" s="162" t="s">
        <v>32</v>
      </c>
      <c r="B50" s="163" t="s">
        <v>241</v>
      </c>
      <c r="C50" s="163" t="s">
        <v>34</v>
      </c>
      <c r="D50" s="163" t="s">
        <v>245</v>
      </c>
      <c r="E50" s="164" t="s">
        <v>35</v>
      </c>
      <c r="F50" s="165" t="s">
        <v>24</v>
      </c>
      <c r="G50" s="165"/>
      <c r="H50" s="164" t="s">
        <v>23</v>
      </c>
      <c r="I50" s="172">
        <v>644.75</v>
      </c>
      <c r="J50" s="172"/>
      <c r="K50" s="167" t="s">
        <v>18</v>
      </c>
      <c r="L50" s="168">
        <v>85156.18</v>
      </c>
    </row>
    <row r="51" spans="1:12" ht="61.2" x14ac:dyDescent="0.3">
      <c r="A51" s="162" t="s">
        <v>32</v>
      </c>
      <c r="B51" s="163" t="s">
        <v>241</v>
      </c>
      <c r="C51" s="163" t="s">
        <v>34</v>
      </c>
      <c r="D51" s="163" t="s">
        <v>246</v>
      </c>
      <c r="E51" s="164" t="s">
        <v>35</v>
      </c>
      <c r="F51" s="165" t="s">
        <v>24</v>
      </c>
      <c r="G51" s="165"/>
      <c r="H51" s="164" t="s">
        <v>23</v>
      </c>
      <c r="I51" s="166">
        <v>4461.45</v>
      </c>
      <c r="J51" s="166"/>
      <c r="K51" s="167" t="s">
        <v>18</v>
      </c>
      <c r="L51" s="168">
        <v>80694.73</v>
      </c>
    </row>
    <row r="52" spans="1:12" ht="71.400000000000006" x14ac:dyDescent="0.3">
      <c r="A52" s="162" t="s">
        <v>32</v>
      </c>
      <c r="B52" s="163" t="s">
        <v>241</v>
      </c>
      <c r="C52" s="163" t="s">
        <v>34</v>
      </c>
      <c r="D52" s="163" t="s">
        <v>247</v>
      </c>
      <c r="E52" s="164" t="s">
        <v>35</v>
      </c>
      <c r="F52" s="165" t="s">
        <v>24</v>
      </c>
      <c r="G52" s="165"/>
      <c r="H52" s="164" t="s">
        <v>23</v>
      </c>
      <c r="I52" s="172">
        <v>137.5</v>
      </c>
      <c r="J52" s="172"/>
      <c r="K52" s="167" t="s">
        <v>18</v>
      </c>
      <c r="L52" s="168">
        <v>80557.23</v>
      </c>
    </row>
    <row r="53" spans="1:12" ht="71.400000000000006" x14ac:dyDescent="0.3">
      <c r="A53" s="162" t="s">
        <v>32</v>
      </c>
      <c r="B53" s="163" t="s">
        <v>241</v>
      </c>
      <c r="C53" s="163" t="s">
        <v>34</v>
      </c>
      <c r="D53" s="163" t="s">
        <v>248</v>
      </c>
      <c r="E53" s="164" t="s">
        <v>35</v>
      </c>
      <c r="F53" s="165" t="s">
        <v>24</v>
      </c>
      <c r="G53" s="165"/>
      <c r="H53" s="164" t="s">
        <v>23</v>
      </c>
      <c r="I53" s="172">
        <v>143</v>
      </c>
      <c r="J53" s="172"/>
      <c r="K53" s="167" t="s">
        <v>18</v>
      </c>
      <c r="L53" s="168">
        <v>80414.23</v>
      </c>
    </row>
    <row r="54" spans="1:12" ht="61.2" x14ac:dyDescent="0.3">
      <c r="A54" s="162" t="s">
        <v>32</v>
      </c>
      <c r="B54" s="163" t="s">
        <v>241</v>
      </c>
      <c r="C54" s="163" t="s">
        <v>34</v>
      </c>
      <c r="D54" s="163" t="s">
        <v>249</v>
      </c>
      <c r="E54" s="164" t="s">
        <v>35</v>
      </c>
      <c r="F54" s="165" t="s">
        <v>24</v>
      </c>
      <c r="G54" s="165"/>
      <c r="H54" s="164" t="s">
        <v>23</v>
      </c>
      <c r="I54" s="172">
        <v>287.5</v>
      </c>
      <c r="J54" s="172"/>
      <c r="K54" s="167" t="s">
        <v>18</v>
      </c>
      <c r="L54" s="168">
        <v>80126.73</v>
      </c>
    </row>
    <row r="55" spans="1:12" ht="61.2" x14ac:dyDescent="0.3">
      <c r="A55" s="162" t="s">
        <v>32</v>
      </c>
      <c r="B55" s="163" t="s">
        <v>241</v>
      </c>
      <c r="C55" s="163" t="s">
        <v>34</v>
      </c>
      <c r="D55" s="163" t="s">
        <v>250</v>
      </c>
      <c r="E55" s="164" t="s">
        <v>35</v>
      </c>
      <c r="F55" s="165" t="s">
        <v>24</v>
      </c>
      <c r="G55" s="165"/>
      <c r="H55" s="164" t="s">
        <v>23</v>
      </c>
      <c r="I55" s="172">
        <v>287.5</v>
      </c>
      <c r="J55" s="172"/>
      <c r="K55" s="167" t="s">
        <v>18</v>
      </c>
      <c r="L55" s="168">
        <v>79839.23</v>
      </c>
    </row>
    <row r="56" spans="1:12" ht="61.2" x14ac:dyDescent="0.3">
      <c r="A56" s="162" t="s">
        <v>32</v>
      </c>
      <c r="B56" s="163" t="s">
        <v>241</v>
      </c>
      <c r="C56" s="163" t="s">
        <v>34</v>
      </c>
      <c r="D56" s="163" t="s">
        <v>251</v>
      </c>
      <c r="E56" s="164" t="s">
        <v>35</v>
      </c>
      <c r="F56" s="165" t="s">
        <v>24</v>
      </c>
      <c r="G56" s="165"/>
      <c r="H56" s="164" t="s">
        <v>23</v>
      </c>
      <c r="I56" s="166">
        <v>1412</v>
      </c>
      <c r="J56" s="166"/>
      <c r="K56" s="167" t="s">
        <v>18</v>
      </c>
      <c r="L56" s="168">
        <v>78427.23</v>
      </c>
    </row>
    <row r="57" spans="1:12" ht="61.2" x14ac:dyDescent="0.3">
      <c r="A57" s="162" t="s">
        <v>32</v>
      </c>
      <c r="B57" s="163" t="s">
        <v>241</v>
      </c>
      <c r="C57" s="163" t="s">
        <v>34</v>
      </c>
      <c r="D57" s="163" t="s">
        <v>252</v>
      </c>
      <c r="E57" s="164" t="s">
        <v>35</v>
      </c>
      <c r="F57" s="165" t="s">
        <v>24</v>
      </c>
      <c r="G57" s="165"/>
      <c r="H57" s="164" t="s">
        <v>23</v>
      </c>
      <c r="I57" s="172">
        <v>852.15</v>
      </c>
      <c r="J57" s="172"/>
      <c r="K57" s="167" t="s">
        <v>18</v>
      </c>
      <c r="L57" s="168">
        <v>77575.08</v>
      </c>
    </row>
    <row r="58" spans="1:12" ht="61.2" x14ac:dyDescent="0.3">
      <c r="A58" s="162" t="s">
        <v>32</v>
      </c>
      <c r="B58" s="163" t="s">
        <v>241</v>
      </c>
      <c r="C58" s="163" t="s">
        <v>34</v>
      </c>
      <c r="D58" s="163" t="s">
        <v>253</v>
      </c>
      <c r="E58" s="164" t="s">
        <v>35</v>
      </c>
      <c r="F58" s="165" t="s">
        <v>24</v>
      </c>
      <c r="G58" s="165"/>
      <c r="H58" s="164" t="s">
        <v>23</v>
      </c>
      <c r="I58" s="166">
        <v>2905</v>
      </c>
      <c r="J58" s="166"/>
      <c r="K58" s="167" t="s">
        <v>18</v>
      </c>
      <c r="L58" s="168">
        <v>74670.080000000002</v>
      </c>
    </row>
    <row r="59" spans="1:12" ht="71.400000000000006" x14ac:dyDescent="0.3">
      <c r="A59" s="162" t="s">
        <v>32</v>
      </c>
      <c r="B59" s="163" t="s">
        <v>241</v>
      </c>
      <c r="C59" s="163" t="s">
        <v>34</v>
      </c>
      <c r="D59" s="163" t="s">
        <v>254</v>
      </c>
      <c r="E59" s="164" t="s">
        <v>35</v>
      </c>
      <c r="F59" s="165" t="s">
        <v>24</v>
      </c>
      <c r="G59" s="165"/>
      <c r="H59" s="164" t="s">
        <v>23</v>
      </c>
      <c r="I59" s="166">
        <v>1410</v>
      </c>
      <c r="J59" s="166"/>
      <c r="K59" s="167" t="s">
        <v>18</v>
      </c>
      <c r="L59" s="168">
        <v>73260.08</v>
      </c>
    </row>
    <row r="60" spans="1:12" ht="71.400000000000006" x14ac:dyDescent="0.3">
      <c r="A60" s="162" t="s">
        <v>32</v>
      </c>
      <c r="B60" s="163" t="s">
        <v>241</v>
      </c>
      <c r="C60" s="163" t="s">
        <v>34</v>
      </c>
      <c r="D60" s="163" t="s">
        <v>255</v>
      </c>
      <c r="E60" s="164" t="s">
        <v>35</v>
      </c>
      <c r="F60" s="165" t="s">
        <v>24</v>
      </c>
      <c r="G60" s="165"/>
      <c r="H60" s="164" t="s">
        <v>23</v>
      </c>
      <c r="I60" s="166">
        <v>1756</v>
      </c>
      <c r="J60" s="166"/>
      <c r="K60" s="167" t="s">
        <v>18</v>
      </c>
      <c r="L60" s="168">
        <v>71504.08</v>
      </c>
    </row>
    <row r="61" spans="1:12" ht="71.400000000000006" x14ac:dyDescent="0.3">
      <c r="A61" s="162" t="s">
        <v>32</v>
      </c>
      <c r="B61" s="163" t="s">
        <v>241</v>
      </c>
      <c r="C61" s="163" t="s">
        <v>34</v>
      </c>
      <c r="D61" s="163" t="s">
        <v>256</v>
      </c>
      <c r="E61" s="164" t="s">
        <v>35</v>
      </c>
      <c r="F61" s="165" t="s">
        <v>24</v>
      </c>
      <c r="G61" s="165"/>
      <c r="H61" s="164" t="s">
        <v>23</v>
      </c>
      <c r="I61" s="172">
        <v>396.8</v>
      </c>
      <c r="J61" s="172"/>
      <c r="K61" s="167" t="s">
        <v>18</v>
      </c>
      <c r="L61" s="168">
        <v>71107.28</v>
      </c>
    </row>
    <row r="62" spans="1:12" ht="71.400000000000006" x14ac:dyDescent="0.3">
      <c r="A62" s="162" t="s">
        <v>32</v>
      </c>
      <c r="B62" s="163" t="s">
        <v>241</v>
      </c>
      <c r="C62" s="163" t="s">
        <v>34</v>
      </c>
      <c r="D62" s="163" t="s">
        <v>257</v>
      </c>
      <c r="E62" s="164" t="s">
        <v>35</v>
      </c>
      <c r="F62" s="165" t="s">
        <v>24</v>
      </c>
      <c r="G62" s="165"/>
      <c r="H62" s="164" t="s">
        <v>23</v>
      </c>
      <c r="I62" s="172">
        <v>223.2</v>
      </c>
      <c r="J62" s="172"/>
      <c r="K62" s="167" t="s">
        <v>18</v>
      </c>
      <c r="L62" s="168">
        <v>70884.08</v>
      </c>
    </row>
    <row r="63" spans="1:12" ht="71.400000000000006" x14ac:dyDescent="0.3">
      <c r="A63" s="162" t="s">
        <v>32</v>
      </c>
      <c r="B63" s="163" t="s">
        <v>241</v>
      </c>
      <c r="C63" s="163" t="s">
        <v>34</v>
      </c>
      <c r="D63" s="163" t="s">
        <v>258</v>
      </c>
      <c r="E63" s="164" t="s">
        <v>35</v>
      </c>
      <c r="F63" s="165" t="s">
        <v>24</v>
      </c>
      <c r="G63" s="165"/>
      <c r="H63" s="164" t="s">
        <v>23</v>
      </c>
      <c r="I63" s="166">
        <v>1428.3</v>
      </c>
      <c r="J63" s="166"/>
      <c r="K63" s="167" t="s">
        <v>18</v>
      </c>
      <c r="L63" s="168">
        <v>69455.78</v>
      </c>
    </row>
    <row r="64" spans="1:12" ht="61.2" x14ac:dyDescent="0.3">
      <c r="A64" s="162" t="s">
        <v>32</v>
      </c>
      <c r="B64" s="163" t="s">
        <v>241</v>
      </c>
      <c r="C64" s="163" t="s">
        <v>34</v>
      </c>
      <c r="D64" s="163" t="s">
        <v>259</v>
      </c>
      <c r="E64" s="164" t="s">
        <v>35</v>
      </c>
      <c r="F64" s="165" t="s">
        <v>24</v>
      </c>
      <c r="G64" s="165"/>
      <c r="H64" s="164" t="s">
        <v>23</v>
      </c>
      <c r="I64" s="166">
        <v>3612</v>
      </c>
      <c r="J64" s="166"/>
      <c r="K64" s="167" t="s">
        <v>18</v>
      </c>
      <c r="L64" s="168">
        <v>65843.78</v>
      </c>
    </row>
    <row r="65" spans="1:12" ht="71.400000000000006" x14ac:dyDescent="0.3">
      <c r="A65" s="162" t="s">
        <v>32</v>
      </c>
      <c r="B65" s="163" t="s">
        <v>241</v>
      </c>
      <c r="C65" s="163" t="s">
        <v>34</v>
      </c>
      <c r="D65" s="163" t="s">
        <v>260</v>
      </c>
      <c r="E65" s="164" t="s">
        <v>35</v>
      </c>
      <c r="F65" s="165" t="s">
        <v>24</v>
      </c>
      <c r="G65" s="165"/>
      <c r="H65" s="164" t="s">
        <v>23</v>
      </c>
      <c r="I65" s="166">
        <v>1553.36</v>
      </c>
      <c r="J65" s="166"/>
      <c r="K65" s="167" t="s">
        <v>18</v>
      </c>
      <c r="L65" s="168">
        <v>64290.42</v>
      </c>
    </row>
    <row r="66" spans="1:12" ht="71.400000000000006" x14ac:dyDescent="0.3">
      <c r="A66" s="162" t="s">
        <v>32</v>
      </c>
      <c r="B66" s="163" t="s">
        <v>241</v>
      </c>
      <c r="C66" s="163" t="s">
        <v>34</v>
      </c>
      <c r="D66" s="163" t="s">
        <v>261</v>
      </c>
      <c r="E66" s="164" t="s">
        <v>35</v>
      </c>
      <c r="F66" s="165" t="s">
        <v>24</v>
      </c>
      <c r="G66" s="165"/>
      <c r="H66" s="164" t="s">
        <v>23</v>
      </c>
      <c r="I66" s="166">
        <v>1553.36</v>
      </c>
      <c r="J66" s="166"/>
      <c r="K66" s="167" t="s">
        <v>18</v>
      </c>
      <c r="L66" s="168">
        <v>62737.06</v>
      </c>
    </row>
    <row r="67" spans="1:12" ht="71.400000000000006" x14ac:dyDescent="0.3">
      <c r="A67" s="162" t="s">
        <v>32</v>
      </c>
      <c r="B67" s="163" t="s">
        <v>241</v>
      </c>
      <c r="C67" s="163" t="s">
        <v>34</v>
      </c>
      <c r="D67" s="163" t="s">
        <v>262</v>
      </c>
      <c r="E67" s="164" t="s">
        <v>35</v>
      </c>
      <c r="F67" s="165" t="s">
        <v>24</v>
      </c>
      <c r="G67" s="165"/>
      <c r="H67" s="164" t="s">
        <v>23</v>
      </c>
      <c r="I67" s="172">
        <v>776.68</v>
      </c>
      <c r="J67" s="172"/>
      <c r="K67" s="167" t="s">
        <v>18</v>
      </c>
      <c r="L67" s="168">
        <v>61960.38</v>
      </c>
    </row>
    <row r="68" spans="1:12" ht="71.400000000000006" x14ac:dyDescent="0.3">
      <c r="A68" s="162" t="s">
        <v>32</v>
      </c>
      <c r="B68" s="163" t="s">
        <v>263</v>
      </c>
      <c r="C68" s="163" t="s">
        <v>34</v>
      </c>
      <c r="D68" s="163" t="s">
        <v>127</v>
      </c>
      <c r="E68" s="164" t="s">
        <v>35</v>
      </c>
      <c r="F68" s="165" t="s">
        <v>24</v>
      </c>
      <c r="G68" s="165"/>
      <c r="H68" s="164" t="s">
        <v>23</v>
      </c>
      <c r="I68" s="166">
        <v>6562.5</v>
      </c>
      <c r="J68" s="166"/>
      <c r="K68" s="167" t="s">
        <v>18</v>
      </c>
      <c r="L68" s="168">
        <v>55397.88</v>
      </c>
    </row>
    <row r="69" spans="1:12" ht="71.400000000000006" x14ac:dyDescent="0.3">
      <c r="A69" s="162" t="s">
        <v>32</v>
      </c>
      <c r="B69" s="163" t="s">
        <v>263</v>
      </c>
      <c r="C69" s="163" t="s">
        <v>34</v>
      </c>
      <c r="D69" s="163" t="s">
        <v>86</v>
      </c>
      <c r="E69" s="164" t="s">
        <v>35</v>
      </c>
      <c r="F69" s="165" t="s">
        <v>24</v>
      </c>
      <c r="G69" s="165"/>
      <c r="H69" s="164" t="s">
        <v>23</v>
      </c>
      <c r="I69" s="166">
        <v>8750</v>
      </c>
      <c r="J69" s="166"/>
      <c r="K69" s="167" t="s">
        <v>18</v>
      </c>
      <c r="L69" s="168">
        <v>46647.88</v>
      </c>
    </row>
    <row r="70" spans="1:12" hidden="1" x14ac:dyDescent="0.3">
      <c r="A70" s="173" t="s">
        <v>40</v>
      </c>
      <c r="B70" s="173"/>
      <c r="C70" s="173"/>
      <c r="D70" s="173"/>
      <c r="E70" s="174">
        <v>47553.9</v>
      </c>
      <c r="F70" s="174"/>
      <c r="G70" s="174"/>
      <c r="H70" s="174">
        <v>122919.15</v>
      </c>
      <c r="I70" s="174"/>
      <c r="J70" s="174"/>
      <c r="K70" s="175" t="s">
        <v>18</v>
      </c>
      <c r="L70" s="176">
        <v>46647.88</v>
      </c>
    </row>
    <row r="72" spans="1:12" x14ac:dyDescent="0.3">
      <c r="J72" s="236">
        <f>SUBTOTAL(9,I21:J69)</f>
        <v>108814.15</v>
      </c>
    </row>
  </sheetData>
  <autoFilter ref="A1:L70" xr:uid="{7B2466EC-A420-4DC4-A732-B53D099DC169}">
    <filterColumn colId="1">
      <filters>
        <filter val="Передача малоцінних активів в експлуатацію ІБ00-000240 від 29.05.2025 14:03:45_x000a_Списание стоимости малоценных активов"/>
        <filter val="Передача малоцінних активів в експлуатацію ІБ00-000253 від 29.05.2025 21:00:00_x000a_Списание стоимости малоценных активов"/>
        <filter val="Передача малоцінних активів в експлуатацію ІБ00-000261 від 29.05.2025 21:50:02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46">
    <mergeCell ref="A70:D70"/>
    <mergeCell ref="E70:G70"/>
    <mergeCell ref="H70:J70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BDF4-B012-4705-87E8-18F266E85CCB}">
  <dimension ref="A1:L9"/>
  <sheetViews>
    <sheetView workbookViewId="0">
      <selection activeCell="J10" sqref="J10"/>
    </sheetView>
  </sheetViews>
  <sheetFormatPr defaultRowHeight="14.4" x14ac:dyDescent="0.3"/>
  <cols>
    <col min="2" max="4" width="23.109375" customWidth="1"/>
  </cols>
  <sheetData>
    <row r="1" spans="1:12" x14ac:dyDescent="0.3">
      <c r="A1" s="177" t="s">
        <v>9</v>
      </c>
      <c r="B1" s="178" t="s">
        <v>10</v>
      </c>
      <c r="C1" s="178" t="s">
        <v>11</v>
      </c>
      <c r="D1" s="179" t="s">
        <v>12</v>
      </c>
      <c r="E1" s="180" t="s">
        <v>13</v>
      </c>
      <c r="F1" s="180"/>
      <c r="G1" s="180"/>
      <c r="H1" s="181" t="s">
        <v>14</v>
      </c>
      <c r="I1" s="181"/>
      <c r="J1" s="181"/>
      <c r="K1" s="178" t="s">
        <v>15</v>
      </c>
      <c r="L1" s="178"/>
    </row>
    <row r="2" spans="1:12" x14ac:dyDescent="0.3">
      <c r="A2" s="182"/>
      <c r="B2" s="183"/>
      <c r="C2" s="183"/>
      <c r="D2" s="184"/>
      <c r="E2" s="185" t="s">
        <v>16</v>
      </c>
      <c r="F2" s="186"/>
      <c r="G2" s="186"/>
      <c r="H2" s="187" t="s">
        <v>16</v>
      </c>
      <c r="I2" s="188"/>
      <c r="J2" s="188"/>
      <c r="K2" s="182"/>
      <c r="L2" s="189"/>
    </row>
    <row r="3" spans="1:12" x14ac:dyDescent="0.3">
      <c r="A3" s="190" t="s">
        <v>17</v>
      </c>
      <c r="B3" s="190"/>
      <c r="C3" s="190"/>
      <c r="D3" s="190"/>
      <c r="E3" s="191"/>
      <c r="F3" s="191"/>
      <c r="G3" s="191"/>
      <c r="H3" s="191"/>
      <c r="I3" s="191"/>
      <c r="J3" s="191"/>
      <c r="K3" s="192"/>
      <c r="L3" s="193">
        <v>0</v>
      </c>
    </row>
    <row r="4" spans="1:12" ht="81.599999999999994" x14ac:dyDescent="0.3">
      <c r="A4" s="194" t="s">
        <v>32</v>
      </c>
      <c r="B4" s="195" t="s">
        <v>185</v>
      </c>
      <c r="C4" s="195" t="s">
        <v>186</v>
      </c>
      <c r="D4" s="195" t="s">
        <v>180</v>
      </c>
      <c r="E4" s="196" t="s">
        <v>23</v>
      </c>
      <c r="F4" s="197">
        <v>812.8</v>
      </c>
      <c r="G4" s="197"/>
      <c r="H4" s="196" t="s">
        <v>23</v>
      </c>
      <c r="I4" s="198" t="s">
        <v>24</v>
      </c>
      <c r="J4" s="198"/>
      <c r="K4" s="199" t="s">
        <v>18</v>
      </c>
      <c r="L4" s="200">
        <v>812.8</v>
      </c>
    </row>
    <row r="5" spans="1:12" ht="71.400000000000006" x14ac:dyDescent="0.3">
      <c r="A5" s="194" t="s">
        <v>32</v>
      </c>
      <c r="B5" s="195" t="s">
        <v>264</v>
      </c>
      <c r="C5" s="195" t="s">
        <v>34</v>
      </c>
      <c r="D5" s="195" t="s">
        <v>186</v>
      </c>
      <c r="E5" s="196" t="s">
        <v>35</v>
      </c>
      <c r="F5" s="201" t="s">
        <v>24</v>
      </c>
      <c r="G5" s="201"/>
      <c r="H5" s="196" t="s">
        <v>23</v>
      </c>
      <c r="I5" s="202">
        <v>812.8</v>
      </c>
      <c r="J5" s="202"/>
      <c r="K5" s="199"/>
      <c r="L5" s="203"/>
    </row>
    <row r="6" spans="1:12" x14ac:dyDescent="0.3">
      <c r="A6" s="204" t="s">
        <v>40</v>
      </c>
      <c r="B6" s="204"/>
      <c r="C6" s="204"/>
      <c r="D6" s="204"/>
      <c r="E6" s="205">
        <v>812.8</v>
      </c>
      <c r="F6" s="205"/>
      <c r="G6" s="205"/>
      <c r="H6" s="205">
        <v>812.8</v>
      </c>
      <c r="I6" s="205"/>
      <c r="J6" s="205"/>
      <c r="K6" s="206"/>
      <c r="L6" s="207">
        <v>0</v>
      </c>
    </row>
    <row r="9" spans="1:12" x14ac:dyDescent="0.3">
      <c r="J9">
        <f>I5*1.2</f>
        <v>975.3599999999999</v>
      </c>
    </row>
  </sheetData>
  <mergeCells count="18">
    <mergeCell ref="F5:G5"/>
    <mergeCell ref="I5:J5"/>
    <mergeCell ref="A6:D6"/>
    <mergeCell ref="E6:G6"/>
    <mergeCell ref="H6:J6"/>
    <mergeCell ref="K1:L2"/>
    <mergeCell ref="F2:G2"/>
    <mergeCell ref="I2:J2"/>
    <mergeCell ref="A3:D3"/>
    <mergeCell ref="E3:J3"/>
    <mergeCell ref="F4:G4"/>
    <mergeCell ref="I4:J4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CF77-B0C6-4825-8CC8-533851579F9A}">
  <sheetPr filterMode="1"/>
  <dimension ref="A1:L77"/>
  <sheetViews>
    <sheetView topLeftCell="A71" workbookViewId="0">
      <selection activeCell="B79" sqref="B79"/>
    </sheetView>
  </sheetViews>
  <sheetFormatPr defaultRowHeight="14.4" x14ac:dyDescent="0.3"/>
  <cols>
    <col min="2" max="4" width="19.5546875" customWidth="1"/>
  </cols>
  <sheetData>
    <row r="1" spans="1:12" x14ac:dyDescent="0.3">
      <c r="A1" s="208" t="s">
        <v>9</v>
      </c>
      <c r="B1" s="209" t="s">
        <v>10</v>
      </c>
      <c r="C1" s="209" t="s">
        <v>11</v>
      </c>
      <c r="D1" s="210" t="s">
        <v>12</v>
      </c>
      <c r="E1" s="211" t="s">
        <v>13</v>
      </c>
      <c r="F1" s="211"/>
      <c r="G1" s="211"/>
      <c r="H1" s="212" t="s">
        <v>14</v>
      </c>
      <c r="I1" s="212"/>
      <c r="J1" s="212"/>
      <c r="K1" s="209" t="s">
        <v>15</v>
      </c>
      <c r="L1" s="209"/>
    </row>
    <row r="2" spans="1:12" hidden="1" x14ac:dyDescent="0.3">
      <c r="A2" s="213"/>
      <c r="B2" s="214"/>
      <c r="C2" s="214"/>
      <c r="D2" s="215"/>
      <c r="E2" s="216" t="s">
        <v>16</v>
      </c>
      <c r="F2" s="217"/>
      <c r="G2" s="217"/>
      <c r="H2" s="218" t="s">
        <v>16</v>
      </c>
      <c r="I2" s="219"/>
      <c r="J2" s="219"/>
      <c r="K2" s="213"/>
      <c r="L2" s="220"/>
    </row>
    <row r="3" spans="1:12" ht="71.400000000000006" hidden="1" x14ac:dyDescent="0.3">
      <c r="A3" s="221" t="s">
        <v>19</v>
      </c>
      <c r="B3" s="222" t="s">
        <v>53</v>
      </c>
      <c r="C3" s="222" t="s">
        <v>54</v>
      </c>
      <c r="D3" s="222" t="s">
        <v>22</v>
      </c>
      <c r="E3" s="223" t="s">
        <v>23</v>
      </c>
      <c r="F3" s="224">
        <v>367.5</v>
      </c>
      <c r="G3" s="224"/>
      <c r="H3" s="223" t="s">
        <v>23</v>
      </c>
      <c r="I3" s="225" t="s">
        <v>24</v>
      </c>
      <c r="J3" s="225"/>
      <c r="K3" s="226" t="s">
        <v>18</v>
      </c>
      <c r="L3" s="227">
        <v>11029.5</v>
      </c>
    </row>
    <row r="4" spans="1:12" ht="71.400000000000006" hidden="1" x14ac:dyDescent="0.3">
      <c r="A4" s="221" t="s">
        <v>58</v>
      </c>
      <c r="B4" s="222" t="s">
        <v>265</v>
      </c>
      <c r="C4" s="222" t="s">
        <v>266</v>
      </c>
      <c r="D4" s="222" t="s">
        <v>267</v>
      </c>
      <c r="E4" s="223" t="s">
        <v>23</v>
      </c>
      <c r="F4" s="224">
        <v>734.8</v>
      </c>
      <c r="G4" s="224"/>
      <c r="H4" s="223" t="s">
        <v>31</v>
      </c>
      <c r="I4" s="225" t="s">
        <v>24</v>
      </c>
      <c r="J4" s="225"/>
      <c r="K4" s="226" t="s">
        <v>18</v>
      </c>
      <c r="L4" s="227">
        <v>11764.3</v>
      </c>
    </row>
    <row r="5" spans="1:12" ht="71.400000000000006" hidden="1" x14ac:dyDescent="0.3">
      <c r="A5" s="221" t="s">
        <v>58</v>
      </c>
      <c r="B5" s="222" t="s">
        <v>265</v>
      </c>
      <c r="C5" s="222" t="s">
        <v>268</v>
      </c>
      <c r="D5" s="222" t="s">
        <v>267</v>
      </c>
      <c r="E5" s="223" t="s">
        <v>23</v>
      </c>
      <c r="F5" s="228">
        <v>1172.25</v>
      </c>
      <c r="G5" s="228"/>
      <c r="H5" s="223" t="s">
        <v>31</v>
      </c>
      <c r="I5" s="225" t="s">
        <v>24</v>
      </c>
      <c r="J5" s="225"/>
      <c r="K5" s="226" t="s">
        <v>18</v>
      </c>
      <c r="L5" s="227">
        <v>12936.55</v>
      </c>
    </row>
    <row r="6" spans="1:12" ht="71.400000000000006" hidden="1" x14ac:dyDescent="0.3">
      <c r="A6" s="221" t="s">
        <v>58</v>
      </c>
      <c r="B6" s="222" t="s">
        <v>265</v>
      </c>
      <c r="C6" s="222" t="s">
        <v>269</v>
      </c>
      <c r="D6" s="222" t="s">
        <v>267</v>
      </c>
      <c r="E6" s="223" t="s">
        <v>23</v>
      </c>
      <c r="F6" s="224">
        <v>420.8</v>
      </c>
      <c r="G6" s="224"/>
      <c r="H6" s="223" t="s">
        <v>31</v>
      </c>
      <c r="I6" s="225" t="s">
        <v>24</v>
      </c>
      <c r="J6" s="225"/>
      <c r="K6" s="226" t="s">
        <v>18</v>
      </c>
      <c r="L6" s="227">
        <v>13357.35</v>
      </c>
    </row>
    <row r="7" spans="1:12" ht="71.400000000000006" hidden="1" x14ac:dyDescent="0.3">
      <c r="A7" s="221" t="s">
        <v>58</v>
      </c>
      <c r="B7" s="222" t="s">
        <v>265</v>
      </c>
      <c r="C7" s="222" t="s">
        <v>270</v>
      </c>
      <c r="D7" s="222" t="s">
        <v>267</v>
      </c>
      <c r="E7" s="223" t="s">
        <v>23</v>
      </c>
      <c r="F7" s="224">
        <v>387</v>
      </c>
      <c r="G7" s="224"/>
      <c r="H7" s="223" t="s">
        <v>31</v>
      </c>
      <c r="I7" s="225" t="s">
        <v>24</v>
      </c>
      <c r="J7" s="225"/>
      <c r="K7" s="226" t="s">
        <v>18</v>
      </c>
      <c r="L7" s="227">
        <v>13744.35</v>
      </c>
    </row>
    <row r="8" spans="1:12" hidden="1" x14ac:dyDescent="0.3">
      <c r="A8" s="221" t="s">
        <v>58</v>
      </c>
      <c r="B8" s="222" t="s">
        <v>265</v>
      </c>
      <c r="C8" s="222" t="s">
        <v>271</v>
      </c>
      <c r="D8" s="222" t="s">
        <v>267</v>
      </c>
      <c r="E8" s="223" t="s">
        <v>23</v>
      </c>
      <c r="F8" s="224">
        <v>762.2</v>
      </c>
      <c r="G8" s="224"/>
      <c r="H8" s="223" t="s">
        <v>31</v>
      </c>
      <c r="I8" s="225" t="s">
        <v>24</v>
      </c>
      <c r="J8" s="225"/>
      <c r="K8" s="226" t="s">
        <v>18</v>
      </c>
      <c r="L8" s="227">
        <v>14506.55</v>
      </c>
    </row>
    <row r="9" spans="1:12" ht="71.400000000000006" hidden="1" x14ac:dyDescent="0.3">
      <c r="A9" s="221" t="s">
        <v>58</v>
      </c>
      <c r="B9" s="222" t="s">
        <v>265</v>
      </c>
      <c r="C9" s="222" t="s">
        <v>272</v>
      </c>
      <c r="D9" s="222" t="s">
        <v>267</v>
      </c>
      <c r="E9" s="223" t="s">
        <v>23</v>
      </c>
      <c r="F9" s="224">
        <v>358.4</v>
      </c>
      <c r="G9" s="224"/>
      <c r="H9" s="223" t="s">
        <v>31</v>
      </c>
      <c r="I9" s="225" t="s">
        <v>24</v>
      </c>
      <c r="J9" s="225"/>
      <c r="K9" s="226" t="s">
        <v>18</v>
      </c>
      <c r="L9" s="227">
        <v>14864.95</v>
      </c>
    </row>
    <row r="10" spans="1:12" ht="71.400000000000006" hidden="1" x14ac:dyDescent="0.3">
      <c r="A10" s="221" t="s">
        <v>58</v>
      </c>
      <c r="B10" s="222" t="s">
        <v>265</v>
      </c>
      <c r="C10" s="222" t="s">
        <v>273</v>
      </c>
      <c r="D10" s="222" t="s">
        <v>267</v>
      </c>
      <c r="E10" s="223" t="s">
        <v>23</v>
      </c>
      <c r="F10" s="224">
        <v>559.65</v>
      </c>
      <c r="G10" s="224"/>
      <c r="H10" s="223" t="s">
        <v>31</v>
      </c>
      <c r="I10" s="225" t="s">
        <v>24</v>
      </c>
      <c r="J10" s="225"/>
      <c r="K10" s="226" t="s">
        <v>18</v>
      </c>
      <c r="L10" s="227">
        <v>15424.6</v>
      </c>
    </row>
    <row r="11" spans="1:12" ht="81.599999999999994" hidden="1" x14ac:dyDescent="0.3">
      <c r="A11" s="221" t="s">
        <v>58</v>
      </c>
      <c r="B11" s="222" t="s">
        <v>265</v>
      </c>
      <c r="C11" s="222" t="s">
        <v>274</v>
      </c>
      <c r="D11" s="222" t="s">
        <v>267</v>
      </c>
      <c r="E11" s="223" t="s">
        <v>23</v>
      </c>
      <c r="F11" s="224">
        <v>146</v>
      </c>
      <c r="G11" s="224"/>
      <c r="H11" s="223" t="s">
        <v>31</v>
      </c>
      <c r="I11" s="225" t="s">
        <v>24</v>
      </c>
      <c r="J11" s="225"/>
      <c r="K11" s="226" t="s">
        <v>18</v>
      </c>
      <c r="L11" s="227">
        <v>15570.6</v>
      </c>
    </row>
    <row r="12" spans="1:12" ht="71.400000000000006" hidden="1" x14ac:dyDescent="0.3">
      <c r="A12" s="221" t="s">
        <v>58</v>
      </c>
      <c r="B12" s="222" t="s">
        <v>265</v>
      </c>
      <c r="C12" s="222" t="s">
        <v>275</v>
      </c>
      <c r="D12" s="222" t="s">
        <v>267</v>
      </c>
      <c r="E12" s="223" t="s">
        <v>23</v>
      </c>
      <c r="F12" s="224">
        <v>576.70000000000005</v>
      </c>
      <c r="G12" s="224"/>
      <c r="H12" s="223" t="s">
        <v>31</v>
      </c>
      <c r="I12" s="225" t="s">
        <v>24</v>
      </c>
      <c r="J12" s="225"/>
      <c r="K12" s="226" t="s">
        <v>18</v>
      </c>
      <c r="L12" s="227">
        <v>16147.3</v>
      </c>
    </row>
    <row r="13" spans="1:12" ht="71.400000000000006" hidden="1" x14ac:dyDescent="0.3">
      <c r="A13" s="221" t="s">
        <v>95</v>
      </c>
      <c r="B13" s="222" t="s">
        <v>276</v>
      </c>
      <c r="C13" s="222" t="s">
        <v>277</v>
      </c>
      <c r="D13" s="222" t="s">
        <v>267</v>
      </c>
      <c r="E13" s="223" t="s">
        <v>23</v>
      </c>
      <c r="F13" s="224">
        <v>464.2</v>
      </c>
      <c r="G13" s="224"/>
      <c r="H13" s="223" t="s">
        <v>31</v>
      </c>
      <c r="I13" s="225" t="s">
        <v>24</v>
      </c>
      <c r="J13" s="225"/>
      <c r="K13" s="226" t="s">
        <v>18</v>
      </c>
      <c r="L13" s="227">
        <v>16611.5</v>
      </c>
    </row>
    <row r="14" spans="1:12" ht="71.400000000000006" hidden="1" x14ac:dyDescent="0.3">
      <c r="A14" s="221" t="s">
        <v>95</v>
      </c>
      <c r="B14" s="222" t="s">
        <v>276</v>
      </c>
      <c r="C14" s="222" t="s">
        <v>278</v>
      </c>
      <c r="D14" s="222" t="s">
        <v>267</v>
      </c>
      <c r="E14" s="223" t="s">
        <v>23</v>
      </c>
      <c r="F14" s="224">
        <v>162.5</v>
      </c>
      <c r="G14" s="224"/>
      <c r="H14" s="223" t="s">
        <v>31</v>
      </c>
      <c r="I14" s="225" t="s">
        <v>24</v>
      </c>
      <c r="J14" s="225"/>
      <c r="K14" s="226" t="s">
        <v>18</v>
      </c>
      <c r="L14" s="227">
        <v>16774</v>
      </c>
    </row>
    <row r="15" spans="1:12" ht="71.400000000000006" hidden="1" x14ac:dyDescent="0.3">
      <c r="A15" s="221" t="s">
        <v>95</v>
      </c>
      <c r="B15" s="222" t="s">
        <v>276</v>
      </c>
      <c r="C15" s="222" t="s">
        <v>279</v>
      </c>
      <c r="D15" s="222" t="s">
        <v>267</v>
      </c>
      <c r="E15" s="223" t="s">
        <v>23</v>
      </c>
      <c r="F15" s="224">
        <v>240</v>
      </c>
      <c r="G15" s="224"/>
      <c r="H15" s="223" t="s">
        <v>31</v>
      </c>
      <c r="I15" s="225" t="s">
        <v>24</v>
      </c>
      <c r="J15" s="225"/>
      <c r="K15" s="226" t="s">
        <v>18</v>
      </c>
      <c r="L15" s="227">
        <v>17014</v>
      </c>
    </row>
    <row r="16" spans="1:12" ht="61.2" x14ac:dyDescent="0.3">
      <c r="A16" s="221" t="s">
        <v>95</v>
      </c>
      <c r="B16" s="222" t="s">
        <v>280</v>
      </c>
      <c r="C16" s="222" t="s">
        <v>34</v>
      </c>
      <c r="D16" s="222" t="s">
        <v>281</v>
      </c>
      <c r="E16" s="223" t="s">
        <v>35</v>
      </c>
      <c r="F16" s="229" t="s">
        <v>24</v>
      </c>
      <c r="G16" s="229"/>
      <c r="H16" s="223" t="s">
        <v>23</v>
      </c>
      <c r="I16" s="230">
        <v>5085.04</v>
      </c>
      <c r="J16" s="230"/>
      <c r="K16" s="226" t="s">
        <v>18</v>
      </c>
      <c r="L16" s="227">
        <v>11928.96</v>
      </c>
    </row>
    <row r="17" spans="1:12" ht="71.400000000000006" x14ac:dyDescent="0.3">
      <c r="A17" s="221" t="s">
        <v>95</v>
      </c>
      <c r="B17" s="222" t="s">
        <v>280</v>
      </c>
      <c r="C17" s="222" t="s">
        <v>34</v>
      </c>
      <c r="D17" s="222" t="s">
        <v>54</v>
      </c>
      <c r="E17" s="223" t="s">
        <v>35</v>
      </c>
      <c r="F17" s="229" t="s">
        <v>24</v>
      </c>
      <c r="G17" s="229"/>
      <c r="H17" s="223" t="s">
        <v>23</v>
      </c>
      <c r="I17" s="231">
        <v>367.5</v>
      </c>
      <c r="J17" s="231"/>
      <c r="K17" s="226" t="s">
        <v>18</v>
      </c>
      <c r="L17" s="227">
        <v>11561.46</v>
      </c>
    </row>
    <row r="18" spans="1:12" ht="71.400000000000006" hidden="1" x14ac:dyDescent="0.3">
      <c r="A18" s="221" t="s">
        <v>95</v>
      </c>
      <c r="B18" s="222" t="s">
        <v>209</v>
      </c>
      <c r="C18" s="222" t="s">
        <v>210</v>
      </c>
      <c r="D18" s="222" t="s">
        <v>211</v>
      </c>
      <c r="E18" s="223" t="s">
        <v>23</v>
      </c>
      <c r="F18" s="228">
        <v>2524</v>
      </c>
      <c r="G18" s="228"/>
      <c r="H18" s="223" t="s">
        <v>23</v>
      </c>
      <c r="I18" s="225" t="s">
        <v>24</v>
      </c>
      <c r="J18" s="225"/>
      <c r="K18" s="226" t="s">
        <v>18</v>
      </c>
      <c r="L18" s="227">
        <v>14085.46</v>
      </c>
    </row>
    <row r="19" spans="1:12" ht="71.400000000000006" hidden="1" x14ac:dyDescent="0.3">
      <c r="A19" s="221" t="s">
        <v>95</v>
      </c>
      <c r="B19" s="222" t="s">
        <v>209</v>
      </c>
      <c r="C19" s="222" t="s">
        <v>212</v>
      </c>
      <c r="D19" s="222" t="s">
        <v>213</v>
      </c>
      <c r="E19" s="223" t="s">
        <v>23</v>
      </c>
      <c r="F19" s="228">
        <v>4390</v>
      </c>
      <c r="G19" s="228"/>
      <c r="H19" s="223" t="s">
        <v>23</v>
      </c>
      <c r="I19" s="225" t="s">
        <v>24</v>
      </c>
      <c r="J19" s="225"/>
      <c r="K19" s="226" t="s">
        <v>18</v>
      </c>
      <c r="L19" s="227">
        <v>18475.46</v>
      </c>
    </row>
    <row r="20" spans="1:12" ht="71.400000000000006" hidden="1" x14ac:dyDescent="0.3">
      <c r="A20" s="221" t="s">
        <v>95</v>
      </c>
      <c r="B20" s="222" t="s">
        <v>209</v>
      </c>
      <c r="C20" s="222" t="s">
        <v>214</v>
      </c>
      <c r="D20" s="222" t="s">
        <v>215</v>
      </c>
      <c r="E20" s="223" t="s">
        <v>23</v>
      </c>
      <c r="F20" s="228">
        <v>2355.1999999999998</v>
      </c>
      <c r="G20" s="228"/>
      <c r="H20" s="223" t="s">
        <v>23</v>
      </c>
      <c r="I20" s="225" t="s">
        <v>24</v>
      </c>
      <c r="J20" s="225"/>
      <c r="K20" s="226" t="s">
        <v>18</v>
      </c>
      <c r="L20" s="227">
        <v>20830.66</v>
      </c>
    </row>
    <row r="21" spans="1:12" ht="71.400000000000006" x14ac:dyDescent="0.3">
      <c r="A21" s="221" t="s">
        <v>95</v>
      </c>
      <c r="B21" s="222" t="s">
        <v>282</v>
      </c>
      <c r="C21" s="222" t="s">
        <v>34</v>
      </c>
      <c r="D21" s="222" t="s">
        <v>270</v>
      </c>
      <c r="E21" s="223" t="s">
        <v>35</v>
      </c>
      <c r="F21" s="229" t="s">
        <v>24</v>
      </c>
      <c r="G21" s="229"/>
      <c r="H21" s="223" t="s">
        <v>23</v>
      </c>
      <c r="I21" s="231">
        <v>387</v>
      </c>
      <c r="J21" s="231"/>
      <c r="K21" s="226" t="s">
        <v>18</v>
      </c>
      <c r="L21" s="227">
        <v>20443.66</v>
      </c>
    </row>
    <row r="22" spans="1:12" ht="61.2" x14ac:dyDescent="0.3">
      <c r="A22" s="221" t="s">
        <v>95</v>
      </c>
      <c r="B22" s="222" t="s">
        <v>282</v>
      </c>
      <c r="C22" s="222" t="s">
        <v>34</v>
      </c>
      <c r="D22" s="222" t="s">
        <v>273</v>
      </c>
      <c r="E22" s="223" t="s">
        <v>35</v>
      </c>
      <c r="F22" s="229" t="s">
        <v>24</v>
      </c>
      <c r="G22" s="229"/>
      <c r="H22" s="223" t="s">
        <v>23</v>
      </c>
      <c r="I22" s="231">
        <v>559.65</v>
      </c>
      <c r="J22" s="231"/>
      <c r="K22" s="226" t="s">
        <v>18</v>
      </c>
      <c r="L22" s="227">
        <v>19884.009999999998</v>
      </c>
    </row>
    <row r="23" spans="1:12" ht="71.400000000000006" x14ac:dyDescent="0.3">
      <c r="A23" s="221" t="s">
        <v>95</v>
      </c>
      <c r="B23" s="222" t="s">
        <v>282</v>
      </c>
      <c r="C23" s="222" t="s">
        <v>34</v>
      </c>
      <c r="D23" s="222" t="s">
        <v>272</v>
      </c>
      <c r="E23" s="223" t="s">
        <v>35</v>
      </c>
      <c r="F23" s="229" t="s">
        <v>24</v>
      </c>
      <c r="G23" s="229"/>
      <c r="H23" s="223" t="s">
        <v>23</v>
      </c>
      <c r="I23" s="231">
        <v>358.4</v>
      </c>
      <c r="J23" s="231"/>
      <c r="K23" s="226" t="s">
        <v>18</v>
      </c>
      <c r="L23" s="227">
        <v>19525.61</v>
      </c>
    </row>
    <row r="24" spans="1:12" ht="61.2" x14ac:dyDescent="0.3">
      <c r="A24" s="221" t="s">
        <v>95</v>
      </c>
      <c r="B24" s="222" t="s">
        <v>282</v>
      </c>
      <c r="C24" s="222" t="s">
        <v>34</v>
      </c>
      <c r="D24" s="222" t="s">
        <v>271</v>
      </c>
      <c r="E24" s="223" t="s">
        <v>35</v>
      </c>
      <c r="F24" s="229" t="s">
        <v>24</v>
      </c>
      <c r="G24" s="229"/>
      <c r="H24" s="223" t="s">
        <v>23</v>
      </c>
      <c r="I24" s="231">
        <v>762.2</v>
      </c>
      <c r="J24" s="231"/>
      <c r="K24" s="226" t="s">
        <v>18</v>
      </c>
      <c r="L24" s="227">
        <v>18763.41</v>
      </c>
    </row>
    <row r="25" spans="1:12" ht="61.2" x14ac:dyDescent="0.3">
      <c r="A25" s="221" t="s">
        <v>95</v>
      </c>
      <c r="B25" s="222" t="s">
        <v>282</v>
      </c>
      <c r="C25" s="222" t="s">
        <v>34</v>
      </c>
      <c r="D25" s="222" t="s">
        <v>268</v>
      </c>
      <c r="E25" s="223" t="s">
        <v>35</v>
      </c>
      <c r="F25" s="229" t="s">
        <v>24</v>
      </c>
      <c r="G25" s="229"/>
      <c r="H25" s="223" t="s">
        <v>23</v>
      </c>
      <c r="I25" s="230">
        <v>1172.25</v>
      </c>
      <c r="J25" s="230"/>
      <c r="K25" s="226" t="s">
        <v>18</v>
      </c>
      <c r="L25" s="227">
        <v>17591.16</v>
      </c>
    </row>
    <row r="26" spans="1:12" ht="71.400000000000006" x14ac:dyDescent="0.3">
      <c r="A26" s="221" t="s">
        <v>95</v>
      </c>
      <c r="B26" s="222" t="s">
        <v>282</v>
      </c>
      <c r="C26" s="222" t="s">
        <v>34</v>
      </c>
      <c r="D26" s="222" t="s">
        <v>266</v>
      </c>
      <c r="E26" s="223" t="s">
        <v>35</v>
      </c>
      <c r="F26" s="229" t="s">
        <v>24</v>
      </c>
      <c r="G26" s="229"/>
      <c r="H26" s="223" t="s">
        <v>23</v>
      </c>
      <c r="I26" s="231">
        <v>734.8</v>
      </c>
      <c r="J26" s="231"/>
      <c r="K26" s="226" t="s">
        <v>18</v>
      </c>
      <c r="L26" s="227">
        <v>16856.36</v>
      </c>
    </row>
    <row r="27" spans="1:12" ht="61.2" x14ac:dyDescent="0.3">
      <c r="A27" s="221" t="s">
        <v>95</v>
      </c>
      <c r="B27" s="222" t="s">
        <v>282</v>
      </c>
      <c r="C27" s="222" t="s">
        <v>34</v>
      </c>
      <c r="D27" s="222" t="s">
        <v>269</v>
      </c>
      <c r="E27" s="223" t="s">
        <v>35</v>
      </c>
      <c r="F27" s="229" t="s">
        <v>24</v>
      </c>
      <c r="G27" s="229"/>
      <c r="H27" s="223" t="s">
        <v>23</v>
      </c>
      <c r="I27" s="231">
        <v>420.8</v>
      </c>
      <c r="J27" s="231"/>
      <c r="K27" s="226" t="s">
        <v>18</v>
      </c>
      <c r="L27" s="227">
        <v>16435.560000000001</v>
      </c>
    </row>
    <row r="28" spans="1:12" ht="61.2" x14ac:dyDescent="0.3">
      <c r="A28" s="221" t="s">
        <v>95</v>
      </c>
      <c r="B28" s="222" t="s">
        <v>282</v>
      </c>
      <c r="C28" s="222" t="s">
        <v>34</v>
      </c>
      <c r="D28" s="222" t="s">
        <v>275</v>
      </c>
      <c r="E28" s="223" t="s">
        <v>35</v>
      </c>
      <c r="F28" s="229" t="s">
        <v>24</v>
      </c>
      <c r="G28" s="229"/>
      <c r="H28" s="223" t="s">
        <v>23</v>
      </c>
      <c r="I28" s="231">
        <v>576.70000000000005</v>
      </c>
      <c r="J28" s="231"/>
      <c r="K28" s="226" t="s">
        <v>18</v>
      </c>
      <c r="L28" s="227">
        <v>15858.86</v>
      </c>
    </row>
    <row r="29" spans="1:12" ht="71.400000000000006" x14ac:dyDescent="0.3">
      <c r="A29" s="221" t="s">
        <v>95</v>
      </c>
      <c r="B29" s="222" t="s">
        <v>282</v>
      </c>
      <c r="C29" s="222" t="s">
        <v>34</v>
      </c>
      <c r="D29" s="222" t="s">
        <v>210</v>
      </c>
      <c r="E29" s="223" t="s">
        <v>35</v>
      </c>
      <c r="F29" s="229" t="s">
        <v>24</v>
      </c>
      <c r="G29" s="229"/>
      <c r="H29" s="223" t="s">
        <v>23</v>
      </c>
      <c r="I29" s="230">
        <v>2524</v>
      </c>
      <c r="J29" s="230"/>
      <c r="K29" s="226" t="s">
        <v>18</v>
      </c>
      <c r="L29" s="227">
        <v>13334.86</v>
      </c>
    </row>
    <row r="30" spans="1:12" ht="71.400000000000006" x14ac:dyDescent="0.3">
      <c r="A30" s="221" t="s">
        <v>95</v>
      </c>
      <c r="B30" s="222" t="s">
        <v>282</v>
      </c>
      <c r="C30" s="222" t="s">
        <v>34</v>
      </c>
      <c r="D30" s="222" t="s">
        <v>212</v>
      </c>
      <c r="E30" s="223" t="s">
        <v>35</v>
      </c>
      <c r="F30" s="229" t="s">
        <v>24</v>
      </c>
      <c r="G30" s="229"/>
      <c r="H30" s="223" t="s">
        <v>23</v>
      </c>
      <c r="I30" s="230">
        <v>4390</v>
      </c>
      <c r="J30" s="230"/>
      <c r="K30" s="226" t="s">
        <v>18</v>
      </c>
      <c r="L30" s="227">
        <v>8944.86</v>
      </c>
    </row>
    <row r="31" spans="1:12" ht="71.400000000000006" x14ac:dyDescent="0.3">
      <c r="A31" s="221" t="s">
        <v>95</v>
      </c>
      <c r="B31" s="222" t="s">
        <v>282</v>
      </c>
      <c r="C31" s="222" t="s">
        <v>34</v>
      </c>
      <c r="D31" s="222" t="s">
        <v>214</v>
      </c>
      <c r="E31" s="223" t="s">
        <v>35</v>
      </c>
      <c r="F31" s="229" t="s">
        <v>24</v>
      </c>
      <c r="G31" s="229"/>
      <c r="H31" s="223" t="s">
        <v>23</v>
      </c>
      <c r="I31" s="230">
        <v>2355.1999999999998</v>
      </c>
      <c r="J31" s="230"/>
      <c r="K31" s="226" t="s">
        <v>18</v>
      </c>
      <c r="L31" s="227">
        <v>6589.66</v>
      </c>
    </row>
    <row r="32" spans="1:12" ht="71.400000000000006" hidden="1" x14ac:dyDescent="0.3">
      <c r="A32" s="221" t="s">
        <v>101</v>
      </c>
      <c r="B32" s="222" t="s">
        <v>130</v>
      </c>
      <c r="C32" s="222" t="s">
        <v>131</v>
      </c>
      <c r="D32" s="222" t="s">
        <v>105</v>
      </c>
      <c r="E32" s="223" t="s">
        <v>23</v>
      </c>
      <c r="F32" s="224">
        <v>645</v>
      </c>
      <c r="G32" s="224"/>
      <c r="H32" s="223" t="s">
        <v>23</v>
      </c>
      <c r="I32" s="225" t="s">
        <v>24</v>
      </c>
      <c r="J32" s="225"/>
      <c r="K32" s="226" t="s">
        <v>18</v>
      </c>
      <c r="L32" s="227">
        <v>7234.66</v>
      </c>
    </row>
    <row r="33" spans="1:12" ht="71.400000000000006" hidden="1" x14ac:dyDescent="0.3">
      <c r="A33" s="221" t="s">
        <v>101</v>
      </c>
      <c r="B33" s="222" t="s">
        <v>130</v>
      </c>
      <c r="C33" s="222" t="s">
        <v>132</v>
      </c>
      <c r="D33" s="222" t="s">
        <v>106</v>
      </c>
      <c r="E33" s="223" t="s">
        <v>23</v>
      </c>
      <c r="F33" s="228">
        <v>2771.1</v>
      </c>
      <c r="G33" s="228"/>
      <c r="H33" s="223" t="s">
        <v>23</v>
      </c>
      <c r="I33" s="225" t="s">
        <v>24</v>
      </c>
      <c r="J33" s="225"/>
      <c r="K33" s="226" t="s">
        <v>18</v>
      </c>
      <c r="L33" s="227">
        <v>10005.76</v>
      </c>
    </row>
    <row r="34" spans="1:12" ht="61.2" hidden="1" x14ac:dyDescent="0.3">
      <c r="A34" s="221" t="s">
        <v>101</v>
      </c>
      <c r="B34" s="222" t="s">
        <v>130</v>
      </c>
      <c r="C34" s="222" t="s">
        <v>133</v>
      </c>
      <c r="D34" s="222" t="s">
        <v>107</v>
      </c>
      <c r="E34" s="223" t="s">
        <v>23</v>
      </c>
      <c r="F34" s="228">
        <v>2035</v>
      </c>
      <c r="G34" s="228"/>
      <c r="H34" s="223" t="s">
        <v>23</v>
      </c>
      <c r="I34" s="225" t="s">
        <v>24</v>
      </c>
      <c r="J34" s="225"/>
      <c r="K34" s="226" t="s">
        <v>18</v>
      </c>
      <c r="L34" s="227">
        <v>12040.76</v>
      </c>
    </row>
    <row r="35" spans="1:12" ht="71.400000000000006" hidden="1" x14ac:dyDescent="0.3">
      <c r="A35" s="221" t="s">
        <v>101</v>
      </c>
      <c r="B35" s="222" t="s">
        <v>130</v>
      </c>
      <c r="C35" s="222" t="s">
        <v>134</v>
      </c>
      <c r="D35" s="222" t="s">
        <v>108</v>
      </c>
      <c r="E35" s="223" t="s">
        <v>23</v>
      </c>
      <c r="F35" s="228">
        <v>2140</v>
      </c>
      <c r="G35" s="228"/>
      <c r="H35" s="223" t="s">
        <v>23</v>
      </c>
      <c r="I35" s="225" t="s">
        <v>24</v>
      </c>
      <c r="J35" s="225"/>
      <c r="K35" s="226" t="s">
        <v>18</v>
      </c>
      <c r="L35" s="227">
        <v>14180.76</v>
      </c>
    </row>
    <row r="36" spans="1:12" ht="61.2" hidden="1" x14ac:dyDescent="0.3">
      <c r="A36" s="221" t="s">
        <v>101</v>
      </c>
      <c r="B36" s="222" t="s">
        <v>130</v>
      </c>
      <c r="C36" s="222" t="s">
        <v>135</v>
      </c>
      <c r="D36" s="222" t="s">
        <v>109</v>
      </c>
      <c r="E36" s="223" t="s">
        <v>23</v>
      </c>
      <c r="F36" s="228">
        <v>1195.8499999999999</v>
      </c>
      <c r="G36" s="228"/>
      <c r="H36" s="223" t="s">
        <v>23</v>
      </c>
      <c r="I36" s="225" t="s">
        <v>24</v>
      </c>
      <c r="J36" s="225"/>
      <c r="K36" s="226" t="s">
        <v>18</v>
      </c>
      <c r="L36" s="227">
        <v>15376.61</v>
      </c>
    </row>
    <row r="37" spans="1:12" ht="71.400000000000006" hidden="1" x14ac:dyDescent="0.3">
      <c r="A37" s="221" t="s">
        <v>101</v>
      </c>
      <c r="B37" s="222" t="s">
        <v>130</v>
      </c>
      <c r="C37" s="222" t="s">
        <v>136</v>
      </c>
      <c r="D37" s="222" t="s">
        <v>110</v>
      </c>
      <c r="E37" s="223" t="s">
        <v>23</v>
      </c>
      <c r="F37" s="224">
        <v>803.9</v>
      </c>
      <c r="G37" s="224"/>
      <c r="H37" s="223" t="s">
        <v>23</v>
      </c>
      <c r="I37" s="225" t="s">
        <v>24</v>
      </c>
      <c r="J37" s="225"/>
      <c r="K37" s="226" t="s">
        <v>18</v>
      </c>
      <c r="L37" s="227">
        <v>16180.51</v>
      </c>
    </row>
    <row r="38" spans="1:12" ht="81.599999999999994" hidden="1" x14ac:dyDescent="0.3">
      <c r="A38" s="221" t="s">
        <v>101</v>
      </c>
      <c r="B38" s="222" t="s">
        <v>130</v>
      </c>
      <c r="C38" s="222" t="s">
        <v>137</v>
      </c>
      <c r="D38" s="222" t="s">
        <v>111</v>
      </c>
      <c r="E38" s="223" t="s">
        <v>23</v>
      </c>
      <c r="F38" s="228">
        <v>1293.5999999999999</v>
      </c>
      <c r="G38" s="228"/>
      <c r="H38" s="223" t="s">
        <v>23</v>
      </c>
      <c r="I38" s="225" t="s">
        <v>24</v>
      </c>
      <c r="J38" s="225"/>
      <c r="K38" s="226" t="s">
        <v>18</v>
      </c>
      <c r="L38" s="227">
        <v>17474.11</v>
      </c>
    </row>
    <row r="39" spans="1:12" ht="61.2" hidden="1" x14ac:dyDescent="0.3">
      <c r="A39" s="221" t="s">
        <v>101</v>
      </c>
      <c r="B39" s="222" t="s">
        <v>130</v>
      </c>
      <c r="C39" s="222" t="s">
        <v>138</v>
      </c>
      <c r="D39" s="222" t="s">
        <v>113</v>
      </c>
      <c r="E39" s="223" t="s">
        <v>23</v>
      </c>
      <c r="F39" s="224">
        <v>420.8</v>
      </c>
      <c r="G39" s="224"/>
      <c r="H39" s="223" t="s">
        <v>23</v>
      </c>
      <c r="I39" s="225" t="s">
        <v>24</v>
      </c>
      <c r="J39" s="225"/>
      <c r="K39" s="226" t="s">
        <v>18</v>
      </c>
      <c r="L39" s="227">
        <v>17894.91</v>
      </c>
    </row>
    <row r="40" spans="1:12" ht="71.400000000000006" hidden="1" x14ac:dyDescent="0.3">
      <c r="A40" s="221" t="s">
        <v>101</v>
      </c>
      <c r="B40" s="222" t="s">
        <v>130</v>
      </c>
      <c r="C40" s="222" t="s">
        <v>139</v>
      </c>
      <c r="D40" s="222" t="s">
        <v>114</v>
      </c>
      <c r="E40" s="223" t="s">
        <v>23</v>
      </c>
      <c r="F40" s="224">
        <v>780.5</v>
      </c>
      <c r="G40" s="224"/>
      <c r="H40" s="223" t="s">
        <v>23</v>
      </c>
      <c r="I40" s="225" t="s">
        <v>24</v>
      </c>
      <c r="J40" s="225"/>
      <c r="K40" s="226" t="s">
        <v>18</v>
      </c>
      <c r="L40" s="227">
        <v>18675.41</v>
      </c>
    </row>
    <row r="41" spans="1:12" ht="71.400000000000006" hidden="1" x14ac:dyDescent="0.3">
      <c r="A41" s="221" t="s">
        <v>101</v>
      </c>
      <c r="B41" s="222" t="s">
        <v>130</v>
      </c>
      <c r="C41" s="222" t="s">
        <v>140</v>
      </c>
      <c r="D41" s="222" t="s">
        <v>115</v>
      </c>
      <c r="E41" s="223" t="s">
        <v>23</v>
      </c>
      <c r="F41" s="224">
        <v>367</v>
      </c>
      <c r="G41" s="224"/>
      <c r="H41" s="223" t="s">
        <v>23</v>
      </c>
      <c r="I41" s="225" t="s">
        <v>24</v>
      </c>
      <c r="J41" s="225"/>
      <c r="K41" s="226" t="s">
        <v>18</v>
      </c>
      <c r="L41" s="227">
        <v>19042.41</v>
      </c>
    </row>
    <row r="42" spans="1:12" ht="91.8" hidden="1" x14ac:dyDescent="0.3">
      <c r="A42" s="221" t="s">
        <v>32</v>
      </c>
      <c r="B42" s="222" t="s">
        <v>172</v>
      </c>
      <c r="C42" s="222" t="s">
        <v>173</v>
      </c>
      <c r="D42" s="222" t="s">
        <v>174</v>
      </c>
      <c r="E42" s="223" t="s">
        <v>23</v>
      </c>
      <c r="F42" s="228">
        <v>4867.6000000000004</v>
      </c>
      <c r="G42" s="228"/>
      <c r="H42" s="223" t="s">
        <v>23</v>
      </c>
      <c r="I42" s="225" t="s">
        <v>24</v>
      </c>
      <c r="J42" s="225"/>
      <c r="K42" s="226" t="s">
        <v>18</v>
      </c>
      <c r="L42" s="227">
        <v>23910.01</v>
      </c>
    </row>
    <row r="43" spans="1:12" ht="81.599999999999994" hidden="1" x14ac:dyDescent="0.3">
      <c r="A43" s="221" t="s">
        <v>32</v>
      </c>
      <c r="B43" s="222" t="s">
        <v>172</v>
      </c>
      <c r="C43" s="222" t="s">
        <v>175</v>
      </c>
      <c r="D43" s="222" t="s">
        <v>176</v>
      </c>
      <c r="E43" s="223" t="s">
        <v>23</v>
      </c>
      <c r="F43" s="228">
        <v>3336.6</v>
      </c>
      <c r="G43" s="228"/>
      <c r="H43" s="223" t="s">
        <v>23</v>
      </c>
      <c r="I43" s="225" t="s">
        <v>24</v>
      </c>
      <c r="J43" s="225"/>
      <c r="K43" s="226" t="s">
        <v>18</v>
      </c>
      <c r="L43" s="227">
        <v>27246.61</v>
      </c>
    </row>
    <row r="44" spans="1:12" ht="102" hidden="1" x14ac:dyDescent="0.3">
      <c r="A44" s="221" t="s">
        <v>32</v>
      </c>
      <c r="B44" s="222" t="s">
        <v>172</v>
      </c>
      <c r="C44" s="222" t="s">
        <v>177</v>
      </c>
      <c r="D44" s="222" t="s">
        <v>178</v>
      </c>
      <c r="E44" s="223" t="s">
        <v>23</v>
      </c>
      <c r="F44" s="228">
        <v>2582.5</v>
      </c>
      <c r="G44" s="228"/>
      <c r="H44" s="223" t="s">
        <v>23</v>
      </c>
      <c r="I44" s="225" t="s">
        <v>24</v>
      </c>
      <c r="J44" s="225"/>
      <c r="K44" s="226" t="s">
        <v>18</v>
      </c>
      <c r="L44" s="227">
        <v>29829.11</v>
      </c>
    </row>
    <row r="45" spans="1:12" ht="71.400000000000006" hidden="1" x14ac:dyDescent="0.3">
      <c r="A45" s="221" t="s">
        <v>32</v>
      </c>
      <c r="B45" s="222" t="s">
        <v>182</v>
      </c>
      <c r="C45" s="222" t="s">
        <v>183</v>
      </c>
      <c r="D45" s="222" t="s">
        <v>184</v>
      </c>
      <c r="E45" s="223" t="s">
        <v>23</v>
      </c>
      <c r="F45" s="224">
        <v>900</v>
      </c>
      <c r="G45" s="224"/>
      <c r="H45" s="223" t="s">
        <v>23</v>
      </c>
      <c r="I45" s="225" t="s">
        <v>24</v>
      </c>
      <c r="J45" s="225"/>
      <c r="K45" s="226" t="s">
        <v>18</v>
      </c>
      <c r="L45" s="227">
        <v>30729.11</v>
      </c>
    </row>
    <row r="46" spans="1:12" ht="81.599999999999994" hidden="1" x14ac:dyDescent="0.3">
      <c r="A46" s="221" t="s">
        <v>32</v>
      </c>
      <c r="B46" s="222" t="s">
        <v>182</v>
      </c>
      <c r="C46" s="222" t="s">
        <v>54</v>
      </c>
      <c r="D46" s="222" t="s">
        <v>56</v>
      </c>
      <c r="E46" s="223" t="s">
        <v>23</v>
      </c>
      <c r="F46" s="224">
        <v>367.5</v>
      </c>
      <c r="G46" s="224"/>
      <c r="H46" s="223" t="s">
        <v>23</v>
      </c>
      <c r="I46" s="225" t="s">
        <v>24</v>
      </c>
      <c r="J46" s="225"/>
      <c r="K46" s="226" t="s">
        <v>18</v>
      </c>
      <c r="L46" s="227">
        <v>31096.61</v>
      </c>
    </row>
    <row r="47" spans="1:12" ht="81.599999999999994" hidden="1" x14ac:dyDescent="0.3">
      <c r="A47" s="221" t="s">
        <v>32</v>
      </c>
      <c r="B47" s="222" t="s">
        <v>187</v>
      </c>
      <c r="C47" s="222" t="s">
        <v>188</v>
      </c>
      <c r="D47" s="222" t="s">
        <v>189</v>
      </c>
      <c r="E47" s="223" t="s">
        <v>23</v>
      </c>
      <c r="F47" s="228">
        <v>6084.5</v>
      </c>
      <c r="G47" s="228"/>
      <c r="H47" s="223" t="s">
        <v>23</v>
      </c>
      <c r="I47" s="225" t="s">
        <v>24</v>
      </c>
      <c r="J47" s="225"/>
      <c r="K47" s="226" t="s">
        <v>18</v>
      </c>
      <c r="L47" s="227">
        <v>37181.11</v>
      </c>
    </row>
    <row r="48" spans="1:12" ht="91.8" hidden="1" x14ac:dyDescent="0.3">
      <c r="A48" s="221" t="s">
        <v>32</v>
      </c>
      <c r="B48" s="222" t="s">
        <v>187</v>
      </c>
      <c r="C48" s="222" t="s">
        <v>190</v>
      </c>
      <c r="D48" s="222" t="s">
        <v>191</v>
      </c>
      <c r="E48" s="223" t="s">
        <v>23</v>
      </c>
      <c r="F48" s="228">
        <v>2640.83</v>
      </c>
      <c r="G48" s="228"/>
      <c r="H48" s="223" t="s">
        <v>23</v>
      </c>
      <c r="I48" s="225" t="s">
        <v>24</v>
      </c>
      <c r="J48" s="225"/>
      <c r="K48" s="226" t="s">
        <v>18</v>
      </c>
      <c r="L48" s="227">
        <v>39821.94</v>
      </c>
    </row>
    <row r="49" spans="1:12" ht="81.599999999999994" hidden="1" x14ac:dyDescent="0.3">
      <c r="A49" s="221" t="s">
        <v>32</v>
      </c>
      <c r="B49" s="222" t="s">
        <v>187</v>
      </c>
      <c r="C49" s="222" t="s">
        <v>192</v>
      </c>
      <c r="D49" s="222" t="s">
        <v>193</v>
      </c>
      <c r="E49" s="223" t="s">
        <v>23</v>
      </c>
      <c r="F49" s="224">
        <v>409.5</v>
      </c>
      <c r="G49" s="224"/>
      <c r="H49" s="223" t="s">
        <v>23</v>
      </c>
      <c r="I49" s="225" t="s">
        <v>24</v>
      </c>
      <c r="J49" s="225"/>
      <c r="K49" s="226" t="s">
        <v>18</v>
      </c>
      <c r="L49" s="227">
        <v>40231.440000000002</v>
      </c>
    </row>
    <row r="50" spans="1:12" ht="81.599999999999994" hidden="1" x14ac:dyDescent="0.3">
      <c r="A50" s="221" t="s">
        <v>32</v>
      </c>
      <c r="B50" s="222" t="s">
        <v>187</v>
      </c>
      <c r="C50" s="222" t="s">
        <v>194</v>
      </c>
      <c r="D50" s="222" t="s">
        <v>195</v>
      </c>
      <c r="E50" s="223" t="s">
        <v>23</v>
      </c>
      <c r="F50" s="228">
        <v>1410</v>
      </c>
      <c r="G50" s="228"/>
      <c r="H50" s="223" t="s">
        <v>23</v>
      </c>
      <c r="I50" s="225" t="s">
        <v>24</v>
      </c>
      <c r="J50" s="225"/>
      <c r="K50" s="226" t="s">
        <v>18</v>
      </c>
      <c r="L50" s="227">
        <v>41641.440000000002</v>
      </c>
    </row>
    <row r="51" spans="1:12" ht="71.400000000000006" x14ac:dyDescent="0.3">
      <c r="A51" s="221" t="s">
        <v>32</v>
      </c>
      <c r="B51" s="222" t="s">
        <v>283</v>
      </c>
      <c r="C51" s="222" t="s">
        <v>34</v>
      </c>
      <c r="D51" s="222" t="s">
        <v>131</v>
      </c>
      <c r="E51" s="223" t="s">
        <v>35</v>
      </c>
      <c r="F51" s="229" t="s">
        <v>24</v>
      </c>
      <c r="G51" s="229"/>
      <c r="H51" s="223" t="s">
        <v>23</v>
      </c>
      <c r="I51" s="231">
        <v>645</v>
      </c>
      <c r="J51" s="231"/>
      <c r="K51" s="226" t="s">
        <v>18</v>
      </c>
      <c r="L51" s="227">
        <v>40996.44</v>
      </c>
    </row>
    <row r="52" spans="1:12" ht="61.2" x14ac:dyDescent="0.3">
      <c r="A52" s="221" t="s">
        <v>32</v>
      </c>
      <c r="B52" s="222" t="s">
        <v>283</v>
      </c>
      <c r="C52" s="222" t="s">
        <v>34</v>
      </c>
      <c r="D52" s="222" t="s">
        <v>138</v>
      </c>
      <c r="E52" s="223" t="s">
        <v>35</v>
      </c>
      <c r="F52" s="229" t="s">
        <v>24</v>
      </c>
      <c r="G52" s="229"/>
      <c r="H52" s="223" t="s">
        <v>23</v>
      </c>
      <c r="I52" s="231">
        <v>420.8</v>
      </c>
      <c r="J52" s="231"/>
      <c r="K52" s="226" t="s">
        <v>18</v>
      </c>
      <c r="L52" s="227">
        <v>40575.64</v>
      </c>
    </row>
    <row r="53" spans="1:12" ht="61.2" x14ac:dyDescent="0.3">
      <c r="A53" s="221" t="s">
        <v>32</v>
      </c>
      <c r="B53" s="222" t="s">
        <v>283</v>
      </c>
      <c r="C53" s="222" t="s">
        <v>34</v>
      </c>
      <c r="D53" s="222" t="s">
        <v>278</v>
      </c>
      <c r="E53" s="223" t="s">
        <v>35</v>
      </c>
      <c r="F53" s="229" t="s">
        <v>24</v>
      </c>
      <c r="G53" s="229"/>
      <c r="H53" s="223" t="s">
        <v>23</v>
      </c>
      <c r="I53" s="231">
        <v>162.5</v>
      </c>
      <c r="J53" s="231"/>
      <c r="K53" s="226" t="s">
        <v>18</v>
      </c>
      <c r="L53" s="227">
        <v>40413.14</v>
      </c>
    </row>
    <row r="54" spans="1:12" ht="61.2" x14ac:dyDescent="0.3">
      <c r="A54" s="221" t="s">
        <v>32</v>
      </c>
      <c r="B54" s="222" t="s">
        <v>283</v>
      </c>
      <c r="C54" s="222" t="s">
        <v>34</v>
      </c>
      <c r="D54" s="222" t="s">
        <v>279</v>
      </c>
      <c r="E54" s="223" t="s">
        <v>35</v>
      </c>
      <c r="F54" s="229" t="s">
        <v>24</v>
      </c>
      <c r="G54" s="229"/>
      <c r="H54" s="223" t="s">
        <v>23</v>
      </c>
      <c r="I54" s="231">
        <v>240</v>
      </c>
      <c r="J54" s="231"/>
      <c r="K54" s="226" t="s">
        <v>18</v>
      </c>
      <c r="L54" s="227">
        <v>40173.14</v>
      </c>
    </row>
    <row r="55" spans="1:12" ht="71.400000000000006" x14ac:dyDescent="0.3">
      <c r="A55" s="221" t="s">
        <v>32</v>
      </c>
      <c r="B55" s="222" t="s">
        <v>283</v>
      </c>
      <c r="C55" s="222" t="s">
        <v>34</v>
      </c>
      <c r="D55" s="222" t="s">
        <v>277</v>
      </c>
      <c r="E55" s="223" t="s">
        <v>35</v>
      </c>
      <c r="F55" s="229" t="s">
        <v>24</v>
      </c>
      <c r="G55" s="229"/>
      <c r="H55" s="223" t="s">
        <v>23</v>
      </c>
      <c r="I55" s="231">
        <v>464.2</v>
      </c>
      <c r="J55" s="231"/>
      <c r="K55" s="226" t="s">
        <v>18</v>
      </c>
      <c r="L55" s="227">
        <v>39708.94</v>
      </c>
    </row>
    <row r="56" spans="1:12" ht="61.2" x14ac:dyDescent="0.3">
      <c r="A56" s="221" t="s">
        <v>32</v>
      </c>
      <c r="B56" s="222" t="s">
        <v>283</v>
      </c>
      <c r="C56" s="222" t="s">
        <v>34</v>
      </c>
      <c r="D56" s="222" t="s">
        <v>135</v>
      </c>
      <c r="E56" s="223" t="s">
        <v>35</v>
      </c>
      <c r="F56" s="229" t="s">
        <v>24</v>
      </c>
      <c r="G56" s="229"/>
      <c r="H56" s="223" t="s">
        <v>23</v>
      </c>
      <c r="I56" s="230">
        <v>1195.8499999999999</v>
      </c>
      <c r="J56" s="230"/>
      <c r="K56" s="226" t="s">
        <v>18</v>
      </c>
      <c r="L56" s="227">
        <v>38513.089999999997</v>
      </c>
    </row>
    <row r="57" spans="1:12" ht="71.400000000000006" x14ac:dyDescent="0.3">
      <c r="A57" s="221" t="s">
        <v>32</v>
      </c>
      <c r="B57" s="222" t="s">
        <v>283</v>
      </c>
      <c r="C57" s="222" t="s">
        <v>34</v>
      </c>
      <c r="D57" s="222" t="s">
        <v>136</v>
      </c>
      <c r="E57" s="223" t="s">
        <v>35</v>
      </c>
      <c r="F57" s="229" t="s">
        <v>24</v>
      </c>
      <c r="G57" s="229"/>
      <c r="H57" s="223" t="s">
        <v>23</v>
      </c>
      <c r="I57" s="231">
        <v>803.9</v>
      </c>
      <c r="J57" s="231"/>
      <c r="K57" s="226" t="s">
        <v>18</v>
      </c>
      <c r="L57" s="227">
        <v>37709.19</v>
      </c>
    </row>
    <row r="58" spans="1:12" ht="71.400000000000006" x14ac:dyDescent="0.3">
      <c r="A58" s="221" t="s">
        <v>32</v>
      </c>
      <c r="B58" s="222" t="s">
        <v>283</v>
      </c>
      <c r="C58" s="222" t="s">
        <v>34</v>
      </c>
      <c r="D58" s="222" t="s">
        <v>132</v>
      </c>
      <c r="E58" s="223" t="s">
        <v>35</v>
      </c>
      <c r="F58" s="229" t="s">
        <v>24</v>
      </c>
      <c r="G58" s="229"/>
      <c r="H58" s="223" t="s">
        <v>23</v>
      </c>
      <c r="I58" s="230">
        <v>2771.1</v>
      </c>
      <c r="J58" s="230"/>
      <c r="K58" s="226" t="s">
        <v>18</v>
      </c>
      <c r="L58" s="227">
        <v>34938.089999999997</v>
      </c>
    </row>
    <row r="59" spans="1:12" ht="61.2" x14ac:dyDescent="0.3">
      <c r="A59" s="221" t="s">
        <v>32</v>
      </c>
      <c r="B59" s="222" t="s">
        <v>283</v>
      </c>
      <c r="C59" s="222" t="s">
        <v>34</v>
      </c>
      <c r="D59" s="222" t="s">
        <v>133</v>
      </c>
      <c r="E59" s="223" t="s">
        <v>35</v>
      </c>
      <c r="F59" s="229" t="s">
        <v>24</v>
      </c>
      <c r="G59" s="229"/>
      <c r="H59" s="223" t="s">
        <v>23</v>
      </c>
      <c r="I59" s="230">
        <v>2035</v>
      </c>
      <c r="J59" s="230"/>
      <c r="K59" s="226" t="s">
        <v>18</v>
      </c>
      <c r="L59" s="227">
        <v>32903.089999999997</v>
      </c>
    </row>
    <row r="60" spans="1:12" ht="71.400000000000006" x14ac:dyDescent="0.3">
      <c r="A60" s="221" t="s">
        <v>32</v>
      </c>
      <c r="B60" s="222" t="s">
        <v>283</v>
      </c>
      <c r="C60" s="222" t="s">
        <v>34</v>
      </c>
      <c r="D60" s="222" t="s">
        <v>134</v>
      </c>
      <c r="E60" s="223" t="s">
        <v>35</v>
      </c>
      <c r="F60" s="229" t="s">
        <v>24</v>
      </c>
      <c r="G60" s="229"/>
      <c r="H60" s="223" t="s">
        <v>23</v>
      </c>
      <c r="I60" s="230">
        <v>2140</v>
      </c>
      <c r="J60" s="230"/>
      <c r="K60" s="226" t="s">
        <v>18</v>
      </c>
      <c r="L60" s="227">
        <v>30763.09</v>
      </c>
    </row>
    <row r="61" spans="1:12" ht="81.599999999999994" x14ac:dyDescent="0.3">
      <c r="A61" s="221" t="s">
        <v>32</v>
      </c>
      <c r="B61" s="222" t="s">
        <v>283</v>
      </c>
      <c r="C61" s="222" t="s">
        <v>34</v>
      </c>
      <c r="D61" s="222" t="s">
        <v>274</v>
      </c>
      <c r="E61" s="223" t="s">
        <v>35</v>
      </c>
      <c r="F61" s="229" t="s">
        <v>24</v>
      </c>
      <c r="G61" s="229"/>
      <c r="H61" s="223" t="s">
        <v>23</v>
      </c>
      <c r="I61" s="231">
        <v>146</v>
      </c>
      <c r="J61" s="231"/>
      <c r="K61" s="226" t="s">
        <v>18</v>
      </c>
      <c r="L61" s="227">
        <v>30617.09</v>
      </c>
    </row>
    <row r="62" spans="1:12" ht="71.400000000000006" x14ac:dyDescent="0.3">
      <c r="A62" s="221" t="s">
        <v>32</v>
      </c>
      <c r="B62" s="222" t="s">
        <v>283</v>
      </c>
      <c r="C62" s="222" t="s">
        <v>34</v>
      </c>
      <c r="D62" s="222" t="s">
        <v>140</v>
      </c>
      <c r="E62" s="223" t="s">
        <v>35</v>
      </c>
      <c r="F62" s="229" t="s">
        <v>24</v>
      </c>
      <c r="G62" s="229"/>
      <c r="H62" s="223" t="s">
        <v>23</v>
      </c>
      <c r="I62" s="231">
        <v>367</v>
      </c>
      <c r="J62" s="231"/>
      <c r="K62" s="226" t="s">
        <v>18</v>
      </c>
      <c r="L62" s="227">
        <v>30250.09</v>
      </c>
    </row>
    <row r="63" spans="1:12" ht="71.400000000000006" x14ac:dyDescent="0.3">
      <c r="A63" s="221" t="s">
        <v>32</v>
      </c>
      <c r="B63" s="222" t="s">
        <v>283</v>
      </c>
      <c r="C63" s="222" t="s">
        <v>34</v>
      </c>
      <c r="D63" s="222" t="s">
        <v>139</v>
      </c>
      <c r="E63" s="223" t="s">
        <v>35</v>
      </c>
      <c r="F63" s="229" t="s">
        <v>24</v>
      </c>
      <c r="G63" s="229"/>
      <c r="H63" s="223" t="s">
        <v>23</v>
      </c>
      <c r="I63" s="231">
        <v>780.5</v>
      </c>
      <c r="J63" s="231"/>
      <c r="K63" s="226" t="s">
        <v>18</v>
      </c>
      <c r="L63" s="227">
        <v>29469.59</v>
      </c>
    </row>
    <row r="64" spans="1:12" ht="71.400000000000006" x14ac:dyDescent="0.3">
      <c r="A64" s="221" t="s">
        <v>32</v>
      </c>
      <c r="B64" s="222" t="s">
        <v>283</v>
      </c>
      <c r="C64" s="222" t="s">
        <v>34</v>
      </c>
      <c r="D64" s="222" t="s">
        <v>173</v>
      </c>
      <c r="E64" s="223" t="s">
        <v>35</v>
      </c>
      <c r="F64" s="229" t="s">
        <v>24</v>
      </c>
      <c r="G64" s="229"/>
      <c r="H64" s="223" t="s">
        <v>23</v>
      </c>
      <c r="I64" s="230">
        <v>4867.6000000000004</v>
      </c>
      <c r="J64" s="230"/>
      <c r="K64" s="226" t="s">
        <v>18</v>
      </c>
      <c r="L64" s="227">
        <v>24601.99</v>
      </c>
    </row>
    <row r="65" spans="1:12" ht="61.2" x14ac:dyDescent="0.3">
      <c r="A65" s="221" t="s">
        <v>32</v>
      </c>
      <c r="B65" s="222" t="s">
        <v>283</v>
      </c>
      <c r="C65" s="222" t="s">
        <v>34</v>
      </c>
      <c r="D65" s="222" t="s">
        <v>175</v>
      </c>
      <c r="E65" s="223" t="s">
        <v>35</v>
      </c>
      <c r="F65" s="229" t="s">
        <v>24</v>
      </c>
      <c r="G65" s="229"/>
      <c r="H65" s="223" t="s">
        <v>23</v>
      </c>
      <c r="I65" s="230">
        <v>3336.6</v>
      </c>
      <c r="J65" s="230"/>
      <c r="K65" s="226" t="s">
        <v>18</v>
      </c>
      <c r="L65" s="227">
        <v>21265.39</v>
      </c>
    </row>
    <row r="66" spans="1:12" ht="81.599999999999994" x14ac:dyDescent="0.3">
      <c r="A66" s="221" t="s">
        <v>32</v>
      </c>
      <c r="B66" s="222" t="s">
        <v>283</v>
      </c>
      <c r="C66" s="222" t="s">
        <v>34</v>
      </c>
      <c r="D66" s="222" t="s">
        <v>177</v>
      </c>
      <c r="E66" s="223" t="s">
        <v>35</v>
      </c>
      <c r="F66" s="229" t="s">
        <v>24</v>
      </c>
      <c r="G66" s="229"/>
      <c r="H66" s="223" t="s">
        <v>23</v>
      </c>
      <c r="I66" s="230">
        <v>2582.5</v>
      </c>
      <c r="J66" s="230"/>
      <c r="K66" s="226" t="s">
        <v>18</v>
      </c>
      <c r="L66" s="227">
        <v>18682.89</v>
      </c>
    </row>
    <row r="67" spans="1:12" ht="61.2" x14ac:dyDescent="0.3">
      <c r="A67" s="221" t="s">
        <v>32</v>
      </c>
      <c r="B67" s="222" t="s">
        <v>284</v>
      </c>
      <c r="C67" s="222" t="s">
        <v>34</v>
      </c>
      <c r="D67" s="222" t="s">
        <v>183</v>
      </c>
      <c r="E67" s="223" t="s">
        <v>35</v>
      </c>
      <c r="F67" s="229" t="s">
        <v>24</v>
      </c>
      <c r="G67" s="229"/>
      <c r="H67" s="223" t="s">
        <v>23</v>
      </c>
      <c r="I67" s="231">
        <v>900</v>
      </c>
      <c r="J67" s="231"/>
      <c r="K67" s="226" t="s">
        <v>18</v>
      </c>
      <c r="L67" s="227">
        <v>17782.89</v>
      </c>
    </row>
    <row r="68" spans="1:12" ht="71.400000000000006" x14ac:dyDescent="0.3">
      <c r="A68" s="221" t="s">
        <v>32</v>
      </c>
      <c r="B68" s="222" t="s">
        <v>284</v>
      </c>
      <c r="C68" s="222" t="s">
        <v>34</v>
      </c>
      <c r="D68" s="222" t="s">
        <v>54</v>
      </c>
      <c r="E68" s="223" t="s">
        <v>35</v>
      </c>
      <c r="F68" s="229" t="s">
        <v>24</v>
      </c>
      <c r="G68" s="229"/>
      <c r="H68" s="223" t="s">
        <v>23</v>
      </c>
      <c r="I68" s="231">
        <v>367.5</v>
      </c>
      <c r="J68" s="231"/>
      <c r="K68" s="226" t="s">
        <v>18</v>
      </c>
      <c r="L68" s="227">
        <v>17415.39</v>
      </c>
    </row>
    <row r="69" spans="1:12" ht="71.400000000000006" x14ac:dyDescent="0.3">
      <c r="A69" s="221" t="s">
        <v>32</v>
      </c>
      <c r="B69" s="222" t="s">
        <v>285</v>
      </c>
      <c r="C69" s="222" t="s">
        <v>34</v>
      </c>
      <c r="D69" s="222" t="s">
        <v>188</v>
      </c>
      <c r="E69" s="223" t="s">
        <v>35</v>
      </c>
      <c r="F69" s="229" t="s">
        <v>24</v>
      </c>
      <c r="G69" s="229"/>
      <c r="H69" s="223" t="s">
        <v>23</v>
      </c>
      <c r="I69" s="230">
        <v>6084.5</v>
      </c>
      <c r="J69" s="230"/>
      <c r="K69" s="226" t="s">
        <v>18</v>
      </c>
      <c r="L69" s="227">
        <v>11330.89</v>
      </c>
    </row>
    <row r="70" spans="1:12" ht="81.599999999999994" x14ac:dyDescent="0.3">
      <c r="A70" s="221" t="s">
        <v>32</v>
      </c>
      <c r="B70" s="222" t="s">
        <v>285</v>
      </c>
      <c r="C70" s="222" t="s">
        <v>34</v>
      </c>
      <c r="D70" s="222" t="s">
        <v>190</v>
      </c>
      <c r="E70" s="223" t="s">
        <v>35</v>
      </c>
      <c r="F70" s="229" t="s">
        <v>24</v>
      </c>
      <c r="G70" s="229"/>
      <c r="H70" s="223" t="s">
        <v>23</v>
      </c>
      <c r="I70" s="230">
        <v>2640.83</v>
      </c>
      <c r="J70" s="230"/>
      <c r="K70" s="226" t="s">
        <v>18</v>
      </c>
      <c r="L70" s="227">
        <v>8690.06</v>
      </c>
    </row>
    <row r="71" spans="1:12" ht="71.400000000000006" x14ac:dyDescent="0.3">
      <c r="A71" s="221" t="s">
        <v>32</v>
      </c>
      <c r="B71" s="222" t="s">
        <v>285</v>
      </c>
      <c r="C71" s="222" t="s">
        <v>34</v>
      </c>
      <c r="D71" s="222" t="s">
        <v>192</v>
      </c>
      <c r="E71" s="223" t="s">
        <v>35</v>
      </c>
      <c r="F71" s="229" t="s">
        <v>24</v>
      </c>
      <c r="G71" s="229"/>
      <c r="H71" s="223" t="s">
        <v>23</v>
      </c>
      <c r="I71" s="231">
        <v>409.5</v>
      </c>
      <c r="J71" s="231"/>
      <c r="K71" s="226" t="s">
        <v>18</v>
      </c>
      <c r="L71" s="227">
        <v>8280.56</v>
      </c>
    </row>
    <row r="72" spans="1:12" ht="71.400000000000006" x14ac:dyDescent="0.3">
      <c r="A72" s="221" t="s">
        <v>32</v>
      </c>
      <c r="B72" s="222" t="s">
        <v>285</v>
      </c>
      <c r="C72" s="222" t="s">
        <v>34</v>
      </c>
      <c r="D72" s="222" t="s">
        <v>194</v>
      </c>
      <c r="E72" s="223" t="s">
        <v>35</v>
      </c>
      <c r="F72" s="229" t="s">
        <v>24</v>
      </c>
      <c r="G72" s="229"/>
      <c r="H72" s="223" t="s">
        <v>23</v>
      </c>
      <c r="I72" s="230">
        <v>1410</v>
      </c>
      <c r="J72" s="230"/>
      <c r="K72" s="226" t="s">
        <v>18</v>
      </c>
      <c r="L72" s="227">
        <v>6870.56</v>
      </c>
    </row>
    <row r="73" spans="1:12" ht="71.400000000000006" x14ac:dyDescent="0.3">
      <c r="A73" s="221" t="s">
        <v>32</v>
      </c>
      <c r="B73" s="222" t="s">
        <v>286</v>
      </c>
      <c r="C73" s="222" t="s">
        <v>34</v>
      </c>
      <c r="D73" s="222" t="s">
        <v>287</v>
      </c>
      <c r="E73" s="223" t="s">
        <v>35</v>
      </c>
      <c r="F73" s="229" t="s">
        <v>24</v>
      </c>
      <c r="G73" s="229"/>
      <c r="H73" s="223" t="s">
        <v>23</v>
      </c>
      <c r="I73" s="230">
        <v>4004.48</v>
      </c>
      <c r="J73" s="230"/>
      <c r="K73" s="226" t="s">
        <v>18</v>
      </c>
      <c r="L73" s="227">
        <v>2866.08</v>
      </c>
    </row>
    <row r="74" spans="1:12" ht="71.400000000000006" x14ac:dyDescent="0.3">
      <c r="A74" s="221" t="s">
        <v>32</v>
      </c>
      <c r="B74" s="222" t="s">
        <v>286</v>
      </c>
      <c r="C74" s="222" t="s">
        <v>34</v>
      </c>
      <c r="D74" s="222" t="s">
        <v>288</v>
      </c>
      <c r="E74" s="223" t="s">
        <v>35</v>
      </c>
      <c r="F74" s="229" t="s">
        <v>24</v>
      </c>
      <c r="G74" s="229"/>
      <c r="H74" s="223" t="s">
        <v>23</v>
      </c>
      <c r="I74" s="230">
        <v>1572.48</v>
      </c>
      <c r="J74" s="230"/>
      <c r="K74" s="226" t="s">
        <v>18</v>
      </c>
      <c r="L74" s="227">
        <v>1293.5999999999999</v>
      </c>
    </row>
    <row r="75" spans="1:12" hidden="1" x14ac:dyDescent="0.3">
      <c r="A75" s="232" t="s">
        <v>40</v>
      </c>
      <c r="B75" s="232"/>
      <c r="C75" s="232"/>
      <c r="D75" s="232"/>
      <c r="E75" s="233">
        <v>50672.98</v>
      </c>
      <c r="F75" s="233"/>
      <c r="G75" s="233"/>
      <c r="H75" s="233">
        <v>60041.38</v>
      </c>
      <c r="I75" s="233"/>
      <c r="J75" s="233"/>
      <c r="K75" s="234" t="s">
        <v>18</v>
      </c>
      <c r="L75" s="235">
        <v>1293.5999999999999</v>
      </c>
    </row>
    <row r="77" spans="1:12" x14ac:dyDescent="0.3">
      <c r="J77" s="236">
        <f>SUBTOTAL(9,I16:J74)</f>
        <v>60041.380000000005</v>
      </c>
    </row>
  </sheetData>
  <autoFilter ref="A1:L75" xr:uid="{65FFB11B-29AB-4E4C-B4ED-20FA662AE23A}">
    <filterColumn colId="1">
      <filters>
        <filter val="Передача малоцінних активів в експлуатацію ІБ00-000221 від 22.05.2025 13:29:35_x000a_Списание стоимости малоценных активов"/>
        <filter val="Передача малоцінних активів в експлуатацію ІБ00-000224 від 22.05.2025 16:27:06_x000a_Списание стоимости малоценных активов"/>
        <filter val="Передача малоцінних активів в експлуатацію ІБ00-000251 від 29.05.2025 21:00:27_x000a_Списание стоимости малоценных активов"/>
        <filter val="Передача малоцінних активів в експлуатацію ІБ00-000255 від 29.05.2025 21:00:00_x000a_Списание стоимости малоценных активов"/>
        <filter val="Передача малоцінних активів в експлуатацію ІБ00-000256 від 29.05.2025 21:00:00_x000a_Списание стоимости малоценных активов"/>
        <filter val="Передача малоцінних активів в експлуатацію ІБ00-000257 від 29.05.2025 21:00:00_x000a_Списание стоимости малоценных активов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156">
    <mergeCell ref="F73:G73"/>
    <mergeCell ref="I73:J73"/>
    <mergeCell ref="F74:G74"/>
    <mergeCell ref="I74:J74"/>
    <mergeCell ref="A75:D75"/>
    <mergeCell ref="E75:G75"/>
    <mergeCell ref="H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Свод</vt:lpstr>
      <vt:lpstr>АПК</vt:lpstr>
      <vt:lpstr>Генплан митний склад</vt:lpstr>
      <vt:lpstr>Глобине-2</vt:lpstr>
      <vt:lpstr>Пожежений резервуар</vt:lpstr>
      <vt:lpstr>БигБег</vt:lpstr>
      <vt:lpstr>Соевая меляса</vt:lpstr>
      <vt:lpstr>СПК (Глобине)</vt:lpstr>
      <vt:lpstr>Транспортна галерея</vt:lpstr>
      <vt:lpstr>Цех екстракції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2025-06-19T14:05:14Z</dcterms:modified>
</cp:coreProperties>
</file>
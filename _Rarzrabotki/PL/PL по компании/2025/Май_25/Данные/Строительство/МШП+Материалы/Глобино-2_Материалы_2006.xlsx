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МШП+Материалы\"/>
    </mc:Choice>
  </mc:AlternateContent>
  <xr:revisionPtr revIDLastSave="0" documentId="13_ncr:1_{EE26AC6C-38B4-46A5-8321-D9E0E9F9E8E9}" xr6:coauthVersionLast="45" xr6:coauthVersionMax="45" xr10:uidLastSave="{00000000-0000-0000-0000-000000000000}"/>
  <bookViews>
    <workbookView xWindow="-108" yWindow="-108" windowWidth="23256" windowHeight="12600" tabRatio="835" xr2:uid="{00000000-000D-0000-FFFF-FFFF00000000}"/>
  </bookViews>
  <sheets>
    <sheet name="Свод" sheetId="1" r:id="rId1"/>
    <sheet name="АПК" sheetId="2" r:id="rId2"/>
    <sheet name="Генплан благоустрій" sheetId="3" r:id="rId3"/>
    <sheet name="Генплан дорога СПК" sheetId="4" r:id="rId4"/>
    <sheet name="Генплан митний склад" sheetId="5" r:id="rId5"/>
    <sheet name="Генплан підпірна стінка" sheetId="6" r:id="rId6"/>
    <sheet name="Глобине-2" sheetId="7" r:id="rId7"/>
    <sheet name="Котельна" sheetId="8" r:id="rId8"/>
    <sheet name="Насосна Градирня" sheetId="9" r:id="rId9"/>
    <sheet name="Пож. резервуар" sheetId="10" r:id="rId10"/>
    <sheet name="БигБеги" sheetId="11" r:id="rId11"/>
    <sheet name="Резервуар розчин" sheetId="12" r:id="rId12"/>
    <sheet name="Резервуарний соев мел" sheetId="13" r:id="rId13"/>
    <sheet name="СПК" sheetId="14" r:id="rId14"/>
    <sheet name="Транспортна галерея" sheetId="15" r:id="rId15"/>
    <sheet name="Цех екстракції 205" sheetId="16" r:id="rId16"/>
    <sheet name="Цех екстракції 205.1" sheetId="17" r:id="rId17"/>
  </sheets>
  <definedNames>
    <definedName name="_xlnm._FilterDatabase" localSheetId="1" hidden="1">АПК!$A$1:$L$58</definedName>
    <definedName name="_xlnm._FilterDatabase" localSheetId="10" hidden="1">БигБеги!$A$1:$L$34</definedName>
    <definedName name="_xlnm._FilterDatabase" localSheetId="2" hidden="1">'Генплан благоустрій'!$A$1:$L$47</definedName>
    <definedName name="_xlnm._FilterDatabase" localSheetId="3" hidden="1">'Генплан дорога СПК'!$A$1:$L$32</definedName>
    <definedName name="_xlnm._FilterDatabase" localSheetId="4" hidden="1">'Генплан митний склад'!$A$1:$L$15</definedName>
    <definedName name="_xlnm._FilterDatabase" localSheetId="5" hidden="1">'Генплан підпірна стінка'!$A$1:$L$8</definedName>
    <definedName name="_xlnm._FilterDatabase" localSheetId="6" hidden="1">'Глобине-2'!$A$1:$L$167</definedName>
    <definedName name="_xlnm._FilterDatabase" localSheetId="7" hidden="1">Котельна!$A$1:$L$30</definedName>
    <definedName name="_xlnm._FilterDatabase" localSheetId="8" hidden="1">'Насосна Градирня'!$A$1:$L$9</definedName>
    <definedName name="_xlnm._FilterDatabase" localSheetId="9" hidden="1">'Пож. резервуар'!$A$1:$L$65</definedName>
    <definedName name="_xlnm._FilterDatabase" localSheetId="11" hidden="1">'Резервуар розчин'!$A$1:$L$48</definedName>
    <definedName name="_xlnm._FilterDatabase" localSheetId="12" hidden="1">'Резервуарний соев мел'!$A$1:$L$44</definedName>
    <definedName name="_xlnm._FilterDatabase" localSheetId="13" hidden="1">СПК!$A$1:$L$299</definedName>
    <definedName name="_xlnm._FilterDatabase" localSheetId="14" hidden="1">'Транспортна галерея'!$A$1:$L$65</definedName>
    <definedName name="_xlnm._FilterDatabase" localSheetId="15" hidden="1">'Цех екстракції 205'!$A$1:$L$710</definedName>
    <definedName name="_xlnm._FilterDatabase" localSheetId="16" hidden="1">'Цех екстракції 205.1'!$A$1:$L$12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1" l="1"/>
  <c r="C16" i="1"/>
  <c r="C15" i="1"/>
  <c r="C14" i="1"/>
  <c r="C13" i="1" l="1"/>
  <c r="C12" i="1"/>
  <c r="C11" i="1"/>
  <c r="C10" i="1"/>
  <c r="C9" i="1"/>
  <c r="C8" i="1"/>
  <c r="C7" i="1"/>
  <c r="C6" i="1"/>
  <c r="C5" i="1"/>
  <c r="C4" i="1"/>
  <c r="C3" i="1"/>
  <c r="C2" i="1"/>
  <c r="C20" i="1" s="1"/>
  <c r="J60" i="2"/>
  <c r="J49" i="3"/>
  <c r="J17" i="5"/>
  <c r="J169" i="7"/>
  <c r="J32" i="8"/>
  <c r="J67" i="10"/>
  <c r="J36" i="11"/>
  <c r="J50" i="12"/>
  <c r="J46" i="13"/>
  <c r="J301" i="14"/>
  <c r="J67" i="15"/>
  <c r="J712" i="16"/>
  <c r="J14" i="17"/>
</calcChain>
</file>

<file path=xl/sharedStrings.xml><?xml version="1.0" encoding="utf-8"?>
<sst xmlns="http://schemas.openxmlformats.org/spreadsheetml/2006/main" count="12952" uniqueCount="1317">
  <si>
    <t>АПК (Глобине)</t>
  </si>
  <si>
    <t>Генплан благоустрій (Глобине)</t>
  </si>
  <si>
    <t>Генплан дорога СПК (Глобине)</t>
  </si>
  <si>
    <t>Генплан митний склад (Глобине)</t>
  </si>
  <si>
    <t>Генплан підпірна стінка (Глобине)</t>
  </si>
  <si>
    <t>Глобине-2</t>
  </si>
  <si>
    <t>Котельна (Глобине)</t>
  </si>
  <si>
    <t>Насосна Градирня (Глобине)</t>
  </si>
  <si>
    <t>Пожежений резервуар (Глобине)</t>
  </si>
  <si>
    <t>Пункт фасування та зберігання в бігбегах (Глобине)</t>
  </si>
  <si>
    <t>Резервуар для зберігання розчинника(Глобине)</t>
  </si>
  <si>
    <t>Резервуарний парк соєвої меляси (Глобине)</t>
  </si>
  <si>
    <t>СПК (Глобине)</t>
  </si>
  <si>
    <t>Транспортна галерея (Глобине)</t>
  </si>
  <si>
    <t>Цех екстракції (Глобине)</t>
  </si>
  <si>
    <t>205.1</t>
  </si>
  <si>
    <t>ВСЕГО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</si>
  <si>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</si>
  <si>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</si>
  <si>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</si>
  <si>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</si>
  <si>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</si>
  <si>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</si>
  <si>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</si>
  <si>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</si>
  <si>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</si>
  <si>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01.05.2025</t>
  </si>
  <si>
    <t>Надходження товарів і послуг ІБ00-002184 від 01.05.2025 11:00:00
Оприходованы ТМЦ</t>
  </si>
  <si>
    <t>Обл. НДС
Шнур бентонітовий ГІДРОСТОП 15*25
Надходження товарів і послуг ІБ00-002184 від 01.05.2025 11:00:00
АПК (Глобине)</t>
  </si>
  <si>
    <t>ПРОТЕКС УКРАЇНА
Договір 9  від 11.12.2023_Глобине 2
Рахунок на оплату постачальника ІБ00-001780 від 01.05.2025 23:31:24</t>
  </si>
  <si>
    <t>205</t>
  </si>
  <si>
    <t>631</t>
  </si>
  <si>
    <t xml:space="preserve"> </t>
  </si>
  <si>
    <t>Обл. НДС
Профіль кріпильний 25*15мм
Надходження товарів і послуг ІБ00-002184 від 01.05.2025 11:00:00
АПК (Глобине)</t>
  </si>
  <si>
    <t>Переміщення товарів ІБ00-000437 від 01.05.2025 11:10:00
Перемещение ТМЦ</t>
  </si>
  <si>
    <t>Обл. НДС
Труба Дн 89*3
Надходження товарів і послуг ІБ00-002202 від 01.05.2025 11:00:00
АПК (Глобине)</t>
  </si>
  <si>
    <t>Обл. НДС
Труба Дн 89*3
Надходження товарів і послуг ІБ00-002202 від 01.05.2025 11:00:00
Глобине-2</t>
  </si>
  <si>
    <t>Обл. НДС
Труба Дн 108*5,0мм
Надходження товарів і послуг ІБ00-002202 від 01.05.2025 11:00:00
АПК (Глобине)</t>
  </si>
  <si>
    <t>Обл. НДС
Труба Дн 108*5,0мм
Надходження товарів і послуг ІБ00-002202 від 01.05.2025 11:00:00
Глобине-2</t>
  </si>
  <si>
    <t>Обл. НДС
Труба 127*5.0мм
Надходження товарів і послуг ІБ00-002202 від 01.05.2025 11:00:00
АПК (Глобине)</t>
  </si>
  <si>
    <t>Обл. НДС
Труба 127*5.0мм
Надходження товарів і послуг ІБ00-002202 від 01.05.2025 11:00:00
Глобине-2</t>
  </si>
  <si>
    <t>Обл. НДС
Труба 159*5.0мм
Надходження товарів і послуг ІБ00-002202 від 01.05.2025 11:00:00
АПК (Глобине)</t>
  </si>
  <si>
    <t>Обл. НДС
Труба 159*5.0мм
Надходження товарів і послуг ІБ00-002202 від 01.05.2025 11:00:00
Глобине-2</t>
  </si>
  <si>
    <t>Обл. НДС
Труба 219*6
Надходження товарів і послуг ІБ00-002202 від 01.05.2025 11:00:00
АПК (Глобине)</t>
  </si>
  <si>
    <t>Обл. НДС
Труба 219*6
Надходження товарів і послуг ІБ00-002202 від 01.05.2025 11:00:00
Глобине-2</t>
  </si>
  <si>
    <t>Обл. НДС
Труба 377*10,0
Надходження товарів і послуг ІБ00-002202 від 01.05.2025 11:00:00
АПК (Глобине)</t>
  </si>
  <si>
    <t>Обл. НДС
Труба 377*10,0
Надходження товарів і послуг ІБ00-002202 від 01.05.2025 11:00:00
Глобине-2</t>
  </si>
  <si>
    <t>Обл. НДС
Труба 426*10,0мм
Надходження товарів і послуг ІБ00-002202 від 01.05.2025 11:00:00
АПК (Глобине)</t>
  </si>
  <si>
    <t>Обл. НДС
Труба 426*10,0мм
Надходження товарів і послуг ІБ00-002202 від 01.05.2025 11:00:00
Глобине-2</t>
  </si>
  <si>
    <t>Переміщення товарів ІБ00-000430 від 01.05.2025 22:00:50
Перемещение ТМЦ</t>
  </si>
  <si>
    <t>Обл. НДС
Прокат арматурний №12 мм  А500С  12м
Надходження товарів і послуг ІБ00-000546 від 14.02.2025 10:00:00
АПК (Глобине)</t>
  </si>
  <si>
    <t>Обл. НДС
Прокат арматурний №12 мм  А500С  12м
Надходження товарів і послуг ІБ00-000546 від 14.02.2025 10:00:00
Пожежений резервуар (Глобине)</t>
  </si>
  <si>
    <t>Вимога-накладна ІБ00-000362 від 01.05.2025 22:00:51
Списаны ТМЦ</t>
  </si>
  <si>
    <t>Обл. НДС
Виробничий (Глобине-2)
Глобине-2
Прямі материальні виробничі витрати крім зворотніх відходів</t>
  </si>
  <si>
    <t>231</t>
  </si>
  <si>
    <t>03.05.2025</t>
  </si>
  <si>
    <t>Переміщення товарів ІБ00-000395 від 03.05.2025 11:10:00
Перемещение ТМЦ</t>
  </si>
  <si>
    <t>Обл. НДС
Бетон С20/25 W6 F75 P4
Надходження товарів і послуг ІБ00-002008 від 03.05.2025 11:00:00
АПК (Глобине)</t>
  </si>
  <si>
    <t>Обл. НДС
Бетон С20/25 W6 F75 P4
Надходження товарів і послуг ІБ00-002008 від 03.05.2025 11:00:00
Глобине-2</t>
  </si>
  <si>
    <t>08.05.2025</t>
  </si>
  <si>
    <t>Переміщення товарів ІБ00-000448 від 08.05.2025 11:10:00
Перемещение ТМЦ</t>
  </si>
  <si>
    <t>Обл. НДС
Пенекрит 25кг/відро
Надходження товарів і послуг ІБ00-002340 від 08.05.2025 11:00:00
АПК (Глобине)</t>
  </si>
  <si>
    <t>Обл. НДС
Пенекрит 25кг/відро
Надходження товарів і послуг ІБ00-002340 від 08.05.2025 11:00:00
Глобине-2</t>
  </si>
  <si>
    <t>10.05.2025</t>
  </si>
  <si>
    <t>Переміщення товарів ІБ00-000428 від 10.05.2025 11:10:00
Перемещение ТМЦ</t>
  </si>
  <si>
    <t>Обл. НДС
Бетон С20/25 W6 F75 P4
Надходження товарів і послуг ІБ00-002159 від 10.05.2025 11:00:00
АПК (Глобине)</t>
  </si>
  <si>
    <t>Обл. НДС
Бетон С20/25 W6 F75 P4
Надходження товарів і послуг ІБ00-002159 від 10.05.2025 11:00:00
Глобине-2</t>
  </si>
  <si>
    <t>14.05.2025</t>
  </si>
  <si>
    <t>Надходження товарів і послуг ІБ00-002335 від 14.05.2025 11:00:00
Оприходованы ТМЦ</t>
  </si>
  <si>
    <t>Обл. НДС
Фанера ламінована 1250*2500*21 мм   кв м
Надходження товарів і послуг ІБ00-002335 від 14.05.2025 11:00:00
АПК (Глобине)</t>
  </si>
  <si>
    <t>Пері Україна ТОВ
Дог СО-24-0001187 від 01.03.2024 Глобине-2
Надходження товарів і послуг ІБ00-002335 від 14.05.2025 11:00:00</t>
  </si>
  <si>
    <t>20.05.2025</t>
  </si>
  <si>
    <t>Надходження товарів і послуг ІБ00-002353 від 20.05.2025 11:00:00
Оприходованы ТМЦ</t>
  </si>
  <si>
    <t>Обл. НДС
Труба КАН внутр 110/2000 2,7мм
Надходження товарів і послуг ІБ00-002353 від 20.05.2025 11:00:00
АПК (Глобине)</t>
  </si>
  <si>
    <t>Лук'янець Аліна Василівна ФОП
РАХУНКИ_Глобине 2
Рахунок на оплату постачальника ІБ00-001967 від 19.05.2025 17:48:01</t>
  </si>
  <si>
    <t>Обл. НДС
Труба КАН внутр 110/1500 2,7мм 
Надходження товарів і послуг ІБ00-002353 від 20.05.2025 11:00:00
АПК (Глобине)</t>
  </si>
  <si>
    <t>Обл. НДС
Труба КАН  110/500 внутр 2,7мм 
Надходження товарів і послуг ІБ00-002353 від 20.05.2025 11:00:00
АПК (Глобине)</t>
  </si>
  <si>
    <t>Обл. НДС
Труба 50/3000 внутр
Надходження товарів і послуг ІБ00-002353 від 20.05.2025 11:00:00
АПК (Глобине)</t>
  </si>
  <si>
    <t>Обл. НДС
Труба КАН 50/500 1,8мм внутріш
Надходження товарів і послуг ІБ00-002353 від 20.05.2025 11:00:00
АПК (Глобине)</t>
  </si>
  <si>
    <t>Обл. НДС
Коліно 110/90° внутр КАН
Надходження товарів і послуг ІБ00-002353 від 20.05.2025 11:00:00
АПК (Глобине)</t>
  </si>
  <si>
    <t>Обл. НДС
Коліно КАН. 50/90° внутріш
Надходження товарів і послуг ІБ00-002353 від 20.05.2025 11:00:00
АПК (Глобине)</t>
  </si>
  <si>
    <t>Обл. НДС
Трійник 110/110/90° 
Надходження товарів і послуг ІБ00-002353 від 20.05.2025 11:00:00
АПК (Глобине)</t>
  </si>
  <si>
    <t>Обл. НДС
Трійник 110/50/90° 
Надходження товарів і послуг ІБ00-002353 від 20.05.2025 11:00:00
АПК (Глобине)</t>
  </si>
  <si>
    <t>Надходження товарів і послуг ІБ00-002341 від 20.05.2025 17:54:58
Оприходованы ТМЦ</t>
  </si>
  <si>
    <t>Обл. НДС
Пісок з відсіву дроблення щебеню фр. 0-5мм.
Надходження товарів і послуг ІБ00-002341 від 20.05.2025 17:54:58
АПК (Глобине)</t>
  </si>
  <si>
    <t>Енергія Логістик ТОВ
№28/10-2024 ВІД 28/10/24_Глобине-2
Рахунок на оплату постачальника ІБ00-001924 від 20.05.2025 17:54:57</t>
  </si>
  <si>
    <t>Переміщення товарів ІБ00-000468 від 20.05.2025 21:00:01
Перемещение ТМЦ</t>
  </si>
  <si>
    <t>Обл. НДС
Шпонка гідроізоляційна ВР 200  20м п
Надходження товарів і послуг ІБ00-000524 від 01.02.2025 18:10:19
АПК (Глобине)</t>
  </si>
  <si>
    <t>Обл. НДС
Шпонка гідроізоляційна ВР 200  20м п
Надходження товарів і послуг ІБ00-000524 від 01.02.2025 18:10:19
Резервуарний парк соєвої меляси (Глобине)</t>
  </si>
  <si>
    <t>22.05.2025</t>
  </si>
  <si>
    <t>Вимога-накладна ІБ00-000372 від 22.05.2025 13:18:42
Списаны ТМЦ</t>
  </si>
  <si>
    <t>Обл. НДС
Бетон С20/25 W6 F75 P4
Надходження товарів і послуг ІБ00-001882 від 26.04.2025 11:00:00
АПК (Глобине)</t>
  </si>
  <si>
    <t>Обл. НДС
Щебінь 70-120
Надходження товарів і послуг ІБ00-001071 від 05.03.2025 18:40:09
АПК (Глобине)</t>
  </si>
  <si>
    <t>26.05.2025</t>
  </si>
  <si>
    <t>Надходження товарів і послуг ІБ00-002451 від 26.05.2025 11:00:00
Оприходованы ТМЦ</t>
  </si>
  <si>
    <t>Обл. НДС
Бетон С20/25 W6 F75 P4
Надходження товарів і послуг ІБ00-002451 від 26.05.2025 11:00:00
АПК (Глобине)</t>
  </si>
  <si>
    <t>Кременчуцький річковий порт ПРАТ
Договір 112/Б від 15.10.2024_Глобине-2
Надходження товарів і послуг ІБ00-002451 від 26.05.2025 11:00:00</t>
  </si>
  <si>
    <t>Надходження дод. витрат ІБ00-000341 від 26.05.2025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</si>
  <si>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ІБ00-000341 від 26.05.2025 11:05:00</t>
  </si>
  <si>
    <t>28.05.2025</t>
  </si>
  <si>
    <t>Переміщення товарів ІБ00-000508 від 28.05.2025 11:10:00
Перемещение ТМЦ</t>
  </si>
  <si>
    <t>Обл. НДС
Пісок з відсіву дроблення щебеню фр. 0-5мм.
Надходження товарів і послуг ІБ00-002712 від 28.05.2025 11:00:00
АПК (Глобине)</t>
  </si>
  <si>
    <t>Обл. НДС
Пісок з відсіву дроблення щебеню фр. 0-5мм.
Надходження товарів і послуг ІБ00-002712 від 28.05.2025 11:00:00
Глобине-2</t>
  </si>
  <si>
    <t>29.05.2025</t>
  </si>
  <si>
    <t>Переміщення товарів ІБ00-000490 від 29.05.2025 08:00:00
Перемещение ТМЦ</t>
  </si>
  <si>
    <t>Обл. НДС
Емульсія бітумна Р-10 EN каністра 20л
Надходження товарів і послуг ІБ00-002088 від 19.12.2023 18:21:48
АПК (Глобине)</t>
  </si>
  <si>
    <t>Обл. НДС
Емульсія бітумна Р-10 EN каністра 20л
Надходження товарів і послуг ІБ00-002088 від 19.12.2023 18:21:48
Глобине-2</t>
  </si>
  <si>
    <t>Переміщення товарів ІБ00-000494 від 29.05.2025 08:00:00
Перемещение ТМЦ</t>
  </si>
  <si>
    <t>Обл. НДС
Емульсія бітумна Igoflex-101 каністра 32л
Надходження товарів і послуг ІБ00-000606 від 21.02.2024 23:54:14
Транспортна галерея (Глобине)</t>
  </si>
  <si>
    <t>Обл. НДС
Емульсія бітумна Igoflex-101 каністра 32л
Надходження товарів і послуг ІБ00-000606 від 21.02.2024 23:54:14
АПК (Глобине)</t>
  </si>
  <si>
    <t>Обл. НДС
Емульсія бітумна Igoflex-101 каністра 32л
Надходження товарів і послуг ІБ00-001108 від 22.03.2024 17:34:05
Транспортна галерея (Глобине)</t>
  </si>
  <si>
    <t>Обл. НДС
Емульсія бітумна Igoflex-101 каністра 32л
Надходження товарів і послуг ІБ00-001108 від 22.03.2024 17:34:05
АПК (Глобине)</t>
  </si>
  <si>
    <t>Вимога-накладна ІБ00-000391 від 29.05.2025 12:24:48
Списаны ТМЦ</t>
  </si>
  <si>
    <t>Обл. НДС
Пенетрон Адмікс 18кг/мішок/відро
Надходження товарів і послуг ІБ00-001895 від 30.04.2025 11:00:00
АПК (Глобине)</t>
  </si>
  <si>
    <t>Обл. НДС
Кутник 125х125 мм 8,0 мм, S355JR. 12м
Надходження товарів і послуг ІБ00-001648 від 11.04.2025 11:00:00
АПК (Глобине)</t>
  </si>
  <si>
    <t>Вимога-накладна ІБ00-000406 від 29.05.2025 21:00:00
Списаны ТМЦ</t>
  </si>
  <si>
    <t>Обл. НДС
Плівка п/е рукав 1500*200 мкм
Надходження товарів і послуг ІБ00-001528 від 26.03.2025 11:00:00
АПК (Глобине)</t>
  </si>
  <si>
    <t>Вимога-накладна ІБ00-000423 від 29.05.2025 21:00:00
Списаны ТМЦ</t>
  </si>
  <si>
    <t>Переміщення товарів ІБ00-000516 від 29.05.2025 21:10:00
Перемещение ТМЦ</t>
  </si>
  <si>
    <t>Обл. НДС
Бетон С20/25 W6 F75 P4
Надходження товарів і послуг ІБ00-002451 від 26.05.2025 11:00:00
Транспортна галерея (Глобине)</t>
  </si>
  <si>
    <t>Обороти за період та сальдо на кінець</t>
  </si>
  <si>
    <t>Надходження товарів і послуг ІБ00-001965 від 03.05.2025 11:00:00
Оприходованы ТМЦ</t>
  </si>
  <si>
    <t>Обл. НДС
Пісок з відсіву дроблення щебеню фр. 0-5мм.
Надходження товарів і послуг ІБ00-001965 від 03.05.2025 11:00:00
Генплан благоустрій (Глобине)</t>
  </si>
  <si>
    <t>Енергія Логістик ТОВ
№28/10-2024 ВІД 28/10/24_Глобине-2
Рахунок на оплату постачальника ІБ00-001612 від 03.05.2025 11:00:01</t>
  </si>
  <si>
    <t>Переміщення товарів ІБ00-000480 від 20.05.2025 15:00:33
Перемещение ТМЦ</t>
  </si>
  <si>
    <t>Обл. НДС
Замок навісний
Надходження товарів і послуг ІБ00-002303 від 17.05.2025 11:00:00
Генплан благоустрій (Глобине)</t>
  </si>
  <si>
    <t>Обл. НДС
Замок навісний
Надходження товарів і послуг ІБ00-002303 від 17.05.2025 11:00:00
Глобине-2</t>
  </si>
  <si>
    <t>221</t>
  </si>
  <si>
    <t>Обл. НДС
Дріт оцинк. т/о 1,4 мм
Авансовий звіт ІБ00-000116 від 19.05.2025 15:48:32
Генплан благоустрій (Глобине)</t>
  </si>
  <si>
    <t>Обл. НДС
Дріт оцинк. т/о 1,4 мм
Авансовий звіт ІБ00-000116 від 19.05.2025 15:48:32
Глобине-2</t>
  </si>
  <si>
    <t>Обл. НДС
Дріт оцинкований 3,0 мм
Авансовий звіт ІБ00-000116 від 19.05.2025 15:48:32
Генплан благоустрій (Глобине)</t>
  </si>
  <si>
    <t>Обл. НДС
Дріт оцинкований 3,0 мм
Авансовий звіт ІБ00-000116 від 19.05.2025 15:48:32
Глобине-2</t>
  </si>
  <si>
    <t>Переміщення товарів ІБ00-000482 від 20.05.2025 15:09:52
Перемещение ТМЦ</t>
  </si>
  <si>
    <t>Обл. НДС
Труба ДУ 32*2,8 ст.1-3пс; 6 м
Надходження товарів і послуг ІБ00-001657 від 01.04.2025 11:00:00
Генплан благоустрій (Глобине)</t>
  </si>
  <si>
    <t>Обл. НДС
Труба ДУ 32*2,8 ст.1-3пс; 6 м
Надходження товарів і послуг ІБ00-001657 від 01.04.2025 11:00:00
Генплан митний склад (Глобине)</t>
  </si>
  <si>
    <t>Обл. НДС
Дріт колючо-ріжуч спіраль діам кільця=500мм/3скоби 10м
Надходження товарів і послуг ІБ00-001809 від 11.04.2025 11:00:00
Генплан благоустрій (Глобине)</t>
  </si>
  <si>
    <t>Обл. НДС
Дріт колючо-ріжуч спіраль діам кільця=500мм/3скоби 10м
Надходження товарів і послуг ІБ00-001809 від 11.04.2025 11:00:00
Генплан митний склад (Глобине)</t>
  </si>
  <si>
    <t>Обл. НДС
Щебенево-піщана суміш фр 0-70 мм
Надходження товарів і послуг ІБ00-001628 від 12.04.2025 12:00:03
Генплан благоустрій (Глобине)</t>
  </si>
  <si>
    <t>Обл. НДС
Щебенево-піщана суміш фр 0-70 мм
Надходження товарів і послуг ІБ00-001628 від 12.04.2025 12:00:03
Генплан митний склад (Глобине)</t>
  </si>
  <si>
    <t>Обл. НДС
Щебінь 40-70
Надходження товарів і послуг ІБ00-001604 від 11.04.2025 20:51:44
Генплан благоустрій (Глобине)</t>
  </si>
  <si>
    <t>Обл. НДС
Щебінь 40-70
Надходження товарів і послуг ІБ00-001604 від 11.04.2025 20:51:44
Генплан митний склад (Глобине)</t>
  </si>
  <si>
    <t>Переміщення товарів ІБ00-000481 від 20.05.2025 21:00:02
Перемещение ТМЦ</t>
  </si>
  <si>
    <t>Обл. НДС
Бетон С20/25 W6 F75 P4
Надходження товарів і послуг ІБ00-002051 від 06.05.2025 11:00:00
Генплан благоустрій (Глобине)</t>
  </si>
  <si>
    <t>Обл. НДС
Бетон С20/25 W6 F75 P4
Надходження товарів і послуг ІБ00-002051 від 06.05.2025 11:00:00
Резервуар для зберігання розчинника(Глобине)</t>
  </si>
  <si>
    <t>Переміщення товарів ІБ00-000483 від 20.05.2025 21:00:03
Перемещение ТМЦ</t>
  </si>
  <si>
    <t>Обл. НДС
Щебінь 20-40
Надходження товарів і послуг ІБ00-001692 від 14.04.2025 11:00:00
Генплан благоустрій (Глобине)</t>
  </si>
  <si>
    <t>Обл. НДС
Щебінь 20-40
Надходження товарів і послуг ІБ00-001692 від 14.04.2025 11:00:00
СПК (Глобине)</t>
  </si>
  <si>
    <t>Переміщення товарів ІБ00-000457 від 22.05.2025 16:33:25
Перемещение ТМЦ</t>
  </si>
  <si>
    <t>Обл. НДС
Щебінь 20-40
Надходження товарів і послуг ІБ00-002154 від 10.05.2025 11:00:00
Генплан благоустрій (Глобине)</t>
  </si>
  <si>
    <t>Обл. НДС
Щебінь 20-40
Надходження товарів і послуг ІБ00-002154 від 10.05.2025 11:00:00
СПК (Глобине)</t>
  </si>
  <si>
    <t>Обл. НДС
Щебінь 20-40
Надходження товарів і послуг ІБ00-002157 від 13.05.2025 11:00:00
Генплан благоустрій (Глобине)</t>
  </si>
  <si>
    <t>Обл. НДС
Щебінь 20-40
Надходження товарів і послуг ІБ00-002157 від 13.05.2025 11:00:00
СПК (Глобине)</t>
  </si>
  <si>
    <t>Вимога-накладна ІБ00-000377 від 22.05.2025 16:33:58
Списаны ТМЦ</t>
  </si>
  <si>
    <t>Переміщення товарів ІБ00-000495 від 29.05.2025 08:00:00
Перемещение ТМЦ</t>
  </si>
  <si>
    <t>Обл. НДС
Пісок з відсіву дроблення щебеню фр. 0-5мм.
Надходження товарів і послуг ІБ00-001527 від 09.04.2025 11:00:00
Генплан благоустрій (Глобине)</t>
  </si>
  <si>
    <t>Обл. НДС
Пісок з відсіву дроблення щебеню фр. 0-5мм.
Надходження товарів і послуг ІБ00-001527 від 09.04.2025 11:00:00
Генплан дорога СПК (Глобине)</t>
  </si>
  <si>
    <t>Обл. НДС
Пісок з відсіву дроблення щебеню фр. 0-5мм.
Надходження товарів і послуг ІБ00-001881 від 29.04.2025 11:00:00
Генплан благоустрій (Глобине)</t>
  </si>
  <si>
    <t>Обл. НДС
Пісок з відсіву дроблення щебеню фр. 0-5мм.
Надходження товарів і послуг ІБ00-001881 від 29.04.2025 11:00:00
Генплан дорога СПК (Глобине)</t>
  </si>
  <si>
    <t>Обл. НДС
Пісок з відсіву дроблення щебеню фр. 0-5мм.
Надходження товарів і послуг ІБ00-002158 від 05.05.2025 11:00:00
Генплан благоустрій (Глобине)</t>
  </si>
  <si>
    <t>Обл. НДС
Пісок з відсіву дроблення щебеню фр. 0-5мм.
Надходження товарів і послуг ІБ00-002158 від 05.05.2025 11:00:00
Генплан дорога СПК (Глобине)</t>
  </si>
  <si>
    <t>Обл. НДС
Геотекстиль термоскріплений F-50 300г/м.кв (шир. 5 м)
Надходження товарів і послуг ІБ00-000821 від 03.03.2025 18:09:02
Генплан благоустрій (Глобине)</t>
  </si>
  <si>
    <t>Обл. НДС
Геотекстиль термоскріплений F-50 300г/м.кв (шир. 5 м)
Надходження товарів і послуг ІБ00-000821 від 03.03.2025 18:09:02
Генплан дорога СПК (Глобине)</t>
  </si>
  <si>
    <t>Переміщення товарів ІБ00-000522 від 29.05.2025 08:00:00
Перемещение ТМЦ</t>
  </si>
  <si>
    <t>Обл. НДС
Пісок з відсіву дроблення щебеню фр. 0-5мм.
Надходження товарів і послуг ІБ00-002047 від 06.05.2025 11:00:00
Генплан благоустрій (Глобине)</t>
  </si>
  <si>
    <t>Обл. НДС
Пісок з відсіву дроблення щебеню фр. 0-5мм.
Надходження товарів і послуг ІБ00-002047 від 06.05.2025 11:00:00
Генплан дорога СПК (Глобине)</t>
  </si>
  <si>
    <t>Обл. НДС
Щебнево-пісчана суміш фр.0-70 мм
Надходження товарів і послуг ІБ00-002632 від 23.05.2025 11:00:00
Генплан благоустрій (Глобине)</t>
  </si>
  <si>
    <t>Обл. НДС
Щебнево-пісчана суміш фр.0-70 мм
Надходження товарів і послуг ІБ00-002632 від 23.05.2025 11:00:00
Генплан дорога СПК (Глобине)</t>
  </si>
  <si>
    <t>Вимога-накладна ІБ00-000397 від 29.05.2025 14:52:08
Списаны ТМЦ</t>
  </si>
  <si>
    <t>Вимога-накладна ІБ00-000410 від 29.05.2025 21:00:00
Списаны ТМЦ</t>
  </si>
  <si>
    <t>Вимога-накладна ІБ00-000432 від 29.05.2025 21:00:00
Списаны ТМЦ</t>
  </si>
  <si>
    <t>Переміщення товарів ІБ00-000517 від 29.05.2025 21:10:00
Перемещение ТМЦ</t>
  </si>
  <si>
    <t>Обл. НДС
Пісок з відсіву дроблення щебеню фр. 0-5мм.
Надходження товарів і послуг ІБ00-002158 від 05.05.2025 11:00:00
Транспортна галерея (Глобине)</t>
  </si>
  <si>
    <t>Обл. НДС
Пісок з відсіву дроблення щебеню фр. 0-5мм.
Надходження товарів і послуг ІБ00-002047 від 06.05.2025 11:00:00
Транспортна галерея (Глобине)</t>
  </si>
  <si>
    <t>05.05.2025</t>
  </si>
  <si>
    <t>Надходження товарів і послуг ІБ00-002158 від 05.05.2025 11:00:00
Оприходованы ТМЦ</t>
  </si>
  <si>
    <t>Енергія Логістик ТОВ
№28/10-2024 ВІД 28/10/24_Глобине-2
Рахунок на оплату постачальника ІБ00-001777 від 05.05.2025 18:06:39</t>
  </si>
  <si>
    <t>06.05.2025</t>
  </si>
  <si>
    <t>Надходження товарів і послуг ІБ00-002047 від 06.05.2025 11:00:00
Оприходованы ТМЦ</t>
  </si>
  <si>
    <t>Енергія Логістик ТОВ
№28/10-2024 ВІД 28/10/24_Глобине-2
Рахунок на оплату постачальника ІБ00-001653 від 06.05.2025 18:17:22</t>
  </si>
  <si>
    <t>07.05.2025</t>
  </si>
  <si>
    <t>Надходження товарів і послуг ІБ00-002046 від 07.05.2025 11:00:00
Оприходованы ТМЦ</t>
  </si>
  <si>
    <t>Обл. НДС
Пісок з відсіву дроблення щебеню фр. 0-5мм.
Надходження товарів і послуг ІБ00-002046 від 07.05.2025 11:00:00
Генплан дорога СПК (Глобине)</t>
  </si>
  <si>
    <t>Енергія Логістик ТОВ
№28/10-2024 ВІД 28/10/24_Глобине-2
Рахунок на оплату постачальника ІБ00-001645 від 07.05.2025 18:53:52</t>
  </si>
  <si>
    <t>Надходження товарів і послуг ІБ00-002155 від 08.05.2025 11:00:00
Оприходованы ТМЦ</t>
  </si>
  <si>
    <t>Обл. НДС
Пісок з відсіву дроблення щебеню фр. 0-5мм.
Надходження товарів і послуг ІБ00-002155 від 08.05.2025 11:00:00
Генплан дорога СПК (Глобине)</t>
  </si>
  <si>
    <t>Енергія Логістик ТОВ
№28/10-2024 ВІД 28/10/24_Глобине-2
Рахунок на оплату постачальника ІБ00-001762 від 08.05.2025 20:00:03</t>
  </si>
  <si>
    <t>09.05.2025</t>
  </si>
  <si>
    <t>Надходження товарів і послуг ІБ00-002156 від 09.05.2025 11:00:00
Оприходованы ТМЦ</t>
  </si>
  <si>
    <t>Обл. НДС
Пісок з відсіву дроблення щебеню фр. 0-5мм.
Надходження товарів і послуг ІБ00-002156 від 09.05.2025 11:00:00
Генплан дорога СПК (Глобине)</t>
  </si>
  <si>
    <t>Енергія Логістик ТОВ
№28/10-2024 ВІД 28/10/24_Глобине-2
Рахунок на оплату постачальника ІБ00-001764 від 09.05.2025 20:00:08</t>
  </si>
  <si>
    <t>Переміщення товарів ІБ00-000440 від 14.05.2025 11:10:00
Перемещение ТМЦ</t>
  </si>
  <si>
    <t>Обл. НДС
Пісок з відсіву дроблення щебеню фр. 0-5мм.
Надходження товарів і послуг ІБ00-002222 від 14.05.2025 11:00:00
Генплан дорога СПК (Глобине)</t>
  </si>
  <si>
    <t>Обл. НДС
Пісок з відсіву дроблення щебеню фр. 0-5мм.
Надходження товарів і послуг ІБ00-002222 від 14.05.2025 11:00:00
Глобине-2</t>
  </si>
  <si>
    <t>19.05.2025</t>
  </si>
  <si>
    <t>Надходження товарів і послуг ІБ00-002305 від 19.05.2025 11:00:00
Оприходованы ТМЦ</t>
  </si>
  <si>
    <t>Обл. НДС
Пісок з відсіву дроблення щебеню фр. 0-5мм.
Надходження товарів і послуг ІБ00-002305 від 19.05.2025 11:00:00
Генплан дорога СПК (Глобине)</t>
  </si>
  <si>
    <t>Енергія Логістик ТОВ
№28/10-2024 ВІД 28/10/24_Глобине-2
Рахунок на оплату постачальника ІБ00-001905 від 19.05.2025 17:47:33</t>
  </si>
  <si>
    <t>21.05.2025</t>
  </si>
  <si>
    <t>Надходження товарів і послуг ІБ00-002508 від 21.05.2025 11:00:00
Оприходованы ТМЦ</t>
  </si>
  <si>
    <t>Обл. НДС
Пісок з відсіву дроблення щебеню фр. 0-5мм.
Надходження товарів і послуг ІБ00-002508 від 21.05.2025 11:00:00
Генплан дорога СПК (Глобине)</t>
  </si>
  <si>
    <t>Енергія Логістик ТОВ
№28/10-2024 ВІД 28/10/24_Глобине-2
Рахунок на оплату постачальника ІБ00-002169 від 21.05.2025 23:00:10</t>
  </si>
  <si>
    <t>Надходження товарів і послуг ІБ00-002716 від 22.05.2025 11:00:00
Оприходованы ТМЦ</t>
  </si>
  <si>
    <t>Обл. НДС
Пісок з відсіву дроблення щебеню фр. 0-5мм.
Надходження товарів і послуг ІБ00-002716 від 22.05.2025 11:00:00
Генплан дорога СПК (Глобине)</t>
  </si>
  <si>
    <t>Енергія Логістик ТОВ
№28/10-2024 ВІД 28/10/24_Глобине-2
Рахунок на оплату постачальника ІБ00-002247 від 22.05.2025 18:57:13</t>
  </si>
  <si>
    <t>Обл. НДС
Щебенево-піщана суміш фр 0-70 мм
Надходження товарів і послуг ІБ00-002716 від 22.05.2025 11:00:00
Генплан дорога СПК (Глобине)</t>
  </si>
  <si>
    <t>23.05.2025</t>
  </si>
  <si>
    <t>Надходження товарів і послуг ІБ00-002632 від 23.05.2025 11:00:00
Оприходованы ТМЦ</t>
  </si>
  <si>
    <t>Енергія Логістик ТОВ
№28/10-2024 ВІД 28/10/24_Глобине-2
Рахунок на оплату постачальника ІБ00-002209 від 23.05.2025 17:41:13</t>
  </si>
  <si>
    <t>24.05.2025</t>
  </si>
  <si>
    <t>Надходження товарів і послуг ІБ00-002633 від 24.05.2025 11:00:00
Оприходованы ТМЦ</t>
  </si>
  <si>
    <t>Обл. НДС
Щебнево-пісчана суміш фр.0-70 мм
Надходження товарів і послуг ІБ00-002633 від 24.05.2025 11:00:00
Генплан дорога СПК (Глобине)</t>
  </si>
  <si>
    <t>Енергія Логістик ТОВ
№28/10-2024 ВІД 28/10/24_Глобине-2
Рахунок на оплату постачальника ІБ00-002210 від 24.05.2025 12:00:07</t>
  </si>
  <si>
    <t>Надходження товарів і послуг ІБ00-002708 від 26.05.2025 11:00:00
Оприходованы ТМЦ</t>
  </si>
  <si>
    <t>Обл. НДС
Щебенево-піщана суміш фр 0-70 мм
Надходження товарів і послуг ІБ00-002708 від 26.05.2025 11:00:00
Генплан дорога СПК (Глобине)</t>
  </si>
  <si>
    <t>Енергія Логістик ТОВ
№28/10-2024 ВІД 28/10/24_Глобине-2
Рахунок на оплату постачальника ІБ00-002240 від 26.05.2025 20:00:05</t>
  </si>
  <si>
    <t>Переміщення товарів ІБ00-000507 від 28.05.2025 11:10:00
Перемещение ТМЦ</t>
  </si>
  <si>
    <t>Обл. НДС
Пісок з відсіву дроблення щебеню фр. 0-5мм.
Надходження товарів і послуг ІБ00-002712 від 28.05.2025 11:00:00
Генплан дорога СПК (Глобине)</t>
  </si>
  <si>
    <t>Надходження товарів і послуг ІБ00-002713 від 29.05.2025 11:00:00
Оприходованы ТМЦ</t>
  </si>
  <si>
    <t>Обл. НДС
Пісок з відсіву дроблення щебеню фр. 0-5мм.
Надходження товарів і послуг ІБ00-002713 від 29.05.2025 11:00:00
Генплан дорога СПК (Глобине)</t>
  </si>
  <si>
    <t>Енергія Логістик ТОВ
№28/10-2024 ВІД 28/10/24_Глобине-2
Рахунок на оплату постачальника ІБ00-002244 від 29.05.2025 21:10:02</t>
  </si>
  <si>
    <t>Переміщення товарів ІБ00-000518 від 29.05.2025 21:10:00
Перемещение ТМЦ</t>
  </si>
  <si>
    <t>Обл. НДС
Пісок з відсіву дроблення щебеню фр. 0-5мм.
Надходження товарів і послуг ІБ00-002046 від 07.05.2025 11:00:00
Транспортна галерея (Глобине)</t>
  </si>
  <si>
    <t>Обл. НДС
Пісок з відсіву дроблення щебеню фр. 0-5мм.
Надходження товарів і послуг ІБ00-002155 від 08.05.2025 11:00:00
Транспортна галерея (Глобине)</t>
  </si>
  <si>
    <t>Обл. НДС
Пісок з відсіву дроблення щебеню фр. 0-5мм.
Надходження товарів і послуг ІБ00-002156 від 09.05.2025 11:00:00
Транспортна галерея (Глобине)</t>
  </si>
  <si>
    <t>30.05.2025</t>
  </si>
  <si>
    <t>Надходження товарів і послуг ІБ00-002715 від 30.05.2025 11:00:00
Оприходованы ТМЦ</t>
  </si>
  <si>
    <t>Обл. НДС
Пісок з відсіву дроблення щебеню фр. 0-5мм.
Надходження товарів і послуг ІБ00-002715 від 30.05.2025 11:00:00
Генплан дорога СПК (Глобине)</t>
  </si>
  <si>
    <t>Енергія Логістик ТОВ
№28/10-2024 ВІД 28/10/24_Глобине-2
Рахунок на оплату постачальника ІБ00-002246 від 30.05.2025 19:00:07</t>
  </si>
  <si>
    <t>31.05.2025</t>
  </si>
  <si>
    <t>Надходження товарів і послуг ІБ00-002714 від 31.05.2025 11:00:00
Оприходованы ТМЦ</t>
  </si>
  <si>
    <t>Обл. НДС
Пісок з відсіву дроблення щебеню фр. 0-5мм.
Надходження товарів і послуг ІБ00-002714 від 31.05.2025 11:00:00
Генплан дорога СПК (Глобине)</t>
  </si>
  <si>
    <t>Енергія Логістик ТОВ
№28/10-2024 ВІД 28/10/24_Глобине-2
Рахунок на оплату постачальника ІБ00-002245 від 31.05.2025 23:59:11</t>
  </si>
  <si>
    <t>Переміщення товарів ІБ00-000471 від 01.05.2025 12:40:09
Перемещение ТМЦ</t>
  </si>
  <si>
    <t>Обл. НДС
Пісок з відсіву дроблення щебеню фр. 0-5мм.
Надходження товарів і послуг ІБ00-001681 від 15.04.2025 11:00:00
Резервуарний парк соєвої меляси (Глобине)</t>
  </si>
  <si>
    <t>Обл. НДС
Пісок з відсіву дроблення щебеню фр. 0-5мм.
Надходження товарів і послуг ІБ00-001681 від 15.04.2025 11:00:00
Генплан митний склад (Глобине)</t>
  </si>
  <si>
    <t>Обл. НДС
Пісок з відсіву дроблення щебеню фр. 0-5мм.
Надходження товарів і послуг ІБ00-001749 від 18.04.2025 11:00:00
Резервуарний парк соєвої меляси (Глобине)</t>
  </si>
  <si>
    <t>Обл. НДС
Пісок з відсіву дроблення щебеню фр. 0-5мм.
Надходження товарів і послуг ІБ00-001749 від 18.04.2025 11:00:00
Генплан митний склад (Глобине)</t>
  </si>
  <si>
    <t>Переміщення товарів ІБ00-000452 від 20.05.2025 11:05:00
Перемещение ТМЦ</t>
  </si>
  <si>
    <t>Обл. НДС
Лист г/к  6*1500*6000 мм 3 пс
Надходження товарів і послуг ІБ00-002356 від 20.05.2025 11:00:00
Генплан митний склад (Глобине)</t>
  </si>
  <si>
    <t>Обл. НДС
Лист г/к  6*1500*6000 мм 3 пс
Надходження товарів і послуг ІБ00-002356 від 20.05.2025 11:00:00
Глобине-2</t>
  </si>
  <si>
    <t>Обл. НДС
Лист г/к 10,0 мм 1500х6000, S235 JR
Надходження товарів і послуг ІБ00-002356 від 20.05.2025 11:00:00
Генплан митний склад (Глобине)</t>
  </si>
  <si>
    <t>Обл. НДС
Лист г/к 10,0 мм 1500х6000, S235 JR
Надходження товарів і послуг ІБ00-002356 від 20.05.2025 11:00:00
Глобине-2</t>
  </si>
  <si>
    <t>Обл. НДС
Труба профільна 40*40*3,0  L=6000 мм ст1-3 сп/пс
Надходження товарів і послуг ІБ00-002356 від 20.05.2025 11:00:00
Генплан митний склад (Глобине)</t>
  </si>
  <si>
    <t>Обл. НДС
Труба профільна 40*40*3,0  L=6000 мм ст1-3 сп/пс
Надходження товарів і послуг ІБ00-002356 від 20.05.2025 11:00:00
Глобине-2</t>
  </si>
  <si>
    <t>Переміщення товарів ІБ00-000521 від 29.05.2025 08:00:00
Перемещение ТМЦ</t>
  </si>
  <si>
    <t>Обл. НДС
Дріт в'язальний 1,6 мм  100м
Надходження товарів і послуг ІБ00-001661 від 01.04.2025 11:00:00
Пожежений резервуар (Глобине)</t>
  </si>
  <si>
    <t>Обл. НДС
Дріт в'язальний 1,6 мм  100м
Надходження товарів і послуг ІБ00-001661 від 01.04.2025 11:00:00
Генплан митний склад (Глобине)</t>
  </si>
  <si>
    <t>Вимога-накладна ІБ00-000430 від 29.05.2025 21:00:00
Списаны ТМЦ</t>
  </si>
  <si>
    <t>Обл. НДС
Дріт 3,0мм з/я т/о 
Надходження товарів і послуг ІБ00-001657 від 01.04.2025 11:00:00
Генплан митний склад (Глобине)</t>
  </si>
  <si>
    <t>Переміщення товарів ІБ00-000469 від 01.05.2025 12:38:57
Перемещение ТМЦ</t>
  </si>
  <si>
    <t>Обл. НДС
Пісок з відсіву дроблення щебеню фр. 0-5мм.
Надходження товарів і послуг ІБ00-001748 від 21.04.2025 11:00:00
Резервуарний парк соєвої меляси (Глобине)</t>
  </si>
  <si>
    <t>Обл. НДС
Пісок з відсіву дроблення щебеню фр. 0-5мм.
Надходження товарів і послуг ІБ00-001748 від 21.04.2025 11:00:00
Генплан підпірна стінка (Глобине)</t>
  </si>
  <si>
    <t>Переміщення товарів ІБ00-000474 від 01.05.2025 13:13:33
Перемещение ТМЦ</t>
  </si>
  <si>
    <t>Обл. НДС
Пісок з відсіву дроблення щебеню фр. 0-5мм.
Надходження товарів і послуг ІБ00-001748 від 21.04.2025 11:00:00
Резервуар для зберігання розчинника(Глобине)</t>
  </si>
  <si>
    <t>Обл. НДС
Пісок з відсіву дроблення щебеню фр. 0-5мм.
Надходження товарів і послуг ІБ00-001810 від 23.04.2025 11:00:00
Резервуар для зберігання розчинника(Глобине)</t>
  </si>
  <si>
    <t>Обл. НДС
Пісок з відсіву дроблення щебеню фр. 0-5мм.
Надходження товарів і послуг ІБ00-001810 від 23.04.2025 11:00:00
Генплан підпірна стінка (Глобине)</t>
  </si>
  <si>
    <t>17.05.2025</t>
  </si>
  <si>
    <t>Переміщення товарів ІБ00-000443 від 17.05.2025 11:15:00
Перемещение ТМЦ</t>
  </si>
  <si>
    <t>Обл. НДС
Бетон С20/25 W6 F75 P4
Надходження товарів і послуг ІБ00-002293 від 17.05.2025 11:00:00
Генплан підпірна стінка (Глобине)</t>
  </si>
  <si>
    <t>Обл. НДС
Бетон С20/25 W6 F75 P4
Надходження товарів і послуг ІБ00-002293 від 17.05.2025 11:00:00
Глобине-2</t>
  </si>
  <si>
    <t>Переміщення товарів ІБ00-000458 від 22.05.2025 16:49:22
Перемещение ТМЦ</t>
  </si>
  <si>
    <t>Обл. НДС
Цемент ПЦ ІІ/А-Ш 500 25кг 1пал/64шт
Надходження товарів і послуг ІБ00-002038 від 01.04.2025 11:00:00
Транспортна галерея (Глобине)</t>
  </si>
  <si>
    <t>Обл. НДС
Цемент ПЦ ІІ/А-Ш 500 25кг 1пал/64шт
Надходження товарів і послуг ІБ00-002038 від 01.04.2025 11:00:00
Генплан підпірна стінка (Глобине)</t>
  </si>
  <si>
    <t>Надходження товарів і послуг ІБ00-002050 від 01.05.2025 11:00:00
Оприходованы ТМЦ (Зачет аванса поставщику)</t>
  </si>
  <si>
    <t>Обл. НДС
Бетон С 30/35 W4 F75 Р4
Надходження товарів і послуг ІБ00-002050 від 01.05.2025 11:00:00
Глобине-2</t>
  </si>
  <si>
    <t>Кременчуцький річковий порт ПРАТ
Договір 112/Б від 15.10.2024_Глобине-2
Списання з банківського рахунку 00000026026 від 28.04.2025 17:40:12</t>
  </si>
  <si>
    <t>Обл. НДС
Бетон С  8/10 Р4
Надходження товарів і послуг ІБ00-002050 від 01.05.2025 11:00:00
Глобине-2</t>
  </si>
  <si>
    <t>Надходження товарів і послуг ІБ00-002202 від 01.05.2025 11:00:00
Оприходованы ТМЦ (Зачет аванса поставщику)</t>
  </si>
  <si>
    <t>ТСПЛ ТОВ
Дог пост № 26/04-21 від 26.04.2021 р._Глобине-2
Рахунок на оплату постачальника ІБ00-001332 від 15.04.2025 18:30:31</t>
  </si>
  <si>
    <t>Обл. НДС
Труба 325*7,0мм 
Надходження товарів і послуг ІБ00-002202 від 01.05.2025 11:00:00
Глобине-2</t>
  </si>
  <si>
    <t>Обл. НДС
Труба 530*8,0мм 
Надходження товарів і послуг ІБ00-002202 від 01.05.2025 11:00:00
Глобине-2</t>
  </si>
  <si>
    <t>Обл. НДС
Труба 720*8,0мм
Надходження товарів і послуг ІБ00-002202 від 01.05.2025 11:00:00
Глобине-2</t>
  </si>
  <si>
    <t>Обл. НДС
Труба 920*9,0мм
Надходження товарів і послуг ІБ00-002202 від 01.05.2025 11:00:00
Глобине-2</t>
  </si>
  <si>
    <t>Надходження товарів і послуг ІБ00-002202 від 01.05.2025 11:00:00
Оприходованы ТМЦ</t>
  </si>
  <si>
    <t>Обл. НДС
Труба профільна 80*80*4 L=12 м
Надходження товарів і послуг ІБ00-002202 від 01.05.2025 11:00:00
Глобине-2</t>
  </si>
  <si>
    <t>Обл. НДС
Труба профільна 60*60*3, 6м
Надходження товарів і послуг ІБ00-002202 від 01.05.2025 11:00:00
Глобине-2</t>
  </si>
  <si>
    <t>Надходження дод. витрат ІБ00-000299 від 01.05.2025 11:05:00
Доп. расходы при поступлении товаров (Зачет аванса поставщику)</t>
  </si>
  <si>
    <t>Переміщення товарів ІБ00-000413 від 01.05.2025 11:10:00
Перемещение ТМЦ</t>
  </si>
  <si>
    <t>Обл. НДС
Бетон С  8/10 Р4
Надходження товарів і послуг ІБ00-002050 від 01.05.2025 11:00:00
Резервуар для зберігання розчинника(Глобине)</t>
  </si>
  <si>
    <t>Переміщення товарів ІБ00-000414 від 01.05.2025 11:10:00
Перемещение ТМЦ</t>
  </si>
  <si>
    <t>Обл. НДС
Бетон С  8/10 Р4
Надходження товарів і послуг ІБ00-002050 від 01.05.2025 11:00:00
Пожежений резервуар (Глобине)</t>
  </si>
  <si>
    <t>Переміщення товарів ІБ00-000415 від 01.05.2025 11:10:00
Перемещение ТМЦ</t>
  </si>
  <si>
    <t>Обл. НДС
Бетон С 30/35 W4 F75 Р4
Надходження товарів і послуг ІБ00-002050 від 01.05.2025 11:00:00
СПК (Глобине)</t>
  </si>
  <si>
    <t>Переміщення товарів ІБ00-000438 від 01.05.2025 11:10:00
Перемещение ТМЦ</t>
  </si>
  <si>
    <t>Обл. НДС
Труба 325*7,0мм 
Надходження товарів і послуг ІБ00-002202 від 01.05.2025 11:00:00
Пожежений резервуар (Глобине)</t>
  </si>
  <si>
    <t>Обл. НДС
Труба 530*8,0мм 
Надходження товарів і послуг ІБ00-002202 від 01.05.2025 11:00:00
Пожежений резервуар (Глобине)</t>
  </si>
  <si>
    <t>Обл. НДС
Труба 720*8,0мм
Надходження товарів і послуг ІБ00-002202 від 01.05.2025 11:00:00
Пожежений резервуар (Глобине)</t>
  </si>
  <si>
    <t>Обл. НДС
Труба 920*9,0мм
Надходження товарів і послуг ІБ00-002202 від 01.05.2025 11:00:00
Пожежений резервуар (Глобине)</t>
  </si>
  <si>
    <t>Переміщення товарів ІБ00-000439 від 01.05.2025 11:10:00
Перемещение ТМЦ</t>
  </si>
  <si>
    <t>Обл. НДС
Труба профільна 80*80*4 L=12 м
Надходження товарів і послуг ІБ00-002202 від 01.05.2025 11:00:00
Котельна (Глобине)</t>
  </si>
  <si>
    <t>Обл. НДС
Труба профільна 60*60*3, 6м
Надходження товарів і послуг ІБ00-002202 від 01.05.2025 11:00:00
Котельна (Глобине)</t>
  </si>
  <si>
    <t>Переміщення товарів ІБ00-000464 від 01.05.2025 23:41:06
Перемещение ТМЦ</t>
  </si>
  <si>
    <t>Обл. НДС
Кутник 100х100х7 мм ст.3 сп 5 12м
Надходження товарів і послуг ІБ00-001808 від 22.04.2025 11:00:00
Пожежений резервуар (Глобине)</t>
  </si>
  <si>
    <t>Обл. НДС
Кутник 100х100х7 мм ст.3 сп 5 12м
Надходження товарів і послуг ІБ00-001808 від 22.04.2025 11:00:00
Глобине-2</t>
  </si>
  <si>
    <t>Переміщення товарів ІБ00-000466 від 01.05.2025 23:41:07
Перемещение ТМЦ</t>
  </si>
  <si>
    <t>Обл. НДС
Лист г/к 10,0 мм 1500х6000, S235 JR
Надходження товарів і послуг ІБ00-001815 від 22.04.2025 11:00:00
Глобине-2</t>
  </si>
  <si>
    <t>Обл. НДС
Лист г/к 10,0 мм 1500х6000, S235 JR
Надходження товарів і послуг ІБ00-001815 від 22.04.2025 11:00:00
Пожежений резервуар (Глобине)</t>
  </si>
  <si>
    <t>Переміщення товарів ІБ00-000473 від 01.05.2025 23:41:10
Перемещение ТМЦ</t>
  </si>
  <si>
    <t>Обл. НДС
Емульсія бітумна Р-10 EN каністра 20л
Надходження товарів і послуг ІБ00-002088 від 19.12.2023 18:21:48
Резервуарний парк соєвої меляси (Глобине)</t>
  </si>
  <si>
    <t>Надходження товарів і послуг ІБ00-002008 від 03.05.2025 11:00:00
Оприходованы ТМЦ (Зачет аванса поставщику)</t>
  </si>
  <si>
    <t>Надходження товарів і послуг ІБ00-002008 від 03.05.2025 11:00:00
Оприходованы ТМЦ</t>
  </si>
  <si>
    <t>Обл. НДС
Бетон С  8/10 Р4
Надходження товарів і послуг ІБ00-002008 від 03.05.2025 11:00:00
Глобине-2</t>
  </si>
  <si>
    <t>Кременчуцький річковий порт ПРАТ
Договір 112/Б від 15.10.2024_Глобине-2
Надходження товарів і послуг ІБ00-002008 від 03.05.2025 11:00:00</t>
  </si>
  <si>
    <t>Надходження дод. витрат ІБ00-000298 від 03.05.2025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</si>
  <si>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ІБ00-000298 від 03.05.2025 11:05:00</t>
  </si>
  <si>
    <t>Переміщення товарів ІБ00-000396 від 03.05.2025 11:10:00
Перемещение ТМЦ</t>
  </si>
  <si>
    <t>Обл. НДС
Бетон С  8/10 Р4
Надходження товарів і послуг ІБ00-002008 від 03.05.2025 11:00:00
Пожежений резервуар (Глобине)</t>
  </si>
  <si>
    <t>Переміщення товарів ІБ00-000397 від 03.05.2025 11:10:00
Перемещение ТМЦ</t>
  </si>
  <si>
    <t>Обл. НДС
Бетон С  8/10 Р4
Надходження товарів і послуг ІБ00-002008 від 03.05.2025 11:00:00
Транспортна галерея (Глобине)</t>
  </si>
  <si>
    <t>Надходження товарів і послуг ІБ00-002188 від 05.05.2025 11:00:00
Оприходованы ТМЦ</t>
  </si>
  <si>
    <t>Обл. НДС
Шуруп г/к по дереву 3,5*55 мм
Надходження товарів і послуг ІБ00-002188 від 05.05.2025 11:00:00
Глобине-2</t>
  </si>
  <si>
    <t>Лук'ян Михайло Федорович ФОП
22/08-24-1 от 22.08.2024 (РАХУНКИ)_Глобине-2
Рахунок на оплату постачальника ІБ00-001787 від 05.05.2025 18:06:41</t>
  </si>
  <si>
    <t>Обл. НДС
Шуруп г/к по дереву 4,2*76 мм
Надходження товарів і послуг ІБ00-002188 від 05.05.2025 11:00:00
Глобине-2</t>
  </si>
  <si>
    <t>Надходження товарів і послуг ІБ00-002052 від 07.05.2025 11:00:00
Оприходованы ТМЦ</t>
  </si>
  <si>
    <t>Обл. НДС
Бетон С  8/10 Р4
Надходження товарів і послуг ІБ00-002052 від 07.05.2025 11:00:00
Глобине-2</t>
  </si>
  <si>
    <t>Кременчуцький річковий порт ПРАТ
Договір 112/Б від 15.10.2024_Глобине-2
Надходження товарів і послуг ІБ00-002052 від 07.05.2025 11:00:00</t>
  </si>
  <si>
    <t>Надходження дод. витрат ІБ00-000301 від 07.05.2025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</si>
  <si>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ІБ00-000301 від 07.05.2025 11:05:00</t>
  </si>
  <si>
    <t>Переміщення товарів ІБ00-000416 від 07.05.2025 11:10:00
Перемещение ТМЦ</t>
  </si>
  <si>
    <t>Обл. НДС
Бетон С  8/10 Р4
Надходження товарів і послуг ІБ00-002052 від 07.05.2025 11:00:00
Резервуар для зберігання розчинника(Глобине)</t>
  </si>
  <si>
    <t>Переміщення товарів ІБ00-000417 від 07.05.2025 11:10:00
Перемещение ТМЦ</t>
  </si>
  <si>
    <t>Обл. НДС
Бетон С  8/10 Р4
Надходження товарів і послуг ІБ00-002052 від 07.05.2025 11:00:00
Пожежений резервуар (Глобине)</t>
  </si>
  <si>
    <t>Надходження товарів і послуг ІБ00-002340 від 08.05.2025 11:00:00
Оприходованы ТМЦ</t>
  </si>
  <si>
    <t>ВЕМАКС ПП
№290425 від 29.04.25,Спец№СРМ85_Глобино-2
Рахунок на оплату постачальника ІБ00-001855 від 05.05.2025 18:06:47</t>
  </si>
  <si>
    <t>Переміщення товарів ІБ00-000449 від 08.05.2025 11:10:00
Перемещение ТМЦ</t>
  </si>
  <si>
    <t>Обл. НДС
Пенекрит 25кг/відро
Надходження товарів і послуг ІБ00-002340 від 08.05.2025 11:00:00
Пожежений резервуар (Глобине)</t>
  </si>
  <si>
    <t>Надходження товарів і послуг ІБ00-002159 від 10.05.2025 11:00:00
Оприходованы ТМЦ</t>
  </si>
  <si>
    <t>Кременчуцький річковий порт ПРАТ
Договір 112/Б від 15.10.2024_Глобине-2
Надходження товарів і послуг ІБ00-002159 від 10.05.2025 11:00:00</t>
  </si>
  <si>
    <t>Надходження дод. витрат ІБ00-000304 від 10.05.2025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</si>
  <si>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ІБ00-000304 від 10.05.2025 11:05:00</t>
  </si>
  <si>
    <t>Переміщення товарів ІБ00-000429 від 10.05.2025 11:10:00
Перемещение ТМЦ</t>
  </si>
  <si>
    <t>Обл. НДС
Бетон С20/25 W6 F75 P4
Надходження товарів і послуг ІБ00-002159 від 10.05.2025 11:00:00
Резервуар для зберігання розчинника(Глобине)</t>
  </si>
  <si>
    <t>13.05.2025</t>
  </si>
  <si>
    <t>Надходження товарів і послуг ІБ00-002157 від 13.05.2025 11:00:00
Оприходованы ТМЦ</t>
  </si>
  <si>
    <t>Обл. НДС
Щебінь 20-40
Надходження товарів і послуг ІБ00-002157 від 13.05.2025 11:00:00
Глобине-2</t>
  </si>
  <si>
    <t>Енергія Логістик ТОВ
№28/10-2024 ВІД 28/10/24_Глобине-2
Рахунок на оплату постачальника ІБ00-001776 від 13.05.2025 21:22:28</t>
  </si>
  <si>
    <t>Переміщення товарів ІБ00-000426 від 13.05.2025 11:05:00
Перемещение ТМЦ</t>
  </si>
  <si>
    <t>Переміщення товарів ІБ00-000427 від 13.05.2025 11:05:00
Перемещение ТМЦ</t>
  </si>
  <si>
    <t>Обл. НДС
Щебінь 20-40
Надходження товарів і послуг ІБ00-002157 від 13.05.2025 11:00:00
Резервуар для зберігання розчинника(Глобине)</t>
  </si>
  <si>
    <t>Надходження товарів і послуг ІБ00-002222 від 14.05.2025 11:00:00
Оприходованы ТМЦ</t>
  </si>
  <si>
    <t>Енергія Логістик ТОВ
№28/10-2024 ВІД 28/10/24_Глобине-2
Рахунок на оплату постачальника ІБ00-001825 від 14.05.2025 17:47:47</t>
  </si>
  <si>
    <t>Переміщення товарів ІБ00-000441 від 14.05.2025 11:10:00
Перемещение ТМЦ</t>
  </si>
  <si>
    <t>Обл. НДС
Пісок з відсіву дроблення щебеню фр. 0-5мм.
Надходження товарів і послуг ІБ00-002222 від 14.05.2025 11:00:00
Транспортна галерея (Глобине)</t>
  </si>
  <si>
    <t>Надходження товарів і послуг ІБ00-002293 від 17.05.2025 11:00:00
Оприходованы ТМЦ</t>
  </si>
  <si>
    <t>Кременчуцький річковий порт ПРАТ
Договір 112/Б від 15.10.2024_Глобине-2
Надходження товарів і послуг ІБ00-002293 від 17.05.2025 11:00:00</t>
  </si>
  <si>
    <t>Надходження товарів і послуг ІБ00-002303 від 17.05.2025 11:00:00
Оприходованы ТМЦ</t>
  </si>
  <si>
    <t>Обл. НДС
Цвяхи 70*3
Надходження товарів і послуг ІБ00-002303 від 17.05.2025 11:00:00
Глобине-2</t>
  </si>
  <si>
    <t>Лук'ян Михайло Федорович ФОП
22/08-24-1 от 22.08.2024 (РАХУНКИ)_Глобине-2
Рахунок на оплату постачальника ІБ00-001903 від 12.05.2025 17:50:38</t>
  </si>
  <si>
    <t>Обл. НДС
Цвяхи 100*4,0
Надходження товарів і послуг ІБ00-002303 від 17.05.2025 11:00:00
Глобине-2</t>
  </si>
  <si>
    <t>Надходження дод. витрат ІБ00-000320 від 17.05.2025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</si>
  <si>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ІБ00-000320 від 17.05.2025 11:10:00</t>
  </si>
  <si>
    <t>Переміщення товарів ІБ00-000442 від 17.05.2025 11:15:00
Перемещение ТМЦ</t>
  </si>
  <si>
    <t>Обл. НДС
Бетон С20/25 W6 F75 P4
Надходження товарів і послуг ІБ00-002293 від 17.05.2025 11:00:00
Пожежений резервуар (Глобине)</t>
  </si>
  <si>
    <t>Переміщення товарів ІБ00-000444 від 17.05.2025 11:15:00
Перемещение ТМЦ</t>
  </si>
  <si>
    <t>Обл. НДС
Бетон С20/25 W6 F75 P4
Надходження товарів і послуг ІБ00-002293 від 17.05.2025 11:00:00
Пункт фасування та зберігання в бігбегах (Глобине)</t>
  </si>
  <si>
    <t>Авансовий звіт ІБ00-000116 від 19.05.2025 15:48:32
Оприходованы ТМЦ</t>
  </si>
  <si>
    <t>Обл. НДС
Труба профільна 50*50 мм
Авансовий звіт ІБ00-000116 від 19.05.2025 15:48:32
Глобине-2</t>
  </si>
  <si>
    <t>Штиченко Олександр Володимирович</t>
  </si>
  <si>
    <t>3721</t>
  </si>
  <si>
    <t>Обл. НДС
порізка металу
Авансовий звіт ІБ00-000116 від 19.05.2025 15:48:32
Глобине-2</t>
  </si>
  <si>
    <t>Обл. НДС
Петля 30
Авансовий звіт ІБ00-000116 від 19.05.2025 15:48:32
Глобине-2</t>
  </si>
  <si>
    <t>Обл. НДС
вироби кріпильні та гвинтонарізні
Авансовий звіт ІБ00-000116 від 19.05.2025 15:48:32
Глобине-2</t>
  </si>
  <si>
    <t>Обл. НДС
Фарба 3,25 кг
Авансовий звіт ІБ00-000116 від 19.05.2025 15:48:32
Глобине-2</t>
  </si>
  <si>
    <t>Обл. НДС
ліска будівельна
Авансовий звіт ІБ00-000116 від 19.05.2025 15:48:32
Глобине-2</t>
  </si>
  <si>
    <t>Надходження товарів і послуг ІБ00-002356 від 20.05.2025 11:00:00
Оприходованы ТМЦ</t>
  </si>
  <si>
    <t>Обл. НДС
Балка 20 ІРЕ200 12м S275JR
Надходження товарів і послуг ІБ00-002356 від 20.05.2025 11:00:00
Глобине-2</t>
  </si>
  <si>
    <t>АВ МЕТАЛ ГРУП ТОВ
Дог 2420/Р от 05.10.2023від 05.10.2023_Глобино-2
Рахунок на оплату постачальника ІБ00-001968 від 16.05.2025 00:00:00</t>
  </si>
  <si>
    <t>Обл. НДС
Кутник 75х75х6 мм ст.3сп5 6м
Надходження товарів і послуг ІБ00-002356 від 20.05.2025 11:00:00
Глобине-2</t>
  </si>
  <si>
    <t>Обл. НДС
Кутики 100х100х7 мм; ст. 3пс5; 12 м
Надходження товарів і послуг ІБ00-002356 від 20.05.2025 11:00:00
Глобине-2</t>
  </si>
  <si>
    <t>Обл. НДС
Лист г/к  4*1250*2500 1-3 сп/пс 5 кат.
Надходження товарів і послуг ІБ00-002356 від 20.05.2025 11:00:00
Глобине-2</t>
  </si>
  <si>
    <t>Обл. НДС
Лист г/к 20*1500*6000, S235 JR
Надходження товарів і послуг ІБ00-002356 від 20.05.2025 11:00:00
Глобине-2</t>
  </si>
  <si>
    <t>Обл. НДС
Труба 40х20х2 мм; ст. 1-3пс; 6 м
Надходження товарів і послуг ІБ00-002356 від 20.05.2025 11:00:00
Глобине-2</t>
  </si>
  <si>
    <t>Обл. НДС
Труба профільна 60*60*3 L=6 ст 1-3 сп/пс
Надходження товарів і послуг ІБ00-002356 від 20.05.2025 11:00:00
Глобине-2</t>
  </si>
  <si>
    <t>Обл. НДС
Труба профільна 140*140*5 L=12000 мм ст1-3 сп/пс
Надходження товарів і послуг ІБ00-002356 від 20.05.2025 11:00:00
Глобине-2</t>
  </si>
  <si>
    <t>Обл. НДС
Швелер № 14 ст.3пс 5, 12м
Надходження товарів і послуг ІБ00-002356 від 20.05.2025 11:00:00
Глобине-2</t>
  </si>
  <si>
    <t>Обл. НДС
Швелер № 16П міра 12,00 м
Надходження товарів і послуг ІБ00-002356 від 20.05.2025 11:00:00
Глобине-2</t>
  </si>
  <si>
    <t>Надходження дод. витрат ІБ00-000328 від 20.05.2025 11:03:00
Доп. расходы при поступлении товаров</t>
  </si>
  <si>
    <t>Переміщення товарів ІБ00-000450 від 20.05.2025 11:05:00
Перемещение ТМЦ</t>
  </si>
  <si>
    <t>Обл. НДС
Балка 20 ІРЕ200 12м S275JR
Надходження товарів і послуг ІБ00-002356 від 20.05.2025 11:00:00
Резервуарний парк соєвої меляси (Глобине)</t>
  </si>
  <si>
    <t>Обл. НДС
Кутник 75х75х6 мм ст.3сп5 6м
Надходження товарів і послуг ІБ00-002356 від 20.05.2025 11:00:00
Резервуарний парк соєвої меляси (Глобине)</t>
  </si>
  <si>
    <t>Обл. НДС
Лист г/к  4*1250*2500 1-3 сп/пс 5 кат.
Надходження товарів і послуг ІБ00-002356 від 20.05.2025 11:00:00
Резервуарний парк соєвої меляси (Глобине)</t>
  </si>
  <si>
    <t>Обл. НДС
Лист г/к  6*1500*6000 мм 3 пс
Надходження товарів і послуг ІБ00-002356 від 20.05.2025 11:00:00
Резервуарний парк соєвої меляси (Глобине)</t>
  </si>
  <si>
    <t>Обл. НДС
Лист г/к 10,0 мм 1500х6000, S235 JR
Надходження товарів і послуг ІБ00-002356 від 20.05.2025 11:00:00
Резервуарний парк соєвої меляси (Глобине)</t>
  </si>
  <si>
    <t>Обл. НДС
Лист г/к 20*1500*6000, S235 JR
Надходження товарів і послуг ІБ00-002356 від 20.05.2025 11:00:00
Резервуарний парк соєвої меляси (Глобине)</t>
  </si>
  <si>
    <t>Обл. НДС
Труба 40х20х2 мм; ст. 1-3пс; 6 м
Надходження товарів і послуг ІБ00-002356 від 20.05.2025 11:00:00
Резервуарний парк соєвої меляси (Глобине)</t>
  </si>
  <si>
    <t>Обл. НДС
Труба профільна 140*140*5 L=12000 мм ст1-3 сп/пс
Надходження товарів і послуг ІБ00-002356 від 20.05.2025 11:00:00
Резервуарний парк соєвої меляси (Глобине)</t>
  </si>
  <si>
    <t>Обл. НДС
Швелер № 14 ст.3пс 5, 12м
Надходження товарів і послуг ІБ00-002356 від 20.05.2025 11:00:00
Резервуарний парк соєвої меляси (Глобине)</t>
  </si>
  <si>
    <t>Обл. НДС
Швелер № 16П міра 12,00 м
Надходження товарів і послуг ІБ00-002356 від 20.05.2025 11:00:00
Резервуарний парк соєвої меляси (Глобине)</t>
  </si>
  <si>
    <t>Обл. НДС
Труба профільна 40*40*3,0  L=6000 мм ст1-3 сп/пс
Надходження товарів і послуг ІБ00-002356 від 20.05.2025 11:00:00
Резервуарний парк соєвої меляси (Глобине)</t>
  </si>
  <si>
    <t>Переміщення товарів ІБ00-000451 від 20.05.2025 11:05:00
Перемещение ТМЦ</t>
  </si>
  <si>
    <t>Обл. НДС
Кутики 100х100х7 мм; ст. 3пс5; 12 м
Надходження товарів і послуг ІБ00-002356 від 20.05.2025 11:00:00
Котельна (Глобине)</t>
  </si>
  <si>
    <t>Обл. НДС
Лист г/к 10,0 мм 1500х6000, S235 JR
Надходження товарів і послуг ІБ00-002356 від 20.05.2025 11:00:00
Котельна (Глобине)</t>
  </si>
  <si>
    <t>Обл. НДС
Труба профільна 60*60*3 L=6 ст 1-3 сп/пс
Надходження товарів і послуг ІБ00-002356 від 20.05.2025 11:00:00
Котельна (Глобине)</t>
  </si>
  <si>
    <t>Переміщення товарів ІБ00-000453 від 20.05.2025 11:05:00
Перемещение ТМЦ</t>
  </si>
  <si>
    <t>Обл. НДС
Лист г/к 10,0 мм 1500х6000, S235 JR
Надходження товарів і послуг ІБ00-002356 від 20.05.2025 11:00:00
СПК (Глобине)</t>
  </si>
  <si>
    <t>Обл. НДС
Швелер № 16П міра 12,00 м
Надходження товарів і послуг ІБ00-002356 від 20.05.2025 11:00:00
СПК (Глобине)</t>
  </si>
  <si>
    <t>Обл. НДС
Труба профільна 40*40*3,0  L=6000 мм ст1-3 сп/пс
Надходження товарів і послуг ІБ00-002356 від 20.05.2025 11:00:00
СПК (Глобине)</t>
  </si>
  <si>
    <t>Переміщення товарів ІБ00-000476 від 20.05.2025 20:00:00
Перемещение ТМЦ</t>
  </si>
  <si>
    <t>Обл. НДС
Провід ПВС 4*6,0 м
Надходження товарів і послуг ІБ00-002196 від 02.05.2025 11:00:00
Глобине-2</t>
  </si>
  <si>
    <t>Обл. НДС
Провід ПВС 4*6,0 м
Надходження товарів і послуг ІБ00-002196 від 02.05.2025 11:00:00
Насосна Градирня (Глобине)</t>
  </si>
  <si>
    <t>Списання товарів ІБ00-000258 від 22.05.2025 13:56:17
Списаны ТМЦ</t>
  </si>
  <si>
    <t>Обл. НДС
Фанера ламінована 1250*2500*21 мм гл/гл
Надходження товарів і послуг ІБ00-004394 від 20.09.2024 18:19:40
Глобине-2</t>
  </si>
  <si>
    <t>Списання товарів ІБ00-000261 від 22.05.2025 16:08:50
Списаны ТМЦ</t>
  </si>
  <si>
    <t>Обл. НДС
Плінтус дуб леон 60 мм 2,5м №356
Надходження товарів і послуг ІБ00-000475 від 06.02.2025 18:36:14
Глобине-2</t>
  </si>
  <si>
    <t>Переміщення товарів ІБ00-000459 від 22.05.2025 16:50:04
Перемещение ТМЦ</t>
  </si>
  <si>
    <t>Обл. НДС
Плита пінополістирольна екструзійна 1180х580х100мм уп4шт/1шт-0,06844 куб м
Надходження товарів і послуг ІБ00-000575 від 20.02.2024 18:03:01
Транспортна галерея (Глобине)</t>
  </si>
  <si>
    <t>Обл. НДС
Плита пінополістирольна екструзійна 1180х580х100мм уп4шт/1шт-0,06844 куб м
Надходження товарів і послуг ІБ00-000575 від 20.02.2024 18:03:01
Глобине-2</t>
  </si>
  <si>
    <t>Списання товарів ІБ00-000262 від 22.05.2025 16:53:39
Списаны ТМЦ</t>
  </si>
  <si>
    <t>Обл. НДС
Піна монтажна  860 мл 
Надходження товарів і послуг ІБ00-000711 від 18.02.2025 20:00:44
Глобине-2</t>
  </si>
  <si>
    <t>Надходження товарів і послуг ІБ00-002608 від 23.05.2025 11:00:00
Оприходованы ТМЦ</t>
  </si>
  <si>
    <t>Обл. НДС
Дріт 5,0 мм Вр-1
Надходження товарів і послуг ІБ00-002608 від 23.05.2025 11:00:00
Глобине-2</t>
  </si>
  <si>
    <t>МЕТІНВЕСТ-СМЦ ТОВ
№1778403/01/2023-С от 11.01.2023 РАХУНКИ_Глобино-2
Рахунок на оплату постачальника ІБ00-002203 від 27.05.2025 18:43:24</t>
  </si>
  <si>
    <t>Надходження товарів і послуг ІБ00-002501 від 28.05.2025 11:00:00
Оприходованы ТМЦ</t>
  </si>
  <si>
    <t>Обл. НДС
Бетон С20/25 W6 F75 P4
Надходження товарів і послуг ІБ00-002501 від 28.05.2025 11:00:00
Глобине-2</t>
  </si>
  <si>
    <t>Кременчуцький річковий порт ПРАТ
Договір 112/Б від 15.10.2024_Глобине-2
Надходження товарів і послуг ІБ00-002501 від 28.05.2025 11:00:00</t>
  </si>
  <si>
    <t>Надходження товарів і послуг ІБ00-002712 від 28.05.2025 11:00:00
Оприходованы ТМЦ</t>
  </si>
  <si>
    <t>Енергія Логістик ТОВ
№28/10-2024 ВІД 28/10/24_Глобине-2
Рахунок на оплату постачальника ІБ00-002239 від 28.05.2025 18:19:17</t>
  </si>
  <si>
    <t>Надходження дод. витрат ІБ00-000343 від 28.05.2025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</si>
  <si>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ІБ00-000343 від 28.05.2025 11:05:00</t>
  </si>
  <si>
    <t>Переміщення товарів ІБ00-000485 від 28.05.2025 11:10:00
Перемещение ТМЦ</t>
  </si>
  <si>
    <t>Обл. НДС
Бетон С20/25 W6 F75 P4
Надходження товарів і послуг ІБ00-002501 від 28.05.2025 11:00:00
Пункт фасування та зберігання в бігбегах (Глобине)</t>
  </si>
  <si>
    <t>Переміщення товарів ІБ00-000486 від 28.05.2025 11:10:00
Перемещение ТМЦ</t>
  </si>
  <si>
    <t>Обл. НДС
Бетон С20/25 W6 F75 P4
Надходження товарів і послуг ІБ00-002501 від 28.05.2025 11:00:00
Резервуар для зберігання розчинника(Глобине)</t>
  </si>
  <si>
    <t>Переміщення товарів ІБ00-000493 від 29.05.2025 08:00:00
Перемещение ТМЦ</t>
  </si>
  <si>
    <t>Обл. НДС
Емульсія бітумна Р-10 EN каністра 20л
Надходження товарів і послуг ІБ00-002088 від 19.12.2023 18:21:48
Транспортна галерея (Глобине)</t>
  </si>
  <si>
    <t>Списання товарів ІБ00-000264 від 29.05.2025 12:30:48
Списаны ТМЦ</t>
  </si>
  <si>
    <t>Списання товарів ІБ00-000266 від 29.05.2025 13:11:54
Списаны ТМЦ</t>
  </si>
  <si>
    <t>Списання товарів ІБ00-000267 від 29.05.2025 13:31:44
Списаны ТМЦ</t>
  </si>
  <si>
    <t>Обл. НДС
Лінолеум 2,5 товщ 2мм захист 0,4мм
Надходження товарів і послуг ІБ00-000475 від 06.02.2025 18:36:14
Глобине-2</t>
  </si>
  <si>
    <t>Списання товарів ІБ00-000280 від 29.05.2025 21:00:00
Списаны ТМЦ</t>
  </si>
  <si>
    <t>Обл. НДС
Анкер хімічний 585 мл EРОХ
Надходження товарів і послуг ІБ00-000723 від 29.02.2024 23:00:01
Глобине-2</t>
  </si>
  <si>
    <t>Списання товарів ІБ00-000281 від 29.05.2025 21:00:00
Списаны ТМЦ</t>
  </si>
  <si>
    <t>Списання товарів ІБ00-000282 від 29.05.2025 21:00:00
Списаны ТМЦ</t>
  </si>
  <si>
    <t>Списання товарів ІБ00-000283 від 29.05.2025 21:00:00
Списаны ТМЦ</t>
  </si>
  <si>
    <t>Списання товарів ІБ00-000274 від 29.05.2025 21:00:25
Списаны ТМЦ</t>
  </si>
  <si>
    <t>Обл. НДС
Шуруп г/к по дереву 3,5*55 мм
Надходження товарів і послуг ІБ00-001614 від 11.04.2025 11:00:00
Глобине-2</t>
  </si>
  <si>
    <t>Списання товарів ІБ00-000277 від 29.05.2025 21:00:32
Списаны ТМЦ</t>
  </si>
  <si>
    <t>Списання товарів ІБ00-000278 від 29.05.2025 21:00:33
Списаны ТМЦ</t>
  </si>
  <si>
    <t>Обл. НДС
Фіксатор Стілець 50/8-24
Надходження товарів і послуг ІБ00-000525 від 04.02.2025 18:00:08
Глобине-2</t>
  </si>
  <si>
    <t>Надходження товарів і послуг ІБ00-002352 від 01.05.2025 11:00:00
Оприходованы ТМЦ (Зачет аванса поставщику)</t>
  </si>
  <si>
    <t>Обл. НДС
Цемент ПЦ ІІ/А-Ш 500 , 25 кг
Надходження товарів і послуг ІБ00-002352 від 01.05.2025 11:00:00
Котельна (Глобине)</t>
  </si>
  <si>
    <t>Лозовий Микола Миколайович ФОП
РАХУНКИ_Глобино-2
Рахунок на оплату постачальника ІБ00-000673 від 04.03.2025 00:00:00</t>
  </si>
  <si>
    <t>Вимога-накладна ІБ00-000364 від 01.05.2025 23:31:16
Списаны ТМЦ</t>
  </si>
  <si>
    <t>Обл. НДС
Клей для газобетону МР2 (25 кг)
Надходження товарів і послуг ІБ00-001597 від 01.04.2025 23:10:23
Котельна (Глобине)</t>
  </si>
  <si>
    <t>Переміщення товарів ІБ00-000472 від 01.05.2025 23:41:09
Перемещение ТМЦ</t>
  </si>
  <si>
    <t>Обл. НДС
Плівка п/е рукав 1500*100
Надходження товарів і послуг ІБ00-005781 від 19.11.2024 17:51:41
Резервуарний парк соєвої меляси (Глобине)</t>
  </si>
  <si>
    <t>Обл. НДС
Плівка п/е рукав 1500*100
Надходження товарів і послуг ІБ00-005781 від 19.11.2024 17:51:41
Котельна (Глобине)</t>
  </si>
  <si>
    <t>Переміщення товарів ІБ00-000465 від 20.05.2025 21:00:00
Перемещение ТМЦ</t>
  </si>
  <si>
    <t>Обл. НДС
Кутики 100х100х7 мм; ст. 3пс5; 12 м
Надходження товарів і послуг ІБ00-002356 від 20.05.2025 11:00:00
Пожежений резервуар (Глобине)</t>
  </si>
  <si>
    <t>Переміщення товарів ІБ00-000467 від 20.05.2025 21:00:00
Перемещение ТМЦ</t>
  </si>
  <si>
    <t>Обл. НДС
Лист г/к 10,0 мм 1500х6000, S235 JR
Надходження товарів і послуг ІБ00-002356 від 20.05.2025 11:00:00
Пожежений резервуар (Глобине)</t>
  </si>
  <si>
    <t>Надходження товарів і послуг ІБ00-002540 від 22.05.2025 11:00:00
Оприходованы ТМЦ (Зачет аванса поставщику)</t>
  </si>
  <si>
    <t>Обл. НДС
Сендвіч-панель ТПК покрів 100мм МВ 1000мм С0,5 PS/C 0.5 PS 1070мм 9,60м трапец 5005 синій/9003 біл
Надходження товарів і послуг ІБ00-002540 від 22.05.2025 11:00:00
Котельна (Глобине)</t>
  </si>
  <si>
    <t>ТПК-ЦЕНТР ТОВ
Договір 13/20/П/011від 21.07.2020_Глобино-2
Рахунок на оплату постачальника ІБ00-000344 від 20.01.2025 18:00:54</t>
  </si>
  <si>
    <t>Надходження товарів і послуг ІБ00-002541 від 22.05.2025 11:00:00
Оприходованы ТМЦ (Зачет аванса поставщику)</t>
  </si>
  <si>
    <t>Обл. НДС
Сендвіч-панель ТПК покрів 100мм МВ1000ммС0,5PS/C0.5PS 1070мм 8,450м трапец 5005синій/9003біл овер250
Надходження товарів і послуг ІБ00-002541 від 22.05.2025 11:00:00
Котельна (Глобине)</t>
  </si>
  <si>
    <t>Обл. НДС
Сендвіч-панель ТПК покрів 100мм МВ1000ммС0,5PS/C0.5PS 1070мм 8,750м трапец 5005синій/9003біл овер250
Надходження товарів і послуг ІБ00-002541 від 22.05.2025 11:00:00
Котельна (Глобине)</t>
  </si>
  <si>
    <t>Обл. НДС
Сендвіч-панель ТПК покрів 100мм МВ1000ммС0,5PS/C0.5PS 1070мм 7,950м трапец 5005синій/9003біл овер250
Надходження товарів і послуг ІБ00-002541 від 22.05.2025 11:00:00
Котельна (Глобине)</t>
  </si>
  <si>
    <t>Надходження товарів і послуг ІБ00-002542 від 23.05.2025 11:00:00
Оприходованы ТМЦ (Зачет аванса поставщику)</t>
  </si>
  <si>
    <t>Обл. НДС
Сендвіч-панель ТПК покрів 160мм МВ1000ммС0,5PS/C0.5PS 1070мм 12,80м трапец 5005синій/9003біл
Надходження товарів і послуг ІБ00-002542 від 23.05.2025 11:00:00
Котельна (Глобине)</t>
  </si>
  <si>
    <t>Надходження товарів і послуг ІБ00-002542 від 23.05.2025 11:00:00
Оприходованы ТМЦ</t>
  </si>
  <si>
    <t>Обл. НДС
Сендвіч-панель ТПК покрів 160мм МВ1000ммС0,5PS/C0.5PS 1070мм 12,50м трапец 5005синій/9003біл
Надходження товарів і послуг ІБ00-002542 від 23.05.2025 11:00:00
Котельна (Глобине)</t>
  </si>
  <si>
    <t>Обл. НДС
Стрічка ущільнювальна ТПК УП-1 ППЕ НХ (5*50 мм 20 м)
Надходження товарів і послуг ІБ00-002542 від 23.05.2025 11:00:00
Котельна (Глобине)</t>
  </si>
  <si>
    <t>Обл. НДС
Стрічка ущільнювальна ТПК УП-4 ППЕ 3*15мм 30м
Надходження товарів і послуг ІБ00-002542 від 23.05.2025 11:00:00
Котельна (Глобине)</t>
  </si>
  <si>
    <t>Обл. НДС
Клей-герметик д/сендвіч- панелей Soudaflex 40 FC (12 шт/уп) (600мл(шт.) білий)
Надходження товарів і послуг ІБ00-002542 від 23.05.2025 11:00:00
Котельна (Глобине)</t>
  </si>
  <si>
    <t>Обл. НДС
Ущільнювач КН для с/п 1 м ППЕ НХ
Надходження товарів і послуг ІБ00-002542 від 23.05.2025 11:00:00
Котельна (Глобине)</t>
  </si>
  <si>
    <t>Обл. НДС
Самонаріз в метал до сендвіч-панелей 5,5*6,3/200 5005 синій
Надходження товарів і послуг ІБ00-002542 від 23.05.2025 11:00:00
Котельна (Глобине)</t>
  </si>
  <si>
    <t>Обл. НДС
Самонаріз в метал до сендвіч-панелей 5,5*6,3/250 5005 синій
Надходження товарів і послуг ІБ00-002542 від 23.05.2025 11:00:00
Котельна (Глобине)</t>
  </si>
  <si>
    <t>Обл. НДС
Саморіз  4,8*19 для скріплення листів 250шт 5005 синій
Надходження товарів і послуг ІБ00-002542 від 23.05.2025 11:00:00
Котельна (Глобине)</t>
  </si>
  <si>
    <t>Надходження товарів і послуг ІБ00-002544 від 26.05.2025 11:00:00
Оприходованы ТМЦ</t>
  </si>
  <si>
    <t>Обл. НДС
Сендвіч-панель ТПК покрів 100мм МВ 1000мм С0,5 PS/C 0.5 PS 1070мм 9,60м трапец 5005 синій/9003 біл
Надходження товарів і послуг ІБ00-002544 від 26.05.2025 11:00:00
Котельна (Глобине)</t>
  </si>
  <si>
    <t>Надходження товарів і послуг ІБ00-002545 від 26.05.2025 11:00:00
Оприходованы ТМЦ</t>
  </si>
  <si>
    <t>Обл. НДС
Сендвіч-панель ТПК покрів 100мм МВ1000ммС0,5PS/C0.5PS 1070мм 7,950м трапец 5005синій/9003біл 
Надходження товарів і послуг ІБ00-002545 від 26.05.2025 11:00:00
Котельна (Глобине)</t>
  </si>
  <si>
    <t>Переміщення товарів ІБ00-000512 від 29.05.2025 08:00:00
Перемещение ТМЦ</t>
  </si>
  <si>
    <t>Обл. НДС
Суміш для анкерування СХ 15, 25 кг
Надходження товарів і послуг ІБ00-000266 від 14.01.2025 18:06:02
Цех екстракції (Глобине)</t>
  </si>
  <si>
    <t>Обл. НДС
Суміш для анкерування СХ 15, 25 кг
Надходження товарів і послуг ІБ00-000266 від 14.01.2025 18:06:02
Котельна (Глобине)</t>
  </si>
  <si>
    <t>Переміщення товарів ІБ00-000475 від 01.05.2025 23:41:11
Перемещение ТМЦ</t>
  </si>
  <si>
    <t>Обл. НДС
Пісок з відсіву дроблення щебеню фр. 0-5мм.
Надходження товарів і послуг ІБ00-005729 від 11.11.2024 18:00:18
Резервуар для зберігання розчинника(Глобине)</t>
  </si>
  <si>
    <t>Обл. НДС
Пісок з відсіву дроблення щебеню фр. 0-5мм.
Надходження товарів і послуг ІБ00-005729 від 11.11.2024 18:00:18
Насосна Градирня (Глобине)</t>
  </si>
  <si>
    <t>02.05.2025</t>
  </si>
  <si>
    <t>Надходження товарів і послуг ІБ00-002196 від 02.05.2025 11:00:00
Оприходованы ТМЦ</t>
  </si>
  <si>
    <t>СКАЙ-ЕНЕРДЖИ
Рахунки_Глобине-2
Рахунок на оплату постачальника ІБ00-001646 від 29.04.2025 18:09:43</t>
  </si>
  <si>
    <t>Надходження товарів і послуг ІБ00-002030 від 05.05.2025 11:00:00
Оприходованы ТМЦ (Зачет аванса поставщику)</t>
  </si>
  <si>
    <t>Обл. НДС
Сендвіч-панель ТПК стінова 100мм МВ 1180мм відкр замок С0,5 PS/C 0.5 PS 6,56м трапеція 9006 срібл/тр
Надходження товарів і послуг ІБ00-002030 від 05.05.2025 11:00:00
Насосна Градирня (Глобине)</t>
  </si>
  <si>
    <t>ТПК-ЦЕНТР ТОВ
Договір 13/20/П/011від 21.07.2020_Глобино-2
Рахунок на оплату постачальника ІБ00-001595 від 24.04.2025 18:46:20</t>
  </si>
  <si>
    <t>Надходження товарів і послуг ІБ00-002031 від 05.05.2025 11:00:00
Оприходованы ТМЦ (Зачет аванса поставщику)</t>
  </si>
  <si>
    <t>Обл. НДС
Сендвіч-панель ТПК стінова 100мм МВ 1180мм відкр замок С0,5 PS/C 0.5 PS 6,80м трап9003 біл/трап9003 
Надходження товарів і послуг ІБ00-002031 від 05.05.2025 11:00:00
Насосна Градирня (Глобине)</t>
  </si>
  <si>
    <t>ТПК-ЦЕНТР ТОВ
Договір 13/20/П/011від 21.07.2020_Глобино-2
Рахунок на оплату постачальника ІБ00-001594 від 09.04.2025 23:59:59</t>
  </si>
  <si>
    <t>Переміщення товарів ІБ00-000496 від 29.05.2025 08:00:00
Перемещение ТМЦ</t>
  </si>
  <si>
    <t>Обл. НДС
Грунт-емаль 3 в 1 антикороз RAL7024 25 кг
Надходження товарів і послуг ІБ00-001020 від 12.03.2025 18:45:16
СПК (Глобине)</t>
  </si>
  <si>
    <t>Обл. НДС
Грунт-емаль 3 в 1 антикороз RAL7024 25 кг
Надходження товарів і послуг ІБ00-001020 від 12.03.2025 18:45:16
Насосна Градирня (Глобине)</t>
  </si>
  <si>
    <t>Надходження товарів і послуг ІБ00-002192 від 01.05.2025 11:00:00
Оприходованы ТМЦ</t>
  </si>
  <si>
    <t>Обл. НДС
Шнур бентонітовий ГІДРОСТОП 15*25
Надходження товарів і послуг ІБ00-002192 від 01.05.2025 11:00:00
Пожежений резервуар (Глобине)</t>
  </si>
  <si>
    <t>ПРОТЕКС УКРАЇНА
Договір 9  від 11.12.2023_Глобине 2
Рахунок на оплату постачальника ІБ00-001790 від 01.05.2025 23:31:26</t>
  </si>
  <si>
    <t>Обл. НДС
Профіль кріпильний 25*15мм
Надходження товарів і послуг ІБ00-002192 від 01.05.2025 11:00:00
Пожежений резервуар (Глобине)</t>
  </si>
  <si>
    <t>Переміщення товарів ІБ00-000431 від 01.05.2025 22:00:52
Перемещение ТМЦ</t>
  </si>
  <si>
    <t>Обл. НДС
Прокат арматурний №12 мм  А500С  12м
Надходження товарів і послуг ІБ00-000546 від 14.02.2025 10:00:00
Пункт фасування та зберігання в бігбегах (Глобине)</t>
  </si>
  <si>
    <t>Надходження товарів і послуг ІБ00-002242 від 13.05.2025 11:00:00
Оприходованы ТМЦ</t>
  </si>
  <si>
    <t>Обл. НДС
Плівка п/е рукав 1500*200
Надходження товарів і послуг ІБ00-002242 від 13.05.2025 11:00:00
Пожежений резервуар (Глобине)</t>
  </si>
  <si>
    <t>ПРОТЕКС УКРАЇНА
Договір 9  від 11.12.2023_Глобине 2
Рахунок на оплату постачальника ІБ00-001830 від 08.05.2025 20:00:10</t>
  </si>
  <si>
    <t>Надходження товарів і послуг ІБ00-002429 від 22.05.2025 11:00:00
Оприходованы ТМЦ</t>
  </si>
  <si>
    <t>Обл. НДС
Бетон С20/25 W6 F75 P4
Надходження товарів і послуг ІБ00-002429 від 22.05.2025 11:00:00
Пожежений резервуар (Глобине)</t>
  </si>
  <si>
    <t>Кременчуцький річковий порт ПРАТ
Договір 112/Б від 15.10.2024_Глобине-2
Надходження товарів і послуг ІБ00-002429 від 22.05.2025 11:00:00</t>
  </si>
  <si>
    <t>Надходження дод. витрат ІБ00-000339 від 22.05.2025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</si>
  <si>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ІБ00-000339 від 22.05.2025 11:05:00</t>
  </si>
  <si>
    <t>Переміщення товарів ІБ00-000455 від 22.05.2025 15:44:57
Перемещение ТМЦ</t>
  </si>
  <si>
    <t>Обл. НДС
Щебінь 20-40
Надходження товарів і послуг ІБ00-001964 від 30.04.2025 11:00:00
Пожежений резервуар (Глобине)</t>
  </si>
  <si>
    <t>Обл. НДС
Щебінь 20-40
Надходження товарів і послуг ІБ00-001964 від 30.04.2025 11:00:00
Резервуар для зберігання розчинника(Глобине)</t>
  </si>
  <si>
    <t>Обл. НДС
Щебінь 20-40
Надходження товарів і послуг ІБ00-002157 від 13.05.2025 11:00:00
Пожежений резервуар (Глобине)</t>
  </si>
  <si>
    <t>Переміщення товарів ІБ00-000456 від 22.05.2025 15:45:37
Перемещение ТМЦ</t>
  </si>
  <si>
    <t>Обл. НДС
Щебінь 20-40
Надходження товарів і послуг ІБ00-001692 від 14.04.2025 11:00:00
Пожежений резервуар (Глобине)</t>
  </si>
  <si>
    <t>Обл. НДС
Щебінь 20-40
Надходження товарів і послуг ІБ00-002154 від 10.05.2025 11:00:00
Пожежений резервуар (Глобине)</t>
  </si>
  <si>
    <t>Вимога-накладна ІБ00-000374 від 22.05.2025 15:46:51
Списаны ТМЦ</t>
  </si>
  <si>
    <t>Переміщення товарів ІБ00-000492 від 29.05.2025 08:00:00
Перемещение ТМЦ</t>
  </si>
  <si>
    <t>Обл. НДС
Бетон С20/25 W6 F75 P4
Надходження товарів і послуг ІБ00-002293 від 17.05.2025 11:00:00
Транспортна галерея (Глобине)</t>
  </si>
  <si>
    <t>Переміщення товарів ІБ00-000520 від 29.05.2025 08:00:00
Перемещение ТМЦ</t>
  </si>
  <si>
    <t>Обл. НДС
Дріт 1,2 мм термооброблений
Надходження товарів і послуг ІБ00-000546 від 14.02.2025 10:00:00
Пожежений резервуар (Глобине)</t>
  </si>
  <si>
    <t>Обл. НДС
Дріт 1,2 мм термооброблений
Надходження товарів і послуг ІБ00-000546 від 14.02.2025 10:00:00
Пункт фасування та зберігання в бігбегах (Глобине)</t>
  </si>
  <si>
    <t>Переміщення товарів ІБ00-000515 від 29.05.2025 08:10:08
Перемещение ТМЦ</t>
  </si>
  <si>
    <t>Обл. НДС
Брус 50*120* 6 м  шт
Надходження товарів і послуг ІБ00-002045 від 03.04.2025 11:00:00
Цех екстракції (Глобине)</t>
  </si>
  <si>
    <t>Обл. НДС
Брус 50*120* 6 м  шт
Надходження товарів і послуг ІБ00-002045 від 03.04.2025 11:00:00
Пожежений резервуар (Глобине)</t>
  </si>
  <si>
    <t>Обл. НДС
Брус 50*150 мм 6,0 м
Надходження товарів і послуг ІБ00-001998 від 01.04.2025 11:00:00
Цех екстракції (Глобине)</t>
  </si>
  <si>
    <t>Обл. НДС
Брус 50*150 мм 6,0 м
Надходження товарів і послуг ІБ00-001998 від 01.04.2025 11:00:00
Пожежений резервуар (Глобине)</t>
  </si>
  <si>
    <t>Вимога-накладна ІБ00-000390 від 29.05.2025 11:37:06
Списаны ТМЦ</t>
  </si>
  <si>
    <t>Вимога-накладна ІБ00-000405 від 29.05.2025 17:00:00
Списаны ТМЦ</t>
  </si>
  <si>
    <t>Обл. НДС
Балка 20 ІРЕ 12,05м S235/275
Надходження товарів і послуг ІБ00-001655 від 03.04.2025 17:42:09
Пожежений резервуар (Глобине)</t>
  </si>
  <si>
    <t>Вимога-накладна ІБ00-000429 від 29.05.2025 21:00:00
Списаны ТМЦ</t>
  </si>
  <si>
    <t>Списання товарів ІБ00-000275 від 29.05.2025 21:00:26
Списаны ТМЦ</t>
  </si>
  <si>
    <t>Обл. НДС
Брус 50*100* 6 м  шт
Надходження товарів і послуг ІБ00-002044 від 01.04.2025 11:00:00
Пожежений резервуар (Глобине)</t>
  </si>
  <si>
    <t>Надходження товарів і послуг ІБ00-001934 від 01.05.2025 11:00:00
Оприходованы ТМЦ</t>
  </si>
  <si>
    <t>Обл. НДС
Труба КАН зовніш 110/2000 3,4мм помаранч
Надходження товарів і послуг ІБ00-001934 від 01.05.2025 11:00:00
Пункт фасування та зберігання в бігбегах (Глобине)</t>
  </si>
  <si>
    <t>Лук'янець Аліна Василівна ФОП
РАХУНКИ_Глобине 2
Рахунок на оплату постачальника ІБ00-001603 від 01.05.2025 19:24:45</t>
  </si>
  <si>
    <t>Обл. НДС
Труба КАН  110/500 зовніш 3,2мм помаранч
Надходження товарів і послуг ІБ00-001934 від 01.05.2025 11:00:00
Пункт фасування та зберігання в бігбегах (Глобине)</t>
  </si>
  <si>
    <t>Обл. НДС
Труба КАН 50/2000 1,8мм внутріш
Надходження товарів і послуг ІБ00-001934 від 01.05.2025 11:00:00
Пункт фасування та зберігання в бігбегах (Глобине)</t>
  </si>
  <si>
    <t>Обл. НДС
Труба КАН 50/500 1,8мм внутріш
Надходження товарів і послуг ІБ00-001934 від 01.05.2025 11:00:00
Пункт фасування та зберігання в бігбегах (Глобине)</t>
  </si>
  <si>
    <t>Обл. НДС
Коліно 110/90° внутр КАН
Надходження товарів і послуг ІБ00-001934 від 01.05.2025 11:00:00
Пункт фасування та зберігання в бігбегах (Глобине)</t>
  </si>
  <si>
    <t>Обл. НДС
Коліно КАН. 50/90° внутріш
Надходження товарів і послуг ІБ00-001934 від 01.05.2025 11:00:00
Пункт фасування та зберігання в бігбегах (Глобине)</t>
  </si>
  <si>
    <t>Обл. НДС
Труба ППР 50*4,2 PN20Ek 
Надходження товарів і послуг ІБ00-001934 від 01.05.2025 11:00:00
Пункт фасування та зберігання в бігбегах (Глобине)</t>
  </si>
  <si>
    <t>Обл. НДС
Кут PP-R 25*90
Надходження товарів і послуг ІБ00-001934 від 01.05.2025 11:00:00
Пункт фасування та зберігання в бігбегах (Глобине)</t>
  </si>
  <si>
    <t>Вимога-накладна ІБ00-000363 від 01.05.2025 23:31:15
Списаны ТМЦ</t>
  </si>
  <si>
    <t>Надходження товарів і послуг ІБ00-002029 від 02.05.2025 20:14:37
Оприходованы ТМЦ</t>
  </si>
  <si>
    <t>Обл. НДС
Анкер хімічний 410 мл 
Надходження товарів і послуг ІБ00-002029 від 02.05.2025 20:14:37
Пункт фасування та зберігання в бігбегах (Глобине)</t>
  </si>
  <si>
    <t>Солді і Ко ПАТ
Дог № 378542-55/19 від 21.01.2019 р. РАХ_Глобине-2
Рахунок на оплату постачальника ІБ00-001644 від 02.05.2025 20:14:36</t>
  </si>
  <si>
    <t>Обл. НДС
Змішувач  д/хіманкера
Надходження товарів і послуг ІБ00-002029 від 02.05.2025 20:14:37
Пункт фасування та зберігання в бігбегах (Глобине)</t>
  </si>
  <si>
    <t>Вимога-накладна ІБ00-000351 від 02.05.2025 21:00:00
Списаны ТМЦ</t>
  </si>
  <si>
    <t>Переміщення товарів ІБ00-000484 від 20.05.2025 15:50:11
Перемещение ТМЦ</t>
  </si>
  <si>
    <t>Обл. НДС
Прокат сталевий круглий (кл. А240С) ф10мм, ст.3пс, міра 6м
Надходження товарів і послуг ІБ00-000546 від 14.02.2025 10:00:00
Транспортна галерея (Глобине)</t>
  </si>
  <si>
    <t>Обл. НДС
Прокат сталевий круглий (кл. А240С) ф10мм, ст.3пс, міра 6м
Надходження товарів і послуг ІБ00-000546 від 14.02.2025 10:00:00
Пункт фасування та зберігання в бігбегах (Глобине)</t>
  </si>
  <si>
    <t>Вимога-накладна ІБ00-000376 від 22.05.2025 16:25:05
Списаны ТМЦ</t>
  </si>
  <si>
    <t>Надходження товарів і послуг ІБ00-002428 від 24.05.2025 11:00:00
Оприходованы ТМЦ</t>
  </si>
  <si>
    <t>Обл. НДС
Бетон С20/25 W6 F75 P4
Надходження товарів і послуг ІБ00-002428 від 24.05.2025 11:00:00
Пункт фасування та зберігання в бігбегах (Глобине)</t>
  </si>
  <si>
    <t>Кременчуцький річковий порт ПРАТ
Договір 112/Б від 15.10.2024_Глобине-2
Надходження товарів і послуг ІБ00-002428 від 24.05.2025 11:00:00</t>
  </si>
  <si>
    <t>Надходження дод. витрат ІБ00-000338 від 24.05.2025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</si>
  <si>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ІБ00-000338 від 24.05.2025 11:05:00</t>
  </si>
  <si>
    <t>Вимога-накладна ІБ00-000425 від 29.05.2025 21:00:00
Списаны ТМЦ</t>
  </si>
  <si>
    <t>Вимога-накладна ІБ00-000408 від 29.05.2025 21:00:31
Списаны ТМЦ</t>
  </si>
  <si>
    <t>Надходження товарів і послуг ІБ00-002592 від 30.05.2025 11:00:00
Оприходованы ТМЦ</t>
  </si>
  <si>
    <t>Обл. НДС
Бетон С20/25 W6 F75 P4
Надходження товарів і послуг ІБ00-002592 від 30.05.2025 11:00:00
Пункт фасування та зберігання в бігбегах (Глобине)</t>
  </si>
  <si>
    <t>Кременчуцький річковий порт ПРАТ
Договір 112/Б від 15.10.2024_Глобине-2
Надходження товарів і послуг ІБ00-002592 від 30.05.2025 11:00:00</t>
  </si>
  <si>
    <t>Надходження дод. витрат ІБ00-000349 від 30.05.2025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</si>
  <si>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ІБ00-000349 від 30.05.2025 11:10:00</t>
  </si>
  <si>
    <t>Надходження товарів і послуг ІБ00-002051 від 06.05.2025 11:00:00
Оприходованы ТМЦ</t>
  </si>
  <si>
    <t>Кременчуцький річковий порт ПРАТ
Договір 112/Б від 15.10.2024_Глобине-2
Надходження товарів і послуг ІБ00-002051 від 06.05.2025 11:00:00</t>
  </si>
  <si>
    <t>Надходження дод. витрат ІБ00-000300 від 06.05.2025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</si>
  <si>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ІБ00-000300 від 06.05.2025 11:10:00</t>
  </si>
  <si>
    <t>15.05.2025</t>
  </si>
  <si>
    <t>Надходження товарів і послуг ІБ00-002295 від 15.05.2025 11:00:00
Оприходованы ТМЦ</t>
  </si>
  <si>
    <t>Обл. НДС
Бетон С  8/10 Р4
Надходження товарів і послуг ІБ00-002295 від 15.05.2025 11:00:00
Резервуар для зберігання розчинника(Глобине)</t>
  </si>
  <si>
    <t>Кременчуцький річковий порт ПРАТ
Договір 112/Б від 15.10.2024_Глобине-2
Надходження товарів і послуг ІБ00-002295 від 15.05.2025 11:00:00</t>
  </si>
  <si>
    <t>Надходження дод. витрат ІБ00-000322 від 15.05.2025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</si>
  <si>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ІБ00-000322 від 15.05.2025 11:10:00</t>
  </si>
  <si>
    <t>Надходження товарів і послуг ІБ00-002342 від 20.05.2025 11:00:00
Оприходованы ТМЦ</t>
  </si>
  <si>
    <t>Обл. НДС
Бетон С20/25 W6 F75 P4
Надходження товарів і послуг ІБ00-002342 від 20.05.2025 11:00:00
Резервуар для зберігання розчинника(Глобине)</t>
  </si>
  <si>
    <t>Кременчуцький річковий порт ПРАТ
Договір 112/Б від 15.10.2024_Глобине-2
Надходження товарів і послуг ІБ00-002342 від 20.05.2025 11:00:00</t>
  </si>
  <si>
    <t>Надходження дод. витрат ІБ00-000325 від 20.05.2025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</si>
  <si>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ІБ00-000325 від 20.05.2025 11:05:00</t>
  </si>
  <si>
    <t>Надходження товарів і послуг ІБ00-002430 від 21.05.2025 11:00:00
Оприходованы ТМЦ</t>
  </si>
  <si>
    <t>Обл. НДС
Бетон С20/25 W6 F75 P4
Надходження товарів і послуг ІБ00-002430 від 21.05.2025 11:00:00
Резервуар для зберігання розчинника(Глобине)</t>
  </si>
  <si>
    <t>Кременчуцький річковий порт ПРАТ
Договір 112/Б від 15.10.2024_Глобине-2
Надходження товарів і послуг ІБ00-002430 від 21.05.2025 11:00:00</t>
  </si>
  <si>
    <t>Надходження дод. витрат ІБ00-000340 від 21.05.2025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</si>
  <si>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ІБ00-000340 від 21.05.2025 11:05:00</t>
  </si>
  <si>
    <t>Вимога-накладна ІБ00-000373 від 22.05.2025 15:35:47
Списаны ТМЦ</t>
  </si>
  <si>
    <t>Обл. НДС
Бетон С  8/10 Р4
Надходження товарів і послуг ІБ00-001292 від 28.03.2025 17:56:31
Резервуар для зберігання розчинника(Глобине)</t>
  </si>
  <si>
    <t>Обл. НДС
Бетон С  8/10 Р4
Надходження товарів і послуг ІБ00-001961 від 30.04.2025 11:00:00
Резервуар для зберігання розчинника(Глобине)</t>
  </si>
  <si>
    <t>Списання товарів ІБ00-000260 від 22.05.2025 15:41:06
Списаны ТМЦ</t>
  </si>
  <si>
    <t>Обл. НДС
Мапеграут 450 Тіксо/25
Надходження товарів і послуг ІБ00-001430 від 02.04.2025 18:09:00
Резервуар для зберігання розчинника(Глобине)</t>
  </si>
  <si>
    <t>Переміщення товарів ІБ00-000523 від 29.05.2025 08:00:00
Перемещение ТМЦ</t>
  </si>
  <si>
    <t>Обл. НДС
Бетон С 30/35 W4 F75 Р4
Надходження товарів і послуг ІБ00-001961 від 30.04.2025 11:00:00
СПК (Глобине)</t>
  </si>
  <si>
    <t>Обл. НДС
Бетон С 30/35 W4 F75 Р4
Надходження товарів і послуг ІБ00-001961 від 30.04.2025 11:00:00
Резервуар для зберігання розчинника(Глобине)</t>
  </si>
  <si>
    <t>Вимога-накладна ІБ00-000394 від 29.05.2025 13:10:55
Списаны ТМЦ</t>
  </si>
  <si>
    <t>Обл. НДС
Пісок з відсіву дроблення щебеню фр. 0-5мм.
Надходження товарів і послуг ІБ00-001750 від 17.04.2025 11:00:00
Резервуар для зберігання розчинника(Глобине)</t>
  </si>
  <si>
    <t>Обл. НДС
Пісок з відсіву дроблення щебеню фр. 0-5мм.
Надходження товарів і послуг ІБ00-001964 від 30.04.2025 11:00:00
Резервуар для зберігання розчинника(Глобине)</t>
  </si>
  <si>
    <t>Вимога-накладна ІБ00-000407 від 29.05.2025 21:00:30
Списаны ТМЦ</t>
  </si>
  <si>
    <t>Вимога-накладна ІБ00-000424 від 29.05.2025 21:50:00
Списаны ТМЦ</t>
  </si>
  <si>
    <t>Переміщення товарів ІБ00-000470 від 01.05.2025 23:41:08
Перемещение ТМЦ</t>
  </si>
  <si>
    <t>Обл. НДС
Пісок з відсіву дроблення щебеню фр. 0-5мм.
Надходження товарів і послуг ІБ00-001692 від 14.04.2025 11:00:00
Резервуарний парк соєвої меляси (Глобине)</t>
  </si>
  <si>
    <t>Обл. НДС
Пісок з відсіву дроблення щебеню фр. 0-5мм.
Надходження товарів і послуг ІБ00-001692 від 14.04.2025 11:00:00
СПК (Глобине)</t>
  </si>
  <si>
    <t>Обл. НДС
Пісок з відсіву дроблення щебеню фр. 0-5мм.
Надходження товарів і послуг ІБ00-001681 від 15.04.2025 11:00:00
СПК (Глобине)</t>
  </si>
  <si>
    <t>Обл. НДС
Пісок з відсіву дроблення щебеню фр. 0-5мм.
Надходження товарів і послуг ІБ00-001679 від 15.04.2025 18:30:54
Резервуарний парк соєвої меляси (Глобине)</t>
  </si>
  <si>
    <t>Обл. НДС
Пісок з відсіву дроблення щебеню фр. 0-5мм.
Надходження товарів і послуг ІБ00-001679 від 15.04.2025 18:30:54
СПК (Глобине)</t>
  </si>
  <si>
    <t>Обл. НДС
Пісок з відсіву дроблення щебеню фр. 0-5мм.
Надходження товарів і послуг ІБ00-001753 від 16.04.2025 11:00:00
Резервуарний парк соєвої меляси (Глобине)</t>
  </si>
  <si>
    <t>Обл. НДС
Пісок з відсіву дроблення щебеню фр. 0-5мм.
Надходження товарів і послуг ІБ00-001753 від 16.04.2025 11:00:00
СПК (Глобине)</t>
  </si>
  <si>
    <t>Обл. НДС
Пісок з відсіву дроблення щебеню фр. 0-5мм.
Надходження товарів і послуг ІБ00-001750 від 17.04.2025 11:00:00
Резервуарний парк соєвої меляси (Глобине)</t>
  </si>
  <si>
    <t>Обл. НДС
Пісок з відсіву дроблення щебеню фр. 0-5мм.
Надходження товарів і послуг ІБ00-001750 від 17.04.2025 11:00:00
СПК (Глобине)</t>
  </si>
  <si>
    <t>Обл. НДС
Пісок з відсіву дроблення щебеню фр. 0-5мм.
Надходження товарів і послуг ІБ00-001749 від 18.04.2025 11:00:00
СПК (Глобине)</t>
  </si>
  <si>
    <t>Вимога-накладна ІБ00-000392 від 29.05.2025 12:33:10
Списаны ТМЦ</t>
  </si>
  <si>
    <t>Надходження товарів і послуг ІБ00-001962 від 01.05.2025 11:00:00
Оприходованы ТМЦ</t>
  </si>
  <si>
    <t>Обл. НДС
Заготовка арматури
Надходження товарів і послуг ІБ00-001962 від 01.05.2025 11:00:00
СПК (Глобине)</t>
  </si>
  <si>
    <t>БМЗ БЕТОН ПП
Договір ПП/М 221-2 від 14.01.2025 _Глобино-2
Рахунок на оплату постачальника ІБ00-000358 від 28.01.2025 23:21:44</t>
  </si>
  <si>
    <t>Обл. НДС
МС24
Надходження товарів і послуг ІБ00-001962 від 01.05.2025 11:00:00
СПК (Глобине)</t>
  </si>
  <si>
    <t>Обл. НДС
МС32
Надходження товарів і послуг ІБ00-001962 від 01.05.2025 11:00:00
СПК (Глобине)</t>
  </si>
  <si>
    <t>Надходження дод. витрат ІБ00-000310 від 01.05.2025 11:10:00
Доп. расходы при поступлении товаров</t>
  </si>
  <si>
    <t>Надходження товарів і послуг ІБ00-001963 від 01.05.2025 19:24:46
Оприходованы ТМЦ</t>
  </si>
  <si>
    <t>Обл. НДС
Колона К7с-2 4КС 36.108-6 L=8180
Надходження товарів і послуг ІБ00-001963 від 01.05.2025 19:24:46
СПК (Глобине)</t>
  </si>
  <si>
    <t>Обл. НДС
Ригель Р2-1 1Р6 3.83-5 L=6240
Надходження товарів і послуг ІБ00-001963 від 01.05.2025 19:24:46
СПК (Глобине)</t>
  </si>
  <si>
    <t>Обл. НДС
Ригель Р3 2Р6 3.83-10 L=6240
Надходження товарів і послуг ІБ00-001963 від 01.05.2025 19:24:46
СПК (Глобине)</t>
  </si>
  <si>
    <t>Надходження дод. витрат ІБ00-000311 від 01.05.2025 19:30:00
Доп. расходы при поступлении товаров</t>
  </si>
  <si>
    <t>Переміщення товарів ІБ00-000478 від 01.05.2025 23:41:13
Перемещение ТМЦ</t>
  </si>
  <si>
    <t>Обл. НДС
Розчинник УС Нефрас 0,94 л/ 0,70 кг
Надходження товарів і послуг ІБ00-001908 від 30.04.2025 11:00:00
СПК (Глобине)</t>
  </si>
  <si>
    <t>Переміщення товарів ІБ00-000479 від 01.05.2025 23:41:14
Перемещение ТМЦ</t>
  </si>
  <si>
    <t>Обл. НДС
Грунт-емаль 3 в 1 антикороз RAL7024 25 кг
Надходження товарів і послуг ІБ00-001021 від 12.03.2025 18:45:17
СПК (Глобине)</t>
  </si>
  <si>
    <t>Обл. НДС
Грунт-емаль 3 в 1 антикороз RAL7024 25 кг
Надходження товарів і послуг ІБ00-001021 від 12.03.2025 18:45:17
Транспортна галерея (Глобине)</t>
  </si>
  <si>
    <t>Надходження товарів і послуг ІБ00-002171 від 02.05.2025 11:00:00
Оприходованы ТМЦ</t>
  </si>
  <si>
    <t>Обл. НДС
Колона К8с-2 4КС 36.108-6 L=8180
Надходження товарів і послуг ІБ00-002171 від 02.05.2025 11:00:00
СПК (Глобине)</t>
  </si>
  <si>
    <t>Обл. НДС
Ригель Р2-1 1Р6 3.83-5 L=6240
Надходження товарів і послуг ІБ00-002171 від 02.05.2025 11:00:00
СПК (Глобине)</t>
  </si>
  <si>
    <t>Обл. НДС
Ригель Р3 2Р6 3.83-10 L=6240
Надходження товарів і послуг ІБ00-002171 від 02.05.2025 11:00:00
СПК (Глобине)</t>
  </si>
  <si>
    <t>Надходження товарів і послуг ІБ00-002172 від 02.05.2025 11:00:00
Оприходованы ТМЦ</t>
  </si>
  <si>
    <t>Обл. НДС
Заготовка арматури
Надходження товарів і послуг ІБ00-002172 від 02.05.2025 11:00:00
СПК (Глобине)</t>
  </si>
  <si>
    <t>Надходження дод. витрат ІБ00-000312 від 02.05.2025 11:10:00
Доп. расходы при поступлении товаров</t>
  </si>
  <si>
    <t>Надходження дод. витрат ІБ00-000313 від 02.05.2025 11:10:00
Доп. расходы при поступлении товаров</t>
  </si>
  <si>
    <t>Надходження товарів і послуг ІБ00-002170 від 05.05.2025 18:06:40
Оприходованы ТМЦ</t>
  </si>
  <si>
    <t>Обл. НДС
Колона К9с-2 4КС 36.108-6 L=8180
Надходження товарів і послуг ІБ00-002170 від 05.05.2025 18:06:40
СПК (Глобине)</t>
  </si>
  <si>
    <t>Обл. НДС
Колона К10с-2 4КС 36.108-6 L=8180
Надходження товарів і послуг ІБ00-002170 від 05.05.2025 18:06:40
СПК (Глобине)</t>
  </si>
  <si>
    <t>Обл. НДС
Ригель Р2-1 1Р6 3.83-5 L=6240
Надходження товарів і послуг ІБ00-002170 від 05.05.2025 18:06:40
СПК (Глобине)</t>
  </si>
  <si>
    <t>Обл. НДС
Ригель Р3 2Р6 3.83-10 L=6240
Надходження товарів і послуг ІБ00-002170 від 05.05.2025 18:06:40
СПК (Глобине)</t>
  </si>
  <si>
    <t>Обл. НДС
Плита ребриста РП3 РП 6.2.83-2 L=6740
Надходження товарів і послуг ІБ00-002170 від 05.05.2025 18:06:40
СПК (Глобине)</t>
  </si>
  <si>
    <t>Надходження дод. витрат ІБ00-000314 від 05.05.2025 18:10:00
Доп. расходы при поступлении товаров</t>
  </si>
  <si>
    <t>Надходження товарів і послуг ІБ00-002028 від 06.05.2025 11:00:00
Оприходованы ТМЦ</t>
  </si>
  <si>
    <t>Обл. НДС
Колона К17с-2 2КС 36.108-6 L=8180
Надходження товарів і послуг ІБ00-002028 від 06.05.2025 11:00:00
СПК (Глобине)</t>
  </si>
  <si>
    <t>Обл. НДС
Колона К18с-2 2КС 36.108-6 L=8180
Надходження товарів і послуг ІБ00-002028 від 06.05.2025 11:00:00
СПК (Глобине)</t>
  </si>
  <si>
    <t>Обл. НДС
Колона К19с-2 2КС 36.108-6 L=8180
Надходження товарів і послуг ІБ00-002028 від 06.05.2025 11:00:00
СПК (Глобине)</t>
  </si>
  <si>
    <t>Обл. НДС
Колона К20с-2 2КС 36.108-6 L=8180
Надходження товарів і послуг ІБ00-002028 від 06.05.2025 11:00:00
СПК (Глобине)</t>
  </si>
  <si>
    <t>Обл. НДС
Колона К22с-2 3КС 36.108-6 L=8180
Надходження товарів і послуг ІБ00-002028 від 06.05.2025 11:00:00
СПК (Глобине)</t>
  </si>
  <si>
    <t>Надходження дод. витрат ІБ00-000315 від 06.05.2025 11:10:00
Доп. расходы при поступлении товаров</t>
  </si>
  <si>
    <t>Надходження товарів і послуг ІБ00-002164 від 08.05.2025 11:00:04
Оприходованы ТМЦ</t>
  </si>
  <si>
    <t>Обл. НДС
Колона К12с-2 3КС 36.108-6 L=8180
Надходження товарів і послуг ІБ00-002164 від 08.05.2025 11:00:04
СПК (Глобине)</t>
  </si>
  <si>
    <t>Обл. НДС
Колона К13с-2 2КС 36.108-6 L=8180
Надходження товарів і послуг ІБ00-002164 від 08.05.2025 11:00:04
СПК (Глобине)</t>
  </si>
  <si>
    <t>Обл. НДС
Колона К14с-2 2КС 36.108-6 L=8180
Надходження товарів і послуг ІБ00-002164 від 08.05.2025 11:00:04
СПК (Глобине)</t>
  </si>
  <si>
    <t>Обл. НДС
Колона К21с-2 2КС 36.108-6 L=8180
Надходження товарів і послуг ІБ00-002164 від 08.05.2025 11:00:04
СПК (Глобине)</t>
  </si>
  <si>
    <t>Обл. НДС
Плита ребриста РП3 РП 6.2.83-2 L=6740
Надходження товарів і послуг ІБ00-002164 від 08.05.2025 11:00:04
СПК (Глобине)</t>
  </si>
  <si>
    <t>Надходження дод. витрат ІБ00-000316 від 08.05.2025 11:10:00
Доп. расходы при поступлении товаров</t>
  </si>
  <si>
    <t>Надходження товарів і послуг ІБ00-002160 від 09.05.2025 11:00:00
Оприходованы ТМЦ</t>
  </si>
  <si>
    <t>Обл. НДС
Бетон С 30/35 W4 F75 Р4
Надходження товарів і послуг ІБ00-002160 від 09.05.2025 11:00:00
СПК (Глобине)</t>
  </si>
  <si>
    <t>Кременчуцький річковий порт ПРАТ
Договір 112/Б від 15.10.2024_Глобине-2
Надходження товарів і послуг ІБ00-002160 від 09.05.2025 11:00:00</t>
  </si>
  <si>
    <t>Надходження дод. витрат ІБ00-000305 від 09.05.2025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</si>
  <si>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ІБ00-000305 від 09.05.2025 11:05:00</t>
  </si>
  <si>
    <t>Надходження товарів і послуг ІБ00-002154 від 10.05.2025 11:00:00
Оприходованы ТМЦ</t>
  </si>
  <si>
    <t>Енергія Логістик ТОВ
№28/10-2024 ВІД 28/10/24_Глобине-2
Рахунок на оплату постачальника ІБ00-001761 від 10.05.2025 12:00:00</t>
  </si>
  <si>
    <t>12.05.2025</t>
  </si>
  <si>
    <t>Надходження товарів і послуг ІБ00-002167 від 12.05.2025 11:00:00
Оприходованы ТМЦ</t>
  </si>
  <si>
    <t>Обл. НДС
Колона К1с-2 5КС 36.108-6н L=8180
Надходження товарів і послуг ІБ00-002167 від 12.05.2025 11:00:00
СПК (Глобине)</t>
  </si>
  <si>
    <t>Обл. НДС
Колона К11с-2 5КС 36.108-6н L=8180
Надходження товарів і послуг ІБ00-002167 від 12.05.2025 11:00:00
СПК (Глобине)</t>
  </si>
  <si>
    <t>Обл. НДС
Колона К15с-2 2КС 36.108-6 L=8180
Надходження товарів і послуг ІБ00-002167 від 12.05.2025 11:00:00
СПК (Глобине)</t>
  </si>
  <si>
    <t>Обл. НДС
Колона К16с-2 2КС 36.108-6 L=8180
Надходження товарів і послуг ІБ00-002167 від 12.05.2025 11:00:00
СПК (Глобине)</t>
  </si>
  <si>
    <t>Обл. НДС
Плита ребриста РП3 РП 6.2.83-2 L=6740
Надходження товарів і послуг ІБ00-002167 від 12.05.2025 11:00:00
СПК (Глобине)</t>
  </si>
  <si>
    <t>Обл. НДС
Плита ребриста РП3-1 РП 6.2.53-4 
Надходження товарів і послуг ІБ00-002167 від 12.05.2025 11:00:00
СПК (Глобине)</t>
  </si>
  <si>
    <t>Надходження дод. витрат ІБ00-000317 від 12.05.2025 11:10:00
Доп. расходы при поступлении товаров</t>
  </si>
  <si>
    <t>Надходження товарів і послуг ІБ00-002191 від 13.05.2025 11:00:00
Оприходованы ТМЦ</t>
  </si>
  <si>
    <t>Обл. НДС
Плівка п/е рукав 1500*200
Надходження товарів і послуг ІБ00-002191 від 13.05.2025 11:00:00
СПК (Глобине)</t>
  </si>
  <si>
    <t>ПРОТЕКС УКРАЇНА
Договір 9  від 11.12.2023_Глобине 2
Рахунок на оплату постачальника ІБ00-001789 від 12.05.2025 17:50:18</t>
  </si>
  <si>
    <t>Надходження товарів і послуг ІБ00-002223 від 13.05.2025 11:00:00
Оприходованы ТМЦ</t>
  </si>
  <si>
    <t>Обл. НДС
МС1
Надходження товарів і послуг ІБ00-002223 від 13.05.2025 11:00:00
СПК (Глобине)</t>
  </si>
  <si>
    <t>Надходження товарів і послуг ІБ00-002224 від 13.05.2025 11:00:00
Оприходованы ТМЦ</t>
  </si>
  <si>
    <t>Обл. НДС
Плита ребриста РП1а РП 6.2.65-2 L=6240
Надходження товарів і послуг ІБ00-002224 від 13.05.2025 11:00:00
СПК (Глобине)</t>
  </si>
  <si>
    <t>Обл. НДС
Колона К2с-2 4КС 36.108-6 L=8180
Надходження товарів і послуг ІБ00-002224 від 13.05.2025 11:00:00
СПК (Глобине)</t>
  </si>
  <si>
    <t>Обл. НДС
Колона К3с-2 4КС 36.108-6 L=8180
Надходження товарів і послуг ІБ00-002224 від 13.05.2025 11:00:00
СПК (Глобине)</t>
  </si>
  <si>
    <t>Обл. НДС
Колона К4с-2 4КС 36.108-6 L=8180
Надходження товарів і послуг ІБ00-002224 від 13.05.2025 11:00:00
СПК (Глобине)</t>
  </si>
  <si>
    <t>Обл. НДС
Колона К5с-2 4КС 36.108-6 L=8180
Надходження товарів і послуг ІБ00-002224 від 13.05.2025 11:00:00
СПК (Глобине)</t>
  </si>
  <si>
    <t>Надходження товарів і послуг ІБ00-002476 від 13.05.2025 11:00:00
Оприходованы ТМЦ</t>
  </si>
  <si>
    <t>Обл. НДС
Грунт ГФ-021 сірий
Надходження товарів і послуг ІБ00-002476 від 13.05.2025 11:00:00
СПК (Глобине)</t>
  </si>
  <si>
    <t>Синтез ЛКМ
РАХУНКИ_Глобино-2
Рахунок на оплату постачальника ІБ00-002106 від 12.05.2025 11:00:00</t>
  </si>
  <si>
    <t>Обл. НДС
Розчинник "White Spirit"
Надходження товарів і послуг ІБ00-002476 від 13.05.2025 11:00:00
СПК (Глобине)</t>
  </si>
  <si>
    <t>Надходження дод. витрат ІБ00-000318 від 13.05.2025 11:10:00
Доп. расходы при поступлении товаров</t>
  </si>
  <si>
    <t>Надходження дод. витрат ІБ00-000319 від 13.05.2025 11:10:00
Доп. расходы при поступлении товаров</t>
  </si>
  <si>
    <t>Надходження товарів і послуг ІБ00-002296 від 14.05.2025 11:00:00
Оприходованы ТМЦ</t>
  </si>
  <si>
    <t>Обл. НДС
Плита ребриста РП1а РП 6.2.65-2 L=6240
Надходження товарів і послуг ІБ00-002296 від 14.05.2025 11:00:00
СПК (Глобине)</t>
  </si>
  <si>
    <t>Обл. НДС
Колона К23с-2 5КС 36.108-6-н L=8180
Надходження товарів і послуг ІБ00-002296 від 14.05.2025 11:00:00
СПК (Глобине)</t>
  </si>
  <si>
    <t>Обл. НДС
Колона К24с-2 4КС 36.108-6 L=8180
Надходження товарів і послуг ІБ00-002296 від 14.05.2025 11:00:00
СПК (Глобине)</t>
  </si>
  <si>
    <t>Обл. НДС
Колона К25с-2 4КС 36.108-6 L=8180
Надходження товарів і послуг ІБ00-002296 від 14.05.2025 11:00:00
СПК (Глобине)</t>
  </si>
  <si>
    <t>Обл. НДС
Колона К26с-2 4КС 36.108-6 L=8180
Надходження товарів і послуг ІБ00-002296 від 14.05.2025 11:00:00
СПК (Глобине)</t>
  </si>
  <si>
    <t>Надходження товарів і послуг ІБ00-002332 від 14.05.2025 11:00:00
Оприходованы ТМЦ</t>
  </si>
  <si>
    <t>Обл. НДС
Болт М16*60  DIN 933 оц. 8.8цб
Надходження товарів і послуг ІБ00-002332 від 14.05.2025 11:00:00
СПК (Глобине)</t>
  </si>
  <si>
    <t>ЄВРОБОЛТ УКРАЇНА ТОВ
Рахунки_Глобине-2
Рахунок на оплату постачальника ІБ00-001921 від 12.05.2025 17:50:40</t>
  </si>
  <si>
    <t>Обл. НДС
Гайка М16  DIN 934 
Надходження товарів і послуг ІБ00-002332 від 14.05.2025 11:00:00
СПК (Глобине)</t>
  </si>
  <si>
    <t>Обл. НДС
Шайба М16 DIN 125 плоска 140 HV цб
Надходження товарів і послуг ІБ00-002332 від 14.05.2025 11:00:00
СПК (Глобине)</t>
  </si>
  <si>
    <t>Надходження дод. витрат ІБ00-000355 від 14.05.2025 11:10:00
Доп. расходы при поступлении товаров</t>
  </si>
  <si>
    <t>Надходження товарів і послуг ІБ00-002261 від 15.05.2025 11:00:00
Оприходованы ТМЦ</t>
  </si>
  <si>
    <t>Обл. НДС
Плита ребриста РП1 РП 6.2.65-2 L=6240
Надходження товарів і послуг ІБ00-002261 від 15.05.2025 11:00:00
СПК (Глобине)</t>
  </si>
  <si>
    <t>Обл. НДС
Плита ребриста РП1а РП 6.2.65-2 L=6240
Надходження товарів і послуг ІБ00-002261 від 15.05.2025 11:00:00
СПК (Глобине)</t>
  </si>
  <si>
    <t>Обл. НДС
Колона К27с-2 4КС 36.108-6 L=8180
Надходження товарів і послуг ІБ00-002261 від 15.05.2025 11:00:00
СПК (Глобине)</t>
  </si>
  <si>
    <t>Обл. НДС
Колона К28с-2 4КС 36.108-6 L=8180
Надходження товарів і послуг ІБ00-002261 від 15.05.2025 11:00:00
СПК (Глобине)</t>
  </si>
  <si>
    <t>Обл. НДС
Колона К29с-2 4КС 36.108-6 L=8180
Надходження товарів і послуг ІБ00-002261 від 15.05.2025 11:00:00
СПК (Глобине)</t>
  </si>
  <si>
    <t>Обл. НДС
Колона К30с-2 4КС 36.108-6 L=8180
Надходження товарів і послуг ІБ00-002261 від 15.05.2025 11:00:00
СПК (Глобине)</t>
  </si>
  <si>
    <t>Надходження дод. витрат ІБ00-000356 від 15.05.2025 11:10:00
Доп. расходы при поступлении товаров</t>
  </si>
  <si>
    <t>16.05.2025</t>
  </si>
  <si>
    <t>Надходження товарів і послуг ІБ00-002252 від 16.05.2025 11:00:00
Оприходованы ТМЦ</t>
  </si>
  <si>
    <t>Обл. НДС
Плита ребриста РП1а РП 6.2.65-2 L=6240
Надходження товарів і послуг ІБ00-002252 від 16.05.2025 11:00:00
СПК (Глобине)</t>
  </si>
  <si>
    <t>Обл. НДС
Колона К31с-2 4КС 36.108-6 L=8180
Надходження товарів і послуг ІБ00-002252 від 16.05.2025 11:00:00
СПК (Глобине)</t>
  </si>
  <si>
    <t>Обл. НДС
Колона К33с-2 5КС 36.108-6 L=8180
Надходження товарів і послуг ІБ00-002252 від 16.05.2025 11:00:00
СПК (Глобине)</t>
  </si>
  <si>
    <t>Обл. НДС
Колона К17с-3 2КС 36.108-6 L=8250
Надходження товарів і послуг ІБ00-002252 від 16.05.2025 11:00:00
СПК (Глобине)</t>
  </si>
  <si>
    <t>Обл. НДС
Колона К32с-2 4КС 36.108-6 L=8180
Надходження товарів і послуг ІБ00-002252 від 16.05.2025 11:00:00
СПК (Глобине)</t>
  </si>
  <si>
    <t>Надходження товарів і послуг ІБ00-002294 від 16.05.2025 11:00:00
Оприходованы ТМЦ</t>
  </si>
  <si>
    <t>Обл. НДС
Бетон С 30/35 W4 F75 Р4
Надходження товарів і послуг ІБ00-002294 від 16.05.2025 11:00:00
СПК (Глобине)</t>
  </si>
  <si>
    <t>Кременчуцький річковий порт ПРАТ
Договір 112/Б від 15.10.2024_Глобине-2
Надходження товарів і послуг ІБ00-002294 від 16.05.2025 11:00:00</t>
  </si>
  <si>
    <t>Надходження дод. витрат ІБ00-000321 від 16.05.2025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</si>
  <si>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ІБ00-000321 від 16.05.2025 11:10:00</t>
  </si>
  <si>
    <t>Надходження дод. витрат ІБ00-000357 від 16.05.2025 11:10:00
Доп. расходы при поступлении товаров</t>
  </si>
  <si>
    <t>Надходження товарів і послуг ІБ00-002343 від 19.05.2025 11:00:00
Оприходованы ТМЦ</t>
  </si>
  <si>
    <t>Обл. НДС
Плита ребриста РП1а РП 6.2.65-2 L=6240
Надходження товарів і послуг ІБ00-002343 від 19.05.2025 11:00:00
СПК (Глобине)</t>
  </si>
  <si>
    <t>Обл. НДС
Колона К18с-3 2КС 36.108-6 L=8250
Надходження товарів і послуг ІБ00-002343 від 19.05.2025 11:00:00
СПК (Глобине)</t>
  </si>
  <si>
    <t>Обл. НДС
Колона К19с-3 2КС 36.108-6 L=8250
Надходження товарів і послуг ІБ00-002343 від 19.05.2025 11:00:00
СПК (Глобине)</t>
  </si>
  <si>
    <t>Обл. НДС
Колона К20с-3 2КС 36.108-6 L=8250
Надходження товарів і послуг ІБ00-002343 від 19.05.2025 11:00:00
СПК (Глобине)</t>
  </si>
  <si>
    <t>Обл. НДС
Колона К21с-3 2КС 36.108-6 L=8250
Надходження товарів і послуг ІБ00-002343 від 19.05.2025 11:00:00
СПК (Глобине)</t>
  </si>
  <si>
    <t>Надходження дод. витрат ІБ00-000358 від 19.05.2025 11:10:00
Доп. расходы при поступлении товаров</t>
  </si>
  <si>
    <t>Надходження товарів і послуг ІБ00-002588 від 20.05.2025 11:00:00
Оприходованы ТМЦ</t>
  </si>
  <si>
    <t>Обл. НДС
Дужка-накладка д/стикування арматури ф36
Надходження товарів і послуг ІБ00-002588 від 20.05.2025 11:00:00
СПК (Глобине)</t>
  </si>
  <si>
    <t>Надходження товарів і послуг ІБ00-002589 від 20.05.2025 11:00:00
Оприходованы ТМЦ</t>
  </si>
  <si>
    <t>Обл. НДС
Плита ребриста РП1а РП 6.2.65-2 L=6240
Надходження товарів і послуг ІБ00-002589 від 20.05.2025 11:00:00
СПК (Глобине)</t>
  </si>
  <si>
    <t>Обл. НДС
Плита ребриста РП3 РП 6.2.83-2 L=6740
Надходження товарів і послуг ІБ00-002589 від 20.05.2025 11:00:00
СПК (Глобине)</t>
  </si>
  <si>
    <t>Надходження дод. витрат ІБ00-000359 від 20.05.2025 11:10:00
Доп. расходы при поступлении товаров</t>
  </si>
  <si>
    <t>Надходження дод. витрат ІБ00-000360 від 20.05.2025 11:10:00
Доп. расходы при поступлении товаров</t>
  </si>
  <si>
    <t>Надходження товарів і послуг ІБ00-002591 від 21.05.2025 11:00:00
Оприходованы ТМЦ</t>
  </si>
  <si>
    <t>Обл. НДС
Плита ребриста РП1а РП 6.2.65-2 L=6240
Надходження товарів і послуг ІБ00-002591 від 21.05.2025 11:00:00
СПК (Глобине)</t>
  </si>
  <si>
    <t>Обл. НДС
Ригель Р4 1Р6.3.83-2 L=6740
Надходження товарів і послуг ІБ00-002591 від 21.05.2025 11:00:00
СПК (Глобине)</t>
  </si>
  <si>
    <t>Обл. НДС
Плита ребриста РП3 РП 6.2.83-2 L=6740
Надходження товарів і послуг ІБ00-002591 від 21.05.2025 11:00:00
СПК (Глобине)</t>
  </si>
  <si>
    <t>Надходження дод. витрат ІБ00-000364 від 21.05.2025 11:10:00
Доп. расходы при поступлении товаров</t>
  </si>
  <si>
    <t>Вимога-накладна ІБ00-000375 від 22.05.2025 16:22:35
Списаны ТМЦ</t>
  </si>
  <si>
    <t>Обл. НДС
Закладна деталь МН 540
Надходження товарів і послуг ІБ00-001171 від 21.03.2025 19:25:59
СПК (Глобине)</t>
  </si>
  <si>
    <t>Вимога-накладна ІБ00-000379 від 23.05.2025 09:13:53
Списаны ТМЦ</t>
  </si>
  <si>
    <t>Обл. НДС
Бетон С 30/35 W4 F75 Р4
Надходження товарів і послуг ІБ00-001872 від 25.04.2025 11:00:00
СПК (Глобине)</t>
  </si>
  <si>
    <t>Обл. НДС
Заготовка арматури
Надходження товарів і послуг ІБ00-001313 від 27.03.2025 19:00:01
СПК (Глобине)</t>
  </si>
  <si>
    <t>Обл. НДС
Заготовка арматури
Надходження товарів і послуг ІБ00-001701 від 10.04.2025 11:00:00
СПК (Глобине)</t>
  </si>
  <si>
    <t>Обл. НДС
Заготовка арматури
Надходження товарів і послуг ІБ00-001948 від 24.04.2025 11:00:00
СПК (Глобине)</t>
  </si>
  <si>
    <t>Обл. НДС
Заготовка арматури
Надходження товарів і послуг ІБ00-001949 від 25.04.2025 11:00:00
СПК (Глобине)</t>
  </si>
  <si>
    <t>Обл. НДС
Заготовка арматури
Надходження товарів і послуг ІБ00-001946 від 29.04.2025 11:00:00
СПК (Глобине)</t>
  </si>
  <si>
    <t>Обл. НДС
МС1
Надходження товарів і послуг ІБ00-001948 від 24.04.2025 11:00:00
СПК (Глобине)</t>
  </si>
  <si>
    <t>Обл. НДС
Колона К6с-2 4КС 36.108-6 L=8180
Надходження товарів і послуг ІБ00-001945 від 29.04.2025 11:00:00
СПК (Глобине)</t>
  </si>
  <si>
    <t>Обл. НДС
Ригель Р1-1 2Р6 3.83-10 L=6740
Надходження товарів і послуг ІБ00-001945 від 29.04.2025 11:00:00
СПК (Глобине)</t>
  </si>
  <si>
    <t>Обл. НДС
Ригель Р1-1н 2Р6 3.83-10 L=6740
Надходження товарів і послуг ІБ00-001947 від 24.04.2025 11:00:00
СПК (Глобине)</t>
  </si>
  <si>
    <t>Обл. НДС
Ригель Р2 1Р6 3.83-5 L=6740
Надходження товарів і послуг ІБ00-001947 від 24.04.2025 11:00:00
СПК (Глобине)</t>
  </si>
  <si>
    <t>Обл. НДС
Ригель Р2-1 1Р6 3.83-5 L=6240
Надходження товарів і послуг ІБ00-001950 від 22.04.2025 11:00:00
СПК (Глобине)</t>
  </si>
  <si>
    <t>Обл. НДС
Ригель Р2-1 1Р6 3.83-5 L=6240
Надходження товарів і послуг ІБ00-001947 від 24.04.2025 11:00:00
СПК (Глобине)</t>
  </si>
  <si>
    <t>Обл. НДС
Ригель Р2-1 1Р6 3.83-5 L=6240
Надходження товарів і послуг ІБ00-001817 від 25.04.2025 11:00:00
СПК (Глобине)</t>
  </si>
  <si>
    <t>Обл. НДС
Ригель Р3 2Р6 3.83-10 L=6240
Надходження товарів і послуг ІБ00-001817 від 25.04.2025 11:00:00
СПК (Глобине)</t>
  </si>
  <si>
    <t>Обл. НДС
Ригель Р3 2Р6 3.83-10 L=6240
Надходження товарів і послуг ІБ00-001945 від 29.04.2025 11:00:00
СПК (Глобине)</t>
  </si>
  <si>
    <t>Вимога-накладна ІБ00-000380 від 23.05.2025 09:22:13
Списаны ТМЦ</t>
  </si>
  <si>
    <t>Обл. НДС
Ригель Р2-1 1Р6 3.83-5 L=6240
Надходження товарів і послуг ІБ00-001945 від 29.04.2025 11:00:00
СПК (Глобине)</t>
  </si>
  <si>
    <t>Надходження товарів і послуг ІБ00-002518 від 23.05.2025 11:00:00
Оприходованы ТМЦ</t>
  </si>
  <si>
    <t>Обл. НДС
Плита ребриста РП1 РП 6.2.65-2 L=6240
Надходження товарів і послуг ІБ00-002518 від 23.05.2025 11:00:00
СПК (Глобине)</t>
  </si>
  <si>
    <t>Обл. НДС
Плита ребриста РП1а РП 6.2.65-2 L=6240
Надходження товарів і послуг ІБ00-002518 від 23.05.2025 11:00:00
СПК (Глобине)</t>
  </si>
  <si>
    <t>Обл. НДС
Ригель Р4 1Р6.3.83-2 L=6740
Надходження товарів і послуг ІБ00-002518 від 23.05.2025 11:00:00
СПК (Глобине)</t>
  </si>
  <si>
    <t>Обл. НДС
Плита ребриста РП3 РП 6.2.83-2 L=6740
Надходження товарів і послуг ІБ00-002518 від 23.05.2025 11:00:00
СПК (Глобине)</t>
  </si>
  <si>
    <t>Надходження товарів і послуг ІБ00-002519 від 23.05.2025 11:00:00
Оприходованы ТМЦ</t>
  </si>
  <si>
    <t>Обл. НДС
Заготовка арматури
Надходження товарів і послуг ІБ00-002519 від 23.05.2025 11:00:00
СПК (Глобине)</t>
  </si>
  <si>
    <t>Обл. НДС
МС1
Надходження товарів і послуг ІБ00-002519 від 23.05.2025 11:00:00
СПК (Глобине)</t>
  </si>
  <si>
    <t>Обл. НДС
МС32
Надходження товарів і послуг ІБ00-002519 від 23.05.2025 11:00:00
СПК (Глобине)</t>
  </si>
  <si>
    <t>Надходження дод. витрат ІБ00-000361 від 23.05.2025 11:10:00
Доп. расходы при поступлении товаров</t>
  </si>
  <si>
    <t>Надходження дод. витрат ІБ00-000362 від 23.05.2025 11:10:00
Доп. расходы при поступлении товаров</t>
  </si>
  <si>
    <t>27.05.2025</t>
  </si>
  <si>
    <t>Надходження товарів і послуг ІБ00-002530 від 27.05.2025 11:00:00
Оприходованы ТМЦ</t>
  </si>
  <si>
    <t>Обл. НДС
Профілі сталеві листові Н-75  0,7 оцинковані
Надходження товарів і послуг ІБ00-002530 від 27.05.2025 11:00:00
СПК (Глобине)</t>
  </si>
  <si>
    <t>АЛМЕТ ТОВ
№28 от 22.09.2022.( рахунки)_Глобине-2
Рахунок на оплату постачальника ІБ00-002166 від 14.05.2025 17:57:42</t>
  </si>
  <si>
    <t>Надходження товарів і послуг ІБ00-002704 від 27.05.2025 11:00:00
Оприходованы ТМЦ</t>
  </si>
  <si>
    <t>Обл. НДС
Грунт ГФ-021 сірий
Надходження товарів і послуг ІБ00-002704 від 27.05.2025 11:00:00
СПК (Глобине)</t>
  </si>
  <si>
    <t>Синтез ЛКМ
РАХУНКИ_Глобино-2
Рахунок на оплату постачальника ІБ00-002236 від 27.05.2025 18:43:38</t>
  </si>
  <si>
    <t>Обл. НДС
Розчинник "White Spirit"
Надходження товарів і послуг ІБ00-002704 від 27.05.2025 11:00:00
СПК (Глобине)</t>
  </si>
  <si>
    <t>Надходження товарів і послуг ІБ00-002709 від 27.05.2025 11:00:00
Оприходованы ТМЦ</t>
  </si>
  <si>
    <t>Обл. НДС
Пісок з відсіву дроблення щебеню фр. 0-5мм.
Надходження товарів і послуг ІБ00-002709 від 27.05.2025 11:00:00
СПК (Глобине)</t>
  </si>
  <si>
    <t>Енергія Логістик ТОВ
№28/10-2024 ВІД 28/10/24_Глобине-2
Рахунок на оплату постачальника ІБ00-002241 від 27.05.2025 18:43:39</t>
  </si>
  <si>
    <t>Переміщення товарів ІБ00-000491 від 29.05.2025 08:00:00
Перемещение ТМЦ</t>
  </si>
  <si>
    <t>Обл. НДС
Пісок з відсіву дроблення щебеню фр. 0-5мм.
Надходження товарів і послуг ІБ00-001749 від 18.04.2025 11:00:00
Транспортна галерея (Глобине)</t>
  </si>
  <si>
    <t>Обл. НДС
Пісок з відсіву дроблення щебеню фр. 0-5мм.
Надходження товарів і послуг ІБ00-001810 від 23.04.2025 11:00:00
Транспортна галерея (Глобине)</t>
  </si>
  <si>
    <t>Обл. НДС
Пісок з відсіву дроблення щебеню фр. 0-5мм.
Надходження товарів і послуг ІБ00-001810 від 23.04.2025 11:00:00
СПК (Глобине)</t>
  </si>
  <si>
    <t>Надходження товарів і послуг ІБ00-002590 від 29.05.2025 11:00:00
Оприходованы ТМЦ</t>
  </si>
  <si>
    <t>Обл. НДС
Плита ребриста РП1 РП 6.2.65-2 L=6240
Надходження товарів і послуг ІБ00-002590 від 29.05.2025 11:00:00
СПК (Глобине)</t>
  </si>
  <si>
    <t>Обл. НДС
Плита ребриста РП3 РП 6.2.83-2 L=6740
Надходження товарів і послуг ІБ00-002590 від 29.05.2025 11:00:00
СПК (Глобине)</t>
  </si>
  <si>
    <t>Надходження дод. витрат ІБ00-000363 від 29.05.2025 11:10:00
Доп. расходы при поступлении товаров</t>
  </si>
  <si>
    <t>Вимога-накладна ІБ00-000396 від 29.05.2025 13:38:23
Списаны ТМЦ</t>
  </si>
  <si>
    <t>Обл. НДС
Грунт ГФ-021 сіра темний 25 кг
Надходження товарів і послуг ІБ00-001791 від 18.04.2025 11:00:00
СПК (Глобине)</t>
  </si>
  <si>
    <t>Списання товарів ІБ00-000268 від 29.05.2025 13:44:33
Списаны ТМЦ</t>
  </si>
  <si>
    <t>Обл. НДС
Розріджувач лакофарб універс 4л (2,8кг)
Надходження товарів і послуг ІБ00-006461 від 20.12.2024 18:18:13
СПК (Глобине)</t>
  </si>
  <si>
    <t>Вимога-накладна ІБ00-000413 від 29.05.2025 21:00:00
Списаны ТМЦ</t>
  </si>
  <si>
    <t>Обл. НДС
Балка 30 (ІРЕ 300) S275 JR, 12 м
Надходження товарів і послуг ІБ00-001649 від 11.04.2025 11:00:00
СПК (Глобине)</t>
  </si>
  <si>
    <t>Обл. НДС
Труба профільна 120*120мм 4,0мм S235JRH 12 м
Надходження товарів і послуг ІБ00-001649 від 11.04.2025 11:00:00
СПК (Глобине)</t>
  </si>
  <si>
    <t>Вимога-накладна ІБ00-000431 від 29.05.2025 21:00:00
Списаны ТМЦ</t>
  </si>
  <si>
    <t>Обл. НДС
Болт М16*60  DIN 933 оц. 5,8
Надходження товарів і послуг ІБ00-001742 від 18.04.2025 11:00:00
СПК (Глобине)</t>
  </si>
  <si>
    <t>Обл. НДС
Гайка М16 6 цб
Надходження товарів і послуг ІБ00-001742 від 18.04.2025 11:00:00
СПК (Глобине)</t>
  </si>
  <si>
    <t>Обл. НДС
Гайка М16 DIN 934 ЦБ
Надходження товарів і послуг ІБ00-001844 від 24.04.2025 11:00:00
СПК (Глобине)</t>
  </si>
  <si>
    <t>Вимога-накладна ІБ00-000433 від 29.05.2025 21:00:00
Списаны ТМЦ</t>
  </si>
  <si>
    <t>Вимога-накладна ІБ00-000411 від 29.05.2025 21:00:34
Списаны ТМЦ</t>
  </si>
  <si>
    <t>Надходження товарів і послуг ІБ00-002719 від 30.05.2025 11:00:00
Оприходованы ТМЦ</t>
  </si>
  <si>
    <t>Обл. НДС
Шафа тимчасового ел/забеспеч ЯРП ІР54
Надходження товарів і послуг ІБ00-002719 від 30.05.2025 11:00:00
СПК (Глобине)</t>
  </si>
  <si>
    <t>ТЕХЕЛЕКТРОМОНТАЖ ТОВ
 Договір 29/04-1 від 29.04.2024_Глобине 2
Рахунок на оплату постачальника ІБ00-002248 від 01.05.2025 23:43:32</t>
  </si>
  <si>
    <t>Надходження товарів і послуг ІБ00-002799 від 31.05.2025 11:00:00
Оприходованы ТМЦ</t>
  </si>
  <si>
    <t>Обл. НДС
Ригель Р5а 2Р6.3.83-5 L=6740
Надходження товарів і послуг ІБ00-002799 від 31.05.2025 11:00:00
СПК (Глобине)</t>
  </si>
  <si>
    <t>Обл. НДС
Плита ребриста РП3 РП 6.2.83-2 L=6740
Надходження товарів і послуг ІБ00-002799 від 31.05.2025 11:00:00
СПК (Глобине)</t>
  </si>
  <si>
    <t>Надходження товарів і послуг ІБ00-002162 від 08.05.2025 11:00:00
Оприходованы ТМЦ</t>
  </si>
  <si>
    <t>Обл. НДС
Бетон С20/25 W6 F75 P4
Надходження товарів і послуг ІБ00-002162 від 08.05.2025 11:00:00
Транспортна галерея (Глобине)</t>
  </si>
  <si>
    <t>Кременчуцький річковий порт ПРАТ
Договір 112/Б від 15.10.2024_Глобине-2
Надходження товарів і послуг ІБ00-002162 від 08.05.2025 11:00:00</t>
  </si>
  <si>
    <t>Надходження товарів і послуг ІБ00-002111 від 08.05.2025 11:00:01
Оприходованы ТМЦ</t>
  </si>
  <si>
    <t>Обл. НДС
Болт М12*50  DIN 933
Надходження товарів і послуг ІБ00-002111 від 08.05.2025 11:00:01
Транспортна галерея (Глобине)</t>
  </si>
  <si>
    <t>ЄВРОБОЛТ УКРАЇНА ТОВ
Рахунки_Глобине-2
Рахунок на оплату постачальника ІБ00-001724 від 07.05.2025 18:54:00</t>
  </si>
  <si>
    <t>Обл. НДС
Болт М16*60 DIN931
Надходження товарів і послуг ІБ00-002111 від 08.05.2025 11:00:01
Транспортна галерея (Глобине)</t>
  </si>
  <si>
    <t>Обл. НДС
Болт М16*70  DIN 931
Надходження товарів і послуг ІБ00-002111 від 08.05.2025 11:00:01
Транспортна галерея (Глобине)</t>
  </si>
  <si>
    <t>Обл. НДС
Болт М20*90  DIN 933 10,9 бп
Надходження товарів і послуг ІБ00-002111 від 08.05.2025 11:00:01
Транспортна галерея (Глобине)</t>
  </si>
  <si>
    <t>Обл. НДС
Гайка М12  DIN 934
Надходження товарів і послуг ІБ00-002111 від 08.05.2025 11:00:01
Транспортна галерея (Глобине)</t>
  </si>
  <si>
    <t>Обл. НДС
Гайка М16  DIN 934 
Надходження товарів і послуг ІБ00-002111 від 08.05.2025 11:00:01
Транспортна галерея (Глобине)</t>
  </si>
  <si>
    <t>Обл. НДС
Гайка М20  DIN 934
Надходження товарів і послуг ІБ00-002111 від 08.05.2025 11:00:01
Транспортна галерея (Глобине)</t>
  </si>
  <si>
    <t>Обл. НДС
Шайба М12  DIN125 плоска 14HV цб
Надходження товарів і послуг ІБ00-002111 від 08.05.2025 11:00:01
Транспортна галерея (Глобине)</t>
  </si>
  <si>
    <t>Обл. НДС
Шайба М16 DIN 125 плоска 140 HV цб
Надходження товарів і послуг ІБ00-002111 від 08.05.2025 11:00:01
Транспортна галерея (Глобине)</t>
  </si>
  <si>
    <t>Обл. НДС
Шайба М20 DIN 125 плоска 140 HV цб
Надходження товарів і послуг ІБ00-002111 від 08.05.2025 11:00:01
Транспортна галерея (Глобине)</t>
  </si>
  <si>
    <t>Надходження дод. витрат ІБ00-000307 від 08.05.2025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</si>
  <si>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ІБ00-000307 від 08.05.2025 11:05:00</t>
  </si>
  <si>
    <t>Надходження товарів і послуг ІБ00-002161 від 12.05.2025 11:00:00
Оприходованы ТМЦ</t>
  </si>
  <si>
    <t>Обл. НДС
Бетон С20/25 W6 F75 P4
Надходження товарів і послуг ІБ00-002161 від 12.05.2025 11:00:00
Транспортна галерея (Глобине)</t>
  </si>
  <si>
    <t>Кременчуцький річковий порт ПРАТ
Договір 112/Б від 15.10.2024_Глобине-2
Надходження товарів і послуг ІБ00-002161 від 12.05.2025 11:00:00</t>
  </si>
  <si>
    <t>Надходження дод. витрат ІБ00-000306 від 12.05.2025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</si>
  <si>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ІБ00-000306 від 12.05.2025 11:05:00</t>
  </si>
  <si>
    <t>Вимога-накладна ІБ00-000378 від 22.05.2025 16:50:20
Списаны ТМЦ</t>
  </si>
  <si>
    <t>Вимога-накладна ІБ00-000399 від 29.05.2025 15:41:23
Списаны ТМЦ</t>
  </si>
  <si>
    <t>Обл. НДС
Арматура 14 міра (12-3760  А500С/А400С)
Надходження товарів і послуг ІБ00-001657 від 01.04.2025 11:00:00
Транспортна галерея (Глобине)</t>
  </si>
  <si>
    <t>Обл. НДС
Анкерний блок БФБ-2
Надходження товарів і послуг ІБ00-001163 від 20.03.2025 23:15:39
Транспортна галерея (Глобине)</t>
  </si>
  <si>
    <t>Вимога-накладна ІБ00-000409 від 29.05.2025 21:00:00
Списаны ТМЦ</t>
  </si>
  <si>
    <t>Обл. НДС
Дріт 1,2 мм термооброблений
Надходження товарів і послуг ІБ00-001657 від 01.04.2025 11:00:00
Транспортна галерея (Глобине)</t>
  </si>
  <si>
    <t>Вимога-накладна ІБ00-000427 від 29.05.2025 21:20:00
Списаны ТМЦ</t>
  </si>
  <si>
    <t>Надходження товарів і послуг ІБ00-002002 від 01.05.2025 11:00:00
Оприходованы ТМЦ</t>
  </si>
  <si>
    <t>Обл. НДС
Болт М24*120 HV БП Varvit
Надходження товарів і послуг ІБ00-002002 від 01.05.2025 11:00:00
Цех екстракції (Глобине)</t>
  </si>
  <si>
    <t>Солді і Ко ПАТ
Дог № 378542-55/19 від 21.01.2019 р. РАХ_Глобине-2
Рахунок на оплату постачальника ІБ00-001625 від 07.04.2025 23:00:12</t>
  </si>
  <si>
    <t>Обл. НДС
Гайка М24 HV БП VARVIT
Надходження товарів і послуг ІБ00-002002 від 01.05.2025 11:00:00
Цех екстракції (Глобине)</t>
  </si>
  <si>
    <t>Обл. НДС
Шайба 24  ЕN14399/6 
Надходження товарів і послуг ІБ00-002002 від 01.05.2025 11:00:00
Цех екстракції (Глобине)</t>
  </si>
  <si>
    <t>Надходження товарів і послуг ІБ00-002004 від 01.05.2025 11:00:00
Оприходованы ТМЦ</t>
  </si>
  <si>
    <t>Обл. НДС
Болт М20*75 HV БП Varvit
Надходження товарів і послуг ІБ00-002004 від 01.05.2025 11:00:00
Цех екстракції (Глобине)</t>
  </si>
  <si>
    <t>Солді і Ко ПАТ
Дог № 378542-55/19 від 21.01.2019 р. РАХ_Глобине-2
Рахунок на оплату постачальника ІБ00-001626 від 25.04.2025 19:46:01</t>
  </si>
  <si>
    <t>Обл. НДС
Болт М20*80 HV БП Varvit
Надходження товарів і послуг ІБ00-002004 від 01.05.2025 11:00:00
Цех екстракції (Глобине)</t>
  </si>
  <si>
    <t>Обл. НДС
Болт М20*100  DIN 6914 
Надходження товарів і послуг ІБ00-002004 від 01.05.2025 11:00:00
Цех екстракції (Глобине)</t>
  </si>
  <si>
    <t>Обл. НДС
Болт М20*100  ЕN 14399/4
Надходження товарів і послуг ІБ00-002004 від 01.05.2025 11:00:00
Цех екстракції (Глобине)</t>
  </si>
  <si>
    <t>Обл. НДС
Болт М24*100  ЕN 14399/4
Надходження товарів і послуг ІБ00-002004 від 01.05.2025 11:00:00
Цех екстракції (Глобине)</t>
  </si>
  <si>
    <t>Обл. НДС
Болт М24*120 HV БП Varvit
Надходження товарів і послуг ІБ00-002004 від 01.05.2025 11:00:00
Цех екстракції (Глобине)</t>
  </si>
  <si>
    <t>Обл. НДС
Гайка М20  ЕN 14399/4Мо
Надходження товарів і послуг ІБ00-002004 від 01.05.2025 11:00:00
Цех екстракції (Глобине)</t>
  </si>
  <si>
    <t>Обл. НДС
Гайка М24  ЕN 14399/4Мо
Надходження товарів і послуг ІБ00-002004 від 01.05.2025 11:00:00
Цех екстракції (Глобине)</t>
  </si>
  <si>
    <t>Обл. НДС
Шайба 20  DIN6916
Надходження товарів і послуг ІБ00-002004 від 01.05.2025 11:00:00
Цех екстракції (Глобине)</t>
  </si>
  <si>
    <t>Обл. НДС
Шайба 24  ЕN14399/6 
Надходження товарів і послуг ІБ00-002004 від 01.05.2025 11:00:00
Цех екстракції (Глобине)</t>
  </si>
  <si>
    <t>Надходження товарів і послуг ІБ00-002005 від 01.05.2025 11:00:00
Оприходованы ТМЦ</t>
  </si>
  <si>
    <t>Обл. НДС
Болт М20*75 HV БП Varvit
Надходження товарів і послуг ІБ00-002005 від 01.05.2025 11:00:00
Цех екстракції (Глобине)</t>
  </si>
  <si>
    <t>Обл. НДС
Гайка М20  ЕN 14399/4Мо
Надходження товарів і послуг ІБ00-002005 від 01.05.2025 11:00:00
Цех екстракції (Глобине)</t>
  </si>
  <si>
    <t>Обл. НДС
Шайба М20 ЕN14399/6 гц 300HV
Надходження товарів і послуг ІБ00-002005 від 01.05.2025 11:00:00
Цех екстракції (Глобине)</t>
  </si>
  <si>
    <t>Надходження товарів і послуг ІБ00-002006 від 01.05.2025 11:00:00
Оприходованы ТМЦ</t>
  </si>
  <si>
    <t>Обл. НДС
Болт М20*75 HV БП Varvit
Надходження товарів і послуг ІБ00-002006 від 01.05.2025 11:00:00
Цех екстракції (Глобине)</t>
  </si>
  <si>
    <t>Обл. НДС
Болт М20*95  ЕN14399/4
Надходження товарів і послуг ІБ00-002006 від 01.05.2025 11:00:00
Цех екстракції (Глобине)</t>
  </si>
  <si>
    <t>Обл. НДС
Гайка М20  ЕN 14399/4Мо
Надходження товарів і послуг ІБ00-002006 від 01.05.2025 11:00:00
Цех екстракції (Глобине)</t>
  </si>
  <si>
    <t>Обл. НДС
Шайба М20 ЕN14399/6 гц 300HV
Надходження товарів і послуг ІБ00-002006 від 01.05.2025 11:00:00
Цех екстракції (Глобине)</t>
  </si>
  <si>
    <t>Надходження товарів і послуг ІБ00-002089 від 01.05.2025 11:00:00
Оприходованы ТМЦ (Зачет аванса поставщику)</t>
  </si>
  <si>
    <t>Обл. НДС
Металоконструкція марки Т-1 креслення 237-2021-ТК-Тр арк 03
Надходження товарів і послуг ІБ00-002089 від 01.05.2025 11:00:00
Цех екстракції (Глобине)</t>
  </si>
  <si>
    <t>ВЕНКО ТЕХНОЛОДЖІ ТОВ
Договір 039/0325 від 14.03.2025_Глобине 2
Рахунок на оплату постачальника ІБ00-000896 від 18.03.2025 09:00:00</t>
  </si>
  <si>
    <t>Обл. НДС
Металоконструкція марки Т-2 креслення 237-2021-ТК-Тр арк 01
Надходження товарів і послуг ІБ00-002089 від 01.05.2025 11:00:00
Цех екстракції (Глобине)</t>
  </si>
  <si>
    <t>Надходження товарів і послуг ІБ00-002089 від 01.05.2025 11:00:00
Оприходованы ТМЦ</t>
  </si>
  <si>
    <t>Обл. НДС
Металоконструкція марки Т-3 креслення 237-2021-ТК-Тр арк 02
Надходження товарів і послуг ІБ00-002089 від 01.05.2025 11:00:00
Цех екстракції (Глобине)</t>
  </si>
  <si>
    <t>Надходження товарів і послуг ІБ00-002124 від 07.05.2025 11:00:00
Оприходованы ТМЦ (Зачет аванса поставщику)</t>
  </si>
  <si>
    <t>Обл. НДС
Решітковий настил KOZ 34*38/30*3/оц/2200*1000
Надходження товарів і послуг ІБ00-002124 від 07.05.2025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</si>
  <si>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ІБ00-001298 від 11.04.2025 20:51:25</t>
  </si>
  <si>
    <t>Обл. НДС
Решітковий настил KOZ 34*38/30*3/оц/1150*1000
Надходження товарів і послуг ІБ00-002124 від 07.05.2025 11:00:00
Цех екстракції (Глобине)</t>
  </si>
  <si>
    <t>Обл. НДС
Решітковий настил KOZ 34*38/30*3/оц/1050*1000
Надходження товарів і послуг ІБ00-002124 від 07.05.2025 11:00:00
Цех екстракції (Глобине)</t>
  </si>
  <si>
    <t>Обл. НДС
Решітковий настил KOZ 34*38/30*3/оц/2200*1185
Надходження товарів і послуг ІБ00-002124 від 07.05.2025 11:00:00
Цех екстракції (Глобине)</t>
  </si>
  <si>
    <t>Обл. НДС
Решітковий настил KOZ 34*38/30*3/оц/2000*1000
Надходження товарів і послуг ІБ00-002124 від 07.05.2025 11:00:00
Цех екстракції (Глобине)</t>
  </si>
  <si>
    <t>Обл. НДС
Решітковий настил KOZ 34*38/40*3/оц/ 2000*1185
Надходження товарів і послуг ІБ00-002124 від 07.05.2025 11:00:00
Цех екстракції (Глобине)</t>
  </si>
  <si>
    <t>Обл. НДС
Решітковий настил KOZ 34*38/30*3/оц/1900*1000
Надходження товарів і послуг ІБ00-002124 від 07.05.2025 11:00:00
Цех екстракції (Глобине)</t>
  </si>
  <si>
    <t>Обл. НДС
Решітковий настил KOZ 34*38/30*3/оц/800*1179
Надходження товарів і послуг ІБ00-002124 від 07.05.2025 11:00:00
Цех екстракції (Глобине)</t>
  </si>
  <si>
    <t>Обл. НДС
Решітковий настил KOZ 34*38/30*3/оц/1900*821
Надходження товарів і послуг ІБ00-002124 від 07.05.2025 11:00:00
Цех екстракції (Глобине)</t>
  </si>
  <si>
    <t>Обл. НДС
Решітковий настил KOZ 34*38/30*3/оц/1900*1185
Надходження товарів і послуг ІБ00-002124 від 07.05.2025 11:00:00
Цех екстракції (Глобине)</t>
  </si>
  <si>
    <t>Обл. НДС
Решітковий настил KOZ 34*38/30*3/оц/2100*1000
Надходження товарів і послуг ІБ00-002124 від 07.05.2025 11:00:00
Цех екстракції (Глобине)</t>
  </si>
  <si>
    <t>Обл. НДС
Решітковий настил KOZ 34*38/30*3/оц/2100*1185
Надходження товарів і послуг ІБ00-002124 від 07.05.2025 11:00:00
Цех екстракції (Глобине)</t>
  </si>
  <si>
    <t>Обл. НДС
Решітковий настил KOZ 34*38/30*3/оц/ 1750*1000
Надходження товарів і послуг ІБ00-002124 від 07.05.2025 11:00:00
Цех екстракції (Глобине)</t>
  </si>
  <si>
    <t>Обл. НДС
Решітковий настил KOZ 34*38/30*3/оц/ 799*1000
Надходження товарів і послуг ІБ00-002124 від 07.05.2025 11:00:00
Цех екстракції (Глобине)</t>
  </si>
  <si>
    <t>Обл. НДС
Решітковий настил KOZ 34*38/30*3/оц/950*1329
Надходження товарів і послуг ІБ00-002124 від 07.05.2025 11:00:00
Цех екстракції (Глобине)</t>
  </si>
  <si>
    <t>Обл. НДС
Решітковий настил KOZ 34*38/30*3/оц/ 1750*1185
Надходження товарів і послуг ІБ00-002124 від 07.05.2025 11:00:00
Цех екстракції (Глобине)</t>
  </si>
  <si>
    <t>Обл. НДС
Решітковий настил KOZ 34*38/40*3/оц/2350*1000
Надходження товарів і послуг ІБ00-002124 від 07.05.2025 11:00:00
Цех екстракції (Глобине)</t>
  </si>
  <si>
    <t>Обл. НДС
Решітковий настил KOZ 34*38/30*3/оц/950*1320
Надходження товарів і послуг ІБ00-002124 від 07.05.2025 11:00:00
Цех екстракції (Глобине)</t>
  </si>
  <si>
    <t>Обл. НДС
Решітковий настил KOZ 34*38/30*3/оц/1400*1000
Надходження товарів і послуг ІБ00-002124 від 07.05.2025 11:00:00
Цех екстракції (Глобине)</t>
  </si>
  <si>
    <t>Обл. НДС
Решітковий настил KOZ 34*38/30*3/оц/1650*1300
Надходження товарів і послуг ІБ00-002124 від 07.05.2025 11:00:00
Цех екстракції (Глобине)</t>
  </si>
  <si>
    <t>Надходження товарів і послуг ІБ00-002124 від 07.05.2025 11:00:00
Оприходованы ТМЦ</t>
  </si>
  <si>
    <t>Обл. НДС
Решітковий настил KOZ 34*38/40*3/оц/2350*1185
Надходження товарів і послуг ІБ00-002124 від 07.05.2025 11:00:00
Цех екстракції (Глобине)</t>
  </si>
  <si>
    <t>Обл. НДС
Решітковий настил KOZ/34x38/30x3 оц. /945X1000
Надходження товарів і послуг ІБ00-002124 від 07.05.2025 11:00:00
Цех екстракції (Глобине)</t>
  </si>
  <si>
    <t>Обл. НДС
Решітковий настил KOZ 34*38/30*3/оц/ 2000*1185
Надходження товарів і послуг ІБ00-002124 від 07.05.2025 11:00:00
Цех екстракції (Глобине)</t>
  </si>
  <si>
    <t>Обл. НДС
Решітковий настил KOZ 34*38/30*3/оц/1000*1000
Надходження товарів і послуг ІБ00-002124 від 07.05.2025 11:00:00
Цех екстракції (Глобине)</t>
  </si>
  <si>
    <t>Обл. НДС
Решітковий настил KOZ 34*38/30*3/оц/1001*1000
Надходження товарів і послуг ІБ00-002124 від 07.05.2025 11:00:00
Цех екстракції (Глобине)</t>
  </si>
  <si>
    <t>Обл. НДС
Решітковий настил KOZ 34*38/30*3/оц/1100*1330
Надходження товарів і послуг ІБ00-002124 від 07.05.2025 11:00:00
Цех екстракції (Глобине)</t>
  </si>
  <si>
    <t>Обл. НДС
Решітковий настил KOZ 34*38/30*3/оц/1100*1185
Надходження товарів і послуг ІБ00-002124 від 07.05.2025 11:00:00
Цех екстракції (Глобине)</t>
  </si>
  <si>
    <t>Обл. НДС
Решітковий настил KOZ 34*38/30*3/оц/ 900*1000
Надходження товарів і послуг ІБ00-002124 від 07.05.2025 11:00:00
Цех екстракції (Глобине)</t>
  </si>
  <si>
    <t>Обл. НДС
Решітковий настил KOZ 34*38/30*3/оц/1100*820
Надходження товарів і послуг ІБ00-002124 від 07.05.2025 11:00:00
Цех екстракції (Глобине)</t>
  </si>
  <si>
    <t>Обл. НДС
Решітковий настил KOZ 34*38/30*3/оц/1100*1180
Надходження товарів і послуг ІБ00-002124 від 07.05.2025 11:00:00
Цех екстракції (Глобине)</t>
  </si>
  <si>
    <t>Обл. НДС
Решітковий настил KOZ 34*38/30*3/оц/1100*1179
Надходження товарів і послуг ІБ00-002124 від 07.05.2025 11:00:00
Цех екстракції (Глобине)</t>
  </si>
  <si>
    <t>Обл. НДС
Решітковий настил KOZ 34*38/30*3/оц/950*671
Надходження товарів і послуг ІБ00-002124 від 07.05.2025 11:00:00
Цех екстракції (Глобине)</t>
  </si>
  <si>
    <t>Обл. НДС
Решітковий настил KOZ 34*38/30*3/оц/1700*550
Надходження товарів і послуг ІБ00-002124 від 07.05.2025 11:00:00
Цех екстракції (Глобине)</t>
  </si>
  <si>
    <t>Обл. НДС
Решітковий настил KOZ 34*38/30*3/оц/1700*1000
Надходження товарів і послуг ІБ00-002124 від 07.05.2025 11:00:00
Цех екстракції (Глобине)</t>
  </si>
  <si>
    <t>Обл. НДС
Решітковий настил KOZ 34*38/30*3/оц/1700*1185
Надходження товарів і послуг ІБ00-002124 від 07.05.2025 11:00:00
Цех екстракції (Глобине)</t>
  </si>
  <si>
    <t>Обл. НДС
Решітковий настил KOZ 34*38/30*3/оц/3500*1000
Надходження товарів і послуг ІБ00-002124 від 07.05.2025 11:00:00
Цех екстракції (Глобине)</t>
  </si>
  <si>
    <t>Обл. НДС
Решітковий настил KOZ 34*38/30*3/оц/1668*1000
Надходження товарів і послуг ІБ00-002124 від 07.05.2025 11:00:00
Цех екстракції (Глобине)</t>
  </si>
  <si>
    <t>Обл. НДС
Решітковий настил KOZ 34*38/30*3/оц/1164*1000
Надходження товарів і послуг ІБ00-002124 від 07.05.2025 11:00:00
Цех екстракції (Глобине)</t>
  </si>
  <si>
    <t>Обл. НДС
Решітковий настил KOZ/34x38/30x3 оц. /1588X1000
Надходження товарів і послуг ІБ00-002124 від 07.05.2025 11:00:00
Цех екстракції (Глобине)</t>
  </si>
  <si>
    <t>Обл. НДС
Решітковий настил KOZ 34*38/30*3/оц/1549*1000
Надходження товарів і послуг ІБ00-002124 від 07.05.2025 11:00:00
Цех екстракції (Глобине)</t>
  </si>
  <si>
    <t>Обл. НДС
Решітковий настил KOZ 34*38/30*3/оц/1541*1185
Надходження товарів і послуг ІБ00-002124 від 07.05.2025 11:00:00
Цех екстракції (Глобине)</t>
  </si>
  <si>
    <t>Обл. НДС
Решітковий настил KOZ 34*38/30*3/оц/1608*752
Надходження товарів і послуг ІБ00-002124 від 07.05.2025 11:00:00
Цех екстракції (Глобине)</t>
  </si>
  <si>
    <t>Обл. НДС
Решітковий настил KOZ 34*38/30*3/оц/2498*1248
Надходження товарів і послуг ІБ00-002124 від 07.05.2025 11:00:00
Цех екстракції (Глобине)</t>
  </si>
  <si>
    <t>Обл. НДС
Решітковий настил KOZ 34*38/30*3/оц/1185*1248
Надходження товарів і послуг ІБ00-002124 від 07.05.2025 11:00:00
Цех екстракції (Глобине)</t>
  </si>
  <si>
    <t>Обл. НДС
Решітковий настил KOZ 34*38/30*3/оц/1349*1000
Надходження товарів і послуг ІБ00-002124 від 07.05.2025 11:00:00
Цех екстракції (Глобине)</t>
  </si>
  <si>
    <t>Обл. НДС
Решітковий настил KOZ 34*38/30*3/оц/1853*1000
Надходження товарів і послуг ІБ00-002124 від 07.05.2025 11:00:00
Цех екстракції (Глобине)</t>
  </si>
  <si>
    <t>Обл. НДС
Решітковий настил KOZ 34*38/30*3/оц/3685*950
Надходження товарів і послуг ІБ00-002124 від 07.05.2025 11:00:00
Цех екстракції (Глобине)</t>
  </si>
  <si>
    <t>Обл. НДС
Решітковий настил KOZ 34*38/30*3/оц/2239*1000
Надходження товарів і послуг ІБ00-002124 від 07.05.2025 11:00:00
Цех екстракції (Глобине)</t>
  </si>
  <si>
    <t>Обл. НДС
Решітковий настил KOZ 34*38/30*3/оц/2238*1000
Надходження товарів і послуг ІБ00-002124 від 07.05.2025 11:00:00
Цех екстракції (Глобине)</t>
  </si>
  <si>
    <t>Обл. НДС
Решітковий настил KOZ 34*38/30*3/оц/2231*1165
Надходження товарів і послуг ІБ00-002124 від 07.05.2025 11:00:00
Цех екстракції (Глобине)</t>
  </si>
  <si>
    <t>Обл. НДС
Решітковий настил KOZ 34*38/30*3/оц/970*1000
Надходження товарів і послуг ІБ00-002124 від 07.05.2025 11:00:00
Цех екстракції (Глобине)</t>
  </si>
  <si>
    <t>Обл. НДС
Решітковий настил KOZ 34*38/30*3/оц/1030*1000
Надходження товарів і послуг ІБ00-002124 від 07.05.2025 11:00:00
Цех екстракції (Глобине)</t>
  </si>
  <si>
    <t>Обл. НДС
Решітковий настил KOZ 34*38/30*3/оц/ 2000*1165
Надходження товарів і послуг ІБ00-002124 від 07.05.2025 11:00:00
Цех екстракції (Глобине)</t>
  </si>
  <si>
    <t>Обл. НДС
Решітковий настил KOZ 34*38/30*3/оц/950*1000
Надходження товарів і послуг ІБ00-002124 від 07.05.2025 11:00:00
Цех екстракції (Глобине)</t>
  </si>
  <si>
    <t>Обл. НДС
Решітковий настил KOZ 34*38/30*3/оц/850*1000
Надходження товарів і послуг ІБ00-002124 від 07.05.2025 11:00:00
Цех екстракції (Глобине)</t>
  </si>
  <si>
    <t>Обл. НДС
Решітковий настил KOZ 34*38/30*3/оц/1850*1000
Надходження товарів і послуг ІБ00-002124 від 07.05.2025 11:00:00
Цех екстракції (Глобине)</t>
  </si>
  <si>
    <t>Обл. НДС
Решітковий настил KOZ 34*38/30*3/оц/850*465
Надходження товарів і послуг ІБ00-002124 від 07.05.2025 11:00:00
Цех екстракції (Глобине)</t>
  </si>
  <si>
    <t>Обл. НДС
Решітковий настил KOZ 34*38/30*3/оц/850*535
Надходження товарів і послуг ІБ00-002124 від 07.05.2025 11:00:00
Цех екстракції (Глобине)</t>
  </si>
  <si>
    <t>Обл. НДС
Решітковий настил KOZ 34*38/30*3/оц/2650*1000
Надходження товарів і послуг ІБ00-002124 від 07.05.2025 11:00:00
Цех екстракції (Глобине)</t>
  </si>
  <si>
    <t>Обл. НДС
Решітковий настил KOZ 34*38/30*3/оц/1300*1000
Надходження товарів і послуг ІБ00-002124 від 07.05.2025 11:00:00
Цех екстракції (Глобине)</t>
  </si>
  <si>
    <t>Обл. НДС
Решітковий настил KOZ 34*38/30*3/оц/ 1350*1000
Надходження товарів і послуг ІБ00-002124 від 07.05.2025 11:00:00
Цех екстракції (Глобине)</t>
  </si>
  <si>
    <t>Обл. НДС
Решітковий настил KOZ 34*38/30*3/оц/1100*1000
Надходження товарів і послуг ІБ00-002124 від 07.05.2025 11:00:00
Цех екстракції (Глобине)</t>
  </si>
  <si>
    <t>Обл. НДС
Решітковий настил KOZ 34*38/30*3/оц/1250*1000
Надходження товарів і послуг ІБ00-002124 від 07.05.2025 11:00:00
Цех екстракції (Глобине)</t>
  </si>
  <si>
    <t>Обл. НДС
Решітковий настил KOZ 34*38/30*3/оц/1506*1000
Надходження товарів і послуг ІБ00-002124 від 07.05.2025 11:00:00
Цех екстракції (Глобине)</t>
  </si>
  <si>
    <t>Обл. НДС
Решітковий настил KOZ 34*38/30*3/оц/2650*805
Надходження товарів і послуг ІБ00-002124 від 07.05.2025 11:00:00
Цех екстракції (Глобине)</t>
  </si>
  <si>
    <t>Обл. НДС
Решітковий настил KOZ 34*38/30*3/оц/1744*805
Надходження товарів і послуг ІБ00-002124 від 07.05.2025 11:00:00
Цех екстракції (Глобине)</t>
  </si>
  <si>
    <t>Обл. НДС
Решітковий настил KOZ 34*38/30*3/оц/1150*1195
Надходження товарів і послуг ІБ00-002124 від 07.05.2025 11:00:00
Цех екстракції (Глобине)</t>
  </si>
  <si>
    <t>Обл. НДС
Решітковий настил KOZ 34*38/30*3/оц/2450*1195
Надходження товарів і послуг ІБ00-002124 від 07.05.2025 11:00:00
Цех екстракції (Глобине)</t>
  </si>
  <si>
    <t>Обл. НДС
Решітковий настил KOZ 34*38/30*3/оц/794*1195
Надходження товарів і послуг ІБ00-002124 від 07.05.2025 11:00:00
Цех екстракції (Глобине)</t>
  </si>
  <si>
    <t>Обл. НДС
Решітковий настил KOZ 34*38/30*3/оц/794*1000
Надходження товарів і послуг ІБ00-002124 від 07.05.2025 11:00:00
Цех екстракції (Глобине)</t>
  </si>
  <si>
    <t>Обл. НДС
Решітковий настил KOZ 34*38/30*3/оц/2350*1000
Надходження товарів і послуг ІБ00-002124 від 07.05.2025 11:00:00
Цех екстракції (Глобине)</t>
  </si>
  <si>
    <t>Обл. НДС
Решітковий настил KOZ 34*38/30*3/оц/2606*1000
Надходження товарів і послуг ІБ00-002124 від 07.05.2025 11:00:00
Цех екстракції (Глобине)</t>
  </si>
  <si>
    <t>Обл. НДС
Решітковий настил KOZ 34*38/30*3/оц/1500*1000
Надходження товарів і послуг ІБ00-002124 від 07.05.2025 11:00:00
Цех екстракції (Глобине)</t>
  </si>
  <si>
    <t>Обл. НДС
Решітковий настил KOZ 34*38/30*3/оц/800*1000
Надходження товарів і послуг ІБ00-002124 від 07.05.2025 11:00:00
Цех екстракції (Глобине)</t>
  </si>
  <si>
    <t>Обл. НДС
Решітковий настил KOZ 34*38/30*3/оц/1200*1000
Надходження товарів і послуг ІБ00-002124 від 07.05.2025 11:00:00
Цех екстракції (Глобине)</t>
  </si>
  <si>
    <t>Обл. НДС
Решітковий настил KOZ 34*38/30*3/оц/2130*1000
Надходження товарів і послуг ІБ00-002124 від 07.05.2025 11:00:00
Цех екстракції (Глобине)</t>
  </si>
  <si>
    <t>Обл. НДС
Решітковий настил KOZ 34*38/30*3/оц/1744*1000
Надходження товарів і послуг ІБ00-002124 від 07.05.2025 11:00:00
Цех екстракції (Глобине)</t>
  </si>
  <si>
    <t>Обл. НДС
Решітковий настил KOZ 34*38/30*3/оц/1450*1000
Надходження товарів і послуг ІБ00-002124 від 07.05.2025 11:00:00
Цех екстракції (Глобине)</t>
  </si>
  <si>
    <t>Обл. НДС
Решітковий настил KOZ 34*38/30*3/оц/1120*1000
Надходження товарів і послуг ІБ00-002124 від 07.05.2025 11:00:00
Цех екстракції (Глобине)</t>
  </si>
  <si>
    <t>Обл. НДС
Решітковий настил KOZ 34*38/30*3/оц/980*1000
Надходження товарів і послуг ІБ00-002124 від 07.05.2025 11:00:00
Цех екстракції (Глобине)</t>
  </si>
  <si>
    <t>Обл. НДС
Решітковий настил KOZ 34*38/30*3/оц/ 900*1165
Надходження товарів і послуг ІБ00-002124 від 07.05.2025 11:00:00
Цех екстракції (Глобине)</t>
  </si>
  <si>
    <t>Обл. НДС
Решітковий настил KOZ 34*38/30*3/оц/659*1000
Надходження товарів і послуг ІБ00-002124 від 07.05.2025 11:00:00
Цех екстракції (Глобине)</t>
  </si>
  <si>
    <t>Обл. НДС
Решітковий настил KOZ 34*38/30*3/оц/659*1165
Надходження товарів і послуг ІБ00-002124 від 07.05.2025 11:00:00
Цех екстракції (Глобине)</t>
  </si>
  <si>
    <t>Обл. НДС
Решітковий настил KOZ 34*38/30*3/оц/837*1000
Надходження товарів і послуг ІБ00-002124 від 07.05.2025 11:00:00
Цех екстракції (Глобине)</t>
  </si>
  <si>
    <t>Обл. НДС
Решітковий настил KOZ 34*38/30*3/оц/487*1000
Надходження товарів і послуг ІБ00-002124 від 07.05.2025 11:00:00
Цех екстракції (Глобине)</t>
  </si>
  <si>
    <t>Обл. НДС
Решітковий настил KOZ 34*38/30*3/оц/718*1000
Надходження товарів і послуг ІБ00-002124 від 07.05.2025 11:00:00
Цех екстракції (Глобине)</t>
  </si>
  <si>
    <t>Обл. НДС
Решітковий настил KOZ 34*38/30*3/оц/742*1000
Надходження товарів і послуг ІБ00-002124 від 07.05.2025 11:00:00
Цех екстракції (Глобине)</t>
  </si>
  <si>
    <t>Обл. НДС
Решітковий настил KOZ 34*38/30*3/оц/ 1045*1000
Надходження товарів і послуг ІБ00-002124 від 07.05.2025 11:00:00
Цех екстракції (Глобине)</t>
  </si>
  <si>
    <t>Обл. НДС
Решітковий настил KOZ 34*38/30*3/оц/ 898*1000
Надходження товарів і послуг ІБ00-002124 від 07.05.2025 11:00:00
Цех екстракції (Глобине)</t>
  </si>
  <si>
    <t>Обл. НДС
Решітковий настил KOZ/34x38/30x3 оц. /  2600X1000
Надходження товарів і послуг ІБ00-002124 від 07.05.2025 11:00:00
Цех екстракції (Глобине)</t>
  </si>
  <si>
    <t>Обл. НДС
Решітковий настил KOZ 34*38/30*3/оц/ 2500*1000
Надходження товарів і послуг ІБ00-002124 від 07.05.2025 11:00:00
Цех екстракції (Глобине)</t>
  </si>
  <si>
    <t>Обл. НДС
Решітковий настил KOZ 34*38/30*3/оц/2570*1000
Надходження товарів і послуг ІБ00-002124 від 07.05.2025 11:00:00
Цех екстракції (Глобине)</t>
  </si>
  <si>
    <t>Обл. НДС
Решітковий настил KOZ 34*38/30*3/оц/2585*1353
Надходження товарів і послуг ІБ00-002124 від 07.05.2025 11:00:00
Цех екстракції (Глобине)</t>
  </si>
  <si>
    <t>Обл. НДС
Решітковий настил KOZ 34*38/30*3/оц/1559*1000
Надходження товарів і послуг ІБ00-002124 від 07.05.2025 11:00:00
Цех екстракції (Глобине)</t>
  </si>
  <si>
    <t>Обл. НДС
Решітковий настил KOZ/34x38/30x3 оц. /  2550X861
Надходження товарів і послуг ІБ00-002124 від 07.05.2025 11:00:00
Цех екстракції (Глобине)</t>
  </si>
  <si>
    <t>Обл. НДС
Решітковий настил KOZ/34x38/30x3 оц. /  2550X879
Надходження товарів і послуг ІБ00-002124 від 07.05.2025 11:00:00
Цех екстракції (Глобине)</t>
  </si>
  <si>
    <t>Обл. НДС
Решітковий настил KOZ 34*38/40*3/оц/1460*1000
Надходження товарів і послуг ІБ00-002124 від 07.05.2025 11:00:00
Цех екстракції (Глобине)</t>
  </si>
  <si>
    <t>Обл. НДС
Решітковий настил KOZ 34*38/40*3/оц/1460*1165
Надходження товарів і послуг ІБ00-002124 від 07.05.2025 11:00:00
Цех екстракції (Глобине)</t>
  </si>
  <si>
    <t>Обл. НДС
Решітковий настил KOZ 34*38/30*3/оц/ 1045*1165
Надходження товарів і послуг ІБ00-002124 від 07.05.2025 11:00:00
Цех екстракції (Глобине)</t>
  </si>
  <si>
    <t>Обл. НДС
Решітковий настил KOZ 34*38/30*3/оц/ 1585*1000
Надходження товарів і послуг ІБ00-002124 від 07.05.2025 11:00:00
Цех екстракції (Глобине)</t>
  </si>
  <si>
    <t>Обл. НДС
Решітковий настил KOZ 34*38/30*3/оц/ 1585*1020
Надходження товарів і послуг ІБ00-002124 від 07.05.2025 11:00:00
Цех екстракції (Глобине)</t>
  </si>
  <si>
    <t>Обл. НДС
Решітковий настил SP/34*38/30*3/ос/1800*1000
Надходження товарів і послуг ІБ00-002124 від 07.05.2025 11:00:00
Цех екстракції (Глобине)</t>
  </si>
  <si>
    <t>Обл. НДС
Решітковий настил SP/34*38/30*3/ос/1800*1020
Надходження товарів і послуг ІБ00-002124 від 07.05.2025 11:00:00
Цех екстракції (Глобине)</t>
  </si>
  <si>
    <t>Обл. НДС
Решітковий настил KOZ 34*38/30*3/оц/1600*1000
Надходження товарів і послуг ІБ00-002124 від 07.05.2025 11:00:00
Цех екстракції (Глобине)</t>
  </si>
  <si>
    <t>Обл. НДС
Решітковий настил KOZ 34*38/30*3/оц/1600*915
Надходження товарів і послуг ІБ00-002124 від 07.05.2025 11:00:00
Цех екстракції (Глобине)</t>
  </si>
  <si>
    <t>Обл. НДС
Решітковий настил KOZ 34*38/30*3/оц/1600*1085
Надходження товарів і послуг ІБ00-002124 від 07.05.2025 11:00:00
Цех екстракції (Глобине)</t>
  </si>
  <si>
    <t>Обл. НДС
Решітковий настил KOZ 34*38/30*3/оц/1600*1020
Надходження товарів і послуг ІБ00-002124 від 07.05.2025 11:00:00
Цех екстракції (Глобине)</t>
  </si>
  <si>
    <t>Обл. НДС
Решітковий настил KOZ/34x38/30x3 оц. /  2015X1000
Надходження товарів і послуг ІБ00-002124 від 07.05.2025 11:00:00
Цех екстракції (Глобине)</t>
  </si>
  <si>
    <t>Обл. НДС
Решітковий настил KOZ/34x38/30x3 оц. /  2015X1020
Надходження товарів і послуг ІБ00-002124 від 07.05.2025 11:00:00
Цех екстракції (Глобине)</t>
  </si>
  <si>
    <t>Обл. НДС
Решітковий настил KOZ/34x38/30x3 оц. /  1985X1000
Надходження товарів і послуг ІБ00-002124 від 07.05.2025 11:00:00
Цех екстракції (Глобине)</t>
  </si>
  <si>
    <t>Обл. НДС
Решітковий настил KOZ/34x38/30x3 оц. /  1985X1020
Надходження товарів і послуг ІБ00-002124 від 07.05.2025 11:00:00
Цех екстракції (Глобине)</t>
  </si>
  <si>
    <t>Обл. НДС
Решітковий настил KOZ 34*38/30*3/оц/2000*1020
Надходження товарів і послуг ІБ00-002124 від 07.05.2025 11:00:00
Цех екстракції (Глобине)</t>
  </si>
  <si>
    <t>Обл. НДС
Решітковий настил KOZ 34*38/30*3/оц/2114*1000
Надходження товарів і послуг ІБ00-002124 від 07.05.2025 11:00:00
Цех екстракції (Глобине)</t>
  </si>
  <si>
    <t>Обл. НДС
Решітковий настил KOZ 34*38/30*3/оц/2114*792
Надходження товарів і послуг ІБ00-002124 від 07.05.2025 11:00:00
Цех екстракції (Глобине)</t>
  </si>
  <si>
    <t>Обл. НДС
Решітковий настил KOZ 34*38/30*3/оц/2201*895
Надходження товарів і послуг ІБ00-002124 від 07.05.2025 11:00:00
Цех екстракції (Глобине)</t>
  </si>
  <si>
    <t>Обл. НДС
Решітковий настил KOZ 34*38/30*3/оц/2201*897
Надходження товарів і послуг ІБ00-002124 від 07.05.2025 11:00:00
Цех екстракції (Глобине)</t>
  </si>
  <si>
    <t>Обл. НДС
Решітковий настил KOZ 34*38/30*3/оц/1789*895
Надходження товарів і послуг ІБ00-002124 від 07.05.2025 11:00:00
Цех екстракції (Глобине)</t>
  </si>
  <si>
    <t>Обл. НДС
Решітковий настил KOZ 34*38/30*3/оц/1789*897
Надходження товарів і послуг ІБ00-002124 від 07.05.2025 11:00:00
Цех екстракції (Глобине)</t>
  </si>
  <si>
    <t>Обл. НДС
Решітковий настил KOZ 34*38/30*3/оц/1061*1000
Надходження товарів і послуг ІБ00-002124 від 07.05.2025 11:00:00
Цех екстракції (Глобине)</t>
  </si>
  <si>
    <t>Обл. НДС
Решітковий настил KOZ 34*38/30*3/оц/1061*792
Надходження товарів і послуг ІБ00-002124 від 07.05.2025 11:00:00
Цех екстракції (Глобине)</t>
  </si>
  <si>
    <t>Обл. НДС
Решітковий настил KOZ 34*38/30*3/оц/2512*1000
Надходження товарів і послуг ІБ00-002124 від 07.05.2025 11:00:00
Цех екстракції (Глобине)</t>
  </si>
  <si>
    <t>Обл. НДС
Решітковий настил KOZ 34*38/30*3/оц/2544*1000
Надходження товарів і послуг ІБ00-002124 від 07.05.2025 11:00:00
Цех екстракції (Глобине)</t>
  </si>
  <si>
    <t>Обл. НДС
Решітковий настил KOZ 34*38/30*3/оц/2511*1165
Надходження товарів і послуг ІБ00-002124 від 07.05.2025 11:00:00
Цех екстракції (Глобине)</t>
  </si>
  <si>
    <t>Обл. НДС
Решітковий настил KOZ 34*38/30*3/оц/1100*670
Надходження товарів і послуг ІБ00-002124 від 07.05.2025 11:00:00
Цех екстракції (Глобине)</t>
  </si>
  <si>
    <t>Обл. НДС
Решітковий настил KOZ 34*38/40*3/оц/ 2050*1353
Надходження товарів і послуг ІБ00-002124 від 07.05.2025 11:00:00
Цех екстракції (Глобине)</t>
  </si>
  <si>
    <t>Обл. НДС
Решітковий настил KOZ 34*38/40*3/оц/ 935*1000
Надходження товарів і послуг ІБ00-002124 від 07.05.2025 11:00:00
Цех екстракції (Глобине)</t>
  </si>
  <si>
    <t>Обл. НДС
Решітковий настил KOZ 34*38/40*3/оц/ 935*1165
Надходження товарів і послуг ІБ00-002124 від 07.05.2025 11:00:00
Цех екстракції (Глобине)</t>
  </si>
  <si>
    <t>Обл. НДС
Решітковий настил KOZ/34x38/30x3 оц. /  2015X963
Надходження товарів і послуг ІБ00-002124 від 07.05.2025 11:00:00
Цех екстракції (Глобине)</t>
  </si>
  <si>
    <t>Обл. НДС
Решітковий настил KOZ 34*38/40*3/оц/ 835*963
Надходження товарів і послуг ІБ00-002124 від 07.05.2025 11:00:00
Цех екстракції (Глобине)</t>
  </si>
  <si>
    <t>Обл. НДС
Решітковий настил KOZ 34*38/40*3/оц/ 835*1000
Надходження товарів і послуг ІБ00-002124 від 07.05.2025 11:00:00
Цех екстракції (Глобине)</t>
  </si>
  <si>
    <t>Обл. НДС
Решітковий настил KOZ 34*38/40*3/оц/2300*963
Надходження товарів і послуг ІБ00-002124 від 07.05.2025 11:00:00
Цех екстракції (Глобине)</t>
  </si>
  <si>
    <t>Обл. НДС
Решітковий настил KOZ 34*38/30*3/оц/2300*1000
Надходження товарів і послуг ІБ00-002124 від 07.05.2025 11:00:00
Цех екстракції (Глобине)</t>
  </si>
  <si>
    <t>Обл. НДС
Решітковий настил KOZ 34*38/30*3/оц/1637*1000
Надходження товарів і послуг ІБ00-002124 від 07.05.2025 11:00:00
Цех екстракції (Глобине)</t>
  </si>
  <si>
    <t>Обл. НДС
Решітковий настил KOZ 34*38/30*3/оц/1877*1000
Надходження товарів і послуг ІБ00-002124 від 07.05.2025 11:00:00
Цех екстракції (Глобине)</t>
  </si>
  <si>
    <t>Обл. НДС
Решітковий настил KOZ 34*38/30*3/оц/1877*740
Надходження товарів і послуг ІБ00-002124 від 07.05.2025 11:00:00
Цех екстракції (Глобине)</t>
  </si>
  <si>
    <t>Обл. НДС
Решітковий настил KOZ 34*38/30*3/оц/1631*1165
Надходження товарів і послуг ІБ00-002124 від 07.05.2025 11:00:00
Цех екстракції (Глобине)</t>
  </si>
  <si>
    <t>Обл. НДС
Решітковий настил KOZ 34*38/30*3/оц/1517*1000
Надходження товарів і послуг ІБ00-002124 від 07.05.2025 11:00:00
Цех екстракції (Глобине)</t>
  </si>
  <si>
    <t>Обл. НДС
Решітковий настил KOZ 34*38/30*3/оц/2738*861
Надходження товарів і послуг ІБ00-002124 від 07.05.2025 11:00:00
Цех екстракції (Глобине)</t>
  </si>
  <si>
    <t>Обл. НДС
Решітковий настил KOZ 34*38/30*3/оц/2738*879
Надходження товарів і послуг ІБ00-002124 від 07.05.2025 11:00:00
Цех екстракції (Глобине)</t>
  </si>
  <si>
    <t>Обл. НДС
Решітковий настил KOZ 34*38/30*3/оц/1517*1165
Надходження товарів і послуг ІБ00-002124 від 07.05.2025 11:00:00
Цех екстракції (Глобине)</t>
  </si>
  <si>
    <t>Обл. НДС
Кріплення стандартні
Надходження товарів і послуг ІБ00-002124 від 07.05.2025 11:00:00
Цех екстракції (Глобине)</t>
  </si>
  <si>
    <t>Обл. НДС
Кріплення гакове до швелера 20
Надходження товарів і послуг ІБ00-002124 від 07.05.2025 11:00:00
Цех екстракції (Глобине)</t>
  </si>
  <si>
    <t>Надходження товарів і послуг ІБ00-002645 від 19.05.2025 11:00:00
Оприходованы ТМЦ</t>
  </si>
  <si>
    <t>Обл. НДС
Болт М20*140  DIN 931
Надходження товарів і послуг ІБ00-002645 від 19.05.2025 11:00:00
Цех екстракції (Глобине)</t>
  </si>
  <si>
    <t>ЄВРОБОЛТ УКРАЇНА ТОВ
Рахунки_Глобине-2
Рахунок на оплату постачальника ІБ00-002216 від 19.05.2025 23:00:17</t>
  </si>
  <si>
    <t>Обл. НДС
Гайка М20  DIN 934 цб
Надходження товарів і послуг ІБ00-002645 від 19.05.2025 11:00:00
Цех екстракції (Глобине)</t>
  </si>
  <si>
    <t>Обл. НДС
Шайба М20 DIN 125 плоска 140 HV цб
Надходження товарів і послуг ІБ00-002645 від 19.05.2025 11:00:00
Цех екстракції (Глобине)</t>
  </si>
  <si>
    <t>Надходження товарів і послуг ІБ00-002804 від 21.05.2025 11:00:00
Оприходованы ТМЦ (Зачет аванса поставщику)</t>
  </si>
  <si>
    <t>Обл. НДС
Брус обрізний 200*200мм  6м
Надходження товарів і послуг ІБ00-002804 від 21.05.2025 11:00:00
Цех екстракції (Глобине)</t>
  </si>
  <si>
    <t>БРИГ ПП
Рахунки_Глобино-2
Рахунок на оплату постачальника ІБ00-001914 від 19.05.2025 17:47:38</t>
  </si>
  <si>
    <t>Надходження товарів і послуг ІБ00-002804 від 21.05.2025 11:00:00
Оприходованы ТМЦ</t>
  </si>
  <si>
    <t>Обл. НДС
Брус обрізний 100*200мм  5м
Надходження товарів і послуг ІБ00-002804 від 21.05.2025 11:00:00
Цех екстракції (Глобине)</t>
  </si>
  <si>
    <t>Вимога-накладна ІБ00-000371 від 22.05.2025 13:05:18
Списаны ТМЦ</t>
  </si>
  <si>
    <t>Списання товарів ІБ00-000259 від 22.05.2025 14:53:35
Списаны ТМЦ</t>
  </si>
  <si>
    <t>Обл. НДС
Плівка п/е рукав 1500*200 мкм
Надходження товарів і послуг ІБ00-001045 від 12.03.2025 18:45:21
Цех екстракції (Глобине)</t>
  </si>
  <si>
    <t>Вимога-накладна ІБ00-000395 від 29.05.2025 13:17:43
Списаны ТМЦ</t>
  </si>
  <si>
    <t>Обл. НДС
Болт М24*120 HV БП Varvit
Надходження товарів і послуг ІБ00-001623 від 09.04.2025 11:00:00
Цех екстракції (Глобине)</t>
  </si>
  <si>
    <t>Обл. НДС
Болт М24*120 HV БП Fram
Надходження товарів і послуг ІБ00-001623 від 09.04.2025 11:00:00
Цех екстракції (Глобине)</t>
  </si>
  <si>
    <t>Обл. НДС
Болт М24*120 HV гц Peiner
Надходження товарів і послуг ІБ00-001623 від 09.04.2025 11:00:00
Цех екстракції (Глобине)</t>
  </si>
  <si>
    <t>Обл. НДС
Болт М 24*95 EN14399/4
Надходження товарів і послуг ІБ00-001623 від 09.04.2025 11:00:00
Цех екстракції (Глобине)</t>
  </si>
  <si>
    <t>Обл. НДС
Гайка М24 HV БП VARVIT
Надходження товарів і послуг ІБ00-001623 від 09.04.2025 11:00:00
Цех екстракції (Глобине)</t>
  </si>
  <si>
    <t>Обл. НДС
Гайка М24 HV БП Fram
Надходження товарів і послуг ІБ00-001623 від 09.04.2025 11:00:00
Цех екстракції (Глобине)</t>
  </si>
  <si>
    <t>Обл. НДС
Гайка М24 HV гц Peiner
Надходження товарів і послуг ІБ00-001623 від 09.04.2025 11:00:00
Цех екстракції (Глобине)</t>
  </si>
  <si>
    <t>Обл. НДС
Шайба М24 БП Varvit 300HV
Надходження товарів і послуг ІБ00-001623 від 09.04.2025 11:00:00
Цех екстракції (Глобине)</t>
  </si>
  <si>
    <t>Обл. НДС
Шайба М24 БП Peiner 300HV
Надходження товарів і послуг ІБ00-001623 від 09.04.2025 11:00:00
Цех екстракції (Глобине)</t>
  </si>
  <si>
    <t>Обл. НДС
Болт М12*45  DIN 933
Надходження товарів і послуг ІБ00-001792 від 16.04.2025 11:00:00
Цех екстракції (Глобине)</t>
  </si>
  <si>
    <t>Обл. НДС
ISO4032 Гайка М12 8 ЦБ  S18Г
Надходження товарів і послуг ІБ00-001792 від 16.04.2025 11:00:00
Цех екстракції (Глобине)</t>
  </si>
  <si>
    <t>Обл. НДС
DIN125-1 Шайба 24 цб 140HV до кл.м. 4.6-8.8
Надходження товарів і послуг ІБ00-001792 від 16.04.2025 11:00:00
Цех екстракції (Глобине)</t>
  </si>
  <si>
    <t>Обл. НДС
Болт М24*110  DIN 933
Надходження товарів і послуг ІБ00-001792 від 16.04.2025 11:00:00
Цех екстракції (Глобине)</t>
  </si>
  <si>
    <t>Обл. НДС
Гайка М24 8 цб  ISO4032
Надходження товарів і послуг ІБ00-001792 від 16.04.2025 11:00:00
Цех екстракції (Глобине)</t>
  </si>
  <si>
    <t>Вимога-накладна ІБ00-000398 від 29.05.2025 15:33:06
Списаны ТМЦ</t>
  </si>
  <si>
    <t>Обл. НДС
Кутник 50х50 мм 5,0 мм, 6 м
Надходження товарів і послуг ІБ00-006167 від 01.12.2024 12:45:15
Цех екстракції (Глобине)</t>
  </si>
  <si>
    <t>Вимога-накладна ІБ00-000421 від 29.05.2025 21:00:00
Списаны ТМЦ</t>
  </si>
  <si>
    <t>Надходження товарів і послуг ІБ00-002627 від 30.05.2025 11:00:00
Оприходованы ТМЦ (Зачет аванса поставщику)</t>
  </si>
  <si>
    <t>Обл. НДС
Решітковий настил KOZ 34*38/30*3/оц/1200*1000
Надходження товарів і послуг ІБ00-002627 від 30.05.2025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</si>
  <si>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ІБ00-001449 від 17.04.2025 18:06:30</t>
  </si>
  <si>
    <t>Обл. НДС
Решітковий настил KOZ 34*38/30*3/оц/ 855*1000
Надходження товарів і послуг ІБ00-002627 від 30.05.2025 11:00:00
Цех екстракції (Глобине)</t>
  </si>
  <si>
    <t>Обл. НДС
Решітковий настил KOZ 34*38/30*3/оц/2055*1000
Надходження товарів і послуг ІБ00-002627 від 30.05.2025 11:00:00
Цех екстракції (Глобине)</t>
  </si>
  <si>
    <t>Обл. НДС
Решітковий настил KOZ 34*38/30*3/оц/2055*1222
Надходження товарів і послуг ІБ00-002627 від 30.05.2025 11:00:00
Цех екстракції (Глобине)</t>
  </si>
  <si>
    <t>Обл. НДС
Решітковий настил KOZ 34*38/30*3/оц/1186*1000
Надходження товарів і послуг ІБ00-002627 від 30.05.2025 11:00:00
Цех екстракції (Глобине)</t>
  </si>
  <si>
    <t>Обл. НДС
Решітковий настил KOZ 34*38/30*3/оц/ 870*1080
Надходження товарів і послуг ІБ00-002627 від 30.05.2025 11:00:00
Цех екстракції (Глобине)</t>
  </si>
  <si>
    <t>Обл. НДС
Решітковий настил KOZ 34*38/30*3/оц/2326*1000
Надходження товарів і послуг ІБ00-002627 від 30.05.2025 11:00:00
Цех екстракції (Глобине)</t>
  </si>
  <si>
    <t>Обл. НДС
Решітковий настил KOZ 34*38/30*3/оц/2297*730
Надходження товарів і послуг ІБ00-002627 від 30.05.2025 11:00:00
Цех екстракції (Глобине)</t>
  </si>
  <si>
    <t>Обл. НДС
Решітковий настил KOZ 34*38/30*3/оц/ 1200*330
Надходження товарів і послуг ІБ00-002627 від 30.05.2025 11:00:00
Цех екстракції (Глобине)</t>
  </si>
  <si>
    <t>Обл. НДС
Решітковий настил KOZ 34*38/30*3/оц/ 1200*942
Надходження товарів і послуг ІБ00-002627 від 30.05.2025 11:00:00
Цех екстракції (Глобине)</t>
  </si>
  <si>
    <t>Обл. НДС
Решітковий настил KOZ 34*38/30*3/оц/ 855*1370
Надходження товарів і послуг ІБ00-002627 від 30.05.2025 11:00:00
Цех екстракції (Глобине)</t>
  </si>
  <si>
    <t>Обл. НДС
Решітковий настил KOZ 34*38/30*3/оц/2100*390
Надходження товарів і послуг ІБ00-002627 від 30.05.2025 11:00:00
Цех екстракції (Глобине)</t>
  </si>
  <si>
    <t>Обл. НДС
Решітковий настил KOZ 34*38/30*3/оц/1909*1000
Надходження товарів і послуг ІБ00-002627 від 30.05.2025 11:00:00
Цех екстракції (Глобине)</t>
  </si>
  <si>
    <t>Обл. НДС
Решітковий настил KOZ 34*38/30*3/оц/1600*1000
Надходження товарів і послуг ІБ00-002627 від 30.05.2025 11:00:00
Цех екстракції (Глобине)</t>
  </si>
  <si>
    <t>Обл. НДС
Решітковий настил KOZ 34*38/30*3/оц/1000*850
Надходження товарів і послуг ІБ00-002627 від 30.05.2025 11:00:00
Цех екстракції (Глобине)</t>
  </si>
  <si>
    <t>Обл. НДС
Решітковий настил KOZ 34*38/30*3/оц/1000*851
Надходження товарів і послуг ІБ00-002627 від 30.05.2025 11:00:00
Цех екстракції (Глобине)</t>
  </si>
  <si>
    <t>Обл. НДС
Решітковий настил KOZ 34*38/30*3/оц/951*1000
Надходження товарів і послуг ІБ00-002627 від 30.05.2025 11:00:00
Цех екстракції (Глобине)</t>
  </si>
  <si>
    <t>Обл. НДС
Решітковий настил KOZ 34*38/30*3/оц/ 900*1000
Надходження товарів і послуг ІБ00-002627 від 30.05.2025 11:00:00
Цех екстракції (Глобине)</t>
  </si>
  <si>
    <t>Обл. НДС
Решітковий настил KOZ 34*38/30*3/оц/ 1949*1000
Надходження товарів і послуг ІБ00-002627 від 30.05.2025 11:00:00
Цех екстракції (Глобине)</t>
  </si>
  <si>
    <t>Обл. НДС
Решітковий настил KOZ 34*38/30*3/оц/ 2257*1000
Надходження товарів і послуг ІБ00-002627 від 30.05.2025 11:00:00
Цех екстракції (Глобине)</t>
  </si>
  <si>
    <t>Обл. НДС
Решітковий настил KOZ 34*38/30*3/оц/ 2450*390
Надходження товарів і послуг ІБ00-002627 від 30.05.2025 11:00:00
Цех екстракції (Глобине)</t>
  </si>
  <si>
    <t>Обл. НДС
Решітковий настил KOZ 34*38/30*3/оц/ 1851*1000
Надходження товарів і послуг ІБ00-002627 від 30.05.2025 11:00:00
Цех екстракції (Глобине)</t>
  </si>
  <si>
    <t>Обл. НДС
Решітковий настил KOZ 34*38/30*3/оц/ 1851*390
Надходження товарів і послуг ІБ00-002627 від 30.05.2025 11:00:00
Цех екстракції (Глобине)</t>
  </si>
  <si>
    <t>Обл. НДС
Решітковий настил KOZ 34*38/30*3/оц/710*1000
Надходження товарів і послуг ІБ00-002627 від 30.05.2025 11:00:00
Цех екстракції (Глобине)</t>
  </si>
  <si>
    <t>Обл. НДС
Решітковий настил KOZ 34*38/30*3/оц/710*1300
Надходження товарів і послуг ІБ00-002627 від 30.05.2025 11:00:00
Цех екстракції (Глобине)</t>
  </si>
  <si>
    <t>Обл. НДС
Решітковий настил KOZ 34*38/30*3/оц/1081*702
Надходження товарів і послуг ІБ00-002627 від 30.05.2025 11:00:00
Цех екстракції (Глобине)</t>
  </si>
  <si>
    <t>Обл. НДС
Решітковий настил KOZ 34*38/30*3/оц/1052*769
Надходження товарів і послуг ІБ00-002627 від 30.05.2025 11:00:00
Цех екстракції (Глобине)</t>
  </si>
  <si>
    <t>Обл. НДС
Решітковий настил KOZ 34*38/30*3/оц/1330*710
Надходження товарів і послуг ІБ00-002627 від 30.05.2025 11:00:00
Цех екстракції (Глобине)</t>
  </si>
  <si>
    <t>Обл. НДС
Решітковий настил KOZ 34*38/30*3/оц/1349*1040
Надходження товарів і послуг ІБ00-002627 від 30.05.2025 11:00:00
Цех екстракції (Глобине)</t>
  </si>
  <si>
    <t>Обл. НДС
Решітковий настил KOZ 34*38/30*3/оц/750*505
Надходження товарів і послуг ІБ00-002627 від 30.05.2025 11:00:00
Цех екстракції (Глобине)</t>
  </si>
  <si>
    <t>Обл. НДС
Решітковий настил KOZ 34*38/30*3/оц/751*1535
Надходження товарів і послуг ІБ00-002627 від 30.05.2025 11:00:00
Цех екстракції (Глобине)</t>
  </si>
  <si>
    <t>Обл. НДС
Решітковий настил KOZ 34*38/30*3/оц/1700*1000
Надходження товарів і послуг ІБ00-002627 від 30.05.2025 11:00:00
Цех екстракції (Глобине)</t>
  </si>
  <si>
    <t>Обл. НДС
Решітковий настил KOZ 34*38/30*3/оц/2760*1000
Надходження товарів і послуг ІБ00-002627 від 30.05.2025 11:00:00
Цех екстракції (Глобине)</t>
  </si>
  <si>
    <t>Обл. НДС
Решітковий настил KOZ 34*38/30*3/оц/2410*1040
Надходження товарів і послуг ІБ00-002627 від 30.05.2025 11:00:00
Цех екстракції (Глобине)</t>
  </si>
  <si>
    <t>Обл. НДС
Решітковий настил KOZ 34*38/30*3/оц/950*1040
Надходження товарів і послуг ІБ00-002627 від 30.05.2025 11:00:00
Цех екстракції (Глобине)</t>
  </si>
  <si>
    <t>Обл. НДС
Решітковий настил KOZ 34*38/30*3/оц/939*1040
Надходження товарів і послуг ІБ00-002627 від 30.05.2025 11:00:00
Цех екстракції (Глобине)</t>
  </si>
  <si>
    <t>Обл. НДС
Решітковий настил KOZ 34*38/30*3/оц/1889*1000
Надходження товарів і послуг ІБ00-002627 від 30.05.2025 11:00:00
Цех екстракції (Глобине)</t>
  </si>
  <si>
    <t>Обл. НДС
Решітковий настил KOZ 34*38/30*3/оц/1101*1001
Надходження товарів і послуг ІБ00-002627 від 30.05.2025 11:00:00
Цех екстракції (Глобине)</t>
  </si>
  <si>
    <t>Обл. НДС
Решітковий настил KOZ 34*38/30*3/оц/1100*1000
Надходження товарів і послуг ІБ00-002627 від 30.05.2025 11:00:00
Цех екстракції (Глобине)</t>
  </si>
  <si>
    <t>Обл. НДС
Решітковий настил KOZ 34*38/30*3/оц/1100*1099
Надходження товарів і послуг ІБ00-002627 від 30.05.2025 11:00:00
Цех екстракції (Глобине)</t>
  </si>
  <si>
    <t>Обл. НДС
Решітковий настил KOZ 34*38/30*3/оц/2310*1000
Надходження товарів і послуг ІБ00-002627 від 30.05.2025 11:00:00
Цех екстракції (Глобине)</t>
  </si>
  <si>
    <t>Обл. НДС
Решітковий настил KOZ 34*38/30*3/оц/2310*1185
Надходження товарів і послуг ІБ00-002627 від 30.05.2025 11:00:00
Цех екстракції (Глобине)</t>
  </si>
  <si>
    <t>Обл. НДС
Решітковий настил KOZ 34*38/30*3/оц/1900*1000
Надходження товарів і послуг ІБ00-002627 від 30.05.2025 11:00:00
Цех екстракції (Глобине)</t>
  </si>
  <si>
    <t>Надходження товарів і послуг ІБ00-002627 від 30.05.2025 11:00:00
Оприходованы ТМЦ</t>
  </si>
  <si>
    <t>Обл. НДС
Решітковий настил KOZ 34*38/30*3/оц/1900*1185
Надходження товарів і послуг ІБ00-002627 від 30.05.2025 11:00:00
Цех екстракції (Глобине)</t>
  </si>
  <si>
    <t>Обл. НДС
Решітковий настил KOZ 34*38/30*3/оц/1990*1000
Надходження товарів і послуг ІБ00-002627 від 30.05.2025 11:00:00
Цех екстракції (Глобине)</t>
  </si>
  <si>
    <t>Обл. НДС
Решітковий настил KOZ 34*38/30*3/оц/1990*850
Надходження товарів і послуг ІБ00-002627 від 30.05.2025 11:00:00
Цех екстракції (Глобине)</t>
  </si>
  <si>
    <t>Обл. НДС
Решітковий настил KOZ 34*38/30*3/оц/1093*1000
Надходження товарів і послуг ІБ00-002627 від 30.05.2025 11:00:00
Цех екстракції (Глобине)</t>
  </si>
  <si>
    <t>Обл. НДС
Решітковий настил KOZ 34*38/30*3/оц/1993*1150
Надходження товарів і послуг ІБ00-002627 від 30.05.2025 11:00:00
Цех екстракції (Глобине)</t>
  </si>
  <si>
    <t>Обл. НДС
Решітковий настил KOZ 34*38/30*3/оц/1993*1000
Надходження товарів і послуг ІБ00-002627 від 30.05.2025 11:00:00
Цех екстракції (Глобине)</t>
  </si>
  <si>
    <t>Обл. НДС
Решітковий настил KOZ 34*38/30*3/оц/1990*1185
Надходження товарів і послуг ІБ00-002627 від 30.05.2025 11:00:00
Цех екстракції (Глобине)</t>
  </si>
  <si>
    <t>Обл. НДС
Решітковий настил KOZ 34*38/30*3/оц/2250*1000
Надходження товарів і послуг ІБ00-002627 від 30.05.2025 11:00:00
Цех екстракції (Глобине)</t>
  </si>
  <si>
    <t>Обл. НДС
Решітковий настил KOZ 34*38/30*3/оц/2250*850
Надходження товарів і послуг ІБ00-002627 від 30.05.2025 11:00:00
Цех екстракції (Глобине)</t>
  </si>
  <si>
    <t>Обл. НДС
Решітковий настил KOZ 34*38/30*3/оц/1000*1000
Надходження товарів і послуг ІБ00-002627 від 30.05.2025 11:00:00
Цех екстракції (Глобине)</t>
  </si>
  <si>
    <t>Обл. НДС
Решітковий настил KOZ 34*38/30*3/оц/1250*1000
Надходження товарів і послуг ІБ00-002627 від 30.05.2025 11:00:00
Цех екстракції (Глобине)</t>
  </si>
  <si>
    <t>Обл. НДС
Решітковий настил KOZ 34*38/30*3/оц/2250*1150
Надходження товарів і послуг ІБ00-002627 від 30.05.2025 11:00:00
Цех екстракції (Глобине)</t>
  </si>
  <si>
    <t>Обл. НДС
Решітковий настил KOZ 34*38/30*3/оц/2250*1185
Надходження товарів і послуг ІБ00-002627 від 30.05.2025 11:00:00
Цех екстракції (Глобине)</t>
  </si>
  <si>
    <t>Обл. НДС
Решітковий настил KOZ 34*38/30*3/оц/2100*1000
Надходження товарів і послуг ІБ00-002627 від 30.05.2025 11:00:00
Цех екстракції (Глобине)</t>
  </si>
  <si>
    <t>Обл. НДС
Решітковий настил KOZ 34*38/30*3/оц/2100*850
Надходження товарів і послуг ІБ00-002627 від 30.05.2025 11:00:00
Цех екстракції (Глобине)</t>
  </si>
  <si>
    <t>Обл. НДС
Решітковий настил KOZ 34*38/30*3/оц/ 2100*1150
Надходження товарів і послуг ІБ00-002627 від 30.05.2025 11:00:00
Цех екстракції (Глобине)</t>
  </si>
  <si>
    <t>Обл. НДС
Решітковий настил KOZ 34*38/30*3/оц/ 2097*1000
Надходження товарів і послуг ІБ00-002627 від 30.05.2025 11:00:00
Цех екстракції (Глобине)</t>
  </si>
  <si>
    <t>Обл. НДС
Решітковий настил KOZ 34*38/30*3/оц/ 2097*1185
Надходження товарів і послуг ІБ00-002627 від 30.05.2025 11:00:00
Цех екстракції (Глобине)</t>
  </si>
  <si>
    <t>Обл. НДС
Решітковий настил KOZ 34*38/30*3/оц/1850*1000
Надходження товарів і послуг ІБ00-002627 від 30.05.2025 11:00:00
Цех екстракції (Глобине)</t>
  </si>
  <si>
    <t>Обл. НДС
Решітковий настил KOZ 34*38/30*3/оц/1850*850
Надходження товарів і послуг ІБ00-002627 від 30.05.2025 11:00:00
Цех екстракції (Глобине)</t>
  </si>
  <si>
    <t>Обл. НДС
Решітковий настил KOZ 34*38/30*3/оц/950*1000
Надходження товарів і послуг ІБ00-002627 від 30.05.2025 11:00:00
Цех екстракції (Глобине)</t>
  </si>
  <si>
    <t>Обл. НДС
Решітковий настил KOZ 34*38/30*3/оц/1850*1150
Надходження товарів і послуг ІБ00-002627 від 30.05.2025 11:00:00
Цех екстракції (Глобине)</t>
  </si>
  <si>
    <t>Обл. НДС
Решітковий настил KOZ 34*38/30*3/оц/1853*1000
Надходження товарів і послуг ІБ00-002627 від 30.05.2025 11:00:00
Цех екстракції (Глобине)</t>
  </si>
  <si>
    <t>Обл. НДС
Решітковий настил KOZ 34*38/30*3/оц/1850*1185
Надходження товарів і послуг ІБ00-002627 від 30.05.2025 11:00:00
Цех екстракції (Глобине)</t>
  </si>
  <si>
    <t>Обл. НДС
Решітковий настил KOZ 34*38/30*3/оц/1895*1000
Надходження товарів і послуг ІБ00-002627 від 30.05.2025 11:00:00
Цех екстракції (Глобине)</t>
  </si>
  <si>
    <t>Обл. НДС
Решітковий настил KOZ 34*38/30*3/оц/1895*1185
Надходження товарів і послуг ІБ00-002627 від 30.05.2025 11:00:00
Цех екстракції (Глобине)</t>
  </si>
  <si>
    <t>Обл. НДС
Решітковий настил KOZ 34*38/30*3/оц/1600*1185
Надходження товарів і послуг ІБ00-002627 від 30.05.2025 11:00:00
Цех екстракції (Глобине)</t>
  </si>
  <si>
    <t>Обл. НДС
Решітковий настил KOZ 34*38/30*3/оц/600*1500
Надходження товарів і послуг ІБ00-002627 від 30.05.2025 11:00:00
Цех екстракції (Глобине)</t>
  </si>
  <si>
    <t>Обл. НДС
Решітковий настил KOZ 34*38/30*3/оц/1600*825
Надходження товарів і послуг ІБ00-002627 від 30.05.2025 11:00:00
Цех екстракції (Глобине)</t>
  </si>
  <si>
    <t>Обл. НДС
Решітковий настил KOZ 34*38/30*3/оц/1600*835
Надходження товарів і послуг ІБ00-002627 від 30.05.2025 11:00:00
Цех екстракції (Глобине)</t>
  </si>
  <si>
    <t>Обл. НДС
Решітковий настил KOZ 34*38/30*3/оц/1000*1330
Надходження товарів і послуг ІБ00-002627 від 30.05.2025 11:00:00
Цех екстракції (Глобине)</t>
  </si>
  <si>
    <t>Обл. НДС
Решітковий настил KOZ 34*38/30*3/оц/600*1330
Надходження товарів і послуг ІБ00-002627 від 30.05.2025 11:00:00
Цех екстракції (Глобине)</t>
  </si>
  <si>
    <t>Обл. НДС
Решітковий настил KOZ 34*38/30*3/оц/ 1350*1000
Надходження товарів і послуг ІБ00-002627 від 30.05.2025 11:00:00
Цех екстракції (Глобине)</t>
  </si>
  <si>
    <t>Обл. НДС
Решітковий настил KOZ 34*38/30*3/оц/ 1350*1165
Надходження товарів і послуг ІБ00-002627 від 30.05.2025 11:00:00
Цех екстракції (Глобине)</t>
  </si>
  <si>
    <t>Обл. НДС
Решітковий настил KOZ 34*38/30*3/оц/650*1000
Надходження товарів і послуг ІБ00-002627 від 30.05.2025 11:00:00
Цех екстракції (Глобине)</t>
  </si>
  <si>
    <t>Обл. НДС
Решітковий настил KOZ 34*38/30*3/оц/1897*1000
Надходження товарів і послуг ІБ00-002627 від 30.05.2025 11:00:00
Цех екстракції (Глобине)</t>
  </si>
  <si>
    <t>Обл. НДС
Решітковий настил KOZ 34*38/30*3/оц/811*1175
Надходження товарів і послуг ІБ00-002627 від 30.05.2025 11:00:00
Цех екстракції (Глобине)</t>
  </si>
  <si>
    <t>Обл. НДС
Решітковий настил KOZ 34*38/30*3/оц/1087*1000
Надходження товарів і послуг ІБ00-002627 від 30.05.2025 11:00:00
Цех екстракції (Глобине)</t>
  </si>
  <si>
    <t>Обл. НДС
Решітковий настил KOZ 34*38/30*3/оц/1897*1165
Надходження товарів і послуг ІБ00-002627 від 30.05.2025 11:00:00
Цех екстракції (Глобине)</t>
  </si>
  <si>
    <t>Обл. НДС
Решітковий настил KOZ 34*38/30*3/оц/2253*1000
Надходження товарів і послуг ІБ00-002627 від 30.05.2025 11:00:00
Цех екстракції (Глобине)</t>
  </si>
  <si>
    <t>Обл. НДС
Решітковий настил KOZ 34*38/30*3/оц/1003*1175
Надходження товарів і послуг ІБ00-002627 від 30.05.2025 11:00:00
Цех екстракції (Глобине)</t>
  </si>
  <si>
    <t>Обл. НДС
Решітковий настил KOZ 34*38/30*3/оц/1251*1000
Надходження товарів і послуг ІБ00-002627 від 30.05.2025 11:00:00
Цех екстракції (Глобине)</t>
  </si>
  <si>
    <t>Обл. НДС
Решітковий настил KOZ 34*38/30*3/оц/2253*1175
Надходження товарів і послуг ІБ00-002627 від 30.05.2025 11:00:00
Цех екстракції (Глобине)</t>
  </si>
  <si>
    <t>Обл. НДС
Решітковий настил KOZ 34*38/30*3/оц/1102*1175
Надходження товарів і послуг ІБ00-002627 від 30.05.2025 11:00:00
Цех екстракції (Глобине)</t>
  </si>
  <si>
    <t>Обл. НДС
Решітковий настил KOZ 34*38/30*3/оц/ 995*1000
Надходження товарів і послуг ІБ00-002627 від 30.05.2025 11:00:00
Цех екстракції (Глобине)</t>
  </si>
  <si>
    <t>Обл. НДС
Решітковий настил KOZ 34*38/30*3/оц/2130*1083
Надходження товарів і послуг ІБ00-002627 від 30.05.2025 11:00:00
Цех екстракції (Глобине)</t>
  </si>
  <si>
    <t>Обл. НДС
Решітковий настил KOZ/34x38/30x3 оц. /  2099X1000
Надходження товарів і послуг ІБ00-002627 від 30.05.2025 11:00:00
Цех екстракції (Глобине)</t>
  </si>
  <si>
    <t>Обл. НДС
Решітковий настил KOZ/34x38/30x3 оц. /  2099X1175
Надходження товарів і послуг ІБ00-002627 від 30.05.2025 11:00:00
Цех екстракції (Глобине)</t>
  </si>
  <si>
    <t>Обл. НДС
Решітковий настил KOZ 34*38/30*3/оц/1850*1175
Надходження товарів і послуг ІБ00-002627 від 30.05.2025 11:00:00
Цех екстракції (Глобине)</t>
  </si>
  <si>
    <t>Обл. НДС
Решітковий настил KOZ 34*38/30*3/оц/1895*1175
Надходження товарів і послуг ІБ00-002627 від 30.05.2025 11:00:00
Цех екстракції (Глобине)</t>
  </si>
  <si>
    <t>Обл. НДС
Решітковий настил KOZ 34*38/30*3/оц/811*1000
Надходження товарів і послуг ІБ00-002627 від 30.05.2025 11:00:00
Цех екстракції (Глобине)</t>
  </si>
  <si>
    <t>Обл. НДС
Решітковий настил KOZ 34*38/30*3/оц/794*1000
Надходження товарів і послуг ІБ00-002627 від 30.05.2025 11:00:00
Цех екстракції (Глобине)</t>
  </si>
  <si>
    <t>Обл. НДС
Кріплення стандартні
Надходження товарів і послуг ІБ00-002627 від 30.05.2025 11:00:00
Цех екстракції (Глобине)</t>
  </si>
  <si>
    <t>Надходження товарів і послуг ІБ00-002640 від 30.05.2025 11:00:00
Оприходованы ТМЦ (Зачет аванса поставщику)</t>
  </si>
  <si>
    <t>Обл. НДС
Решітковий настил KOZ 34*38/30*3/оц/ 2500*1000
Надходження товарів і послуг ІБ00-002640 від 30.05.2025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</si>
  <si>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ІБ00-001450 від 17.04.2025 18:06:31</t>
  </si>
  <si>
    <t>Обл. НДС
Решітковий настил KOZ 34*38/30*3/оц/ 933*850
Надходження товарів і послуг ІБ00-002640 від 30.05.2025 11:00:00
Цех екстракції (Глобине)</t>
  </si>
  <si>
    <t>Обл. НДС
Решітковий настил KOZ 34*38/30*3/оц/1400*1000
Надходження товарів і послуг ІБ00-002640 від 30.05.2025 11:00:00
Цех екстракції (Глобине)</t>
  </si>
  <si>
    <t>Обл. НДС
Решітковий настил KOZ 34*38/30*3/оц/ 1500*1000
Надходження товарів і послуг ІБ00-002640 від 30.05.2025 11:00:00
Цех екстракції (Глобине)</t>
  </si>
  <si>
    <t>Обл. НДС
Решітковий настил KOZ 34*38/30*3/оц/2350*1150
Надходження товарів і послуг ІБ00-002640 від 30.05.2025 11:00:00
Цех екстракції (Глобине)</t>
  </si>
  <si>
    <t>Обл. НДС
Решітковий настил KOZ 34*38/30*3/оц/550*1350
Надходження товарів і послуг ІБ00-002640 від 30.05.2025 11:00:00
Цех екстракції (Глобине)</t>
  </si>
  <si>
    <t>Обл. НДС
Решітковий настил KOZ 34*38/30*3/оц/550*1000
Надходження товарів і послуг ІБ00-002640 від 30.05.2025 11:00:00
Цех екстракції (Глобине)</t>
  </si>
  <si>
    <t>Обл. НДС
Решітковий настил KOZ 34*38/30*3/оц/1404*1000
Надходження товарів і послуг ІБ00-002640 від 30.05.2025 11:00:00
Цех екстракції (Глобине)</t>
  </si>
  <si>
    <t>Обл. НДС
Решітковий настил KOZ 34*38/30*3/оц/2350*1000
Надходження товарів і послуг ІБ00-002640 від 30.05.2025 11:00:00
Цех екстракції (Глобине)</t>
  </si>
  <si>
    <t>Обл. НДС
Решітковий настил KOZ/34x38/30x3 оц. /947*1000
Надходження товарів і послуг ІБ00-002640 від 30.05.2025 11:00:00
Цех екстракції (Глобине)</t>
  </si>
  <si>
    <t>Обл. НДС
Решітковий настил KOZ/34x38/30x3 оц. /1596*1000
Надходження товарів і послуг ІБ00-002640 від 30.05.2025 11:00:00
Цех екстракції (Глобине)</t>
  </si>
  <si>
    <t>Обл. НДС
Решітковий настил KOZ 34*38/30*3/оц/2350*500
Надходження товарів і послуг ІБ00-002640 від 30.05.2025 11:00:00
Цех екстракції (Глобине)</t>
  </si>
  <si>
    <t>Обл. НДС
Решітковий настил KOZ 34*38/30*3/оц/670*1000
Надходження товарів і послуг ІБ00-002640 від 30.05.2025 11:00:00
Цех екстракції (Глобине)</t>
  </si>
  <si>
    <t>Обл. НДС
Решітковий настил KOZ 34*38/30*3/оц/1755*1013
Надходження товарів і послуг ІБ00-002640 від 30.05.2025 11:00:00
Цех екстракції (Глобине)</t>
  </si>
  <si>
    <t>Обл. НДС
Решітковий настил KOZ 34*38/30*3/оц/ 1750*1000
Надходження товарів і послуг ІБ00-002640 від 30.05.2025 11:00:00
Цех екстракції (Глобине)</t>
  </si>
  <si>
    <t>Обл. НДС
Решітковий настил KOZ 34*38/30*3/оц/2300*1000
Надходження товарів і послуг ІБ00-002640 від 30.05.2025 11:00:00
Цех екстракції (Глобине)</t>
  </si>
  <si>
    <t>Обл. НДС
Решітковий настил KOZ 34*38/30*3/оц/2299*1000
Надходження товарів і послуг ІБ00-002640 від 30.05.2025 11:00:00
Цех екстракції (Глобине)</t>
  </si>
  <si>
    <t>Обл. НДС
Решітковий настил KOZ 34*38/30*3/оц/1000*1000
Надходження товарів і послуг ІБ00-002640 від 30.05.2025 11:00:00
Цех екстракції (Глобине)</t>
  </si>
  <si>
    <t>Обл. НДС
Решітковий настил KOZ 34*38/30*3/оц/1505*1000
Надходження товарів і послуг ІБ00-002640 від 30.05.2025 11:00:00
Цех екстракції (Глобине)</t>
  </si>
  <si>
    <t>Обл. НДС
Решітковий настил KOZ 34*38/30*3/оц/1667*1000
Надходження товарів і послуг ІБ00-002640 від 30.05.2025 11:00:00
Цех екстракції (Глобине)</t>
  </si>
  <si>
    <t>Обл. НДС
Решітковий настил KOZ 34*38/30*3/оц/ 1000*1185
Надходження товарів і послуг ІБ00-002640 від 30.05.2025 11:00:00
Цех екстракції (Глобине)</t>
  </si>
  <si>
    <t>Обл. НДС
Решітковий настил KOZ 34*38/30*3/оц/808*540
Надходження товарів і послуг ІБ00-002640 від 30.05.2025 11:00:00
Цех екстракції (Глобине)</t>
  </si>
  <si>
    <t>Обл. НДС
Решітковий настил KOZ 34*38/30*3/оц/808*1000
Надходження товарів і послуг ІБ00-002640 від 30.05.2025 11:00:00
Цех екстракції (Глобине)</t>
  </si>
  <si>
    <t>Обл. НДС
Решітковий настил KOZ 34*38/30*3/оц/808*460
Надходження товарів і послуг ІБ00-002640 від 30.05.2025 11:00:00
Цех екстракції (Глобине)</t>
  </si>
  <si>
    <t>Обл. НДС
Решітковий настил KOZ 34*38/30*3/оц/1372*1185
Надходження товарів і послуг ІБ00-002640 від 30.05.2025 11:00:00
Цех екстракції (Глобине)</t>
  </si>
  <si>
    <t>Обл. НДС
Решітковий настил KOZ 34*38/30*3/оц/1372*1000
Надходження товарів і послуг ІБ00-002640 від 30.05.2025 11:00:00
Цех екстракції (Глобине)</t>
  </si>
  <si>
    <t>Обл. НДС
Решітковий настил KOZ 34*38/30*3/оц/2180*1000
Надходження товарів і послуг ІБ00-002640 від 30.05.2025 11:00:00
Цех екстракції (Глобине)</t>
  </si>
  <si>
    <t>Обл. НДС
Решітковий настил KOZ 34*38/30*3/оц/480*1000
Надходження товарів і послуг ІБ00-002640 від 30.05.2025 11:00:00
Цех екстракції (Глобине)</t>
  </si>
  <si>
    <t>Обл. НДС
Решітковий настил KOZ 34*38/40*3/оц/ 480*1180
Надходження товарів і послуг ІБ00-002640 від 30.05.2025 11:00:00
Цех екстракції (Глобине)</t>
  </si>
  <si>
    <t>Обл. НДС
Решітковий настил KOZ 34*38/40*3/оц/ 1820*1185
Надходження товарів і послуг ІБ00-002640 від 30.05.2025 11:00:00
Цех екстракції (Глобине)</t>
  </si>
  <si>
    <t>Обл. НДС
Решітковий настил KOZ 34*38/40*3/оц/ 1820*1000
Надходження товарів і послуг ІБ00-002640 від 30.05.2025 11:00:00
Цех екстракції (Глобине)</t>
  </si>
  <si>
    <t>Обл. НДС
Решітковий настил KOZ 34*38/40*3/оц/ 2114*1000
Надходження товарів і послуг ІБ00-002640 від 30.05.2025 11:00:00
Цех екстракції (Глобине)</t>
  </si>
  <si>
    <t>Обл. НДС
Решітковий настил KOZ 34*38/40*3/оц/ 2467*1000
Надходження товарів і послуг ІБ00-002640 від 30.05.2025 11:00:00
Цех екстракції (Глобине)</t>
  </si>
  <si>
    <t>Обл. НДС
Решітковий настил KOZ 34*38/30*3/оц/868*1550
Надходження товарів і послуг ІБ00-002640 від 30.05.2025 11:00:00
Цех екстракції (Глобине)</t>
  </si>
  <si>
    <t>Обл. НДС
Решітковий настил KOZ 34*38/30*3/оц/800*1000
Надходження товарів і послуг ІБ00-002640 від 30.05.2025 11:00:00
Цех екстракції (Глобине)</t>
  </si>
  <si>
    <t>Обл. НДС
Решітковий настил KOZ 34*38/30*3/оц/1400*1185
Надходження товарів і послуг ІБ00-002640 від 30.05.2025 11:00:00
Цех екстракції (Глобине)</t>
  </si>
  <si>
    <t>Обл. НДС
Решітковий настил KOZ 34*38/30*3/оц/1400*1135
Надходження товарів і послуг ІБ00-002640 від 30.05.2025 11:00:00
Цех екстракції (Глобине)</t>
  </si>
  <si>
    <t>Обл. НДС
Решітковий настил KOZ 34*38/30*3/оц/1400*865
Надходження товарів і послуг ІБ00-002640 від 30.05.2025 11:00:00
Цех екстракції (Глобине)</t>
  </si>
  <si>
    <t>Обл. НДС
Решітковий настил KOZ 34*38/30*3/оц/1300*1185
Надходження товарів і послуг ІБ00-002640 від 30.05.2025 11:00:00
Цех екстракції (Глобине)</t>
  </si>
  <si>
    <t>Обл. НДС
Решітковий настил KOZ 34*38/30*3/оц/1300*1000
Надходження товарів і послуг ІБ00-002640 від 30.05.2025 11:00:00
Цех екстракції (Глобине)</t>
  </si>
  <si>
    <t>Обл. НДС
Решітковий настил KOZ 34*38/30*3/оц/ 2000*1185
Надходження товарів і послуг ІБ00-002640 від 30.05.2025 11:00:00
Цех екстракції (Глобине)</t>
  </si>
  <si>
    <t>Обл. НДС
Решітковий настил KOZ 34*38/30*3/оц/2000*1000
Надходження товарів і послуг ІБ00-002640 від 30.05.2025 11:00:00
Цех екстракції (Глобине)</t>
  </si>
  <si>
    <t>Обл. НДС
Решітковий настил KOZ 34*38/30*3/оц/ 2220*1000
Надходження товарів і послуг ІБ00-002640 від 30.05.2025 11:00:00
Цех екстракції (Глобине)</t>
  </si>
  <si>
    <t>Обл. НДС
Решітковий настил KOZ 34*38/30*3/оц/2000*802
Надходження товарів і послуг ІБ00-002640 від 30.05.2025 11:00:00
Цех екстракції (Глобине)</t>
  </si>
  <si>
    <t>Обл. НДС
Решітковий настил KOZ 34*38/30*3/оц/868*635
Надходження товарів і послуг ІБ00-002640 від 30.05.2025 11:00:00
Цех екстракції (Глобине)</t>
  </si>
  <si>
    <t>Обл. НДС
Решітковий настил KOZ 34*38/30*3/оц/1400*812
Надходження товарів і послуг ІБ00-002640 від 30.05.2025 11:00:00
Цех екстракції (Глобине)</t>
  </si>
  <si>
    <t>Обл. НДС
Решітковий настил KOZ 34*38/30*3/оц/2188*1252
Надходження товарів і послуг ІБ00-002640 від 30.05.2025 11:00:00
Цех екстракції (Глобине)</t>
  </si>
  <si>
    <t>Обл. НДС
Решітковий настил KOZ 34*38/30*3/оц/2188*694
Надходження товарів і послуг ІБ00-002640 від 30.05.2025 11:00:00
Цех екстракції (Глобине)</t>
  </si>
  <si>
    <t>Обл. НДС
Решітковий настил KOZ 34*38/30*3/оц/2032*1185
Надходження товарів і послуг ІБ00-002640 від 30.05.2025 11:00:00
Цех екстракції (Глобине)</t>
  </si>
  <si>
    <t>Обл. НДС
Решітковий настил KOZ 34*38/30*3/оц/2032*1000
Надходження товарів і послуг ІБ00-002640 від 30.05.2025 11:00:00
Цех екстракції (Глобине)</t>
  </si>
  <si>
    <t>Обл. НДС
Решітковий настил KOZ 34*38/30*3/оц/1704*1000
Надходження товарів і послуг ІБ00-002640 від 30.05.2025 11:00:00
Цех екстракції (Глобине)</t>
  </si>
  <si>
    <t>Обл. НДС
Решітковий настил KOZ 34*38/30*3/оц/1835*1000
Надходження товарів і послуг ІБ00-002640 від 30.05.2025 11:00:00
Цех екстракції (Глобине)</t>
  </si>
  <si>
    <t>Обл. НДС
Решітковий настил KOZ 34*38/30*3/оц/ 900*1240
Надходження товарів і послуг ІБ00-002640 від 30.05.2025 11:00:00
Цех екстракції (Глобине)</t>
  </si>
  <si>
    <t>Обл. НДС
Решітковий настил KOZ 34*38/30*3/оц/900*595
Надходження товарів і послуг ІБ00-002640 від 30.05.2025 11:00:00
Цех екстракції (Глобине)</t>
  </si>
  <si>
    <t>Обл. НДС
Решітковий настил KOZ 34*38/30*3/оц/ 1820*1001
Надходження товарів і послуг ІБ00-002640 від 30.05.2025 11:00:00
Цех екстракції (Глобине)</t>
  </si>
  <si>
    <t>Обл. НДС
Решітковий настил KOZ 34*38/30*3/оц/1020*1755
Надходження товарів і послуг ІБ00-002640 від 30.05.2025 11:00:00
Цех екстракції (Глобине)</t>
  </si>
  <si>
    <t>Обл. НДС
Решітковий настил KOZ 34*38/30*3/оц/1400*814
Надходження товарів і послуг ІБ00-002640 від 30.05.2025 11:00:00
Цех екстракції (Глобине)</t>
  </si>
  <si>
    <t>Обл. НДС
Решітковий настил KOZ/34x38/30x3 оц. /  2165X700
Надходження товарів і послуг ІБ00-002640 від 30.05.2025 11:00:00
Цех екстракції (Глобине)</t>
  </si>
  <si>
    <t>Обл. НДС
Решітковий настил KOZ/34x38/30x3 оц. /2185*1000
Надходження товарів і послуг ІБ00-002640 від 30.05.2025 11:00:00
Цех екстракції (Глобине)</t>
  </si>
  <si>
    <t>Обл. НДС
Решітковий настил KOZ/34x38/30x3 оц. /1054*1000
Надходження товарів і послуг ІБ00-002640 від 30.05.2025 11:00:00
Цех екстракції (Глобине)</t>
  </si>
  <si>
    <t>Обл. НДС
Решітковий настил KOZ 34*38/30*3/оц/1185*1000
Надходження товарів і послуг ІБ00-002640 від 30.05.2025 11:00:00
Цех екстракції (Глобине)</t>
  </si>
  <si>
    <t>Обл. НДС
Решітковий настил KOZ 34*38/30*3/оц/1100*1185
Надходження товарів і послуг ІБ00-002640 від 30.05.2025 11:00:00
Цех екстракції (Глобине)</t>
  </si>
  <si>
    <t>Обл. НДС
Решітковий настил KOZ 34*38/30*3/оц/1228*1000
Надходження товарів і послуг ІБ00-002640 від 30.05.2025 11:00:00
Цех екстракції (Глобине)</t>
  </si>
  <si>
    <t>Обл. НДС
Решітковий настил KOZ 34*38/30*3/оц/1099*1000
Надходження товарів і послуг ІБ00-002640 від 30.05.2025 11:00:00
Цех екстракції (Глобине)</t>
  </si>
  <si>
    <t>Обл. НДС
Решітковий настил KOZ 34*38/30*3/оц/ 2150*1000
Надходження товарів і послуг ІБ00-002640 від 30.05.2025 11:00:00
Цех екстракції (Глобине)</t>
  </si>
  <si>
    <t>Обл. НДС
Решітковий настил KOZ 34*38/30*3/оц/1540*1000
Надходження товарів і послуг ІБ00-002640 від 30.05.2025 11:00:00
Цех екстракції (Глобине)</t>
  </si>
  <si>
    <t>Обл. НДС
Решітковий настил KOZ 34*38/30*3/оц/754*1000
Надходження товарів і послуг ІБ00-002640 від 30.05.2025 11:00:00
Цех екстракції (Глобине)</t>
  </si>
  <si>
    <t>Обл. НДС
Решітковий настил KOZ 34*38/30*3/оц/1450*1000
Надходження товарів і послуг ІБ00-002640 від 30.05.2025 11:00:00
Цех екстракції (Глобине)</t>
  </si>
  <si>
    <t>Надходження товарів і послуг ІБ00-002640 від 30.05.2025 11:00:00
Оприходованы ТМЦ</t>
  </si>
  <si>
    <t>Обл. НДС
Решітковий настил KOZ 34*38/30*3/оц/1495*1000
Надходження товарів і послуг ІБ00-002640 від 30.05.2025 11:00:00
Цех екстракції (Глобине)</t>
  </si>
  <si>
    <t>Обл. НДС
Решітковий настил KOZ 34*38/30*3/оц/1497*1000
Надходження товарів і послуг ІБ00-002640 від 30.05.2025 11:00:00
Цех екстракції (Глобине)</t>
  </si>
  <si>
    <t>Обл. НДС
Решітковий настил KOZ/34x38/30x3 оц. /  1970X1000
Надходження товарів і послуг ІБ00-002640 від 30.05.2025 11:00:00
Цех екстракції (Глобине)</t>
  </si>
  <si>
    <t>Обл. НДС
Решітковий настил KOZ/34x38/30x3 оц. /2186*1400
Надходження товарів і послуг ІБ00-002640 від 30.05.2025 11:00:00
Цех екстракції (Глобине)</t>
  </si>
  <si>
    <t>Обл. НДС
Решітковий настил KOZ/34x38/30x3 оц. /2030*1000
Надходження товарів і послуг ІБ00-002640 від 30.05.2025 11:00:00
Цех екстракції (Глобине)</t>
  </si>
  <si>
    <t>Обл. НДС
Решітковий настил KOZ 34*38/30*3/оц/1600*1000
Надходження товарів і послуг ІБ00-002640 від 30.05.2025 11:00:00
Цех екстракції (Глобине)</t>
  </si>
  <si>
    <t>Обл. НДС
Решітковий настил KOZ 34*38/30*3/оц/ 1800*1000
Надходження товарів і послуг ІБ00-002640 від 30.05.2025 11:00:00
Цех екстракції (Глобине)</t>
  </si>
  <si>
    <t>Обл. НДС
Решітковий настил KOZ 34*38/30*3/оц/ 1830*1000
Надходження товарів і послуг ІБ00-002640 від 30.05.2025 11:00:00
Цех екстракції (Глобине)</t>
  </si>
  <si>
    <t>Обл. НДС
Решітковий настил KOZ 34*38/30*3/оц/860*1000
Надходження товарів і послуг ІБ00-002640 від 30.05.2025 11:00:00
Цех екстракції (Глобине)</t>
  </si>
  <si>
    <t>Обл. НДС
Решітковий настил KOZ 34*38/30*3/оц/1670*1000
Надходження товарів і послуг ІБ00-002640 від 30.05.2025 11:00:00
Цех екстракції (Глобине)</t>
  </si>
  <si>
    <t>Обл. НДС
Решітковий настил KOZ 34*38/30*3/оц/2188*1452
Надходження товарів і послуг ІБ00-002640 від 30.05.2025 11:00:00
Цех екстракції (Глобине)</t>
  </si>
  <si>
    <t>Обл. НДС
Решітковий настил KOZ 34*38/30*3/оц/1700*1000
Надходження товарів і послуг ІБ00-002640 від 30.05.2025 11:00:00
Цех екстракції (Глобине)</t>
  </si>
  <si>
    <t>Обл. НДС
Решітковий настил KOZ 34*38/30*3/оц/1079*1160
Надходження товарів і послуг ІБ00-002640 від 30.05.2025 11:00:00
Цех екстракції (Глобине)</t>
  </si>
  <si>
    <t>Обл. НДС
Решітковий настил KOZ 34*38/30*3/оц/ 1964*1000
Надходження товарів і послуг ІБ00-002640 від 30.05.2025 11:00:00
Цех екстракції (Глобине)</t>
  </si>
  <si>
    <t>Обл. НДС
Решітковий настил KOZ 34*38/30*3/оц/1050*1000
Надходження товарів і послуг ІБ00-002640 від 30.05.2025 11:00:00
Цех екстракції (Глобине)</t>
  </si>
  <si>
    <t>Обл. НДС
Решітковий настил KOZ 34*38/30*3/оц/ 1986*1000
Надходження товарів і послуг ІБ00-002640 від 30.05.2025 11:00:00
Цех екстракції (Глобине)</t>
  </si>
  <si>
    <t>Обл. НДС
Решітковий настил KOZ 34*38/30*3/оц/1014*1000
Надходження товарів і послуг ІБ00-002640 від 30.05.2025 11:00:00
Цех екстракції (Глобине)</t>
  </si>
  <si>
    <t>Обл. НДС
Решітковий настил KOZ 34*38/30*3/оц/1079*1040
Надходження товарів і послуг ІБ00-002640 від 30.05.2025 11:00:00
Цех екстракції (Глобине)</t>
  </si>
  <si>
    <t>Обл. НДС
Решітковий настил KOZ 34*38/30*3/оц/880*1203
Надходження товарів і послуг ІБ00-002640 від 30.05.2025 11:00:00
Цех екстракції (Глобине)</t>
  </si>
  <si>
    <t>Обл. НДС
Решітковий настил KOZ 34*38/30*3/оц/880*1000
Надходження товарів і послуг ІБ00-002640 від 30.05.2025 11:00:00
Цех екстракції (Глобине)</t>
  </si>
  <si>
    <t>Обл. НДС
Решітковий настил KOZ 34*38/30*3/оц/880*632
Надходження товарів і послуг ІБ00-002640 від 30.05.2025 11:00:00
Цех екстракції (Глобине)</t>
  </si>
  <si>
    <t>Обл. НДС
Решітковий настил KOZ 34*38/30*3/оц/880*1164
Надходження товарів і послуг ІБ00-002640 від 30.05.2025 11:00:00
Цех екстракції (Глобине)</t>
  </si>
  <si>
    <t>Обл. НДС
Решітковий настил KOZ 34*38/30*3/оц/1420*1000
Надходження товарів і послуг ІБ00-002640 від 30.05.2025 11:00:00
Цех екстракції (Глобине)</t>
  </si>
  <si>
    <t>Обл. НДС
Решітковий настил KOZ 34*38/30*3/оц/1420*1203
Надходження товарів і послуг ІБ00-002640 від 30.05.2025 11:00:00
Цех екстракції (Глобине)</t>
  </si>
  <si>
    <t>Обл. НДС
Решітковий настил KOZ 34*38/30*3/оц/1420*797
Надходження товарів і послуг ІБ00-002640 від 30.05.2025 11:00:00
Цех екстракції (Глобине)</t>
  </si>
  <si>
    <t>Обл. НДС
Решітковий настил KOZ 34*38/30*3/оц/ 2448*1000
Надходження товарів і послуг ІБ00-002640 від 30.05.2025 11:00:00
Цех екстракції (Глобине)</t>
  </si>
  <si>
    <t>Обл. НДС
Решітковий настил KOZ 34*38/30*3/оц/ 2449*1000
Надходження товарів і послуг ІБ00-002640 від 30.05.2025 11:00:00
Цех екстракції (Глобине)</t>
  </si>
  <si>
    <t>Обл. НДС
Решітковий настил KOZ 34*38/30*3/оц/1299*1000
Надходження товарів і послуг ІБ00-002640 від 30.05.2025 11:00:00
Цех екстракції (Глобине)</t>
  </si>
  <si>
    <t>Обл. НДС
Решітковий настил KOZ 34*38/30*3/оц/ 2450*1000
Надходження товарів і послуг ІБ00-002640 від 30.05.2025 11:00:00
Цех екстракції (Глобине)</t>
  </si>
  <si>
    <t>Обл. НДС
Решітковий настил KOZ 34*38/30*3/оц/1086*1000
Надходження товарів і послуг ІБ00-002640 від 30.05.2025 11:00:00
Цех екстракції (Глобине)</t>
  </si>
  <si>
    <t>Обл. НДС
Решітковий настил KOZ 34*38/30*3/оц/1086*1200
Надходження товарів і послуг ІБ00-002640 від 30.05.2025 11:00:00
Цех екстракції (Глобине)</t>
  </si>
  <si>
    <t>Обл. НДС
Решітковий настил KOZ 34*38/30*3/оц/1100*1000
Надходження товарів і послуг ІБ00-002640 від 30.05.2025 11:00:00
Цех екстракції (Глобине)</t>
  </si>
  <si>
    <t>Обл. НДС
Решітковий настил KOZ 34*38/30*3/оц/700*1000
Надходження товарів і послуг ІБ00-002640 від 30.05.2025 11:00:00
Цех екстракції (Глобине)</t>
  </si>
  <si>
    <t>Обл. НДС
Решітковий настил KOZ 34*38/30*3/оц/1950*1000
Надходження товарів і послуг ІБ00-002640 від 30.05.2025 11:00:00
Цех екстракції (Глобине)</t>
  </si>
  <si>
    <t>Обл. НДС
Решітковий настил KOZ 34*38/30*3/оц/2213*1000
Надходження товарів і послуг ІБ00-002640 від 30.05.2025 11:00:00
Цех екстракції (Глобине)</t>
  </si>
  <si>
    <t>Обл. НДС
Решітковий настил KOZ 34*38/30*3/оц/1814*1000
Надходження товарів і послуг ІБ00-002640 від 30.05.2025 11:00:00
Цех екстракції (Глобине)</t>
  </si>
  <si>
    <t>Обл. НДС
Решітковий настил KOZ 34*38/30*3/оц/1814*700
Надходження товарів і послуг ІБ00-002640 від 30.05.2025 11:00:00
Цех екстракції (Глобине)</t>
  </si>
  <si>
    <t>Обл. НДС
Решітковий настил KOZ/34x38/30x3 оц. /2186*1000
Надходження товарів і послуг ІБ00-002640 від 30.05.2025 11:00:00
Цех екстракції (Глобине)</t>
  </si>
  <si>
    <t>Обл. НДС
Решітковий настил KOZ/34x38/30x3 оц. /2186*700
Надходження товарів і послуг ІБ00-002640 від 30.05.2025 11:00:00
Цех екстракції (Глобине)</t>
  </si>
  <si>
    <t>Обл. НДС
Решітковий настил KOZ 34*38/30*3/оц/2000*730
Надходження товарів і послуг ІБ00-002640 від 30.05.2025 11:00:00
Цех екстракції (Глобине)</t>
  </si>
  <si>
    <t>Обл. НДС
Решітковий настил KOZ 34*38/30*3/оц/1000*1314
Надходження товарів і послуг ІБ00-002640 від 30.05.2025 11:00:00
Цех екстракції (Глобине)</t>
  </si>
  <si>
    <t>Обл. НДС
Решітковий настил KOZ 34*38/30*3/оц/1314*700
Надходження товарів і послуг ІБ00-002640 від 30.05.2025 11:00:00
Цех екстракції (Глобине)</t>
  </si>
  <si>
    <t>Обл. НДС
Решітковий настил KOZ 34*38/30*3/оц/686*1000
Надходження товарів і послуг ІБ00-002640 від 30.05.2025 11:00:00
Цех екстракції (Глобине)</t>
  </si>
  <si>
    <t>Обл. НДС
Решітковий настил KOZ 34*38/30*3/оц/686*700
Надходження товарів і послуг ІБ00-002640 від 30.05.2025 11:00:00
Цех екстракції (Глобине)</t>
  </si>
  <si>
    <t>Обл. НДС
Решітковий настил KOZ 34*38/30*3/оц/1708*1000
Надходження товарів і послуг ІБ00-002640 від 30.05.2025 11:00:00
Цех екстракції (Глобине)</t>
  </si>
  <si>
    <t>Обл. НДС
Решітковий настил KOZ 34*38/30*3/оц/1035*1000
Надходження товарів і послуг ІБ00-002640 від 30.05.2025 11:00:00
Цех екстракції (Глобине)</t>
  </si>
  <si>
    <t>Обл. НДС
Решітковий настил KOZ 34*38/30*3/оц/1302*1000
Надходження товарів і послуг ІБ00-002640 від 30.05.2025 11:00:00
Цех екстракції (Глобине)</t>
  </si>
  <si>
    <t>Обл. НДС
Решітковий настил KOZ 34*38/30*3/оц/1035*1001
Надходження товарів і послуг ІБ00-002640 від 30.05.2025 11:00:00
Цех екстракції (Глобине)</t>
  </si>
  <si>
    <t>Обл. НДС
Решітковий настил KOZ 34*38/30*3/оц/742*1000
Надходження товарів і послуг ІБ00-002640 від 30.05.2025 11:00:00
Цех екстракції (Глобине)</t>
  </si>
  <si>
    <t>Обл. НДС
Решітковий настил KOZ 34*38/30*3/оц/1415*1000 
Надходження товарів і послуг ІБ00-002640 від 30.05.2025 11:00:00
Цех екстракції (Глобине)</t>
  </si>
  <si>
    <t>Обл. НДС
Решітковий настил KOZ 34*38/30*3/оц/ 1800*815
Надходження товарів і послуг ІБ00-002640 від 30.05.2025 11:00:00
Цех екстракції (Глобине)</t>
  </si>
  <si>
    <t>Обл. НДС
Решітковий настил KOZ 34*38/30*3/оц/ 1800*1185
Надходження товарів і послуг ІБ00-002640 від 30.05.2025 11:00:00
Цех екстракції (Глобине)</t>
  </si>
  <si>
    <t>Обл. НДС
Решітковий настил KOZ/34x38/30x3 оц. /  2015X1000
Надходження товарів і послуг ІБ00-002640 від 30.05.2025 11:00:00
Цех екстракції (Глобине)</t>
  </si>
  <si>
    <t>Обл. НДС
Решітковий настил KOZ/34x38/30x3 оц. /1985*1135
Надходження товарів і послуг ІБ00-002640 від 30.05.2025 11:00:00
Цех екстракції (Глобине)</t>
  </si>
  <si>
    <t>Обл. НДС
Решітковий настил KOZ/34x38/30x3 оц. /1985*1000
Надходження товарів і послуг ІБ00-002640 від 30.05.2025 11:00:00
Цех екстракції (Глобине)</t>
  </si>
  <si>
    <t>Обл. НДС
Решітковий настил KOZ 34*38/30*3/оц/ 2050*1135
Надходження товарів і послуг ІБ00-002640 від 30.05.2025 11:00:00
Цех екстракції (Глобине)</t>
  </si>
  <si>
    <t>Обл. НДС
Решітковий настил KOZ 34*38/30*3/оц/ 2050*1000
Надходження товарів і послуг ІБ00-002640 від 30.05.2025 11:00:00
Цех екстракції (Глобине)</t>
  </si>
  <si>
    <t>Обл. НДС
Решітковий настил KOZ 34*38/30*3/оц/ 1970*615
Надходження товарів і послуг ІБ00-002640 від 30.05.2025 11:00:00
Цех екстракції (Глобине)</t>
  </si>
  <si>
    <t>Обл. НДС
Решітковий настил KOZ 34*38/30*3/оц/1000*1659
Надходження товарів і послуг ІБ00-002640 від 30.05.2025 11:00:00
Цех екстракції (Глобине)</t>
  </si>
  <si>
    <t>Обл. НДС
Решітковий настил KOZ 34*38/30*3/оц/970*919
Надходження товарів і послуг ІБ00-002640 від 30.05.2025 11:00:00
Цех екстракції (Глобине)</t>
  </si>
  <si>
    <t>Обл. НДС
Решітковий настил KOZ 34*38/30*3/оц/970*740
Надходження товарів і послуг ІБ00-002640 від 30.05.2025 11:00:00
Цех екстракції (Глобине)</t>
  </si>
  <si>
    <t>Обл. НДС
Решітковий настил KOZ 34*38/30*3/оц/ 1970*725
Надходження товарів і послуг ІБ00-002640 від 30.05.2025 11:00:00
Цех екстракції (Глобине)</t>
  </si>
  <si>
    <t>Обл. НДС
Решітковий настил KOZ 34*38/30*3/оц/970*435
Надходження товарів і послуг ІБ00-002640 від 30.05.2025 11:00:00
Цех екстракції (Глобине)</t>
  </si>
  <si>
    <t>Обл. НДС
Решітковий настил KOZ 34*38/30*3/оц/970*1000
Надходження товарів і послуг ІБ00-002640 від 30.05.2025 11:00:00
Цех екстракції (Глобине)</t>
  </si>
  <si>
    <t>Обл. НДС
Решітковий настил KOZ 34*38/30*3/оц/970*564
Надходження товарів і послуг ІБ00-002640 від 30.05.2025 11:00:00
Цех екстракції (Глобине)</t>
  </si>
  <si>
    <t>Обл. НДС
Решітковий настил KOZ 34*38/30*3/оц/ 870*1060
Надходження товарів і послуг ІБ00-002640 від 30.05.2025 11:00:00
Цех екстракції (Глобине)</t>
  </si>
  <si>
    <t>Обл. НДС
Решітковий настил KOZ 34*38/30*3/оц/ 870*594
Надходження товарів і послуг ІБ00-002640 від 30.05.2025 11:00:00
Цех екстракції (Глобине)</t>
  </si>
  <si>
    <t>Обл. НДС
Решітковий настил KOZ 34*38/30*3/оц/900*404
Надходження товарів і послуг ІБ00-002640 від 30.05.2025 11:00:00
Цех екстракції (Глобине)</t>
  </si>
  <si>
    <t>Обл. НДС
Решітковий настил KOZ 34*38/30*3/оц/ 900*1260
Надходження товарів і послуг ІБ00-002640 від 30.05.2025 11:00:00
Цех екстракції (Глобине)</t>
  </si>
  <si>
    <t>Обл. НДС
Решітковий настил KOZ 34*38/40*3/оц/ 895*1000
Надходження товарів і послуг ІБ00-002640 від 30.05.2025 11:00:00
Цех екстракції (Глобине)</t>
  </si>
  <si>
    <t>Обл. НДС
Решітковий настил KOZ 34*38/30*3/оц/ 1800*800
Надходження товарів і послуг ІБ00-002640 від 30.05.2025 11:00:00
Цех екстракції (Глобине)</t>
  </si>
  <si>
    <t>Обл. НДС
Решітковий настил KOZ 34*38/30*3/оц/ 800*1200
Надходження товарів і послуг ІБ00-002640 від 30.05.2025 11:00:00
Цех екстракції (Глобине)</t>
  </si>
  <si>
    <t>Обл. НДС
Решітковий настил KOZ 34*38/30*3/оц/ 800*545
Надходження товарів і послуг ІБ00-002640 від 30.05.2025 11:00:00
Цех екстракції (Глобине)</t>
  </si>
  <si>
    <t>Обл. НДС
Решітковий настил KOZ 34*38/30*3/оц/ 800*1120
Надходження товарів і послуг ІБ00-002640 від 30.05.2025 11:00:00
Цех екстракції (Глобине)</t>
  </si>
  <si>
    <t>Обл. НДС
Решітковий настил KOZ 34*38/30*3/оц/1700*335
Надходження товарів і послуг ІБ00-002640 від 30.05.2025 11:00:00
Цех екстракції (Глобине)</t>
  </si>
  <si>
    <t>Обл. НДС
Решітковий настил KOZ 34*38/30*3/оц/ 1000*1745
Надходження товарів і послуг ІБ00-002640 від 30.05.2025 11:00:00
Цех екстракції (Глобине)</t>
  </si>
  <si>
    <t>Обл. НДС
Решітковий настил KOZ 34*38/30*3/оц/1000*1455
Надходження товарів і послуг ІБ00-002640 від 30.05.2025 11:00:00
Цех екстракції (Глобине)</t>
  </si>
  <si>
    <t>Обл. НДС
Решітковий настил KOZ 34*38/30*3/оц/1000*441
Надходження товарів і послуг ІБ00-002640 від 30.05.2025 11:00:00
Цех екстракції (Глобине)</t>
  </si>
  <si>
    <t>Обл. НДС
Решітковий настил KOZ 34*38/30*3/оц/ 1000*1198
Надходження товарів і послуг ІБ00-002640 від 30.05.2025 11:00:00
Цех екстракції (Глобине)</t>
  </si>
  <si>
    <t>Обл. НДС
Решітковий настил KOZ 34*38/30*3/оц/ 1004*361
Надходження товарів і послуг ІБ00-002640 від 30.05.2025 11:00:00
Цех екстракції (Глобине)</t>
  </si>
  <si>
    <t>Обл. НДС
Решітковий настил KOZ 34*38/30*3/оц/1050*600
Надходження товарів і послуг ІБ00-002640 від 30.05.2025 11:00:00
Цех екстракції (Глобине)</t>
  </si>
  <si>
    <t>Обл. НДС
Решітковий настил KOZ 34*38/30*3/оц/1050*1200
Надходження товарів і послуг ІБ00-002640 від 30.05.2025 11:00:00
Цех екстракції (Глобине)</t>
  </si>
  <si>
    <t>Обл. НДС
Решітковий настил KOZ 34*38/30*3/оц/950*1350
Надходження товарів і послуг ІБ00-002640 від 30.05.2025 11:00:00
Цех екстракції (Глобине)</t>
  </si>
  <si>
    <t>Обл. НДС
Решітковий настил KOZ 34*38/30*3/оц/950*650
Надходження товарів і послуг ІБ00-002640 від 30.05.2025 11:00:00
Цех екстракції (Глобине)</t>
  </si>
  <si>
    <t>Обл. НДС
Решітковий настил KOZ 34*38/30*3/оц/880*516
Надходження товарів і послуг ІБ00-002640 від 30.05.2025 11:00:00
Цех екстракції (Глобине)</t>
  </si>
  <si>
    <t>Обл. НДС
Решітковий настил KOZ 34*38/30*3/оц/880*898
Надходження товарів і послуг ІБ00-002640 від 30.05.2025 11:00:00
Цех екстракції (Глобине)</t>
  </si>
  <si>
    <t>Обл. НДС
Решітковий настил KOZ 34*38/30*3/оц/880*586
Надходження товарів і послуг ІБ00-002640 від 30.05.2025 11:00:00
Цех екстракції (Глобине)</t>
  </si>
  <si>
    <t>Обл. НДС
Решітковий настил KOZ 34*38/30*3/оц/1150*1415
Надходження товарів і послуг ІБ00-002640 від 30.05.2025 11:00:00
Цех екстракції (Глобине)</t>
  </si>
  <si>
    <t>Обл. НДС
Решітковий настил KOZ 34*38/30*3/оц/1150*585
Надходження товарів і послуг ІБ00-002640 від 30.05.2025 11:00:00
Цех екстракції (Глобине)</t>
  </si>
  <si>
    <t>Обл. НДС
Решітковий настил KOZ 34*38/30*3/оц/1100*1384
Надходження товарів і послуг ІБ00-002640 від 30.05.2025 11:00:00
Цех екстракції (Глобине)</t>
  </si>
  <si>
    <t>Обл. НДС
Решітковий настил KOZ 34*38/30*3/оц/1100*616
Надходження товарів і послуг ІБ00-002640 від 30.05.2025 11:00:00
Цех екстракції (Глобине)</t>
  </si>
  <si>
    <t>Обл. НДС
Решітковий настил KOZ 34*38/30*3/оц/ 900*1425
Надходження товарів і послуг ІБ00-002640 від 30.05.2025 11:00:00
Цех екстракції (Глобине)</t>
  </si>
  <si>
    <t>Обл. НДС
Решітковий настил KOZ 34*38/30*3/оц/900*575
Надходження товарів і послуг ІБ00-002640 від 30.05.2025 11:00:00
Цех екстракції (Глобине)</t>
  </si>
  <si>
    <t>Обл. НДС
Кріплення стандартні
Надходження товарів і послуг ІБ00-002640 від 30.05.2025 11:00:00
Цех екстракції (Глобине)</t>
  </si>
  <si>
    <t>Обл. НДС
Труба 100х100х5 мм; ст. 3пс5; 12 м
Надходження товарів і послуг ІБ00-000718 від 18.02.2025 20:00:45
Цех екстракції (Глобине)</t>
  </si>
  <si>
    <t>2051</t>
  </si>
  <si>
    <t>Обл. НДС
Кутики 100х100х7 мм; ст. 3пс5; 12 м
Надходження товарів і послуг ІБ00-000720 від 18.02.2025 20:00:46
Цех екстракції (Глобине)</t>
  </si>
  <si>
    <t>Обл. НДС
Швелер 16П  S275JR,12 м
Надходження товарів і послуг ІБ00-000983 від 12.03.2025 10:00:00
Цех екстракції (Глобине)</t>
  </si>
  <si>
    <t>Обл. НДС
Лист  4*1500*6000 3 сп/пс 5
Надходження товарів і послуг ІБ00-000720 від 18.02.2025 20:00:46
Цех екстракції (Глобине)</t>
  </si>
  <si>
    <t>Обл. НДС
Лист г/к  6*1500*6000 1-3 сп/пс
Надходження товарів і послуг ІБ00-000721 від 18.02.2025 20:00:47
Цех екстракції (Глобине)</t>
  </si>
  <si>
    <t>Обл. НДС
Лист г/к  8*1500*6000 1-3 сп/пс
Надходження товарів і послуг ІБ00-000721 від 18.02.2025 20:00:47
Цех екстракції (Глобине)</t>
  </si>
  <si>
    <t>Обл. НДС
Лист г/к 10*1500*6000 1-3 сп/пс
Надходження товарів і послуг ІБ00-000713 від 20.02.2025 18:11:45
Цех екстракції (Глобине)</t>
  </si>
  <si>
    <t>Обл. НДС
Лист г/к 16,0 мм 1500*6000, S235 JR
Надходження товарів і послуг ІБ00-000983 від 12.03.2025 10:00:00
Цех екстракції (Глобине)</t>
  </si>
  <si>
    <t>Обл. НДС
Лист г/к 20*1500*6000, S355J2
Надходження товарів і послуг ІБ00-000180 від 17.01.2025 19:00:05
Цех екстракції (Глобине)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</si>
</sst>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color indexed="21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49">
    <xf numFmtId="0" fontId="0" fillId="0" borderId="0" xfId="0"/>
    <xf numFmtId="0" fontId="3" fillId="2" borderId="2" xfId="1" applyNumberFormat="1" applyFont="1" applyFill="1" applyBorder="1" applyAlignment="1">
      <alignment vertical="top" wrapText="1" indent="1"/>
    </xf>
    <xf numFmtId="4" fontId="0" fillId="0" borderId="0" xfId="0" applyNumberFormat="1"/>
    <xf numFmtId="0" fontId="4" fillId="2" borderId="2" xfId="1" applyNumberFormat="1" applyFont="1" applyFill="1" applyBorder="1" applyAlignment="1">
      <alignment vertical="top" wrapText="1" indent="1"/>
    </xf>
    <xf numFmtId="4" fontId="0" fillId="0" borderId="2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5" fillId="2" borderId="3" xfId="2" applyNumberFormat="1" applyFont="1" applyFill="1" applyBorder="1" applyAlignment="1">
      <alignment vertical="top"/>
    </xf>
    <xf numFmtId="0" fontId="5" fillId="2" borderId="4" xfId="2" applyNumberFormat="1" applyFont="1" applyFill="1" applyBorder="1" applyAlignment="1">
      <alignment vertical="top"/>
    </xf>
    <xf numFmtId="0" fontId="5" fillId="2" borderId="5" xfId="2" applyNumberFormat="1" applyFont="1" applyFill="1" applyBorder="1" applyAlignment="1">
      <alignment vertical="top"/>
    </xf>
    <xf numFmtId="0" fontId="5" fillId="2" borderId="4" xfId="2" applyNumberFormat="1" applyFont="1" applyFill="1" applyBorder="1" applyAlignment="1">
      <alignment horizontal="center" vertical="top"/>
    </xf>
    <xf numFmtId="0" fontId="5" fillId="2" borderId="6" xfId="2" applyNumberFormat="1" applyFont="1" applyFill="1" applyBorder="1" applyAlignment="1">
      <alignment horizontal="center" vertical="top"/>
    </xf>
    <xf numFmtId="0" fontId="5" fillId="2" borderId="7" xfId="2" applyNumberFormat="1" applyFont="1" applyFill="1" applyBorder="1" applyAlignment="1">
      <alignment vertical="top"/>
    </xf>
    <xf numFmtId="0" fontId="5" fillId="2" borderId="8" xfId="2" applyNumberFormat="1" applyFont="1" applyFill="1" applyBorder="1" applyAlignment="1">
      <alignment vertical="top"/>
    </xf>
    <xf numFmtId="0" fontId="5" fillId="2" borderId="9" xfId="2" applyNumberFormat="1" applyFont="1" applyFill="1" applyBorder="1" applyAlignment="1">
      <alignment vertical="top"/>
    </xf>
    <xf numFmtId="0" fontId="5" fillId="2" borderId="6" xfId="2" applyNumberFormat="1" applyFont="1" applyFill="1" applyBorder="1" applyAlignment="1">
      <alignment vertical="top"/>
    </xf>
    <xf numFmtId="0" fontId="5" fillId="2" borderId="10" xfId="2" applyNumberFormat="1" applyFont="1" applyFill="1" applyBorder="1" applyAlignment="1">
      <alignment vertical="top"/>
    </xf>
    <xf numFmtId="0" fontId="5" fillId="2" borderId="10" xfId="2" applyNumberFormat="1" applyFont="1" applyFill="1" applyBorder="1" applyAlignment="1">
      <alignment vertical="top"/>
    </xf>
    <xf numFmtId="0" fontId="5" fillId="2" borderId="11" xfId="2" applyNumberFormat="1" applyFont="1" applyFill="1" applyBorder="1" applyAlignment="1">
      <alignment vertical="top"/>
    </xf>
    <xf numFmtId="0" fontId="5" fillId="2" borderId="12" xfId="2" applyNumberFormat="1" applyFont="1" applyFill="1" applyBorder="1" applyAlignment="1">
      <alignment vertical="top"/>
    </xf>
    <xf numFmtId="0" fontId="3" fillId="0" borderId="1" xfId="2" applyNumberFormat="1" applyFont="1" applyBorder="1" applyAlignment="1">
      <alignment vertical="top"/>
    </xf>
    <xf numFmtId="0" fontId="3" fillId="0" borderId="1" xfId="2" applyNumberFormat="1" applyFont="1" applyBorder="1" applyAlignment="1">
      <alignment vertical="top" wrapText="1"/>
    </xf>
    <xf numFmtId="0" fontId="3" fillId="0" borderId="1" xfId="2" applyNumberFormat="1" applyFont="1" applyBorder="1" applyAlignment="1">
      <alignment horizontal="left" vertical="top"/>
    </xf>
    <xf numFmtId="4" fontId="3" fillId="0" borderId="1" xfId="2" applyNumberFormat="1" applyFont="1" applyBorder="1" applyAlignment="1">
      <alignment horizontal="right" vertical="top" wrapText="1"/>
    </xf>
    <xf numFmtId="0" fontId="3" fillId="0" borderId="14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center" vertical="top"/>
    </xf>
    <xf numFmtId="4" fontId="3" fillId="0" borderId="14" xfId="2" applyNumberFormat="1" applyFont="1" applyBorder="1" applyAlignment="1">
      <alignment horizontal="right" vertical="top" wrapText="1"/>
    </xf>
    <xf numFmtId="2" fontId="3" fillId="0" borderId="1" xfId="2" applyNumberFormat="1" applyFont="1" applyBorder="1" applyAlignment="1">
      <alignment horizontal="right" vertical="top" wrapText="1"/>
    </xf>
    <xf numFmtId="0" fontId="3" fillId="0" borderId="1" xfId="2" applyNumberFormat="1" applyFont="1" applyBorder="1" applyAlignment="1">
      <alignment horizontal="right" vertical="top" wrapText="1"/>
    </xf>
    <xf numFmtId="4" fontId="3" fillId="0" borderId="14" xfId="2" applyNumberFormat="1" applyFont="1" applyBorder="1" applyAlignment="1">
      <alignment horizontal="right" vertical="top" wrapText="1"/>
    </xf>
    <xf numFmtId="2" fontId="3" fillId="0" borderId="14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3" xfId="2" applyNumberFormat="1" applyFont="1" applyFill="1" applyBorder="1" applyAlignment="1">
      <alignment horizontal="center" vertical="top"/>
    </xf>
    <xf numFmtId="4" fontId="6" fillId="2" borderId="14" xfId="2" applyNumberFormat="1" applyFont="1" applyFill="1" applyBorder="1" applyAlignment="1">
      <alignment horizontal="right" vertical="top" wrapText="1"/>
    </xf>
    <xf numFmtId="0" fontId="5" fillId="2" borderId="3" xfId="3" applyNumberFormat="1" applyFont="1" applyFill="1" applyBorder="1" applyAlignment="1">
      <alignment vertical="top"/>
    </xf>
    <xf numFmtId="0" fontId="5" fillId="2" borderId="4" xfId="3" applyNumberFormat="1" applyFont="1" applyFill="1" applyBorder="1" applyAlignment="1">
      <alignment vertical="top"/>
    </xf>
    <xf numFmtId="0" fontId="5" fillId="2" borderId="5" xfId="3" applyNumberFormat="1" applyFont="1" applyFill="1" applyBorder="1" applyAlignment="1">
      <alignment vertical="top"/>
    </xf>
    <xf numFmtId="0" fontId="5" fillId="2" borderId="4" xfId="3" applyNumberFormat="1" applyFont="1" applyFill="1" applyBorder="1" applyAlignment="1">
      <alignment horizontal="center" vertical="top"/>
    </xf>
    <xf numFmtId="0" fontId="5" fillId="2" borderId="6" xfId="3" applyNumberFormat="1" applyFont="1" applyFill="1" applyBorder="1" applyAlignment="1">
      <alignment horizontal="center" vertical="top"/>
    </xf>
    <xf numFmtId="0" fontId="5" fillId="2" borderId="7" xfId="3" applyNumberFormat="1" applyFont="1" applyFill="1" applyBorder="1" applyAlignment="1">
      <alignment vertical="top"/>
    </xf>
    <xf numFmtId="0" fontId="5" fillId="2" borderId="8" xfId="3" applyNumberFormat="1" applyFont="1" applyFill="1" applyBorder="1" applyAlignment="1">
      <alignment vertical="top"/>
    </xf>
    <xf numFmtId="0" fontId="5" fillId="2" borderId="9" xfId="3" applyNumberFormat="1" applyFont="1" applyFill="1" applyBorder="1" applyAlignment="1">
      <alignment vertical="top"/>
    </xf>
    <xf numFmtId="0" fontId="5" fillId="2" borderId="6" xfId="3" applyNumberFormat="1" applyFont="1" applyFill="1" applyBorder="1" applyAlignment="1">
      <alignment vertical="top"/>
    </xf>
    <xf numFmtId="0" fontId="5" fillId="2" borderId="10" xfId="3" applyNumberFormat="1" applyFont="1" applyFill="1" applyBorder="1" applyAlignment="1">
      <alignment vertical="top"/>
    </xf>
    <xf numFmtId="0" fontId="5" fillId="2" borderId="10" xfId="3" applyNumberFormat="1" applyFont="1" applyFill="1" applyBorder="1" applyAlignment="1">
      <alignment vertical="top"/>
    </xf>
    <xf numFmtId="0" fontId="5" fillId="2" borderId="11" xfId="3" applyNumberFormat="1" applyFont="1" applyFill="1" applyBorder="1" applyAlignment="1">
      <alignment vertical="top"/>
    </xf>
    <xf numFmtId="0" fontId="5" fillId="2" borderId="12" xfId="3" applyNumberFormat="1" applyFont="1" applyFill="1" applyBorder="1" applyAlignment="1">
      <alignment vertical="top"/>
    </xf>
    <xf numFmtId="0" fontId="3" fillId="0" borderId="1" xfId="3" applyNumberFormat="1" applyFont="1" applyBorder="1" applyAlignment="1">
      <alignment vertical="top"/>
    </xf>
    <xf numFmtId="0" fontId="3" fillId="0" borderId="1" xfId="3" applyNumberFormat="1" applyFont="1" applyBorder="1" applyAlignment="1">
      <alignment vertical="top" wrapText="1"/>
    </xf>
    <xf numFmtId="0" fontId="3" fillId="0" borderId="1" xfId="3" applyNumberFormat="1" applyFont="1" applyBorder="1" applyAlignment="1">
      <alignment horizontal="left" vertical="top"/>
    </xf>
    <xf numFmtId="4" fontId="3" fillId="0" borderId="1" xfId="3" applyNumberFormat="1" applyFont="1" applyBorder="1" applyAlignment="1">
      <alignment horizontal="right" vertical="top" wrapText="1"/>
    </xf>
    <xf numFmtId="0" fontId="3" fillId="0" borderId="14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center" vertical="top"/>
    </xf>
    <xf numFmtId="4" fontId="3" fillId="0" borderId="14" xfId="3" applyNumberFormat="1" applyFont="1" applyBorder="1" applyAlignment="1">
      <alignment horizontal="right" vertical="top" wrapText="1"/>
    </xf>
    <xf numFmtId="2" fontId="3" fillId="0" borderId="1" xfId="3" applyNumberFormat="1" applyFont="1" applyBorder="1" applyAlignment="1">
      <alignment horizontal="right" vertical="top" wrapText="1"/>
    </xf>
    <xf numFmtId="0" fontId="3" fillId="0" borderId="1" xfId="3" applyNumberFormat="1" applyFont="1" applyBorder="1" applyAlignment="1">
      <alignment horizontal="right" vertical="top" wrapText="1"/>
    </xf>
    <xf numFmtId="4" fontId="3" fillId="0" borderId="14" xfId="3" applyNumberFormat="1" applyFont="1" applyBorder="1" applyAlignment="1">
      <alignment horizontal="right" vertical="top" wrapText="1"/>
    </xf>
    <xf numFmtId="2" fontId="3" fillId="0" borderId="14" xfId="3" applyNumberFormat="1" applyFont="1" applyBorder="1" applyAlignment="1">
      <alignment horizontal="right" vertical="top" wrapText="1"/>
    </xf>
    <xf numFmtId="0" fontId="3" fillId="0" borderId="14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3" xfId="3" applyNumberFormat="1" applyFont="1" applyFill="1" applyBorder="1" applyAlignment="1">
      <alignment horizontal="center" vertical="top"/>
    </xf>
    <xf numFmtId="2" fontId="6" fillId="2" borderId="14" xfId="3" applyNumberFormat="1" applyFont="1" applyFill="1" applyBorder="1" applyAlignment="1">
      <alignment horizontal="right" vertical="top" wrapText="1"/>
    </xf>
    <xf numFmtId="0" fontId="5" fillId="2" borderId="3" xfId="4" applyNumberFormat="1" applyFont="1" applyFill="1" applyBorder="1" applyAlignment="1">
      <alignment vertical="top"/>
    </xf>
    <xf numFmtId="0" fontId="5" fillId="2" borderId="4" xfId="4" applyNumberFormat="1" applyFont="1" applyFill="1" applyBorder="1" applyAlignment="1">
      <alignment vertical="top"/>
    </xf>
    <xf numFmtId="0" fontId="5" fillId="2" borderId="5" xfId="4" applyNumberFormat="1" applyFont="1" applyFill="1" applyBorder="1" applyAlignment="1">
      <alignment vertical="top"/>
    </xf>
    <xf numFmtId="0" fontId="5" fillId="2" borderId="4" xfId="4" applyNumberFormat="1" applyFont="1" applyFill="1" applyBorder="1" applyAlignment="1">
      <alignment horizontal="center" vertical="top"/>
    </xf>
    <xf numFmtId="0" fontId="5" fillId="2" borderId="6" xfId="4" applyNumberFormat="1" applyFont="1" applyFill="1" applyBorder="1" applyAlignment="1">
      <alignment horizontal="center" vertical="top"/>
    </xf>
    <xf numFmtId="0" fontId="5" fillId="2" borderId="7" xfId="4" applyNumberFormat="1" applyFont="1" applyFill="1" applyBorder="1" applyAlignment="1">
      <alignment vertical="top"/>
    </xf>
    <xf numFmtId="0" fontId="5" fillId="2" borderId="8" xfId="4" applyNumberFormat="1" applyFont="1" applyFill="1" applyBorder="1" applyAlignment="1">
      <alignment vertical="top"/>
    </xf>
    <xf numFmtId="0" fontId="5" fillId="2" borderId="9" xfId="4" applyNumberFormat="1" applyFont="1" applyFill="1" applyBorder="1" applyAlignment="1">
      <alignment vertical="top"/>
    </xf>
    <xf numFmtId="0" fontId="5" fillId="2" borderId="6" xfId="4" applyNumberFormat="1" applyFont="1" applyFill="1" applyBorder="1" applyAlignment="1">
      <alignment vertical="top"/>
    </xf>
    <xf numFmtId="0" fontId="5" fillId="2" borderId="10" xfId="4" applyNumberFormat="1" applyFont="1" applyFill="1" applyBorder="1" applyAlignment="1">
      <alignment vertical="top"/>
    </xf>
    <xf numFmtId="0" fontId="5" fillId="2" borderId="10" xfId="4" applyNumberFormat="1" applyFont="1" applyFill="1" applyBorder="1" applyAlignment="1">
      <alignment vertical="top"/>
    </xf>
    <xf numFmtId="0" fontId="5" fillId="2" borderId="11" xfId="4" applyNumberFormat="1" applyFont="1" applyFill="1" applyBorder="1" applyAlignment="1">
      <alignment vertical="top"/>
    </xf>
    <xf numFmtId="0" fontId="5" fillId="2" borderId="12" xfId="4" applyNumberFormat="1" applyFont="1" applyFill="1" applyBorder="1" applyAlignment="1">
      <alignment vertical="top"/>
    </xf>
    <xf numFmtId="0" fontId="3" fillId="0" borderId="1" xfId="4" applyNumberFormat="1" applyFont="1" applyBorder="1" applyAlignment="1">
      <alignment vertical="top"/>
    </xf>
    <xf numFmtId="0" fontId="3" fillId="0" borderId="1" xfId="4" applyNumberFormat="1" applyFont="1" applyBorder="1" applyAlignment="1">
      <alignment vertical="top" wrapText="1"/>
    </xf>
    <xf numFmtId="0" fontId="3" fillId="0" borderId="1" xfId="4" applyNumberFormat="1" applyFont="1" applyBorder="1" applyAlignment="1">
      <alignment horizontal="left" vertical="top"/>
    </xf>
    <xf numFmtId="4" fontId="3" fillId="0" borderId="1" xfId="4" applyNumberFormat="1" applyFont="1" applyBorder="1" applyAlignment="1">
      <alignment horizontal="right" vertical="top" wrapText="1"/>
    </xf>
    <xf numFmtId="0" fontId="3" fillId="0" borderId="14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center" vertical="top"/>
    </xf>
    <xf numFmtId="4" fontId="3" fillId="0" borderId="14" xfId="4" applyNumberFormat="1" applyFont="1" applyBorder="1" applyAlignment="1">
      <alignment horizontal="right" vertical="top" wrapText="1"/>
    </xf>
    <xf numFmtId="0" fontId="3" fillId="0" borderId="1" xfId="4" applyNumberFormat="1" applyFont="1" applyBorder="1" applyAlignment="1">
      <alignment horizontal="right" vertical="top" wrapText="1"/>
    </xf>
    <xf numFmtId="4" fontId="3" fillId="0" borderId="14" xfId="4" applyNumberFormat="1" applyFont="1" applyBorder="1" applyAlignment="1">
      <alignment horizontal="right" vertical="top" wrapText="1"/>
    </xf>
    <xf numFmtId="2" fontId="3" fillId="0" borderId="14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4" fontId="6" fillId="2" borderId="1" xfId="4" applyNumberFormat="1" applyFont="1" applyFill="1" applyBorder="1" applyAlignment="1">
      <alignment horizontal="right" vertical="top" wrapText="1"/>
    </xf>
    <xf numFmtId="0" fontId="6" fillId="2" borderId="13" xfId="4" applyNumberFormat="1" applyFont="1" applyFill="1" applyBorder="1" applyAlignment="1">
      <alignment horizontal="center" vertical="top"/>
    </xf>
    <xf numFmtId="4" fontId="6" fillId="2" borderId="14" xfId="4" applyNumberFormat="1" applyFont="1" applyFill="1" applyBorder="1" applyAlignment="1">
      <alignment horizontal="right" vertical="top" wrapText="1"/>
    </xf>
    <xf numFmtId="0" fontId="5" fillId="2" borderId="3" xfId="5" applyNumberFormat="1" applyFont="1" applyFill="1" applyBorder="1" applyAlignment="1">
      <alignment vertical="top"/>
    </xf>
    <xf numFmtId="0" fontId="5" fillId="2" borderId="4" xfId="5" applyNumberFormat="1" applyFont="1" applyFill="1" applyBorder="1" applyAlignment="1">
      <alignment vertical="top"/>
    </xf>
    <xf numFmtId="0" fontId="5" fillId="2" borderId="5" xfId="5" applyNumberFormat="1" applyFont="1" applyFill="1" applyBorder="1" applyAlignment="1">
      <alignment vertical="top"/>
    </xf>
    <xf numFmtId="0" fontId="5" fillId="2" borderId="4" xfId="5" applyNumberFormat="1" applyFont="1" applyFill="1" applyBorder="1" applyAlignment="1">
      <alignment horizontal="center" vertical="top"/>
    </xf>
    <xf numFmtId="0" fontId="5" fillId="2" borderId="6" xfId="5" applyNumberFormat="1" applyFont="1" applyFill="1" applyBorder="1" applyAlignment="1">
      <alignment horizontal="center" vertical="top"/>
    </xf>
    <xf numFmtId="0" fontId="5" fillId="2" borderId="7" xfId="5" applyNumberFormat="1" applyFont="1" applyFill="1" applyBorder="1" applyAlignment="1">
      <alignment vertical="top"/>
    </xf>
    <xf numFmtId="0" fontId="5" fillId="2" borderId="8" xfId="5" applyNumberFormat="1" applyFont="1" applyFill="1" applyBorder="1" applyAlignment="1">
      <alignment vertical="top"/>
    </xf>
    <xf numFmtId="0" fontId="5" fillId="2" borderId="9" xfId="5" applyNumberFormat="1" applyFont="1" applyFill="1" applyBorder="1" applyAlignment="1">
      <alignment vertical="top"/>
    </xf>
    <xf numFmtId="0" fontId="5" fillId="2" borderId="6" xfId="5" applyNumberFormat="1" applyFont="1" applyFill="1" applyBorder="1" applyAlignment="1">
      <alignment vertical="top"/>
    </xf>
    <xf numFmtId="0" fontId="5" fillId="2" borderId="10" xfId="5" applyNumberFormat="1" applyFont="1" applyFill="1" applyBorder="1" applyAlignment="1">
      <alignment vertical="top"/>
    </xf>
    <xf numFmtId="0" fontId="5" fillId="2" borderId="10" xfId="5" applyNumberFormat="1" applyFont="1" applyFill="1" applyBorder="1" applyAlignment="1">
      <alignment vertical="top"/>
    </xf>
    <xf numFmtId="0" fontId="5" fillId="2" borderId="11" xfId="5" applyNumberFormat="1" applyFont="1" applyFill="1" applyBorder="1" applyAlignment="1">
      <alignment vertical="top"/>
    </xf>
    <xf numFmtId="0" fontId="5" fillId="2" borderId="12" xfId="5" applyNumberFormat="1" applyFont="1" applyFill="1" applyBorder="1" applyAlignment="1">
      <alignment vertical="top"/>
    </xf>
    <xf numFmtId="0" fontId="3" fillId="0" borderId="1" xfId="5" applyNumberFormat="1" applyFont="1" applyBorder="1" applyAlignment="1">
      <alignment vertical="top"/>
    </xf>
    <xf numFmtId="0" fontId="3" fillId="0" borderId="1" xfId="5" applyNumberFormat="1" applyFont="1" applyBorder="1" applyAlignment="1">
      <alignment vertical="top" wrapText="1"/>
    </xf>
    <xf numFmtId="0" fontId="3" fillId="0" borderId="1" xfId="5" applyNumberFormat="1" applyFont="1" applyBorder="1" applyAlignment="1">
      <alignment horizontal="left" vertical="top"/>
    </xf>
    <xf numFmtId="0" fontId="3" fillId="0" borderId="1" xfId="5" applyNumberFormat="1" applyFont="1" applyBorder="1" applyAlignment="1">
      <alignment horizontal="right" vertical="top" wrapText="1"/>
    </xf>
    <xf numFmtId="4" fontId="3" fillId="0" borderId="14" xfId="5" applyNumberFormat="1" applyFont="1" applyBorder="1" applyAlignment="1">
      <alignment horizontal="right" vertical="top" wrapText="1"/>
    </xf>
    <xf numFmtId="0" fontId="3" fillId="0" borderId="13" xfId="5" applyNumberFormat="1" applyFont="1" applyBorder="1" applyAlignment="1">
      <alignment horizontal="center" vertical="top"/>
    </xf>
    <xf numFmtId="4" fontId="3" fillId="0" borderId="14" xfId="5" applyNumberFormat="1" applyFont="1" applyBorder="1" applyAlignment="1">
      <alignment horizontal="right" vertical="top" wrapText="1"/>
    </xf>
    <xf numFmtId="4" fontId="3" fillId="0" borderId="1" xfId="5" applyNumberFormat="1" applyFont="1" applyBorder="1" applyAlignment="1">
      <alignment horizontal="right" vertical="top" wrapText="1"/>
    </xf>
    <xf numFmtId="0" fontId="3" fillId="0" borderId="14" xfId="5" applyNumberFormat="1" applyFont="1" applyBorder="1" applyAlignment="1">
      <alignment horizontal="right" vertical="top" wrapText="1"/>
    </xf>
    <xf numFmtId="2" fontId="3" fillId="0" borderId="14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3" xfId="5" applyNumberFormat="1" applyFont="1" applyFill="1" applyBorder="1" applyAlignment="1">
      <alignment horizontal="center" vertical="top"/>
    </xf>
    <xf numFmtId="4" fontId="6" fillId="2" borderId="14" xfId="5" applyNumberFormat="1" applyFont="1" applyFill="1" applyBorder="1" applyAlignment="1">
      <alignment horizontal="right" vertical="top" wrapText="1"/>
    </xf>
    <xf numFmtId="0" fontId="5" fillId="2" borderId="3" xfId="6" applyNumberFormat="1" applyFont="1" applyFill="1" applyBorder="1" applyAlignment="1">
      <alignment vertical="top"/>
    </xf>
    <xf numFmtId="0" fontId="5" fillId="2" borderId="4" xfId="6" applyNumberFormat="1" applyFont="1" applyFill="1" applyBorder="1" applyAlignment="1">
      <alignment vertical="top"/>
    </xf>
    <xf numFmtId="0" fontId="5" fillId="2" borderId="5" xfId="6" applyNumberFormat="1" applyFont="1" applyFill="1" applyBorder="1" applyAlignment="1">
      <alignment vertical="top"/>
    </xf>
    <xf numFmtId="0" fontId="5" fillId="2" borderId="4" xfId="6" applyNumberFormat="1" applyFont="1" applyFill="1" applyBorder="1" applyAlignment="1">
      <alignment horizontal="center" vertical="top"/>
    </xf>
    <xf numFmtId="0" fontId="5" fillId="2" borderId="6" xfId="6" applyNumberFormat="1" applyFont="1" applyFill="1" applyBorder="1" applyAlignment="1">
      <alignment horizontal="center" vertical="top"/>
    </xf>
    <xf numFmtId="0" fontId="5" fillId="2" borderId="7" xfId="6" applyNumberFormat="1" applyFont="1" applyFill="1" applyBorder="1" applyAlignment="1">
      <alignment vertical="top"/>
    </xf>
    <xf numFmtId="0" fontId="5" fillId="2" borderId="8" xfId="6" applyNumberFormat="1" applyFont="1" applyFill="1" applyBorder="1" applyAlignment="1">
      <alignment vertical="top"/>
    </xf>
    <xf numFmtId="0" fontId="5" fillId="2" borderId="9" xfId="6" applyNumberFormat="1" applyFont="1" applyFill="1" applyBorder="1" applyAlignment="1">
      <alignment vertical="top"/>
    </xf>
    <xf numFmtId="0" fontId="5" fillId="2" borderId="6" xfId="6" applyNumberFormat="1" applyFont="1" applyFill="1" applyBorder="1" applyAlignment="1">
      <alignment vertical="top"/>
    </xf>
    <xf numFmtId="0" fontId="5" fillId="2" borderId="10" xfId="6" applyNumberFormat="1" applyFont="1" applyFill="1" applyBorder="1" applyAlignment="1">
      <alignment vertical="top"/>
    </xf>
    <xf numFmtId="0" fontId="5" fillId="2" borderId="10" xfId="6" applyNumberFormat="1" applyFont="1" applyFill="1" applyBorder="1" applyAlignment="1">
      <alignment vertical="top"/>
    </xf>
    <xf numFmtId="0" fontId="5" fillId="2" borderId="11" xfId="6" applyNumberFormat="1" applyFont="1" applyFill="1" applyBorder="1" applyAlignment="1">
      <alignment vertical="top"/>
    </xf>
    <xf numFmtId="0" fontId="5" fillId="2" borderId="12" xfId="6" applyNumberFormat="1" applyFont="1" applyFill="1" applyBorder="1" applyAlignment="1">
      <alignment vertical="top"/>
    </xf>
    <xf numFmtId="0" fontId="3" fillId="0" borderId="1" xfId="6" applyNumberFormat="1" applyFont="1" applyBorder="1" applyAlignment="1">
      <alignment vertical="top"/>
    </xf>
    <xf numFmtId="0" fontId="3" fillId="0" borderId="1" xfId="6" applyNumberFormat="1" applyFont="1" applyBorder="1" applyAlignment="1">
      <alignment vertical="top" wrapText="1"/>
    </xf>
    <xf numFmtId="0" fontId="3" fillId="0" borderId="1" xfId="6" applyNumberFormat="1" applyFont="1" applyBorder="1" applyAlignment="1">
      <alignment horizontal="left" vertical="top"/>
    </xf>
    <xf numFmtId="0" fontId="3" fillId="0" borderId="1" xfId="6" applyNumberFormat="1" applyFont="1" applyBorder="1" applyAlignment="1">
      <alignment horizontal="right" vertical="top" wrapText="1"/>
    </xf>
    <xf numFmtId="2" fontId="3" fillId="0" borderId="14" xfId="6" applyNumberFormat="1" applyFont="1" applyBorder="1" applyAlignment="1">
      <alignment horizontal="right" vertical="top" wrapText="1"/>
    </xf>
    <xf numFmtId="0" fontId="3" fillId="0" borderId="13" xfId="6" applyNumberFormat="1" applyFont="1" applyBorder="1" applyAlignment="1">
      <alignment horizontal="center" vertical="top"/>
    </xf>
    <xf numFmtId="4" fontId="3" fillId="0" borderId="14" xfId="6" applyNumberFormat="1" applyFont="1" applyBorder="1" applyAlignment="1">
      <alignment horizontal="right" vertical="top" wrapText="1"/>
    </xf>
    <xf numFmtId="4" fontId="3" fillId="0" borderId="14" xfId="6" applyNumberFormat="1" applyFont="1" applyBorder="1" applyAlignment="1">
      <alignment horizontal="right" vertical="top" wrapText="1"/>
    </xf>
    <xf numFmtId="4" fontId="3" fillId="0" borderId="1" xfId="6" applyNumberFormat="1" applyFont="1" applyBorder="1" applyAlignment="1">
      <alignment horizontal="right" vertical="top" wrapText="1"/>
    </xf>
    <xf numFmtId="0" fontId="3" fillId="0" borderId="14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3" xfId="6" applyNumberFormat="1" applyFont="1" applyFill="1" applyBorder="1" applyAlignment="1">
      <alignment horizontal="center" vertical="top"/>
    </xf>
    <xf numFmtId="4" fontId="6" fillId="2" borderId="14" xfId="6" applyNumberFormat="1" applyFont="1" applyFill="1" applyBorder="1" applyAlignment="1">
      <alignment horizontal="right" vertical="top" wrapText="1"/>
    </xf>
    <xf numFmtId="0" fontId="5" fillId="2" borderId="3" xfId="7" applyNumberFormat="1" applyFont="1" applyFill="1" applyBorder="1" applyAlignment="1">
      <alignment vertical="top"/>
    </xf>
    <xf numFmtId="0" fontId="5" fillId="2" borderId="4" xfId="7" applyNumberFormat="1" applyFont="1" applyFill="1" applyBorder="1" applyAlignment="1">
      <alignment vertical="top"/>
    </xf>
    <xf numFmtId="0" fontId="5" fillId="2" borderId="5" xfId="7" applyNumberFormat="1" applyFont="1" applyFill="1" applyBorder="1" applyAlignment="1">
      <alignment vertical="top"/>
    </xf>
    <xf numFmtId="0" fontId="5" fillId="2" borderId="4" xfId="7" applyNumberFormat="1" applyFont="1" applyFill="1" applyBorder="1" applyAlignment="1">
      <alignment horizontal="center" vertical="top"/>
    </xf>
    <xf numFmtId="0" fontId="5" fillId="2" borderId="6" xfId="7" applyNumberFormat="1" applyFont="1" applyFill="1" applyBorder="1" applyAlignment="1">
      <alignment horizontal="center" vertical="top"/>
    </xf>
    <xf numFmtId="0" fontId="5" fillId="2" borderId="7" xfId="7" applyNumberFormat="1" applyFont="1" applyFill="1" applyBorder="1" applyAlignment="1">
      <alignment vertical="top"/>
    </xf>
    <xf numFmtId="0" fontId="5" fillId="2" borderId="8" xfId="7" applyNumberFormat="1" applyFont="1" applyFill="1" applyBorder="1" applyAlignment="1">
      <alignment vertical="top"/>
    </xf>
    <xf numFmtId="0" fontId="5" fillId="2" borderId="9" xfId="7" applyNumberFormat="1" applyFont="1" applyFill="1" applyBorder="1" applyAlignment="1">
      <alignment vertical="top"/>
    </xf>
    <xf numFmtId="0" fontId="5" fillId="2" borderId="6" xfId="7" applyNumberFormat="1" applyFont="1" applyFill="1" applyBorder="1" applyAlignment="1">
      <alignment vertical="top"/>
    </xf>
    <xf numFmtId="0" fontId="5" fillId="2" borderId="10" xfId="7" applyNumberFormat="1" applyFont="1" applyFill="1" applyBorder="1" applyAlignment="1">
      <alignment vertical="top"/>
    </xf>
    <xf numFmtId="0" fontId="5" fillId="2" borderId="10" xfId="7" applyNumberFormat="1" applyFont="1" applyFill="1" applyBorder="1" applyAlignment="1">
      <alignment vertical="top"/>
    </xf>
    <xf numFmtId="0" fontId="5" fillId="2" borderId="11" xfId="7" applyNumberFormat="1" applyFont="1" applyFill="1" applyBorder="1" applyAlignment="1">
      <alignment vertical="top"/>
    </xf>
    <xf numFmtId="0" fontId="5" fillId="2" borderId="12" xfId="7" applyNumberFormat="1" applyFont="1" applyFill="1" applyBorder="1" applyAlignment="1">
      <alignment vertical="top"/>
    </xf>
    <xf numFmtId="0" fontId="3" fillId="0" borderId="1" xfId="7" applyNumberFormat="1" applyFont="1" applyBorder="1" applyAlignment="1">
      <alignment vertical="top"/>
    </xf>
    <xf numFmtId="0" fontId="3" fillId="0" borderId="1" xfId="7" applyNumberFormat="1" applyFont="1" applyBorder="1" applyAlignment="1">
      <alignment vertical="top" wrapText="1"/>
    </xf>
    <xf numFmtId="0" fontId="3" fillId="0" borderId="1" xfId="7" applyNumberFormat="1" applyFont="1" applyBorder="1" applyAlignment="1">
      <alignment horizontal="left" vertical="top"/>
    </xf>
    <xf numFmtId="4" fontId="3" fillId="0" borderId="1" xfId="7" applyNumberFormat="1" applyFont="1" applyBorder="1" applyAlignment="1">
      <alignment horizontal="right" vertical="top" wrapText="1"/>
    </xf>
    <xf numFmtId="0" fontId="3" fillId="0" borderId="14" xfId="7" applyNumberFormat="1" applyFont="1" applyBorder="1" applyAlignment="1">
      <alignment horizontal="right" vertical="top" wrapText="1"/>
    </xf>
    <xf numFmtId="0" fontId="3" fillId="0" borderId="13" xfId="7" applyNumberFormat="1" applyFont="1" applyBorder="1" applyAlignment="1">
      <alignment horizontal="center" vertical="top"/>
    </xf>
    <xf numFmtId="4" fontId="3" fillId="0" borderId="14" xfId="7" applyNumberFormat="1" applyFont="1" applyBorder="1" applyAlignment="1">
      <alignment horizontal="right" vertical="top" wrapText="1"/>
    </xf>
    <xf numFmtId="2" fontId="3" fillId="0" borderId="1" xfId="7" applyNumberFormat="1" applyFont="1" applyBorder="1" applyAlignment="1">
      <alignment horizontal="right" vertical="top" wrapText="1"/>
    </xf>
    <xf numFmtId="0" fontId="3" fillId="0" borderId="1" xfId="7" applyNumberFormat="1" applyFont="1" applyBorder="1" applyAlignment="1">
      <alignment horizontal="right" vertical="top" wrapText="1"/>
    </xf>
    <xf numFmtId="4" fontId="3" fillId="0" borderId="14" xfId="7" applyNumberFormat="1" applyFont="1" applyBorder="1" applyAlignment="1">
      <alignment horizontal="right" vertical="top" wrapText="1"/>
    </xf>
    <xf numFmtId="2" fontId="3" fillId="0" borderId="14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3" xfId="7" applyNumberFormat="1" applyFont="1" applyFill="1" applyBorder="1" applyAlignment="1">
      <alignment horizontal="center" vertical="top"/>
    </xf>
    <xf numFmtId="4" fontId="6" fillId="2" borderId="14" xfId="7" applyNumberFormat="1" applyFont="1" applyFill="1" applyBorder="1" applyAlignment="1">
      <alignment horizontal="right" vertical="top" wrapText="1"/>
    </xf>
    <xf numFmtId="0" fontId="5" fillId="2" borderId="3" xfId="8" applyNumberFormat="1" applyFont="1" applyFill="1" applyBorder="1" applyAlignment="1">
      <alignment vertical="top"/>
    </xf>
    <xf numFmtId="0" fontId="5" fillId="2" borderId="4" xfId="8" applyNumberFormat="1" applyFont="1" applyFill="1" applyBorder="1" applyAlignment="1">
      <alignment vertical="top"/>
    </xf>
    <xf numFmtId="0" fontId="5" fillId="2" borderId="5" xfId="8" applyNumberFormat="1" applyFont="1" applyFill="1" applyBorder="1" applyAlignment="1">
      <alignment vertical="top"/>
    </xf>
    <xf numFmtId="0" fontId="5" fillId="2" borderId="4" xfId="8" applyNumberFormat="1" applyFont="1" applyFill="1" applyBorder="1" applyAlignment="1">
      <alignment horizontal="center" vertical="top"/>
    </xf>
    <xf numFmtId="0" fontId="5" fillId="2" borderId="6" xfId="8" applyNumberFormat="1" applyFont="1" applyFill="1" applyBorder="1" applyAlignment="1">
      <alignment horizontal="center" vertical="top"/>
    </xf>
    <xf numFmtId="0" fontId="5" fillId="2" borderId="7" xfId="8" applyNumberFormat="1" applyFont="1" applyFill="1" applyBorder="1" applyAlignment="1">
      <alignment vertical="top"/>
    </xf>
    <xf numFmtId="0" fontId="5" fillId="2" borderId="8" xfId="8" applyNumberFormat="1" applyFont="1" applyFill="1" applyBorder="1" applyAlignment="1">
      <alignment vertical="top"/>
    </xf>
    <xf numFmtId="0" fontId="5" fillId="2" borderId="9" xfId="8" applyNumberFormat="1" applyFont="1" applyFill="1" applyBorder="1" applyAlignment="1">
      <alignment vertical="top"/>
    </xf>
    <xf numFmtId="0" fontId="5" fillId="2" borderId="6" xfId="8" applyNumberFormat="1" applyFont="1" applyFill="1" applyBorder="1" applyAlignment="1">
      <alignment vertical="top"/>
    </xf>
    <xf numFmtId="0" fontId="5" fillId="2" borderId="10" xfId="8" applyNumberFormat="1" applyFont="1" applyFill="1" applyBorder="1" applyAlignment="1">
      <alignment vertical="top"/>
    </xf>
    <xf numFmtId="0" fontId="5" fillId="2" borderId="10" xfId="8" applyNumberFormat="1" applyFont="1" applyFill="1" applyBorder="1" applyAlignment="1">
      <alignment vertical="top"/>
    </xf>
    <xf numFmtId="0" fontId="5" fillId="2" borderId="11" xfId="8" applyNumberFormat="1" applyFont="1" applyFill="1" applyBorder="1" applyAlignment="1">
      <alignment vertical="top"/>
    </xf>
    <xf numFmtId="0" fontId="5" fillId="2" borderId="12" xfId="8" applyNumberFormat="1" applyFont="1" applyFill="1" applyBorder="1" applyAlignment="1">
      <alignment vertical="top"/>
    </xf>
    <xf numFmtId="0" fontId="3" fillId="0" borderId="1" xfId="8" applyNumberFormat="1" applyFont="1" applyBorder="1" applyAlignment="1">
      <alignment vertical="top"/>
    </xf>
    <xf numFmtId="0" fontId="3" fillId="0" borderId="1" xfId="8" applyNumberFormat="1" applyFont="1" applyBorder="1" applyAlignment="1">
      <alignment vertical="top" wrapText="1"/>
    </xf>
    <xf numFmtId="0" fontId="3" fillId="0" borderId="1" xfId="8" applyNumberFormat="1" applyFont="1" applyBorder="1" applyAlignment="1">
      <alignment horizontal="left" vertical="top"/>
    </xf>
    <xf numFmtId="2" fontId="3" fillId="0" borderId="1" xfId="8" applyNumberFormat="1" applyFont="1" applyBorder="1" applyAlignment="1">
      <alignment horizontal="right" vertical="top" wrapText="1"/>
    </xf>
    <xf numFmtId="0" fontId="3" fillId="0" borderId="14" xfId="8" applyNumberFormat="1" applyFont="1" applyBorder="1" applyAlignment="1">
      <alignment horizontal="right" vertical="top" wrapText="1"/>
    </xf>
    <xf numFmtId="0" fontId="3" fillId="0" borderId="13" xfId="8" applyNumberFormat="1" applyFont="1" applyBorder="1" applyAlignment="1">
      <alignment horizontal="center" vertical="top"/>
    </xf>
    <xf numFmtId="4" fontId="3" fillId="0" borderId="14" xfId="8" applyNumberFormat="1" applyFont="1" applyBorder="1" applyAlignment="1">
      <alignment horizontal="right" vertical="top" wrapText="1"/>
    </xf>
    <xf numFmtId="4" fontId="3" fillId="0" borderId="1" xfId="8" applyNumberFormat="1" applyFont="1" applyBorder="1" applyAlignment="1">
      <alignment horizontal="right" vertical="top" wrapText="1"/>
    </xf>
    <xf numFmtId="0" fontId="3" fillId="0" borderId="1" xfId="8" applyNumberFormat="1" applyFont="1" applyBorder="1" applyAlignment="1">
      <alignment horizontal="right" vertical="top" wrapText="1"/>
    </xf>
    <xf numFmtId="2" fontId="3" fillId="0" borderId="14" xfId="8" applyNumberFormat="1" applyFont="1" applyBorder="1" applyAlignment="1">
      <alignment horizontal="right" vertical="top" wrapText="1"/>
    </xf>
    <xf numFmtId="4" fontId="3" fillId="0" borderId="14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4" fontId="6" fillId="2" borderId="1" xfId="8" applyNumberFormat="1" applyFont="1" applyFill="1" applyBorder="1" applyAlignment="1">
      <alignment horizontal="right" vertical="top" wrapText="1"/>
    </xf>
    <xf numFmtId="0" fontId="6" fillId="2" borderId="13" xfId="8" applyNumberFormat="1" applyFont="1" applyFill="1" applyBorder="1" applyAlignment="1">
      <alignment horizontal="center" vertical="top"/>
    </xf>
    <xf numFmtId="4" fontId="6" fillId="2" borderId="14" xfId="8" applyNumberFormat="1" applyFont="1" applyFill="1" applyBorder="1" applyAlignment="1">
      <alignment horizontal="right" vertical="top" wrapText="1"/>
    </xf>
    <xf numFmtId="0" fontId="5" fillId="2" borderId="3" xfId="9" applyNumberFormat="1" applyFont="1" applyFill="1" applyBorder="1" applyAlignment="1">
      <alignment vertical="top"/>
    </xf>
    <xf numFmtId="0" fontId="5" fillId="2" borderId="4" xfId="9" applyNumberFormat="1" applyFont="1" applyFill="1" applyBorder="1" applyAlignment="1">
      <alignment vertical="top"/>
    </xf>
    <xf numFmtId="0" fontId="5" fillId="2" borderId="5" xfId="9" applyNumberFormat="1" applyFont="1" applyFill="1" applyBorder="1" applyAlignment="1">
      <alignment vertical="top"/>
    </xf>
    <xf numFmtId="0" fontId="5" fillId="2" borderId="4" xfId="9" applyNumberFormat="1" applyFont="1" applyFill="1" applyBorder="1" applyAlignment="1">
      <alignment horizontal="center" vertical="top"/>
    </xf>
    <xf numFmtId="0" fontId="5" fillId="2" borderId="6" xfId="9" applyNumberFormat="1" applyFont="1" applyFill="1" applyBorder="1" applyAlignment="1">
      <alignment horizontal="center" vertical="top"/>
    </xf>
    <xf numFmtId="0" fontId="5" fillId="2" borderId="7" xfId="9" applyNumberFormat="1" applyFont="1" applyFill="1" applyBorder="1" applyAlignment="1">
      <alignment vertical="top"/>
    </xf>
    <xf numFmtId="0" fontId="5" fillId="2" borderId="8" xfId="9" applyNumberFormat="1" applyFont="1" applyFill="1" applyBorder="1" applyAlignment="1">
      <alignment vertical="top"/>
    </xf>
    <xf numFmtId="0" fontId="5" fillId="2" borderId="9" xfId="9" applyNumberFormat="1" applyFont="1" applyFill="1" applyBorder="1" applyAlignment="1">
      <alignment vertical="top"/>
    </xf>
    <xf numFmtId="0" fontId="5" fillId="2" borderId="6" xfId="9" applyNumberFormat="1" applyFont="1" applyFill="1" applyBorder="1" applyAlignment="1">
      <alignment vertical="top"/>
    </xf>
    <xf numFmtId="0" fontId="5" fillId="2" borderId="10" xfId="9" applyNumberFormat="1" applyFont="1" applyFill="1" applyBorder="1" applyAlignment="1">
      <alignment vertical="top"/>
    </xf>
    <xf numFmtId="0" fontId="5" fillId="2" borderId="10" xfId="9" applyNumberFormat="1" applyFont="1" applyFill="1" applyBorder="1" applyAlignment="1">
      <alignment vertical="top"/>
    </xf>
    <xf numFmtId="0" fontId="5" fillId="2" borderId="11" xfId="9" applyNumberFormat="1" applyFont="1" applyFill="1" applyBorder="1" applyAlignment="1">
      <alignment vertical="top"/>
    </xf>
    <xf numFmtId="0" fontId="5" fillId="2" borderId="12" xfId="9" applyNumberFormat="1" applyFont="1" applyFill="1" applyBorder="1" applyAlignment="1">
      <alignment vertical="top"/>
    </xf>
    <xf numFmtId="0" fontId="3" fillId="0" borderId="1" xfId="9" applyNumberFormat="1" applyFont="1" applyBorder="1" applyAlignment="1">
      <alignment vertical="top"/>
    </xf>
    <xf numFmtId="0" fontId="3" fillId="0" borderId="1" xfId="9" applyNumberFormat="1" applyFont="1" applyBorder="1" applyAlignment="1">
      <alignment vertical="top" wrapText="1"/>
    </xf>
    <xf numFmtId="0" fontId="3" fillId="0" borderId="1" xfId="9" applyNumberFormat="1" applyFont="1" applyBorder="1" applyAlignment="1">
      <alignment horizontal="left" vertical="top"/>
    </xf>
    <xf numFmtId="0" fontId="3" fillId="0" borderId="1" xfId="9" applyNumberFormat="1" applyFont="1" applyBorder="1" applyAlignment="1">
      <alignment horizontal="right" vertical="top" wrapText="1"/>
    </xf>
    <xf numFmtId="4" fontId="3" fillId="0" borderId="14" xfId="9" applyNumberFormat="1" applyFont="1" applyBorder="1" applyAlignment="1">
      <alignment horizontal="right" vertical="top" wrapText="1"/>
    </xf>
    <xf numFmtId="0" fontId="3" fillId="0" borderId="13" xfId="9" applyNumberFormat="1" applyFont="1" applyBorder="1" applyAlignment="1">
      <alignment horizontal="center" vertical="top"/>
    </xf>
    <xf numFmtId="4" fontId="3" fillId="0" borderId="14" xfId="9" applyNumberFormat="1" applyFont="1" applyBorder="1" applyAlignment="1">
      <alignment horizontal="right" vertical="top" wrapText="1"/>
    </xf>
    <xf numFmtId="4" fontId="3" fillId="0" borderId="1" xfId="9" applyNumberFormat="1" applyFont="1" applyBorder="1" applyAlignment="1">
      <alignment horizontal="right" vertical="top" wrapText="1"/>
    </xf>
    <xf numFmtId="0" fontId="3" fillId="0" borderId="14" xfId="9" applyNumberFormat="1" applyFont="1" applyBorder="1" applyAlignment="1">
      <alignment horizontal="right" vertical="top" wrapText="1"/>
    </xf>
    <xf numFmtId="0" fontId="6" fillId="2" borderId="1" xfId="9" applyNumberFormat="1" applyFont="1" applyFill="1" applyBorder="1" applyAlignment="1">
      <alignment vertical="top"/>
    </xf>
    <xf numFmtId="4" fontId="6" fillId="2" borderId="1" xfId="9" applyNumberFormat="1" applyFont="1" applyFill="1" applyBorder="1" applyAlignment="1">
      <alignment horizontal="right" vertical="top" wrapText="1"/>
    </xf>
    <xf numFmtId="0" fontId="6" fillId="2" borderId="13" xfId="9" applyNumberFormat="1" applyFont="1" applyFill="1" applyBorder="1" applyAlignment="1">
      <alignment horizontal="center" vertical="top"/>
    </xf>
    <xf numFmtId="4" fontId="6" fillId="2" borderId="14" xfId="9" applyNumberFormat="1" applyFont="1" applyFill="1" applyBorder="1" applyAlignment="1">
      <alignment horizontal="right" vertical="top" wrapText="1"/>
    </xf>
    <xf numFmtId="0" fontId="5" fillId="2" borderId="3" xfId="10" applyNumberFormat="1" applyFont="1" applyFill="1" applyBorder="1" applyAlignment="1">
      <alignment vertical="top"/>
    </xf>
    <xf numFmtId="0" fontId="5" fillId="2" borderId="4" xfId="10" applyNumberFormat="1" applyFont="1" applyFill="1" applyBorder="1" applyAlignment="1">
      <alignment vertical="top"/>
    </xf>
    <xf numFmtId="0" fontId="5" fillId="2" borderId="5" xfId="10" applyNumberFormat="1" applyFont="1" applyFill="1" applyBorder="1" applyAlignment="1">
      <alignment vertical="top"/>
    </xf>
    <xf numFmtId="0" fontId="5" fillId="2" borderId="4" xfId="10" applyNumberFormat="1" applyFont="1" applyFill="1" applyBorder="1" applyAlignment="1">
      <alignment horizontal="center" vertical="top"/>
    </xf>
    <xf numFmtId="0" fontId="5" fillId="2" borderId="6" xfId="10" applyNumberFormat="1" applyFont="1" applyFill="1" applyBorder="1" applyAlignment="1">
      <alignment horizontal="center" vertical="top"/>
    </xf>
    <xf numFmtId="0" fontId="5" fillId="2" borderId="7" xfId="10" applyNumberFormat="1" applyFont="1" applyFill="1" applyBorder="1" applyAlignment="1">
      <alignment vertical="top"/>
    </xf>
    <xf numFmtId="0" fontId="5" fillId="2" borderId="8" xfId="10" applyNumberFormat="1" applyFont="1" applyFill="1" applyBorder="1" applyAlignment="1">
      <alignment vertical="top"/>
    </xf>
    <xf numFmtId="0" fontId="5" fillId="2" borderId="9" xfId="10" applyNumberFormat="1" applyFont="1" applyFill="1" applyBorder="1" applyAlignment="1">
      <alignment vertical="top"/>
    </xf>
    <xf numFmtId="0" fontId="5" fillId="2" borderId="6" xfId="10" applyNumberFormat="1" applyFont="1" applyFill="1" applyBorder="1" applyAlignment="1">
      <alignment vertical="top"/>
    </xf>
    <xf numFmtId="0" fontId="5" fillId="2" borderId="10" xfId="10" applyNumberFormat="1" applyFont="1" applyFill="1" applyBorder="1" applyAlignment="1">
      <alignment vertical="top"/>
    </xf>
    <xf numFmtId="0" fontId="5" fillId="2" borderId="10" xfId="10" applyNumberFormat="1" applyFont="1" applyFill="1" applyBorder="1" applyAlignment="1">
      <alignment vertical="top"/>
    </xf>
    <xf numFmtId="0" fontId="5" fillId="2" borderId="11" xfId="10" applyNumberFormat="1" applyFont="1" applyFill="1" applyBorder="1" applyAlignment="1">
      <alignment vertical="top"/>
    </xf>
    <xf numFmtId="0" fontId="5" fillId="2" borderId="12" xfId="10" applyNumberFormat="1" applyFont="1" applyFill="1" applyBorder="1" applyAlignment="1">
      <alignment vertical="top"/>
    </xf>
    <xf numFmtId="0" fontId="3" fillId="0" borderId="1" xfId="10" applyNumberFormat="1" applyFont="1" applyBorder="1" applyAlignment="1">
      <alignment vertical="top"/>
    </xf>
    <xf numFmtId="0" fontId="3" fillId="0" borderId="1" xfId="10" applyNumberFormat="1" applyFont="1" applyBorder="1" applyAlignment="1">
      <alignment vertical="top" wrapText="1"/>
    </xf>
    <xf numFmtId="0" fontId="3" fillId="0" borderId="1" xfId="10" applyNumberFormat="1" applyFont="1" applyBorder="1" applyAlignment="1">
      <alignment horizontal="left" vertical="top"/>
    </xf>
    <xf numFmtId="4" fontId="3" fillId="0" borderId="1" xfId="10" applyNumberFormat="1" applyFont="1" applyBorder="1" applyAlignment="1">
      <alignment horizontal="right" vertical="top" wrapText="1"/>
    </xf>
    <xf numFmtId="0" fontId="3" fillId="0" borderId="14" xfId="10" applyNumberFormat="1" applyFont="1" applyBorder="1" applyAlignment="1">
      <alignment horizontal="right" vertical="top" wrapText="1"/>
    </xf>
    <xf numFmtId="0" fontId="3" fillId="0" borderId="13" xfId="10" applyNumberFormat="1" applyFont="1" applyBorder="1" applyAlignment="1">
      <alignment horizontal="center" vertical="top"/>
    </xf>
    <xf numFmtId="4" fontId="3" fillId="0" borderId="14" xfId="10" applyNumberFormat="1" applyFont="1" applyBorder="1" applyAlignment="1">
      <alignment horizontal="right" vertical="top" wrapText="1"/>
    </xf>
    <xf numFmtId="0" fontId="3" fillId="0" borderId="1" xfId="10" applyNumberFormat="1" applyFont="1" applyBorder="1" applyAlignment="1">
      <alignment horizontal="right" vertical="top" wrapText="1"/>
    </xf>
    <xf numFmtId="4" fontId="3" fillId="0" borderId="14" xfId="10" applyNumberFormat="1" applyFont="1" applyBorder="1" applyAlignment="1">
      <alignment horizontal="right" vertical="top" wrapText="1"/>
    </xf>
    <xf numFmtId="2" fontId="3" fillId="0" borderId="14" xfId="10" applyNumberFormat="1" applyFont="1" applyBorder="1" applyAlignment="1">
      <alignment horizontal="right" vertical="top" wrapText="1"/>
    </xf>
    <xf numFmtId="2" fontId="3" fillId="0" borderId="1" xfId="10" applyNumberFormat="1" applyFont="1" applyBorder="1" applyAlignment="1">
      <alignment horizontal="right" vertical="top" wrapText="1"/>
    </xf>
    <xf numFmtId="0" fontId="6" fillId="2" borderId="1" xfId="10" applyNumberFormat="1" applyFont="1" applyFill="1" applyBorder="1" applyAlignment="1">
      <alignment vertical="top"/>
    </xf>
    <xf numFmtId="4" fontId="6" fillId="2" borderId="1" xfId="10" applyNumberFormat="1" applyFont="1" applyFill="1" applyBorder="1" applyAlignment="1">
      <alignment horizontal="right" vertical="top" wrapText="1"/>
    </xf>
    <xf numFmtId="0" fontId="6" fillId="2" borderId="13" xfId="10" applyNumberFormat="1" applyFont="1" applyFill="1" applyBorder="1" applyAlignment="1">
      <alignment horizontal="center" vertical="top"/>
    </xf>
    <xf numFmtId="4" fontId="6" fillId="2" borderId="14" xfId="10" applyNumberFormat="1" applyFont="1" applyFill="1" applyBorder="1" applyAlignment="1">
      <alignment horizontal="right" vertical="top" wrapText="1"/>
    </xf>
    <xf numFmtId="0" fontId="5" fillId="2" borderId="3" xfId="11" applyNumberFormat="1" applyFont="1" applyFill="1" applyBorder="1" applyAlignment="1">
      <alignment vertical="top"/>
    </xf>
    <xf numFmtId="0" fontId="5" fillId="2" borderId="4" xfId="11" applyNumberFormat="1" applyFont="1" applyFill="1" applyBorder="1" applyAlignment="1">
      <alignment vertical="top"/>
    </xf>
    <xf numFmtId="0" fontId="5" fillId="2" borderId="5" xfId="11" applyNumberFormat="1" applyFont="1" applyFill="1" applyBorder="1" applyAlignment="1">
      <alignment vertical="top"/>
    </xf>
    <xf numFmtId="0" fontId="5" fillId="2" borderId="4" xfId="11" applyNumberFormat="1" applyFont="1" applyFill="1" applyBorder="1" applyAlignment="1">
      <alignment horizontal="center" vertical="top"/>
    </xf>
    <xf numFmtId="0" fontId="5" fillId="2" borderId="6" xfId="11" applyNumberFormat="1" applyFont="1" applyFill="1" applyBorder="1" applyAlignment="1">
      <alignment horizontal="center" vertical="top"/>
    </xf>
    <xf numFmtId="0" fontId="5" fillId="2" borderId="7" xfId="11" applyNumberFormat="1" applyFont="1" applyFill="1" applyBorder="1" applyAlignment="1">
      <alignment vertical="top"/>
    </xf>
    <xf numFmtId="0" fontId="5" fillId="2" borderId="8" xfId="11" applyNumberFormat="1" applyFont="1" applyFill="1" applyBorder="1" applyAlignment="1">
      <alignment vertical="top"/>
    </xf>
    <xf numFmtId="0" fontId="5" fillId="2" borderId="9" xfId="11" applyNumberFormat="1" applyFont="1" applyFill="1" applyBorder="1" applyAlignment="1">
      <alignment vertical="top"/>
    </xf>
    <xf numFmtId="0" fontId="5" fillId="2" borderId="6" xfId="11" applyNumberFormat="1" applyFont="1" applyFill="1" applyBorder="1" applyAlignment="1">
      <alignment vertical="top"/>
    </xf>
    <xf numFmtId="0" fontId="5" fillId="2" borderId="10" xfId="11" applyNumberFormat="1" applyFont="1" applyFill="1" applyBorder="1" applyAlignment="1">
      <alignment vertical="top"/>
    </xf>
    <xf numFmtId="0" fontId="5" fillId="2" borderId="10" xfId="11" applyNumberFormat="1" applyFont="1" applyFill="1" applyBorder="1" applyAlignment="1">
      <alignment vertical="top"/>
    </xf>
    <xf numFmtId="0" fontId="5" fillId="2" borderId="11" xfId="11" applyNumberFormat="1" applyFont="1" applyFill="1" applyBorder="1" applyAlignment="1">
      <alignment vertical="top"/>
    </xf>
    <xf numFmtId="0" fontId="5" fillId="2" borderId="12" xfId="11" applyNumberFormat="1" applyFont="1" applyFill="1" applyBorder="1" applyAlignment="1">
      <alignment vertical="top"/>
    </xf>
    <xf numFmtId="0" fontId="3" fillId="0" borderId="1" xfId="11" applyNumberFormat="1" applyFont="1" applyBorder="1" applyAlignment="1">
      <alignment vertical="top"/>
    </xf>
    <xf numFmtId="0" fontId="3" fillId="0" borderId="1" xfId="11" applyNumberFormat="1" applyFont="1" applyBorder="1" applyAlignment="1">
      <alignment vertical="top" wrapText="1"/>
    </xf>
    <xf numFmtId="0" fontId="3" fillId="0" borderId="1" xfId="11" applyNumberFormat="1" applyFont="1" applyBorder="1" applyAlignment="1">
      <alignment horizontal="left" vertical="top"/>
    </xf>
    <xf numFmtId="4" fontId="3" fillId="0" borderId="1" xfId="11" applyNumberFormat="1" applyFont="1" applyBorder="1" applyAlignment="1">
      <alignment horizontal="right" vertical="top" wrapText="1"/>
    </xf>
    <xf numFmtId="0" fontId="3" fillId="0" borderId="14" xfId="11" applyNumberFormat="1" applyFont="1" applyBorder="1" applyAlignment="1">
      <alignment horizontal="right" vertical="top" wrapText="1"/>
    </xf>
    <xf numFmtId="0" fontId="3" fillId="0" borderId="13" xfId="11" applyNumberFormat="1" applyFont="1" applyBorder="1" applyAlignment="1">
      <alignment horizontal="center" vertical="top"/>
    </xf>
    <xf numFmtId="4" fontId="3" fillId="0" borderId="14" xfId="11" applyNumberFormat="1" applyFont="1" applyBorder="1" applyAlignment="1">
      <alignment horizontal="right" vertical="top" wrapText="1"/>
    </xf>
    <xf numFmtId="2" fontId="3" fillId="0" borderId="1" xfId="11" applyNumberFormat="1" applyFont="1" applyBorder="1" applyAlignment="1">
      <alignment horizontal="right" vertical="top" wrapText="1"/>
    </xf>
    <xf numFmtId="0" fontId="3" fillId="0" borderId="1" xfId="11" applyNumberFormat="1" applyFont="1" applyBorder="1" applyAlignment="1">
      <alignment horizontal="right" vertical="top" wrapText="1"/>
    </xf>
    <xf numFmtId="4" fontId="3" fillId="0" borderId="14" xfId="11" applyNumberFormat="1" applyFont="1" applyBorder="1" applyAlignment="1">
      <alignment horizontal="right" vertical="top" wrapText="1"/>
    </xf>
    <xf numFmtId="2" fontId="3" fillId="0" borderId="14" xfId="11" applyNumberFormat="1" applyFont="1" applyBorder="1" applyAlignment="1">
      <alignment horizontal="right" vertical="top" wrapText="1"/>
    </xf>
    <xf numFmtId="0" fontId="6" fillId="2" borderId="1" xfId="11" applyNumberFormat="1" applyFont="1" applyFill="1" applyBorder="1" applyAlignment="1">
      <alignment vertical="top"/>
    </xf>
    <xf numFmtId="4" fontId="6" fillId="2" borderId="1" xfId="11" applyNumberFormat="1" applyFont="1" applyFill="1" applyBorder="1" applyAlignment="1">
      <alignment horizontal="right" vertical="top" wrapText="1"/>
    </xf>
    <xf numFmtId="0" fontId="6" fillId="2" borderId="13" xfId="11" applyNumberFormat="1" applyFont="1" applyFill="1" applyBorder="1" applyAlignment="1">
      <alignment horizontal="center" vertical="top"/>
    </xf>
    <xf numFmtId="4" fontId="6" fillId="2" borderId="14" xfId="11" applyNumberFormat="1" applyFont="1" applyFill="1" applyBorder="1" applyAlignment="1">
      <alignment horizontal="right" vertical="top" wrapText="1"/>
    </xf>
    <xf numFmtId="0" fontId="5" fillId="2" borderId="3" xfId="12" applyNumberFormat="1" applyFont="1" applyFill="1" applyBorder="1" applyAlignment="1">
      <alignment vertical="top"/>
    </xf>
    <xf numFmtId="0" fontId="5" fillId="2" borderId="4" xfId="12" applyNumberFormat="1" applyFont="1" applyFill="1" applyBorder="1" applyAlignment="1">
      <alignment vertical="top"/>
    </xf>
    <xf numFmtId="0" fontId="5" fillId="2" borderId="5" xfId="12" applyNumberFormat="1" applyFont="1" applyFill="1" applyBorder="1" applyAlignment="1">
      <alignment vertical="top"/>
    </xf>
    <xf numFmtId="0" fontId="5" fillId="2" borderId="4" xfId="12" applyNumberFormat="1" applyFont="1" applyFill="1" applyBorder="1" applyAlignment="1">
      <alignment horizontal="center" vertical="top"/>
    </xf>
    <xf numFmtId="0" fontId="5" fillId="2" borderId="6" xfId="12" applyNumberFormat="1" applyFont="1" applyFill="1" applyBorder="1" applyAlignment="1">
      <alignment horizontal="center" vertical="top"/>
    </xf>
    <xf numFmtId="0" fontId="5" fillId="2" borderId="7" xfId="12" applyNumberFormat="1" applyFont="1" applyFill="1" applyBorder="1" applyAlignment="1">
      <alignment vertical="top"/>
    </xf>
    <xf numFmtId="0" fontId="5" fillId="2" borderId="8" xfId="12" applyNumberFormat="1" applyFont="1" applyFill="1" applyBorder="1" applyAlignment="1">
      <alignment vertical="top"/>
    </xf>
    <xf numFmtId="0" fontId="5" fillId="2" borderId="9" xfId="12" applyNumberFormat="1" applyFont="1" applyFill="1" applyBorder="1" applyAlignment="1">
      <alignment vertical="top"/>
    </xf>
    <xf numFmtId="0" fontId="5" fillId="2" borderId="6" xfId="12" applyNumberFormat="1" applyFont="1" applyFill="1" applyBorder="1" applyAlignment="1">
      <alignment vertical="top"/>
    </xf>
    <xf numFmtId="0" fontId="5" fillId="2" borderId="10" xfId="12" applyNumberFormat="1" applyFont="1" applyFill="1" applyBorder="1" applyAlignment="1">
      <alignment vertical="top"/>
    </xf>
    <xf numFmtId="0" fontId="5" fillId="2" borderId="10" xfId="12" applyNumberFormat="1" applyFont="1" applyFill="1" applyBorder="1" applyAlignment="1">
      <alignment vertical="top"/>
    </xf>
    <xf numFmtId="0" fontId="5" fillId="2" borderId="11" xfId="12" applyNumberFormat="1" applyFont="1" applyFill="1" applyBorder="1" applyAlignment="1">
      <alignment vertical="top"/>
    </xf>
    <xf numFmtId="0" fontId="5" fillId="2" borderId="12" xfId="12" applyNumberFormat="1" applyFont="1" applyFill="1" applyBorder="1" applyAlignment="1">
      <alignment vertical="top"/>
    </xf>
    <xf numFmtId="0" fontId="3" fillId="0" borderId="1" xfId="12" applyNumberFormat="1" applyFont="1" applyBorder="1" applyAlignment="1">
      <alignment vertical="top"/>
    </xf>
    <xf numFmtId="0" fontId="3" fillId="0" borderId="1" xfId="12" applyNumberFormat="1" applyFont="1" applyBorder="1" applyAlignment="1">
      <alignment vertical="top" wrapText="1"/>
    </xf>
    <xf numFmtId="0" fontId="3" fillId="0" borderId="1" xfId="12" applyNumberFormat="1" applyFont="1" applyBorder="1" applyAlignment="1">
      <alignment horizontal="left" vertical="top"/>
    </xf>
    <xf numFmtId="4" fontId="3" fillId="0" borderId="1" xfId="12" applyNumberFormat="1" applyFont="1" applyBorder="1" applyAlignment="1">
      <alignment horizontal="right" vertical="top" wrapText="1"/>
    </xf>
    <xf numFmtId="0" fontId="3" fillId="0" borderId="14" xfId="12" applyNumberFormat="1" applyFont="1" applyBorder="1" applyAlignment="1">
      <alignment horizontal="right" vertical="top" wrapText="1"/>
    </xf>
    <xf numFmtId="0" fontId="3" fillId="0" borderId="13" xfId="12" applyNumberFormat="1" applyFont="1" applyBorder="1" applyAlignment="1">
      <alignment horizontal="center" vertical="top"/>
    </xf>
    <xf numFmtId="4" fontId="3" fillId="0" borderId="14" xfId="12" applyNumberFormat="1" applyFont="1" applyBorder="1" applyAlignment="1">
      <alignment horizontal="right" vertical="top" wrapText="1"/>
    </xf>
    <xf numFmtId="0" fontId="3" fillId="0" borderId="1" xfId="12" applyNumberFormat="1" applyFont="1" applyBorder="1" applyAlignment="1">
      <alignment horizontal="right" vertical="top" wrapText="1"/>
    </xf>
    <xf numFmtId="4" fontId="3" fillId="0" borderId="14" xfId="12" applyNumberFormat="1" applyFont="1" applyBorder="1" applyAlignment="1">
      <alignment horizontal="right" vertical="top" wrapText="1"/>
    </xf>
    <xf numFmtId="2" fontId="3" fillId="0" borderId="14" xfId="12" applyNumberFormat="1" applyFont="1" applyBorder="1" applyAlignment="1">
      <alignment horizontal="right" vertical="top" wrapText="1"/>
    </xf>
    <xf numFmtId="0" fontId="6" fillId="2" borderId="1" xfId="12" applyNumberFormat="1" applyFont="1" applyFill="1" applyBorder="1" applyAlignment="1">
      <alignment vertical="top"/>
    </xf>
    <xf numFmtId="4" fontId="6" fillId="2" borderId="1" xfId="12" applyNumberFormat="1" applyFont="1" applyFill="1" applyBorder="1" applyAlignment="1">
      <alignment horizontal="right" vertical="top" wrapText="1"/>
    </xf>
    <xf numFmtId="0" fontId="6" fillId="2" borderId="13" xfId="12" applyNumberFormat="1" applyFont="1" applyFill="1" applyBorder="1" applyAlignment="1">
      <alignment horizontal="center" vertical="top"/>
    </xf>
    <xf numFmtId="4" fontId="6" fillId="2" borderId="14" xfId="12" applyNumberFormat="1" applyFont="1" applyFill="1" applyBorder="1" applyAlignment="1">
      <alignment horizontal="right" vertical="top" wrapText="1"/>
    </xf>
    <xf numFmtId="0" fontId="5" fillId="2" borderId="3" xfId="13" applyNumberFormat="1" applyFont="1" applyFill="1" applyBorder="1" applyAlignment="1">
      <alignment vertical="top"/>
    </xf>
    <xf numFmtId="0" fontId="5" fillId="2" borderId="4" xfId="13" applyNumberFormat="1" applyFont="1" applyFill="1" applyBorder="1" applyAlignment="1">
      <alignment vertical="top"/>
    </xf>
    <xf numFmtId="0" fontId="5" fillId="2" borderId="5" xfId="13" applyNumberFormat="1" applyFont="1" applyFill="1" applyBorder="1" applyAlignment="1">
      <alignment vertical="top"/>
    </xf>
    <xf numFmtId="0" fontId="5" fillId="2" borderId="4" xfId="13" applyNumberFormat="1" applyFont="1" applyFill="1" applyBorder="1" applyAlignment="1">
      <alignment horizontal="center" vertical="top"/>
    </xf>
    <xf numFmtId="0" fontId="5" fillId="2" borderId="6" xfId="13" applyNumberFormat="1" applyFont="1" applyFill="1" applyBorder="1" applyAlignment="1">
      <alignment horizontal="center" vertical="top"/>
    </xf>
    <xf numFmtId="0" fontId="5" fillId="2" borderId="7" xfId="13" applyNumberFormat="1" applyFont="1" applyFill="1" applyBorder="1" applyAlignment="1">
      <alignment vertical="top"/>
    </xf>
    <xf numFmtId="0" fontId="5" fillId="2" borderId="8" xfId="13" applyNumberFormat="1" applyFont="1" applyFill="1" applyBorder="1" applyAlignment="1">
      <alignment vertical="top"/>
    </xf>
    <xf numFmtId="0" fontId="5" fillId="2" borderId="9" xfId="13" applyNumberFormat="1" applyFont="1" applyFill="1" applyBorder="1" applyAlignment="1">
      <alignment vertical="top"/>
    </xf>
    <xf numFmtId="0" fontId="5" fillId="2" borderId="6" xfId="13" applyNumberFormat="1" applyFont="1" applyFill="1" applyBorder="1" applyAlignment="1">
      <alignment vertical="top"/>
    </xf>
    <xf numFmtId="0" fontId="5" fillId="2" borderId="10" xfId="13" applyNumberFormat="1" applyFont="1" applyFill="1" applyBorder="1" applyAlignment="1">
      <alignment vertical="top"/>
    </xf>
    <xf numFmtId="0" fontId="5" fillId="2" borderId="10" xfId="13" applyNumberFormat="1" applyFont="1" applyFill="1" applyBorder="1" applyAlignment="1">
      <alignment vertical="top"/>
    </xf>
    <xf numFmtId="0" fontId="5" fillId="2" borderId="11" xfId="13" applyNumberFormat="1" applyFont="1" applyFill="1" applyBorder="1" applyAlignment="1">
      <alignment vertical="top"/>
    </xf>
    <xf numFmtId="0" fontId="5" fillId="2" borderId="12" xfId="13" applyNumberFormat="1" applyFont="1" applyFill="1" applyBorder="1" applyAlignment="1">
      <alignment vertical="top"/>
    </xf>
    <xf numFmtId="0" fontId="3" fillId="0" borderId="1" xfId="13" applyNumberFormat="1" applyFont="1" applyBorder="1" applyAlignment="1">
      <alignment vertical="top"/>
    </xf>
    <xf numFmtId="0" fontId="3" fillId="0" borderId="1" xfId="13" applyNumberFormat="1" applyFont="1" applyBorder="1" applyAlignment="1">
      <alignment vertical="top" wrapText="1"/>
    </xf>
    <xf numFmtId="0" fontId="3" fillId="0" borderId="1" xfId="13" applyNumberFormat="1" applyFont="1" applyBorder="1" applyAlignment="1">
      <alignment horizontal="left" vertical="top"/>
    </xf>
    <xf numFmtId="2" fontId="3" fillId="0" borderId="1" xfId="13" applyNumberFormat="1" applyFont="1" applyBorder="1" applyAlignment="1">
      <alignment horizontal="right" vertical="top" wrapText="1"/>
    </xf>
    <xf numFmtId="0" fontId="3" fillId="0" borderId="14" xfId="13" applyNumberFormat="1" applyFont="1" applyBorder="1" applyAlignment="1">
      <alignment horizontal="right" vertical="top" wrapText="1"/>
    </xf>
    <xf numFmtId="0" fontId="3" fillId="0" borderId="13" xfId="13" applyNumberFormat="1" applyFont="1" applyBorder="1" applyAlignment="1">
      <alignment horizontal="center" vertical="top"/>
    </xf>
    <xf numFmtId="4" fontId="3" fillId="0" borderId="14" xfId="13" applyNumberFormat="1" applyFont="1" applyBorder="1" applyAlignment="1">
      <alignment horizontal="right" vertical="top" wrapText="1"/>
    </xf>
    <xf numFmtId="4" fontId="3" fillId="0" borderId="1" xfId="13" applyNumberFormat="1" applyFont="1" applyBorder="1" applyAlignment="1">
      <alignment horizontal="right" vertical="top" wrapText="1"/>
    </xf>
    <xf numFmtId="0" fontId="3" fillId="0" borderId="1" xfId="13" applyNumberFormat="1" applyFont="1" applyBorder="1" applyAlignment="1">
      <alignment horizontal="right" vertical="top" wrapText="1"/>
    </xf>
    <xf numFmtId="4" fontId="3" fillId="0" borderId="14" xfId="13" applyNumberFormat="1" applyFont="1" applyBorder="1" applyAlignment="1">
      <alignment horizontal="right" vertical="top" wrapText="1"/>
    </xf>
    <xf numFmtId="2" fontId="3" fillId="0" borderId="14" xfId="13" applyNumberFormat="1" applyFont="1" applyBorder="1" applyAlignment="1">
      <alignment horizontal="right" vertical="top" wrapText="1"/>
    </xf>
    <xf numFmtId="0" fontId="6" fillId="2" borderId="1" xfId="13" applyNumberFormat="1" applyFont="1" applyFill="1" applyBorder="1" applyAlignment="1">
      <alignment vertical="top"/>
    </xf>
    <xf numFmtId="4" fontId="6" fillId="2" borderId="1" xfId="13" applyNumberFormat="1" applyFont="1" applyFill="1" applyBorder="1" applyAlignment="1">
      <alignment horizontal="right" vertical="top" wrapText="1"/>
    </xf>
    <xf numFmtId="0" fontId="6" fillId="2" borderId="13" xfId="13" applyNumberFormat="1" applyFont="1" applyFill="1" applyBorder="1" applyAlignment="1">
      <alignment horizontal="center" vertical="top"/>
    </xf>
    <xf numFmtId="4" fontId="6" fillId="2" borderId="14" xfId="13" applyNumberFormat="1" applyFont="1" applyFill="1" applyBorder="1" applyAlignment="1">
      <alignment horizontal="right" vertical="top" wrapText="1"/>
    </xf>
    <xf numFmtId="0" fontId="5" fillId="2" borderId="3" xfId="14" applyNumberFormat="1" applyFont="1" applyFill="1" applyBorder="1" applyAlignment="1">
      <alignment vertical="top"/>
    </xf>
    <xf numFmtId="0" fontId="5" fillId="2" borderId="4" xfId="14" applyNumberFormat="1" applyFont="1" applyFill="1" applyBorder="1" applyAlignment="1">
      <alignment vertical="top"/>
    </xf>
    <xf numFmtId="0" fontId="5" fillId="2" borderId="5" xfId="14" applyNumberFormat="1" applyFont="1" applyFill="1" applyBorder="1" applyAlignment="1">
      <alignment vertical="top"/>
    </xf>
    <xf numFmtId="0" fontId="5" fillId="2" borderId="4" xfId="14" applyNumberFormat="1" applyFont="1" applyFill="1" applyBorder="1" applyAlignment="1">
      <alignment horizontal="center" vertical="top"/>
    </xf>
    <xf numFmtId="0" fontId="5" fillId="2" borderId="6" xfId="14" applyNumberFormat="1" applyFont="1" applyFill="1" applyBorder="1" applyAlignment="1">
      <alignment horizontal="center" vertical="top"/>
    </xf>
    <xf numFmtId="0" fontId="5" fillId="2" borderId="7" xfId="14" applyNumberFormat="1" applyFont="1" applyFill="1" applyBorder="1" applyAlignment="1">
      <alignment vertical="top"/>
    </xf>
    <xf numFmtId="0" fontId="5" fillId="2" borderId="8" xfId="14" applyNumberFormat="1" applyFont="1" applyFill="1" applyBorder="1" applyAlignment="1">
      <alignment vertical="top"/>
    </xf>
    <xf numFmtId="0" fontId="5" fillId="2" borderId="9" xfId="14" applyNumberFormat="1" applyFont="1" applyFill="1" applyBorder="1" applyAlignment="1">
      <alignment vertical="top"/>
    </xf>
    <xf numFmtId="0" fontId="5" fillId="2" borderId="6" xfId="14" applyNumberFormat="1" applyFont="1" applyFill="1" applyBorder="1" applyAlignment="1">
      <alignment vertical="top"/>
    </xf>
    <xf numFmtId="0" fontId="5" fillId="2" borderId="10" xfId="14" applyNumberFormat="1" applyFont="1" applyFill="1" applyBorder="1" applyAlignment="1">
      <alignment vertical="top"/>
    </xf>
    <xf numFmtId="0" fontId="5" fillId="2" borderId="10" xfId="14" applyNumberFormat="1" applyFont="1" applyFill="1" applyBorder="1" applyAlignment="1">
      <alignment vertical="top"/>
    </xf>
    <xf numFmtId="0" fontId="5" fillId="2" borderId="11" xfId="14" applyNumberFormat="1" applyFont="1" applyFill="1" applyBorder="1" applyAlignment="1">
      <alignment vertical="top"/>
    </xf>
    <xf numFmtId="0" fontId="5" fillId="2" borderId="12" xfId="14" applyNumberFormat="1" applyFont="1" applyFill="1" applyBorder="1" applyAlignment="1">
      <alignment vertical="top"/>
    </xf>
    <xf numFmtId="0" fontId="3" fillId="0" borderId="1" xfId="14" applyNumberFormat="1" applyFont="1" applyBorder="1" applyAlignment="1">
      <alignment vertical="top"/>
    </xf>
    <xf numFmtId="0" fontId="3" fillId="0" borderId="1" xfId="14" applyNumberFormat="1" applyFont="1" applyBorder="1" applyAlignment="1">
      <alignment vertical="top" wrapText="1"/>
    </xf>
    <xf numFmtId="0" fontId="3" fillId="0" borderId="1" xfId="14" applyNumberFormat="1" applyFont="1" applyBorder="1" applyAlignment="1">
      <alignment horizontal="left" vertical="top"/>
    </xf>
    <xf numFmtId="4" fontId="3" fillId="0" borderId="1" xfId="14" applyNumberFormat="1" applyFont="1" applyBorder="1" applyAlignment="1">
      <alignment horizontal="right" vertical="top" wrapText="1"/>
    </xf>
    <xf numFmtId="0" fontId="3" fillId="0" borderId="14" xfId="14" applyNumberFormat="1" applyFont="1" applyBorder="1" applyAlignment="1">
      <alignment horizontal="right" vertical="top" wrapText="1"/>
    </xf>
    <xf numFmtId="0" fontId="3" fillId="0" borderId="13" xfId="14" applyNumberFormat="1" applyFont="1" applyBorder="1" applyAlignment="1">
      <alignment horizontal="center" vertical="top"/>
    </xf>
    <xf numFmtId="4" fontId="3" fillId="0" borderId="14" xfId="14" applyNumberFormat="1" applyFont="1" applyBorder="1" applyAlignment="1">
      <alignment horizontal="right" vertical="top" wrapText="1"/>
    </xf>
    <xf numFmtId="2" fontId="3" fillId="0" borderId="1" xfId="14" applyNumberFormat="1" applyFont="1" applyBorder="1" applyAlignment="1">
      <alignment horizontal="right" vertical="top" wrapText="1"/>
    </xf>
    <xf numFmtId="0" fontId="3" fillId="0" borderId="1" xfId="14" applyNumberFormat="1" applyFont="1" applyBorder="1" applyAlignment="1">
      <alignment horizontal="right" vertical="top" wrapText="1"/>
    </xf>
    <xf numFmtId="4" fontId="3" fillId="0" borderId="14" xfId="14" applyNumberFormat="1" applyFont="1" applyBorder="1" applyAlignment="1">
      <alignment horizontal="right" vertical="top" wrapText="1"/>
    </xf>
    <xf numFmtId="2" fontId="3" fillId="0" borderId="14" xfId="14" applyNumberFormat="1" applyFont="1" applyBorder="1" applyAlignment="1">
      <alignment horizontal="right" vertical="top" wrapText="1"/>
    </xf>
    <xf numFmtId="0" fontId="6" fillId="2" borderId="1" xfId="14" applyNumberFormat="1" applyFont="1" applyFill="1" applyBorder="1" applyAlignment="1">
      <alignment vertical="top"/>
    </xf>
    <xf numFmtId="4" fontId="6" fillId="2" borderId="1" xfId="14" applyNumberFormat="1" applyFont="1" applyFill="1" applyBorder="1" applyAlignment="1">
      <alignment horizontal="right" vertical="top" wrapText="1"/>
    </xf>
    <xf numFmtId="0" fontId="6" fillId="2" borderId="13" xfId="14" applyNumberFormat="1" applyFont="1" applyFill="1" applyBorder="1" applyAlignment="1">
      <alignment horizontal="center" vertical="top"/>
    </xf>
    <xf numFmtId="4" fontId="6" fillId="2" borderId="14" xfId="14" applyNumberFormat="1" applyFont="1" applyFill="1" applyBorder="1" applyAlignment="1">
      <alignment horizontal="right" vertical="top" wrapText="1"/>
    </xf>
    <xf numFmtId="0" fontId="5" fillId="2" borderId="3" xfId="15" applyNumberFormat="1" applyFont="1" applyFill="1" applyBorder="1" applyAlignment="1">
      <alignment vertical="top"/>
    </xf>
    <xf numFmtId="0" fontId="5" fillId="2" borderId="4" xfId="15" applyNumberFormat="1" applyFont="1" applyFill="1" applyBorder="1" applyAlignment="1">
      <alignment vertical="top"/>
    </xf>
    <xf numFmtId="0" fontId="5" fillId="2" borderId="5" xfId="15" applyNumberFormat="1" applyFont="1" applyFill="1" applyBorder="1" applyAlignment="1">
      <alignment vertical="top"/>
    </xf>
    <xf numFmtId="0" fontId="5" fillId="2" borderId="4" xfId="15" applyNumberFormat="1" applyFont="1" applyFill="1" applyBorder="1" applyAlignment="1">
      <alignment horizontal="center" vertical="top"/>
    </xf>
    <xf numFmtId="0" fontId="5" fillId="2" borderId="6" xfId="15" applyNumberFormat="1" applyFont="1" applyFill="1" applyBorder="1" applyAlignment="1">
      <alignment horizontal="center" vertical="top"/>
    </xf>
    <xf numFmtId="0" fontId="5" fillId="2" borderId="7" xfId="15" applyNumberFormat="1" applyFont="1" applyFill="1" applyBorder="1" applyAlignment="1">
      <alignment vertical="top"/>
    </xf>
    <xf numFmtId="0" fontId="5" fillId="2" borderId="8" xfId="15" applyNumberFormat="1" applyFont="1" applyFill="1" applyBorder="1" applyAlignment="1">
      <alignment vertical="top"/>
    </xf>
    <xf numFmtId="0" fontId="5" fillId="2" borderId="9" xfId="15" applyNumberFormat="1" applyFont="1" applyFill="1" applyBorder="1" applyAlignment="1">
      <alignment vertical="top"/>
    </xf>
    <xf numFmtId="0" fontId="5" fillId="2" borderId="6" xfId="15" applyNumberFormat="1" applyFont="1" applyFill="1" applyBorder="1" applyAlignment="1">
      <alignment vertical="top"/>
    </xf>
    <xf numFmtId="0" fontId="5" fillId="2" borderId="10" xfId="15" applyNumberFormat="1" applyFont="1" applyFill="1" applyBorder="1" applyAlignment="1">
      <alignment vertical="top"/>
    </xf>
    <xf numFmtId="0" fontId="5" fillId="2" borderId="10" xfId="15" applyNumberFormat="1" applyFont="1" applyFill="1" applyBorder="1" applyAlignment="1">
      <alignment vertical="top"/>
    </xf>
    <xf numFmtId="0" fontId="5" fillId="2" borderId="11" xfId="15" applyNumberFormat="1" applyFont="1" applyFill="1" applyBorder="1" applyAlignment="1">
      <alignment vertical="top"/>
    </xf>
    <xf numFmtId="0" fontId="5" fillId="2" borderId="12" xfId="15" applyNumberFormat="1" applyFont="1" applyFill="1" applyBorder="1" applyAlignment="1">
      <alignment vertical="top"/>
    </xf>
    <xf numFmtId="0" fontId="3" fillId="0" borderId="1" xfId="15" applyNumberFormat="1" applyFont="1" applyBorder="1" applyAlignment="1">
      <alignment vertical="top"/>
    </xf>
    <xf numFmtId="0" fontId="3" fillId="0" borderId="1" xfId="15" applyNumberFormat="1" applyFont="1" applyBorder="1" applyAlignment="1">
      <alignment vertical="top" wrapText="1"/>
    </xf>
    <xf numFmtId="0" fontId="3" fillId="0" borderId="1" xfId="15" applyNumberFormat="1" applyFont="1" applyBorder="1" applyAlignment="1">
      <alignment horizontal="left" vertical="top"/>
    </xf>
    <xf numFmtId="0" fontId="3" fillId="0" borderId="1" xfId="15" applyNumberFormat="1" applyFont="1" applyBorder="1" applyAlignment="1">
      <alignment horizontal="right" vertical="top" wrapText="1"/>
    </xf>
    <xf numFmtId="4" fontId="3" fillId="0" borderId="14" xfId="15" applyNumberFormat="1" applyFont="1" applyBorder="1" applyAlignment="1">
      <alignment horizontal="right" vertical="top" wrapText="1"/>
    </xf>
    <xf numFmtId="0" fontId="3" fillId="0" borderId="13" xfId="15" applyNumberFormat="1" applyFont="1" applyBorder="1" applyAlignment="1">
      <alignment horizontal="center" vertical="top"/>
    </xf>
    <xf numFmtId="4" fontId="3" fillId="0" borderId="14" xfId="15" applyNumberFormat="1" applyFont="1" applyBorder="1" applyAlignment="1">
      <alignment horizontal="right" vertical="top" wrapText="1"/>
    </xf>
    <xf numFmtId="4" fontId="3" fillId="0" borderId="1" xfId="15" applyNumberFormat="1" applyFont="1" applyBorder="1" applyAlignment="1">
      <alignment horizontal="right" vertical="top" wrapText="1"/>
    </xf>
    <xf numFmtId="0" fontId="3" fillId="0" borderId="14" xfId="15" applyNumberFormat="1" applyFont="1" applyBorder="1" applyAlignment="1">
      <alignment horizontal="right" vertical="top" wrapText="1"/>
    </xf>
    <xf numFmtId="2" fontId="3" fillId="0" borderId="1" xfId="15" applyNumberFormat="1" applyFont="1" applyBorder="1" applyAlignment="1">
      <alignment horizontal="right" vertical="top" wrapText="1"/>
    </xf>
    <xf numFmtId="2" fontId="3" fillId="0" borderId="14" xfId="15" applyNumberFormat="1" applyFont="1" applyBorder="1" applyAlignment="1">
      <alignment horizontal="right" vertical="top" wrapText="1"/>
    </xf>
    <xf numFmtId="0" fontId="6" fillId="2" borderId="1" xfId="15" applyNumberFormat="1" applyFont="1" applyFill="1" applyBorder="1" applyAlignment="1">
      <alignment vertical="top"/>
    </xf>
    <xf numFmtId="4" fontId="6" fillId="2" borderId="1" xfId="15" applyNumberFormat="1" applyFont="1" applyFill="1" applyBorder="1" applyAlignment="1">
      <alignment horizontal="right" vertical="top" wrapText="1"/>
    </xf>
    <xf numFmtId="0" fontId="6" fillId="2" borderId="13" xfId="15" applyNumberFormat="1" applyFont="1" applyFill="1" applyBorder="1" applyAlignment="1">
      <alignment horizontal="center" vertical="top"/>
    </xf>
    <xf numFmtId="4" fontId="6" fillId="2" borderId="14" xfId="15" applyNumberFormat="1" applyFont="1" applyFill="1" applyBorder="1" applyAlignment="1">
      <alignment horizontal="right" vertical="top" wrapText="1"/>
    </xf>
    <xf numFmtId="0" fontId="5" fillId="2" borderId="3" xfId="16" applyNumberFormat="1" applyFont="1" applyFill="1" applyBorder="1" applyAlignment="1">
      <alignment vertical="top"/>
    </xf>
    <xf numFmtId="0" fontId="5" fillId="2" borderId="4" xfId="16" applyNumberFormat="1" applyFont="1" applyFill="1" applyBorder="1" applyAlignment="1">
      <alignment vertical="top"/>
    </xf>
    <xf numFmtId="0" fontId="5" fillId="2" borderId="5" xfId="16" applyNumberFormat="1" applyFont="1" applyFill="1" applyBorder="1" applyAlignment="1">
      <alignment vertical="top"/>
    </xf>
    <xf numFmtId="0" fontId="5" fillId="2" borderId="4" xfId="16" applyNumberFormat="1" applyFont="1" applyFill="1" applyBorder="1" applyAlignment="1">
      <alignment horizontal="center" vertical="top"/>
    </xf>
    <xf numFmtId="0" fontId="5" fillId="2" borderId="6" xfId="16" applyNumberFormat="1" applyFont="1" applyFill="1" applyBorder="1" applyAlignment="1">
      <alignment horizontal="center" vertical="top"/>
    </xf>
    <xf numFmtId="0" fontId="5" fillId="2" borderId="7" xfId="16" applyNumberFormat="1" applyFont="1" applyFill="1" applyBorder="1" applyAlignment="1">
      <alignment vertical="top"/>
    </xf>
    <xf numFmtId="0" fontId="5" fillId="2" borderId="8" xfId="16" applyNumberFormat="1" applyFont="1" applyFill="1" applyBorder="1" applyAlignment="1">
      <alignment vertical="top"/>
    </xf>
    <xf numFmtId="0" fontId="5" fillId="2" borderId="9" xfId="16" applyNumberFormat="1" applyFont="1" applyFill="1" applyBorder="1" applyAlignment="1">
      <alignment vertical="top"/>
    </xf>
    <xf numFmtId="0" fontId="5" fillId="2" borderId="6" xfId="16" applyNumberFormat="1" applyFont="1" applyFill="1" applyBorder="1" applyAlignment="1">
      <alignment vertical="top"/>
    </xf>
    <xf numFmtId="0" fontId="5" fillId="2" borderId="10" xfId="16" applyNumberFormat="1" applyFont="1" applyFill="1" applyBorder="1" applyAlignment="1">
      <alignment vertical="top"/>
    </xf>
    <xf numFmtId="0" fontId="5" fillId="2" borderId="10" xfId="16" applyNumberFormat="1" applyFont="1" applyFill="1" applyBorder="1" applyAlignment="1">
      <alignment vertical="top"/>
    </xf>
    <xf numFmtId="0" fontId="5" fillId="2" borderId="11" xfId="16" applyNumberFormat="1" applyFont="1" applyFill="1" applyBorder="1" applyAlignment="1">
      <alignment vertical="top"/>
    </xf>
    <xf numFmtId="0" fontId="5" fillId="2" borderId="12" xfId="16" applyNumberFormat="1" applyFont="1" applyFill="1" applyBorder="1" applyAlignment="1">
      <alignment vertical="top"/>
    </xf>
    <xf numFmtId="0" fontId="3" fillId="0" borderId="1" xfId="16" applyNumberFormat="1" applyFont="1" applyBorder="1" applyAlignment="1">
      <alignment vertical="top"/>
    </xf>
    <xf numFmtId="0" fontId="3" fillId="0" borderId="1" xfId="16" applyNumberFormat="1" applyFont="1" applyBorder="1" applyAlignment="1">
      <alignment vertical="top" wrapText="1"/>
    </xf>
    <xf numFmtId="0" fontId="3" fillId="0" borderId="1" xfId="16" applyNumberFormat="1" applyFont="1" applyBorder="1" applyAlignment="1">
      <alignment horizontal="left" vertical="top"/>
    </xf>
    <xf numFmtId="4" fontId="3" fillId="0" borderId="1" xfId="16" applyNumberFormat="1" applyFont="1" applyBorder="1" applyAlignment="1">
      <alignment horizontal="right" vertical="top" wrapText="1"/>
    </xf>
    <xf numFmtId="0" fontId="3" fillId="0" borderId="14" xfId="16" applyNumberFormat="1" applyFont="1" applyBorder="1" applyAlignment="1">
      <alignment horizontal="right" vertical="top" wrapText="1"/>
    </xf>
    <xf numFmtId="0" fontId="3" fillId="0" borderId="13" xfId="16" applyNumberFormat="1" applyFont="1" applyBorder="1" applyAlignment="1">
      <alignment horizontal="center" vertical="top"/>
    </xf>
    <xf numFmtId="4" fontId="3" fillId="0" borderId="14" xfId="16" applyNumberFormat="1" applyFont="1" applyBorder="1" applyAlignment="1">
      <alignment horizontal="right" vertical="top" wrapText="1"/>
    </xf>
    <xf numFmtId="2" fontId="3" fillId="0" borderId="1" xfId="16" applyNumberFormat="1" applyFont="1" applyBorder="1" applyAlignment="1">
      <alignment horizontal="right" vertical="top" wrapText="1"/>
    </xf>
    <xf numFmtId="0" fontId="3" fillId="0" borderId="1" xfId="16" applyNumberFormat="1" applyFont="1" applyBorder="1" applyAlignment="1">
      <alignment horizontal="right" vertical="top" wrapText="1"/>
    </xf>
    <xf numFmtId="4" fontId="3" fillId="0" borderId="14" xfId="16" applyNumberFormat="1" applyFont="1" applyBorder="1" applyAlignment="1">
      <alignment horizontal="right" vertical="top" wrapText="1"/>
    </xf>
    <xf numFmtId="2" fontId="3" fillId="0" borderId="14" xfId="16" applyNumberFormat="1" applyFont="1" applyBorder="1" applyAlignment="1">
      <alignment horizontal="right" vertical="top" wrapText="1"/>
    </xf>
    <xf numFmtId="0" fontId="6" fillId="2" borderId="1" xfId="16" applyNumberFormat="1" applyFont="1" applyFill="1" applyBorder="1" applyAlignment="1">
      <alignment vertical="top"/>
    </xf>
    <xf numFmtId="4" fontId="6" fillId="2" borderId="1" xfId="16" applyNumberFormat="1" applyFont="1" applyFill="1" applyBorder="1" applyAlignment="1">
      <alignment horizontal="right" vertical="top" wrapText="1"/>
    </xf>
    <xf numFmtId="0" fontId="6" fillId="2" borderId="13" xfId="16" applyNumberFormat="1" applyFont="1" applyFill="1" applyBorder="1" applyAlignment="1">
      <alignment horizontal="center" vertical="top"/>
    </xf>
    <xf numFmtId="4" fontId="6" fillId="2" borderId="14" xfId="16" applyNumberFormat="1" applyFont="1" applyFill="1" applyBorder="1" applyAlignment="1">
      <alignment horizontal="right" vertical="top" wrapText="1"/>
    </xf>
    <xf numFmtId="0" fontId="5" fillId="2" borderId="3" xfId="17" applyNumberFormat="1" applyFont="1" applyFill="1" applyBorder="1" applyAlignment="1">
      <alignment vertical="top"/>
    </xf>
    <xf numFmtId="0" fontId="5" fillId="2" borderId="4" xfId="17" applyNumberFormat="1" applyFont="1" applyFill="1" applyBorder="1" applyAlignment="1">
      <alignment vertical="top"/>
    </xf>
    <xf numFmtId="0" fontId="5" fillId="2" borderId="5" xfId="17" applyNumberFormat="1" applyFont="1" applyFill="1" applyBorder="1" applyAlignment="1">
      <alignment vertical="top"/>
    </xf>
    <xf numFmtId="0" fontId="5" fillId="2" borderId="4" xfId="17" applyNumberFormat="1" applyFont="1" applyFill="1" applyBorder="1" applyAlignment="1">
      <alignment horizontal="center" vertical="top"/>
    </xf>
    <xf numFmtId="0" fontId="5" fillId="2" borderId="6" xfId="17" applyNumberFormat="1" applyFont="1" applyFill="1" applyBorder="1" applyAlignment="1">
      <alignment horizontal="center" vertical="top"/>
    </xf>
    <xf numFmtId="0" fontId="5" fillId="2" borderId="7" xfId="17" applyNumberFormat="1" applyFont="1" applyFill="1" applyBorder="1" applyAlignment="1">
      <alignment vertical="top"/>
    </xf>
    <xf numFmtId="0" fontId="5" fillId="2" borderId="8" xfId="17" applyNumberFormat="1" applyFont="1" applyFill="1" applyBorder="1" applyAlignment="1">
      <alignment vertical="top"/>
    </xf>
    <xf numFmtId="0" fontId="5" fillId="2" borderId="9" xfId="17" applyNumberFormat="1" applyFont="1" applyFill="1" applyBorder="1" applyAlignment="1">
      <alignment vertical="top"/>
    </xf>
    <xf numFmtId="0" fontId="5" fillId="2" borderId="6" xfId="17" applyNumberFormat="1" applyFont="1" applyFill="1" applyBorder="1" applyAlignment="1">
      <alignment vertical="top"/>
    </xf>
    <xf numFmtId="0" fontId="5" fillId="2" borderId="10" xfId="17" applyNumberFormat="1" applyFont="1" applyFill="1" applyBorder="1" applyAlignment="1">
      <alignment vertical="top"/>
    </xf>
    <xf numFmtId="0" fontId="5" fillId="2" borderId="10" xfId="17" applyNumberFormat="1" applyFont="1" applyFill="1" applyBorder="1" applyAlignment="1">
      <alignment vertical="top"/>
    </xf>
    <xf numFmtId="0" fontId="5" fillId="2" borderId="11" xfId="17" applyNumberFormat="1" applyFont="1" applyFill="1" applyBorder="1" applyAlignment="1">
      <alignment vertical="top"/>
    </xf>
    <xf numFmtId="0" fontId="5" fillId="2" borderId="12" xfId="17" applyNumberFormat="1" applyFont="1" applyFill="1" applyBorder="1" applyAlignment="1">
      <alignment vertical="top"/>
    </xf>
    <xf numFmtId="0" fontId="3" fillId="0" borderId="1" xfId="17" applyNumberFormat="1" applyFont="1" applyBorder="1" applyAlignment="1">
      <alignment vertical="top"/>
    </xf>
    <xf numFmtId="0" fontId="3" fillId="0" borderId="1" xfId="17" applyNumberFormat="1" applyFont="1" applyBorder="1" applyAlignment="1">
      <alignment vertical="top" wrapText="1"/>
    </xf>
    <xf numFmtId="0" fontId="3" fillId="0" borderId="1" xfId="17" applyNumberFormat="1" applyFont="1" applyBorder="1" applyAlignment="1">
      <alignment horizontal="left" vertical="top"/>
    </xf>
    <xf numFmtId="0" fontId="3" fillId="0" borderId="1" xfId="17" applyNumberFormat="1" applyFont="1" applyBorder="1" applyAlignment="1">
      <alignment horizontal="right" vertical="top" wrapText="1"/>
    </xf>
    <xf numFmtId="4" fontId="3" fillId="0" borderId="14" xfId="17" applyNumberFormat="1" applyFont="1" applyBorder="1" applyAlignment="1">
      <alignment horizontal="right" vertical="top" wrapText="1"/>
    </xf>
    <xf numFmtId="0" fontId="3" fillId="0" borderId="13" xfId="17" applyNumberFormat="1" applyFont="1" applyBorder="1" applyAlignment="1">
      <alignment horizontal="center" vertical="top"/>
    </xf>
    <xf numFmtId="4" fontId="3" fillId="0" borderId="14" xfId="17" applyNumberFormat="1" applyFont="1" applyBorder="1" applyAlignment="1">
      <alignment horizontal="right" vertical="top" wrapText="1"/>
    </xf>
    <xf numFmtId="2" fontId="3" fillId="0" borderId="14" xfId="17" applyNumberFormat="1" applyFont="1" applyBorder="1" applyAlignment="1">
      <alignment horizontal="right" vertical="top" wrapText="1"/>
    </xf>
    <xf numFmtId="0" fontId="6" fillId="2" borderId="1" xfId="17" applyNumberFormat="1" applyFont="1" applyFill="1" applyBorder="1" applyAlignment="1">
      <alignment vertical="top"/>
    </xf>
    <xf numFmtId="2" fontId="6" fillId="2" borderId="1" xfId="17" applyNumberFormat="1" applyFont="1" applyFill="1" applyBorder="1" applyAlignment="1">
      <alignment horizontal="right" vertical="top" wrapText="1"/>
    </xf>
    <xf numFmtId="4" fontId="6" fillId="2" borderId="1" xfId="17" applyNumberFormat="1" applyFont="1" applyFill="1" applyBorder="1" applyAlignment="1">
      <alignment horizontal="right" vertical="top" wrapText="1"/>
    </xf>
    <xf numFmtId="0" fontId="6" fillId="2" borderId="13" xfId="17" applyNumberFormat="1" applyFont="1" applyFill="1" applyBorder="1" applyAlignment="1">
      <alignment horizontal="center" vertical="top"/>
    </xf>
    <xf numFmtId="4" fontId="6" fillId="2" borderId="14" xfId="17" applyNumberFormat="1" applyFont="1" applyFill="1" applyBorder="1" applyAlignment="1">
      <alignment horizontal="right" vertical="top" wrapText="1"/>
    </xf>
    <xf numFmtId="2" fontId="0" fillId="0" borderId="0" xfId="0" applyNumberFormat="1"/>
  </cellXfs>
  <cellStyles count="18">
    <cellStyle name="Обычный" xfId="0" builtinId="0"/>
    <cellStyle name="Обычный_АПК" xfId="2" xr:uid="{27F92E1E-F4B2-4AB8-BFA8-095D2979AAB4}"/>
    <cellStyle name="Обычный_БигБеги" xfId="11" xr:uid="{08FACA8A-382F-4171-B894-E5E710EDD4D7}"/>
    <cellStyle name="Обычный_Генплан благоустрій" xfId="3" xr:uid="{F9508B26-96F5-4117-AB9C-624621628A74}"/>
    <cellStyle name="Обычный_Генплан дорога СПК" xfId="4" xr:uid="{A85C33A7-5344-4A3A-A8EB-B2FB4305206D}"/>
    <cellStyle name="Обычный_Генплан митний склад" xfId="5" xr:uid="{EF4830A6-94D1-4761-B755-EAC582835EB8}"/>
    <cellStyle name="Обычный_Генплан підпірна стінка" xfId="6" xr:uid="{2DB19581-DE6C-4D63-A5F2-3DE840D66D35}"/>
    <cellStyle name="Обычный_Глобине-2" xfId="7" xr:uid="{6C4ED3E5-E59D-4C5F-B64D-B76558AC3815}"/>
    <cellStyle name="Обычный_Котельна" xfId="8" xr:uid="{82B4E3AA-0A73-4442-AB0F-5BA443712CC6}"/>
    <cellStyle name="Обычный_Насосна Градирня" xfId="9" xr:uid="{76ED724E-BFCB-4CE9-B66A-F291A1AEDF46}"/>
    <cellStyle name="Обычный_Пож. резервуар" xfId="10" xr:uid="{9680D518-F145-4D63-B578-29B69FBEBDE6}"/>
    <cellStyle name="Обычный_Резервуар розчин" xfId="12" xr:uid="{5A66D70C-6022-4186-9789-52C6F30A1102}"/>
    <cellStyle name="Обычный_Резервуарний соев мел" xfId="13" xr:uid="{81D850F1-F055-4D74-B516-3431FBA05343}"/>
    <cellStyle name="Обычный_Свод" xfId="1" xr:uid="{3F268694-CA3E-437B-AD72-6386EC067DE9}"/>
    <cellStyle name="Обычный_СПК" xfId="14" xr:uid="{D71DB48A-ADEC-4345-B6ED-261D04A829D7}"/>
    <cellStyle name="Обычный_Транспортна галерея" xfId="15" xr:uid="{675AD925-3EA6-49DD-9138-21CD22927AB2}"/>
    <cellStyle name="Обычный_Цех екстракції 205" xfId="16" xr:uid="{3116EA16-93E9-4A3F-8BD1-9C3F7197E891}"/>
    <cellStyle name="Обычный_Цех екстракції 205.1" xfId="17" xr:uid="{F4E76BAA-96A0-403E-B2A1-E06223429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workbookViewId="0">
      <selection activeCell="F18" sqref="F18"/>
    </sheetView>
  </sheetViews>
  <sheetFormatPr defaultRowHeight="14.4" x14ac:dyDescent="0.3"/>
  <cols>
    <col min="1" max="1" width="5.5546875" bestFit="1" customWidth="1"/>
    <col min="2" max="2" width="44" customWidth="1"/>
    <col min="3" max="3" width="16.44140625" customWidth="1"/>
  </cols>
  <sheetData>
    <row r="2" spans="2:3" x14ac:dyDescent="0.3">
      <c r="B2" s="1" t="s">
        <v>0</v>
      </c>
      <c r="C2" s="4">
        <f>АПК!J60*1.2</f>
        <v>1110875.94</v>
      </c>
    </row>
    <row r="3" spans="2:3" x14ac:dyDescent="0.3">
      <c r="B3" s="1" t="s">
        <v>1</v>
      </c>
      <c r="C3" s="4">
        <f>'Генплан благоустрій'!J49*1.2</f>
        <v>162842.052</v>
      </c>
    </row>
    <row r="4" spans="2:3" x14ac:dyDescent="0.3">
      <c r="B4" s="1" t="s">
        <v>2</v>
      </c>
      <c r="C4" s="4">
        <f>'Генплан дорога СПК'!J34</f>
        <v>0</v>
      </c>
    </row>
    <row r="5" spans="2:3" x14ac:dyDescent="0.3">
      <c r="B5" s="1" t="s">
        <v>3</v>
      </c>
      <c r="C5" s="4">
        <f>'Генплан митний склад'!J17*1.2</f>
        <v>8953.8360000000011</v>
      </c>
    </row>
    <row r="6" spans="2:3" x14ac:dyDescent="0.3">
      <c r="B6" s="1" t="s">
        <v>4</v>
      </c>
      <c r="C6" s="4">
        <f>'Генплан підпірна стінка'!J11</f>
        <v>0</v>
      </c>
    </row>
    <row r="7" spans="2:3" x14ac:dyDescent="0.3">
      <c r="B7" s="1" t="s">
        <v>5</v>
      </c>
      <c r="C7" s="4">
        <f>'Глобине-2'!J169*1.2</f>
        <v>60007.524000000012</v>
      </c>
    </row>
    <row r="8" spans="2:3" x14ac:dyDescent="0.3">
      <c r="B8" s="1" t="s">
        <v>6</v>
      </c>
      <c r="C8" s="4">
        <f>Котельна!J32*1.2</f>
        <v>655.5</v>
      </c>
    </row>
    <row r="9" spans="2:3" x14ac:dyDescent="0.3">
      <c r="B9" s="1" t="s">
        <v>7</v>
      </c>
      <c r="C9" s="4">
        <f>'Насосна Градирня'!J12</f>
        <v>0</v>
      </c>
    </row>
    <row r="10" spans="2:3" x14ac:dyDescent="0.3">
      <c r="B10" s="1" t="s">
        <v>8</v>
      </c>
      <c r="C10" s="4">
        <f>'Пож. резервуар'!J67*1.2</f>
        <v>764275.34399999981</v>
      </c>
    </row>
    <row r="11" spans="2:3" x14ac:dyDescent="0.3">
      <c r="B11" s="1" t="s">
        <v>9</v>
      </c>
      <c r="C11" s="4">
        <f>БигБеги!J36*1.2</f>
        <v>194434.31999999998</v>
      </c>
    </row>
    <row r="12" spans="2:3" x14ac:dyDescent="0.3">
      <c r="B12" s="1" t="s">
        <v>10</v>
      </c>
      <c r="C12" s="4">
        <f>'Резервуар розчин'!J50*1.2</f>
        <v>478068.58799999999</v>
      </c>
    </row>
    <row r="13" spans="2:3" x14ac:dyDescent="0.3">
      <c r="B13" s="1" t="s">
        <v>11</v>
      </c>
      <c r="C13" s="4">
        <f>'Резервуарний соев мел'!J46*1.21</f>
        <v>205384.54089999999</v>
      </c>
    </row>
    <row r="14" spans="2:3" x14ac:dyDescent="0.3">
      <c r="B14" s="1" t="s">
        <v>12</v>
      </c>
      <c r="C14" s="4">
        <f>СПК!J301*1.2</f>
        <v>4722773.0639999975</v>
      </c>
    </row>
    <row r="15" spans="2:3" x14ac:dyDescent="0.3">
      <c r="B15" s="1" t="s">
        <v>13</v>
      </c>
      <c r="C15" s="4">
        <f>'Транспортна галерея'!J67*1.2</f>
        <v>181126.66800000001</v>
      </c>
    </row>
    <row r="16" spans="2:3" x14ac:dyDescent="0.3">
      <c r="B16" s="1" t="s">
        <v>14</v>
      </c>
      <c r="C16" s="4">
        <f>'Цех екстракції 205'!J712*1.2</f>
        <v>3559334.9519999991</v>
      </c>
    </row>
    <row r="17" spans="1:3" x14ac:dyDescent="0.3">
      <c r="C17" s="5"/>
    </row>
    <row r="18" spans="1:3" x14ac:dyDescent="0.3">
      <c r="A18" t="s">
        <v>15</v>
      </c>
      <c r="B18" s="1" t="s">
        <v>14</v>
      </c>
      <c r="C18" s="4">
        <f>'Цех екстракції 205.1'!J14*1.2</f>
        <v>161433.84</v>
      </c>
    </row>
    <row r="19" spans="1:3" x14ac:dyDescent="0.3">
      <c r="C19" s="5"/>
    </row>
    <row r="20" spans="1:3" x14ac:dyDescent="0.3">
      <c r="B20" s="3" t="s">
        <v>16</v>
      </c>
      <c r="C20" s="6">
        <f>SUM(C2:C18)</f>
        <v>11610166.168899996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92C0-EB36-4414-9969-F921641AC7FF}">
  <sheetPr filterMode="1"/>
  <dimension ref="A1:L60"/>
  <sheetViews>
    <sheetView topLeftCell="A52" workbookViewId="0">
      <selection activeCell="J60" sqref="J60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7" t="s">
        <v>17</v>
      </c>
      <c r="B1" s="8" t="s">
        <v>18</v>
      </c>
      <c r="C1" s="8" t="s">
        <v>19</v>
      </c>
      <c r="D1" s="9" t="s">
        <v>20</v>
      </c>
      <c r="E1" s="10" t="s">
        <v>21</v>
      </c>
      <c r="F1" s="10"/>
      <c r="G1" s="10"/>
      <c r="H1" s="11" t="s">
        <v>22</v>
      </c>
      <c r="I1" s="11"/>
      <c r="J1" s="11"/>
      <c r="K1" s="8" t="s">
        <v>23</v>
      </c>
      <c r="L1" s="8"/>
    </row>
    <row r="2" spans="1:12" hidden="1" x14ac:dyDescent="0.3">
      <c r="A2" s="12"/>
      <c r="B2" s="13"/>
      <c r="C2" s="13"/>
      <c r="D2" s="14"/>
      <c r="E2" s="15" t="s">
        <v>24</v>
      </c>
      <c r="F2" s="16"/>
      <c r="G2" s="16"/>
      <c r="H2" s="17" t="s">
        <v>24</v>
      </c>
      <c r="I2" s="18"/>
      <c r="J2" s="18"/>
      <c r="K2" s="12"/>
      <c r="L2" s="19"/>
    </row>
    <row r="3" spans="1:12" ht="71.400000000000006" hidden="1" x14ac:dyDescent="0.3">
      <c r="A3" s="20" t="s">
        <v>26</v>
      </c>
      <c r="B3" s="21" t="s">
        <v>27</v>
      </c>
      <c r="C3" s="21" t="s">
        <v>28</v>
      </c>
      <c r="D3" s="21" t="s">
        <v>29</v>
      </c>
      <c r="E3" s="22" t="s">
        <v>30</v>
      </c>
      <c r="F3" s="23">
        <v>18285</v>
      </c>
      <c r="G3" s="23"/>
      <c r="H3" s="22" t="s">
        <v>31</v>
      </c>
      <c r="I3" s="24" t="s">
        <v>32</v>
      </c>
      <c r="J3" s="24"/>
      <c r="K3" s="25" t="s">
        <v>25</v>
      </c>
      <c r="L3" s="26">
        <v>357925.54</v>
      </c>
    </row>
    <row r="4" spans="1:12" ht="71.400000000000006" hidden="1" x14ac:dyDescent="0.3">
      <c r="A4" s="20" t="s">
        <v>26</v>
      </c>
      <c r="B4" s="21" t="s">
        <v>27</v>
      </c>
      <c r="C4" s="21" t="s">
        <v>33</v>
      </c>
      <c r="D4" s="21" t="s">
        <v>29</v>
      </c>
      <c r="E4" s="22" t="s">
        <v>30</v>
      </c>
      <c r="F4" s="23">
        <v>3727.5</v>
      </c>
      <c r="G4" s="23"/>
      <c r="H4" s="22" t="s">
        <v>31</v>
      </c>
      <c r="I4" s="24" t="s">
        <v>32</v>
      </c>
      <c r="J4" s="24"/>
      <c r="K4" s="25" t="s">
        <v>25</v>
      </c>
      <c r="L4" s="26">
        <v>361653.04</v>
      </c>
    </row>
    <row r="5" spans="1:12" ht="61.2" hidden="1" x14ac:dyDescent="0.3">
      <c r="A5" s="20" t="s">
        <v>26</v>
      </c>
      <c r="B5" s="21" t="s">
        <v>34</v>
      </c>
      <c r="C5" s="21" t="s">
        <v>35</v>
      </c>
      <c r="D5" s="21" t="s">
        <v>36</v>
      </c>
      <c r="E5" s="22" t="s">
        <v>30</v>
      </c>
      <c r="F5" s="27">
        <v>308.44</v>
      </c>
      <c r="G5" s="27"/>
      <c r="H5" s="22" t="s">
        <v>30</v>
      </c>
      <c r="I5" s="24" t="s">
        <v>32</v>
      </c>
      <c r="J5" s="24"/>
      <c r="K5" s="25" t="s">
        <v>25</v>
      </c>
      <c r="L5" s="26">
        <v>361961.48</v>
      </c>
    </row>
    <row r="6" spans="1:12" ht="61.2" hidden="1" x14ac:dyDescent="0.3">
      <c r="A6" s="20" t="s">
        <v>26</v>
      </c>
      <c r="B6" s="21" t="s">
        <v>34</v>
      </c>
      <c r="C6" s="21" t="s">
        <v>37</v>
      </c>
      <c r="D6" s="21" t="s">
        <v>38</v>
      </c>
      <c r="E6" s="22" t="s">
        <v>30</v>
      </c>
      <c r="F6" s="27">
        <v>287.87</v>
      </c>
      <c r="G6" s="27"/>
      <c r="H6" s="22" t="s">
        <v>30</v>
      </c>
      <c r="I6" s="24" t="s">
        <v>32</v>
      </c>
      <c r="J6" s="24"/>
      <c r="K6" s="25" t="s">
        <v>25</v>
      </c>
      <c r="L6" s="26">
        <v>362249.35</v>
      </c>
    </row>
    <row r="7" spans="1:12" ht="61.2" hidden="1" x14ac:dyDescent="0.3">
      <c r="A7" s="20" t="s">
        <v>26</v>
      </c>
      <c r="B7" s="21" t="s">
        <v>34</v>
      </c>
      <c r="C7" s="21" t="s">
        <v>39</v>
      </c>
      <c r="D7" s="21" t="s">
        <v>40</v>
      </c>
      <c r="E7" s="22" t="s">
        <v>30</v>
      </c>
      <c r="F7" s="27">
        <v>688.85</v>
      </c>
      <c r="G7" s="27"/>
      <c r="H7" s="22" t="s">
        <v>30</v>
      </c>
      <c r="I7" s="24" t="s">
        <v>32</v>
      </c>
      <c r="J7" s="24"/>
      <c r="K7" s="25" t="s">
        <v>25</v>
      </c>
      <c r="L7" s="26">
        <v>362938.2</v>
      </c>
    </row>
    <row r="8" spans="1:12" ht="61.2" hidden="1" x14ac:dyDescent="0.3">
      <c r="A8" s="20" t="s">
        <v>26</v>
      </c>
      <c r="B8" s="21" t="s">
        <v>34</v>
      </c>
      <c r="C8" s="21" t="s">
        <v>41</v>
      </c>
      <c r="D8" s="21" t="s">
        <v>42</v>
      </c>
      <c r="E8" s="22" t="s">
        <v>30</v>
      </c>
      <c r="F8" s="23">
        <v>1967.85</v>
      </c>
      <c r="G8" s="23"/>
      <c r="H8" s="22" t="s">
        <v>30</v>
      </c>
      <c r="I8" s="24" t="s">
        <v>32</v>
      </c>
      <c r="J8" s="24"/>
      <c r="K8" s="25" t="s">
        <v>25</v>
      </c>
      <c r="L8" s="26">
        <v>364906.05</v>
      </c>
    </row>
    <row r="9" spans="1:12" hidden="1" x14ac:dyDescent="0.3">
      <c r="A9" s="20" t="s">
        <v>26</v>
      </c>
      <c r="B9" s="21" t="s">
        <v>34</v>
      </c>
      <c r="C9" s="21" t="s">
        <v>43</v>
      </c>
      <c r="D9" s="21" t="s">
        <v>44</v>
      </c>
      <c r="E9" s="22" t="s">
        <v>30</v>
      </c>
      <c r="F9" s="23">
        <v>1176.19</v>
      </c>
      <c r="G9" s="23"/>
      <c r="H9" s="22" t="s">
        <v>30</v>
      </c>
      <c r="I9" s="24" t="s">
        <v>32</v>
      </c>
      <c r="J9" s="24"/>
      <c r="K9" s="25" t="s">
        <v>25</v>
      </c>
      <c r="L9" s="26">
        <v>366082.24</v>
      </c>
    </row>
    <row r="10" spans="1:12" ht="61.2" hidden="1" x14ac:dyDescent="0.3">
      <c r="A10" s="20" t="s">
        <v>26</v>
      </c>
      <c r="B10" s="21" t="s">
        <v>34</v>
      </c>
      <c r="C10" s="21" t="s">
        <v>45</v>
      </c>
      <c r="D10" s="21" t="s">
        <v>46</v>
      </c>
      <c r="E10" s="22" t="s">
        <v>30</v>
      </c>
      <c r="F10" s="23">
        <v>2801.67</v>
      </c>
      <c r="G10" s="23"/>
      <c r="H10" s="22" t="s">
        <v>30</v>
      </c>
      <c r="I10" s="24" t="s">
        <v>32</v>
      </c>
      <c r="J10" s="24"/>
      <c r="K10" s="25" t="s">
        <v>25</v>
      </c>
      <c r="L10" s="26">
        <v>368883.91</v>
      </c>
    </row>
    <row r="11" spans="1:12" ht="61.2" hidden="1" x14ac:dyDescent="0.3">
      <c r="A11" s="20" t="s">
        <v>26</v>
      </c>
      <c r="B11" s="21" t="s">
        <v>34</v>
      </c>
      <c r="C11" s="21" t="s">
        <v>47</v>
      </c>
      <c r="D11" s="21" t="s">
        <v>48</v>
      </c>
      <c r="E11" s="22" t="s">
        <v>30</v>
      </c>
      <c r="F11" s="23">
        <v>10641.21</v>
      </c>
      <c r="G11" s="23"/>
      <c r="H11" s="22" t="s">
        <v>30</v>
      </c>
      <c r="I11" s="24" t="s">
        <v>32</v>
      </c>
      <c r="J11" s="24"/>
      <c r="K11" s="25" t="s">
        <v>25</v>
      </c>
      <c r="L11" s="26">
        <v>379525.12</v>
      </c>
    </row>
    <row r="12" spans="1:12" ht="81.599999999999994" hidden="1" x14ac:dyDescent="0.3">
      <c r="A12" s="20" t="s">
        <v>26</v>
      </c>
      <c r="B12" s="21" t="s">
        <v>49</v>
      </c>
      <c r="C12" s="21" t="s">
        <v>50</v>
      </c>
      <c r="D12" s="21" t="s">
        <v>51</v>
      </c>
      <c r="E12" s="22" t="s">
        <v>30</v>
      </c>
      <c r="F12" s="23">
        <v>8990</v>
      </c>
      <c r="G12" s="23"/>
      <c r="H12" s="22" t="s">
        <v>30</v>
      </c>
      <c r="I12" s="24" t="s">
        <v>32</v>
      </c>
      <c r="J12" s="24"/>
      <c r="K12" s="25" t="s">
        <v>25</v>
      </c>
      <c r="L12" s="26">
        <v>388515.12</v>
      </c>
    </row>
    <row r="13" spans="1:12" ht="71.400000000000006" x14ac:dyDescent="0.3">
      <c r="A13" s="20" t="s">
        <v>26</v>
      </c>
      <c r="B13" s="21" t="s">
        <v>52</v>
      </c>
      <c r="C13" s="21" t="s">
        <v>53</v>
      </c>
      <c r="D13" s="21" t="s">
        <v>50</v>
      </c>
      <c r="E13" s="22" t="s">
        <v>54</v>
      </c>
      <c r="F13" s="28" t="s">
        <v>32</v>
      </c>
      <c r="G13" s="28"/>
      <c r="H13" s="22" t="s">
        <v>30</v>
      </c>
      <c r="I13" s="29">
        <v>8990</v>
      </c>
      <c r="J13" s="29"/>
      <c r="K13" s="25" t="s">
        <v>25</v>
      </c>
      <c r="L13" s="26">
        <v>379525.12</v>
      </c>
    </row>
    <row r="14" spans="1:12" ht="61.2" hidden="1" x14ac:dyDescent="0.3">
      <c r="A14" s="20" t="s">
        <v>55</v>
      </c>
      <c r="B14" s="21" t="s">
        <v>56</v>
      </c>
      <c r="C14" s="21" t="s">
        <v>57</v>
      </c>
      <c r="D14" s="21" t="s">
        <v>58</v>
      </c>
      <c r="E14" s="22" t="s">
        <v>30</v>
      </c>
      <c r="F14" s="23">
        <v>163102.31</v>
      </c>
      <c r="G14" s="23"/>
      <c r="H14" s="22" t="s">
        <v>30</v>
      </c>
      <c r="I14" s="24" t="s">
        <v>32</v>
      </c>
      <c r="J14" s="24"/>
      <c r="K14" s="25" t="s">
        <v>25</v>
      </c>
      <c r="L14" s="26">
        <v>542627.43000000005</v>
      </c>
    </row>
    <row r="15" spans="1:12" ht="61.2" hidden="1" x14ac:dyDescent="0.3">
      <c r="A15" s="20" t="s">
        <v>59</v>
      </c>
      <c r="B15" s="21" t="s">
        <v>60</v>
      </c>
      <c r="C15" s="21" t="s">
        <v>61</v>
      </c>
      <c r="D15" s="21" t="s">
        <v>62</v>
      </c>
      <c r="E15" s="22" t="s">
        <v>30</v>
      </c>
      <c r="F15" s="23">
        <v>4687.5</v>
      </c>
      <c r="G15" s="23"/>
      <c r="H15" s="22" t="s">
        <v>30</v>
      </c>
      <c r="I15" s="24" t="s">
        <v>32</v>
      </c>
      <c r="J15" s="24"/>
      <c r="K15" s="25" t="s">
        <v>25</v>
      </c>
      <c r="L15" s="26">
        <v>547314.93000000005</v>
      </c>
    </row>
    <row r="16" spans="1:12" ht="61.2" hidden="1" x14ac:dyDescent="0.3">
      <c r="A16" s="20" t="s">
        <v>63</v>
      </c>
      <c r="B16" s="21" t="s">
        <v>64</v>
      </c>
      <c r="C16" s="21" t="s">
        <v>65</v>
      </c>
      <c r="D16" s="21" t="s">
        <v>66</v>
      </c>
      <c r="E16" s="22" t="s">
        <v>30</v>
      </c>
      <c r="F16" s="23">
        <v>192194.21</v>
      </c>
      <c r="G16" s="23"/>
      <c r="H16" s="22" t="s">
        <v>30</v>
      </c>
      <c r="I16" s="24" t="s">
        <v>32</v>
      </c>
      <c r="J16" s="24"/>
      <c r="K16" s="25" t="s">
        <v>25</v>
      </c>
      <c r="L16" s="26">
        <v>739509.14</v>
      </c>
    </row>
    <row r="17" spans="1:12" ht="71.400000000000006" hidden="1" x14ac:dyDescent="0.3">
      <c r="A17" s="20" t="s">
        <v>67</v>
      </c>
      <c r="B17" s="21" t="s">
        <v>68</v>
      </c>
      <c r="C17" s="21" t="s">
        <v>69</v>
      </c>
      <c r="D17" s="21" t="s">
        <v>70</v>
      </c>
      <c r="E17" s="22" t="s">
        <v>30</v>
      </c>
      <c r="F17" s="23">
        <v>119332.5</v>
      </c>
      <c r="G17" s="23"/>
      <c r="H17" s="22" t="s">
        <v>31</v>
      </c>
      <c r="I17" s="24" t="s">
        <v>32</v>
      </c>
      <c r="J17" s="24"/>
      <c r="K17" s="25" t="s">
        <v>25</v>
      </c>
      <c r="L17" s="26">
        <v>858841.64</v>
      </c>
    </row>
    <row r="18" spans="1:12" ht="71.400000000000006" hidden="1" x14ac:dyDescent="0.3">
      <c r="A18" s="20" t="s">
        <v>71</v>
      </c>
      <c r="B18" s="21" t="s">
        <v>72</v>
      </c>
      <c r="C18" s="21" t="s">
        <v>73</v>
      </c>
      <c r="D18" s="21" t="s">
        <v>74</v>
      </c>
      <c r="E18" s="22" t="s">
        <v>30</v>
      </c>
      <c r="F18" s="23">
        <v>1449</v>
      </c>
      <c r="G18" s="23"/>
      <c r="H18" s="22" t="s">
        <v>31</v>
      </c>
      <c r="I18" s="24" t="s">
        <v>32</v>
      </c>
      <c r="J18" s="24"/>
      <c r="K18" s="25" t="s">
        <v>25</v>
      </c>
      <c r="L18" s="26">
        <v>860290.64</v>
      </c>
    </row>
    <row r="19" spans="1:12" ht="71.400000000000006" hidden="1" x14ac:dyDescent="0.3">
      <c r="A19" s="20" t="s">
        <v>71</v>
      </c>
      <c r="B19" s="21" t="s">
        <v>72</v>
      </c>
      <c r="C19" s="21" t="s">
        <v>75</v>
      </c>
      <c r="D19" s="21" t="s">
        <v>74</v>
      </c>
      <c r="E19" s="22" t="s">
        <v>30</v>
      </c>
      <c r="F19" s="27">
        <v>817</v>
      </c>
      <c r="G19" s="27"/>
      <c r="H19" s="22" t="s">
        <v>31</v>
      </c>
      <c r="I19" s="24" t="s">
        <v>32</v>
      </c>
      <c r="J19" s="24"/>
      <c r="K19" s="25" t="s">
        <v>25</v>
      </c>
      <c r="L19" s="26">
        <v>861107.64</v>
      </c>
    </row>
    <row r="20" spans="1:12" ht="71.400000000000006" hidden="1" x14ac:dyDescent="0.3">
      <c r="A20" s="20" t="s">
        <v>71</v>
      </c>
      <c r="B20" s="21" t="s">
        <v>72</v>
      </c>
      <c r="C20" s="21" t="s">
        <v>76</v>
      </c>
      <c r="D20" s="21" t="s">
        <v>74</v>
      </c>
      <c r="E20" s="22" t="s">
        <v>30</v>
      </c>
      <c r="F20" s="23">
        <v>1027.5</v>
      </c>
      <c r="G20" s="23"/>
      <c r="H20" s="22" t="s">
        <v>31</v>
      </c>
      <c r="I20" s="24" t="s">
        <v>32</v>
      </c>
      <c r="J20" s="24"/>
      <c r="K20" s="25" t="s">
        <v>25</v>
      </c>
      <c r="L20" s="26">
        <v>862135.14</v>
      </c>
    </row>
    <row r="21" spans="1:12" ht="71.400000000000006" hidden="1" x14ac:dyDescent="0.3">
      <c r="A21" s="20" t="s">
        <v>71</v>
      </c>
      <c r="B21" s="21" t="s">
        <v>72</v>
      </c>
      <c r="C21" s="21" t="s">
        <v>77</v>
      </c>
      <c r="D21" s="21" t="s">
        <v>74</v>
      </c>
      <c r="E21" s="22" t="s">
        <v>30</v>
      </c>
      <c r="F21" s="27">
        <v>687</v>
      </c>
      <c r="G21" s="27"/>
      <c r="H21" s="22" t="s">
        <v>31</v>
      </c>
      <c r="I21" s="24" t="s">
        <v>32</v>
      </c>
      <c r="J21" s="24"/>
      <c r="K21" s="25" t="s">
        <v>25</v>
      </c>
      <c r="L21" s="26">
        <v>862822.14</v>
      </c>
    </row>
    <row r="22" spans="1:12" ht="71.400000000000006" hidden="1" x14ac:dyDescent="0.3">
      <c r="A22" s="20" t="s">
        <v>71</v>
      </c>
      <c r="B22" s="21" t="s">
        <v>72</v>
      </c>
      <c r="C22" s="21" t="s">
        <v>78</v>
      </c>
      <c r="D22" s="21" t="s">
        <v>74</v>
      </c>
      <c r="E22" s="22" t="s">
        <v>30</v>
      </c>
      <c r="F22" s="27">
        <v>212</v>
      </c>
      <c r="G22" s="27"/>
      <c r="H22" s="22" t="s">
        <v>31</v>
      </c>
      <c r="I22" s="24" t="s">
        <v>32</v>
      </c>
      <c r="J22" s="24"/>
      <c r="K22" s="25" t="s">
        <v>25</v>
      </c>
      <c r="L22" s="26">
        <v>863034.14</v>
      </c>
    </row>
    <row r="23" spans="1:12" ht="71.400000000000006" hidden="1" x14ac:dyDescent="0.3">
      <c r="A23" s="20" t="s">
        <v>71</v>
      </c>
      <c r="B23" s="21" t="s">
        <v>72</v>
      </c>
      <c r="C23" s="21" t="s">
        <v>79</v>
      </c>
      <c r="D23" s="21" t="s">
        <v>74</v>
      </c>
      <c r="E23" s="22" t="s">
        <v>30</v>
      </c>
      <c r="F23" s="27">
        <v>134</v>
      </c>
      <c r="G23" s="27"/>
      <c r="H23" s="22" t="s">
        <v>31</v>
      </c>
      <c r="I23" s="24" t="s">
        <v>32</v>
      </c>
      <c r="J23" s="24"/>
      <c r="K23" s="25" t="s">
        <v>25</v>
      </c>
      <c r="L23" s="26">
        <v>863168.14</v>
      </c>
    </row>
    <row r="24" spans="1:12" ht="71.400000000000006" hidden="1" x14ac:dyDescent="0.3">
      <c r="A24" s="20" t="s">
        <v>71</v>
      </c>
      <c r="B24" s="21" t="s">
        <v>72</v>
      </c>
      <c r="C24" s="21" t="s">
        <v>80</v>
      </c>
      <c r="D24" s="21" t="s">
        <v>74</v>
      </c>
      <c r="E24" s="22" t="s">
        <v>30</v>
      </c>
      <c r="F24" s="27">
        <v>145</v>
      </c>
      <c r="G24" s="27"/>
      <c r="H24" s="22" t="s">
        <v>31</v>
      </c>
      <c r="I24" s="24" t="s">
        <v>32</v>
      </c>
      <c r="J24" s="24"/>
      <c r="K24" s="25" t="s">
        <v>25</v>
      </c>
      <c r="L24" s="26">
        <v>863313.14</v>
      </c>
    </row>
    <row r="25" spans="1:12" ht="71.400000000000006" hidden="1" x14ac:dyDescent="0.3">
      <c r="A25" s="20" t="s">
        <v>71</v>
      </c>
      <c r="B25" s="21" t="s">
        <v>72</v>
      </c>
      <c r="C25" s="21" t="s">
        <v>81</v>
      </c>
      <c r="D25" s="21" t="s">
        <v>74</v>
      </c>
      <c r="E25" s="22" t="s">
        <v>30</v>
      </c>
      <c r="F25" s="27">
        <v>754</v>
      </c>
      <c r="G25" s="27"/>
      <c r="H25" s="22" t="s">
        <v>31</v>
      </c>
      <c r="I25" s="24" t="s">
        <v>32</v>
      </c>
      <c r="J25" s="24"/>
      <c r="K25" s="25" t="s">
        <v>25</v>
      </c>
      <c r="L25" s="26">
        <v>864067.14</v>
      </c>
    </row>
    <row r="26" spans="1:12" ht="71.400000000000006" hidden="1" x14ac:dyDescent="0.3">
      <c r="A26" s="20" t="s">
        <v>71</v>
      </c>
      <c r="B26" s="21" t="s">
        <v>72</v>
      </c>
      <c r="C26" s="21" t="s">
        <v>82</v>
      </c>
      <c r="D26" s="21" t="s">
        <v>74</v>
      </c>
      <c r="E26" s="22" t="s">
        <v>30</v>
      </c>
      <c r="F26" s="27">
        <v>302</v>
      </c>
      <c r="G26" s="27"/>
      <c r="H26" s="22" t="s">
        <v>31</v>
      </c>
      <c r="I26" s="24" t="s">
        <v>32</v>
      </c>
      <c r="J26" s="24"/>
      <c r="K26" s="25" t="s">
        <v>25</v>
      </c>
      <c r="L26" s="26">
        <v>864369.14</v>
      </c>
    </row>
    <row r="27" spans="1:12" ht="81.599999999999994" hidden="1" x14ac:dyDescent="0.3">
      <c r="A27" s="20" t="s">
        <v>71</v>
      </c>
      <c r="B27" s="21" t="s">
        <v>83</v>
      </c>
      <c r="C27" s="21" t="s">
        <v>84</v>
      </c>
      <c r="D27" s="21" t="s">
        <v>85</v>
      </c>
      <c r="E27" s="22" t="s">
        <v>30</v>
      </c>
      <c r="F27" s="23">
        <v>3910.5</v>
      </c>
      <c r="G27" s="23"/>
      <c r="H27" s="22" t="s">
        <v>31</v>
      </c>
      <c r="I27" s="24" t="s">
        <v>32</v>
      </c>
      <c r="J27" s="24"/>
      <c r="K27" s="25" t="s">
        <v>25</v>
      </c>
      <c r="L27" s="26">
        <v>868279.64</v>
      </c>
    </row>
    <row r="28" spans="1:12" ht="81.599999999999994" hidden="1" x14ac:dyDescent="0.3">
      <c r="A28" s="20" t="s">
        <v>71</v>
      </c>
      <c r="B28" s="21" t="s">
        <v>86</v>
      </c>
      <c r="C28" s="21" t="s">
        <v>87</v>
      </c>
      <c r="D28" s="21" t="s">
        <v>88</v>
      </c>
      <c r="E28" s="22" t="s">
        <v>30</v>
      </c>
      <c r="F28" s="23">
        <v>3178.5</v>
      </c>
      <c r="G28" s="23"/>
      <c r="H28" s="22" t="s">
        <v>30</v>
      </c>
      <c r="I28" s="24" t="s">
        <v>32</v>
      </c>
      <c r="J28" s="24"/>
      <c r="K28" s="25" t="s">
        <v>25</v>
      </c>
      <c r="L28" s="26">
        <v>871458.14</v>
      </c>
    </row>
    <row r="29" spans="1:12" ht="61.2" x14ac:dyDescent="0.3">
      <c r="A29" s="20" t="s">
        <v>89</v>
      </c>
      <c r="B29" s="21" t="s">
        <v>90</v>
      </c>
      <c r="C29" s="21" t="s">
        <v>53</v>
      </c>
      <c r="D29" s="21" t="s">
        <v>91</v>
      </c>
      <c r="E29" s="22" t="s">
        <v>54</v>
      </c>
      <c r="F29" s="28" t="s">
        <v>32</v>
      </c>
      <c r="G29" s="28"/>
      <c r="H29" s="22" t="s">
        <v>30</v>
      </c>
      <c r="I29" s="30">
        <v>895.17</v>
      </c>
      <c r="J29" s="30"/>
      <c r="K29" s="25" t="s">
        <v>25</v>
      </c>
      <c r="L29" s="26">
        <v>870562.97</v>
      </c>
    </row>
    <row r="30" spans="1:12" ht="61.2" x14ac:dyDescent="0.3">
      <c r="A30" s="20" t="s">
        <v>89</v>
      </c>
      <c r="B30" s="21" t="s">
        <v>90</v>
      </c>
      <c r="C30" s="21" t="s">
        <v>53</v>
      </c>
      <c r="D30" s="21" t="s">
        <v>57</v>
      </c>
      <c r="E30" s="22" t="s">
        <v>54</v>
      </c>
      <c r="F30" s="28" t="s">
        <v>32</v>
      </c>
      <c r="G30" s="28"/>
      <c r="H30" s="22" t="s">
        <v>30</v>
      </c>
      <c r="I30" s="29">
        <v>151940.60999999999</v>
      </c>
      <c r="J30" s="29"/>
      <c r="K30" s="25" t="s">
        <v>25</v>
      </c>
      <c r="L30" s="26">
        <v>718622.36</v>
      </c>
    </row>
    <row r="31" spans="1:12" ht="61.2" x14ac:dyDescent="0.3">
      <c r="A31" s="20" t="s">
        <v>89</v>
      </c>
      <c r="B31" s="21" t="s">
        <v>90</v>
      </c>
      <c r="C31" s="21" t="s">
        <v>53</v>
      </c>
      <c r="D31" s="21" t="s">
        <v>92</v>
      </c>
      <c r="E31" s="22" t="s">
        <v>54</v>
      </c>
      <c r="F31" s="28" t="s">
        <v>32</v>
      </c>
      <c r="G31" s="28"/>
      <c r="H31" s="22" t="s">
        <v>30</v>
      </c>
      <c r="I31" s="29">
        <v>10478.25</v>
      </c>
      <c r="J31" s="29"/>
      <c r="K31" s="25" t="s">
        <v>25</v>
      </c>
      <c r="L31" s="26">
        <v>708144.11</v>
      </c>
    </row>
    <row r="32" spans="1:12" ht="71.400000000000006" hidden="1" x14ac:dyDescent="0.3">
      <c r="A32" s="20" t="s">
        <v>93</v>
      </c>
      <c r="B32" s="21" t="s">
        <v>94</v>
      </c>
      <c r="C32" s="21" t="s">
        <v>95</v>
      </c>
      <c r="D32" s="21" t="s">
        <v>96</v>
      </c>
      <c r="E32" s="22" t="s">
        <v>30</v>
      </c>
      <c r="F32" s="23">
        <v>293460</v>
      </c>
      <c r="G32" s="23"/>
      <c r="H32" s="22" t="s">
        <v>31</v>
      </c>
      <c r="I32" s="24" t="s">
        <v>32</v>
      </c>
      <c r="J32" s="24"/>
      <c r="K32" s="25" t="s">
        <v>25</v>
      </c>
      <c r="L32" s="26">
        <v>1001604.11</v>
      </c>
    </row>
    <row r="33" spans="1:12" ht="71.400000000000006" hidden="1" x14ac:dyDescent="0.3">
      <c r="A33" s="20" t="s">
        <v>93</v>
      </c>
      <c r="B33" s="21" t="s">
        <v>97</v>
      </c>
      <c r="C33" s="21" t="s">
        <v>95</v>
      </c>
      <c r="D33" s="21" t="s">
        <v>98</v>
      </c>
      <c r="E33" s="22" t="s">
        <v>30</v>
      </c>
      <c r="F33" s="23">
        <v>85120</v>
      </c>
      <c r="G33" s="23"/>
      <c r="H33" s="22" t="s">
        <v>31</v>
      </c>
      <c r="I33" s="24" t="s">
        <v>32</v>
      </c>
      <c r="J33" s="24"/>
      <c r="K33" s="25" t="s">
        <v>25</v>
      </c>
      <c r="L33" s="26">
        <v>1086724.1100000001</v>
      </c>
    </row>
    <row r="34" spans="1:12" ht="81.599999999999994" hidden="1" x14ac:dyDescent="0.3">
      <c r="A34" s="20" t="s">
        <v>99</v>
      </c>
      <c r="B34" s="21" t="s">
        <v>100</v>
      </c>
      <c r="C34" s="21" t="s">
        <v>101</v>
      </c>
      <c r="D34" s="21" t="s">
        <v>102</v>
      </c>
      <c r="E34" s="22" t="s">
        <v>30</v>
      </c>
      <c r="F34" s="23">
        <v>2053.33</v>
      </c>
      <c r="G34" s="23"/>
      <c r="H34" s="22" t="s">
        <v>30</v>
      </c>
      <c r="I34" s="24" t="s">
        <v>32</v>
      </c>
      <c r="J34" s="24"/>
      <c r="K34" s="25" t="s">
        <v>25</v>
      </c>
      <c r="L34" s="26">
        <v>1088777.44</v>
      </c>
    </row>
    <row r="35" spans="1:12" ht="71.400000000000006" hidden="1" x14ac:dyDescent="0.3">
      <c r="A35" s="20" t="s">
        <v>103</v>
      </c>
      <c r="B35" s="21" t="s">
        <v>104</v>
      </c>
      <c r="C35" s="21" t="s">
        <v>105</v>
      </c>
      <c r="D35" s="21" t="s">
        <v>106</v>
      </c>
      <c r="E35" s="22" t="s">
        <v>30</v>
      </c>
      <c r="F35" s="23">
        <v>4977</v>
      </c>
      <c r="G35" s="23"/>
      <c r="H35" s="22" t="s">
        <v>30</v>
      </c>
      <c r="I35" s="24" t="s">
        <v>32</v>
      </c>
      <c r="J35" s="24"/>
      <c r="K35" s="25" t="s">
        <v>25</v>
      </c>
      <c r="L35" s="26">
        <v>1093754.44</v>
      </c>
    </row>
    <row r="36" spans="1:12" ht="81.599999999999994" hidden="1" x14ac:dyDescent="0.3">
      <c r="A36" s="20" t="s">
        <v>103</v>
      </c>
      <c r="B36" s="21" t="s">
        <v>107</v>
      </c>
      <c r="C36" s="21" t="s">
        <v>108</v>
      </c>
      <c r="D36" s="21" t="s">
        <v>109</v>
      </c>
      <c r="E36" s="22" t="s">
        <v>30</v>
      </c>
      <c r="F36" s="28" t="s">
        <v>32</v>
      </c>
      <c r="G36" s="28"/>
      <c r="H36" s="22" t="s">
        <v>30</v>
      </c>
      <c r="I36" s="29">
        <v>2507.38</v>
      </c>
      <c r="J36" s="29"/>
      <c r="K36" s="25" t="s">
        <v>25</v>
      </c>
      <c r="L36" s="26">
        <v>1091247.06</v>
      </c>
    </row>
    <row r="37" spans="1:12" ht="81.599999999999994" hidden="1" x14ac:dyDescent="0.3">
      <c r="A37" s="20" t="s">
        <v>103</v>
      </c>
      <c r="B37" s="21" t="s">
        <v>107</v>
      </c>
      <c r="C37" s="21" t="s">
        <v>110</v>
      </c>
      <c r="D37" s="21" t="s">
        <v>111</v>
      </c>
      <c r="E37" s="22" t="s">
        <v>30</v>
      </c>
      <c r="F37" s="28" t="s">
        <v>32</v>
      </c>
      <c r="G37" s="28"/>
      <c r="H37" s="22" t="s">
        <v>30</v>
      </c>
      <c r="I37" s="30">
        <v>811.37</v>
      </c>
      <c r="J37" s="30"/>
      <c r="K37" s="25" t="s">
        <v>25</v>
      </c>
      <c r="L37" s="26">
        <v>1090435.69</v>
      </c>
    </row>
    <row r="38" spans="1:12" ht="61.2" x14ac:dyDescent="0.3">
      <c r="A38" s="20" t="s">
        <v>103</v>
      </c>
      <c r="B38" s="21" t="s">
        <v>112</v>
      </c>
      <c r="C38" s="21" t="s">
        <v>53</v>
      </c>
      <c r="D38" s="21" t="s">
        <v>57</v>
      </c>
      <c r="E38" s="22" t="s">
        <v>54</v>
      </c>
      <c r="F38" s="28" t="s">
        <v>32</v>
      </c>
      <c r="G38" s="28"/>
      <c r="H38" s="22" t="s">
        <v>30</v>
      </c>
      <c r="I38" s="29">
        <v>11161.7</v>
      </c>
      <c r="J38" s="29"/>
      <c r="K38" s="25" t="s">
        <v>25</v>
      </c>
      <c r="L38" s="26">
        <v>1079273.99</v>
      </c>
    </row>
    <row r="39" spans="1:12" ht="61.2" x14ac:dyDescent="0.3">
      <c r="A39" s="20" t="s">
        <v>103</v>
      </c>
      <c r="B39" s="21" t="s">
        <v>112</v>
      </c>
      <c r="C39" s="21" t="s">
        <v>53</v>
      </c>
      <c r="D39" s="21" t="s">
        <v>65</v>
      </c>
      <c r="E39" s="22" t="s">
        <v>54</v>
      </c>
      <c r="F39" s="28" t="s">
        <v>32</v>
      </c>
      <c r="G39" s="28"/>
      <c r="H39" s="22" t="s">
        <v>30</v>
      </c>
      <c r="I39" s="29">
        <v>192194.21</v>
      </c>
      <c r="J39" s="29"/>
      <c r="K39" s="25" t="s">
        <v>25</v>
      </c>
      <c r="L39" s="26">
        <v>887079.78</v>
      </c>
    </row>
    <row r="40" spans="1:12" ht="71.400000000000006" x14ac:dyDescent="0.3">
      <c r="A40" s="20" t="s">
        <v>103</v>
      </c>
      <c r="B40" s="21" t="s">
        <v>112</v>
      </c>
      <c r="C40" s="21" t="s">
        <v>53</v>
      </c>
      <c r="D40" s="21" t="s">
        <v>113</v>
      </c>
      <c r="E40" s="22" t="s">
        <v>54</v>
      </c>
      <c r="F40" s="28" t="s">
        <v>32</v>
      </c>
      <c r="G40" s="28"/>
      <c r="H40" s="22" t="s">
        <v>30</v>
      </c>
      <c r="I40" s="29">
        <v>20965.5</v>
      </c>
      <c r="J40" s="29"/>
      <c r="K40" s="25" t="s">
        <v>25</v>
      </c>
      <c r="L40" s="26">
        <v>866114.28</v>
      </c>
    </row>
    <row r="41" spans="1:12" ht="71.400000000000006" x14ac:dyDescent="0.3">
      <c r="A41" s="20" t="s">
        <v>103</v>
      </c>
      <c r="B41" s="21" t="s">
        <v>112</v>
      </c>
      <c r="C41" s="21" t="s">
        <v>53</v>
      </c>
      <c r="D41" s="21" t="s">
        <v>87</v>
      </c>
      <c r="E41" s="22" t="s">
        <v>54</v>
      </c>
      <c r="F41" s="28" t="s">
        <v>32</v>
      </c>
      <c r="G41" s="28"/>
      <c r="H41" s="22" t="s">
        <v>30</v>
      </c>
      <c r="I41" s="29">
        <v>3178.5</v>
      </c>
      <c r="J41" s="29"/>
      <c r="K41" s="25" t="s">
        <v>25</v>
      </c>
      <c r="L41" s="26">
        <v>862935.78</v>
      </c>
    </row>
    <row r="42" spans="1:12" ht="71.400000000000006" x14ac:dyDescent="0.3">
      <c r="A42" s="20" t="s">
        <v>103</v>
      </c>
      <c r="B42" s="21" t="s">
        <v>112</v>
      </c>
      <c r="C42" s="21" t="s">
        <v>53</v>
      </c>
      <c r="D42" s="21" t="s">
        <v>28</v>
      </c>
      <c r="E42" s="22" t="s">
        <v>54</v>
      </c>
      <c r="F42" s="28" t="s">
        <v>32</v>
      </c>
      <c r="G42" s="28"/>
      <c r="H42" s="22" t="s">
        <v>30</v>
      </c>
      <c r="I42" s="29">
        <v>11105.09</v>
      </c>
      <c r="J42" s="29"/>
      <c r="K42" s="25" t="s">
        <v>25</v>
      </c>
      <c r="L42" s="26">
        <v>851830.69</v>
      </c>
    </row>
    <row r="43" spans="1:12" ht="71.400000000000006" x14ac:dyDescent="0.3">
      <c r="A43" s="20" t="s">
        <v>103</v>
      </c>
      <c r="B43" s="21" t="s">
        <v>112</v>
      </c>
      <c r="C43" s="21" t="s">
        <v>53</v>
      </c>
      <c r="D43" s="21" t="s">
        <v>33</v>
      </c>
      <c r="E43" s="22" t="s">
        <v>54</v>
      </c>
      <c r="F43" s="28" t="s">
        <v>32</v>
      </c>
      <c r="G43" s="28"/>
      <c r="H43" s="22" t="s">
        <v>30</v>
      </c>
      <c r="I43" s="29">
        <v>2263.83</v>
      </c>
      <c r="J43" s="29"/>
      <c r="K43" s="25" t="s">
        <v>25</v>
      </c>
      <c r="L43" s="26">
        <v>849566.86</v>
      </c>
    </row>
    <row r="44" spans="1:12" ht="61.2" x14ac:dyDescent="0.3">
      <c r="A44" s="20" t="s">
        <v>103</v>
      </c>
      <c r="B44" s="21" t="s">
        <v>112</v>
      </c>
      <c r="C44" s="21" t="s">
        <v>53</v>
      </c>
      <c r="D44" s="21" t="s">
        <v>39</v>
      </c>
      <c r="E44" s="22" t="s">
        <v>54</v>
      </c>
      <c r="F44" s="28" t="s">
        <v>32</v>
      </c>
      <c r="G44" s="28"/>
      <c r="H44" s="22" t="s">
        <v>30</v>
      </c>
      <c r="I44" s="30">
        <v>688.85</v>
      </c>
      <c r="J44" s="30"/>
      <c r="K44" s="25" t="s">
        <v>25</v>
      </c>
      <c r="L44" s="26">
        <v>848878.01</v>
      </c>
    </row>
    <row r="45" spans="1:12" ht="61.2" x14ac:dyDescent="0.3">
      <c r="A45" s="20" t="s">
        <v>103</v>
      </c>
      <c r="B45" s="21" t="s">
        <v>112</v>
      </c>
      <c r="C45" s="21" t="s">
        <v>53</v>
      </c>
      <c r="D45" s="21" t="s">
        <v>41</v>
      </c>
      <c r="E45" s="22" t="s">
        <v>54</v>
      </c>
      <c r="F45" s="28" t="s">
        <v>32</v>
      </c>
      <c r="G45" s="28"/>
      <c r="H45" s="22" t="s">
        <v>30</v>
      </c>
      <c r="I45" s="30">
        <v>715.58</v>
      </c>
      <c r="J45" s="30"/>
      <c r="K45" s="25" t="s">
        <v>25</v>
      </c>
      <c r="L45" s="26">
        <v>848162.43</v>
      </c>
    </row>
    <row r="46" spans="1:12" ht="61.2" x14ac:dyDescent="0.3">
      <c r="A46" s="20" t="s">
        <v>103</v>
      </c>
      <c r="B46" s="21" t="s">
        <v>112</v>
      </c>
      <c r="C46" s="21" t="s">
        <v>53</v>
      </c>
      <c r="D46" s="21" t="s">
        <v>43</v>
      </c>
      <c r="E46" s="22" t="s">
        <v>54</v>
      </c>
      <c r="F46" s="28" t="s">
        <v>32</v>
      </c>
      <c r="G46" s="28"/>
      <c r="H46" s="22" t="s">
        <v>30</v>
      </c>
      <c r="I46" s="30">
        <v>588.1</v>
      </c>
      <c r="J46" s="30"/>
      <c r="K46" s="25" t="s">
        <v>25</v>
      </c>
      <c r="L46" s="26">
        <v>847574.33</v>
      </c>
    </row>
    <row r="47" spans="1:12" ht="61.2" x14ac:dyDescent="0.3">
      <c r="A47" s="20" t="s">
        <v>103</v>
      </c>
      <c r="B47" s="21" t="s">
        <v>112</v>
      </c>
      <c r="C47" s="21" t="s">
        <v>53</v>
      </c>
      <c r="D47" s="21" t="s">
        <v>37</v>
      </c>
      <c r="E47" s="22" t="s">
        <v>54</v>
      </c>
      <c r="F47" s="28" t="s">
        <v>32</v>
      </c>
      <c r="G47" s="28"/>
      <c r="H47" s="22" t="s">
        <v>30</v>
      </c>
      <c r="I47" s="30">
        <v>287.87</v>
      </c>
      <c r="J47" s="30"/>
      <c r="K47" s="25" t="s">
        <v>25</v>
      </c>
      <c r="L47" s="26">
        <v>847286.46</v>
      </c>
    </row>
    <row r="48" spans="1:12" ht="71.400000000000006" x14ac:dyDescent="0.3">
      <c r="A48" s="20" t="s">
        <v>103</v>
      </c>
      <c r="B48" s="21" t="s">
        <v>112</v>
      </c>
      <c r="C48" s="21" t="s">
        <v>53</v>
      </c>
      <c r="D48" s="21" t="s">
        <v>114</v>
      </c>
      <c r="E48" s="22" t="s">
        <v>54</v>
      </c>
      <c r="F48" s="28" t="s">
        <v>32</v>
      </c>
      <c r="G48" s="28"/>
      <c r="H48" s="22" t="s">
        <v>30</v>
      </c>
      <c r="I48" s="29">
        <v>36179.160000000003</v>
      </c>
      <c r="J48" s="29"/>
      <c r="K48" s="25" t="s">
        <v>25</v>
      </c>
      <c r="L48" s="26">
        <v>811107.3</v>
      </c>
    </row>
    <row r="49" spans="1:12" ht="71.400000000000006" x14ac:dyDescent="0.3">
      <c r="A49" s="20" t="s">
        <v>103</v>
      </c>
      <c r="B49" s="21" t="s">
        <v>115</v>
      </c>
      <c r="C49" s="21" t="s">
        <v>53</v>
      </c>
      <c r="D49" s="21" t="s">
        <v>116</v>
      </c>
      <c r="E49" s="22" t="s">
        <v>54</v>
      </c>
      <c r="F49" s="28" t="s">
        <v>32</v>
      </c>
      <c r="G49" s="28"/>
      <c r="H49" s="22" t="s">
        <v>30</v>
      </c>
      <c r="I49" s="29">
        <v>4960.76</v>
      </c>
      <c r="J49" s="29"/>
      <c r="K49" s="25" t="s">
        <v>25</v>
      </c>
      <c r="L49" s="26">
        <v>806146.54</v>
      </c>
    </row>
    <row r="50" spans="1:12" ht="71.400000000000006" x14ac:dyDescent="0.3">
      <c r="A50" s="20" t="s">
        <v>103</v>
      </c>
      <c r="B50" s="21" t="s">
        <v>115</v>
      </c>
      <c r="C50" s="21" t="s">
        <v>53</v>
      </c>
      <c r="D50" s="21" t="s">
        <v>111</v>
      </c>
      <c r="E50" s="22" t="s">
        <v>54</v>
      </c>
      <c r="F50" s="28" t="s">
        <v>32</v>
      </c>
      <c r="G50" s="28"/>
      <c r="H50" s="22" t="s">
        <v>30</v>
      </c>
      <c r="I50" s="30">
        <v>574.80999999999995</v>
      </c>
      <c r="J50" s="30"/>
      <c r="K50" s="25" t="s">
        <v>25</v>
      </c>
      <c r="L50" s="26">
        <v>805571.73</v>
      </c>
    </row>
    <row r="51" spans="1:12" ht="71.400000000000006" x14ac:dyDescent="0.3">
      <c r="A51" s="20" t="s">
        <v>103</v>
      </c>
      <c r="B51" s="21" t="s">
        <v>115</v>
      </c>
      <c r="C51" s="21" t="s">
        <v>53</v>
      </c>
      <c r="D51" s="21" t="s">
        <v>105</v>
      </c>
      <c r="E51" s="22" t="s">
        <v>54</v>
      </c>
      <c r="F51" s="28" t="s">
        <v>32</v>
      </c>
      <c r="G51" s="28"/>
      <c r="H51" s="22" t="s">
        <v>30</v>
      </c>
      <c r="I51" s="29">
        <v>4977</v>
      </c>
      <c r="J51" s="29"/>
      <c r="K51" s="25" t="s">
        <v>25</v>
      </c>
      <c r="L51" s="26">
        <v>800594.73</v>
      </c>
    </row>
    <row r="52" spans="1:12" ht="61.2" x14ac:dyDescent="0.3">
      <c r="A52" s="20" t="s">
        <v>103</v>
      </c>
      <c r="B52" s="21" t="s">
        <v>117</v>
      </c>
      <c r="C52" s="21" t="s">
        <v>53</v>
      </c>
      <c r="D52" s="21" t="s">
        <v>95</v>
      </c>
      <c r="E52" s="22" t="s">
        <v>54</v>
      </c>
      <c r="F52" s="28" t="s">
        <v>32</v>
      </c>
      <c r="G52" s="28"/>
      <c r="H52" s="22" t="s">
        <v>30</v>
      </c>
      <c r="I52" s="29">
        <v>342379.46</v>
      </c>
      <c r="J52" s="29"/>
      <c r="K52" s="25" t="s">
        <v>25</v>
      </c>
      <c r="L52" s="26">
        <v>458215.27</v>
      </c>
    </row>
    <row r="53" spans="1:12" ht="71.400000000000006" x14ac:dyDescent="0.3">
      <c r="A53" s="20" t="s">
        <v>103</v>
      </c>
      <c r="B53" s="21" t="s">
        <v>117</v>
      </c>
      <c r="C53" s="21" t="s">
        <v>53</v>
      </c>
      <c r="D53" s="21" t="s">
        <v>75</v>
      </c>
      <c r="E53" s="22" t="s">
        <v>54</v>
      </c>
      <c r="F53" s="28" t="s">
        <v>32</v>
      </c>
      <c r="G53" s="28"/>
      <c r="H53" s="22" t="s">
        <v>30</v>
      </c>
      <c r="I53" s="30">
        <v>817</v>
      </c>
      <c r="J53" s="30"/>
      <c r="K53" s="25" t="s">
        <v>25</v>
      </c>
      <c r="L53" s="26">
        <v>457398.27</v>
      </c>
    </row>
    <row r="54" spans="1:12" ht="61.2" x14ac:dyDescent="0.3">
      <c r="A54" s="20" t="s">
        <v>103</v>
      </c>
      <c r="B54" s="21" t="s">
        <v>117</v>
      </c>
      <c r="C54" s="21" t="s">
        <v>53</v>
      </c>
      <c r="D54" s="21" t="s">
        <v>81</v>
      </c>
      <c r="E54" s="22" t="s">
        <v>54</v>
      </c>
      <c r="F54" s="28" t="s">
        <v>32</v>
      </c>
      <c r="G54" s="28"/>
      <c r="H54" s="22" t="s">
        <v>30</v>
      </c>
      <c r="I54" s="30">
        <v>754</v>
      </c>
      <c r="J54" s="30"/>
      <c r="K54" s="25" t="s">
        <v>25</v>
      </c>
      <c r="L54" s="26">
        <v>456644.27</v>
      </c>
    </row>
    <row r="55" spans="1:12" ht="61.2" x14ac:dyDescent="0.3">
      <c r="A55" s="20" t="s">
        <v>103</v>
      </c>
      <c r="B55" s="21" t="s">
        <v>117</v>
      </c>
      <c r="C55" s="21" t="s">
        <v>53</v>
      </c>
      <c r="D55" s="21" t="s">
        <v>82</v>
      </c>
      <c r="E55" s="22" t="s">
        <v>54</v>
      </c>
      <c r="F55" s="28" t="s">
        <v>32</v>
      </c>
      <c r="G55" s="28"/>
      <c r="H55" s="22" t="s">
        <v>30</v>
      </c>
      <c r="I55" s="30">
        <v>302</v>
      </c>
      <c r="J55" s="30"/>
      <c r="K55" s="25" t="s">
        <v>25</v>
      </c>
      <c r="L55" s="26">
        <v>456342.27</v>
      </c>
    </row>
    <row r="56" spans="1:12" ht="71.400000000000006" x14ac:dyDescent="0.3">
      <c r="A56" s="20" t="s">
        <v>103</v>
      </c>
      <c r="B56" s="21" t="s">
        <v>117</v>
      </c>
      <c r="C56" s="21" t="s">
        <v>53</v>
      </c>
      <c r="D56" s="21" t="s">
        <v>69</v>
      </c>
      <c r="E56" s="22" t="s">
        <v>54</v>
      </c>
      <c r="F56" s="28" t="s">
        <v>32</v>
      </c>
      <c r="G56" s="28"/>
      <c r="H56" s="22" t="s">
        <v>30</v>
      </c>
      <c r="I56" s="29">
        <v>119332.5</v>
      </c>
      <c r="J56" s="29"/>
      <c r="K56" s="25" t="s">
        <v>25</v>
      </c>
      <c r="L56" s="26">
        <v>337009.77</v>
      </c>
    </row>
    <row r="57" spans="1:12" ht="71.400000000000006" hidden="1" x14ac:dyDescent="0.3">
      <c r="A57" s="20" t="s">
        <v>103</v>
      </c>
      <c r="B57" s="21" t="s">
        <v>118</v>
      </c>
      <c r="C57" s="21" t="s">
        <v>119</v>
      </c>
      <c r="D57" s="21" t="s">
        <v>95</v>
      </c>
      <c r="E57" s="22" t="s">
        <v>30</v>
      </c>
      <c r="F57" s="28" t="s">
        <v>32</v>
      </c>
      <c r="G57" s="28"/>
      <c r="H57" s="22" t="s">
        <v>30</v>
      </c>
      <c r="I57" s="29">
        <v>3088.91</v>
      </c>
      <c r="J57" s="29"/>
      <c r="K57" s="25" t="s">
        <v>25</v>
      </c>
      <c r="L57" s="26">
        <v>333920.86</v>
      </c>
    </row>
    <row r="58" spans="1:12" hidden="1" x14ac:dyDescent="0.3">
      <c r="A58" s="31" t="s">
        <v>120</v>
      </c>
      <c r="B58" s="31"/>
      <c r="C58" s="31"/>
      <c r="D58" s="31"/>
      <c r="E58" s="32">
        <v>926417.93</v>
      </c>
      <c r="F58" s="32"/>
      <c r="G58" s="32"/>
      <c r="H58" s="32">
        <v>932137.61</v>
      </c>
      <c r="I58" s="32"/>
      <c r="J58" s="32"/>
      <c r="K58" s="33" t="s">
        <v>25</v>
      </c>
      <c r="L58" s="34">
        <v>333920.86</v>
      </c>
    </row>
    <row r="60" spans="1:12" x14ac:dyDescent="0.3">
      <c r="J60" s="2">
        <f>SUBTOTAL(9,I13:J56)</f>
        <v>925729.95000000007</v>
      </c>
    </row>
  </sheetData>
  <autoFilter ref="A1:L58" xr:uid="{E3424B81-DEA3-473C-8DBC-ACD4E9385C59}">
    <filterColumn colId="1">
      <filters>
        <filter val="Вимога-накладна ІБ00-000362 від 01.05.2025 22:00:51_x000a_Списаны ТМЦ"/>
        <filter val="Вимога-накладна ІБ00-000372 від 22.05.2025 13:18:42_x000a_Списаны ТМЦ"/>
        <filter val="Вимога-накладна ІБ00-000391 від 29.05.2025 12:24:48_x000a_Списаны ТМЦ"/>
        <filter val="Вимога-накладна ІБ00-000406 від 29.05.2025 21:00:00_x000a_Списаны ТМЦ"/>
        <filter val="Вимога-накладна ІБ00-000423 від 29.05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22">
    <mergeCell ref="A58:D58"/>
    <mergeCell ref="E58:G58"/>
    <mergeCell ref="H58:J58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77A8-553C-4DAE-BBE1-B4CB4B2470C7}">
  <sheetPr filterMode="1"/>
  <dimension ref="A1:L49"/>
  <sheetViews>
    <sheetView topLeftCell="A42" workbookViewId="0">
      <selection activeCell="J49" sqref="J49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35" t="s">
        <v>17</v>
      </c>
      <c r="B1" s="36" t="s">
        <v>18</v>
      </c>
      <c r="C1" s="36" t="s">
        <v>19</v>
      </c>
      <c r="D1" s="37" t="s">
        <v>20</v>
      </c>
      <c r="E1" s="38" t="s">
        <v>21</v>
      </c>
      <c r="F1" s="38"/>
      <c r="G1" s="38"/>
      <c r="H1" s="39" t="s">
        <v>22</v>
      </c>
      <c r="I1" s="39"/>
      <c r="J1" s="39"/>
      <c r="K1" s="36" t="s">
        <v>23</v>
      </c>
      <c r="L1" s="36"/>
    </row>
    <row r="2" spans="1:12" hidden="1" x14ac:dyDescent="0.3">
      <c r="A2" s="40"/>
      <c r="B2" s="41"/>
      <c r="C2" s="41"/>
      <c r="D2" s="42"/>
      <c r="E2" s="43" t="s">
        <v>24</v>
      </c>
      <c r="F2" s="44"/>
      <c r="G2" s="44"/>
      <c r="H2" s="45" t="s">
        <v>24</v>
      </c>
      <c r="I2" s="46"/>
      <c r="J2" s="46"/>
      <c r="K2" s="40"/>
      <c r="L2" s="47"/>
    </row>
    <row r="3" spans="1:12" ht="91.8" hidden="1" x14ac:dyDescent="0.3">
      <c r="A3" s="48" t="s">
        <v>55</v>
      </c>
      <c r="B3" s="49" t="s">
        <v>121</v>
      </c>
      <c r="C3" s="49" t="s">
        <v>122</v>
      </c>
      <c r="D3" s="49" t="s">
        <v>123</v>
      </c>
      <c r="E3" s="50" t="s">
        <v>30</v>
      </c>
      <c r="F3" s="51">
        <v>7443.33</v>
      </c>
      <c r="G3" s="51"/>
      <c r="H3" s="50" t="s">
        <v>31</v>
      </c>
      <c r="I3" s="52" t="s">
        <v>32</v>
      </c>
      <c r="J3" s="52"/>
      <c r="K3" s="53" t="s">
        <v>25</v>
      </c>
      <c r="L3" s="54">
        <v>7443.33</v>
      </c>
    </row>
    <row r="4" spans="1:12" ht="71.400000000000006" hidden="1" x14ac:dyDescent="0.3">
      <c r="A4" s="48" t="s">
        <v>71</v>
      </c>
      <c r="B4" s="49" t="s">
        <v>124</v>
      </c>
      <c r="C4" s="49" t="s">
        <v>125</v>
      </c>
      <c r="D4" s="49" t="s">
        <v>126</v>
      </c>
      <c r="E4" s="50" t="s">
        <v>30</v>
      </c>
      <c r="F4" s="55">
        <v>418.2</v>
      </c>
      <c r="G4" s="55"/>
      <c r="H4" s="50" t="s">
        <v>127</v>
      </c>
      <c r="I4" s="52" t="s">
        <v>32</v>
      </c>
      <c r="J4" s="52"/>
      <c r="K4" s="53" t="s">
        <v>25</v>
      </c>
      <c r="L4" s="54">
        <v>7861.53</v>
      </c>
    </row>
    <row r="5" spans="1:12" ht="71.400000000000006" hidden="1" x14ac:dyDescent="0.3">
      <c r="A5" s="48" t="s">
        <v>71</v>
      </c>
      <c r="B5" s="49" t="s">
        <v>124</v>
      </c>
      <c r="C5" s="49" t="s">
        <v>128</v>
      </c>
      <c r="D5" s="49" t="s">
        <v>129</v>
      </c>
      <c r="E5" s="50" t="s">
        <v>30</v>
      </c>
      <c r="F5" s="55">
        <v>273.89999999999998</v>
      </c>
      <c r="G5" s="55"/>
      <c r="H5" s="50" t="s">
        <v>30</v>
      </c>
      <c r="I5" s="52" t="s">
        <v>32</v>
      </c>
      <c r="J5" s="52"/>
      <c r="K5" s="53" t="s">
        <v>25</v>
      </c>
      <c r="L5" s="54">
        <v>8135.43</v>
      </c>
    </row>
    <row r="6" spans="1:12" ht="71.400000000000006" hidden="1" x14ac:dyDescent="0.3">
      <c r="A6" s="48" t="s">
        <v>71</v>
      </c>
      <c r="B6" s="49" t="s">
        <v>124</v>
      </c>
      <c r="C6" s="49" t="s">
        <v>130</v>
      </c>
      <c r="D6" s="49" t="s">
        <v>131</v>
      </c>
      <c r="E6" s="50" t="s">
        <v>30</v>
      </c>
      <c r="F6" s="55">
        <v>153.97999999999999</v>
      </c>
      <c r="G6" s="55"/>
      <c r="H6" s="50" t="s">
        <v>30</v>
      </c>
      <c r="I6" s="52" t="s">
        <v>32</v>
      </c>
      <c r="J6" s="52"/>
      <c r="K6" s="53" t="s">
        <v>25</v>
      </c>
      <c r="L6" s="54">
        <v>8289.41</v>
      </c>
    </row>
    <row r="7" spans="1:12" ht="81.599999999999994" hidden="1" x14ac:dyDescent="0.3">
      <c r="A7" s="48" t="s">
        <v>71</v>
      </c>
      <c r="B7" s="49" t="s">
        <v>132</v>
      </c>
      <c r="C7" s="49" t="s">
        <v>133</v>
      </c>
      <c r="D7" s="49" t="s">
        <v>134</v>
      </c>
      <c r="E7" s="50" t="s">
        <v>30</v>
      </c>
      <c r="F7" s="55">
        <v>993.25</v>
      </c>
      <c r="G7" s="55"/>
      <c r="H7" s="50" t="s">
        <v>30</v>
      </c>
      <c r="I7" s="52" t="s">
        <v>32</v>
      </c>
      <c r="J7" s="52"/>
      <c r="K7" s="53" t="s">
        <v>25</v>
      </c>
      <c r="L7" s="54">
        <v>9282.66</v>
      </c>
    </row>
    <row r="8" spans="1:12" ht="102" hidden="1" x14ac:dyDescent="0.3">
      <c r="A8" s="48" t="s">
        <v>71</v>
      </c>
      <c r="B8" s="49" t="s">
        <v>132</v>
      </c>
      <c r="C8" s="49" t="s">
        <v>135</v>
      </c>
      <c r="D8" s="49" t="s">
        <v>136</v>
      </c>
      <c r="E8" s="50" t="s">
        <v>30</v>
      </c>
      <c r="F8" s="51">
        <v>5250</v>
      </c>
      <c r="G8" s="51"/>
      <c r="H8" s="50" t="s">
        <v>30</v>
      </c>
      <c r="I8" s="52" t="s">
        <v>32</v>
      </c>
      <c r="J8" s="52"/>
      <c r="K8" s="53" t="s">
        <v>25</v>
      </c>
      <c r="L8" s="54">
        <v>14532.66</v>
      </c>
    </row>
    <row r="9" spans="1:12" ht="81.599999999999994" hidden="1" x14ac:dyDescent="0.3">
      <c r="A9" s="48" t="s">
        <v>71</v>
      </c>
      <c r="B9" s="49" t="s">
        <v>132</v>
      </c>
      <c r="C9" s="49" t="s">
        <v>137</v>
      </c>
      <c r="D9" s="49" t="s">
        <v>138</v>
      </c>
      <c r="E9" s="50" t="s">
        <v>30</v>
      </c>
      <c r="F9" s="51">
        <v>20590.5</v>
      </c>
      <c r="G9" s="51"/>
      <c r="H9" s="50" t="s">
        <v>30</v>
      </c>
      <c r="I9" s="52" t="s">
        <v>32</v>
      </c>
      <c r="J9" s="52"/>
      <c r="K9" s="53" t="s">
        <v>25</v>
      </c>
      <c r="L9" s="54">
        <v>35123.160000000003</v>
      </c>
    </row>
    <row r="10" spans="1:12" ht="71.400000000000006" hidden="1" x14ac:dyDescent="0.3">
      <c r="A10" s="48" t="s">
        <v>71</v>
      </c>
      <c r="B10" s="49" t="s">
        <v>132</v>
      </c>
      <c r="C10" s="49" t="s">
        <v>139</v>
      </c>
      <c r="D10" s="49" t="s">
        <v>140</v>
      </c>
      <c r="E10" s="50" t="s">
        <v>30</v>
      </c>
      <c r="F10" s="51">
        <v>9479.2900000000009</v>
      </c>
      <c r="G10" s="51"/>
      <c r="H10" s="50" t="s">
        <v>30</v>
      </c>
      <c r="I10" s="52" t="s">
        <v>32</v>
      </c>
      <c r="J10" s="52"/>
      <c r="K10" s="53" t="s">
        <v>25</v>
      </c>
      <c r="L10" s="54">
        <v>44602.45</v>
      </c>
    </row>
    <row r="11" spans="1:12" ht="81.599999999999994" hidden="1" x14ac:dyDescent="0.3">
      <c r="A11" s="48" t="s">
        <v>71</v>
      </c>
      <c r="B11" s="49" t="s">
        <v>141</v>
      </c>
      <c r="C11" s="49" t="s">
        <v>142</v>
      </c>
      <c r="D11" s="49" t="s">
        <v>143</v>
      </c>
      <c r="E11" s="50" t="s">
        <v>30</v>
      </c>
      <c r="F11" s="51">
        <v>3994.07</v>
      </c>
      <c r="G11" s="51"/>
      <c r="H11" s="50" t="s">
        <v>30</v>
      </c>
      <c r="I11" s="52" t="s">
        <v>32</v>
      </c>
      <c r="J11" s="52"/>
      <c r="K11" s="53" t="s">
        <v>25</v>
      </c>
      <c r="L11" s="54">
        <v>48596.52</v>
      </c>
    </row>
    <row r="12" spans="1:12" ht="71.400000000000006" hidden="1" x14ac:dyDescent="0.3">
      <c r="A12" s="48" t="s">
        <v>71</v>
      </c>
      <c r="B12" s="49" t="s">
        <v>144</v>
      </c>
      <c r="C12" s="49" t="s">
        <v>145</v>
      </c>
      <c r="D12" s="49" t="s">
        <v>146</v>
      </c>
      <c r="E12" s="50" t="s">
        <v>30</v>
      </c>
      <c r="F12" s="51">
        <v>4423.21</v>
      </c>
      <c r="G12" s="51"/>
      <c r="H12" s="50" t="s">
        <v>30</v>
      </c>
      <c r="I12" s="52" t="s">
        <v>32</v>
      </c>
      <c r="J12" s="52"/>
      <c r="K12" s="53" t="s">
        <v>25</v>
      </c>
      <c r="L12" s="54">
        <v>53019.73</v>
      </c>
    </row>
    <row r="13" spans="1:12" ht="71.400000000000006" hidden="1" x14ac:dyDescent="0.3">
      <c r="A13" s="48" t="s">
        <v>89</v>
      </c>
      <c r="B13" s="49" t="s">
        <v>147</v>
      </c>
      <c r="C13" s="49" t="s">
        <v>148</v>
      </c>
      <c r="D13" s="49" t="s">
        <v>149</v>
      </c>
      <c r="E13" s="50" t="s">
        <v>30</v>
      </c>
      <c r="F13" s="51">
        <v>14277.25</v>
      </c>
      <c r="G13" s="51"/>
      <c r="H13" s="50" t="s">
        <v>30</v>
      </c>
      <c r="I13" s="52" t="s">
        <v>32</v>
      </c>
      <c r="J13" s="52"/>
      <c r="K13" s="53" t="s">
        <v>25</v>
      </c>
      <c r="L13" s="54">
        <v>67296.98</v>
      </c>
    </row>
    <row r="14" spans="1:12" ht="71.400000000000006" hidden="1" x14ac:dyDescent="0.3">
      <c r="A14" s="48" t="s">
        <v>89</v>
      </c>
      <c r="B14" s="49" t="s">
        <v>147</v>
      </c>
      <c r="C14" s="49" t="s">
        <v>150</v>
      </c>
      <c r="D14" s="49" t="s">
        <v>151</v>
      </c>
      <c r="E14" s="50" t="s">
        <v>30</v>
      </c>
      <c r="F14" s="51">
        <v>11925.5</v>
      </c>
      <c r="G14" s="51"/>
      <c r="H14" s="50" t="s">
        <v>30</v>
      </c>
      <c r="I14" s="52" t="s">
        <v>32</v>
      </c>
      <c r="J14" s="52"/>
      <c r="K14" s="53" t="s">
        <v>25</v>
      </c>
      <c r="L14" s="54">
        <v>79222.48</v>
      </c>
    </row>
    <row r="15" spans="1:12" ht="71.400000000000006" x14ac:dyDescent="0.3">
      <c r="A15" s="48" t="s">
        <v>89</v>
      </c>
      <c r="B15" s="49" t="s">
        <v>152</v>
      </c>
      <c r="C15" s="49" t="s">
        <v>53</v>
      </c>
      <c r="D15" s="49" t="s">
        <v>145</v>
      </c>
      <c r="E15" s="50" t="s">
        <v>54</v>
      </c>
      <c r="F15" s="56" t="s">
        <v>32</v>
      </c>
      <c r="G15" s="56"/>
      <c r="H15" s="50" t="s">
        <v>30</v>
      </c>
      <c r="I15" s="57">
        <v>4423.21</v>
      </c>
      <c r="J15" s="57"/>
      <c r="K15" s="53" t="s">
        <v>25</v>
      </c>
      <c r="L15" s="54">
        <v>74799.27</v>
      </c>
    </row>
    <row r="16" spans="1:12" ht="71.400000000000006" x14ac:dyDescent="0.3">
      <c r="A16" s="48" t="s">
        <v>89</v>
      </c>
      <c r="B16" s="49" t="s">
        <v>152</v>
      </c>
      <c r="C16" s="49" t="s">
        <v>53</v>
      </c>
      <c r="D16" s="49" t="s">
        <v>148</v>
      </c>
      <c r="E16" s="50" t="s">
        <v>54</v>
      </c>
      <c r="F16" s="56" t="s">
        <v>32</v>
      </c>
      <c r="G16" s="56"/>
      <c r="H16" s="50" t="s">
        <v>30</v>
      </c>
      <c r="I16" s="57">
        <v>14277.25</v>
      </c>
      <c r="J16" s="57"/>
      <c r="K16" s="53" t="s">
        <v>25</v>
      </c>
      <c r="L16" s="54">
        <v>60522.02</v>
      </c>
    </row>
    <row r="17" spans="1:12" ht="71.400000000000006" x14ac:dyDescent="0.3">
      <c r="A17" s="48" t="s">
        <v>89</v>
      </c>
      <c r="B17" s="49" t="s">
        <v>152</v>
      </c>
      <c r="C17" s="49" t="s">
        <v>53</v>
      </c>
      <c r="D17" s="49" t="s">
        <v>150</v>
      </c>
      <c r="E17" s="50" t="s">
        <v>54</v>
      </c>
      <c r="F17" s="56" t="s">
        <v>32</v>
      </c>
      <c r="G17" s="56"/>
      <c r="H17" s="50" t="s">
        <v>30</v>
      </c>
      <c r="I17" s="57">
        <v>9474.08</v>
      </c>
      <c r="J17" s="57"/>
      <c r="K17" s="53" t="s">
        <v>25</v>
      </c>
      <c r="L17" s="54">
        <v>51047.94</v>
      </c>
    </row>
    <row r="18" spans="1:12" ht="91.8" hidden="1" x14ac:dyDescent="0.3">
      <c r="A18" s="48" t="s">
        <v>103</v>
      </c>
      <c r="B18" s="49" t="s">
        <v>153</v>
      </c>
      <c r="C18" s="49" t="s">
        <v>154</v>
      </c>
      <c r="D18" s="49" t="s">
        <v>155</v>
      </c>
      <c r="E18" s="50" t="s">
        <v>30</v>
      </c>
      <c r="F18" s="51">
        <v>9300</v>
      </c>
      <c r="G18" s="51"/>
      <c r="H18" s="50" t="s">
        <v>30</v>
      </c>
      <c r="I18" s="52" t="s">
        <v>32</v>
      </c>
      <c r="J18" s="52"/>
      <c r="K18" s="53" t="s">
        <v>25</v>
      </c>
      <c r="L18" s="54">
        <v>60347.94</v>
      </c>
    </row>
    <row r="19" spans="1:12" ht="91.8" hidden="1" x14ac:dyDescent="0.3">
      <c r="A19" s="48" t="s">
        <v>103</v>
      </c>
      <c r="B19" s="49" t="s">
        <v>153</v>
      </c>
      <c r="C19" s="49" t="s">
        <v>156</v>
      </c>
      <c r="D19" s="49" t="s">
        <v>157</v>
      </c>
      <c r="E19" s="50" t="s">
        <v>30</v>
      </c>
      <c r="F19" s="51">
        <v>12794.67</v>
      </c>
      <c r="G19" s="51"/>
      <c r="H19" s="50" t="s">
        <v>30</v>
      </c>
      <c r="I19" s="52" t="s">
        <v>32</v>
      </c>
      <c r="J19" s="52"/>
      <c r="K19" s="53" t="s">
        <v>25</v>
      </c>
      <c r="L19" s="54">
        <v>73142.61</v>
      </c>
    </row>
    <row r="20" spans="1:12" ht="91.8" hidden="1" x14ac:dyDescent="0.3">
      <c r="A20" s="48" t="s">
        <v>103</v>
      </c>
      <c r="B20" s="49" t="s">
        <v>153</v>
      </c>
      <c r="C20" s="49" t="s">
        <v>158</v>
      </c>
      <c r="D20" s="49" t="s">
        <v>159</v>
      </c>
      <c r="E20" s="50" t="s">
        <v>30</v>
      </c>
      <c r="F20" s="55">
        <v>571.08000000000004</v>
      </c>
      <c r="G20" s="55"/>
      <c r="H20" s="50" t="s">
        <v>30</v>
      </c>
      <c r="I20" s="52" t="s">
        <v>32</v>
      </c>
      <c r="J20" s="52"/>
      <c r="K20" s="53" t="s">
        <v>25</v>
      </c>
      <c r="L20" s="54">
        <v>73713.69</v>
      </c>
    </row>
    <row r="21" spans="1:12" ht="91.8" hidden="1" x14ac:dyDescent="0.3">
      <c r="A21" s="48" t="s">
        <v>103</v>
      </c>
      <c r="B21" s="49" t="s">
        <v>153</v>
      </c>
      <c r="C21" s="49" t="s">
        <v>160</v>
      </c>
      <c r="D21" s="49" t="s">
        <v>161</v>
      </c>
      <c r="E21" s="50" t="s">
        <v>30</v>
      </c>
      <c r="F21" s="51">
        <v>8631.93</v>
      </c>
      <c r="G21" s="51"/>
      <c r="H21" s="50" t="s">
        <v>30</v>
      </c>
      <c r="I21" s="52" t="s">
        <v>32</v>
      </c>
      <c r="J21" s="52"/>
      <c r="K21" s="53" t="s">
        <v>25</v>
      </c>
      <c r="L21" s="54">
        <v>82345.62</v>
      </c>
    </row>
    <row r="22" spans="1:12" ht="91.8" hidden="1" x14ac:dyDescent="0.3">
      <c r="A22" s="48" t="s">
        <v>103</v>
      </c>
      <c r="B22" s="49" t="s">
        <v>162</v>
      </c>
      <c r="C22" s="49" t="s">
        <v>158</v>
      </c>
      <c r="D22" s="49" t="s">
        <v>159</v>
      </c>
      <c r="E22" s="50" t="s">
        <v>30</v>
      </c>
      <c r="F22" s="51">
        <v>6982.25</v>
      </c>
      <c r="G22" s="51"/>
      <c r="H22" s="50" t="s">
        <v>30</v>
      </c>
      <c r="I22" s="52" t="s">
        <v>32</v>
      </c>
      <c r="J22" s="52"/>
      <c r="K22" s="53" t="s">
        <v>25</v>
      </c>
      <c r="L22" s="54">
        <v>89327.87</v>
      </c>
    </row>
    <row r="23" spans="1:12" ht="91.8" hidden="1" x14ac:dyDescent="0.3">
      <c r="A23" s="48" t="s">
        <v>103</v>
      </c>
      <c r="B23" s="49" t="s">
        <v>162</v>
      </c>
      <c r="C23" s="49" t="s">
        <v>163</v>
      </c>
      <c r="D23" s="49" t="s">
        <v>164</v>
      </c>
      <c r="E23" s="50" t="s">
        <v>30</v>
      </c>
      <c r="F23" s="51">
        <v>4147.91</v>
      </c>
      <c r="G23" s="51"/>
      <c r="H23" s="50" t="s">
        <v>30</v>
      </c>
      <c r="I23" s="52" t="s">
        <v>32</v>
      </c>
      <c r="J23" s="52"/>
      <c r="K23" s="53" t="s">
        <v>25</v>
      </c>
      <c r="L23" s="54">
        <v>93475.78</v>
      </c>
    </row>
    <row r="24" spans="1:12" ht="81.599999999999994" hidden="1" x14ac:dyDescent="0.3">
      <c r="A24" s="48" t="s">
        <v>103</v>
      </c>
      <c r="B24" s="49" t="s">
        <v>162</v>
      </c>
      <c r="C24" s="49" t="s">
        <v>165</v>
      </c>
      <c r="D24" s="49" t="s">
        <v>166</v>
      </c>
      <c r="E24" s="50" t="s">
        <v>30</v>
      </c>
      <c r="F24" s="51">
        <v>5709.33</v>
      </c>
      <c r="G24" s="51"/>
      <c r="H24" s="50" t="s">
        <v>30</v>
      </c>
      <c r="I24" s="52" t="s">
        <v>32</v>
      </c>
      <c r="J24" s="52"/>
      <c r="K24" s="53" t="s">
        <v>25</v>
      </c>
      <c r="L24" s="54">
        <v>99185.11</v>
      </c>
    </row>
    <row r="25" spans="1:12" ht="91.8" hidden="1" x14ac:dyDescent="0.3">
      <c r="A25" s="48" t="s">
        <v>103</v>
      </c>
      <c r="B25" s="49" t="s">
        <v>162</v>
      </c>
      <c r="C25" s="49" t="s">
        <v>160</v>
      </c>
      <c r="D25" s="49" t="s">
        <v>161</v>
      </c>
      <c r="E25" s="50" t="s">
        <v>30</v>
      </c>
      <c r="F25" s="51">
        <v>12828.22</v>
      </c>
      <c r="G25" s="51"/>
      <c r="H25" s="50" t="s">
        <v>30</v>
      </c>
      <c r="I25" s="52" t="s">
        <v>32</v>
      </c>
      <c r="J25" s="52"/>
      <c r="K25" s="53" t="s">
        <v>25</v>
      </c>
      <c r="L25" s="54">
        <v>112013.33</v>
      </c>
    </row>
    <row r="26" spans="1:12" ht="71.400000000000006" x14ac:dyDescent="0.3">
      <c r="A26" s="48" t="s">
        <v>103</v>
      </c>
      <c r="B26" s="49" t="s">
        <v>167</v>
      </c>
      <c r="C26" s="49" t="s">
        <v>53</v>
      </c>
      <c r="D26" s="49" t="s">
        <v>125</v>
      </c>
      <c r="E26" s="50" t="s">
        <v>54</v>
      </c>
      <c r="F26" s="56" t="s">
        <v>32</v>
      </c>
      <c r="G26" s="56"/>
      <c r="H26" s="50" t="s">
        <v>30</v>
      </c>
      <c r="I26" s="58">
        <v>418.2</v>
      </c>
      <c r="J26" s="58"/>
      <c r="K26" s="53" t="s">
        <v>25</v>
      </c>
      <c r="L26" s="54">
        <v>111595.13</v>
      </c>
    </row>
    <row r="27" spans="1:12" ht="71.400000000000006" x14ac:dyDescent="0.3">
      <c r="A27" s="48" t="s">
        <v>103</v>
      </c>
      <c r="B27" s="49" t="s">
        <v>167</v>
      </c>
      <c r="C27" s="49" t="s">
        <v>53</v>
      </c>
      <c r="D27" s="49" t="s">
        <v>128</v>
      </c>
      <c r="E27" s="50" t="s">
        <v>54</v>
      </c>
      <c r="F27" s="56" t="s">
        <v>32</v>
      </c>
      <c r="G27" s="56"/>
      <c r="H27" s="50" t="s">
        <v>30</v>
      </c>
      <c r="I27" s="58">
        <v>273.89999999999998</v>
      </c>
      <c r="J27" s="58"/>
      <c r="K27" s="53" t="s">
        <v>25</v>
      </c>
      <c r="L27" s="54">
        <v>111321.23</v>
      </c>
    </row>
    <row r="28" spans="1:12" ht="71.400000000000006" x14ac:dyDescent="0.3">
      <c r="A28" s="48" t="s">
        <v>103</v>
      </c>
      <c r="B28" s="49" t="s">
        <v>167</v>
      </c>
      <c r="C28" s="49" t="s">
        <v>53</v>
      </c>
      <c r="D28" s="49" t="s">
        <v>130</v>
      </c>
      <c r="E28" s="50" t="s">
        <v>54</v>
      </c>
      <c r="F28" s="56" t="s">
        <v>32</v>
      </c>
      <c r="G28" s="56"/>
      <c r="H28" s="50" t="s">
        <v>30</v>
      </c>
      <c r="I28" s="58">
        <v>153.97999999999999</v>
      </c>
      <c r="J28" s="58"/>
      <c r="K28" s="53" t="s">
        <v>25</v>
      </c>
      <c r="L28" s="54">
        <v>111167.25</v>
      </c>
    </row>
    <row r="29" spans="1:12" ht="71.400000000000006" x14ac:dyDescent="0.3">
      <c r="A29" s="48" t="s">
        <v>103</v>
      </c>
      <c r="B29" s="49" t="s">
        <v>167</v>
      </c>
      <c r="C29" s="49" t="s">
        <v>53</v>
      </c>
      <c r="D29" s="49" t="s">
        <v>142</v>
      </c>
      <c r="E29" s="50" t="s">
        <v>54</v>
      </c>
      <c r="F29" s="56" t="s">
        <v>32</v>
      </c>
      <c r="G29" s="56"/>
      <c r="H29" s="50" t="s">
        <v>30</v>
      </c>
      <c r="I29" s="57">
        <v>3994.07</v>
      </c>
      <c r="J29" s="57"/>
      <c r="K29" s="53" t="s">
        <v>25</v>
      </c>
      <c r="L29" s="54">
        <v>107173.18</v>
      </c>
    </row>
    <row r="30" spans="1:12" ht="91.8" x14ac:dyDescent="0.3">
      <c r="A30" s="48" t="s">
        <v>103</v>
      </c>
      <c r="B30" s="49" t="s">
        <v>167</v>
      </c>
      <c r="C30" s="49" t="s">
        <v>53</v>
      </c>
      <c r="D30" s="49" t="s">
        <v>122</v>
      </c>
      <c r="E30" s="50" t="s">
        <v>54</v>
      </c>
      <c r="F30" s="56" t="s">
        <v>32</v>
      </c>
      <c r="G30" s="56"/>
      <c r="H30" s="50" t="s">
        <v>30</v>
      </c>
      <c r="I30" s="57">
        <v>1032.17</v>
      </c>
      <c r="J30" s="57"/>
      <c r="K30" s="53" t="s">
        <v>25</v>
      </c>
      <c r="L30" s="54">
        <v>106141.01</v>
      </c>
    </row>
    <row r="31" spans="1:12" ht="81.599999999999994" x14ac:dyDescent="0.3">
      <c r="A31" s="48" t="s">
        <v>103</v>
      </c>
      <c r="B31" s="49" t="s">
        <v>167</v>
      </c>
      <c r="C31" s="49" t="s">
        <v>53</v>
      </c>
      <c r="D31" s="49" t="s">
        <v>133</v>
      </c>
      <c r="E31" s="50" t="s">
        <v>54</v>
      </c>
      <c r="F31" s="56" t="s">
        <v>32</v>
      </c>
      <c r="G31" s="56"/>
      <c r="H31" s="50" t="s">
        <v>30</v>
      </c>
      <c r="I31" s="58">
        <v>993.25</v>
      </c>
      <c r="J31" s="58"/>
      <c r="K31" s="53" t="s">
        <v>25</v>
      </c>
      <c r="L31" s="54">
        <v>105147.76</v>
      </c>
    </row>
    <row r="32" spans="1:12" ht="102" x14ac:dyDescent="0.3">
      <c r="A32" s="48" t="s">
        <v>103</v>
      </c>
      <c r="B32" s="49" t="s">
        <v>167</v>
      </c>
      <c r="C32" s="49" t="s">
        <v>53</v>
      </c>
      <c r="D32" s="49" t="s">
        <v>135</v>
      </c>
      <c r="E32" s="50" t="s">
        <v>54</v>
      </c>
      <c r="F32" s="56" t="s">
        <v>32</v>
      </c>
      <c r="G32" s="56"/>
      <c r="H32" s="50" t="s">
        <v>30</v>
      </c>
      <c r="I32" s="57">
        <v>5250</v>
      </c>
      <c r="J32" s="57"/>
      <c r="K32" s="53" t="s">
        <v>25</v>
      </c>
      <c r="L32" s="54">
        <v>99897.76</v>
      </c>
    </row>
    <row r="33" spans="1:12" ht="71.400000000000006" x14ac:dyDescent="0.3">
      <c r="A33" s="48" t="s">
        <v>103</v>
      </c>
      <c r="B33" s="49" t="s">
        <v>167</v>
      </c>
      <c r="C33" s="49" t="s">
        <v>53</v>
      </c>
      <c r="D33" s="49" t="s">
        <v>150</v>
      </c>
      <c r="E33" s="50" t="s">
        <v>54</v>
      </c>
      <c r="F33" s="56" t="s">
        <v>32</v>
      </c>
      <c r="G33" s="56"/>
      <c r="H33" s="50" t="s">
        <v>30</v>
      </c>
      <c r="I33" s="57">
        <v>2451.42</v>
      </c>
      <c r="J33" s="57"/>
      <c r="K33" s="53" t="s">
        <v>25</v>
      </c>
      <c r="L33" s="54">
        <v>97446.34</v>
      </c>
    </row>
    <row r="34" spans="1:12" ht="91.8" x14ac:dyDescent="0.3">
      <c r="A34" s="48" t="s">
        <v>103</v>
      </c>
      <c r="B34" s="49" t="s">
        <v>167</v>
      </c>
      <c r="C34" s="49" t="s">
        <v>53</v>
      </c>
      <c r="D34" s="49" t="s">
        <v>122</v>
      </c>
      <c r="E34" s="50" t="s">
        <v>54</v>
      </c>
      <c r="F34" s="56" t="s">
        <v>32</v>
      </c>
      <c r="G34" s="56"/>
      <c r="H34" s="50" t="s">
        <v>30</v>
      </c>
      <c r="I34" s="57">
        <v>1925</v>
      </c>
      <c r="J34" s="57"/>
      <c r="K34" s="53" t="s">
        <v>25</v>
      </c>
      <c r="L34" s="54">
        <v>95521.34</v>
      </c>
    </row>
    <row r="35" spans="1:12" ht="81.599999999999994" x14ac:dyDescent="0.3">
      <c r="A35" s="48" t="s">
        <v>103</v>
      </c>
      <c r="B35" s="49" t="s">
        <v>167</v>
      </c>
      <c r="C35" s="49" t="s">
        <v>53</v>
      </c>
      <c r="D35" s="49" t="s">
        <v>137</v>
      </c>
      <c r="E35" s="50" t="s">
        <v>54</v>
      </c>
      <c r="F35" s="56" t="s">
        <v>32</v>
      </c>
      <c r="G35" s="56"/>
      <c r="H35" s="50" t="s">
        <v>30</v>
      </c>
      <c r="I35" s="57">
        <v>20590.5</v>
      </c>
      <c r="J35" s="57"/>
      <c r="K35" s="53" t="s">
        <v>25</v>
      </c>
      <c r="L35" s="54">
        <v>74930.84</v>
      </c>
    </row>
    <row r="36" spans="1:12" ht="71.400000000000006" x14ac:dyDescent="0.3">
      <c r="A36" s="48" t="s">
        <v>103</v>
      </c>
      <c r="B36" s="49" t="s">
        <v>167</v>
      </c>
      <c r="C36" s="49" t="s">
        <v>53</v>
      </c>
      <c r="D36" s="49" t="s">
        <v>139</v>
      </c>
      <c r="E36" s="50" t="s">
        <v>54</v>
      </c>
      <c r="F36" s="56" t="s">
        <v>32</v>
      </c>
      <c r="G36" s="56"/>
      <c r="H36" s="50" t="s">
        <v>30</v>
      </c>
      <c r="I36" s="57">
        <v>9479.2900000000009</v>
      </c>
      <c r="J36" s="57"/>
      <c r="K36" s="53" t="s">
        <v>25</v>
      </c>
      <c r="L36" s="54">
        <v>65451.55</v>
      </c>
    </row>
    <row r="37" spans="1:12" ht="91.8" x14ac:dyDescent="0.3">
      <c r="A37" s="48" t="s">
        <v>103</v>
      </c>
      <c r="B37" s="49" t="s">
        <v>168</v>
      </c>
      <c r="C37" s="49" t="s">
        <v>53</v>
      </c>
      <c r="D37" s="49" t="s">
        <v>154</v>
      </c>
      <c r="E37" s="50" t="s">
        <v>54</v>
      </c>
      <c r="F37" s="56" t="s">
        <v>32</v>
      </c>
      <c r="G37" s="56"/>
      <c r="H37" s="50" t="s">
        <v>30</v>
      </c>
      <c r="I37" s="57">
        <v>9300</v>
      </c>
      <c r="J37" s="57"/>
      <c r="K37" s="53" t="s">
        <v>25</v>
      </c>
      <c r="L37" s="54">
        <v>56151.55</v>
      </c>
    </row>
    <row r="38" spans="1:12" ht="91.8" x14ac:dyDescent="0.3">
      <c r="A38" s="48" t="s">
        <v>103</v>
      </c>
      <c r="B38" s="49" t="s">
        <v>168</v>
      </c>
      <c r="C38" s="49" t="s">
        <v>53</v>
      </c>
      <c r="D38" s="49" t="s">
        <v>156</v>
      </c>
      <c r="E38" s="50" t="s">
        <v>54</v>
      </c>
      <c r="F38" s="56" t="s">
        <v>32</v>
      </c>
      <c r="G38" s="56"/>
      <c r="H38" s="50" t="s">
        <v>30</v>
      </c>
      <c r="I38" s="57">
        <v>12794.67</v>
      </c>
      <c r="J38" s="57"/>
      <c r="K38" s="53" t="s">
        <v>25</v>
      </c>
      <c r="L38" s="54">
        <v>43356.88</v>
      </c>
    </row>
    <row r="39" spans="1:12" ht="91.8" x14ac:dyDescent="0.3">
      <c r="A39" s="48" t="s">
        <v>103</v>
      </c>
      <c r="B39" s="49" t="s">
        <v>168</v>
      </c>
      <c r="C39" s="49" t="s">
        <v>53</v>
      </c>
      <c r="D39" s="49" t="s">
        <v>122</v>
      </c>
      <c r="E39" s="50" t="s">
        <v>54</v>
      </c>
      <c r="F39" s="56" t="s">
        <v>32</v>
      </c>
      <c r="G39" s="56"/>
      <c r="H39" s="50" t="s">
        <v>30</v>
      </c>
      <c r="I39" s="58">
        <v>571.08000000000004</v>
      </c>
      <c r="J39" s="58"/>
      <c r="K39" s="53" t="s">
        <v>25</v>
      </c>
      <c r="L39" s="54">
        <v>42785.8</v>
      </c>
    </row>
    <row r="40" spans="1:12" ht="91.8" x14ac:dyDescent="0.3">
      <c r="A40" s="48" t="s">
        <v>103</v>
      </c>
      <c r="B40" s="49" t="s">
        <v>168</v>
      </c>
      <c r="C40" s="49" t="s">
        <v>53</v>
      </c>
      <c r="D40" s="49" t="s">
        <v>160</v>
      </c>
      <c r="E40" s="50" t="s">
        <v>54</v>
      </c>
      <c r="F40" s="56" t="s">
        <v>32</v>
      </c>
      <c r="G40" s="56"/>
      <c r="H40" s="50" t="s">
        <v>30</v>
      </c>
      <c r="I40" s="57">
        <v>8631.93</v>
      </c>
      <c r="J40" s="57"/>
      <c r="K40" s="53" t="s">
        <v>25</v>
      </c>
      <c r="L40" s="54">
        <v>34153.870000000003</v>
      </c>
    </row>
    <row r="41" spans="1:12" ht="91.8" x14ac:dyDescent="0.3">
      <c r="A41" s="48" t="s">
        <v>103</v>
      </c>
      <c r="B41" s="49" t="s">
        <v>169</v>
      </c>
      <c r="C41" s="49" t="s">
        <v>53</v>
      </c>
      <c r="D41" s="49" t="s">
        <v>122</v>
      </c>
      <c r="E41" s="50" t="s">
        <v>54</v>
      </c>
      <c r="F41" s="56" t="s">
        <v>32</v>
      </c>
      <c r="G41" s="56"/>
      <c r="H41" s="50" t="s">
        <v>30</v>
      </c>
      <c r="I41" s="57">
        <v>3915.08</v>
      </c>
      <c r="J41" s="57"/>
      <c r="K41" s="53" t="s">
        <v>25</v>
      </c>
      <c r="L41" s="54">
        <v>30238.79</v>
      </c>
    </row>
    <row r="42" spans="1:12" ht="91.8" x14ac:dyDescent="0.3">
      <c r="A42" s="48" t="s">
        <v>103</v>
      </c>
      <c r="B42" s="49" t="s">
        <v>169</v>
      </c>
      <c r="C42" s="49" t="s">
        <v>53</v>
      </c>
      <c r="D42" s="49" t="s">
        <v>158</v>
      </c>
      <c r="E42" s="50" t="s">
        <v>54</v>
      </c>
      <c r="F42" s="56" t="s">
        <v>32</v>
      </c>
      <c r="G42" s="56"/>
      <c r="H42" s="50" t="s">
        <v>30</v>
      </c>
      <c r="I42" s="57">
        <v>7215.08</v>
      </c>
      <c r="J42" s="57"/>
      <c r="K42" s="53" t="s">
        <v>25</v>
      </c>
      <c r="L42" s="54">
        <v>23023.71</v>
      </c>
    </row>
    <row r="43" spans="1:12" ht="81.599999999999994" x14ac:dyDescent="0.3">
      <c r="A43" s="48" t="s">
        <v>103</v>
      </c>
      <c r="B43" s="49" t="s">
        <v>169</v>
      </c>
      <c r="C43" s="49" t="s">
        <v>53</v>
      </c>
      <c r="D43" s="49" t="s">
        <v>165</v>
      </c>
      <c r="E43" s="50" t="s">
        <v>54</v>
      </c>
      <c r="F43" s="56" t="s">
        <v>32</v>
      </c>
      <c r="G43" s="56"/>
      <c r="H43" s="50" t="s">
        <v>30</v>
      </c>
      <c r="I43" s="57">
        <v>5709.33</v>
      </c>
      <c r="J43" s="57"/>
      <c r="K43" s="53" t="s">
        <v>25</v>
      </c>
      <c r="L43" s="54">
        <v>17314.38</v>
      </c>
    </row>
    <row r="44" spans="1:12" ht="91.8" x14ac:dyDescent="0.3">
      <c r="A44" s="48" t="s">
        <v>103</v>
      </c>
      <c r="B44" s="49" t="s">
        <v>169</v>
      </c>
      <c r="C44" s="49" t="s">
        <v>53</v>
      </c>
      <c r="D44" s="49" t="s">
        <v>160</v>
      </c>
      <c r="E44" s="50" t="s">
        <v>54</v>
      </c>
      <c r="F44" s="56" t="s">
        <v>32</v>
      </c>
      <c r="G44" s="56"/>
      <c r="H44" s="50" t="s">
        <v>30</v>
      </c>
      <c r="I44" s="57">
        <v>12828.22</v>
      </c>
      <c r="J44" s="57"/>
      <c r="K44" s="53" t="s">
        <v>25</v>
      </c>
      <c r="L44" s="54">
        <v>4486.16</v>
      </c>
    </row>
    <row r="45" spans="1:12" ht="91.8" hidden="1" x14ac:dyDescent="0.3">
      <c r="A45" s="48" t="s">
        <v>103</v>
      </c>
      <c r="B45" s="49" t="s">
        <v>170</v>
      </c>
      <c r="C45" s="49" t="s">
        <v>171</v>
      </c>
      <c r="D45" s="49" t="s">
        <v>158</v>
      </c>
      <c r="E45" s="50" t="s">
        <v>30</v>
      </c>
      <c r="F45" s="56" t="s">
        <v>32</v>
      </c>
      <c r="G45" s="56"/>
      <c r="H45" s="50" t="s">
        <v>30</v>
      </c>
      <c r="I45" s="58">
        <v>338.25</v>
      </c>
      <c r="J45" s="58"/>
      <c r="K45" s="53" t="s">
        <v>25</v>
      </c>
      <c r="L45" s="54">
        <v>4147.91</v>
      </c>
    </row>
    <row r="46" spans="1:12" ht="91.8" hidden="1" x14ac:dyDescent="0.3">
      <c r="A46" s="48" t="s">
        <v>103</v>
      </c>
      <c r="B46" s="49" t="s">
        <v>170</v>
      </c>
      <c r="C46" s="49" t="s">
        <v>172</v>
      </c>
      <c r="D46" s="49" t="s">
        <v>163</v>
      </c>
      <c r="E46" s="50" t="s">
        <v>30</v>
      </c>
      <c r="F46" s="56" t="s">
        <v>32</v>
      </c>
      <c r="G46" s="56"/>
      <c r="H46" s="50" t="s">
        <v>30</v>
      </c>
      <c r="I46" s="57">
        <v>4147.91</v>
      </c>
      <c r="J46" s="57"/>
      <c r="K46" s="53"/>
      <c r="L46" s="59"/>
    </row>
    <row r="47" spans="1:12" hidden="1" x14ac:dyDescent="0.3">
      <c r="A47" s="60" t="s">
        <v>120</v>
      </c>
      <c r="B47" s="60"/>
      <c r="C47" s="60"/>
      <c r="D47" s="60"/>
      <c r="E47" s="61">
        <v>140187.87</v>
      </c>
      <c r="F47" s="61"/>
      <c r="G47" s="61"/>
      <c r="H47" s="61">
        <v>140187.87</v>
      </c>
      <c r="I47" s="61"/>
      <c r="J47" s="61"/>
      <c r="K47" s="62"/>
      <c r="L47" s="63">
        <v>0</v>
      </c>
    </row>
    <row r="49" spans="10:10" x14ac:dyDescent="0.3">
      <c r="J49" s="2">
        <f>SUBTOTAL(9,I15:J44)</f>
        <v>135701.71</v>
      </c>
    </row>
  </sheetData>
  <autoFilter ref="A1:L47" xr:uid="{8C13B6AF-5335-49BA-BB58-D4021CCD6F9E}">
    <filterColumn colId="1">
      <filters>
        <filter val="Вимога-накладна ІБ00-000377 від 22.05.2025 16:33:58_x000a_Списаны ТМЦ"/>
        <filter val="Вимога-накладна ІБ00-000397 від 29.05.2025 14:52:08_x000a_Списаны ТМЦ"/>
        <filter val="Вимога-накладна ІБ00-000410 від 29.05.2025 21:00:00_x000a_Списаны ТМЦ"/>
        <filter val="Вимога-накладна ІБ00-000432 від 29.05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0">
    <mergeCell ref="F46:G46"/>
    <mergeCell ref="I46:J46"/>
    <mergeCell ref="A47:D47"/>
    <mergeCell ref="E47:G47"/>
    <mergeCell ref="H47:J47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4925-D7D5-4B27-8C25-746F20CF0842}">
  <sheetPr filterMode="1"/>
  <dimension ref="A1:L32"/>
  <sheetViews>
    <sheetView workbookViewId="0">
      <selection activeCell="B3" sqref="B3"/>
    </sheetView>
  </sheetViews>
  <sheetFormatPr defaultRowHeight="14.4" x14ac:dyDescent="0.3"/>
  <cols>
    <col min="2" max="4" width="18.21875" customWidth="1"/>
  </cols>
  <sheetData>
    <row r="1" spans="1:12" x14ac:dyDescent="0.3">
      <c r="A1" s="64" t="s">
        <v>17</v>
      </c>
      <c r="B1" s="65" t="s">
        <v>18</v>
      </c>
      <c r="C1" s="65" t="s">
        <v>19</v>
      </c>
      <c r="D1" s="66" t="s">
        <v>20</v>
      </c>
      <c r="E1" s="67" t="s">
        <v>21</v>
      </c>
      <c r="F1" s="67"/>
      <c r="G1" s="67"/>
      <c r="H1" s="68" t="s">
        <v>22</v>
      </c>
      <c r="I1" s="68"/>
      <c r="J1" s="68"/>
      <c r="K1" s="65" t="s">
        <v>23</v>
      </c>
      <c r="L1" s="65"/>
    </row>
    <row r="2" spans="1:12" x14ac:dyDescent="0.3">
      <c r="A2" s="69"/>
      <c r="B2" s="70"/>
      <c r="C2" s="70"/>
      <c r="D2" s="71"/>
      <c r="E2" s="72" t="s">
        <v>24</v>
      </c>
      <c r="F2" s="73"/>
      <c r="G2" s="73"/>
      <c r="H2" s="74" t="s">
        <v>24</v>
      </c>
      <c r="I2" s="75"/>
      <c r="J2" s="75"/>
      <c r="K2" s="69"/>
      <c r="L2" s="76"/>
    </row>
    <row r="3" spans="1:12" ht="91.8" hidden="1" x14ac:dyDescent="0.3">
      <c r="A3" s="77" t="s">
        <v>173</v>
      </c>
      <c r="B3" s="78" t="s">
        <v>174</v>
      </c>
      <c r="C3" s="78" t="s">
        <v>159</v>
      </c>
      <c r="D3" s="78" t="s">
        <v>175</v>
      </c>
      <c r="E3" s="79" t="s">
        <v>30</v>
      </c>
      <c r="F3" s="80">
        <v>7553.33</v>
      </c>
      <c r="G3" s="80"/>
      <c r="H3" s="79" t="s">
        <v>31</v>
      </c>
      <c r="I3" s="81" t="s">
        <v>32</v>
      </c>
      <c r="J3" s="81"/>
      <c r="K3" s="82" t="s">
        <v>25</v>
      </c>
      <c r="L3" s="83">
        <v>169863</v>
      </c>
    </row>
    <row r="4" spans="1:12" ht="91.8" hidden="1" x14ac:dyDescent="0.3">
      <c r="A4" s="77" t="s">
        <v>176</v>
      </c>
      <c r="B4" s="78" t="s">
        <v>177</v>
      </c>
      <c r="C4" s="78" t="s">
        <v>164</v>
      </c>
      <c r="D4" s="78" t="s">
        <v>178</v>
      </c>
      <c r="E4" s="79" t="s">
        <v>30</v>
      </c>
      <c r="F4" s="80">
        <v>7657.83</v>
      </c>
      <c r="G4" s="80"/>
      <c r="H4" s="79" t="s">
        <v>31</v>
      </c>
      <c r="I4" s="81" t="s">
        <v>32</v>
      </c>
      <c r="J4" s="81"/>
      <c r="K4" s="82" t="s">
        <v>25</v>
      </c>
      <c r="L4" s="83">
        <v>177520.83</v>
      </c>
    </row>
    <row r="5" spans="1:12" ht="91.8" hidden="1" x14ac:dyDescent="0.3">
      <c r="A5" s="77" t="s">
        <v>179</v>
      </c>
      <c r="B5" s="78" t="s">
        <v>180</v>
      </c>
      <c r="C5" s="78" t="s">
        <v>181</v>
      </c>
      <c r="D5" s="78" t="s">
        <v>182</v>
      </c>
      <c r="E5" s="79" t="s">
        <v>30</v>
      </c>
      <c r="F5" s="80">
        <v>7494.67</v>
      </c>
      <c r="G5" s="80"/>
      <c r="H5" s="79" t="s">
        <v>31</v>
      </c>
      <c r="I5" s="81" t="s">
        <v>32</v>
      </c>
      <c r="J5" s="81"/>
      <c r="K5" s="82" t="s">
        <v>25</v>
      </c>
      <c r="L5" s="83">
        <v>185015.5</v>
      </c>
    </row>
    <row r="6" spans="1:12" ht="91.8" hidden="1" x14ac:dyDescent="0.3">
      <c r="A6" s="77" t="s">
        <v>59</v>
      </c>
      <c r="B6" s="78" t="s">
        <v>183</v>
      </c>
      <c r="C6" s="78" t="s">
        <v>184</v>
      </c>
      <c r="D6" s="78" t="s">
        <v>185</v>
      </c>
      <c r="E6" s="79" t="s">
        <v>30</v>
      </c>
      <c r="F6" s="80">
        <v>5655.83</v>
      </c>
      <c r="G6" s="80"/>
      <c r="H6" s="79" t="s">
        <v>31</v>
      </c>
      <c r="I6" s="81" t="s">
        <v>32</v>
      </c>
      <c r="J6" s="81"/>
      <c r="K6" s="82" t="s">
        <v>25</v>
      </c>
      <c r="L6" s="83">
        <v>190671.33</v>
      </c>
    </row>
    <row r="7" spans="1:12" ht="91.8" hidden="1" x14ac:dyDescent="0.3">
      <c r="A7" s="77" t="s">
        <v>186</v>
      </c>
      <c r="B7" s="78" t="s">
        <v>187</v>
      </c>
      <c r="C7" s="78" t="s">
        <v>188</v>
      </c>
      <c r="D7" s="78" t="s">
        <v>189</v>
      </c>
      <c r="E7" s="79" t="s">
        <v>30</v>
      </c>
      <c r="F7" s="80">
        <v>7507.5</v>
      </c>
      <c r="G7" s="80"/>
      <c r="H7" s="79" t="s">
        <v>31</v>
      </c>
      <c r="I7" s="81" t="s">
        <v>32</v>
      </c>
      <c r="J7" s="81"/>
      <c r="K7" s="82" t="s">
        <v>25</v>
      </c>
      <c r="L7" s="83">
        <v>198178.83</v>
      </c>
    </row>
    <row r="8" spans="1:12" ht="91.8" hidden="1" x14ac:dyDescent="0.3">
      <c r="A8" s="77" t="s">
        <v>67</v>
      </c>
      <c r="B8" s="78" t="s">
        <v>190</v>
      </c>
      <c r="C8" s="78" t="s">
        <v>191</v>
      </c>
      <c r="D8" s="78" t="s">
        <v>192</v>
      </c>
      <c r="E8" s="79" t="s">
        <v>30</v>
      </c>
      <c r="F8" s="80">
        <v>1871.83</v>
      </c>
      <c r="G8" s="80"/>
      <c r="H8" s="79" t="s">
        <v>30</v>
      </c>
      <c r="I8" s="81" t="s">
        <v>32</v>
      </c>
      <c r="J8" s="81"/>
      <c r="K8" s="82" t="s">
        <v>25</v>
      </c>
      <c r="L8" s="83">
        <v>200050.66</v>
      </c>
    </row>
    <row r="9" spans="1:12" ht="91.8" hidden="1" x14ac:dyDescent="0.3">
      <c r="A9" s="77" t="s">
        <v>193</v>
      </c>
      <c r="B9" s="78" t="s">
        <v>194</v>
      </c>
      <c r="C9" s="78" t="s">
        <v>195</v>
      </c>
      <c r="D9" s="78" t="s">
        <v>196</v>
      </c>
      <c r="E9" s="79" t="s">
        <v>30</v>
      </c>
      <c r="F9" s="80">
        <v>7555.17</v>
      </c>
      <c r="G9" s="80"/>
      <c r="H9" s="79" t="s">
        <v>31</v>
      </c>
      <c r="I9" s="81" t="s">
        <v>32</v>
      </c>
      <c r="J9" s="81"/>
      <c r="K9" s="82" t="s">
        <v>25</v>
      </c>
      <c r="L9" s="83">
        <v>207605.83</v>
      </c>
    </row>
    <row r="10" spans="1:12" ht="91.8" hidden="1" x14ac:dyDescent="0.3">
      <c r="A10" s="77" t="s">
        <v>197</v>
      </c>
      <c r="B10" s="78" t="s">
        <v>198</v>
      </c>
      <c r="C10" s="78" t="s">
        <v>199</v>
      </c>
      <c r="D10" s="78" t="s">
        <v>200</v>
      </c>
      <c r="E10" s="79" t="s">
        <v>30</v>
      </c>
      <c r="F10" s="80">
        <v>7991.5</v>
      </c>
      <c r="G10" s="80"/>
      <c r="H10" s="79" t="s">
        <v>31</v>
      </c>
      <c r="I10" s="81" t="s">
        <v>32</v>
      </c>
      <c r="J10" s="81"/>
      <c r="K10" s="82" t="s">
        <v>25</v>
      </c>
      <c r="L10" s="83">
        <v>215597.33</v>
      </c>
    </row>
    <row r="11" spans="1:12" ht="91.8" hidden="1" x14ac:dyDescent="0.3">
      <c r="A11" s="77" t="s">
        <v>89</v>
      </c>
      <c r="B11" s="78" t="s">
        <v>201</v>
      </c>
      <c r="C11" s="78" t="s">
        <v>202</v>
      </c>
      <c r="D11" s="78" t="s">
        <v>203</v>
      </c>
      <c r="E11" s="79" t="s">
        <v>30</v>
      </c>
      <c r="F11" s="80">
        <v>1904.83</v>
      </c>
      <c r="G11" s="80"/>
      <c r="H11" s="79" t="s">
        <v>31</v>
      </c>
      <c r="I11" s="81" t="s">
        <v>32</v>
      </c>
      <c r="J11" s="81"/>
      <c r="K11" s="82" t="s">
        <v>25</v>
      </c>
      <c r="L11" s="83">
        <v>217502.16</v>
      </c>
    </row>
    <row r="12" spans="1:12" ht="81.599999999999994" hidden="1" x14ac:dyDescent="0.3">
      <c r="A12" s="77" t="s">
        <v>89</v>
      </c>
      <c r="B12" s="78" t="s">
        <v>201</v>
      </c>
      <c r="C12" s="78" t="s">
        <v>204</v>
      </c>
      <c r="D12" s="78" t="s">
        <v>203</v>
      </c>
      <c r="E12" s="79" t="s">
        <v>30</v>
      </c>
      <c r="F12" s="80">
        <v>5738.67</v>
      </c>
      <c r="G12" s="80"/>
      <c r="H12" s="79" t="s">
        <v>31</v>
      </c>
      <c r="I12" s="81" t="s">
        <v>32</v>
      </c>
      <c r="J12" s="81"/>
      <c r="K12" s="82" t="s">
        <v>25</v>
      </c>
      <c r="L12" s="83">
        <v>223240.83</v>
      </c>
    </row>
    <row r="13" spans="1:12" ht="81.599999999999994" hidden="1" x14ac:dyDescent="0.3">
      <c r="A13" s="77" t="s">
        <v>205</v>
      </c>
      <c r="B13" s="78" t="s">
        <v>206</v>
      </c>
      <c r="C13" s="78" t="s">
        <v>166</v>
      </c>
      <c r="D13" s="78" t="s">
        <v>207</v>
      </c>
      <c r="E13" s="79" t="s">
        <v>30</v>
      </c>
      <c r="F13" s="80">
        <v>5709.33</v>
      </c>
      <c r="G13" s="80"/>
      <c r="H13" s="79" t="s">
        <v>31</v>
      </c>
      <c r="I13" s="81" t="s">
        <v>32</v>
      </c>
      <c r="J13" s="81"/>
      <c r="K13" s="82" t="s">
        <v>25</v>
      </c>
      <c r="L13" s="83">
        <v>228950.16</v>
      </c>
    </row>
    <row r="14" spans="1:12" ht="81.599999999999994" hidden="1" x14ac:dyDescent="0.3">
      <c r="A14" s="77" t="s">
        <v>208</v>
      </c>
      <c r="B14" s="78" t="s">
        <v>209</v>
      </c>
      <c r="C14" s="78" t="s">
        <v>210</v>
      </c>
      <c r="D14" s="78" t="s">
        <v>211</v>
      </c>
      <c r="E14" s="79" t="s">
        <v>30</v>
      </c>
      <c r="F14" s="80">
        <v>11621.33</v>
      </c>
      <c r="G14" s="80"/>
      <c r="H14" s="79" t="s">
        <v>31</v>
      </c>
      <c r="I14" s="81" t="s">
        <v>32</v>
      </c>
      <c r="J14" s="81"/>
      <c r="K14" s="82" t="s">
        <v>25</v>
      </c>
      <c r="L14" s="83">
        <v>240571.49</v>
      </c>
    </row>
    <row r="15" spans="1:12" ht="81.599999999999994" hidden="1" x14ac:dyDescent="0.3">
      <c r="A15" s="77" t="s">
        <v>93</v>
      </c>
      <c r="B15" s="78" t="s">
        <v>212</v>
      </c>
      <c r="C15" s="78" t="s">
        <v>213</v>
      </c>
      <c r="D15" s="78" t="s">
        <v>214</v>
      </c>
      <c r="E15" s="79" t="s">
        <v>30</v>
      </c>
      <c r="F15" s="80">
        <v>5941.33</v>
      </c>
      <c r="G15" s="80"/>
      <c r="H15" s="79" t="s">
        <v>31</v>
      </c>
      <c r="I15" s="81" t="s">
        <v>32</v>
      </c>
      <c r="J15" s="81"/>
      <c r="K15" s="82" t="s">
        <v>25</v>
      </c>
      <c r="L15" s="83">
        <v>246512.82</v>
      </c>
    </row>
    <row r="16" spans="1:12" ht="91.8" hidden="1" x14ac:dyDescent="0.3">
      <c r="A16" s="77" t="s">
        <v>99</v>
      </c>
      <c r="B16" s="78" t="s">
        <v>215</v>
      </c>
      <c r="C16" s="78" t="s">
        <v>216</v>
      </c>
      <c r="D16" s="78" t="s">
        <v>102</v>
      </c>
      <c r="E16" s="79" t="s">
        <v>30</v>
      </c>
      <c r="F16" s="80">
        <v>5985.84</v>
      </c>
      <c r="G16" s="80"/>
      <c r="H16" s="79" t="s">
        <v>30</v>
      </c>
      <c r="I16" s="81" t="s">
        <v>32</v>
      </c>
      <c r="J16" s="81"/>
      <c r="K16" s="82" t="s">
        <v>25</v>
      </c>
      <c r="L16" s="83">
        <v>252498.66</v>
      </c>
    </row>
    <row r="17" spans="1:12" ht="91.8" hidden="1" x14ac:dyDescent="0.3">
      <c r="A17" s="77" t="s">
        <v>103</v>
      </c>
      <c r="B17" s="78" t="s">
        <v>153</v>
      </c>
      <c r="C17" s="78" t="s">
        <v>154</v>
      </c>
      <c r="D17" s="78" t="s">
        <v>155</v>
      </c>
      <c r="E17" s="79" t="s">
        <v>30</v>
      </c>
      <c r="F17" s="84" t="s">
        <v>32</v>
      </c>
      <c r="G17" s="84"/>
      <c r="H17" s="79" t="s">
        <v>30</v>
      </c>
      <c r="I17" s="85">
        <v>9300</v>
      </c>
      <c r="J17" s="85"/>
      <c r="K17" s="82" t="s">
        <v>25</v>
      </c>
      <c r="L17" s="83">
        <v>243198.66</v>
      </c>
    </row>
    <row r="18" spans="1:12" ht="91.8" hidden="1" x14ac:dyDescent="0.3">
      <c r="A18" s="77" t="s">
        <v>103</v>
      </c>
      <c r="B18" s="78" t="s">
        <v>153</v>
      </c>
      <c r="C18" s="78" t="s">
        <v>156</v>
      </c>
      <c r="D18" s="78" t="s">
        <v>157</v>
      </c>
      <c r="E18" s="79" t="s">
        <v>30</v>
      </c>
      <c r="F18" s="84" t="s">
        <v>32</v>
      </c>
      <c r="G18" s="84"/>
      <c r="H18" s="79" t="s">
        <v>30</v>
      </c>
      <c r="I18" s="85">
        <v>12794.67</v>
      </c>
      <c r="J18" s="85"/>
      <c r="K18" s="82" t="s">
        <v>25</v>
      </c>
      <c r="L18" s="83">
        <v>230403.99</v>
      </c>
    </row>
    <row r="19" spans="1:12" ht="91.8" hidden="1" x14ac:dyDescent="0.3">
      <c r="A19" s="77" t="s">
        <v>103</v>
      </c>
      <c r="B19" s="78" t="s">
        <v>153</v>
      </c>
      <c r="C19" s="78" t="s">
        <v>158</v>
      </c>
      <c r="D19" s="78" t="s">
        <v>159</v>
      </c>
      <c r="E19" s="79" t="s">
        <v>30</v>
      </c>
      <c r="F19" s="84" t="s">
        <v>32</v>
      </c>
      <c r="G19" s="84"/>
      <c r="H19" s="79" t="s">
        <v>30</v>
      </c>
      <c r="I19" s="86">
        <v>571.08000000000004</v>
      </c>
      <c r="J19" s="86"/>
      <c r="K19" s="82" t="s">
        <v>25</v>
      </c>
      <c r="L19" s="83">
        <v>229832.91</v>
      </c>
    </row>
    <row r="20" spans="1:12" ht="91.8" hidden="1" x14ac:dyDescent="0.3">
      <c r="A20" s="77" t="s">
        <v>103</v>
      </c>
      <c r="B20" s="78" t="s">
        <v>153</v>
      </c>
      <c r="C20" s="78" t="s">
        <v>160</v>
      </c>
      <c r="D20" s="78" t="s">
        <v>161</v>
      </c>
      <c r="E20" s="79" t="s">
        <v>30</v>
      </c>
      <c r="F20" s="84" t="s">
        <v>32</v>
      </c>
      <c r="G20" s="84"/>
      <c r="H20" s="79" t="s">
        <v>30</v>
      </c>
      <c r="I20" s="85">
        <v>8631.93</v>
      </c>
      <c r="J20" s="85"/>
      <c r="K20" s="82" t="s">
        <v>25</v>
      </c>
      <c r="L20" s="83">
        <v>221200.98</v>
      </c>
    </row>
    <row r="21" spans="1:12" ht="91.8" hidden="1" x14ac:dyDescent="0.3">
      <c r="A21" s="77" t="s">
        <v>103</v>
      </c>
      <c r="B21" s="78" t="s">
        <v>162</v>
      </c>
      <c r="C21" s="78" t="s">
        <v>158</v>
      </c>
      <c r="D21" s="78" t="s">
        <v>159</v>
      </c>
      <c r="E21" s="79" t="s">
        <v>30</v>
      </c>
      <c r="F21" s="84" t="s">
        <v>32</v>
      </c>
      <c r="G21" s="84"/>
      <c r="H21" s="79" t="s">
        <v>30</v>
      </c>
      <c r="I21" s="85">
        <v>6982.25</v>
      </c>
      <c r="J21" s="85"/>
      <c r="K21" s="82" t="s">
        <v>25</v>
      </c>
      <c r="L21" s="83">
        <v>214218.73</v>
      </c>
    </row>
    <row r="22" spans="1:12" ht="91.8" hidden="1" x14ac:dyDescent="0.3">
      <c r="A22" s="77" t="s">
        <v>103</v>
      </c>
      <c r="B22" s="78" t="s">
        <v>162</v>
      </c>
      <c r="C22" s="78" t="s">
        <v>163</v>
      </c>
      <c r="D22" s="78" t="s">
        <v>164</v>
      </c>
      <c r="E22" s="79" t="s">
        <v>30</v>
      </c>
      <c r="F22" s="84" t="s">
        <v>32</v>
      </c>
      <c r="G22" s="84"/>
      <c r="H22" s="79" t="s">
        <v>30</v>
      </c>
      <c r="I22" s="85">
        <v>4147.91</v>
      </c>
      <c r="J22" s="85"/>
      <c r="K22" s="82" t="s">
        <v>25</v>
      </c>
      <c r="L22" s="83">
        <v>210070.82</v>
      </c>
    </row>
    <row r="23" spans="1:12" ht="81.599999999999994" hidden="1" x14ac:dyDescent="0.3">
      <c r="A23" s="77" t="s">
        <v>103</v>
      </c>
      <c r="B23" s="78" t="s">
        <v>162</v>
      </c>
      <c r="C23" s="78" t="s">
        <v>165</v>
      </c>
      <c r="D23" s="78" t="s">
        <v>166</v>
      </c>
      <c r="E23" s="79" t="s">
        <v>30</v>
      </c>
      <c r="F23" s="84" t="s">
        <v>32</v>
      </c>
      <c r="G23" s="84"/>
      <c r="H23" s="79" t="s">
        <v>30</v>
      </c>
      <c r="I23" s="85">
        <v>5709.33</v>
      </c>
      <c r="J23" s="85"/>
      <c r="K23" s="82" t="s">
        <v>25</v>
      </c>
      <c r="L23" s="83">
        <v>204361.49</v>
      </c>
    </row>
    <row r="24" spans="1:12" ht="91.8" hidden="1" x14ac:dyDescent="0.3">
      <c r="A24" s="77" t="s">
        <v>103</v>
      </c>
      <c r="B24" s="78" t="s">
        <v>162</v>
      </c>
      <c r="C24" s="78" t="s">
        <v>160</v>
      </c>
      <c r="D24" s="78" t="s">
        <v>161</v>
      </c>
      <c r="E24" s="79" t="s">
        <v>30</v>
      </c>
      <c r="F24" s="84" t="s">
        <v>32</v>
      </c>
      <c r="G24" s="84"/>
      <c r="H24" s="79" t="s">
        <v>30</v>
      </c>
      <c r="I24" s="85">
        <v>12828.22</v>
      </c>
      <c r="J24" s="85"/>
      <c r="K24" s="82" t="s">
        <v>25</v>
      </c>
      <c r="L24" s="83">
        <v>191533.27</v>
      </c>
    </row>
    <row r="25" spans="1:12" ht="91.8" hidden="1" x14ac:dyDescent="0.3">
      <c r="A25" s="77" t="s">
        <v>103</v>
      </c>
      <c r="B25" s="78" t="s">
        <v>217</v>
      </c>
      <c r="C25" s="78" t="s">
        <v>218</v>
      </c>
      <c r="D25" s="78" t="s">
        <v>219</v>
      </c>
      <c r="E25" s="79" t="s">
        <v>30</v>
      </c>
      <c r="F25" s="80">
        <v>7921.83</v>
      </c>
      <c r="G25" s="80"/>
      <c r="H25" s="79" t="s">
        <v>31</v>
      </c>
      <c r="I25" s="81" t="s">
        <v>32</v>
      </c>
      <c r="J25" s="81"/>
      <c r="K25" s="82" t="s">
        <v>25</v>
      </c>
      <c r="L25" s="83">
        <v>199455.1</v>
      </c>
    </row>
    <row r="26" spans="1:12" ht="91.8" hidden="1" x14ac:dyDescent="0.3">
      <c r="A26" s="77" t="s">
        <v>103</v>
      </c>
      <c r="B26" s="78" t="s">
        <v>220</v>
      </c>
      <c r="C26" s="78" t="s">
        <v>172</v>
      </c>
      <c r="D26" s="78" t="s">
        <v>164</v>
      </c>
      <c r="E26" s="79" t="s">
        <v>30</v>
      </c>
      <c r="F26" s="84" t="s">
        <v>32</v>
      </c>
      <c r="G26" s="84"/>
      <c r="H26" s="79" t="s">
        <v>30</v>
      </c>
      <c r="I26" s="85">
        <v>3509.92</v>
      </c>
      <c r="J26" s="85"/>
      <c r="K26" s="82" t="s">
        <v>25</v>
      </c>
      <c r="L26" s="83">
        <v>195945.18</v>
      </c>
    </row>
    <row r="27" spans="1:12" ht="91.8" hidden="1" x14ac:dyDescent="0.3">
      <c r="A27" s="77" t="s">
        <v>103</v>
      </c>
      <c r="B27" s="78" t="s">
        <v>220</v>
      </c>
      <c r="C27" s="78" t="s">
        <v>221</v>
      </c>
      <c r="D27" s="78" t="s">
        <v>181</v>
      </c>
      <c r="E27" s="79" t="s">
        <v>30</v>
      </c>
      <c r="F27" s="84" t="s">
        <v>32</v>
      </c>
      <c r="G27" s="84"/>
      <c r="H27" s="79" t="s">
        <v>30</v>
      </c>
      <c r="I27" s="85">
        <v>7494.67</v>
      </c>
      <c r="J27" s="85"/>
      <c r="K27" s="82" t="s">
        <v>25</v>
      </c>
      <c r="L27" s="83">
        <v>188450.51</v>
      </c>
    </row>
    <row r="28" spans="1:12" ht="91.8" hidden="1" x14ac:dyDescent="0.3">
      <c r="A28" s="77" t="s">
        <v>103</v>
      </c>
      <c r="B28" s="78" t="s">
        <v>220</v>
      </c>
      <c r="C28" s="78" t="s">
        <v>222</v>
      </c>
      <c r="D28" s="78" t="s">
        <v>184</v>
      </c>
      <c r="E28" s="79" t="s">
        <v>30</v>
      </c>
      <c r="F28" s="84" t="s">
        <v>32</v>
      </c>
      <c r="G28" s="84"/>
      <c r="H28" s="79" t="s">
        <v>30</v>
      </c>
      <c r="I28" s="85">
        <v>5655.83</v>
      </c>
      <c r="J28" s="85"/>
      <c r="K28" s="82" t="s">
        <v>25</v>
      </c>
      <c r="L28" s="83">
        <v>182794.68</v>
      </c>
    </row>
    <row r="29" spans="1:12" ht="91.8" hidden="1" x14ac:dyDescent="0.3">
      <c r="A29" s="77" t="s">
        <v>103</v>
      </c>
      <c r="B29" s="78" t="s">
        <v>220</v>
      </c>
      <c r="C29" s="78" t="s">
        <v>223</v>
      </c>
      <c r="D29" s="78" t="s">
        <v>188</v>
      </c>
      <c r="E29" s="79" t="s">
        <v>30</v>
      </c>
      <c r="F29" s="84" t="s">
        <v>32</v>
      </c>
      <c r="G29" s="84"/>
      <c r="H29" s="79" t="s">
        <v>30</v>
      </c>
      <c r="I29" s="86">
        <v>778.25</v>
      </c>
      <c r="J29" s="86"/>
      <c r="K29" s="82" t="s">
        <v>25</v>
      </c>
      <c r="L29" s="83">
        <v>182016.43</v>
      </c>
    </row>
    <row r="30" spans="1:12" ht="91.8" hidden="1" x14ac:dyDescent="0.3">
      <c r="A30" s="77" t="s">
        <v>224</v>
      </c>
      <c r="B30" s="78" t="s">
        <v>225</v>
      </c>
      <c r="C30" s="78" t="s">
        <v>226</v>
      </c>
      <c r="D30" s="78" t="s">
        <v>227</v>
      </c>
      <c r="E30" s="79" t="s">
        <v>30</v>
      </c>
      <c r="F30" s="80">
        <v>7905.33</v>
      </c>
      <c r="G30" s="80"/>
      <c r="H30" s="79" t="s">
        <v>31</v>
      </c>
      <c r="I30" s="81" t="s">
        <v>32</v>
      </c>
      <c r="J30" s="81"/>
      <c r="K30" s="82" t="s">
        <v>25</v>
      </c>
      <c r="L30" s="83">
        <v>189921.76</v>
      </c>
    </row>
    <row r="31" spans="1:12" ht="91.8" hidden="1" x14ac:dyDescent="0.3">
      <c r="A31" s="77" t="s">
        <v>228</v>
      </c>
      <c r="B31" s="78" t="s">
        <v>229</v>
      </c>
      <c r="C31" s="78" t="s">
        <v>230</v>
      </c>
      <c r="D31" s="78" t="s">
        <v>231</v>
      </c>
      <c r="E31" s="79" t="s">
        <v>30</v>
      </c>
      <c r="F31" s="80">
        <v>7932.83</v>
      </c>
      <c r="G31" s="80"/>
      <c r="H31" s="79" t="s">
        <v>31</v>
      </c>
      <c r="I31" s="81" t="s">
        <v>32</v>
      </c>
      <c r="J31" s="81"/>
      <c r="K31" s="82" t="s">
        <v>25</v>
      </c>
      <c r="L31" s="83">
        <v>197854.59</v>
      </c>
    </row>
    <row r="32" spans="1:12" x14ac:dyDescent="0.3">
      <c r="A32" s="87" t="s">
        <v>120</v>
      </c>
      <c r="B32" s="87"/>
      <c r="C32" s="87"/>
      <c r="D32" s="87"/>
      <c r="E32" s="88">
        <v>113948.98</v>
      </c>
      <c r="F32" s="88"/>
      <c r="G32" s="88"/>
      <c r="H32" s="88">
        <v>78404.06</v>
      </c>
      <c r="I32" s="88"/>
      <c r="J32" s="88"/>
      <c r="K32" s="89" t="s">
        <v>25</v>
      </c>
      <c r="L32" s="90">
        <v>197854.59</v>
      </c>
    </row>
  </sheetData>
  <autoFilter ref="A1:L32" xr:uid="{4887CDB8-F49E-4DAD-B854-DD54DAF13FB9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0">
    <mergeCell ref="F31:G31"/>
    <mergeCell ref="I31:J31"/>
    <mergeCell ref="A32:D32"/>
    <mergeCell ref="E32:G32"/>
    <mergeCell ref="H32:J32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1CC-6AC7-4677-B3E6-14B92BB97CD1}">
  <sheetPr filterMode="1"/>
  <dimension ref="A1:L17"/>
  <sheetViews>
    <sheetView workbookViewId="0">
      <selection activeCell="J17" sqref="J17"/>
    </sheetView>
  </sheetViews>
  <sheetFormatPr defaultRowHeight="14.4" x14ac:dyDescent="0.3"/>
  <cols>
    <col min="2" max="4" width="18.21875" customWidth="1"/>
  </cols>
  <sheetData>
    <row r="1" spans="1:12" x14ac:dyDescent="0.3">
      <c r="A1" s="91" t="s">
        <v>17</v>
      </c>
      <c r="B1" s="92" t="s">
        <v>18</v>
      </c>
      <c r="C1" s="92" t="s">
        <v>19</v>
      </c>
      <c r="D1" s="93" t="s">
        <v>20</v>
      </c>
      <c r="E1" s="94" t="s">
        <v>21</v>
      </c>
      <c r="F1" s="94"/>
      <c r="G1" s="94"/>
      <c r="H1" s="95" t="s">
        <v>22</v>
      </c>
      <c r="I1" s="95"/>
      <c r="J1" s="95"/>
      <c r="K1" s="92" t="s">
        <v>23</v>
      </c>
      <c r="L1" s="92"/>
    </row>
    <row r="2" spans="1:12" hidden="1" x14ac:dyDescent="0.3">
      <c r="A2" s="96"/>
      <c r="B2" s="97"/>
      <c r="C2" s="97"/>
      <c r="D2" s="98"/>
      <c r="E2" s="99" t="s">
        <v>24</v>
      </c>
      <c r="F2" s="100"/>
      <c r="G2" s="100"/>
      <c r="H2" s="101" t="s">
        <v>24</v>
      </c>
      <c r="I2" s="102"/>
      <c r="J2" s="102"/>
      <c r="K2" s="96"/>
      <c r="L2" s="103"/>
    </row>
    <row r="3" spans="1:12" ht="91.8" hidden="1" x14ac:dyDescent="0.3">
      <c r="A3" s="104" t="s">
        <v>26</v>
      </c>
      <c r="B3" s="105" t="s">
        <v>232</v>
      </c>
      <c r="C3" s="105" t="s">
        <v>233</v>
      </c>
      <c r="D3" s="105" t="s">
        <v>234</v>
      </c>
      <c r="E3" s="106" t="s">
        <v>30</v>
      </c>
      <c r="F3" s="107" t="s">
        <v>32</v>
      </c>
      <c r="G3" s="107"/>
      <c r="H3" s="106" t="s">
        <v>30</v>
      </c>
      <c r="I3" s="108">
        <v>18870</v>
      </c>
      <c r="J3" s="108"/>
      <c r="K3" s="109" t="s">
        <v>25</v>
      </c>
      <c r="L3" s="110">
        <v>193023.2</v>
      </c>
    </row>
    <row r="4" spans="1:12" ht="91.8" hidden="1" x14ac:dyDescent="0.3">
      <c r="A4" s="104" t="s">
        <v>26</v>
      </c>
      <c r="B4" s="105" t="s">
        <v>232</v>
      </c>
      <c r="C4" s="105" t="s">
        <v>235</v>
      </c>
      <c r="D4" s="105" t="s">
        <v>236</v>
      </c>
      <c r="E4" s="106" t="s">
        <v>30</v>
      </c>
      <c r="F4" s="107" t="s">
        <v>32</v>
      </c>
      <c r="G4" s="107"/>
      <c r="H4" s="106" t="s">
        <v>30</v>
      </c>
      <c r="I4" s="108">
        <v>9105</v>
      </c>
      <c r="J4" s="108"/>
      <c r="K4" s="109" t="s">
        <v>25</v>
      </c>
      <c r="L4" s="110">
        <v>183918.2</v>
      </c>
    </row>
    <row r="5" spans="1:12" ht="81.599999999999994" hidden="1" x14ac:dyDescent="0.3">
      <c r="A5" s="104" t="s">
        <v>71</v>
      </c>
      <c r="B5" s="105" t="s">
        <v>237</v>
      </c>
      <c r="C5" s="105" t="s">
        <v>238</v>
      </c>
      <c r="D5" s="105" t="s">
        <v>239</v>
      </c>
      <c r="E5" s="106" t="s">
        <v>30</v>
      </c>
      <c r="F5" s="111">
        <v>2022.36</v>
      </c>
      <c r="G5" s="111"/>
      <c r="H5" s="106" t="s">
        <v>30</v>
      </c>
      <c r="I5" s="112" t="s">
        <v>32</v>
      </c>
      <c r="J5" s="112"/>
      <c r="K5" s="109" t="s">
        <v>25</v>
      </c>
      <c r="L5" s="110">
        <v>185940.56</v>
      </c>
    </row>
    <row r="6" spans="1:12" ht="81.599999999999994" hidden="1" x14ac:dyDescent="0.3">
      <c r="A6" s="104" t="s">
        <v>71</v>
      </c>
      <c r="B6" s="105" t="s">
        <v>237</v>
      </c>
      <c r="C6" s="105" t="s">
        <v>240</v>
      </c>
      <c r="D6" s="105" t="s">
        <v>241</v>
      </c>
      <c r="E6" s="106" t="s">
        <v>30</v>
      </c>
      <c r="F6" s="111">
        <v>6898.69</v>
      </c>
      <c r="G6" s="111"/>
      <c r="H6" s="106" t="s">
        <v>30</v>
      </c>
      <c r="I6" s="112" t="s">
        <v>32</v>
      </c>
      <c r="J6" s="112"/>
      <c r="K6" s="109" t="s">
        <v>25</v>
      </c>
      <c r="L6" s="110">
        <v>192839.25</v>
      </c>
    </row>
    <row r="7" spans="1:12" ht="91.8" hidden="1" x14ac:dyDescent="0.3">
      <c r="A7" s="104" t="s">
        <v>71</v>
      </c>
      <c r="B7" s="105" t="s">
        <v>237</v>
      </c>
      <c r="C7" s="105" t="s">
        <v>242</v>
      </c>
      <c r="D7" s="105" t="s">
        <v>243</v>
      </c>
      <c r="E7" s="106" t="s">
        <v>30</v>
      </c>
      <c r="F7" s="111">
        <v>1959.48</v>
      </c>
      <c r="G7" s="111"/>
      <c r="H7" s="106" t="s">
        <v>30</v>
      </c>
      <c r="I7" s="112" t="s">
        <v>32</v>
      </c>
      <c r="J7" s="112"/>
      <c r="K7" s="109" t="s">
        <v>25</v>
      </c>
      <c r="L7" s="110">
        <v>194798.73</v>
      </c>
    </row>
    <row r="8" spans="1:12" ht="81.599999999999994" hidden="1" x14ac:dyDescent="0.3">
      <c r="A8" s="104" t="s">
        <v>71</v>
      </c>
      <c r="B8" s="105" t="s">
        <v>132</v>
      </c>
      <c r="C8" s="105" t="s">
        <v>133</v>
      </c>
      <c r="D8" s="105" t="s">
        <v>134</v>
      </c>
      <c r="E8" s="106" t="s">
        <v>30</v>
      </c>
      <c r="F8" s="107" t="s">
        <v>32</v>
      </c>
      <c r="G8" s="107"/>
      <c r="H8" s="106" t="s">
        <v>30</v>
      </c>
      <c r="I8" s="113">
        <v>993.25</v>
      </c>
      <c r="J8" s="113"/>
      <c r="K8" s="109" t="s">
        <v>25</v>
      </c>
      <c r="L8" s="110">
        <v>193805.48</v>
      </c>
    </row>
    <row r="9" spans="1:12" ht="102" hidden="1" x14ac:dyDescent="0.3">
      <c r="A9" s="104" t="s">
        <v>71</v>
      </c>
      <c r="B9" s="105" t="s">
        <v>132</v>
      </c>
      <c r="C9" s="105" t="s">
        <v>135</v>
      </c>
      <c r="D9" s="105" t="s">
        <v>136</v>
      </c>
      <c r="E9" s="106" t="s">
        <v>30</v>
      </c>
      <c r="F9" s="107" t="s">
        <v>32</v>
      </c>
      <c r="G9" s="107"/>
      <c r="H9" s="106" t="s">
        <v>30</v>
      </c>
      <c r="I9" s="108">
        <v>5250</v>
      </c>
      <c r="J9" s="108"/>
      <c r="K9" s="109" t="s">
        <v>25</v>
      </c>
      <c r="L9" s="110">
        <v>188555.48</v>
      </c>
    </row>
    <row r="10" spans="1:12" ht="81.599999999999994" hidden="1" x14ac:dyDescent="0.3">
      <c r="A10" s="104" t="s">
        <v>71</v>
      </c>
      <c r="B10" s="105" t="s">
        <v>132</v>
      </c>
      <c r="C10" s="105" t="s">
        <v>137</v>
      </c>
      <c r="D10" s="105" t="s">
        <v>138</v>
      </c>
      <c r="E10" s="106" t="s">
        <v>30</v>
      </c>
      <c r="F10" s="107" t="s">
        <v>32</v>
      </c>
      <c r="G10" s="107"/>
      <c r="H10" s="106" t="s">
        <v>30</v>
      </c>
      <c r="I10" s="108">
        <v>20590.5</v>
      </c>
      <c r="J10" s="108"/>
      <c r="K10" s="109" t="s">
        <v>25</v>
      </c>
      <c r="L10" s="110">
        <v>167964.98</v>
      </c>
    </row>
    <row r="11" spans="1:12" ht="71.400000000000006" hidden="1" x14ac:dyDescent="0.3">
      <c r="A11" s="104" t="s">
        <v>71</v>
      </c>
      <c r="B11" s="105" t="s">
        <v>132</v>
      </c>
      <c r="C11" s="105" t="s">
        <v>139</v>
      </c>
      <c r="D11" s="105" t="s">
        <v>140</v>
      </c>
      <c r="E11" s="106" t="s">
        <v>30</v>
      </c>
      <c r="F11" s="107" t="s">
        <v>32</v>
      </c>
      <c r="G11" s="107"/>
      <c r="H11" s="106" t="s">
        <v>30</v>
      </c>
      <c r="I11" s="108">
        <v>9479.2900000000009</v>
      </c>
      <c r="J11" s="108"/>
      <c r="K11" s="109" t="s">
        <v>25</v>
      </c>
      <c r="L11" s="110">
        <v>158485.69</v>
      </c>
    </row>
    <row r="12" spans="1:12" ht="81.599999999999994" hidden="1" x14ac:dyDescent="0.3">
      <c r="A12" s="104" t="s">
        <v>103</v>
      </c>
      <c r="B12" s="105" t="s">
        <v>244</v>
      </c>
      <c r="C12" s="105" t="s">
        <v>245</v>
      </c>
      <c r="D12" s="105" t="s">
        <v>246</v>
      </c>
      <c r="E12" s="106" t="s">
        <v>30</v>
      </c>
      <c r="F12" s="107" t="s">
        <v>32</v>
      </c>
      <c r="G12" s="107"/>
      <c r="H12" s="106" t="s">
        <v>30</v>
      </c>
      <c r="I12" s="113">
        <v>400</v>
      </c>
      <c r="J12" s="113"/>
      <c r="K12" s="109" t="s">
        <v>25</v>
      </c>
      <c r="L12" s="110">
        <v>158085.69</v>
      </c>
    </row>
    <row r="13" spans="1:12" ht="81.599999999999994" x14ac:dyDescent="0.3">
      <c r="A13" s="104" t="s">
        <v>103</v>
      </c>
      <c r="B13" s="105" t="s">
        <v>247</v>
      </c>
      <c r="C13" s="105" t="s">
        <v>53</v>
      </c>
      <c r="D13" s="105" t="s">
        <v>134</v>
      </c>
      <c r="E13" s="106" t="s">
        <v>54</v>
      </c>
      <c r="F13" s="107" t="s">
        <v>32</v>
      </c>
      <c r="G13" s="107"/>
      <c r="H13" s="106" t="s">
        <v>30</v>
      </c>
      <c r="I13" s="108">
        <v>7118.3</v>
      </c>
      <c r="J13" s="108"/>
      <c r="K13" s="109" t="s">
        <v>25</v>
      </c>
      <c r="L13" s="110">
        <v>150967.39000000001</v>
      </c>
    </row>
    <row r="14" spans="1:12" ht="71.400000000000006" x14ac:dyDescent="0.3">
      <c r="A14" s="104" t="s">
        <v>103</v>
      </c>
      <c r="B14" s="105" t="s">
        <v>247</v>
      </c>
      <c r="C14" s="105" t="s">
        <v>53</v>
      </c>
      <c r="D14" s="105" t="s">
        <v>248</v>
      </c>
      <c r="E14" s="106" t="s">
        <v>54</v>
      </c>
      <c r="F14" s="107" t="s">
        <v>32</v>
      </c>
      <c r="G14" s="107"/>
      <c r="H14" s="106" t="s">
        <v>30</v>
      </c>
      <c r="I14" s="113">
        <v>343.23</v>
      </c>
      <c r="J14" s="113"/>
      <c r="K14" s="109" t="s">
        <v>25</v>
      </c>
      <c r="L14" s="110">
        <v>150624.16</v>
      </c>
    </row>
    <row r="15" spans="1:12" hidden="1" x14ac:dyDescent="0.3">
      <c r="A15" s="114" t="s">
        <v>120</v>
      </c>
      <c r="B15" s="114"/>
      <c r="C15" s="114"/>
      <c r="D15" s="114"/>
      <c r="E15" s="115">
        <v>10880.53</v>
      </c>
      <c r="F15" s="115"/>
      <c r="G15" s="115"/>
      <c r="H15" s="115">
        <v>72149.570000000007</v>
      </c>
      <c r="I15" s="115"/>
      <c r="J15" s="115"/>
      <c r="K15" s="116" t="s">
        <v>25</v>
      </c>
      <c r="L15" s="117">
        <v>150624.16</v>
      </c>
    </row>
    <row r="17" spans="10:10" x14ac:dyDescent="0.3">
      <c r="J17" s="2">
        <f>SUBTOTAL(9,I13:J14)</f>
        <v>7461.5300000000007</v>
      </c>
    </row>
  </sheetData>
  <autoFilter ref="A1:L15" xr:uid="{475C840D-DFB7-46B2-ACC5-800ECF05A88B}">
    <filterColumn colId="1">
      <filters>
        <filter val="Вимога-накладна ІБ00-000430 від 29.05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6">
    <mergeCell ref="F13:G13"/>
    <mergeCell ref="I13:J13"/>
    <mergeCell ref="F14:G14"/>
    <mergeCell ref="I14:J14"/>
    <mergeCell ref="A15:D15"/>
    <mergeCell ref="E15:G15"/>
    <mergeCell ref="H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5B9F-9E17-42F9-97AE-A8EA5A3A40A9}">
  <sheetPr filterMode="1"/>
  <dimension ref="A1:L8"/>
  <sheetViews>
    <sheetView workbookViewId="0">
      <selection activeCell="B1" sqref="B1:B2"/>
    </sheetView>
  </sheetViews>
  <sheetFormatPr defaultRowHeight="14.4" x14ac:dyDescent="0.3"/>
  <cols>
    <col min="2" max="4" width="18.21875" customWidth="1"/>
  </cols>
  <sheetData>
    <row r="1" spans="1:12" x14ac:dyDescent="0.3">
      <c r="A1" s="118" t="s">
        <v>17</v>
      </c>
      <c r="B1" s="119" t="s">
        <v>18</v>
      </c>
      <c r="C1" s="119" t="s">
        <v>19</v>
      </c>
      <c r="D1" s="120" t="s">
        <v>20</v>
      </c>
      <c r="E1" s="121" t="s">
        <v>21</v>
      </c>
      <c r="F1" s="121"/>
      <c r="G1" s="121"/>
      <c r="H1" s="122" t="s">
        <v>22</v>
      </c>
      <c r="I1" s="122"/>
      <c r="J1" s="122"/>
      <c r="K1" s="119" t="s">
        <v>23</v>
      </c>
      <c r="L1" s="119"/>
    </row>
    <row r="2" spans="1:12" x14ac:dyDescent="0.3">
      <c r="A2" s="123"/>
      <c r="B2" s="124"/>
      <c r="C2" s="124"/>
      <c r="D2" s="125"/>
      <c r="E2" s="126" t="s">
        <v>24</v>
      </c>
      <c r="F2" s="127"/>
      <c r="G2" s="127"/>
      <c r="H2" s="128" t="s">
        <v>24</v>
      </c>
      <c r="I2" s="129"/>
      <c r="J2" s="129"/>
      <c r="K2" s="123"/>
      <c r="L2" s="130"/>
    </row>
    <row r="3" spans="1:12" ht="91.8" hidden="1" x14ac:dyDescent="0.3">
      <c r="A3" s="131" t="s">
        <v>26</v>
      </c>
      <c r="B3" s="132" t="s">
        <v>249</v>
      </c>
      <c r="C3" s="132" t="s">
        <v>250</v>
      </c>
      <c r="D3" s="132" t="s">
        <v>251</v>
      </c>
      <c r="E3" s="133" t="s">
        <v>30</v>
      </c>
      <c r="F3" s="134" t="s">
        <v>32</v>
      </c>
      <c r="G3" s="134"/>
      <c r="H3" s="133" t="s">
        <v>30</v>
      </c>
      <c r="I3" s="135">
        <v>561.75</v>
      </c>
      <c r="J3" s="135"/>
      <c r="K3" s="136" t="s">
        <v>25</v>
      </c>
      <c r="L3" s="137">
        <v>120004.98</v>
      </c>
    </row>
    <row r="4" spans="1:12" ht="102" hidden="1" x14ac:dyDescent="0.3">
      <c r="A4" s="131" t="s">
        <v>26</v>
      </c>
      <c r="B4" s="132" t="s">
        <v>252</v>
      </c>
      <c r="C4" s="132" t="s">
        <v>253</v>
      </c>
      <c r="D4" s="132" t="s">
        <v>251</v>
      </c>
      <c r="E4" s="133" t="s">
        <v>30</v>
      </c>
      <c r="F4" s="134" t="s">
        <v>32</v>
      </c>
      <c r="G4" s="134"/>
      <c r="H4" s="133" t="s">
        <v>30</v>
      </c>
      <c r="I4" s="138">
        <v>2765.25</v>
      </c>
      <c r="J4" s="138"/>
      <c r="K4" s="136" t="s">
        <v>25</v>
      </c>
      <c r="L4" s="137">
        <v>117239.73</v>
      </c>
    </row>
    <row r="5" spans="1:12" ht="102" hidden="1" x14ac:dyDescent="0.3">
      <c r="A5" s="131" t="s">
        <v>26</v>
      </c>
      <c r="B5" s="132" t="s">
        <v>252</v>
      </c>
      <c r="C5" s="132" t="s">
        <v>254</v>
      </c>
      <c r="D5" s="132" t="s">
        <v>255</v>
      </c>
      <c r="E5" s="133" t="s">
        <v>30</v>
      </c>
      <c r="F5" s="134" t="s">
        <v>32</v>
      </c>
      <c r="G5" s="134"/>
      <c r="H5" s="133" t="s">
        <v>30</v>
      </c>
      <c r="I5" s="138">
        <v>19797.330000000002</v>
      </c>
      <c r="J5" s="138"/>
      <c r="K5" s="136" t="s">
        <v>25</v>
      </c>
      <c r="L5" s="137">
        <v>97442.4</v>
      </c>
    </row>
    <row r="6" spans="1:12" ht="71.400000000000006" hidden="1" x14ac:dyDescent="0.3">
      <c r="A6" s="131" t="s">
        <v>256</v>
      </c>
      <c r="B6" s="132" t="s">
        <v>257</v>
      </c>
      <c r="C6" s="132" t="s">
        <v>258</v>
      </c>
      <c r="D6" s="132" t="s">
        <v>259</v>
      </c>
      <c r="E6" s="133" t="s">
        <v>30</v>
      </c>
      <c r="F6" s="139">
        <v>1495.18</v>
      </c>
      <c r="G6" s="139"/>
      <c r="H6" s="133" t="s">
        <v>30</v>
      </c>
      <c r="I6" s="140" t="s">
        <v>32</v>
      </c>
      <c r="J6" s="140"/>
      <c r="K6" s="136" t="s">
        <v>25</v>
      </c>
      <c r="L6" s="137">
        <v>98937.58</v>
      </c>
    </row>
    <row r="7" spans="1:12" ht="81.599999999999994" hidden="1" x14ac:dyDescent="0.3">
      <c r="A7" s="131" t="s">
        <v>89</v>
      </c>
      <c r="B7" s="132" t="s">
        <v>260</v>
      </c>
      <c r="C7" s="132" t="s">
        <v>261</v>
      </c>
      <c r="D7" s="132" t="s">
        <v>262</v>
      </c>
      <c r="E7" s="133" t="s">
        <v>30</v>
      </c>
      <c r="F7" s="134" t="s">
        <v>32</v>
      </c>
      <c r="G7" s="134"/>
      <c r="H7" s="133" t="s">
        <v>30</v>
      </c>
      <c r="I7" s="138">
        <v>1980</v>
      </c>
      <c r="J7" s="138"/>
      <c r="K7" s="136" t="s">
        <v>25</v>
      </c>
      <c r="L7" s="137">
        <v>96957.58</v>
      </c>
    </row>
    <row r="8" spans="1:12" x14ac:dyDescent="0.3">
      <c r="A8" s="141" t="s">
        <v>120</v>
      </c>
      <c r="B8" s="141"/>
      <c r="C8" s="141"/>
      <c r="D8" s="141"/>
      <c r="E8" s="142">
        <v>1495.18</v>
      </c>
      <c r="F8" s="142"/>
      <c r="G8" s="142"/>
      <c r="H8" s="142">
        <v>25104.33</v>
      </c>
      <c r="I8" s="142"/>
      <c r="J8" s="142"/>
      <c r="K8" s="143" t="s">
        <v>25</v>
      </c>
      <c r="L8" s="144">
        <v>96957.58</v>
      </c>
    </row>
  </sheetData>
  <autoFilter ref="A1:L8" xr:uid="{A74A32A5-D59B-4937-B8EE-D4B5977FB036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2">
    <mergeCell ref="F7:G7"/>
    <mergeCell ref="I7:J7"/>
    <mergeCell ref="A8:D8"/>
    <mergeCell ref="E8:G8"/>
    <mergeCell ref="H8:J8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68CF-D200-4764-8643-B235AAFD3383}">
  <sheetPr filterMode="1"/>
  <dimension ref="A1:L169"/>
  <sheetViews>
    <sheetView topLeftCell="A168" workbookViewId="0">
      <selection activeCell="J169" sqref="J169"/>
    </sheetView>
  </sheetViews>
  <sheetFormatPr defaultRowHeight="14.4" x14ac:dyDescent="0.3"/>
  <cols>
    <col min="2" max="4" width="18.21875" customWidth="1"/>
  </cols>
  <sheetData>
    <row r="1" spans="1:12" x14ac:dyDescent="0.3">
      <c r="A1" s="145" t="s">
        <v>17</v>
      </c>
      <c r="B1" s="146" t="s">
        <v>18</v>
      </c>
      <c r="C1" s="146" t="s">
        <v>19</v>
      </c>
      <c r="D1" s="147" t="s">
        <v>20</v>
      </c>
      <c r="E1" s="148" t="s">
        <v>21</v>
      </c>
      <c r="F1" s="148"/>
      <c r="G1" s="148"/>
      <c r="H1" s="149" t="s">
        <v>22</v>
      </c>
      <c r="I1" s="149"/>
      <c r="J1" s="149"/>
      <c r="K1" s="146" t="s">
        <v>23</v>
      </c>
      <c r="L1" s="146"/>
    </row>
    <row r="2" spans="1:12" hidden="1" x14ac:dyDescent="0.3">
      <c r="A2" s="150"/>
      <c r="B2" s="151"/>
      <c r="C2" s="151"/>
      <c r="D2" s="152"/>
      <c r="E2" s="153" t="s">
        <v>24</v>
      </c>
      <c r="F2" s="154"/>
      <c r="G2" s="154"/>
      <c r="H2" s="155" t="s">
        <v>24</v>
      </c>
      <c r="I2" s="156"/>
      <c r="J2" s="156"/>
      <c r="K2" s="150"/>
      <c r="L2" s="157"/>
    </row>
    <row r="3" spans="1:12" ht="71.400000000000006" hidden="1" x14ac:dyDescent="0.3">
      <c r="A3" s="158" t="s">
        <v>26</v>
      </c>
      <c r="B3" s="159" t="s">
        <v>263</v>
      </c>
      <c r="C3" s="159" t="s">
        <v>264</v>
      </c>
      <c r="D3" s="159" t="s">
        <v>265</v>
      </c>
      <c r="E3" s="160" t="s">
        <v>30</v>
      </c>
      <c r="F3" s="161">
        <v>12320</v>
      </c>
      <c r="G3" s="161"/>
      <c r="H3" s="160" t="s">
        <v>31</v>
      </c>
      <c r="I3" s="162" t="s">
        <v>32</v>
      </c>
      <c r="J3" s="162"/>
      <c r="K3" s="163" t="s">
        <v>25</v>
      </c>
      <c r="L3" s="164">
        <v>389000.04</v>
      </c>
    </row>
    <row r="4" spans="1:12" ht="71.400000000000006" hidden="1" x14ac:dyDescent="0.3">
      <c r="A4" s="158" t="s">
        <v>26</v>
      </c>
      <c r="B4" s="159" t="s">
        <v>263</v>
      </c>
      <c r="C4" s="159" t="s">
        <v>266</v>
      </c>
      <c r="D4" s="159" t="s">
        <v>265</v>
      </c>
      <c r="E4" s="160" t="s">
        <v>30</v>
      </c>
      <c r="F4" s="161">
        <v>18967.5</v>
      </c>
      <c r="G4" s="161"/>
      <c r="H4" s="160" t="s">
        <v>31</v>
      </c>
      <c r="I4" s="162" t="s">
        <v>32</v>
      </c>
      <c r="J4" s="162"/>
      <c r="K4" s="163" t="s">
        <v>25</v>
      </c>
      <c r="L4" s="164">
        <v>407967.54</v>
      </c>
    </row>
    <row r="5" spans="1:12" ht="71.400000000000006" hidden="1" x14ac:dyDescent="0.3">
      <c r="A5" s="158" t="s">
        <v>26</v>
      </c>
      <c r="B5" s="159" t="s">
        <v>267</v>
      </c>
      <c r="C5" s="159" t="s">
        <v>36</v>
      </c>
      <c r="D5" s="159" t="s">
        <v>268</v>
      </c>
      <c r="E5" s="160" t="s">
        <v>30</v>
      </c>
      <c r="F5" s="165">
        <v>308.44</v>
      </c>
      <c r="G5" s="165"/>
      <c r="H5" s="160" t="s">
        <v>31</v>
      </c>
      <c r="I5" s="162" t="s">
        <v>32</v>
      </c>
      <c r="J5" s="162"/>
      <c r="K5" s="163" t="s">
        <v>25</v>
      </c>
      <c r="L5" s="164">
        <v>408275.98</v>
      </c>
    </row>
    <row r="6" spans="1:12" ht="71.400000000000006" hidden="1" x14ac:dyDescent="0.3">
      <c r="A6" s="158" t="s">
        <v>26</v>
      </c>
      <c r="B6" s="159" t="s">
        <v>267</v>
      </c>
      <c r="C6" s="159" t="s">
        <v>38</v>
      </c>
      <c r="D6" s="159" t="s">
        <v>268</v>
      </c>
      <c r="E6" s="160" t="s">
        <v>30</v>
      </c>
      <c r="F6" s="165">
        <v>287.87</v>
      </c>
      <c r="G6" s="165"/>
      <c r="H6" s="160" t="s">
        <v>31</v>
      </c>
      <c r="I6" s="162" t="s">
        <v>32</v>
      </c>
      <c r="J6" s="162"/>
      <c r="K6" s="163" t="s">
        <v>25</v>
      </c>
      <c r="L6" s="164">
        <v>408563.85</v>
      </c>
    </row>
    <row r="7" spans="1:12" ht="71.400000000000006" hidden="1" x14ac:dyDescent="0.3">
      <c r="A7" s="158" t="s">
        <v>26</v>
      </c>
      <c r="B7" s="159" t="s">
        <v>267</v>
      </c>
      <c r="C7" s="159" t="s">
        <v>40</v>
      </c>
      <c r="D7" s="159" t="s">
        <v>268</v>
      </c>
      <c r="E7" s="160" t="s">
        <v>30</v>
      </c>
      <c r="F7" s="165">
        <v>688.85</v>
      </c>
      <c r="G7" s="165"/>
      <c r="H7" s="160" t="s">
        <v>31</v>
      </c>
      <c r="I7" s="162" t="s">
        <v>32</v>
      </c>
      <c r="J7" s="162"/>
      <c r="K7" s="163" t="s">
        <v>25</v>
      </c>
      <c r="L7" s="164">
        <v>409252.7</v>
      </c>
    </row>
    <row r="8" spans="1:12" ht="71.400000000000006" hidden="1" x14ac:dyDescent="0.3">
      <c r="A8" s="158" t="s">
        <v>26</v>
      </c>
      <c r="B8" s="159" t="s">
        <v>267</v>
      </c>
      <c r="C8" s="159" t="s">
        <v>42</v>
      </c>
      <c r="D8" s="159" t="s">
        <v>268</v>
      </c>
      <c r="E8" s="160" t="s">
        <v>30</v>
      </c>
      <c r="F8" s="161">
        <v>1967.85</v>
      </c>
      <c r="G8" s="161"/>
      <c r="H8" s="160" t="s">
        <v>31</v>
      </c>
      <c r="I8" s="162" t="s">
        <v>32</v>
      </c>
      <c r="J8" s="162"/>
      <c r="K8" s="163" t="s">
        <v>25</v>
      </c>
      <c r="L8" s="164">
        <v>411220.55</v>
      </c>
    </row>
    <row r="9" spans="1:12" ht="71.400000000000006" hidden="1" x14ac:dyDescent="0.3">
      <c r="A9" s="158" t="s">
        <v>26</v>
      </c>
      <c r="B9" s="159" t="s">
        <v>267</v>
      </c>
      <c r="C9" s="159" t="s">
        <v>44</v>
      </c>
      <c r="D9" s="159" t="s">
        <v>268</v>
      </c>
      <c r="E9" s="160" t="s">
        <v>30</v>
      </c>
      <c r="F9" s="161">
        <v>1176.19</v>
      </c>
      <c r="G9" s="161"/>
      <c r="H9" s="160" t="s">
        <v>31</v>
      </c>
      <c r="I9" s="162" t="s">
        <v>32</v>
      </c>
      <c r="J9" s="162"/>
      <c r="K9" s="163" t="s">
        <v>25</v>
      </c>
      <c r="L9" s="164">
        <v>412396.74</v>
      </c>
    </row>
    <row r="10" spans="1:12" ht="71.400000000000006" hidden="1" x14ac:dyDescent="0.3">
      <c r="A10" s="158" t="s">
        <v>26</v>
      </c>
      <c r="B10" s="159" t="s">
        <v>267</v>
      </c>
      <c r="C10" s="159" t="s">
        <v>46</v>
      </c>
      <c r="D10" s="159" t="s">
        <v>268</v>
      </c>
      <c r="E10" s="160" t="s">
        <v>30</v>
      </c>
      <c r="F10" s="161">
        <v>2801.67</v>
      </c>
      <c r="G10" s="161"/>
      <c r="H10" s="160" t="s">
        <v>31</v>
      </c>
      <c r="I10" s="162" t="s">
        <v>32</v>
      </c>
      <c r="J10" s="162"/>
      <c r="K10" s="163" t="s">
        <v>25</v>
      </c>
      <c r="L10" s="164">
        <v>415198.41</v>
      </c>
    </row>
    <row r="11" spans="1:12" ht="71.400000000000006" hidden="1" x14ac:dyDescent="0.3">
      <c r="A11" s="158" t="s">
        <v>26</v>
      </c>
      <c r="B11" s="159" t="s">
        <v>267</v>
      </c>
      <c r="C11" s="159" t="s">
        <v>48</v>
      </c>
      <c r="D11" s="159" t="s">
        <v>268</v>
      </c>
      <c r="E11" s="160" t="s">
        <v>30</v>
      </c>
      <c r="F11" s="161">
        <v>10641.21</v>
      </c>
      <c r="G11" s="161"/>
      <c r="H11" s="160" t="s">
        <v>31</v>
      </c>
      <c r="I11" s="162" t="s">
        <v>32</v>
      </c>
      <c r="J11" s="162"/>
      <c r="K11" s="163" t="s">
        <v>25</v>
      </c>
      <c r="L11" s="164">
        <v>425839.62</v>
      </c>
    </row>
    <row r="12" spans="1:12" ht="71.400000000000006" hidden="1" x14ac:dyDescent="0.3">
      <c r="A12" s="158" t="s">
        <v>26</v>
      </c>
      <c r="B12" s="159" t="s">
        <v>267</v>
      </c>
      <c r="C12" s="159" t="s">
        <v>269</v>
      </c>
      <c r="D12" s="159" t="s">
        <v>268</v>
      </c>
      <c r="E12" s="160" t="s">
        <v>30</v>
      </c>
      <c r="F12" s="161">
        <v>1768.39</v>
      </c>
      <c r="G12" s="161"/>
      <c r="H12" s="160" t="s">
        <v>31</v>
      </c>
      <c r="I12" s="162" t="s">
        <v>32</v>
      </c>
      <c r="J12" s="162"/>
      <c r="K12" s="163" t="s">
        <v>25</v>
      </c>
      <c r="L12" s="164">
        <v>427608.01</v>
      </c>
    </row>
    <row r="13" spans="1:12" ht="71.400000000000006" hidden="1" x14ac:dyDescent="0.3">
      <c r="A13" s="158" t="s">
        <v>26</v>
      </c>
      <c r="B13" s="159" t="s">
        <v>267</v>
      </c>
      <c r="C13" s="159" t="s">
        <v>270</v>
      </c>
      <c r="D13" s="159" t="s">
        <v>268</v>
      </c>
      <c r="E13" s="160" t="s">
        <v>30</v>
      </c>
      <c r="F13" s="161">
        <v>4935.05</v>
      </c>
      <c r="G13" s="161"/>
      <c r="H13" s="160" t="s">
        <v>31</v>
      </c>
      <c r="I13" s="162" t="s">
        <v>32</v>
      </c>
      <c r="J13" s="162"/>
      <c r="K13" s="163" t="s">
        <v>25</v>
      </c>
      <c r="L13" s="164">
        <v>432543.06</v>
      </c>
    </row>
    <row r="14" spans="1:12" ht="71.400000000000006" hidden="1" x14ac:dyDescent="0.3">
      <c r="A14" s="158" t="s">
        <v>26</v>
      </c>
      <c r="B14" s="159" t="s">
        <v>267</v>
      </c>
      <c r="C14" s="159" t="s">
        <v>271</v>
      </c>
      <c r="D14" s="159" t="s">
        <v>268</v>
      </c>
      <c r="E14" s="160" t="s">
        <v>30</v>
      </c>
      <c r="F14" s="161">
        <v>5110.87</v>
      </c>
      <c r="G14" s="161"/>
      <c r="H14" s="160" t="s">
        <v>31</v>
      </c>
      <c r="I14" s="162" t="s">
        <v>32</v>
      </c>
      <c r="J14" s="162"/>
      <c r="K14" s="163" t="s">
        <v>25</v>
      </c>
      <c r="L14" s="164">
        <v>437653.93</v>
      </c>
    </row>
    <row r="15" spans="1:12" ht="71.400000000000006" hidden="1" x14ac:dyDescent="0.3">
      <c r="A15" s="158" t="s">
        <v>26</v>
      </c>
      <c r="B15" s="159" t="s">
        <v>267</v>
      </c>
      <c r="C15" s="159" t="s">
        <v>272</v>
      </c>
      <c r="D15" s="159" t="s">
        <v>268</v>
      </c>
      <c r="E15" s="160" t="s">
        <v>30</v>
      </c>
      <c r="F15" s="161">
        <v>11926.38</v>
      </c>
      <c r="G15" s="161"/>
      <c r="H15" s="160" t="s">
        <v>31</v>
      </c>
      <c r="I15" s="162" t="s">
        <v>32</v>
      </c>
      <c r="J15" s="162"/>
      <c r="K15" s="163" t="s">
        <v>25</v>
      </c>
      <c r="L15" s="164">
        <v>449580.31</v>
      </c>
    </row>
    <row r="16" spans="1:12" ht="71.400000000000006" hidden="1" x14ac:dyDescent="0.3">
      <c r="A16" s="158" t="s">
        <v>26</v>
      </c>
      <c r="B16" s="159" t="s">
        <v>273</v>
      </c>
      <c r="C16" s="159" t="s">
        <v>274</v>
      </c>
      <c r="D16" s="159" t="s">
        <v>268</v>
      </c>
      <c r="E16" s="160" t="s">
        <v>30</v>
      </c>
      <c r="F16" s="161">
        <v>3956.43</v>
      </c>
      <c r="G16" s="161"/>
      <c r="H16" s="160" t="s">
        <v>31</v>
      </c>
      <c r="I16" s="162" t="s">
        <v>32</v>
      </c>
      <c r="J16" s="162"/>
      <c r="K16" s="163" t="s">
        <v>25</v>
      </c>
      <c r="L16" s="164">
        <v>453536.74</v>
      </c>
    </row>
    <row r="17" spans="1:12" ht="71.400000000000006" hidden="1" x14ac:dyDescent="0.3">
      <c r="A17" s="158" t="s">
        <v>26</v>
      </c>
      <c r="B17" s="159" t="s">
        <v>267</v>
      </c>
      <c r="C17" s="159" t="s">
        <v>274</v>
      </c>
      <c r="D17" s="159" t="s">
        <v>268</v>
      </c>
      <c r="E17" s="160" t="s">
        <v>30</v>
      </c>
      <c r="F17" s="165">
        <v>731.87</v>
      </c>
      <c r="G17" s="165"/>
      <c r="H17" s="160" t="s">
        <v>31</v>
      </c>
      <c r="I17" s="162" t="s">
        <v>32</v>
      </c>
      <c r="J17" s="162"/>
      <c r="K17" s="163" t="s">
        <v>25</v>
      </c>
      <c r="L17" s="164">
        <v>454268.61</v>
      </c>
    </row>
    <row r="18" spans="1:12" ht="71.400000000000006" hidden="1" x14ac:dyDescent="0.3">
      <c r="A18" s="158" t="s">
        <v>26</v>
      </c>
      <c r="B18" s="159" t="s">
        <v>273</v>
      </c>
      <c r="C18" s="159" t="s">
        <v>275</v>
      </c>
      <c r="D18" s="159" t="s">
        <v>268</v>
      </c>
      <c r="E18" s="160" t="s">
        <v>30</v>
      </c>
      <c r="F18" s="161">
        <v>6477.26</v>
      </c>
      <c r="G18" s="161"/>
      <c r="H18" s="160" t="s">
        <v>31</v>
      </c>
      <c r="I18" s="162" t="s">
        <v>32</v>
      </c>
      <c r="J18" s="162"/>
      <c r="K18" s="163" t="s">
        <v>25</v>
      </c>
      <c r="L18" s="164">
        <v>460745.87</v>
      </c>
    </row>
    <row r="19" spans="1:12" ht="71.400000000000006" hidden="1" x14ac:dyDescent="0.3">
      <c r="A19" s="158" t="s">
        <v>26</v>
      </c>
      <c r="B19" s="159" t="s">
        <v>276</v>
      </c>
      <c r="C19" s="159" t="s">
        <v>264</v>
      </c>
      <c r="D19" s="159" t="s">
        <v>265</v>
      </c>
      <c r="E19" s="160" t="s">
        <v>30</v>
      </c>
      <c r="F19" s="161">
        <v>7664.68</v>
      </c>
      <c r="G19" s="161"/>
      <c r="H19" s="160" t="s">
        <v>31</v>
      </c>
      <c r="I19" s="162" t="s">
        <v>32</v>
      </c>
      <c r="J19" s="162"/>
      <c r="K19" s="163" t="s">
        <v>25</v>
      </c>
      <c r="L19" s="164">
        <v>468410.55</v>
      </c>
    </row>
    <row r="20" spans="1:12" ht="71.400000000000006" hidden="1" x14ac:dyDescent="0.3">
      <c r="A20" s="158" t="s">
        <v>26</v>
      </c>
      <c r="B20" s="159" t="s">
        <v>276</v>
      </c>
      <c r="C20" s="159" t="s">
        <v>266</v>
      </c>
      <c r="D20" s="159" t="s">
        <v>265</v>
      </c>
      <c r="E20" s="160" t="s">
        <v>30</v>
      </c>
      <c r="F20" s="161">
        <v>11800.32</v>
      </c>
      <c r="G20" s="161"/>
      <c r="H20" s="160" t="s">
        <v>31</v>
      </c>
      <c r="I20" s="162" t="s">
        <v>32</v>
      </c>
      <c r="J20" s="162"/>
      <c r="K20" s="163" t="s">
        <v>25</v>
      </c>
      <c r="L20" s="164">
        <v>480210.87</v>
      </c>
    </row>
    <row r="21" spans="1:12" ht="81.599999999999994" hidden="1" x14ac:dyDescent="0.3">
      <c r="A21" s="158" t="s">
        <v>26</v>
      </c>
      <c r="B21" s="159" t="s">
        <v>277</v>
      </c>
      <c r="C21" s="159" t="s">
        <v>278</v>
      </c>
      <c r="D21" s="159" t="s">
        <v>266</v>
      </c>
      <c r="E21" s="160" t="s">
        <v>30</v>
      </c>
      <c r="F21" s="166" t="s">
        <v>32</v>
      </c>
      <c r="G21" s="166"/>
      <c r="H21" s="160" t="s">
        <v>30</v>
      </c>
      <c r="I21" s="167">
        <v>5811.7</v>
      </c>
      <c r="J21" s="167"/>
      <c r="K21" s="163" t="s">
        <v>25</v>
      </c>
      <c r="L21" s="164">
        <v>474399.17</v>
      </c>
    </row>
    <row r="22" spans="1:12" ht="71.400000000000006" hidden="1" x14ac:dyDescent="0.3">
      <c r="A22" s="158" t="s">
        <v>26</v>
      </c>
      <c r="B22" s="159" t="s">
        <v>279</v>
      </c>
      <c r="C22" s="159" t="s">
        <v>280</v>
      </c>
      <c r="D22" s="159" t="s">
        <v>266</v>
      </c>
      <c r="E22" s="160" t="s">
        <v>30</v>
      </c>
      <c r="F22" s="166" t="s">
        <v>32</v>
      </c>
      <c r="G22" s="166"/>
      <c r="H22" s="160" t="s">
        <v>30</v>
      </c>
      <c r="I22" s="167">
        <v>24956.12</v>
      </c>
      <c r="J22" s="167"/>
      <c r="K22" s="163" t="s">
        <v>25</v>
      </c>
      <c r="L22" s="164">
        <v>449443.05</v>
      </c>
    </row>
    <row r="23" spans="1:12" ht="61.2" hidden="1" x14ac:dyDescent="0.3">
      <c r="A23" s="158" t="s">
        <v>26</v>
      </c>
      <c r="B23" s="159" t="s">
        <v>281</v>
      </c>
      <c r="C23" s="159" t="s">
        <v>282</v>
      </c>
      <c r="D23" s="159" t="s">
        <v>264</v>
      </c>
      <c r="E23" s="160" t="s">
        <v>30</v>
      </c>
      <c r="F23" s="166" t="s">
        <v>32</v>
      </c>
      <c r="G23" s="166"/>
      <c r="H23" s="160" t="s">
        <v>30</v>
      </c>
      <c r="I23" s="167">
        <v>19984.68</v>
      </c>
      <c r="J23" s="167"/>
      <c r="K23" s="163" t="s">
        <v>25</v>
      </c>
      <c r="L23" s="164">
        <v>429458.37</v>
      </c>
    </row>
    <row r="24" spans="1:12" ht="61.2" hidden="1" x14ac:dyDescent="0.3">
      <c r="A24" s="158" t="s">
        <v>26</v>
      </c>
      <c r="B24" s="159" t="s">
        <v>34</v>
      </c>
      <c r="C24" s="159" t="s">
        <v>35</v>
      </c>
      <c r="D24" s="159" t="s">
        <v>36</v>
      </c>
      <c r="E24" s="160" t="s">
        <v>30</v>
      </c>
      <c r="F24" s="166" t="s">
        <v>32</v>
      </c>
      <c r="G24" s="166"/>
      <c r="H24" s="160" t="s">
        <v>30</v>
      </c>
      <c r="I24" s="168">
        <v>308.44</v>
      </c>
      <c r="J24" s="168"/>
      <c r="K24" s="163" t="s">
        <v>25</v>
      </c>
      <c r="L24" s="164">
        <v>429149.93</v>
      </c>
    </row>
    <row r="25" spans="1:12" ht="61.2" hidden="1" x14ac:dyDescent="0.3">
      <c r="A25" s="158" t="s">
        <v>26</v>
      </c>
      <c r="B25" s="159" t="s">
        <v>34</v>
      </c>
      <c r="C25" s="159" t="s">
        <v>37</v>
      </c>
      <c r="D25" s="159" t="s">
        <v>38</v>
      </c>
      <c r="E25" s="160" t="s">
        <v>30</v>
      </c>
      <c r="F25" s="166" t="s">
        <v>32</v>
      </c>
      <c r="G25" s="166"/>
      <c r="H25" s="160" t="s">
        <v>30</v>
      </c>
      <c r="I25" s="168">
        <v>287.87</v>
      </c>
      <c r="J25" s="168"/>
      <c r="K25" s="163" t="s">
        <v>25</v>
      </c>
      <c r="L25" s="164">
        <v>428862.06</v>
      </c>
    </row>
    <row r="26" spans="1:12" ht="61.2" hidden="1" x14ac:dyDescent="0.3">
      <c r="A26" s="158" t="s">
        <v>26</v>
      </c>
      <c r="B26" s="159" t="s">
        <v>34</v>
      </c>
      <c r="C26" s="159" t="s">
        <v>39</v>
      </c>
      <c r="D26" s="159" t="s">
        <v>40</v>
      </c>
      <c r="E26" s="160" t="s">
        <v>30</v>
      </c>
      <c r="F26" s="166" t="s">
        <v>32</v>
      </c>
      <c r="G26" s="166"/>
      <c r="H26" s="160" t="s">
        <v>30</v>
      </c>
      <c r="I26" s="168">
        <v>688.85</v>
      </c>
      <c r="J26" s="168"/>
      <c r="K26" s="163" t="s">
        <v>25</v>
      </c>
      <c r="L26" s="164">
        <v>428173.21</v>
      </c>
    </row>
    <row r="27" spans="1:12" ht="61.2" hidden="1" x14ac:dyDescent="0.3">
      <c r="A27" s="158" t="s">
        <v>26</v>
      </c>
      <c r="B27" s="159" t="s">
        <v>34</v>
      </c>
      <c r="C27" s="159" t="s">
        <v>41</v>
      </c>
      <c r="D27" s="159" t="s">
        <v>42</v>
      </c>
      <c r="E27" s="160" t="s">
        <v>30</v>
      </c>
      <c r="F27" s="166" t="s">
        <v>32</v>
      </c>
      <c r="G27" s="166"/>
      <c r="H27" s="160" t="s">
        <v>30</v>
      </c>
      <c r="I27" s="167">
        <v>1967.85</v>
      </c>
      <c r="J27" s="167"/>
      <c r="K27" s="163" t="s">
        <v>25</v>
      </c>
      <c r="L27" s="164">
        <v>426205.36</v>
      </c>
    </row>
    <row r="28" spans="1:12" ht="61.2" hidden="1" x14ac:dyDescent="0.3">
      <c r="A28" s="158" t="s">
        <v>26</v>
      </c>
      <c r="B28" s="159" t="s">
        <v>34</v>
      </c>
      <c r="C28" s="159" t="s">
        <v>43</v>
      </c>
      <c r="D28" s="159" t="s">
        <v>44</v>
      </c>
      <c r="E28" s="160" t="s">
        <v>30</v>
      </c>
      <c r="F28" s="166" t="s">
        <v>32</v>
      </c>
      <c r="G28" s="166"/>
      <c r="H28" s="160" t="s">
        <v>30</v>
      </c>
      <c r="I28" s="167">
        <v>1176.19</v>
      </c>
      <c r="J28" s="167"/>
      <c r="K28" s="163" t="s">
        <v>25</v>
      </c>
      <c r="L28" s="164">
        <v>425029.17</v>
      </c>
    </row>
    <row r="29" spans="1:12" ht="61.2" hidden="1" x14ac:dyDescent="0.3">
      <c r="A29" s="158" t="s">
        <v>26</v>
      </c>
      <c r="B29" s="159" t="s">
        <v>34</v>
      </c>
      <c r="C29" s="159" t="s">
        <v>45</v>
      </c>
      <c r="D29" s="159" t="s">
        <v>46</v>
      </c>
      <c r="E29" s="160" t="s">
        <v>30</v>
      </c>
      <c r="F29" s="166" t="s">
        <v>32</v>
      </c>
      <c r="G29" s="166"/>
      <c r="H29" s="160" t="s">
        <v>30</v>
      </c>
      <c r="I29" s="167">
        <v>2801.67</v>
      </c>
      <c r="J29" s="167"/>
      <c r="K29" s="163" t="s">
        <v>25</v>
      </c>
      <c r="L29" s="164">
        <v>422227.5</v>
      </c>
    </row>
    <row r="30" spans="1:12" ht="61.2" hidden="1" x14ac:dyDescent="0.3">
      <c r="A30" s="158" t="s">
        <v>26</v>
      </c>
      <c r="B30" s="159" t="s">
        <v>34</v>
      </c>
      <c r="C30" s="159" t="s">
        <v>47</v>
      </c>
      <c r="D30" s="159" t="s">
        <v>48</v>
      </c>
      <c r="E30" s="160" t="s">
        <v>30</v>
      </c>
      <c r="F30" s="166" t="s">
        <v>32</v>
      </c>
      <c r="G30" s="166"/>
      <c r="H30" s="160" t="s">
        <v>30</v>
      </c>
      <c r="I30" s="167">
        <v>10641.21</v>
      </c>
      <c r="J30" s="167"/>
      <c r="K30" s="163" t="s">
        <v>25</v>
      </c>
      <c r="L30" s="164">
        <v>411586.29</v>
      </c>
    </row>
    <row r="31" spans="1:12" ht="71.400000000000006" hidden="1" x14ac:dyDescent="0.3">
      <c r="A31" s="158" t="s">
        <v>26</v>
      </c>
      <c r="B31" s="159" t="s">
        <v>283</v>
      </c>
      <c r="C31" s="159" t="s">
        <v>284</v>
      </c>
      <c r="D31" s="159" t="s">
        <v>269</v>
      </c>
      <c r="E31" s="160" t="s">
        <v>30</v>
      </c>
      <c r="F31" s="166" t="s">
        <v>32</v>
      </c>
      <c r="G31" s="166"/>
      <c r="H31" s="160" t="s">
        <v>30</v>
      </c>
      <c r="I31" s="167">
        <v>1768.39</v>
      </c>
      <c r="J31" s="167"/>
      <c r="K31" s="163" t="s">
        <v>25</v>
      </c>
      <c r="L31" s="164">
        <v>409817.9</v>
      </c>
    </row>
    <row r="32" spans="1:12" ht="71.400000000000006" hidden="1" x14ac:dyDescent="0.3">
      <c r="A32" s="158" t="s">
        <v>26</v>
      </c>
      <c r="B32" s="159" t="s">
        <v>283</v>
      </c>
      <c r="C32" s="159" t="s">
        <v>285</v>
      </c>
      <c r="D32" s="159" t="s">
        <v>270</v>
      </c>
      <c r="E32" s="160" t="s">
        <v>30</v>
      </c>
      <c r="F32" s="166" t="s">
        <v>32</v>
      </c>
      <c r="G32" s="166"/>
      <c r="H32" s="160" t="s">
        <v>30</v>
      </c>
      <c r="I32" s="167">
        <v>4935.05</v>
      </c>
      <c r="J32" s="167"/>
      <c r="K32" s="163" t="s">
        <v>25</v>
      </c>
      <c r="L32" s="164">
        <v>404882.85</v>
      </c>
    </row>
    <row r="33" spans="1:12" ht="71.400000000000006" hidden="1" x14ac:dyDescent="0.3">
      <c r="A33" s="158" t="s">
        <v>26</v>
      </c>
      <c r="B33" s="159" t="s">
        <v>283</v>
      </c>
      <c r="C33" s="159" t="s">
        <v>286</v>
      </c>
      <c r="D33" s="159" t="s">
        <v>271</v>
      </c>
      <c r="E33" s="160" t="s">
        <v>30</v>
      </c>
      <c r="F33" s="166" t="s">
        <v>32</v>
      </c>
      <c r="G33" s="166"/>
      <c r="H33" s="160" t="s">
        <v>30</v>
      </c>
      <c r="I33" s="167">
        <v>5110.87</v>
      </c>
      <c r="J33" s="167"/>
      <c r="K33" s="163" t="s">
        <v>25</v>
      </c>
      <c r="L33" s="164">
        <v>399771.98</v>
      </c>
    </row>
    <row r="34" spans="1:12" ht="71.400000000000006" hidden="1" x14ac:dyDescent="0.3">
      <c r="A34" s="158" t="s">
        <v>26</v>
      </c>
      <c r="B34" s="159" t="s">
        <v>283</v>
      </c>
      <c r="C34" s="159" t="s">
        <v>287</v>
      </c>
      <c r="D34" s="159" t="s">
        <v>272</v>
      </c>
      <c r="E34" s="160" t="s">
        <v>30</v>
      </c>
      <c r="F34" s="166" t="s">
        <v>32</v>
      </c>
      <c r="G34" s="166"/>
      <c r="H34" s="160" t="s">
        <v>30</v>
      </c>
      <c r="I34" s="167">
        <v>11926.38</v>
      </c>
      <c r="J34" s="167"/>
      <c r="K34" s="163" t="s">
        <v>25</v>
      </c>
      <c r="L34" s="164">
        <v>387845.6</v>
      </c>
    </row>
    <row r="35" spans="1:12" ht="71.400000000000006" hidden="1" x14ac:dyDescent="0.3">
      <c r="A35" s="158" t="s">
        <v>26</v>
      </c>
      <c r="B35" s="159" t="s">
        <v>288</v>
      </c>
      <c r="C35" s="159" t="s">
        <v>289</v>
      </c>
      <c r="D35" s="159" t="s">
        <v>274</v>
      </c>
      <c r="E35" s="160" t="s">
        <v>30</v>
      </c>
      <c r="F35" s="166" t="s">
        <v>32</v>
      </c>
      <c r="G35" s="166"/>
      <c r="H35" s="160" t="s">
        <v>30</v>
      </c>
      <c r="I35" s="167">
        <v>4688.3</v>
      </c>
      <c r="J35" s="167"/>
      <c r="K35" s="163" t="s">
        <v>25</v>
      </c>
      <c r="L35" s="164">
        <v>383157.3</v>
      </c>
    </row>
    <row r="36" spans="1:12" ht="71.400000000000006" hidden="1" x14ac:dyDescent="0.3">
      <c r="A36" s="158" t="s">
        <v>26</v>
      </c>
      <c r="B36" s="159" t="s">
        <v>288</v>
      </c>
      <c r="C36" s="159" t="s">
        <v>290</v>
      </c>
      <c r="D36" s="159" t="s">
        <v>275</v>
      </c>
      <c r="E36" s="160" t="s">
        <v>30</v>
      </c>
      <c r="F36" s="166" t="s">
        <v>32</v>
      </c>
      <c r="G36" s="166"/>
      <c r="H36" s="160" t="s">
        <v>30</v>
      </c>
      <c r="I36" s="167">
        <v>6477.26</v>
      </c>
      <c r="J36" s="167"/>
      <c r="K36" s="163" t="s">
        <v>25</v>
      </c>
      <c r="L36" s="164">
        <v>376680.04</v>
      </c>
    </row>
    <row r="37" spans="1:12" ht="81.599999999999994" hidden="1" x14ac:dyDescent="0.3">
      <c r="A37" s="158" t="s">
        <v>26</v>
      </c>
      <c r="B37" s="159" t="s">
        <v>291</v>
      </c>
      <c r="C37" s="159" t="s">
        <v>292</v>
      </c>
      <c r="D37" s="159" t="s">
        <v>293</v>
      </c>
      <c r="E37" s="160" t="s">
        <v>30</v>
      </c>
      <c r="F37" s="166" t="s">
        <v>32</v>
      </c>
      <c r="G37" s="166"/>
      <c r="H37" s="160" t="s">
        <v>30</v>
      </c>
      <c r="I37" s="167">
        <v>40207.17</v>
      </c>
      <c r="J37" s="167"/>
      <c r="K37" s="163" t="s">
        <v>25</v>
      </c>
      <c r="L37" s="164">
        <v>336472.87</v>
      </c>
    </row>
    <row r="38" spans="1:12" ht="81.599999999999994" hidden="1" x14ac:dyDescent="0.3">
      <c r="A38" s="158" t="s">
        <v>26</v>
      </c>
      <c r="B38" s="159" t="s">
        <v>294</v>
      </c>
      <c r="C38" s="159" t="s">
        <v>295</v>
      </c>
      <c r="D38" s="159" t="s">
        <v>296</v>
      </c>
      <c r="E38" s="160" t="s">
        <v>30</v>
      </c>
      <c r="F38" s="161">
        <v>12192.93</v>
      </c>
      <c r="G38" s="161"/>
      <c r="H38" s="160" t="s">
        <v>30</v>
      </c>
      <c r="I38" s="162" t="s">
        <v>32</v>
      </c>
      <c r="J38" s="162"/>
      <c r="K38" s="163" t="s">
        <v>25</v>
      </c>
      <c r="L38" s="164">
        <v>348665.8</v>
      </c>
    </row>
    <row r="39" spans="1:12" ht="81.599999999999994" hidden="1" x14ac:dyDescent="0.3">
      <c r="A39" s="158" t="s">
        <v>26</v>
      </c>
      <c r="B39" s="159" t="s">
        <v>297</v>
      </c>
      <c r="C39" s="159" t="s">
        <v>298</v>
      </c>
      <c r="D39" s="159" t="s">
        <v>106</v>
      </c>
      <c r="E39" s="160" t="s">
        <v>30</v>
      </c>
      <c r="F39" s="166" t="s">
        <v>32</v>
      </c>
      <c r="G39" s="166"/>
      <c r="H39" s="160" t="s">
        <v>30</v>
      </c>
      <c r="I39" s="167">
        <v>12679.5</v>
      </c>
      <c r="J39" s="167"/>
      <c r="K39" s="163" t="s">
        <v>25</v>
      </c>
      <c r="L39" s="164">
        <v>335986.3</v>
      </c>
    </row>
    <row r="40" spans="1:12" ht="71.400000000000006" hidden="1" x14ac:dyDescent="0.3">
      <c r="A40" s="158" t="s">
        <v>55</v>
      </c>
      <c r="B40" s="159" t="s">
        <v>299</v>
      </c>
      <c r="C40" s="159" t="s">
        <v>58</v>
      </c>
      <c r="D40" s="159" t="s">
        <v>265</v>
      </c>
      <c r="E40" s="160" t="s">
        <v>30</v>
      </c>
      <c r="F40" s="161">
        <v>121180</v>
      </c>
      <c r="G40" s="161"/>
      <c r="H40" s="160" t="s">
        <v>31</v>
      </c>
      <c r="I40" s="162" t="s">
        <v>32</v>
      </c>
      <c r="J40" s="162"/>
      <c r="K40" s="163" t="s">
        <v>25</v>
      </c>
      <c r="L40" s="164">
        <v>457166.3</v>
      </c>
    </row>
    <row r="41" spans="1:12" ht="71.400000000000006" hidden="1" x14ac:dyDescent="0.3">
      <c r="A41" s="158" t="s">
        <v>55</v>
      </c>
      <c r="B41" s="159" t="s">
        <v>300</v>
      </c>
      <c r="C41" s="159" t="s">
        <v>301</v>
      </c>
      <c r="D41" s="159" t="s">
        <v>302</v>
      </c>
      <c r="E41" s="160" t="s">
        <v>30</v>
      </c>
      <c r="F41" s="161">
        <v>38988.75</v>
      </c>
      <c r="G41" s="161"/>
      <c r="H41" s="160" t="s">
        <v>31</v>
      </c>
      <c r="I41" s="162" t="s">
        <v>32</v>
      </c>
      <c r="J41" s="162"/>
      <c r="K41" s="163" t="s">
        <v>25</v>
      </c>
      <c r="L41" s="164">
        <v>496155.05</v>
      </c>
    </row>
    <row r="42" spans="1:12" ht="71.400000000000006" hidden="1" x14ac:dyDescent="0.3">
      <c r="A42" s="158" t="s">
        <v>55</v>
      </c>
      <c r="B42" s="159" t="s">
        <v>303</v>
      </c>
      <c r="C42" s="159" t="s">
        <v>58</v>
      </c>
      <c r="D42" s="159" t="s">
        <v>304</v>
      </c>
      <c r="E42" s="160" t="s">
        <v>30</v>
      </c>
      <c r="F42" s="161">
        <v>41922.31</v>
      </c>
      <c r="G42" s="161"/>
      <c r="H42" s="160" t="s">
        <v>31</v>
      </c>
      <c r="I42" s="162" t="s">
        <v>32</v>
      </c>
      <c r="J42" s="162"/>
      <c r="K42" s="163" t="s">
        <v>25</v>
      </c>
      <c r="L42" s="164">
        <v>538077.36</v>
      </c>
    </row>
    <row r="43" spans="1:12" ht="71.400000000000006" hidden="1" x14ac:dyDescent="0.3">
      <c r="A43" s="158" t="s">
        <v>55</v>
      </c>
      <c r="B43" s="159" t="s">
        <v>303</v>
      </c>
      <c r="C43" s="159" t="s">
        <v>301</v>
      </c>
      <c r="D43" s="159" t="s">
        <v>304</v>
      </c>
      <c r="E43" s="160" t="s">
        <v>30</v>
      </c>
      <c r="F43" s="161">
        <v>13488.19</v>
      </c>
      <c r="G43" s="161"/>
      <c r="H43" s="160" t="s">
        <v>31</v>
      </c>
      <c r="I43" s="162" t="s">
        <v>32</v>
      </c>
      <c r="J43" s="162"/>
      <c r="K43" s="163" t="s">
        <v>25</v>
      </c>
      <c r="L43" s="164">
        <v>551565.55000000005</v>
      </c>
    </row>
    <row r="44" spans="1:12" ht="61.2" hidden="1" x14ac:dyDescent="0.3">
      <c r="A44" s="158" t="s">
        <v>55</v>
      </c>
      <c r="B44" s="159" t="s">
        <v>56</v>
      </c>
      <c r="C44" s="159" t="s">
        <v>57</v>
      </c>
      <c r="D44" s="159" t="s">
        <v>58</v>
      </c>
      <c r="E44" s="160" t="s">
        <v>30</v>
      </c>
      <c r="F44" s="166" t="s">
        <v>32</v>
      </c>
      <c r="G44" s="166"/>
      <c r="H44" s="160" t="s">
        <v>30</v>
      </c>
      <c r="I44" s="167">
        <v>163102.31</v>
      </c>
      <c r="J44" s="167"/>
      <c r="K44" s="163" t="s">
        <v>25</v>
      </c>
      <c r="L44" s="164">
        <v>388463.24</v>
      </c>
    </row>
    <row r="45" spans="1:12" ht="71.400000000000006" hidden="1" x14ac:dyDescent="0.3">
      <c r="A45" s="158" t="s">
        <v>55</v>
      </c>
      <c r="B45" s="159" t="s">
        <v>305</v>
      </c>
      <c r="C45" s="159" t="s">
        <v>306</v>
      </c>
      <c r="D45" s="159" t="s">
        <v>301</v>
      </c>
      <c r="E45" s="160" t="s">
        <v>30</v>
      </c>
      <c r="F45" s="166" t="s">
        <v>32</v>
      </c>
      <c r="G45" s="166"/>
      <c r="H45" s="160" t="s">
        <v>30</v>
      </c>
      <c r="I45" s="167">
        <v>46803.76</v>
      </c>
      <c r="J45" s="167"/>
      <c r="K45" s="163" t="s">
        <v>25</v>
      </c>
      <c r="L45" s="164">
        <v>341659.48</v>
      </c>
    </row>
    <row r="46" spans="1:12" ht="71.400000000000006" hidden="1" x14ac:dyDescent="0.3">
      <c r="A46" s="158" t="s">
        <v>55</v>
      </c>
      <c r="B46" s="159" t="s">
        <v>307</v>
      </c>
      <c r="C46" s="159" t="s">
        <v>308</v>
      </c>
      <c r="D46" s="159" t="s">
        <v>301</v>
      </c>
      <c r="E46" s="160" t="s">
        <v>30</v>
      </c>
      <c r="F46" s="166" t="s">
        <v>32</v>
      </c>
      <c r="G46" s="166"/>
      <c r="H46" s="160" t="s">
        <v>30</v>
      </c>
      <c r="I46" s="167">
        <v>5673.18</v>
      </c>
      <c r="J46" s="167"/>
      <c r="K46" s="163" t="s">
        <v>25</v>
      </c>
      <c r="L46" s="164">
        <v>335986.3</v>
      </c>
    </row>
    <row r="47" spans="1:12" ht="81.599999999999994" hidden="1" x14ac:dyDescent="0.3">
      <c r="A47" s="158" t="s">
        <v>173</v>
      </c>
      <c r="B47" s="159" t="s">
        <v>309</v>
      </c>
      <c r="C47" s="159" t="s">
        <v>310</v>
      </c>
      <c r="D47" s="159" t="s">
        <v>311</v>
      </c>
      <c r="E47" s="160" t="s">
        <v>30</v>
      </c>
      <c r="F47" s="165">
        <v>483.4</v>
      </c>
      <c r="G47" s="165"/>
      <c r="H47" s="160" t="s">
        <v>31</v>
      </c>
      <c r="I47" s="162" t="s">
        <v>32</v>
      </c>
      <c r="J47" s="162"/>
      <c r="K47" s="163" t="s">
        <v>25</v>
      </c>
      <c r="L47" s="164">
        <v>336469.7</v>
      </c>
    </row>
    <row r="48" spans="1:12" ht="81.599999999999994" hidden="1" x14ac:dyDescent="0.3">
      <c r="A48" s="158" t="s">
        <v>173</v>
      </c>
      <c r="B48" s="159" t="s">
        <v>309</v>
      </c>
      <c r="C48" s="159" t="s">
        <v>312</v>
      </c>
      <c r="D48" s="159" t="s">
        <v>311</v>
      </c>
      <c r="E48" s="160" t="s">
        <v>30</v>
      </c>
      <c r="F48" s="165">
        <v>273.75</v>
      </c>
      <c r="G48" s="165"/>
      <c r="H48" s="160" t="s">
        <v>31</v>
      </c>
      <c r="I48" s="162" t="s">
        <v>32</v>
      </c>
      <c r="J48" s="162"/>
      <c r="K48" s="163" t="s">
        <v>25</v>
      </c>
      <c r="L48" s="164">
        <v>336743.45</v>
      </c>
    </row>
    <row r="49" spans="1:12" ht="71.400000000000006" hidden="1" x14ac:dyDescent="0.3">
      <c r="A49" s="158" t="s">
        <v>179</v>
      </c>
      <c r="B49" s="159" t="s">
        <v>313</v>
      </c>
      <c r="C49" s="159" t="s">
        <v>314</v>
      </c>
      <c r="D49" s="159" t="s">
        <v>315</v>
      </c>
      <c r="E49" s="160" t="s">
        <v>30</v>
      </c>
      <c r="F49" s="161">
        <v>23182.5</v>
      </c>
      <c r="G49" s="161"/>
      <c r="H49" s="160" t="s">
        <v>31</v>
      </c>
      <c r="I49" s="162" t="s">
        <v>32</v>
      </c>
      <c r="J49" s="162"/>
      <c r="K49" s="163" t="s">
        <v>25</v>
      </c>
      <c r="L49" s="164">
        <v>359925.95</v>
      </c>
    </row>
    <row r="50" spans="1:12" ht="71.400000000000006" hidden="1" x14ac:dyDescent="0.3">
      <c r="A50" s="158" t="s">
        <v>179</v>
      </c>
      <c r="B50" s="159" t="s">
        <v>316</v>
      </c>
      <c r="C50" s="159" t="s">
        <v>314</v>
      </c>
      <c r="D50" s="159" t="s">
        <v>317</v>
      </c>
      <c r="E50" s="160" t="s">
        <v>30</v>
      </c>
      <c r="F50" s="161">
        <v>14740</v>
      </c>
      <c r="G50" s="161"/>
      <c r="H50" s="160" t="s">
        <v>31</v>
      </c>
      <c r="I50" s="162" t="s">
        <v>32</v>
      </c>
      <c r="J50" s="162"/>
      <c r="K50" s="163" t="s">
        <v>25</v>
      </c>
      <c r="L50" s="164">
        <v>374665.95</v>
      </c>
    </row>
    <row r="51" spans="1:12" ht="81.599999999999994" hidden="1" x14ac:dyDescent="0.3">
      <c r="A51" s="158" t="s">
        <v>179</v>
      </c>
      <c r="B51" s="159" t="s">
        <v>318</v>
      </c>
      <c r="C51" s="159" t="s">
        <v>319</v>
      </c>
      <c r="D51" s="159" t="s">
        <v>314</v>
      </c>
      <c r="E51" s="160" t="s">
        <v>30</v>
      </c>
      <c r="F51" s="166" t="s">
        <v>32</v>
      </c>
      <c r="G51" s="166"/>
      <c r="H51" s="160" t="s">
        <v>30</v>
      </c>
      <c r="I51" s="167">
        <v>27580</v>
      </c>
      <c r="J51" s="167"/>
      <c r="K51" s="163" t="s">
        <v>25</v>
      </c>
      <c r="L51" s="164">
        <v>347085.95</v>
      </c>
    </row>
    <row r="52" spans="1:12" ht="71.400000000000006" hidden="1" x14ac:dyDescent="0.3">
      <c r="A52" s="158" t="s">
        <v>179</v>
      </c>
      <c r="B52" s="159" t="s">
        <v>320</v>
      </c>
      <c r="C52" s="159" t="s">
        <v>321</v>
      </c>
      <c r="D52" s="159" t="s">
        <v>314</v>
      </c>
      <c r="E52" s="160" t="s">
        <v>30</v>
      </c>
      <c r="F52" s="166" t="s">
        <v>32</v>
      </c>
      <c r="G52" s="166"/>
      <c r="H52" s="160" t="s">
        <v>30</v>
      </c>
      <c r="I52" s="167">
        <v>10342.5</v>
      </c>
      <c r="J52" s="167"/>
      <c r="K52" s="163" t="s">
        <v>25</v>
      </c>
      <c r="L52" s="164">
        <v>336743.45</v>
      </c>
    </row>
    <row r="53" spans="1:12" ht="81.599999999999994" hidden="1" x14ac:dyDescent="0.3">
      <c r="A53" s="158" t="s">
        <v>59</v>
      </c>
      <c r="B53" s="159" t="s">
        <v>322</v>
      </c>
      <c r="C53" s="159" t="s">
        <v>62</v>
      </c>
      <c r="D53" s="159" t="s">
        <v>323</v>
      </c>
      <c r="E53" s="160" t="s">
        <v>30</v>
      </c>
      <c r="F53" s="161">
        <v>9375</v>
      </c>
      <c r="G53" s="161"/>
      <c r="H53" s="160" t="s">
        <v>31</v>
      </c>
      <c r="I53" s="162" t="s">
        <v>32</v>
      </c>
      <c r="J53" s="162"/>
      <c r="K53" s="163" t="s">
        <v>25</v>
      </c>
      <c r="L53" s="164">
        <v>346118.45</v>
      </c>
    </row>
    <row r="54" spans="1:12" ht="61.2" hidden="1" x14ac:dyDescent="0.3">
      <c r="A54" s="158" t="s">
        <v>59</v>
      </c>
      <c r="B54" s="159" t="s">
        <v>60</v>
      </c>
      <c r="C54" s="159" t="s">
        <v>61</v>
      </c>
      <c r="D54" s="159" t="s">
        <v>62</v>
      </c>
      <c r="E54" s="160" t="s">
        <v>30</v>
      </c>
      <c r="F54" s="166" t="s">
        <v>32</v>
      </c>
      <c r="G54" s="166"/>
      <c r="H54" s="160" t="s">
        <v>30</v>
      </c>
      <c r="I54" s="167">
        <v>4687.5</v>
      </c>
      <c r="J54" s="167"/>
      <c r="K54" s="163" t="s">
        <v>25</v>
      </c>
      <c r="L54" s="164">
        <v>341430.95</v>
      </c>
    </row>
    <row r="55" spans="1:12" ht="71.400000000000006" hidden="1" x14ac:dyDescent="0.3">
      <c r="A55" s="158" t="s">
        <v>59</v>
      </c>
      <c r="B55" s="159" t="s">
        <v>324</v>
      </c>
      <c r="C55" s="159" t="s">
        <v>325</v>
      </c>
      <c r="D55" s="159" t="s">
        <v>62</v>
      </c>
      <c r="E55" s="160" t="s">
        <v>30</v>
      </c>
      <c r="F55" s="166" t="s">
        <v>32</v>
      </c>
      <c r="G55" s="166"/>
      <c r="H55" s="160" t="s">
        <v>30</v>
      </c>
      <c r="I55" s="167">
        <v>4687.5</v>
      </c>
      <c r="J55" s="167"/>
      <c r="K55" s="163" t="s">
        <v>25</v>
      </c>
      <c r="L55" s="164">
        <v>336743.45</v>
      </c>
    </row>
    <row r="56" spans="1:12" ht="71.400000000000006" hidden="1" x14ac:dyDescent="0.3">
      <c r="A56" s="158" t="s">
        <v>63</v>
      </c>
      <c r="B56" s="159" t="s">
        <v>326</v>
      </c>
      <c r="C56" s="159" t="s">
        <v>66</v>
      </c>
      <c r="D56" s="159" t="s">
        <v>327</v>
      </c>
      <c r="E56" s="160" t="s">
        <v>30</v>
      </c>
      <c r="F56" s="161">
        <v>210240</v>
      </c>
      <c r="G56" s="161"/>
      <c r="H56" s="160" t="s">
        <v>31</v>
      </c>
      <c r="I56" s="162" t="s">
        <v>32</v>
      </c>
      <c r="J56" s="162"/>
      <c r="K56" s="163" t="s">
        <v>25</v>
      </c>
      <c r="L56" s="164">
        <v>546983.44999999995</v>
      </c>
    </row>
    <row r="57" spans="1:12" ht="71.400000000000006" hidden="1" x14ac:dyDescent="0.3">
      <c r="A57" s="158" t="s">
        <v>63</v>
      </c>
      <c r="B57" s="159" t="s">
        <v>328</v>
      </c>
      <c r="C57" s="159" t="s">
        <v>66</v>
      </c>
      <c r="D57" s="159" t="s">
        <v>329</v>
      </c>
      <c r="E57" s="160" t="s">
        <v>30</v>
      </c>
      <c r="F57" s="161">
        <v>61093</v>
      </c>
      <c r="G57" s="161"/>
      <c r="H57" s="160" t="s">
        <v>31</v>
      </c>
      <c r="I57" s="162" t="s">
        <v>32</v>
      </c>
      <c r="J57" s="162"/>
      <c r="K57" s="163" t="s">
        <v>25</v>
      </c>
      <c r="L57" s="164">
        <v>608076.44999999995</v>
      </c>
    </row>
    <row r="58" spans="1:12" ht="61.2" hidden="1" x14ac:dyDescent="0.3">
      <c r="A58" s="158" t="s">
        <v>63</v>
      </c>
      <c r="B58" s="159" t="s">
        <v>64</v>
      </c>
      <c r="C58" s="159" t="s">
        <v>65</v>
      </c>
      <c r="D58" s="159" t="s">
        <v>66</v>
      </c>
      <c r="E58" s="160" t="s">
        <v>30</v>
      </c>
      <c r="F58" s="166" t="s">
        <v>32</v>
      </c>
      <c r="G58" s="166"/>
      <c r="H58" s="160" t="s">
        <v>30</v>
      </c>
      <c r="I58" s="167">
        <v>192194.21</v>
      </c>
      <c r="J58" s="167"/>
      <c r="K58" s="163" t="s">
        <v>25</v>
      </c>
      <c r="L58" s="164">
        <v>415882.23999999999</v>
      </c>
    </row>
    <row r="59" spans="1:12" ht="81.599999999999994" hidden="1" x14ac:dyDescent="0.3">
      <c r="A59" s="158" t="s">
        <v>63</v>
      </c>
      <c r="B59" s="159" t="s">
        <v>330</v>
      </c>
      <c r="C59" s="159" t="s">
        <v>331</v>
      </c>
      <c r="D59" s="159" t="s">
        <v>66</v>
      </c>
      <c r="E59" s="160" t="s">
        <v>30</v>
      </c>
      <c r="F59" s="166" t="s">
        <v>32</v>
      </c>
      <c r="G59" s="166"/>
      <c r="H59" s="160" t="s">
        <v>30</v>
      </c>
      <c r="I59" s="167">
        <v>79138.789999999994</v>
      </c>
      <c r="J59" s="167"/>
      <c r="K59" s="163" t="s">
        <v>25</v>
      </c>
      <c r="L59" s="164">
        <v>336743.45</v>
      </c>
    </row>
    <row r="60" spans="1:12" ht="71.400000000000006" hidden="1" x14ac:dyDescent="0.3">
      <c r="A60" s="158" t="s">
        <v>332</v>
      </c>
      <c r="B60" s="159" t="s">
        <v>333</v>
      </c>
      <c r="C60" s="159" t="s">
        <v>334</v>
      </c>
      <c r="D60" s="159" t="s">
        <v>335</v>
      </c>
      <c r="E60" s="160" t="s">
        <v>30</v>
      </c>
      <c r="F60" s="161">
        <v>15820.17</v>
      </c>
      <c r="G60" s="161"/>
      <c r="H60" s="160" t="s">
        <v>31</v>
      </c>
      <c r="I60" s="162" t="s">
        <v>32</v>
      </c>
      <c r="J60" s="162"/>
      <c r="K60" s="163" t="s">
        <v>25</v>
      </c>
      <c r="L60" s="164">
        <v>352563.62</v>
      </c>
    </row>
    <row r="61" spans="1:12" ht="61.2" hidden="1" x14ac:dyDescent="0.3">
      <c r="A61" s="158" t="s">
        <v>332</v>
      </c>
      <c r="B61" s="159" t="s">
        <v>336</v>
      </c>
      <c r="C61" s="159" t="s">
        <v>151</v>
      </c>
      <c r="D61" s="159" t="s">
        <v>334</v>
      </c>
      <c r="E61" s="160" t="s">
        <v>30</v>
      </c>
      <c r="F61" s="166" t="s">
        <v>32</v>
      </c>
      <c r="G61" s="166"/>
      <c r="H61" s="160" t="s">
        <v>30</v>
      </c>
      <c r="I61" s="167">
        <v>11925.5</v>
      </c>
      <c r="J61" s="167"/>
      <c r="K61" s="163" t="s">
        <v>25</v>
      </c>
      <c r="L61" s="164">
        <v>340638.12</v>
      </c>
    </row>
    <row r="62" spans="1:12" ht="81.599999999999994" hidden="1" x14ac:dyDescent="0.3">
      <c r="A62" s="158" t="s">
        <v>332</v>
      </c>
      <c r="B62" s="159" t="s">
        <v>337</v>
      </c>
      <c r="C62" s="159" t="s">
        <v>338</v>
      </c>
      <c r="D62" s="159" t="s">
        <v>334</v>
      </c>
      <c r="E62" s="160" t="s">
        <v>30</v>
      </c>
      <c r="F62" s="166" t="s">
        <v>32</v>
      </c>
      <c r="G62" s="166"/>
      <c r="H62" s="160" t="s">
        <v>30</v>
      </c>
      <c r="I62" s="167">
        <v>3894.67</v>
      </c>
      <c r="J62" s="167"/>
      <c r="K62" s="163" t="s">
        <v>25</v>
      </c>
      <c r="L62" s="164">
        <v>336743.45</v>
      </c>
    </row>
    <row r="63" spans="1:12" ht="81.599999999999994" hidden="1" x14ac:dyDescent="0.3">
      <c r="A63" s="158" t="s">
        <v>67</v>
      </c>
      <c r="B63" s="159" t="s">
        <v>339</v>
      </c>
      <c r="C63" s="159" t="s">
        <v>192</v>
      </c>
      <c r="D63" s="159" t="s">
        <v>340</v>
      </c>
      <c r="E63" s="160" t="s">
        <v>30</v>
      </c>
      <c r="F63" s="161">
        <v>3707</v>
      </c>
      <c r="G63" s="161"/>
      <c r="H63" s="160" t="s">
        <v>31</v>
      </c>
      <c r="I63" s="162" t="s">
        <v>32</v>
      </c>
      <c r="J63" s="162"/>
      <c r="K63" s="163" t="s">
        <v>25</v>
      </c>
      <c r="L63" s="164">
        <v>340450.45</v>
      </c>
    </row>
    <row r="64" spans="1:12" ht="91.8" hidden="1" x14ac:dyDescent="0.3">
      <c r="A64" s="158" t="s">
        <v>67</v>
      </c>
      <c r="B64" s="159" t="s">
        <v>190</v>
      </c>
      <c r="C64" s="159" t="s">
        <v>191</v>
      </c>
      <c r="D64" s="159" t="s">
        <v>192</v>
      </c>
      <c r="E64" s="160" t="s">
        <v>30</v>
      </c>
      <c r="F64" s="166" t="s">
        <v>32</v>
      </c>
      <c r="G64" s="166"/>
      <c r="H64" s="160" t="s">
        <v>30</v>
      </c>
      <c r="I64" s="167">
        <v>1871.83</v>
      </c>
      <c r="J64" s="167"/>
      <c r="K64" s="163" t="s">
        <v>25</v>
      </c>
      <c r="L64" s="164">
        <v>338578.62</v>
      </c>
    </row>
    <row r="65" spans="1:12" ht="91.8" hidden="1" x14ac:dyDescent="0.3">
      <c r="A65" s="158" t="s">
        <v>67</v>
      </c>
      <c r="B65" s="159" t="s">
        <v>341</v>
      </c>
      <c r="C65" s="159" t="s">
        <v>342</v>
      </c>
      <c r="D65" s="159" t="s">
        <v>192</v>
      </c>
      <c r="E65" s="160" t="s">
        <v>30</v>
      </c>
      <c r="F65" s="166" t="s">
        <v>32</v>
      </c>
      <c r="G65" s="166"/>
      <c r="H65" s="160" t="s">
        <v>30</v>
      </c>
      <c r="I65" s="167">
        <v>1835.17</v>
      </c>
      <c r="J65" s="167"/>
      <c r="K65" s="163" t="s">
        <v>25</v>
      </c>
      <c r="L65" s="164">
        <v>336743.45</v>
      </c>
    </row>
    <row r="66" spans="1:12" ht="71.400000000000006" hidden="1" x14ac:dyDescent="0.3">
      <c r="A66" s="158" t="s">
        <v>256</v>
      </c>
      <c r="B66" s="159" t="s">
        <v>343</v>
      </c>
      <c r="C66" s="159" t="s">
        <v>259</v>
      </c>
      <c r="D66" s="159" t="s">
        <v>344</v>
      </c>
      <c r="E66" s="160" t="s">
        <v>30</v>
      </c>
      <c r="F66" s="161">
        <v>249660</v>
      </c>
      <c r="G66" s="161"/>
      <c r="H66" s="160" t="s">
        <v>31</v>
      </c>
      <c r="I66" s="162" t="s">
        <v>32</v>
      </c>
      <c r="J66" s="162"/>
      <c r="K66" s="163" t="s">
        <v>25</v>
      </c>
      <c r="L66" s="164">
        <v>586403.44999999995</v>
      </c>
    </row>
    <row r="67" spans="1:12" ht="81.599999999999994" hidden="1" x14ac:dyDescent="0.3">
      <c r="A67" s="158" t="s">
        <v>256</v>
      </c>
      <c r="B67" s="159" t="s">
        <v>345</v>
      </c>
      <c r="C67" s="159" t="s">
        <v>346</v>
      </c>
      <c r="D67" s="159" t="s">
        <v>347</v>
      </c>
      <c r="E67" s="160" t="s">
        <v>30</v>
      </c>
      <c r="F67" s="165">
        <v>100.5</v>
      </c>
      <c r="G67" s="165"/>
      <c r="H67" s="160" t="s">
        <v>31</v>
      </c>
      <c r="I67" s="162" t="s">
        <v>32</v>
      </c>
      <c r="J67" s="162"/>
      <c r="K67" s="163" t="s">
        <v>25</v>
      </c>
      <c r="L67" s="164">
        <v>586503.94999999995</v>
      </c>
    </row>
    <row r="68" spans="1:12" ht="81.599999999999994" hidden="1" x14ac:dyDescent="0.3">
      <c r="A68" s="158" t="s">
        <v>256</v>
      </c>
      <c r="B68" s="159" t="s">
        <v>345</v>
      </c>
      <c r="C68" s="159" t="s">
        <v>348</v>
      </c>
      <c r="D68" s="159" t="s">
        <v>347</v>
      </c>
      <c r="E68" s="160" t="s">
        <v>30</v>
      </c>
      <c r="F68" s="165">
        <v>100.3</v>
      </c>
      <c r="G68" s="165"/>
      <c r="H68" s="160" t="s">
        <v>31</v>
      </c>
      <c r="I68" s="162" t="s">
        <v>32</v>
      </c>
      <c r="J68" s="162"/>
      <c r="K68" s="163" t="s">
        <v>25</v>
      </c>
      <c r="L68" s="164">
        <v>586604.25</v>
      </c>
    </row>
    <row r="69" spans="1:12" ht="71.400000000000006" hidden="1" x14ac:dyDescent="0.3">
      <c r="A69" s="158" t="s">
        <v>256</v>
      </c>
      <c r="B69" s="159" t="s">
        <v>349</v>
      </c>
      <c r="C69" s="159" t="s">
        <v>259</v>
      </c>
      <c r="D69" s="159" t="s">
        <v>350</v>
      </c>
      <c r="E69" s="160" t="s">
        <v>30</v>
      </c>
      <c r="F69" s="161">
        <v>69934.5</v>
      </c>
      <c r="G69" s="161"/>
      <c r="H69" s="160" t="s">
        <v>31</v>
      </c>
      <c r="I69" s="162" t="s">
        <v>32</v>
      </c>
      <c r="J69" s="162"/>
      <c r="K69" s="163" t="s">
        <v>25</v>
      </c>
      <c r="L69" s="164">
        <v>656538.75</v>
      </c>
    </row>
    <row r="70" spans="1:12" ht="71.400000000000006" hidden="1" x14ac:dyDescent="0.3">
      <c r="A70" s="158" t="s">
        <v>256</v>
      </c>
      <c r="B70" s="159" t="s">
        <v>351</v>
      </c>
      <c r="C70" s="159" t="s">
        <v>352</v>
      </c>
      <c r="D70" s="159" t="s">
        <v>259</v>
      </c>
      <c r="E70" s="160" t="s">
        <v>30</v>
      </c>
      <c r="F70" s="166" t="s">
        <v>32</v>
      </c>
      <c r="G70" s="166"/>
      <c r="H70" s="160" t="s">
        <v>30</v>
      </c>
      <c r="I70" s="167">
        <v>262030.11</v>
      </c>
      <c r="J70" s="167"/>
      <c r="K70" s="163" t="s">
        <v>25</v>
      </c>
      <c r="L70" s="164">
        <v>394508.64</v>
      </c>
    </row>
    <row r="71" spans="1:12" ht="71.400000000000006" hidden="1" x14ac:dyDescent="0.3">
      <c r="A71" s="158" t="s">
        <v>256</v>
      </c>
      <c r="B71" s="159" t="s">
        <v>257</v>
      </c>
      <c r="C71" s="159" t="s">
        <v>258</v>
      </c>
      <c r="D71" s="159" t="s">
        <v>259</v>
      </c>
      <c r="E71" s="160" t="s">
        <v>30</v>
      </c>
      <c r="F71" s="166" t="s">
        <v>32</v>
      </c>
      <c r="G71" s="166"/>
      <c r="H71" s="160" t="s">
        <v>30</v>
      </c>
      <c r="I71" s="167">
        <v>1495.18</v>
      </c>
      <c r="J71" s="167"/>
      <c r="K71" s="163" t="s">
        <v>25</v>
      </c>
      <c r="L71" s="164">
        <v>393013.46</v>
      </c>
    </row>
    <row r="72" spans="1:12" ht="81.599999999999994" hidden="1" x14ac:dyDescent="0.3">
      <c r="A72" s="158" t="s">
        <v>256</v>
      </c>
      <c r="B72" s="159" t="s">
        <v>353</v>
      </c>
      <c r="C72" s="159" t="s">
        <v>354</v>
      </c>
      <c r="D72" s="159" t="s">
        <v>259</v>
      </c>
      <c r="E72" s="160" t="s">
        <v>30</v>
      </c>
      <c r="F72" s="166" t="s">
        <v>32</v>
      </c>
      <c r="G72" s="166"/>
      <c r="H72" s="160" t="s">
        <v>30</v>
      </c>
      <c r="I72" s="167">
        <v>56069.21</v>
      </c>
      <c r="J72" s="167"/>
      <c r="K72" s="163" t="s">
        <v>25</v>
      </c>
      <c r="L72" s="164">
        <v>336944.25</v>
      </c>
    </row>
    <row r="73" spans="1:12" ht="71.400000000000006" hidden="1" x14ac:dyDescent="0.3">
      <c r="A73" s="158" t="s">
        <v>193</v>
      </c>
      <c r="B73" s="159" t="s">
        <v>355</v>
      </c>
      <c r="C73" s="159" t="s">
        <v>356</v>
      </c>
      <c r="D73" s="159" t="s">
        <v>357</v>
      </c>
      <c r="E73" s="160" t="s">
        <v>30</v>
      </c>
      <c r="F73" s="165">
        <v>208.4</v>
      </c>
      <c r="G73" s="165"/>
      <c r="H73" s="160" t="s">
        <v>358</v>
      </c>
      <c r="I73" s="162" t="s">
        <v>32</v>
      </c>
      <c r="J73" s="162"/>
      <c r="K73" s="163" t="s">
        <v>25</v>
      </c>
      <c r="L73" s="164">
        <v>337152.65</v>
      </c>
    </row>
    <row r="74" spans="1:12" ht="71.400000000000006" hidden="1" x14ac:dyDescent="0.3">
      <c r="A74" s="158" t="s">
        <v>193</v>
      </c>
      <c r="B74" s="159" t="s">
        <v>355</v>
      </c>
      <c r="C74" s="159" t="s">
        <v>356</v>
      </c>
      <c r="D74" s="159" t="s">
        <v>357</v>
      </c>
      <c r="E74" s="160" t="s">
        <v>30</v>
      </c>
      <c r="F74" s="165">
        <v>106.2</v>
      </c>
      <c r="G74" s="165"/>
      <c r="H74" s="160" t="s">
        <v>358</v>
      </c>
      <c r="I74" s="162" t="s">
        <v>32</v>
      </c>
      <c r="J74" s="162"/>
      <c r="K74" s="163" t="s">
        <v>25</v>
      </c>
      <c r="L74" s="164">
        <v>337258.85</v>
      </c>
    </row>
    <row r="75" spans="1:12" ht="61.2" hidden="1" x14ac:dyDescent="0.3">
      <c r="A75" s="158" t="s">
        <v>193</v>
      </c>
      <c r="B75" s="159" t="s">
        <v>355</v>
      </c>
      <c r="C75" s="159" t="s">
        <v>131</v>
      </c>
      <c r="D75" s="159" t="s">
        <v>357</v>
      </c>
      <c r="E75" s="160" t="s">
        <v>30</v>
      </c>
      <c r="F75" s="165">
        <v>153.97999999999999</v>
      </c>
      <c r="G75" s="165"/>
      <c r="H75" s="160" t="s">
        <v>358</v>
      </c>
      <c r="I75" s="162" t="s">
        <v>32</v>
      </c>
      <c r="J75" s="162"/>
      <c r="K75" s="163" t="s">
        <v>25</v>
      </c>
      <c r="L75" s="164">
        <v>337412.83</v>
      </c>
    </row>
    <row r="76" spans="1:12" ht="61.2" hidden="1" x14ac:dyDescent="0.3">
      <c r="A76" s="158" t="s">
        <v>193</v>
      </c>
      <c r="B76" s="159" t="s">
        <v>355</v>
      </c>
      <c r="C76" s="159" t="s">
        <v>359</v>
      </c>
      <c r="D76" s="159" t="s">
        <v>357</v>
      </c>
      <c r="E76" s="160" t="s">
        <v>30</v>
      </c>
      <c r="F76" s="165">
        <v>10.62</v>
      </c>
      <c r="G76" s="165"/>
      <c r="H76" s="160" t="s">
        <v>358</v>
      </c>
      <c r="I76" s="162" t="s">
        <v>32</v>
      </c>
      <c r="J76" s="162"/>
      <c r="K76" s="163" t="s">
        <v>25</v>
      </c>
      <c r="L76" s="164">
        <v>337423.45</v>
      </c>
    </row>
    <row r="77" spans="1:12" ht="71.400000000000006" hidden="1" x14ac:dyDescent="0.3">
      <c r="A77" s="158" t="s">
        <v>193</v>
      </c>
      <c r="B77" s="159" t="s">
        <v>355</v>
      </c>
      <c r="C77" s="159" t="s">
        <v>356</v>
      </c>
      <c r="D77" s="159" t="s">
        <v>357</v>
      </c>
      <c r="E77" s="160" t="s">
        <v>30</v>
      </c>
      <c r="F77" s="165">
        <v>54.9</v>
      </c>
      <c r="G77" s="165"/>
      <c r="H77" s="160" t="s">
        <v>358</v>
      </c>
      <c r="I77" s="162" t="s">
        <v>32</v>
      </c>
      <c r="J77" s="162"/>
      <c r="K77" s="163" t="s">
        <v>25</v>
      </c>
      <c r="L77" s="164">
        <v>337478.35</v>
      </c>
    </row>
    <row r="78" spans="1:12" ht="61.2" hidden="1" x14ac:dyDescent="0.3">
      <c r="A78" s="158" t="s">
        <v>193</v>
      </c>
      <c r="B78" s="159" t="s">
        <v>355</v>
      </c>
      <c r="C78" s="159" t="s">
        <v>359</v>
      </c>
      <c r="D78" s="159" t="s">
        <v>357</v>
      </c>
      <c r="E78" s="160" t="s">
        <v>30</v>
      </c>
      <c r="F78" s="165">
        <v>10.9</v>
      </c>
      <c r="G78" s="165"/>
      <c r="H78" s="160" t="s">
        <v>358</v>
      </c>
      <c r="I78" s="162" t="s">
        <v>32</v>
      </c>
      <c r="J78" s="162"/>
      <c r="K78" s="163" t="s">
        <v>25</v>
      </c>
      <c r="L78" s="164">
        <v>337489.25</v>
      </c>
    </row>
    <row r="79" spans="1:12" ht="61.2" hidden="1" x14ac:dyDescent="0.3">
      <c r="A79" s="158" t="s">
        <v>193</v>
      </c>
      <c r="B79" s="159" t="s">
        <v>355</v>
      </c>
      <c r="C79" s="159" t="s">
        <v>129</v>
      </c>
      <c r="D79" s="159" t="s">
        <v>357</v>
      </c>
      <c r="E79" s="160" t="s">
        <v>30</v>
      </c>
      <c r="F79" s="165">
        <v>273.89999999999998</v>
      </c>
      <c r="G79" s="165"/>
      <c r="H79" s="160" t="s">
        <v>358</v>
      </c>
      <c r="I79" s="162" t="s">
        <v>32</v>
      </c>
      <c r="J79" s="162"/>
      <c r="K79" s="163" t="s">
        <v>25</v>
      </c>
      <c r="L79" s="164">
        <v>337763.15</v>
      </c>
    </row>
    <row r="80" spans="1:12" ht="61.2" hidden="1" x14ac:dyDescent="0.3">
      <c r="A80" s="158" t="s">
        <v>193</v>
      </c>
      <c r="B80" s="159" t="s">
        <v>355</v>
      </c>
      <c r="C80" s="159" t="s">
        <v>360</v>
      </c>
      <c r="D80" s="159" t="s">
        <v>357</v>
      </c>
      <c r="E80" s="160" t="s">
        <v>30</v>
      </c>
      <c r="F80" s="165">
        <v>699</v>
      </c>
      <c r="G80" s="165"/>
      <c r="H80" s="160" t="s">
        <v>358</v>
      </c>
      <c r="I80" s="162" t="s">
        <v>32</v>
      </c>
      <c r="J80" s="162"/>
      <c r="K80" s="163" t="s">
        <v>25</v>
      </c>
      <c r="L80" s="164">
        <v>338462.15</v>
      </c>
    </row>
    <row r="81" spans="1:12" ht="71.400000000000006" hidden="1" x14ac:dyDescent="0.3">
      <c r="A81" s="158" t="s">
        <v>193</v>
      </c>
      <c r="B81" s="159" t="s">
        <v>355</v>
      </c>
      <c r="C81" s="159" t="s">
        <v>361</v>
      </c>
      <c r="D81" s="159" t="s">
        <v>357</v>
      </c>
      <c r="E81" s="160" t="s">
        <v>30</v>
      </c>
      <c r="F81" s="165">
        <v>82</v>
      </c>
      <c r="G81" s="165"/>
      <c r="H81" s="160" t="s">
        <v>358</v>
      </c>
      <c r="I81" s="162" t="s">
        <v>32</v>
      </c>
      <c r="J81" s="162"/>
      <c r="K81" s="163" t="s">
        <v>25</v>
      </c>
      <c r="L81" s="164">
        <v>338544.15</v>
      </c>
    </row>
    <row r="82" spans="1:12" ht="71.400000000000006" hidden="1" x14ac:dyDescent="0.3">
      <c r="A82" s="158" t="s">
        <v>193</v>
      </c>
      <c r="B82" s="159" t="s">
        <v>355</v>
      </c>
      <c r="C82" s="159" t="s">
        <v>361</v>
      </c>
      <c r="D82" s="159" t="s">
        <v>357</v>
      </c>
      <c r="E82" s="160" t="s">
        <v>30</v>
      </c>
      <c r="F82" s="165">
        <v>120</v>
      </c>
      <c r="G82" s="165"/>
      <c r="H82" s="160" t="s">
        <v>358</v>
      </c>
      <c r="I82" s="162" t="s">
        <v>32</v>
      </c>
      <c r="J82" s="162"/>
      <c r="K82" s="163" t="s">
        <v>25</v>
      </c>
      <c r="L82" s="164">
        <v>338664.15</v>
      </c>
    </row>
    <row r="83" spans="1:12" ht="61.2" hidden="1" x14ac:dyDescent="0.3">
      <c r="A83" s="158" t="s">
        <v>193</v>
      </c>
      <c r="B83" s="159" t="s">
        <v>355</v>
      </c>
      <c r="C83" s="159" t="s">
        <v>362</v>
      </c>
      <c r="D83" s="159" t="s">
        <v>357</v>
      </c>
      <c r="E83" s="160" t="s">
        <v>30</v>
      </c>
      <c r="F83" s="165">
        <v>420</v>
      </c>
      <c r="G83" s="165"/>
      <c r="H83" s="160" t="s">
        <v>358</v>
      </c>
      <c r="I83" s="162" t="s">
        <v>32</v>
      </c>
      <c r="J83" s="162"/>
      <c r="K83" s="163" t="s">
        <v>25</v>
      </c>
      <c r="L83" s="164">
        <v>339084.15</v>
      </c>
    </row>
    <row r="84" spans="1:12" ht="61.2" hidden="1" x14ac:dyDescent="0.3">
      <c r="A84" s="158" t="s">
        <v>193</v>
      </c>
      <c r="B84" s="159" t="s">
        <v>355</v>
      </c>
      <c r="C84" s="159" t="s">
        <v>363</v>
      </c>
      <c r="D84" s="159" t="s">
        <v>357</v>
      </c>
      <c r="E84" s="160" t="s">
        <v>30</v>
      </c>
      <c r="F84" s="165">
        <v>202</v>
      </c>
      <c r="G84" s="165"/>
      <c r="H84" s="160" t="s">
        <v>358</v>
      </c>
      <c r="I84" s="162" t="s">
        <v>32</v>
      </c>
      <c r="J84" s="162"/>
      <c r="K84" s="163" t="s">
        <v>25</v>
      </c>
      <c r="L84" s="164">
        <v>339286.15</v>
      </c>
    </row>
    <row r="85" spans="1:12" ht="81.599999999999994" hidden="1" x14ac:dyDescent="0.3">
      <c r="A85" s="158" t="s">
        <v>71</v>
      </c>
      <c r="B85" s="159" t="s">
        <v>364</v>
      </c>
      <c r="C85" s="159" t="s">
        <v>365</v>
      </c>
      <c r="D85" s="159" t="s">
        <v>366</v>
      </c>
      <c r="E85" s="160" t="s">
        <v>30</v>
      </c>
      <c r="F85" s="161">
        <v>8707.5</v>
      </c>
      <c r="G85" s="161"/>
      <c r="H85" s="160" t="s">
        <v>31</v>
      </c>
      <c r="I85" s="162" t="s">
        <v>32</v>
      </c>
      <c r="J85" s="162"/>
      <c r="K85" s="163" t="s">
        <v>25</v>
      </c>
      <c r="L85" s="164">
        <v>347993.65</v>
      </c>
    </row>
    <row r="86" spans="1:12" ht="81.599999999999994" hidden="1" x14ac:dyDescent="0.3">
      <c r="A86" s="158" t="s">
        <v>71</v>
      </c>
      <c r="B86" s="159" t="s">
        <v>364</v>
      </c>
      <c r="C86" s="159" t="s">
        <v>367</v>
      </c>
      <c r="D86" s="159" t="s">
        <v>366</v>
      </c>
      <c r="E86" s="160" t="s">
        <v>30</v>
      </c>
      <c r="F86" s="161">
        <v>1063</v>
      </c>
      <c r="G86" s="161"/>
      <c r="H86" s="160" t="s">
        <v>31</v>
      </c>
      <c r="I86" s="162" t="s">
        <v>32</v>
      </c>
      <c r="J86" s="162"/>
      <c r="K86" s="163" t="s">
        <v>25</v>
      </c>
      <c r="L86" s="164">
        <v>349056.65</v>
      </c>
    </row>
    <row r="87" spans="1:12" ht="81.599999999999994" hidden="1" x14ac:dyDescent="0.3">
      <c r="A87" s="158" t="s">
        <v>71</v>
      </c>
      <c r="B87" s="159" t="s">
        <v>364</v>
      </c>
      <c r="C87" s="159" t="s">
        <v>368</v>
      </c>
      <c r="D87" s="159" t="s">
        <v>366</v>
      </c>
      <c r="E87" s="160" t="s">
        <v>30</v>
      </c>
      <c r="F87" s="161">
        <v>14962.52</v>
      </c>
      <c r="G87" s="161"/>
      <c r="H87" s="160" t="s">
        <v>31</v>
      </c>
      <c r="I87" s="162" t="s">
        <v>32</v>
      </c>
      <c r="J87" s="162"/>
      <c r="K87" s="163" t="s">
        <v>25</v>
      </c>
      <c r="L87" s="164">
        <v>364019.17</v>
      </c>
    </row>
    <row r="88" spans="1:12" ht="81.599999999999994" hidden="1" x14ac:dyDescent="0.3">
      <c r="A88" s="158" t="s">
        <v>71</v>
      </c>
      <c r="B88" s="159" t="s">
        <v>364</v>
      </c>
      <c r="C88" s="159" t="s">
        <v>369</v>
      </c>
      <c r="D88" s="159" t="s">
        <v>366</v>
      </c>
      <c r="E88" s="160" t="s">
        <v>30</v>
      </c>
      <c r="F88" s="161">
        <v>2716.67</v>
      </c>
      <c r="G88" s="161"/>
      <c r="H88" s="160" t="s">
        <v>31</v>
      </c>
      <c r="I88" s="162" t="s">
        <v>32</v>
      </c>
      <c r="J88" s="162"/>
      <c r="K88" s="163" t="s">
        <v>25</v>
      </c>
      <c r="L88" s="164">
        <v>366735.84</v>
      </c>
    </row>
    <row r="89" spans="1:12" ht="81.599999999999994" hidden="1" x14ac:dyDescent="0.3">
      <c r="A89" s="158" t="s">
        <v>71</v>
      </c>
      <c r="B89" s="159" t="s">
        <v>364</v>
      </c>
      <c r="C89" s="159" t="s">
        <v>239</v>
      </c>
      <c r="D89" s="159" t="s">
        <v>366</v>
      </c>
      <c r="E89" s="160" t="s">
        <v>30</v>
      </c>
      <c r="F89" s="161">
        <v>3939.17</v>
      </c>
      <c r="G89" s="161"/>
      <c r="H89" s="160" t="s">
        <v>31</v>
      </c>
      <c r="I89" s="162" t="s">
        <v>32</v>
      </c>
      <c r="J89" s="162"/>
      <c r="K89" s="163" t="s">
        <v>25</v>
      </c>
      <c r="L89" s="164">
        <v>370675.01</v>
      </c>
    </row>
    <row r="90" spans="1:12" ht="81.599999999999994" hidden="1" x14ac:dyDescent="0.3">
      <c r="A90" s="158" t="s">
        <v>71</v>
      </c>
      <c r="B90" s="159" t="s">
        <v>364</v>
      </c>
      <c r="C90" s="159" t="s">
        <v>241</v>
      </c>
      <c r="D90" s="159" t="s">
        <v>366</v>
      </c>
      <c r="E90" s="160" t="s">
        <v>30</v>
      </c>
      <c r="F90" s="161">
        <v>19800</v>
      </c>
      <c r="G90" s="161"/>
      <c r="H90" s="160" t="s">
        <v>31</v>
      </c>
      <c r="I90" s="162" t="s">
        <v>32</v>
      </c>
      <c r="J90" s="162"/>
      <c r="K90" s="163" t="s">
        <v>25</v>
      </c>
      <c r="L90" s="164">
        <v>390475.01</v>
      </c>
    </row>
    <row r="91" spans="1:12" ht="81.599999999999994" hidden="1" x14ac:dyDescent="0.3">
      <c r="A91" s="158" t="s">
        <v>71</v>
      </c>
      <c r="B91" s="159" t="s">
        <v>364</v>
      </c>
      <c r="C91" s="159" t="s">
        <v>370</v>
      </c>
      <c r="D91" s="159" t="s">
        <v>366</v>
      </c>
      <c r="E91" s="160" t="s">
        <v>30</v>
      </c>
      <c r="F91" s="161">
        <v>6482.08</v>
      </c>
      <c r="G91" s="161"/>
      <c r="H91" s="160" t="s">
        <v>31</v>
      </c>
      <c r="I91" s="162" t="s">
        <v>32</v>
      </c>
      <c r="J91" s="162"/>
      <c r="K91" s="163" t="s">
        <v>25</v>
      </c>
      <c r="L91" s="164">
        <v>396957.09</v>
      </c>
    </row>
    <row r="92" spans="1:12" ht="81.599999999999994" hidden="1" x14ac:dyDescent="0.3">
      <c r="A92" s="158" t="s">
        <v>71</v>
      </c>
      <c r="B92" s="159" t="s">
        <v>364</v>
      </c>
      <c r="C92" s="159" t="s">
        <v>371</v>
      </c>
      <c r="D92" s="159" t="s">
        <v>366</v>
      </c>
      <c r="E92" s="160" t="s">
        <v>30</v>
      </c>
      <c r="F92" s="161">
        <v>1525</v>
      </c>
      <c r="G92" s="161"/>
      <c r="H92" s="160" t="s">
        <v>31</v>
      </c>
      <c r="I92" s="162" t="s">
        <v>32</v>
      </c>
      <c r="J92" s="162"/>
      <c r="K92" s="163" t="s">
        <v>25</v>
      </c>
      <c r="L92" s="164">
        <v>398482.09</v>
      </c>
    </row>
    <row r="93" spans="1:12" ht="81.599999999999994" hidden="1" x14ac:dyDescent="0.3">
      <c r="A93" s="158" t="s">
        <v>71</v>
      </c>
      <c r="B93" s="159" t="s">
        <v>364</v>
      </c>
      <c r="C93" s="159" t="s">
        <v>243</v>
      </c>
      <c r="D93" s="159" t="s">
        <v>366</v>
      </c>
      <c r="E93" s="160" t="s">
        <v>30</v>
      </c>
      <c r="F93" s="161">
        <v>14792.5</v>
      </c>
      <c r="G93" s="161"/>
      <c r="H93" s="160" t="s">
        <v>31</v>
      </c>
      <c r="I93" s="162" t="s">
        <v>32</v>
      </c>
      <c r="J93" s="162"/>
      <c r="K93" s="163" t="s">
        <v>25</v>
      </c>
      <c r="L93" s="164">
        <v>413274.59</v>
      </c>
    </row>
    <row r="94" spans="1:12" ht="81.599999999999994" hidden="1" x14ac:dyDescent="0.3">
      <c r="A94" s="158" t="s">
        <v>71</v>
      </c>
      <c r="B94" s="159" t="s">
        <v>364</v>
      </c>
      <c r="C94" s="159" t="s">
        <v>372</v>
      </c>
      <c r="D94" s="159" t="s">
        <v>366</v>
      </c>
      <c r="E94" s="160" t="s">
        <v>30</v>
      </c>
      <c r="F94" s="165">
        <v>915</v>
      </c>
      <c r="G94" s="165"/>
      <c r="H94" s="160" t="s">
        <v>31</v>
      </c>
      <c r="I94" s="162" t="s">
        <v>32</v>
      </c>
      <c r="J94" s="162"/>
      <c r="K94" s="163" t="s">
        <v>25</v>
      </c>
      <c r="L94" s="164">
        <v>414189.59</v>
      </c>
    </row>
    <row r="95" spans="1:12" ht="81.599999999999994" hidden="1" x14ac:dyDescent="0.3">
      <c r="A95" s="158" t="s">
        <v>71</v>
      </c>
      <c r="B95" s="159" t="s">
        <v>364</v>
      </c>
      <c r="C95" s="159" t="s">
        <v>373</v>
      </c>
      <c r="D95" s="159" t="s">
        <v>366</v>
      </c>
      <c r="E95" s="160" t="s">
        <v>30</v>
      </c>
      <c r="F95" s="161">
        <v>7402.5</v>
      </c>
      <c r="G95" s="161"/>
      <c r="H95" s="160" t="s">
        <v>31</v>
      </c>
      <c r="I95" s="162" t="s">
        <v>32</v>
      </c>
      <c r="J95" s="162"/>
      <c r="K95" s="163" t="s">
        <v>25</v>
      </c>
      <c r="L95" s="164">
        <v>421592.09</v>
      </c>
    </row>
    <row r="96" spans="1:12" ht="81.599999999999994" hidden="1" x14ac:dyDescent="0.3">
      <c r="A96" s="158" t="s">
        <v>71</v>
      </c>
      <c r="B96" s="159" t="s">
        <v>364</v>
      </c>
      <c r="C96" s="159" t="s">
        <v>374</v>
      </c>
      <c r="D96" s="159" t="s">
        <v>366</v>
      </c>
      <c r="E96" s="160" t="s">
        <v>30</v>
      </c>
      <c r="F96" s="161">
        <v>10398.92</v>
      </c>
      <c r="G96" s="161"/>
      <c r="H96" s="160" t="s">
        <v>31</v>
      </c>
      <c r="I96" s="162" t="s">
        <v>32</v>
      </c>
      <c r="J96" s="162"/>
      <c r="K96" s="163" t="s">
        <v>25</v>
      </c>
      <c r="L96" s="164">
        <v>431991.01</v>
      </c>
    </row>
    <row r="97" spans="1:12" ht="81.599999999999994" hidden="1" x14ac:dyDescent="0.3">
      <c r="A97" s="158" t="s">
        <v>71</v>
      </c>
      <c r="B97" s="159" t="s">
        <v>364</v>
      </c>
      <c r="C97" s="159" t="s">
        <v>375</v>
      </c>
      <c r="D97" s="159" t="s">
        <v>366</v>
      </c>
      <c r="E97" s="160" t="s">
        <v>30</v>
      </c>
      <c r="F97" s="161">
        <v>687386.62</v>
      </c>
      <c r="G97" s="161"/>
      <c r="H97" s="160" t="s">
        <v>31</v>
      </c>
      <c r="I97" s="162" t="s">
        <v>32</v>
      </c>
      <c r="J97" s="162"/>
      <c r="K97" s="163" t="s">
        <v>25</v>
      </c>
      <c r="L97" s="164">
        <v>1119377.6299999999</v>
      </c>
    </row>
    <row r="98" spans="1:12" ht="81.599999999999994" hidden="1" x14ac:dyDescent="0.3">
      <c r="A98" s="158" t="s">
        <v>71</v>
      </c>
      <c r="B98" s="159" t="s">
        <v>376</v>
      </c>
      <c r="C98" s="159" t="s">
        <v>365</v>
      </c>
      <c r="D98" s="159" t="s">
        <v>366</v>
      </c>
      <c r="E98" s="160" t="s">
        <v>30</v>
      </c>
      <c r="F98" s="165">
        <v>172.08</v>
      </c>
      <c r="G98" s="165"/>
      <c r="H98" s="160" t="s">
        <v>31</v>
      </c>
      <c r="I98" s="162" t="s">
        <v>32</v>
      </c>
      <c r="J98" s="162"/>
      <c r="K98" s="163" t="s">
        <v>25</v>
      </c>
      <c r="L98" s="164">
        <v>1119549.71</v>
      </c>
    </row>
    <row r="99" spans="1:12" ht="81.599999999999994" hidden="1" x14ac:dyDescent="0.3">
      <c r="A99" s="158" t="s">
        <v>71</v>
      </c>
      <c r="B99" s="159" t="s">
        <v>376</v>
      </c>
      <c r="C99" s="159" t="s">
        <v>367</v>
      </c>
      <c r="D99" s="159" t="s">
        <v>366</v>
      </c>
      <c r="E99" s="160" t="s">
        <v>30</v>
      </c>
      <c r="F99" s="165">
        <v>21.01</v>
      </c>
      <c r="G99" s="165"/>
      <c r="H99" s="160" t="s">
        <v>31</v>
      </c>
      <c r="I99" s="162" t="s">
        <v>32</v>
      </c>
      <c r="J99" s="162"/>
      <c r="K99" s="163" t="s">
        <v>25</v>
      </c>
      <c r="L99" s="164">
        <v>1119570.72</v>
      </c>
    </row>
    <row r="100" spans="1:12" ht="81.599999999999994" hidden="1" x14ac:dyDescent="0.3">
      <c r="A100" s="158" t="s">
        <v>71</v>
      </c>
      <c r="B100" s="159" t="s">
        <v>376</v>
      </c>
      <c r="C100" s="159" t="s">
        <v>368</v>
      </c>
      <c r="D100" s="159" t="s">
        <v>366</v>
      </c>
      <c r="E100" s="160" t="s">
        <v>30</v>
      </c>
      <c r="F100" s="165">
        <v>295.7</v>
      </c>
      <c r="G100" s="165"/>
      <c r="H100" s="160" t="s">
        <v>31</v>
      </c>
      <c r="I100" s="162" t="s">
        <v>32</v>
      </c>
      <c r="J100" s="162"/>
      <c r="K100" s="163" t="s">
        <v>25</v>
      </c>
      <c r="L100" s="164">
        <v>1119866.42</v>
      </c>
    </row>
    <row r="101" spans="1:12" ht="81.599999999999994" hidden="1" x14ac:dyDescent="0.3">
      <c r="A101" s="158" t="s">
        <v>71</v>
      </c>
      <c r="B101" s="159" t="s">
        <v>376</v>
      </c>
      <c r="C101" s="159" t="s">
        <v>369</v>
      </c>
      <c r="D101" s="159" t="s">
        <v>366</v>
      </c>
      <c r="E101" s="160" t="s">
        <v>30</v>
      </c>
      <c r="F101" s="165">
        <v>53.69</v>
      </c>
      <c r="G101" s="165"/>
      <c r="H101" s="160" t="s">
        <v>31</v>
      </c>
      <c r="I101" s="162" t="s">
        <v>32</v>
      </c>
      <c r="J101" s="162"/>
      <c r="K101" s="163" t="s">
        <v>25</v>
      </c>
      <c r="L101" s="164">
        <v>1119920.1100000001</v>
      </c>
    </row>
    <row r="102" spans="1:12" ht="81.599999999999994" hidden="1" x14ac:dyDescent="0.3">
      <c r="A102" s="158" t="s">
        <v>71</v>
      </c>
      <c r="B102" s="159" t="s">
        <v>376</v>
      </c>
      <c r="C102" s="159" t="s">
        <v>239</v>
      </c>
      <c r="D102" s="159" t="s">
        <v>366</v>
      </c>
      <c r="E102" s="160" t="s">
        <v>30</v>
      </c>
      <c r="F102" s="165">
        <v>77.849999999999994</v>
      </c>
      <c r="G102" s="165"/>
      <c r="H102" s="160" t="s">
        <v>31</v>
      </c>
      <c r="I102" s="162" t="s">
        <v>32</v>
      </c>
      <c r="J102" s="162"/>
      <c r="K102" s="163" t="s">
        <v>25</v>
      </c>
      <c r="L102" s="164">
        <v>1119997.96</v>
      </c>
    </row>
    <row r="103" spans="1:12" ht="81.599999999999994" hidden="1" x14ac:dyDescent="0.3">
      <c r="A103" s="158" t="s">
        <v>71</v>
      </c>
      <c r="B103" s="159" t="s">
        <v>376</v>
      </c>
      <c r="C103" s="159" t="s">
        <v>241</v>
      </c>
      <c r="D103" s="159" t="s">
        <v>366</v>
      </c>
      <c r="E103" s="160" t="s">
        <v>30</v>
      </c>
      <c r="F103" s="165">
        <v>391.3</v>
      </c>
      <c r="G103" s="165"/>
      <c r="H103" s="160" t="s">
        <v>31</v>
      </c>
      <c r="I103" s="162" t="s">
        <v>32</v>
      </c>
      <c r="J103" s="162"/>
      <c r="K103" s="163" t="s">
        <v>25</v>
      </c>
      <c r="L103" s="164">
        <v>1120389.26</v>
      </c>
    </row>
    <row r="104" spans="1:12" ht="81.599999999999994" hidden="1" x14ac:dyDescent="0.3">
      <c r="A104" s="158" t="s">
        <v>71</v>
      </c>
      <c r="B104" s="159" t="s">
        <v>376</v>
      </c>
      <c r="C104" s="159" t="s">
        <v>370</v>
      </c>
      <c r="D104" s="159" t="s">
        <v>366</v>
      </c>
      <c r="E104" s="160" t="s">
        <v>30</v>
      </c>
      <c r="F104" s="165">
        <v>128.1</v>
      </c>
      <c r="G104" s="165"/>
      <c r="H104" s="160" t="s">
        <v>31</v>
      </c>
      <c r="I104" s="162" t="s">
        <v>32</v>
      </c>
      <c r="J104" s="162"/>
      <c r="K104" s="163" t="s">
        <v>25</v>
      </c>
      <c r="L104" s="164">
        <v>1120517.3600000001</v>
      </c>
    </row>
    <row r="105" spans="1:12" ht="81.599999999999994" hidden="1" x14ac:dyDescent="0.3">
      <c r="A105" s="158" t="s">
        <v>71</v>
      </c>
      <c r="B105" s="159" t="s">
        <v>376</v>
      </c>
      <c r="C105" s="159" t="s">
        <v>371</v>
      </c>
      <c r="D105" s="159" t="s">
        <v>366</v>
      </c>
      <c r="E105" s="160" t="s">
        <v>30</v>
      </c>
      <c r="F105" s="165">
        <v>30.14</v>
      </c>
      <c r="G105" s="165"/>
      <c r="H105" s="160" t="s">
        <v>31</v>
      </c>
      <c r="I105" s="162" t="s">
        <v>32</v>
      </c>
      <c r="J105" s="162"/>
      <c r="K105" s="163" t="s">
        <v>25</v>
      </c>
      <c r="L105" s="164">
        <v>1120547.5</v>
      </c>
    </row>
    <row r="106" spans="1:12" ht="81.599999999999994" hidden="1" x14ac:dyDescent="0.3">
      <c r="A106" s="158" t="s">
        <v>71</v>
      </c>
      <c r="B106" s="159" t="s">
        <v>376</v>
      </c>
      <c r="C106" s="159" t="s">
        <v>243</v>
      </c>
      <c r="D106" s="159" t="s">
        <v>366</v>
      </c>
      <c r="E106" s="160" t="s">
        <v>30</v>
      </c>
      <c r="F106" s="165">
        <v>292.33999999999997</v>
      </c>
      <c r="G106" s="165"/>
      <c r="H106" s="160" t="s">
        <v>31</v>
      </c>
      <c r="I106" s="162" t="s">
        <v>32</v>
      </c>
      <c r="J106" s="162"/>
      <c r="K106" s="163" t="s">
        <v>25</v>
      </c>
      <c r="L106" s="164">
        <v>1120839.8400000001</v>
      </c>
    </row>
    <row r="107" spans="1:12" ht="81.599999999999994" hidden="1" x14ac:dyDescent="0.3">
      <c r="A107" s="158" t="s">
        <v>71</v>
      </c>
      <c r="B107" s="159" t="s">
        <v>376</v>
      </c>
      <c r="C107" s="159" t="s">
        <v>372</v>
      </c>
      <c r="D107" s="159" t="s">
        <v>366</v>
      </c>
      <c r="E107" s="160" t="s">
        <v>30</v>
      </c>
      <c r="F107" s="165">
        <v>18.079999999999998</v>
      </c>
      <c r="G107" s="165"/>
      <c r="H107" s="160" t="s">
        <v>31</v>
      </c>
      <c r="I107" s="162" t="s">
        <v>32</v>
      </c>
      <c r="J107" s="162"/>
      <c r="K107" s="163" t="s">
        <v>25</v>
      </c>
      <c r="L107" s="164">
        <v>1120857.92</v>
      </c>
    </row>
    <row r="108" spans="1:12" ht="81.599999999999994" hidden="1" x14ac:dyDescent="0.3">
      <c r="A108" s="158" t="s">
        <v>71</v>
      </c>
      <c r="B108" s="159" t="s">
        <v>376</v>
      </c>
      <c r="C108" s="159" t="s">
        <v>373</v>
      </c>
      <c r="D108" s="159" t="s">
        <v>366</v>
      </c>
      <c r="E108" s="160" t="s">
        <v>30</v>
      </c>
      <c r="F108" s="165">
        <v>146.29</v>
      </c>
      <c r="G108" s="165"/>
      <c r="H108" s="160" t="s">
        <v>31</v>
      </c>
      <c r="I108" s="162" t="s">
        <v>32</v>
      </c>
      <c r="J108" s="162"/>
      <c r="K108" s="163" t="s">
        <v>25</v>
      </c>
      <c r="L108" s="164">
        <v>1121004.21</v>
      </c>
    </row>
    <row r="109" spans="1:12" ht="81.599999999999994" hidden="1" x14ac:dyDescent="0.3">
      <c r="A109" s="158" t="s">
        <v>71</v>
      </c>
      <c r="B109" s="159" t="s">
        <v>376</v>
      </c>
      <c r="C109" s="159" t="s">
        <v>374</v>
      </c>
      <c r="D109" s="159" t="s">
        <v>366</v>
      </c>
      <c r="E109" s="160" t="s">
        <v>30</v>
      </c>
      <c r="F109" s="165">
        <v>205.51</v>
      </c>
      <c r="G109" s="165"/>
      <c r="H109" s="160" t="s">
        <v>31</v>
      </c>
      <c r="I109" s="162" t="s">
        <v>32</v>
      </c>
      <c r="J109" s="162"/>
      <c r="K109" s="163" t="s">
        <v>25</v>
      </c>
      <c r="L109" s="164">
        <v>1121209.72</v>
      </c>
    </row>
    <row r="110" spans="1:12" ht="81.599999999999994" hidden="1" x14ac:dyDescent="0.3">
      <c r="A110" s="158" t="s">
        <v>71</v>
      </c>
      <c r="B110" s="159" t="s">
        <v>376</v>
      </c>
      <c r="C110" s="159" t="s">
        <v>375</v>
      </c>
      <c r="D110" s="159" t="s">
        <v>366</v>
      </c>
      <c r="E110" s="160" t="s">
        <v>30</v>
      </c>
      <c r="F110" s="161">
        <v>13584.58</v>
      </c>
      <c r="G110" s="161"/>
      <c r="H110" s="160" t="s">
        <v>31</v>
      </c>
      <c r="I110" s="162" t="s">
        <v>32</v>
      </c>
      <c r="J110" s="162"/>
      <c r="K110" s="163" t="s">
        <v>25</v>
      </c>
      <c r="L110" s="164">
        <v>1134794.3</v>
      </c>
    </row>
    <row r="111" spans="1:12" ht="81.599999999999994" hidden="1" x14ac:dyDescent="0.3">
      <c r="A111" s="158" t="s">
        <v>71</v>
      </c>
      <c r="B111" s="159" t="s">
        <v>377</v>
      </c>
      <c r="C111" s="159" t="s">
        <v>378</v>
      </c>
      <c r="D111" s="159" t="s">
        <v>365</v>
      </c>
      <c r="E111" s="160" t="s">
        <v>30</v>
      </c>
      <c r="F111" s="166" t="s">
        <v>32</v>
      </c>
      <c r="G111" s="166"/>
      <c r="H111" s="160" t="s">
        <v>30</v>
      </c>
      <c r="I111" s="167">
        <v>8879.58</v>
      </c>
      <c r="J111" s="167"/>
      <c r="K111" s="163" t="s">
        <v>25</v>
      </c>
      <c r="L111" s="164">
        <v>1125914.72</v>
      </c>
    </row>
    <row r="112" spans="1:12" ht="81.599999999999994" hidden="1" x14ac:dyDescent="0.3">
      <c r="A112" s="158" t="s">
        <v>71</v>
      </c>
      <c r="B112" s="159" t="s">
        <v>377</v>
      </c>
      <c r="C112" s="159" t="s">
        <v>379</v>
      </c>
      <c r="D112" s="159" t="s">
        <v>367</v>
      </c>
      <c r="E112" s="160" t="s">
        <v>30</v>
      </c>
      <c r="F112" s="166" t="s">
        <v>32</v>
      </c>
      <c r="G112" s="166"/>
      <c r="H112" s="160" t="s">
        <v>30</v>
      </c>
      <c r="I112" s="167">
        <v>1084.01</v>
      </c>
      <c r="J112" s="167"/>
      <c r="K112" s="163" t="s">
        <v>25</v>
      </c>
      <c r="L112" s="164">
        <v>1124830.71</v>
      </c>
    </row>
    <row r="113" spans="1:12" ht="81.599999999999994" hidden="1" x14ac:dyDescent="0.3">
      <c r="A113" s="158" t="s">
        <v>71</v>
      </c>
      <c r="B113" s="159" t="s">
        <v>377</v>
      </c>
      <c r="C113" s="159" t="s">
        <v>380</v>
      </c>
      <c r="D113" s="159" t="s">
        <v>369</v>
      </c>
      <c r="E113" s="160" t="s">
        <v>30</v>
      </c>
      <c r="F113" s="166" t="s">
        <v>32</v>
      </c>
      <c r="G113" s="166"/>
      <c r="H113" s="160" t="s">
        <v>30</v>
      </c>
      <c r="I113" s="167">
        <v>2770.36</v>
      </c>
      <c r="J113" s="167"/>
      <c r="K113" s="163" t="s">
        <v>25</v>
      </c>
      <c r="L113" s="164">
        <v>1122060.3500000001</v>
      </c>
    </row>
    <row r="114" spans="1:12" ht="81.599999999999994" hidden="1" x14ac:dyDescent="0.3">
      <c r="A114" s="158" t="s">
        <v>71</v>
      </c>
      <c r="B114" s="159" t="s">
        <v>377</v>
      </c>
      <c r="C114" s="159" t="s">
        <v>381</v>
      </c>
      <c r="D114" s="159" t="s">
        <v>239</v>
      </c>
      <c r="E114" s="160" t="s">
        <v>30</v>
      </c>
      <c r="F114" s="166" t="s">
        <v>32</v>
      </c>
      <c r="G114" s="166"/>
      <c r="H114" s="160" t="s">
        <v>30</v>
      </c>
      <c r="I114" s="167">
        <v>1994.66</v>
      </c>
      <c r="J114" s="167"/>
      <c r="K114" s="163" t="s">
        <v>25</v>
      </c>
      <c r="L114" s="164">
        <v>1120065.69</v>
      </c>
    </row>
    <row r="115" spans="1:12" ht="81.599999999999994" hidden="1" x14ac:dyDescent="0.3">
      <c r="A115" s="158" t="s">
        <v>71</v>
      </c>
      <c r="B115" s="159" t="s">
        <v>377</v>
      </c>
      <c r="C115" s="159" t="s">
        <v>382</v>
      </c>
      <c r="D115" s="159" t="s">
        <v>241</v>
      </c>
      <c r="E115" s="160" t="s">
        <v>30</v>
      </c>
      <c r="F115" s="166" t="s">
        <v>32</v>
      </c>
      <c r="G115" s="166"/>
      <c r="H115" s="160" t="s">
        <v>30</v>
      </c>
      <c r="I115" s="167">
        <v>4963.6899999999996</v>
      </c>
      <c r="J115" s="167"/>
      <c r="K115" s="163" t="s">
        <v>25</v>
      </c>
      <c r="L115" s="164">
        <v>1115102</v>
      </c>
    </row>
    <row r="116" spans="1:12" ht="81.599999999999994" hidden="1" x14ac:dyDescent="0.3">
      <c r="A116" s="158" t="s">
        <v>71</v>
      </c>
      <c r="B116" s="159" t="s">
        <v>377</v>
      </c>
      <c r="C116" s="159" t="s">
        <v>383</v>
      </c>
      <c r="D116" s="159" t="s">
        <v>370</v>
      </c>
      <c r="E116" s="160" t="s">
        <v>30</v>
      </c>
      <c r="F116" s="166" t="s">
        <v>32</v>
      </c>
      <c r="G116" s="166"/>
      <c r="H116" s="160" t="s">
        <v>30</v>
      </c>
      <c r="I116" s="167">
        <v>6610.18</v>
      </c>
      <c r="J116" s="167"/>
      <c r="K116" s="163" t="s">
        <v>25</v>
      </c>
      <c r="L116" s="164">
        <v>1108491.82</v>
      </c>
    </row>
    <row r="117" spans="1:12" ht="81.599999999999994" hidden="1" x14ac:dyDescent="0.3">
      <c r="A117" s="158" t="s">
        <v>71</v>
      </c>
      <c r="B117" s="159" t="s">
        <v>377</v>
      </c>
      <c r="C117" s="159" t="s">
        <v>384</v>
      </c>
      <c r="D117" s="159" t="s">
        <v>371</v>
      </c>
      <c r="E117" s="160" t="s">
        <v>30</v>
      </c>
      <c r="F117" s="166" t="s">
        <v>32</v>
      </c>
      <c r="G117" s="166"/>
      <c r="H117" s="160" t="s">
        <v>30</v>
      </c>
      <c r="I117" s="167">
        <v>1555.14</v>
      </c>
      <c r="J117" s="167"/>
      <c r="K117" s="163" t="s">
        <v>25</v>
      </c>
      <c r="L117" s="164">
        <v>1106936.68</v>
      </c>
    </row>
    <row r="118" spans="1:12" ht="91.8" hidden="1" x14ac:dyDescent="0.3">
      <c r="A118" s="158" t="s">
        <v>71</v>
      </c>
      <c r="B118" s="159" t="s">
        <v>377</v>
      </c>
      <c r="C118" s="159" t="s">
        <v>385</v>
      </c>
      <c r="D118" s="159" t="s">
        <v>373</v>
      </c>
      <c r="E118" s="160" t="s">
        <v>30</v>
      </c>
      <c r="F118" s="166" t="s">
        <v>32</v>
      </c>
      <c r="G118" s="166"/>
      <c r="H118" s="160" t="s">
        <v>30</v>
      </c>
      <c r="I118" s="167">
        <v>7548.79</v>
      </c>
      <c r="J118" s="167"/>
      <c r="K118" s="163" t="s">
        <v>25</v>
      </c>
      <c r="L118" s="164">
        <v>1099387.8899999999</v>
      </c>
    </row>
    <row r="119" spans="1:12" ht="81.599999999999994" hidden="1" x14ac:dyDescent="0.3">
      <c r="A119" s="158" t="s">
        <v>71</v>
      </c>
      <c r="B119" s="159" t="s">
        <v>377</v>
      </c>
      <c r="C119" s="159" t="s">
        <v>386</v>
      </c>
      <c r="D119" s="159" t="s">
        <v>374</v>
      </c>
      <c r="E119" s="160" t="s">
        <v>30</v>
      </c>
      <c r="F119" s="166" t="s">
        <v>32</v>
      </c>
      <c r="G119" s="166"/>
      <c r="H119" s="160" t="s">
        <v>30</v>
      </c>
      <c r="I119" s="167">
        <v>10604.43</v>
      </c>
      <c r="J119" s="167"/>
      <c r="K119" s="163" t="s">
        <v>25</v>
      </c>
      <c r="L119" s="164">
        <v>1088783.46</v>
      </c>
    </row>
    <row r="120" spans="1:12" ht="81.599999999999994" hidden="1" x14ac:dyDescent="0.3">
      <c r="A120" s="158" t="s">
        <v>71</v>
      </c>
      <c r="B120" s="159" t="s">
        <v>377</v>
      </c>
      <c r="C120" s="159" t="s">
        <v>387</v>
      </c>
      <c r="D120" s="159" t="s">
        <v>375</v>
      </c>
      <c r="E120" s="160" t="s">
        <v>30</v>
      </c>
      <c r="F120" s="166" t="s">
        <v>32</v>
      </c>
      <c r="G120" s="166"/>
      <c r="H120" s="160" t="s">
        <v>30</v>
      </c>
      <c r="I120" s="167">
        <v>43987.12</v>
      </c>
      <c r="J120" s="167"/>
      <c r="K120" s="163" t="s">
        <v>25</v>
      </c>
      <c r="L120" s="164">
        <v>1044796.34</v>
      </c>
    </row>
    <row r="121" spans="1:12" ht="91.8" hidden="1" x14ac:dyDescent="0.3">
      <c r="A121" s="158" t="s">
        <v>71</v>
      </c>
      <c r="B121" s="159" t="s">
        <v>377</v>
      </c>
      <c r="C121" s="159" t="s">
        <v>388</v>
      </c>
      <c r="D121" s="159" t="s">
        <v>243</v>
      </c>
      <c r="E121" s="160" t="s">
        <v>30</v>
      </c>
      <c r="F121" s="166" t="s">
        <v>32</v>
      </c>
      <c r="G121" s="166"/>
      <c r="H121" s="160" t="s">
        <v>30</v>
      </c>
      <c r="I121" s="167">
        <v>9952.8799999999992</v>
      </c>
      <c r="J121" s="167"/>
      <c r="K121" s="163" t="s">
        <v>25</v>
      </c>
      <c r="L121" s="164">
        <v>1034843.46</v>
      </c>
    </row>
    <row r="122" spans="1:12" ht="71.400000000000006" hidden="1" x14ac:dyDescent="0.3">
      <c r="A122" s="158" t="s">
        <v>71</v>
      </c>
      <c r="B122" s="159" t="s">
        <v>389</v>
      </c>
      <c r="C122" s="159" t="s">
        <v>390</v>
      </c>
      <c r="D122" s="159" t="s">
        <v>368</v>
      </c>
      <c r="E122" s="160" t="s">
        <v>30</v>
      </c>
      <c r="F122" s="166" t="s">
        <v>32</v>
      </c>
      <c r="G122" s="166"/>
      <c r="H122" s="160" t="s">
        <v>30</v>
      </c>
      <c r="I122" s="167">
        <v>15258.22</v>
      </c>
      <c r="J122" s="167"/>
      <c r="K122" s="163" t="s">
        <v>25</v>
      </c>
      <c r="L122" s="164">
        <v>1019585.24</v>
      </c>
    </row>
    <row r="123" spans="1:12" ht="71.400000000000006" hidden="1" x14ac:dyDescent="0.3">
      <c r="A123" s="158" t="s">
        <v>71</v>
      </c>
      <c r="B123" s="159" t="s">
        <v>389</v>
      </c>
      <c r="C123" s="159" t="s">
        <v>391</v>
      </c>
      <c r="D123" s="159" t="s">
        <v>241</v>
      </c>
      <c r="E123" s="160" t="s">
        <v>30</v>
      </c>
      <c r="F123" s="166" t="s">
        <v>32</v>
      </c>
      <c r="G123" s="166"/>
      <c r="H123" s="160" t="s">
        <v>30</v>
      </c>
      <c r="I123" s="167">
        <v>3365.22</v>
      </c>
      <c r="J123" s="167"/>
      <c r="K123" s="163" t="s">
        <v>25</v>
      </c>
      <c r="L123" s="164">
        <v>1016220.02</v>
      </c>
    </row>
    <row r="124" spans="1:12" ht="71.400000000000006" hidden="1" x14ac:dyDescent="0.3">
      <c r="A124" s="158" t="s">
        <v>71</v>
      </c>
      <c r="B124" s="159" t="s">
        <v>389</v>
      </c>
      <c r="C124" s="159" t="s">
        <v>392</v>
      </c>
      <c r="D124" s="159" t="s">
        <v>372</v>
      </c>
      <c r="E124" s="160" t="s">
        <v>30</v>
      </c>
      <c r="F124" s="166" t="s">
        <v>32</v>
      </c>
      <c r="G124" s="166"/>
      <c r="H124" s="160" t="s">
        <v>30</v>
      </c>
      <c r="I124" s="168">
        <v>933.08</v>
      </c>
      <c r="J124" s="168"/>
      <c r="K124" s="163" t="s">
        <v>25</v>
      </c>
      <c r="L124" s="164">
        <v>1015286.94</v>
      </c>
    </row>
    <row r="125" spans="1:12" ht="81.599999999999994" hidden="1" x14ac:dyDescent="0.3">
      <c r="A125" s="158" t="s">
        <v>71</v>
      </c>
      <c r="B125" s="159" t="s">
        <v>237</v>
      </c>
      <c r="C125" s="159" t="s">
        <v>238</v>
      </c>
      <c r="D125" s="159" t="s">
        <v>239</v>
      </c>
      <c r="E125" s="160" t="s">
        <v>30</v>
      </c>
      <c r="F125" s="166" t="s">
        <v>32</v>
      </c>
      <c r="G125" s="166"/>
      <c r="H125" s="160" t="s">
        <v>30</v>
      </c>
      <c r="I125" s="167">
        <v>2022.36</v>
      </c>
      <c r="J125" s="167"/>
      <c r="K125" s="163" t="s">
        <v>25</v>
      </c>
      <c r="L125" s="164">
        <v>1013264.58</v>
      </c>
    </row>
    <row r="126" spans="1:12" ht="81.599999999999994" hidden="1" x14ac:dyDescent="0.3">
      <c r="A126" s="158" t="s">
        <v>71</v>
      </c>
      <c r="B126" s="159" t="s">
        <v>237</v>
      </c>
      <c r="C126" s="159" t="s">
        <v>240</v>
      </c>
      <c r="D126" s="159" t="s">
        <v>241</v>
      </c>
      <c r="E126" s="160" t="s">
        <v>30</v>
      </c>
      <c r="F126" s="166" t="s">
        <v>32</v>
      </c>
      <c r="G126" s="166"/>
      <c r="H126" s="160" t="s">
        <v>30</v>
      </c>
      <c r="I126" s="167">
        <v>6898.69</v>
      </c>
      <c r="J126" s="167"/>
      <c r="K126" s="163" t="s">
        <v>25</v>
      </c>
      <c r="L126" s="164">
        <v>1006365.89</v>
      </c>
    </row>
    <row r="127" spans="1:12" ht="91.8" hidden="1" x14ac:dyDescent="0.3">
      <c r="A127" s="158" t="s">
        <v>71</v>
      </c>
      <c r="B127" s="159" t="s">
        <v>237</v>
      </c>
      <c r="C127" s="159" t="s">
        <v>242</v>
      </c>
      <c r="D127" s="159" t="s">
        <v>243</v>
      </c>
      <c r="E127" s="160" t="s">
        <v>30</v>
      </c>
      <c r="F127" s="166" t="s">
        <v>32</v>
      </c>
      <c r="G127" s="166"/>
      <c r="H127" s="160" t="s">
        <v>30</v>
      </c>
      <c r="I127" s="167">
        <v>1959.48</v>
      </c>
      <c r="J127" s="167"/>
      <c r="K127" s="163" t="s">
        <v>25</v>
      </c>
      <c r="L127" s="164">
        <v>1004406.41</v>
      </c>
    </row>
    <row r="128" spans="1:12" ht="71.400000000000006" hidden="1" x14ac:dyDescent="0.3">
      <c r="A128" s="158" t="s">
        <v>71</v>
      </c>
      <c r="B128" s="159" t="s">
        <v>393</v>
      </c>
      <c r="C128" s="159" t="s">
        <v>394</v>
      </c>
      <c r="D128" s="159" t="s">
        <v>241</v>
      </c>
      <c r="E128" s="160" t="s">
        <v>30</v>
      </c>
      <c r="F128" s="166" t="s">
        <v>32</v>
      </c>
      <c r="G128" s="166"/>
      <c r="H128" s="160" t="s">
        <v>30</v>
      </c>
      <c r="I128" s="167">
        <v>4963.7</v>
      </c>
      <c r="J128" s="167"/>
      <c r="K128" s="163" t="s">
        <v>25</v>
      </c>
      <c r="L128" s="164">
        <v>999442.71</v>
      </c>
    </row>
    <row r="129" spans="1:12" ht="71.400000000000006" hidden="1" x14ac:dyDescent="0.3">
      <c r="A129" s="158" t="s">
        <v>71</v>
      </c>
      <c r="B129" s="159" t="s">
        <v>393</v>
      </c>
      <c r="C129" s="159" t="s">
        <v>395</v>
      </c>
      <c r="D129" s="159" t="s">
        <v>375</v>
      </c>
      <c r="E129" s="160" t="s">
        <v>30</v>
      </c>
      <c r="F129" s="166" t="s">
        <v>32</v>
      </c>
      <c r="G129" s="166"/>
      <c r="H129" s="160" t="s">
        <v>30</v>
      </c>
      <c r="I129" s="167">
        <v>656984.07999999996</v>
      </c>
      <c r="J129" s="167"/>
      <c r="K129" s="163" t="s">
        <v>25</v>
      </c>
      <c r="L129" s="164">
        <v>342458.63</v>
      </c>
    </row>
    <row r="130" spans="1:12" ht="81.599999999999994" hidden="1" x14ac:dyDescent="0.3">
      <c r="A130" s="158" t="s">
        <v>71</v>
      </c>
      <c r="B130" s="159" t="s">
        <v>393</v>
      </c>
      <c r="C130" s="159" t="s">
        <v>396</v>
      </c>
      <c r="D130" s="159" t="s">
        <v>243</v>
      </c>
      <c r="E130" s="160" t="s">
        <v>30</v>
      </c>
      <c r="F130" s="166" t="s">
        <v>32</v>
      </c>
      <c r="G130" s="166"/>
      <c r="H130" s="160" t="s">
        <v>30</v>
      </c>
      <c r="I130" s="167">
        <v>3172.48</v>
      </c>
      <c r="J130" s="167"/>
      <c r="K130" s="163" t="s">
        <v>25</v>
      </c>
      <c r="L130" s="164">
        <v>339286.15</v>
      </c>
    </row>
    <row r="131" spans="1:12" ht="71.400000000000006" hidden="1" x14ac:dyDescent="0.3">
      <c r="A131" s="158" t="s">
        <v>71</v>
      </c>
      <c r="B131" s="159" t="s">
        <v>124</v>
      </c>
      <c r="C131" s="159" t="s">
        <v>128</v>
      </c>
      <c r="D131" s="159" t="s">
        <v>129</v>
      </c>
      <c r="E131" s="160" t="s">
        <v>30</v>
      </c>
      <c r="F131" s="166" t="s">
        <v>32</v>
      </c>
      <c r="G131" s="166"/>
      <c r="H131" s="160" t="s">
        <v>30</v>
      </c>
      <c r="I131" s="168">
        <v>273.89999999999998</v>
      </c>
      <c r="J131" s="168"/>
      <c r="K131" s="163" t="s">
        <v>25</v>
      </c>
      <c r="L131" s="164">
        <v>339012.25</v>
      </c>
    </row>
    <row r="132" spans="1:12" ht="71.400000000000006" hidden="1" x14ac:dyDescent="0.3">
      <c r="A132" s="158" t="s">
        <v>71</v>
      </c>
      <c r="B132" s="159" t="s">
        <v>124</v>
      </c>
      <c r="C132" s="159" t="s">
        <v>130</v>
      </c>
      <c r="D132" s="159" t="s">
        <v>131</v>
      </c>
      <c r="E132" s="160" t="s">
        <v>30</v>
      </c>
      <c r="F132" s="166" t="s">
        <v>32</v>
      </c>
      <c r="G132" s="166"/>
      <c r="H132" s="160" t="s">
        <v>30</v>
      </c>
      <c r="I132" s="168">
        <v>153.97999999999999</v>
      </c>
      <c r="J132" s="168"/>
      <c r="K132" s="163" t="s">
        <v>25</v>
      </c>
      <c r="L132" s="164">
        <v>338858.27</v>
      </c>
    </row>
    <row r="133" spans="1:12" ht="71.400000000000006" hidden="1" x14ac:dyDescent="0.3">
      <c r="A133" s="158" t="s">
        <v>71</v>
      </c>
      <c r="B133" s="159" t="s">
        <v>397</v>
      </c>
      <c r="C133" s="159" t="s">
        <v>398</v>
      </c>
      <c r="D133" s="159" t="s">
        <v>399</v>
      </c>
      <c r="E133" s="160" t="s">
        <v>30</v>
      </c>
      <c r="F133" s="161">
        <v>8284.5</v>
      </c>
      <c r="G133" s="161"/>
      <c r="H133" s="160" t="s">
        <v>30</v>
      </c>
      <c r="I133" s="162" t="s">
        <v>32</v>
      </c>
      <c r="J133" s="162"/>
      <c r="K133" s="163" t="s">
        <v>25</v>
      </c>
      <c r="L133" s="164">
        <v>347142.77</v>
      </c>
    </row>
    <row r="134" spans="1:12" ht="71.400000000000006" x14ac:dyDescent="0.3">
      <c r="A134" s="158" t="s">
        <v>89</v>
      </c>
      <c r="B134" s="159" t="s">
        <v>400</v>
      </c>
      <c r="C134" s="159" t="s">
        <v>53</v>
      </c>
      <c r="D134" s="159" t="s">
        <v>401</v>
      </c>
      <c r="E134" s="160" t="s">
        <v>54</v>
      </c>
      <c r="F134" s="166" t="s">
        <v>32</v>
      </c>
      <c r="G134" s="166"/>
      <c r="H134" s="160" t="s">
        <v>30</v>
      </c>
      <c r="I134" s="167">
        <v>2579.23</v>
      </c>
      <c r="J134" s="167"/>
      <c r="K134" s="163" t="s">
        <v>25</v>
      </c>
      <c r="L134" s="164">
        <v>344563.54</v>
      </c>
    </row>
    <row r="135" spans="1:12" ht="71.400000000000006" x14ac:dyDescent="0.3">
      <c r="A135" s="158" t="s">
        <v>89</v>
      </c>
      <c r="B135" s="159" t="s">
        <v>400</v>
      </c>
      <c r="C135" s="159" t="s">
        <v>53</v>
      </c>
      <c r="D135" s="159" t="s">
        <v>312</v>
      </c>
      <c r="E135" s="160" t="s">
        <v>54</v>
      </c>
      <c r="F135" s="166" t="s">
        <v>32</v>
      </c>
      <c r="G135" s="166"/>
      <c r="H135" s="160" t="s">
        <v>30</v>
      </c>
      <c r="I135" s="168">
        <v>273.75</v>
      </c>
      <c r="J135" s="168"/>
      <c r="K135" s="163" t="s">
        <v>25</v>
      </c>
      <c r="L135" s="164">
        <v>344289.79</v>
      </c>
    </row>
    <row r="136" spans="1:12" ht="71.400000000000006" x14ac:dyDescent="0.3">
      <c r="A136" s="158" t="s">
        <v>89</v>
      </c>
      <c r="B136" s="159" t="s">
        <v>402</v>
      </c>
      <c r="C136" s="159" t="s">
        <v>53</v>
      </c>
      <c r="D136" s="159" t="s">
        <v>403</v>
      </c>
      <c r="E136" s="160" t="s">
        <v>54</v>
      </c>
      <c r="F136" s="166" t="s">
        <v>32</v>
      </c>
      <c r="G136" s="166"/>
      <c r="H136" s="160" t="s">
        <v>30</v>
      </c>
      <c r="I136" s="167">
        <v>1120</v>
      </c>
      <c r="J136" s="167"/>
      <c r="K136" s="163" t="s">
        <v>25</v>
      </c>
      <c r="L136" s="164">
        <v>343169.79</v>
      </c>
    </row>
    <row r="137" spans="1:12" ht="102" hidden="1" x14ac:dyDescent="0.3">
      <c r="A137" s="158" t="s">
        <v>89</v>
      </c>
      <c r="B137" s="159" t="s">
        <v>404</v>
      </c>
      <c r="C137" s="159" t="s">
        <v>405</v>
      </c>
      <c r="D137" s="159" t="s">
        <v>406</v>
      </c>
      <c r="E137" s="160" t="s">
        <v>30</v>
      </c>
      <c r="F137" s="166" t="s">
        <v>32</v>
      </c>
      <c r="G137" s="166"/>
      <c r="H137" s="160" t="s">
        <v>30</v>
      </c>
      <c r="I137" s="167">
        <v>2650.23</v>
      </c>
      <c r="J137" s="167"/>
      <c r="K137" s="163" t="s">
        <v>25</v>
      </c>
      <c r="L137" s="164">
        <v>340519.56</v>
      </c>
    </row>
    <row r="138" spans="1:12" ht="71.400000000000006" x14ac:dyDescent="0.3">
      <c r="A138" s="158" t="s">
        <v>89</v>
      </c>
      <c r="B138" s="159" t="s">
        <v>407</v>
      </c>
      <c r="C138" s="159" t="s">
        <v>53</v>
      </c>
      <c r="D138" s="159" t="s">
        <v>361</v>
      </c>
      <c r="E138" s="160" t="s">
        <v>54</v>
      </c>
      <c r="F138" s="166" t="s">
        <v>32</v>
      </c>
      <c r="G138" s="166"/>
      <c r="H138" s="160" t="s">
        <v>30</v>
      </c>
      <c r="I138" s="168">
        <v>202</v>
      </c>
      <c r="J138" s="168"/>
      <c r="K138" s="163" t="s">
        <v>25</v>
      </c>
      <c r="L138" s="164">
        <v>340317.56</v>
      </c>
    </row>
    <row r="139" spans="1:12" ht="61.2" x14ac:dyDescent="0.3">
      <c r="A139" s="158" t="s">
        <v>89</v>
      </c>
      <c r="B139" s="159" t="s">
        <v>407</v>
      </c>
      <c r="C139" s="159" t="s">
        <v>53</v>
      </c>
      <c r="D139" s="159" t="s">
        <v>363</v>
      </c>
      <c r="E139" s="160" t="s">
        <v>54</v>
      </c>
      <c r="F139" s="166" t="s">
        <v>32</v>
      </c>
      <c r="G139" s="166"/>
      <c r="H139" s="160" t="s">
        <v>30</v>
      </c>
      <c r="I139" s="168">
        <v>202</v>
      </c>
      <c r="J139" s="168"/>
      <c r="K139" s="163" t="s">
        <v>25</v>
      </c>
      <c r="L139" s="164">
        <v>340115.56</v>
      </c>
    </row>
    <row r="140" spans="1:12" ht="61.2" x14ac:dyDescent="0.3">
      <c r="A140" s="158" t="s">
        <v>89</v>
      </c>
      <c r="B140" s="159" t="s">
        <v>407</v>
      </c>
      <c r="C140" s="159" t="s">
        <v>53</v>
      </c>
      <c r="D140" s="159" t="s">
        <v>348</v>
      </c>
      <c r="E140" s="160" t="s">
        <v>54</v>
      </c>
      <c r="F140" s="166" t="s">
        <v>32</v>
      </c>
      <c r="G140" s="166"/>
      <c r="H140" s="160" t="s">
        <v>30</v>
      </c>
      <c r="I140" s="168">
        <v>100.3</v>
      </c>
      <c r="J140" s="168"/>
      <c r="K140" s="163" t="s">
        <v>25</v>
      </c>
      <c r="L140" s="164">
        <v>340015.26</v>
      </c>
    </row>
    <row r="141" spans="1:12" ht="61.2" x14ac:dyDescent="0.3">
      <c r="A141" s="158" t="s">
        <v>89</v>
      </c>
      <c r="B141" s="159" t="s">
        <v>407</v>
      </c>
      <c r="C141" s="159" t="s">
        <v>53</v>
      </c>
      <c r="D141" s="159" t="s">
        <v>346</v>
      </c>
      <c r="E141" s="160" t="s">
        <v>54</v>
      </c>
      <c r="F141" s="166" t="s">
        <v>32</v>
      </c>
      <c r="G141" s="166"/>
      <c r="H141" s="160" t="s">
        <v>30</v>
      </c>
      <c r="I141" s="168">
        <v>100.5</v>
      </c>
      <c r="J141" s="168"/>
      <c r="K141" s="163" t="s">
        <v>25</v>
      </c>
      <c r="L141" s="164">
        <v>339914.76</v>
      </c>
    </row>
    <row r="142" spans="1:12" ht="61.2" x14ac:dyDescent="0.3">
      <c r="A142" s="158" t="s">
        <v>89</v>
      </c>
      <c r="B142" s="159" t="s">
        <v>407</v>
      </c>
      <c r="C142" s="159" t="s">
        <v>53</v>
      </c>
      <c r="D142" s="159" t="s">
        <v>408</v>
      </c>
      <c r="E142" s="160" t="s">
        <v>54</v>
      </c>
      <c r="F142" s="166" t="s">
        <v>32</v>
      </c>
      <c r="G142" s="166"/>
      <c r="H142" s="160" t="s">
        <v>30</v>
      </c>
      <c r="I142" s="168">
        <v>800</v>
      </c>
      <c r="J142" s="168"/>
      <c r="K142" s="163" t="s">
        <v>25</v>
      </c>
      <c r="L142" s="164">
        <v>339114.76</v>
      </c>
    </row>
    <row r="143" spans="1:12" ht="81.599999999999994" hidden="1" x14ac:dyDescent="0.3">
      <c r="A143" s="158" t="s">
        <v>205</v>
      </c>
      <c r="B143" s="159" t="s">
        <v>409</v>
      </c>
      <c r="C143" s="159" t="s">
        <v>410</v>
      </c>
      <c r="D143" s="159" t="s">
        <v>411</v>
      </c>
      <c r="E143" s="160" t="s">
        <v>30</v>
      </c>
      <c r="F143" s="161">
        <v>121388.32</v>
      </c>
      <c r="G143" s="161"/>
      <c r="H143" s="160" t="s">
        <v>31</v>
      </c>
      <c r="I143" s="162" t="s">
        <v>32</v>
      </c>
      <c r="J143" s="162"/>
      <c r="K143" s="163" t="s">
        <v>25</v>
      </c>
      <c r="L143" s="164">
        <v>460503.08</v>
      </c>
    </row>
    <row r="144" spans="1:12" ht="71.400000000000006" hidden="1" x14ac:dyDescent="0.3">
      <c r="A144" s="158" t="s">
        <v>99</v>
      </c>
      <c r="B144" s="159" t="s">
        <v>412</v>
      </c>
      <c r="C144" s="159" t="s">
        <v>413</v>
      </c>
      <c r="D144" s="159" t="s">
        <v>414</v>
      </c>
      <c r="E144" s="160" t="s">
        <v>30</v>
      </c>
      <c r="F144" s="161">
        <v>81760</v>
      </c>
      <c r="G144" s="161"/>
      <c r="H144" s="160" t="s">
        <v>31</v>
      </c>
      <c r="I144" s="162" t="s">
        <v>32</v>
      </c>
      <c r="J144" s="162"/>
      <c r="K144" s="163" t="s">
        <v>25</v>
      </c>
      <c r="L144" s="164">
        <v>542263.07999999996</v>
      </c>
    </row>
    <row r="145" spans="1:12" ht="81.599999999999994" hidden="1" x14ac:dyDescent="0.3">
      <c r="A145" s="158" t="s">
        <v>99</v>
      </c>
      <c r="B145" s="159" t="s">
        <v>415</v>
      </c>
      <c r="C145" s="159" t="s">
        <v>102</v>
      </c>
      <c r="D145" s="159" t="s">
        <v>416</v>
      </c>
      <c r="E145" s="160" t="s">
        <v>30</v>
      </c>
      <c r="F145" s="161">
        <v>8039.17</v>
      </c>
      <c r="G145" s="161"/>
      <c r="H145" s="160" t="s">
        <v>31</v>
      </c>
      <c r="I145" s="162" t="s">
        <v>32</v>
      </c>
      <c r="J145" s="162"/>
      <c r="K145" s="163" t="s">
        <v>25</v>
      </c>
      <c r="L145" s="164">
        <v>550302.25</v>
      </c>
    </row>
    <row r="146" spans="1:12" ht="71.400000000000006" hidden="1" x14ac:dyDescent="0.3">
      <c r="A146" s="158" t="s">
        <v>99</v>
      </c>
      <c r="B146" s="159" t="s">
        <v>417</v>
      </c>
      <c r="C146" s="159" t="s">
        <v>413</v>
      </c>
      <c r="D146" s="159" t="s">
        <v>418</v>
      </c>
      <c r="E146" s="160" t="s">
        <v>30</v>
      </c>
      <c r="F146" s="161">
        <v>26943</v>
      </c>
      <c r="G146" s="161"/>
      <c r="H146" s="160" t="s">
        <v>31</v>
      </c>
      <c r="I146" s="162" t="s">
        <v>32</v>
      </c>
      <c r="J146" s="162"/>
      <c r="K146" s="163" t="s">
        <v>25</v>
      </c>
      <c r="L146" s="164">
        <v>577245.25</v>
      </c>
    </row>
    <row r="147" spans="1:12" ht="81.599999999999994" hidden="1" x14ac:dyDescent="0.3">
      <c r="A147" s="158" t="s">
        <v>99</v>
      </c>
      <c r="B147" s="159" t="s">
        <v>419</v>
      </c>
      <c r="C147" s="159" t="s">
        <v>420</v>
      </c>
      <c r="D147" s="159" t="s">
        <v>413</v>
      </c>
      <c r="E147" s="160" t="s">
        <v>30</v>
      </c>
      <c r="F147" s="166" t="s">
        <v>32</v>
      </c>
      <c r="G147" s="166"/>
      <c r="H147" s="160" t="s">
        <v>30</v>
      </c>
      <c r="I147" s="167">
        <v>52410.38</v>
      </c>
      <c r="J147" s="167"/>
      <c r="K147" s="163" t="s">
        <v>25</v>
      </c>
      <c r="L147" s="164">
        <v>524834.87</v>
      </c>
    </row>
    <row r="148" spans="1:12" ht="81.599999999999994" hidden="1" x14ac:dyDescent="0.3">
      <c r="A148" s="158" t="s">
        <v>99</v>
      </c>
      <c r="B148" s="159" t="s">
        <v>421</v>
      </c>
      <c r="C148" s="159" t="s">
        <v>422</v>
      </c>
      <c r="D148" s="159" t="s">
        <v>413</v>
      </c>
      <c r="E148" s="160" t="s">
        <v>30</v>
      </c>
      <c r="F148" s="166" t="s">
        <v>32</v>
      </c>
      <c r="G148" s="166"/>
      <c r="H148" s="160" t="s">
        <v>30</v>
      </c>
      <c r="I148" s="167">
        <v>56292.62</v>
      </c>
      <c r="J148" s="167"/>
      <c r="K148" s="163" t="s">
        <v>25</v>
      </c>
      <c r="L148" s="164">
        <v>468542.25</v>
      </c>
    </row>
    <row r="149" spans="1:12" ht="91.8" hidden="1" x14ac:dyDescent="0.3">
      <c r="A149" s="158" t="s">
        <v>99</v>
      </c>
      <c r="B149" s="159" t="s">
        <v>215</v>
      </c>
      <c r="C149" s="159" t="s">
        <v>216</v>
      </c>
      <c r="D149" s="159" t="s">
        <v>102</v>
      </c>
      <c r="E149" s="160" t="s">
        <v>30</v>
      </c>
      <c r="F149" s="166" t="s">
        <v>32</v>
      </c>
      <c r="G149" s="166"/>
      <c r="H149" s="160" t="s">
        <v>30</v>
      </c>
      <c r="I149" s="167">
        <v>5985.84</v>
      </c>
      <c r="J149" s="167"/>
      <c r="K149" s="163" t="s">
        <v>25</v>
      </c>
      <c r="L149" s="164">
        <v>462556.41</v>
      </c>
    </row>
    <row r="150" spans="1:12" ht="81.599999999999994" hidden="1" x14ac:dyDescent="0.3">
      <c r="A150" s="158" t="s">
        <v>99</v>
      </c>
      <c r="B150" s="159" t="s">
        <v>100</v>
      </c>
      <c r="C150" s="159" t="s">
        <v>101</v>
      </c>
      <c r="D150" s="159" t="s">
        <v>102</v>
      </c>
      <c r="E150" s="160" t="s">
        <v>30</v>
      </c>
      <c r="F150" s="166" t="s">
        <v>32</v>
      </c>
      <c r="G150" s="166"/>
      <c r="H150" s="160" t="s">
        <v>30</v>
      </c>
      <c r="I150" s="167">
        <v>2053.33</v>
      </c>
      <c r="J150" s="167"/>
      <c r="K150" s="163" t="s">
        <v>25</v>
      </c>
      <c r="L150" s="164">
        <v>460503.08</v>
      </c>
    </row>
    <row r="151" spans="1:12" ht="71.400000000000006" hidden="1" x14ac:dyDescent="0.3">
      <c r="A151" s="158" t="s">
        <v>103</v>
      </c>
      <c r="B151" s="159" t="s">
        <v>104</v>
      </c>
      <c r="C151" s="159" t="s">
        <v>105</v>
      </c>
      <c r="D151" s="159" t="s">
        <v>106</v>
      </c>
      <c r="E151" s="160" t="s">
        <v>30</v>
      </c>
      <c r="F151" s="166" t="s">
        <v>32</v>
      </c>
      <c r="G151" s="166"/>
      <c r="H151" s="160" t="s">
        <v>30</v>
      </c>
      <c r="I151" s="167">
        <v>4977</v>
      </c>
      <c r="J151" s="167"/>
      <c r="K151" s="163" t="s">
        <v>25</v>
      </c>
      <c r="L151" s="164">
        <v>455526.08</v>
      </c>
    </row>
    <row r="152" spans="1:12" ht="81.599999999999994" hidden="1" x14ac:dyDescent="0.3">
      <c r="A152" s="158" t="s">
        <v>103</v>
      </c>
      <c r="B152" s="159" t="s">
        <v>423</v>
      </c>
      <c r="C152" s="159" t="s">
        <v>424</v>
      </c>
      <c r="D152" s="159" t="s">
        <v>106</v>
      </c>
      <c r="E152" s="160" t="s">
        <v>30</v>
      </c>
      <c r="F152" s="166" t="s">
        <v>32</v>
      </c>
      <c r="G152" s="166"/>
      <c r="H152" s="160" t="s">
        <v>30</v>
      </c>
      <c r="I152" s="168">
        <v>355.5</v>
      </c>
      <c r="J152" s="168"/>
      <c r="K152" s="163" t="s">
        <v>25</v>
      </c>
      <c r="L152" s="164">
        <v>455170.58</v>
      </c>
    </row>
    <row r="153" spans="1:12" ht="71.400000000000006" x14ac:dyDescent="0.3">
      <c r="A153" s="158" t="s">
        <v>103</v>
      </c>
      <c r="B153" s="159" t="s">
        <v>425</v>
      </c>
      <c r="C153" s="159" t="s">
        <v>53</v>
      </c>
      <c r="D153" s="159" t="s">
        <v>401</v>
      </c>
      <c r="E153" s="160" t="s">
        <v>54</v>
      </c>
      <c r="F153" s="166" t="s">
        <v>32</v>
      </c>
      <c r="G153" s="166"/>
      <c r="H153" s="160" t="s">
        <v>30</v>
      </c>
      <c r="I153" s="167">
        <v>2579.23</v>
      </c>
      <c r="J153" s="167"/>
      <c r="K153" s="163" t="s">
        <v>25</v>
      </c>
      <c r="L153" s="164">
        <v>452591.35</v>
      </c>
    </row>
    <row r="154" spans="1:12" ht="71.400000000000006" x14ac:dyDescent="0.3">
      <c r="A154" s="158" t="s">
        <v>103</v>
      </c>
      <c r="B154" s="159" t="s">
        <v>426</v>
      </c>
      <c r="C154" s="159" t="s">
        <v>53</v>
      </c>
      <c r="D154" s="159" t="s">
        <v>401</v>
      </c>
      <c r="E154" s="160" t="s">
        <v>54</v>
      </c>
      <c r="F154" s="166" t="s">
        <v>32</v>
      </c>
      <c r="G154" s="166"/>
      <c r="H154" s="160" t="s">
        <v>30</v>
      </c>
      <c r="I154" s="167">
        <v>2579.23</v>
      </c>
      <c r="J154" s="167"/>
      <c r="K154" s="163" t="s">
        <v>25</v>
      </c>
      <c r="L154" s="164">
        <v>450012.12</v>
      </c>
    </row>
    <row r="155" spans="1:12" ht="71.400000000000006" x14ac:dyDescent="0.3">
      <c r="A155" s="158" t="s">
        <v>103</v>
      </c>
      <c r="B155" s="159" t="s">
        <v>427</v>
      </c>
      <c r="C155" s="159" t="s">
        <v>53</v>
      </c>
      <c r="D155" s="159" t="s">
        <v>428</v>
      </c>
      <c r="E155" s="160" t="s">
        <v>54</v>
      </c>
      <c r="F155" s="166" t="s">
        <v>32</v>
      </c>
      <c r="G155" s="166"/>
      <c r="H155" s="160" t="s">
        <v>30</v>
      </c>
      <c r="I155" s="167">
        <v>4700</v>
      </c>
      <c r="J155" s="167"/>
      <c r="K155" s="163" t="s">
        <v>25</v>
      </c>
      <c r="L155" s="164">
        <v>445312.12</v>
      </c>
    </row>
    <row r="156" spans="1:12" ht="61.2" x14ac:dyDescent="0.3">
      <c r="A156" s="158" t="s">
        <v>103</v>
      </c>
      <c r="B156" s="159" t="s">
        <v>427</v>
      </c>
      <c r="C156" s="159" t="s">
        <v>53</v>
      </c>
      <c r="D156" s="159" t="s">
        <v>398</v>
      </c>
      <c r="E156" s="160" t="s">
        <v>54</v>
      </c>
      <c r="F156" s="166" t="s">
        <v>32</v>
      </c>
      <c r="G156" s="166"/>
      <c r="H156" s="160" t="s">
        <v>30</v>
      </c>
      <c r="I156" s="167">
        <v>8284.5</v>
      </c>
      <c r="J156" s="167"/>
      <c r="K156" s="163" t="s">
        <v>25</v>
      </c>
      <c r="L156" s="164">
        <v>437027.62</v>
      </c>
    </row>
    <row r="157" spans="1:12" ht="71.400000000000006" x14ac:dyDescent="0.3">
      <c r="A157" s="158" t="s">
        <v>103</v>
      </c>
      <c r="B157" s="159" t="s">
        <v>429</v>
      </c>
      <c r="C157" s="159" t="s">
        <v>53</v>
      </c>
      <c r="D157" s="159" t="s">
        <v>430</v>
      </c>
      <c r="E157" s="160" t="s">
        <v>54</v>
      </c>
      <c r="F157" s="166" t="s">
        <v>32</v>
      </c>
      <c r="G157" s="166"/>
      <c r="H157" s="160" t="s">
        <v>30</v>
      </c>
      <c r="I157" s="167">
        <v>3514.2</v>
      </c>
      <c r="J157" s="167"/>
      <c r="K157" s="163" t="s">
        <v>25</v>
      </c>
      <c r="L157" s="164">
        <v>433513.42</v>
      </c>
    </row>
    <row r="158" spans="1:12" ht="71.400000000000006" x14ac:dyDescent="0.3">
      <c r="A158" s="158" t="s">
        <v>103</v>
      </c>
      <c r="B158" s="159" t="s">
        <v>429</v>
      </c>
      <c r="C158" s="159" t="s">
        <v>53</v>
      </c>
      <c r="D158" s="159" t="s">
        <v>428</v>
      </c>
      <c r="E158" s="160" t="s">
        <v>54</v>
      </c>
      <c r="F158" s="166" t="s">
        <v>32</v>
      </c>
      <c r="G158" s="166"/>
      <c r="H158" s="160" t="s">
        <v>30</v>
      </c>
      <c r="I158" s="167">
        <v>4700</v>
      </c>
      <c r="J158" s="167"/>
      <c r="K158" s="163" t="s">
        <v>25</v>
      </c>
      <c r="L158" s="164">
        <v>428813.42</v>
      </c>
    </row>
    <row r="159" spans="1:12" ht="71.400000000000006" x14ac:dyDescent="0.3">
      <c r="A159" s="158" t="s">
        <v>103</v>
      </c>
      <c r="B159" s="159" t="s">
        <v>431</v>
      </c>
      <c r="C159" s="159" t="s">
        <v>53</v>
      </c>
      <c r="D159" s="159" t="s">
        <v>401</v>
      </c>
      <c r="E159" s="160" t="s">
        <v>54</v>
      </c>
      <c r="F159" s="166" t="s">
        <v>32</v>
      </c>
      <c r="G159" s="166"/>
      <c r="H159" s="160" t="s">
        <v>30</v>
      </c>
      <c r="I159" s="167">
        <v>7737.69</v>
      </c>
      <c r="J159" s="167"/>
      <c r="K159" s="163" t="s">
        <v>25</v>
      </c>
      <c r="L159" s="164">
        <v>421075.73</v>
      </c>
    </row>
    <row r="160" spans="1:12" ht="71.400000000000006" x14ac:dyDescent="0.3">
      <c r="A160" s="158" t="s">
        <v>103</v>
      </c>
      <c r="B160" s="159" t="s">
        <v>432</v>
      </c>
      <c r="C160" s="159" t="s">
        <v>53</v>
      </c>
      <c r="D160" s="159" t="s">
        <v>401</v>
      </c>
      <c r="E160" s="160" t="s">
        <v>54</v>
      </c>
      <c r="F160" s="166" t="s">
        <v>32</v>
      </c>
      <c r="G160" s="166"/>
      <c r="H160" s="160" t="s">
        <v>30</v>
      </c>
      <c r="I160" s="167">
        <v>2579.23</v>
      </c>
      <c r="J160" s="167"/>
      <c r="K160" s="163" t="s">
        <v>25</v>
      </c>
      <c r="L160" s="164">
        <v>418496.5</v>
      </c>
    </row>
    <row r="161" spans="1:12" ht="71.400000000000006" x14ac:dyDescent="0.3">
      <c r="A161" s="158" t="s">
        <v>103</v>
      </c>
      <c r="B161" s="159" t="s">
        <v>433</v>
      </c>
      <c r="C161" s="159" t="s">
        <v>53</v>
      </c>
      <c r="D161" s="159" t="s">
        <v>401</v>
      </c>
      <c r="E161" s="160" t="s">
        <v>54</v>
      </c>
      <c r="F161" s="166" t="s">
        <v>32</v>
      </c>
      <c r="G161" s="166"/>
      <c r="H161" s="160" t="s">
        <v>30</v>
      </c>
      <c r="I161" s="167">
        <v>2579.23</v>
      </c>
      <c r="J161" s="167"/>
      <c r="K161" s="163" t="s">
        <v>25</v>
      </c>
      <c r="L161" s="164">
        <v>415917.27</v>
      </c>
    </row>
    <row r="162" spans="1:12" ht="71.400000000000006" x14ac:dyDescent="0.3">
      <c r="A162" s="158" t="s">
        <v>103</v>
      </c>
      <c r="B162" s="159" t="s">
        <v>434</v>
      </c>
      <c r="C162" s="159" t="s">
        <v>53</v>
      </c>
      <c r="D162" s="159" t="s">
        <v>435</v>
      </c>
      <c r="E162" s="160" t="s">
        <v>54</v>
      </c>
      <c r="F162" s="166" t="s">
        <v>32</v>
      </c>
      <c r="G162" s="166"/>
      <c r="H162" s="160" t="s">
        <v>30</v>
      </c>
      <c r="I162" s="168">
        <v>362.55</v>
      </c>
      <c r="J162" s="168"/>
      <c r="K162" s="163" t="s">
        <v>25</v>
      </c>
      <c r="L162" s="164">
        <v>415554.72</v>
      </c>
    </row>
    <row r="163" spans="1:12" ht="71.400000000000006" x14ac:dyDescent="0.3">
      <c r="A163" s="158" t="s">
        <v>103</v>
      </c>
      <c r="B163" s="159" t="s">
        <v>434</v>
      </c>
      <c r="C163" s="159" t="s">
        <v>53</v>
      </c>
      <c r="D163" s="159" t="s">
        <v>310</v>
      </c>
      <c r="E163" s="160" t="s">
        <v>54</v>
      </c>
      <c r="F163" s="166" t="s">
        <v>32</v>
      </c>
      <c r="G163" s="166"/>
      <c r="H163" s="160" t="s">
        <v>30</v>
      </c>
      <c r="I163" s="168">
        <v>120.85</v>
      </c>
      <c r="J163" s="168"/>
      <c r="K163" s="163" t="s">
        <v>25</v>
      </c>
      <c r="L163" s="164">
        <v>415433.87</v>
      </c>
    </row>
    <row r="164" spans="1:12" ht="71.400000000000006" x14ac:dyDescent="0.3">
      <c r="A164" s="158" t="s">
        <v>103</v>
      </c>
      <c r="B164" s="159" t="s">
        <v>434</v>
      </c>
      <c r="C164" s="159" t="s">
        <v>53</v>
      </c>
      <c r="D164" s="159" t="s">
        <v>310</v>
      </c>
      <c r="E164" s="160" t="s">
        <v>54</v>
      </c>
      <c r="F164" s="166" t="s">
        <v>32</v>
      </c>
      <c r="G164" s="166"/>
      <c r="H164" s="160" t="s">
        <v>30</v>
      </c>
      <c r="I164" s="168">
        <v>362.55</v>
      </c>
      <c r="J164" s="168"/>
      <c r="K164" s="163" t="s">
        <v>25</v>
      </c>
      <c r="L164" s="164">
        <v>415071.32</v>
      </c>
    </row>
    <row r="165" spans="1:12" ht="71.400000000000006" x14ac:dyDescent="0.3">
      <c r="A165" s="158" t="s">
        <v>103</v>
      </c>
      <c r="B165" s="159" t="s">
        <v>436</v>
      </c>
      <c r="C165" s="159" t="s">
        <v>53</v>
      </c>
      <c r="D165" s="159" t="s">
        <v>401</v>
      </c>
      <c r="E165" s="160" t="s">
        <v>54</v>
      </c>
      <c r="F165" s="166" t="s">
        <v>32</v>
      </c>
      <c r="G165" s="166"/>
      <c r="H165" s="160" t="s">
        <v>30</v>
      </c>
      <c r="I165" s="167">
        <v>2579.23</v>
      </c>
      <c r="J165" s="167"/>
      <c r="K165" s="163" t="s">
        <v>25</v>
      </c>
      <c r="L165" s="164">
        <v>412492.09</v>
      </c>
    </row>
    <row r="166" spans="1:12" ht="61.2" x14ac:dyDescent="0.3">
      <c r="A166" s="158" t="s">
        <v>103</v>
      </c>
      <c r="B166" s="159" t="s">
        <v>437</v>
      </c>
      <c r="C166" s="159" t="s">
        <v>53</v>
      </c>
      <c r="D166" s="159" t="s">
        <v>438</v>
      </c>
      <c r="E166" s="160" t="s">
        <v>54</v>
      </c>
      <c r="F166" s="166" t="s">
        <v>32</v>
      </c>
      <c r="G166" s="166"/>
      <c r="H166" s="160" t="s">
        <v>30</v>
      </c>
      <c r="I166" s="167">
        <v>1950</v>
      </c>
      <c r="J166" s="167"/>
      <c r="K166" s="163" t="s">
        <v>25</v>
      </c>
      <c r="L166" s="164">
        <v>410542.09</v>
      </c>
    </row>
    <row r="167" spans="1:12" hidden="1" x14ac:dyDescent="0.3">
      <c r="A167" s="169" t="s">
        <v>120</v>
      </c>
      <c r="B167" s="169"/>
      <c r="C167" s="169"/>
      <c r="D167" s="169"/>
      <c r="E167" s="170">
        <v>2034278.17</v>
      </c>
      <c r="F167" s="170"/>
      <c r="G167" s="170"/>
      <c r="H167" s="170">
        <v>2000416.12</v>
      </c>
      <c r="I167" s="170"/>
      <c r="J167" s="170"/>
      <c r="K167" s="171" t="s">
        <v>25</v>
      </c>
      <c r="L167" s="172">
        <v>410542.09</v>
      </c>
    </row>
    <row r="169" spans="1:12" x14ac:dyDescent="0.3">
      <c r="J169" s="2">
        <f>SUBTOTAL(9,I134:J166)</f>
        <v>50006.270000000011</v>
      </c>
    </row>
  </sheetData>
  <autoFilter ref="A1:L167" xr:uid="{81065CF1-8A7D-4AC7-91E6-71EFC3F955FC}">
    <filterColumn colId="1">
      <filters>
        <filter val="Списання товарів ІБ00-000258 від 22.05.2025 13:56:17_x000a_Списаны ТМЦ"/>
        <filter val="Списання товарів ІБ00-000261 від 22.05.2025 16:08:50_x000a_Списаны ТМЦ"/>
        <filter val="Списання товарів ІБ00-000262 від 22.05.2025 16:53:39_x000a_Списаны ТМЦ"/>
        <filter val="Списання товарів ІБ00-000264 від 29.05.2025 12:30:48_x000a_Списаны ТМЦ"/>
        <filter val="Списання товарів ІБ00-000266 від 29.05.2025 13:11:54_x000a_Списаны ТМЦ"/>
        <filter val="Списання товарів ІБ00-000267 від 29.05.2025 13:31:44_x000a_Списаны ТМЦ"/>
        <filter val="Списання товарів ІБ00-000274 від 29.05.2025 21:00:25_x000a_Списаны ТМЦ"/>
        <filter val="Списання товарів ІБ00-000277 від 29.05.2025 21:00:32_x000a_Списаны ТМЦ"/>
        <filter val="Списання товарів ІБ00-000278 від 29.05.2025 21:00:33_x000a_Списаны ТМЦ"/>
        <filter val="Списання товарів ІБ00-000280 від 29.05.2025 21:00:00_x000a_Списаны ТМЦ"/>
        <filter val="Списання товарів ІБ00-000281 від 29.05.2025 21:00:00_x000a_Списаны ТМЦ"/>
        <filter val="Списання товарів ІБ00-000282 від 29.05.2025 21:00:00_x000a_Списаны ТМЦ"/>
        <filter val="Списання товарів ІБ00-000283 від 29.05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40">
    <mergeCell ref="F166:G166"/>
    <mergeCell ref="I166:J166"/>
    <mergeCell ref="A167:D167"/>
    <mergeCell ref="E167:G167"/>
    <mergeCell ref="H167:J167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8B02-AE27-4605-A811-264155941424}">
  <sheetPr filterMode="1"/>
  <dimension ref="A1:L32"/>
  <sheetViews>
    <sheetView workbookViewId="0">
      <selection activeCell="J33" sqref="J33"/>
    </sheetView>
  </sheetViews>
  <sheetFormatPr defaultRowHeight="14.4" x14ac:dyDescent="0.3"/>
  <cols>
    <col min="2" max="4" width="18.21875" customWidth="1"/>
    <col min="12" max="12" width="13.109375" customWidth="1"/>
  </cols>
  <sheetData>
    <row r="1" spans="1:12" x14ac:dyDescent="0.3">
      <c r="A1" s="173" t="s">
        <v>17</v>
      </c>
      <c r="B1" s="174" t="s">
        <v>18</v>
      </c>
      <c r="C1" s="174" t="s">
        <v>19</v>
      </c>
      <c r="D1" s="175" t="s">
        <v>20</v>
      </c>
      <c r="E1" s="176" t="s">
        <v>21</v>
      </c>
      <c r="F1" s="176"/>
      <c r="G1" s="176"/>
      <c r="H1" s="177" t="s">
        <v>22</v>
      </c>
      <c r="I1" s="177"/>
      <c r="J1" s="177"/>
      <c r="K1" s="174" t="s">
        <v>23</v>
      </c>
      <c r="L1" s="174"/>
    </row>
    <row r="2" spans="1:12" hidden="1" x14ac:dyDescent="0.3">
      <c r="A2" s="178"/>
      <c r="B2" s="179"/>
      <c r="C2" s="179"/>
      <c r="D2" s="180"/>
      <c r="E2" s="181" t="s">
        <v>24</v>
      </c>
      <c r="F2" s="182"/>
      <c r="G2" s="182"/>
      <c r="H2" s="183" t="s">
        <v>24</v>
      </c>
      <c r="I2" s="184"/>
      <c r="J2" s="184"/>
      <c r="K2" s="178"/>
      <c r="L2" s="185"/>
    </row>
    <row r="3" spans="1:12" ht="71.400000000000006" hidden="1" x14ac:dyDescent="0.3">
      <c r="A3" s="186" t="s">
        <v>26</v>
      </c>
      <c r="B3" s="187" t="s">
        <v>439</v>
      </c>
      <c r="C3" s="187" t="s">
        <v>440</v>
      </c>
      <c r="D3" s="187" t="s">
        <v>441</v>
      </c>
      <c r="E3" s="188" t="s">
        <v>30</v>
      </c>
      <c r="F3" s="189">
        <v>620</v>
      </c>
      <c r="G3" s="189"/>
      <c r="H3" s="188" t="s">
        <v>31</v>
      </c>
      <c r="I3" s="190" t="s">
        <v>32</v>
      </c>
      <c r="J3" s="190"/>
      <c r="K3" s="191" t="s">
        <v>25</v>
      </c>
      <c r="L3" s="192">
        <v>1776705.79</v>
      </c>
    </row>
    <row r="4" spans="1:12" ht="71.400000000000006" hidden="1" x14ac:dyDescent="0.3">
      <c r="A4" s="186" t="s">
        <v>26</v>
      </c>
      <c r="B4" s="187" t="s">
        <v>288</v>
      </c>
      <c r="C4" s="187" t="s">
        <v>289</v>
      </c>
      <c r="D4" s="187" t="s">
        <v>274</v>
      </c>
      <c r="E4" s="188" t="s">
        <v>30</v>
      </c>
      <c r="F4" s="193">
        <v>4688.3</v>
      </c>
      <c r="G4" s="193"/>
      <c r="H4" s="188" t="s">
        <v>30</v>
      </c>
      <c r="I4" s="190" t="s">
        <v>32</v>
      </c>
      <c r="J4" s="190"/>
      <c r="K4" s="191" t="s">
        <v>25</v>
      </c>
      <c r="L4" s="192">
        <v>1781394.09</v>
      </c>
    </row>
    <row r="5" spans="1:12" ht="71.400000000000006" hidden="1" x14ac:dyDescent="0.3">
      <c r="A5" s="186" t="s">
        <v>26</v>
      </c>
      <c r="B5" s="187" t="s">
        <v>288</v>
      </c>
      <c r="C5" s="187" t="s">
        <v>290</v>
      </c>
      <c r="D5" s="187" t="s">
        <v>275</v>
      </c>
      <c r="E5" s="188" t="s">
        <v>30</v>
      </c>
      <c r="F5" s="193">
        <v>6477.26</v>
      </c>
      <c r="G5" s="193"/>
      <c r="H5" s="188" t="s">
        <v>30</v>
      </c>
      <c r="I5" s="190" t="s">
        <v>32</v>
      </c>
      <c r="J5" s="190"/>
      <c r="K5" s="191" t="s">
        <v>25</v>
      </c>
      <c r="L5" s="192">
        <v>1787871.35</v>
      </c>
    </row>
    <row r="6" spans="1:12" ht="71.400000000000006" x14ac:dyDescent="0.3">
      <c r="A6" s="186" t="s">
        <v>26</v>
      </c>
      <c r="B6" s="187" t="s">
        <v>442</v>
      </c>
      <c r="C6" s="187" t="s">
        <v>53</v>
      </c>
      <c r="D6" s="187" t="s">
        <v>443</v>
      </c>
      <c r="E6" s="188" t="s">
        <v>54</v>
      </c>
      <c r="F6" s="194" t="s">
        <v>32</v>
      </c>
      <c r="G6" s="194"/>
      <c r="H6" s="188" t="s">
        <v>30</v>
      </c>
      <c r="I6" s="195">
        <v>546.25</v>
      </c>
      <c r="J6" s="195"/>
      <c r="K6" s="191" t="s">
        <v>25</v>
      </c>
      <c r="L6" s="192">
        <v>1787325.1</v>
      </c>
    </row>
    <row r="7" spans="1:12" ht="81.599999999999994" hidden="1" x14ac:dyDescent="0.3">
      <c r="A7" s="186" t="s">
        <v>26</v>
      </c>
      <c r="B7" s="187" t="s">
        <v>444</v>
      </c>
      <c r="C7" s="187" t="s">
        <v>445</v>
      </c>
      <c r="D7" s="187" t="s">
        <v>446</v>
      </c>
      <c r="E7" s="188" t="s">
        <v>30</v>
      </c>
      <c r="F7" s="194" t="s">
        <v>32</v>
      </c>
      <c r="G7" s="194"/>
      <c r="H7" s="188" t="s">
        <v>30</v>
      </c>
      <c r="I7" s="196">
        <v>1573.54</v>
      </c>
      <c r="J7" s="196"/>
      <c r="K7" s="191" t="s">
        <v>25</v>
      </c>
      <c r="L7" s="192">
        <v>1785751.56</v>
      </c>
    </row>
    <row r="8" spans="1:12" ht="71.400000000000006" hidden="1" x14ac:dyDescent="0.3">
      <c r="A8" s="186" t="s">
        <v>71</v>
      </c>
      <c r="B8" s="187" t="s">
        <v>389</v>
      </c>
      <c r="C8" s="187" t="s">
        <v>390</v>
      </c>
      <c r="D8" s="187" t="s">
        <v>368</v>
      </c>
      <c r="E8" s="188" t="s">
        <v>30</v>
      </c>
      <c r="F8" s="193">
        <v>15258.22</v>
      </c>
      <c r="G8" s="193"/>
      <c r="H8" s="188" t="s">
        <v>30</v>
      </c>
      <c r="I8" s="190" t="s">
        <v>32</v>
      </c>
      <c r="J8" s="190"/>
      <c r="K8" s="191" t="s">
        <v>25</v>
      </c>
      <c r="L8" s="192">
        <v>1801009.78</v>
      </c>
    </row>
    <row r="9" spans="1:12" ht="71.400000000000006" hidden="1" x14ac:dyDescent="0.3">
      <c r="A9" s="186" t="s">
        <v>71</v>
      </c>
      <c r="B9" s="187" t="s">
        <v>389</v>
      </c>
      <c r="C9" s="187" t="s">
        <v>391</v>
      </c>
      <c r="D9" s="187" t="s">
        <v>241</v>
      </c>
      <c r="E9" s="188" t="s">
        <v>30</v>
      </c>
      <c r="F9" s="193">
        <v>3365.22</v>
      </c>
      <c r="G9" s="193"/>
      <c r="H9" s="188" t="s">
        <v>30</v>
      </c>
      <c r="I9" s="190" t="s">
        <v>32</v>
      </c>
      <c r="J9" s="190"/>
      <c r="K9" s="191" t="s">
        <v>25</v>
      </c>
      <c r="L9" s="192">
        <v>1804375</v>
      </c>
    </row>
    <row r="10" spans="1:12" ht="71.400000000000006" hidden="1" x14ac:dyDescent="0.3">
      <c r="A10" s="186" t="s">
        <v>71</v>
      </c>
      <c r="B10" s="187" t="s">
        <v>389</v>
      </c>
      <c r="C10" s="187" t="s">
        <v>392</v>
      </c>
      <c r="D10" s="187" t="s">
        <v>372</v>
      </c>
      <c r="E10" s="188" t="s">
        <v>30</v>
      </c>
      <c r="F10" s="189">
        <v>933.08</v>
      </c>
      <c r="G10" s="189"/>
      <c r="H10" s="188" t="s">
        <v>30</v>
      </c>
      <c r="I10" s="190" t="s">
        <v>32</v>
      </c>
      <c r="J10" s="190"/>
      <c r="K10" s="191" t="s">
        <v>25</v>
      </c>
      <c r="L10" s="192">
        <v>1805308.08</v>
      </c>
    </row>
    <row r="11" spans="1:12" ht="81.599999999999994" hidden="1" x14ac:dyDescent="0.3">
      <c r="A11" s="186" t="s">
        <v>71</v>
      </c>
      <c r="B11" s="187" t="s">
        <v>447</v>
      </c>
      <c r="C11" s="187" t="s">
        <v>448</v>
      </c>
      <c r="D11" s="187" t="s">
        <v>390</v>
      </c>
      <c r="E11" s="188" t="s">
        <v>30</v>
      </c>
      <c r="F11" s="194" t="s">
        <v>32</v>
      </c>
      <c r="G11" s="194"/>
      <c r="H11" s="188" t="s">
        <v>30</v>
      </c>
      <c r="I11" s="196">
        <v>5459.36</v>
      </c>
      <c r="J11" s="196"/>
      <c r="K11" s="191" t="s">
        <v>25</v>
      </c>
      <c r="L11" s="192">
        <v>1799848.72</v>
      </c>
    </row>
    <row r="12" spans="1:12" ht="81.599999999999994" hidden="1" x14ac:dyDescent="0.3">
      <c r="A12" s="186" t="s">
        <v>71</v>
      </c>
      <c r="B12" s="187" t="s">
        <v>449</v>
      </c>
      <c r="C12" s="187" t="s">
        <v>450</v>
      </c>
      <c r="D12" s="187" t="s">
        <v>391</v>
      </c>
      <c r="E12" s="188" t="s">
        <v>30</v>
      </c>
      <c r="F12" s="194" t="s">
        <v>32</v>
      </c>
      <c r="G12" s="194"/>
      <c r="H12" s="188" t="s">
        <v>30</v>
      </c>
      <c r="I12" s="196">
        <v>3365.22</v>
      </c>
      <c r="J12" s="196"/>
      <c r="K12" s="191" t="s">
        <v>25</v>
      </c>
      <c r="L12" s="192">
        <v>1796483.5</v>
      </c>
    </row>
    <row r="13" spans="1:12" ht="102" hidden="1" x14ac:dyDescent="0.3">
      <c r="A13" s="186" t="s">
        <v>89</v>
      </c>
      <c r="B13" s="187" t="s">
        <v>451</v>
      </c>
      <c r="C13" s="187" t="s">
        <v>452</v>
      </c>
      <c r="D13" s="187" t="s">
        <v>453</v>
      </c>
      <c r="E13" s="188" t="s">
        <v>30</v>
      </c>
      <c r="F13" s="193">
        <v>340799.04</v>
      </c>
      <c r="G13" s="193"/>
      <c r="H13" s="188" t="s">
        <v>31</v>
      </c>
      <c r="I13" s="190" t="s">
        <v>32</v>
      </c>
      <c r="J13" s="190"/>
      <c r="K13" s="191" t="s">
        <v>25</v>
      </c>
      <c r="L13" s="192">
        <v>2137282.54</v>
      </c>
    </row>
    <row r="14" spans="1:12" ht="112.2" hidden="1" x14ac:dyDescent="0.3">
      <c r="A14" s="186" t="s">
        <v>89</v>
      </c>
      <c r="B14" s="187" t="s">
        <v>454</v>
      </c>
      <c r="C14" s="187" t="s">
        <v>455</v>
      </c>
      <c r="D14" s="187" t="s">
        <v>453</v>
      </c>
      <c r="E14" s="188" t="s">
        <v>30</v>
      </c>
      <c r="F14" s="193">
        <v>169985.35</v>
      </c>
      <c r="G14" s="193"/>
      <c r="H14" s="188" t="s">
        <v>31</v>
      </c>
      <c r="I14" s="190" t="s">
        <v>32</v>
      </c>
      <c r="J14" s="190"/>
      <c r="K14" s="191" t="s">
        <v>25</v>
      </c>
      <c r="L14" s="192">
        <v>2307267.89</v>
      </c>
    </row>
    <row r="15" spans="1:12" ht="112.2" hidden="1" x14ac:dyDescent="0.3">
      <c r="A15" s="186" t="s">
        <v>89</v>
      </c>
      <c r="B15" s="187" t="s">
        <v>454</v>
      </c>
      <c r="C15" s="187" t="s">
        <v>456</v>
      </c>
      <c r="D15" s="187" t="s">
        <v>453</v>
      </c>
      <c r="E15" s="188" t="s">
        <v>30</v>
      </c>
      <c r="F15" s="193">
        <v>20708.28</v>
      </c>
      <c r="G15" s="193"/>
      <c r="H15" s="188" t="s">
        <v>31</v>
      </c>
      <c r="I15" s="190" t="s">
        <v>32</v>
      </c>
      <c r="J15" s="190"/>
      <c r="K15" s="191" t="s">
        <v>25</v>
      </c>
      <c r="L15" s="192">
        <v>2327976.17</v>
      </c>
    </row>
    <row r="16" spans="1:12" ht="112.2" hidden="1" x14ac:dyDescent="0.3">
      <c r="A16" s="186" t="s">
        <v>89</v>
      </c>
      <c r="B16" s="187" t="s">
        <v>454</v>
      </c>
      <c r="C16" s="187" t="s">
        <v>457</v>
      </c>
      <c r="D16" s="187" t="s">
        <v>453</v>
      </c>
      <c r="E16" s="188" t="s">
        <v>30</v>
      </c>
      <c r="F16" s="193">
        <v>65852.320000000007</v>
      </c>
      <c r="G16" s="193"/>
      <c r="H16" s="188" t="s">
        <v>31</v>
      </c>
      <c r="I16" s="190" t="s">
        <v>32</v>
      </c>
      <c r="J16" s="190"/>
      <c r="K16" s="191" t="s">
        <v>25</v>
      </c>
      <c r="L16" s="192">
        <v>2393828.4900000002</v>
      </c>
    </row>
    <row r="17" spans="1:12" ht="102" hidden="1" x14ac:dyDescent="0.3">
      <c r="A17" s="186" t="s">
        <v>205</v>
      </c>
      <c r="B17" s="187" t="s">
        <v>458</v>
      </c>
      <c r="C17" s="187" t="s">
        <v>459</v>
      </c>
      <c r="D17" s="187" t="s">
        <v>453</v>
      </c>
      <c r="E17" s="188" t="s">
        <v>30</v>
      </c>
      <c r="F17" s="193">
        <v>36586.75</v>
      </c>
      <c r="G17" s="193"/>
      <c r="H17" s="188" t="s">
        <v>31</v>
      </c>
      <c r="I17" s="190" t="s">
        <v>32</v>
      </c>
      <c r="J17" s="190"/>
      <c r="K17" s="191" t="s">
        <v>25</v>
      </c>
      <c r="L17" s="192">
        <v>2430415.2400000002</v>
      </c>
    </row>
    <row r="18" spans="1:12" ht="102" hidden="1" x14ac:dyDescent="0.3">
      <c r="A18" s="186" t="s">
        <v>205</v>
      </c>
      <c r="B18" s="187" t="s">
        <v>460</v>
      </c>
      <c r="C18" s="187" t="s">
        <v>461</v>
      </c>
      <c r="D18" s="187" t="s">
        <v>453</v>
      </c>
      <c r="E18" s="188" t="s">
        <v>30</v>
      </c>
      <c r="F18" s="193">
        <v>172506.79</v>
      </c>
      <c r="G18" s="193"/>
      <c r="H18" s="188" t="s">
        <v>31</v>
      </c>
      <c r="I18" s="190" t="s">
        <v>32</v>
      </c>
      <c r="J18" s="190"/>
      <c r="K18" s="191" t="s">
        <v>25</v>
      </c>
      <c r="L18" s="192">
        <v>2602922.0299999998</v>
      </c>
    </row>
    <row r="19" spans="1:12" ht="102" hidden="1" x14ac:dyDescent="0.3">
      <c r="A19" s="186" t="s">
        <v>205</v>
      </c>
      <c r="B19" s="187" t="s">
        <v>458</v>
      </c>
      <c r="C19" s="187" t="s">
        <v>461</v>
      </c>
      <c r="D19" s="187" t="s">
        <v>453</v>
      </c>
      <c r="E19" s="188" t="s">
        <v>30</v>
      </c>
      <c r="F19" s="193">
        <v>131191.84</v>
      </c>
      <c r="G19" s="193"/>
      <c r="H19" s="188" t="s">
        <v>31</v>
      </c>
      <c r="I19" s="190" t="s">
        <v>32</v>
      </c>
      <c r="J19" s="190"/>
      <c r="K19" s="191" t="s">
        <v>25</v>
      </c>
      <c r="L19" s="192">
        <v>2734113.87</v>
      </c>
    </row>
    <row r="20" spans="1:12" ht="81.599999999999994" hidden="1" x14ac:dyDescent="0.3">
      <c r="A20" s="186" t="s">
        <v>205</v>
      </c>
      <c r="B20" s="187" t="s">
        <v>460</v>
      </c>
      <c r="C20" s="187" t="s">
        <v>462</v>
      </c>
      <c r="D20" s="187" t="s">
        <v>453</v>
      </c>
      <c r="E20" s="188" t="s">
        <v>30</v>
      </c>
      <c r="F20" s="193">
        <v>6825</v>
      </c>
      <c r="G20" s="193"/>
      <c r="H20" s="188" t="s">
        <v>31</v>
      </c>
      <c r="I20" s="190" t="s">
        <v>32</v>
      </c>
      <c r="J20" s="190"/>
      <c r="K20" s="191" t="s">
        <v>25</v>
      </c>
      <c r="L20" s="192">
        <v>2740938.87</v>
      </c>
    </row>
    <row r="21" spans="1:12" ht="81.599999999999994" hidden="1" x14ac:dyDescent="0.3">
      <c r="A21" s="186" t="s">
        <v>205</v>
      </c>
      <c r="B21" s="187" t="s">
        <v>460</v>
      </c>
      <c r="C21" s="187" t="s">
        <v>463</v>
      </c>
      <c r="D21" s="187" t="s">
        <v>453</v>
      </c>
      <c r="E21" s="188" t="s">
        <v>30</v>
      </c>
      <c r="F21" s="193">
        <v>4387.5</v>
      </c>
      <c r="G21" s="193"/>
      <c r="H21" s="188" t="s">
        <v>31</v>
      </c>
      <c r="I21" s="190" t="s">
        <v>32</v>
      </c>
      <c r="J21" s="190"/>
      <c r="K21" s="191" t="s">
        <v>25</v>
      </c>
      <c r="L21" s="192">
        <v>2745326.37</v>
      </c>
    </row>
    <row r="22" spans="1:12" ht="91.8" hidden="1" x14ac:dyDescent="0.3">
      <c r="A22" s="186" t="s">
        <v>205</v>
      </c>
      <c r="B22" s="187" t="s">
        <v>460</v>
      </c>
      <c r="C22" s="187" t="s">
        <v>464</v>
      </c>
      <c r="D22" s="187" t="s">
        <v>453</v>
      </c>
      <c r="E22" s="188" t="s">
        <v>30</v>
      </c>
      <c r="F22" s="193">
        <v>13000</v>
      </c>
      <c r="G22" s="193"/>
      <c r="H22" s="188" t="s">
        <v>31</v>
      </c>
      <c r="I22" s="190" t="s">
        <v>32</v>
      </c>
      <c r="J22" s="190"/>
      <c r="K22" s="191" t="s">
        <v>25</v>
      </c>
      <c r="L22" s="192">
        <v>2758326.37</v>
      </c>
    </row>
    <row r="23" spans="1:12" ht="71.400000000000006" hidden="1" x14ac:dyDescent="0.3">
      <c r="A23" s="186" t="s">
        <v>205</v>
      </c>
      <c r="B23" s="187" t="s">
        <v>460</v>
      </c>
      <c r="C23" s="187" t="s">
        <v>465</v>
      </c>
      <c r="D23" s="187" t="s">
        <v>453</v>
      </c>
      <c r="E23" s="188" t="s">
        <v>30</v>
      </c>
      <c r="F23" s="193">
        <v>3000</v>
      </c>
      <c r="G23" s="193"/>
      <c r="H23" s="188" t="s">
        <v>31</v>
      </c>
      <c r="I23" s="190" t="s">
        <v>32</v>
      </c>
      <c r="J23" s="190"/>
      <c r="K23" s="191" t="s">
        <v>25</v>
      </c>
      <c r="L23" s="192">
        <v>2761326.37</v>
      </c>
    </row>
    <row r="24" spans="1:12" ht="81.599999999999994" hidden="1" x14ac:dyDescent="0.3">
      <c r="A24" s="186" t="s">
        <v>205</v>
      </c>
      <c r="B24" s="187" t="s">
        <v>460</v>
      </c>
      <c r="C24" s="187" t="s">
        <v>466</v>
      </c>
      <c r="D24" s="187" t="s">
        <v>453</v>
      </c>
      <c r="E24" s="188" t="s">
        <v>30</v>
      </c>
      <c r="F24" s="193">
        <v>28560</v>
      </c>
      <c r="G24" s="193"/>
      <c r="H24" s="188" t="s">
        <v>31</v>
      </c>
      <c r="I24" s="190" t="s">
        <v>32</v>
      </c>
      <c r="J24" s="190"/>
      <c r="K24" s="191" t="s">
        <v>25</v>
      </c>
      <c r="L24" s="192">
        <v>2789886.37</v>
      </c>
    </row>
    <row r="25" spans="1:12" ht="81.599999999999994" hidden="1" x14ac:dyDescent="0.3">
      <c r="A25" s="186" t="s">
        <v>205</v>
      </c>
      <c r="B25" s="187" t="s">
        <v>460</v>
      </c>
      <c r="C25" s="187" t="s">
        <v>467</v>
      </c>
      <c r="D25" s="187" t="s">
        <v>453</v>
      </c>
      <c r="E25" s="188" t="s">
        <v>30</v>
      </c>
      <c r="F25" s="193">
        <v>13265</v>
      </c>
      <c r="G25" s="193"/>
      <c r="H25" s="188" t="s">
        <v>31</v>
      </c>
      <c r="I25" s="190" t="s">
        <v>32</v>
      </c>
      <c r="J25" s="190"/>
      <c r="K25" s="191" t="s">
        <v>25</v>
      </c>
      <c r="L25" s="192">
        <v>2803151.37</v>
      </c>
    </row>
    <row r="26" spans="1:12" ht="81.599999999999994" hidden="1" x14ac:dyDescent="0.3">
      <c r="A26" s="186" t="s">
        <v>205</v>
      </c>
      <c r="B26" s="187" t="s">
        <v>460</v>
      </c>
      <c r="C26" s="187" t="s">
        <v>468</v>
      </c>
      <c r="D26" s="187" t="s">
        <v>453</v>
      </c>
      <c r="E26" s="188" t="s">
        <v>30</v>
      </c>
      <c r="F26" s="193">
        <v>3440</v>
      </c>
      <c r="G26" s="193"/>
      <c r="H26" s="188" t="s">
        <v>31</v>
      </c>
      <c r="I26" s="190" t="s">
        <v>32</v>
      </c>
      <c r="J26" s="190"/>
      <c r="K26" s="191" t="s">
        <v>25</v>
      </c>
      <c r="L26" s="192">
        <v>2806591.37</v>
      </c>
    </row>
    <row r="27" spans="1:12" ht="102" hidden="1" x14ac:dyDescent="0.3">
      <c r="A27" s="186" t="s">
        <v>93</v>
      </c>
      <c r="B27" s="187" t="s">
        <v>469</v>
      </c>
      <c r="C27" s="187" t="s">
        <v>470</v>
      </c>
      <c r="D27" s="187" t="s">
        <v>453</v>
      </c>
      <c r="E27" s="188" t="s">
        <v>30</v>
      </c>
      <c r="F27" s="193">
        <v>363518.98</v>
      </c>
      <c r="G27" s="193"/>
      <c r="H27" s="188" t="s">
        <v>31</v>
      </c>
      <c r="I27" s="190" t="s">
        <v>32</v>
      </c>
      <c r="J27" s="190"/>
      <c r="K27" s="191" t="s">
        <v>25</v>
      </c>
      <c r="L27" s="192">
        <v>3170110.35</v>
      </c>
    </row>
    <row r="28" spans="1:12" ht="102" hidden="1" x14ac:dyDescent="0.3">
      <c r="A28" s="186" t="s">
        <v>93</v>
      </c>
      <c r="B28" s="187" t="s">
        <v>471</v>
      </c>
      <c r="C28" s="187" t="s">
        <v>472</v>
      </c>
      <c r="D28" s="187" t="s">
        <v>453</v>
      </c>
      <c r="E28" s="188" t="s">
        <v>30</v>
      </c>
      <c r="F28" s="193">
        <v>112889.68</v>
      </c>
      <c r="G28" s="193"/>
      <c r="H28" s="188" t="s">
        <v>31</v>
      </c>
      <c r="I28" s="190" t="s">
        <v>32</v>
      </c>
      <c r="J28" s="190"/>
      <c r="K28" s="191" t="s">
        <v>25</v>
      </c>
      <c r="L28" s="192">
        <v>3283000.03</v>
      </c>
    </row>
    <row r="29" spans="1:12" ht="71.400000000000006" hidden="1" x14ac:dyDescent="0.3">
      <c r="A29" s="186" t="s">
        <v>103</v>
      </c>
      <c r="B29" s="187" t="s">
        <v>473</v>
      </c>
      <c r="C29" s="187" t="s">
        <v>474</v>
      </c>
      <c r="D29" s="187" t="s">
        <v>475</v>
      </c>
      <c r="E29" s="188" t="s">
        <v>30</v>
      </c>
      <c r="F29" s="194" t="s">
        <v>32</v>
      </c>
      <c r="G29" s="194"/>
      <c r="H29" s="188" t="s">
        <v>30</v>
      </c>
      <c r="I29" s="196">
        <v>18970</v>
      </c>
      <c r="J29" s="196"/>
      <c r="K29" s="191" t="s">
        <v>25</v>
      </c>
      <c r="L29" s="192">
        <v>3264030.03</v>
      </c>
    </row>
    <row r="30" spans="1:12" hidden="1" x14ac:dyDescent="0.3">
      <c r="A30" s="197" t="s">
        <v>120</v>
      </c>
      <c r="B30" s="197"/>
      <c r="C30" s="197"/>
      <c r="D30" s="197"/>
      <c r="E30" s="198">
        <v>1517858.61</v>
      </c>
      <c r="F30" s="198"/>
      <c r="G30" s="198"/>
      <c r="H30" s="198">
        <v>29914.37</v>
      </c>
      <c r="I30" s="198"/>
      <c r="J30" s="198"/>
      <c r="K30" s="199" t="s">
        <v>25</v>
      </c>
      <c r="L30" s="200">
        <v>3264030.03</v>
      </c>
    </row>
    <row r="32" spans="1:12" x14ac:dyDescent="0.3">
      <c r="J32" s="448">
        <f>I6</f>
        <v>546.25</v>
      </c>
    </row>
  </sheetData>
  <autoFilter ref="A1:L30" xr:uid="{FE9ACF4C-45DF-4214-8C92-0B13AFCDF2F0}">
    <filterColumn colId="1">
      <filters>
        <filter val="Вимога-накладна ІБ00-000364 від 01.05.2025 23:31:16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6">
    <mergeCell ref="F28:G28"/>
    <mergeCell ref="I28:J28"/>
    <mergeCell ref="F29:G29"/>
    <mergeCell ref="I29:J29"/>
    <mergeCell ref="A30:D30"/>
    <mergeCell ref="E30:G30"/>
    <mergeCell ref="H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70FF-4F29-4E47-8AB5-5D8AF6925847}">
  <sheetPr filterMode="1"/>
  <dimension ref="A1:L9"/>
  <sheetViews>
    <sheetView workbookViewId="0">
      <selection activeCell="B1" sqref="B1:B2"/>
    </sheetView>
  </sheetViews>
  <sheetFormatPr defaultRowHeight="14.4" x14ac:dyDescent="0.3"/>
  <cols>
    <col min="2" max="4" width="18.21875" customWidth="1"/>
  </cols>
  <sheetData>
    <row r="1" spans="1:12" x14ac:dyDescent="0.3">
      <c r="A1" s="201" t="s">
        <v>17</v>
      </c>
      <c r="B1" s="202" t="s">
        <v>18</v>
      </c>
      <c r="C1" s="202" t="s">
        <v>19</v>
      </c>
      <c r="D1" s="203" t="s">
        <v>20</v>
      </c>
      <c r="E1" s="204" t="s">
        <v>21</v>
      </c>
      <c r="F1" s="204"/>
      <c r="G1" s="204"/>
      <c r="H1" s="205" t="s">
        <v>22</v>
      </c>
      <c r="I1" s="205"/>
      <c r="J1" s="205"/>
      <c r="K1" s="202" t="s">
        <v>23</v>
      </c>
      <c r="L1" s="202"/>
    </row>
    <row r="2" spans="1:12" x14ac:dyDescent="0.3">
      <c r="A2" s="206"/>
      <c r="B2" s="207"/>
      <c r="C2" s="207"/>
      <c r="D2" s="208"/>
      <c r="E2" s="209" t="s">
        <v>24</v>
      </c>
      <c r="F2" s="210"/>
      <c r="G2" s="210"/>
      <c r="H2" s="211" t="s">
        <v>24</v>
      </c>
      <c r="I2" s="212"/>
      <c r="J2" s="212"/>
      <c r="K2" s="206"/>
      <c r="L2" s="213"/>
    </row>
    <row r="3" spans="1:12" ht="102" hidden="1" x14ac:dyDescent="0.3">
      <c r="A3" s="214" t="s">
        <v>26</v>
      </c>
      <c r="B3" s="215" t="s">
        <v>476</v>
      </c>
      <c r="C3" s="215" t="s">
        <v>477</v>
      </c>
      <c r="D3" s="215" t="s">
        <v>478</v>
      </c>
      <c r="E3" s="216" t="s">
        <v>30</v>
      </c>
      <c r="F3" s="217" t="s">
        <v>32</v>
      </c>
      <c r="G3" s="217"/>
      <c r="H3" s="216" t="s">
        <v>30</v>
      </c>
      <c r="I3" s="218">
        <v>8005.33</v>
      </c>
      <c r="J3" s="218"/>
      <c r="K3" s="219" t="s">
        <v>25</v>
      </c>
      <c r="L3" s="220">
        <v>25644.81</v>
      </c>
    </row>
    <row r="4" spans="1:12" ht="71.400000000000006" hidden="1" x14ac:dyDescent="0.3">
      <c r="A4" s="214" t="s">
        <v>479</v>
      </c>
      <c r="B4" s="215" t="s">
        <v>480</v>
      </c>
      <c r="C4" s="215" t="s">
        <v>399</v>
      </c>
      <c r="D4" s="215" t="s">
        <v>481</v>
      </c>
      <c r="E4" s="216" t="s">
        <v>30</v>
      </c>
      <c r="F4" s="221">
        <v>8284.5</v>
      </c>
      <c r="G4" s="221"/>
      <c r="H4" s="216" t="s">
        <v>31</v>
      </c>
      <c r="I4" s="222" t="s">
        <v>32</v>
      </c>
      <c r="J4" s="222"/>
      <c r="K4" s="219" t="s">
        <v>25</v>
      </c>
      <c r="L4" s="220">
        <v>33929.31</v>
      </c>
    </row>
    <row r="5" spans="1:12" ht="112.2" hidden="1" x14ac:dyDescent="0.3">
      <c r="A5" s="214" t="s">
        <v>173</v>
      </c>
      <c r="B5" s="215" t="s">
        <v>482</v>
      </c>
      <c r="C5" s="215" t="s">
        <v>483</v>
      </c>
      <c r="D5" s="215" t="s">
        <v>484</v>
      </c>
      <c r="E5" s="216" t="s">
        <v>30</v>
      </c>
      <c r="F5" s="221">
        <v>18062.310000000001</v>
      </c>
      <c r="G5" s="221"/>
      <c r="H5" s="216" t="s">
        <v>31</v>
      </c>
      <c r="I5" s="222" t="s">
        <v>32</v>
      </c>
      <c r="J5" s="222"/>
      <c r="K5" s="219" t="s">
        <v>25</v>
      </c>
      <c r="L5" s="220">
        <v>51991.62</v>
      </c>
    </row>
    <row r="6" spans="1:12" ht="112.2" hidden="1" x14ac:dyDescent="0.3">
      <c r="A6" s="214" t="s">
        <v>173</v>
      </c>
      <c r="B6" s="215" t="s">
        <v>485</v>
      </c>
      <c r="C6" s="215" t="s">
        <v>486</v>
      </c>
      <c r="D6" s="215" t="s">
        <v>487</v>
      </c>
      <c r="E6" s="216" t="s">
        <v>30</v>
      </c>
      <c r="F6" s="221">
        <v>10364.36</v>
      </c>
      <c r="G6" s="221"/>
      <c r="H6" s="216" t="s">
        <v>31</v>
      </c>
      <c r="I6" s="222" t="s">
        <v>32</v>
      </c>
      <c r="J6" s="222"/>
      <c r="K6" s="219" t="s">
        <v>25</v>
      </c>
      <c r="L6" s="220">
        <v>62355.98</v>
      </c>
    </row>
    <row r="7" spans="1:12" ht="71.400000000000006" hidden="1" x14ac:dyDescent="0.3">
      <c r="A7" s="214" t="s">
        <v>71</v>
      </c>
      <c r="B7" s="215" t="s">
        <v>397</v>
      </c>
      <c r="C7" s="215" t="s">
        <v>398</v>
      </c>
      <c r="D7" s="215" t="s">
        <v>399</v>
      </c>
      <c r="E7" s="216" t="s">
        <v>30</v>
      </c>
      <c r="F7" s="217" t="s">
        <v>32</v>
      </c>
      <c r="G7" s="217"/>
      <c r="H7" s="216" t="s">
        <v>30</v>
      </c>
      <c r="I7" s="218">
        <v>8284.5</v>
      </c>
      <c r="J7" s="218"/>
      <c r="K7" s="219" t="s">
        <v>25</v>
      </c>
      <c r="L7" s="220">
        <v>54071.48</v>
      </c>
    </row>
    <row r="8" spans="1:12" ht="81.599999999999994" hidden="1" x14ac:dyDescent="0.3">
      <c r="A8" s="214" t="s">
        <v>103</v>
      </c>
      <c r="B8" s="215" t="s">
        <v>488</v>
      </c>
      <c r="C8" s="215" t="s">
        <v>489</v>
      </c>
      <c r="D8" s="215" t="s">
        <v>490</v>
      </c>
      <c r="E8" s="216" t="s">
        <v>30</v>
      </c>
      <c r="F8" s="217" t="s">
        <v>32</v>
      </c>
      <c r="G8" s="217"/>
      <c r="H8" s="216" t="s">
        <v>30</v>
      </c>
      <c r="I8" s="218">
        <v>24009.52</v>
      </c>
      <c r="J8" s="218"/>
      <c r="K8" s="219" t="s">
        <v>25</v>
      </c>
      <c r="L8" s="220">
        <v>30061.96</v>
      </c>
    </row>
    <row r="9" spans="1:12" x14ac:dyDescent="0.3">
      <c r="A9" s="223" t="s">
        <v>120</v>
      </c>
      <c r="B9" s="223"/>
      <c r="C9" s="223"/>
      <c r="D9" s="223"/>
      <c r="E9" s="224">
        <v>36711.17</v>
      </c>
      <c r="F9" s="224"/>
      <c r="G9" s="224"/>
      <c r="H9" s="224">
        <v>40299.35</v>
      </c>
      <c r="I9" s="224"/>
      <c r="J9" s="224"/>
      <c r="K9" s="225" t="s">
        <v>25</v>
      </c>
      <c r="L9" s="226">
        <v>30061.96</v>
      </c>
    </row>
  </sheetData>
  <autoFilter ref="A1:L9" xr:uid="{AC47A47C-25DB-479C-93D7-E66EC0EC1893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4">
    <mergeCell ref="F7:G7"/>
    <mergeCell ref="I7:J7"/>
    <mergeCell ref="F8:G8"/>
    <mergeCell ref="I8:J8"/>
    <mergeCell ref="A9:D9"/>
    <mergeCell ref="E9:G9"/>
    <mergeCell ref="H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6969-C54E-4355-870B-AF5ADB9F8B2D}">
  <sheetPr filterMode="1"/>
  <dimension ref="A1:L67"/>
  <sheetViews>
    <sheetView topLeftCell="A61" workbookViewId="0">
      <selection activeCell="J67" sqref="J67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227" t="s">
        <v>17</v>
      </c>
      <c r="B1" s="228" t="s">
        <v>18</v>
      </c>
      <c r="C1" s="228" t="s">
        <v>19</v>
      </c>
      <c r="D1" s="229" t="s">
        <v>20</v>
      </c>
      <c r="E1" s="230" t="s">
        <v>21</v>
      </c>
      <c r="F1" s="230"/>
      <c r="G1" s="230"/>
      <c r="H1" s="231" t="s">
        <v>22</v>
      </c>
      <c r="I1" s="231"/>
      <c r="J1" s="231"/>
      <c r="K1" s="228" t="s">
        <v>23</v>
      </c>
      <c r="L1" s="228"/>
    </row>
    <row r="2" spans="1:12" hidden="1" x14ac:dyDescent="0.3">
      <c r="A2" s="232"/>
      <c r="B2" s="233"/>
      <c r="C2" s="233"/>
      <c r="D2" s="234"/>
      <c r="E2" s="235" t="s">
        <v>24</v>
      </c>
      <c r="F2" s="236"/>
      <c r="G2" s="236"/>
      <c r="H2" s="237" t="s">
        <v>24</v>
      </c>
      <c r="I2" s="238"/>
      <c r="J2" s="238"/>
      <c r="K2" s="232"/>
      <c r="L2" s="239"/>
    </row>
    <row r="3" spans="1:12" ht="81.599999999999994" hidden="1" x14ac:dyDescent="0.3">
      <c r="A3" s="240" t="s">
        <v>26</v>
      </c>
      <c r="B3" s="241" t="s">
        <v>491</v>
      </c>
      <c r="C3" s="241" t="s">
        <v>492</v>
      </c>
      <c r="D3" s="241" t="s">
        <v>493</v>
      </c>
      <c r="E3" s="242" t="s">
        <v>30</v>
      </c>
      <c r="F3" s="243">
        <v>9142.5</v>
      </c>
      <c r="G3" s="243"/>
      <c r="H3" s="242" t="s">
        <v>31</v>
      </c>
      <c r="I3" s="244" t="s">
        <v>32</v>
      </c>
      <c r="J3" s="244"/>
      <c r="K3" s="245" t="s">
        <v>25</v>
      </c>
      <c r="L3" s="246">
        <v>375706.93</v>
      </c>
    </row>
    <row r="4" spans="1:12" ht="81.599999999999994" hidden="1" x14ac:dyDescent="0.3">
      <c r="A4" s="240" t="s">
        <v>26</v>
      </c>
      <c r="B4" s="241" t="s">
        <v>491</v>
      </c>
      <c r="C4" s="241" t="s">
        <v>494</v>
      </c>
      <c r="D4" s="241" t="s">
        <v>493</v>
      </c>
      <c r="E4" s="242" t="s">
        <v>30</v>
      </c>
      <c r="F4" s="243">
        <v>1863.75</v>
      </c>
      <c r="G4" s="243"/>
      <c r="H4" s="242" t="s">
        <v>31</v>
      </c>
      <c r="I4" s="244" t="s">
        <v>32</v>
      </c>
      <c r="J4" s="244"/>
      <c r="K4" s="245" t="s">
        <v>25</v>
      </c>
      <c r="L4" s="246">
        <v>377570.68</v>
      </c>
    </row>
    <row r="5" spans="1:12" ht="71.400000000000006" hidden="1" x14ac:dyDescent="0.3">
      <c r="A5" s="240" t="s">
        <v>26</v>
      </c>
      <c r="B5" s="241" t="s">
        <v>279</v>
      </c>
      <c r="C5" s="241" t="s">
        <v>280</v>
      </c>
      <c r="D5" s="241" t="s">
        <v>266</v>
      </c>
      <c r="E5" s="242" t="s">
        <v>30</v>
      </c>
      <c r="F5" s="243">
        <v>24956.12</v>
      </c>
      <c r="G5" s="243"/>
      <c r="H5" s="242" t="s">
        <v>30</v>
      </c>
      <c r="I5" s="244" t="s">
        <v>32</v>
      </c>
      <c r="J5" s="244"/>
      <c r="K5" s="245" t="s">
        <v>25</v>
      </c>
      <c r="L5" s="246">
        <v>402526.8</v>
      </c>
    </row>
    <row r="6" spans="1:12" ht="71.400000000000006" hidden="1" x14ac:dyDescent="0.3">
      <c r="A6" s="240" t="s">
        <v>26</v>
      </c>
      <c r="B6" s="241" t="s">
        <v>283</v>
      </c>
      <c r="C6" s="241" t="s">
        <v>284</v>
      </c>
      <c r="D6" s="241" t="s">
        <v>269</v>
      </c>
      <c r="E6" s="242" t="s">
        <v>30</v>
      </c>
      <c r="F6" s="243">
        <v>1768.39</v>
      </c>
      <c r="G6" s="243"/>
      <c r="H6" s="242" t="s">
        <v>30</v>
      </c>
      <c r="I6" s="244" t="s">
        <v>32</v>
      </c>
      <c r="J6" s="244"/>
      <c r="K6" s="245" t="s">
        <v>25</v>
      </c>
      <c r="L6" s="246">
        <v>404295.19</v>
      </c>
    </row>
    <row r="7" spans="1:12" ht="71.400000000000006" hidden="1" x14ac:dyDescent="0.3">
      <c r="A7" s="240" t="s">
        <v>26</v>
      </c>
      <c r="B7" s="241" t="s">
        <v>283</v>
      </c>
      <c r="C7" s="241" t="s">
        <v>285</v>
      </c>
      <c r="D7" s="241" t="s">
        <v>270</v>
      </c>
      <c r="E7" s="242" t="s">
        <v>30</v>
      </c>
      <c r="F7" s="243">
        <v>4935.05</v>
      </c>
      <c r="G7" s="243"/>
      <c r="H7" s="242" t="s">
        <v>30</v>
      </c>
      <c r="I7" s="244" t="s">
        <v>32</v>
      </c>
      <c r="J7" s="244"/>
      <c r="K7" s="245" t="s">
        <v>25</v>
      </c>
      <c r="L7" s="246">
        <v>409230.24</v>
      </c>
    </row>
    <row r="8" spans="1:12" ht="71.400000000000006" hidden="1" x14ac:dyDescent="0.3">
      <c r="A8" s="240" t="s">
        <v>26</v>
      </c>
      <c r="B8" s="241" t="s">
        <v>283</v>
      </c>
      <c r="C8" s="241" t="s">
        <v>286</v>
      </c>
      <c r="D8" s="241" t="s">
        <v>271</v>
      </c>
      <c r="E8" s="242" t="s">
        <v>30</v>
      </c>
      <c r="F8" s="243">
        <v>5110.87</v>
      </c>
      <c r="G8" s="243"/>
      <c r="H8" s="242" t="s">
        <v>30</v>
      </c>
      <c r="I8" s="244" t="s">
        <v>32</v>
      </c>
      <c r="J8" s="244"/>
      <c r="K8" s="245" t="s">
        <v>25</v>
      </c>
      <c r="L8" s="246">
        <v>414341.11</v>
      </c>
    </row>
    <row r="9" spans="1:12" ht="71.400000000000006" hidden="1" x14ac:dyDescent="0.3">
      <c r="A9" s="240" t="s">
        <v>26</v>
      </c>
      <c r="B9" s="241" t="s">
        <v>283</v>
      </c>
      <c r="C9" s="241" t="s">
        <v>287</v>
      </c>
      <c r="D9" s="241" t="s">
        <v>272</v>
      </c>
      <c r="E9" s="242" t="s">
        <v>30</v>
      </c>
      <c r="F9" s="243">
        <v>11926.38</v>
      </c>
      <c r="G9" s="243"/>
      <c r="H9" s="242" t="s">
        <v>30</v>
      </c>
      <c r="I9" s="244" t="s">
        <v>32</v>
      </c>
      <c r="J9" s="244"/>
      <c r="K9" s="245" t="s">
        <v>25</v>
      </c>
      <c r="L9" s="246">
        <v>426267.49</v>
      </c>
    </row>
    <row r="10" spans="1:12" ht="81.599999999999994" hidden="1" x14ac:dyDescent="0.3">
      <c r="A10" s="240" t="s">
        <v>26</v>
      </c>
      <c r="B10" s="241" t="s">
        <v>49</v>
      </c>
      <c r="C10" s="241" t="s">
        <v>50</v>
      </c>
      <c r="D10" s="241" t="s">
        <v>51</v>
      </c>
      <c r="E10" s="242" t="s">
        <v>30</v>
      </c>
      <c r="F10" s="247" t="s">
        <v>32</v>
      </c>
      <c r="G10" s="247"/>
      <c r="H10" s="242" t="s">
        <v>30</v>
      </c>
      <c r="I10" s="248">
        <v>8990</v>
      </c>
      <c r="J10" s="248"/>
      <c r="K10" s="245" t="s">
        <v>25</v>
      </c>
      <c r="L10" s="246">
        <v>417277.49</v>
      </c>
    </row>
    <row r="11" spans="1:12" ht="91.8" hidden="1" x14ac:dyDescent="0.3">
      <c r="A11" s="240" t="s">
        <v>26</v>
      </c>
      <c r="B11" s="241" t="s">
        <v>495</v>
      </c>
      <c r="C11" s="241" t="s">
        <v>496</v>
      </c>
      <c r="D11" s="241" t="s">
        <v>51</v>
      </c>
      <c r="E11" s="242" t="s">
        <v>30</v>
      </c>
      <c r="F11" s="247" t="s">
        <v>32</v>
      </c>
      <c r="G11" s="247"/>
      <c r="H11" s="242" t="s">
        <v>30</v>
      </c>
      <c r="I11" s="248">
        <v>36011.67</v>
      </c>
      <c r="J11" s="248"/>
      <c r="K11" s="245" t="s">
        <v>25</v>
      </c>
      <c r="L11" s="246">
        <v>381265.82</v>
      </c>
    </row>
    <row r="12" spans="1:12" ht="81.599999999999994" hidden="1" x14ac:dyDescent="0.3">
      <c r="A12" s="240" t="s">
        <v>26</v>
      </c>
      <c r="B12" s="241" t="s">
        <v>291</v>
      </c>
      <c r="C12" s="241" t="s">
        <v>292</v>
      </c>
      <c r="D12" s="241" t="s">
        <v>293</v>
      </c>
      <c r="E12" s="242" t="s">
        <v>30</v>
      </c>
      <c r="F12" s="243">
        <v>40207.17</v>
      </c>
      <c r="G12" s="243"/>
      <c r="H12" s="242" t="s">
        <v>30</v>
      </c>
      <c r="I12" s="244" t="s">
        <v>32</v>
      </c>
      <c r="J12" s="244"/>
      <c r="K12" s="245" t="s">
        <v>25</v>
      </c>
      <c r="L12" s="246">
        <v>421472.99</v>
      </c>
    </row>
    <row r="13" spans="1:12" ht="81.599999999999994" hidden="1" x14ac:dyDescent="0.3">
      <c r="A13" s="240" t="s">
        <v>26</v>
      </c>
      <c r="B13" s="241" t="s">
        <v>294</v>
      </c>
      <c r="C13" s="241" t="s">
        <v>295</v>
      </c>
      <c r="D13" s="241" t="s">
        <v>296</v>
      </c>
      <c r="E13" s="242" t="s">
        <v>30</v>
      </c>
      <c r="F13" s="247" t="s">
        <v>32</v>
      </c>
      <c r="G13" s="247"/>
      <c r="H13" s="242" t="s">
        <v>30</v>
      </c>
      <c r="I13" s="248">
        <v>12192.93</v>
      </c>
      <c r="J13" s="248"/>
      <c r="K13" s="245" t="s">
        <v>25</v>
      </c>
      <c r="L13" s="246">
        <v>409280.06</v>
      </c>
    </row>
    <row r="14" spans="1:12" ht="71.400000000000006" hidden="1" x14ac:dyDescent="0.3">
      <c r="A14" s="240" t="s">
        <v>55</v>
      </c>
      <c r="B14" s="241" t="s">
        <v>305</v>
      </c>
      <c r="C14" s="241" t="s">
        <v>306</v>
      </c>
      <c r="D14" s="241" t="s">
        <v>301</v>
      </c>
      <c r="E14" s="242" t="s">
        <v>30</v>
      </c>
      <c r="F14" s="243">
        <v>46803.76</v>
      </c>
      <c r="G14" s="243"/>
      <c r="H14" s="242" t="s">
        <v>30</v>
      </c>
      <c r="I14" s="244" t="s">
        <v>32</v>
      </c>
      <c r="J14" s="244"/>
      <c r="K14" s="245" t="s">
        <v>25</v>
      </c>
      <c r="L14" s="246">
        <v>456083.82</v>
      </c>
    </row>
    <row r="15" spans="1:12" ht="71.400000000000006" hidden="1" x14ac:dyDescent="0.3">
      <c r="A15" s="240" t="s">
        <v>179</v>
      </c>
      <c r="B15" s="241" t="s">
        <v>320</v>
      </c>
      <c r="C15" s="241" t="s">
        <v>321</v>
      </c>
      <c r="D15" s="241" t="s">
        <v>314</v>
      </c>
      <c r="E15" s="242" t="s">
        <v>30</v>
      </c>
      <c r="F15" s="243">
        <v>10342.5</v>
      </c>
      <c r="G15" s="243"/>
      <c r="H15" s="242" t="s">
        <v>30</v>
      </c>
      <c r="I15" s="244" t="s">
        <v>32</v>
      </c>
      <c r="J15" s="244"/>
      <c r="K15" s="245" t="s">
        <v>25</v>
      </c>
      <c r="L15" s="246">
        <v>466426.32</v>
      </c>
    </row>
    <row r="16" spans="1:12" ht="71.400000000000006" hidden="1" x14ac:dyDescent="0.3">
      <c r="A16" s="240" t="s">
        <v>59</v>
      </c>
      <c r="B16" s="241" t="s">
        <v>324</v>
      </c>
      <c r="C16" s="241" t="s">
        <v>325</v>
      </c>
      <c r="D16" s="241" t="s">
        <v>62</v>
      </c>
      <c r="E16" s="242" t="s">
        <v>30</v>
      </c>
      <c r="F16" s="243">
        <v>4687.5</v>
      </c>
      <c r="G16" s="243"/>
      <c r="H16" s="242" t="s">
        <v>30</v>
      </c>
      <c r="I16" s="244" t="s">
        <v>32</v>
      </c>
      <c r="J16" s="244"/>
      <c r="K16" s="245" t="s">
        <v>25</v>
      </c>
      <c r="L16" s="246">
        <v>471113.82</v>
      </c>
    </row>
    <row r="17" spans="1:12" ht="81.599999999999994" hidden="1" x14ac:dyDescent="0.3">
      <c r="A17" s="240" t="s">
        <v>332</v>
      </c>
      <c r="B17" s="241" t="s">
        <v>497</v>
      </c>
      <c r="C17" s="241" t="s">
        <v>498</v>
      </c>
      <c r="D17" s="241" t="s">
        <v>499</v>
      </c>
      <c r="E17" s="242" t="s">
        <v>30</v>
      </c>
      <c r="F17" s="243">
        <v>5265</v>
      </c>
      <c r="G17" s="243"/>
      <c r="H17" s="242" t="s">
        <v>31</v>
      </c>
      <c r="I17" s="244" t="s">
        <v>32</v>
      </c>
      <c r="J17" s="244"/>
      <c r="K17" s="245" t="s">
        <v>25</v>
      </c>
      <c r="L17" s="246">
        <v>476378.82</v>
      </c>
    </row>
    <row r="18" spans="1:12" ht="71.400000000000006" hidden="1" x14ac:dyDescent="0.3">
      <c r="A18" s="240" t="s">
        <v>256</v>
      </c>
      <c r="B18" s="241" t="s">
        <v>351</v>
      </c>
      <c r="C18" s="241" t="s">
        <v>352</v>
      </c>
      <c r="D18" s="241" t="s">
        <v>259</v>
      </c>
      <c r="E18" s="242" t="s">
        <v>30</v>
      </c>
      <c r="F18" s="243">
        <v>262030.11</v>
      </c>
      <c r="G18" s="243"/>
      <c r="H18" s="242" t="s">
        <v>30</v>
      </c>
      <c r="I18" s="244" t="s">
        <v>32</v>
      </c>
      <c r="J18" s="244"/>
      <c r="K18" s="245" t="s">
        <v>25</v>
      </c>
      <c r="L18" s="246">
        <v>738408.93</v>
      </c>
    </row>
    <row r="19" spans="1:12" ht="81.599999999999994" hidden="1" x14ac:dyDescent="0.3">
      <c r="A19" s="240" t="s">
        <v>71</v>
      </c>
      <c r="B19" s="241" t="s">
        <v>447</v>
      </c>
      <c r="C19" s="241" t="s">
        <v>448</v>
      </c>
      <c r="D19" s="241" t="s">
        <v>390</v>
      </c>
      <c r="E19" s="242" t="s">
        <v>30</v>
      </c>
      <c r="F19" s="243">
        <v>5459.36</v>
      </c>
      <c r="G19" s="243"/>
      <c r="H19" s="242" t="s">
        <v>30</v>
      </c>
      <c r="I19" s="244" t="s">
        <v>32</v>
      </c>
      <c r="J19" s="244"/>
      <c r="K19" s="245" t="s">
        <v>25</v>
      </c>
      <c r="L19" s="246">
        <v>743868.29</v>
      </c>
    </row>
    <row r="20" spans="1:12" ht="81.599999999999994" hidden="1" x14ac:dyDescent="0.3">
      <c r="A20" s="240" t="s">
        <v>71</v>
      </c>
      <c r="B20" s="241" t="s">
        <v>449</v>
      </c>
      <c r="C20" s="241" t="s">
        <v>450</v>
      </c>
      <c r="D20" s="241" t="s">
        <v>391</v>
      </c>
      <c r="E20" s="242" t="s">
        <v>30</v>
      </c>
      <c r="F20" s="243">
        <v>3365.22</v>
      </c>
      <c r="G20" s="243"/>
      <c r="H20" s="242" t="s">
        <v>30</v>
      </c>
      <c r="I20" s="244" t="s">
        <v>32</v>
      </c>
      <c r="J20" s="244"/>
      <c r="K20" s="245" t="s">
        <v>25</v>
      </c>
      <c r="L20" s="246">
        <v>747233.51</v>
      </c>
    </row>
    <row r="21" spans="1:12" ht="71.400000000000006" hidden="1" x14ac:dyDescent="0.3">
      <c r="A21" s="240" t="s">
        <v>89</v>
      </c>
      <c r="B21" s="241" t="s">
        <v>500</v>
      </c>
      <c r="C21" s="241" t="s">
        <v>501</v>
      </c>
      <c r="D21" s="241" t="s">
        <v>502</v>
      </c>
      <c r="E21" s="242" t="s">
        <v>30</v>
      </c>
      <c r="F21" s="243">
        <v>43800</v>
      </c>
      <c r="G21" s="243"/>
      <c r="H21" s="242" t="s">
        <v>31</v>
      </c>
      <c r="I21" s="244" t="s">
        <v>32</v>
      </c>
      <c r="J21" s="244"/>
      <c r="K21" s="245" t="s">
        <v>25</v>
      </c>
      <c r="L21" s="246">
        <v>791033.51</v>
      </c>
    </row>
    <row r="22" spans="1:12" ht="71.400000000000006" hidden="1" x14ac:dyDescent="0.3">
      <c r="A22" s="240" t="s">
        <v>89</v>
      </c>
      <c r="B22" s="241" t="s">
        <v>503</v>
      </c>
      <c r="C22" s="241" t="s">
        <v>501</v>
      </c>
      <c r="D22" s="241" t="s">
        <v>504</v>
      </c>
      <c r="E22" s="242" t="s">
        <v>30</v>
      </c>
      <c r="F22" s="243">
        <v>16427.5</v>
      </c>
      <c r="G22" s="243"/>
      <c r="H22" s="242" t="s">
        <v>31</v>
      </c>
      <c r="I22" s="244" t="s">
        <v>32</v>
      </c>
      <c r="J22" s="244"/>
      <c r="K22" s="245" t="s">
        <v>25</v>
      </c>
      <c r="L22" s="246">
        <v>807461.01</v>
      </c>
    </row>
    <row r="23" spans="1:12" ht="81.599999999999994" hidden="1" x14ac:dyDescent="0.3">
      <c r="A23" s="240" t="s">
        <v>89</v>
      </c>
      <c r="B23" s="241" t="s">
        <v>505</v>
      </c>
      <c r="C23" s="241" t="s">
        <v>506</v>
      </c>
      <c r="D23" s="241" t="s">
        <v>507</v>
      </c>
      <c r="E23" s="242" t="s">
        <v>30</v>
      </c>
      <c r="F23" s="243">
        <v>18590.21</v>
      </c>
      <c r="G23" s="243"/>
      <c r="H23" s="242" t="s">
        <v>30</v>
      </c>
      <c r="I23" s="244" t="s">
        <v>32</v>
      </c>
      <c r="J23" s="244"/>
      <c r="K23" s="245" t="s">
        <v>25</v>
      </c>
      <c r="L23" s="246">
        <v>826051.22</v>
      </c>
    </row>
    <row r="24" spans="1:12" ht="81.599999999999994" hidden="1" x14ac:dyDescent="0.3">
      <c r="A24" s="240" t="s">
        <v>89</v>
      </c>
      <c r="B24" s="241" t="s">
        <v>505</v>
      </c>
      <c r="C24" s="241" t="s">
        <v>508</v>
      </c>
      <c r="D24" s="241" t="s">
        <v>338</v>
      </c>
      <c r="E24" s="242" t="s">
        <v>30</v>
      </c>
      <c r="F24" s="243">
        <v>3894.67</v>
      </c>
      <c r="G24" s="243"/>
      <c r="H24" s="242" t="s">
        <v>30</v>
      </c>
      <c r="I24" s="244" t="s">
        <v>32</v>
      </c>
      <c r="J24" s="244"/>
      <c r="K24" s="245" t="s">
        <v>25</v>
      </c>
      <c r="L24" s="246">
        <v>829945.89</v>
      </c>
    </row>
    <row r="25" spans="1:12" ht="71.400000000000006" hidden="1" x14ac:dyDescent="0.3">
      <c r="A25" s="240" t="s">
        <v>89</v>
      </c>
      <c r="B25" s="241" t="s">
        <v>509</v>
      </c>
      <c r="C25" s="241" t="s">
        <v>510</v>
      </c>
      <c r="D25" s="241" t="s">
        <v>146</v>
      </c>
      <c r="E25" s="242" t="s">
        <v>30</v>
      </c>
      <c r="F25" s="243">
        <v>28264.95</v>
      </c>
      <c r="G25" s="243"/>
      <c r="H25" s="242" t="s">
        <v>30</v>
      </c>
      <c r="I25" s="244" t="s">
        <v>32</v>
      </c>
      <c r="J25" s="244"/>
      <c r="K25" s="245" t="s">
        <v>25</v>
      </c>
      <c r="L25" s="246">
        <v>858210.84</v>
      </c>
    </row>
    <row r="26" spans="1:12" ht="71.400000000000006" hidden="1" x14ac:dyDescent="0.3">
      <c r="A26" s="240" t="s">
        <v>89</v>
      </c>
      <c r="B26" s="241" t="s">
        <v>509</v>
      </c>
      <c r="C26" s="241" t="s">
        <v>511</v>
      </c>
      <c r="D26" s="241" t="s">
        <v>149</v>
      </c>
      <c r="E26" s="242" t="s">
        <v>30</v>
      </c>
      <c r="F26" s="243">
        <v>1657.92</v>
      </c>
      <c r="G26" s="243"/>
      <c r="H26" s="242" t="s">
        <v>30</v>
      </c>
      <c r="I26" s="244" t="s">
        <v>32</v>
      </c>
      <c r="J26" s="244"/>
      <c r="K26" s="245" t="s">
        <v>25</v>
      </c>
      <c r="L26" s="246">
        <v>859868.76</v>
      </c>
    </row>
    <row r="27" spans="1:12" ht="71.400000000000006" x14ac:dyDescent="0.3">
      <c r="A27" s="240" t="s">
        <v>89</v>
      </c>
      <c r="B27" s="241" t="s">
        <v>512</v>
      </c>
      <c r="C27" s="241" t="s">
        <v>53</v>
      </c>
      <c r="D27" s="241" t="s">
        <v>510</v>
      </c>
      <c r="E27" s="242" t="s">
        <v>54</v>
      </c>
      <c r="F27" s="247" t="s">
        <v>32</v>
      </c>
      <c r="G27" s="247"/>
      <c r="H27" s="242" t="s">
        <v>30</v>
      </c>
      <c r="I27" s="248">
        <v>1473.25</v>
      </c>
      <c r="J27" s="248"/>
      <c r="K27" s="245" t="s">
        <v>25</v>
      </c>
      <c r="L27" s="246">
        <v>858395.51</v>
      </c>
    </row>
    <row r="28" spans="1:12" ht="71.400000000000006" x14ac:dyDescent="0.3">
      <c r="A28" s="240" t="s">
        <v>89</v>
      </c>
      <c r="B28" s="241" t="s">
        <v>512</v>
      </c>
      <c r="C28" s="241" t="s">
        <v>53</v>
      </c>
      <c r="D28" s="241" t="s">
        <v>510</v>
      </c>
      <c r="E28" s="242" t="s">
        <v>54</v>
      </c>
      <c r="F28" s="247" t="s">
        <v>32</v>
      </c>
      <c r="G28" s="247"/>
      <c r="H28" s="242" t="s">
        <v>30</v>
      </c>
      <c r="I28" s="248">
        <v>18152.79</v>
      </c>
      <c r="J28" s="248"/>
      <c r="K28" s="245" t="s">
        <v>25</v>
      </c>
      <c r="L28" s="246">
        <v>840242.72</v>
      </c>
    </row>
    <row r="29" spans="1:12" ht="71.400000000000006" x14ac:dyDescent="0.3">
      <c r="A29" s="240" t="s">
        <v>89</v>
      </c>
      <c r="B29" s="241" t="s">
        <v>512</v>
      </c>
      <c r="C29" s="241" t="s">
        <v>53</v>
      </c>
      <c r="D29" s="241" t="s">
        <v>510</v>
      </c>
      <c r="E29" s="242" t="s">
        <v>54</v>
      </c>
      <c r="F29" s="247" t="s">
        <v>32</v>
      </c>
      <c r="G29" s="247"/>
      <c r="H29" s="242" t="s">
        <v>30</v>
      </c>
      <c r="I29" s="248">
        <v>8638.91</v>
      </c>
      <c r="J29" s="248"/>
      <c r="K29" s="245" t="s">
        <v>25</v>
      </c>
      <c r="L29" s="246">
        <v>831603.81</v>
      </c>
    </row>
    <row r="30" spans="1:12" ht="71.400000000000006" x14ac:dyDescent="0.3">
      <c r="A30" s="240" t="s">
        <v>89</v>
      </c>
      <c r="B30" s="241" t="s">
        <v>512</v>
      </c>
      <c r="C30" s="241" t="s">
        <v>53</v>
      </c>
      <c r="D30" s="241" t="s">
        <v>506</v>
      </c>
      <c r="E30" s="242" t="s">
        <v>54</v>
      </c>
      <c r="F30" s="247" t="s">
        <v>32</v>
      </c>
      <c r="G30" s="247"/>
      <c r="H30" s="242" t="s">
        <v>30</v>
      </c>
      <c r="I30" s="248">
        <v>20598.330000000002</v>
      </c>
      <c r="J30" s="248"/>
      <c r="K30" s="245" t="s">
        <v>25</v>
      </c>
      <c r="L30" s="246">
        <v>811005.48</v>
      </c>
    </row>
    <row r="31" spans="1:12" ht="71.400000000000006" x14ac:dyDescent="0.3">
      <c r="A31" s="240" t="s">
        <v>89</v>
      </c>
      <c r="B31" s="241" t="s">
        <v>512</v>
      </c>
      <c r="C31" s="241" t="s">
        <v>53</v>
      </c>
      <c r="D31" s="241" t="s">
        <v>506</v>
      </c>
      <c r="E31" s="242" t="s">
        <v>54</v>
      </c>
      <c r="F31" s="247" t="s">
        <v>32</v>
      </c>
      <c r="G31" s="247"/>
      <c r="H31" s="242" t="s">
        <v>30</v>
      </c>
      <c r="I31" s="248">
        <v>2564.17</v>
      </c>
      <c r="J31" s="248"/>
      <c r="K31" s="245" t="s">
        <v>25</v>
      </c>
      <c r="L31" s="246">
        <v>808441.31</v>
      </c>
    </row>
    <row r="32" spans="1:12" ht="71.400000000000006" x14ac:dyDescent="0.3">
      <c r="A32" s="240" t="s">
        <v>89</v>
      </c>
      <c r="B32" s="241" t="s">
        <v>512</v>
      </c>
      <c r="C32" s="241" t="s">
        <v>53</v>
      </c>
      <c r="D32" s="241" t="s">
        <v>280</v>
      </c>
      <c r="E32" s="242" t="s">
        <v>54</v>
      </c>
      <c r="F32" s="247" t="s">
        <v>32</v>
      </c>
      <c r="G32" s="247"/>
      <c r="H32" s="242" t="s">
        <v>30</v>
      </c>
      <c r="I32" s="248">
        <v>10255.94</v>
      </c>
      <c r="J32" s="248"/>
      <c r="K32" s="245" t="s">
        <v>25</v>
      </c>
      <c r="L32" s="246">
        <v>798185.37</v>
      </c>
    </row>
    <row r="33" spans="1:12" ht="71.400000000000006" x14ac:dyDescent="0.3">
      <c r="A33" s="240" t="s">
        <v>89</v>
      </c>
      <c r="B33" s="241" t="s">
        <v>512</v>
      </c>
      <c r="C33" s="241" t="s">
        <v>53</v>
      </c>
      <c r="D33" s="241" t="s">
        <v>280</v>
      </c>
      <c r="E33" s="242" t="s">
        <v>54</v>
      </c>
      <c r="F33" s="247" t="s">
        <v>32</v>
      </c>
      <c r="G33" s="247"/>
      <c r="H33" s="242" t="s">
        <v>30</v>
      </c>
      <c r="I33" s="248">
        <v>14700.18</v>
      </c>
      <c r="J33" s="248"/>
      <c r="K33" s="245" t="s">
        <v>25</v>
      </c>
      <c r="L33" s="246">
        <v>783485.19</v>
      </c>
    </row>
    <row r="34" spans="1:12" ht="71.400000000000006" x14ac:dyDescent="0.3">
      <c r="A34" s="240" t="s">
        <v>89</v>
      </c>
      <c r="B34" s="241" t="s">
        <v>512</v>
      </c>
      <c r="C34" s="241" t="s">
        <v>53</v>
      </c>
      <c r="D34" s="241" t="s">
        <v>306</v>
      </c>
      <c r="E34" s="242" t="s">
        <v>54</v>
      </c>
      <c r="F34" s="247" t="s">
        <v>32</v>
      </c>
      <c r="G34" s="247"/>
      <c r="H34" s="242" t="s">
        <v>30</v>
      </c>
      <c r="I34" s="248">
        <v>34606.42</v>
      </c>
      <c r="J34" s="248"/>
      <c r="K34" s="245" t="s">
        <v>25</v>
      </c>
      <c r="L34" s="246">
        <v>748878.77</v>
      </c>
    </row>
    <row r="35" spans="1:12" ht="71.400000000000006" x14ac:dyDescent="0.3">
      <c r="A35" s="240" t="s">
        <v>89</v>
      </c>
      <c r="B35" s="241" t="s">
        <v>512</v>
      </c>
      <c r="C35" s="241" t="s">
        <v>53</v>
      </c>
      <c r="D35" s="241" t="s">
        <v>306</v>
      </c>
      <c r="E35" s="242" t="s">
        <v>54</v>
      </c>
      <c r="F35" s="247" t="s">
        <v>32</v>
      </c>
      <c r="G35" s="247"/>
      <c r="H35" s="242" t="s">
        <v>30</v>
      </c>
      <c r="I35" s="248">
        <v>3999.59</v>
      </c>
      <c r="J35" s="248"/>
      <c r="K35" s="245" t="s">
        <v>25</v>
      </c>
      <c r="L35" s="246">
        <v>744879.18</v>
      </c>
    </row>
    <row r="36" spans="1:12" ht="71.400000000000006" x14ac:dyDescent="0.3">
      <c r="A36" s="240" t="s">
        <v>89</v>
      </c>
      <c r="B36" s="241" t="s">
        <v>512</v>
      </c>
      <c r="C36" s="241" t="s">
        <v>53</v>
      </c>
      <c r="D36" s="241" t="s">
        <v>506</v>
      </c>
      <c r="E36" s="242" t="s">
        <v>54</v>
      </c>
      <c r="F36" s="247" t="s">
        <v>32</v>
      </c>
      <c r="G36" s="247"/>
      <c r="H36" s="242" t="s">
        <v>30</v>
      </c>
      <c r="I36" s="248">
        <v>5436.46</v>
      </c>
      <c r="J36" s="248"/>
      <c r="K36" s="245" t="s">
        <v>25</v>
      </c>
      <c r="L36" s="246">
        <v>739442.72</v>
      </c>
    </row>
    <row r="37" spans="1:12" ht="71.400000000000006" x14ac:dyDescent="0.3">
      <c r="A37" s="240" t="s">
        <v>89</v>
      </c>
      <c r="B37" s="241" t="s">
        <v>512</v>
      </c>
      <c r="C37" s="241" t="s">
        <v>53</v>
      </c>
      <c r="D37" s="241" t="s">
        <v>511</v>
      </c>
      <c r="E37" s="242" t="s">
        <v>54</v>
      </c>
      <c r="F37" s="247" t="s">
        <v>32</v>
      </c>
      <c r="G37" s="247"/>
      <c r="H37" s="242" t="s">
        <v>30</v>
      </c>
      <c r="I37" s="248">
        <v>1657.92</v>
      </c>
      <c r="J37" s="248"/>
      <c r="K37" s="245" t="s">
        <v>25</v>
      </c>
      <c r="L37" s="246">
        <v>737784.8</v>
      </c>
    </row>
    <row r="38" spans="1:12" ht="71.400000000000006" x14ac:dyDescent="0.3">
      <c r="A38" s="240" t="s">
        <v>89</v>
      </c>
      <c r="B38" s="241" t="s">
        <v>512</v>
      </c>
      <c r="C38" s="241" t="s">
        <v>53</v>
      </c>
      <c r="D38" s="241" t="s">
        <v>508</v>
      </c>
      <c r="E38" s="242" t="s">
        <v>54</v>
      </c>
      <c r="F38" s="247" t="s">
        <v>32</v>
      </c>
      <c r="G38" s="247"/>
      <c r="H38" s="242" t="s">
        <v>30</v>
      </c>
      <c r="I38" s="249">
        <v>816.5</v>
      </c>
      <c r="J38" s="249"/>
      <c r="K38" s="245" t="s">
        <v>25</v>
      </c>
      <c r="L38" s="246">
        <v>736968.3</v>
      </c>
    </row>
    <row r="39" spans="1:12" ht="71.400000000000006" x14ac:dyDescent="0.3">
      <c r="A39" s="240" t="s">
        <v>89</v>
      </c>
      <c r="B39" s="241" t="s">
        <v>512</v>
      </c>
      <c r="C39" s="241" t="s">
        <v>53</v>
      </c>
      <c r="D39" s="241" t="s">
        <v>508</v>
      </c>
      <c r="E39" s="242" t="s">
        <v>54</v>
      </c>
      <c r="F39" s="247" t="s">
        <v>32</v>
      </c>
      <c r="G39" s="247"/>
      <c r="H39" s="242" t="s">
        <v>30</v>
      </c>
      <c r="I39" s="248">
        <v>3078.17</v>
      </c>
      <c r="J39" s="248"/>
      <c r="K39" s="245" t="s">
        <v>25</v>
      </c>
      <c r="L39" s="246">
        <v>733890.13</v>
      </c>
    </row>
    <row r="40" spans="1:12" ht="71.400000000000006" hidden="1" x14ac:dyDescent="0.3">
      <c r="A40" s="240" t="s">
        <v>103</v>
      </c>
      <c r="B40" s="241" t="s">
        <v>513</v>
      </c>
      <c r="C40" s="241" t="s">
        <v>514</v>
      </c>
      <c r="D40" s="241" t="s">
        <v>352</v>
      </c>
      <c r="E40" s="242" t="s">
        <v>30</v>
      </c>
      <c r="F40" s="247" t="s">
        <v>32</v>
      </c>
      <c r="G40" s="247"/>
      <c r="H40" s="242" t="s">
        <v>30</v>
      </c>
      <c r="I40" s="248">
        <v>6578.79</v>
      </c>
      <c r="J40" s="248"/>
      <c r="K40" s="245" t="s">
        <v>25</v>
      </c>
      <c r="L40" s="246">
        <v>727311.34</v>
      </c>
    </row>
    <row r="41" spans="1:12" ht="91.8" hidden="1" x14ac:dyDescent="0.3">
      <c r="A41" s="240" t="s">
        <v>103</v>
      </c>
      <c r="B41" s="241" t="s">
        <v>515</v>
      </c>
      <c r="C41" s="241" t="s">
        <v>516</v>
      </c>
      <c r="D41" s="241" t="s">
        <v>517</v>
      </c>
      <c r="E41" s="242" t="s">
        <v>30</v>
      </c>
      <c r="F41" s="250">
        <v>293.77999999999997</v>
      </c>
      <c r="G41" s="250"/>
      <c r="H41" s="242" t="s">
        <v>30</v>
      </c>
      <c r="I41" s="244" t="s">
        <v>32</v>
      </c>
      <c r="J41" s="244"/>
      <c r="K41" s="245" t="s">
        <v>25</v>
      </c>
      <c r="L41" s="246">
        <v>727605.12</v>
      </c>
    </row>
    <row r="42" spans="1:12" ht="81.599999999999994" hidden="1" x14ac:dyDescent="0.3">
      <c r="A42" s="240" t="s">
        <v>103</v>
      </c>
      <c r="B42" s="241" t="s">
        <v>515</v>
      </c>
      <c r="C42" s="241" t="s">
        <v>352</v>
      </c>
      <c r="D42" s="241" t="s">
        <v>354</v>
      </c>
      <c r="E42" s="242" t="s">
        <v>30</v>
      </c>
      <c r="F42" s="243">
        <v>12073.57</v>
      </c>
      <c r="G42" s="243"/>
      <c r="H42" s="242" t="s">
        <v>30</v>
      </c>
      <c r="I42" s="244" t="s">
        <v>32</v>
      </c>
      <c r="J42" s="244"/>
      <c r="K42" s="245" t="s">
        <v>25</v>
      </c>
      <c r="L42" s="246">
        <v>739678.69</v>
      </c>
    </row>
    <row r="43" spans="1:12" ht="81.599999999999994" hidden="1" x14ac:dyDescent="0.3">
      <c r="A43" s="240" t="s">
        <v>103</v>
      </c>
      <c r="B43" s="241" t="s">
        <v>244</v>
      </c>
      <c r="C43" s="241" t="s">
        <v>245</v>
      </c>
      <c r="D43" s="241" t="s">
        <v>246</v>
      </c>
      <c r="E43" s="242" t="s">
        <v>30</v>
      </c>
      <c r="F43" s="250">
        <v>400</v>
      </c>
      <c r="G43" s="250"/>
      <c r="H43" s="242" t="s">
        <v>30</v>
      </c>
      <c r="I43" s="244" t="s">
        <v>32</v>
      </c>
      <c r="J43" s="244"/>
      <c r="K43" s="245" t="s">
        <v>25</v>
      </c>
      <c r="L43" s="246">
        <v>740078.69</v>
      </c>
    </row>
    <row r="44" spans="1:12" ht="71.400000000000006" hidden="1" x14ac:dyDescent="0.3">
      <c r="A44" s="240" t="s">
        <v>103</v>
      </c>
      <c r="B44" s="241" t="s">
        <v>518</v>
      </c>
      <c r="C44" s="241" t="s">
        <v>519</v>
      </c>
      <c r="D44" s="241" t="s">
        <v>520</v>
      </c>
      <c r="E44" s="242" t="s">
        <v>30</v>
      </c>
      <c r="F44" s="247" t="s">
        <v>32</v>
      </c>
      <c r="G44" s="247"/>
      <c r="H44" s="242" t="s">
        <v>30</v>
      </c>
      <c r="I44" s="248">
        <v>19656</v>
      </c>
      <c r="J44" s="248"/>
      <c r="K44" s="245" t="s">
        <v>25</v>
      </c>
      <c r="L44" s="246">
        <v>720422.69</v>
      </c>
    </row>
    <row r="45" spans="1:12" ht="71.400000000000006" hidden="1" x14ac:dyDescent="0.3">
      <c r="A45" s="240" t="s">
        <v>103</v>
      </c>
      <c r="B45" s="241" t="s">
        <v>518</v>
      </c>
      <c r="C45" s="241" t="s">
        <v>521</v>
      </c>
      <c r="D45" s="241" t="s">
        <v>522</v>
      </c>
      <c r="E45" s="242" t="s">
        <v>30</v>
      </c>
      <c r="F45" s="247" t="s">
        <v>32</v>
      </c>
      <c r="G45" s="247"/>
      <c r="H45" s="242" t="s">
        <v>30</v>
      </c>
      <c r="I45" s="248">
        <v>19331.400000000001</v>
      </c>
      <c r="J45" s="248"/>
      <c r="K45" s="245" t="s">
        <v>25</v>
      </c>
      <c r="L45" s="246">
        <v>701091.29</v>
      </c>
    </row>
    <row r="46" spans="1:12" ht="81.599999999999994" x14ac:dyDescent="0.3">
      <c r="A46" s="240" t="s">
        <v>103</v>
      </c>
      <c r="B46" s="241" t="s">
        <v>523</v>
      </c>
      <c r="C46" s="241" t="s">
        <v>53</v>
      </c>
      <c r="D46" s="241" t="s">
        <v>51</v>
      </c>
      <c r="E46" s="242" t="s">
        <v>54</v>
      </c>
      <c r="F46" s="247" t="s">
        <v>32</v>
      </c>
      <c r="G46" s="247"/>
      <c r="H46" s="242" t="s">
        <v>30</v>
      </c>
      <c r="I46" s="248">
        <v>2738.33</v>
      </c>
      <c r="J46" s="248"/>
      <c r="K46" s="245" t="s">
        <v>25</v>
      </c>
      <c r="L46" s="246">
        <v>698352.96</v>
      </c>
    </row>
    <row r="47" spans="1:12" ht="71.400000000000006" x14ac:dyDescent="0.3">
      <c r="A47" s="240" t="s">
        <v>103</v>
      </c>
      <c r="B47" s="241" t="s">
        <v>523</v>
      </c>
      <c r="C47" s="241" t="s">
        <v>53</v>
      </c>
      <c r="D47" s="241" t="s">
        <v>306</v>
      </c>
      <c r="E47" s="242" t="s">
        <v>54</v>
      </c>
      <c r="F47" s="247" t="s">
        <v>32</v>
      </c>
      <c r="G47" s="247"/>
      <c r="H47" s="242" t="s">
        <v>30</v>
      </c>
      <c r="I47" s="248">
        <v>8197.75</v>
      </c>
      <c r="J47" s="248"/>
      <c r="K47" s="245" t="s">
        <v>25</v>
      </c>
      <c r="L47" s="246">
        <v>690155.21</v>
      </c>
    </row>
    <row r="48" spans="1:12" ht="71.400000000000006" x14ac:dyDescent="0.3">
      <c r="A48" s="240" t="s">
        <v>103</v>
      </c>
      <c r="B48" s="241" t="s">
        <v>523</v>
      </c>
      <c r="C48" s="241" t="s">
        <v>53</v>
      </c>
      <c r="D48" s="241" t="s">
        <v>321</v>
      </c>
      <c r="E48" s="242" t="s">
        <v>54</v>
      </c>
      <c r="F48" s="247" t="s">
        <v>32</v>
      </c>
      <c r="G48" s="247"/>
      <c r="H48" s="242" t="s">
        <v>30</v>
      </c>
      <c r="I48" s="248">
        <v>1654.8</v>
      </c>
      <c r="J48" s="248"/>
      <c r="K48" s="245" t="s">
        <v>25</v>
      </c>
      <c r="L48" s="246">
        <v>688500.41</v>
      </c>
    </row>
    <row r="49" spans="1:12" ht="71.400000000000006" x14ac:dyDescent="0.3">
      <c r="A49" s="240" t="s">
        <v>103</v>
      </c>
      <c r="B49" s="241" t="s">
        <v>523</v>
      </c>
      <c r="C49" s="241" t="s">
        <v>53</v>
      </c>
      <c r="D49" s="241" t="s">
        <v>352</v>
      </c>
      <c r="E49" s="242" t="s">
        <v>54</v>
      </c>
      <c r="F49" s="247" t="s">
        <v>32</v>
      </c>
      <c r="G49" s="247"/>
      <c r="H49" s="242" t="s">
        <v>30</v>
      </c>
      <c r="I49" s="248">
        <v>5719.06</v>
      </c>
      <c r="J49" s="248"/>
      <c r="K49" s="245" t="s">
        <v>25</v>
      </c>
      <c r="L49" s="246">
        <v>682781.35</v>
      </c>
    </row>
    <row r="50" spans="1:12" ht="81.599999999999994" x14ac:dyDescent="0.3">
      <c r="A50" s="240" t="s">
        <v>103</v>
      </c>
      <c r="B50" s="241" t="s">
        <v>523</v>
      </c>
      <c r="C50" s="241" t="s">
        <v>53</v>
      </c>
      <c r="D50" s="241" t="s">
        <v>450</v>
      </c>
      <c r="E50" s="242" t="s">
        <v>54</v>
      </c>
      <c r="F50" s="247" t="s">
        <v>32</v>
      </c>
      <c r="G50" s="247"/>
      <c r="H50" s="242" t="s">
        <v>30</v>
      </c>
      <c r="I50" s="248">
        <v>3365.22</v>
      </c>
      <c r="J50" s="248"/>
      <c r="K50" s="245" t="s">
        <v>25</v>
      </c>
      <c r="L50" s="246">
        <v>679416.13</v>
      </c>
    </row>
    <row r="51" spans="1:12" ht="81.599999999999994" x14ac:dyDescent="0.3">
      <c r="A51" s="240" t="s">
        <v>103</v>
      </c>
      <c r="B51" s="241" t="s">
        <v>523</v>
      </c>
      <c r="C51" s="241" t="s">
        <v>53</v>
      </c>
      <c r="D51" s="241" t="s">
        <v>51</v>
      </c>
      <c r="E51" s="242" t="s">
        <v>54</v>
      </c>
      <c r="F51" s="247" t="s">
        <v>32</v>
      </c>
      <c r="G51" s="247"/>
      <c r="H51" s="242" t="s">
        <v>30</v>
      </c>
      <c r="I51" s="248">
        <v>3358.33</v>
      </c>
      <c r="J51" s="248"/>
      <c r="K51" s="245" t="s">
        <v>25</v>
      </c>
      <c r="L51" s="246">
        <v>676057.8</v>
      </c>
    </row>
    <row r="52" spans="1:12" ht="81.599999999999994" x14ac:dyDescent="0.3">
      <c r="A52" s="240" t="s">
        <v>103</v>
      </c>
      <c r="B52" s="241" t="s">
        <v>523</v>
      </c>
      <c r="C52" s="241" t="s">
        <v>53</v>
      </c>
      <c r="D52" s="241" t="s">
        <v>292</v>
      </c>
      <c r="E52" s="242" t="s">
        <v>54</v>
      </c>
      <c r="F52" s="247" t="s">
        <v>32</v>
      </c>
      <c r="G52" s="247"/>
      <c r="H52" s="242" t="s">
        <v>30</v>
      </c>
      <c r="I52" s="248">
        <v>40207.17</v>
      </c>
      <c r="J52" s="248"/>
      <c r="K52" s="245" t="s">
        <v>25</v>
      </c>
      <c r="L52" s="246">
        <v>635850.63</v>
      </c>
    </row>
    <row r="53" spans="1:12" ht="81.599999999999994" x14ac:dyDescent="0.3">
      <c r="A53" s="240" t="s">
        <v>103</v>
      </c>
      <c r="B53" s="241" t="s">
        <v>523</v>
      </c>
      <c r="C53" s="241" t="s">
        <v>53</v>
      </c>
      <c r="D53" s="241" t="s">
        <v>448</v>
      </c>
      <c r="E53" s="242" t="s">
        <v>54</v>
      </c>
      <c r="F53" s="247" t="s">
        <v>32</v>
      </c>
      <c r="G53" s="247"/>
      <c r="H53" s="242" t="s">
        <v>30</v>
      </c>
      <c r="I53" s="248">
        <v>5459.36</v>
      </c>
      <c r="J53" s="248"/>
      <c r="K53" s="245" t="s">
        <v>25</v>
      </c>
      <c r="L53" s="246">
        <v>630391.27</v>
      </c>
    </row>
    <row r="54" spans="1:12" ht="81.599999999999994" x14ac:dyDescent="0.3">
      <c r="A54" s="240" t="s">
        <v>103</v>
      </c>
      <c r="B54" s="241" t="s">
        <v>524</v>
      </c>
      <c r="C54" s="241" t="s">
        <v>53</v>
      </c>
      <c r="D54" s="241" t="s">
        <v>51</v>
      </c>
      <c r="E54" s="242" t="s">
        <v>54</v>
      </c>
      <c r="F54" s="247" t="s">
        <v>32</v>
      </c>
      <c r="G54" s="247"/>
      <c r="H54" s="242" t="s">
        <v>30</v>
      </c>
      <c r="I54" s="248">
        <v>94343.34</v>
      </c>
      <c r="J54" s="248"/>
      <c r="K54" s="245" t="s">
        <v>25</v>
      </c>
      <c r="L54" s="246">
        <v>536047.93000000005</v>
      </c>
    </row>
    <row r="55" spans="1:12" ht="71.400000000000006" x14ac:dyDescent="0.3">
      <c r="A55" s="240" t="s">
        <v>103</v>
      </c>
      <c r="B55" s="241" t="s">
        <v>524</v>
      </c>
      <c r="C55" s="241" t="s">
        <v>53</v>
      </c>
      <c r="D55" s="241" t="s">
        <v>352</v>
      </c>
      <c r="E55" s="242" t="s">
        <v>54</v>
      </c>
      <c r="F55" s="247" t="s">
        <v>32</v>
      </c>
      <c r="G55" s="247"/>
      <c r="H55" s="242" t="s">
        <v>30</v>
      </c>
      <c r="I55" s="248">
        <v>249732.26</v>
      </c>
      <c r="J55" s="248"/>
      <c r="K55" s="245" t="s">
        <v>25</v>
      </c>
      <c r="L55" s="246">
        <v>286315.67</v>
      </c>
    </row>
    <row r="56" spans="1:12" ht="71.400000000000006" x14ac:dyDescent="0.3">
      <c r="A56" s="240" t="s">
        <v>103</v>
      </c>
      <c r="B56" s="241" t="s">
        <v>524</v>
      </c>
      <c r="C56" s="241" t="s">
        <v>53</v>
      </c>
      <c r="D56" s="241" t="s">
        <v>501</v>
      </c>
      <c r="E56" s="242" t="s">
        <v>54</v>
      </c>
      <c r="F56" s="247" t="s">
        <v>32</v>
      </c>
      <c r="G56" s="247"/>
      <c r="H56" s="242" t="s">
        <v>30</v>
      </c>
      <c r="I56" s="248">
        <v>7066.69</v>
      </c>
      <c r="J56" s="248"/>
      <c r="K56" s="245" t="s">
        <v>25</v>
      </c>
      <c r="L56" s="246">
        <v>279248.98</v>
      </c>
    </row>
    <row r="57" spans="1:12" ht="71.400000000000006" x14ac:dyDescent="0.3">
      <c r="A57" s="240" t="s">
        <v>103</v>
      </c>
      <c r="B57" s="241" t="s">
        <v>524</v>
      </c>
      <c r="C57" s="241" t="s">
        <v>53</v>
      </c>
      <c r="D57" s="241" t="s">
        <v>501</v>
      </c>
      <c r="E57" s="242" t="s">
        <v>54</v>
      </c>
      <c r="F57" s="247" t="s">
        <v>32</v>
      </c>
      <c r="G57" s="247"/>
      <c r="H57" s="242" t="s">
        <v>30</v>
      </c>
      <c r="I57" s="248">
        <v>7668.97</v>
      </c>
      <c r="J57" s="248"/>
      <c r="K57" s="245" t="s">
        <v>25</v>
      </c>
      <c r="L57" s="246">
        <v>271580.01</v>
      </c>
    </row>
    <row r="58" spans="1:12" ht="81.599999999999994" x14ac:dyDescent="0.3">
      <c r="A58" s="240" t="s">
        <v>103</v>
      </c>
      <c r="B58" s="241" t="s">
        <v>524</v>
      </c>
      <c r="C58" s="241" t="s">
        <v>53</v>
      </c>
      <c r="D58" s="241" t="s">
        <v>525</v>
      </c>
      <c r="E58" s="242" t="s">
        <v>54</v>
      </c>
      <c r="F58" s="247" t="s">
        <v>32</v>
      </c>
      <c r="G58" s="247"/>
      <c r="H58" s="242" t="s">
        <v>30</v>
      </c>
      <c r="I58" s="248">
        <v>18656.52</v>
      </c>
      <c r="J58" s="248"/>
      <c r="K58" s="245" t="s">
        <v>25</v>
      </c>
      <c r="L58" s="246">
        <v>252923.49</v>
      </c>
    </row>
    <row r="59" spans="1:12" ht="81.599999999999994" x14ac:dyDescent="0.3">
      <c r="A59" s="240" t="s">
        <v>103</v>
      </c>
      <c r="B59" s="241" t="s">
        <v>526</v>
      </c>
      <c r="C59" s="241" t="s">
        <v>53</v>
      </c>
      <c r="D59" s="241" t="s">
        <v>516</v>
      </c>
      <c r="E59" s="242" t="s">
        <v>54</v>
      </c>
      <c r="F59" s="247" t="s">
        <v>32</v>
      </c>
      <c r="G59" s="247"/>
      <c r="H59" s="242" t="s">
        <v>30</v>
      </c>
      <c r="I59" s="249">
        <v>293.77999999999997</v>
      </c>
      <c r="J59" s="249"/>
      <c r="K59" s="245" t="s">
        <v>25</v>
      </c>
      <c r="L59" s="246">
        <v>252629.71</v>
      </c>
    </row>
    <row r="60" spans="1:12" ht="81.599999999999994" x14ac:dyDescent="0.3">
      <c r="A60" s="240" t="s">
        <v>103</v>
      </c>
      <c r="B60" s="241" t="s">
        <v>526</v>
      </c>
      <c r="C60" s="241" t="s">
        <v>53</v>
      </c>
      <c r="D60" s="241" t="s">
        <v>245</v>
      </c>
      <c r="E60" s="242" t="s">
        <v>54</v>
      </c>
      <c r="F60" s="247" t="s">
        <v>32</v>
      </c>
      <c r="G60" s="247"/>
      <c r="H60" s="242" t="s">
        <v>30</v>
      </c>
      <c r="I60" s="249">
        <v>400</v>
      </c>
      <c r="J60" s="249"/>
      <c r="K60" s="245" t="s">
        <v>25</v>
      </c>
      <c r="L60" s="246">
        <v>252229.71</v>
      </c>
    </row>
    <row r="61" spans="1:12" ht="71.400000000000006" x14ac:dyDescent="0.3">
      <c r="A61" s="240" t="s">
        <v>103</v>
      </c>
      <c r="B61" s="241" t="s">
        <v>526</v>
      </c>
      <c r="C61" s="241" t="s">
        <v>53</v>
      </c>
      <c r="D61" s="241" t="s">
        <v>352</v>
      </c>
      <c r="E61" s="242" t="s">
        <v>54</v>
      </c>
      <c r="F61" s="247" t="s">
        <v>32</v>
      </c>
      <c r="G61" s="247"/>
      <c r="H61" s="242" t="s">
        <v>30</v>
      </c>
      <c r="I61" s="248">
        <v>12073.57</v>
      </c>
      <c r="J61" s="248"/>
      <c r="K61" s="245" t="s">
        <v>25</v>
      </c>
      <c r="L61" s="246">
        <v>240156.14</v>
      </c>
    </row>
    <row r="62" spans="1:12" ht="71.400000000000006" x14ac:dyDescent="0.3">
      <c r="A62" s="240" t="s">
        <v>103</v>
      </c>
      <c r="B62" s="241" t="s">
        <v>526</v>
      </c>
      <c r="C62" s="241" t="s">
        <v>53</v>
      </c>
      <c r="D62" s="241" t="s">
        <v>501</v>
      </c>
      <c r="E62" s="242" t="s">
        <v>54</v>
      </c>
      <c r="F62" s="247" t="s">
        <v>32</v>
      </c>
      <c r="G62" s="247"/>
      <c r="H62" s="242" t="s">
        <v>30</v>
      </c>
      <c r="I62" s="248">
        <v>32522.85</v>
      </c>
      <c r="J62" s="248"/>
      <c r="K62" s="245" t="s">
        <v>25</v>
      </c>
      <c r="L62" s="246">
        <v>207633.29</v>
      </c>
    </row>
    <row r="63" spans="1:12" ht="71.400000000000006" x14ac:dyDescent="0.3">
      <c r="A63" s="240" t="s">
        <v>103</v>
      </c>
      <c r="B63" s="241" t="s">
        <v>526</v>
      </c>
      <c r="C63" s="241" t="s">
        <v>53</v>
      </c>
      <c r="D63" s="241" t="s">
        <v>501</v>
      </c>
      <c r="E63" s="242" t="s">
        <v>54</v>
      </c>
      <c r="F63" s="247" t="s">
        <v>32</v>
      </c>
      <c r="G63" s="247"/>
      <c r="H63" s="242" t="s">
        <v>30</v>
      </c>
      <c r="I63" s="248">
        <v>12968.99</v>
      </c>
      <c r="J63" s="248"/>
      <c r="K63" s="245" t="s">
        <v>25</v>
      </c>
      <c r="L63" s="246">
        <v>194664.3</v>
      </c>
    </row>
    <row r="64" spans="1:12" ht="71.400000000000006" x14ac:dyDescent="0.3">
      <c r="A64" s="240" t="s">
        <v>103</v>
      </c>
      <c r="B64" s="241" t="s">
        <v>527</v>
      </c>
      <c r="C64" s="241" t="s">
        <v>53</v>
      </c>
      <c r="D64" s="241" t="s">
        <v>528</v>
      </c>
      <c r="E64" s="242" t="s">
        <v>54</v>
      </c>
      <c r="F64" s="247" t="s">
        <v>32</v>
      </c>
      <c r="G64" s="247"/>
      <c r="H64" s="242" t="s">
        <v>30</v>
      </c>
      <c r="I64" s="248">
        <v>4490.5</v>
      </c>
      <c r="J64" s="248"/>
      <c r="K64" s="245" t="s">
        <v>25</v>
      </c>
      <c r="L64" s="246">
        <v>190173.8</v>
      </c>
    </row>
    <row r="65" spans="1:12" hidden="1" x14ac:dyDescent="0.3">
      <c r="A65" s="251" t="s">
        <v>120</v>
      </c>
      <c r="B65" s="251"/>
      <c r="C65" s="251"/>
      <c r="D65" s="251"/>
      <c r="E65" s="252">
        <v>563266.28</v>
      </c>
      <c r="F65" s="252"/>
      <c r="G65" s="252"/>
      <c r="H65" s="252">
        <v>739656.91</v>
      </c>
      <c r="I65" s="252"/>
      <c r="J65" s="252"/>
      <c r="K65" s="253" t="s">
        <v>25</v>
      </c>
      <c r="L65" s="254">
        <v>190173.8</v>
      </c>
    </row>
    <row r="67" spans="1:12" x14ac:dyDescent="0.3">
      <c r="J67" s="2">
        <f>SUBTOTAL(9,I27:J64)</f>
        <v>636896.11999999988</v>
      </c>
    </row>
  </sheetData>
  <autoFilter ref="A1:L65" xr:uid="{BB529FBA-1F33-4AE9-BE52-504C0FAE49D4}">
    <filterColumn colId="1">
      <filters>
        <filter val="Вимога-накладна ІБ00-000374 від 22.05.2025 15:46:51_x000a_Списаны ТМЦ"/>
        <filter val="Вимога-накладна ІБ00-000390 від 29.05.2025 11:37:06_x000a_Списаны ТМЦ"/>
        <filter val="Вимога-накладна ІБ00-000405 від 29.05.2025 17:00:00_x000a_Списаны ТМЦ"/>
        <filter val="Вимога-накладна ІБ00-000429 від 29.05.2025 21:00:00_x000a_Списаны ТМЦ"/>
        <filter val="Списання товарів ІБ00-000275 від 29.05.2025 21:00:26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36">
    <mergeCell ref="F64:G64"/>
    <mergeCell ref="I64:J64"/>
    <mergeCell ref="A65:D65"/>
    <mergeCell ref="E65:G65"/>
    <mergeCell ref="H65:J65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B620-C08D-4F28-BAD8-36556CCFC0F9}">
  <sheetPr filterMode="1"/>
  <dimension ref="A1:L36"/>
  <sheetViews>
    <sheetView topLeftCell="A28" workbookViewId="0">
      <selection activeCell="J36" sqref="J36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255" t="s">
        <v>17</v>
      </c>
      <c r="B1" s="256" t="s">
        <v>18</v>
      </c>
      <c r="C1" s="256" t="s">
        <v>19</v>
      </c>
      <c r="D1" s="257" t="s">
        <v>20</v>
      </c>
      <c r="E1" s="258" t="s">
        <v>21</v>
      </c>
      <c r="F1" s="258"/>
      <c r="G1" s="258"/>
      <c r="H1" s="259" t="s">
        <v>22</v>
      </c>
      <c r="I1" s="259"/>
      <c r="J1" s="259"/>
      <c r="K1" s="256" t="s">
        <v>23</v>
      </c>
      <c r="L1" s="256"/>
    </row>
    <row r="2" spans="1:12" hidden="1" x14ac:dyDescent="0.3">
      <c r="A2" s="260"/>
      <c r="B2" s="261"/>
      <c r="C2" s="261"/>
      <c r="D2" s="262"/>
      <c r="E2" s="263" t="s">
        <v>24</v>
      </c>
      <c r="F2" s="264"/>
      <c r="G2" s="264"/>
      <c r="H2" s="265" t="s">
        <v>24</v>
      </c>
      <c r="I2" s="266"/>
      <c r="J2" s="266"/>
      <c r="K2" s="260"/>
      <c r="L2" s="267"/>
    </row>
    <row r="3" spans="1:12" ht="91.8" hidden="1" x14ac:dyDescent="0.3">
      <c r="A3" s="268" t="s">
        <v>26</v>
      </c>
      <c r="B3" s="269" t="s">
        <v>529</v>
      </c>
      <c r="C3" s="269" t="s">
        <v>530</v>
      </c>
      <c r="D3" s="269" t="s">
        <v>531</v>
      </c>
      <c r="E3" s="270" t="s">
        <v>30</v>
      </c>
      <c r="F3" s="271">
        <v>1158</v>
      </c>
      <c r="G3" s="271"/>
      <c r="H3" s="270" t="s">
        <v>31</v>
      </c>
      <c r="I3" s="272" t="s">
        <v>32</v>
      </c>
      <c r="J3" s="272"/>
      <c r="K3" s="273" t="s">
        <v>25</v>
      </c>
      <c r="L3" s="274">
        <v>18858.11</v>
      </c>
    </row>
    <row r="4" spans="1:12" ht="91.8" hidden="1" x14ac:dyDescent="0.3">
      <c r="A4" s="268" t="s">
        <v>26</v>
      </c>
      <c r="B4" s="269" t="s">
        <v>529</v>
      </c>
      <c r="C4" s="269" t="s">
        <v>532</v>
      </c>
      <c r="D4" s="269" t="s">
        <v>531</v>
      </c>
      <c r="E4" s="270" t="s">
        <v>30</v>
      </c>
      <c r="F4" s="275">
        <v>270</v>
      </c>
      <c r="G4" s="275"/>
      <c r="H4" s="270" t="s">
        <v>31</v>
      </c>
      <c r="I4" s="272" t="s">
        <v>32</v>
      </c>
      <c r="J4" s="272"/>
      <c r="K4" s="273" t="s">
        <v>25</v>
      </c>
      <c r="L4" s="274">
        <v>19128.11</v>
      </c>
    </row>
    <row r="5" spans="1:12" ht="91.8" hidden="1" x14ac:dyDescent="0.3">
      <c r="A5" s="268" t="s">
        <v>26</v>
      </c>
      <c r="B5" s="269" t="s">
        <v>529</v>
      </c>
      <c r="C5" s="269" t="s">
        <v>533</v>
      </c>
      <c r="D5" s="269" t="s">
        <v>531</v>
      </c>
      <c r="E5" s="270" t="s">
        <v>30</v>
      </c>
      <c r="F5" s="271">
        <v>1287.5</v>
      </c>
      <c r="G5" s="271"/>
      <c r="H5" s="270" t="s">
        <v>31</v>
      </c>
      <c r="I5" s="272" t="s">
        <v>32</v>
      </c>
      <c r="J5" s="272"/>
      <c r="K5" s="273" t="s">
        <v>25</v>
      </c>
      <c r="L5" s="274">
        <v>20415.61</v>
      </c>
    </row>
    <row r="6" spans="1:12" ht="91.8" hidden="1" x14ac:dyDescent="0.3">
      <c r="A6" s="268" t="s">
        <v>26</v>
      </c>
      <c r="B6" s="269" t="s">
        <v>529</v>
      </c>
      <c r="C6" s="269" t="s">
        <v>534</v>
      </c>
      <c r="D6" s="269" t="s">
        <v>531</v>
      </c>
      <c r="E6" s="270" t="s">
        <v>30</v>
      </c>
      <c r="F6" s="275">
        <v>127.5</v>
      </c>
      <c r="G6" s="275"/>
      <c r="H6" s="270" t="s">
        <v>31</v>
      </c>
      <c r="I6" s="272" t="s">
        <v>32</v>
      </c>
      <c r="J6" s="272"/>
      <c r="K6" s="273" t="s">
        <v>25</v>
      </c>
      <c r="L6" s="274">
        <v>20543.11</v>
      </c>
    </row>
    <row r="7" spans="1:12" ht="81.599999999999994" hidden="1" x14ac:dyDescent="0.3">
      <c r="A7" s="268" t="s">
        <v>26</v>
      </c>
      <c r="B7" s="269" t="s">
        <v>529</v>
      </c>
      <c r="C7" s="269" t="s">
        <v>535</v>
      </c>
      <c r="D7" s="269" t="s">
        <v>531</v>
      </c>
      <c r="E7" s="270" t="s">
        <v>30</v>
      </c>
      <c r="F7" s="275">
        <v>162.5</v>
      </c>
      <c r="G7" s="275"/>
      <c r="H7" s="270" t="s">
        <v>31</v>
      </c>
      <c r="I7" s="272" t="s">
        <v>32</v>
      </c>
      <c r="J7" s="272"/>
      <c r="K7" s="273" t="s">
        <v>25</v>
      </c>
      <c r="L7" s="274">
        <v>20705.61</v>
      </c>
    </row>
    <row r="8" spans="1:12" ht="91.8" hidden="1" x14ac:dyDescent="0.3">
      <c r="A8" s="268" t="s">
        <v>26</v>
      </c>
      <c r="B8" s="269" t="s">
        <v>529</v>
      </c>
      <c r="C8" s="269" t="s">
        <v>536</v>
      </c>
      <c r="D8" s="269" t="s">
        <v>531</v>
      </c>
      <c r="E8" s="270" t="s">
        <v>30</v>
      </c>
      <c r="F8" s="275">
        <v>91</v>
      </c>
      <c r="G8" s="275"/>
      <c r="H8" s="270" t="s">
        <v>31</v>
      </c>
      <c r="I8" s="272" t="s">
        <v>32</v>
      </c>
      <c r="J8" s="272"/>
      <c r="K8" s="273" t="s">
        <v>25</v>
      </c>
      <c r="L8" s="274">
        <v>20796.61</v>
      </c>
    </row>
    <row r="9" spans="1:12" ht="91.8" hidden="1" x14ac:dyDescent="0.3">
      <c r="A9" s="268" t="s">
        <v>26</v>
      </c>
      <c r="B9" s="269" t="s">
        <v>529</v>
      </c>
      <c r="C9" s="269" t="s">
        <v>537</v>
      </c>
      <c r="D9" s="269" t="s">
        <v>531</v>
      </c>
      <c r="E9" s="270" t="s">
        <v>30</v>
      </c>
      <c r="F9" s="275">
        <v>740</v>
      </c>
      <c r="G9" s="275"/>
      <c r="H9" s="270" t="s">
        <v>31</v>
      </c>
      <c r="I9" s="272" t="s">
        <v>32</v>
      </c>
      <c r="J9" s="272"/>
      <c r="K9" s="273" t="s">
        <v>25</v>
      </c>
      <c r="L9" s="274">
        <v>21536.61</v>
      </c>
    </row>
    <row r="10" spans="1:12" ht="81.599999999999994" hidden="1" x14ac:dyDescent="0.3">
      <c r="A10" s="268" t="s">
        <v>26</v>
      </c>
      <c r="B10" s="269" t="s">
        <v>529</v>
      </c>
      <c r="C10" s="269" t="s">
        <v>538</v>
      </c>
      <c r="D10" s="269" t="s">
        <v>531</v>
      </c>
      <c r="E10" s="270" t="s">
        <v>30</v>
      </c>
      <c r="F10" s="275">
        <v>73</v>
      </c>
      <c r="G10" s="275"/>
      <c r="H10" s="270" t="s">
        <v>31</v>
      </c>
      <c r="I10" s="272" t="s">
        <v>32</v>
      </c>
      <c r="J10" s="272"/>
      <c r="K10" s="273" t="s">
        <v>25</v>
      </c>
      <c r="L10" s="274">
        <v>21609.61</v>
      </c>
    </row>
    <row r="11" spans="1:12" ht="91.8" hidden="1" x14ac:dyDescent="0.3">
      <c r="A11" s="268" t="s">
        <v>26</v>
      </c>
      <c r="B11" s="269" t="s">
        <v>495</v>
      </c>
      <c r="C11" s="269" t="s">
        <v>496</v>
      </c>
      <c r="D11" s="269" t="s">
        <v>51</v>
      </c>
      <c r="E11" s="270" t="s">
        <v>30</v>
      </c>
      <c r="F11" s="271">
        <v>36011.67</v>
      </c>
      <c r="G11" s="271"/>
      <c r="H11" s="270" t="s">
        <v>30</v>
      </c>
      <c r="I11" s="272" t="s">
        <v>32</v>
      </c>
      <c r="J11" s="272"/>
      <c r="K11" s="273" t="s">
        <v>25</v>
      </c>
      <c r="L11" s="274">
        <v>57621.279999999999</v>
      </c>
    </row>
    <row r="12" spans="1:12" ht="91.8" x14ac:dyDescent="0.3">
      <c r="A12" s="268" t="s">
        <v>26</v>
      </c>
      <c r="B12" s="269" t="s">
        <v>539</v>
      </c>
      <c r="C12" s="269" t="s">
        <v>53</v>
      </c>
      <c r="D12" s="269" t="s">
        <v>496</v>
      </c>
      <c r="E12" s="270" t="s">
        <v>54</v>
      </c>
      <c r="F12" s="276" t="s">
        <v>32</v>
      </c>
      <c r="G12" s="276"/>
      <c r="H12" s="270" t="s">
        <v>30</v>
      </c>
      <c r="I12" s="277">
        <v>36011.67</v>
      </c>
      <c r="J12" s="277"/>
      <c r="K12" s="273" t="s">
        <v>25</v>
      </c>
      <c r="L12" s="274">
        <v>21609.61</v>
      </c>
    </row>
    <row r="13" spans="1:12" ht="81.599999999999994" hidden="1" x14ac:dyDescent="0.3">
      <c r="A13" s="268" t="s">
        <v>479</v>
      </c>
      <c r="B13" s="269" t="s">
        <v>540</v>
      </c>
      <c r="C13" s="269" t="s">
        <v>541</v>
      </c>
      <c r="D13" s="269" t="s">
        <v>542</v>
      </c>
      <c r="E13" s="270" t="s">
        <v>30</v>
      </c>
      <c r="F13" s="271">
        <v>3713.17</v>
      </c>
      <c r="G13" s="271"/>
      <c r="H13" s="270" t="s">
        <v>31</v>
      </c>
      <c r="I13" s="272" t="s">
        <v>32</v>
      </c>
      <c r="J13" s="272"/>
      <c r="K13" s="273" t="s">
        <v>25</v>
      </c>
      <c r="L13" s="274">
        <v>25322.78</v>
      </c>
    </row>
    <row r="14" spans="1:12" ht="81.599999999999994" hidden="1" x14ac:dyDescent="0.3">
      <c r="A14" s="268" t="s">
        <v>479</v>
      </c>
      <c r="B14" s="269" t="s">
        <v>540</v>
      </c>
      <c r="C14" s="269" t="s">
        <v>543</v>
      </c>
      <c r="D14" s="269" t="s">
        <v>542</v>
      </c>
      <c r="E14" s="270" t="s">
        <v>30</v>
      </c>
      <c r="F14" s="275">
        <v>115.87</v>
      </c>
      <c r="G14" s="275"/>
      <c r="H14" s="270" t="s">
        <v>31</v>
      </c>
      <c r="I14" s="272" t="s">
        <v>32</v>
      </c>
      <c r="J14" s="272"/>
      <c r="K14" s="273" t="s">
        <v>25</v>
      </c>
      <c r="L14" s="274">
        <v>25438.65</v>
      </c>
    </row>
    <row r="15" spans="1:12" ht="81.599999999999994" x14ac:dyDescent="0.3">
      <c r="A15" s="268" t="s">
        <v>479</v>
      </c>
      <c r="B15" s="269" t="s">
        <v>544</v>
      </c>
      <c r="C15" s="269" t="s">
        <v>53</v>
      </c>
      <c r="D15" s="269" t="s">
        <v>541</v>
      </c>
      <c r="E15" s="270" t="s">
        <v>54</v>
      </c>
      <c r="F15" s="276" t="s">
        <v>32</v>
      </c>
      <c r="G15" s="276"/>
      <c r="H15" s="270" t="s">
        <v>30</v>
      </c>
      <c r="I15" s="277">
        <v>3713.17</v>
      </c>
      <c r="J15" s="277"/>
      <c r="K15" s="273" t="s">
        <v>25</v>
      </c>
      <c r="L15" s="274">
        <v>21725.48</v>
      </c>
    </row>
    <row r="16" spans="1:12" ht="81.599999999999994" x14ac:dyDescent="0.3">
      <c r="A16" s="268" t="s">
        <v>479</v>
      </c>
      <c r="B16" s="269" t="s">
        <v>544</v>
      </c>
      <c r="C16" s="269" t="s">
        <v>53</v>
      </c>
      <c r="D16" s="269" t="s">
        <v>543</v>
      </c>
      <c r="E16" s="270" t="s">
        <v>54</v>
      </c>
      <c r="F16" s="276" t="s">
        <v>32</v>
      </c>
      <c r="G16" s="276"/>
      <c r="H16" s="270" t="s">
        <v>30</v>
      </c>
      <c r="I16" s="278">
        <v>115.87</v>
      </c>
      <c r="J16" s="278"/>
      <c r="K16" s="273" t="s">
        <v>25</v>
      </c>
      <c r="L16" s="274">
        <v>21609.61</v>
      </c>
    </row>
    <row r="17" spans="1:12" ht="81.599999999999994" hidden="1" x14ac:dyDescent="0.3">
      <c r="A17" s="268" t="s">
        <v>256</v>
      </c>
      <c r="B17" s="269" t="s">
        <v>353</v>
      </c>
      <c r="C17" s="269" t="s">
        <v>354</v>
      </c>
      <c r="D17" s="269" t="s">
        <v>259</v>
      </c>
      <c r="E17" s="270" t="s">
        <v>30</v>
      </c>
      <c r="F17" s="271">
        <v>56069.21</v>
      </c>
      <c r="G17" s="271"/>
      <c r="H17" s="270" t="s">
        <v>30</v>
      </c>
      <c r="I17" s="272" t="s">
        <v>32</v>
      </c>
      <c r="J17" s="272"/>
      <c r="K17" s="273" t="s">
        <v>25</v>
      </c>
      <c r="L17" s="274">
        <v>77678.820000000007</v>
      </c>
    </row>
    <row r="18" spans="1:12" ht="102" hidden="1" x14ac:dyDescent="0.3">
      <c r="A18" s="268" t="s">
        <v>71</v>
      </c>
      <c r="B18" s="269" t="s">
        <v>545</v>
      </c>
      <c r="C18" s="269" t="s">
        <v>546</v>
      </c>
      <c r="D18" s="269" t="s">
        <v>547</v>
      </c>
      <c r="E18" s="270" t="s">
        <v>30</v>
      </c>
      <c r="F18" s="276" t="s">
        <v>32</v>
      </c>
      <c r="G18" s="276"/>
      <c r="H18" s="270" t="s">
        <v>30</v>
      </c>
      <c r="I18" s="277">
        <v>8216</v>
      </c>
      <c r="J18" s="277"/>
      <c r="K18" s="273" t="s">
        <v>25</v>
      </c>
      <c r="L18" s="274">
        <v>69462.820000000007</v>
      </c>
    </row>
    <row r="19" spans="1:12" ht="102" x14ac:dyDescent="0.3">
      <c r="A19" s="268" t="s">
        <v>89</v>
      </c>
      <c r="B19" s="269" t="s">
        <v>548</v>
      </c>
      <c r="C19" s="269" t="s">
        <v>53</v>
      </c>
      <c r="D19" s="269" t="s">
        <v>547</v>
      </c>
      <c r="E19" s="270" t="s">
        <v>54</v>
      </c>
      <c r="F19" s="276" t="s">
        <v>32</v>
      </c>
      <c r="G19" s="276"/>
      <c r="H19" s="270" t="s">
        <v>30</v>
      </c>
      <c r="I19" s="277">
        <v>5980</v>
      </c>
      <c r="J19" s="277"/>
      <c r="K19" s="273" t="s">
        <v>25</v>
      </c>
      <c r="L19" s="274">
        <v>63482.82</v>
      </c>
    </row>
    <row r="20" spans="1:12" ht="91.8" x14ac:dyDescent="0.3">
      <c r="A20" s="268" t="s">
        <v>89</v>
      </c>
      <c r="B20" s="269" t="s">
        <v>548</v>
      </c>
      <c r="C20" s="269" t="s">
        <v>53</v>
      </c>
      <c r="D20" s="269" t="s">
        <v>517</v>
      </c>
      <c r="E20" s="270" t="s">
        <v>54</v>
      </c>
      <c r="F20" s="276" t="s">
        <v>32</v>
      </c>
      <c r="G20" s="276"/>
      <c r="H20" s="270" t="s">
        <v>30</v>
      </c>
      <c r="I20" s="278">
        <v>652.83000000000004</v>
      </c>
      <c r="J20" s="278"/>
      <c r="K20" s="273" t="s">
        <v>25</v>
      </c>
      <c r="L20" s="274">
        <v>62829.99</v>
      </c>
    </row>
    <row r="21" spans="1:12" ht="81.599999999999994" hidden="1" x14ac:dyDescent="0.3">
      <c r="A21" s="268" t="s">
        <v>208</v>
      </c>
      <c r="B21" s="269" t="s">
        <v>549</v>
      </c>
      <c r="C21" s="269" t="s">
        <v>550</v>
      </c>
      <c r="D21" s="269" t="s">
        <v>551</v>
      </c>
      <c r="E21" s="270" t="s">
        <v>30</v>
      </c>
      <c r="F21" s="271">
        <v>35040</v>
      </c>
      <c r="G21" s="271"/>
      <c r="H21" s="270" t="s">
        <v>31</v>
      </c>
      <c r="I21" s="272" t="s">
        <v>32</v>
      </c>
      <c r="J21" s="272"/>
      <c r="K21" s="273" t="s">
        <v>25</v>
      </c>
      <c r="L21" s="274">
        <v>97869.99</v>
      </c>
    </row>
    <row r="22" spans="1:12" ht="81.599999999999994" hidden="1" x14ac:dyDescent="0.3">
      <c r="A22" s="268" t="s">
        <v>208</v>
      </c>
      <c r="B22" s="269" t="s">
        <v>552</v>
      </c>
      <c r="C22" s="269" t="s">
        <v>550</v>
      </c>
      <c r="D22" s="269" t="s">
        <v>553</v>
      </c>
      <c r="E22" s="270" t="s">
        <v>30</v>
      </c>
      <c r="F22" s="271">
        <v>14740</v>
      </c>
      <c r="G22" s="271"/>
      <c r="H22" s="270" t="s">
        <v>31</v>
      </c>
      <c r="I22" s="272" t="s">
        <v>32</v>
      </c>
      <c r="J22" s="272"/>
      <c r="K22" s="273" t="s">
        <v>25</v>
      </c>
      <c r="L22" s="274">
        <v>112609.99</v>
      </c>
    </row>
    <row r="23" spans="1:12" ht="81.599999999999994" hidden="1" x14ac:dyDescent="0.3">
      <c r="A23" s="268" t="s">
        <v>99</v>
      </c>
      <c r="B23" s="269" t="s">
        <v>419</v>
      </c>
      <c r="C23" s="269" t="s">
        <v>420</v>
      </c>
      <c r="D23" s="269" t="s">
        <v>413</v>
      </c>
      <c r="E23" s="270" t="s">
        <v>30</v>
      </c>
      <c r="F23" s="271">
        <v>52410.38</v>
      </c>
      <c r="G23" s="271"/>
      <c r="H23" s="270" t="s">
        <v>30</v>
      </c>
      <c r="I23" s="272" t="s">
        <v>32</v>
      </c>
      <c r="J23" s="272"/>
      <c r="K23" s="273" t="s">
        <v>25</v>
      </c>
      <c r="L23" s="274">
        <v>165020.37</v>
      </c>
    </row>
    <row r="24" spans="1:12" ht="91.8" hidden="1" x14ac:dyDescent="0.3">
      <c r="A24" s="268" t="s">
        <v>103</v>
      </c>
      <c r="B24" s="269" t="s">
        <v>515</v>
      </c>
      <c r="C24" s="269" t="s">
        <v>516</v>
      </c>
      <c r="D24" s="269" t="s">
        <v>517</v>
      </c>
      <c r="E24" s="270" t="s">
        <v>30</v>
      </c>
      <c r="F24" s="276" t="s">
        <v>32</v>
      </c>
      <c r="G24" s="276"/>
      <c r="H24" s="270" t="s">
        <v>30</v>
      </c>
      <c r="I24" s="278">
        <v>293.77999999999997</v>
      </c>
      <c r="J24" s="278"/>
      <c r="K24" s="273" t="s">
        <v>25</v>
      </c>
      <c r="L24" s="274">
        <v>164726.59</v>
      </c>
    </row>
    <row r="25" spans="1:12" ht="81.599999999999994" hidden="1" x14ac:dyDescent="0.3">
      <c r="A25" s="268" t="s">
        <v>103</v>
      </c>
      <c r="B25" s="269" t="s">
        <v>515</v>
      </c>
      <c r="C25" s="269" t="s">
        <v>352</v>
      </c>
      <c r="D25" s="269" t="s">
        <v>354</v>
      </c>
      <c r="E25" s="270" t="s">
        <v>30</v>
      </c>
      <c r="F25" s="276" t="s">
        <v>32</v>
      </c>
      <c r="G25" s="276"/>
      <c r="H25" s="270" t="s">
        <v>30</v>
      </c>
      <c r="I25" s="277">
        <v>12073.57</v>
      </c>
      <c r="J25" s="277"/>
      <c r="K25" s="273" t="s">
        <v>25</v>
      </c>
      <c r="L25" s="274">
        <v>152653.01999999999</v>
      </c>
    </row>
    <row r="26" spans="1:12" ht="81.599999999999994" x14ac:dyDescent="0.3">
      <c r="A26" s="268" t="s">
        <v>103</v>
      </c>
      <c r="B26" s="269" t="s">
        <v>554</v>
      </c>
      <c r="C26" s="269" t="s">
        <v>53</v>
      </c>
      <c r="D26" s="269" t="s">
        <v>354</v>
      </c>
      <c r="E26" s="270" t="s">
        <v>54</v>
      </c>
      <c r="F26" s="276" t="s">
        <v>32</v>
      </c>
      <c r="G26" s="276"/>
      <c r="H26" s="270" t="s">
        <v>30</v>
      </c>
      <c r="I26" s="277">
        <v>3289.39</v>
      </c>
      <c r="J26" s="277"/>
      <c r="K26" s="273" t="s">
        <v>25</v>
      </c>
      <c r="L26" s="274">
        <v>149363.63</v>
      </c>
    </row>
    <row r="27" spans="1:12" ht="81.599999999999994" x14ac:dyDescent="0.3">
      <c r="A27" s="268" t="s">
        <v>103</v>
      </c>
      <c r="B27" s="269" t="s">
        <v>554</v>
      </c>
      <c r="C27" s="269" t="s">
        <v>53</v>
      </c>
      <c r="D27" s="269" t="s">
        <v>354</v>
      </c>
      <c r="E27" s="270" t="s">
        <v>54</v>
      </c>
      <c r="F27" s="276" t="s">
        <v>32</v>
      </c>
      <c r="G27" s="276"/>
      <c r="H27" s="270" t="s">
        <v>30</v>
      </c>
      <c r="I27" s="277">
        <v>40706.25</v>
      </c>
      <c r="J27" s="277"/>
      <c r="K27" s="273" t="s">
        <v>25</v>
      </c>
      <c r="L27" s="274">
        <v>108657.38</v>
      </c>
    </row>
    <row r="28" spans="1:12" ht="81.599999999999994" x14ac:dyDescent="0.3">
      <c r="A28" s="268" t="s">
        <v>103</v>
      </c>
      <c r="B28" s="269" t="s">
        <v>554</v>
      </c>
      <c r="C28" s="269" t="s">
        <v>53</v>
      </c>
      <c r="D28" s="269" t="s">
        <v>550</v>
      </c>
      <c r="E28" s="270" t="s">
        <v>54</v>
      </c>
      <c r="F28" s="276" t="s">
        <v>32</v>
      </c>
      <c r="G28" s="276"/>
      <c r="H28" s="270" t="s">
        <v>30</v>
      </c>
      <c r="I28" s="277">
        <v>10827.15</v>
      </c>
      <c r="J28" s="277"/>
      <c r="K28" s="273" t="s">
        <v>25</v>
      </c>
      <c r="L28" s="274">
        <v>97830.23</v>
      </c>
    </row>
    <row r="29" spans="1:12" ht="81.599999999999994" x14ac:dyDescent="0.3">
      <c r="A29" s="268" t="s">
        <v>103</v>
      </c>
      <c r="B29" s="269" t="s">
        <v>554</v>
      </c>
      <c r="C29" s="269" t="s">
        <v>53</v>
      </c>
      <c r="D29" s="269" t="s">
        <v>550</v>
      </c>
      <c r="E29" s="270" t="s">
        <v>54</v>
      </c>
      <c r="F29" s="276" t="s">
        <v>32</v>
      </c>
      <c r="G29" s="276"/>
      <c r="H29" s="270" t="s">
        <v>30</v>
      </c>
      <c r="I29" s="277">
        <v>1285.98</v>
      </c>
      <c r="J29" s="277"/>
      <c r="K29" s="273" t="s">
        <v>25</v>
      </c>
      <c r="L29" s="274">
        <v>96544.25</v>
      </c>
    </row>
    <row r="30" spans="1:12" ht="81.599999999999994" x14ac:dyDescent="0.3">
      <c r="A30" s="268" t="s">
        <v>103</v>
      </c>
      <c r="B30" s="269" t="s">
        <v>555</v>
      </c>
      <c r="C30" s="269" t="s">
        <v>53</v>
      </c>
      <c r="D30" s="269" t="s">
        <v>550</v>
      </c>
      <c r="E30" s="270" t="s">
        <v>54</v>
      </c>
      <c r="F30" s="276" t="s">
        <v>32</v>
      </c>
      <c r="G30" s="276"/>
      <c r="H30" s="270" t="s">
        <v>30</v>
      </c>
      <c r="I30" s="277">
        <v>37666.870000000003</v>
      </c>
      <c r="J30" s="277"/>
      <c r="K30" s="273" t="s">
        <v>25</v>
      </c>
      <c r="L30" s="274">
        <v>58877.38</v>
      </c>
    </row>
    <row r="31" spans="1:12" ht="81.599999999999994" x14ac:dyDescent="0.3">
      <c r="A31" s="268" t="s">
        <v>103</v>
      </c>
      <c r="B31" s="269" t="s">
        <v>555</v>
      </c>
      <c r="C31" s="269" t="s">
        <v>53</v>
      </c>
      <c r="D31" s="269" t="s">
        <v>420</v>
      </c>
      <c r="E31" s="270" t="s">
        <v>54</v>
      </c>
      <c r="F31" s="276" t="s">
        <v>32</v>
      </c>
      <c r="G31" s="276"/>
      <c r="H31" s="270" t="s">
        <v>30</v>
      </c>
      <c r="I31" s="277">
        <v>21779.42</v>
      </c>
      <c r="J31" s="277"/>
      <c r="K31" s="273" t="s">
        <v>25</v>
      </c>
      <c r="L31" s="274">
        <v>37097.96</v>
      </c>
    </row>
    <row r="32" spans="1:12" ht="81.599999999999994" hidden="1" x14ac:dyDescent="0.3">
      <c r="A32" s="268" t="s">
        <v>224</v>
      </c>
      <c r="B32" s="269" t="s">
        <v>556</v>
      </c>
      <c r="C32" s="269" t="s">
        <v>557</v>
      </c>
      <c r="D32" s="269" t="s">
        <v>558</v>
      </c>
      <c r="E32" s="270" t="s">
        <v>30</v>
      </c>
      <c r="F32" s="271">
        <v>10220</v>
      </c>
      <c r="G32" s="271"/>
      <c r="H32" s="270" t="s">
        <v>31</v>
      </c>
      <c r="I32" s="272" t="s">
        <v>32</v>
      </c>
      <c r="J32" s="272"/>
      <c r="K32" s="273" t="s">
        <v>25</v>
      </c>
      <c r="L32" s="274">
        <v>47317.96</v>
      </c>
    </row>
    <row r="33" spans="1:12" ht="81.599999999999994" hidden="1" x14ac:dyDescent="0.3">
      <c r="A33" s="268" t="s">
        <v>224</v>
      </c>
      <c r="B33" s="269" t="s">
        <v>559</v>
      </c>
      <c r="C33" s="269" t="s">
        <v>557</v>
      </c>
      <c r="D33" s="269" t="s">
        <v>560</v>
      </c>
      <c r="E33" s="270" t="s">
        <v>30</v>
      </c>
      <c r="F33" s="271">
        <v>7370</v>
      </c>
      <c r="G33" s="271"/>
      <c r="H33" s="270" t="s">
        <v>31</v>
      </c>
      <c r="I33" s="272" t="s">
        <v>32</v>
      </c>
      <c r="J33" s="272"/>
      <c r="K33" s="273" t="s">
        <v>25</v>
      </c>
      <c r="L33" s="274">
        <v>54687.96</v>
      </c>
    </row>
    <row r="34" spans="1:12" hidden="1" x14ac:dyDescent="0.3">
      <c r="A34" s="279" t="s">
        <v>120</v>
      </c>
      <c r="B34" s="279"/>
      <c r="C34" s="279"/>
      <c r="D34" s="279"/>
      <c r="E34" s="280">
        <v>219599.8</v>
      </c>
      <c r="F34" s="280"/>
      <c r="G34" s="280"/>
      <c r="H34" s="280">
        <v>182611.95</v>
      </c>
      <c r="I34" s="280"/>
      <c r="J34" s="280"/>
      <c r="K34" s="281" t="s">
        <v>25</v>
      </c>
      <c r="L34" s="282">
        <v>54687.96</v>
      </c>
    </row>
    <row r="36" spans="1:12" x14ac:dyDescent="0.3">
      <c r="J36" s="2">
        <f>SUBTOTAL(9,I12:J31)</f>
        <v>162028.59999999998</v>
      </c>
    </row>
  </sheetData>
  <autoFilter ref="A1:L34" xr:uid="{C7081F01-7AE8-43B5-AE4D-B77E1DCFDB22}">
    <filterColumn colId="1">
      <filters>
        <filter val="Вимога-накладна ІБ00-000351 від 02.05.2025 21:00:00_x000a_Списаны ТМЦ"/>
        <filter val="Вимога-накладна ІБ00-000363 від 01.05.2025 23:31:15_x000a_Списаны ТМЦ"/>
        <filter val="Вимога-накладна ІБ00-000376 від 22.05.2025 16:25:05_x000a_Списаны ТМЦ"/>
        <filter val="Вимога-накладна ІБ00-000408 від 29.05.2025 21:00:31_x000a_Списаны ТМЦ"/>
        <filter val="Вимога-накладна ІБ00-000425 від 29.05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4">
    <mergeCell ref="A34:D34"/>
    <mergeCell ref="E34:G34"/>
    <mergeCell ref="H34:J34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6D84-DDC9-4AA4-B443-CAD6C5547E72}">
  <sheetPr filterMode="1"/>
  <dimension ref="A1:L50"/>
  <sheetViews>
    <sheetView topLeftCell="A44" workbookViewId="0">
      <selection activeCell="J50" sqref="J50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283" t="s">
        <v>17</v>
      </c>
      <c r="B1" s="284" t="s">
        <v>18</v>
      </c>
      <c r="C1" s="284" t="s">
        <v>19</v>
      </c>
      <c r="D1" s="285" t="s">
        <v>20</v>
      </c>
      <c r="E1" s="286" t="s">
        <v>21</v>
      </c>
      <c r="F1" s="286"/>
      <c r="G1" s="286"/>
      <c r="H1" s="287" t="s">
        <v>22</v>
      </c>
      <c r="I1" s="287"/>
      <c r="J1" s="287"/>
      <c r="K1" s="284" t="s">
        <v>23</v>
      </c>
      <c r="L1" s="284"/>
    </row>
    <row r="2" spans="1:12" hidden="1" x14ac:dyDescent="0.3">
      <c r="A2" s="288"/>
      <c r="B2" s="289"/>
      <c r="C2" s="289"/>
      <c r="D2" s="290"/>
      <c r="E2" s="291" t="s">
        <v>24</v>
      </c>
      <c r="F2" s="292"/>
      <c r="G2" s="292"/>
      <c r="H2" s="293" t="s">
        <v>24</v>
      </c>
      <c r="I2" s="294"/>
      <c r="J2" s="294"/>
      <c r="K2" s="288"/>
      <c r="L2" s="295"/>
    </row>
    <row r="3" spans="1:12" ht="81.599999999999994" hidden="1" x14ac:dyDescent="0.3">
      <c r="A3" s="296" t="s">
        <v>26</v>
      </c>
      <c r="B3" s="297" t="s">
        <v>277</v>
      </c>
      <c r="C3" s="297" t="s">
        <v>278</v>
      </c>
      <c r="D3" s="297" t="s">
        <v>266</v>
      </c>
      <c r="E3" s="298" t="s">
        <v>30</v>
      </c>
      <c r="F3" s="299">
        <v>5811.7</v>
      </c>
      <c r="G3" s="299"/>
      <c r="H3" s="298" t="s">
        <v>30</v>
      </c>
      <c r="I3" s="300" t="s">
        <v>32</v>
      </c>
      <c r="J3" s="300"/>
      <c r="K3" s="301" t="s">
        <v>25</v>
      </c>
      <c r="L3" s="302">
        <v>143099.79</v>
      </c>
    </row>
    <row r="4" spans="1:12" ht="102" hidden="1" x14ac:dyDescent="0.3">
      <c r="A4" s="296" t="s">
        <v>26</v>
      </c>
      <c r="B4" s="297" t="s">
        <v>252</v>
      </c>
      <c r="C4" s="297" t="s">
        <v>253</v>
      </c>
      <c r="D4" s="297" t="s">
        <v>251</v>
      </c>
      <c r="E4" s="298" t="s">
        <v>30</v>
      </c>
      <c r="F4" s="299">
        <v>2765.25</v>
      </c>
      <c r="G4" s="299"/>
      <c r="H4" s="298" t="s">
        <v>30</v>
      </c>
      <c r="I4" s="300" t="s">
        <v>32</v>
      </c>
      <c r="J4" s="300"/>
      <c r="K4" s="301" t="s">
        <v>25</v>
      </c>
      <c r="L4" s="302">
        <v>145865.04</v>
      </c>
    </row>
    <row r="5" spans="1:12" ht="102" hidden="1" x14ac:dyDescent="0.3">
      <c r="A5" s="296" t="s">
        <v>26</v>
      </c>
      <c r="B5" s="297" t="s">
        <v>252</v>
      </c>
      <c r="C5" s="297" t="s">
        <v>254</v>
      </c>
      <c r="D5" s="297" t="s">
        <v>255</v>
      </c>
      <c r="E5" s="298" t="s">
        <v>30</v>
      </c>
      <c r="F5" s="299">
        <v>19797.330000000002</v>
      </c>
      <c r="G5" s="299"/>
      <c r="H5" s="298" t="s">
        <v>30</v>
      </c>
      <c r="I5" s="300" t="s">
        <v>32</v>
      </c>
      <c r="J5" s="300"/>
      <c r="K5" s="301" t="s">
        <v>25</v>
      </c>
      <c r="L5" s="302">
        <v>165662.37</v>
      </c>
    </row>
    <row r="6" spans="1:12" ht="102" hidden="1" x14ac:dyDescent="0.3">
      <c r="A6" s="296" t="s">
        <v>26</v>
      </c>
      <c r="B6" s="297" t="s">
        <v>476</v>
      </c>
      <c r="C6" s="297" t="s">
        <v>477</v>
      </c>
      <c r="D6" s="297" t="s">
        <v>478</v>
      </c>
      <c r="E6" s="298" t="s">
        <v>30</v>
      </c>
      <c r="F6" s="299">
        <v>8005.33</v>
      </c>
      <c r="G6" s="299"/>
      <c r="H6" s="298" t="s">
        <v>30</v>
      </c>
      <c r="I6" s="300" t="s">
        <v>32</v>
      </c>
      <c r="J6" s="300"/>
      <c r="K6" s="301" t="s">
        <v>25</v>
      </c>
      <c r="L6" s="302">
        <v>173667.7</v>
      </c>
    </row>
    <row r="7" spans="1:12" ht="81.599999999999994" hidden="1" x14ac:dyDescent="0.3">
      <c r="A7" s="296" t="s">
        <v>176</v>
      </c>
      <c r="B7" s="297" t="s">
        <v>561</v>
      </c>
      <c r="C7" s="297" t="s">
        <v>143</v>
      </c>
      <c r="D7" s="297" t="s">
        <v>562</v>
      </c>
      <c r="E7" s="298" t="s">
        <v>30</v>
      </c>
      <c r="F7" s="299">
        <v>61320</v>
      </c>
      <c r="G7" s="299"/>
      <c r="H7" s="298" t="s">
        <v>31</v>
      </c>
      <c r="I7" s="300" t="s">
        <v>32</v>
      </c>
      <c r="J7" s="300"/>
      <c r="K7" s="301" t="s">
        <v>25</v>
      </c>
      <c r="L7" s="302">
        <v>234987.7</v>
      </c>
    </row>
    <row r="8" spans="1:12" ht="81.599999999999994" hidden="1" x14ac:dyDescent="0.3">
      <c r="A8" s="296" t="s">
        <v>176</v>
      </c>
      <c r="B8" s="297" t="s">
        <v>563</v>
      </c>
      <c r="C8" s="297" t="s">
        <v>143</v>
      </c>
      <c r="D8" s="297" t="s">
        <v>564</v>
      </c>
      <c r="E8" s="298" t="s">
        <v>30</v>
      </c>
      <c r="F8" s="299">
        <v>22555.5</v>
      </c>
      <c r="G8" s="299"/>
      <c r="H8" s="298" t="s">
        <v>31</v>
      </c>
      <c r="I8" s="300" t="s">
        <v>32</v>
      </c>
      <c r="J8" s="300"/>
      <c r="K8" s="301" t="s">
        <v>25</v>
      </c>
      <c r="L8" s="302">
        <v>257543.2</v>
      </c>
    </row>
    <row r="9" spans="1:12" ht="81.599999999999994" hidden="1" x14ac:dyDescent="0.3">
      <c r="A9" s="296" t="s">
        <v>179</v>
      </c>
      <c r="B9" s="297" t="s">
        <v>318</v>
      </c>
      <c r="C9" s="297" t="s">
        <v>319</v>
      </c>
      <c r="D9" s="297" t="s">
        <v>314</v>
      </c>
      <c r="E9" s="298" t="s">
        <v>30</v>
      </c>
      <c r="F9" s="299">
        <v>27580</v>
      </c>
      <c r="G9" s="299"/>
      <c r="H9" s="298" t="s">
        <v>30</v>
      </c>
      <c r="I9" s="300" t="s">
        <v>32</v>
      </c>
      <c r="J9" s="300"/>
      <c r="K9" s="301" t="s">
        <v>25</v>
      </c>
      <c r="L9" s="302">
        <v>285123.20000000001</v>
      </c>
    </row>
    <row r="10" spans="1:12" ht="81.599999999999994" hidden="1" x14ac:dyDescent="0.3">
      <c r="A10" s="296" t="s">
        <v>63</v>
      </c>
      <c r="B10" s="297" t="s">
        <v>330</v>
      </c>
      <c r="C10" s="297" t="s">
        <v>331</v>
      </c>
      <c r="D10" s="297" t="s">
        <v>66</v>
      </c>
      <c r="E10" s="298" t="s">
        <v>30</v>
      </c>
      <c r="F10" s="299">
        <v>79138.789999999994</v>
      </c>
      <c r="G10" s="299"/>
      <c r="H10" s="298" t="s">
        <v>30</v>
      </c>
      <c r="I10" s="300" t="s">
        <v>32</v>
      </c>
      <c r="J10" s="300"/>
      <c r="K10" s="301" t="s">
        <v>25</v>
      </c>
      <c r="L10" s="302">
        <v>364261.99</v>
      </c>
    </row>
    <row r="11" spans="1:12" ht="81.599999999999994" hidden="1" x14ac:dyDescent="0.3">
      <c r="A11" s="296" t="s">
        <v>332</v>
      </c>
      <c r="B11" s="297" t="s">
        <v>337</v>
      </c>
      <c r="C11" s="297" t="s">
        <v>338</v>
      </c>
      <c r="D11" s="297" t="s">
        <v>334</v>
      </c>
      <c r="E11" s="298" t="s">
        <v>30</v>
      </c>
      <c r="F11" s="299">
        <v>3894.67</v>
      </c>
      <c r="G11" s="299"/>
      <c r="H11" s="298" t="s">
        <v>30</v>
      </c>
      <c r="I11" s="300" t="s">
        <v>32</v>
      </c>
      <c r="J11" s="300"/>
      <c r="K11" s="301" t="s">
        <v>25</v>
      </c>
      <c r="L11" s="302">
        <v>368156.66</v>
      </c>
    </row>
    <row r="12" spans="1:12" ht="81.599999999999994" hidden="1" x14ac:dyDescent="0.3">
      <c r="A12" s="296" t="s">
        <v>565</v>
      </c>
      <c r="B12" s="297" t="s">
        <v>566</v>
      </c>
      <c r="C12" s="297" t="s">
        <v>567</v>
      </c>
      <c r="D12" s="297" t="s">
        <v>568</v>
      </c>
      <c r="E12" s="298" t="s">
        <v>30</v>
      </c>
      <c r="F12" s="299">
        <v>9483.75</v>
      </c>
      <c r="G12" s="299"/>
      <c r="H12" s="298" t="s">
        <v>31</v>
      </c>
      <c r="I12" s="300" t="s">
        <v>32</v>
      </c>
      <c r="J12" s="300"/>
      <c r="K12" s="301" t="s">
        <v>25</v>
      </c>
      <c r="L12" s="302">
        <v>377640.41</v>
      </c>
    </row>
    <row r="13" spans="1:12" ht="81.599999999999994" hidden="1" x14ac:dyDescent="0.3">
      <c r="A13" s="296" t="s">
        <v>565</v>
      </c>
      <c r="B13" s="297" t="s">
        <v>569</v>
      </c>
      <c r="C13" s="297" t="s">
        <v>567</v>
      </c>
      <c r="D13" s="297" t="s">
        <v>570</v>
      </c>
      <c r="E13" s="298" t="s">
        <v>30</v>
      </c>
      <c r="F13" s="299">
        <v>7599.5</v>
      </c>
      <c r="G13" s="299"/>
      <c r="H13" s="298" t="s">
        <v>31</v>
      </c>
      <c r="I13" s="300" t="s">
        <v>32</v>
      </c>
      <c r="J13" s="300"/>
      <c r="K13" s="301" t="s">
        <v>25</v>
      </c>
      <c r="L13" s="302">
        <v>385239.91</v>
      </c>
    </row>
    <row r="14" spans="1:12" ht="81.599999999999994" hidden="1" x14ac:dyDescent="0.3">
      <c r="A14" s="296" t="s">
        <v>71</v>
      </c>
      <c r="B14" s="297" t="s">
        <v>571</v>
      </c>
      <c r="C14" s="297" t="s">
        <v>572</v>
      </c>
      <c r="D14" s="297" t="s">
        <v>573</v>
      </c>
      <c r="E14" s="298" t="s">
        <v>30</v>
      </c>
      <c r="F14" s="299">
        <v>36500</v>
      </c>
      <c r="G14" s="299"/>
      <c r="H14" s="298" t="s">
        <v>31</v>
      </c>
      <c r="I14" s="300" t="s">
        <v>32</v>
      </c>
      <c r="J14" s="300"/>
      <c r="K14" s="301" t="s">
        <v>25</v>
      </c>
      <c r="L14" s="302">
        <v>421739.91</v>
      </c>
    </row>
    <row r="15" spans="1:12" ht="81.599999999999994" hidden="1" x14ac:dyDescent="0.3">
      <c r="A15" s="296" t="s">
        <v>71</v>
      </c>
      <c r="B15" s="297" t="s">
        <v>574</v>
      </c>
      <c r="C15" s="297" t="s">
        <v>572</v>
      </c>
      <c r="D15" s="297" t="s">
        <v>575</v>
      </c>
      <c r="E15" s="298" t="s">
        <v>30</v>
      </c>
      <c r="F15" s="299">
        <v>14740</v>
      </c>
      <c r="G15" s="299"/>
      <c r="H15" s="298" t="s">
        <v>31</v>
      </c>
      <c r="I15" s="300" t="s">
        <v>32</v>
      </c>
      <c r="J15" s="300"/>
      <c r="K15" s="301" t="s">
        <v>25</v>
      </c>
      <c r="L15" s="302">
        <v>436479.91</v>
      </c>
    </row>
    <row r="16" spans="1:12" ht="81.599999999999994" hidden="1" x14ac:dyDescent="0.3">
      <c r="A16" s="296" t="s">
        <v>71</v>
      </c>
      <c r="B16" s="297" t="s">
        <v>141</v>
      </c>
      <c r="C16" s="297" t="s">
        <v>142</v>
      </c>
      <c r="D16" s="297" t="s">
        <v>143</v>
      </c>
      <c r="E16" s="298" t="s">
        <v>30</v>
      </c>
      <c r="F16" s="303" t="s">
        <v>32</v>
      </c>
      <c r="G16" s="303"/>
      <c r="H16" s="298" t="s">
        <v>30</v>
      </c>
      <c r="I16" s="304">
        <v>3994.07</v>
      </c>
      <c r="J16" s="304"/>
      <c r="K16" s="301" t="s">
        <v>25</v>
      </c>
      <c r="L16" s="302">
        <v>432485.84</v>
      </c>
    </row>
    <row r="17" spans="1:12" ht="81.599999999999994" hidden="1" x14ac:dyDescent="0.3">
      <c r="A17" s="296" t="s">
        <v>197</v>
      </c>
      <c r="B17" s="297" t="s">
        <v>576</v>
      </c>
      <c r="C17" s="297" t="s">
        <v>577</v>
      </c>
      <c r="D17" s="297" t="s">
        <v>578</v>
      </c>
      <c r="E17" s="298" t="s">
        <v>30</v>
      </c>
      <c r="F17" s="299">
        <v>43800</v>
      </c>
      <c r="G17" s="299"/>
      <c r="H17" s="298" t="s">
        <v>31</v>
      </c>
      <c r="I17" s="300" t="s">
        <v>32</v>
      </c>
      <c r="J17" s="300"/>
      <c r="K17" s="301" t="s">
        <v>25</v>
      </c>
      <c r="L17" s="302">
        <v>476285.84</v>
      </c>
    </row>
    <row r="18" spans="1:12" ht="81.599999999999994" hidden="1" x14ac:dyDescent="0.3">
      <c r="A18" s="296" t="s">
        <v>197</v>
      </c>
      <c r="B18" s="297" t="s">
        <v>579</v>
      </c>
      <c r="C18" s="297" t="s">
        <v>577</v>
      </c>
      <c r="D18" s="297" t="s">
        <v>580</v>
      </c>
      <c r="E18" s="298" t="s">
        <v>30</v>
      </c>
      <c r="F18" s="299">
        <v>16873</v>
      </c>
      <c r="G18" s="299"/>
      <c r="H18" s="298" t="s">
        <v>31</v>
      </c>
      <c r="I18" s="300" t="s">
        <v>32</v>
      </c>
      <c r="J18" s="300"/>
      <c r="K18" s="301" t="s">
        <v>25</v>
      </c>
      <c r="L18" s="302">
        <v>493158.84</v>
      </c>
    </row>
    <row r="19" spans="1:12" ht="81.599999999999994" x14ac:dyDescent="0.3">
      <c r="A19" s="296" t="s">
        <v>89</v>
      </c>
      <c r="B19" s="297" t="s">
        <v>581</v>
      </c>
      <c r="C19" s="297" t="s">
        <v>53</v>
      </c>
      <c r="D19" s="297" t="s">
        <v>582</v>
      </c>
      <c r="E19" s="298" t="s">
        <v>54</v>
      </c>
      <c r="F19" s="303" t="s">
        <v>32</v>
      </c>
      <c r="G19" s="303"/>
      <c r="H19" s="298" t="s">
        <v>30</v>
      </c>
      <c r="I19" s="304">
        <v>1985</v>
      </c>
      <c r="J19" s="304"/>
      <c r="K19" s="301" t="s">
        <v>25</v>
      </c>
      <c r="L19" s="302">
        <v>491173.84</v>
      </c>
    </row>
    <row r="20" spans="1:12" ht="81.599999999999994" x14ac:dyDescent="0.3">
      <c r="A20" s="296" t="s">
        <v>89</v>
      </c>
      <c r="B20" s="297" t="s">
        <v>581</v>
      </c>
      <c r="C20" s="297" t="s">
        <v>53</v>
      </c>
      <c r="D20" s="297" t="s">
        <v>583</v>
      </c>
      <c r="E20" s="298" t="s">
        <v>54</v>
      </c>
      <c r="F20" s="303" t="s">
        <v>32</v>
      </c>
      <c r="G20" s="303"/>
      <c r="H20" s="298" t="s">
        <v>30</v>
      </c>
      <c r="I20" s="304">
        <v>17968.29</v>
      </c>
      <c r="J20" s="304"/>
      <c r="K20" s="301" t="s">
        <v>25</v>
      </c>
      <c r="L20" s="302">
        <v>473205.55</v>
      </c>
    </row>
    <row r="21" spans="1:12" ht="81.599999999999994" x14ac:dyDescent="0.3">
      <c r="A21" s="296" t="s">
        <v>89</v>
      </c>
      <c r="B21" s="297" t="s">
        <v>581</v>
      </c>
      <c r="C21" s="297" t="s">
        <v>53</v>
      </c>
      <c r="D21" s="297" t="s">
        <v>278</v>
      </c>
      <c r="E21" s="298" t="s">
        <v>54</v>
      </c>
      <c r="F21" s="303" t="s">
        <v>32</v>
      </c>
      <c r="G21" s="303"/>
      <c r="H21" s="298" t="s">
        <v>30</v>
      </c>
      <c r="I21" s="304">
        <v>5811.7</v>
      </c>
      <c r="J21" s="304"/>
      <c r="K21" s="301" t="s">
        <v>25</v>
      </c>
      <c r="L21" s="302">
        <v>467393.85</v>
      </c>
    </row>
    <row r="22" spans="1:12" ht="81.599999999999994" x14ac:dyDescent="0.3">
      <c r="A22" s="296" t="s">
        <v>89</v>
      </c>
      <c r="B22" s="297" t="s">
        <v>581</v>
      </c>
      <c r="C22" s="297" t="s">
        <v>53</v>
      </c>
      <c r="D22" s="297" t="s">
        <v>319</v>
      </c>
      <c r="E22" s="298" t="s">
        <v>54</v>
      </c>
      <c r="F22" s="303" t="s">
        <v>32</v>
      </c>
      <c r="G22" s="303"/>
      <c r="H22" s="298" t="s">
        <v>30</v>
      </c>
      <c r="I22" s="304">
        <v>2482.1999999999998</v>
      </c>
      <c r="J22" s="304"/>
      <c r="K22" s="301" t="s">
        <v>25</v>
      </c>
      <c r="L22" s="302">
        <v>464911.65</v>
      </c>
    </row>
    <row r="23" spans="1:12" ht="81.599999999999994" x14ac:dyDescent="0.3">
      <c r="A23" s="296" t="s">
        <v>89</v>
      </c>
      <c r="B23" s="297" t="s">
        <v>584</v>
      </c>
      <c r="C23" s="297" t="s">
        <v>53</v>
      </c>
      <c r="D23" s="297" t="s">
        <v>585</v>
      </c>
      <c r="E23" s="298" t="s">
        <v>54</v>
      </c>
      <c r="F23" s="303" t="s">
        <v>32</v>
      </c>
      <c r="G23" s="303"/>
      <c r="H23" s="298" t="s">
        <v>30</v>
      </c>
      <c r="I23" s="305">
        <v>553.86</v>
      </c>
      <c r="J23" s="305"/>
      <c r="K23" s="301" t="s">
        <v>25</v>
      </c>
      <c r="L23" s="302">
        <v>464357.79</v>
      </c>
    </row>
    <row r="24" spans="1:12" ht="81.599999999999994" hidden="1" x14ac:dyDescent="0.3">
      <c r="A24" s="296" t="s">
        <v>89</v>
      </c>
      <c r="B24" s="297" t="s">
        <v>505</v>
      </c>
      <c r="C24" s="297" t="s">
        <v>506</v>
      </c>
      <c r="D24" s="297" t="s">
        <v>507</v>
      </c>
      <c r="E24" s="298" t="s">
        <v>30</v>
      </c>
      <c r="F24" s="303" t="s">
        <v>32</v>
      </c>
      <c r="G24" s="303"/>
      <c r="H24" s="298" t="s">
        <v>30</v>
      </c>
      <c r="I24" s="304">
        <v>18590.21</v>
      </c>
      <c r="J24" s="304"/>
      <c r="K24" s="301" t="s">
        <v>25</v>
      </c>
      <c r="L24" s="302">
        <v>445767.58</v>
      </c>
    </row>
    <row r="25" spans="1:12" ht="81.599999999999994" hidden="1" x14ac:dyDescent="0.3">
      <c r="A25" s="296" t="s">
        <v>89</v>
      </c>
      <c r="B25" s="297" t="s">
        <v>505</v>
      </c>
      <c r="C25" s="297" t="s">
        <v>508</v>
      </c>
      <c r="D25" s="297" t="s">
        <v>338</v>
      </c>
      <c r="E25" s="298" t="s">
        <v>30</v>
      </c>
      <c r="F25" s="303" t="s">
        <v>32</v>
      </c>
      <c r="G25" s="303"/>
      <c r="H25" s="298" t="s">
        <v>30</v>
      </c>
      <c r="I25" s="304">
        <v>3894.67</v>
      </c>
      <c r="J25" s="304"/>
      <c r="K25" s="301" t="s">
        <v>25</v>
      </c>
      <c r="L25" s="302">
        <v>441872.91</v>
      </c>
    </row>
    <row r="26" spans="1:12" ht="81.599999999999994" hidden="1" x14ac:dyDescent="0.3">
      <c r="A26" s="296" t="s">
        <v>99</v>
      </c>
      <c r="B26" s="297" t="s">
        <v>421</v>
      </c>
      <c r="C26" s="297" t="s">
        <v>422</v>
      </c>
      <c r="D26" s="297" t="s">
        <v>413</v>
      </c>
      <c r="E26" s="298" t="s">
        <v>30</v>
      </c>
      <c r="F26" s="299">
        <v>56292.62</v>
      </c>
      <c r="G26" s="299"/>
      <c r="H26" s="298" t="s">
        <v>30</v>
      </c>
      <c r="I26" s="300" t="s">
        <v>32</v>
      </c>
      <c r="J26" s="300"/>
      <c r="K26" s="301" t="s">
        <v>25</v>
      </c>
      <c r="L26" s="302">
        <v>498165.53</v>
      </c>
    </row>
    <row r="27" spans="1:12" ht="81.599999999999994" hidden="1" x14ac:dyDescent="0.3">
      <c r="A27" s="296" t="s">
        <v>103</v>
      </c>
      <c r="B27" s="297" t="s">
        <v>586</v>
      </c>
      <c r="C27" s="297" t="s">
        <v>587</v>
      </c>
      <c r="D27" s="297" t="s">
        <v>588</v>
      </c>
      <c r="E27" s="298" t="s">
        <v>30</v>
      </c>
      <c r="F27" s="303" t="s">
        <v>32</v>
      </c>
      <c r="G27" s="303"/>
      <c r="H27" s="298" t="s">
        <v>30</v>
      </c>
      <c r="I27" s="304">
        <v>9677.23</v>
      </c>
      <c r="J27" s="304"/>
      <c r="K27" s="301" t="s">
        <v>25</v>
      </c>
      <c r="L27" s="302">
        <v>488488.3</v>
      </c>
    </row>
    <row r="28" spans="1:12" ht="81.599999999999994" x14ac:dyDescent="0.3">
      <c r="A28" s="296" t="s">
        <v>103</v>
      </c>
      <c r="B28" s="297" t="s">
        <v>589</v>
      </c>
      <c r="C28" s="297" t="s">
        <v>53</v>
      </c>
      <c r="D28" s="297" t="s">
        <v>319</v>
      </c>
      <c r="E28" s="298" t="s">
        <v>54</v>
      </c>
      <c r="F28" s="303" t="s">
        <v>32</v>
      </c>
      <c r="G28" s="303"/>
      <c r="H28" s="298" t="s">
        <v>30</v>
      </c>
      <c r="I28" s="304">
        <v>25097.8</v>
      </c>
      <c r="J28" s="304"/>
      <c r="K28" s="301" t="s">
        <v>25</v>
      </c>
      <c r="L28" s="302">
        <v>463390.5</v>
      </c>
    </row>
    <row r="29" spans="1:12" ht="81.599999999999994" x14ac:dyDescent="0.3">
      <c r="A29" s="296" t="s">
        <v>103</v>
      </c>
      <c r="B29" s="297" t="s">
        <v>589</v>
      </c>
      <c r="C29" s="297" t="s">
        <v>53</v>
      </c>
      <c r="D29" s="297" t="s">
        <v>567</v>
      </c>
      <c r="E29" s="298" t="s">
        <v>54</v>
      </c>
      <c r="F29" s="303" t="s">
        <v>32</v>
      </c>
      <c r="G29" s="303"/>
      <c r="H29" s="298" t="s">
        <v>30</v>
      </c>
      <c r="I29" s="305">
        <v>645.37</v>
      </c>
      <c r="J29" s="305"/>
      <c r="K29" s="301" t="s">
        <v>25</v>
      </c>
      <c r="L29" s="302">
        <v>462745.13</v>
      </c>
    </row>
    <row r="30" spans="1:12" ht="81.599999999999994" x14ac:dyDescent="0.3">
      <c r="A30" s="296" t="s">
        <v>103</v>
      </c>
      <c r="B30" s="297" t="s">
        <v>589</v>
      </c>
      <c r="C30" s="297" t="s">
        <v>53</v>
      </c>
      <c r="D30" s="297" t="s">
        <v>143</v>
      </c>
      <c r="E30" s="298" t="s">
        <v>54</v>
      </c>
      <c r="F30" s="303" t="s">
        <v>32</v>
      </c>
      <c r="G30" s="303"/>
      <c r="H30" s="298" t="s">
        <v>30</v>
      </c>
      <c r="I30" s="304">
        <v>79881.429999999993</v>
      </c>
      <c r="J30" s="304"/>
      <c r="K30" s="301" t="s">
        <v>25</v>
      </c>
      <c r="L30" s="302">
        <v>382863.7</v>
      </c>
    </row>
    <row r="31" spans="1:12" ht="81.599999999999994" x14ac:dyDescent="0.3">
      <c r="A31" s="296" t="s">
        <v>103</v>
      </c>
      <c r="B31" s="297" t="s">
        <v>589</v>
      </c>
      <c r="C31" s="297" t="s">
        <v>53</v>
      </c>
      <c r="D31" s="297" t="s">
        <v>331</v>
      </c>
      <c r="E31" s="298" t="s">
        <v>54</v>
      </c>
      <c r="F31" s="303" t="s">
        <v>32</v>
      </c>
      <c r="G31" s="303"/>
      <c r="H31" s="298" t="s">
        <v>30</v>
      </c>
      <c r="I31" s="304">
        <v>3768.51</v>
      </c>
      <c r="J31" s="304"/>
      <c r="K31" s="301" t="s">
        <v>25</v>
      </c>
      <c r="L31" s="302">
        <v>379095.19</v>
      </c>
    </row>
    <row r="32" spans="1:12" ht="81.599999999999994" x14ac:dyDescent="0.3">
      <c r="A32" s="296" t="s">
        <v>103</v>
      </c>
      <c r="B32" s="297" t="s">
        <v>589</v>
      </c>
      <c r="C32" s="297" t="s">
        <v>53</v>
      </c>
      <c r="D32" s="297" t="s">
        <v>331</v>
      </c>
      <c r="E32" s="298" t="s">
        <v>54</v>
      </c>
      <c r="F32" s="303" t="s">
        <v>32</v>
      </c>
      <c r="G32" s="303"/>
      <c r="H32" s="298" t="s">
        <v>30</v>
      </c>
      <c r="I32" s="304">
        <v>75370.28</v>
      </c>
      <c r="J32" s="304"/>
      <c r="K32" s="301" t="s">
        <v>25</v>
      </c>
      <c r="L32" s="302">
        <v>303724.90999999997</v>
      </c>
    </row>
    <row r="33" spans="1:12" ht="81.599999999999994" x14ac:dyDescent="0.3">
      <c r="A33" s="296" t="s">
        <v>103</v>
      </c>
      <c r="B33" s="297" t="s">
        <v>589</v>
      </c>
      <c r="C33" s="297" t="s">
        <v>53</v>
      </c>
      <c r="D33" s="297" t="s">
        <v>572</v>
      </c>
      <c r="E33" s="298" t="s">
        <v>54</v>
      </c>
      <c r="F33" s="303" t="s">
        <v>32</v>
      </c>
      <c r="G33" s="303"/>
      <c r="H33" s="298" t="s">
        <v>30</v>
      </c>
      <c r="I33" s="304">
        <v>4099.2</v>
      </c>
      <c r="J33" s="304"/>
      <c r="K33" s="301" t="s">
        <v>25</v>
      </c>
      <c r="L33" s="302">
        <v>299625.71000000002</v>
      </c>
    </row>
    <row r="34" spans="1:12" ht="102" x14ac:dyDescent="0.3">
      <c r="A34" s="296" t="s">
        <v>103</v>
      </c>
      <c r="B34" s="297" t="s">
        <v>589</v>
      </c>
      <c r="C34" s="297" t="s">
        <v>53</v>
      </c>
      <c r="D34" s="297" t="s">
        <v>477</v>
      </c>
      <c r="E34" s="298" t="s">
        <v>54</v>
      </c>
      <c r="F34" s="303" t="s">
        <v>32</v>
      </c>
      <c r="G34" s="303"/>
      <c r="H34" s="298" t="s">
        <v>30</v>
      </c>
      <c r="I34" s="304">
        <v>8005.33</v>
      </c>
      <c r="J34" s="304"/>
      <c r="K34" s="301" t="s">
        <v>25</v>
      </c>
      <c r="L34" s="302">
        <v>291620.38</v>
      </c>
    </row>
    <row r="35" spans="1:12" ht="102" x14ac:dyDescent="0.3">
      <c r="A35" s="296" t="s">
        <v>103</v>
      </c>
      <c r="B35" s="297" t="s">
        <v>589</v>
      </c>
      <c r="C35" s="297" t="s">
        <v>53</v>
      </c>
      <c r="D35" s="297" t="s">
        <v>590</v>
      </c>
      <c r="E35" s="298" t="s">
        <v>54</v>
      </c>
      <c r="F35" s="303" t="s">
        <v>32</v>
      </c>
      <c r="G35" s="303"/>
      <c r="H35" s="298" t="s">
        <v>30</v>
      </c>
      <c r="I35" s="304">
        <v>3670</v>
      </c>
      <c r="J35" s="304"/>
      <c r="K35" s="301" t="s">
        <v>25</v>
      </c>
      <c r="L35" s="302">
        <v>287950.38</v>
      </c>
    </row>
    <row r="36" spans="1:12" ht="102" x14ac:dyDescent="0.3">
      <c r="A36" s="296" t="s">
        <v>103</v>
      </c>
      <c r="B36" s="297" t="s">
        <v>589</v>
      </c>
      <c r="C36" s="297" t="s">
        <v>53</v>
      </c>
      <c r="D36" s="297" t="s">
        <v>590</v>
      </c>
      <c r="E36" s="298" t="s">
        <v>54</v>
      </c>
      <c r="F36" s="303" t="s">
        <v>32</v>
      </c>
      <c r="G36" s="303"/>
      <c r="H36" s="298" t="s">
        <v>30</v>
      </c>
      <c r="I36" s="304">
        <v>5205</v>
      </c>
      <c r="J36" s="304"/>
      <c r="K36" s="301" t="s">
        <v>25</v>
      </c>
      <c r="L36" s="302">
        <v>282745.38</v>
      </c>
    </row>
    <row r="37" spans="1:12" ht="102" x14ac:dyDescent="0.3">
      <c r="A37" s="296" t="s">
        <v>103</v>
      </c>
      <c r="B37" s="297" t="s">
        <v>589</v>
      </c>
      <c r="C37" s="297" t="s">
        <v>53</v>
      </c>
      <c r="D37" s="297" t="s">
        <v>253</v>
      </c>
      <c r="E37" s="298" t="s">
        <v>54</v>
      </c>
      <c r="F37" s="303" t="s">
        <v>32</v>
      </c>
      <c r="G37" s="303"/>
      <c r="H37" s="298" t="s">
        <v>30</v>
      </c>
      <c r="I37" s="304">
        <v>1101</v>
      </c>
      <c r="J37" s="304"/>
      <c r="K37" s="301" t="s">
        <v>25</v>
      </c>
      <c r="L37" s="302">
        <v>281644.38</v>
      </c>
    </row>
    <row r="38" spans="1:12" ht="102" x14ac:dyDescent="0.3">
      <c r="A38" s="296" t="s">
        <v>103</v>
      </c>
      <c r="B38" s="297" t="s">
        <v>589</v>
      </c>
      <c r="C38" s="297" t="s">
        <v>53</v>
      </c>
      <c r="D38" s="297" t="s">
        <v>253</v>
      </c>
      <c r="E38" s="298" t="s">
        <v>54</v>
      </c>
      <c r="F38" s="303" t="s">
        <v>32</v>
      </c>
      <c r="G38" s="303"/>
      <c r="H38" s="298" t="s">
        <v>30</v>
      </c>
      <c r="I38" s="304">
        <v>1664.25</v>
      </c>
      <c r="J38" s="304"/>
      <c r="K38" s="301" t="s">
        <v>25</v>
      </c>
      <c r="L38" s="302">
        <v>279980.13</v>
      </c>
    </row>
    <row r="39" spans="1:12" ht="102" x14ac:dyDescent="0.3">
      <c r="A39" s="296" t="s">
        <v>103</v>
      </c>
      <c r="B39" s="297" t="s">
        <v>589</v>
      </c>
      <c r="C39" s="297" t="s">
        <v>53</v>
      </c>
      <c r="D39" s="297" t="s">
        <v>254</v>
      </c>
      <c r="E39" s="298" t="s">
        <v>54</v>
      </c>
      <c r="F39" s="303" t="s">
        <v>32</v>
      </c>
      <c r="G39" s="303"/>
      <c r="H39" s="298" t="s">
        <v>30</v>
      </c>
      <c r="I39" s="304">
        <v>2088</v>
      </c>
      <c r="J39" s="304"/>
      <c r="K39" s="301" t="s">
        <v>25</v>
      </c>
      <c r="L39" s="302">
        <v>277892.13</v>
      </c>
    </row>
    <row r="40" spans="1:12" ht="102" x14ac:dyDescent="0.3">
      <c r="A40" s="296" t="s">
        <v>103</v>
      </c>
      <c r="B40" s="297" t="s">
        <v>589</v>
      </c>
      <c r="C40" s="297" t="s">
        <v>53</v>
      </c>
      <c r="D40" s="297" t="s">
        <v>254</v>
      </c>
      <c r="E40" s="298" t="s">
        <v>54</v>
      </c>
      <c r="F40" s="303" t="s">
        <v>32</v>
      </c>
      <c r="G40" s="303"/>
      <c r="H40" s="298" t="s">
        <v>30</v>
      </c>
      <c r="I40" s="304">
        <v>17709.330000000002</v>
      </c>
      <c r="J40" s="304"/>
      <c r="K40" s="301" t="s">
        <v>25</v>
      </c>
      <c r="L40" s="302">
        <v>260182.8</v>
      </c>
    </row>
    <row r="41" spans="1:12" ht="102" x14ac:dyDescent="0.3">
      <c r="A41" s="296" t="s">
        <v>103</v>
      </c>
      <c r="B41" s="297" t="s">
        <v>589</v>
      </c>
      <c r="C41" s="297" t="s">
        <v>53</v>
      </c>
      <c r="D41" s="297" t="s">
        <v>591</v>
      </c>
      <c r="E41" s="298" t="s">
        <v>54</v>
      </c>
      <c r="F41" s="303" t="s">
        <v>32</v>
      </c>
      <c r="G41" s="303"/>
      <c r="H41" s="298" t="s">
        <v>30</v>
      </c>
      <c r="I41" s="304">
        <v>2088</v>
      </c>
      <c r="J41" s="304"/>
      <c r="K41" s="301" t="s">
        <v>25</v>
      </c>
      <c r="L41" s="302">
        <v>258094.8</v>
      </c>
    </row>
    <row r="42" spans="1:12" ht="102" x14ac:dyDescent="0.3">
      <c r="A42" s="296" t="s">
        <v>103</v>
      </c>
      <c r="B42" s="297" t="s">
        <v>589</v>
      </c>
      <c r="C42" s="297" t="s">
        <v>53</v>
      </c>
      <c r="D42" s="297" t="s">
        <v>591</v>
      </c>
      <c r="E42" s="298" t="s">
        <v>54</v>
      </c>
      <c r="F42" s="303" t="s">
        <v>32</v>
      </c>
      <c r="G42" s="303"/>
      <c r="H42" s="298" t="s">
        <v>30</v>
      </c>
      <c r="I42" s="304">
        <v>9832</v>
      </c>
      <c r="J42" s="304"/>
      <c r="K42" s="301" t="s">
        <v>25</v>
      </c>
      <c r="L42" s="302">
        <v>248262.8</v>
      </c>
    </row>
    <row r="43" spans="1:12" ht="81.599999999999994" x14ac:dyDescent="0.3">
      <c r="A43" s="296" t="s">
        <v>103</v>
      </c>
      <c r="B43" s="297" t="s">
        <v>592</v>
      </c>
      <c r="C43" s="297" t="s">
        <v>53</v>
      </c>
      <c r="D43" s="297" t="s">
        <v>567</v>
      </c>
      <c r="E43" s="298" t="s">
        <v>54</v>
      </c>
      <c r="F43" s="303" t="s">
        <v>32</v>
      </c>
      <c r="G43" s="303"/>
      <c r="H43" s="298" t="s">
        <v>30</v>
      </c>
      <c r="I43" s="304">
        <v>13552.71</v>
      </c>
      <c r="J43" s="304"/>
      <c r="K43" s="301" t="s">
        <v>25</v>
      </c>
      <c r="L43" s="302">
        <v>234710.09</v>
      </c>
    </row>
    <row r="44" spans="1:12" ht="81.599999999999994" x14ac:dyDescent="0.3">
      <c r="A44" s="296" t="s">
        <v>103</v>
      </c>
      <c r="B44" s="297" t="s">
        <v>593</v>
      </c>
      <c r="C44" s="297" t="s">
        <v>53</v>
      </c>
      <c r="D44" s="297" t="s">
        <v>572</v>
      </c>
      <c r="E44" s="298" t="s">
        <v>54</v>
      </c>
      <c r="F44" s="303" t="s">
        <v>32</v>
      </c>
      <c r="G44" s="303"/>
      <c r="H44" s="298" t="s">
        <v>30</v>
      </c>
      <c r="I44" s="304">
        <v>47140.800000000003</v>
      </c>
      <c r="J44" s="304"/>
      <c r="K44" s="301" t="s">
        <v>25</v>
      </c>
      <c r="L44" s="302">
        <v>187569.29</v>
      </c>
    </row>
    <row r="45" spans="1:12" ht="81.599999999999994" x14ac:dyDescent="0.3">
      <c r="A45" s="296" t="s">
        <v>103</v>
      </c>
      <c r="B45" s="297" t="s">
        <v>593</v>
      </c>
      <c r="C45" s="297" t="s">
        <v>53</v>
      </c>
      <c r="D45" s="297" t="s">
        <v>577</v>
      </c>
      <c r="E45" s="298" t="s">
        <v>54</v>
      </c>
      <c r="F45" s="303" t="s">
        <v>32</v>
      </c>
      <c r="G45" s="303"/>
      <c r="H45" s="298" t="s">
        <v>30</v>
      </c>
      <c r="I45" s="304">
        <v>12134.6</v>
      </c>
      <c r="J45" s="304"/>
      <c r="K45" s="301" t="s">
        <v>25</v>
      </c>
      <c r="L45" s="302">
        <v>175434.69</v>
      </c>
    </row>
    <row r="46" spans="1:12" ht="81.599999999999994" x14ac:dyDescent="0.3">
      <c r="A46" s="296" t="s">
        <v>103</v>
      </c>
      <c r="B46" s="297" t="s">
        <v>593</v>
      </c>
      <c r="C46" s="297" t="s">
        <v>53</v>
      </c>
      <c r="D46" s="297" t="s">
        <v>577</v>
      </c>
      <c r="E46" s="298" t="s">
        <v>54</v>
      </c>
      <c r="F46" s="303" t="s">
        <v>32</v>
      </c>
      <c r="G46" s="303"/>
      <c r="H46" s="298" t="s">
        <v>30</v>
      </c>
      <c r="I46" s="304">
        <v>48538.400000000001</v>
      </c>
      <c r="J46" s="304"/>
      <c r="K46" s="301" t="s">
        <v>25</v>
      </c>
      <c r="L46" s="302">
        <v>126896.29</v>
      </c>
    </row>
    <row r="47" spans="1:12" ht="81.599999999999994" x14ac:dyDescent="0.3">
      <c r="A47" s="296" t="s">
        <v>103</v>
      </c>
      <c r="B47" s="297" t="s">
        <v>593</v>
      </c>
      <c r="C47" s="297" t="s">
        <v>53</v>
      </c>
      <c r="D47" s="297" t="s">
        <v>422</v>
      </c>
      <c r="E47" s="298" t="s">
        <v>54</v>
      </c>
      <c r="F47" s="303" t="s">
        <v>32</v>
      </c>
      <c r="G47" s="303"/>
      <c r="H47" s="298" t="s">
        <v>30</v>
      </c>
      <c r="I47" s="304">
        <v>7997.43</v>
      </c>
      <c r="J47" s="304"/>
      <c r="K47" s="301" t="s">
        <v>25</v>
      </c>
      <c r="L47" s="302">
        <v>118898.86</v>
      </c>
    </row>
    <row r="48" spans="1:12" hidden="1" x14ac:dyDescent="0.3">
      <c r="A48" s="306" t="s">
        <v>120</v>
      </c>
      <c r="B48" s="306"/>
      <c r="C48" s="306"/>
      <c r="D48" s="306"/>
      <c r="E48" s="307">
        <v>416157.44</v>
      </c>
      <c r="F48" s="307"/>
      <c r="G48" s="307"/>
      <c r="H48" s="307">
        <v>434546.67</v>
      </c>
      <c r="I48" s="307"/>
      <c r="J48" s="307"/>
      <c r="K48" s="308" t="s">
        <v>25</v>
      </c>
      <c r="L48" s="309">
        <v>118898.86</v>
      </c>
    </row>
    <row r="50" spans="10:10" x14ac:dyDescent="0.3">
      <c r="J50" s="2">
        <f>SUBTOTAL(9,I19:J47)</f>
        <v>398390.49</v>
      </c>
    </row>
  </sheetData>
  <autoFilter ref="A1:L48" xr:uid="{09955BA8-0FA1-4F7F-A8CA-902375C2CFA0}">
    <filterColumn colId="1">
      <filters>
        <filter val="Вимога-накладна ІБ00-000373 від 22.05.2025 15:35:47_x000a_Списаны ТМЦ"/>
        <filter val="Вимога-накладна ІБ00-000394 від 29.05.2025 13:10:55_x000a_Списаны ТМЦ"/>
        <filter val="Вимога-накладна ІБ00-000407 від 29.05.2025 21:00:30_x000a_Списаны ТМЦ"/>
        <filter val="Вимога-накладна ІБ00-000424 від 29.05.2025 21:50:00_x000a_Списаны ТМЦ"/>
        <filter val="Списання товарів ІБ00-000260 від 22.05.2025 15:41:06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2">
    <mergeCell ref="F46:G46"/>
    <mergeCell ref="I46:J46"/>
    <mergeCell ref="F47:G47"/>
    <mergeCell ref="I47:J47"/>
    <mergeCell ref="A48:D48"/>
    <mergeCell ref="E48:G48"/>
    <mergeCell ref="H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DD8A-BEC4-4CFF-93DA-39B4D6A3875B}">
  <sheetPr filterMode="1"/>
  <dimension ref="A1:L46"/>
  <sheetViews>
    <sheetView topLeftCell="A40" workbookViewId="0">
      <selection activeCell="J46" sqref="J46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310" t="s">
        <v>17</v>
      </c>
      <c r="B1" s="311" t="s">
        <v>18</v>
      </c>
      <c r="C1" s="311" t="s">
        <v>19</v>
      </c>
      <c r="D1" s="312" t="s">
        <v>20</v>
      </c>
      <c r="E1" s="313" t="s">
        <v>21</v>
      </c>
      <c r="F1" s="313"/>
      <c r="G1" s="313"/>
      <c r="H1" s="314" t="s">
        <v>22</v>
      </c>
      <c r="I1" s="314"/>
      <c r="J1" s="314"/>
      <c r="K1" s="311" t="s">
        <v>23</v>
      </c>
      <c r="L1" s="311"/>
    </row>
    <row r="2" spans="1:12" hidden="1" x14ac:dyDescent="0.3">
      <c r="A2" s="315"/>
      <c r="B2" s="316"/>
      <c r="C2" s="316"/>
      <c r="D2" s="317"/>
      <c r="E2" s="318" t="s">
        <v>24</v>
      </c>
      <c r="F2" s="319"/>
      <c r="G2" s="319"/>
      <c r="H2" s="320" t="s">
        <v>24</v>
      </c>
      <c r="I2" s="321"/>
      <c r="J2" s="321"/>
      <c r="K2" s="315"/>
      <c r="L2" s="322"/>
    </row>
    <row r="3" spans="1:12" ht="91.8" hidden="1" x14ac:dyDescent="0.3">
      <c r="A3" s="323" t="s">
        <v>26</v>
      </c>
      <c r="B3" s="324" t="s">
        <v>249</v>
      </c>
      <c r="C3" s="324" t="s">
        <v>250</v>
      </c>
      <c r="D3" s="324" t="s">
        <v>251</v>
      </c>
      <c r="E3" s="325" t="s">
        <v>30</v>
      </c>
      <c r="F3" s="326">
        <v>561.75</v>
      </c>
      <c r="G3" s="326"/>
      <c r="H3" s="325" t="s">
        <v>30</v>
      </c>
      <c r="I3" s="327" t="s">
        <v>32</v>
      </c>
      <c r="J3" s="327"/>
      <c r="K3" s="328" t="s">
        <v>25</v>
      </c>
      <c r="L3" s="329">
        <v>258072.61</v>
      </c>
    </row>
    <row r="4" spans="1:12" ht="91.8" hidden="1" x14ac:dyDescent="0.3">
      <c r="A4" s="323" t="s">
        <v>26</v>
      </c>
      <c r="B4" s="324" t="s">
        <v>232</v>
      </c>
      <c r="C4" s="324" t="s">
        <v>233</v>
      </c>
      <c r="D4" s="324" t="s">
        <v>234</v>
      </c>
      <c r="E4" s="325" t="s">
        <v>30</v>
      </c>
      <c r="F4" s="330">
        <v>18870</v>
      </c>
      <c r="G4" s="330"/>
      <c r="H4" s="325" t="s">
        <v>30</v>
      </c>
      <c r="I4" s="327" t="s">
        <v>32</v>
      </c>
      <c r="J4" s="327"/>
      <c r="K4" s="328" t="s">
        <v>25</v>
      </c>
      <c r="L4" s="329">
        <v>276942.61</v>
      </c>
    </row>
    <row r="5" spans="1:12" ht="91.8" hidden="1" x14ac:dyDescent="0.3">
      <c r="A5" s="323" t="s">
        <v>26</v>
      </c>
      <c r="B5" s="324" t="s">
        <v>232</v>
      </c>
      <c r="C5" s="324" t="s">
        <v>235</v>
      </c>
      <c r="D5" s="324" t="s">
        <v>236</v>
      </c>
      <c r="E5" s="325" t="s">
        <v>30</v>
      </c>
      <c r="F5" s="330">
        <v>9105</v>
      </c>
      <c r="G5" s="330"/>
      <c r="H5" s="325" t="s">
        <v>30</v>
      </c>
      <c r="I5" s="327" t="s">
        <v>32</v>
      </c>
      <c r="J5" s="327"/>
      <c r="K5" s="328" t="s">
        <v>25</v>
      </c>
      <c r="L5" s="329">
        <v>286047.61</v>
      </c>
    </row>
    <row r="6" spans="1:12" ht="91.8" hidden="1" x14ac:dyDescent="0.3">
      <c r="A6" s="323" t="s">
        <v>26</v>
      </c>
      <c r="B6" s="324" t="s">
        <v>594</v>
      </c>
      <c r="C6" s="324" t="s">
        <v>595</v>
      </c>
      <c r="D6" s="324" t="s">
        <v>596</v>
      </c>
      <c r="E6" s="325" t="s">
        <v>30</v>
      </c>
      <c r="F6" s="330">
        <v>7230</v>
      </c>
      <c r="G6" s="330"/>
      <c r="H6" s="325" t="s">
        <v>30</v>
      </c>
      <c r="I6" s="327" t="s">
        <v>32</v>
      </c>
      <c r="J6" s="327"/>
      <c r="K6" s="328" t="s">
        <v>25</v>
      </c>
      <c r="L6" s="329">
        <v>293277.61</v>
      </c>
    </row>
    <row r="7" spans="1:12" ht="91.8" hidden="1" x14ac:dyDescent="0.3">
      <c r="A7" s="323" t="s">
        <v>26</v>
      </c>
      <c r="B7" s="324" t="s">
        <v>594</v>
      </c>
      <c r="C7" s="324" t="s">
        <v>233</v>
      </c>
      <c r="D7" s="324" t="s">
        <v>597</v>
      </c>
      <c r="E7" s="325" t="s">
        <v>30</v>
      </c>
      <c r="F7" s="330">
        <v>26900</v>
      </c>
      <c r="G7" s="330"/>
      <c r="H7" s="325" t="s">
        <v>30</v>
      </c>
      <c r="I7" s="327" t="s">
        <v>32</v>
      </c>
      <c r="J7" s="327"/>
      <c r="K7" s="328" t="s">
        <v>25</v>
      </c>
      <c r="L7" s="329">
        <v>320177.61</v>
      </c>
    </row>
    <row r="8" spans="1:12" ht="91.8" hidden="1" x14ac:dyDescent="0.3">
      <c r="A8" s="323" t="s">
        <v>26</v>
      </c>
      <c r="B8" s="324" t="s">
        <v>594</v>
      </c>
      <c r="C8" s="324" t="s">
        <v>598</v>
      </c>
      <c r="D8" s="324" t="s">
        <v>599</v>
      </c>
      <c r="E8" s="325" t="s">
        <v>30</v>
      </c>
      <c r="F8" s="330">
        <v>1482</v>
      </c>
      <c r="G8" s="330"/>
      <c r="H8" s="325" t="s">
        <v>30</v>
      </c>
      <c r="I8" s="327" t="s">
        <v>32</v>
      </c>
      <c r="J8" s="327"/>
      <c r="K8" s="328" t="s">
        <v>25</v>
      </c>
      <c r="L8" s="329">
        <v>321659.61</v>
      </c>
    </row>
    <row r="9" spans="1:12" ht="91.8" hidden="1" x14ac:dyDescent="0.3">
      <c r="A9" s="323" t="s">
        <v>26</v>
      </c>
      <c r="B9" s="324" t="s">
        <v>594</v>
      </c>
      <c r="C9" s="324" t="s">
        <v>600</v>
      </c>
      <c r="D9" s="324" t="s">
        <v>601</v>
      </c>
      <c r="E9" s="325" t="s">
        <v>30</v>
      </c>
      <c r="F9" s="330">
        <v>46100</v>
      </c>
      <c r="G9" s="330"/>
      <c r="H9" s="325" t="s">
        <v>30</v>
      </c>
      <c r="I9" s="327" t="s">
        <v>32</v>
      </c>
      <c r="J9" s="327"/>
      <c r="K9" s="328" t="s">
        <v>25</v>
      </c>
      <c r="L9" s="329">
        <v>367759.61</v>
      </c>
    </row>
    <row r="10" spans="1:12" ht="91.8" hidden="1" x14ac:dyDescent="0.3">
      <c r="A10" s="323" t="s">
        <v>26</v>
      </c>
      <c r="B10" s="324" t="s">
        <v>594</v>
      </c>
      <c r="C10" s="324" t="s">
        <v>602</v>
      </c>
      <c r="D10" s="324" t="s">
        <v>603</v>
      </c>
      <c r="E10" s="325" t="s">
        <v>30</v>
      </c>
      <c r="F10" s="330">
        <v>37515</v>
      </c>
      <c r="G10" s="330"/>
      <c r="H10" s="325" t="s">
        <v>30</v>
      </c>
      <c r="I10" s="327" t="s">
        <v>32</v>
      </c>
      <c r="J10" s="327"/>
      <c r="K10" s="328" t="s">
        <v>25</v>
      </c>
      <c r="L10" s="329">
        <v>405274.61</v>
      </c>
    </row>
    <row r="11" spans="1:12" ht="91.8" hidden="1" x14ac:dyDescent="0.3">
      <c r="A11" s="323" t="s">
        <v>26</v>
      </c>
      <c r="B11" s="324" t="s">
        <v>594</v>
      </c>
      <c r="C11" s="324" t="s">
        <v>235</v>
      </c>
      <c r="D11" s="324" t="s">
        <v>604</v>
      </c>
      <c r="E11" s="325" t="s">
        <v>30</v>
      </c>
      <c r="F11" s="330">
        <v>7722.5</v>
      </c>
      <c r="G11" s="330"/>
      <c r="H11" s="325" t="s">
        <v>30</v>
      </c>
      <c r="I11" s="327" t="s">
        <v>32</v>
      </c>
      <c r="J11" s="327"/>
      <c r="K11" s="328" t="s">
        <v>25</v>
      </c>
      <c r="L11" s="329">
        <v>412997.11</v>
      </c>
    </row>
    <row r="12" spans="1:12" ht="81.599999999999994" hidden="1" x14ac:dyDescent="0.3">
      <c r="A12" s="323" t="s">
        <v>26</v>
      </c>
      <c r="B12" s="324" t="s">
        <v>444</v>
      </c>
      <c r="C12" s="324" t="s">
        <v>445</v>
      </c>
      <c r="D12" s="324" t="s">
        <v>446</v>
      </c>
      <c r="E12" s="325" t="s">
        <v>30</v>
      </c>
      <c r="F12" s="330">
        <v>1573.54</v>
      </c>
      <c r="G12" s="330"/>
      <c r="H12" s="325" t="s">
        <v>30</v>
      </c>
      <c r="I12" s="327" t="s">
        <v>32</v>
      </c>
      <c r="J12" s="327"/>
      <c r="K12" s="328" t="s">
        <v>25</v>
      </c>
      <c r="L12" s="329">
        <v>414570.65</v>
      </c>
    </row>
    <row r="13" spans="1:12" ht="81.599999999999994" hidden="1" x14ac:dyDescent="0.3">
      <c r="A13" s="323" t="s">
        <v>26</v>
      </c>
      <c r="B13" s="324" t="s">
        <v>297</v>
      </c>
      <c r="C13" s="324" t="s">
        <v>298</v>
      </c>
      <c r="D13" s="324" t="s">
        <v>106</v>
      </c>
      <c r="E13" s="325" t="s">
        <v>30</v>
      </c>
      <c r="F13" s="330">
        <v>12679.5</v>
      </c>
      <c r="G13" s="330"/>
      <c r="H13" s="325" t="s">
        <v>30</v>
      </c>
      <c r="I13" s="327" t="s">
        <v>32</v>
      </c>
      <c r="J13" s="327"/>
      <c r="K13" s="328" t="s">
        <v>25</v>
      </c>
      <c r="L13" s="329">
        <v>427250.15</v>
      </c>
    </row>
    <row r="14" spans="1:12" ht="81.599999999999994" hidden="1" x14ac:dyDescent="0.3">
      <c r="A14" s="323" t="s">
        <v>71</v>
      </c>
      <c r="B14" s="324" t="s">
        <v>377</v>
      </c>
      <c r="C14" s="324" t="s">
        <v>378</v>
      </c>
      <c r="D14" s="324" t="s">
        <v>365</v>
      </c>
      <c r="E14" s="325" t="s">
        <v>30</v>
      </c>
      <c r="F14" s="330">
        <v>8879.58</v>
      </c>
      <c r="G14" s="330"/>
      <c r="H14" s="325" t="s">
        <v>30</v>
      </c>
      <c r="I14" s="327" t="s">
        <v>32</v>
      </c>
      <c r="J14" s="327"/>
      <c r="K14" s="328" t="s">
        <v>25</v>
      </c>
      <c r="L14" s="329">
        <v>436129.73</v>
      </c>
    </row>
    <row r="15" spans="1:12" ht="81.599999999999994" hidden="1" x14ac:dyDescent="0.3">
      <c r="A15" s="323" t="s">
        <v>71</v>
      </c>
      <c r="B15" s="324" t="s">
        <v>377</v>
      </c>
      <c r="C15" s="324" t="s">
        <v>379</v>
      </c>
      <c r="D15" s="324" t="s">
        <v>367</v>
      </c>
      <c r="E15" s="325" t="s">
        <v>30</v>
      </c>
      <c r="F15" s="330">
        <v>1084.01</v>
      </c>
      <c r="G15" s="330"/>
      <c r="H15" s="325" t="s">
        <v>30</v>
      </c>
      <c r="I15" s="327" t="s">
        <v>32</v>
      </c>
      <c r="J15" s="327"/>
      <c r="K15" s="328" t="s">
        <v>25</v>
      </c>
      <c r="L15" s="329">
        <v>437213.74</v>
      </c>
    </row>
    <row r="16" spans="1:12" ht="81.599999999999994" hidden="1" x14ac:dyDescent="0.3">
      <c r="A16" s="323" t="s">
        <v>71</v>
      </c>
      <c r="B16" s="324" t="s">
        <v>377</v>
      </c>
      <c r="C16" s="324" t="s">
        <v>380</v>
      </c>
      <c r="D16" s="324" t="s">
        <v>369</v>
      </c>
      <c r="E16" s="325" t="s">
        <v>30</v>
      </c>
      <c r="F16" s="330">
        <v>2770.36</v>
      </c>
      <c r="G16" s="330"/>
      <c r="H16" s="325" t="s">
        <v>30</v>
      </c>
      <c r="I16" s="327" t="s">
        <v>32</v>
      </c>
      <c r="J16" s="327"/>
      <c r="K16" s="328" t="s">
        <v>25</v>
      </c>
      <c r="L16" s="329">
        <v>439984.1</v>
      </c>
    </row>
    <row r="17" spans="1:12" ht="81.599999999999994" hidden="1" x14ac:dyDescent="0.3">
      <c r="A17" s="323" t="s">
        <v>71</v>
      </c>
      <c r="B17" s="324" t="s">
        <v>377</v>
      </c>
      <c r="C17" s="324" t="s">
        <v>381</v>
      </c>
      <c r="D17" s="324" t="s">
        <v>239</v>
      </c>
      <c r="E17" s="325" t="s">
        <v>30</v>
      </c>
      <c r="F17" s="330">
        <v>1994.66</v>
      </c>
      <c r="G17" s="330"/>
      <c r="H17" s="325" t="s">
        <v>30</v>
      </c>
      <c r="I17" s="327" t="s">
        <v>32</v>
      </c>
      <c r="J17" s="327"/>
      <c r="K17" s="328" t="s">
        <v>25</v>
      </c>
      <c r="L17" s="329">
        <v>441978.76</v>
      </c>
    </row>
    <row r="18" spans="1:12" ht="81.599999999999994" hidden="1" x14ac:dyDescent="0.3">
      <c r="A18" s="323" t="s">
        <v>71</v>
      </c>
      <c r="B18" s="324" t="s">
        <v>377</v>
      </c>
      <c r="C18" s="324" t="s">
        <v>382</v>
      </c>
      <c r="D18" s="324" t="s">
        <v>241</v>
      </c>
      <c r="E18" s="325" t="s">
        <v>30</v>
      </c>
      <c r="F18" s="330">
        <v>4963.6899999999996</v>
      </c>
      <c r="G18" s="330"/>
      <c r="H18" s="325" t="s">
        <v>30</v>
      </c>
      <c r="I18" s="327" t="s">
        <v>32</v>
      </c>
      <c r="J18" s="327"/>
      <c r="K18" s="328" t="s">
        <v>25</v>
      </c>
      <c r="L18" s="329">
        <v>446942.45</v>
      </c>
    </row>
    <row r="19" spans="1:12" ht="81.599999999999994" hidden="1" x14ac:dyDescent="0.3">
      <c r="A19" s="323" t="s">
        <v>71</v>
      </c>
      <c r="B19" s="324" t="s">
        <v>377</v>
      </c>
      <c r="C19" s="324" t="s">
        <v>383</v>
      </c>
      <c r="D19" s="324" t="s">
        <v>370</v>
      </c>
      <c r="E19" s="325" t="s">
        <v>30</v>
      </c>
      <c r="F19" s="330">
        <v>6610.18</v>
      </c>
      <c r="G19" s="330"/>
      <c r="H19" s="325" t="s">
        <v>30</v>
      </c>
      <c r="I19" s="327" t="s">
        <v>32</v>
      </c>
      <c r="J19" s="327"/>
      <c r="K19" s="328" t="s">
        <v>25</v>
      </c>
      <c r="L19" s="329">
        <v>453552.63</v>
      </c>
    </row>
    <row r="20" spans="1:12" ht="81.599999999999994" hidden="1" x14ac:dyDescent="0.3">
      <c r="A20" s="323" t="s">
        <v>71</v>
      </c>
      <c r="B20" s="324" t="s">
        <v>377</v>
      </c>
      <c r="C20" s="324" t="s">
        <v>384</v>
      </c>
      <c r="D20" s="324" t="s">
        <v>371</v>
      </c>
      <c r="E20" s="325" t="s">
        <v>30</v>
      </c>
      <c r="F20" s="330">
        <v>1555.14</v>
      </c>
      <c r="G20" s="330"/>
      <c r="H20" s="325" t="s">
        <v>30</v>
      </c>
      <c r="I20" s="327" t="s">
        <v>32</v>
      </c>
      <c r="J20" s="327"/>
      <c r="K20" s="328" t="s">
        <v>25</v>
      </c>
      <c r="L20" s="329">
        <v>455107.77</v>
      </c>
    </row>
    <row r="21" spans="1:12" ht="91.8" hidden="1" x14ac:dyDescent="0.3">
      <c r="A21" s="323" t="s">
        <v>71</v>
      </c>
      <c r="B21" s="324" t="s">
        <v>377</v>
      </c>
      <c r="C21" s="324" t="s">
        <v>385</v>
      </c>
      <c r="D21" s="324" t="s">
        <v>373</v>
      </c>
      <c r="E21" s="325" t="s">
        <v>30</v>
      </c>
      <c r="F21" s="330">
        <v>7548.79</v>
      </c>
      <c r="G21" s="330"/>
      <c r="H21" s="325" t="s">
        <v>30</v>
      </c>
      <c r="I21" s="327" t="s">
        <v>32</v>
      </c>
      <c r="J21" s="327"/>
      <c r="K21" s="328" t="s">
        <v>25</v>
      </c>
      <c r="L21" s="329">
        <v>462656.56</v>
      </c>
    </row>
    <row r="22" spans="1:12" ht="81.599999999999994" hidden="1" x14ac:dyDescent="0.3">
      <c r="A22" s="323" t="s">
        <v>71</v>
      </c>
      <c r="B22" s="324" t="s">
        <v>377</v>
      </c>
      <c r="C22" s="324" t="s">
        <v>386</v>
      </c>
      <c r="D22" s="324" t="s">
        <v>374</v>
      </c>
      <c r="E22" s="325" t="s">
        <v>30</v>
      </c>
      <c r="F22" s="330">
        <v>10604.43</v>
      </c>
      <c r="G22" s="330"/>
      <c r="H22" s="325" t="s">
        <v>30</v>
      </c>
      <c r="I22" s="327" t="s">
        <v>32</v>
      </c>
      <c r="J22" s="327"/>
      <c r="K22" s="328" t="s">
        <v>25</v>
      </c>
      <c r="L22" s="329">
        <v>473260.99</v>
      </c>
    </row>
    <row r="23" spans="1:12" ht="81.599999999999994" hidden="1" x14ac:dyDescent="0.3">
      <c r="A23" s="323" t="s">
        <v>71</v>
      </c>
      <c r="B23" s="324" t="s">
        <v>377</v>
      </c>
      <c r="C23" s="324" t="s">
        <v>387</v>
      </c>
      <c r="D23" s="324" t="s">
        <v>375</v>
      </c>
      <c r="E23" s="325" t="s">
        <v>30</v>
      </c>
      <c r="F23" s="330">
        <v>43987.12</v>
      </c>
      <c r="G23" s="330"/>
      <c r="H23" s="325" t="s">
        <v>30</v>
      </c>
      <c r="I23" s="327" t="s">
        <v>32</v>
      </c>
      <c r="J23" s="327"/>
      <c r="K23" s="328" t="s">
        <v>25</v>
      </c>
      <c r="L23" s="329">
        <v>517248.11</v>
      </c>
    </row>
    <row r="24" spans="1:12" ht="91.8" hidden="1" x14ac:dyDescent="0.3">
      <c r="A24" s="323" t="s">
        <v>71</v>
      </c>
      <c r="B24" s="324" t="s">
        <v>377</v>
      </c>
      <c r="C24" s="324" t="s">
        <v>388</v>
      </c>
      <c r="D24" s="324" t="s">
        <v>243</v>
      </c>
      <c r="E24" s="325" t="s">
        <v>30</v>
      </c>
      <c r="F24" s="330">
        <v>9952.8799999999992</v>
      </c>
      <c r="G24" s="330"/>
      <c r="H24" s="325" t="s">
        <v>30</v>
      </c>
      <c r="I24" s="327" t="s">
        <v>32</v>
      </c>
      <c r="J24" s="327"/>
      <c r="K24" s="328" t="s">
        <v>25</v>
      </c>
      <c r="L24" s="329">
        <v>527200.99</v>
      </c>
    </row>
    <row r="25" spans="1:12" ht="81.599999999999994" hidden="1" x14ac:dyDescent="0.3">
      <c r="A25" s="323" t="s">
        <v>71</v>
      </c>
      <c r="B25" s="324" t="s">
        <v>86</v>
      </c>
      <c r="C25" s="324" t="s">
        <v>87</v>
      </c>
      <c r="D25" s="324" t="s">
        <v>88</v>
      </c>
      <c r="E25" s="325" t="s">
        <v>30</v>
      </c>
      <c r="F25" s="331" t="s">
        <v>32</v>
      </c>
      <c r="G25" s="331"/>
      <c r="H25" s="325" t="s">
        <v>30</v>
      </c>
      <c r="I25" s="332">
        <v>3178.5</v>
      </c>
      <c r="J25" s="332"/>
      <c r="K25" s="328" t="s">
        <v>25</v>
      </c>
      <c r="L25" s="329">
        <v>524022.49</v>
      </c>
    </row>
    <row r="26" spans="1:12" ht="91.8" x14ac:dyDescent="0.3">
      <c r="A26" s="323" t="s">
        <v>103</v>
      </c>
      <c r="B26" s="324" t="s">
        <v>605</v>
      </c>
      <c r="C26" s="324" t="s">
        <v>53</v>
      </c>
      <c r="D26" s="324" t="s">
        <v>595</v>
      </c>
      <c r="E26" s="325" t="s">
        <v>54</v>
      </c>
      <c r="F26" s="331" t="s">
        <v>32</v>
      </c>
      <c r="G26" s="331"/>
      <c r="H26" s="325" t="s">
        <v>30</v>
      </c>
      <c r="I26" s="332">
        <v>1872.5</v>
      </c>
      <c r="J26" s="332"/>
      <c r="K26" s="328" t="s">
        <v>25</v>
      </c>
      <c r="L26" s="329">
        <v>522149.99</v>
      </c>
    </row>
    <row r="27" spans="1:12" ht="91.8" x14ac:dyDescent="0.3">
      <c r="A27" s="323" t="s">
        <v>103</v>
      </c>
      <c r="B27" s="324" t="s">
        <v>605</v>
      </c>
      <c r="C27" s="324" t="s">
        <v>53</v>
      </c>
      <c r="D27" s="324" t="s">
        <v>595</v>
      </c>
      <c r="E27" s="325" t="s">
        <v>54</v>
      </c>
      <c r="F27" s="331" t="s">
        <v>32</v>
      </c>
      <c r="G27" s="331"/>
      <c r="H27" s="325" t="s">
        <v>30</v>
      </c>
      <c r="I27" s="332">
        <v>5357.5</v>
      </c>
      <c r="J27" s="332"/>
      <c r="K27" s="328" t="s">
        <v>25</v>
      </c>
      <c r="L27" s="329">
        <v>516792.49</v>
      </c>
    </row>
    <row r="28" spans="1:12" ht="91.8" x14ac:dyDescent="0.3">
      <c r="A28" s="323" t="s">
        <v>103</v>
      </c>
      <c r="B28" s="324" t="s">
        <v>605</v>
      </c>
      <c r="C28" s="324" t="s">
        <v>53</v>
      </c>
      <c r="D28" s="324" t="s">
        <v>233</v>
      </c>
      <c r="E28" s="325" t="s">
        <v>54</v>
      </c>
      <c r="F28" s="331" t="s">
        <v>32</v>
      </c>
      <c r="G28" s="331"/>
      <c r="H28" s="325" t="s">
        <v>30</v>
      </c>
      <c r="I28" s="332">
        <v>3747.5</v>
      </c>
      <c r="J28" s="332"/>
      <c r="K28" s="328" t="s">
        <v>25</v>
      </c>
      <c r="L28" s="329">
        <v>513044.99</v>
      </c>
    </row>
    <row r="29" spans="1:12" ht="91.8" x14ac:dyDescent="0.3">
      <c r="A29" s="323" t="s">
        <v>103</v>
      </c>
      <c r="B29" s="324" t="s">
        <v>605</v>
      </c>
      <c r="C29" s="324" t="s">
        <v>53</v>
      </c>
      <c r="D29" s="324" t="s">
        <v>233</v>
      </c>
      <c r="E29" s="325" t="s">
        <v>54</v>
      </c>
      <c r="F29" s="331" t="s">
        <v>32</v>
      </c>
      <c r="G29" s="331"/>
      <c r="H29" s="325" t="s">
        <v>30</v>
      </c>
      <c r="I29" s="332">
        <v>18870</v>
      </c>
      <c r="J29" s="332"/>
      <c r="K29" s="328" t="s">
        <v>25</v>
      </c>
      <c r="L29" s="329">
        <v>494174.99</v>
      </c>
    </row>
    <row r="30" spans="1:12" ht="91.8" x14ac:dyDescent="0.3">
      <c r="A30" s="323" t="s">
        <v>103</v>
      </c>
      <c r="B30" s="324" t="s">
        <v>605</v>
      </c>
      <c r="C30" s="324" t="s">
        <v>53</v>
      </c>
      <c r="D30" s="324" t="s">
        <v>233</v>
      </c>
      <c r="E30" s="325" t="s">
        <v>54</v>
      </c>
      <c r="F30" s="331" t="s">
        <v>32</v>
      </c>
      <c r="G30" s="331"/>
      <c r="H30" s="325" t="s">
        <v>30</v>
      </c>
      <c r="I30" s="332">
        <v>23152.5</v>
      </c>
      <c r="J30" s="332"/>
      <c r="K30" s="328" t="s">
        <v>25</v>
      </c>
      <c r="L30" s="329">
        <v>471022.49</v>
      </c>
    </row>
    <row r="31" spans="1:12" ht="91.8" x14ac:dyDescent="0.3">
      <c r="A31" s="323" t="s">
        <v>103</v>
      </c>
      <c r="B31" s="324" t="s">
        <v>605</v>
      </c>
      <c r="C31" s="324" t="s">
        <v>53</v>
      </c>
      <c r="D31" s="324" t="s">
        <v>598</v>
      </c>
      <c r="E31" s="325" t="s">
        <v>54</v>
      </c>
      <c r="F31" s="331" t="s">
        <v>32</v>
      </c>
      <c r="G31" s="331"/>
      <c r="H31" s="325" t="s">
        <v>30</v>
      </c>
      <c r="I31" s="332">
        <v>1482</v>
      </c>
      <c r="J31" s="332"/>
      <c r="K31" s="328" t="s">
        <v>25</v>
      </c>
      <c r="L31" s="329">
        <v>469540.49</v>
      </c>
    </row>
    <row r="32" spans="1:12" ht="91.8" x14ac:dyDescent="0.3">
      <c r="A32" s="323" t="s">
        <v>103</v>
      </c>
      <c r="B32" s="324" t="s">
        <v>605</v>
      </c>
      <c r="C32" s="324" t="s">
        <v>53</v>
      </c>
      <c r="D32" s="324" t="s">
        <v>600</v>
      </c>
      <c r="E32" s="325" t="s">
        <v>54</v>
      </c>
      <c r="F32" s="331" t="s">
        <v>32</v>
      </c>
      <c r="G32" s="331"/>
      <c r="H32" s="325" t="s">
        <v>30</v>
      </c>
      <c r="I32" s="332">
        <v>9422.5</v>
      </c>
      <c r="J32" s="332"/>
      <c r="K32" s="328" t="s">
        <v>25</v>
      </c>
      <c r="L32" s="329">
        <v>460117.99</v>
      </c>
    </row>
    <row r="33" spans="1:12" ht="91.8" x14ac:dyDescent="0.3">
      <c r="A33" s="323" t="s">
        <v>103</v>
      </c>
      <c r="B33" s="324" t="s">
        <v>605</v>
      </c>
      <c r="C33" s="324" t="s">
        <v>53</v>
      </c>
      <c r="D33" s="324" t="s">
        <v>600</v>
      </c>
      <c r="E33" s="325" t="s">
        <v>54</v>
      </c>
      <c r="F33" s="331" t="s">
        <v>32</v>
      </c>
      <c r="G33" s="331"/>
      <c r="H33" s="325" t="s">
        <v>30</v>
      </c>
      <c r="I33" s="332">
        <v>36677.5</v>
      </c>
      <c r="J33" s="332"/>
      <c r="K33" s="328" t="s">
        <v>25</v>
      </c>
      <c r="L33" s="329">
        <v>423440.49</v>
      </c>
    </row>
    <row r="34" spans="1:12" ht="91.8" x14ac:dyDescent="0.3">
      <c r="A34" s="323" t="s">
        <v>103</v>
      </c>
      <c r="B34" s="324" t="s">
        <v>605</v>
      </c>
      <c r="C34" s="324" t="s">
        <v>53</v>
      </c>
      <c r="D34" s="324" t="s">
        <v>602</v>
      </c>
      <c r="E34" s="325" t="s">
        <v>54</v>
      </c>
      <c r="F34" s="331" t="s">
        <v>32</v>
      </c>
      <c r="G34" s="331"/>
      <c r="H34" s="325" t="s">
        <v>30</v>
      </c>
      <c r="I34" s="332">
        <v>9422.5</v>
      </c>
      <c r="J34" s="332"/>
      <c r="K34" s="328" t="s">
        <v>25</v>
      </c>
      <c r="L34" s="329">
        <v>414017.99</v>
      </c>
    </row>
    <row r="35" spans="1:12" ht="91.8" x14ac:dyDescent="0.3">
      <c r="A35" s="323" t="s">
        <v>103</v>
      </c>
      <c r="B35" s="324" t="s">
        <v>605</v>
      </c>
      <c r="C35" s="324" t="s">
        <v>53</v>
      </c>
      <c r="D35" s="324" t="s">
        <v>602</v>
      </c>
      <c r="E35" s="325" t="s">
        <v>54</v>
      </c>
      <c r="F35" s="331" t="s">
        <v>32</v>
      </c>
      <c r="G35" s="331"/>
      <c r="H35" s="325" t="s">
        <v>30</v>
      </c>
      <c r="I35" s="332">
        <v>15620</v>
      </c>
      <c r="J35" s="332"/>
      <c r="K35" s="328" t="s">
        <v>25</v>
      </c>
      <c r="L35" s="329">
        <v>398397.99</v>
      </c>
    </row>
    <row r="36" spans="1:12" ht="91.8" x14ac:dyDescent="0.3">
      <c r="A36" s="323" t="s">
        <v>103</v>
      </c>
      <c r="B36" s="324" t="s">
        <v>605</v>
      </c>
      <c r="C36" s="324" t="s">
        <v>53</v>
      </c>
      <c r="D36" s="324" t="s">
        <v>602</v>
      </c>
      <c r="E36" s="325" t="s">
        <v>54</v>
      </c>
      <c r="F36" s="331" t="s">
        <v>32</v>
      </c>
      <c r="G36" s="331"/>
      <c r="H36" s="325" t="s">
        <v>30</v>
      </c>
      <c r="I36" s="332">
        <v>12472.5</v>
      </c>
      <c r="J36" s="332"/>
      <c r="K36" s="328" t="s">
        <v>25</v>
      </c>
      <c r="L36" s="329">
        <v>385925.49</v>
      </c>
    </row>
    <row r="37" spans="1:12" ht="91.8" x14ac:dyDescent="0.3">
      <c r="A37" s="323" t="s">
        <v>103</v>
      </c>
      <c r="B37" s="324" t="s">
        <v>605</v>
      </c>
      <c r="C37" s="324" t="s">
        <v>53</v>
      </c>
      <c r="D37" s="324" t="s">
        <v>235</v>
      </c>
      <c r="E37" s="325" t="s">
        <v>54</v>
      </c>
      <c r="F37" s="331" t="s">
        <v>32</v>
      </c>
      <c r="G37" s="331"/>
      <c r="H37" s="325" t="s">
        <v>30</v>
      </c>
      <c r="I37" s="332">
        <v>5897.5</v>
      </c>
      <c r="J37" s="332"/>
      <c r="K37" s="328" t="s">
        <v>25</v>
      </c>
      <c r="L37" s="329">
        <v>380027.99</v>
      </c>
    </row>
    <row r="38" spans="1:12" ht="91.8" x14ac:dyDescent="0.3">
      <c r="A38" s="323" t="s">
        <v>103</v>
      </c>
      <c r="B38" s="324" t="s">
        <v>605</v>
      </c>
      <c r="C38" s="324" t="s">
        <v>53</v>
      </c>
      <c r="D38" s="324" t="s">
        <v>235</v>
      </c>
      <c r="E38" s="325" t="s">
        <v>54</v>
      </c>
      <c r="F38" s="331" t="s">
        <v>32</v>
      </c>
      <c r="G38" s="331"/>
      <c r="H38" s="325" t="s">
        <v>30</v>
      </c>
      <c r="I38" s="332">
        <v>4940</v>
      </c>
      <c r="J38" s="332"/>
      <c r="K38" s="328" t="s">
        <v>25</v>
      </c>
      <c r="L38" s="329">
        <v>375087.99</v>
      </c>
    </row>
    <row r="39" spans="1:12" ht="91.8" x14ac:dyDescent="0.3">
      <c r="A39" s="323" t="s">
        <v>103</v>
      </c>
      <c r="B39" s="324" t="s">
        <v>605</v>
      </c>
      <c r="C39" s="324" t="s">
        <v>53</v>
      </c>
      <c r="D39" s="324" t="s">
        <v>235</v>
      </c>
      <c r="E39" s="325" t="s">
        <v>54</v>
      </c>
      <c r="F39" s="331" t="s">
        <v>32</v>
      </c>
      <c r="G39" s="331"/>
      <c r="H39" s="325" t="s">
        <v>30</v>
      </c>
      <c r="I39" s="332">
        <v>5990</v>
      </c>
      <c r="J39" s="332"/>
      <c r="K39" s="328" t="s">
        <v>25</v>
      </c>
      <c r="L39" s="329">
        <v>369097.99</v>
      </c>
    </row>
    <row r="40" spans="1:12" ht="91.8" x14ac:dyDescent="0.3">
      <c r="A40" s="323" t="s">
        <v>103</v>
      </c>
      <c r="B40" s="324" t="s">
        <v>605</v>
      </c>
      <c r="C40" s="324" t="s">
        <v>53</v>
      </c>
      <c r="D40" s="324" t="s">
        <v>250</v>
      </c>
      <c r="E40" s="325" t="s">
        <v>54</v>
      </c>
      <c r="F40" s="331" t="s">
        <v>32</v>
      </c>
      <c r="G40" s="331"/>
      <c r="H40" s="325" t="s">
        <v>30</v>
      </c>
      <c r="I40" s="333">
        <v>372</v>
      </c>
      <c r="J40" s="333"/>
      <c r="K40" s="328" t="s">
        <v>25</v>
      </c>
      <c r="L40" s="329">
        <v>368725.99</v>
      </c>
    </row>
    <row r="41" spans="1:12" ht="91.8" x14ac:dyDescent="0.3">
      <c r="A41" s="323" t="s">
        <v>103</v>
      </c>
      <c r="B41" s="324" t="s">
        <v>605</v>
      </c>
      <c r="C41" s="324" t="s">
        <v>53</v>
      </c>
      <c r="D41" s="324" t="s">
        <v>250</v>
      </c>
      <c r="E41" s="325" t="s">
        <v>54</v>
      </c>
      <c r="F41" s="331" t="s">
        <v>32</v>
      </c>
      <c r="G41" s="331"/>
      <c r="H41" s="325" t="s">
        <v>30</v>
      </c>
      <c r="I41" s="333">
        <v>189.75</v>
      </c>
      <c r="J41" s="333"/>
      <c r="K41" s="328" t="s">
        <v>25</v>
      </c>
      <c r="L41" s="329">
        <v>368536.24</v>
      </c>
    </row>
    <row r="42" spans="1:12" ht="81.599999999999994" x14ac:dyDescent="0.3">
      <c r="A42" s="323" t="s">
        <v>103</v>
      </c>
      <c r="B42" s="324" t="s">
        <v>605</v>
      </c>
      <c r="C42" s="324" t="s">
        <v>53</v>
      </c>
      <c r="D42" s="324" t="s">
        <v>445</v>
      </c>
      <c r="E42" s="325" t="s">
        <v>54</v>
      </c>
      <c r="F42" s="331" t="s">
        <v>32</v>
      </c>
      <c r="G42" s="331"/>
      <c r="H42" s="325" t="s">
        <v>30</v>
      </c>
      <c r="I42" s="332">
        <v>1573.54</v>
      </c>
      <c r="J42" s="332"/>
      <c r="K42" s="328" t="s">
        <v>25</v>
      </c>
      <c r="L42" s="329">
        <v>366962.7</v>
      </c>
    </row>
    <row r="43" spans="1:12" ht="81.599999999999994" x14ac:dyDescent="0.3">
      <c r="A43" s="323" t="s">
        <v>103</v>
      </c>
      <c r="B43" s="324" t="s">
        <v>605</v>
      </c>
      <c r="C43" s="324" t="s">
        <v>53</v>
      </c>
      <c r="D43" s="324" t="s">
        <v>298</v>
      </c>
      <c r="E43" s="325" t="s">
        <v>54</v>
      </c>
      <c r="F43" s="331" t="s">
        <v>32</v>
      </c>
      <c r="G43" s="331"/>
      <c r="H43" s="325" t="s">
        <v>30</v>
      </c>
      <c r="I43" s="332">
        <v>12679.5</v>
      </c>
      <c r="J43" s="332"/>
      <c r="K43" s="328" t="s">
        <v>25</v>
      </c>
      <c r="L43" s="329">
        <v>354283.2</v>
      </c>
    </row>
    <row r="44" spans="1:12" hidden="1" x14ac:dyDescent="0.3">
      <c r="A44" s="334" t="s">
        <v>120</v>
      </c>
      <c r="B44" s="334"/>
      <c r="C44" s="334"/>
      <c r="D44" s="334"/>
      <c r="E44" s="335">
        <v>269690.13</v>
      </c>
      <c r="F44" s="335"/>
      <c r="G44" s="335"/>
      <c r="H44" s="335">
        <v>172917.79</v>
      </c>
      <c r="I44" s="335"/>
      <c r="J44" s="335"/>
      <c r="K44" s="336" t="s">
        <v>25</v>
      </c>
      <c r="L44" s="337">
        <v>354283.2</v>
      </c>
    </row>
    <row r="46" spans="1:12" x14ac:dyDescent="0.3">
      <c r="J46" s="2">
        <f>SUBTOTAL(9,I26:J43)</f>
        <v>169739.29</v>
      </c>
    </row>
  </sheetData>
  <autoFilter ref="A1:L44" xr:uid="{AE649400-7F28-4F96-A925-4FFD3AAEA407}">
    <filterColumn colId="1">
      <filters>
        <filter val="Вимога-накладна ІБ00-000392 від 29.05.2025 12:33:1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4">
    <mergeCell ref="F43:G43"/>
    <mergeCell ref="I43:J43"/>
    <mergeCell ref="A44:D44"/>
    <mergeCell ref="E44:G44"/>
    <mergeCell ref="H44:J44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0ADB-A487-4FF4-B3A4-ACE6A24B23CD}">
  <sheetPr filterMode="1"/>
  <dimension ref="A1:L301"/>
  <sheetViews>
    <sheetView topLeftCell="A292" workbookViewId="0">
      <selection activeCell="J301" sqref="J301"/>
    </sheetView>
  </sheetViews>
  <sheetFormatPr defaultRowHeight="14.4" x14ac:dyDescent="0.3"/>
  <cols>
    <col min="2" max="4" width="18.21875" customWidth="1"/>
    <col min="10" max="10" width="11.33203125" bestFit="1" customWidth="1"/>
  </cols>
  <sheetData>
    <row r="1" spans="1:12" x14ac:dyDescent="0.3">
      <c r="A1" s="338" t="s">
        <v>17</v>
      </c>
      <c r="B1" s="339" t="s">
        <v>18</v>
      </c>
      <c r="C1" s="339" t="s">
        <v>19</v>
      </c>
      <c r="D1" s="340" t="s">
        <v>20</v>
      </c>
      <c r="E1" s="341" t="s">
        <v>21</v>
      </c>
      <c r="F1" s="341"/>
      <c r="G1" s="341"/>
      <c r="H1" s="342" t="s">
        <v>22</v>
      </c>
      <c r="I1" s="342"/>
      <c r="J1" s="342"/>
      <c r="K1" s="339" t="s">
        <v>23</v>
      </c>
      <c r="L1" s="339"/>
    </row>
    <row r="2" spans="1:12" hidden="1" x14ac:dyDescent="0.3">
      <c r="A2" s="343"/>
      <c r="B2" s="344"/>
      <c r="C2" s="344"/>
      <c r="D2" s="345"/>
      <c r="E2" s="346" t="s">
        <v>24</v>
      </c>
      <c r="F2" s="347"/>
      <c r="G2" s="347"/>
      <c r="H2" s="348" t="s">
        <v>24</v>
      </c>
      <c r="I2" s="349"/>
      <c r="J2" s="349"/>
      <c r="K2" s="343"/>
      <c r="L2" s="350"/>
    </row>
    <row r="3" spans="1:12" ht="71.400000000000006" hidden="1" x14ac:dyDescent="0.3">
      <c r="A3" s="351" t="s">
        <v>26</v>
      </c>
      <c r="B3" s="352" t="s">
        <v>606</v>
      </c>
      <c r="C3" s="352" t="s">
        <v>607</v>
      </c>
      <c r="D3" s="352" t="s">
        <v>608</v>
      </c>
      <c r="E3" s="353" t="s">
        <v>30</v>
      </c>
      <c r="F3" s="354">
        <v>3704.07</v>
      </c>
      <c r="G3" s="354"/>
      <c r="H3" s="353" t="s">
        <v>31</v>
      </c>
      <c r="I3" s="355" t="s">
        <v>32</v>
      </c>
      <c r="J3" s="355"/>
      <c r="K3" s="356" t="s">
        <v>25</v>
      </c>
      <c r="L3" s="357">
        <v>3963374.98</v>
      </c>
    </row>
    <row r="4" spans="1:12" ht="71.400000000000006" hidden="1" x14ac:dyDescent="0.3">
      <c r="A4" s="351" t="s">
        <v>26</v>
      </c>
      <c r="B4" s="352" t="s">
        <v>606</v>
      </c>
      <c r="C4" s="352" t="s">
        <v>609</v>
      </c>
      <c r="D4" s="352" t="s">
        <v>608</v>
      </c>
      <c r="E4" s="353" t="s">
        <v>30</v>
      </c>
      <c r="F4" s="354">
        <v>12848</v>
      </c>
      <c r="G4" s="354"/>
      <c r="H4" s="353" t="s">
        <v>31</v>
      </c>
      <c r="I4" s="355" t="s">
        <v>32</v>
      </c>
      <c r="J4" s="355"/>
      <c r="K4" s="356" t="s">
        <v>25</v>
      </c>
      <c r="L4" s="357">
        <v>3976222.98</v>
      </c>
    </row>
    <row r="5" spans="1:12" ht="71.400000000000006" hidden="1" x14ac:dyDescent="0.3">
      <c r="A5" s="351" t="s">
        <v>26</v>
      </c>
      <c r="B5" s="352" t="s">
        <v>606</v>
      </c>
      <c r="C5" s="352" t="s">
        <v>610</v>
      </c>
      <c r="D5" s="352" t="s">
        <v>608</v>
      </c>
      <c r="E5" s="353" t="s">
        <v>30</v>
      </c>
      <c r="F5" s="354">
        <v>1848</v>
      </c>
      <c r="G5" s="354"/>
      <c r="H5" s="353" t="s">
        <v>31</v>
      </c>
      <c r="I5" s="355" t="s">
        <v>32</v>
      </c>
      <c r="J5" s="355"/>
      <c r="K5" s="356" t="s">
        <v>25</v>
      </c>
      <c r="L5" s="357">
        <v>3978070.98</v>
      </c>
    </row>
    <row r="6" spans="1:12" ht="61.2" hidden="1" x14ac:dyDescent="0.3">
      <c r="A6" s="351" t="s">
        <v>26</v>
      </c>
      <c r="B6" s="352" t="s">
        <v>281</v>
      </c>
      <c r="C6" s="352" t="s">
        <v>282</v>
      </c>
      <c r="D6" s="352" t="s">
        <v>264</v>
      </c>
      <c r="E6" s="353" t="s">
        <v>30</v>
      </c>
      <c r="F6" s="354">
        <v>19984.68</v>
      </c>
      <c r="G6" s="354"/>
      <c r="H6" s="353" t="s">
        <v>30</v>
      </c>
      <c r="I6" s="355" t="s">
        <v>32</v>
      </c>
      <c r="J6" s="355"/>
      <c r="K6" s="356" t="s">
        <v>25</v>
      </c>
      <c r="L6" s="357">
        <v>3998055.66</v>
      </c>
    </row>
    <row r="7" spans="1:12" ht="71.400000000000006" hidden="1" x14ac:dyDescent="0.3">
      <c r="A7" s="351" t="s">
        <v>26</v>
      </c>
      <c r="B7" s="352" t="s">
        <v>611</v>
      </c>
      <c r="C7" s="352" t="s">
        <v>607</v>
      </c>
      <c r="D7" s="352" t="s">
        <v>608</v>
      </c>
      <c r="E7" s="353" t="s">
        <v>30</v>
      </c>
      <c r="F7" s="358">
        <v>123</v>
      </c>
      <c r="G7" s="358"/>
      <c r="H7" s="353" t="s">
        <v>31</v>
      </c>
      <c r="I7" s="355" t="s">
        <v>32</v>
      </c>
      <c r="J7" s="355"/>
      <c r="K7" s="356" t="s">
        <v>25</v>
      </c>
      <c r="L7" s="357">
        <v>3998178.66</v>
      </c>
    </row>
    <row r="8" spans="1:12" ht="71.400000000000006" hidden="1" x14ac:dyDescent="0.3">
      <c r="A8" s="351" t="s">
        <v>26</v>
      </c>
      <c r="B8" s="352" t="s">
        <v>611</v>
      </c>
      <c r="C8" s="352" t="s">
        <v>609</v>
      </c>
      <c r="D8" s="352" t="s">
        <v>608</v>
      </c>
      <c r="E8" s="353" t="s">
        <v>30</v>
      </c>
      <c r="F8" s="358">
        <v>426.65</v>
      </c>
      <c r="G8" s="358"/>
      <c r="H8" s="353" t="s">
        <v>31</v>
      </c>
      <c r="I8" s="355" t="s">
        <v>32</v>
      </c>
      <c r="J8" s="355"/>
      <c r="K8" s="356" t="s">
        <v>25</v>
      </c>
      <c r="L8" s="357">
        <v>3998605.31</v>
      </c>
    </row>
    <row r="9" spans="1:12" ht="71.400000000000006" hidden="1" x14ac:dyDescent="0.3">
      <c r="A9" s="351" t="s">
        <v>26</v>
      </c>
      <c r="B9" s="352" t="s">
        <v>611</v>
      </c>
      <c r="C9" s="352" t="s">
        <v>610</v>
      </c>
      <c r="D9" s="352" t="s">
        <v>608</v>
      </c>
      <c r="E9" s="353" t="s">
        <v>30</v>
      </c>
      <c r="F9" s="358">
        <v>61.37</v>
      </c>
      <c r="G9" s="358"/>
      <c r="H9" s="353" t="s">
        <v>31</v>
      </c>
      <c r="I9" s="355" t="s">
        <v>32</v>
      </c>
      <c r="J9" s="355"/>
      <c r="K9" s="356" t="s">
        <v>25</v>
      </c>
      <c r="L9" s="357">
        <v>3998666.68</v>
      </c>
    </row>
    <row r="10" spans="1:12" ht="71.400000000000006" hidden="1" x14ac:dyDescent="0.3">
      <c r="A10" s="351" t="s">
        <v>26</v>
      </c>
      <c r="B10" s="352" t="s">
        <v>612</v>
      </c>
      <c r="C10" s="352" t="s">
        <v>613</v>
      </c>
      <c r="D10" s="352" t="s">
        <v>608</v>
      </c>
      <c r="E10" s="353" t="s">
        <v>30</v>
      </c>
      <c r="F10" s="354">
        <v>35945</v>
      </c>
      <c r="G10" s="354"/>
      <c r="H10" s="353" t="s">
        <v>31</v>
      </c>
      <c r="I10" s="355" t="s">
        <v>32</v>
      </c>
      <c r="J10" s="355"/>
      <c r="K10" s="356" t="s">
        <v>25</v>
      </c>
      <c r="L10" s="357">
        <v>4034611.68</v>
      </c>
    </row>
    <row r="11" spans="1:12" ht="71.400000000000006" hidden="1" x14ac:dyDescent="0.3">
      <c r="A11" s="351" t="s">
        <v>26</v>
      </c>
      <c r="B11" s="352" t="s">
        <v>612</v>
      </c>
      <c r="C11" s="352" t="s">
        <v>614</v>
      </c>
      <c r="D11" s="352" t="s">
        <v>608</v>
      </c>
      <c r="E11" s="353" t="s">
        <v>30</v>
      </c>
      <c r="F11" s="354">
        <v>114760</v>
      </c>
      <c r="G11" s="354"/>
      <c r="H11" s="353" t="s">
        <v>31</v>
      </c>
      <c r="I11" s="355" t="s">
        <v>32</v>
      </c>
      <c r="J11" s="355"/>
      <c r="K11" s="356" t="s">
        <v>25</v>
      </c>
      <c r="L11" s="357">
        <v>4149371.68</v>
      </c>
    </row>
    <row r="12" spans="1:12" ht="71.400000000000006" hidden="1" x14ac:dyDescent="0.3">
      <c r="A12" s="351" t="s">
        <v>26</v>
      </c>
      <c r="B12" s="352" t="s">
        <v>612</v>
      </c>
      <c r="C12" s="352" t="s">
        <v>615</v>
      </c>
      <c r="D12" s="352" t="s">
        <v>608</v>
      </c>
      <c r="E12" s="353" t="s">
        <v>30</v>
      </c>
      <c r="F12" s="354">
        <v>38598</v>
      </c>
      <c r="G12" s="354"/>
      <c r="H12" s="353" t="s">
        <v>31</v>
      </c>
      <c r="I12" s="355" t="s">
        <v>32</v>
      </c>
      <c r="J12" s="355"/>
      <c r="K12" s="356" t="s">
        <v>25</v>
      </c>
      <c r="L12" s="357">
        <v>4187969.68</v>
      </c>
    </row>
    <row r="13" spans="1:12" ht="71.400000000000006" hidden="1" x14ac:dyDescent="0.3">
      <c r="A13" s="351" t="s">
        <v>26</v>
      </c>
      <c r="B13" s="352" t="s">
        <v>616</v>
      </c>
      <c r="C13" s="352" t="s">
        <v>613</v>
      </c>
      <c r="D13" s="352" t="s">
        <v>608</v>
      </c>
      <c r="E13" s="353" t="s">
        <v>30</v>
      </c>
      <c r="F13" s="354">
        <v>1193.6300000000001</v>
      </c>
      <c r="G13" s="354"/>
      <c r="H13" s="353" t="s">
        <v>31</v>
      </c>
      <c r="I13" s="355" t="s">
        <v>32</v>
      </c>
      <c r="J13" s="355"/>
      <c r="K13" s="356" t="s">
        <v>25</v>
      </c>
      <c r="L13" s="357">
        <v>4189163.31</v>
      </c>
    </row>
    <row r="14" spans="1:12" ht="71.400000000000006" hidden="1" x14ac:dyDescent="0.3">
      <c r="A14" s="351" t="s">
        <v>26</v>
      </c>
      <c r="B14" s="352" t="s">
        <v>616</v>
      </c>
      <c r="C14" s="352" t="s">
        <v>614</v>
      </c>
      <c r="D14" s="352" t="s">
        <v>608</v>
      </c>
      <c r="E14" s="353" t="s">
        <v>30</v>
      </c>
      <c r="F14" s="354">
        <v>3810.86</v>
      </c>
      <c r="G14" s="354"/>
      <c r="H14" s="353" t="s">
        <v>31</v>
      </c>
      <c r="I14" s="355" t="s">
        <v>32</v>
      </c>
      <c r="J14" s="355"/>
      <c r="K14" s="356" t="s">
        <v>25</v>
      </c>
      <c r="L14" s="357">
        <v>4192974.17</v>
      </c>
    </row>
    <row r="15" spans="1:12" ht="71.400000000000006" hidden="1" x14ac:dyDescent="0.3">
      <c r="A15" s="351" t="s">
        <v>26</v>
      </c>
      <c r="B15" s="352" t="s">
        <v>616</v>
      </c>
      <c r="C15" s="352" t="s">
        <v>615</v>
      </c>
      <c r="D15" s="352" t="s">
        <v>608</v>
      </c>
      <c r="E15" s="353" t="s">
        <v>30</v>
      </c>
      <c r="F15" s="354">
        <v>1281.73</v>
      </c>
      <c r="G15" s="354"/>
      <c r="H15" s="353" t="s">
        <v>31</v>
      </c>
      <c r="I15" s="355" t="s">
        <v>32</v>
      </c>
      <c r="J15" s="355"/>
      <c r="K15" s="356" t="s">
        <v>25</v>
      </c>
      <c r="L15" s="357">
        <v>4194255.9</v>
      </c>
    </row>
    <row r="16" spans="1:12" ht="91.8" hidden="1" x14ac:dyDescent="0.3">
      <c r="A16" s="351" t="s">
        <v>26</v>
      </c>
      <c r="B16" s="352" t="s">
        <v>594</v>
      </c>
      <c r="C16" s="352" t="s">
        <v>595</v>
      </c>
      <c r="D16" s="352" t="s">
        <v>596</v>
      </c>
      <c r="E16" s="353" t="s">
        <v>30</v>
      </c>
      <c r="F16" s="359" t="s">
        <v>32</v>
      </c>
      <c r="G16" s="359"/>
      <c r="H16" s="353" t="s">
        <v>30</v>
      </c>
      <c r="I16" s="360">
        <v>7230</v>
      </c>
      <c r="J16" s="360"/>
      <c r="K16" s="356" t="s">
        <v>25</v>
      </c>
      <c r="L16" s="357">
        <v>4187025.9</v>
      </c>
    </row>
    <row r="17" spans="1:12" ht="91.8" hidden="1" x14ac:dyDescent="0.3">
      <c r="A17" s="351" t="s">
        <v>26</v>
      </c>
      <c r="B17" s="352" t="s">
        <v>594</v>
      </c>
      <c r="C17" s="352" t="s">
        <v>233</v>
      </c>
      <c r="D17" s="352" t="s">
        <v>597</v>
      </c>
      <c r="E17" s="353" t="s">
        <v>30</v>
      </c>
      <c r="F17" s="359" t="s">
        <v>32</v>
      </c>
      <c r="G17" s="359"/>
      <c r="H17" s="353" t="s">
        <v>30</v>
      </c>
      <c r="I17" s="360">
        <v>26900</v>
      </c>
      <c r="J17" s="360"/>
      <c r="K17" s="356" t="s">
        <v>25</v>
      </c>
      <c r="L17" s="357">
        <v>4160125.9</v>
      </c>
    </row>
    <row r="18" spans="1:12" ht="91.8" hidden="1" x14ac:dyDescent="0.3">
      <c r="A18" s="351" t="s">
        <v>26</v>
      </c>
      <c r="B18" s="352" t="s">
        <v>594</v>
      </c>
      <c r="C18" s="352" t="s">
        <v>598</v>
      </c>
      <c r="D18" s="352" t="s">
        <v>599</v>
      </c>
      <c r="E18" s="353" t="s">
        <v>30</v>
      </c>
      <c r="F18" s="359" t="s">
        <v>32</v>
      </c>
      <c r="G18" s="359"/>
      <c r="H18" s="353" t="s">
        <v>30</v>
      </c>
      <c r="I18" s="360">
        <v>1482</v>
      </c>
      <c r="J18" s="360"/>
      <c r="K18" s="356" t="s">
        <v>25</v>
      </c>
      <c r="L18" s="357">
        <v>4158643.9</v>
      </c>
    </row>
    <row r="19" spans="1:12" ht="91.8" hidden="1" x14ac:dyDescent="0.3">
      <c r="A19" s="351" t="s">
        <v>26</v>
      </c>
      <c r="B19" s="352" t="s">
        <v>594</v>
      </c>
      <c r="C19" s="352" t="s">
        <v>600</v>
      </c>
      <c r="D19" s="352" t="s">
        <v>601</v>
      </c>
      <c r="E19" s="353" t="s">
        <v>30</v>
      </c>
      <c r="F19" s="359" t="s">
        <v>32</v>
      </c>
      <c r="G19" s="359"/>
      <c r="H19" s="353" t="s">
        <v>30</v>
      </c>
      <c r="I19" s="360">
        <v>46100</v>
      </c>
      <c r="J19" s="360"/>
      <c r="K19" s="356" t="s">
        <v>25</v>
      </c>
      <c r="L19" s="357">
        <v>4112543.9</v>
      </c>
    </row>
    <row r="20" spans="1:12" ht="91.8" hidden="1" x14ac:dyDescent="0.3">
      <c r="A20" s="351" t="s">
        <v>26</v>
      </c>
      <c r="B20" s="352" t="s">
        <v>594</v>
      </c>
      <c r="C20" s="352" t="s">
        <v>602</v>
      </c>
      <c r="D20" s="352" t="s">
        <v>603</v>
      </c>
      <c r="E20" s="353" t="s">
        <v>30</v>
      </c>
      <c r="F20" s="359" t="s">
        <v>32</v>
      </c>
      <c r="G20" s="359"/>
      <c r="H20" s="353" t="s">
        <v>30</v>
      </c>
      <c r="I20" s="360">
        <v>37515</v>
      </c>
      <c r="J20" s="360"/>
      <c r="K20" s="356" t="s">
        <v>25</v>
      </c>
      <c r="L20" s="357">
        <v>4075028.9</v>
      </c>
    </row>
    <row r="21" spans="1:12" ht="91.8" hidden="1" x14ac:dyDescent="0.3">
      <c r="A21" s="351" t="s">
        <v>26</v>
      </c>
      <c r="B21" s="352" t="s">
        <v>594</v>
      </c>
      <c r="C21" s="352" t="s">
        <v>235</v>
      </c>
      <c r="D21" s="352" t="s">
        <v>604</v>
      </c>
      <c r="E21" s="353" t="s">
        <v>30</v>
      </c>
      <c r="F21" s="359" t="s">
        <v>32</v>
      </c>
      <c r="G21" s="359"/>
      <c r="H21" s="353" t="s">
        <v>30</v>
      </c>
      <c r="I21" s="360">
        <v>7722.5</v>
      </c>
      <c r="J21" s="360"/>
      <c r="K21" s="356" t="s">
        <v>25</v>
      </c>
      <c r="L21" s="357">
        <v>4067306.4</v>
      </c>
    </row>
    <row r="22" spans="1:12" ht="71.400000000000006" hidden="1" x14ac:dyDescent="0.3">
      <c r="A22" s="351" t="s">
        <v>26</v>
      </c>
      <c r="B22" s="352" t="s">
        <v>617</v>
      </c>
      <c r="C22" s="352" t="s">
        <v>618</v>
      </c>
      <c r="D22" s="352" t="s">
        <v>618</v>
      </c>
      <c r="E22" s="353" t="s">
        <v>30</v>
      </c>
      <c r="F22" s="354">
        <v>2402</v>
      </c>
      <c r="G22" s="354"/>
      <c r="H22" s="353" t="s">
        <v>127</v>
      </c>
      <c r="I22" s="355" t="s">
        <v>32</v>
      </c>
      <c r="J22" s="355"/>
      <c r="K22" s="356" t="s">
        <v>25</v>
      </c>
      <c r="L22" s="357">
        <v>4069708.4</v>
      </c>
    </row>
    <row r="23" spans="1:12" ht="81.599999999999994" hidden="1" x14ac:dyDescent="0.3">
      <c r="A23" s="351" t="s">
        <v>26</v>
      </c>
      <c r="B23" s="352" t="s">
        <v>619</v>
      </c>
      <c r="C23" s="352" t="s">
        <v>620</v>
      </c>
      <c r="D23" s="352" t="s">
        <v>621</v>
      </c>
      <c r="E23" s="353" t="s">
        <v>30</v>
      </c>
      <c r="F23" s="354">
        <v>24009.52</v>
      </c>
      <c r="G23" s="354"/>
      <c r="H23" s="353" t="s">
        <v>30</v>
      </c>
      <c r="I23" s="355" t="s">
        <v>32</v>
      </c>
      <c r="J23" s="355"/>
      <c r="K23" s="356" t="s">
        <v>25</v>
      </c>
      <c r="L23" s="357">
        <v>4093717.92</v>
      </c>
    </row>
    <row r="24" spans="1:12" ht="71.400000000000006" hidden="1" x14ac:dyDescent="0.3">
      <c r="A24" s="351" t="s">
        <v>479</v>
      </c>
      <c r="B24" s="352" t="s">
        <v>622</v>
      </c>
      <c r="C24" s="352" t="s">
        <v>623</v>
      </c>
      <c r="D24" s="352" t="s">
        <v>608</v>
      </c>
      <c r="E24" s="353" t="s">
        <v>30</v>
      </c>
      <c r="F24" s="354">
        <v>35945</v>
      </c>
      <c r="G24" s="354"/>
      <c r="H24" s="353" t="s">
        <v>31</v>
      </c>
      <c r="I24" s="355" t="s">
        <v>32</v>
      </c>
      <c r="J24" s="355"/>
      <c r="K24" s="356" t="s">
        <v>25</v>
      </c>
      <c r="L24" s="357">
        <v>4129662.92</v>
      </c>
    </row>
    <row r="25" spans="1:12" ht="71.400000000000006" hidden="1" x14ac:dyDescent="0.3">
      <c r="A25" s="351" t="s">
        <v>479</v>
      </c>
      <c r="B25" s="352" t="s">
        <v>622</v>
      </c>
      <c r="C25" s="352" t="s">
        <v>624</v>
      </c>
      <c r="D25" s="352" t="s">
        <v>608</v>
      </c>
      <c r="E25" s="353" t="s">
        <v>30</v>
      </c>
      <c r="F25" s="354">
        <v>57380</v>
      </c>
      <c r="G25" s="354"/>
      <c r="H25" s="353" t="s">
        <v>31</v>
      </c>
      <c r="I25" s="355" t="s">
        <v>32</v>
      </c>
      <c r="J25" s="355"/>
      <c r="K25" s="356" t="s">
        <v>25</v>
      </c>
      <c r="L25" s="357">
        <v>4187042.92</v>
      </c>
    </row>
    <row r="26" spans="1:12" ht="71.400000000000006" hidden="1" x14ac:dyDescent="0.3">
      <c r="A26" s="351" t="s">
        <v>479</v>
      </c>
      <c r="B26" s="352" t="s">
        <v>622</v>
      </c>
      <c r="C26" s="352" t="s">
        <v>625</v>
      </c>
      <c r="D26" s="352" t="s">
        <v>608</v>
      </c>
      <c r="E26" s="353" t="s">
        <v>30</v>
      </c>
      <c r="F26" s="354">
        <v>115794</v>
      </c>
      <c r="G26" s="354"/>
      <c r="H26" s="353" t="s">
        <v>31</v>
      </c>
      <c r="I26" s="355" t="s">
        <v>32</v>
      </c>
      <c r="J26" s="355"/>
      <c r="K26" s="356" t="s">
        <v>25</v>
      </c>
      <c r="L26" s="357">
        <v>4302836.92</v>
      </c>
    </row>
    <row r="27" spans="1:12" ht="71.400000000000006" hidden="1" x14ac:dyDescent="0.3">
      <c r="A27" s="351" t="s">
        <v>479</v>
      </c>
      <c r="B27" s="352" t="s">
        <v>626</v>
      </c>
      <c r="C27" s="352" t="s">
        <v>627</v>
      </c>
      <c r="D27" s="352" t="s">
        <v>608</v>
      </c>
      <c r="E27" s="353" t="s">
        <v>30</v>
      </c>
      <c r="F27" s="354">
        <v>39729.089999999997</v>
      </c>
      <c r="G27" s="354"/>
      <c r="H27" s="353" t="s">
        <v>31</v>
      </c>
      <c r="I27" s="355" t="s">
        <v>32</v>
      </c>
      <c r="J27" s="355"/>
      <c r="K27" s="356" t="s">
        <v>25</v>
      </c>
      <c r="L27" s="357">
        <v>4342566.01</v>
      </c>
    </row>
    <row r="28" spans="1:12" ht="71.400000000000006" hidden="1" x14ac:dyDescent="0.3">
      <c r="A28" s="351" t="s">
        <v>479</v>
      </c>
      <c r="B28" s="352" t="s">
        <v>628</v>
      </c>
      <c r="C28" s="352" t="s">
        <v>623</v>
      </c>
      <c r="D28" s="352" t="s">
        <v>608</v>
      </c>
      <c r="E28" s="353" t="s">
        <v>30</v>
      </c>
      <c r="F28" s="354">
        <v>1193.6300000000001</v>
      </c>
      <c r="G28" s="354"/>
      <c r="H28" s="353" t="s">
        <v>31</v>
      </c>
      <c r="I28" s="355" t="s">
        <v>32</v>
      </c>
      <c r="J28" s="355"/>
      <c r="K28" s="356" t="s">
        <v>25</v>
      </c>
      <c r="L28" s="357">
        <v>4343759.6399999997</v>
      </c>
    </row>
    <row r="29" spans="1:12" ht="71.400000000000006" hidden="1" x14ac:dyDescent="0.3">
      <c r="A29" s="351" t="s">
        <v>479</v>
      </c>
      <c r="B29" s="352" t="s">
        <v>628</v>
      </c>
      <c r="C29" s="352" t="s">
        <v>624</v>
      </c>
      <c r="D29" s="352" t="s">
        <v>608</v>
      </c>
      <c r="E29" s="353" t="s">
        <v>30</v>
      </c>
      <c r="F29" s="354">
        <v>1905.42</v>
      </c>
      <c r="G29" s="354"/>
      <c r="H29" s="353" t="s">
        <v>31</v>
      </c>
      <c r="I29" s="355" t="s">
        <v>32</v>
      </c>
      <c r="J29" s="355"/>
      <c r="K29" s="356" t="s">
        <v>25</v>
      </c>
      <c r="L29" s="357">
        <v>4345665.0599999996</v>
      </c>
    </row>
    <row r="30" spans="1:12" ht="71.400000000000006" hidden="1" x14ac:dyDescent="0.3">
      <c r="A30" s="351" t="s">
        <v>479</v>
      </c>
      <c r="B30" s="352" t="s">
        <v>628</v>
      </c>
      <c r="C30" s="352" t="s">
        <v>625</v>
      </c>
      <c r="D30" s="352" t="s">
        <v>608</v>
      </c>
      <c r="E30" s="353" t="s">
        <v>30</v>
      </c>
      <c r="F30" s="354">
        <v>3845.2</v>
      </c>
      <c r="G30" s="354"/>
      <c r="H30" s="353" t="s">
        <v>31</v>
      </c>
      <c r="I30" s="355" t="s">
        <v>32</v>
      </c>
      <c r="J30" s="355"/>
      <c r="K30" s="356" t="s">
        <v>25</v>
      </c>
      <c r="L30" s="357">
        <v>4349510.26</v>
      </c>
    </row>
    <row r="31" spans="1:12" ht="71.400000000000006" hidden="1" x14ac:dyDescent="0.3">
      <c r="A31" s="351" t="s">
        <v>479</v>
      </c>
      <c r="B31" s="352" t="s">
        <v>629</v>
      </c>
      <c r="C31" s="352" t="s">
        <v>627</v>
      </c>
      <c r="D31" s="352" t="s">
        <v>608</v>
      </c>
      <c r="E31" s="353" t="s">
        <v>30</v>
      </c>
      <c r="F31" s="354">
        <v>1319.29</v>
      </c>
      <c r="G31" s="354"/>
      <c r="H31" s="353" t="s">
        <v>31</v>
      </c>
      <c r="I31" s="355" t="s">
        <v>32</v>
      </c>
      <c r="J31" s="355"/>
      <c r="K31" s="356" t="s">
        <v>25</v>
      </c>
      <c r="L31" s="357">
        <v>4350829.55</v>
      </c>
    </row>
    <row r="32" spans="1:12" ht="71.400000000000006" hidden="1" x14ac:dyDescent="0.3">
      <c r="A32" s="351" t="s">
        <v>173</v>
      </c>
      <c r="B32" s="352" t="s">
        <v>630</v>
      </c>
      <c r="C32" s="352" t="s">
        <v>631</v>
      </c>
      <c r="D32" s="352" t="s">
        <v>608</v>
      </c>
      <c r="E32" s="353" t="s">
        <v>30</v>
      </c>
      <c r="F32" s="354">
        <v>35945</v>
      </c>
      <c r="G32" s="354"/>
      <c r="H32" s="353" t="s">
        <v>31</v>
      </c>
      <c r="I32" s="355" t="s">
        <v>32</v>
      </c>
      <c r="J32" s="355"/>
      <c r="K32" s="356" t="s">
        <v>25</v>
      </c>
      <c r="L32" s="357">
        <v>4386774.55</v>
      </c>
    </row>
    <row r="33" spans="1:12" ht="71.400000000000006" hidden="1" x14ac:dyDescent="0.3">
      <c r="A33" s="351" t="s">
        <v>173</v>
      </c>
      <c r="B33" s="352" t="s">
        <v>630</v>
      </c>
      <c r="C33" s="352" t="s">
        <v>632</v>
      </c>
      <c r="D33" s="352" t="s">
        <v>608</v>
      </c>
      <c r="E33" s="353" t="s">
        <v>30</v>
      </c>
      <c r="F33" s="354">
        <v>35945</v>
      </c>
      <c r="G33" s="354"/>
      <c r="H33" s="353" t="s">
        <v>31</v>
      </c>
      <c r="I33" s="355" t="s">
        <v>32</v>
      </c>
      <c r="J33" s="355"/>
      <c r="K33" s="356" t="s">
        <v>25</v>
      </c>
      <c r="L33" s="357">
        <v>4422719.55</v>
      </c>
    </row>
    <row r="34" spans="1:12" ht="71.400000000000006" hidden="1" x14ac:dyDescent="0.3">
      <c r="A34" s="351" t="s">
        <v>173</v>
      </c>
      <c r="B34" s="352" t="s">
        <v>630</v>
      </c>
      <c r="C34" s="352" t="s">
        <v>633</v>
      </c>
      <c r="D34" s="352" t="s">
        <v>608</v>
      </c>
      <c r="E34" s="353" t="s">
        <v>30</v>
      </c>
      <c r="F34" s="354">
        <v>57380</v>
      </c>
      <c r="G34" s="354"/>
      <c r="H34" s="353" t="s">
        <v>31</v>
      </c>
      <c r="I34" s="355" t="s">
        <v>32</v>
      </c>
      <c r="J34" s="355"/>
      <c r="K34" s="356" t="s">
        <v>25</v>
      </c>
      <c r="L34" s="357">
        <v>4480099.55</v>
      </c>
    </row>
    <row r="35" spans="1:12" ht="71.400000000000006" hidden="1" x14ac:dyDescent="0.3">
      <c r="A35" s="351" t="s">
        <v>173</v>
      </c>
      <c r="B35" s="352" t="s">
        <v>630</v>
      </c>
      <c r="C35" s="352" t="s">
        <v>634</v>
      </c>
      <c r="D35" s="352" t="s">
        <v>608</v>
      </c>
      <c r="E35" s="353" t="s">
        <v>30</v>
      </c>
      <c r="F35" s="354">
        <v>38598</v>
      </c>
      <c r="G35" s="354"/>
      <c r="H35" s="353" t="s">
        <v>31</v>
      </c>
      <c r="I35" s="355" t="s">
        <v>32</v>
      </c>
      <c r="J35" s="355"/>
      <c r="K35" s="356" t="s">
        <v>25</v>
      </c>
      <c r="L35" s="357">
        <v>4518697.55</v>
      </c>
    </row>
    <row r="36" spans="1:12" ht="71.400000000000006" hidden="1" x14ac:dyDescent="0.3">
      <c r="A36" s="351" t="s">
        <v>173</v>
      </c>
      <c r="B36" s="352" t="s">
        <v>630</v>
      </c>
      <c r="C36" s="352" t="s">
        <v>635</v>
      </c>
      <c r="D36" s="352" t="s">
        <v>608</v>
      </c>
      <c r="E36" s="353" t="s">
        <v>30</v>
      </c>
      <c r="F36" s="354">
        <v>20527</v>
      </c>
      <c r="G36" s="354"/>
      <c r="H36" s="353" t="s">
        <v>31</v>
      </c>
      <c r="I36" s="355" t="s">
        <v>32</v>
      </c>
      <c r="J36" s="355"/>
      <c r="K36" s="356" t="s">
        <v>25</v>
      </c>
      <c r="L36" s="357">
        <v>4539224.55</v>
      </c>
    </row>
    <row r="37" spans="1:12" ht="71.400000000000006" hidden="1" x14ac:dyDescent="0.3">
      <c r="A37" s="351" t="s">
        <v>173</v>
      </c>
      <c r="B37" s="352" t="s">
        <v>636</v>
      </c>
      <c r="C37" s="352" t="s">
        <v>631</v>
      </c>
      <c r="D37" s="352" t="s">
        <v>608</v>
      </c>
      <c r="E37" s="353" t="s">
        <v>30</v>
      </c>
      <c r="F37" s="354">
        <v>1193.6300000000001</v>
      </c>
      <c r="G37" s="354"/>
      <c r="H37" s="353" t="s">
        <v>31</v>
      </c>
      <c r="I37" s="355" t="s">
        <v>32</v>
      </c>
      <c r="J37" s="355"/>
      <c r="K37" s="356" t="s">
        <v>25</v>
      </c>
      <c r="L37" s="357">
        <v>4540418.18</v>
      </c>
    </row>
    <row r="38" spans="1:12" ht="71.400000000000006" hidden="1" x14ac:dyDescent="0.3">
      <c r="A38" s="351" t="s">
        <v>173</v>
      </c>
      <c r="B38" s="352" t="s">
        <v>636</v>
      </c>
      <c r="C38" s="352" t="s">
        <v>632</v>
      </c>
      <c r="D38" s="352" t="s">
        <v>608</v>
      </c>
      <c r="E38" s="353" t="s">
        <v>30</v>
      </c>
      <c r="F38" s="354">
        <v>1193.6300000000001</v>
      </c>
      <c r="G38" s="354"/>
      <c r="H38" s="353" t="s">
        <v>31</v>
      </c>
      <c r="I38" s="355" t="s">
        <v>32</v>
      </c>
      <c r="J38" s="355"/>
      <c r="K38" s="356" t="s">
        <v>25</v>
      </c>
      <c r="L38" s="357">
        <v>4541611.8099999996</v>
      </c>
    </row>
    <row r="39" spans="1:12" ht="71.400000000000006" hidden="1" x14ac:dyDescent="0.3">
      <c r="A39" s="351" t="s">
        <v>173</v>
      </c>
      <c r="B39" s="352" t="s">
        <v>636</v>
      </c>
      <c r="C39" s="352" t="s">
        <v>633</v>
      </c>
      <c r="D39" s="352" t="s">
        <v>608</v>
      </c>
      <c r="E39" s="353" t="s">
        <v>30</v>
      </c>
      <c r="F39" s="354">
        <v>1905.44</v>
      </c>
      <c r="G39" s="354"/>
      <c r="H39" s="353" t="s">
        <v>31</v>
      </c>
      <c r="I39" s="355" t="s">
        <v>32</v>
      </c>
      <c r="J39" s="355"/>
      <c r="K39" s="356" t="s">
        <v>25</v>
      </c>
      <c r="L39" s="357">
        <v>4543517.25</v>
      </c>
    </row>
    <row r="40" spans="1:12" ht="71.400000000000006" hidden="1" x14ac:dyDescent="0.3">
      <c r="A40" s="351" t="s">
        <v>173</v>
      </c>
      <c r="B40" s="352" t="s">
        <v>636</v>
      </c>
      <c r="C40" s="352" t="s">
        <v>634</v>
      </c>
      <c r="D40" s="352" t="s">
        <v>608</v>
      </c>
      <c r="E40" s="353" t="s">
        <v>30</v>
      </c>
      <c r="F40" s="354">
        <v>1281.73</v>
      </c>
      <c r="G40" s="354"/>
      <c r="H40" s="353" t="s">
        <v>31</v>
      </c>
      <c r="I40" s="355" t="s">
        <v>32</v>
      </c>
      <c r="J40" s="355"/>
      <c r="K40" s="356" t="s">
        <v>25</v>
      </c>
      <c r="L40" s="357">
        <v>4544798.9800000004</v>
      </c>
    </row>
    <row r="41" spans="1:12" ht="71.400000000000006" hidden="1" x14ac:dyDescent="0.3">
      <c r="A41" s="351" t="s">
        <v>173</v>
      </c>
      <c r="B41" s="352" t="s">
        <v>636</v>
      </c>
      <c r="C41" s="352" t="s">
        <v>635</v>
      </c>
      <c r="D41" s="352" t="s">
        <v>608</v>
      </c>
      <c r="E41" s="353" t="s">
        <v>30</v>
      </c>
      <c r="F41" s="358">
        <v>681.64</v>
      </c>
      <c r="G41" s="358"/>
      <c r="H41" s="353" t="s">
        <v>31</v>
      </c>
      <c r="I41" s="355" t="s">
        <v>32</v>
      </c>
      <c r="J41" s="355"/>
      <c r="K41" s="356" t="s">
        <v>25</v>
      </c>
      <c r="L41" s="357">
        <v>4545480.62</v>
      </c>
    </row>
    <row r="42" spans="1:12" ht="71.400000000000006" hidden="1" x14ac:dyDescent="0.3">
      <c r="A42" s="351" t="s">
        <v>176</v>
      </c>
      <c r="B42" s="352" t="s">
        <v>637</v>
      </c>
      <c r="C42" s="352" t="s">
        <v>638</v>
      </c>
      <c r="D42" s="352" t="s">
        <v>608</v>
      </c>
      <c r="E42" s="353" t="s">
        <v>30</v>
      </c>
      <c r="F42" s="354">
        <v>36394</v>
      </c>
      <c r="G42" s="354"/>
      <c r="H42" s="353" t="s">
        <v>31</v>
      </c>
      <c r="I42" s="355" t="s">
        <v>32</v>
      </c>
      <c r="J42" s="355"/>
      <c r="K42" s="356" t="s">
        <v>25</v>
      </c>
      <c r="L42" s="357">
        <v>4581874.62</v>
      </c>
    </row>
    <row r="43" spans="1:12" ht="71.400000000000006" hidden="1" x14ac:dyDescent="0.3">
      <c r="A43" s="351" t="s">
        <v>176</v>
      </c>
      <c r="B43" s="352" t="s">
        <v>637</v>
      </c>
      <c r="C43" s="352" t="s">
        <v>639</v>
      </c>
      <c r="D43" s="352" t="s">
        <v>608</v>
      </c>
      <c r="E43" s="353" t="s">
        <v>30</v>
      </c>
      <c r="F43" s="354">
        <v>36394</v>
      </c>
      <c r="G43" s="354"/>
      <c r="H43" s="353" t="s">
        <v>31</v>
      </c>
      <c r="I43" s="355" t="s">
        <v>32</v>
      </c>
      <c r="J43" s="355"/>
      <c r="K43" s="356" t="s">
        <v>25</v>
      </c>
      <c r="L43" s="357">
        <v>4618268.62</v>
      </c>
    </row>
    <row r="44" spans="1:12" ht="71.400000000000006" hidden="1" x14ac:dyDescent="0.3">
      <c r="A44" s="351" t="s">
        <v>176</v>
      </c>
      <c r="B44" s="352" t="s">
        <v>637</v>
      </c>
      <c r="C44" s="352" t="s">
        <v>640</v>
      </c>
      <c r="D44" s="352" t="s">
        <v>608</v>
      </c>
      <c r="E44" s="353" t="s">
        <v>30</v>
      </c>
      <c r="F44" s="354">
        <v>36394</v>
      </c>
      <c r="G44" s="354"/>
      <c r="H44" s="353" t="s">
        <v>31</v>
      </c>
      <c r="I44" s="355" t="s">
        <v>32</v>
      </c>
      <c r="J44" s="355"/>
      <c r="K44" s="356" t="s">
        <v>25</v>
      </c>
      <c r="L44" s="357">
        <v>4654662.62</v>
      </c>
    </row>
    <row r="45" spans="1:12" ht="71.400000000000006" hidden="1" x14ac:dyDescent="0.3">
      <c r="A45" s="351" t="s">
        <v>176</v>
      </c>
      <c r="B45" s="352" t="s">
        <v>637</v>
      </c>
      <c r="C45" s="352" t="s">
        <v>641</v>
      </c>
      <c r="D45" s="352" t="s">
        <v>608</v>
      </c>
      <c r="E45" s="353" t="s">
        <v>30</v>
      </c>
      <c r="F45" s="354">
        <v>36394</v>
      </c>
      <c r="G45" s="354"/>
      <c r="H45" s="353" t="s">
        <v>31</v>
      </c>
      <c r="I45" s="355" t="s">
        <v>32</v>
      </c>
      <c r="J45" s="355"/>
      <c r="K45" s="356" t="s">
        <v>25</v>
      </c>
      <c r="L45" s="357">
        <v>4691056.62</v>
      </c>
    </row>
    <row r="46" spans="1:12" ht="71.400000000000006" hidden="1" x14ac:dyDescent="0.3">
      <c r="A46" s="351" t="s">
        <v>176</v>
      </c>
      <c r="B46" s="352" t="s">
        <v>637</v>
      </c>
      <c r="C46" s="352" t="s">
        <v>642</v>
      </c>
      <c r="D46" s="352" t="s">
        <v>608</v>
      </c>
      <c r="E46" s="353" t="s">
        <v>30</v>
      </c>
      <c r="F46" s="354">
        <v>36232</v>
      </c>
      <c r="G46" s="354"/>
      <c r="H46" s="353" t="s">
        <v>31</v>
      </c>
      <c r="I46" s="355" t="s">
        <v>32</v>
      </c>
      <c r="J46" s="355"/>
      <c r="K46" s="356" t="s">
        <v>25</v>
      </c>
      <c r="L46" s="357">
        <v>4727288.62</v>
      </c>
    </row>
    <row r="47" spans="1:12" ht="71.400000000000006" hidden="1" x14ac:dyDescent="0.3">
      <c r="A47" s="351" t="s">
        <v>176</v>
      </c>
      <c r="B47" s="352" t="s">
        <v>643</v>
      </c>
      <c r="C47" s="352" t="s">
        <v>638</v>
      </c>
      <c r="D47" s="352" t="s">
        <v>608</v>
      </c>
      <c r="E47" s="353" t="s">
        <v>30</v>
      </c>
      <c r="F47" s="354">
        <v>1208.54</v>
      </c>
      <c r="G47" s="354"/>
      <c r="H47" s="353" t="s">
        <v>31</v>
      </c>
      <c r="I47" s="355" t="s">
        <v>32</v>
      </c>
      <c r="J47" s="355"/>
      <c r="K47" s="356" t="s">
        <v>25</v>
      </c>
      <c r="L47" s="357">
        <v>4728497.16</v>
      </c>
    </row>
    <row r="48" spans="1:12" ht="71.400000000000006" hidden="1" x14ac:dyDescent="0.3">
      <c r="A48" s="351" t="s">
        <v>176</v>
      </c>
      <c r="B48" s="352" t="s">
        <v>643</v>
      </c>
      <c r="C48" s="352" t="s">
        <v>639</v>
      </c>
      <c r="D48" s="352" t="s">
        <v>608</v>
      </c>
      <c r="E48" s="353" t="s">
        <v>30</v>
      </c>
      <c r="F48" s="354">
        <v>1208.54</v>
      </c>
      <c r="G48" s="354"/>
      <c r="H48" s="353" t="s">
        <v>31</v>
      </c>
      <c r="I48" s="355" t="s">
        <v>32</v>
      </c>
      <c r="J48" s="355"/>
      <c r="K48" s="356" t="s">
        <v>25</v>
      </c>
      <c r="L48" s="357">
        <v>4729705.7</v>
      </c>
    </row>
    <row r="49" spans="1:12" ht="71.400000000000006" hidden="1" x14ac:dyDescent="0.3">
      <c r="A49" s="351" t="s">
        <v>176</v>
      </c>
      <c r="B49" s="352" t="s">
        <v>643</v>
      </c>
      <c r="C49" s="352" t="s">
        <v>640</v>
      </c>
      <c r="D49" s="352" t="s">
        <v>608</v>
      </c>
      <c r="E49" s="353" t="s">
        <v>30</v>
      </c>
      <c r="F49" s="354">
        <v>1208.54</v>
      </c>
      <c r="G49" s="354"/>
      <c r="H49" s="353" t="s">
        <v>31</v>
      </c>
      <c r="I49" s="355" t="s">
        <v>32</v>
      </c>
      <c r="J49" s="355"/>
      <c r="K49" s="356" t="s">
        <v>25</v>
      </c>
      <c r="L49" s="357">
        <v>4730914.24</v>
      </c>
    </row>
    <row r="50" spans="1:12" ht="71.400000000000006" hidden="1" x14ac:dyDescent="0.3">
      <c r="A50" s="351" t="s">
        <v>176</v>
      </c>
      <c r="B50" s="352" t="s">
        <v>643</v>
      </c>
      <c r="C50" s="352" t="s">
        <v>641</v>
      </c>
      <c r="D50" s="352" t="s">
        <v>608</v>
      </c>
      <c r="E50" s="353" t="s">
        <v>30</v>
      </c>
      <c r="F50" s="354">
        <v>1208.54</v>
      </c>
      <c r="G50" s="354"/>
      <c r="H50" s="353" t="s">
        <v>31</v>
      </c>
      <c r="I50" s="355" t="s">
        <v>32</v>
      </c>
      <c r="J50" s="355"/>
      <c r="K50" s="356" t="s">
        <v>25</v>
      </c>
      <c r="L50" s="357">
        <v>4732122.78</v>
      </c>
    </row>
    <row r="51" spans="1:12" ht="71.400000000000006" hidden="1" x14ac:dyDescent="0.3">
      <c r="A51" s="351" t="s">
        <v>176</v>
      </c>
      <c r="B51" s="352" t="s">
        <v>643</v>
      </c>
      <c r="C51" s="352" t="s">
        <v>642</v>
      </c>
      <c r="D51" s="352" t="s">
        <v>608</v>
      </c>
      <c r="E51" s="353" t="s">
        <v>30</v>
      </c>
      <c r="F51" s="354">
        <v>1203.17</v>
      </c>
      <c r="G51" s="354"/>
      <c r="H51" s="353" t="s">
        <v>31</v>
      </c>
      <c r="I51" s="355" t="s">
        <v>32</v>
      </c>
      <c r="J51" s="355"/>
      <c r="K51" s="356" t="s">
        <v>25</v>
      </c>
      <c r="L51" s="357">
        <v>4733325.95</v>
      </c>
    </row>
    <row r="52" spans="1:12" ht="71.400000000000006" hidden="1" x14ac:dyDescent="0.3">
      <c r="A52" s="351" t="s">
        <v>59</v>
      </c>
      <c r="B52" s="352" t="s">
        <v>644</v>
      </c>
      <c r="C52" s="352" t="s">
        <v>645</v>
      </c>
      <c r="D52" s="352" t="s">
        <v>608</v>
      </c>
      <c r="E52" s="353" t="s">
        <v>30</v>
      </c>
      <c r="F52" s="354">
        <v>36232</v>
      </c>
      <c r="G52" s="354"/>
      <c r="H52" s="353" t="s">
        <v>31</v>
      </c>
      <c r="I52" s="355" t="s">
        <v>32</v>
      </c>
      <c r="J52" s="355"/>
      <c r="K52" s="356" t="s">
        <v>25</v>
      </c>
      <c r="L52" s="357">
        <v>4769557.95</v>
      </c>
    </row>
    <row r="53" spans="1:12" ht="71.400000000000006" hidden="1" x14ac:dyDescent="0.3">
      <c r="A53" s="351" t="s">
        <v>59</v>
      </c>
      <c r="B53" s="352" t="s">
        <v>644</v>
      </c>
      <c r="C53" s="352" t="s">
        <v>646</v>
      </c>
      <c r="D53" s="352" t="s">
        <v>608</v>
      </c>
      <c r="E53" s="353" t="s">
        <v>30</v>
      </c>
      <c r="F53" s="354">
        <v>36394</v>
      </c>
      <c r="G53" s="354"/>
      <c r="H53" s="353" t="s">
        <v>31</v>
      </c>
      <c r="I53" s="355" t="s">
        <v>32</v>
      </c>
      <c r="J53" s="355"/>
      <c r="K53" s="356" t="s">
        <v>25</v>
      </c>
      <c r="L53" s="357">
        <v>4805951.95</v>
      </c>
    </row>
    <row r="54" spans="1:12" ht="71.400000000000006" hidden="1" x14ac:dyDescent="0.3">
      <c r="A54" s="351" t="s">
        <v>59</v>
      </c>
      <c r="B54" s="352" t="s">
        <v>644</v>
      </c>
      <c r="C54" s="352" t="s">
        <v>647</v>
      </c>
      <c r="D54" s="352" t="s">
        <v>608</v>
      </c>
      <c r="E54" s="353" t="s">
        <v>30</v>
      </c>
      <c r="F54" s="354">
        <v>36394</v>
      </c>
      <c r="G54" s="354"/>
      <c r="H54" s="353" t="s">
        <v>31</v>
      </c>
      <c r="I54" s="355" t="s">
        <v>32</v>
      </c>
      <c r="J54" s="355"/>
      <c r="K54" s="356" t="s">
        <v>25</v>
      </c>
      <c r="L54" s="357">
        <v>4842345.95</v>
      </c>
    </row>
    <row r="55" spans="1:12" ht="71.400000000000006" hidden="1" x14ac:dyDescent="0.3">
      <c r="A55" s="351" t="s">
        <v>59</v>
      </c>
      <c r="B55" s="352" t="s">
        <v>644</v>
      </c>
      <c r="C55" s="352" t="s">
        <v>648</v>
      </c>
      <c r="D55" s="352" t="s">
        <v>608</v>
      </c>
      <c r="E55" s="353" t="s">
        <v>30</v>
      </c>
      <c r="F55" s="354">
        <v>36394</v>
      </c>
      <c r="G55" s="354"/>
      <c r="H55" s="353" t="s">
        <v>31</v>
      </c>
      <c r="I55" s="355" t="s">
        <v>32</v>
      </c>
      <c r="J55" s="355"/>
      <c r="K55" s="356" t="s">
        <v>25</v>
      </c>
      <c r="L55" s="357">
        <v>4878739.95</v>
      </c>
    </row>
    <row r="56" spans="1:12" ht="71.400000000000006" hidden="1" x14ac:dyDescent="0.3">
      <c r="A56" s="351" t="s">
        <v>59</v>
      </c>
      <c r="B56" s="352" t="s">
        <v>644</v>
      </c>
      <c r="C56" s="352" t="s">
        <v>649</v>
      </c>
      <c r="D56" s="352" t="s">
        <v>608</v>
      </c>
      <c r="E56" s="353" t="s">
        <v>30</v>
      </c>
      <c r="F56" s="354">
        <v>20527</v>
      </c>
      <c r="G56" s="354"/>
      <c r="H56" s="353" t="s">
        <v>31</v>
      </c>
      <c r="I56" s="355" t="s">
        <v>32</v>
      </c>
      <c r="J56" s="355"/>
      <c r="K56" s="356" t="s">
        <v>25</v>
      </c>
      <c r="L56" s="357">
        <v>4899266.95</v>
      </c>
    </row>
    <row r="57" spans="1:12" ht="71.400000000000006" hidden="1" x14ac:dyDescent="0.3">
      <c r="A57" s="351" t="s">
        <v>59</v>
      </c>
      <c r="B57" s="352" t="s">
        <v>650</v>
      </c>
      <c r="C57" s="352" t="s">
        <v>645</v>
      </c>
      <c r="D57" s="352" t="s">
        <v>608</v>
      </c>
      <c r="E57" s="353" t="s">
        <v>30</v>
      </c>
      <c r="F57" s="354">
        <v>1203.17</v>
      </c>
      <c r="G57" s="354"/>
      <c r="H57" s="353" t="s">
        <v>31</v>
      </c>
      <c r="I57" s="355" t="s">
        <v>32</v>
      </c>
      <c r="J57" s="355"/>
      <c r="K57" s="356" t="s">
        <v>25</v>
      </c>
      <c r="L57" s="357">
        <v>4900470.12</v>
      </c>
    </row>
    <row r="58" spans="1:12" ht="71.400000000000006" hidden="1" x14ac:dyDescent="0.3">
      <c r="A58" s="351" t="s">
        <v>59</v>
      </c>
      <c r="B58" s="352" t="s">
        <v>650</v>
      </c>
      <c r="C58" s="352" t="s">
        <v>646</v>
      </c>
      <c r="D58" s="352" t="s">
        <v>608</v>
      </c>
      <c r="E58" s="353" t="s">
        <v>30</v>
      </c>
      <c r="F58" s="354">
        <v>1208.54</v>
      </c>
      <c r="G58" s="354"/>
      <c r="H58" s="353" t="s">
        <v>31</v>
      </c>
      <c r="I58" s="355" t="s">
        <v>32</v>
      </c>
      <c r="J58" s="355"/>
      <c r="K58" s="356" t="s">
        <v>25</v>
      </c>
      <c r="L58" s="357">
        <v>4901678.66</v>
      </c>
    </row>
    <row r="59" spans="1:12" ht="71.400000000000006" hidden="1" x14ac:dyDescent="0.3">
      <c r="A59" s="351" t="s">
        <v>59</v>
      </c>
      <c r="B59" s="352" t="s">
        <v>650</v>
      </c>
      <c r="C59" s="352" t="s">
        <v>647</v>
      </c>
      <c r="D59" s="352" t="s">
        <v>608</v>
      </c>
      <c r="E59" s="353" t="s">
        <v>30</v>
      </c>
      <c r="F59" s="354">
        <v>1208.54</v>
      </c>
      <c r="G59" s="354"/>
      <c r="H59" s="353" t="s">
        <v>31</v>
      </c>
      <c r="I59" s="355" t="s">
        <v>32</v>
      </c>
      <c r="J59" s="355"/>
      <c r="K59" s="356" t="s">
        <v>25</v>
      </c>
      <c r="L59" s="357">
        <v>4902887.2</v>
      </c>
    </row>
    <row r="60" spans="1:12" ht="71.400000000000006" hidden="1" x14ac:dyDescent="0.3">
      <c r="A60" s="351" t="s">
        <v>59</v>
      </c>
      <c r="B60" s="352" t="s">
        <v>650</v>
      </c>
      <c r="C60" s="352" t="s">
        <v>648</v>
      </c>
      <c r="D60" s="352" t="s">
        <v>608</v>
      </c>
      <c r="E60" s="353" t="s">
        <v>30</v>
      </c>
      <c r="F60" s="354">
        <v>1208.54</v>
      </c>
      <c r="G60" s="354"/>
      <c r="H60" s="353" t="s">
        <v>31</v>
      </c>
      <c r="I60" s="355" t="s">
        <v>32</v>
      </c>
      <c r="J60" s="355"/>
      <c r="K60" s="356" t="s">
        <v>25</v>
      </c>
      <c r="L60" s="357">
        <v>4904095.74</v>
      </c>
    </row>
    <row r="61" spans="1:12" ht="71.400000000000006" hidden="1" x14ac:dyDescent="0.3">
      <c r="A61" s="351" t="s">
        <v>59</v>
      </c>
      <c r="B61" s="352" t="s">
        <v>650</v>
      </c>
      <c r="C61" s="352" t="s">
        <v>649</v>
      </c>
      <c r="D61" s="352" t="s">
        <v>608</v>
      </c>
      <c r="E61" s="353" t="s">
        <v>30</v>
      </c>
      <c r="F61" s="358">
        <v>681.64</v>
      </c>
      <c r="G61" s="358"/>
      <c r="H61" s="353" t="s">
        <v>31</v>
      </c>
      <c r="I61" s="355" t="s">
        <v>32</v>
      </c>
      <c r="J61" s="355"/>
      <c r="K61" s="356" t="s">
        <v>25</v>
      </c>
      <c r="L61" s="357">
        <v>4904777.38</v>
      </c>
    </row>
    <row r="62" spans="1:12" ht="71.400000000000006" hidden="1" x14ac:dyDescent="0.3">
      <c r="A62" s="351" t="s">
        <v>186</v>
      </c>
      <c r="B62" s="352" t="s">
        <v>651</v>
      </c>
      <c r="C62" s="352" t="s">
        <v>652</v>
      </c>
      <c r="D62" s="352" t="s">
        <v>653</v>
      </c>
      <c r="E62" s="353" t="s">
        <v>30</v>
      </c>
      <c r="F62" s="354">
        <v>12320</v>
      </c>
      <c r="G62" s="354"/>
      <c r="H62" s="353" t="s">
        <v>31</v>
      </c>
      <c r="I62" s="355" t="s">
        <v>32</v>
      </c>
      <c r="J62" s="355"/>
      <c r="K62" s="356" t="s">
        <v>25</v>
      </c>
      <c r="L62" s="357">
        <v>4917097.38</v>
      </c>
    </row>
    <row r="63" spans="1:12" ht="71.400000000000006" hidden="1" x14ac:dyDescent="0.3">
      <c r="A63" s="351" t="s">
        <v>186</v>
      </c>
      <c r="B63" s="352" t="s">
        <v>654</v>
      </c>
      <c r="C63" s="352" t="s">
        <v>652</v>
      </c>
      <c r="D63" s="352" t="s">
        <v>655</v>
      </c>
      <c r="E63" s="353" t="s">
        <v>30</v>
      </c>
      <c r="F63" s="354">
        <v>11312</v>
      </c>
      <c r="G63" s="354"/>
      <c r="H63" s="353" t="s">
        <v>31</v>
      </c>
      <c r="I63" s="355" t="s">
        <v>32</v>
      </c>
      <c r="J63" s="355"/>
      <c r="K63" s="356" t="s">
        <v>25</v>
      </c>
      <c r="L63" s="357">
        <v>4928409.38</v>
      </c>
    </row>
    <row r="64" spans="1:12" ht="71.400000000000006" hidden="1" x14ac:dyDescent="0.3">
      <c r="A64" s="351" t="s">
        <v>63</v>
      </c>
      <c r="B64" s="352" t="s">
        <v>656</v>
      </c>
      <c r="C64" s="352" t="s">
        <v>149</v>
      </c>
      <c r="D64" s="352" t="s">
        <v>657</v>
      </c>
      <c r="E64" s="353" t="s">
        <v>30</v>
      </c>
      <c r="F64" s="354">
        <v>15935.17</v>
      </c>
      <c r="G64" s="354"/>
      <c r="H64" s="353" t="s">
        <v>31</v>
      </c>
      <c r="I64" s="355" t="s">
        <v>32</v>
      </c>
      <c r="J64" s="355"/>
      <c r="K64" s="356" t="s">
        <v>25</v>
      </c>
      <c r="L64" s="357">
        <v>4944344.55</v>
      </c>
    </row>
    <row r="65" spans="1:12" ht="71.400000000000006" hidden="1" x14ac:dyDescent="0.3">
      <c r="A65" s="351" t="s">
        <v>658</v>
      </c>
      <c r="B65" s="352" t="s">
        <v>659</v>
      </c>
      <c r="C65" s="352" t="s">
        <v>660</v>
      </c>
      <c r="D65" s="352" t="s">
        <v>608</v>
      </c>
      <c r="E65" s="353" t="s">
        <v>30</v>
      </c>
      <c r="F65" s="354">
        <v>36070</v>
      </c>
      <c r="G65" s="354"/>
      <c r="H65" s="353" t="s">
        <v>31</v>
      </c>
      <c r="I65" s="355" t="s">
        <v>32</v>
      </c>
      <c r="J65" s="355"/>
      <c r="K65" s="356" t="s">
        <v>25</v>
      </c>
      <c r="L65" s="357">
        <v>4980414.55</v>
      </c>
    </row>
    <row r="66" spans="1:12" ht="71.400000000000006" hidden="1" x14ac:dyDescent="0.3">
      <c r="A66" s="351" t="s">
        <v>658</v>
      </c>
      <c r="B66" s="352" t="s">
        <v>659</v>
      </c>
      <c r="C66" s="352" t="s">
        <v>661</v>
      </c>
      <c r="D66" s="352" t="s">
        <v>608</v>
      </c>
      <c r="E66" s="353" t="s">
        <v>30</v>
      </c>
      <c r="F66" s="354">
        <v>36070</v>
      </c>
      <c r="G66" s="354"/>
      <c r="H66" s="353" t="s">
        <v>31</v>
      </c>
      <c r="I66" s="355" t="s">
        <v>32</v>
      </c>
      <c r="J66" s="355"/>
      <c r="K66" s="356" t="s">
        <v>25</v>
      </c>
      <c r="L66" s="357">
        <v>5016484.55</v>
      </c>
    </row>
    <row r="67" spans="1:12" ht="71.400000000000006" hidden="1" x14ac:dyDescent="0.3">
      <c r="A67" s="351" t="s">
        <v>658</v>
      </c>
      <c r="B67" s="352" t="s">
        <v>659</v>
      </c>
      <c r="C67" s="352" t="s">
        <v>662</v>
      </c>
      <c r="D67" s="352" t="s">
        <v>608</v>
      </c>
      <c r="E67" s="353" t="s">
        <v>30</v>
      </c>
      <c r="F67" s="354">
        <v>36394</v>
      </c>
      <c r="G67" s="354"/>
      <c r="H67" s="353" t="s">
        <v>31</v>
      </c>
      <c r="I67" s="355" t="s">
        <v>32</v>
      </c>
      <c r="J67" s="355"/>
      <c r="K67" s="356" t="s">
        <v>25</v>
      </c>
      <c r="L67" s="357">
        <v>5052878.55</v>
      </c>
    </row>
    <row r="68" spans="1:12" ht="71.400000000000006" hidden="1" x14ac:dyDescent="0.3">
      <c r="A68" s="351" t="s">
        <v>658</v>
      </c>
      <c r="B68" s="352" t="s">
        <v>659</v>
      </c>
      <c r="C68" s="352" t="s">
        <v>663</v>
      </c>
      <c r="D68" s="352" t="s">
        <v>608</v>
      </c>
      <c r="E68" s="353" t="s">
        <v>30</v>
      </c>
      <c r="F68" s="354">
        <v>36394</v>
      </c>
      <c r="G68" s="354"/>
      <c r="H68" s="353" t="s">
        <v>31</v>
      </c>
      <c r="I68" s="355" t="s">
        <v>32</v>
      </c>
      <c r="J68" s="355"/>
      <c r="K68" s="356" t="s">
        <v>25</v>
      </c>
      <c r="L68" s="357">
        <v>5089272.55</v>
      </c>
    </row>
    <row r="69" spans="1:12" ht="71.400000000000006" hidden="1" x14ac:dyDescent="0.3">
      <c r="A69" s="351" t="s">
        <v>658</v>
      </c>
      <c r="B69" s="352" t="s">
        <v>659</v>
      </c>
      <c r="C69" s="352" t="s">
        <v>664</v>
      </c>
      <c r="D69" s="352" t="s">
        <v>608</v>
      </c>
      <c r="E69" s="353" t="s">
        <v>30</v>
      </c>
      <c r="F69" s="354">
        <v>20527</v>
      </c>
      <c r="G69" s="354"/>
      <c r="H69" s="353" t="s">
        <v>31</v>
      </c>
      <c r="I69" s="355" t="s">
        <v>32</v>
      </c>
      <c r="J69" s="355"/>
      <c r="K69" s="356" t="s">
        <v>25</v>
      </c>
      <c r="L69" s="357">
        <v>5109799.55</v>
      </c>
    </row>
    <row r="70" spans="1:12" ht="71.400000000000006" hidden="1" x14ac:dyDescent="0.3">
      <c r="A70" s="351" t="s">
        <v>658</v>
      </c>
      <c r="B70" s="352" t="s">
        <v>659</v>
      </c>
      <c r="C70" s="352" t="s">
        <v>665</v>
      </c>
      <c r="D70" s="352" t="s">
        <v>608</v>
      </c>
      <c r="E70" s="353" t="s">
        <v>30</v>
      </c>
      <c r="F70" s="354">
        <v>17052</v>
      </c>
      <c r="G70" s="354"/>
      <c r="H70" s="353" t="s">
        <v>31</v>
      </c>
      <c r="I70" s="355" t="s">
        <v>32</v>
      </c>
      <c r="J70" s="355"/>
      <c r="K70" s="356" t="s">
        <v>25</v>
      </c>
      <c r="L70" s="357">
        <v>5126851.55</v>
      </c>
    </row>
    <row r="71" spans="1:12" ht="71.400000000000006" hidden="1" x14ac:dyDescent="0.3">
      <c r="A71" s="351" t="s">
        <v>658</v>
      </c>
      <c r="B71" s="352" t="s">
        <v>666</v>
      </c>
      <c r="C71" s="352" t="s">
        <v>660</v>
      </c>
      <c r="D71" s="352" t="s">
        <v>608</v>
      </c>
      <c r="E71" s="353" t="s">
        <v>30</v>
      </c>
      <c r="F71" s="354">
        <v>1197.78</v>
      </c>
      <c r="G71" s="354"/>
      <c r="H71" s="353" t="s">
        <v>31</v>
      </c>
      <c r="I71" s="355" t="s">
        <v>32</v>
      </c>
      <c r="J71" s="355"/>
      <c r="K71" s="356" t="s">
        <v>25</v>
      </c>
      <c r="L71" s="357">
        <v>5128049.33</v>
      </c>
    </row>
    <row r="72" spans="1:12" ht="71.400000000000006" hidden="1" x14ac:dyDescent="0.3">
      <c r="A72" s="351" t="s">
        <v>658</v>
      </c>
      <c r="B72" s="352" t="s">
        <v>666</v>
      </c>
      <c r="C72" s="352" t="s">
        <v>661</v>
      </c>
      <c r="D72" s="352" t="s">
        <v>608</v>
      </c>
      <c r="E72" s="353" t="s">
        <v>30</v>
      </c>
      <c r="F72" s="354">
        <v>1197.78</v>
      </c>
      <c r="G72" s="354"/>
      <c r="H72" s="353" t="s">
        <v>31</v>
      </c>
      <c r="I72" s="355" t="s">
        <v>32</v>
      </c>
      <c r="J72" s="355"/>
      <c r="K72" s="356" t="s">
        <v>25</v>
      </c>
      <c r="L72" s="357">
        <v>5129247.1100000003</v>
      </c>
    </row>
    <row r="73" spans="1:12" ht="71.400000000000006" hidden="1" x14ac:dyDescent="0.3">
      <c r="A73" s="351" t="s">
        <v>658</v>
      </c>
      <c r="B73" s="352" t="s">
        <v>666</v>
      </c>
      <c r="C73" s="352" t="s">
        <v>662</v>
      </c>
      <c r="D73" s="352" t="s">
        <v>608</v>
      </c>
      <c r="E73" s="353" t="s">
        <v>30</v>
      </c>
      <c r="F73" s="354">
        <v>1208.55</v>
      </c>
      <c r="G73" s="354"/>
      <c r="H73" s="353" t="s">
        <v>31</v>
      </c>
      <c r="I73" s="355" t="s">
        <v>32</v>
      </c>
      <c r="J73" s="355"/>
      <c r="K73" s="356" t="s">
        <v>25</v>
      </c>
      <c r="L73" s="357">
        <v>5130455.66</v>
      </c>
    </row>
    <row r="74" spans="1:12" ht="71.400000000000006" hidden="1" x14ac:dyDescent="0.3">
      <c r="A74" s="351" t="s">
        <v>658</v>
      </c>
      <c r="B74" s="352" t="s">
        <v>666</v>
      </c>
      <c r="C74" s="352" t="s">
        <v>663</v>
      </c>
      <c r="D74" s="352" t="s">
        <v>608</v>
      </c>
      <c r="E74" s="353" t="s">
        <v>30</v>
      </c>
      <c r="F74" s="354">
        <v>1208.54</v>
      </c>
      <c r="G74" s="354"/>
      <c r="H74" s="353" t="s">
        <v>31</v>
      </c>
      <c r="I74" s="355" t="s">
        <v>32</v>
      </c>
      <c r="J74" s="355"/>
      <c r="K74" s="356" t="s">
        <v>25</v>
      </c>
      <c r="L74" s="357">
        <v>5131664.2</v>
      </c>
    </row>
    <row r="75" spans="1:12" ht="71.400000000000006" hidden="1" x14ac:dyDescent="0.3">
      <c r="A75" s="351" t="s">
        <v>658</v>
      </c>
      <c r="B75" s="352" t="s">
        <v>666</v>
      </c>
      <c r="C75" s="352" t="s">
        <v>664</v>
      </c>
      <c r="D75" s="352" t="s">
        <v>608</v>
      </c>
      <c r="E75" s="353" t="s">
        <v>30</v>
      </c>
      <c r="F75" s="358">
        <v>681.64</v>
      </c>
      <c r="G75" s="358"/>
      <c r="H75" s="353" t="s">
        <v>31</v>
      </c>
      <c r="I75" s="355" t="s">
        <v>32</v>
      </c>
      <c r="J75" s="355"/>
      <c r="K75" s="356" t="s">
        <v>25</v>
      </c>
      <c r="L75" s="357">
        <v>5132345.84</v>
      </c>
    </row>
    <row r="76" spans="1:12" ht="71.400000000000006" hidden="1" x14ac:dyDescent="0.3">
      <c r="A76" s="351" t="s">
        <v>658</v>
      </c>
      <c r="B76" s="352" t="s">
        <v>666</v>
      </c>
      <c r="C76" s="352" t="s">
        <v>665</v>
      </c>
      <c r="D76" s="352" t="s">
        <v>608</v>
      </c>
      <c r="E76" s="353" t="s">
        <v>30</v>
      </c>
      <c r="F76" s="358">
        <v>566.25</v>
      </c>
      <c r="G76" s="358"/>
      <c r="H76" s="353" t="s">
        <v>31</v>
      </c>
      <c r="I76" s="355" t="s">
        <v>32</v>
      </c>
      <c r="J76" s="355"/>
      <c r="K76" s="356" t="s">
        <v>25</v>
      </c>
      <c r="L76" s="357">
        <v>5132912.09</v>
      </c>
    </row>
    <row r="77" spans="1:12" ht="71.400000000000006" hidden="1" x14ac:dyDescent="0.3">
      <c r="A77" s="351" t="s">
        <v>332</v>
      </c>
      <c r="B77" s="352" t="s">
        <v>667</v>
      </c>
      <c r="C77" s="352" t="s">
        <v>668</v>
      </c>
      <c r="D77" s="352" t="s">
        <v>669</v>
      </c>
      <c r="E77" s="353" t="s">
        <v>30</v>
      </c>
      <c r="F77" s="354">
        <v>6630</v>
      </c>
      <c r="G77" s="354"/>
      <c r="H77" s="353" t="s">
        <v>31</v>
      </c>
      <c r="I77" s="355" t="s">
        <v>32</v>
      </c>
      <c r="J77" s="355"/>
      <c r="K77" s="356" t="s">
        <v>25</v>
      </c>
      <c r="L77" s="357">
        <v>5139542.09</v>
      </c>
    </row>
    <row r="78" spans="1:12" ht="71.400000000000006" hidden="1" x14ac:dyDescent="0.3">
      <c r="A78" s="351" t="s">
        <v>332</v>
      </c>
      <c r="B78" s="352" t="s">
        <v>670</v>
      </c>
      <c r="C78" s="352" t="s">
        <v>671</v>
      </c>
      <c r="D78" s="352" t="s">
        <v>608</v>
      </c>
      <c r="E78" s="353" t="s">
        <v>30</v>
      </c>
      <c r="F78" s="354">
        <v>21780</v>
      </c>
      <c r="G78" s="354"/>
      <c r="H78" s="353" t="s">
        <v>31</v>
      </c>
      <c r="I78" s="355" t="s">
        <v>32</v>
      </c>
      <c r="J78" s="355"/>
      <c r="K78" s="356" t="s">
        <v>25</v>
      </c>
      <c r="L78" s="357">
        <v>5161322.09</v>
      </c>
    </row>
    <row r="79" spans="1:12" ht="71.400000000000006" hidden="1" x14ac:dyDescent="0.3">
      <c r="A79" s="351" t="s">
        <v>332</v>
      </c>
      <c r="B79" s="352" t="s">
        <v>672</v>
      </c>
      <c r="C79" s="352" t="s">
        <v>673</v>
      </c>
      <c r="D79" s="352" t="s">
        <v>608</v>
      </c>
      <c r="E79" s="353" t="s">
        <v>30</v>
      </c>
      <c r="F79" s="354">
        <v>56526</v>
      </c>
      <c r="G79" s="354"/>
      <c r="H79" s="353" t="s">
        <v>31</v>
      </c>
      <c r="I79" s="355" t="s">
        <v>32</v>
      </c>
      <c r="J79" s="355"/>
      <c r="K79" s="356" t="s">
        <v>25</v>
      </c>
      <c r="L79" s="357">
        <v>5217848.09</v>
      </c>
    </row>
    <row r="80" spans="1:12" ht="71.400000000000006" hidden="1" x14ac:dyDescent="0.3">
      <c r="A80" s="351" t="s">
        <v>332</v>
      </c>
      <c r="B80" s="352" t="s">
        <v>672</v>
      </c>
      <c r="C80" s="352" t="s">
        <v>674</v>
      </c>
      <c r="D80" s="352" t="s">
        <v>608</v>
      </c>
      <c r="E80" s="353" t="s">
        <v>30</v>
      </c>
      <c r="F80" s="354">
        <v>35945</v>
      </c>
      <c r="G80" s="354"/>
      <c r="H80" s="353" t="s">
        <v>31</v>
      </c>
      <c r="I80" s="355" t="s">
        <v>32</v>
      </c>
      <c r="J80" s="355"/>
      <c r="K80" s="356" t="s">
        <v>25</v>
      </c>
      <c r="L80" s="357">
        <v>5253793.09</v>
      </c>
    </row>
    <row r="81" spans="1:12" ht="71.400000000000006" hidden="1" x14ac:dyDescent="0.3">
      <c r="A81" s="351" t="s">
        <v>332</v>
      </c>
      <c r="B81" s="352" t="s">
        <v>672</v>
      </c>
      <c r="C81" s="352" t="s">
        <v>675</v>
      </c>
      <c r="D81" s="352" t="s">
        <v>608</v>
      </c>
      <c r="E81" s="353" t="s">
        <v>30</v>
      </c>
      <c r="F81" s="354">
        <v>35945</v>
      </c>
      <c r="G81" s="354"/>
      <c r="H81" s="353" t="s">
        <v>31</v>
      </c>
      <c r="I81" s="355" t="s">
        <v>32</v>
      </c>
      <c r="J81" s="355"/>
      <c r="K81" s="356" t="s">
        <v>25</v>
      </c>
      <c r="L81" s="357">
        <v>5289738.09</v>
      </c>
    </row>
    <row r="82" spans="1:12" ht="71.400000000000006" hidden="1" x14ac:dyDescent="0.3">
      <c r="A82" s="351" t="s">
        <v>332</v>
      </c>
      <c r="B82" s="352" t="s">
        <v>672</v>
      </c>
      <c r="C82" s="352" t="s">
        <v>676</v>
      </c>
      <c r="D82" s="352" t="s">
        <v>608</v>
      </c>
      <c r="E82" s="353" t="s">
        <v>30</v>
      </c>
      <c r="F82" s="354">
        <v>35945</v>
      </c>
      <c r="G82" s="354"/>
      <c r="H82" s="353" t="s">
        <v>31</v>
      </c>
      <c r="I82" s="355" t="s">
        <v>32</v>
      </c>
      <c r="J82" s="355"/>
      <c r="K82" s="356" t="s">
        <v>25</v>
      </c>
      <c r="L82" s="357">
        <v>5325683.09</v>
      </c>
    </row>
    <row r="83" spans="1:12" ht="71.400000000000006" hidden="1" x14ac:dyDescent="0.3">
      <c r="A83" s="351" t="s">
        <v>332</v>
      </c>
      <c r="B83" s="352" t="s">
        <v>672</v>
      </c>
      <c r="C83" s="352" t="s">
        <v>677</v>
      </c>
      <c r="D83" s="352" t="s">
        <v>608</v>
      </c>
      <c r="E83" s="353" t="s">
        <v>30</v>
      </c>
      <c r="F83" s="354">
        <v>35945</v>
      </c>
      <c r="G83" s="354"/>
      <c r="H83" s="353" t="s">
        <v>31</v>
      </c>
      <c r="I83" s="355" t="s">
        <v>32</v>
      </c>
      <c r="J83" s="355"/>
      <c r="K83" s="356" t="s">
        <v>25</v>
      </c>
      <c r="L83" s="357">
        <v>5361628.09</v>
      </c>
    </row>
    <row r="84" spans="1:12" ht="61.2" hidden="1" x14ac:dyDescent="0.3">
      <c r="A84" s="351" t="s">
        <v>332</v>
      </c>
      <c r="B84" s="352" t="s">
        <v>678</v>
      </c>
      <c r="C84" s="352" t="s">
        <v>679</v>
      </c>
      <c r="D84" s="352" t="s">
        <v>680</v>
      </c>
      <c r="E84" s="353" t="s">
        <v>30</v>
      </c>
      <c r="F84" s="354">
        <v>11000</v>
      </c>
      <c r="G84" s="354"/>
      <c r="H84" s="353" t="s">
        <v>31</v>
      </c>
      <c r="I84" s="355" t="s">
        <v>32</v>
      </c>
      <c r="J84" s="355"/>
      <c r="K84" s="356" t="s">
        <v>25</v>
      </c>
      <c r="L84" s="357">
        <v>5372628.0899999999</v>
      </c>
    </row>
    <row r="85" spans="1:12" ht="61.2" hidden="1" x14ac:dyDescent="0.3">
      <c r="A85" s="351" t="s">
        <v>332</v>
      </c>
      <c r="B85" s="352" t="s">
        <v>678</v>
      </c>
      <c r="C85" s="352" t="s">
        <v>681</v>
      </c>
      <c r="D85" s="352" t="s">
        <v>680</v>
      </c>
      <c r="E85" s="353" t="s">
        <v>30</v>
      </c>
      <c r="F85" s="354">
        <v>3033.5</v>
      </c>
      <c r="G85" s="354"/>
      <c r="H85" s="353" t="s">
        <v>31</v>
      </c>
      <c r="I85" s="355" t="s">
        <v>32</v>
      </c>
      <c r="J85" s="355"/>
      <c r="K85" s="356" t="s">
        <v>25</v>
      </c>
      <c r="L85" s="357">
        <v>5375661.5899999999</v>
      </c>
    </row>
    <row r="86" spans="1:12" ht="61.2" hidden="1" x14ac:dyDescent="0.3">
      <c r="A86" s="351" t="s">
        <v>332</v>
      </c>
      <c r="B86" s="352" t="s">
        <v>336</v>
      </c>
      <c r="C86" s="352" t="s">
        <v>151</v>
      </c>
      <c r="D86" s="352" t="s">
        <v>334</v>
      </c>
      <c r="E86" s="353" t="s">
        <v>30</v>
      </c>
      <c r="F86" s="354">
        <v>11925.5</v>
      </c>
      <c r="G86" s="354"/>
      <c r="H86" s="353" t="s">
        <v>30</v>
      </c>
      <c r="I86" s="355" t="s">
        <v>32</v>
      </c>
      <c r="J86" s="355"/>
      <c r="K86" s="356" t="s">
        <v>25</v>
      </c>
      <c r="L86" s="357">
        <v>5387587.0899999999</v>
      </c>
    </row>
    <row r="87" spans="1:12" ht="71.400000000000006" hidden="1" x14ac:dyDescent="0.3">
      <c r="A87" s="351" t="s">
        <v>332</v>
      </c>
      <c r="B87" s="352" t="s">
        <v>682</v>
      </c>
      <c r="C87" s="352" t="s">
        <v>671</v>
      </c>
      <c r="D87" s="352" t="s">
        <v>608</v>
      </c>
      <c r="E87" s="353" t="s">
        <v>30</v>
      </c>
      <c r="F87" s="358">
        <v>723.25</v>
      </c>
      <c r="G87" s="358"/>
      <c r="H87" s="353" t="s">
        <v>31</v>
      </c>
      <c r="I87" s="355" t="s">
        <v>32</v>
      </c>
      <c r="J87" s="355"/>
      <c r="K87" s="356" t="s">
        <v>25</v>
      </c>
      <c r="L87" s="357">
        <v>5388310.3399999999</v>
      </c>
    </row>
    <row r="88" spans="1:12" ht="71.400000000000006" hidden="1" x14ac:dyDescent="0.3">
      <c r="A88" s="351" t="s">
        <v>332</v>
      </c>
      <c r="B88" s="352" t="s">
        <v>683</v>
      </c>
      <c r="C88" s="352" t="s">
        <v>673</v>
      </c>
      <c r="D88" s="352" t="s">
        <v>608</v>
      </c>
      <c r="E88" s="353" t="s">
        <v>30</v>
      </c>
      <c r="F88" s="354">
        <v>1877.08</v>
      </c>
      <c r="G88" s="354"/>
      <c r="H88" s="353" t="s">
        <v>31</v>
      </c>
      <c r="I88" s="355" t="s">
        <v>32</v>
      </c>
      <c r="J88" s="355"/>
      <c r="K88" s="356" t="s">
        <v>25</v>
      </c>
      <c r="L88" s="357">
        <v>5390187.4199999999</v>
      </c>
    </row>
    <row r="89" spans="1:12" ht="71.400000000000006" hidden="1" x14ac:dyDescent="0.3">
      <c r="A89" s="351" t="s">
        <v>332</v>
      </c>
      <c r="B89" s="352" t="s">
        <v>683</v>
      </c>
      <c r="C89" s="352" t="s">
        <v>674</v>
      </c>
      <c r="D89" s="352" t="s">
        <v>608</v>
      </c>
      <c r="E89" s="353" t="s">
        <v>30</v>
      </c>
      <c r="F89" s="354">
        <v>1193.6300000000001</v>
      </c>
      <c r="G89" s="354"/>
      <c r="H89" s="353" t="s">
        <v>31</v>
      </c>
      <c r="I89" s="355" t="s">
        <v>32</v>
      </c>
      <c r="J89" s="355"/>
      <c r="K89" s="356" t="s">
        <v>25</v>
      </c>
      <c r="L89" s="357">
        <v>5391381.0499999998</v>
      </c>
    </row>
    <row r="90" spans="1:12" ht="71.400000000000006" hidden="1" x14ac:dyDescent="0.3">
      <c r="A90" s="351" t="s">
        <v>332</v>
      </c>
      <c r="B90" s="352" t="s">
        <v>683</v>
      </c>
      <c r="C90" s="352" t="s">
        <v>675</v>
      </c>
      <c r="D90" s="352" t="s">
        <v>608</v>
      </c>
      <c r="E90" s="353" t="s">
        <v>30</v>
      </c>
      <c r="F90" s="354">
        <v>1193.6300000000001</v>
      </c>
      <c r="G90" s="354"/>
      <c r="H90" s="353" t="s">
        <v>31</v>
      </c>
      <c r="I90" s="355" t="s">
        <v>32</v>
      </c>
      <c r="J90" s="355"/>
      <c r="K90" s="356" t="s">
        <v>25</v>
      </c>
      <c r="L90" s="357">
        <v>5392574.6799999997</v>
      </c>
    </row>
    <row r="91" spans="1:12" ht="71.400000000000006" hidden="1" x14ac:dyDescent="0.3">
      <c r="A91" s="351" t="s">
        <v>332</v>
      </c>
      <c r="B91" s="352" t="s">
        <v>683</v>
      </c>
      <c r="C91" s="352" t="s">
        <v>676</v>
      </c>
      <c r="D91" s="352" t="s">
        <v>608</v>
      </c>
      <c r="E91" s="353" t="s">
        <v>30</v>
      </c>
      <c r="F91" s="354">
        <v>1193.6300000000001</v>
      </c>
      <c r="G91" s="354"/>
      <c r="H91" s="353" t="s">
        <v>31</v>
      </c>
      <c r="I91" s="355" t="s">
        <v>32</v>
      </c>
      <c r="J91" s="355"/>
      <c r="K91" s="356" t="s">
        <v>25</v>
      </c>
      <c r="L91" s="357">
        <v>5393768.3099999996</v>
      </c>
    </row>
    <row r="92" spans="1:12" ht="71.400000000000006" hidden="1" x14ac:dyDescent="0.3">
      <c r="A92" s="351" t="s">
        <v>332</v>
      </c>
      <c r="B92" s="352" t="s">
        <v>683</v>
      </c>
      <c r="C92" s="352" t="s">
        <v>677</v>
      </c>
      <c r="D92" s="352" t="s">
        <v>608</v>
      </c>
      <c r="E92" s="353" t="s">
        <v>30</v>
      </c>
      <c r="F92" s="354">
        <v>1193.6300000000001</v>
      </c>
      <c r="G92" s="354"/>
      <c r="H92" s="353" t="s">
        <v>31</v>
      </c>
      <c r="I92" s="355" t="s">
        <v>32</v>
      </c>
      <c r="J92" s="355"/>
      <c r="K92" s="356" t="s">
        <v>25</v>
      </c>
      <c r="L92" s="357">
        <v>5394961.9400000004</v>
      </c>
    </row>
    <row r="93" spans="1:12" ht="71.400000000000006" hidden="1" x14ac:dyDescent="0.3">
      <c r="A93" s="351" t="s">
        <v>67</v>
      </c>
      <c r="B93" s="352" t="s">
        <v>684</v>
      </c>
      <c r="C93" s="352" t="s">
        <v>685</v>
      </c>
      <c r="D93" s="352" t="s">
        <v>608</v>
      </c>
      <c r="E93" s="353" t="s">
        <v>30</v>
      </c>
      <c r="F93" s="354">
        <v>56526</v>
      </c>
      <c r="G93" s="354"/>
      <c r="H93" s="353" t="s">
        <v>31</v>
      </c>
      <c r="I93" s="355" t="s">
        <v>32</v>
      </c>
      <c r="J93" s="355"/>
      <c r="K93" s="356" t="s">
        <v>25</v>
      </c>
      <c r="L93" s="357">
        <v>5451487.9400000004</v>
      </c>
    </row>
    <row r="94" spans="1:12" ht="71.400000000000006" hidden="1" x14ac:dyDescent="0.3">
      <c r="A94" s="351" t="s">
        <v>67</v>
      </c>
      <c r="B94" s="352" t="s">
        <v>684</v>
      </c>
      <c r="C94" s="352" t="s">
        <v>686</v>
      </c>
      <c r="D94" s="352" t="s">
        <v>608</v>
      </c>
      <c r="E94" s="353" t="s">
        <v>30</v>
      </c>
      <c r="F94" s="354">
        <v>36070</v>
      </c>
      <c r="G94" s="354"/>
      <c r="H94" s="353" t="s">
        <v>31</v>
      </c>
      <c r="I94" s="355" t="s">
        <v>32</v>
      </c>
      <c r="J94" s="355"/>
      <c r="K94" s="356" t="s">
        <v>25</v>
      </c>
      <c r="L94" s="357">
        <v>5487557.9400000004</v>
      </c>
    </row>
    <row r="95" spans="1:12" ht="71.400000000000006" hidden="1" x14ac:dyDescent="0.3">
      <c r="A95" s="351" t="s">
        <v>67</v>
      </c>
      <c r="B95" s="352" t="s">
        <v>684</v>
      </c>
      <c r="C95" s="352" t="s">
        <v>687</v>
      </c>
      <c r="D95" s="352" t="s">
        <v>608</v>
      </c>
      <c r="E95" s="353" t="s">
        <v>30</v>
      </c>
      <c r="F95" s="354">
        <v>36837</v>
      </c>
      <c r="G95" s="354"/>
      <c r="H95" s="353" t="s">
        <v>31</v>
      </c>
      <c r="I95" s="355" t="s">
        <v>32</v>
      </c>
      <c r="J95" s="355"/>
      <c r="K95" s="356" t="s">
        <v>25</v>
      </c>
      <c r="L95" s="357">
        <v>5524394.9400000004</v>
      </c>
    </row>
    <row r="96" spans="1:12" ht="71.400000000000006" hidden="1" x14ac:dyDescent="0.3">
      <c r="A96" s="351" t="s">
        <v>67</v>
      </c>
      <c r="B96" s="352" t="s">
        <v>684</v>
      </c>
      <c r="C96" s="352" t="s">
        <v>688</v>
      </c>
      <c r="D96" s="352" t="s">
        <v>608</v>
      </c>
      <c r="E96" s="353" t="s">
        <v>30</v>
      </c>
      <c r="F96" s="354">
        <v>36837</v>
      </c>
      <c r="G96" s="354"/>
      <c r="H96" s="353" t="s">
        <v>31</v>
      </c>
      <c r="I96" s="355" t="s">
        <v>32</v>
      </c>
      <c r="J96" s="355"/>
      <c r="K96" s="356" t="s">
        <v>25</v>
      </c>
      <c r="L96" s="357">
        <v>5561231.9400000004</v>
      </c>
    </row>
    <row r="97" spans="1:12" ht="71.400000000000006" hidden="1" x14ac:dyDescent="0.3">
      <c r="A97" s="351" t="s">
        <v>67</v>
      </c>
      <c r="B97" s="352" t="s">
        <v>684</v>
      </c>
      <c r="C97" s="352" t="s">
        <v>689</v>
      </c>
      <c r="D97" s="352" t="s">
        <v>608</v>
      </c>
      <c r="E97" s="353" t="s">
        <v>30</v>
      </c>
      <c r="F97" s="354">
        <v>36837</v>
      </c>
      <c r="G97" s="354"/>
      <c r="H97" s="353" t="s">
        <v>31</v>
      </c>
      <c r="I97" s="355" t="s">
        <v>32</v>
      </c>
      <c r="J97" s="355"/>
      <c r="K97" s="356" t="s">
        <v>25</v>
      </c>
      <c r="L97" s="357">
        <v>5598068.9400000004</v>
      </c>
    </row>
    <row r="98" spans="1:12" ht="71.400000000000006" hidden="1" x14ac:dyDescent="0.3">
      <c r="A98" s="351" t="s">
        <v>67</v>
      </c>
      <c r="B98" s="352" t="s">
        <v>690</v>
      </c>
      <c r="C98" s="352" t="s">
        <v>691</v>
      </c>
      <c r="D98" s="352" t="s">
        <v>692</v>
      </c>
      <c r="E98" s="353" t="s">
        <v>30</v>
      </c>
      <c r="F98" s="354">
        <v>10142.719999999999</v>
      </c>
      <c r="G98" s="354"/>
      <c r="H98" s="353" t="s">
        <v>31</v>
      </c>
      <c r="I98" s="355" t="s">
        <v>32</v>
      </c>
      <c r="J98" s="355"/>
      <c r="K98" s="356" t="s">
        <v>25</v>
      </c>
      <c r="L98" s="357">
        <v>5608211.6600000001</v>
      </c>
    </row>
    <row r="99" spans="1:12" ht="71.400000000000006" hidden="1" x14ac:dyDescent="0.3">
      <c r="A99" s="351" t="s">
        <v>67</v>
      </c>
      <c r="B99" s="352" t="s">
        <v>690</v>
      </c>
      <c r="C99" s="352" t="s">
        <v>693</v>
      </c>
      <c r="D99" s="352" t="s">
        <v>692</v>
      </c>
      <c r="E99" s="353" t="s">
        <v>30</v>
      </c>
      <c r="F99" s="354">
        <v>5313.28</v>
      </c>
      <c r="G99" s="354"/>
      <c r="H99" s="353" t="s">
        <v>31</v>
      </c>
      <c r="I99" s="355" t="s">
        <v>32</v>
      </c>
      <c r="J99" s="355"/>
      <c r="K99" s="356" t="s">
        <v>25</v>
      </c>
      <c r="L99" s="357">
        <v>5613524.9400000004</v>
      </c>
    </row>
    <row r="100" spans="1:12" ht="71.400000000000006" hidden="1" x14ac:dyDescent="0.3">
      <c r="A100" s="351" t="s">
        <v>67</v>
      </c>
      <c r="B100" s="352" t="s">
        <v>690</v>
      </c>
      <c r="C100" s="352" t="s">
        <v>694</v>
      </c>
      <c r="D100" s="352" t="s">
        <v>692</v>
      </c>
      <c r="E100" s="353" t="s">
        <v>30</v>
      </c>
      <c r="F100" s="354">
        <v>1177.3399999999999</v>
      </c>
      <c r="G100" s="354"/>
      <c r="H100" s="353" t="s">
        <v>31</v>
      </c>
      <c r="I100" s="355" t="s">
        <v>32</v>
      </c>
      <c r="J100" s="355"/>
      <c r="K100" s="356" t="s">
        <v>25</v>
      </c>
      <c r="L100" s="357">
        <v>5614702.2800000003</v>
      </c>
    </row>
    <row r="101" spans="1:12" ht="71.400000000000006" hidden="1" x14ac:dyDescent="0.3">
      <c r="A101" s="351" t="s">
        <v>67</v>
      </c>
      <c r="B101" s="352" t="s">
        <v>695</v>
      </c>
      <c r="C101" s="352" t="s">
        <v>685</v>
      </c>
      <c r="D101" s="352" t="s">
        <v>608</v>
      </c>
      <c r="E101" s="353" t="s">
        <v>30</v>
      </c>
      <c r="F101" s="354">
        <v>1550.43</v>
      </c>
      <c r="G101" s="354"/>
      <c r="H101" s="353" t="s">
        <v>31</v>
      </c>
      <c r="I101" s="355" t="s">
        <v>32</v>
      </c>
      <c r="J101" s="355"/>
      <c r="K101" s="356" t="s">
        <v>25</v>
      </c>
      <c r="L101" s="357">
        <v>5616252.71</v>
      </c>
    </row>
    <row r="102" spans="1:12" ht="71.400000000000006" hidden="1" x14ac:dyDescent="0.3">
      <c r="A102" s="351" t="s">
        <v>67</v>
      </c>
      <c r="B102" s="352" t="s">
        <v>695</v>
      </c>
      <c r="C102" s="352" t="s">
        <v>686</v>
      </c>
      <c r="D102" s="352" t="s">
        <v>608</v>
      </c>
      <c r="E102" s="353" t="s">
        <v>30</v>
      </c>
      <c r="F102" s="358">
        <v>989.36</v>
      </c>
      <c r="G102" s="358"/>
      <c r="H102" s="353" t="s">
        <v>31</v>
      </c>
      <c r="I102" s="355" t="s">
        <v>32</v>
      </c>
      <c r="J102" s="355"/>
      <c r="K102" s="356" t="s">
        <v>25</v>
      </c>
      <c r="L102" s="357">
        <v>5617242.0700000003</v>
      </c>
    </row>
    <row r="103" spans="1:12" ht="71.400000000000006" hidden="1" x14ac:dyDescent="0.3">
      <c r="A103" s="351" t="s">
        <v>67</v>
      </c>
      <c r="B103" s="352" t="s">
        <v>695</v>
      </c>
      <c r="C103" s="352" t="s">
        <v>687</v>
      </c>
      <c r="D103" s="352" t="s">
        <v>608</v>
      </c>
      <c r="E103" s="353" t="s">
        <v>30</v>
      </c>
      <c r="F103" s="354">
        <v>1010.4</v>
      </c>
      <c r="G103" s="354"/>
      <c r="H103" s="353" t="s">
        <v>31</v>
      </c>
      <c r="I103" s="355" t="s">
        <v>32</v>
      </c>
      <c r="J103" s="355"/>
      <c r="K103" s="356" t="s">
        <v>25</v>
      </c>
      <c r="L103" s="357">
        <v>5618252.4699999997</v>
      </c>
    </row>
    <row r="104" spans="1:12" ht="71.400000000000006" hidden="1" x14ac:dyDescent="0.3">
      <c r="A104" s="351" t="s">
        <v>67</v>
      </c>
      <c r="B104" s="352" t="s">
        <v>695</v>
      </c>
      <c r="C104" s="352" t="s">
        <v>688</v>
      </c>
      <c r="D104" s="352" t="s">
        <v>608</v>
      </c>
      <c r="E104" s="353" t="s">
        <v>30</v>
      </c>
      <c r="F104" s="354">
        <v>1010.4</v>
      </c>
      <c r="G104" s="354"/>
      <c r="H104" s="353" t="s">
        <v>31</v>
      </c>
      <c r="I104" s="355" t="s">
        <v>32</v>
      </c>
      <c r="J104" s="355"/>
      <c r="K104" s="356" t="s">
        <v>25</v>
      </c>
      <c r="L104" s="357">
        <v>5619262.8700000001</v>
      </c>
    </row>
    <row r="105" spans="1:12" ht="71.400000000000006" hidden="1" x14ac:dyDescent="0.3">
      <c r="A105" s="351" t="s">
        <v>67</v>
      </c>
      <c r="B105" s="352" t="s">
        <v>695</v>
      </c>
      <c r="C105" s="352" t="s">
        <v>689</v>
      </c>
      <c r="D105" s="352" t="s">
        <v>608</v>
      </c>
      <c r="E105" s="353" t="s">
        <v>30</v>
      </c>
      <c r="F105" s="354">
        <v>1010.4</v>
      </c>
      <c r="G105" s="354"/>
      <c r="H105" s="353" t="s">
        <v>31</v>
      </c>
      <c r="I105" s="355" t="s">
        <v>32</v>
      </c>
      <c r="J105" s="355"/>
      <c r="K105" s="356" t="s">
        <v>25</v>
      </c>
      <c r="L105" s="357">
        <v>5620273.2699999996</v>
      </c>
    </row>
    <row r="106" spans="1:12" ht="71.400000000000006" hidden="1" x14ac:dyDescent="0.3">
      <c r="A106" s="351" t="s">
        <v>565</v>
      </c>
      <c r="B106" s="352" t="s">
        <v>696</v>
      </c>
      <c r="C106" s="352" t="s">
        <v>697</v>
      </c>
      <c r="D106" s="352" t="s">
        <v>608</v>
      </c>
      <c r="E106" s="353" t="s">
        <v>30</v>
      </c>
      <c r="F106" s="354">
        <v>18555</v>
      </c>
      <c r="G106" s="354"/>
      <c r="H106" s="353" t="s">
        <v>31</v>
      </c>
      <c r="I106" s="355" t="s">
        <v>32</v>
      </c>
      <c r="J106" s="355"/>
      <c r="K106" s="356" t="s">
        <v>25</v>
      </c>
      <c r="L106" s="357">
        <v>5638828.2699999996</v>
      </c>
    </row>
    <row r="107" spans="1:12" ht="71.400000000000006" hidden="1" x14ac:dyDescent="0.3">
      <c r="A107" s="351" t="s">
        <v>565</v>
      </c>
      <c r="B107" s="352" t="s">
        <v>696</v>
      </c>
      <c r="C107" s="352" t="s">
        <v>698</v>
      </c>
      <c r="D107" s="352" t="s">
        <v>608</v>
      </c>
      <c r="E107" s="353" t="s">
        <v>30</v>
      </c>
      <c r="F107" s="354">
        <v>37684</v>
      </c>
      <c r="G107" s="354"/>
      <c r="H107" s="353" t="s">
        <v>31</v>
      </c>
      <c r="I107" s="355" t="s">
        <v>32</v>
      </c>
      <c r="J107" s="355"/>
      <c r="K107" s="356" t="s">
        <v>25</v>
      </c>
      <c r="L107" s="357">
        <v>5676512.2699999996</v>
      </c>
    </row>
    <row r="108" spans="1:12" ht="71.400000000000006" hidden="1" x14ac:dyDescent="0.3">
      <c r="A108" s="351" t="s">
        <v>565</v>
      </c>
      <c r="B108" s="352" t="s">
        <v>696</v>
      </c>
      <c r="C108" s="352" t="s">
        <v>699</v>
      </c>
      <c r="D108" s="352" t="s">
        <v>608</v>
      </c>
      <c r="E108" s="353" t="s">
        <v>30</v>
      </c>
      <c r="F108" s="354">
        <v>36837</v>
      </c>
      <c r="G108" s="354"/>
      <c r="H108" s="353" t="s">
        <v>31</v>
      </c>
      <c r="I108" s="355" t="s">
        <v>32</v>
      </c>
      <c r="J108" s="355"/>
      <c r="K108" s="356" t="s">
        <v>25</v>
      </c>
      <c r="L108" s="357">
        <v>5713349.2699999996</v>
      </c>
    </row>
    <row r="109" spans="1:12" ht="71.400000000000006" hidden="1" x14ac:dyDescent="0.3">
      <c r="A109" s="351" t="s">
        <v>565</v>
      </c>
      <c r="B109" s="352" t="s">
        <v>696</v>
      </c>
      <c r="C109" s="352" t="s">
        <v>700</v>
      </c>
      <c r="D109" s="352" t="s">
        <v>608</v>
      </c>
      <c r="E109" s="353" t="s">
        <v>30</v>
      </c>
      <c r="F109" s="354">
        <v>38850</v>
      </c>
      <c r="G109" s="354"/>
      <c r="H109" s="353" t="s">
        <v>31</v>
      </c>
      <c r="I109" s="355" t="s">
        <v>32</v>
      </c>
      <c r="J109" s="355"/>
      <c r="K109" s="356" t="s">
        <v>25</v>
      </c>
      <c r="L109" s="357">
        <v>5752199.2699999996</v>
      </c>
    </row>
    <row r="110" spans="1:12" ht="71.400000000000006" hidden="1" x14ac:dyDescent="0.3">
      <c r="A110" s="351" t="s">
        <v>565</v>
      </c>
      <c r="B110" s="352" t="s">
        <v>696</v>
      </c>
      <c r="C110" s="352" t="s">
        <v>701</v>
      </c>
      <c r="D110" s="352" t="s">
        <v>608</v>
      </c>
      <c r="E110" s="353" t="s">
        <v>30</v>
      </c>
      <c r="F110" s="354">
        <v>38850</v>
      </c>
      <c r="G110" s="354"/>
      <c r="H110" s="353" t="s">
        <v>31</v>
      </c>
      <c r="I110" s="355" t="s">
        <v>32</v>
      </c>
      <c r="J110" s="355"/>
      <c r="K110" s="356" t="s">
        <v>25</v>
      </c>
      <c r="L110" s="357">
        <v>5791049.2699999996</v>
      </c>
    </row>
    <row r="111" spans="1:12" ht="71.400000000000006" hidden="1" x14ac:dyDescent="0.3">
      <c r="A111" s="351" t="s">
        <v>565</v>
      </c>
      <c r="B111" s="352" t="s">
        <v>696</v>
      </c>
      <c r="C111" s="352" t="s">
        <v>702</v>
      </c>
      <c r="D111" s="352" t="s">
        <v>608</v>
      </c>
      <c r="E111" s="353" t="s">
        <v>30</v>
      </c>
      <c r="F111" s="354">
        <v>36232</v>
      </c>
      <c r="G111" s="354"/>
      <c r="H111" s="353" t="s">
        <v>31</v>
      </c>
      <c r="I111" s="355" t="s">
        <v>32</v>
      </c>
      <c r="J111" s="355"/>
      <c r="K111" s="356" t="s">
        <v>25</v>
      </c>
      <c r="L111" s="357">
        <v>5827281.2699999996</v>
      </c>
    </row>
    <row r="112" spans="1:12" ht="71.400000000000006" hidden="1" x14ac:dyDescent="0.3">
      <c r="A112" s="351" t="s">
        <v>565</v>
      </c>
      <c r="B112" s="352" t="s">
        <v>703</v>
      </c>
      <c r="C112" s="352" t="s">
        <v>697</v>
      </c>
      <c r="D112" s="352" t="s">
        <v>608</v>
      </c>
      <c r="E112" s="353" t="s">
        <v>30</v>
      </c>
      <c r="F112" s="358">
        <v>508.94</v>
      </c>
      <c r="G112" s="358"/>
      <c r="H112" s="353" t="s">
        <v>31</v>
      </c>
      <c r="I112" s="355" t="s">
        <v>32</v>
      </c>
      <c r="J112" s="355"/>
      <c r="K112" s="356" t="s">
        <v>25</v>
      </c>
      <c r="L112" s="357">
        <v>5827790.21</v>
      </c>
    </row>
    <row r="113" spans="1:12" ht="71.400000000000006" hidden="1" x14ac:dyDescent="0.3">
      <c r="A113" s="351" t="s">
        <v>565</v>
      </c>
      <c r="B113" s="352" t="s">
        <v>703</v>
      </c>
      <c r="C113" s="352" t="s">
        <v>698</v>
      </c>
      <c r="D113" s="352" t="s">
        <v>608</v>
      </c>
      <c r="E113" s="353" t="s">
        <v>30</v>
      </c>
      <c r="F113" s="354">
        <v>1033.6199999999999</v>
      </c>
      <c r="G113" s="354"/>
      <c r="H113" s="353" t="s">
        <v>31</v>
      </c>
      <c r="I113" s="355" t="s">
        <v>32</v>
      </c>
      <c r="J113" s="355"/>
      <c r="K113" s="356" t="s">
        <v>25</v>
      </c>
      <c r="L113" s="357">
        <v>5828823.8300000001</v>
      </c>
    </row>
    <row r="114" spans="1:12" ht="71.400000000000006" hidden="1" x14ac:dyDescent="0.3">
      <c r="A114" s="351" t="s">
        <v>565</v>
      </c>
      <c r="B114" s="352" t="s">
        <v>703</v>
      </c>
      <c r="C114" s="352" t="s">
        <v>699</v>
      </c>
      <c r="D114" s="352" t="s">
        <v>608</v>
      </c>
      <c r="E114" s="353" t="s">
        <v>30</v>
      </c>
      <c r="F114" s="354">
        <v>1010.4</v>
      </c>
      <c r="G114" s="354"/>
      <c r="H114" s="353" t="s">
        <v>31</v>
      </c>
      <c r="I114" s="355" t="s">
        <v>32</v>
      </c>
      <c r="J114" s="355"/>
      <c r="K114" s="356" t="s">
        <v>25</v>
      </c>
      <c r="L114" s="357">
        <v>5829834.2300000004</v>
      </c>
    </row>
    <row r="115" spans="1:12" ht="71.400000000000006" hidden="1" x14ac:dyDescent="0.3">
      <c r="A115" s="351" t="s">
        <v>565</v>
      </c>
      <c r="B115" s="352" t="s">
        <v>703</v>
      </c>
      <c r="C115" s="352" t="s">
        <v>700</v>
      </c>
      <c r="D115" s="352" t="s">
        <v>608</v>
      </c>
      <c r="E115" s="353" t="s">
        <v>30</v>
      </c>
      <c r="F115" s="354">
        <v>1065.6199999999999</v>
      </c>
      <c r="G115" s="354"/>
      <c r="H115" s="353" t="s">
        <v>31</v>
      </c>
      <c r="I115" s="355" t="s">
        <v>32</v>
      </c>
      <c r="J115" s="355"/>
      <c r="K115" s="356" t="s">
        <v>25</v>
      </c>
      <c r="L115" s="357">
        <v>5830899.8499999996</v>
      </c>
    </row>
    <row r="116" spans="1:12" ht="71.400000000000006" hidden="1" x14ac:dyDescent="0.3">
      <c r="A116" s="351" t="s">
        <v>565</v>
      </c>
      <c r="B116" s="352" t="s">
        <v>703</v>
      </c>
      <c r="C116" s="352" t="s">
        <v>701</v>
      </c>
      <c r="D116" s="352" t="s">
        <v>608</v>
      </c>
      <c r="E116" s="353" t="s">
        <v>30</v>
      </c>
      <c r="F116" s="354">
        <v>1065.6099999999999</v>
      </c>
      <c r="G116" s="354"/>
      <c r="H116" s="353" t="s">
        <v>31</v>
      </c>
      <c r="I116" s="355" t="s">
        <v>32</v>
      </c>
      <c r="J116" s="355"/>
      <c r="K116" s="356" t="s">
        <v>25</v>
      </c>
      <c r="L116" s="357">
        <v>5831965.46</v>
      </c>
    </row>
    <row r="117" spans="1:12" ht="71.400000000000006" hidden="1" x14ac:dyDescent="0.3">
      <c r="A117" s="351" t="s">
        <v>565</v>
      </c>
      <c r="B117" s="352" t="s">
        <v>703</v>
      </c>
      <c r="C117" s="352" t="s">
        <v>702</v>
      </c>
      <c r="D117" s="352" t="s">
        <v>608</v>
      </c>
      <c r="E117" s="353" t="s">
        <v>30</v>
      </c>
      <c r="F117" s="358">
        <v>993.8</v>
      </c>
      <c r="G117" s="358"/>
      <c r="H117" s="353" t="s">
        <v>31</v>
      </c>
      <c r="I117" s="355" t="s">
        <v>32</v>
      </c>
      <c r="J117" s="355"/>
      <c r="K117" s="356" t="s">
        <v>25</v>
      </c>
      <c r="L117" s="357">
        <v>5832959.2599999998</v>
      </c>
    </row>
    <row r="118" spans="1:12" ht="71.400000000000006" hidden="1" x14ac:dyDescent="0.3">
      <c r="A118" s="351" t="s">
        <v>704</v>
      </c>
      <c r="B118" s="352" t="s">
        <v>705</v>
      </c>
      <c r="C118" s="352" t="s">
        <v>706</v>
      </c>
      <c r="D118" s="352" t="s">
        <v>608</v>
      </c>
      <c r="E118" s="353" t="s">
        <v>30</v>
      </c>
      <c r="F118" s="354">
        <v>56526</v>
      </c>
      <c r="G118" s="354"/>
      <c r="H118" s="353" t="s">
        <v>31</v>
      </c>
      <c r="I118" s="355" t="s">
        <v>32</v>
      </c>
      <c r="J118" s="355"/>
      <c r="K118" s="356" t="s">
        <v>25</v>
      </c>
      <c r="L118" s="357">
        <v>5889485.2599999998</v>
      </c>
    </row>
    <row r="119" spans="1:12" ht="71.400000000000006" hidden="1" x14ac:dyDescent="0.3">
      <c r="A119" s="351" t="s">
        <v>704</v>
      </c>
      <c r="B119" s="352" t="s">
        <v>705</v>
      </c>
      <c r="C119" s="352" t="s">
        <v>707</v>
      </c>
      <c r="D119" s="352" t="s">
        <v>608</v>
      </c>
      <c r="E119" s="353" t="s">
        <v>30</v>
      </c>
      <c r="F119" s="354">
        <v>36232</v>
      </c>
      <c r="G119" s="354"/>
      <c r="H119" s="353" t="s">
        <v>31</v>
      </c>
      <c r="I119" s="355" t="s">
        <v>32</v>
      </c>
      <c r="J119" s="355"/>
      <c r="K119" s="356" t="s">
        <v>25</v>
      </c>
      <c r="L119" s="357">
        <v>5925717.2599999998</v>
      </c>
    </row>
    <row r="120" spans="1:12" ht="71.400000000000006" hidden="1" x14ac:dyDescent="0.3">
      <c r="A120" s="351" t="s">
        <v>704</v>
      </c>
      <c r="B120" s="352" t="s">
        <v>705</v>
      </c>
      <c r="C120" s="352" t="s">
        <v>708</v>
      </c>
      <c r="D120" s="352" t="s">
        <v>608</v>
      </c>
      <c r="E120" s="353" t="s">
        <v>30</v>
      </c>
      <c r="F120" s="354">
        <v>36070</v>
      </c>
      <c r="G120" s="354"/>
      <c r="H120" s="353" t="s">
        <v>31</v>
      </c>
      <c r="I120" s="355" t="s">
        <v>32</v>
      </c>
      <c r="J120" s="355"/>
      <c r="K120" s="356" t="s">
        <v>25</v>
      </c>
      <c r="L120" s="357">
        <v>5961787.2599999998</v>
      </c>
    </row>
    <row r="121" spans="1:12" ht="71.400000000000006" hidden="1" x14ac:dyDescent="0.3">
      <c r="A121" s="351" t="s">
        <v>704</v>
      </c>
      <c r="B121" s="352" t="s">
        <v>705</v>
      </c>
      <c r="C121" s="352" t="s">
        <v>709</v>
      </c>
      <c r="D121" s="352" t="s">
        <v>608</v>
      </c>
      <c r="E121" s="353" t="s">
        <v>30</v>
      </c>
      <c r="F121" s="354">
        <v>37768</v>
      </c>
      <c r="G121" s="354"/>
      <c r="H121" s="353" t="s">
        <v>31</v>
      </c>
      <c r="I121" s="355" t="s">
        <v>32</v>
      </c>
      <c r="J121" s="355"/>
      <c r="K121" s="356" t="s">
        <v>25</v>
      </c>
      <c r="L121" s="357">
        <v>5999555.2599999998</v>
      </c>
    </row>
    <row r="122" spans="1:12" ht="71.400000000000006" hidden="1" x14ac:dyDescent="0.3">
      <c r="A122" s="351" t="s">
        <v>704</v>
      </c>
      <c r="B122" s="352" t="s">
        <v>705</v>
      </c>
      <c r="C122" s="352" t="s">
        <v>710</v>
      </c>
      <c r="D122" s="352" t="s">
        <v>608</v>
      </c>
      <c r="E122" s="353" t="s">
        <v>30</v>
      </c>
      <c r="F122" s="354">
        <v>36232</v>
      </c>
      <c r="G122" s="354"/>
      <c r="H122" s="353" t="s">
        <v>31</v>
      </c>
      <c r="I122" s="355" t="s">
        <v>32</v>
      </c>
      <c r="J122" s="355"/>
      <c r="K122" s="356" t="s">
        <v>25</v>
      </c>
      <c r="L122" s="357">
        <v>6035787.2599999998</v>
      </c>
    </row>
    <row r="123" spans="1:12" ht="71.400000000000006" hidden="1" x14ac:dyDescent="0.3">
      <c r="A123" s="351" t="s">
        <v>704</v>
      </c>
      <c r="B123" s="352" t="s">
        <v>711</v>
      </c>
      <c r="C123" s="352" t="s">
        <v>712</v>
      </c>
      <c r="D123" s="352" t="s">
        <v>713</v>
      </c>
      <c r="E123" s="353" t="s">
        <v>30</v>
      </c>
      <c r="F123" s="354">
        <v>12320</v>
      </c>
      <c r="G123" s="354"/>
      <c r="H123" s="353" t="s">
        <v>31</v>
      </c>
      <c r="I123" s="355" t="s">
        <v>32</v>
      </c>
      <c r="J123" s="355"/>
      <c r="K123" s="356" t="s">
        <v>25</v>
      </c>
      <c r="L123" s="357">
        <v>6048107.2599999998</v>
      </c>
    </row>
    <row r="124" spans="1:12" ht="71.400000000000006" hidden="1" x14ac:dyDescent="0.3">
      <c r="A124" s="351" t="s">
        <v>704</v>
      </c>
      <c r="B124" s="352" t="s">
        <v>714</v>
      </c>
      <c r="C124" s="352" t="s">
        <v>712</v>
      </c>
      <c r="D124" s="352" t="s">
        <v>715</v>
      </c>
      <c r="E124" s="353" t="s">
        <v>30</v>
      </c>
      <c r="F124" s="354">
        <v>10515.5</v>
      </c>
      <c r="G124" s="354"/>
      <c r="H124" s="353" t="s">
        <v>31</v>
      </c>
      <c r="I124" s="355" t="s">
        <v>32</v>
      </c>
      <c r="J124" s="355"/>
      <c r="K124" s="356" t="s">
        <v>25</v>
      </c>
      <c r="L124" s="357">
        <v>6058622.7599999998</v>
      </c>
    </row>
    <row r="125" spans="1:12" ht="71.400000000000006" hidden="1" x14ac:dyDescent="0.3">
      <c r="A125" s="351" t="s">
        <v>704</v>
      </c>
      <c r="B125" s="352" t="s">
        <v>716</v>
      </c>
      <c r="C125" s="352" t="s">
        <v>706</v>
      </c>
      <c r="D125" s="352" t="s">
        <v>608</v>
      </c>
      <c r="E125" s="353" t="s">
        <v>30</v>
      </c>
      <c r="F125" s="354">
        <v>1550.45</v>
      </c>
      <c r="G125" s="354"/>
      <c r="H125" s="353" t="s">
        <v>31</v>
      </c>
      <c r="I125" s="355" t="s">
        <v>32</v>
      </c>
      <c r="J125" s="355"/>
      <c r="K125" s="356" t="s">
        <v>25</v>
      </c>
      <c r="L125" s="357">
        <v>6060173.21</v>
      </c>
    </row>
    <row r="126" spans="1:12" ht="71.400000000000006" hidden="1" x14ac:dyDescent="0.3">
      <c r="A126" s="351" t="s">
        <v>704</v>
      </c>
      <c r="B126" s="352" t="s">
        <v>716</v>
      </c>
      <c r="C126" s="352" t="s">
        <v>707</v>
      </c>
      <c r="D126" s="352" t="s">
        <v>608</v>
      </c>
      <c r="E126" s="353" t="s">
        <v>30</v>
      </c>
      <c r="F126" s="358">
        <v>993.8</v>
      </c>
      <c r="G126" s="358"/>
      <c r="H126" s="353" t="s">
        <v>31</v>
      </c>
      <c r="I126" s="355" t="s">
        <v>32</v>
      </c>
      <c r="J126" s="355"/>
      <c r="K126" s="356" t="s">
        <v>25</v>
      </c>
      <c r="L126" s="357">
        <v>6061167.0099999998</v>
      </c>
    </row>
    <row r="127" spans="1:12" ht="71.400000000000006" hidden="1" x14ac:dyDescent="0.3">
      <c r="A127" s="351" t="s">
        <v>704</v>
      </c>
      <c r="B127" s="352" t="s">
        <v>716</v>
      </c>
      <c r="C127" s="352" t="s">
        <v>708</v>
      </c>
      <c r="D127" s="352" t="s">
        <v>608</v>
      </c>
      <c r="E127" s="353" t="s">
        <v>30</v>
      </c>
      <c r="F127" s="358">
        <v>989.36</v>
      </c>
      <c r="G127" s="358"/>
      <c r="H127" s="353" t="s">
        <v>31</v>
      </c>
      <c r="I127" s="355" t="s">
        <v>32</v>
      </c>
      <c r="J127" s="355"/>
      <c r="K127" s="356" t="s">
        <v>25</v>
      </c>
      <c r="L127" s="357">
        <v>6062156.3700000001</v>
      </c>
    </row>
    <row r="128" spans="1:12" ht="71.400000000000006" hidden="1" x14ac:dyDescent="0.3">
      <c r="A128" s="351" t="s">
        <v>704</v>
      </c>
      <c r="B128" s="352" t="s">
        <v>716</v>
      </c>
      <c r="C128" s="352" t="s">
        <v>709</v>
      </c>
      <c r="D128" s="352" t="s">
        <v>608</v>
      </c>
      <c r="E128" s="353" t="s">
        <v>30</v>
      </c>
      <c r="F128" s="354">
        <v>1035.93</v>
      </c>
      <c r="G128" s="354"/>
      <c r="H128" s="353" t="s">
        <v>31</v>
      </c>
      <c r="I128" s="355" t="s">
        <v>32</v>
      </c>
      <c r="J128" s="355"/>
      <c r="K128" s="356" t="s">
        <v>25</v>
      </c>
      <c r="L128" s="357">
        <v>6063192.2999999998</v>
      </c>
    </row>
    <row r="129" spans="1:12" ht="71.400000000000006" hidden="1" x14ac:dyDescent="0.3">
      <c r="A129" s="351" t="s">
        <v>704</v>
      </c>
      <c r="B129" s="352" t="s">
        <v>716</v>
      </c>
      <c r="C129" s="352" t="s">
        <v>710</v>
      </c>
      <c r="D129" s="352" t="s">
        <v>608</v>
      </c>
      <c r="E129" s="353" t="s">
        <v>30</v>
      </c>
      <c r="F129" s="358">
        <v>993.8</v>
      </c>
      <c r="G129" s="358"/>
      <c r="H129" s="353" t="s">
        <v>31</v>
      </c>
      <c r="I129" s="355" t="s">
        <v>32</v>
      </c>
      <c r="J129" s="355"/>
      <c r="K129" s="356" t="s">
        <v>25</v>
      </c>
      <c r="L129" s="357">
        <v>6064186.0999999996</v>
      </c>
    </row>
    <row r="130" spans="1:12" ht="71.400000000000006" hidden="1" x14ac:dyDescent="0.3">
      <c r="A130" s="351" t="s">
        <v>193</v>
      </c>
      <c r="B130" s="352" t="s">
        <v>717</v>
      </c>
      <c r="C130" s="352" t="s">
        <v>718</v>
      </c>
      <c r="D130" s="352" t="s">
        <v>608</v>
      </c>
      <c r="E130" s="353" t="s">
        <v>30</v>
      </c>
      <c r="F130" s="354">
        <v>37684</v>
      </c>
      <c r="G130" s="354"/>
      <c r="H130" s="353" t="s">
        <v>31</v>
      </c>
      <c r="I130" s="355" t="s">
        <v>32</v>
      </c>
      <c r="J130" s="355"/>
      <c r="K130" s="356" t="s">
        <v>25</v>
      </c>
      <c r="L130" s="357">
        <v>6101870.0999999996</v>
      </c>
    </row>
    <row r="131" spans="1:12" ht="71.400000000000006" hidden="1" x14ac:dyDescent="0.3">
      <c r="A131" s="351" t="s">
        <v>193</v>
      </c>
      <c r="B131" s="352" t="s">
        <v>717</v>
      </c>
      <c r="C131" s="352" t="s">
        <v>719</v>
      </c>
      <c r="D131" s="352" t="s">
        <v>608</v>
      </c>
      <c r="E131" s="353" t="s">
        <v>30</v>
      </c>
      <c r="F131" s="354">
        <v>37768</v>
      </c>
      <c r="G131" s="354"/>
      <c r="H131" s="353" t="s">
        <v>31</v>
      </c>
      <c r="I131" s="355" t="s">
        <v>32</v>
      </c>
      <c r="J131" s="355"/>
      <c r="K131" s="356" t="s">
        <v>25</v>
      </c>
      <c r="L131" s="357">
        <v>6139638.0999999996</v>
      </c>
    </row>
    <row r="132" spans="1:12" ht="71.400000000000006" hidden="1" x14ac:dyDescent="0.3">
      <c r="A132" s="351" t="s">
        <v>193</v>
      </c>
      <c r="B132" s="352" t="s">
        <v>717</v>
      </c>
      <c r="C132" s="352" t="s">
        <v>720</v>
      </c>
      <c r="D132" s="352" t="s">
        <v>608</v>
      </c>
      <c r="E132" s="353" t="s">
        <v>30</v>
      </c>
      <c r="F132" s="354">
        <v>37768</v>
      </c>
      <c r="G132" s="354"/>
      <c r="H132" s="353" t="s">
        <v>31</v>
      </c>
      <c r="I132" s="355" t="s">
        <v>32</v>
      </c>
      <c r="J132" s="355"/>
      <c r="K132" s="356" t="s">
        <v>25</v>
      </c>
      <c r="L132" s="357">
        <v>6177406.0999999996</v>
      </c>
    </row>
    <row r="133" spans="1:12" ht="71.400000000000006" hidden="1" x14ac:dyDescent="0.3">
      <c r="A133" s="351" t="s">
        <v>193</v>
      </c>
      <c r="B133" s="352" t="s">
        <v>717</v>
      </c>
      <c r="C133" s="352" t="s">
        <v>721</v>
      </c>
      <c r="D133" s="352" t="s">
        <v>608</v>
      </c>
      <c r="E133" s="353" t="s">
        <v>30</v>
      </c>
      <c r="F133" s="354">
        <v>37768</v>
      </c>
      <c r="G133" s="354"/>
      <c r="H133" s="353" t="s">
        <v>31</v>
      </c>
      <c r="I133" s="355" t="s">
        <v>32</v>
      </c>
      <c r="J133" s="355"/>
      <c r="K133" s="356" t="s">
        <v>25</v>
      </c>
      <c r="L133" s="357">
        <v>6215174.0999999996</v>
      </c>
    </row>
    <row r="134" spans="1:12" ht="71.400000000000006" hidden="1" x14ac:dyDescent="0.3">
      <c r="A134" s="351" t="s">
        <v>193</v>
      </c>
      <c r="B134" s="352" t="s">
        <v>717</v>
      </c>
      <c r="C134" s="352" t="s">
        <v>722</v>
      </c>
      <c r="D134" s="352" t="s">
        <v>608</v>
      </c>
      <c r="E134" s="353" t="s">
        <v>30</v>
      </c>
      <c r="F134" s="354">
        <v>37768</v>
      </c>
      <c r="G134" s="354"/>
      <c r="H134" s="353" t="s">
        <v>31</v>
      </c>
      <c r="I134" s="355" t="s">
        <v>32</v>
      </c>
      <c r="J134" s="355"/>
      <c r="K134" s="356" t="s">
        <v>25</v>
      </c>
      <c r="L134" s="357">
        <v>6252942.0999999996</v>
      </c>
    </row>
    <row r="135" spans="1:12" ht="71.400000000000006" hidden="1" x14ac:dyDescent="0.3">
      <c r="A135" s="351" t="s">
        <v>193</v>
      </c>
      <c r="B135" s="352" t="s">
        <v>723</v>
      </c>
      <c r="C135" s="352" t="s">
        <v>718</v>
      </c>
      <c r="D135" s="352" t="s">
        <v>608</v>
      </c>
      <c r="E135" s="353" t="s">
        <v>30</v>
      </c>
      <c r="F135" s="354">
        <v>1033.6300000000001</v>
      </c>
      <c r="G135" s="354"/>
      <c r="H135" s="353" t="s">
        <v>31</v>
      </c>
      <c r="I135" s="355" t="s">
        <v>32</v>
      </c>
      <c r="J135" s="355"/>
      <c r="K135" s="356" t="s">
        <v>25</v>
      </c>
      <c r="L135" s="357">
        <v>6253975.7300000004</v>
      </c>
    </row>
    <row r="136" spans="1:12" ht="71.400000000000006" hidden="1" x14ac:dyDescent="0.3">
      <c r="A136" s="351" t="s">
        <v>193</v>
      </c>
      <c r="B136" s="352" t="s">
        <v>723</v>
      </c>
      <c r="C136" s="352" t="s">
        <v>719</v>
      </c>
      <c r="D136" s="352" t="s">
        <v>608</v>
      </c>
      <c r="E136" s="353" t="s">
        <v>30</v>
      </c>
      <c r="F136" s="354">
        <v>1035.95</v>
      </c>
      <c r="G136" s="354"/>
      <c r="H136" s="353" t="s">
        <v>31</v>
      </c>
      <c r="I136" s="355" t="s">
        <v>32</v>
      </c>
      <c r="J136" s="355"/>
      <c r="K136" s="356" t="s">
        <v>25</v>
      </c>
      <c r="L136" s="357">
        <v>6255011.6799999997</v>
      </c>
    </row>
    <row r="137" spans="1:12" ht="71.400000000000006" hidden="1" x14ac:dyDescent="0.3">
      <c r="A137" s="351" t="s">
        <v>193</v>
      </c>
      <c r="B137" s="352" t="s">
        <v>723</v>
      </c>
      <c r="C137" s="352" t="s">
        <v>720</v>
      </c>
      <c r="D137" s="352" t="s">
        <v>608</v>
      </c>
      <c r="E137" s="353" t="s">
        <v>30</v>
      </c>
      <c r="F137" s="354">
        <v>1035.93</v>
      </c>
      <c r="G137" s="354"/>
      <c r="H137" s="353" t="s">
        <v>31</v>
      </c>
      <c r="I137" s="355" t="s">
        <v>32</v>
      </c>
      <c r="J137" s="355"/>
      <c r="K137" s="356" t="s">
        <v>25</v>
      </c>
      <c r="L137" s="357">
        <v>6256047.6100000003</v>
      </c>
    </row>
    <row r="138" spans="1:12" ht="71.400000000000006" hidden="1" x14ac:dyDescent="0.3">
      <c r="A138" s="351" t="s">
        <v>193</v>
      </c>
      <c r="B138" s="352" t="s">
        <v>723</v>
      </c>
      <c r="C138" s="352" t="s">
        <v>721</v>
      </c>
      <c r="D138" s="352" t="s">
        <v>608</v>
      </c>
      <c r="E138" s="353" t="s">
        <v>30</v>
      </c>
      <c r="F138" s="354">
        <v>1035.93</v>
      </c>
      <c r="G138" s="354"/>
      <c r="H138" s="353" t="s">
        <v>31</v>
      </c>
      <c r="I138" s="355" t="s">
        <v>32</v>
      </c>
      <c r="J138" s="355"/>
      <c r="K138" s="356" t="s">
        <v>25</v>
      </c>
      <c r="L138" s="357">
        <v>6257083.54</v>
      </c>
    </row>
    <row r="139" spans="1:12" ht="71.400000000000006" hidden="1" x14ac:dyDescent="0.3">
      <c r="A139" s="351" t="s">
        <v>193</v>
      </c>
      <c r="B139" s="352" t="s">
        <v>723</v>
      </c>
      <c r="C139" s="352" t="s">
        <v>722</v>
      </c>
      <c r="D139" s="352" t="s">
        <v>608</v>
      </c>
      <c r="E139" s="353" t="s">
        <v>30</v>
      </c>
      <c r="F139" s="354">
        <v>1035.93</v>
      </c>
      <c r="G139" s="354"/>
      <c r="H139" s="353" t="s">
        <v>31</v>
      </c>
      <c r="I139" s="355" t="s">
        <v>32</v>
      </c>
      <c r="J139" s="355"/>
      <c r="K139" s="356" t="s">
        <v>25</v>
      </c>
      <c r="L139" s="357">
        <v>6258119.4699999997</v>
      </c>
    </row>
    <row r="140" spans="1:12" ht="81.599999999999994" hidden="1" x14ac:dyDescent="0.3">
      <c r="A140" s="351" t="s">
        <v>71</v>
      </c>
      <c r="B140" s="352" t="s">
        <v>724</v>
      </c>
      <c r="C140" s="352" t="s">
        <v>725</v>
      </c>
      <c r="D140" s="352" t="s">
        <v>608</v>
      </c>
      <c r="E140" s="353" t="s">
        <v>30</v>
      </c>
      <c r="F140" s="354">
        <v>30600</v>
      </c>
      <c r="G140" s="354"/>
      <c r="H140" s="353" t="s">
        <v>31</v>
      </c>
      <c r="I140" s="355" t="s">
        <v>32</v>
      </c>
      <c r="J140" s="355"/>
      <c r="K140" s="356" t="s">
        <v>25</v>
      </c>
      <c r="L140" s="357">
        <v>6288719.4699999997</v>
      </c>
    </row>
    <row r="141" spans="1:12" ht="71.400000000000006" hidden="1" x14ac:dyDescent="0.3">
      <c r="A141" s="351" t="s">
        <v>71</v>
      </c>
      <c r="B141" s="352" t="s">
        <v>726</v>
      </c>
      <c r="C141" s="352" t="s">
        <v>727</v>
      </c>
      <c r="D141" s="352" t="s">
        <v>608</v>
      </c>
      <c r="E141" s="353" t="s">
        <v>30</v>
      </c>
      <c r="F141" s="354">
        <v>56526</v>
      </c>
      <c r="G141" s="354"/>
      <c r="H141" s="353" t="s">
        <v>31</v>
      </c>
      <c r="I141" s="355" t="s">
        <v>32</v>
      </c>
      <c r="J141" s="355"/>
      <c r="K141" s="356" t="s">
        <v>25</v>
      </c>
      <c r="L141" s="357">
        <v>6345245.4699999997</v>
      </c>
    </row>
    <row r="142" spans="1:12" ht="71.400000000000006" hidden="1" x14ac:dyDescent="0.3">
      <c r="A142" s="351" t="s">
        <v>71</v>
      </c>
      <c r="B142" s="352" t="s">
        <v>726</v>
      </c>
      <c r="C142" s="352" t="s">
        <v>728</v>
      </c>
      <c r="D142" s="352" t="s">
        <v>608</v>
      </c>
      <c r="E142" s="353" t="s">
        <v>30</v>
      </c>
      <c r="F142" s="354">
        <v>82108</v>
      </c>
      <c r="G142" s="354"/>
      <c r="H142" s="353" t="s">
        <v>31</v>
      </c>
      <c r="I142" s="355" t="s">
        <v>32</v>
      </c>
      <c r="J142" s="355"/>
      <c r="K142" s="356" t="s">
        <v>25</v>
      </c>
      <c r="L142" s="357">
        <v>6427353.4699999997</v>
      </c>
    </row>
    <row r="143" spans="1:12" ht="71.400000000000006" hidden="1" x14ac:dyDescent="0.3">
      <c r="A143" s="351" t="s">
        <v>71</v>
      </c>
      <c r="B143" s="352" t="s">
        <v>393</v>
      </c>
      <c r="C143" s="352" t="s">
        <v>394</v>
      </c>
      <c r="D143" s="352" t="s">
        <v>241</v>
      </c>
      <c r="E143" s="353" t="s">
        <v>30</v>
      </c>
      <c r="F143" s="354">
        <v>4963.7</v>
      </c>
      <c r="G143" s="354"/>
      <c r="H143" s="353" t="s">
        <v>30</v>
      </c>
      <c r="I143" s="355" t="s">
        <v>32</v>
      </c>
      <c r="J143" s="355"/>
      <c r="K143" s="356" t="s">
        <v>25</v>
      </c>
      <c r="L143" s="357">
        <v>6432317.1699999999</v>
      </c>
    </row>
    <row r="144" spans="1:12" ht="71.400000000000006" hidden="1" x14ac:dyDescent="0.3">
      <c r="A144" s="351" t="s">
        <v>71</v>
      </c>
      <c r="B144" s="352" t="s">
        <v>393</v>
      </c>
      <c r="C144" s="352" t="s">
        <v>395</v>
      </c>
      <c r="D144" s="352" t="s">
        <v>375</v>
      </c>
      <c r="E144" s="353" t="s">
        <v>30</v>
      </c>
      <c r="F144" s="354">
        <v>656984.07999999996</v>
      </c>
      <c r="G144" s="354"/>
      <c r="H144" s="353" t="s">
        <v>30</v>
      </c>
      <c r="I144" s="355" t="s">
        <v>32</v>
      </c>
      <c r="J144" s="355"/>
      <c r="K144" s="356" t="s">
        <v>25</v>
      </c>
      <c r="L144" s="357">
        <v>7089301.25</v>
      </c>
    </row>
    <row r="145" spans="1:12" ht="81.599999999999994" hidden="1" x14ac:dyDescent="0.3">
      <c r="A145" s="351" t="s">
        <v>71</v>
      </c>
      <c r="B145" s="352" t="s">
        <v>393</v>
      </c>
      <c r="C145" s="352" t="s">
        <v>396</v>
      </c>
      <c r="D145" s="352" t="s">
        <v>243</v>
      </c>
      <c r="E145" s="353" t="s">
        <v>30</v>
      </c>
      <c r="F145" s="354">
        <v>3172.48</v>
      </c>
      <c r="G145" s="354"/>
      <c r="H145" s="353" t="s">
        <v>30</v>
      </c>
      <c r="I145" s="355" t="s">
        <v>32</v>
      </c>
      <c r="J145" s="355"/>
      <c r="K145" s="356" t="s">
        <v>25</v>
      </c>
      <c r="L145" s="357">
        <v>7092473.7300000004</v>
      </c>
    </row>
    <row r="146" spans="1:12" ht="81.599999999999994" hidden="1" x14ac:dyDescent="0.3">
      <c r="A146" s="351" t="s">
        <v>71</v>
      </c>
      <c r="B146" s="352" t="s">
        <v>729</v>
      </c>
      <c r="C146" s="352" t="s">
        <v>725</v>
      </c>
      <c r="D146" s="352" t="s">
        <v>608</v>
      </c>
      <c r="E146" s="353" t="s">
        <v>30</v>
      </c>
      <c r="F146" s="358">
        <v>839.32</v>
      </c>
      <c r="G146" s="358"/>
      <c r="H146" s="353" t="s">
        <v>31</v>
      </c>
      <c r="I146" s="355" t="s">
        <v>32</v>
      </c>
      <c r="J146" s="355"/>
      <c r="K146" s="356" t="s">
        <v>25</v>
      </c>
      <c r="L146" s="357">
        <v>7093313.0499999998</v>
      </c>
    </row>
    <row r="147" spans="1:12" ht="71.400000000000006" hidden="1" x14ac:dyDescent="0.3">
      <c r="A147" s="351" t="s">
        <v>71</v>
      </c>
      <c r="B147" s="352" t="s">
        <v>730</v>
      </c>
      <c r="C147" s="352" t="s">
        <v>727</v>
      </c>
      <c r="D147" s="352" t="s">
        <v>608</v>
      </c>
      <c r="E147" s="353" t="s">
        <v>30</v>
      </c>
      <c r="F147" s="354">
        <v>1550.44</v>
      </c>
      <c r="G147" s="354"/>
      <c r="H147" s="353" t="s">
        <v>31</v>
      </c>
      <c r="I147" s="355" t="s">
        <v>32</v>
      </c>
      <c r="J147" s="355"/>
      <c r="K147" s="356" t="s">
        <v>25</v>
      </c>
      <c r="L147" s="357">
        <v>7094863.4900000002</v>
      </c>
    </row>
    <row r="148" spans="1:12" ht="71.400000000000006" hidden="1" x14ac:dyDescent="0.3">
      <c r="A148" s="351" t="s">
        <v>71</v>
      </c>
      <c r="B148" s="352" t="s">
        <v>730</v>
      </c>
      <c r="C148" s="352" t="s">
        <v>728</v>
      </c>
      <c r="D148" s="352" t="s">
        <v>608</v>
      </c>
      <c r="E148" s="353" t="s">
        <v>30</v>
      </c>
      <c r="F148" s="354">
        <v>2252.13</v>
      </c>
      <c r="G148" s="354"/>
      <c r="H148" s="353" t="s">
        <v>31</v>
      </c>
      <c r="I148" s="355" t="s">
        <v>32</v>
      </c>
      <c r="J148" s="355"/>
      <c r="K148" s="356" t="s">
        <v>25</v>
      </c>
      <c r="L148" s="357">
        <v>7097115.6200000001</v>
      </c>
    </row>
    <row r="149" spans="1:12" ht="71.400000000000006" hidden="1" x14ac:dyDescent="0.3">
      <c r="A149" s="351" t="s">
        <v>71</v>
      </c>
      <c r="B149" s="352" t="s">
        <v>144</v>
      </c>
      <c r="C149" s="352" t="s">
        <v>145</v>
      </c>
      <c r="D149" s="352" t="s">
        <v>146</v>
      </c>
      <c r="E149" s="353" t="s">
        <v>30</v>
      </c>
      <c r="F149" s="359" t="s">
        <v>32</v>
      </c>
      <c r="G149" s="359"/>
      <c r="H149" s="353" t="s">
        <v>30</v>
      </c>
      <c r="I149" s="360">
        <v>4423.21</v>
      </c>
      <c r="J149" s="360"/>
      <c r="K149" s="356" t="s">
        <v>25</v>
      </c>
      <c r="L149" s="357">
        <v>7092692.4100000001</v>
      </c>
    </row>
    <row r="150" spans="1:12" ht="71.400000000000006" hidden="1" x14ac:dyDescent="0.3">
      <c r="A150" s="351" t="s">
        <v>197</v>
      </c>
      <c r="B150" s="352" t="s">
        <v>731</v>
      </c>
      <c r="C150" s="352" t="s">
        <v>732</v>
      </c>
      <c r="D150" s="352" t="s">
        <v>608</v>
      </c>
      <c r="E150" s="353" t="s">
        <v>30</v>
      </c>
      <c r="F150" s="354">
        <v>56526</v>
      </c>
      <c r="G150" s="354"/>
      <c r="H150" s="353" t="s">
        <v>31</v>
      </c>
      <c r="I150" s="355" t="s">
        <v>32</v>
      </c>
      <c r="J150" s="355"/>
      <c r="K150" s="356" t="s">
        <v>25</v>
      </c>
      <c r="L150" s="357">
        <v>7149218.4100000001</v>
      </c>
    </row>
    <row r="151" spans="1:12" ht="71.400000000000006" hidden="1" x14ac:dyDescent="0.3">
      <c r="A151" s="351" t="s">
        <v>197</v>
      </c>
      <c r="B151" s="352" t="s">
        <v>731</v>
      </c>
      <c r="C151" s="352" t="s">
        <v>733</v>
      </c>
      <c r="D151" s="352" t="s">
        <v>608</v>
      </c>
      <c r="E151" s="353" t="s">
        <v>30</v>
      </c>
      <c r="F151" s="354">
        <v>28454</v>
      </c>
      <c r="G151" s="354"/>
      <c r="H151" s="353" t="s">
        <v>31</v>
      </c>
      <c r="I151" s="355" t="s">
        <v>32</v>
      </c>
      <c r="J151" s="355"/>
      <c r="K151" s="356" t="s">
        <v>25</v>
      </c>
      <c r="L151" s="357">
        <v>7177672.4100000001</v>
      </c>
    </row>
    <row r="152" spans="1:12" ht="71.400000000000006" hidden="1" x14ac:dyDescent="0.3">
      <c r="A152" s="351" t="s">
        <v>197</v>
      </c>
      <c r="B152" s="352" t="s">
        <v>731</v>
      </c>
      <c r="C152" s="352" t="s">
        <v>734</v>
      </c>
      <c r="D152" s="352" t="s">
        <v>608</v>
      </c>
      <c r="E152" s="353" t="s">
        <v>30</v>
      </c>
      <c r="F152" s="354">
        <v>61581</v>
      </c>
      <c r="G152" s="354"/>
      <c r="H152" s="353" t="s">
        <v>31</v>
      </c>
      <c r="I152" s="355" t="s">
        <v>32</v>
      </c>
      <c r="J152" s="355"/>
      <c r="K152" s="356" t="s">
        <v>25</v>
      </c>
      <c r="L152" s="357">
        <v>7239253.4100000001</v>
      </c>
    </row>
    <row r="153" spans="1:12" ht="71.400000000000006" hidden="1" x14ac:dyDescent="0.3">
      <c r="A153" s="351" t="s">
        <v>197</v>
      </c>
      <c r="B153" s="352" t="s">
        <v>735</v>
      </c>
      <c r="C153" s="352" t="s">
        <v>732</v>
      </c>
      <c r="D153" s="352" t="s">
        <v>608</v>
      </c>
      <c r="E153" s="353" t="s">
        <v>30</v>
      </c>
      <c r="F153" s="354">
        <v>1550.44</v>
      </c>
      <c r="G153" s="354"/>
      <c r="H153" s="353" t="s">
        <v>31</v>
      </c>
      <c r="I153" s="355" t="s">
        <v>32</v>
      </c>
      <c r="J153" s="355"/>
      <c r="K153" s="356" t="s">
        <v>25</v>
      </c>
      <c r="L153" s="357">
        <v>7240803.8499999996</v>
      </c>
    </row>
    <row r="154" spans="1:12" ht="71.400000000000006" hidden="1" x14ac:dyDescent="0.3">
      <c r="A154" s="351" t="s">
        <v>197</v>
      </c>
      <c r="B154" s="352" t="s">
        <v>735</v>
      </c>
      <c r="C154" s="352" t="s">
        <v>733</v>
      </c>
      <c r="D154" s="352" t="s">
        <v>608</v>
      </c>
      <c r="E154" s="353" t="s">
        <v>30</v>
      </c>
      <c r="F154" s="358">
        <v>780.46</v>
      </c>
      <c r="G154" s="358"/>
      <c r="H154" s="353" t="s">
        <v>31</v>
      </c>
      <c r="I154" s="355" t="s">
        <v>32</v>
      </c>
      <c r="J154" s="355"/>
      <c r="K154" s="356" t="s">
        <v>25</v>
      </c>
      <c r="L154" s="357">
        <v>7241584.3099999996</v>
      </c>
    </row>
    <row r="155" spans="1:12" ht="71.400000000000006" hidden="1" x14ac:dyDescent="0.3">
      <c r="A155" s="351" t="s">
        <v>197</v>
      </c>
      <c r="B155" s="352" t="s">
        <v>735</v>
      </c>
      <c r="C155" s="352" t="s">
        <v>734</v>
      </c>
      <c r="D155" s="352" t="s">
        <v>608</v>
      </c>
      <c r="E155" s="353" t="s">
        <v>30</v>
      </c>
      <c r="F155" s="354">
        <v>1689.1</v>
      </c>
      <c r="G155" s="354"/>
      <c r="H155" s="353" t="s">
        <v>31</v>
      </c>
      <c r="I155" s="355" t="s">
        <v>32</v>
      </c>
      <c r="J155" s="355"/>
      <c r="K155" s="356" t="s">
        <v>25</v>
      </c>
      <c r="L155" s="357">
        <v>7243273.4100000001</v>
      </c>
    </row>
    <row r="156" spans="1:12" ht="71.400000000000006" hidden="1" x14ac:dyDescent="0.3">
      <c r="A156" s="351" t="s">
        <v>89</v>
      </c>
      <c r="B156" s="352" t="s">
        <v>509</v>
      </c>
      <c r="C156" s="352" t="s">
        <v>510</v>
      </c>
      <c r="D156" s="352" t="s">
        <v>146</v>
      </c>
      <c r="E156" s="353" t="s">
        <v>30</v>
      </c>
      <c r="F156" s="359" t="s">
        <v>32</v>
      </c>
      <c r="G156" s="359"/>
      <c r="H156" s="353" t="s">
        <v>30</v>
      </c>
      <c r="I156" s="360">
        <v>28264.95</v>
      </c>
      <c r="J156" s="360"/>
      <c r="K156" s="356" t="s">
        <v>25</v>
      </c>
      <c r="L156" s="357">
        <v>7215008.46</v>
      </c>
    </row>
    <row r="157" spans="1:12" ht="71.400000000000006" hidden="1" x14ac:dyDescent="0.3">
      <c r="A157" s="351" t="s">
        <v>89</v>
      </c>
      <c r="B157" s="352" t="s">
        <v>509</v>
      </c>
      <c r="C157" s="352" t="s">
        <v>511</v>
      </c>
      <c r="D157" s="352" t="s">
        <v>149</v>
      </c>
      <c r="E157" s="353" t="s">
        <v>30</v>
      </c>
      <c r="F157" s="359" t="s">
        <v>32</v>
      </c>
      <c r="G157" s="359"/>
      <c r="H157" s="353" t="s">
        <v>30</v>
      </c>
      <c r="I157" s="360">
        <v>1657.92</v>
      </c>
      <c r="J157" s="360"/>
      <c r="K157" s="356" t="s">
        <v>25</v>
      </c>
      <c r="L157" s="357">
        <v>7213350.54</v>
      </c>
    </row>
    <row r="158" spans="1:12" ht="61.2" x14ac:dyDescent="0.3">
      <c r="A158" s="351" t="s">
        <v>89</v>
      </c>
      <c r="B158" s="352" t="s">
        <v>736</v>
      </c>
      <c r="C158" s="352" t="s">
        <v>53</v>
      </c>
      <c r="D158" s="352" t="s">
        <v>737</v>
      </c>
      <c r="E158" s="353" t="s">
        <v>54</v>
      </c>
      <c r="F158" s="359" t="s">
        <v>32</v>
      </c>
      <c r="G158" s="359"/>
      <c r="H158" s="353" t="s">
        <v>30</v>
      </c>
      <c r="I158" s="361">
        <v>170.22</v>
      </c>
      <c r="J158" s="361"/>
      <c r="K158" s="356" t="s">
        <v>25</v>
      </c>
      <c r="L158" s="357">
        <v>7213180.3200000003</v>
      </c>
    </row>
    <row r="159" spans="1:12" ht="71.400000000000006" x14ac:dyDescent="0.3">
      <c r="A159" s="351" t="s">
        <v>89</v>
      </c>
      <c r="B159" s="352" t="s">
        <v>736</v>
      </c>
      <c r="C159" s="352" t="s">
        <v>53</v>
      </c>
      <c r="D159" s="352" t="s">
        <v>697</v>
      </c>
      <c r="E159" s="353" t="s">
        <v>54</v>
      </c>
      <c r="F159" s="359" t="s">
        <v>32</v>
      </c>
      <c r="G159" s="359"/>
      <c r="H159" s="353" t="s">
        <v>30</v>
      </c>
      <c r="I159" s="360">
        <v>19063.939999999999</v>
      </c>
      <c r="J159" s="360"/>
      <c r="K159" s="356" t="s">
        <v>25</v>
      </c>
      <c r="L159" s="357">
        <v>7194116.3799999999</v>
      </c>
    </row>
    <row r="160" spans="1:12" ht="71.400000000000006" hidden="1" x14ac:dyDescent="0.3">
      <c r="A160" s="351" t="s">
        <v>89</v>
      </c>
      <c r="B160" s="352" t="s">
        <v>147</v>
      </c>
      <c r="C160" s="352" t="s">
        <v>148</v>
      </c>
      <c r="D160" s="352" t="s">
        <v>149</v>
      </c>
      <c r="E160" s="353" t="s">
        <v>30</v>
      </c>
      <c r="F160" s="359" t="s">
        <v>32</v>
      </c>
      <c r="G160" s="359"/>
      <c r="H160" s="353" t="s">
        <v>30</v>
      </c>
      <c r="I160" s="360">
        <v>14277.25</v>
      </c>
      <c r="J160" s="360"/>
      <c r="K160" s="356" t="s">
        <v>25</v>
      </c>
      <c r="L160" s="357">
        <v>7179839.1299999999</v>
      </c>
    </row>
    <row r="161" spans="1:12" ht="71.400000000000006" hidden="1" x14ac:dyDescent="0.3">
      <c r="A161" s="351" t="s">
        <v>89</v>
      </c>
      <c r="B161" s="352" t="s">
        <v>147</v>
      </c>
      <c r="C161" s="352" t="s">
        <v>150</v>
      </c>
      <c r="D161" s="352" t="s">
        <v>151</v>
      </c>
      <c r="E161" s="353" t="s">
        <v>30</v>
      </c>
      <c r="F161" s="359" t="s">
        <v>32</v>
      </c>
      <c r="G161" s="359"/>
      <c r="H161" s="353" t="s">
        <v>30</v>
      </c>
      <c r="I161" s="360">
        <v>11925.5</v>
      </c>
      <c r="J161" s="360"/>
      <c r="K161" s="356" t="s">
        <v>25</v>
      </c>
      <c r="L161" s="357">
        <v>7167913.6299999999</v>
      </c>
    </row>
    <row r="162" spans="1:12" ht="61.2" x14ac:dyDescent="0.3">
      <c r="A162" s="351" t="s">
        <v>205</v>
      </c>
      <c r="B162" s="352" t="s">
        <v>738</v>
      </c>
      <c r="C162" s="352" t="s">
        <v>53</v>
      </c>
      <c r="D162" s="352" t="s">
        <v>739</v>
      </c>
      <c r="E162" s="353" t="s">
        <v>54</v>
      </c>
      <c r="F162" s="359" t="s">
        <v>32</v>
      </c>
      <c r="G162" s="359"/>
      <c r="H162" s="353" t="s">
        <v>30</v>
      </c>
      <c r="I162" s="360">
        <v>20158.330000000002</v>
      </c>
      <c r="J162" s="360"/>
      <c r="K162" s="356" t="s">
        <v>25</v>
      </c>
      <c r="L162" s="357">
        <v>7147755.2999999998</v>
      </c>
    </row>
    <row r="163" spans="1:12" ht="61.2" x14ac:dyDescent="0.3">
      <c r="A163" s="351" t="s">
        <v>205</v>
      </c>
      <c r="B163" s="352" t="s">
        <v>738</v>
      </c>
      <c r="C163" s="352" t="s">
        <v>53</v>
      </c>
      <c r="D163" s="352" t="s">
        <v>739</v>
      </c>
      <c r="E163" s="353" t="s">
        <v>54</v>
      </c>
      <c r="F163" s="359" t="s">
        <v>32</v>
      </c>
      <c r="G163" s="359"/>
      <c r="H163" s="353" t="s">
        <v>30</v>
      </c>
      <c r="I163" s="360">
        <v>10079.17</v>
      </c>
      <c r="J163" s="360"/>
      <c r="K163" s="356" t="s">
        <v>25</v>
      </c>
      <c r="L163" s="357">
        <v>7137676.1299999999</v>
      </c>
    </row>
    <row r="164" spans="1:12" ht="61.2" x14ac:dyDescent="0.3">
      <c r="A164" s="351" t="s">
        <v>205</v>
      </c>
      <c r="B164" s="352" t="s">
        <v>738</v>
      </c>
      <c r="C164" s="352" t="s">
        <v>53</v>
      </c>
      <c r="D164" s="352" t="s">
        <v>282</v>
      </c>
      <c r="E164" s="353" t="s">
        <v>54</v>
      </c>
      <c r="F164" s="359" t="s">
        <v>32</v>
      </c>
      <c r="G164" s="359"/>
      <c r="H164" s="353" t="s">
        <v>30</v>
      </c>
      <c r="I164" s="360">
        <v>19984.68</v>
      </c>
      <c r="J164" s="360"/>
      <c r="K164" s="356" t="s">
        <v>25</v>
      </c>
      <c r="L164" s="357">
        <v>7117691.4500000002</v>
      </c>
    </row>
    <row r="165" spans="1:12" ht="61.2" x14ac:dyDescent="0.3">
      <c r="A165" s="351" t="s">
        <v>205</v>
      </c>
      <c r="B165" s="352" t="s">
        <v>738</v>
      </c>
      <c r="C165" s="352" t="s">
        <v>53</v>
      </c>
      <c r="D165" s="352" t="s">
        <v>740</v>
      </c>
      <c r="E165" s="353" t="s">
        <v>54</v>
      </c>
      <c r="F165" s="359" t="s">
        <v>32</v>
      </c>
      <c r="G165" s="359"/>
      <c r="H165" s="353" t="s">
        <v>30</v>
      </c>
      <c r="I165" s="360">
        <v>3910.51</v>
      </c>
      <c r="J165" s="360"/>
      <c r="K165" s="356" t="s">
        <v>25</v>
      </c>
      <c r="L165" s="357">
        <v>7113780.9400000004</v>
      </c>
    </row>
    <row r="166" spans="1:12" ht="61.2" x14ac:dyDescent="0.3">
      <c r="A166" s="351" t="s">
        <v>205</v>
      </c>
      <c r="B166" s="352" t="s">
        <v>738</v>
      </c>
      <c r="C166" s="352" t="s">
        <v>53</v>
      </c>
      <c r="D166" s="352" t="s">
        <v>740</v>
      </c>
      <c r="E166" s="353" t="s">
        <v>54</v>
      </c>
      <c r="F166" s="359" t="s">
        <v>32</v>
      </c>
      <c r="G166" s="359"/>
      <c r="H166" s="353" t="s">
        <v>30</v>
      </c>
      <c r="I166" s="360">
        <v>12403.66</v>
      </c>
      <c r="J166" s="360"/>
      <c r="K166" s="356" t="s">
        <v>25</v>
      </c>
      <c r="L166" s="357">
        <v>7101377.2800000003</v>
      </c>
    </row>
    <row r="167" spans="1:12" ht="61.2" x14ac:dyDescent="0.3">
      <c r="A167" s="351" t="s">
        <v>205</v>
      </c>
      <c r="B167" s="352" t="s">
        <v>738</v>
      </c>
      <c r="C167" s="352" t="s">
        <v>53</v>
      </c>
      <c r="D167" s="352" t="s">
        <v>741</v>
      </c>
      <c r="E167" s="353" t="s">
        <v>54</v>
      </c>
      <c r="F167" s="359" t="s">
        <v>32</v>
      </c>
      <c r="G167" s="359"/>
      <c r="H167" s="353" t="s">
        <v>30</v>
      </c>
      <c r="I167" s="360">
        <v>3823.55</v>
      </c>
      <c r="J167" s="360"/>
      <c r="K167" s="356" t="s">
        <v>25</v>
      </c>
      <c r="L167" s="357">
        <v>7097553.7300000004</v>
      </c>
    </row>
    <row r="168" spans="1:12" ht="61.2" x14ac:dyDescent="0.3">
      <c r="A168" s="351" t="s">
        <v>205</v>
      </c>
      <c r="B168" s="352" t="s">
        <v>738</v>
      </c>
      <c r="C168" s="352" t="s">
        <v>53</v>
      </c>
      <c r="D168" s="352" t="s">
        <v>742</v>
      </c>
      <c r="E168" s="353" t="s">
        <v>54</v>
      </c>
      <c r="F168" s="359" t="s">
        <v>32</v>
      </c>
      <c r="G168" s="359"/>
      <c r="H168" s="353" t="s">
        <v>30</v>
      </c>
      <c r="I168" s="360">
        <v>70078.539999999994</v>
      </c>
      <c r="J168" s="360"/>
      <c r="K168" s="356" t="s">
        <v>25</v>
      </c>
      <c r="L168" s="357">
        <v>7027475.1900000004</v>
      </c>
    </row>
    <row r="169" spans="1:12" ht="61.2" x14ac:dyDescent="0.3">
      <c r="A169" s="351" t="s">
        <v>205</v>
      </c>
      <c r="B169" s="352" t="s">
        <v>738</v>
      </c>
      <c r="C169" s="352" t="s">
        <v>53</v>
      </c>
      <c r="D169" s="352" t="s">
        <v>742</v>
      </c>
      <c r="E169" s="353" t="s">
        <v>54</v>
      </c>
      <c r="F169" s="359" t="s">
        <v>32</v>
      </c>
      <c r="G169" s="359"/>
      <c r="H169" s="353" t="s">
        <v>30</v>
      </c>
      <c r="I169" s="360">
        <v>15951.38</v>
      </c>
      <c r="J169" s="360"/>
      <c r="K169" s="356" t="s">
        <v>25</v>
      </c>
      <c r="L169" s="357">
        <v>7011523.8099999996</v>
      </c>
    </row>
    <row r="170" spans="1:12" ht="61.2" x14ac:dyDescent="0.3">
      <c r="A170" s="351" t="s">
        <v>205</v>
      </c>
      <c r="B170" s="352" t="s">
        <v>738</v>
      </c>
      <c r="C170" s="352" t="s">
        <v>53</v>
      </c>
      <c r="D170" s="352" t="s">
        <v>742</v>
      </c>
      <c r="E170" s="353" t="s">
        <v>54</v>
      </c>
      <c r="F170" s="359" t="s">
        <v>32</v>
      </c>
      <c r="G170" s="359"/>
      <c r="H170" s="353" t="s">
        <v>30</v>
      </c>
      <c r="I170" s="360">
        <v>6631.47</v>
      </c>
      <c r="J170" s="360"/>
      <c r="K170" s="356" t="s">
        <v>25</v>
      </c>
      <c r="L170" s="357">
        <v>7004892.3399999999</v>
      </c>
    </row>
    <row r="171" spans="1:12" ht="61.2" x14ac:dyDescent="0.3">
      <c r="A171" s="351" t="s">
        <v>205</v>
      </c>
      <c r="B171" s="352" t="s">
        <v>738</v>
      </c>
      <c r="C171" s="352" t="s">
        <v>53</v>
      </c>
      <c r="D171" s="352" t="s">
        <v>743</v>
      </c>
      <c r="E171" s="353" t="s">
        <v>54</v>
      </c>
      <c r="F171" s="359" t="s">
        <v>32</v>
      </c>
      <c r="G171" s="359"/>
      <c r="H171" s="353" t="s">
        <v>30</v>
      </c>
      <c r="I171" s="360">
        <v>122473.15</v>
      </c>
      <c r="J171" s="360"/>
      <c r="K171" s="356" t="s">
        <v>25</v>
      </c>
      <c r="L171" s="357">
        <v>6882419.1900000004</v>
      </c>
    </row>
    <row r="172" spans="1:12" ht="61.2" x14ac:dyDescent="0.3">
      <c r="A172" s="351" t="s">
        <v>205</v>
      </c>
      <c r="B172" s="352" t="s">
        <v>738</v>
      </c>
      <c r="C172" s="352" t="s">
        <v>53</v>
      </c>
      <c r="D172" s="352" t="s">
        <v>743</v>
      </c>
      <c r="E172" s="353" t="s">
        <v>54</v>
      </c>
      <c r="F172" s="359" t="s">
        <v>32</v>
      </c>
      <c r="G172" s="359"/>
      <c r="H172" s="353" t="s">
        <v>30</v>
      </c>
      <c r="I172" s="360">
        <v>3704.06</v>
      </c>
      <c r="J172" s="360"/>
      <c r="K172" s="356" t="s">
        <v>25</v>
      </c>
      <c r="L172" s="357">
        <v>6878715.1299999999</v>
      </c>
    </row>
    <row r="173" spans="1:12" ht="61.2" x14ac:dyDescent="0.3">
      <c r="A173" s="351" t="s">
        <v>205</v>
      </c>
      <c r="B173" s="352" t="s">
        <v>738</v>
      </c>
      <c r="C173" s="352" t="s">
        <v>53</v>
      </c>
      <c r="D173" s="352" t="s">
        <v>743</v>
      </c>
      <c r="E173" s="353" t="s">
        <v>54</v>
      </c>
      <c r="F173" s="359" t="s">
        <v>32</v>
      </c>
      <c r="G173" s="359"/>
      <c r="H173" s="353" t="s">
        <v>30</v>
      </c>
      <c r="I173" s="360">
        <v>2927.41</v>
      </c>
      <c r="J173" s="360"/>
      <c r="K173" s="356" t="s">
        <v>25</v>
      </c>
      <c r="L173" s="357">
        <v>6875787.7199999997</v>
      </c>
    </row>
    <row r="174" spans="1:12" ht="61.2" x14ac:dyDescent="0.3">
      <c r="A174" s="351" t="s">
        <v>205</v>
      </c>
      <c r="B174" s="352" t="s">
        <v>738</v>
      </c>
      <c r="C174" s="352" t="s">
        <v>53</v>
      </c>
      <c r="D174" s="352" t="s">
        <v>744</v>
      </c>
      <c r="E174" s="353" t="s">
        <v>54</v>
      </c>
      <c r="F174" s="359" t="s">
        <v>32</v>
      </c>
      <c r="G174" s="359"/>
      <c r="H174" s="353" t="s">
        <v>30</v>
      </c>
      <c r="I174" s="360">
        <v>66135.5</v>
      </c>
      <c r="J174" s="360"/>
      <c r="K174" s="356" t="s">
        <v>25</v>
      </c>
      <c r="L174" s="357">
        <v>6809652.2199999997</v>
      </c>
    </row>
    <row r="175" spans="1:12" ht="61.2" x14ac:dyDescent="0.3">
      <c r="A175" s="351" t="s">
        <v>205</v>
      </c>
      <c r="B175" s="352" t="s">
        <v>738</v>
      </c>
      <c r="C175" s="352" t="s">
        <v>53</v>
      </c>
      <c r="D175" s="352" t="s">
        <v>745</v>
      </c>
      <c r="E175" s="353" t="s">
        <v>54</v>
      </c>
      <c r="F175" s="359" t="s">
        <v>32</v>
      </c>
      <c r="G175" s="359"/>
      <c r="H175" s="353" t="s">
        <v>30</v>
      </c>
      <c r="I175" s="360">
        <v>1650</v>
      </c>
      <c r="J175" s="360"/>
      <c r="K175" s="356" t="s">
        <v>25</v>
      </c>
      <c r="L175" s="357">
        <v>6808002.2199999997</v>
      </c>
    </row>
    <row r="176" spans="1:12" ht="61.2" x14ac:dyDescent="0.3">
      <c r="A176" s="351" t="s">
        <v>205</v>
      </c>
      <c r="B176" s="352" t="s">
        <v>738</v>
      </c>
      <c r="C176" s="352" t="s">
        <v>53</v>
      </c>
      <c r="D176" s="352" t="s">
        <v>609</v>
      </c>
      <c r="E176" s="353" t="s">
        <v>54</v>
      </c>
      <c r="F176" s="359" t="s">
        <v>32</v>
      </c>
      <c r="G176" s="359"/>
      <c r="H176" s="353" t="s">
        <v>30</v>
      </c>
      <c r="I176" s="360">
        <v>13274.65</v>
      </c>
      <c r="J176" s="360"/>
      <c r="K176" s="356" t="s">
        <v>25</v>
      </c>
      <c r="L176" s="357">
        <v>6794727.5700000003</v>
      </c>
    </row>
    <row r="177" spans="1:12" ht="61.2" x14ac:dyDescent="0.3">
      <c r="A177" s="351" t="s">
        <v>205</v>
      </c>
      <c r="B177" s="352" t="s">
        <v>738</v>
      </c>
      <c r="C177" s="352" t="s">
        <v>53</v>
      </c>
      <c r="D177" s="352" t="s">
        <v>610</v>
      </c>
      <c r="E177" s="353" t="s">
        <v>54</v>
      </c>
      <c r="F177" s="359" t="s">
        <v>32</v>
      </c>
      <c r="G177" s="359"/>
      <c r="H177" s="353" t="s">
        <v>30</v>
      </c>
      <c r="I177" s="360">
        <v>1909.37</v>
      </c>
      <c r="J177" s="360"/>
      <c r="K177" s="356" t="s">
        <v>25</v>
      </c>
      <c r="L177" s="357">
        <v>6792818.2000000002</v>
      </c>
    </row>
    <row r="178" spans="1:12" ht="71.400000000000006" x14ac:dyDescent="0.3">
      <c r="A178" s="351" t="s">
        <v>205</v>
      </c>
      <c r="B178" s="352" t="s">
        <v>738</v>
      </c>
      <c r="C178" s="352" t="s">
        <v>53</v>
      </c>
      <c r="D178" s="352" t="s">
        <v>746</v>
      </c>
      <c r="E178" s="353" t="s">
        <v>54</v>
      </c>
      <c r="F178" s="359" t="s">
        <v>32</v>
      </c>
      <c r="G178" s="359"/>
      <c r="H178" s="353" t="s">
        <v>30</v>
      </c>
      <c r="I178" s="360">
        <v>35945</v>
      </c>
      <c r="J178" s="360"/>
      <c r="K178" s="356" t="s">
        <v>25</v>
      </c>
      <c r="L178" s="357">
        <v>6756873.2000000002</v>
      </c>
    </row>
    <row r="179" spans="1:12" ht="71.400000000000006" x14ac:dyDescent="0.3">
      <c r="A179" s="351" t="s">
        <v>205</v>
      </c>
      <c r="B179" s="352" t="s">
        <v>738</v>
      </c>
      <c r="C179" s="352" t="s">
        <v>53</v>
      </c>
      <c r="D179" s="352" t="s">
        <v>613</v>
      </c>
      <c r="E179" s="353" t="s">
        <v>54</v>
      </c>
      <c r="F179" s="359" t="s">
        <v>32</v>
      </c>
      <c r="G179" s="359"/>
      <c r="H179" s="353" t="s">
        <v>30</v>
      </c>
      <c r="I179" s="360">
        <v>37138.629999999997</v>
      </c>
      <c r="J179" s="360"/>
      <c r="K179" s="356" t="s">
        <v>25</v>
      </c>
      <c r="L179" s="357">
        <v>6719734.5700000003</v>
      </c>
    </row>
    <row r="180" spans="1:12" ht="71.400000000000006" x14ac:dyDescent="0.3">
      <c r="A180" s="351" t="s">
        <v>205</v>
      </c>
      <c r="B180" s="352" t="s">
        <v>738</v>
      </c>
      <c r="C180" s="352" t="s">
        <v>53</v>
      </c>
      <c r="D180" s="352" t="s">
        <v>747</v>
      </c>
      <c r="E180" s="353" t="s">
        <v>54</v>
      </c>
      <c r="F180" s="359" t="s">
        <v>32</v>
      </c>
      <c r="G180" s="359"/>
      <c r="H180" s="353" t="s">
        <v>30</v>
      </c>
      <c r="I180" s="360">
        <v>40511</v>
      </c>
      <c r="J180" s="360"/>
      <c r="K180" s="356" t="s">
        <v>25</v>
      </c>
      <c r="L180" s="357">
        <v>6679223.5700000003</v>
      </c>
    </row>
    <row r="181" spans="1:12" ht="71.400000000000006" x14ac:dyDescent="0.3">
      <c r="A181" s="351" t="s">
        <v>205</v>
      </c>
      <c r="B181" s="352" t="s">
        <v>738</v>
      </c>
      <c r="C181" s="352" t="s">
        <v>53</v>
      </c>
      <c r="D181" s="352" t="s">
        <v>748</v>
      </c>
      <c r="E181" s="353" t="s">
        <v>54</v>
      </c>
      <c r="F181" s="359" t="s">
        <v>32</v>
      </c>
      <c r="G181" s="359"/>
      <c r="H181" s="353" t="s">
        <v>30</v>
      </c>
      <c r="I181" s="360">
        <v>40511</v>
      </c>
      <c r="J181" s="360"/>
      <c r="K181" s="356" t="s">
        <v>25</v>
      </c>
      <c r="L181" s="357">
        <v>6638712.5700000003</v>
      </c>
    </row>
    <row r="182" spans="1:12" ht="71.400000000000006" x14ac:dyDescent="0.3">
      <c r="A182" s="351" t="s">
        <v>205</v>
      </c>
      <c r="B182" s="352" t="s">
        <v>738</v>
      </c>
      <c r="C182" s="352" t="s">
        <v>53</v>
      </c>
      <c r="D182" s="352" t="s">
        <v>749</v>
      </c>
      <c r="E182" s="353" t="s">
        <v>54</v>
      </c>
      <c r="F182" s="359" t="s">
        <v>32</v>
      </c>
      <c r="G182" s="359"/>
      <c r="H182" s="353" t="s">
        <v>30</v>
      </c>
      <c r="I182" s="360">
        <v>90069</v>
      </c>
      <c r="J182" s="360"/>
      <c r="K182" s="356" t="s">
        <v>25</v>
      </c>
      <c r="L182" s="357">
        <v>6548643.5700000003</v>
      </c>
    </row>
    <row r="183" spans="1:12" ht="71.400000000000006" x14ac:dyDescent="0.3">
      <c r="A183" s="351" t="s">
        <v>205</v>
      </c>
      <c r="B183" s="352" t="s">
        <v>738</v>
      </c>
      <c r="C183" s="352" t="s">
        <v>53</v>
      </c>
      <c r="D183" s="352" t="s">
        <v>750</v>
      </c>
      <c r="E183" s="353" t="s">
        <v>54</v>
      </c>
      <c r="F183" s="359" t="s">
        <v>32</v>
      </c>
      <c r="G183" s="359"/>
      <c r="H183" s="353" t="s">
        <v>30</v>
      </c>
      <c r="I183" s="360">
        <v>57380</v>
      </c>
      <c r="J183" s="360"/>
      <c r="K183" s="356" t="s">
        <v>25</v>
      </c>
      <c r="L183" s="357">
        <v>6491263.5700000003</v>
      </c>
    </row>
    <row r="184" spans="1:12" ht="71.400000000000006" x14ac:dyDescent="0.3">
      <c r="A184" s="351" t="s">
        <v>205</v>
      </c>
      <c r="B184" s="352" t="s">
        <v>738</v>
      </c>
      <c r="C184" s="352" t="s">
        <v>53</v>
      </c>
      <c r="D184" s="352" t="s">
        <v>751</v>
      </c>
      <c r="E184" s="353" t="s">
        <v>54</v>
      </c>
      <c r="F184" s="359" t="s">
        <v>32</v>
      </c>
      <c r="G184" s="359"/>
      <c r="H184" s="353" t="s">
        <v>30</v>
      </c>
      <c r="I184" s="360">
        <v>57380</v>
      </c>
      <c r="J184" s="360"/>
      <c r="K184" s="356" t="s">
        <v>25</v>
      </c>
      <c r="L184" s="357">
        <v>6433883.5700000003</v>
      </c>
    </row>
    <row r="185" spans="1:12" ht="71.400000000000006" x14ac:dyDescent="0.3">
      <c r="A185" s="351" t="s">
        <v>205</v>
      </c>
      <c r="B185" s="352" t="s">
        <v>738</v>
      </c>
      <c r="C185" s="352" t="s">
        <v>53</v>
      </c>
      <c r="D185" s="352" t="s">
        <v>752</v>
      </c>
      <c r="E185" s="353" t="s">
        <v>54</v>
      </c>
      <c r="F185" s="359" t="s">
        <v>32</v>
      </c>
      <c r="G185" s="359"/>
      <c r="H185" s="353" t="s">
        <v>30</v>
      </c>
      <c r="I185" s="360">
        <v>114760</v>
      </c>
      <c r="J185" s="360"/>
      <c r="K185" s="356" t="s">
        <v>25</v>
      </c>
      <c r="L185" s="357">
        <v>6319123.5700000003</v>
      </c>
    </row>
    <row r="186" spans="1:12" ht="71.400000000000006" x14ac:dyDescent="0.3">
      <c r="A186" s="351" t="s">
        <v>205</v>
      </c>
      <c r="B186" s="352" t="s">
        <v>738</v>
      </c>
      <c r="C186" s="352" t="s">
        <v>53</v>
      </c>
      <c r="D186" s="352" t="s">
        <v>753</v>
      </c>
      <c r="E186" s="353" t="s">
        <v>54</v>
      </c>
      <c r="F186" s="359" t="s">
        <v>32</v>
      </c>
      <c r="G186" s="359"/>
      <c r="H186" s="353" t="s">
        <v>30</v>
      </c>
      <c r="I186" s="360">
        <v>38598</v>
      </c>
      <c r="J186" s="360"/>
      <c r="K186" s="356" t="s">
        <v>25</v>
      </c>
      <c r="L186" s="357">
        <v>6280525.5700000003</v>
      </c>
    </row>
    <row r="187" spans="1:12" ht="71.400000000000006" x14ac:dyDescent="0.3">
      <c r="A187" s="351" t="s">
        <v>205</v>
      </c>
      <c r="B187" s="352" t="s">
        <v>738</v>
      </c>
      <c r="C187" s="352" t="s">
        <v>53</v>
      </c>
      <c r="D187" s="352" t="s">
        <v>753</v>
      </c>
      <c r="E187" s="353" t="s">
        <v>54</v>
      </c>
      <c r="F187" s="359" t="s">
        <v>32</v>
      </c>
      <c r="G187" s="359"/>
      <c r="H187" s="353" t="s">
        <v>30</v>
      </c>
      <c r="I187" s="360">
        <v>38598</v>
      </c>
      <c r="J187" s="360"/>
      <c r="K187" s="356" t="s">
        <v>25</v>
      </c>
      <c r="L187" s="357">
        <v>6241927.5700000003</v>
      </c>
    </row>
    <row r="188" spans="1:12" ht="71.400000000000006" x14ac:dyDescent="0.3">
      <c r="A188" s="351" t="s">
        <v>205</v>
      </c>
      <c r="B188" s="352" t="s">
        <v>738</v>
      </c>
      <c r="C188" s="352" t="s">
        <v>53</v>
      </c>
      <c r="D188" s="352" t="s">
        <v>754</v>
      </c>
      <c r="E188" s="353" t="s">
        <v>54</v>
      </c>
      <c r="F188" s="359" t="s">
        <v>32</v>
      </c>
      <c r="G188" s="359"/>
      <c r="H188" s="353" t="s">
        <v>30</v>
      </c>
      <c r="I188" s="360">
        <v>38598</v>
      </c>
      <c r="J188" s="360"/>
      <c r="K188" s="356" t="s">
        <v>25</v>
      </c>
      <c r="L188" s="357">
        <v>6203329.5700000003</v>
      </c>
    </row>
    <row r="189" spans="1:12" ht="71.400000000000006" x14ac:dyDescent="0.3">
      <c r="A189" s="351" t="s">
        <v>205</v>
      </c>
      <c r="B189" s="352" t="s">
        <v>738</v>
      </c>
      <c r="C189" s="352" t="s">
        <v>53</v>
      </c>
      <c r="D189" s="352" t="s">
        <v>754</v>
      </c>
      <c r="E189" s="353" t="s">
        <v>54</v>
      </c>
      <c r="F189" s="359" t="s">
        <v>32</v>
      </c>
      <c r="G189" s="359"/>
      <c r="H189" s="353" t="s">
        <v>30</v>
      </c>
      <c r="I189" s="360">
        <v>38598</v>
      </c>
      <c r="J189" s="360"/>
      <c r="K189" s="356" t="s">
        <v>25</v>
      </c>
      <c r="L189" s="357">
        <v>6164731.5700000003</v>
      </c>
    </row>
    <row r="190" spans="1:12" ht="71.400000000000006" x14ac:dyDescent="0.3">
      <c r="A190" s="351" t="s">
        <v>205</v>
      </c>
      <c r="B190" s="352" t="s">
        <v>738</v>
      </c>
      <c r="C190" s="352" t="s">
        <v>53</v>
      </c>
      <c r="D190" s="352" t="s">
        <v>635</v>
      </c>
      <c r="E190" s="353" t="s">
        <v>54</v>
      </c>
      <c r="F190" s="359" t="s">
        <v>32</v>
      </c>
      <c r="G190" s="359"/>
      <c r="H190" s="353" t="s">
        <v>30</v>
      </c>
      <c r="I190" s="360">
        <v>21208.639999999999</v>
      </c>
      <c r="J190" s="360"/>
      <c r="K190" s="356" t="s">
        <v>25</v>
      </c>
      <c r="L190" s="357">
        <v>6143522.9299999997</v>
      </c>
    </row>
    <row r="191" spans="1:12" ht="61.2" x14ac:dyDescent="0.3">
      <c r="A191" s="351" t="s">
        <v>205</v>
      </c>
      <c r="B191" s="352" t="s">
        <v>755</v>
      </c>
      <c r="C191" s="352" t="s">
        <v>53</v>
      </c>
      <c r="D191" s="352" t="s">
        <v>744</v>
      </c>
      <c r="E191" s="353" t="s">
        <v>54</v>
      </c>
      <c r="F191" s="359" t="s">
        <v>32</v>
      </c>
      <c r="G191" s="359"/>
      <c r="H191" s="353" t="s">
        <v>30</v>
      </c>
      <c r="I191" s="360">
        <v>19894.419999999998</v>
      </c>
      <c r="J191" s="360"/>
      <c r="K191" s="356" t="s">
        <v>25</v>
      </c>
      <c r="L191" s="357">
        <v>6123628.5099999998</v>
      </c>
    </row>
    <row r="192" spans="1:12" ht="61.2" x14ac:dyDescent="0.3">
      <c r="A192" s="351" t="s">
        <v>205</v>
      </c>
      <c r="B192" s="352" t="s">
        <v>755</v>
      </c>
      <c r="C192" s="352" t="s">
        <v>53</v>
      </c>
      <c r="D192" s="352" t="s">
        <v>607</v>
      </c>
      <c r="E192" s="353" t="s">
        <v>54</v>
      </c>
      <c r="F192" s="359" t="s">
        <v>32</v>
      </c>
      <c r="G192" s="359"/>
      <c r="H192" s="353" t="s">
        <v>30</v>
      </c>
      <c r="I192" s="360">
        <v>3827.07</v>
      </c>
      <c r="J192" s="360"/>
      <c r="K192" s="356" t="s">
        <v>25</v>
      </c>
      <c r="L192" s="357">
        <v>6119801.4400000004</v>
      </c>
    </row>
    <row r="193" spans="1:12" ht="61.2" x14ac:dyDescent="0.3">
      <c r="A193" s="351" t="s">
        <v>205</v>
      </c>
      <c r="B193" s="352" t="s">
        <v>755</v>
      </c>
      <c r="C193" s="352" t="s">
        <v>53</v>
      </c>
      <c r="D193" s="352" t="s">
        <v>627</v>
      </c>
      <c r="E193" s="353" t="s">
        <v>54</v>
      </c>
      <c r="F193" s="359" t="s">
        <v>32</v>
      </c>
      <c r="G193" s="359"/>
      <c r="H193" s="353" t="s">
        <v>30</v>
      </c>
      <c r="I193" s="360">
        <v>16666.259999999998</v>
      </c>
      <c r="J193" s="360"/>
      <c r="K193" s="356" t="s">
        <v>25</v>
      </c>
      <c r="L193" s="357">
        <v>6103135.1799999997</v>
      </c>
    </row>
    <row r="194" spans="1:12" ht="71.400000000000006" x14ac:dyDescent="0.3">
      <c r="A194" s="351" t="s">
        <v>205</v>
      </c>
      <c r="B194" s="352" t="s">
        <v>755</v>
      </c>
      <c r="C194" s="352" t="s">
        <v>53</v>
      </c>
      <c r="D194" s="352" t="s">
        <v>623</v>
      </c>
      <c r="E194" s="353" t="s">
        <v>54</v>
      </c>
      <c r="F194" s="359" t="s">
        <v>32</v>
      </c>
      <c r="G194" s="359"/>
      <c r="H194" s="353" t="s">
        <v>30</v>
      </c>
      <c r="I194" s="360">
        <v>37138.629999999997</v>
      </c>
      <c r="J194" s="360"/>
      <c r="K194" s="356" t="s">
        <v>25</v>
      </c>
      <c r="L194" s="357">
        <v>6065996.5499999998</v>
      </c>
    </row>
    <row r="195" spans="1:12" ht="71.400000000000006" x14ac:dyDescent="0.3">
      <c r="A195" s="351" t="s">
        <v>205</v>
      </c>
      <c r="B195" s="352" t="s">
        <v>755</v>
      </c>
      <c r="C195" s="352" t="s">
        <v>53</v>
      </c>
      <c r="D195" s="352" t="s">
        <v>631</v>
      </c>
      <c r="E195" s="353" t="s">
        <v>54</v>
      </c>
      <c r="F195" s="359" t="s">
        <v>32</v>
      </c>
      <c r="G195" s="359"/>
      <c r="H195" s="353" t="s">
        <v>30</v>
      </c>
      <c r="I195" s="360">
        <v>37138.629999999997</v>
      </c>
      <c r="J195" s="360"/>
      <c r="K195" s="356" t="s">
        <v>25</v>
      </c>
      <c r="L195" s="357">
        <v>6028857.9199999999</v>
      </c>
    </row>
    <row r="196" spans="1:12" ht="71.400000000000006" x14ac:dyDescent="0.3">
      <c r="A196" s="351" t="s">
        <v>205</v>
      </c>
      <c r="B196" s="352" t="s">
        <v>755</v>
      </c>
      <c r="C196" s="352" t="s">
        <v>53</v>
      </c>
      <c r="D196" s="352" t="s">
        <v>632</v>
      </c>
      <c r="E196" s="353" t="s">
        <v>54</v>
      </c>
      <c r="F196" s="359" t="s">
        <v>32</v>
      </c>
      <c r="G196" s="359"/>
      <c r="H196" s="353" t="s">
        <v>30</v>
      </c>
      <c r="I196" s="360">
        <v>37138.629999999997</v>
      </c>
      <c r="J196" s="360"/>
      <c r="K196" s="356" t="s">
        <v>25</v>
      </c>
      <c r="L196" s="357">
        <v>5991719.29</v>
      </c>
    </row>
    <row r="197" spans="1:12" ht="71.400000000000006" x14ac:dyDescent="0.3">
      <c r="A197" s="351" t="s">
        <v>205</v>
      </c>
      <c r="B197" s="352" t="s">
        <v>755</v>
      </c>
      <c r="C197" s="352" t="s">
        <v>53</v>
      </c>
      <c r="D197" s="352" t="s">
        <v>638</v>
      </c>
      <c r="E197" s="353" t="s">
        <v>54</v>
      </c>
      <c r="F197" s="359" t="s">
        <v>32</v>
      </c>
      <c r="G197" s="359"/>
      <c r="H197" s="353" t="s">
        <v>30</v>
      </c>
      <c r="I197" s="360">
        <v>37602.54</v>
      </c>
      <c r="J197" s="360"/>
      <c r="K197" s="356" t="s">
        <v>25</v>
      </c>
      <c r="L197" s="357">
        <v>5954116.75</v>
      </c>
    </row>
    <row r="198" spans="1:12" ht="71.400000000000006" x14ac:dyDescent="0.3">
      <c r="A198" s="351" t="s">
        <v>205</v>
      </c>
      <c r="B198" s="352" t="s">
        <v>755</v>
      </c>
      <c r="C198" s="352" t="s">
        <v>53</v>
      </c>
      <c r="D198" s="352" t="s">
        <v>639</v>
      </c>
      <c r="E198" s="353" t="s">
        <v>54</v>
      </c>
      <c r="F198" s="359" t="s">
        <v>32</v>
      </c>
      <c r="G198" s="359"/>
      <c r="H198" s="353" t="s">
        <v>30</v>
      </c>
      <c r="I198" s="360">
        <v>37602.54</v>
      </c>
      <c r="J198" s="360"/>
      <c r="K198" s="356" t="s">
        <v>25</v>
      </c>
      <c r="L198" s="357">
        <v>5916514.21</v>
      </c>
    </row>
    <row r="199" spans="1:12" ht="71.400000000000006" x14ac:dyDescent="0.3">
      <c r="A199" s="351" t="s">
        <v>205</v>
      </c>
      <c r="B199" s="352" t="s">
        <v>755</v>
      </c>
      <c r="C199" s="352" t="s">
        <v>53</v>
      </c>
      <c r="D199" s="352" t="s">
        <v>640</v>
      </c>
      <c r="E199" s="353" t="s">
        <v>54</v>
      </c>
      <c r="F199" s="359" t="s">
        <v>32</v>
      </c>
      <c r="G199" s="359"/>
      <c r="H199" s="353" t="s">
        <v>30</v>
      </c>
      <c r="I199" s="360">
        <v>37602.54</v>
      </c>
      <c r="J199" s="360"/>
      <c r="K199" s="356" t="s">
        <v>25</v>
      </c>
      <c r="L199" s="357">
        <v>5878911.6699999999</v>
      </c>
    </row>
    <row r="200" spans="1:12" ht="71.400000000000006" x14ac:dyDescent="0.3">
      <c r="A200" s="351" t="s">
        <v>205</v>
      </c>
      <c r="B200" s="352" t="s">
        <v>755</v>
      </c>
      <c r="C200" s="352" t="s">
        <v>53</v>
      </c>
      <c r="D200" s="352" t="s">
        <v>641</v>
      </c>
      <c r="E200" s="353" t="s">
        <v>54</v>
      </c>
      <c r="F200" s="359" t="s">
        <v>32</v>
      </c>
      <c r="G200" s="359"/>
      <c r="H200" s="353" t="s">
        <v>30</v>
      </c>
      <c r="I200" s="360">
        <v>37602.54</v>
      </c>
      <c r="J200" s="360"/>
      <c r="K200" s="356" t="s">
        <v>25</v>
      </c>
      <c r="L200" s="357">
        <v>5841309.1299999999</v>
      </c>
    </row>
    <row r="201" spans="1:12" ht="71.400000000000006" x14ac:dyDescent="0.3">
      <c r="A201" s="351" t="s">
        <v>205</v>
      </c>
      <c r="B201" s="352" t="s">
        <v>755</v>
      </c>
      <c r="C201" s="352" t="s">
        <v>53</v>
      </c>
      <c r="D201" s="352" t="s">
        <v>642</v>
      </c>
      <c r="E201" s="353" t="s">
        <v>54</v>
      </c>
      <c r="F201" s="359" t="s">
        <v>32</v>
      </c>
      <c r="G201" s="359"/>
      <c r="H201" s="353" t="s">
        <v>30</v>
      </c>
      <c r="I201" s="360">
        <v>37435.17</v>
      </c>
      <c r="J201" s="360"/>
      <c r="K201" s="356" t="s">
        <v>25</v>
      </c>
      <c r="L201" s="357">
        <v>5803873.96</v>
      </c>
    </row>
    <row r="202" spans="1:12" ht="71.400000000000006" x14ac:dyDescent="0.3">
      <c r="A202" s="351" t="s">
        <v>205</v>
      </c>
      <c r="B202" s="352" t="s">
        <v>755</v>
      </c>
      <c r="C202" s="352" t="s">
        <v>53</v>
      </c>
      <c r="D202" s="352" t="s">
        <v>756</v>
      </c>
      <c r="E202" s="353" t="s">
        <v>54</v>
      </c>
      <c r="F202" s="359" t="s">
        <v>32</v>
      </c>
      <c r="G202" s="359"/>
      <c r="H202" s="353" t="s">
        <v>30</v>
      </c>
      <c r="I202" s="360">
        <v>57380</v>
      </c>
      <c r="J202" s="360"/>
      <c r="K202" s="356" t="s">
        <v>25</v>
      </c>
      <c r="L202" s="357">
        <v>5746493.96</v>
      </c>
    </row>
    <row r="203" spans="1:12" ht="71.400000000000006" x14ac:dyDescent="0.3">
      <c r="A203" s="351" t="s">
        <v>205</v>
      </c>
      <c r="B203" s="352" t="s">
        <v>755</v>
      </c>
      <c r="C203" s="352" t="s">
        <v>53</v>
      </c>
      <c r="D203" s="352" t="s">
        <v>614</v>
      </c>
      <c r="E203" s="353" t="s">
        <v>54</v>
      </c>
      <c r="F203" s="359" t="s">
        <v>32</v>
      </c>
      <c r="G203" s="359"/>
      <c r="H203" s="353" t="s">
        <v>30</v>
      </c>
      <c r="I203" s="360">
        <v>59285.43</v>
      </c>
      <c r="J203" s="360"/>
      <c r="K203" s="356" t="s">
        <v>25</v>
      </c>
      <c r="L203" s="357">
        <v>5687208.5300000003</v>
      </c>
    </row>
    <row r="204" spans="1:12" ht="71.400000000000006" x14ac:dyDescent="0.3">
      <c r="A204" s="351" t="s">
        <v>205</v>
      </c>
      <c r="B204" s="352" t="s">
        <v>755</v>
      </c>
      <c r="C204" s="352" t="s">
        <v>53</v>
      </c>
      <c r="D204" s="352" t="s">
        <v>615</v>
      </c>
      <c r="E204" s="353" t="s">
        <v>54</v>
      </c>
      <c r="F204" s="359" t="s">
        <v>32</v>
      </c>
      <c r="G204" s="359"/>
      <c r="H204" s="353" t="s">
        <v>30</v>
      </c>
      <c r="I204" s="360">
        <v>39879.730000000003</v>
      </c>
      <c r="J204" s="360"/>
      <c r="K204" s="356" t="s">
        <v>25</v>
      </c>
      <c r="L204" s="357">
        <v>5647328.7999999998</v>
      </c>
    </row>
    <row r="205" spans="1:12" ht="71.400000000000006" x14ac:dyDescent="0.3">
      <c r="A205" s="351" t="s">
        <v>205</v>
      </c>
      <c r="B205" s="352" t="s">
        <v>755</v>
      </c>
      <c r="C205" s="352" t="s">
        <v>53</v>
      </c>
      <c r="D205" s="352" t="s">
        <v>625</v>
      </c>
      <c r="E205" s="353" t="s">
        <v>54</v>
      </c>
      <c r="F205" s="359" t="s">
        <v>32</v>
      </c>
      <c r="G205" s="359"/>
      <c r="H205" s="353" t="s">
        <v>30</v>
      </c>
      <c r="I205" s="360">
        <v>79759.47</v>
      </c>
      <c r="J205" s="360"/>
      <c r="K205" s="356" t="s">
        <v>25</v>
      </c>
      <c r="L205" s="357">
        <v>5567569.3300000001</v>
      </c>
    </row>
    <row r="206" spans="1:12" ht="71.400000000000006" x14ac:dyDescent="0.3">
      <c r="A206" s="351" t="s">
        <v>205</v>
      </c>
      <c r="B206" s="352" t="s">
        <v>755</v>
      </c>
      <c r="C206" s="352" t="s">
        <v>53</v>
      </c>
      <c r="D206" s="352" t="s">
        <v>625</v>
      </c>
      <c r="E206" s="353" t="s">
        <v>54</v>
      </c>
      <c r="F206" s="359" t="s">
        <v>32</v>
      </c>
      <c r="G206" s="359"/>
      <c r="H206" s="353" t="s">
        <v>30</v>
      </c>
      <c r="I206" s="360">
        <v>39879.730000000003</v>
      </c>
      <c r="J206" s="360"/>
      <c r="K206" s="356" t="s">
        <v>25</v>
      </c>
      <c r="L206" s="357">
        <v>5527689.5999999996</v>
      </c>
    </row>
    <row r="207" spans="1:12" ht="71.400000000000006" x14ac:dyDescent="0.3">
      <c r="A207" s="351" t="s">
        <v>205</v>
      </c>
      <c r="B207" s="352" t="s">
        <v>755</v>
      </c>
      <c r="C207" s="352" t="s">
        <v>53</v>
      </c>
      <c r="D207" s="352" t="s">
        <v>649</v>
      </c>
      <c r="E207" s="353" t="s">
        <v>54</v>
      </c>
      <c r="F207" s="359" t="s">
        <v>32</v>
      </c>
      <c r="G207" s="359"/>
      <c r="H207" s="353" t="s">
        <v>30</v>
      </c>
      <c r="I207" s="360">
        <v>21208.639999999999</v>
      </c>
      <c r="J207" s="360"/>
      <c r="K207" s="356" t="s">
        <v>25</v>
      </c>
      <c r="L207" s="357">
        <v>5506480.96</v>
      </c>
    </row>
    <row r="208" spans="1:12" ht="71.400000000000006" hidden="1" x14ac:dyDescent="0.3">
      <c r="A208" s="351" t="s">
        <v>205</v>
      </c>
      <c r="B208" s="352" t="s">
        <v>757</v>
      </c>
      <c r="C208" s="352" t="s">
        <v>758</v>
      </c>
      <c r="D208" s="352" t="s">
        <v>608</v>
      </c>
      <c r="E208" s="353" t="s">
        <v>30</v>
      </c>
      <c r="F208" s="354">
        <v>55665</v>
      </c>
      <c r="G208" s="354"/>
      <c r="H208" s="353" t="s">
        <v>31</v>
      </c>
      <c r="I208" s="355" t="s">
        <v>32</v>
      </c>
      <c r="J208" s="355"/>
      <c r="K208" s="356" t="s">
        <v>25</v>
      </c>
      <c r="L208" s="357">
        <v>5562145.96</v>
      </c>
    </row>
    <row r="209" spans="1:12" ht="71.400000000000006" hidden="1" x14ac:dyDescent="0.3">
      <c r="A209" s="351" t="s">
        <v>205</v>
      </c>
      <c r="B209" s="352" t="s">
        <v>757</v>
      </c>
      <c r="C209" s="352" t="s">
        <v>759</v>
      </c>
      <c r="D209" s="352" t="s">
        <v>608</v>
      </c>
      <c r="E209" s="353" t="s">
        <v>30</v>
      </c>
      <c r="F209" s="354">
        <v>18842</v>
      </c>
      <c r="G209" s="354"/>
      <c r="H209" s="353" t="s">
        <v>31</v>
      </c>
      <c r="I209" s="355" t="s">
        <v>32</v>
      </c>
      <c r="J209" s="355"/>
      <c r="K209" s="356" t="s">
        <v>25</v>
      </c>
      <c r="L209" s="357">
        <v>5580987.96</v>
      </c>
    </row>
    <row r="210" spans="1:12" ht="71.400000000000006" hidden="1" x14ac:dyDescent="0.3">
      <c r="A210" s="351" t="s">
        <v>205</v>
      </c>
      <c r="B210" s="352" t="s">
        <v>757</v>
      </c>
      <c r="C210" s="352" t="s">
        <v>760</v>
      </c>
      <c r="D210" s="352" t="s">
        <v>608</v>
      </c>
      <c r="E210" s="353" t="s">
        <v>30</v>
      </c>
      <c r="F210" s="354">
        <v>56908</v>
      </c>
      <c r="G210" s="354"/>
      <c r="H210" s="353" t="s">
        <v>31</v>
      </c>
      <c r="I210" s="355" t="s">
        <v>32</v>
      </c>
      <c r="J210" s="355"/>
      <c r="K210" s="356" t="s">
        <v>25</v>
      </c>
      <c r="L210" s="357">
        <v>5637895.96</v>
      </c>
    </row>
    <row r="211" spans="1:12" ht="71.400000000000006" hidden="1" x14ac:dyDescent="0.3">
      <c r="A211" s="351" t="s">
        <v>205</v>
      </c>
      <c r="B211" s="352" t="s">
        <v>757</v>
      </c>
      <c r="C211" s="352" t="s">
        <v>761</v>
      </c>
      <c r="D211" s="352" t="s">
        <v>608</v>
      </c>
      <c r="E211" s="353" t="s">
        <v>30</v>
      </c>
      <c r="F211" s="354">
        <v>20527</v>
      </c>
      <c r="G211" s="354"/>
      <c r="H211" s="353" t="s">
        <v>31</v>
      </c>
      <c r="I211" s="355" t="s">
        <v>32</v>
      </c>
      <c r="J211" s="355"/>
      <c r="K211" s="356" t="s">
        <v>25</v>
      </c>
      <c r="L211" s="357">
        <v>5658422.96</v>
      </c>
    </row>
    <row r="212" spans="1:12" ht="71.400000000000006" hidden="1" x14ac:dyDescent="0.3">
      <c r="A212" s="351" t="s">
        <v>205</v>
      </c>
      <c r="B212" s="352" t="s">
        <v>762</v>
      </c>
      <c r="C212" s="352" t="s">
        <v>763</v>
      </c>
      <c r="D212" s="352" t="s">
        <v>608</v>
      </c>
      <c r="E212" s="353" t="s">
        <v>30</v>
      </c>
      <c r="F212" s="354">
        <v>44807.25</v>
      </c>
      <c r="G212" s="354"/>
      <c r="H212" s="353" t="s">
        <v>31</v>
      </c>
      <c r="I212" s="355" t="s">
        <v>32</v>
      </c>
      <c r="J212" s="355"/>
      <c r="K212" s="356" t="s">
        <v>25</v>
      </c>
      <c r="L212" s="357">
        <v>5703230.21</v>
      </c>
    </row>
    <row r="213" spans="1:12" ht="71.400000000000006" hidden="1" x14ac:dyDescent="0.3">
      <c r="A213" s="351" t="s">
        <v>205</v>
      </c>
      <c r="B213" s="352" t="s">
        <v>762</v>
      </c>
      <c r="C213" s="352" t="s">
        <v>764</v>
      </c>
      <c r="D213" s="352" t="s">
        <v>608</v>
      </c>
      <c r="E213" s="353" t="s">
        <v>30</v>
      </c>
      <c r="F213" s="354">
        <v>24420</v>
      </c>
      <c r="G213" s="354"/>
      <c r="H213" s="353" t="s">
        <v>31</v>
      </c>
      <c r="I213" s="355" t="s">
        <v>32</v>
      </c>
      <c r="J213" s="355"/>
      <c r="K213" s="356" t="s">
        <v>25</v>
      </c>
      <c r="L213" s="357">
        <v>5727650.21</v>
      </c>
    </row>
    <row r="214" spans="1:12" ht="71.400000000000006" hidden="1" x14ac:dyDescent="0.3">
      <c r="A214" s="351" t="s">
        <v>205</v>
      </c>
      <c r="B214" s="352" t="s">
        <v>762</v>
      </c>
      <c r="C214" s="352" t="s">
        <v>765</v>
      </c>
      <c r="D214" s="352" t="s">
        <v>608</v>
      </c>
      <c r="E214" s="353" t="s">
        <v>30</v>
      </c>
      <c r="F214" s="354">
        <v>7700</v>
      </c>
      <c r="G214" s="354"/>
      <c r="H214" s="353" t="s">
        <v>31</v>
      </c>
      <c r="I214" s="355" t="s">
        <v>32</v>
      </c>
      <c r="J214" s="355"/>
      <c r="K214" s="356" t="s">
        <v>25</v>
      </c>
      <c r="L214" s="357">
        <v>5735350.21</v>
      </c>
    </row>
    <row r="215" spans="1:12" ht="71.400000000000006" hidden="1" x14ac:dyDescent="0.3">
      <c r="A215" s="351" t="s">
        <v>205</v>
      </c>
      <c r="B215" s="352" t="s">
        <v>766</v>
      </c>
      <c r="C215" s="352" t="s">
        <v>758</v>
      </c>
      <c r="D215" s="352" t="s">
        <v>608</v>
      </c>
      <c r="E215" s="353" t="s">
        <v>30</v>
      </c>
      <c r="F215" s="354">
        <v>1526.82</v>
      </c>
      <c r="G215" s="354"/>
      <c r="H215" s="353" t="s">
        <v>31</v>
      </c>
      <c r="I215" s="355" t="s">
        <v>32</v>
      </c>
      <c r="J215" s="355"/>
      <c r="K215" s="356" t="s">
        <v>25</v>
      </c>
      <c r="L215" s="357">
        <v>5736877.0300000003</v>
      </c>
    </row>
    <row r="216" spans="1:12" ht="71.400000000000006" hidden="1" x14ac:dyDescent="0.3">
      <c r="A216" s="351" t="s">
        <v>205</v>
      </c>
      <c r="B216" s="352" t="s">
        <v>766</v>
      </c>
      <c r="C216" s="352" t="s">
        <v>759</v>
      </c>
      <c r="D216" s="352" t="s">
        <v>608</v>
      </c>
      <c r="E216" s="353" t="s">
        <v>30</v>
      </c>
      <c r="F216" s="358">
        <v>516.82000000000005</v>
      </c>
      <c r="G216" s="358"/>
      <c r="H216" s="353" t="s">
        <v>31</v>
      </c>
      <c r="I216" s="355" t="s">
        <v>32</v>
      </c>
      <c r="J216" s="355"/>
      <c r="K216" s="356" t="s">
        <v>25</v>
      </c>
      <c r="L216" s="357">
        <v>5737393.8499999996</v>
      </c>
    </row>
    <row r="217" spans="1:12" ht="71.400000000000006" hidden="1" x14ac:dyDescent="0.3">
      <c r="A217" s="351" t="s">
        <v>205</v>
      </c>
      <c r="B217" s="352" t="s">
        <v>766</v>
      </c>
      <c r="C217" s="352" t="s">
        <v>760</v>
      </c>
      <c r="D217" s="352" t="s">
        <v>608</v>
      </c>
      <c r="E217" s="353" t="s">
        <v>30</v>
      </c>
      <c r="F217" s="354">
        <v>1560.93</v>
      </c>
      <c r="G217" s="354"/>
      <c r="H217" s="353" t="s">
        <v>31</v>
      </c>
      <c r="I217" s="355" t="s">
        <v>32</v>
      </c>
      <c r="J217" s="355"/>
      <c r="K217" s="356" t="s">
        <v>25</v>
      </c>
      <c r="L217" s="357">
        <v>5738954.7800000003</v>
      </c>
    </row>
    <row r="218" spans="1:12" ht="71.400000000000006" hidden="1" x14ac:dyDescent="0.3">
      <c r="A218" s="351" t="s">
        <v>205</v>
      </c>
      <c r="B218" s="352" t="s">
        <v>766</v>
      </c>
      <c r="C218" s="352" t="s">
        <v>761</v>
      </c>
      <c r="D218" s="352" t="s">
        <v>608</v>
      </c>
      <c r="E218" s="353" t="s">
        <v>30</v>
      </c>
      <c r="F218" s="358">
        <v>563.03</v>
      </c>
      <c r="G218" s="358"/>
      <c r="H218" s="353" t="s">
        <v>31</v>
      </c>
      <c r="I218" s="355" t="s">
        <v>32</v>
      </c>
      <c r="J218" s="355"/>
      <c r="K218" s="356" t="s">
        <v>25</v>
      </c>
      <c r="L218" s="357">
        <v>5739517.8099999996</v>
      </c>
    </row>
    <row r="219" spans="1:12" ht="71.400000000000006" hidden="1" x14ac:dyDescent="0.3">
      <c r="A219" s="351" t="s">
        <v>205</v>
      </c>
      <c r="B219" s="352" t="s">
        <v>767</v>
      </c>
      <c r="C219" s="352" t="s">
        <v>763</v>
      </c>
      <c r="D219" s="352" t="s">
        <v>608</v>
      </c>
      <c r="E219" s="353" t="s">
        <v>30</v>
      </c>
      <c r="F219" s="354">
        <v>1229.01</v>
      </c>
      <c r="G219" s="354"/>
      <c r="H219" s="353" t="s">
        <v>31</v>
      </c>
      <c r="I219" s="355" t="s">
        <v>32</v>
      </c>
      <c r="J219" s="355"/>
      <c r="K219" s="356" t="s">
        <v>25</v>
      </c>
      <c r="L219" s="357">
        <v>5740746.8200000003</v>
      </c>
    </row>
    <row r="220" spans="1:12" ht="71.400000000000006" hidden="1" x14ac:dyDescent="0.3">
      <c r="A220" s="351" t="s">
        <v>205</v>
      </c>
      <c r="B220" s="352" t="s">
        <v>767</v>
      </c>
      <c r="C220" s="352" t="s">
        <v>764</v>
      </c>
      <c r="D220" s="352" t="s">
        <v>608</v>
      </c>
      <c r="E220" s="353" t="s">
        <v>30</v>
      </c>
      <c r="F220" s="358">
        <v>669.81</v>
      </c>
      <c r="G220" s="358"/>
      <c r="H220" s="353" t="s">
        <v>31</v>
      </c>
      <c r="I220" s="355" t="s">
        <v>32</v>
      </c>
      <c r="J220" s="355"/>
      <c r="K220" s="356" t="s">
        <v>25</v>
      </c>
      <c r="L220" s="357">
        <v>5741416.6299999999</v>
      </c>
    </row>
    <row r="221" spans="1:12" ht="71.400000000000006" hidden="1" x14ac:dyDescent="0.3">
      <c r="A221" s="351" t="s">
        <v>205</v>
      </c>
      <c r="B221" s="352" t="s">
        <v>767</v>
      </c>
      <c r="C221" s="352" t="s">
        <v>765</v>
      </c>
      <c r="D221" s="352" t="s">
        <v>608</v>
      </c>
      <c r="E221" s="353" t="s">
        <v>30</v>
      </c>
      <c r="F221" s="358">
        <v>211.2</v>
      </c>
      <c r="G221" s="358"/>
      <c r="H221" s="353" t="s">
        <v>31</v>
      </c>
      <c r="I221" s="355" t="s">
        <v>32</v>
      </c>
      <c r="J221" s="355"/>
      <c r="K221" s="356" t="s">
        <v>25</v>
      </c>
      <c r="L221" s="357">
        <v>5741627.8300000001</v>
      </c>
    </row>
    <row r="222" spans="1:12" ht="71.400000000000006" hidden="1" x14ac:dyDescent="0.3">
      <c r="A222" s="351" t="s">
        <v>768</v>
      </c>
      <c r="B222" s="352" t="s">
        <v>769</v>
      </c>
      <c r="C222" s="352" t="s">
        <v>770</v>
      </c>
      <c r="D222" s="352" t="s">
        <v>771</v>
      </c>
      <c r="E222" s="353" t="s">
        <v>30</v>
      </c>
      <c r="F222" s="354">
        <v>380775.3</v>
      </c>
      <c r="G222" s="354"/>
      <c r="H222" s="353" t="s">
        <v>31</v>
      </c>
      <c r="I222" s="355" t="s">
        <v>32</v>
      </c>
      <c r="J222" s="355"/>
      <c r="K222" s="356" t="s">
        <v>25</v>
      </c>
      <c r="L222" s="357">
        <v>6122403.1299999999</v>
      </c>
    </row>
    <row r="223" spans="1:12" ht="61.2" hidden="1" x14ac:dyDescent="0.3">
      <c r="A223" s="351" t="s">
        <v>768</v>
      </c>
      <c r="B223" s="352" t="s">
        <v>772</v>
      </c>
      <c r="C223" s="352" t="s">
        <v>773</v>
      </c>
      <c r="D223" s="352" t="s">
        <v>774</v>
      </c>
      <c r="E223" s="353" t="s">
        <v>30</v>
      </c>
      <c r="F223" s="354">
        <v>9000</v>
      </c>
      <c r="G223" s="354"/>
      <c r="H223" s="353" t="s">
        <v>31</v>
      </c>
      <c r="I223" s="355" t="s">
        <v>32</v>
      </c>
      <c r="J223" s="355"/>
      <c r="K223" s="356" t="s">
        <v>25</v>
      </c>
      <c r="L223" s="357">
        <v>6131403.1299999999</v>
      </c>
    </row>
    <row r="224" spans="1:12" ht="61.2" hidden="1" x14ac:dyDescent="0.3">
      <c r="A224" s="351" t="s">
        <v>768</v>
      </c>
      <c r="B224" s="352" t="s">
        <v>772</v>
      </c>
      <c r="C224" s="352" t="s">
        <v>775</v>
      </c>
      <c r="D224" s="352" t="s">
        <v>774</v>
      </c>
      <c r="E224" s="353" t="s">
        <v>30</v>
      </c>
      <c r="F224" s="354">
        <v>10375.86</v>
      </c>
      <c r="G224" s="354"/>
      <c r="H224" s="353" t="s">
        <v>31</v>
      </c>
      <c r="I224" s="355" t="s">
        <v>32</v>
      </c>
      <c r="J224" s="355"/>
      <c r="K224" s="356" t="s">
        <v>25</v>
      </c>
      <c r="L224" s="357">
        <v>6141778.9900000002</v>
      </c>
    </row>
    <row r="225" spans="1:12" ht="81.599999999999994" hidden="1" x14ac:dyDescent="0.3">
      <c r="A225" s="351" t="s">
        <v>768</v>
      </c>
      <c r="B225" s="352" t="s">
        <v>776</v>
      </c>
      <c r="C225" s="352" t="s">
        <v>777</v>
      </c>
      <c r="D225" s="352" t="s">
        <v>778</v>
      </c>
      <c r="E225" s="353" t="s">
        <v>30</v>
      </c>
      <c r="F225" s="354">
        <v>7975</v>
      </c>
      <c r="G225" s="354"/>
      <c r="H225" s="353" t="s">
        <v>31</v>
      </c>
      <c r="I225" s="355" t="s">
        <v>32</v>
      </c>
      <c r="J225" s="355"/>
      <c r="K225" s="356" t="s">
        <v>25</v>
      </c>
      <c r="L225" s="357">
        <v>6149753.9900000002</v>
      </c>
    </row>
    <row r="226" spans="1:12" ht="91.8" hidden="1" x14ac:dyDescent="0.3">
      <c r="A226" s="351" t="s">
        <v>103</v>
      </c>
      <c r="B226" s="352" t="s">
        <v>779</v>
      </c>
      <c r="C226" s="352" t="s">
        <v>780</v>
      </c>
      <c r="D226" s="352" t="s">
        <v>604</v>
      </c>
      <c r="E226" s="353" t="s">
        <v>30</v>
      </c>
      <c r="F226" s="359" t="s">
        <v>32</v>
      </c>
      <c r="G226" s="359"/>
      <c r="H226" s="353" t="s">
        <v>30</v>
      </c>
      <c r="I226" s="360">
        <v>10647.5</v>
      </c>
      <c r="J226" s="360"/>
      <c r="K226" s="356" t="s">
        <v>25</v>
      </c>
      <c r="L226" s="357">
        <v>6139106.4900000002</v>
      </c>
    </row>
    <row r="227" spans="1:12" ht="91.8" hidden="1" x14ac:dyDescent="0.3">
      <c r="A227" s="351" t="s">
        <v>103</v>
      </c>
      <c r="B227" s="352" t="s">
        <v>779</v>
      </c>
      <c r="C227" s="352" t="s">
        <v>781</v>
      </c>
      <c r="D227" s="352" t="s">
        <v>782</v>
      </c>
      <c r="E227" s="353" t="s">
        <v>30</v>
      </c>
      <c r="F227" s="359" t="s">
        <v>32</v>
      </c>
      <c r="G227" s="359"/>
      <c r="H227" s="353" t="s">
        <v>30</v>
      </c>
      <c r="I227" s="360">
        <v>14088</v>
      </c>
      <c r="J227" s="360"/>
      <c r="K227" s="356" t="s">
        <v>25</v>
      </c>
      <c r="L227" s="357">
        <v>6125018.4900000002</v>
      </c>
    </row>
    <row r="228" spans="1:12" ht="81.599999999999994" hidden="1" x14ac:dyDescent="0.3">
      <c r="A228" s="351" t="s">
        <v>103</v>
      </c>
      <c r="B228" s="352" t="s">
        <v>488</v>
      </c>
      <c r="C228" s="352" t="s">
        <v>489</v>
      </c>
      <c r="D228" s="352" t="s">
        <v>490</v>
      </c>
      <c r="E228" s="353" t="s">
        <v>30</v>
      </c>
      <c r="F228" s="354">
        <v>24009.52</v>
      </c>
      <c r="G228" s="354"/>
      <c r="H228" s="353" t="s">
        <v>30</v>
      </c>
      <c r="I228" s="355" t="s">
        <v>32</v>
      </c>
      <c r="J228" s="355"/>
      <c r="K228" s="356" t="s">
        <v>25</v>
      </c>
      <c r="L228" s="357">
        <v>6149028.0099999998</v>
      </c>
    </row>
    <row r="229" spans="1:12" ht="81.599999999999994" hidden="1" x14ac:dyDescent="0.3">
      <c r="A229" s="351" t="s">
        <v>103</v>
      </c>
      <c r="B229" s="352" t="s">
        <v>586</v>
      </c>
      <c r="C229" s="352" t="s">
        <v>587</v>
      </c>
      <c r="D229" s="352" t="s">
        <v>588</v>
      </c>
      <c r="E229" s="353" t="s">
        <v>30</v>
      </c>
      <c r="F229" s="354">
        <v>9677.23</v>
      </c>
      <c r="G229" s="354"/>
      <c r="H229" s="353" t="s">
        <v>30</v>
      </c>
      <c r="I229" s="355" t="s">
        <v>32</v>
      </c>
      <c r="J229" s="355"/>
      <c r="K229" s="356" t="s">
        <v>25</v>
      </c>
      <c r="L229" s="357">
        <v>6158705.2400000002</v>
      </c>
    </row>
    <row r="230" spans="1:12" ht="71.400000000000006" hidden="1" x14ac:dyDescent="0.3">
      <c r="A230" s="351" t="s">
        <v>103</v>
      </c>
      <c r="B230" s="352" t="s">
        <v>783</v>
      </c>
      <c r="C230" s="352" t="s">
        <v>784</v>
      </c>
      <c r="D230" s="352" t="s">
        <v>608</v>
      </c>
      <c r="E230" s="353" t="s">
        <v>30</v>
      </c>
      <c r="F230" s="354">
        <v>92775</v>
      </c>
      <c r="G230" s="354"/>
      <c r="H230" s="353" t="s">
        <v>31</v>
      </c>
      <c r="I230" s="355" t="s">
        <v>32</v>
      </c>
      <c r="J230" s="355"/>
      <c r="K230" s="356" t="s">
        <v>25</v>
      </c>
      <c r="L230" s="357">
        <v>6251480.2400000002</v>
      </c>
    </row>
    <row r="231" spans="1:12" ht="71.400000000000006" hidden="1" x14ac:dyDescent="0.3">
      <c r="A231" s="351" t="s">
        <v>103</v>
      </c>
      <c r="B231" s="352" t="s">
        <v>783</v>
      </c>
      <c r="C231" s="352" t="s">
        <v>785</v>
      </c>
      <c r="D231" s="352" t="s">
        <v>608</v>
      </c>
      <c r="E231" s="353" t="s">
        <v>30</v>
      </c>
      <c r="F231" s="354">
        <v>41054</v>
      </c>
      <c r="G231" s="354"/>
      <c r="H231" s="353" t="s">
        <v>31</v>
      </c>
      <c r="I231" s="355" t="s">
        <v>32</v>
      </c>
      <c r="J231" s="355"/>
      <c r="K231" s="356" t="s">
        <v>25</v>
      </c>
      <c r="L231" s="357">
        <v>6292534.2400000002</v>
      </c>
    </row>
    <row r="232" spans="1:12" ht="71.400000000000006" hidden="1" x14ac:dyDescent="0.3">
      <c r="A232" s="351" t="s">
        <v>103</v>
      </c>
      <c r="B232" s="352" t="s">
        <v>786</v>
      </c>
      <c r="C232" s="352" t="s">
        <v>784</v>
      </c>
      <c r="D232" s="352" t="s">
        <v>608</v>
      </c>
      <c r="E232" s="353" t="s">
        <v>30</v>
      </c>
      <c r="F232" s="354">
        <v>2544.6999999999998</v>
      </c>
      <c r="G232" s="354"/>
      <c r="H232" s="353" t="s">
        <v>31</v>
      </c>
      <c r="I232" s="355" t="s">
        <v>32</v>
      </c>
      <c r="J232" s="355"/>
      <c r="K232" s="356" t="s">
        <v>25</v>
      </c>
      <c r="L232" s="357">
        <v>6295078.9400000004</v>
      </c>
    </row>
    <row r="233" spans="1:12" ht="71.400000000000006" hidden="1" x14ac:dyDescent="0.3">
      <c r="A233" s="351" t="s">
        <v>103</v>
      </c>
      <c r="B233" s="352" t="s">
        <v>786</v>
      </c>
      <c r="C233" s="352" t="s">
        <v>785</v>
      </c>
      <c r="D233" s="352" t="s">
        <v>608</v>
      </c>
      <c r="E233" s="353" t="s">
        <v>30</v>
      </c>
      <c r="F233" s="354">
        <v>1126.07</v>
      </c>
      <c r="G233" s="354"/>
      <c r="H233" s="353" t="s">
        <v>31</v>
      </c>
      <c r="I233" s="355" t="s">
        <v>32</v>
      </c>
      <c r="J233" s="355"/>
      <c r="K233" s="356" t="s">
        <v>25</v>
      </c>
      <c r="L233" s="357">
        <v>6296205.0099999998</v>
      </c>
    </row>
    <row r="234" spans="1:12" ht="71.400000000000006" x14ac:dyDescent="0.3">
      <c r="A234" s="351" t="s">
        <v>103</v>
      </c>
      <c r="B234" s="352" t="s">
        <v>787</v>
      </c>
      <c r="C234" s="352" t="s">
        <v>53</v>
      </c>
      <c r="D234" s="352" t="s">
        <v>788</v>
      </c>
      <c r="E234" s="353" t="s">
        <v>54</v>
      </c>
      <c r="F234" s="359" t="s">
        <v>32</v>
      </c>
      <c r="G234" s="359"/>
      <c r="H234" s="353" t="s">
        <v>30</v>
      </c>
      <c r="I234" s="360">
        <v>7946.68</v>
      </c>
      <c r="J234" s="360"/>
      <c r="K234" s="356" t="s">
        <v>25</v>
      </c>
      <c r="L234" s="357">
        <v>6288258.3300000001</v>
      </c>
    </row>
    <row r="235" spans="1:12" ht="71.400000000000006" x14ac:dyDescent="0.3">
      <c r="A235" s="351" t="s">
        <v>103</v>
      </c>
      <c r="B235" s="352" t="s">
        <v>787</v>
      </c>
      <c r="C235" s="352" t="s">
        <v>53</v>
      </c>
      <c r="D235" s="352" t="s">
        <v>618</v>
      </c>
      <c r="E235" s="353" t="s">
        <v>54</v>
      </c>
      <c r="F235" s="359" t="s">
        <v>32</v>
      </c>
      <c r="G235" s="359"/>
      <c r="H235" s="353" t="s">
        <v>30</v>
      </c>
      <c r="I235" s="361">
        <v>885.74</v>
      </c>
      <c r="J235" s="361"/>
      <c r="K235" s="356" t="s">
        <v>25</v>
      </c>
      <c r="L235" s="357">
        <v>6287372.5899999999</v>
      </c>
    </row>
    <row r="236" spans="1:12" ht="71.400000000000006" x14ac:dyDescent="0.3">
      <c r="A236" s="351" t="s">
        <v>103</v>
      </c>
      <c r="B236" s="352" t="s">
        <v>787</v>
      </c>
      <c r="C236" s="352" t="s">
        <v>53</v>
      </c>
      <c r="D236" s="352" t="s">
        <v>489</v>
      </c>
      <c r="E236" s="353" t="s">
        <v>54</v>
      </c>
      <c r="F236" s="359" t="s">
        <v>32</v>
      </c>
      <c r="G236" s="359"/>
      <c r="H236" s="353" t="s">
        <v>30</v>
      </c>
      <c r="I236" s="360">
        <v>24009.52</v>
      </c>
      <c r="J236" s="360"/>
      <c r="K236" s="356" t="s">
        <v>25</v>
      </c>
      <c r="L236" s="357">
        <v>6263363.0700000003</v>
      </c>
    </row>
    <row r="237" spans="1:12" ht="71.400000000000006" x14ac:dyDescent="0.3">
      <c r="A237" s="351" t="s">
        <v>103</v>
      </c>
      <c r="B237" s="352" t="s">
        <v>789</v>
      </c>
      <c r="C237" s="352" t="s">
        <v>53</v>
      </c>
      <c r="D237" s="352" t="s">
        <v>790</v>
      </c>
      <c r="E237" s="353" t="s">
        <v>54</v>
      </c>
      <c r="F237" s="359" t="s">
        <v>32</v>
      </c>
      <c r="G237" s="359"/>
      <c r="H237" s="353" t="s">
        <v>30</v>
      </c>
      <c r="I237" s="361">
        <v>537.52</v>
      </c>
      <c r="J237" s="361"/>
      <c r="K237" s="356" t="s">
        <v>25</v>
      </c>
      <c r="L237" s="357">
        <v>6262825.5499999998</v>
      </c>
    </row>
    <row r="238" spans="1:12" ht="71.400000000000006" x14ac:dyDescent="0.3">
      <c r="A238" s="351" t="s">
        <v>103</v>
      </c>
      <c r="B238" s="352" t="s">
        <v>791</v>
      </c>
      <c r="C238" s="352" t="s">
        <v>53</v>
      </c>
      <c r="D238" s="352" t="s">
        <v>792</v>
      </c>
      <c r="E238" s="353" t="s">
        <v>54</v>
      </c>
      <c r="F238" s="359" t="s">
        <v>32</v>
      </c>
      <c r="G238" s="359"/>
      <c r="H238" s="353" t="s">
        <v>30</v>
      </c>
      <c r="I238" s="360">
        <v>300653.57</v>
      </c>
      <c r="J238" s="360"/>
      <c r="K238" s="356" t="s">
        <v>25</v>
      </c>
      <c r="L238" s="357">
        <v>5962171.9800000004</v>
      </c>
    </row>
    <row r="239" spans="1:12" ht="81.599999999999994" x14ac:dyDescent="0.3">
      <c r="A239" s="351" t="s">
        <v>103</v>
      </c>
      <c r="B239" s="352" t="s">
        <v>791</v>
      </c>
      <c r="C239" s="352" t="s">
        <v>53</v>
      </c>
      <c r="D239" s="352" t="s">
        <v>793</v>
      </c>
      <c r="E239" s="353" t="s">
        <v>54</v>
      </c>
      <c r="F239" s="359" t="s">
        <v>32</v>
      </c>
      <c r="G239" s="359"/>
      <c r="H239" s="353" t="s">
        <v>30</v>
      </c>
      <c r="I239" s="360">
        <v>68188.41</v>
      </c>
      <c r="J239" s="360"/>
      <c r="K239" s="356" t="s">
        <v>25</v>
      </c>
      <c r="L239" s="357">
        <v>5893983.5700000003</v>
      </c>
    </row>
    <row r="240" spans="1:12" ht="71.400000000000006" x14ac:dyDescent="0.3">
      <c r="A240" s="351" t="s">
        <v>103</v>
      </c>
      <c r="B240" s="352" t="s">
        <v>791</v>
      </c>
      <c r="C240" s="352" t="s">
        <v>53</v>
      </c>
      <c r="D240" s="352" t="s">
        <v>618</v>
      </c>
      <c r="E240" s="353" t="s">
        <v>54</v>
      </c>
      <c r="F240" s="359" t="s">
        <v>32</v>
      </c>
      <c r="G240" s="359"/>
      <c r="H240" s="353" t="s">
        <v>30</v>
      </c>
      <c r="I240" s="361">
        <v>885.74</v>
      </c>
      <c r="J240" s="361"/>
      <c r="K240" s="356" t="s">
        <v>25</v>
      </c>
      <c r="L240" s="357">
        <v>5893097.8300000001</v>
      </c>
    </row>
    <row r="241" spans="1:12" ht="71.400000000000006" x14ac:dyDescent="0.3">
      <c r="A241" s="351" t="s">
        <v>103</v>
      </c>
      <c r="B241" s="352" t="s">
        <v>791</v>
      </c>
      <c r="C241" s="352" t="s">
        <v>53</v>
      </c>
      <c r="D241" s="352" t="s">
        <v>620</v>
      </c>
      <c r="E241" s="353" t="s">
        <v>54</v>
      </c>
      <c r="F241" s="359" t="s">
        <v>32</v>
      </c>
      <c r="G241" s="359"/>
      <c r="H241" s="353" t="s">
        <v>30</v>
      </c>
      <c r="I241" s="360">
        <v>24009.52</v>
      </c>
      <c r="J241" s="360"/>
      <c r="K241" s="356" t="s">
        <v>25</v>
      </c>
      <c r="L241" s="357">
        <v>5869088.3099999996</v>
      </c>
    </row>
    <row r="242" spans="1:12" ht="81.599999999999994" x14ac:dyDescent="0.3">
      <c r="A242" s="351" t="s">
        <v>103</v>
      </c>
      <c r="B242" s="352" t="s">
        <v>794</v>
      </c>
      <c r="C242" s="352" t="s">
        <v>53</v>
      </c>
      <c r="D242" s="352" t="s">
        <v>793</v>
      </c>
      <c r="E242" s="353" t="s">
        <v>54</v>
      </c>
      <c r="F242" s="359" t="s">
        <v>32</v>
      </c>
      <c r="G242" s="359"/>
      <c r="H242" s="353" t="s">
        <v>30</v>
      </c>
      <c r="I242" s="360">
        <v>105204.07</v>
      </c>
      <c r="J242" s="360"/>
      <c r="K242" s="356" t="s">
        <v>25</v>
      </c>
      <c r="L242" s="357">
        <v>5763884.2400000002</v>
      </c>
    </row>
    <row r="243" spans="1:12" ht="71.400000000000006" x14ac:dyDescent="0.3">
      <c r="A243" s="351" t="s">
        <v>103</v>
      </c>
      <c r="B243" s="352" t="s">
        <v>794</v>
      </c>
      <c r="C243" s="352" t="s">
        <v>53</v>
      </c>
      <c r="D243" s="352" t="s">
        <v>795</v>
      </c>
      <c r="E243" s="353" t="s">
        <v>54</v>
      </c>
      <c r="F243" s="359" t="s">
        <v>32</v>
      </c>
      <c r="G243" s="359"/>
      <c r="H243" s="353" t="s">
        <v>30</v>
      </c>
      <c r="I243" s="360">
        <v>3969</v>
      </c>
      <c r="J243" s="360"/>
      <c r="K243" s="356" t="s">
        <v>25</v>
      </c>
      <c r="L243" s="357">
        <v>5759915.2400000002</v>
      </c>
    </row>
    <row r="244" spans="1:12" ht="61.2" x14ac:dyDescent="0.3">
      <c r="A244" s="351" t="s">
        <v>103</v>
      </c>
      <c r="B244" s="352" t="s">
        <v>794</v>
      </c>
      <c r="C244" s="352" t="s">
        <v>53</v>
      </c>
      <c r="D244" s="352" t="s">
        <v>796</v>
      </c>
      <c r="E244" s="353" t="s">
        <v>54</v>
      </c>
      <c r="F244" s="359" t="s">
        <v>32</v>
      </c>
      <c r="G244" s="359"/>
      <c r="H244" s="353" t="s">
        <v>30</v>
      </c>
      <c r="I244" s="361">
        <v>994.97</v>
      </c>
      <c r="J244" s="361"/>
      <c r="K244" s="356" t="s">
        <v>25</v>
      </c>
      <c r="L244" s="357">
        <v>5758920.2699999996</v>
      </c>
    </row>
    <row r="245" spans="1:12" ht="61.2" x14ac:dyDescent="0.3">
      <c r="A245" s="351" t="s">
        <v>103</v>
      </c>
      <c r="B245" s="352" t="s">
        <v>794</v>
      </c>
      <c r="C245" s="352" t="s">
        <v>53</v>
      </c>
      <c r="D245" s="352" t="s">
        <v>797</v>
      </c>
      <c r="E245" s="353" t="s">
        <v>54</v>
      </c>
      <c r="F245" s="359" t="s">
        <v>32</v>
      </c>
      <c r="G245" s="359"/>
      <c r="H245" s="353" t="s">
        <v>30</v>
      </c>
      <c r="I245" s="361">
        <v>994.97</v>
      </c>
      <c r="J245" s="361"/>
      <c r="K245" s="356" t="s">
        <v>25</v>
      </c>
      <c r="L245" s="357">
        <v>5757925.2999999998</v>
      </c>
    </row>
    <row r="246" spans="1:12" ht="61.2" x14ac:dyDescent="0.3">
      <c r="A246" s="351" t="s">
        <v>103</v>
      </c>
      <c r="B246" s="352" t="s">
        <v>794</v>
      </c>
      <c r="C246" s="352" t="s">
        <v>53</v>
      </c>
      <c r="D246" s="352" t="s">
        <v>679</v>
      </c>
      <c r="E246" s="353" t="s">
        <v>54</v>
      </c>
      <c r="F246" s="359" t="s">
        <v>32</v>
      </c>
      <c r="G246" s="359"/>
      <c r="H246" s="353" t="s">
        <v>30</v>
      </c>
      <c r="I246" s="360">
        <v>1874.4</v>
      </c>
      <c r="J246" s="360"/>
      <c r="K246" s="356" t="s">
        <v>25</v>
      </c>
      <c r="L246" s="357">
        <v>5756050.9000000004</v>
      </c>
    </row>
    <row r="247" spans="1:12" ht="61.2" x14ac:dyDescent="0.3">
      <c r="A247" s="351" t="s">
        <v>103</v>
      </c>
      <c r="B247" s="352" t="s">
        <v>794</v>
      </c>
      <c r="C247" s="352" t="s">
        <v>53</v>
      </c>
      <c r="D247" s="352" t="s">
        <v>681</v>
      </c>
      <c r="E247" s="353" t="s">
        <v>54</v>
      </c>
      <c r="F247" s="359" t="s">
        <v>32</v>
      </c>
      <c r="G247" s="359"/>
      <c r="H247" s="353" t="s">
        <v>30</v>
      </c>
      <c r="I247" s="360">
        <v>1033.82</v>
      </c>
      <c r="J247" s="360"/>
      <c r="K247" s="356" t="s">
        <v>25</v>
      </c>
      <c r="L247" s="357">
        <v>5755017.0800000001</v>
      </c>
    </row>
    <row r="248" spans="1:12" ht="61.2" x14ac:dyDescent="0.3">
      <c r="A248" s="351" t="s">
        <v>103</v>
      </c>
      <c r="B248" s="352" t="s">
        <v>798</v>
      </c>
      <c r="C248" s="352" t="s">
        <v>53</v>
      </c>
      <c r="D248" s="352" t="s">
        <v>587</v>
      </c>
      <c r="E248" s="353" t="s">
        <v>54</v>
      </c>
      <c r="F248" s="359" t="s">
        <v>32</v>
      </c>
      <c r="G248" s="359"/>
      <c r="H248" s="353" t="s">
        <v>30</v>
      </c>
      <c r="I248" s="360">
        <v>9677.23</v>
      </c>
      <c r="J248" s="360"/>
      <c r="K248" s="356" t="s">
        <v>25</v>
      </c>
      <c r="L248" s="357">
        <v>5745339.8499999996</v>
      </c>
    </row>
    <row r="249" spans="1:12" ht="61.2" x14ac:dyDescent="0.3">
      <c r="A249" s="351" t="s">
        <v>103</v>
      </c>
      <c r="B249" s="352" t="s">
        <v>798</v>
      </c>
      <c r="C249" s="352" t="s">
        <v>53</v>
      </c>
      <c r="D249" s="352" t="s">
        <v>652</v>
      </c>
      <c r="E249" s="353" t="s">
        <v>54</v>
      </c>
      <c r="F249" s="359" t="s">
        <v>32</v>
      </c>
      <c r="G249" s="359"/>
      <c r="H249" s="353" t="s">
        <v>30</v>
      </c>
      <c r="I249" s="360">
        <v>12997.6</v>
      </c>
      <c r="J249" s="360"/>
      <c r="K249" s="356" t="s">
        <v>25</v>
      </c>
      <c r="L249" s="357">
        <v>5732342.25</v>
      </c>
    </row>
    <row r="250" spans="1:12" ht="61.2" x14ac:dyDescent="0.3">
      <c r="A250" s="351" t="s">
        <v>103</v>
      </c>
      <c r="B250" s="352" t="s">
        <v>798</v>
      </c>
      <c r="C250" s="352" t="s">
        <v>53</v>
      </c>
      <c r="D250" s="352" t="s">
        <v>652</v>
      </c>
      <c r="E250" s="353" t="s">
        <v>54</v>
      </c>
      <c r="F250" s="359" t="s">
        <v>32</v>
      </c>
      <c r="G250" s="359"/>
      <c r="H250" s="353" t="s">
        <v>30</v>
      </c>
      <c r="I250" s="360">
        <v>10634.4</v>
      </c>
      <c r="J250" s="360"/>
      <c r="K250" s="356" t="s">
        <v>25</v>
      </c>
      <c r="L250" s="357">
        <v>5721707.8499999996</v>
      </c>
    </row>
    <row r="251" spans="1:12" ht="61.2" x14ac:dyDescent="0.3">
      <c r="A251" s="351" t="s">
        <v>103</v>
      </c>
      <c r="B251" s="352" t="s">
        <v>798</v>
      </c>
      <c r="C251" s="352" t="s">
        <v>53</v>
      </c>
      <c r="D251" s="352" t="s">
        <v>712</v>
      </c>
      <c r="E251" s="353" t="s">
        <v>54</v>
      </c>
      <c r="F251" s="359" t="s">
        <v>32</v>
      </c>
      <c r="G251" s="359"/>
      <c r="H251" s="353" t="s">
        <v>30</v>
      </c>
      <c r="I251" s="360">
        <v>12559.53</v>
      </c>
      <c r="J251" s="360"/>
      <c r="K251" s="356" t="s">
        <v>25</v>
      </c>
      <c r="L251" s="357">
        <v>5709148.3200000003</v>
      </c>
    </row>
    <row r="252" spans="1:12" ht="61.2" x14ac:dyDescent="0.3">
      <c r="A252" s="351" t="s">
        <v>103</v>
      </c>
      <c r="B252" s="352" t="s">
        <v>798</v>
      </c>
      <c r="C252" s="352" t="s">
        <v>53</v>
      </c>
      <c r="D252" s="352" t="s">
        <v>712</v>
      </c>
      <c r="E252" s="353" t="s">
        <v>54</v>
      </c>
      <c r="F252" s="359" t="s">
        <v>32</v>
      </c>
      <c r="G252" s="359"/>
      <c r="H252" s="353" t="s">
        <v>30</v>
      </c>
      <c r="I252" s="360">
        <v>10275.969999999999</v>
      </c>
      <c r="J252" s="360"/>
      <c r="K252" s="356" t="s">
        <v>25</v>
      </c>
      <c r="L252" s="357">
        <v>5698872.3499999996</v>
      </c>
    </row>
    <row r="253" spans="1:12" ht="71.400000000000006" x14ac:dyDescent="0.3">
      <c r="A253" s="351" t="s">
        <v>103</v>
      </c>
      <c r="B253" s="352" t="s">
        <v>798</v>
      </c>
      <c r="C253" s="352" t="s">
        <v>53</v>
      </c>
      <c r="D253" s="352" t="s">
        <v>707</v>
      </c>
      <c r="E253" s="353" t="s">
        <v>54</v>
      </c>
      <c r="F253" s="359" t="s">
        <v>32</v>
      </c>
      <c r="G253" s="359"/>
      <c r="H253" s="353" t="s">
        <v>30</v>
      </c>
      <c r="I253" s="360">
        <v>37225.800000000003</v>
      </c>
      <c r="J253" s="360"/>
      <c r="K253" s="356" t="s">
        <v>25</v>
      </c>
      <c r="L253" s="357">
        <v>5661646.5499999998</v>
      </c>
    </row>
    <row r="254" spans="1:12" ht="71.400000000000006" x14ac:dyDescent="0.3">
      <c r="A254" s="351" t="s">
        <v>103</v>
      </c>
      <c r="B254" s="352" t="s">
        <v>798</v>
      </c>
      <c r="C254" s="352" t="s">
        <v>53</v>
      </c>
      <c r="D254" s="352" t="s">
        <v>710</v>
      </c>
      <c r="E254" s="353" t="s">
        <v>54</v>
      </c>
      <c r="F254" s="359" t="s">
        <v>32</v>
      </c>
      <c r="G254" s="359"/>
      <c r="H254" s="353" t="s">
        <v>30</v>
      </c>
      <c r="I254" s="360">
        <v>37225.800000000003</v>
      </c>
      <c r="J254" s="360"/>
      <c r="K254" s="356" t="s">
        <v>25</v>
      </c>
      <c r="L254" s="357">
        <v>5624420.75</v>
      </c>
    </row>
    <row r="255" spans="1:12" ht="71.400000000000006" x14ac:dyDescent="0.3">
      <c r="A255" s="351" t="s">
        <v>103</v>
      </c>
      <c r="B255" s="352" t="s">
        <v>798</v>
      </c>
      <c r="C255" s="352" t="s">
        <v>53</v>
      </c>
      <c r="D255" s="352" t="s">
        <v>708</v>
      </c>
      <c r="E255" s="353" t="s">
        <v>54</v>
      </c>
      <c r="F255" s="359" t="s">
        <v>32</v>
      </c>
      <c r="G255" s="359"/>
      <c r="H255" s="353" t="s">
        <v>30</v>
      </c>
      <c r="I255" s="360">
        <v>37059.360000000001</v>
      </c>
      <c r="J255" s="360"/>
      <c r="K255" s="356" t="s">
        <v>25</v>
      </c>
      <c r="L255" s="357">
        <v>5587361.3899999997</v>
      </c>
    </row>
    <row r="256" spans="1:12" ht="71.400000000000006" x14ac:dyDescent="0.3">
      <c r="A256" s="351" t="s">
        <v>103</v>
      </c>
      <c r="B256" s="352" t="s">
        <v>798</v>
      </c>
      <c r="C256" s="352" t="s">
        <v>53</v>
      </c>
      <c r="D256" s="352" t="s">
        <v>709</v>
      </c>
      <c r="E256" s="353" t="s">
        <v>54</v>
      </c>
      <c r="F256" s="359" t="s">
        <v>32</v>
      </c>
      <c r="G256" s="359"/>
      <c r="H256" s="353" t="s">
        <v>30</v>
      </c>
      <c r="I256" s="360">
        <v>38803.93</v>
      </c>
      <c r="J256" s="360"/>
      <c r="K256" s="356" t="s">
        <v>25</v>
      </c>
      <c r="L256" s="357">
        <v>5548557.46</v>
      </c>
    </row>
    <row r="257" spans="1:12" ht="71.400000000000006" x14ac:dyDescent="0.3">
      <c r="A257" s="351" t="s">
        <v>103</v>
      </c>
      <c r="B257" s="352" t="s">
        <v>798</v>
      </c>
      <c r="C257" s="352" t="s">
        <v>53</v>
      </c>
      <c r="D257" s="352" t="s">
        <v>719</v>
      </c>
      <c r="E257" s="353" t="s">
        <v>54</v>
      </c>
      <c r="F257" s="359" t="s">
        <v>32</v>
      </c>
      <c r="G257" s="359"/>
      <c r="H257" s="353" t="s">
        <v>30</v>
      </c>
      <c r="I257" s="360">
        <v>38803.949999999997</v>
      </c>
      <c r="J257" s="360"/>
      <c r="K257" s="356" t="s">
        <v>25</v>
      </c>
      <c r="L257" s="357">
        <v>5509753.5099999998</v>
      </c>
    </row>
    <row r="258" spans="1:12" ht="71.400000000000006" x14ac:dyDescent="0.3">
      <c r="A258" s="351" t="s">
        <v>103</v>
      </c>
      <c r="B258" s="352" t="s">
        <v>798</v>
      </c>
      <c r="C258" s="352" t="s">
        <v>53</v>
      </c>
      <c r="D258" s="352" t="s">
        <v>720</v>
      </c>
      <c r="E258" s="353" t="s">
        <v>54</v>
      </c>
      <c r="F258" s="359" t="s">
        <v>32</v>
      </c>
      <c r="G258" s="359"/>
      <c r="H258" s="353" t="s">
        <v>30</v>
      </c>
      <c r="I258" s="360">
        <v>38803.93</v>
      </c>
      <c r="J258" s="360"/>
      <c r="K258" s="356" t="s">
        <v>25</v>
      </c>
      <c r="L258" s="357">
        <v>5470949.5800000001</v>
      </c>
    </row>
    <row r="259" spans="1:12" ht="71.400000000000006" x14ac:dyDescent="0.3">
      <c r="A259" s="351" t="s">
        <v>103</v>
      </c>
      <c r="B259" s="352" t="s">
        <v>798</v>
      </c>
      <c r="C259" s="352" t="s">
        <v>53</v>
      </c>
      <c r="D259" s="352" t="s">
        <v>721</v>
      </c>
      <c r="E259" s="353" t="s">
        <v>54</v>
      </c>
      <c r="F259" s="359" t="s">
        <v>32</v>
      </c>
      <c r="G259" s="359"/>
      <c r="H259" s="353" t="s">
        <v>30</v>
      </c>
      <c r="I259" s="360">
        <v>38803.93</v>
      </c>
      <c r="J259" s="360"/>
      <c r="K259" s="356" t="s">
        <v>25</v>
      </c>
      <c r="L259" s="357">
        <v>5432145.6500000004</v>
      </c>
    </row>
    <row r="260" spans="1:12" ht="71.400000000000006" x14ac:dyDescent="0.3">
      <c r="A260" s="351" t="s">
        <v>103</v>
      </c>
      <c r="B260" s="352" t="s">
        <v>798</v>
      </c>
      <c r="C260" s="352" t="s">
        <v>53</v>
      </c>
      <c r="D260" s="352" t="s">
        <v>722</v>
      </c>
      <c r="E260" s="353" t="s">
        <v>54</v>
      </c>
      <c r="F260" s="359" t="s">
        <v>32</v>
      </c>
      <c r="G260" s="359"/>
      <c r="H260" s="353" t="s">
        <v>30</v>
      </c>
      <c r="I260" s="360">
        <v>38803.93</v>
      </c>
      <c r="J260" s="360"/>
      <c r="K260" s="356" t="s">
        <v>25</v>
      </c>
      <c r="L260" s="357">
        <v>5393341.7199999997</v>
      </c>
    </row>
    <row r="261" spans="1:12" ht="71.400000000000006" x14ac:dyDescent="0.3">
      <c r="A261" s="351" t="s">
        <v>103</v>
      </c>
      <c r="B261" s="352" t="s">
        <v>798</v>
      </c>
      <c r="C261" s="352" t="s">
        <v>53</v>
      </c>
      <c r="D261" s="352" t="s">
        <v>664</v>
      </c>
      <c r="E261" s="353" t="s">
        <v>54</v>
      </c>
      <c r="F261" s="359" t="s">
        <v>32</v>
      </c>
      <c r="G261" s="359"/>
      <c r="H261" s="353" t="s">
        <v>30</v>
      </c>
      <c r="I261" s="360">
        <v>21208.639999999999</v>
      </c>
      <c r="J261" s="360"/>
      <c r="K261" s="356" t="s">
        <v>25</v>
      </c>
      <c r="L261" s="357">
        <v>5372133.0800000001</v>
      </c>
    </row>
    <row r="262" spans="1:12" ht="71.400000000000006" x14ac:dyDescent="0.3">
      <c r="A262" s="351" t="s">
        <v>103</v>
      </c>
      <c r="B262" s="352" t="s">
        <v>798</v>
      </c>
      <c r="C262" s="352" t="s">
        <v>53</v>
      </c>
      <c r="D262" s="352" t="s">
        <v>728</v>
      </c>
      <c r="E262" s="353" t="s">
        <v>54</v>
      </c>
      <c r="F262" s="359" t="s">
        <v>32</v>
      </c>
      <c r="G262" s="359"/>
      <c r="H262" s="353" t="s">
        <v>30</v>
      </c>
      <c r="I262" s="360">
        <v>42180.07</v>
      </c>
      <c r="J262" s="360"/>
      <c r="K262" s="356" t="s">
        <v>25</v>
      </c>
      <c r="L262" s="357">
        <v>5329953.01</v>
      </c>
    </row>
    <row r="263" spans="1:12" ht="71.400000000000006" x14ac:dyDescent="0.3">
      <c r="A263" s="351" t="s">
        <v>103</v>
      </c>
      <c r="B263" s="352" t="s">
        <v>798</v>
      </c>
      <c r="C263" s="352" t="s">
        <v>53</v>
      </c>
      <c r="D263" s="352" t="s">
        <v>728</v>
      </c>
      <c r="E263" s="353" t="s">
        <v>54</v>
      </c>
      <c r="F263" s="359" t="s">
        <v>32</v>
      </c>
      <c r="G263" s="359"/>
      <c r="H263" s="353" t="s">
        <v>30</v>
      </c>
      <c r="I263" s="360">
        <v>42180.06</v>
      </c>
      <c r="J263" s="360"/>
      <c r="K263" s="356" t="s">
        <v>25</v>
      </c>
      <c r="L263" s="357">
        <v>5287772.95</v>
      </c>
    </row>
    <row r="264" spans="1:12" ht="71.400000000000006" x14ac:dyDescent="0.3">
      <c r="A264" s="351" t="s">
        <v>103</v>
      </c>
      <c r="B264" s="352" t="s">
        <v>798</v>
      </c>
      <c r="C264" s="352" t="s">
        <v>53</v>
      </c>
      <c r="D264" s="352" t="s">
        <v>734</v>
      </c>
      <c r="E264" s="353" t="s">
        <v>54</v>
      </c>
      <c r="F264" s="359" t="s">
        <v>32</v>
      </c>
      <c r="G264" s="359"/>
      <c r="H264" s="353" t="s">
        <v>30</v>
      </c>
      <c r="I264" s="360">
        <v>42180.07</v>
      </c>
      <c r="J264" s="360"/>
      <c r="K264" s="356" t="s">
        <v>25</v>
      </c>
      <c r="L264" s="357">
        <v>5245592.88</v>
      </c>
    </row>
    <row r="265" spans="1:12" ht="61.2" x14ac:dyDescent="0.3">
      <c r="A265" s="351" t="s">
        <v>103</v>
      </c>
      <c r="B265" s="352" t="s">
        <v>799</v>
      </c>
      <c r="C265" s="352" t="s">
        <v>53</v>
      </c>
      <c r="D265" s="352" t="s">
        <v>671</v>
      </c>
      <c r="E265" s="353" t="s">
        <v>54</v>
      </c>
      <c r="F265" s="359" t="s">
        <v>32</v>
      </c>
      <c r="G265" s="359"/>
      <c r="H265" s="353" t="s">
        <v>30</v>
      </c>
      <c r="I265" s="360">
        <v>22503.25</v>
      </c>
      <c r="J265" s="360"/>
      <c r="K265" s="356" t="s">
        <v>25</v>
      </c>
      <c r="L265" s="357">
        <v>5223089.63</v>
      </c>
    </row>
    <row r="266" spans="1:12" ht="61.2" x14ac:dyDescent="0.3">
      <c r="A266" s="351" t="s">
        <v>103</v>
      </c>
      <c r="B266" s="352" t="s">
        <v>799</v>
      </c>
      <c r="C266" s="352" t="s">
        <v>53</v>
      </c>
      <c r="D266" s="352" t="s">
        <v>764</v>
      </c>
      <c r="E266" s="353" t="s">
        <v>54</v>
      </c>
      <c r="F266" s="359" t="s">
        <v>32</v>
      </c>
      <c r="G266" s="359"/>
      <c r="H266" s="353" t="s">
        <v>30</v>
      </c>
      <c r="I266" s="360">
        <v>25089.81</v>
      </c>
      <c r="J266" s="360"/>
      <c r="K266" s="356" t="s">
        <v>25</v>
      </c>
      <c r="L266" s="357">
        <v>5197999.82</v>
      </c>
    </row>
    <row r="267" spans="1:12" ht="71.400000000000006" x14ac:dyDescent="0.3">
      <c r="A267" s="351" t="s">
        <v>103</v>
      </c>
      <c r="B267" s="352" t="s">
        <v>799</v>
      </c>
      <c r="C267" s="352" t="s">
        <v>53</v>
      </c>
      <c r="D267" s="352" t="s">
        <v>660</v>
      </c>
      <c r="E267" s="353" t="s">
        <v>54</v>
      </c>
      <c r="F267" s="359" t="s">
        <v>32</v>
      </c>
      <c r="G267" s="359"/>
      <c r="H267" s="353" t="s">
        <v>30</v>
      </c>
      <c r="I267" s="360">
        <v>37267.78</v>
      </c>
      <c r="J267" s="360"/>
      <c r="K267" s="356" t="s">
        <v>25</v>
      </c>
      <c r="L267" s="357">
        <v>5160732.04</v>
      </c>
    </row>
    <row r="268" spans="1:12" ht="71.400000000000006" x14ac:dyDescent="0.3">
      <c r="A268" s="351" t="s">
        <v>103</v>
      </c>
      <c r="B268" s="352" t="s">
        <v>799</v>
      </c>
      <c r="C268" s="352" t="s">
        <v>53</v>
      </c>
      <c r="D268" s="352" t="s">
        <v>674</v>
      </c>
      <c r="E268" s="353" t="s">
        <v>54</v>
      </c>
      <c r="F268" s="359" t="s">
        <v>32</v>
      </c>
      <c r="G268" s="359"/>
      <c r="H268" s="353" t="s">
        <v>30</v>
      </c>
      <c r="I268" s="360">
        <v>37138.629999999997</v>
      </c>
      <c r="J268" s="360"/>
      <c r="K268" s="356" t="s">
        <v>25</v>
      </c>
      <c r="L268" s="357">
        <v>5123593.41</v>
      </c>
    </row>
    <row r="269" spans="1:12" ht="71.400000000000006" x14ac:dyDescent="0.3">
      <c r="A269" s="351" t="s">
        <v>103</v>
      </c>
      <c r="B269" s="352" t="s">
        <v>799</v>
      </c>
      <c r="C269" s="352" t="s">
        <v>53</v>
      </c>
      <c r="D269" s="352" t="s">
        <v>675</v>
      </c>
      <c r="E269" s="353" t="s">
        <v>54</v>
      </c>
      <c r="F269" s="359" t="s">
        <v>32</v>
      </c>
      <c r="G269" s="359"/>
      <c r="H269" s="353" t="s">
        <v>30</v>
      </c>
      <c r="I269" s="360">
        <v>37138.629999999997</v>
      </c>
      <c r="J269" s="360"/>
      <c r="K269" s="356" t="s">
        <v>25</v>
      </c>
      <c r="L269" s="357">
        <v>5086454.78</v>
      </c>
    </row>
    <row r="270" spans="1:12" ht="71.400000000000006" x14ac:dyDescent="0.3">
      <c r="A270" s="351" t="s">
        <v>103</v>
      </c>
      <c r="B270" s="352" t="s">
        <v>799</v>
      </c>
      <c r="C270" s="352" t="s">
        <v>53</v>
      </c>
      <c r="D270" s="352" t="s">
        <v>676</v>
      </c>
      <c r="E270" s="353" t="s">
        <v>54</v>
      </c>
      <c r="F270" s="359" t="s">
        <v>32</v>
      </c>
      <c r="G270" s="359"/>
      <c r="H270" s="353" t="s">
        <v>30</v>
      </c>
      <c r="I270" s="360">
        <v>37138.629999999997</v>
      </c>
      <c r="J270" s="360"/>
      <c r="K270" s="356" t="s">
        <v>25</v>
      </c>
      <c r="L270" s="357">
        <v>5049316.1500000004</v>
      </c>
    </row>
    <row r="271" spans="1:12" ht="71.400000000000006" x14ac:dyDescent="0.3">
      <c r="A271" s="351" t="s">
        <v>103</v>
      </c>
      <c r="B271" s="352" t="s">
        <v>799</v>
      </c>
      <c r="C271" s="352" t="s">
        <v>53</v>
      </c>
      <c r="D271" s="352" t="s">
        <v>677</v>
      </c>
      <c r="E271" s="353" t="s">
        <v>54</v>
      </c>
      <c r="F271" s="359" t="s">
        <v>32</v>
      </c>
      <c r="G271" s="359"/>
      <c r="H271" s="353" t="s">
        <v>30</v>
      </c>
      <c r="I271" s="360">
        <v>37138.629999999997</v>
      </c>
      <c r="J271" s="360"/>
      <c r="K271" s="356" t="s">
        <v>25</v>
      </c>
      <c r="L271" s="357">
        <v>5012177.5199999996</v>
      </c>
    </row>
    <row r="272" spans="1:12" ht="71.400000000000006" x14ac:dyDescent="0.3">
      <c r="A272" s="351" t="s">
        <v>103</v>
      </c>
      <c r="B272" s="352" t="s">
        <v>799</v>
      </c>
      <c r="C272" s="352" t="s">
        <v>53</v>
      </c>
      <c r="D272" s="352" t="s">
        <v>661</v>
      </c>
      <c r="E272" s="353" t="s">
        <v>54</v>
      </c>
      <c r="F272" s="359" t="s">
        <v>32</v>
      </c>
      <c r="G272" s="359"/>
      <c r="H272" s="353" t="s">
        <v>30</v>
      </c>
      <c r="I272" s="360">
        <v>37267.78</v>
      </c>
      <c r="J272" s="360"/>
      <c r="K272" s="356" t="s">
        <v>25</v>
      </c>
      <c r="L272" s="357">
        <v>4974909.74</v>
      </c>
    </row>
    <row r="273" spans="1:12" ht="71.400000000000006" x14ac:dyDescent="0.3">
      <c r="A273" s="351" t="s">
        <v>103</v>
      </c>
      <c r="B273" s="352" t="s">
        <v>799</v>
      </c>
      <c r="C273" s="352" t="s">
        <v>53</v>
      </c>
      <c r="D273" s="352" t="s">
        <v>645</v>
      </c>
      <c r="E273" s="353" t="s">
        <v>54</v>
      </c>
      <c r="F273" s="359" t="s">
        <v>32</v>
      </c>
      <c r="G273" s="359"/>
      <c r="H273" s="353" t="s">
        <v>30</v>
      </c>
      <c r="I273" s="360">
        <v>37435.17</v>
      </c>
      <c r="J273" s="360"/>
      <c r="K273" s="356" t="s">
        <v>25</v>
      </c>
      <c r="L273" s="357">
        <v>4937474.57</v>
      </c>
    </row>
    <row r="274" spans="1:12" ht="71.400000000000006" x14ac:dyDescent="0.3">
      <c r="A274" s="351" t="s">
        <v>103</v>
      </c>
      <c r="B274" s="352" t="s">
        <v>799</v>
      </c>
      <c r="C274" s="352" t="s">
        <v>53</v>
      </c>
      <c r="D274" s="352" t="s">
        <v>646</v>
      </c>
      <c r="E274" s="353" t="s">
        <v>54</v>
      </c>
      <c r="F274" s="359" t="s">
        <v>32</v>
      </c>
      <c r="G274" s="359"/>
      <c r="H274" s="353" t="s">
        <v>30</v>
      </c>
      <c r="I274" s="360">
        <v>37602.54</v>
      </c>
      <c r="J274" s="360"/>
      <c r="K274" s="356" t="s">
        <v>25</v>
      </c>
      <c r="L274" s="357">
        <v>4899872.03</v>
      </c>
    </row>
    <row r="275" spans="1:12" ht="71.400000000000006" x14ac:dyDescent="0.3">
      <c r="A275" s="351" t="s">
        <v>103</v>
      </c>
      <c r="B275" s="352" t="s">
        <v>799</v>
      </c>
      <c r="C275" s="352" t="s">
        <v>53</v>
      </c>
      <c r="D275" s="352" t="s">
        <v>647</v>
      </c>
      <c r="E275" s="353" t="s">
        <v>54</v>
      </c>
      <c r="F275" s="359" t="s">
        <v>32</v>
      </c>
      <c r="G275" s="359"/>
      <c r="H275" s="353" t="s">
        <v>30</v>
      </c>
      <c r="I275" s="360">
        <v>37602.54</v>
      </c>
      <c r="J275" s="360"/>
      <c r="K275" s="356" t="s">
        <v>25</v>
      </c>
      <c r="L275" s="357">
        <v>4862269.49</v>
      </c>
    </row>
    <row r="276" spans="1:12" ht="71.400000000000006" x14ac:dyDescent="0.3">
      <c r="A276" s="351" t="s">
        <v>103</v>
      </c>
      <c r="B276" s="352" t="s">
        <v>799</v>
      </c>
      <c r="C276" s="352" t="s">
        <v>53</v>
      </c>
      <c r="D276" s="352" t="s">
        <v>662</v>
      </c>
      <c r="E276" s="353" t="s">
        <v>54</v>
      </c>
      <c r="F276" s="359" t="s">
        <v>32</v>
      </c>
      <c r="G276" s="359"/>
      <c r="H276" s="353" t="s">
        <v>30</v>
      </c>
      <c r="I276" s="360">
        <v>37602.550000000003</v>
      </c>
      <c r="J276" s="360"/>
      <c r="K276" s="356" t="s">
        <v>25</v>
      </c>
      <c r="L276" s="357">
        <v>4824666.9400000004</v>
      </c>
    </row>
    <row r="277" spans="1:12" ht="71.400000000000006" x14ac:dyDescent="0.3">
      <c r="A277" s="351" t="s">
        <v>103</v>
      </c>
      <c r="B277" s="352" t="s">
        <v>799</v>
      </c>
      <c r="C277" s="352" t="s">
        <v>53</v>
      </c>
      <c r="D277" s="352" t="s">
        <v>663</v>
      </c>
      <c r="E277" s="353" t="s">
        <v>54</v>
      </c>
      <c r="F277" s="359" t="s">
        <v>32</v>
      </c>
      <c r="G277" s="359"/>
      <c r="H277" s="353" t="s">
        <v>30</v>
      </c>
      <c r="I277" s="360">
        <v>37602.54</v>
      </c>
      <c r="J277" s="360"/>
      <c r="K277" s="356" t="s">
        <v>25</v>
      </c>
      <c r="L277" s="357">
        <v>4787064.4000000004</v>
      </c>
    </row>
    <row r="278" spans="1:12" ht="71.400000000000006" x14ac:dyDescent="0.3">
      <c r="A278" s="351" t="s">
        <v>103</v>
      </c>
      <c r="B278" s="352" t="s">
        <v>799</v>
      </c>
      <c r="C278" s="352" t="s">
        <v>53</v>
      </c>
      <c r="D278" s="352" t="s">
        <v>648</v>
      </c>
      <c r="E278" s="353" t="s">
        <v>54</v>
      </c>
      <c r="F278" s="359" t="s">
        <v>32</v>
      </c>
      <c r="G278" s="359"/>
      <c r="H278" s="353" t="s">
        <v>30</v>
      </c>
      <c r="I278" s="360">
        <v>37602.54</v>
      </c>
      <c r="J278" s="360"/>
      <c r="K278" s="356" t="s">
        <v>25</v>
      </c>
      <c r="L278" s="357">
        <v>4749461.8600000003</v>
      </c>
    </row>
    <row r="279" spans="1:12" ht="71.400000000000006" x14ac:dyDescent="0.3">
      <c r="A279" s="351" t="s">
        <v>103</v>
      </c>
      <c r="B279" s="352" t="s">
        <v>799</v>
      </c>
      <c r="C279" s="352" t="s">
        <v>53</v>
      </c>
      <c r="D279" s="352" t="s">
        <v>686</v>
      </c>
      <c r="E279" s="353" t="s">
        <v>54</v>
      </c>
      <c r="F279" s="359" t="s">
        <v>32</v>
      </c>
      <c r="G279" s="359"/>
      <c r="H279" s="353" t="s">
        <v>30</v>
      </c>
      <c r="I279" s="360">
        <v>37059.360000000001</v>
      </c>
      <c r="J279" s="360"/>
      <c r="K279" s="356" t="s">
        <v>25</v>
      </c>
      <c r="L279" s="357">
        <v>4712402.5</v>
      </c>
    </row>
    <row r="280" spans="1:12" ht="71.400000000000006" x14ac:dyDescent="0.3">
      <c r="A280" s="351" t="s">
        <v>103</v>
      </c>
      <c r="B280" s="352" t="s">
        <v>799</v>
      </c>
      <c r="C280" s="352" t="s">
        <v>53</v>
      </c>
      <c r="D280" s="352" t="s">
        <v>687</v>
      </c>
      <c r="E280" s="353" t="s">
        <v>54</v>
      </c>
      <c r="F280" s="359" t="s">
        <v>32</v>
      </c>
      <c r="G280" s="359"/>
      <c r="H280" s="353" t="s">
        <v>30</v>
      </c>
      <c r="I280" s="360">
        <v>37847.4</v>
      </c>
      <c r="J280" s="360"/>
      <c r="K280" s="356" t="s">
        <v>25</v>
      </c>
      <c r="L280" s="357">
        <v>4674555.0999999996</v>
      </c>
    </row>
    <row r="281" spans="1:12" ht="71.400000000000006" x14ac:dyDescent="0.3">
      <c r="A281" s="351" t="s">
        <v>103</v>
      </c>
      <c r="B281" s="352" t="s">
        <v>799</v>
      </c>
      <c r="C281" s="352" t="s">
        <v>53</v>
      </c>
      <c r="D281" s="352" t="s">
        <v>688</v>
      </c>
      <c r="E281" s="353" t="s">
        <v>54</v>
      </c>
      <c r="F281" s="359" t="s">
        <v>32</v>
      </c>
      <c r="G281" s="359"/>
      <c r="H281" s="353" t="s">
        <v>30</v>
      </c>
      <c r="I281" s="360">
        <v>37847.4</v>
      </c>
      <c r="J281" s="360"/>
      <c r="K281" s="356" t="s">
        <v>25</v>
      </c>
      <c r="L281" s="357">
        <v>4636707.7</v>
      </c>
    </row>
    <row r="282" spans="1:12" ht="71.400000000000006" x14ac:dyDescent="0.3">
      <c r="A282" s="351" t="s">
        <v>103</v>
      </c>
      <c r="B282" s="352" t="s">
        <v>799</v>
      </c>
      <c r="C282" s="352" t="s">
        <v>53</v>
      </c>
      <c r="D282" s="352" t="s">
        <v>689</v>
      </c>
      <c r="E282" s="353" t="s">
        <v>54</v>
      </c>
      <c r="F282" s="359" t="s">
        <v>32</v>
      </c>
      <c r="G282" s="359"/>
      <c r="H282" s="353" t="s">
        <v>30</v>
      </c>
      <c r="I282" s="360">
        <v>37847.4</v>
      </c>
      <c r="J282" s="360"/>
      <c r="K282" s="356" t="s">
        <v>25</v>
      </c>
      <c r="L282" s="357">
        <v>4598860.3</v>
      </c>
    </row>
    <row r="283" spans="1:12" ht="71.400000000000006" x14ac:dyDescent="0.3">
      <c r="A283" s="351" t="s">
        <v>103</v>
      </c>
      <c r="B283" s="352" t="s">
        <v>799</v>
      </c>
      <c r="C283" s="352" t="s">
        <v>53</v>
      </c>
      <c r="D283" s="352" t="s">
        <v>673</v>
      </c>
      <c r="E283" s="353" t="s">
        <v>54</v>
      </c>
      <c r="F283" s="359" t="s">
        <v>32</v>
      </c>
      <c r="G283" s="359"/>
      <c r="H283" s="353" t="s">
        <v>30</v>
      </c>
      <c r="I283" s="360">
        <v>38935.39</v>
      </c>
      <c r="J283" s="360"/>
      <c r="K283" s="356" t="s">
        <v>25</v>
      </c>
      <c r="L283" s="357">
        <v>4559924.91</v>
      </c>
    </row>
    <row r="284" spans="1:12" ht="71.400000000000006" x14ac:dyDescent="0.3">
      <c r="A284" s="351" t="s">
        <v>103</v>
      </c>
      <c r="B284" s="352" t="s">
        <v>799</v>
      </c>
      <c r="C284" s="352" t="s">
        <v>53</v>
      </c>
      <c r="D284" s="352" t="s">
        <v>673</v>
      </c>
      <c r="E284" s="353" t="s">
        <v>54</v>
      </c>
      <c r="F284" s="359" t="s">
        <v>32</v>
      </c>
      <c r="G284" s="359"/>
      <c r="H284" s="353" t="s">
        <v>30</v>
      </c>
      <c r="I284" s="360">
        <v>19467.689999999999</v>
      </c>
      <c r="J284" s="360"/>
      <c r="K284" s="356" t="s">
        <v>25</v>
      </c>
      <c r="L284" s="357">
        <v>4540457.22</v>
      </c>
    </row>
    <row r="285" spans="1:12" ht="71.400000000000006" x14ac:dyDescent="0.3">
      <c r="A285" s="351" t="s">
        <v>103</v>
      </c>
      <c r="B285" s="352" t="s">
        <v>799</v>
      </c>
      <c r="C285" s="352" t="s">
        <v>53</v>
      </c>
      <c r="D285" s="352" t="s">
        <v>685</v>
      </c>
      <c r="E285" s="353" t="s">
        <v>54</v>
      </c>
      <c r="F285" s="359" t="s">
        <v>32</v>
      </c>
      <c r="G285" s="359"/>
      <c r="H285" s="353" t="s">
        <v>30</v>
      </c>
      <c r="I285" s="360">
        <v>38717.620000000003</v>
      </c>
      <c r="J285" s="360"/>
      <c r="K285" s="356" t="s">
        <v>25</v>
      </c>
      <c r="L285" s="357">
        <v>4501739.5999999996</v>
      </c>
    </row>
    <row r="286" spans="1:12" ht="71.400000000000006" x14ac:dyDescent="0.3">
      <c r="A286" s="351" t="s">
        <v>103</v>
      </c>
      <c r="B286" s="352" t="s">
        <v>799</v>
      </c>
      <c r="C286" s="352" t="s">
        <v>53</v>
      </c>
      <c r="D286" s="352" t="s">
        <v>685</v>
      </c>
      <c r="E286" s="353" t="s">
        <v>54</v>
      </c>
      <c r="F286" s="359" t="s">
        <v>32</v>
      </c>
      <c r="G286" s="359"/>
      <c r="H286" s="353" t="s">
        <v>30</v>
      </c>
      <c r="I286" s="360">
        <v>19358.810000000001</v>
      </c>
      <c r="J286" s="360"/>
      <c r="K286" s="356" t="s">
        <v>25</v>
      </c>
      <c r="L286" s="357">
        <v>4482380.79</v>
      </c>
    </row>
    <row r="287" spans="1:12" ht="71.400000000000006" x14ac:dyDescent="0.3">
      <c r="A287" s="351" t="s">
        <v>103</v>
      </c>
      <c r="B287" s="352" t="s">
        <v>799</v>
      </c>
      <c r="C287" s="352" t="s">
        <v>53</v>
      </c>
      <c r="D287" s="352" t="s">
        <v>698</v>
      </c>
      <c r="E287" s="353" t="s">
        <v>54</v>
      </c>
      <c r="F287" s="359" t="s">
        <v>32</v>
      </c>
      <c r="G287" s="359"/>
      <c r="H287" s="353" t="s">
        <v>30</v>
      </c>
      <c r="I287" s="360">
        <v>38717.620000000003</v>
      </c>
      <c r="J287" s="360"/>
      <c r="K287" s="356" t="s">
        <v>25</v>
      </c>
      <c r="L287" s="357">
        <v>4443663.17</v>
      </c>
    </row>
    <row r="288" spans="1:12" ht="71.400000000000006" x14ac:dyDescent="0.3">
      <c r="A288" s="351" t="s">
        <v>103</v>
      </c>
      <c r="B288" s="352" t="s">
        <v>799</v>
      </c>
      <c r="C288" s="352" t="s">
        <v>53</v>
      </c>
      <c r="D288" s="352" t="s">
        <v>706</v>
      </c>
      <c r="E288" s="353" t="s">
        <v>54</v>
      </c>
      <c r="F288" s="359" t="s">
        <v>32</v>
      </c>
      <c r="G288" s="359"/>
      <c r="H288" s="353" t="s">
        <v>30</v>
      </c>
      <c r="I288" s="360">
        <v>58076.45</v>
      </c>
      <c r="J288" s="360"/>
      <c r="K288" s="356" t="s">
        <v>25</v>
      </c>
      <c r="L288" s="357">
        <v>4385586.72</v>
      </c>
    </row>
    <row r="289" spans="1:12" ht="71.400000000000006" x14ac:dyDescent="0.3">
      <c r="A289" s="351" t="s">
        <v>103</v>
      </c>
      <c r="B289" s="352" t="s">
        <v>799</v>
      </c>
      <c r="C289" s="352" t="s">
        <v>53</v>
      </c>
      <c r="D289" s="352" t="s">
        <v>718</v>
      </c>
      <c r="E289" s="353" t="s">
        <v>54</v>
      </c>
      <c r="F289" s="359" t="s">
        <v>32</v>
      </c>
      <c r="G289" s="359"/>
      <c r="H289" s="353" t="s">
        <v>30</v>
      </c>
      <c r="I289" s="360">
        <v>38717.629999999997</v>
      </c>
      <c r="J289" s="360"/>
      <c r="K289" s="356" t="s">
        <v>25</v>
      </c>
      <c r="L289" s="357">
        <v>4346869.09</v>
      </c>
    </row>
    <row r="290" spans="1:12" ht="71.400000000000006" x14ac:dyDescent="0.3">
      <c r="A290" s="351" t="s">
        <v>103</v>
      </c>
      <c r="B290" s="352" t="s">
        <v>799</v>
      </c>
      <c r="C290" s="352" t="s">
        <v>53</v>
      </c>
      <c r="D290" s="352" t="s">
        <v>727</v>
      </c>
      <c r="E290" s="353" t="s">
        <v>54</v>
      </c>
      <c r="F290" s="359" t="s">
        <v>32</v>
      </c>
      <c r="G290" s="359"/>
      <c r="H290" s="353" t="s">
        <v>30</v>
      </c>
      <c r="I290" s="360">
        <v>58076.44</v>
      </c>
      <c r="J290" s="360"/>
      <c r="K290" s="356" t="s">
        <v>25</v>
      </c>
      <c r="L290" s="357">
        <v>4288792.6500000004</v>
      </c>
    </row>
    <row r="291" spans="1:12" ht="71.400000000000006" x14ac:dyDescent="0.3">
      <c r="A291" s="351" t="s">
        <v>103</v>
      </c>
      <c r="B291" s="352" t="s">
        <v>799</v>
      </c>
      <c r="C291" s="352" t="s">
        <v>53</v>
      </c>
      <c r="D291" s="352" t="s">
        <v>759</v>
      </c>
      <c r="E291" s="353" t="s">
        <v>54</v>
      </c>
      <c r="F291" s="359" t="s">
        <v>32</v>
      </c>
      <c r="G291" s="359"/>
      <c r="H291" s="353" t="s">
        <v>30</v>
      </c>
      <c r="I291" s="360">
        <v>19358.82</v>
      </c>
      <c r="J291" s="360"/>
      <c r="K291" s="356" t="s">
        <v>25</v>
      </c>
      <c r="L291" s="357">
        <v>4269433.83</v>
      </c>
    </row>
    <row r="292" spans="1:12" ht="71.400000000000006" x14ac:dyDescent="0.3">
      <c r="A292" s="351" t="s">
        <v>103</v>
      </c>
      <c r="B292" s="352" t="s">
        <v>799</v>
      </c>
      <c r="C292" s="352" t="s">
        <v>53</v>
      </c>
      <c r="D292" s="352" t="s">
        <v>732</v>
      </c>
      <c r="E292" s="353" t="s">
        <v>54</v>
      </c>
      <c r="F292" s="359" t="s">
        <v>32</v>
      </c>
      <c r="G292" s="359"/>
      <c r="H292" s="353" t="s">
        <v>30</v>
      </c>
      <c r="I292" s="360">
        <v>58076.44</v>
      </c>
      <c r="J292" s="360"/>
      <c r="K292" s="356" t="s">
        <v>25</v>
      </c>
      <c r="L292" s="357">
        <v>4211357.3899999997</v>
      </c>
    </row>
    <row r="293" spans="1:12" ht="71.400000000000006" x14ac:dyDescent="0.3">
      <c r="A293" s="351" t="s">
        <v>103</v>
      </c>
      <c r="B293" s="352" t="s">
        <v>799</v>
      </c>
      <c r="C293" s="352" t="s">
        <v>53</v>
      </c>
      <c r="D293" s="352" t="s">
        <v>665</v>
      </c>
      <c r="E293" s="353" t="s">
        <v>54</v>
      </c>
      <c r="F293" s="359" t="s">
        <v>32</v>
      </c>
      <c r="G293" s="359"/>
      <c r="H293" s="353" t="s">
        <v>30</v>
      </c>
      <c r="I293" s="360">
        <v>17618.25</v>
      </c>
      <c r="J293" s="360"/>
      <c r="K293" s="356" t="s">
        <v>25</v>
      </c>
      <c r="L293" s="357">
        <v>4193739.14</v>
      </c>
    </row>
    <row r="294" spans="1:12" ht="71.400000000000006" x14ac:dyDescent="0.3">
      <c r="A294" s="351" t="s">
        <v>103</v>
      </c>
      <c r="B294" s="352" t="s">
        <v>799</v>
      </c>
      <c r="C294" s="352" t="s">
        <v>53</v>
      </c>
      <c r="D294" s="352" t="s">
        <v>758</v>
      </c>
      <c r="E294" s="353" t="s">
        <v>54</v>
      </c>
      <c r="F294" s="359" t="s">
        <v>32</v>
      </c>
      <c r="G294" s="359"/>
      <c r="H294" s="353" t="s">
        <v>30</v>
      </c>
      <c r="I294" s="360">
        <v>57191.82</v>
      </c>
      <c r="J294" s="360"/>
      <c r="K294" s="356" t="s">
        <v>25</v>
      </c>
      <c r="L294" s="357">
        <v>4136547.32</v>
      </c>
    </row>
    <row r="295" spans="1:12" ht="71.400000000000006" x14ac:dyDescent="0.3">
      <c r="A295" s="351" t="s">
        <v>103</v>
      </c>
      <c r="B295" s="352" t="s">
        <v>799</v>
      </c>
      <c r="C295" s="352" t="s">
        <v>53</v>
      </c>
      <c r="D295" s="352" t="s">
        <v>784</v>
      </c>
      <c r="E295" s="353" t="s">
        <v>54</v>
      </c>
      <c r="F295" s="359" t="s">
        <v>32</v>
      </c>
      <c r="G295" s="359"/>
      <c r="H295" s="353" t="s">
        <v>30</v>
      </c>
      <c r="I295" s="360">
        <v>95319.7</v>
      </c>
      <c r="J295" s="360"/>
      <c r="K295" s="356" t="s">
        <v>25</v>
      </c>
      <c r="L295" s="357">
        <v>4041227.62</v>
      </c>
    </row>
    <row r="296" spans="1:12" ht="81.599999999999994" hidden="1" x14ac:dyDescent="0.3">
      <c r="A296" s="351" t="s">
        <v>224</v>
      </c>
      <c r="B296" s="352" t="s">
        <v>800</v>
      </c>
      <c r="C296" s="352" t="s">
        <v>801</v>
      </c>
      <c r="D296" s="352" t="s">
        <v>802</v>
      </c>
      <c r="E296" s="353" t="s">
        <v>30</v>
      </c>
      <c r="F296" s="354">
        <v>6048.48</v>
      </c>
      <c r="G296" s="354"/>
      <c r="H296" s="353" t="s">
        <v>31</v>
      </c>
      <c r="I296" s="355" t="s">
        <v>32</v>
      </c>
      <c r="J296" s="355"/>
      <c r="K296" s="356" t="s">
        <v>25</v>
      </c>
      <c r="L296" s="357">
        <v>4047276.1</v>
      </c>
    </row>
    <row r="297" spans="1:12" ht="71.400000000000006" hidden="1" x14ac:dyDescent="0.3">
      <c r="A297" s="351" t="s">
        <v>228</v>
      </c>
      <c r="B297" s="352" t="s">
        <v>803</v>
      </c>
      <c r="C297" s="352" t="s">
        <v>804</v>
      </c>
      <c r="D297" s="352" t="s">
        <v>608</v>
      </c>
      <c r="E297" s="353" t="s">
        <v>30</v>
      </c>
      <c r="F297" s="354">
        <v>31501</v>
      </c>
      <c r="G297" s="354"/>
      <c r="H297" s="353" t="s">
        <v>31</v>
      </c>
      <c r="I297" s="355" t="s">
        <v>32</v>
      </c>
      <c r="J297" s="355"/>
      <c r="K297" s="356" t="s">
        <v>25</v>
      </c>
      <c r="L297" s="357">
        <v>4078777.1</v>
      </c>
    </row>
    <row r="298" spans="1:12" ht="71.400000000000006" hidden="1" x14ac:dyDescent="0.3">
      <c r="A298" s="351" t="s">
        <v>228</v>
      </c>
      <c r="B298" s="352" t="s">
        <v>803</v>
      </c>
      <c r="C298" s="352" t="s">
        <v>805</v>
      </c>
      <c r="D298" s="352" t="s">
        <v>608</v>
      </c>
      <c r="E298" s="353" t="s">
        <v>30</v>
      </c>
      <c r="F298" s="354">
        <v>123162</v>
      </c>
      <c r="G298" s="354"/>
      <c r="H298" s="353" t="s">
        <v>31</v>
      </c>
      <c r="I298" s="355" t="s">
        <v>32</v>
      </c>
      <c r="J298" s="355"/>
      <c r="K298" s="356" t="s">
        <v>25</v>
      </c>
      <c r="L298" s="357">
        <v>4201939.0999999996</v>
      </c>
    </row>
    <row r="299" spans="1:12" hidden="1" x14ac:dyDescent="0.3">
      <c r="A299" s="362" t="s">
        <v>120</v>
      </c>
      <c r="B299" s="362"/>
      <c r="C299" s="362"/>
      <c r="D299" s="362"/>
      <c r="E299" s="363">
        <v>4390146.24</v>
      </c>
      <c r="F299" s="363"/>
      <c r="G299" s="363"/>
      <c r="H299" s="363">
        <v>4147878.05</v>
      </c>
      <c r="I299" s="363"/>
      <c r="J299" s="363"/>
      <c r="K299" s="364" t="s">
        <v>25</v>
      </c>
      <c r="L299" s="365">
        <v>4201939.0999999996</v>
      </c>
    </row>
    <row r="301" spans="1:12" x14ac:dyDescent="0.3">
      <c r="J301" s="2">
        <f>SUBTOTAL(9,I158:J295)</f>
        <v>3935644.2199999983</v>
      </c>
    </row>
  </sheetData>
  <autoFilter ref="A1:L299" xr:uid="{C8A16228-493D-41FD-A96D-7519C2F8BB09}">
    <filterColumn colId="1">
      <filters>
        <filter val="Вимога-накладна ІБ00-000375 від 22.05.2025 16:22:35_x000a_Списаны ТМЦ"/>
        <filter val="Вимога-накладна ІБ00-000379 від 23.05.2025 09:13:53_x000a_Списаны ТМЦ"/>
        <filter val="Вимога-накладна ІБ00-000380 від 23.05.2025 09:22:13_x000a_Списаны ТМЦ"/>
        <filter val="Вимога-накладна ІБ00-000396 від 29.05.2025 13:38:23_x000a_Списаны ТМЦ"/>
        <filter val="Вимога-накладна ІБ00-000411 від 29.05.2025 21:00:34_x000a_Списаны ТМЦ"/>
        <filter val="Вимога-накладна ІБ00-000413 від 29.05.2025 21:00:00_x000a_Списаны ТМЦ"/>
        <filter val="Вимога-накладна ІБ00-000431 від 29.05.2025 21:00:00_x000a_Списаны ТМЦ"/>
        <filter val="Вимога-накладна ІБ00-000433 від 29.05.2025 21:00:00_x000a_Списаны ТМЦ"/>
        <filter val="Списання товарів ІБ00-000268 від 29.05.2025 13:44:33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04">
    <mergeCell ref="F298:G298"/>
    <mergeCell ref="I298:J298"/>
    <mergeCell ref="A299:D299"/>
    <mergeCell ref="E299:G299"/>
    <mergeCell ref="H299:J299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80EB-F01D-4FF5-918F-7F570C0C557D}">
  <sheetPr filterMode="1"/>
  <dimension ref="A1:L67"/>
  <sheetViews>
    <sheetView topLeftCell="A62" workbookViewId="0">
      <selection activeCell="J67" sqref="J67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366" t="s">
        <v>17</v>
      </c>
      <c r="B1" s="367" t="s">
        <v>18</v>
      </c>
      <c r="C1" s="367" t="s">
        <v>19</v>
      </c>
      <c r="D1" s="368" t="s">
        <v>20</v>
      </c>
      <c r="E1" s="369" t="s">
        <v>21</v>
      </c>
      <c r="F1" s="369"/>
      <c r="G1" s="369"/>
      <c r="H1" s="370" t="s">
        <v>22</v>
      </c>
      <c r="I1" s="370"/>
      <c r="J1" s="370"/>
      <c r="K1" s="367" t="s">
        <v>23</v>
      </c>
      <c r="L1" s="367"/>
    </row>
    <row r="2" spans="1:12" hidden="1" x14ac:dyDescent="0.3">
      <c r="A2" s="371"/>
      <c r="B2" s="372"/>
      <c r="C2" s="372"/>
      <c r="D2" s="373"/>
      <c r="E2" s="374" t="s">
        <v>24</v>
      </c>
      <c r="F2" s="375"/>
      <c r="G2" s="375"/>
      <c r="H2" s="376" t="s">
        <v>24</v>
      </c>
      <c r="I2" s="377"/>
      <c r="J2" s="377"/>
      <c r="K2" s="371"/>
      <c r="L2" s="378"/>
    </row>
    <row r="3" spans="1:12" ht="81.599999999999994" hidden="1" x14ac:dyDescent="0.3">
      <c r="A3" s="379" t="s">
        <v>26</v>
      </c>
      <c r="B3" s="380" t="s">
        <v>619</v>
      </c>
      <c r="C3" s="380" t="s">
        <v>620</v>
      </c>
      <c r="D3" s="380" t="s">
        <v>621</v>
      </c>
      <c r="E3" s="381" t="s">
        <v>30</v>
      </c>
      <c r="F3" s="382" t="s">
        <v>32</v>
      </c>
      <c r="G3" s="382"/>
      <c r="H3" s="381" t="s">
        <v>30</v>
      </c>
      <c r="I3" s="383">
        <v>24009.52</v>
      </c>
      <c r="J3" s="383"/>
      <c r="K3" s="384" t="s">
        <v>25</v>
      </c>
      <c r="L3" s="385">
        <v>106514.83</v>
      </c>
    </row>
    <row r="4" spans="1:12" ht="71.400000000000006" hidden="1" x14ac:dyDescent="0.3">
      <c r="A4" s="379" t="s">
        <v>55</v>
      </c>
      <c r="B4" s="380" t="s">
        <v>307</v>
      </c>
      <c r="C4" s="380" t="s">
        <v>308</v>
      </c>
      <c r="D4" s="380" t="s">
        <v>301</v>
      </c>
      <c r="E4" s="381" t="s">
        <v>30</v>
      </c>
      <c r="F4" s="386">
        <v>5673.18</v>
      </c>
      <c r="G4" s="386"/>
      <c r="H4" s="381" t="s">
        <v>30</v>
      </c>
      <c r="I4" s="387" t="s">
        <v>32</v>
      </c>
      <c r="J4" s="387"/>
      <c r="K4" s="384" t="s">
        <v>25</v>
      </c>
      <c r="L4" s="385">
        <v>112188.01</v>
      </c>
    </row>
    <row r="5" spans="1:12" ht="71.400000000000006" hidden="1" x14ac:dyDescent="0.3">
      <c r="A5" s="379" t="s">
        <v>59</v>
      </c>
      <c r="B5" s="380" t="s">
        <v>806</v>
      </c>
      <c r="C5" s="380" t="s">
        <v>807</v>
      </c>
      <c r="D5" s="380" t="s">
        <v>808</v>
      </c>
      <c r="E5" s="381" t="s">
        <v>30</v>
      </c>
      <c r="F5" s="386">
        <v>20440</v>
      </c>
      <c r="G5" s="386"/>
      <c r="H5" s="381" t="s">
        <v>31</v>
      </c>
      <c r="I5" s="387" t="s">
        <v>32</v>
      </c>
      <c r="J5" s="387"/>
      <c r="K5" s="384" t="s">
        <v>25</v>
      </c>
      <c r="L5" s="385">
        <v>132628.01</v>
      </c>
    </row>
    <row r="6" spans="1:12" ht="71.400000000000006" hidden="1" x14ac:dyDescent="0.3">
      <c r="A6" s="379" t="s">
        <v>59</v>
      </c>
      <c r="B6" s="380" t="s">
        <v>809</v>
      </c>
      <c r="C6" s="380" t="s">
        <v>810</v>
      </c>
      <c r="D6" s="380" t="s">
        <v>811</v>
      </c>
      <c r="E6" s="381" t="s">
        <v>30</v>
      </c>
      <c r="F6" s="388">
        <v>423.28</v>
      </c>
      <c r="G6" s="388"/>
      <c r="H6" s="381" t="s">
        <v>31</v>
      </c>
      <c r="I6" s="387" t="s">
        <v>32</v>
      </c>
      <c r="J6" s="387"/>
      <c r="K6" s="384" t="s">
        <v>25</v>
      </c>
      <c r="L6" s="385">
        <v>133051.29</v>
      </c>
    </row>
    <row r="7" spans="1:12" ht="71.400000000000006" hidden="1" x14ac:dyDescent="0.3">
      <c r="A7" s="379" t="s">
        <v>59</v>
      </c>
      <c r="B7" s="380" t="s">
        <v>809</v>
      </c>
      <c r="C7" s="380" t="s">
        <v>812</v>
      </c>
      <c r="D7" s="380" t="s">
        <v>811</v>
      </c>
      <c r="E7" s="381" t="s">
        <v>30</v>
      </c>
      <c r="F7" s="386">
        <v>7953.66</v>
      </c>
      <c r="G7" s="386"/>
      <c r="H7" s="381" t="s">
        <v>31</v>
      </c>
      <c r="I7" s="387" t="s">
        <v>32</v>
      </c>
      <c r="J7" s="387"/>
      <c r="K7" s="384" t="s">
        <v>25</v>
      </c>
      <c r="L7" s="385">
        <v>141004.95000000001</v>
      </c>
    </row>
    <row r="8" spans="1:12" ht="71.400000000000006" hidden="1" x14ac:dyDescent="0.3">
      <c r="A8" s="379" t="s">
        <v>59</v>
      </c>
      <c r="B8" s="380" t="s">
        <v>809</v>
      </c>
      <c r="C8" s="380" t="s">
        <v>813</v>
      </c>
      <c r="D8" s="380" t="s">
        <v>811</v>
      </c>
      <c r="E8" s="381" t="s">
        <v>30</v>
      </c>
      <c r="F8" s="386">
        <v>1296</v>
      </c>
      <c r="G8" s="386"/>
      <c r="H8" s="381" t="s">
        <v>31</v>
      </c>
      <c r="I8" s="387" t="s">
        <v>32</v>
      </c>
      <c r="J8" s="387"/>
      <c r="K8" s="384" t="s">
        <v>25</v>
      </c>
      <c r="L8" s="385">
        <v>142300.95000000001</v>
      </c>
    </row>
    <row r="9" spans="1:12" ht="81.599999999999994" hidden="1" x14ac:dyDescent="0.3">
      <c r="A9" s="379" t="s">
        <v>59</v>
      </c>
      <c r="B9" s="380" t="s">
        <v>809</v>
      </c>
      <c r="C9" s="380" t="s">
        <v>814</v>
      </c>
      <c r="D9" s="380" t="s">
        <v>811</v>
      </c>
      <c r="E9" s="381" t="s">
        <v>30</v>
      </c>
      <c r="F9" s="386">
        <v>8187.2</v>
      </c>
      <c r="G9" s="386"/>
      <c r="H9" s="381" t="s">
        <v>31</v>
      </c>
      <c r="I9" s="387" t="s">
        <v>32</v>
      </c>
      <c r="J9" s="387"/>
      <c r="K9" s="384" t="s">
        <v>25</v>
      </c>
      <c r="L9" s="385">
        <v>150488.15</v>
      </c>
    </row>
    <row r="10" spans="1:12" ht="71.400000000000006" hidden="1" x14ac:dyDescent="0.3">
      <c r="A10" s="379" t="s">
        <v>59</v>
      </c>
      <c r="B10" s="380" t="s">
        <v>809</v>
      </c>
      <c r="C10" s="380" t="s">
        <v>815</v>
      </c>
      <c r="D10" s="380" t="s">
        <v>811</v>
      </c>
      <c r="E10" s="381" t="s">
        <v>30</v>
      </c>
      <c r="F10" s="388">
        <v>249.92</v>
      </c>
      <c r="G10" s="388"/>
      <c r="H10" s="381" t="s">
        <v>31</v>
      </c>
      <c r="I10" s="387" t="s">
        <v>32</v>
      </c>
      <c r="J10" s="387"/>
      <c r="K10" s="384" t="s">
        <v>25</v>
      </c>
      <c r="L10" s="385">
        <v>150738.07</v>
      </c>
    </row>
    <row r="11" spans="1:12" ht="71.400000000000006" hidden="1" x14ac:dyDescent="0.3">
      <c r="A11" s="379" t="s">
        <v>59</v>
      </c>
      <c r="B11" s="380" t="s">
        <v>809</v>
      </c>
      <c r="C11" s="380" t="s">
        <v>816</v>
      </c>
      <c r="D11" s="380" t="s">
        <v>811</v>
      </c>
      <c r="E11" s="381" t="s">
        <v>30</v>
      </c>
      <c r="F11" s="386">
        <v>4732.1400000000003</v>
      </c>
      <c r="G11" s="386"/>
      <c r="H11" s="381" t="s">
        <v>31</v>
      </c>
      <c r="I11" s="387" t="s">
        <v>32</v>
      </c>
      <c r="J11" s="387"/>
      <c r="K11" s="384" t="s">
        <v>25</v>
      </c>
      <c r="L11" s="385">
        <v>155470.21</v>
      </c>
    </row>
    <row r="12" spans="1:12" ht="71.400000000000006" hidden="1" x14ac:dyDescent="0.3">
      <c r="A12" s="379" t="s">
        <v>59</v>
      </c>
      <c r="B12" s="380" t="s">
        <v>809</v>
      </c>
      <c r="C12" s="380" t="s">
        <v>817</v>
      </c>
      <c r="D12" s="380" t="s">
        <v>811</v>
      </c>
      <c r="E12" s="381" t="s">
        <v>30</v>
      </c>
      <c r="F12" s="386">
        <v>5347.52</v>
      </c>
      <c r="G12" s="386"/>
      <c r="H12" s="381" t="s">
        <v>31</v>
      </c>
      <c r="I12" s="387" t="s">
        <v>32</v>
      </c>
      <c r="J12" s="387"/>
      <c r="K12" s="384" t="s">
        <v>25</v>
      </c>
      <c r="L12" s="385">
        <v>160817.73000000001</v>
      </c>
    </row>
    <row r="13" spans="1:12" ht="81.599999999999994" hidden="1" x14ac:dyDescent="0.3">
      <c r="A13" s="379" t="s">
        <v>59</v>
      </c>
      <c r="B13" s="380" t="s">
        <v>809</v>
      </c>
      <c r="C13" s="380" t="s">
        <v>818</v>
      </c>
      <c r="D13" s="380" t="s">
        <v>811</v>
      </c>
      <c r="E13" s="381" t="s">
        <v>30</v>
      </c>
      <c r="F13" s="388">
        <v>58.5</v>
      </c>
      <c r="G13" s="388"/>
      <c r="H13" s="381" t="s">
        <v>31</v>
      </c>
      <c r="I13" s="387" t="s">
        <v>32</v>
      </c>
      <c r="J13" s="387"/>
      <c r="K13" s="384" t="s">
        <v>25</v>
      </c>
      <c r="L13" s="385">
        <v>160876.23000000001</v>
      </c>
    </row>
    <row r="14" spans="1:12" ht="81.599999999999994" hidden="1" x14ac:dyDescent="0.3">
      <c r="A14" s="379" t="s">
        <v>59</v>
      </c>
      <c r="B14" s="380" t="s">
        <v>809</v>
      </c>
      <c r="C14" s="380" t="s">
        <v>819</v>
      </c>
      <c r="D14" s="380" t="s">
        <v>811</v>
      </c>
      <c r="E14" s="381" t="s">
        <v>30</v>
      </c>
      <c r="F14" s="386">
        <v>1048.57</v>
      </c>
      <c r="G14" s="386"/>
      <c r="H14" s="381" t="s">
        <v>31</v>
      </c>
      <c r="I14" s="387" t="s">
        <v>32</v>
      </c>
      <c r="J14" s="387"/>
      <c r="K14" s="384" t="s">
        <v>25</v>
      </c>
      <c r="L14" s="385">
        <v>161924.79999999999</v>
      </c>
    </row>
    <row r="15" spans="1:12" ht="81.599999999999994" hidden="1" x14ac:dyDescent="0.3">
      <c r="A15" s="379" t="s">
        <v>59</v>
      </c>
      <c r="B15" s="380" t="s">
        <v>809</v>
      </c>
      <c r="C15" s="380" t="s">
        <v>820</v>
      </c>
      <c r="D15" s="380" t="s">
        <v>811</v>
      </c>
      <c r="E15" s="381" t="s">
        <v>30</v>
      </c>
      <c r="F15" s="388">
        <v>554.88</v>
      </c>
      <c r="G15" s="388"/>
      <c r="H15" s="381" t="s">
        <v>31</v>
      </c>
      <c r="I15" s="387" t="s">
        <v>32</v>
      </c>
      <c r="J15" s="387"/>
      <c r="K15" s="384" t="s">
        <v>25</v>
      </c>
      <c r="L15" s="385">
        <v>162479.67999999999</v>
      </c>
    </row>
    <row r="16" spans="1:12" ht="71.400000000000006" hidden="1" x14ac:dyDescent="0.3">
      <c r="A16" s="379" t="s">
        <v>59</v>
      </c>
      <c r="B16" s="380" t="s">
        <v>821</v>
      </c>
      <c r="C16" s="380" t="s">
        <v>807</v>
      </c>
      <c r="D16" s="380" t="s">
        <v>822</v>
      </c>
      <c r="E16" s="381" t="s">
        <v>30</v>
      </c>
      <c r="F16" s="386">
        <v>7370</v>
      </c>
      <c r="G16" s="386"/>
      <c r="H16" s="381" t="s">
        <v>31</v>
      </c>
      <c r="I16" s="387" t="s">
        <v>32</v>
      </c>
      <c r="J16" s="387"/>
      <c r="K16" s="384" t="s">
        <v>25</v>
      </c>
      <c r="L16" s="385">
        <v>169849.68</v>
      </c>
    </row>
    <row r="17" spans="1:12" ht="71.400000000000006" hidden="1" x14ac:dyDescent="0.3">
      <c r="A17" s="379" t="s">
        <v>658</v>
      </c>
      <c r="B17" s="380" t="s">
        <v>823</v>
      </c>
      <c r="C17" s="380" t="s">
        <v>824</v>
      </c>
      <c r="D17" s="380" t="s">
        <v>825</v>
      </c>
      <c r="E17" s="381" t="s">
        <v>30</v>
      </c>
      <c r="F17" s="386">
        <v>13140</v>
      </c>
      <c r="G17" s="386"/>
      <c r="H17" s="381" t="s">
        <v>31</v>
      </c>
      <c r="I17" s="387" t="s">
        <v>32</v>
      </c>
      <c r="J17" s="387"/>
      <c r="K17" s="384" t="s">
        <v>25</v>
      </c>
      <c r="L17" s="385">
        <v>182989.68</v>
      </c>
    </row>
    <row r="18" spans="1:12" ht="71.400000000000006" hidden="1" x14ac:dyDescent="0.3">
      <c r="A18" s="379" t="s">
        <v>658</v>
      </c>
      <c r="B18" s="380" t="s">
        <v>826</v>
      </c>
      <c r="C18" s="380" t="s">
        <v>824</v>
      </c>
      <c r="D18" s="380" t="s">
        <v>827</v>
      </c>
      <c r="E18" s="381" t="s">
        <v>30</v>
      </c>
      <c r="F18" s="386">
        <v>8274.5</v>
      </c>
      <c r="G18" s="386"/>
      <c r="H18" s="381" t="s">
        <v>31</v>
      </c>
      <c r="I18" s="387" t="s">
        <v>32</v>
      </c>
      <c r="J18" s="387"/>
      <c r="K18" s="384" t="s">
        <v>25</v>
      </c>
      <c r="L18" s="385">
        <v>191264.18</v>
      </c>
    </row>
    <row r="19" spans="1:12" ht="91.8" hidden="1" x14ac:dyDescent="0.3">
      <c r="A19" s="379" t="s">
        <v>67</v>
      </c>
      <c r="B19" s="380" t="s">
        <v>341</v>
      </c>
      <c r="C19" s="380" t="s">
        <v>342</v>
      </c>
      <c r="D19" s="380" t="s">
        <v>192</v>
      </c>
      <c r="E19" s="381" t="s">
        <v>30</v>
      </c>
      <c r="F19" s="386">
        <v>1835.17</v>
      </c>
      <c r="G19" s="386"/>
      <c r="H19" s="381" t="s">
        <v>30</v>
      </c>
      <c r="I19" s="387" t="s">
        <v>32</v>
      </c>
      <c r="J19" s="387"/>
      <c r="K19" s="384" t="s">
        <v>25</v>
      </c>
      <c r="L19" s="385">
        <v>193099.35</v>
      </c>
    </row>
    <row r="20" spans="1:12" ht="102" hidden="1" x14ac:dyDescent="0.3">
      <c r="A20" s="379" t="s">
        <v>71</v>
      </c>
      <c r="B20" s="380" t="s">
        <v>545</v>
      </c>
      <c r="C20" s="380" t="s">
        <v>546</v>
      </c>
      <c r="D20" s="380" t="s">
        <v>547</v>
      </c>
      <c r="E20" s="381" t="s">
        <v>30</v>
      </c>
      <c r="F20" s="386">
        <v>8216</v>
      </c>
      <c r="G20" s="386"/>
      <c r="H20" s="381" t="s">
        <v>30</v>
      </c>
      <c r="I20" s="387" t="s">
        <v>32</v>
      </c>
      <c r="J20" s="387"/>
      <c r="K20" s="384" t="s">
        <v>25</v>
      </c>
      <c r="L20" s="385">
        <v>201315.35</v>
      </c>
    </row>
    <row r="21" spans="1:12" ht="81.599999999999994" hidden="1" x14ac:dyDescent="0.3">
      <c r="A21" s="379" t="s">
        <v>89</v>
      </c>
      <c r="B21" s="380" t="s">
        <v>260</v>
      </c>
      <c r="C21" s="380" t="s">
        <v>261</v>
      </c>
      <c r="D21" s="380" t="s">
        <v>262</v>
      </c>
      <c r="E21" s="381" t="s">
        <v>30</v>
      </c>
      <c r="F21" s="386">
        <v>1980</v>
      </c>
      <c r="G21" s="386"/>
      <c r="H21" s="381" t="s">
        <v>30</v>
      </c>
      <c r="I21" s="387" t="s">
        <v>32</v>
      </c>
      <c r="J21" s="387"/>
      <c r="K21" s="384" t="s">
        <v>25</v>
      </c>
      <c r="L21" s="385">
        <v>203295.35</v>
      </c>
    </row>
    <row r="22" spans="1:12" ht="102" hidden="1" x14ac:dyDescent="0.3">
      <c r="A22" s="379" t="s">
        <v>89</v>
      </c>
      <c r="B22" s="380" t="s">
        <v>404</v>
      </c>
      <c r="C22" s="380" t="s">
        <v>405</v>
      </c>
      <c r="D22" s="380" t="s">
        <v>406</v>
      </c>
      <c r="E22" s="381" t="s">
        <v>30</v>
      </c>
      <c r="F22" s="386">
        <v>2650.23</v>
      </c>
      <c r="G22" s="386"/>
      <c r="H22" s="381" t="s">
        <v>30</v>
      </c>
      <c r="I22" s="387" t="s">
        <v>32</v>
      </c>
      <c r="J22" s="387"/>
      <c r="K22" s="384" t="s">
        <v>25</v>
      </c>
      <c r="L22" s="385">
        <v>205945.58</v>
      </c>
    </row>
    <row r="23" spans="1:12" ht="71.400000000000006" x14ac:dyDescent="0.3">
      <c r="A23" s="379" t="s">
        <v>89</v>
      </c>
      <c r="B23" s="380" t="s">
        <v>828</v>
      </c>
      <c r="C23" s="380" t="s">
        <v>53</v>
      </c>
      <c r="D23" s="380" t="s">
        <v>807</v>
      </c>
      <c r="E23" s="381" t="s">
        <v>54</v>
      </c>
      <c r="F23" s="382" t="s">
        <v>32</v>
      </c>
      <c r="G23" s="382"/>
      <c r="H23" s="381" t="s">
        <v>30</v>
      </c>
      <c r="I23" s="383">
        <v>8899.2000000000007</v>
      </c>
      <c r="J23" s="383"/>
      <c r="K23" s="384" t="s">
        <v>25</v>
      </c>
      <c r="L23" s="385">
        <v>197046.38</v>
      </c>
    </row>
    <row r="24" spans="1:12" ht="81.599999999999994" x14ac:dyDescent="0.3">
      <c r="A24" s="379" t="s">
        <v>89</v>
      </c>
      <c r="B24" s="380" t="s">
        <v>828</v>
      </c>
      <c r="C24" s="380" t="s">
        <v>53</v>
      </c>
      <c r="D24" s="380" t="s">
        <v>261</v>
      </c>
      <c r="E24" s="381" t="s">
        <v>54</v>
      </c>
      <c r="F24" s="382" t="s">
        <v>32</v>
      </c>
      <c r="G24" s="382"/>
      <c r="H24" s="381" t="s">
        <v>30</v>
      </c>
      <c r="I24" s="383">
        <v>1980</v>
      </c>
      <c r="J24" s="383"/>
      <c r="K24" s="384" t="s">
        <v>25</v>
      </c>
      <c r="L24" s="385">
        <v>195066.38</v>
      </c>
    </row>
    <row r="25" spans="1:12" ht="102" x14ac:dyDescent="0.3">
      <c r="A25" s="379" t="s">
        <v>89</v>
      </c>
      <c r="B25" s="380" t="s">
        <v>828</v>
      </c>
      <c r="C25" s="380" t="s">
        <v>53</v>
      </c>
      <c r="D25" s="380" t="s">
        <v>405</v>
      </c>
      <c r="E25" s="381" t="s">
        <v>54</v>
      </c>
      <c r="F25" s="382" t="s">
        <v>32</v>
      </c>
      <c r="G25" s="382"/>
      <c r="H25" s="381" t="s">
        <v>30</v>
      </c>
      <c r="I25" s="389">
        <v>265.02</v>
      </c>
      <c r="J25" s="389"/>
      <c r="K25" s="384" t="s">
        <v>25</v>
      </c>
      <c r="L25" s="385">
        <v>194801.36</v>
      </c>
    </row>
    <row r="26" spans="1:12" ht="91.8" hidden="1" x14ac:dyDescent="0.3">
      <c r="A26" s="379" t="s">
        <v>103</v>
      </c>
      <c r="B26" s="380" t="s">
        <v>779</v>
      </c>
      <c r="C26" s="380" t="s">
        <v>780</v>
      </c>
      <c r="D26" s="380" t="s">
        <v>604</v>
      </c>
      <c r="E26" s="381" t="s">
        <v>30</v>
      </c>
      <c r="F26" s="386">
        <v>10647.5</v>
      </c>
      <c r="G26" s="386"/>
      <c r="H26" s="381" t="s">
        <v>30</v>
      </c>
      <c r="I26" s="387" t="s">
        <v>32</v>
      </c>
      <c r="J26" s="387"/>
      <c r="K26" s="384" t="s">
        <v>25</v>
      </c>
      <c r="L26" s="385">
        <v>205448.86</v>
      </c>
    </row>
    <row r="27" spans="1:12" ht="91.8" hidden="1" x14ac:dyDescent="0.3">
      <c r="A27" s="379" t="s">
        <v>103</v>
      </c>
      <c r="B27" s="380" t="s">
        <v>779</v>
      </c>
      <c r="C27" s="380" t="s">
        <v>781</v>
      </c>
      <c r="D27" s="380" t="s">
        <v>782</v>
      </c>
      <c r="E27" s="381" t="s">
        <v>30</v>
      </c>
      <c r="F27" s="386">
        <v>14088</v>
      </c>
      <c r="G27" s="386"/>
      <c r="H27" s="381" t="s">
        <v>30</v>
      </c>
      <c r="I27" s="387" t="s">
        <v>32</v>
      </c>
      <c r="J27" s="387"/>
      <c r="K27" s="384" t="s">
        <v>25</v>
      </c>
      <c r="L27" s="385">
        <v>219536.86</v>
      </c>
    </row>
    <row r="28" spans="1:12" ht="71.400000000000006" hidden="1" x14ac:dyDescent="0.3">
      <c r="A28" s="379" t="s">
        <v>103</v>
      </c>
      <c r="B28" s="380" t="s">
        <v>513</v>
      </c>
      <c r="C28" s="380" t="s">
        <v>514</v>
      </c>
      <c r="D28" s="380" t="s">
        <v>352</v>
      </c>
      <c r="E28" s="381" t="s">
        <v>30</v>
      </c>
      <c r="F28" s="386">
        <v>6578.79</v>
      </c>
      <c r="G28" s="386"/>
      <c r="H28" s="381" t="s">
        <v>30</v>
      </c>
      <c r="I28" s="387" t="s">
        <v>32</v>
      </c>
      <c r="J28" s="387"/>
      <c r="K28" s="384" t="s">
        <v>25</v>
      </c>
      <c r="L28" s="385">
        <v>226115.65</v>
      </c>
    </row>
    <row r="29" spans="1:12" ht="81.599999999999994" hidden="1" x14ac:dyDescent="0.3">
      <c r="A29" s="379" t="s">
        <v>103</v>
      </c>
      <c r="B29" s="380" t="s">
        <v>423</v>
      </c>
      <c r="C29" s="380" t="s">
        <v>424</v>
      </c>
      <c r="D29" s="380" t="s">
        <v>106</v>
      </c>
      <c r="E29" s="381" t="s">
        <v>30</v>
      </c>
      <c r="F29" s="388">
        <v>355.5</v>
      </c>
      <c r="G29" s="388"/>
      <c r="H29" s="381" t="s">
        <v>30</v>
      </c>
      <c r="I29" s="387" t="s">
        <v>32</v>
      </c>
      <c r="J29" s="387"/>
      <c r="K29" s="384" t="s">
        <v>25</v>
      </c>
      <c r="L29" s="385">
        <v>226471.15</v>
      </c>
    </row>
    <row r="30" spans="1:12" ht="81.599999999999994" hidden="1" x14ac:dyDescent="0.3">
      <c r="A30" s="379" t="s">
        <v>103</v>
      </c>
      <c r="B30" s="380" t="s">
        <v>107</v>
      </c>
      <c r="C30" s="380" t="s">
        <v>108</v>
      </c>
      <c r="D30" s="380" t="s">
        <v>109</v>
      </c>
      <c r="E30" s="381" t="s">
        <v>30</v>
      </c>
      <c r="F30" s="386">
        <v>2507.38</v>
      </c>
      <c r="G30" s="386"/>
      <c r="H30" s="381" t="s">
        <v>30</v>
      </c>
      <c r="I30" s="387" t="s">
        <v>32</v>
      </c>
      <c r="J30" s="387"/>
      <c r="K30" s="384" t="s">
        <v>25</v>
      </c>
      <c r="L30" s="385">
        <v>228978.53</v>
      </c>
    </row>
    <row r="31" spans="1:12" ht="81.599999999999994" hidden="1" x14ac:dyDescent="0.3">
      <c r="A31" s="379" t="s">
        <v>103</v>
      </c>
      <c r="B31" s="380" t="s">
        <v>107</v>
      </c>
      <c r="C31" s="380" t="s">
        <v>110</v>
      </c>
      <c r="D31" s="380" t="s">
        <v>111</v>
      </c>
      <c r="E31" s="381" t="s">
        <v>30</v>
      </c>
      <c r="F31" s="388">
        <v>811.37</v>
      </c>
      <c r="G31" s="388"/>
      <c r="H31" s="381" t="s">
        <v>30</v>
      </c>
      <c r="I31" s="387" t="s">
        <v>32</v>
      </c>
      <c r="J31" s="387"/>
      <c r="K31" s="384" t="s">
        <v>25</v>
      </c>
      <c r="L31" s="385">
        <v>229789.9</v>
      </c>
    </row>
    <row r="32" spans="1:12" ht="91.8" x14ac:dyDescent="0.3">
      <c r="A32" s="379" t="s">
        <v>103</v>
      </c>
      <c r="B32" s="380" t="s">
        <v>829</v>
      </c>
      <c r="C32" s="380" t="s">
        <v>53</v>
      </c>
      <c r="D32" s="380" t="s">
        <v>546</v>
      </c>
      <c r="E32" s="381" t="s">
        <v>54</v>
      </c>
      <c r="F32" s="382" t="s">
        <v>32</v>
      </c>
      <c r="G32" s="382"/>
      <c r="H32" s="381" t="s">
        <v>30</v>
      </c>
      <c r="I32" s="383">
        <v>8216</v>
      </c>
      <c r="J32" s="383"/>
      <c r="K32" s="384" t="s">
        <v>25</v>
      </c>
      <c r="L32" s="385">
        <v>221573.9</v>
      </c>
    </row>
    <row r="33" spans="1:12" ht="81.599999999999994" x14ac:dyDescent="0.3">
      <c r="A33" s="379" t="s">
        <v>103</v>
      </c>
      <c r="B33" s="380" t="s">
        <v>829</v>
      </c>
      <c r="C33" s="380" t="s">
        <v>53</v>
      </c>
      <c r="D33" s="380" t="s">
        <v>830</v>
      </c>
      <c r="E33" s="381" t="s">
        <v>54</v>
      </c>
      <c r="F33" s="382" t="s">
        <v>32</v>
      </c>
      <c r="G33" s="382"/>
      <c r="H33" s="381" t="s">
        <v>30</v>
      </c>
      <c r="I33" s="383">
        <v>12612.71</v>
      </c>
      <c r="J33" s="383"/>
      <c r="K33" s="384" t="s">
        <v>25</v>
      </c>
      <c r="L33" s="385">
        <v>208961.19</v>
      </c>
    </row>
    <row r="34" spans="1:12" ht="71.400000000000006" x14ac:dyDescent="0.3">
      <c r="A34" s="379" t="s">
        <v>103</v>
      </c>
      <c r="B34" s="380" t="s">
        <v>829</v>
      </c>
      <c r="C34" s="380" t="s">
        <v>53</v>
      </c>
      <c r="D34" s="380" t="s">
        <v>831</v>
      </c>
      <c r="E34" s="381" t="s">
        <v>54</v>
      </c>
      <c r="F34" s="382" t="s">
        <v>32</v>
      </c>
      <c r="G34" s="382"/>
      <c r="H34" s="381" t="s">
        <v>30</v>
      </c>
      <c r="I34" s="383">
        <v>10082.92</v>
      </c>
      <c r="J34" s="383"/>
      <c r="K34" s="384" t="s">
        <v>25</v>
      </c>
      <c r="L34" s="385">
        <v>198878.27</v>
      </c>
    </row>
    <row r="35" spans="1:12" ht="71.400000000000006" x14ac:dyDescent="0.3">
      <c r="A35" s="379" t="s">
        <v>103</v>
      </c>
      <c r="B35" s="380" t="s">
        <v>829</v>
      </c>
      <c r="C35" s="380" t="s">
        <v>53</v>
      </c>
      <c r="D35" s="380" t="s">
        <v>308</v>
      </c>
      <c r="E35" s="381" t="s">
        <v>54</v>
      </c>
      <c r="F35" s="382" t="s">
        <v>32</v>
      </c>
      <c r="G35" s="382"/>
      <c r="H35" s="381" t="s">
        <v>30</v>
      </c>
      <c r="I35" s="383">
        <v>5673.18</v>
      </c>
      <c r="J35" s="383"/>
      <c r="K35" s="384" t="s">
        <v>25</v>
      </c>
      <c r="L35" s="385">
        <v>193205.09</v>
      </c>
    </row>
    <row r="36" spans="1:12" ht="71.400000000000006" x14ac:dyDescent="0.3">
      <c r="A36" s="379" t="s">
        <v>103</v>
      </c>
      <c r="B36" s="380" t="s">
        <v>829</v>
      </c>
      <c r="C36" s="380" t="s">
        <v>53</v>
      </c>
      <c r="D36" s="380" t="s">
        <v>807</v>
      </c>
      <c r="E36" s="381" t="s">
        <v>54</v>
      </c>
      <c r="F36" s="382" t="s">
        <v>32</v>
      </c>
      <c r="G36" s="382"/>
      <c r="H36" s="381" t="s">
        <v>30</v>
      </c>
      <c r="I36" s="383">
        <v>18910.8</v>
      </c>
      <c r="J36" s="383"/>
      <c r="K36" s="384" t="s">
        <v>25</v>
      </c>
      <c r="L36" s="385">
        <v>174294.29</v>
      </c>
    </row>
    <row r="37" spans="1:12" ht="71.400000000000006" x14ac:dyDescent="0.3">
      <c r="A37" s="379" t="s">
        <v>103</v>
      </c>
      <c r="B37" s="380" t="s">
        <v>829</v>
      </c>
      <c r="C37" s="380" t="s">
        <v>53</v>
      </c>
      <c r="D37" s="380" t="s">
        <v>824</v>
      </c>
      <c r="E37" s="381" t="s">
        <v>54</v>
      </c>
      <c r="F37" s="382" t="s">
        <v>32</v>
      </c>
      <c r="G37" s="382"/>
      <c r="H37" s="381" t="s">
        <v>30</v>
      </c>
      <c r="I37" s="383">
        <v>10802.43</v>
      </c>
      <c r="J37" s="383"/>
      <c r="K37" s="384" t="s">
        <v>25</v>
      </c>
      <c r="L37" s="385">
        <v>163491.85999999999</v>
      </c>
    </row>
    <row r="38" spans="1:12" ht="91.8" x14ac:dyDescent="0.3">
      <c r="A38" s="379" t="s">
        <v>103</v>
      </c>
      <c r="B38" s="380" t="s">
        <v>832</v>
      </c>
      <c r="C38" s="380" t="s">
        <v>53</v>
      </c>
      <c r="D38" s="380" t="s">
        <v>780</v>
      </c>
      <c r="E38" s="381" t="s">
        <v>54</v>
      </c>
      <c r="F38" s="382" t="s">
        <v>32</v>
      </c>
      <c r="G38" s="382"/>
      <c r="H38" s="381" t="s">
        <v>30</v>
      </c>
      <c r="I38" s="383">
        <v>5005</v>
      </c>
      <c r="J38" s="383"/>
      <c r="K38" s="384" t="s">
        <v>25</v>
      </c>
      <c r="L38" s="385">
        <v>158486.85999999999</v>
      </c>
    </row>
    <row r="39" spans="1:12" ht="91.8" x14ac:dyDescent="0.3">
      <c r="A39" s="379" t="s">
        <v>103</v>
      </c>
      <c r="B39" s="380" t="s">
        <v>832</v>
      </c>
      <c r="C39" s="380" t="s">
        <v>53</v>
      </c>
      <c r="D39" s="380" t="s">
        <v>780</v>
      </c>
      <c r="E39" s="381" t="s">
        <v>54</v>
      </c>
      <c r="F39" s="382" t="s">
        <v>32</v>
      </c>
      <c r="G39" s="382"/>
      <c r="H39" s="381" t="s">
        <v>30</v>
      </c>
      <c r="I39" s="383">
        <v>5642.5</v>
      </c>
      <c r="J39" s="383"/>
      <c r="K39" s="384" t="s">
        <v>25</v>
      </c>
      <c r="L39" s="385">
        <v>152844.35999999999</v>
      </c>
    </row>
    <row r="40" spans="1:12" ht="91.8" x14ac:dyDescent="0.3">
      <c r="A40" s="379" t="s">
        <v>103</v>
      </c>
      <c r="B40" s="380" t="s">
        <v>832</v>
      </c>
      <c r="C40" s="380" t="s">
        <v>53</v>
      </c>
      <c r="D40" s="380" t="s">
        <v>781</v>
      </c>
      <c r="E40" s="381" t="s">
        <v>54</v>
      </c>
      <c r="F40" s="382" t="s">
        <v>32</v>
      </c>
      <c r="G40" s="382"/>
      <c r="H40" s="381" t="s">
        <v>30</v>
      </c>
      <c r="I40" s="383">
        <v>14088</v>
      </c>
      <c r="J40" s="383"/>
      <c r="K40" s="384" t="s">
        <v>25</v>
      </c>
      <c r="L40" s="385">
        <v>138756.35999999999</v>
      </c>
    </row>
    <row r="41" spans="1:12" ht="91.8" x14ac:dyDescent="0.3">
      <c r="A41" s="379" t="s">
        <v>103</v>
      </c>
      <c r="B41" s="380" t="s">
        <v>832</v>
      </c>
      <c r="C41" s="380" t="s">
        <v>53</v>
      </c>
      <c r="D41" s="380" t="s">
        <v>342</v>
      </c>
      <c r="E41" s="381" t="s">
        <v>54</v>
      </c>
      <c r="F41" s="382" t="s">
        <v>32</v>
      </c>
      <c r="G41" s="382"/>
      <c r="H41" s="381" t="s">
        <v>30</v>
      </c>
      <c r="I41" s="383">
        <v>1835.17</v>
      </c>
      <c r="J41" s="383"/>
      <c r="K41" s="384" t="s">
        <v>25</v>
      </c>
      <c r="L41" s="385">
        <v>136921.19</v>
      </c>
    </row>
    <row r="42" spans="1:12" ht="71.400000000000006" x14ac:dyDescent="0.3">
      <c r="A42" s="379" t="s">
        <v>103</v>
      </c>
      <c r="B42" s="380" t="s">
        <v>832</v>
      </c>
      <c r="C42" s="380" t="s">
        <v>53</v>
      </c>
      <c r="D42" s="380" t="s">
        <v>824</v>
      </c>
      <c r="E42" s="381" t="s">
        <v>54</v>
      </c>
      <c r="F42" s="382" t="s">
        <v>32</v>
      </c>
      <c r="G42" s="382"/>
      <c r="H42" s="381" t="s">
        <v>30</v>
      </c>
      <c r="I42" s="383">
        <v>10612.07</v>
      </c>
      <c r="J42" s="383"/>
      <c r="K42" s="384" t="s">
        <v>25</v>
      </c>
      <c r="L42" s="385">
        <v>126309.12</v>
      </c>
    </row>
    <row r="43" spans="1:12" ht="71.400000000000006" x14ac:dyDescent="0.3">
      <c r="A43" s="379" t="s">
        <v>103</v>
      </c>
      <c r="B43" s="380" t="s">
        <v>832</v>
      </c>
      <c r="C43" s="380" t="s">
        <v>53</v>
      </c>
      <c r="D43" s="380" t="s">
        <v>514</v>
      </c>
      <c r="E43" s="381" t="s">
        <v>54</v>
      </c>
      <c r="F43" s="382" t="s">
        <v>32</v>
      </c>
      <c r="G43" s="382"/>
      <c r="H43" s="381" t="s">
        <v>30</v>
      </c>
      <c r="I43" s="383">
        <v>6578.79</v>
      </c>
      <c r="J43" s="383"/>
      <c r="K43" s="384" t="s">
        <v>25</v>
      </c>
      <c r="L43" s="385">
        <v>119730.33</v>
      </c>
    </row>
    <row r="44" spans="1:12" ht="81.599999999999994" x14ac:dyDescent="0.3">
      <c r="A44" s="379" t="s">
        <v>103</v>
      </c>
      <c r="B44" s="380" t="s">
        <v>832</v>
      </c>
      <c r="C44" s="380" t="s">
        <v>53</v>
      </c>
      <c r="D44" s="380" t="s">
        <v>424</v>
      </c>
      <c r="E44" s="381" t="s">
        <v>54</v>
      </c>
      <c r="F44" s="382" t="s">
        <v>32</v>
      </c>
      <c r="G44" s="382"/>
      <c r="H44" s="381" t="s">
        <v>30</v>
      </c>
      <c r="I44" s="389">
        <v>355.5</v>
      </c>
      <c r="J44" s="389"/>
      <c r="K44" s="384" t="s">
        <v>25</v>
      </c>
      <c r="L44" s="385">
        <v>119374.83</v>
      </c>
    </row>
    <row r="45" spans="1:12" ht="81.599999999999994" x14ac:dyDescent="0.3">
      <c r="A45" s="379" t="s">
        <v>103</v>
      </c>
      <c r="B45" s="380" t="s">
        <v>832</v>
      </c>
      <c r="C45" s="380" t="s">
        <v>53</v>
      </c>
      <c r="D45" s="380" t="s">
        <v>108</v>
      </c>
      <c r="E45" s="381" t="s">
        <v>54</v>
      </c>
      <c r="F45" s="382" t="s">
        <v>32</v>
      </c>
      <c r="G45" s="382"/>
      <c r="H45" s="381" t="s">
        <v>30</v>
      </c>
      <c r="I45" s="383">
        <v>2507.38</v>
      </c>
      <c r="J45" s="383"/>
      <c r="K45" s="384" t="s">
        <v>25</v>
      </c>
      <c r="L45" s="385">
        <v>116867.45</v>
      </c>
    </row>
    <row r="46" spans="1:12" ht="81.599999999999994" x14ac:dyDescent="0.3">
      <c r="A46" s="379" t="s">
        <v>103</v>
      </c>
      <c r="B46" s="380" t="s">
        <v>832</v>
      </c>
      <c r="C46" s="380" t="s">
        <v>53</v>
      </c>
      <c r="D46" s="380" t="s">
        <v>110</v>
      </c>
      <c r="E46" s="381" t="s">
        <v>54</v>
      </c>
      <c r="F46" s="382" t="s">
        <v>32</v>
      </c>
      <c r="G46" s="382"/>
      <c r="H46" s="381" t="s">
        <v>30</v>
      </c>
      <c r="I46" s="389">
        <v>811.37</v>
      </c>
      <c r="J46" s="389"/>
      <c r="K46" s="384" t="s">
        <v>25</v>
      </c>
      <c r="L46" s="385">
        <v>116056.08</v>
      </c>
    </row>
    <row r="47" spans="1:12" ht="81.599999999999994" x14ac:dyDescent="0.3">
      <c r="A47" s="379" t="s">
        <v>103</v>
      </c>
      <c r="B47" s="380" t="s">
        <v>832</v>
      </c>
      <c r="C47" s="380" t="s">
        <v>53</v>
      </c>
      <c r="D47" s="380" t="s">
        <v>833</v>
      </c>
      <c r="E47" s="381" t="s">
        <v>54</v>
      </c>
      <c r="F47" s="382" t="s">
        <v>32</v>
      </c>
      <c r="G47" s="382"/>
      <c r="H47" s="381" t="s">
        <v>30</v>
      </c>
      <c r="I47" s="383">
        <v>1047.1099999999999</v>
      </c>
      <c r="J47" s="383"/>
      <c r="K47" s="384" t="s">
        <v>25</v>
      </c>
      <c r="L47" s="385">
        <v>115008.97</v>
      </c>
    </row>
    <row r="48" spans="1:12" ht="71.400000000000006" hidden="1" x14ac:dyDescent="0.3">
      <c r="A48" s="379" t="s">
        <v>103</v>
      </c>
      <c r="B48" s="380" t="s">
        <v>118</v>
      </c>
      <c r="C48" s="380" t="s">
        <v>119</v>
      </c>
      <c r="D48" s="380" t="s">
        <v>95</v>
      </c>
      <c r="E48" s="381" t="s">
        <v>30</v>
      </c>
      <c r="F48" s="386">
        <v>3088.91</v>
      </c>
      <c r="G48" s="386"/>
      <c r="H48" s="381" t="s">
        <v>30</v>
      </c>
      <c r="I48" s="387" t="s">
        <v>32</v>
      </c>
      <c r="J48" s="387"/>
      <c r="K48" s="384" t="s">
        <v>25</v>
      </c>
      <c r="L48" s="385">
        <v>118097.88</v>
      </c>
    </row>
    <row r="49" spans="1:12" ht="91.8" hidden="1" x14ac:dyDescent="0.3">
      <c r="A49" s="379" t="s">
        <v>103</v>
      </c>
      <c r="B49" s="380" t="s">
        <v>170</v>
      </c>
      <c r="C49" s="380" t="s">
        <v>171</v>
      </c>
      <c r="D49" s="380" t="s">
        <v>158</v>
      </c>
      <c r="E49" s="381" t="s">
        <v>30</v>
      </c>
      <c r="F49" s="388">
        <v>338.25</v>
      </c>
      <c r="G49" s="388"/>
      <c r="H49" s="381" t="s">
        <v>30</v>
      </c>
      <c r="I49" s="387" t="s">
        <v>32</v>
      </c>
      <c r="J49" s="387"/>
      <c r="K49" s="384" t="s">
        <v>25</v>
      </c>
      <c r="L49" s="385">
        <v>118436.13</v>
      </c>
    </row>
    <row r="50" spans="1:12" ht="91.8" hidden="1" x14ac:dyDescent="0.3">
      <c r="A50" s="379" t="s">
        <v>103</v>
      </c>
      <c r="B50" s="380" t="s">
        <v>170</v>
      </c>
      <c r="C50" s="380" t="s">
        <v>172</v>
      </c>
      <c r="D50" s="380" t="s">
        <v>163</v>
      </c>
      <c r="E50" s="381" t="s">
        <v>30</v>
      </c>
      <c r="F50" s="386">
        <v>4147.91</v>
      </c>
      <c r="G50" s="386"/>
      <c r="H50" s="381" t="s">
        <v>30</v>
      </c>
      <c r="I50" s="387" t="s">
        <v>32</v>
      </c>
      <c r="J50" s="387"/>
      <c r="K50" s="384" t="s">
        <v>25</v>
      </c>
      <c r="L50" s="385">
        <v>122584.04</v>
      </c>
    </row>
    <row r="51" spans="1:12" ht="91.8" hidden="1" x14ac:dyDescent="0.3">
      <c r="A51" s="379" t="s">
        <v>103</v>
      </c>
      <c r="B51" s="380" t="s">
        <v>220</v>
      </c>
      <c r="C51" s="380" t="s">
        <v>172</v>
      </c>
      <c r="D51" s="380" t="s">
        <v>164</v>
      </c>
      <c r="E51" s="381" t="s">
        <v>30</v>
      </c>
      <c r="F51" s="386">
        <v>3509.92</v>
      </c>
      <c r="G51" s="386"/>
      <c r="H51" s="381" t="s">
        <v>30</v>
      </c>
      <c r="I51" s="387" t="s">
        <v>32</v>
      </c>
      <c r="J51" s="387"/>
      <c r="K51" s="384" t="s">
        <v>25</v>
      </c>
      <c r="L51" s="385">
        <v>126093.96</v>
      </c>
    </row>
    <row r="52" spans="1:12" ht="91.8" hidden="1" x14ac:dyDescent="0.3">
      <c r="A52" s="379" t="s">
        <v>103</v>
      </c>
      <c r="B52" s="380" t="s">
        <v>220</v>
      </c>
      <c r="C52" s="380" t="s">
        <v>221</v>
      </c>
      <c r="D52" s="380" t="s">
        <v>181</v>
      </c>
      <c r="E52" s="381" t="s">
        <v>30</v>
      </c>
      <c r="F52" s="386">
        <v>7494.67</v>
      </c>
      <c r="G52" s="386"/>
      <c r="H52" s="381" t="s">
        <v>30</v>
      </c>
      <c r="I52" s="387" t="s">
        <v>32</v>
      </c>
      <c r="J52" s="387"/>
      <c r="K52" s="384" t="s">
        <v>25</v>
      </c>
      <c r="L52" s="385">
        <v>133588.63</v>
      </c>
    </row>
    <row r="53" spans="1:12" ht="91.8" hidden="1" x14ac:dyDescent="0.3">
      <c r="A53" s="379" t="s">
        <v>103</v>
      </c>
      <c r="B53" s="380" t="s">
        <v>220</v>
      </c>
      <c r="C53" s="380" t="s">
        <v>222</v>
      </c>
      <c r="D53" s="380" t="s">
        <v>184</v>
      </c>
      <c r="E53" s="381" t="s">
        <v>30</v>
      </c>
      <c r="F53" s="386">
        <v>5655.83</v>
      </c>
      <c r="G53" s="386"/>
      <c r="H53" s="381" t="s">
        <v>30</v>
      </c>
      <c r="I53" s="387" t="s">
        <v>32</v>
      </c>
      <c r="J53" s="387"/>
      <c r="K53" s="384" t="s">
        <v>25</v>
      </c>
      <c r="L53" s="385">
        <v>139244.46</v>
      </c>
    </row>
    <row r="54" spans="1:12" ht="91.8" hidden="1" x14ac:dyDescent="0.3">
      <c r="A54" s="379" t="s">
        <v>103</v>
      </c>
      <c r="B54" s="380" t="s">
        <v>220</v>
      </c>
      <c r="C54" s="380" t="s">
        <v>223</v>
      </c>
      <c r="D54" s="380" t="s">
        <v>188</v>
      </c>
      <c r="E54" s="381" t="s">
        <v>30</v>
      </c>
      <c r="F54" s="388">
        <v>778.25</v>
      </c>
      <c r="G54" s="388"/>
      <c r="H54" s="381" t="s">
        <v>30</v>
      </c>
      <c r="I54" s="387" t="s">
        <v>32</v>
      </c>
      <c r="J54" s="387"/>
      <c r="K54" s="384" t="s">
        <v>25</v>
      </c>
      <c r="L54" s="385">
        <v>140022.71</v>
      </c>
    </row>
    <row r="55" spans="1:12" ht="71.400000000000006" x14ac:dyDescent="0.3">
      <c r="A55" s="379" t="s">
        <v>103</v>
      </c>
      <c r="B55" s="380" t="s">
        <v>834</v>
      </c>
      <c r="C55" s="380" t="s">
        <v>53</v>
      </c>
      <c r="D55" s="380" t="s">
        <v>119</v>
      </c>
      <c r="E55" s="381" t="s">
        <v>54</v>
      </c>
      <c r="F55" s="382" t="s">
        <v>32</v>
      </c>
      <c r="G55" s="382"/>
      <c r="H55" s="381" t="s">
        <v>30</v>
      </c>
      <c r="I55" s="383">
        <v>3088.91</v>
      </c>
      <c r="J55" s="383"/>
      <c r="K55" s="384" t="s">
        <v>25</v>
      </c>
      <c r="L55" s="385">
        <v>136933.79999999999</v>
      </c>
    </row>
    <row r="56" spans="1:12" ht="91.8" x14ac:dyDescent="0.3">
      <c r="A56" s="379" t="s">
        <v>103</v>
      </c>
      <c r="B56" s="380" t="s">
        <v>834</v>
      </c>
      <c r="C56" s="380" t="s">
        <v>53</v>
      </c>
      <c r="D56" s="380" t="s">
        <v>171</v>
      </c>
      <c r="E56" s="381" t="s">
        <v>54</v>
      </c>
      <c r="F56" s="382" t="s">
        <v>32</v>
      </c>
      <c r="G56" s="382"/>
      <c r="H56" s="381" t="s">
        <v>30</v>
      </c>
      <c r="I56" s="389">
        <v>338.25</v>
      </c>
      <c r="J56" s="389"/>
      <c r="K56" s="384" t="s">
        <v>25</v>
      </c>
      <c r="L56" s="385">
        <v>136595.54999999999</v>
      </c>
    </row>
    <row r="57" spans="1:12" ht="91.8" x14ac:dyDescent="0.3">
      <c r="A57" s="379" t="s">
        <v>103</v>
      </c>
      <c r="B57" s="380" t="s">
        <v>834</v>
      </c>
      <c r="C57" s="380" t="s">
        <v>53</v>
      </c>
      <c r="D57" s="380" t="s">
        <v>172</v>
      </c>
      <c r="E57" s="381" t="s">
        <v>54</v>
      </c>
      <c r="F57" s="382" t="s">
        <v>32</v>
      </c>
      <c r="G57" s="382"/>
      <c r="H57" s="381" t="s">
        <v>30</v>
      </c>
      <c r="I57" s="383">
        <v>3576.83</v>
      </c>
      <c r="J57" s="383"/>
      <c r="K57" s="384" t="s">
        <v>25</v>
      </c>
      <c r="L57" s="385">
        <v>133018.72</v>
      </c>
    </row>
    <row r="58" spans="1:12" ht="91.8" x14ac:dyDescent="0.3">
      <c r="A58" s="379" t="s">
        <v>103</v>
      </c>
      <c r="B58" s="380" t="s">
        <v>834</v>
      </c>
      <c r="C58" s="380" t="s">
        <v>53</v>
      </c>
      <c r="D58" s="380" t="s">
        <v>172</v>
      </c>
      <c r="E58" s="381" t="s">
        <v>54</v>
      </c>
      <c r="F58" s="382" t="s">
        <v>32</v>
      </c>
      <c r="G58" s="382"/>
      <c r="H58" s="381" t="s">
        <v>30</v>
      </c>
      <c r="I58" s="389">
        <v>571.08000000000004</v>
      </c>
      <c r="J58" s="389"/>
      <c r="K58" s="384" t="s">
        <v>25</v>
      </c>
      <c r="L58" s="385">
        <v>132447.64000000001</v>
      </c>
    </row>
    <row r="59" spans="1:12" ht="91.8" x14ac:dyDescent="0.3">
      <c r="A59" s="379" t="s">
        <v>103</v>
      </c>
      <c r="B59" s="380" t="s">
        <v>834</v>
      </c>
      <c r="C59" s="380" t="s">
        <v>53</v>
      </c>
      <c r="D59" s="380" t="s">
        <v>172</v>
      </c>
      <c r="E59" s="381" t="s">
        <v>54</v>
      </c>
      <c r="F59" s="382" t="s">
        <v>32</v>
      </c>
      <c r="G59" s="382"/>
      <c r="H59" s="381" t="s">
        <v>30</v>
      </c>
      <c r="I59" s="383">
        <v>3509.92</v>
      </c>
      <c r="J59" s="383"/>
      <c r="K59" s="384" t="s">
        <v>25</v>
      </c>
      <c r="L59" s="385">
        <v>128937.72</v>
      </c>
    </row>
    <row r="60" spans="1:12" ht="91.8" x14ac:dyDescent="0.3">
      <c r="A60" s="379" t="s">
        <v>103</v>
      </c>
      <c r="B60" s="380" t="s">
        <v>834</v>
      </c>
      <c r="C60" s="380" t="s">
        <v>53</v>
      </c>
      <c r="D60" s="380" t="s">
        <v>221</v>
      </c>
      <c r="E60" s="381" t="s">
        <v>54</v>
      </c>
      <c r="F60" s="382" t="s">
        <v>32</v>
      </c>
      <c r="G60" s="382"/>
      <c r="H60" s="381" t="s">
        <v>30</v>
      </c>
      <c r="I60" s="383">
        <v>3984.75</v>
      </c>
      <c r="J60" s="383"/>
      <c r="K60" s="384" t="s">
        <v>25</v>
      </c>
      <c r="L60" s="385">
        <v>124952.97</v>
      </c>
    </row>
    <row r="61" spans="1:12" ht="91.8" x14ac:dyDescent="0.3">
      <c r="A61" s="379" t="s">
        <v>103</v>
      </c>
      <c r="B61" s="380" t="s">
        <v>834</v>
      </c>
      <c r="C61" s="380" t="s">
        <v>53</v>
      </c>
      <c r="D61" s="380" t="s">
        <v>221</v>
      </c>
      <c r="E61" s="381" t="s">
        <v>54</v>
      </c>
      <c r="F61" s="382" t="s">
        <v>32</v>
      </c>
      <c r="G61" s="382"/>
      <c r="H61" s="381" t="s">
        <v>30</v>
      </c>
      <c r="I61" s="383">
        <v>3509.92</v>
      </c>
      <c r="J61" s="383"/>
      <c r="K61" s="384" t="s">
        <v>25</v>
      </c>
      <c r="L61" s="385">
        <v>121443.05</v>
      </c>
    </row>
    <row r="62" spans="1:12" ht="91.8" x14ac:dyDescent="0.3">
      <c r="A62" s="379" t="s">
        <v>103</v>
      </c>
      <c r="B62" s="380" t="s">
        <v>834</v>
      </c>
      <c r="C62" s="380" t="s">
        <v>53</v>
      </c>
      <c r="D62" s="380" t="s">
        <v>222</v>
      </c>
      <c r="E62" s="381" t="s">
        <v>54</v>
      </c>
      <c r="F62" s="382" t="s">
        <v>32</v>
      </c>
      <c r="G62" s="382"/>
      <c r="H62" s="381" t="s">
        <v>30</v>
      </c>
      <c r="I62" s="383">
        <v>4147.91</v>
      </c>
      <c r="J62" s="383"/>
      <c r="K62" s="384" t="s">
        <v>25</v>
      </c>
      <c r="L62" s="385">
        <v>117295.14</v>
      </c>
    </row>
    <row r="63" spans="1:12" ht="91.8" x14ac:dyDescent="0.3">
      <c r="A63" s="379" t="s">
        <v>103</v>
      </c>
      <c r="B63" s="380" t="s">
        <v>834</v>
      </c>
      <c r="C63" s="380" t="s">
        <v>53</v>
      </c>
      <c r="D63" s="380" t="s">
        <v>222</v>
      </c>
      <c r="E63" s="381" t="s">
        <v>54</v>
      </c>
      <c r="F63" s="382" t="s">
        <v>32</v>
      </c>
      <c r="G63" s="382"/>
      <c r="H63" s="381" t="s">
        <v>30</v>
      </c>
      <c r="I63" s="383">
        <v>1507.92</v>
      </c>
      <c r="J63" s="383"/>
      <c r="K63" s="384" t="s">
        <v>25</v>
      </c>
      <c r="L63" s="385">
        <v>115787.22</v>
      </c>
    </row>
    <row r="64" spans="1:12" ht="91.8" x14ac:dyDescent="0.3">
      <c r="A64" s="379" t="s">
        <v>103</v>
      </c>
      <c r="B64" s="380" t="s">
        <v>834</v>
      </c>
      <c r="C64" s="380" t="s">
        <v>53</v>
      </c>
      <c r="D64" s="380" t="s">
        <v>223</v>
      </c>
      <c r="E64" s="381" t="s">
        <v>54</v>
      </c>
      <c r="F64" s="382" t="s">
        <v>32</v>
      </c>
      <c r="G64" s="382"/>
      <c r="H64" s="381" t="s">
        <v>30</v>
      </c>
      <c r="I64" s="389">
        <v>778.25</v>
      </c>
      <c r="J64" s="389"/>
      <c r="K64" s="384" t="s">
        <v>25</v>
      </c>
      <c r="L64" s="385">
        <v>115008.97</v>
      </c>
    </row>
    <row r="65" spans="1:12" hidden="1" x14ac:dyDescent="0.3">
      <c r="A65" s="390" t="s">
        <v>120</v>
      </c>
      <c r="B65" s="390"/>
      <c r="C65" s="390"/>
      <c r="D65" s="390"/>
      <c r="E65" s="391">
        <v>159433.03</v>
      </c>
      <c r="F65" s="391"/>
      <c r="G65" s="391"/>
      <c r="H65" s="391">
        <v>174948.41</v>
      </c>
      <c r="I65" s="391"/>
      <c r="J65" s="391"/>
      <c r="K65" s="392" t="s">
        <v>25</v>
      </c>
      <c r="L65" s="393">
        <v>115008.97</v>
      </c>
    </row>
    <row r="67" spans="1:12" x14ac:dyDescent="0.3">
      <c r="J67" s="2">
        <f>SUBTOTAL(9,I23:J64)</f>
        <v>150938.89000000001</v>
      </c>
    </row>
  </sheetData>
  <autoFilter ref="A1:L65" xr:uid="{95895E0B-738E-49A9-84B2-D1A69B828D06}">
    <filterColumn colId="1">
      <filters>
        <filter val="Вимога-накладна ІБ00-000378 від 22.05.2025 16:50:20_x000a_Списаны ТМЦ"/>
        <filter val="Вимога-накладна ІБ00-000399 від 29.05.2025 15:41:23_x000a_Списаны ТМЦ"/>
        <filter val="Вимога-накладна ІБ00-000409 від 29.05.2025 21:00:00_x000a_Списаны ТМЦ"/>
        <filter val="Вимога-накладна ІБ00-000427 від 29.05.2025 21:2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36">
    <mergeCell ref="F64:G64"/>
    <mergeCell ref="I64:J64"/>
    <mergeCell ref="A65:D65"/>
    <mergeCell ref="E65:G65"/>
    <mergeCell ref="H65:J65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FACB-16BF-49F3-B542-C6398D50C5E4}">
  <sheetPr filterMode="1"/>
  <dimension ref="A1:L712"/>
  <sheetViews>
    <sheetView topLeftCell="A384" workbookViewId="0">
      <selection activeCell="J712" sqref="J712"/>
    </sheetView>
  </sheetViews>
  <sheetFormatPr defaultRowHeight="14.4" x14ac:dyDescent="0.3"/>
  <cols>
    <col min="2" max="4" width="18.21875" customWidth="1"/>
    <col min="10" max="10" width="11.33203125" bestFit="1" customWidth="1"/>
    <col min="12" max="12" width="11.6640625" bestFit="1" customWidth="1"/>
  </cols>
  <sheetData>
    <row r="1" spans="1:12" x14ac:dyDescent="0.3">
      <c r="A1" s="394" t="s">
        <v>17</v>
      </c>
      <c r="B1" s="395" t="s">
        <v>18</v>
      </c>
      <c r="C1" s="395" t="s">
        <v>19</v>
      </c>
      <c r="D1" s="396" t="s">
        <v>20</v>
      </c>
      <c r="E1" s="397" t="s">
        <v>21</v>
      </c>
      <c r="F1" s="397"/>
      <c r="G1" s="397"/>
      <c r="H1" s="398" t="s">
        <v>22</v>
      </c>
      <c r="I1" s="398"/>
      <c r="J1" s="398"/>
      <c r="K1" s="395" t="s">
        <v>23</v>
      </c>
      <c r="L1" s="395"/>
    </row>
    <row r="2" spans="1:12" hidden="1" x14ac:dyDescent="0.3">
      <c r="A2" s="399"/>
      <c r="B2" s="400"/>
      <c r="C2" s="400"/>
      <c r="D2" s="401"/>
      <c r="E2" s="402" t="s">
        <v>24</v>
      </c>
      <c r="F2" s="403"/>
      <c r="G2" s="403"/>
      <c r="H2" s="404" t="s">
        <v>24</v>
      </c>
      <c r="I2" s="405"/>
      <c r="J2" s="405"/>
      <c r="K2" s="399"/>
      <c r="L2" s="406"/>
    </row>
    <row r="3" spans="1:12" ht="81.599999999999994" hidden="1" x14ac:dyDescent="0.3">
      <c r="A3" s="407" t="s">
        <v>26</v>
      </c>
      <c r="B3" s="408" t="s">
        <v>835</v>
      </c>
      <c r="C3" s="408" t="s">
        <v>836</v>
      </c>
      <c r="D3" s="408" t="s">
        <v>837</v>
      </c>
      <c r="E3" s="409" t="s">
        <v>30</v>
      </c>
      <c r="F3" s="410">
        <v>56796.39</v>
      </c>
      <c r="G3" s="410"/>
      <c r="H3" s="409" t="s">
        <v>31</v>
      </c>
      <c r="I3" s="411" t="s">
        <v>32</v>
      </c>
      <c r="J3" s="411"/>
      <c r="K3" s="412" t="s">
        <v>25</v>
      </c>
      <c r="L3" s="413">
        <v>325596.38</v>
      </c>
    </row>
    <row r="4" spans="1:12" ht="81.599999999999994" hidden="1" x14ac:dyDescent="0.3">
      <c r="A4" s="407" t="s">
        <v>26</v>
      </c>
      <c r="B4" s="408" t="s">
        <v>835</v>
      </c>
      <c r="C4" s="408" t="s">
        <v>838</v>
      </c>
      <c r="D4" s="408" t="s">
        <v>837</v>
      </c>
      <c r="E4" s="409" t="s">
        <v>30</v>
      </c>
      <c r="F4" s="410">
        <v>21815.33</v>
      </c>
      <c r="G4" s="410"/>
      <c r="H4" s="409" t="s">
        <v>31</v>
      </c>
      <c r="I4" s="411" t="s">
        <v>32</v>
      </c>
      <c r="J4" s="411"/>
      <c r="K4" s="412" t="s">
        <v>25</v>
      </c>
      <c r="L4" s="413">
        <v>347411.71</v>
      </c>
    </row>
    <row r="5" spans="1:12" ht="81.599999999999994" hidden="1" x14ac:dyDescent="0.3">
      <c r="A5" s="407" t="s">
        <v>26</v>
      </c>
      <c r="B5" s="408" t="s">
        <v>835</v>
      </c>
      <c r="C5" s="408" t="s">
        <v>839</v>
      </c>
      <c r="D5" s="408" t="s">
        <v>837</v>
      </c>
      <c r="E5" s="409" t="s">
        <v>30</v>
      </c>
      <c r="F5" s="410">
        <v>11668.85</v>
      </c>
      <c r="G5" s="410"/>
      <c r="H5" s="409" t="s">
        <v>31</v>
      </c>
      <c r="I5" s="411" t="s">
        <v>32</v>
      </c>
      <c r="J5" s="411"/>
      <c r="K5" s="412" t="s">
        <v>25</v>
      </c>
      <c r="L5" s="413">
        <v>359080.56</v>
      </c>
    </row>
    <row r="6" spans="1:12" ht="81.599999999999994" hidden="1" x14ac:dyDescent="0.3">
      <c r="A6" s="407" t="s">
        <v>26</v>
      </c>
      <c r="B6" s="408" t="s">
        <v>840</v>
      </c>
      <c r="C6" s="408" t="s">
        <v>841</v>
      </c>
      <c r="D6" s="408" t="s">
        <v>842</v>
      </c>
      <c r="E6" s="409" t="s">
        <v>30</v>
      </c>
      <c r="F6" s="410">
        <v>8506.0300000000007</v>
      </c>
      <c r="G6" s="410"/>
      <c r="H6" s="409" t="s">
        <v>31</v>
      </c>
      <c r="I6" s="411" t="s">
        <v>32</v>
      </c>
      <c r="J6" s="411"/>
      <c r="K6" s="412" t="s">
        <v>25</v>
      </c>
      <c r="L6" s="413">
        <v>367586.59</v>
      </c>
    </row>
    <row r="7" spans="1:12" ht="81.599999999999994" hidden="1" x14ac:dyDescent="0.3">
      <c r="A7" s="407" t="s">
        <v>26</v>
      </c>
      <c r="B7" s="408" t="s">
        <v>840</v>
      </c>
      <c r="C7" s="408" t="s">
        <v>843</v>
      </c>
      <c r="D7" s="408" t="s">
        <v>842</v>
      </c>
      <c r="E7" s="409" t="s">
        <v>30</v>
      </c>
      <c r="F7" s="410">
        <v>1200.1500000000001</v>
      </c>
      <c r="G7" s="410"/>
      <c r="H7" s="409" t="s">
        <v>31</v>
      </c>
      <c r="I7" s="411" t="s">
        <v>32</v>
      </c>
      <c r="J7" s="411"/>
      <c r="K7" s="412" t="s">
        <v>25</v>
      </c>
      <c r="L7" s="413">
        <v>368786.74</v>
      </c>
    </row>
    <row r="8" spans="1:12" ht="81.599999999999994" hidden="1" x14ac:dyDescent="0.3">
      <c r="A8" s="407" t="s">
        <v>26</v>
      </c>
      <c r="B8" s="408" t="s">
        <v>840</v>
      </c>
      <c r="C8" s="408" t="s">
        <v>844</v>
      </c>
      <c r="D8" s="408" t="s">
        <v>842</v>
      </c>
      <c r="E8" s="409" t="s">
        <v>30</v>
      </c>
      <c r="F8" s="410">
        <v>24040.63</v>
      </c>
      <c r="G8" s="410"/>
      <c r="H8" s="409" t="s">
        <v>31</v>
      </c>
      <c r="I8" s="411" t="s">
        <v>32</v>
      </c>
      <c r="J8" s="411"/>
      <c r="K8" s="412" t="s">
        <v>25</v>
      </c>
      <c r="L8" s="413">
        <v>392827.37</v>
      </c>
    </row>
    <row r="9" spans="1:12" ht="81.599999999999994" hidden="1" x14ac:dyDescent="0.3">
      <c r="A9" s="407" t="s">
        <v>26</v>
      </c>
      <c r="B9" s="408" t="s">
        <v>840</v>
      </c>
      <c r="C9" s="408" t="s">
        <v>845</v>
      </c>
      <c r="D9" s="408" t="s">
        <v>842</v>
      </c>
      <c r="E9" s="409" t="s">
        <v>30</v>
      </c>
      <c r="F9" s="410">
        <v>15512.02</v>
      </c>
      <c r="G9" s="410"/>
      <c r="H9" s="409" t="s">
        <v>31</v>
      </c>
      <c r="I9" s="411" t="s">
        <v>32</v>
      </c>
      <c r="J9" s="411"/>
      <c r="K9" s="412" t="s">
        <v>25</v>
      </c>
      <c r="L9" s="413">
        <v>408339.39</v>
      </c>
    </row>
    <row r="10" spans="1:12" ht="81.599999999999994" hidden="1" x14ac:dyDescent="0.3">
      <c r="A10" s="407" t="s">
        <v>26</v>
      </c>
      <c r="B10" s="408" t="s">
        <v>840</v>
      </c>
      <c r="C10" s="408" t="s">
        <v>846</v>
      </c>
      <c r="D10" s="408" t="s">
        <v>842</v>
      </c>
      <c r="E10" s="409" t="s">
        <v>30</v>
      </c>
      <c r="F10" s="410">
        <v>30488.5</v>
      </c>
      <c r="G10" s="410"/>
      <c r="H10" s="409" t="s">
        <v>31</v>
      </c>
      <c r="I10" s="411" t="s">
        <v>32</v>
      </c>
      <c r="J10" s="411"/>
      <c r="K10" s="412" t="s">
        <v>25</v>
      </c>
      <c r="L10" s="413">
        <v>438827.89</v>
      </c>
    </row>
    <row r="11" spans="1:12" ht="81.599999999999994" hidden="1" x14ac:dyDescent="0.3">
      <c r="A11" s="407" t="s">
        <v>26</v>
      </c>
      <c r="B11" s="408" t="s">
        <v>840</v>
      </c>
      <c r="C11" s="408" t="s">
        <v>847</v>
      </c>
      <c r="D11" s="408" t="s">
        <v>842</v>
      </c>
      <c r="E11" s="409" t="s">
        <v>30</v>
      </c>
      <c r="F11" s="410">
        <v>60068.61</v>
      </c>
      <c r="G11" s="410"/>
      <c r="H11" s="409" t="s">
        <v>31</v>
      </c>
      <c r="I11" s="411" t="s">
        <v>32</v>
      </c>
      <c r="J11" s="411"/>
      <c r="K11" s="412" t="s">
        <v>25</v>
      </c>
      <c r="L11" s="413">
        <v>498896.5</v>
      </c>
    </row>
    <row r="12" spans="1:12" ht="81.599999999999994" hidden="1" x14ac:dyDescent="0.3">
      <c r="A12" s="407" t="s">
        <v>26</v>
      </c>
      <c r="B12" s="408" t="s">
        <v>840</v>
      </c>
      <c r="C12" s="408" t="s">
        <v>848</v>
      </c>
      <c r="D12" s="408" t="s">
        <v>842</v>
      </c>
      <c r="E12" s="409" t="s">
        <v>30</v>
      </c>
      <c r="F12" s="410">
        <v>22053.18</v>
      </c>
      <c r="G12" s="410"/>
      <c r="H12" s="409" t="s">
        <v>31</v>
      </c>
      <c r="I12" s="411" t="s">
        <v>32</v>
      </c>
      <c r="J12" s="411"/>
      <c r="K12" s="412" t="s">
        <v>25</v>
      </c>
      <c r="L12" s="413">
        <v>520949.68</v>
      </c>
    </row>
    <row r="13" spans="1:12" ht="81.599999999999994" hidden="1" x14ac:dyDescent="0.3">
      <c r="A13" s="407" t="s">
        <v>26</v>
      </c>
      <c r="B13" s="408" t="s">
        <v>840</v>
      </c>
      <c r="C13" s="408" t="s">
        <v>849</v>
      </c>
      <c r="D13" s="408" t="s">
        <v>842</v>
      </c>
      <c r="E13" s="409" t="s">
        <v>30</v>
      </c>
      <c r="F13" s="410">
        <v>40174.32</v>
      </c>
      <c r="G13" s="410"/>
      <c r="H13" s="409" t="s">
        <v>31</v>
      </c>
      <c r="I13" s="411" t="s">
        <v>32</v>
      </c>
      <c r="J13" s="411"/>
      <c r="K13" s="412" t="s">
        <v>25</v>
      </c>
      <c r="L13" s="413">
        <v>561124</v>
      </c>
    </row>
    <row r="14" spans="1:12" ht="81.599999999999994" hidden="1" x14ac:dyDescent="0.3">
      <c r="A14" s="407" t="s">
        <v>26</v>
      </c>
      <c r="B14" s="408" t="s">
        <v>840</v>
      </c>
      <c r="C14" s="408" t="s">
        <v>850</v>
      </c>
      <c r="D14" s="408" t="s">
        <v>842</v>
      </c>
      <c r="E14" s="409" t="s">
        <v>30</v>
      </c>
      <c r="F14" s="410">
        <v>18978.189999999999</v>
      </c>
      <c r="G14" s="410"/>
      <c r="H14" s="409" t="s">
        <v>31</v>
      </c>
      <c r="I14" s="411" t="s">
        <v>32</v>
      </c>
      <c r="J14" s="411"/>
      <c r="K14" s="412" t="s">
        <v>25</v>
      </c>
      <c r="L14" s="413">
        <v>580102.18999999994</v>
      </c>
    </row>
    <row r="15" spans="1:12" ht="81.599999999999994" hidden="1" x14ac:dyDescent="0.3">
      <c r="A15" s="407" t="s">
        <v>26</v>
      </c>
      <c r="B15" s="408" t="s">
        <v>840</v>
      </c>
      <c r="C15" s="408" t="s">
        <v>851</v>
      </c>
      <c r="D15" s="408" t="s">
        <v>842</v>
      </c>
      <c r="E15" s="409" t="s">
        <v>30</v>
      </c>
      <c r="F15" s="410">
        <v>22113.21</v>
      </c>
      <c r="G15" s="410"/>
      <c r="H15" s="409" t="s">
        <v>31</v>
      </c>
      <c r="I15" s="411" t="s">
        <v>32</v>
      </c>
      <c r="J15" s="411"/>
      <c r="K15" s="412" t="s">
        <v>25</v>
      </c>
      <c r="L15" s="413">
        <v>602215.4</v>
      </c>
    </row>
    <row r="16" spans="1:12" ht="81.599999999999994" hidden="1" x14ac:dyDescent="0.3">
      <c r="A16" s="407" t="s">
        <v>26</v>
      </c>
      <c r="B16" s="408" t="s">
        <v>852</v>
      </c>
      <c r="C16" s="408" t="s">
        <v>853</v>
      </c>
      <c r="D16" s="408" t="s">
        <v>842</v>
      </c>
      <c r="E16" s="409" t="s">
        <v>30</v>
      </c>
      <c r="F16" s="410">
        <v>42611.45</v>
      </c>
      <c r="G16" s="410"/>
      <c r="H16" s="409" t="s">
        <v>31</v>
      </c>
      <c r="I16" s="411" t="s">
        <v>32</v>
      </c>
      <c r="J16" s="411"/>
      <c r="K16" s="412" t="s">
        <v>25</v>
      </c>
      <c r="L16" s="413">
        <v>644826.85</v>
      </c>
    </row>
    <row r="17" spans="1:12" ht="81.599999999999994" hidden="1" x14ac:dyDescent="0.3">
      <c r="A17" s="407" t="s">
        <v>26</v>
      </c>
      <c r="B17" s="408" t="s">
        <v>852</v>
      </c>
      <c r="C17" s="408" t="s">
        <v>854</v>
      </c>
      <c r="D17" s="408" t="s">
        <v>842</v>
      </c>
      <c r="E17" s="409" t="s">
        <v>30</v>
      </c>
      <c r="F17" s="410">
        <v>18811.64</v>
      </c>
      <c r="G17" s="410"/>
      <c r="H17" s="409" t="s">
        <v>31</v>
      </c>
      <c r="I17" s="411" t="s">
        <v>32</v>
      </c>
      <c r="J17" s="411"/>
      <c r="K17" s="412" t="s">
        <v>25</v>
      </c>
      <c r="L17" s="413">
        <v>663638.49</v>
      </c>
    </row>
    <row r="18" spans="1:12" ht="81.599999999999994" hidden="1" x14ac:dyDescent="0.3">
      <c r="A18" s="407" t="s">
        <v>26</v>
      </c>
      <c r="B18" s="408" t="s">
        <v>852</v>
      </c>
      <c r="C18" s="408" t="s">
        <v>855</v>
      </c>
      <c r="D18" s="408" t="s">
        <v>842</v>
      </c>
      <c r="E18" s="409" t="s">
        <v>30</v>
      </c>
      <c r="F18" s="410">
        <v>12541.09</v>
      </c>
      <c r="G18" s="410"/>
      <c r="H18" s="409" t="s">
        <v>31</v>
      </c>
      <c r="I18" s="411" t="s">
        <v>32</v>
      </c>
      <c r="J18" s="411"/>
      <c r="K18" s="412" t="s">
        <v>25</v>
      </c>
      <c r="L18" s="413">
        <v>676179.58</v>
      </c>
    </row>
    <row r="19" spans="1:12" ht="81.599999999999994" hidden="1" x14ac:dyDescent="0.3">
      <c r="A19" s="407" t="s">
        <v>26</v>
      </c>
      <c r="B19" s="408" t="s">
        <v>856</v>
      </c>
      <c r="C19" s="408" t="s">
        <v>857</v>
      </c>
      <c r="D19" s="408" t="s">
        <v>842</v>
      </c>
      <c r="E19" s="409" t="s">
        <v>30</v>
      </c>
      <c r="F19" s="410">
        <v>2750.58</v>
      </c>
      <c r="G19" s="410"/>
      <c r="H19" s="409" t="s">
        <v>31</v>
      </c>
      <c r="I19" s="411" t="s">
        <v>32</v>
      </c>
      <c r="J19" s="411"/>
      <c r="K19" s="412" t="s">
        <v>25</v>
      </c>
      <c r="L19" s="413">
        <v>678930.16</v>
      </c>
    </row>
    <row r="20" spans="1:12" ht="81.599999999999994" hidden="1" x14ac:dyDescent="0.3">
      <c r="A20" s="407" t="s">
        <v>26</v>
      </c>
      <c r="B20" s="408" t="s">
        <v>856</v>
      </c>
      <c r="C20" s="408" t="s">
        <v>858</v>
      </c>
      <c r="D20" s="408" t="s">
        <v>842</v>
      </c>
      <c r="E20" s="409" t="s">
        <v>30</v>
      </c>
      <c r="F20" s="410">
        <v>28470.400000000001</v>
      </c>
      <c r="G20" s="410"/>
      <c r="H20" s="409" t="s">
        <v>31</v>
      </c>
      <c r="I20" s="411" t="s">
        <v>32</v>
      </c>
      <c r="J20" s="411"/>
      <c r="K20" s="412" t="s">
        <v>25</v>
      </c>
      <c r="L20" s="413">
        <v>707400.56</v>
      </c>
    </row>
    <row r="21" spans="1:12" ht="81.599999999999994" hidden="1" x14ac:dyDescent="0.3">
      <c r="A21" s="407" t="s">
        <v>26</v>
      </c>
      <c r="B21" s="408" t="s">
        <v>856</v>
      </c>
      <c r="C21" s="408" t="s">
        <v>859</v>
      </c>
      <c r="D21" s="408" t="s">
        <v>842</v>
      </c>
      <c r="E21" s="409" t="s">
        <v>30</v>
      </c>
      <c r="F21" s="410">
        <v>8999.31</v>
      </c>
      <c r="G21" s="410"/>
      <c r="H21" s="409" t="s">
        <v>31</v>
      </c>
      <c r="I21" s="411" t="s">
        <v>32</v>
      </c>
      <c r="J21" s="411"/>
      <c r="K21" s="412" t="s">
        <v>25</v>
      </c>
      <c r="L21" s="413">
        <v>716399.87</v>
      </c>
    </row>
    <row r="22" spans="1:12" ht="81.599999999999994" hidden="1" x14ac:dyDescent="0.3">
      <c r="A22" s="407" t="s">
        <v>26</v>
      </c>
      <c r="B22" s="408" t="s">
        <v>856</v>
      </c>
      <c r="C22" s="408" t="s">
        <v>860</v>
      </c>
      <c r="D22" s="408" t="s">
        <v>842</v>
      </c>
      <c r="E22" s="409" t="s">
        <v>30</v>
      </c>
      <c r="F22" s="410">
        <v>7846.86</v>
      </c>
      <c r="G22" s="410"/>
      <c r="H22" s="409" t="s">
        <v>31</v>
      </c>
      <c r="I22" s="411" t="s">
        <v>32</v>
      </c>
      <c r="J22" s="411"/>
      <c r="K22" s="412" t="s">
        <v>25</v>
      </c>
      <c r="L22" s="413">
        <v>724246.73</v>
      </c>
    </row>
    <row r="23" spans="1:12" ht="81.599999999999994" hidden="1" x14ac:dyDescent="0.3">
      <c r="A23" s="407" t="s">
        <v>26</v>
      </c>
      <c r="B23" s="408" t="s">
        <v>861</v>
      </c>
      <c r="C23" s="408" t="s">
        <v>862</v>
      </c>
      <c r="D23" s="408" t="s">
        <v>863</v>
      </c>
      <c r="E23" s="409" t="s">
        <v>30</v>
      </c>
      <c r="F23" s="410">
        <v>105761.25</v>
      </c>
      <c r="G23" s="410"/>
      <c r="H23" s="409" t="s">
        <v>31</v>
      </c>
      <c r="I23" s="411" t="s">
        <v>32</v>
      </c>
      <c r="J23" s="411"/>
      <c r="K23" s="412" t="s">
        <v>25</v>
      </c>
      <c r="L23" s="413">
        <v>830007.98</v>
      </c>
    </row>
    <row r="24" spans="1:12" ht="81.599999999999994" hidden="1" x14ac:dyDescent="0.3">
      <c r="A24" s="407" t="s">
        <v>26</v>
      </c>
      <c r="B24" s="408" t="s">
        <v>861</v>
      </c>
      <c r="C24" s="408" t="s">
        <v>864</v>
      </c>
      <c r="D24" s="408" t="s">
        <v>863</v>
      </c>
      <c r="E24" s="409" t="s">
        <v>30</v>
      </c>
      <c r="F24" s="410">
        <v>206517.5</v>
      </c>
      <c r="G24" s="410"/>
      <c r="H24" s="409" t="s">
        <v>31</v>
      </c>
      <c r="I24" s="411" t="s">
        <v>32</v>
      </c>
      <c r="J24" s="411"/>
      <c r="K24" s="412" t="s">
        <v>25</v>
      </c>
      <c r="L24" s="413">
        <v>1036525.48</v>
      </c>
    </row>
    <row r="25" spans="1:12" ht="81.599999999999994" hidden="1" x14ac:dyDescent="0.3">
      <c r="A25" s="407" t="s">
        <v>26</v>
      </c>
      <c r="B25" s="408" t="s">
        <v>865</v>
      </c>
      <c r="C25" s="408" t="s">
        <v>866</v>
      </c>
      <c r="D25" s="408" t="s">
        <v>863</v>
      </c>
      <c r="E25" s="409" t="s">
        <v>30</v>
      </c>
      <c r="F25" s="410">
        <v>522971.4</v>
      </c>
      <c r="G25" s="410"/>
      <c r="H25" s="409" t="s">
        <v>31</v>
      </c>
      <c r="I25" s="411" t="s">
        <v>32</v>
      </c>
      <c r="J25" s="411"/>
      <c r="K25" s="412" t="s">
        <v>25</v>
      </c>
      <c r="L25" s="413">
        <v>1559496.88</v>
      </c>
    </row>
    <row r="26" spans="1:12" ht="81.599999999999994" hidden="1" x14ac:dyDescent="0.3">
      <c r="A26" s="407" t="s">
        <v>26</v>
      </c>
      <c r="B26" s="408" t="s">
        <v>861</v>
      </c>
      <c r="C26" s="408" t="s">
        <v>866</v>
      </c>
      <c r="D26" s="408" t="s">
        <v>863</v>
      </c>
      <c r="E26" s="409" t="s">
        <v>30</v>
      </c>
      <c r="F26" s="410">
        <v>455418.6</v>
      </c>
      <c r="G26" s="410"/>
      <c r="H26" s="409" t="s">
        <v>31</v>
      </c>
      <c r="I26" s="411" t="s">
        <v>32</v>
      </c>
      <c r="J26" s="411"/>
      <c r="K26" s="412" t="s">
        <v>25</v>
      </c>
      <c r="L26" s="413">
        <v>2014915.48</v>
      </c>
    </row>
    <row r="27" spans="1:12" ht="91.8" hidden="1" x14ac:dyDescent="0.3">
      <c r="A27" s="407" t="s">
        <v>179</v>
      </c>
      <c r="B27" s="408" t="s">
        <v>867</v>
      </c>
      <c r="C27" s="408" t="s">
        <v>868</v>
      </c>
      <c r="D27" s="408" t="s">
        <v>869</v>
      </c>
      <c r="E27" s="409" t="s">
        <v>30</v>
      </c>
      <c r="F27" s="410">
        <v>3789.6</v>
      </c>
      <c r="G27" s="410"/>
      <c r="H27" s="409" t="s">
        <v>31</v>
      </c>
      <c r="I27" s="411" t="s">
        <v>32</v>
      </c>
      <c r="J27" s="411"/>
      <c r="K27" s="412" t="s">
        <v>25</v>
      </c>
      <c r="L27" s="413">
        <v>2018705.08</v>
      </c>
    </row>
    <row r="28" spans="1:12" ht="91.8" hidden="1" x14ac:dyDescent="0.3">
      <c r="A28" s="407" t="s">
        <v>179</v>
      </c>
      <c r="B28" s="408" t="s">
        <v>867</v>
      </c>
      <c r="C28" s="408" t="s">
        <v>868</v>
      </c>
      <c r="D28" s="408" t="s">
        <v>869</v>
      </c>
      <c r="E28" s="409" t="s">
        <v>30</v>
      </c>
      <c r="F28" s="410">
        <v>57804.6</v>
      </c>
      <c r="G28" s="410"/>
      <c r="H28" s="409" t="s">
        <v>31</v>
      </c>
      <c r="I28" s="411" t="s">
        <v>32</v>
      </c>
      <c r="J28" s="411"/>
      <c r="K28" s="412" t="s">
        <v>25</v>
      </c>
      <c r="L28" s="413">
        <v>2076509.68</v>
      </c>
    </row>
    <row r="29" spans="1:12" ht="91.8" hidden="1" x14ac:dyDescent="0.3">
      <c r="A29" s="407" t="s">
        <v>179</v>
      </c>
      <c r="B29" s="408" t="s">
        <v>867</v>
      </c>
      <c r="C29" s="408" t="s">
        <v>870</v>
      </c>
      <c r="D29" s="408" t="s">
        <v>869</v>
      </c>
      <c r="E29" s="409" t="s">
        <v>30</v>
      </c>
      <c r="F29" s="410">
        <v>8798</v>
      </c>
      <c r="G29" s="410"/>
      <c r="H29" s="409" t="s">
        <v>31</v>
      </c>
      <c r="I29" s="411" t="s">
        <v>32</v>
      </c>
      <c r="J29" s="411"/>
      <c r="K29" s="412" t="s">
        <v>25</v>
      </c>
      <c r="L29" s="413">
        <v>2085307.68</v>
      </c>
    </row>
    <row r="30" spans="1:12" ht="91.8" hidden="1" x14ac:dyDescent="0.3">
      <c r="A30" s="407" t="s">
        <v>179</v>
      </c>
      <c r="B30" s="408" t="s">
        <v>867</v>
      </c>
      <c r="C30" s="408" t="s">
        <v>871</v>
      </c>
      <c r="D30" s="408" t="s">
        <v>869</v>
      </c>
      <c r="E30" s="409" t="s">
        <v>30</v>
      </c>
      <c r="F30" s="410">
        <v>2034.6</v>
      </c>
      <c r="G30" s="410"/>
      <c r="H30" s="409" t="s">
        <v>31</v>
      </c>
      <c r="I30" s="411" t="s">
        <v>32</v>
      </c>
      <c r="J30" s="411"/>
      <c r="K30" s="412" t="s">
        <v>25</v>
      </c>
      <c r="L30" s="413">
        <v>2087342.28</v>
      </c>
    </row>
    <row r="31" spans="1:12" ht="91.8" hidden="1" x14ac:dyDescent="0.3">
      <c r="A31" s="407" t="s">
        <v>179</v>
      </c>
      <c r="B31" s="408" t="s">
        <v>867</v>
      </c>
      <c r="C31" s="408" t="s">
        <v>872</v>
      </c>
      <c r="D31" s="408" t="s">
        <v>869</v>
      </c>
      <c r="E31" s="409" t="s">
        <v>30</v>
      </c>
      <c r="F31" s="410">
        <v>4766.6000000000004</v>
      </c>
      <c r="G31" s="410"/>
      <c r="H31" s="409" t="s">
        <v>31</v>
      </c>
      <c r="I31" s="411" t="s">
        <v>32</v>
      </c>
      <c r="J31" s="411"/>
      <c r="K31" s="412" t="s">
        <v>25</v>
      </c>
      <c r="L31" s="413">
        <v>2092108.88</v>
      </c>
    </row>
    <row r="32" spans="1:12" ht="91.8" hidden="1" x14ac:dyDescent="0.3">
      <c r="A32" s="407" t="s">
        <v>179</v>
      </c>
      <c r="B32" s="408" t="s">
        <v>867</v>
      </c>
      <c r="C32" s="408" t="s">
        <v>873</v>
      </c>
      <c r="D32" s="408" t="s">
        <v>869</v>
      </c>
      <c r="E32" s="409" t="s">
        <v>30</v>
      </c>
      <c r="F32" s="410">
        <v>7558.2</v>
      </c>
      <c r="G32" s="410"/>
      <c r="H32" s="409" t="s">
        <v>31</v>
      </c>
      <c r="I32" s="411" t="s">
        <v>32</v>
      </c>
      <c r="J32" s="411"/>
      <c r="K32" s="412" t="s">
        <v>25</v>
      </c>
      <c r="L32" s="413">
        <v>2099667.08</v>
      </c>
    </row>
    <row r="33" spans="1:12" ht="91.8" hidden="1" x14ac:dyDescent="0.3">
      <c r="A33" s="407" t="s">
        <v>179</v>
      </c>
      <c r="B33" s="408" t="s">
        <v>867</v>
      </c>
      <c r="C33" s="408" t="s">
        <v>873</v>
      </c>
      <c r="D33" s="408" t="s">
        <v>869</v>
      </c>
      <c r="E33" s="409" t="s">
        <v>30</v>
      </c>
      <c r="F33" s="410">
        <v>135432</v>
      </c>
      <c r="G33" s="410"/>
      <c r="H33" s="409" t="s">
        <v>31</v>
      </c>
      <c r="I33" s="411" t="s">
        <v>32</v>
      </c>
      <c r="J33" s="411"/>
      <c r="K33" s="412" t="s">
        <v>25</v>
      </c>
      <c r="L33" s="413">
        <v>2235099.08</v>
      </c>
    </row>
    <row r="34" spans="1:12" ht="91.8" hidden="1" x14ac:dyDescent="0.3">
      <c r="A34" s="407" t="s">
        <v>179</v>
      </c>
      <c r="B34" s="408" t="s">
        <v>867</v>
      </c>
      <c r="C34" s="408" t="s">
        <v>874</v>
      </c>
      <c r="D34" s="408" t="s">
        <v>869</v>
      </c>
      <c r="E34" s="409" t="s">
        <v>30</v>
      </c>
      <c r="F34" s="410">
        <v>13382.4</v>
      </c>
      <c r="G34" s="410"/>
      <c r="H34" s="409" t="s">
        <v>31</v>
      </c>
      <c r="I34" s="411" t="s">
        <v>32</v>
      </c>
      <c r="J34" s="411"/>
      <c r="K34" s="412" t="s">
        <v>25</v>
      </c>
      <c r="L34" s="413">
        <v>2248481.48</v>
      </c>
    </row>
    <row r="35" spans="1:12" ht="91.8" hidden="1" x14ac:dyDescent="0.3">
      <c r="A35" s="407" t="s">
        <v>179</v>
      </c>
      <c r="B35" s="408" t="s">
        <v>867</v>
      </c>
      <c r="C35" s="408" t="s">
        <v>875</v>
      </c>
      <c r="D35" s="408" t="s">
        <v>869</v>
      </c>
      <c r="E35" s="409" t="s">
        <v>30</v>
      </c>
      <c r="F35" s="410">
        <v>64400.4</v>
      </c>
      <c r="G35" s="410"/>
      <c r="H35" s="409" t="s">
        <v>31</v>
      </c>
      <c r="I35" s="411" t="s">
        <v>32</v>
      </c>
      <c r="J35" s="411"/>
      <c r="K35" s="412" t="s">
        <v>25</v>
      </c>
      <c r="L35" s="413">
        <v>2312881.88</v>
      </c>
    </row>
    <row r="36" spans="1:12" ht="91.8" hidden="1" x14ac:dyDescent="0.3">
      <c r="A36" s="407" t="s">
        <v>179</v>
      </c>
      <c r="B36" s="408" t="s">
        <v>867</v>
      </c>
      <c r="C36" s="408" t="s">
        <v>876</v>
      </c>
      <c r="D36" s="408" t="s">
        <v>869</v>
      </c>
      <c r="E36" s="409" t="s">
        <v>30</v>
      </c>
      <c r="F36" s="410">
        <v>1851.2</v>
      </c>
      <c r="G36" s="410"/>
      <c r="H36" s="409" t="s">
        <v>31</v>
      </c>
      <c r="I36" s="411" t="s">
        <v>32</v>
      </c>
      <c r="J36" s="411"/>
      <c r="K36" s="412" t="s">
        <v>25</v>
      </c>
      <c r="L36" s="413">
        <v>2314733.08</v>
      </c>
    </row>
    <row r="37" spans="1:12" ht="91.8" hidden="1" x14ac:dyDescent="0.3">
      <c r="A37" s="407" t="s">
        <v>179</v>
      </c>
      <c r="B37" s="408" t="s">
        <v>867</v>
      </c>
      <c r="C37" s="408" t="s">
        <v>877</v>
      </c>
      <c r="D37" s="408" t="s">
        <v>869</v>
      </c>
      <c r="E37" s="409" t="s">
        <v>30</v>
      </c>
      <c r="F37" s="410">
        <v>3034.1</v>
      </c>
      <c r="G37" s="410"/>
      <c r="H37" s="409" t="s">
        <v>31</v>
      </c>
      <c r="I37" s="411" t="s">
        <v>32</v>
      </c>
      <c r="J37" s="411"/>
      <c r="K37" s="412" t="s">
        <v>25</v>
      </c>
      <c r="L37" s="413">
        <v>2317767.1800000002</v>
      </c>
    </row>
    <row r="38" spans="1:12" ht="91.8" hidden="1" x14ac:dyDescent="0.3">
      <c r="A38" s="407" t="s">
        <v>179</v>
      </c>
      <c r="B38" s="408" t="s">
        <v>867</v>
      </c>
      <c r="C38" s="408" t="s">
        <v>878</v>
      </c>
      <c r="D38" s="408" t="s">
        <v>869</v>
      </c>
      <c r="E38" s="409" t="s">
        <v>30</v>
      </c>
      <c r="F38" s="410">
        <v>12720.3</v>
      </c>
      <c r="G38" s="410"/>
      <c r="H38" s="409" t="s">
        <v>31</v>
      </c>
      <c r="I38" s="411" t="s">
        <v>32</v>
      </c>
      <c r="J38" s="411"/>
      <c r="K38" s="412" t="s">
        <v>25</v>
      </c>
      <c r="L38" s="413">
        <v>2330487.48</v>
      </c>
    </row>
    <row r="39" spans="1:12" ht="91.8" hidden="1" x14ac:dyDescent="0.3">
      <c r="A39" s="407" t="s">
        <v>179</v>
      </c>
      <c r="B39" s="408" t="s">
        <v>867</v>
      </c>
      <c r="C39" s="408" t="s">
        <v>879</v>
      </c>
      <c r="D39" s="408" t="s">
        <v>869</v>
      </c>
      <c r="E39" s="409" t="s">
        <v>30</v>
      </c>
      <c r="F39" s="410">
        <v>3580.7</v>
      </c>
      <c r="G39" s="410"/>
      <c r="H39" s="409" t="s">
        <v>31</v>
      </c>
      <c r="I39" s="411" t="s">
        <v>32</v>
      </c>
      <c r="J39" s="411"/>
      <c r="K39" s="412" t="s">
        <v>25</v>
      </c>
      <c r="L39" s="413">
        <v>2334068.1800000002</v>
      </c>
    </row>
    <row r="40" spans="1:12" ht="91.8" hidden="1" x14ac:dyDescent="0.3">
      <c r="A40" s="407" t="s">
        <v>179</v>
      </c>
      <c r="B40" s="408" t="s">
        <v>867</v>
      </c>
      <c r="C40" s="408" t="s">
        <v>879</v>
      </c>
      <c r="D40" s="408" t="s">
        <v>869</v>
      </c>
      <c r="E40" s="409" t="s">
        <v>30</v>
      </c>
      <c r="F40" s="410">
        <v>43400.5</v>
      </c>
      <c r="G40" s="410"/>
      <c r="H40" s="409" t="s">
        <v>31</v>
      </c>
      <c r="I40" s="411" t="s">
        <v>32</v>
      </c>
      <c r="J40" s="411"/>
      <c r="K40" s="412" t="s">
        <v>25</v>
      </c>
      <c r="L40" s="413">
        <v>2377468.6800000002</v>
      </c>
    </row>
    <row r="41" spans="1:12" ht="91.8" hidden="1" x14ac:dyDescent="0.3">
      <c r="A41" s="407" t="s">
        <v>179</v>
      </c>
      <c r="B41" s="408" t="s">
        <v>867</v>
      </c>
      <c r="C41" s="408" t="s">
        <v>880</v>
      </c>
      <c r="D41" s="408" t="s">
        <v>869</v>
      </c>
      <c r="E41" s="409" t="s">
        <v>30</v>
      </c>
      <c r="F41" s="410">
        <v>4553.3</v>
      </c>
      <c r="G41" s="410"/>
      <c r="H41" s="409" t="s">
        <v>31</v>
      </c>
      <c r="I41" s="411" t="s">
        <v>32</v>
      </c>
      <c r="J41" s="411"/>
      <c r="K41" s="412" t="s">
        <v>25</v>
      </c>
      <c r="L41" s="413">
        <v>2382021.98</v>
      </c>
    </row>
    <row r="42" spans="1:12" ht="91.8" hidden="1" x14ac:dyDescent="0.3">
      <c r="A42" s="407" t="s">
        <v>179</v>
      </c>
      <c r="B42" s="408" t="s">
        <v>867</v>
      </c>
      <c r="C42" s="408" t="s">
        <v>881</v>
      </c>
      <c r="D42" s="408" t="s">
        <v>869</v>
      </c>
      <c r="E42" s="409" t="s">
        <v>30</v>
      </c>
      <c r="F42" s="410">
        <v>13210.4</v>
      </c>
      <c r="G42" s="410"/>
      <c r="H42" s="409" t="s">
        <v>31</v>
      </c>
      <c r="I42" s="411" t="s">
        <v>32</v>
      </c>
      <c r="J42" s="411"/>
      <c r="K42" s="412" t="s">
        <v>25</v>
      </c>
      <c r="L42" s="413">
        <v>2395232.38</v>
      </c>
    </row>
    <row r="43" spans="1:12" ht="91.8" hidden="1" x14ac:dyDescent="0.3">
      <c r="A43" s="407" t="s">
        <v>179</v>
      </c>
      <c r="B43" s="408" t="s">
        <v>867</v>
      </c>
      <c r="C43" s="408" t="s">
        <v>882</v>
      </c>
      <c r="D43" s="408" t="s">
        <v>869</v>
      </c>
      <c r="E43" s="409" t="s">
        <v>30</v>
      </c>
      <c r="F43" s="410">
        <v>6229.2</v>
      </c>
      <c r="G43" s="410"/>
      <c r="H43" s="409" t="s">
        <v>31</v>
      </c>
      <c r="I43" s="411" t="s">
        <v>32</v>
      </c>
      <c r="J43" s="411"/>
      <c r="K43" s="412" t="s">
        <v>25</v>
      </c>
      <c r="L43" s="413">
        <v>2401461.58</v>
      </c>
    </row>
    <row r="44" spans="1:12" ht="91.8" hidden="1" x14ac:dyDescent="0.3">
      <c r="A44" s="407" t="s">
        <v>179</v>
      </c>
      <c r="B44" s="408" t="s">
        <v>867</v>
      </c>
      <c r="C44" s="408" t="s">
        <v>883</v>
      </c>
      <c r="D44" s="408" t="s">
        <v>869</v>
      </c>
      <c r="E44" s="409" t="s">
        <v>30</v>
      </c>
      <c r="F44" s="410">
        <v>2436.6</v>
      </c>
      <c r="G44" s="410"/>
      <c r="H44" s="409" t="s">
        <v>31</v>
      </c>
      <c r="I44" s="411" t="s">
        <v>32</v>
      </c>
      <c r="J44" s="411"/>
      <c r="K44" s="412" t="s">
        <v>25</v>
      </c>
      <c r="L44" s="413">
        <v>2403898.1800000002</v>
      </c>
    </row>
    <row r="45" spans="1:12" ht="91.8" hidden="1" x14ac:dyDescent="0.3">
      <c r="A45" s="407" t="s">
        <v>179</v>
      </c>
      <c r="B45" s="408" t="s">
        <v>867</v>
      </c>
      <c r="C45" s="408" t="s">
        <v>884</v>
      </c>
      <c r="D45" s="408" t="s">
        <v>869</v>
      </c>
      <c r="E45" s="409" t="s">
        <v>30</v>
      </c>
      <c r="F45" s="410">
        <v>3928.3</v>
      </c>
      <c r="G45" s="410"/>
      <c r="H45" s="409" t="s">
        <v>31</v>
      </c>
      <c r="I45" s="411" t="s">
        <v>32</v>
      </c>
      <c r="J45" s="411"/>
      <c r="K45" s="412" t="s">
        <v>25</v>
      </c>
      <c r="L45" s="413">
        <v>2407826.48</v>
      </c>
    </row>
    <row r="46" spans="1:12" ht="91.8" hidden="1" x14ac:dyDescent="0.3">
      <c r="A46" s="407" t="s">
        <v>179</v>
      </c>
      <c r="B46" s="408" t="s">
        <v>867</v>
      </c>
      <c r="C46" s="408" t="s">
        <v>885</v>
      </c>
      <c r="D46" s="408" t="s">
        <v>869</v>
      </c>
      <c r="E46" s="409" t="s">
        <v>30</v>
      </c>
      <c r="F46" s="410">
        <v>4422</v>
      </c>
      <c r="G46" s="410"/>
      <c r="H46" s="409" t="s">
        <v>31</v>
      </c>
      <c r="I46" s="411" t="s">
        <v>32</v>
      </c>
      <c r="J46" s="411"/>
      <c r="K46" s="412" t="s">
        <v>25</v>
      </c>
      <c r="L46" s="413">
        <v>2412248.48</v>
      </c>
    </row>
    <row r="47" spans="1:12" ht="91.8" hidden="1" x14ac:dyDescent="0.3">
      <c r="A47" s="407" t="s">
        <v>179</v>
      </c>
      <c r="B47" s="408" t="s">
        <v>867</v>
      </c>
      <c r="C47" s="408" t="s">
        <v>885</v>
      </c>
      <c r="D47" s="408" t="s">
        <v>869</v>
      </c>
      <c r="E47" s="409" t="s">
        <v>30</v>
      </c>
      <c r="F47" s="410">
        <v>3391.3</v>
      </c>
      <c r="G47" s="410"/>
      <c r="H47" s="409" t="s">
        <v>31</v>
      </c>
      <c r="I47" s="411" t="s">
        <v>32</v>
      </c>
      <c r="J47" s="411"/>
      <c r="K47" s="412" t="s">
        <v>25</v>
      </c>
      <c r="L47" s="413">
        <v>2415639.7799999998</v>
      </c>
    </row>
    <row r="48" spans="1:12" ht="91.8" hidden="1" x14ac:dyDescent="0.3">
      <c r="A48" s="407" t="s">
        <v>179</v>
      </c>
      <c r="B48" s="408" t="s">
        <v>867</v>
      </c>
      <c r="C48" s="408" t="s">
        <v>886</v>
      </c>
      <c r="D48" s="408" t="s">
        <v>869</v>
      </c>
      <c r="E48" s="409" t="s">
        <v>30</v>
      </c>
      <c r="F48" s="410">
        <v>2435.1</v>
      </c>
      <c r="G48" s="410"/>
      <c r="H48" s="409" t="s">
        <v>31</v>
      </c>
      <c r="I48" s="411" t="s">
        <v>32</v>
      </c>
      <c r="J48" s="411"/>
      <c r="K48" s="412" t="s">
        <v>25</v>
      </c>
      <c r="L48" s="413">
        <v>2418074.88</v>
      </c>
    </row>
    <row r="49" spans="1:12" ht="91.8" hidden="1" x14ac:dyDescent="0.3">
      <c r="A49" s="407" t="s">
        <v>179</v>
      </c>
      <c r="B49" s="408" t="s">
        <v>867</v>
      </c>
      <c r="C49" s="408" t="s">
        <v>887</v>
      </c>
      <c r="D49" s="408" t="s">
        <v>869</v>
      </c>
      <c r="E49" s="409" t="s">
        <v>30</v>
      </c>
      <c r="F49" s="410">
        <v>18617.2</v>
      </c>
      <c r="G49" s="410"/>
      <c r="H49" s="409" t="s">
        <v>31</v>
      </c>
      <c r="I49" s="411" t="s">
        <v>32</v>
      </c>
      <c r="J49" s="411"/>
      <c r="K49" s="412" t="s">
        <v>25</v>
      </c>
      <c r="L49" s="413">
        <v>2436692.08</v>
      </c>
    </row>
    <row r="50" spans="1:12" ht="91.8" hidden="1" x14ac:dyDescent="0.3">
      <c r="A50" s="407" t="s">
        <v>179</v>
      </c>
      <c r="B50" s="408" t="s">
        <v>867</v>
      </c>
      <c r="C50" s="408" t="s">
        <v>888</v>
      </c>
      <c r="D50" s="408" t="s">
        <v>869</v>
      </c>
      <c r="E50" s="409" t="s">
        <v>30</v>
      </c>
      <c r="F50" s="410">
        <v>3728.4</v>
      </c>
      <c r="G50" s="410"/>
      <c r="H50" s="409" t="s">
        <v>31</v>
      </c>
      <c r="I50" s="411" t="s">
        <v>32</v>
      </c>
      <c r="J50" s="411"/>
      <c r="K50" s="412" t="s">
        <v>25</v>
      </c>
      <c r="L50" s="413">
        <v>2440420.48</v>
      </c>
    </row>
    <row r="51" spans="1:12" ht="91.8" hidden="1" x14ac:dyDescent="0.3">
      <c r="A51" s="407" t="s">
        <v>179</v>
      </c>
      <c r="B51" s="408" t="s">
        <v>889</v>
      </c>
      <c r="C51" s="408" t="s">
        <v>885</v>
      </c>
      <c r="D51" s="408" t="s">
        <v>869</v>
      </c>
      <c r="E51" s="409" t="s">
        <v>30</v>
      </c>
      <c r="F51" s="410">
        <v>6486.03</v>
      </c>
      <c r="G51" s="410"/>
      <c r="H51" s="409" t="s">
        <v>31</v>
      </c>
      <c r="I51" s="411" t="s">
        <v>32</v>
      </c>
      <c r="J51" s="411"/>
      <c r="K51" s="412" t="s">
        <v>25</v>
      </c>
      <c r="L51" s="413">
        <v>2446906.5099999998</v>
      </c>
    </row>
    <row r="52" spans="1:12" ht="91.8" hidden="1" x14ac:dyDescent="0.3">
      <c r="A52" s="407" t="s">
        <v>179</v>
      </c>
      <c r="B52" s="408" t="s">
        <v>867</v>
      </c>
      <c r="C52" s="408" t="s">
        <v>885</v>
      </c>
      <c r="D52" s="408" t="s">
        <v>869</v>
      </c>
      <c r="E52" s="409" t="s">
        <v>30</v>
      </c>
      <c r="F52" s="410">
        <v>2325.17</v>
      </c>
      <c r="G52" s="410"/>
      <c r="H52" s="409" t="s">
        <v>31</v>
      </c>
      <c r="I52" s="411" t="s">
        <v>32</v>
      </c>
      <c r="J52" s="411"/>
      <c r="K52" s="412" t="s">
        <v>25</v>
      </c>
      <c r="L52" s="413">
        <v>2449231.6800000002</v>
      </c>
    </row>
    <row r="53" spans="1:12" ht="91.8" hidden="1" x14ac:dyDescent="0.3">
      <c r="A53" s="407" t="s">
        <v>179</v>
      </c>
      <c r="B53" s="408" t="s">
        <v>889</v>
      </c>
      <c r="C53" s="408" t="s">
        <v>890</v>
      </c>
      <c r="D53" s="408" t="s">
        <v>869</v>
      </c>
      <c r="E53" s="409" t="s">
        <v>30</v>
      </c>
      <c r="F53" s="410">
        <v>5232.8</v>
      </c>
      <c r="G53" s="410"/>
      <c r="H53" s="409" t="s">
        <v>31</v>
      </c>
      <c r="I53" s="411" t="s">
        <v>32</v>
      </c>
      <c r="J53" s="411"/>
      <c r="K53" s="412" t="s">
        <v>25</v>
      </c>
      <c r="L53" s="413">
        <v>2454464.48</v>
      </c>
    </row>
    <row r="54" spans="1:12" ht="91.8" hidden="1" x14ac:dyDescent="0.3">
      <c r="A54" s="407" t="s">
        <v>179</v>
      </c>
      <c r="B54" s="408" t="s">
        <v>889</v>
      </c>
      <c r="C54" s="408" t="s">
        <v>875</v>
      </c>
      <c r="D54" s="408" t="s">
        <v>869</v>
      </c>
      <c r="E54" s="409" t="s">
        <v>30</v>
      </c>
      <c r="F54" s="410">
        <v>3382.4</v>
      </c>
      <c r="G54" s="410"/>
      <c r="H54" s="409" t="s">
        <v>31</v>
      </c>
      <c r="I54" s="411" t="s">
        <v>32</v>
      </c>
      <c r="J54" s="411"/>
      <c r="K54" s="412" t="s">
        <v>25</v>
      </c>
      <c r="L54" s="413">
        <v>2457846.88</v>
      </c>
    </row>
    <row r="55" spans="1:12" ht="91.8" hidden="1" x14ac:dyDescent="0.3">
      <c r="A55" s="407" t="s">
        <v>179</v>
      </c>
      <c r="B55" s="408" t="s">
        <v>889</v>
      </c>
      <c r="C55" s="408" t="s">
        <v>878</v>
      </c>
      <c r="D55" s="408" t="s">
        <v>869</v>
      </c>
      <c r="E55" s="409" t="s">
        <v>30</v>
      </c>
      <c r="F55" s="410">
        <v>4178.2</v>
      </c>
      <c r="G55" s="410"/>
      <c r="H55" s="409" t="s">
        <v>31</v>
      </c>
      <c r="I55" s="411" t="s">
        <v>32</v>
      </c>
      <c r="J55" s="411"/>
      <c r="K55" s="412" t="s">
        <v>25</v>
      </c>
      <c r="L55" s="413">
        <v>2462025.08</v>
      </c>
    </row>
    <row r="56" spans="1:12" ht="91.8" hidden="1" x14ac:dyDescent="0.3">
      <c r="A56" s="407" t="s">
        <v>179</v>
      </c>
      <c r="B56" s="408" t="s">
        <v>889</v>
      </c>
      <c r="C56" s="408" t="s">
        <v>873</v>
      </c>
      <c r="D56" s="408" t="s">
        <v>869</v>
      </c>
      <c r="E56" s="409" t="s">
        <v>30</v>
      </c>
      <c r="F56" s="410">
        <v>3566.6</v>
      </c>
      <c r="G56" s="410"/>
      <c r="H56" s="409" t="s">
        <v>31</v>
      </c>
      <c r="I56" s="411" t="s">
        <v>32</v>
      </c>
      <c r="J56" s="411"/>
      <c r="K56" s="412" t="s">
        <v>25</v>
      </c>
      <c r="L56" s="413">
        <v>2465591.6800000002</v>
      </c>
    </row>
    <row r="57" spans="1:12" ht="91.8" hidden="1" x14ac:dyDescent="0.3">
      <c r="A57" s="407" t="s">
        <v>179</v>
      </c>
      <c r="B57" s="408" t="s">
        <v>889</v>
      </c>
      <c r="C57" s="408" t="s">
        <v>891</v>
      </c>
      <c r="D57" s="408" t="s">
        <v>869</v>
      </c>
      <c r="E57" s="409" t="s">
        <v>30</v>
      </c>
      <c r="F57" s="410">
        <v>1832.5</v>
      </c>
      <c r="G57" s="410"/>
      <c r="H57" s="409" t="s">
        <v>31</v>
      </c>
      <c r="I57" s="411" t="s">
        <v>32</v>
      </c>
      <c r="J57" s="411"/>
      <c r="K57" s="412" t="s">
        <v>25</v>
      </c>
      <c r="L57" s="413">
        <v>2467424.1800000002</v>
      </c>
    </row>
    <row r="58" spans="1:12" ht="91.8" hidden="1" x14ac:dyDescent="0.3">
      <c r="A58" s="407" t="s">
        <v>179</v>
      </c>
      <c r="B58" s="408" t="s">
        <v>889</v>
      </c>
      <c r="C58" s="408" t="s">
        <v>871</v>
      </c>
      <c r="D58" s="408" t="s">
        <v>869</v>
      </c>
      <c r="E58" s="409" t="s">
        <v>30</v>
      </c>
      <c r="F58" s="410">
        <v>2016</v>
      </c>
      <c r="G58" s="410"/>
      <c r="H58" s="409" t="s">
        <v>31</v>
      </c>
      <c r="I58" s="411" t="s">
        <v>32</v>
      </c>
      <c r="J58" s="411"/>
      <c r="K58" s="412" t="s">
        <v>25</v>
      </c>
      <c r="L58" s="413">
        <v>2469440.1800000002</v>
      </c>
    </row>
    <row r="59" spans="1:12" ht="91.8" hidden="1" x14ac:dyDescent="0.3">
      <c r="A59" s="407" t="s">
        <v>179</v>
      </c>
      <c r="B59" s="408" t="s">
        <v>889</v>
      </c>
      <c r="C59" s="408" t="s">
        <v>892</v>
      </c>
      <c r="D59" s="408" t="s">
        <v>869</v>
      </c>
      <c r="E59" s="409" t="s">
        <v>30</v>
      </c>
      <c r="F59" s="410">
        <v>4396.7</v>
      </c>
      <c r="G59" s="410"/>
      <c r="H59" s="409" t="s">
        <v>31</v>
      </c>
      <c r="I59" s="411" t="s">
        <v>32</v>
      </c>
      <c r="J59" s="411"/>
      <c r="K59" s="412" t="s">
        <v>25</v>
      </c>
      <c r="L59" s="413">
        <v>2473836.88</v>
      </c>
    </row>
    <row r="60" spans="1:12" ht="91.8" hidden="1" x14ac:dyDescent="0.3">
      <c r="A60" s="407" t="s">
        <v>179</v>
      </c>
      <c r="B60" s="408" t="s">
        <v>889</v>
      </c>
      <c r="C60" s="408" t="s">
        <v>893</v>
      </c>
      <c r="D60" s="408" t="s">
        <v>869</v>
      </c>
      <c r="E60" s="409" t="s">
        <v>30</v>
      </c>
      <c r="F60" s="410">
        <v>9621.5</v>
      </c>
      <c r="G60" s="410"/>
      <c r="H60" s="409" t="s">
        <v>31</v>
      </c>
      <c r="I60" s="411" t="s">
        <v>32</v>
      </c>
      <c r="J60" s="411"/>
      <c r="K60" s="412" t="s">
        <v>25</v>
      </c>
      <c r="L60" s="413">
        <v>2483458.38</v>
      </c>
    </row>
    <row r="61" spans="1:12" ht="91.8" hidden="1" x14ac:dyDescent="0.3">
      <c r="A61" s="407" t="s">
        <v>179</v>
      </c>
      <c r="B61" s="408" t="s">
        <v>889</v>
      </c>
      <c r="C61" s="408" t="s">
        <v>894</v>
      </c>
      <c r="D61" s="408" t="s">
        <v>869</v>
      </c>
      <c r="E61" s="409" t="s">
        <v>30</v>
      </c>
      <c r="F61" s="410">
        <v>1942.9</v>
      </c>
      <c r="G61" s="410"/>
      <c r="H61" s="409" t="s">
        <v>31</v>
      </c>
      <c r="I61" s="411" t="s">
        <v>32</v>
      </c>
      <c r="J61" s="411"/>
      <c r="K61" s="412" t="s">
        <v>25</v>
      </c>
      <c r="L61" s="413">
        <v>2485401.2799999998</v>
      </c>
    </row>
    <row r="62" spans="1:12" ht="91.8" hidden="1" x14ac:dyDescent="0.3">
      <c r="A62" s="407" t="s">
        <v>179</v>
      </c>
      <c r="B62" s="408" t="s">
        <v>889</v>
      </c>
      <c r="C62" s="408" t="s">
        <v>895</v>
      </c>
      <c r="D62" s="408" t="s">
        <v>869</v>
      </c>
      <c r="E62" s="409" t="s">
        <v>30</v>
      </c>
      <c r="F62" s="410">
        <v>2822.2</v>
      </c>
      <c r="G62" s="410"/>
      <c r="H62" s="409" t="s">
        <v>31</v>
      </c>
      <c r="I62" s="411" t="s">
        <v>32</v>
      </c>
      <c r="J62" s="411"/>
      <c r="K62" s="412" t="s">
        <v>25</v>
      </c>
      <c r="L62" s="413">
        <v>2488223.48</v>
      </c>
    </row>
    <row r="63" spans="1:12" ht="91.8" hidden="1" x14ac:dyDescent="0.3">
      <c r="A63" s="407" t="s">
        <v>179</v>
      </c>
      <c r="B63" s="408" t="s">
        <v>889</v>
      </c>
      <c r="C63" s="408" t="s">
        <v>896</v>
      </c>
      <c r="D63" s="408" t="s">
        <v>869</v>
      </c>
      <c r="E63" s="409" t="s">
        <v>30</v>
      </c>
      <c r="F63" s="410">
        <v>2436.6</v>
      </c>
      <c r="G63" s="410"/>
      <c r="H63" s="409" t="s">
        <v>31</v>
      </c>
      <c r="I63" s="411" t="s">
        <v>32</v>
      </c>
      <c r="J63" s="411"/>
      <c r="K63" s="412" t="s">
        <v>25</v>
      </c>
      <c r="L63" s="413">
        <v>2490660.08</v>
      </c>
    </row>
    <row r="64" spans="1:12" ht="91.8" hidden="1" x14ac:dyDescent="0.3">
      <c r="A64" s="407" t="s">
        <v>179</v>
      </c>
      <c r="B64" s="408" t="s">
        <v>889</v>
      </c>
      <c r="C64" s="408" t="s">
        <v>896</v>
      </c>
      <c r="D64" s="408" t="s">
        <v>869</v>
      </c>
      <c r="E64" s="409" t="s">
        <v>30</v>
      </c>
      <c r="F64" s="410">
        <v>2436.6</v>
      </c>
      <c r="G64" s="410"/>
      <c r="H64" s="409" t="s">
        <v>31</v>
      </c>
      <c r="I64" s="411" t="s">
        <v>32</v>
      </c>
      <c r="J64" s="411"/>
      <c r="K64" s="412" t="s">
        <v>25</v>
      </c>
      <c r="L64" s="413">
        <v>2493096.6800000002</v>
      </c>
    </row>
    <row r="65" spans="1:12" ht="91.8" hidden="1" x14ac:dyDescent="0.3">
      <c r="A65" s="407" t="s">
        <v>179</v>
      </c>
      <c r="B65" s="408" t="s">
        <v>889</v>
      </c>
      <c r="C65" s="408" t="s">
        <v>868</v>
      </c>
      <c r="D65" s="408" t="s">
        <v>869</v>
      </c>
      <c r="E65" s="409" t="s">
        <v>30</v>
      </c>
      <c r="F65" s="410">
        <v>3764.2</v>
      </c>
      <c r="G65" s="410"/>
      <c r="H65" s="409" t="s">
        <v>31</v>
      </c>
      <c r="I65" s="411" t="s">
        <v>32</v>
      </c>
      <c r="J65" s="411"/>
      <c r="K65" s="412" t="s">
        <v>25</v>
      </c>
      <c r="L65" s="413">
        <v>2496860.88</v>
      </c>
    </row>
    <row r="66" spans="1:12" ht="91.8" hidden="1" x14ac:dyDescent="0.3">
      <c r="A66" s="407" t="s">
        <v>179</v>
      </c>
      <c r="B66" s="408" t="s">
        <v>889</v>
      </c>
      <c r="C66" s="408" t="s">
        <v>897</v>
      </c>
      <c r="D66" s="408" t="s">
        <v>869</v>
      </c>
      <c r="E66" s="409" t="s">
        <v>30</v>
      </c>
      <c r="F66" s="410">
        <v>6963.2</v>
      </c>
      <c r="G66" s="410"/>
      <c r="H66" s="409" t="s">
        <v>31</v>
      </c>
      <c r="I66" s="411" t="s">
        <v>32</v>
      </c>
      <c r="J66" s="411"/>
      <c r="K66" s="412" t="s">
        <v>25</v>
      </c>
      <c r="L66" s="413">
        <v>2503824.08</v>
      </c>
    </row>
    <row r="67" spans="1:12" ht="91.8" hidden="1" x14ac:dyDescent="0.3">
      <c r="A67" s="407" t="s">
        <v>179</v>
      </c>
      <c r="B67" s="408" t="s">
        <v>889</v>
      </c>
      <c r="C67" s="408" t="s">
        <v>898</v>
      </c>
      <c r="D67" s="408" t="s">
        <v>869</v>
      </c>
      <c r="E67" s="409" t="s">
        <v>30</v>
      </c>
      <c r="F67" s="410">
        <v>1798.2</v>
      </c>
      <c r="G67" s="410"/>
      <c r="H67" s="409" t="s">
        <v>31</v>
      </c>
      <c r="I67" s="411" t="s">
        <v>32</v>
      </c>
      <c r="J67" s="411"/>
      <c r="K67" s="412" t="s">
        <v>25</v>
      </c>
      <c r="L67" s="413">
        <v>2505622.2799999998</v>
      </c>
    </row>
    <row r="68" spans="1:12" ht="91.8" hidden="1" x14ac:dyDescent="0.3">
      <c r="A68" s="407" t="s">
        <v>179</v>
      </c>
      <c r="B68" s="408" t="s">
        <v>889</v>
      </c>
      <c r="C68" s="408" t="s">
        <v>899</v>
      </c>
      <c r="D68" s="408" t="s">
        <v>869</v>
      </c>
      <c r="E68" s="409" t="s">
        <v>30</v>
      </c>
      <c r="F68" s="410">
        <v>2494.1</v>
      </c>
      <c r="G68" s="410"/>
      <c r="H68" s="409" t="s">
        <v>31</v>
      </c>
      <c r="I68" s="411" t="s">
        <v>32</v>
      </c>
      <c r="J68" s="411"/>
      <c r="K68" s="412" t="s">
        <v>25</v>
      </c>
      <c r="L68" s="413">
        <v>2508116.38</v>
      </c>
    </row>
    <row r="69" spans="1:12" ht="91.8" hidden="1" x14ac:dyDescent="0.3">
      <c r="A69" s="407" t="s">
        <v>179</v>
      </c>
      <c r="B69" s="408" t="s">
        <v>889</v>
      </c>
      <c r="C69" s="408" t="s">
        <v>875</v>
      </c>
      <c r="D69" s="408" t="s">
        <v>869</v>
      </c>
      <c r="E69" s="409" t="s">
        <v>30</v>
      </c>
      <c r="F69" s="410">
        <v>3595.7</v>
      </c>
      <c r="G69" s="410"/>
      <c r="H69" s="409" t="s">
        <v>31</v>
      </c>
      <c r="I69" s="411" t="s">
        <v>32</v>
      </c>
      <c r="J69" s="411"/>
      <c r="K69" s="412" t="s">
        <v>25</v>
      </c>
      <c r="L69" s="413">
        <v>2511712.08</v>
      </c>
    </row>
    <row r="70" spans="1:12" ht="91.8" hidden="1" x14ac:dyDescent="0.3">
      <c r="A70" s="407" t="s">
        <v>179</v>
      </c>
      <c r="B70" s="408" t="s">
        <v>889</v>
      </c>
      <c r="C70" s="408" t="s">
        <v>868</v>
      </c>
      <c r="D70" s="408" t="s">
        <v>869</v>
      </c>
      <c r="E70" s="409" t="s">
        <v>30</v>
      </c>
      <c r="F70" s="410">
        <v>3789.6</v>
      </c>
      <c r="G70" s="410"/>
      <c r="H70" s="409" t="s">
        <v>31</v>
      </c>
      <c r="I70" s="411" t="s">
        <v>32</v>
      </c>
      <c r="J70" s="411"/>
      <c r="K70" s="412" t="s">
        <v>25</v>
      </c>
      <c r="L70" s="413">
        <v>2515501.6800000002</v>
      </c>
    </row>
    <row r="71" spans="1:12" ht="91.8" hidden="1" x14ac:dyDescent="0.3">
      <c r="A71" s="407" t="s">
        <v>179</v>
      </c>
      <c r="B71" s="408" t="s">
        <v>889</v>
      </c>
      <c r="C71" s="408" t="s">
        <v>868</v>
      </c>
      <c r="D71" s="408" t="s">
        <v>869</v>
      </c>
      <c r="E71" s="409" t="s">
        <v>30</v>
      </c>
      <c r="F71" s="410">
        <v>3955.9</v>
      </c>
      <c r="G71" s="410"/>
      <c r="H71" s="409" t="s">
        <v>31</v>
      </c>
      <c r="I71" s="411" t="s">
        <v>32</v>
      </c>
      <c r="J71" s="411"/>
      <c r="K71" s="412" t="s">
        <v>25</v>
      </c>
      <c r="L71" s="413">
        <v>2519457.58</v>
      </c>
    </row>
    <row r="72" spans="1:12" ht="91.8" hidden="1" x14ac:dyDescent="0.3">
      <c r="A72" s="407" t="s">
        <v>179</v>
      </c>
      <c r="B72" s="408" t="s">
        <v>889</v>
      </c>
      <c r="C72" s="408" t="s">
        <v>900</v>
      </c>
      <c r="D72" s="408" t="s">
        <v>869</v>
      </c>
      <c r="E72" s="409" t="s">
        <v>30</v>
      </c>
      <c r="F72" s="410">
        <v>2494.1</v>
      </c>
      <c r="G72" s="410"/>
      <c r="H72" s="409" t="s">
        <v>31</v>
      </c>
      <c r="I72" s="411" t="s">
        <v>32</v>
      </c>
      <c r="J72" s="411"/>
      <c r="K72" s="412" t="s">
        <v>25</v>
      </c>
      <c r="L72" s="413">
        <v>2521951.6800000002</v>
      </c>
    </row>
    <row r="73" spans="1:12" ht="91.8" hidden="1" x14ac:dyDescent="0.3">
      <c r="A73" s="407" t="s">
        <v>179</v>
      </c>
      <c r="B73" s="408" t="s">
        <v>889</v>
      </c>
      <c r="C73" s="408" t="s">
        <v>901</v>
      </c>
      <c r="D73" s="408" t="s">
        <v>869</v>
      </c>
      <c r="E73" s="409" t="s">
        <v>30</v>
      </c>
      <c r="F73" s="410">
        <v>1277.5999999999999</v>
      </c>
      <c r="G73" s="410"/>
      <c r="H73" s="409" t="s">
        <v>31</v>
      </c>
      <c r="I73" s="411" t="s">
        <v>32</v>
      </c>
      <c r="J73" s="411"/>
      <c r="K73" s="412" t="s">
        <v>25</v>
      </c>
      <c r="L73" s="413">
        <v>2523229.2799999998</v>
      </c>
    </row>
    <row r="74" spans="1:12" ht="91.8" hidden="1" x14ac:dyDescent="0.3">
      <c r="A74" s="407" t="s">
        <v>179</v>
      </c>
      <c r="B74" s="408" t="s">
        <v>889</v>
      </c>
      <c r="C74" s="408" t="s">
        <v>892</v>
      </c>
      <c r="D74" s="408" t="s">
        <v>869</v>
      </c>
      <c r="E74" s="409" t="s">
        <v>30</v>
      </c>
      <c r="F74" s="410">
        <v>4396.7</v>
      </c>
      <c r="G74" s="410"/>
      <c r="H74" s="409" t="s">
        <v>31</v>
      </c>
      <c r="I74" s="411" t="s">
        <v>32</v>
      </c>
      <c r="J74" s="411"/>
      <c r="K74" s="412" t="s">
        <v>25</v>
      </c>
      <c r="L74" s="413">
        <v>2527625.98</v>
      </c>
    </row>
    <row r="75" spans="1:12" ht="91.8" hidden="1" x14ac:dyDescent="0.3">
      <c r="A75" s="407" t="s">
        <v>179</v>
      </c>
      <c r="B75" s="408" t="s">
        <v>889</v>
      </c>
      <c r="C75" s="408" t="s">
        <v>902</v>
      </c>
      <c r="D75" s="408" t="s">
        <v>869</v>
      </c>
      <c r="E75" s="409" t="s">
        <v>30</v>
      </c>
      <c r="F75" s="410">
        <v>1854.9</v>
      </c>
      <c r="G75" s="410"/>
      <c r="H75" s="409" t="s">
        <v>31</v>
      </c>
      <c r="I75" s="411" t="s">
        <v>32</v>
      </c>
      <c r="J75" s="411"/>
      <c r="K75" s="412" t="s">
        <v>25</v>
      </c>
      <c r="L75" s="413">
        <v>2529480.88</v>
      </c>
    </row>
    <row r="76" spans="1:12" ht="91.8" hidden="1" x14ac:dyDescent="0.3">
      <c r="A76" s="407" t="s">
        <v>179</v>
      </c>
      <c r="B76" s="408" t="s">
        <v>889</v>
      </c>
      <c r="C76" s="408" t="s">
        <v>903</v>
      </c>
      <c r="D76" s="408" t="s">
        <v>869</v>
      </c>
      <c r="E76" s="409" t="s">
        <v>30</v>
      </c>
      <c r="F76" s="410">
        <v>12843.2</v>
      </c>
      <c r="G76" s="410"/>
      <c r="H76" s="409" t="s">
        <v>31</v>
      </c>
      <c r="I76" s="411" t="s">
        <v>32</v>
      </c>
      <c r="J76" s="411"/>
      <c r="K76" s="412" t="s">
        <v>25</v>
      </c>
      <c r="L76" s="413">
        <v>2542324.08</v>
      </c>
    </row>
    <row r="77" spans="1:12" ht="91.8" hidden="1" x14ac:dyDescent="0.3">
      <c r="A77" s="407" t="s">
        <v>179</v>
      </c>
      <c r="B77" s="408" t="s">
        <v>889</v>
      </c>
      <c r="C77" s="408" t="s">
        <v>904</v>
      </c>
      <c r="D77" s="408" t="s">
        <v>869</v>
      </c>
      <c r="E77" s="409" t="s">
        <v>30</v>
      </c>
      <c r="F77" s="410">
        <v>3742.6</v>
      </c>
      <c r="G77" s="410"/>
      <c r="H77" s="409" t="s">
        <v>31</v>
      </c>
      <c r="I77" s="411" t="s">
        <v>32</v>
      </c>
      <c r="J77" s="411"/>
      <c r="K77" s="412" t="s">
        <v>25</v>
      </c>
      <c r="L77" s="413">
        <v>2546066.6800000002</v>
      </c>
    </row>
    <row r="78" spans="1:12" ht="91.8" hidden="1" x14ac:dyDescent="0.3">
      <c r="A78" s="407" t="s">
        <v>179</v>
      </c>
      <c r="B78" s="408" t="s">
        <v>889</v>
      </c>
      <c r="C78" s="408" t="s">
        <v>905</v>
      </c>
      <c r="D78" s="408" t="s">
        <v>869</v>
      </c>
      <c r="E78" s="409" t="s">
        <v>30</v>
      </c>
      <c r="F78" s="410">
        <v>4533.2</v>
      </c>
      <c r="G78" s="410"/>
      <c r="H78" s="409" t="s">
        <v>31</v>
      </c>
      <c r="I78" s="411" t="s">
        <v>32</v>
      </c>
      <c r="J78" s="411"/>
      <c r="K78" s="412" t="s">
        <v>25</v>
      </c>
      <c r="L78" s="413">
        <v>2550599.88</v>
      </c>
    </row>
    <row r="79" spans="1:12" ht="91.8" hidden="1" x14ac:dyDescent="0.3">
      <c r="A79" s="407" t="s">
        <v>179</v>
      </c>
      <c r="B79" s="408" t="s">
        <v>889</v>
      </c>
      <c r="C79" s="408" t="s">
        <v>906</v>
      </c>
      <c r="D79" s="408" t="s">
        <v>869</v>
      </c>
      <c r="E79" s="409" t="s">
        <v>30</v>
      </c>
      <c r="F79" s="410">
        <v>2621.6</v>
      </c>
      <c r="G79" s="410"/>
      <c r="H79" s="409" t="s">
        <v>31</v>
      </c>
      <c r="I79" s="411" t="s">
        <v>32</v>
      </c>
      <c r="J79" s="411"/>
      <c r="K79" s="412" t="s">
        <v>25</v>
      </c>
      <c r="L79" s="413">
        <v>2553221.48</v>
      </c>
    </row>
    <row r="80" spans="1:12" ht="91.8" hidden="1" x14ac:dyDescent="0.3">
      <c r="A80" s="407" t="s">
        <v>179</v>
      </c>
      <c r="B80" s="408" t="s">
        <v>889</v>
      </c>
      <c r="C80" s="408" t="s">
        <v>907</v>
      </c>
      <c r="D80" s="408" t="s">
        <v>869</v>
      </c>
      <c r="E80" s="409" t="s">
        <v>30</v>
      </c>
      <c r="F80" s="410">
        <v>2152.5</v>
      </c>
      <c r="G80" s="410"/>
      <c r="H80" s="409" t="s">
        <v>31</v>
      </c>
      <c r="I80" s="411" t="s">
        <v>32</v>
      </c>
      <c r="J80" s="411"/>
      <c r="K80" s="412" t="s">
        <v>25</v>
      </c>
      <c r="L80" s="413">
        <v>2555373.98</v>
      </c>
    </row>
    <row r="81" spans="1:12" ht="91.8" hidden="1" x14ac:dyDescent="0.3">
      <c r="A81" s="407" t="s">
        <v>179</v>
      </c>
      <c r="B81" s="408" t="s">
        <v>889</v>
      </c>
      <c r="C81" s="408" t="s">
        <v>908</v>
      </c>
      <c r="D81" s="408" t="s">
        <v>869</v>
      </c>
      <c r="E81" s="409" t="s">
        <v>30</v>
      </c>
      <c r="F81" s="410">
        <v>2534.3000000000002</v>
      </c>
      <c r="G81" s="410"/>
      <c r="H81" s="409" t="s">
        <v>31</v>
      </c>
      <c r="I81" s="411" t="s">
        <v>32</v>
      </c>
      <c r="J81" s="411"/>
      <c r="K81" s="412" t="s">
        <v>25</v>
      </c>
      <c r="L81" s="413">
        <v>2557908.2799999998</v>
      </c>
    </row>
    <row r="82" spans="1:12" ht="91.8" hidden="1" x14ac:dyDescent="0.3">
      <c r="A82" s="407" t="s">
        <v>179</v>
      </c>
      <c r="B82" s="408" t="s">
        <v>889</v>
      </c>
      <c r="C82" s="408" t="s">
        <v>905</v>
      </c>
      <c r="D82" s="408" t="s">
        <v>869</v>
      </c>
      <c r="E82" s="409" t="s">
        <v>30</v>
      </c>
      <c r="F82" s="410">
        <v>4270.6000000000004</v>
      </c>
      <c r="G82" s="410"/>
      <c r="H82" s="409" t="s">
        <v>31</v>
      </c>
      <c r="I82" s="411" t="s">
        <v>32</v>
      </c>
      <c r="J82" s="411"/>
      <c r="K82" s="412" t="s">
        <v>25</v>
      </c>
      <c r="L82" s="413">
        <v>2562178.88</v>
      </c>
    </row>
    <row r="83" spans="1:12" ht="91.8" hidden="1" x14ac:dyDescent="0.3">
      <c r="A83" s="407" t="s">
        <v>179</v>
      </c>
      <c r="B83" s="408" t="s">
        <v>889</v>
      </c>
      <c r="C83" s="408" t="s">
        <v>909</v>
      </c>
      <c r="D83" s="408" t="s">
        <v>869</v>
      </c>
      <c r="E83" s="409" t="s">
        <v>30</v>
      </c>
      <c r="F83" s="410">
        <v>2594</v>
      </c>
      <c r="G83" s="410"/>
      <c r="H83" s="409" t="s">
        <v>31</v>
      </c>
      <c r="I83" s="411" t="s">
        <v>32</v>
      </c>
      <c r="J83" s="411"/>
      <c r="K83" s="412" t="s">
        <v>25</v>
      </c>
      <c r="L83" s="413">
        <v>2564772.88</v>
      </c>
    </row>
    <row r="84" spans="1:12" ht="91.8" hidden="1" x14ac:dyDescent="0.3">
      <c r="A84" s="407" t="s">
        <v>179</v>
      </c>
      <c r="B84" s="408" t="s">
        <v>889</v>
      </c>
      <c r="C84" s="408" t="s">
        <v>909</v>
      </c>
      <c r="D84" s="408" t="s">
        <v>869</v>
      </c>
      <c r="E84" s="409" t="s">
        <v>30</v>
      </c>
      <c r="F84" s="410">
        <v>14678</v>
      </c>
      <c r="G84" s="410"/>
      <c r="H84" s="409" t="s">
        <v>31</v>
      </c>
      <c r="I84" s="411" t="s">
        <v>32</v>
      </c>
      <c r="J84" s="411"/>
      <c r="K84" s="412" t="s">
        <v>25</v>
      </c>
      <c r="L84" s="413">
        <v>2579450.8799999999</v>
      </c>
    </row>
    <row r="85" spans="1:12" ht="91.8" hidden="1" x14ac:dyDescent="0.3">
      <c r="A85" s="407" t="s">
        <v>179</v>
      </c>
      <c r="B85" s="408" t="s">
        <v>889</v>
      </c>
      <c r="C85" s="408" t="s">
        <v>910</v>
      </c>
      <c r="D85" s="408" t="s">
        <v>869</v>
      </c>
      <c r="E85" s="409" t="s">
        <v>30</v>
      </c>
      <c r="F85" s="410">
        <v>3333.9</v>
      </c>
      <c r="G85" s="410"/>
      <c r="H85" s="409" t="s">
        <v>31</v>
      </c>
      <c r="I85" s="411" t="s">
        <v>32</v>
      </c>
      <c r="J85" s="411"/>
      <c r="K85" s="412" t="s">
        <v>25</v>
      </c>
      <c r="L85" s="413">
        <v>2582784.7799999998</v>
      </c>
    </row>
    <row r="86" spans="1:12" ht="91.8" hidden="1" x14ac:dyDescent="0.3">
      <c r="A86" s="407" t="s">
        <v>179</v>
      </c>
      <c r="B86" s="408" t="s">
        <v>889</v>
      </c>
      <c r="C86" s="408" t="s">
        <v>911</v>
      </c>
      <c r="D86" s="408" t="s">
        <v>869</v>
      </c>
      <c r="E86" s="409" t="s">
        <v>30</v>
      </c>
      <c r="F86" s="410">
        <v>2145</v>
      </c>
      <c r="G86" s="410"/>
      <c r="H86" s="409" t="s">
        <v>31</v>
      </c>
      <c r="I86" s="411" t="s">
        <v>32</v>
      </c>
      <c r="J86" s="411"/>
      <c r="K86" s="412" t="s">
        <v>25</v>
      </c>
      <c r="L86" s="413">
        <v>2584929.7799999998</v>
      </c>
    </row>
    <row r="87" spans="1:12" ht="91.8" hidden="1" x14ac:dyDescent="0.3">
      <c r="A87" s="407" t="s">
        <v>179</v>
      </c>
      <c r="B87" s="408" t="s">
        <v>889</v>
      </c>
      <c r="C87" s="408" t="s">
        <v>912</v>
      </c>
      <c r="D87" s="408" t="s">
        <v>869</v>
      </c>
      <c r="E87" s="409" t="s">
        <v>30</v>
      </c>
      <c r="F87" s="410">
        <v>2682.8</v>
      </c>
      <c r="G87" s="410"/>
      <c r="H87" s="409" t="s">
        <v>31</v>
      </c>
      <c r="I87" s="411" t="s">
        <v>32</v>
      </c>
      <c r="J87" s="411"/>
      <c r="K87" s="412" t="s">
        <v>25</v>
      </c>
      <c r="L87" s="413">
        <v>2587612.58</v>
      </c>
    </row>
    <row r="88" spans="1:12" ht="91.8" hidden="1" x14ac:dyDescent="0.3">
      <c r="A88" s="407" t="s">
        <v>179</v>
      </c>
      <c r="B88" s="408" t="s">
        <v>889</v>
      </c>
      <c r="C88" s="408" t="s">
        <v>913</v>
      </c>
      <c r="D88" s="408" t="s">
        <v>869</v>
      </c>
      <c r="E88" s="409" t="s">
        <v>30</v>
      </c>
      <c r="F88" s="410">
        <v>2831.9</v>
      </c>
      <c r="G88" s="410"/>
      <c r="H88" s="409" t="s">
        <v>31</v>
      </c>
      <c r="I88" s="411" t="s">
        <v>32</v>
      </c>
      <c r="J88" s="411"/>
      <c r="K88" s="412" t="s">
        <v>25</v>
      </c>
      <c r="L88" s="413">
        <v>2590444.48</v>
      </c>
    </row>
    <row r="89" spans="1:12" ht="91.8" hidden="1" x14ac:dyDescent="0.3">
      <c r="A89" s="407" t="s">
        <v>179</v>
      </c>
      <c r="B89" s="408" t="s">
        <v>889</v>
      </c>
      <c r="C89" s="408" t="s">
        <v>914</v>
      </c>
      <c r="D89" s="408" t="s">
        <v>869</v>
      </c>
      <c r="E89" s="409" t="s">
        <v>30</v>
      </c>
      <c r="F89" s="410">
        <v>2499.3000000000002</v>
      </c>
      <c r="G89" s="410"/>
      <c r="H89" s="409" t="s">
        <v>31</v>
      </c>
      <c r="I89" s="411" t="s">
        <v>32</v>
      </c>
      <c r="J89" s="411"/>
      <c r="K89" s="412" t="s">
        <v>25</v>
      </c>
      <c r="L89" s="413">
        <v>2592943.7799999998</v>
      </c>
    </row>
    <row r="90" spans="1:12" ht="91.8" hidden="1" x14ac:dyDescent="0.3">
      <c r="A90" s="407" t="s">
        <v>179</v>
      </c>
      <c r="B90" s="408" t="s">
        <v>889</v>
      </c>
      <c r="C90" s="408" t="s">
        <v>915</v>
      </c>
      <c r="D90" s="408" t="s">
        <v>869</v>
      </c>
      <c r="E90" s="409" t="s">
        <v>30</v>
      </c>
      <c r="F90" s="410">
        <v>2961.7</v>
      </c>
      <c r="G90" s="410"/>
      <c r="H90" s="409" t="s">
        <v>31</v>
      </c>
      <c r="I90" s="411" t="s">
        <v>32</v>
      </c>
      <c r="J90" s="411"/>
      <c r="K90" s="412" t="s">
        <v>25</v>
      </c>
      <c r="L90" s="413">
        <v>2595905.48</v>
      </c>
    </row>
    <row r="91" spans="1:12" ht="91.8" hidden="1" x14ac:dyDescent="0.3">
      <c r="A91" s="407" t="s">
        <v>179</v>
      </c>
      <c r="B91" s="408" t="s">
        <v>889</v>
      </c>
      <c r="C91" s="408" t="s">
        <v>916</v>
      </c>
      <c r="D91" s="408" t="s">
        <v>869</v>
      </c>
      <c r="E91" s="409" t="s">
        <v>30</v>
      </c>
      <c r="F91" s="410">
        <v>4707.7</v>
      </c>
      <c r="G91" s="410"/>
      <c r="H91" s="409" t="s">
        <v>31</v>
      </c>
      <c r="I91" s="411" t="s">
        <v>32</v>
      </c>
      <c r="J91" s="411"/>
      <c r="K91" s="412" t="s">
        <v>25</v>
      </c>
      <c r="L91" s="413">
        <v>2600613.1800000002</v>
      </c>
    </row>
    <row r="92" spans="1:12" ht="91.8" hidden="1" x14ac:dyDescent="0.3">
      <c r="A92" s="407" t="s">
        <v>179</v>
      </c>
      <c r="B92" s="408" t="s">
        <v>889</v>
      </c>
      <c r="C92" s="408" t="s">
        <v>917</v>
      </c>
      <c r="D92" s="408" t="s">
        <v>869</v>
      </c>
      <c r="E92" s="409" t="s">
        <v>30</v>
      </c>
      <c r="F92" s="410">
        <v>4049.9</v>
      </c>
      <c r="G92" s="410"/>
      <c r="H92" s="409" t="s">
        <v>31</v>
      </c>
      <c r="I92" s="411" t="s">
        <v>32</v>
      </c>
      <c r="J92" s="411"/>
      <c r="K92" s="412" t="s">
        <v>25</v>
      </c>
      <c r="L92" s="413">
        <v>2604663.08</v>
      </c>
    </row>
    <row r="93" spans="1:12" ht="91.8" hidden="1" x14ac:dyDescent="0.3">
      <c r="A93" s="407" t="s">
        <v>179</v>
      </c>
      <c r="B93" s="408" t="s">
        <v>889</v>
      </c>
      <c r="C93" s="408" t="s">
        <v>918</v>
      </c>
      <c r="D93" s="408" t="s">
        <v>869</v>
      </c>
      <c r="E93" s="409" t="s">
        <v>30</v>
      </c>
      <c r="F93" s="410">
        <v>21014</v>
      </c>
      <c r="G93" s="410"/>
      <c r="H93" s="409" t="s">
        <v>31</v>
      </c>
      <c r="I93" s="411" t="s">
        <v>32</v>
      </c>
      <c r="J93" s="411"/>
      <c r="K93" s="412" t="s">
        <v>25</v>
      </c>
      <c r="L93" s="413">
        <v>2625677.08</v>
      </c>
    </row>
    <row r="94" spans="1:12" ht="91.8" hidden="1" x14ac:dyDescent="0.3">
      <c r="A94" s="407" t="s">
        <v>179</v>
      </c>
      <c r="B94" s="408" t="s">
        <v>889</v>
      </c>
      <c r="C94" s="408" t="s">
        <v>919</v>
      </c>
      <c r="D94" s="408" t="s">
        <v>869</v>
      </c>
      <c r="E94" s="409" t="s">
        <v>30</v>
      </c>
      <c r="F94" s="410">
        <v>4601.8</v>
      </c>
      <c r="G94" s="410"/>
      <c r="H94" s="409" t="s">
        <v>31</v>
      </c>
      <c r="I94" s="411" t="s">
        <v>32</v>
      </c>
      <c r="J94" s="411"/>
      <c r="K94" s="412" t="s">
        <v>25</v>
      </c>
      <c r="L94" s="413">
        <v>2630278.88</v>
      </c>
    </row>
    <row r="95" spans="1:12" ht="91.8" hidden="1" x14ac:dyDescent="0.3">
      <c r="A95" s="407" t="s">
        <v>179</v>
      </c>
      <c r="B95" s="408" t="s">
        <v>889</v>
      </c>
      <c r="C95" s="408" t="s">
        <v>920</v>
      </c>
      <c r="D95" s="408" t="s">
        <v>869</v>
      </c>
      <c r="E95" s="409" t="s">
        <v>30</v>
      </c>
      <c r="F95" s="410">
        <v>1869.8</v>
      </c>
      <c r="G95" s="410"/>
      <c r="H95" s="409" t="s">
        <v>31</v>
      </c>
      <c r="I95" s="411" t="s">
        <v>32</v>
      </c>
      <c r="J95" s="411"/>
      <c r="K95" s="412" t="s">
        <v>25</v>
      </c>
      <c r="L95" s="413">
        <v>2632148.6800000002</v>
      </c>
    </row>
    <row r="96" spans="1:12" ht="91.8" hidden="1" x14ac:dyDescent="0.3">
      <c r="A96" s="407" t="s">
        <v>179</v>
      </c>
      <c r="B96" s="408" t="s">
        <v>889</v>
      </c>
      <c r="C96" s="408" t="s">
        <v>921</v>
      </c>
      <c r="D96" s="408" t="s">
        <v>869</v>
      </c>
      <c r="E96" s="409" t="s">
        <v>30</v>
      </c>
      <c r="F96" s="410">
        <v>5940.6</v>
      </c>
      <c r="G96" s="410"/>
      <c r="H96" s="409" t="s">
        <v>31</v>
      </c>
      <c r="I96" s="411" t="s">
        <v>32</v>
      </c>
      <c r="J96" s="411"/>
      <c r="K96" s="412" t="s">
        <v>25</v>
      </c>
      <c r="L96" s="413">
        <v>2638089.2799999998</v>
      </c>
    </row>
    <row r="97" spans="1:12" ht="91.8" hidden="1" x14ac:dyDescent="0.3">
      <c r="A97" s="407" t="s">
        <v>179</v>
      </c>
      <c r="B97" s="408" t="s">
        <v>889</v>
      </c>
      <c r="C97" s="408" t="s">
        <v>922</v>
      </c>
      <c r="D97" s="408" t="s">
        <v>869</v>
      </c>
      <c r="E97" s="409" t="s">
        <v>30</v>
      </c>
      <c r="F97" s="410">
        <v>4390.7</v>
      </c>
      <c r="G97" s="410"/>
      <c r="H97" s="409" t="s">
        <v>31</v>
      </c>
      <c r="I97" s="411" t="s">
        <v>32</v>
      </c>
      <c r="J97" s="411"/>
      <c r="K97" s="412" t="s">
        <v>25</v>
      </c>
      <c r="L97" s="413">
        <v>2642479.98</v>
      </c>
    </row>
    <row r="98" spans="1:12" ht="91.8" hidden="1" x14ac:dyDescent="0.3">
      <c r="A98" s="407" t="s">
        <v>179</v>
      </c>
      <c r="B98" s="408" t="s">
        <v>889</v>
      </c>
      <c r="C98" s="408" t="s">
        <v>923</v>
      </c>
      <c r="D98" s="408" t="s">
        <v>869</v>
      </c>
      <c r="E98" s="409" t="s">
        <v>30</v>
      </c>
      <c r="F98" s="410">
        <v>9162.5</v>
      </c>
      <c r="G98" s="410"/>
      <c r="H98" s="409" t="s">
        <v>31</v>
      </c>
      <c r="I98" s="411" t="s">
        <v>32</v>
      </c>
      <c r="J98" s="411"/>
      <c r="K98" s="412" t="s">
        <v>25</v>
      </c>
      <c r="L98" s="413">
        <v>2651642.48</v>
      </c>
    </row>
    <row r="99" spans="1:12" ht="91.8" hidden="1" x14ac:dyDescent="0.3">
      <c r="A99" s="407" t="s">
        <v>179</v>
      </c>
      <c r="B99" s="408" t="s">
        <v>889</v>
      </c>
      <c r="C99" s="408" t="s">
        <v>924</v>
      </c>
      <c r="D99" s="408" t="s">
        <v>869</v>
      </c>
      <c r="E99" s="409" t="s">
        <v>30</v>
      </c>
      <c r="F99" s="410">
        <v>1649</v>
      </c>
      <c r="G99" s="410"/>
      <c r="H99" s="409" t="s">
        <v>31</v>
      </c>
      <c r="I99" s="411" t="s">
        <v>32</v>
      </c>
      <c r="J99" s="411"/>
      <c r="K99" s="412" t="s">
        <v>25</v>
      </c>
      <c r="L99" s="413">
        <v>2653291.48</v>
      </c>
    </row>
    <row r="100" spans="1:12" ht="91.8" hidden="1" x14ac:dyDescent="0.3">
      <c r="A100" s="407" t="s">
        <v>179</v>
      </c>
      <c r="B100" s="408" t="s">
        <v>889</v>
      </c>
      <c r="C100" s="408" t="s">
        <v>925</v>
      </c>
      <c r="D100" s="408" t="s">
        <v>869</v>
      </c>
      <c r="E100" s="409" t="s">
        <v>30</v>
      </c>
      <c r="F100" s="410">
        <v>3407.7</v>
      </c>
      <c r="G100" s="410"/>
      <c r="H100" s="409" t="s">
        <v>31</v>
      </c>
      <c r="I100" s="411" t="s">
        <v>32</v>
      </c>
      <c r="J100" s="411"/>
      <c r="K100" s="412" t="s">
        <v>25</v>
      </c>
      <c r="L100" s="413">
        <v>2656699.1800000002</v>
      </c>
    </row>
    <row r="101" spans="1:12" ht="91.8" hidden="1" x14ac:dyDescent="0.3">
      <c r="A101" s="407" t="s">
        <v>179</v>
      </c>
      <c r="B101" s="408" t="s">
        <v>889</v>
      </c>
      <c r="C101" s="408" t="s">
        <v>925</v>
      </c>
      <c r="D101" s="408" t="s">
        <v>869</v>
      </c>
      <c r="E101" s="409" t="s">
        <v>30</v>
      </c>
      <c r="F101" s="410">
        <v>10458</v>
      </c>
      <c r="G101" s="410"/>
      <c r="H101" s="409" t="s">
        <v>31</v>
      </c>
      <c r="I101" s="411" t="s">
        <v>32</v>
      </c>
      <c r="J101" s="411"/>
      <c r="K101" s="412" t="s">
        <v>25</v>
      </c>
      <c r="L101" s="413">
        <v>2667157.1800000002</v>
      </c>
    </row>
    <row r="102" spans="1:12" ht="91.8" hidden="1" x14ac:dyDescent="0.3">
      <c r="A102" s="407" t="s">
        <v>179</v>
      </c>
      <c r="B102" s="408" t="s">
        <v>889</v>
      </c>
      <c r="C102" s="408" t="s">
        <v>926</v>
      </c>
      <c r="D102" s="408" t="s">
        <v>869</v>
      </c>
      <c r="E102" s="409" t="s">
        <v>30</v>
      </c>
      <c r="F102" s="414">
        <v>810</v>
      </c>
      <c r="G102" s="414"/>
      <c r="H102" s="409" t="s">
        <v>31</v>
      </c>
      <c r="I102" s="411" t="s">
        <v>32</v>
      </c>
      <c r="J102" s="411"/>
      <c r="K102" s="412" t="s">
        <v>25</v>
      </c>
      <c r="L102" s="413">
        <v>2667967.1800000002</v>
      </c>
    </row>
    <row r="103" spans="1:12" ht="91.8" hidden="1" x14ac:dyDescent="0.3">
      <c r="A103" s="407" t="s">
        <v>179</v>
      </c>
      <c r="B103" s="408" t="s">
        <v>889</v>
      </c>
      <c r="C103" s="408" t="s">
        <v>927</v>
      </c>
      <c r="D103" s="408" t="s">
        <v>869</v>
      </c>
      <c r="E103" s="409" t="s">
        <v>30</v>
      </c>
      <c r="F103" s="414">
        <v>927.1</v>
      </c>
      <c r="G103" s="414"/>
      <c r="H103" s="409" t="s">
        <v>31</v>
      </c>
      <c r="I103" s="411" t="s">
        <v>32</v>
      </c>
      <c r="J103" s="411"/>
      <c r="K103" s="412" t="s">
        <v>25</v>
      </c>
      <c r="L103" s="413">
        <v>2668894.2799999998</v>
      </c>
    </row>
    <row r="104" spans="1:12" ht="91.8" hidden="1" x14ac:dyDescent="0.3">
      <c r="A104" s="407" t="s">
        <v>179</v>
      </c>
      <c r="B104" s="408" t="s">
        <v>889</v>
      </c>
      <c r="C104" s="408" t="s">
        <v>925</v>
      </c>
      <c r="D104" s="408" t="s">
        <v>869</v>
      </c>
      <c r="E104" s="409" t="s">
        <v>30</v>
      </c>
      <c r="F104" s="410">
        <v>3421.9</v>
      </c>
      <c r="G104" s="410"/>
      <c r="H104" s="409" t="s">
        <v>31</v>
      </c>
      <c r="I104" s="411" t="s">
        <v>32</v>
      </c>
      <c r="J104" s="411"/>
      <c r="K104" s="412" t="s">
        <v>25</v>
      </c>
      <c r="L104" s="413">
        <v>2672316.1800000002</v>
      </c>
    </row>
    <row r="105" spans="1:12" ht="91.8" hidden="1" x14ac:dyDescent="0.3">
      <c r="A105" s="407" t="s">
        <v>179</v>
      </c>
      <c r="B105" s="408" t="s">
        <v>889</v>
      </c>
      <c r="C105" s="408" t="s">
        <v>873</v>
      </c>
      <c r="D105" s="408" t="s">
        <v>869</v>
      </c>
      <c r="E105" s="409" t="s">
        <v>30</v>
      </c>
      <c r="F105" s="410">
        <v>3684.4</v>
      </c>
      <c r="G105" s="410"/>
      <c r="H105" s="409" t="s">
        <v>31</v>
      </c>
      <c r="I105" s="411" t="s">
        <v>32</v>
      </c>
      <c r="J105" s="411"/>
      <c r="K105" s="412" t="s">
        <v>25</v>
      </c>
      <c r="L105" s="413">
        <v>2676000.58</v>
      </c>
    </row>
    <row r="106" spans="1:12" ht="91.8" hidden="1" x14ac:dyDescent="0.3">
      <c r="A106" s="407" t="s">
        <v>179</v>
      </c>
      <c r="B106" s="408" t="s">
        <v>889</v>
      </c>
      <c r="C106" s="408" t="s">
        <v>873</v>
      </c>
      <c r="D106" s="408" t="s">
        <v>869</v>
      </c>
      <c r="E106" s="409" t="s">
        <v>30</v>
      </c>
      <c r="F106" s="410">
        <v>3697.1</v>
      </c>
      <c r="G106" s="410"/>
      <c r="H106" s="409" t="s">
        <v>31</v>
      </c>
      <c r="I106" s="411" t="s">
        <v>32</v>
      </c>
      <c r="J106" s="411"/>
      <c r="K106" s="412" t="s">
        <v>25</v>
      </c>
      <c r="L106" s="413">
        <v>2679697.6800000002</v>
      </c>
    </row>
    <row r="107" spans="1:12" ht="91.8" hidden="1" x14ac:dyDescent="0.3">
      <c r="A107" s="407" t="s">
        <v>179</v>
      </c>
      <c r="B107" s="408" t="s">
        <v>889</v>
      </c>
      <c r="C107" s="408" t="s">
        <v>928</v>
      </c>
      <c r="D107" s="408" t="s">
        <v>869</v>
      </c>
      <c r="E107" s="409" t="s">
        <v>30</v>
      </c>
      <c r="F107" s="410">
        <v>44604.9</v>
      </c>
      <c r="G107" s="410"/>
      <c r="H107" s="409" t="s">
        <v>31</v>
      </c>
      <c r="I107" s="411" t="s">
        <v>32</v>
      </c>
      <c r="J107" s="411"/>
      <c r="K107" s="412" t="s">
        <v>25</v>
      </c>
      <c r="L107" s="413">
        <v>2724302.58</v>
      </c>
    </row>
    <row r="108" spans="1:12" ht="91.8" hidden="1" x14ac:dyDescent="0.3">
      <c r="A108" s="407" t="s">
        <v>179</v>
      </c>
      <c r="B108" s="408" t="s">
        <v>889</v>
      </c>
      <c r="C108" s="408" t="s">
        <v>929</v>
      </c>
      <c r="D108" s="408" t="s">
        <v>869</v>
      </c>
      <c r="E108" s="409" t="s">
        <v>30</v>
      </c>
      <c r="F108" s="410">
        <v>17327.8</v>
      </c>
      <c r="G108" s="410"/>
      <c r="H108" s="409" t="s">
        <v>31</v>
      </c>
      <c r="I108" s="411" t="s">
        <v>32</v>
      </c>
      <c r="J108" s="411"/>
      <c r="K108" s="412" t="s">
        <v>25</v>
      </c>
      <c r="L108" s="413">
        <v>2741630.38</v>
      </c>
    </row>
    <row r="109" spans="1:12" ht="91.8" hidden="1" x14ac:dyDescent="0.3">
      <c r="A109" s="407" t="s">
        <v>179</v>
      </c>
      <c r="B109" s="408" t="s">
        <v>889</v>
      </c>
      <c r="C109" s="408" t="s">
        <v>930</v>
      </c>
      <c r="D109" s="408" t="s">
        <v>869</v>
      </c>
      <c r="E109" s="409" t="s">
        <v>30</v>
      </c>
      <c r="F109" s="410">
        <v>5135.8</v>
      </c>
      <c r="G109" s="410"/>
      <c r="H109" s="409" t="s">
        <v>31</v>
      </c>
      <c r="I109" s="411" t="s">
        <v>32</v>
      </c>
      <c r="J109" s="411"/>
      <c r="K109" s="412" t="s">
        <v>25</v>
      </c>
      <c r="L109" s="413">
        <v>2746766.18</v>
      </c>
    </row>
    <row r="110" spans="1:12" ht="91.8" hidden="1" x14ac:dyDescent="0.3">
      <c r="A110" s="407" t="s">
        <v>179</v>
      </c>
      <c r="B110" s="408" t="s">
        <v>889</v>
      </c>
      <c r="C110" s="408" t="s">
        <v>931</v>
      </c>
      <c r="D110" s="408" t="s">
        <v>869</v>
      </c>
      <c r="E110" s="409" t="s">
        <v>30</v>
      </c>
      <c r="F110" s="410">
        <v>2030.9</v>
      </c>
      <c r="G110" s="410"/>
      <c r="H110" s="409" t="s">
        <v>31</v>
      </c>
      <c r="I110" s="411" t="s">
        <v>32</v>
      </c>
      <c r="J110" s="411"/>
      <c r="K110" s="412" t="s">
        <v>25</v>
      </c>
      <c r="L110" s="413">
        <v>2748797.08</v>
      </c>
    </row>
    <row r="111" spans="1:12" ht="91.8" hidden="1" x14ac:dyDescent="0.3">
      <c r="A111" s="407" t="s">
        <v>179</v>
      </c>
      <c r="B111" s="408" t="s">
        <v>889</v>
      </c>
      <c r="C111" s="408" t="s">
        <v>931</v>
      </c>
      <c r="D111" s="408" t="s">
        <v>869</v>
      </c>
      <c r="E111" s="409" t="s">
        <v>30</v>
      </c>
      <c r="F111" s="410">
        <v>35830.9</v>
      </c>
      <c r="G111" s="410"/>
      <c r="H111" s="409" t="s">
        <v>31</v>
      </c>
      <c r="I111" s="411" t="s">
        <v>32</v>
      </c>
      <c r="J111" s="411"/>
      <c r="K111" s="412" t="s">
        <v>25</v>
      </c>
      <c r="L111" s="413">
        <v>2784627.98</v>
      </c>
    </row>
    <row r="112" spans="1:12" ht="91.8" hidden="1" x14ac:dyDescent="0.3">
      <c r="A112" s="407" t="s">
        <v>179</v>
      </c>
      <c r="B112" s="408" t="s">
        <v>889</v>
      </c>
      <c r="C112" s="408" t="s">
        <v>932</v>
      </c>
      <c r="D112" s="408" t="s">
        <v>869</v>
      </c>
      <c r="E112" s="409" t="s">
        <v>30</v>
      </c>
      <c r="F112" s="410">
        <v>14302.2</v>
      </c>
      <c r="G112" s="410"/>
      <c r="H112" s="409" t="s">
        <v>31</v>
      </c>
      <c r="I112" s="411" t="s">
        <v>32</v>
      </c>
      <c r="J112" s="411"/>
      <c r="K112" s="412" t="s">
        <v>25</v>
      </c>
      <c r="L112" s="413">
        <v>2798930.18</v>
      </c>
    </row>
    <row r="113" spans="1:12" ht="91.8" hidden="1" x14ac:dyDescent="0.3">
      <c r="A113" s="407" t="s">
        <v>179</v>
      </c>
      <c r="B113" s="408" t="s">
        <v>889</v>
      </c>
      <c r="C113" s="408" t="s">
        <v>933</v>
      </c>
      <c r="D113" s="408" t="s">
        <v>869</v>
      </c>
      <c r="E113" s="409" t="s">
        <v>30</v>
      </c>
      <c r="F113" s="410">
        <v>8585.4</v>
      </c>
      <c r="G113" s="410"/>
      <c r="H113" s="409" t="s">
        <v>31</v>
      </c>
      <c r="I113" s="411" t="s">
        <v>32</v>
      </c>
      <c r="J113" s="411"/>
      <c r="K113" s="412" t="s">
        <v>25</v>
      </c>
      <c r="L113" s="413">
        <v>2807515.58</v>
      </c>
    </row>
    <row r="114" spans="1:12" ht="91.8" hidden="1" x14ac:dyDescent="0.3">
      <c r="A114" s="407" t="s">
        <v>179</v>
      </c>
      <c r="B114" s="408" t="s">
        <v>889</v>
      </c>
      <c r="C114" s="408" t="s">
        <v>931</v>
      </c>
      <c r="D114" s="408" t="s">
        <v>869</v>
      </c>
      <c r="E114" s="409" t="s">
        <v>30</v>
      </c>
      <c r="F114" s="410">
        <v>2043.6</v>
      </c>
      <c r="G114" s="410"/>
      <c r="H114" s="409" t="s">
        <v>31</v>
      </c>
      <c r="I114" s="411" t="s">
        <v>32</v>
      </c>
      <c r="J114" s="411"/>
      <c r="K114" s="412" t="s">
        <v>25</v>
      </c>
      <c r="L114" s="413">
        <v>2809559.18</v>
      </c>
    </row>
    <row r="115" spans="1:12" ht="91.8" hidden="1" x14ac:dyDescent="0.3">
      <c r="A115" s="407" t="s">
        <v>179</v>
      </c>
      <c r="B115" s="408" t="s">
        <v>889</v>
      </c>
      <c r="C115" s="408" t="s">
        <v>934</v>
      </c>
      <c r="D115" s="408" t="s">
        <v>869</v>
      </c>
      <c r="E115" s="409" t="s">
        <v>30</v>
      </c>
      <c r="F115" s="410">
        <v>4029</v>
      </c>
      <c r="G115" s="410"/>
      <c r="H115" s="409" t="s">
        <v>31</v>
      </c>
      <c r="I115" s="411" t="s">
        <v>32</v>
      </c>
      <c r="J115" s="411"/>
      <c r="K115" s="412" t="s">
        <v>25</v>
      </c>
      <c r="L115" s="413">
        <v>2813588.18</v>
      </c>
    </row>
    <row r="116" spans="1:12" ht="91.8" hidden="1" x14ac:dyDescent="0.3">
      <c r="A116" s="407" t="s">
        <v>179</v>
      </c>
      <c r="B116" s="408" t="s">
        <v>889</v>
      </c>
      <c r="C116" s="408" t="s">
        <v>935</v>
      </c>
      <c r="D116" s="408" t="s">
        <v>869</v>
      </c>
      <c r="E116" s="409" t="s">
        <v>30</v>
      </c>
      <c r="F116" s="410">
        <v>2748.4</v>
      </c>
      <c r="G116" s="410"/>
      <c r="H116" s="409" t="s">
        <v>31</v>
      </c>
      <c r="I116" s="411" t="s">
        <v>32</v>
      </c>
      <c r="J116" s="411"/>
      <c r="K116" s="412" t="s">
        <v>25</v>
      </c>
      <c r="L116" s="413">
        <v>2816336.58</v>
      </c>
    </row>
    <row r="117" spans="1:12" ht="91.8" hidden="1" x14ac:dyDescent="0.3">
      <c r="A117" s="407" t="s">
        <v>179</v>
      </c>
      <c r="B117" s="408" t="s">
        <v>889</v>
      </c>
      <c r="C117" s="408" t="s">
        <v>936</v>
      </c>
      <c r="D117" s="408" t="s">
        <v>869</v>
      </c>
      <c r="E117" s="409" t="s">
        <v>30</v>
      </c>
      <c r="F117" s="410">
        <v>2642.5</v>
      </c>
      <c r="G117" s="410"/>
      <c r="H117" s="409" t="s">
        <v>31</v>
      </c>
      <c r="I117" s="411" t="s">
        <v>32</v>
      </c>
      <c r="J117" s="411"/>
      <c r="K117" s="412" t="s">
        <v>25</v>
      </c>
      <c r="L117" s="413">
        <v>2818979.08</v>
      </c>
    </row>
    <row r="118" spans="1:12" ht="91.8" hidden="1" x14ac:dyDescent="0.3">
      <c r="A118" s="407" t="s">
        <v>179</v>
      </c>
      <c r="B118" s="408" t="s">
        <v>889</v>
      </c>
      <c r="C118" s="408" t="s">
        <v>937</v>
      </c>
      <c r="D118" s="408" t="s">
        <v>869</v>
      </c>
      <c r="E118" s="409" t="s">
        <v>30</v>
      </c>
      <c r="F118" s="410">
        <v>5490.8</v>
      </c>
      <c r="G118" s="410"/>
      <c r="H118" s="409" t="s">
        <v>31</v>
      </c>
      <c r="I118" s="411" t="s">
        <v>32</v>
      </c>
      <c r="J118" s="411"/>
      <c r="K118" s="412" t="s">
        <v>25</v>
      </c>
      <c r="L118" s="413">
        <v>2824469.88</v>
      </c>
    </row>
    <row r="119" spans="1:12" ht="91.8" hidden="1" x14ac:dyDescent="0.3">
      <c r="A119" s="407" t="s">
        <v>179</v>
      </c>
      <c r="B119" s="408" t="s">
        <v>889</v>
      </c>
      <c r="C119" s="408" t="s">
        <v>938</v>
      </c>
      <c r="D119" s="408" t="s">
        <v>869</v>
      </c>
      <c r="E119" s="409" t="s">
        <v>30</v>
      </c>
      <c r="F119" s="410">
        <v>1852.7</v>
      </c>
      <c r="G119" s="410"/>
      <c r="H119" s="409" t="s">
        <v>31</v>
      </c>
      <c r="I119" s="411" t="s">
        <v>32</v>
      </c>
      <c r="J119" s="411"/>
      <c r="K119" s="412" t="s">
        <v>25</v>
      </c>
      <c r="L119" s="413">
        <v>2826322.58</v>
      </c>
    </row>
    <row r="120" spans="1:12" ht="91.8" hidden="1" x14ac:dyDescent="0.3">
      <c r="A120" s="407" t="s">
        <v>179</v>
      </c>
      <c r="B120" s="408" t="s">
        <v>889</v>
      </c>
      <c r="C120" s="408" t="s">
        <v>939</v>
      </c>
      <c r="D120" s="408" t="s">
        <v>869</v>
      </c>
      <c r="E120" s="409" t="s">
        <v>30</v>
      </c>
      <c r="F120" s="410">
        <v>6229.2</v>
      </c>
      <c r="G120" s="410"/>
      <c r="H120" s="409" t="s">
        <v>31</v>
      </c>
      <c r="I120" s="411" t="s">
        <v>32</v>
      </c>
      <c r="J120" s="411"/>
      <c r="K120" s="412" t="s">
        <v>25</v>
      </c>
      <c r="L120" s="413">
        <v>2832551.78</v>
      </c>
    </row>
    <row r="121" spans="1:12" ht="91.8" hidden="1" x14ac:dyDescent="0.3">
      <c r="A121" s="407" t="s">
        <v>179</v>
      </c>
      <c r="B121" s="408" t="s">
        <v>889</v>
      </c>
      <c r="C121" s="408" t="s">
        <v>940</v>
      </c>
      <c r="D121" s="408" t="s">
        <v>869</v>
      </c>
      <c r="E121" s="409" t="s">
        <v>30</v>
      </c>
      <c r="F121" s="410">
        <v>4340.8</v>
      </c>
      <c r="G121" s="410"/>
      <c r="H121" s="409" t="s">
        <v>31</v>
      </c>
      <c r="I121" s="411" t="s">
        <v>32</v>
      </c>
      <c r="J121" s="411"/>
      <c r="K121" s="412" t="s">
        <v>25</v>
      </c>
      <c r="L121" s="413">
        <v>2836892.58</v>
      </c>
    </row>
    <row r="122" spans="1:12" ht="91.8" hidden="1" x14ac:dyDescent="0.3">
      <c r="A122" s="407" t="s">
        <v>179</v>
      </c>
      <c r="B122" s="408" t="s">
        <v>889</v>
      </c>
      <c r="C122" s="408" t="s">
        <v>941</v>
      </c>
      <c r="D122" s="408" t="s">
        <v>869</v>
      </c>
      <c r="E122" s="409" t="s">
        <v>30</v>
      </c>
      <c r="F122" s="410">
        <v>4797.2</v>
      </c>
      <c r="G122" s="410"/>
      <c r="H122" s="409" t="s">
        <v>31</v>
      </c>
      <c r="I122" s="411" t="s">
        <v>32</v>
      </c>
      <c r="J122" s="411"/>
      <c r="K122" s="412" t="s">
        <v>25</v>
      </c>
      <c r="L122" s="413">
        <v>2841689.78</v>
      </c>
    </row>
    <row r="123" spans="1:12" ht="91.8" hidden="1" x14ac:dyDescent="0.3">
      <c r="A123" s="407" t="s">
        <v>179</v>
      </c>
      <c r="B123" s="408" t="s">
        <v>889</v>
      </c>
      <c r="C123" s="408" t="s">
        <v>941</v>
      </c>
      <c r="D123" s="408" t="s">
        <v>869</v>
      </c>
      <c r="E123" s="409" t="s">
        <v>30</v>
      </c>
      <c r="F123" s="410">
        <v>14649</v>
      </c>
      <c r="G123" s="410"/>
      <c r="H123" s="409" t="s">
        <v>31</v>
      </c>
      <c r="I123" s="411" t="s">
        <v>32</v>
      </c>
      <c r="J123" s="411"/>
      <c r="K123" s="412" t="s">
        <v>25</v>
      </c>
      <c r="L123" s="413">
        <v>2856338.78</v>
      </c>
    </row>
    <row r="124" spans="1:12" ht="91.8" hidden="1" x14ac:dyDescent="0.3">
      <c r="A124" s="407" t="s">
        <v>179</v>
      </c>
      <c r="B124" s="408" t="s">
        <v>889</v>
      </c>
      <c r="C124" s="408" t="s">
        <v>870</v>
      </c>
      <c r="D124" s="408" t="s">
        <v>869</v>
      </c>
      <c r="E124" s="409" t="s">
        <v>30</v>
      </c>
      <c r="F124" s="410">
        <v>2136.1</v>
      </c>
      <c r="G124" s="410"/>
      <c r="H124" s="409" t="s">
        <v>31</v>
      </c>
      <c r="I124" s="411" t="s">
        <v>32</v>
      </c>
      <c r="J124" s="411"/>
      <c r="K124" s="412" t="s">
        <v>25</v>
      </c>
      <c r="L124" s="413">
        <v>2858474.88</v>
      </c>
    </row>
    <row r="125" spans="1:12" ht="91.8" hidden="1" x14ac:dyDescent="0.3">
      <c r="A125" s="407" t="s">
        <v>179</v>
      </c>
      <c r="B125" s="408" t="s">
        <v>889</v>
      </c>
      <c r="C125" s="408" t="s">
        <v>942</v>
      </c>
      <c r="D125" s="408" t="s">
        <v>869</v>
      </c>
      <c r="E125" s="409" t="s">
        <v>30</v>
      </c>
      <c r="F125" s="410">
        <v>2843.1</v>
      </c>
      <c r="G125" s="410"/>
      <c r="H125" s="409" t="s">
        <v>31</v>
      </c>
      <c r="I125" s="411" t="s">
        <v>32</v>
      </c>
      <c r="J125" s="411"/>
      <c r="K125" s="412" t="s">
        <v>25</v>
      </c>
      <c r="L125" s="413">
        <v>2861317.98</v>
      </c>
    </row>
    <row r="126" spans="1:12" ht="91.8" hidden="1" x14ac:dyDescent="0.3">
      <c r="A126" s="407" t="s">
        <v>179</v>
      </c>
      <c r="B126" s="408" t="s">
        <v>889</v>
      </c>
      <c r="C126" s="408" t="s">
        <v>943</v>
      </c>
      <c r="D126" s="408" t="s">
        <v>869</v>
      </c>
      <c r="E126" s="409" t="s">
        <v>30</v>
      </c>
      <c r="F126" s="410">
        <v>1492.4</v>
      </c>
      <c r="G126" s="410"/>
      <c r="H126" s="409" t="s">
        <v>31</v>
      </c>
      <c r="I126" s="411" t="s">
        <v>32</v>
      </c>
      <c r="J126" s="411"/>
      <c r="K126" s="412" t="s">
        <v>25</v>
      </c>
      <c r="L126" s="413">
        <v>2862810.38</v>
      </c>
    </row>
    <row r="127" spans="1:12" ht="91.8" hidden="1" x14ac:dyDescent="0.3">
      <c r="A127" s="407" t="s">
        <v>179</v>
      </c>
      <c r="B127" s="408" t="s">
        <v>889</v>
      </c>
      <c r="C127" s="408" t="s">
        <v>943</v>
      </c>
      <c r="D127" s="408" t="s">
        <v>869</v>
      </c>
      <c r="E127" s="409" t="s">
        <v>30</v>
      </c>
      <c r="F127" s="410">
        <v>6229.2</v>
      </c>
      <c r="G127" s="410"/>
      <c r="H127" s="409" t="s">
        <v>31</v>
      </c>
      <c r="I127" s="411" t="s">
        <v>32</v>
      </c>
      <c r="J127" s="411"/>
      <c r="K127" s="412" t="s">
        <v>25</v>
      </c>
      <c r="L127" s="413">
        <v>2869039.58</v>
      </c>
    </row>
    <row r="128" spans="1:12" ht="91.8" hidden="1" x14ac:dyDescent="0.3">
      <c r="A128" s="407" t="s">
        <v>179</v>
      </c>
      <c r="B128" s="408" t="s">
        <v>889</v>
      </c>
      <c r="C128" s="408" t="s">
        <v>944</v>
      </c>
      <c r="D128" s="408" t="s">
        <v>869</v>
      </c>
      <c r="E128" s="409" t="s">
        <v>30</v>
      </c>
      <c r="F128" s="410">
        <v>2227.8000000000002</v>
      </c>
      <c r="G128" s="410"/>
      <c r="H128" s="409" t="s">
        <v>31</v>
      </c>
      <c r="I128" s="411" t="s">
        <v>32</v>
      </c>
      <c r="J128" s="411"/>
      <c r="K128" s="412" t="s">
        <v>25</v>
      </c>
      <c r="L128" s="413">
        <v>2871267.38</v>
      </c>
    </row>
    <row r="129" spans="1:12" ht="91.8" hidden="1" x14ac:dyDescent="0.3">
      <c r="A129" s="407" t="s">
        <v>179</v>
      </c>
      <c r="B129" s="408" t="s">
        <v>889</v>
      </c>
      <c r="C129" s="408" t="s">
        <v>944</v>
      </c>
      <c r="D129" s="408" t="s">
        <v>869</v>
      </c>
      <c r="E129" s="409" t="s">
        <v>30</v>
      </c>
      <c r="F129" s="410">
        <v>2214.4</v>
      </c>
      <c r="G129" s="410"/>
      <c r="H129" s="409" t="s">
        <v>31</v>
      </c>
      <c r="I129" s="411" t="s">
        <v>32</v>
      </c>
      <c r="J129" s="411"/>
      <c r="K129" s="412" t="s">
        <v>25</v>
      </c>
      <c r="L129" s="413">
        <v>2873481.78</v>
      </c>
    </row>
    <row r="130" spans="1:12" ht="91.8" hidden="1" x14ac:dyDescent="0.3">
      <c r="A130" s="407" t="s">
        <v>179</v>
      </c>
      <c r="B130" s="408" t="s">
        <v>889</v>
      </c>
      <c r="C130" s="408" t="s">
        <v>945</v>
      </c>
      <c r="D130" s="408" t="s">
        <v>869</v>
      </c>
      <c r="E130" s="409" t="s">
        <v>30</v>
      </c>
      <c r="F130" s="410">
        <v>12002.1</v>
      </c>
      <c r="G130" s="410"/>
      <c r="H130" s="409" t="s">
        <v>31</v>
      </c>
      <c r="I130" s="411" t="s">
        <v>32</v>
      </c>
      <c r="J130" s="411"/>
      <c r="K130" s="412" t="s">
        <v>25</v>
      </c>
      <c r="L130" s="413">
        <v>2885483.88</v>
      </c>
    </row>
    <row r="131" spans="1:12" ht="91.8" hidden="1" x14ac:dyDescent="0.3">
      <c r="A131" s="407" t="s">
        <v>179</v>
      </c>
      <c r="B131" s="408" t="s">
        <v>889</v>
      </c>
      <c r="C131" s="408" t="s">
        <v>945</v>
      </c>
      <c r="D131" s="408" t="s">
        <v>869</v>
      </c>
      <c r="E131" s="409" t="s">
        <v>30</v>
      </c>
      <c r="F131" s="410">
        <v>3847</v>
      </c>
      <c r="G131" s="410"/>
      <c r="H131" s="409" t="s">
        <v>31</v>
      </c>
      <c r="I131" s="411" t="s">
        <v>32</v>
      </c>
      <c r="J131" s="411"/>
      <c r="K131" s="412" t="s">
        <v>25</v>
      </c>
      <c r="L131" s="413">
        <v>2889330.88</v>
      </c>
    </row>
    <row r="132" spans="1:12" ht="91.8" hidden="1" x14ac:dyDescent="0.3">
      <c r="A132" s="407" t="s">
        <v>179</v>
      </c>
      <c r="B132" s="408" t="s">
        <v>889</v>
      </c>
      <c r="C132" s="408" t="s">
        <v>945</v>
      </c>
      <c r="D132" s="408" t="s">
        <v>869</v>
      </c>
      <c r="E132" s="409" t="s">
        <v>30</v>
      </c>
      <c r="F132" s="410">
        <v>3870.9</v>
      </c>
      <c r="G132" s="410"/>
      <c r="H132" s="409" t="s">
        <v>31</v>
      </c>
      <c r="I132" s="411" t="s">
        <v>32</v>
      </c>
      <c r="J132" s="411"/>
      <c r="K132" s="412" t="s">
        <v>25</v>
      </c>
      <c r="L132" s="413">
        <v>2893201.78</v>
      </c>
    </row>
    <row r="133" spans="1:12" ht="91.8" hidden="1" x14ac:dyDescent="0.3">
      <c r="A133" s="407" t="s">
        <v>179</v>
      </c>
      <c r="B133" s="408" t="s">
        <v>889</v>
      </c>
      <c r="C133" s="408" t="s">
        <v>946</v>
      </c>
      <c r="D133" s="408" t="s">
        <v>869</v>
      </c>
      <c r="E133" s="409" t="s">
        <v>30</v>
      </c>
      <c r="F133" s="410">
        <v>3302.6</v>
      </c>
      <c r="G133" s="410"/>
      <c r="H133" s="409" t="s">
        <v>31</v>
      </c>
      <c r="I133" s="411" t="s">
        <v>32</v>
      </c>
      <c r="J133" s="411"/>
      <c r="K133" s="412" t="s">
        <v>25</v>
      </c>
      <c r="L133" s="413">
        <v>2896504.38</v>
      </c>
    </row>
    <row r="134" spans="1:12" ht="91.8" hidden="1" x14ac:dyDescent="0.3">
      <c r="A134" s="407" t="s">
        <v>179</v>
      </c>
      <c r="B134" s="408" t="s">
        <v>889</v>
      </c>
      <c r="C134" s="408" t="s">
        <v>944</v>
      </c>
      <c r="D134" s="408" t="s">
        <v>869</v>
      </c>
      <c r="E134" s="409" t="s">
        <v>30</v>
      </c>
      <c r="F134" s="410">
        <v>11459.5</v>
      </c>
      <c r="G134" s="410"/>
      <c r="H134" s="409" t="s">
        <v>31</v>
      </c>
      <c r="I134" s="411" t="s">
        <v>32</v>
      </c>
      <c r="J134" s="411"/>
      <c r="K134" s="412" t="s">
        <v>25</v>
      </c>
      <c r="L134" s="413">
        <v>2907963.88</v>
      </c>
    </row>
    <row r="135" spans="1:12" ht="91.8" hidden="1" x14ac:dyDescent="0.3">
      <c r="A135" s="407" t="s">
        <v>179</v>
      </c>
      <c r="B135" s="408" t="s">
        <v>889</v>
      </c>
      <c r="C135" s="408" t="s">
        <v>944</v>
      </c>
      <c r="D135" s="408" t="s">
        <v>869</v>
      </c>
      <c r="E135" s="409" t="s">
        <v>30</v>
      </c>
      <c r="F135" s="410">
        <v>2214.4</v>
      </c>
      <c r="G135" s="410"/>
      <c r="H135" s="409" t="s">
        <v>31</v>
      </c>
      <c r="I135" s="411" t="s">
        <v>32</v>
      </c>
      <c r="J135" s="411"/>
      <c r="K135" s="412" t="s">
        <v>25</v>
      </c>
      <c r="L135" s="413">
        <v>2910178.28</v>
      </c>
    </row>
    <row r="136" spans="1:12" ht="91.8" hidden="1" x14ac:dyDescent="0.3">
      <c r="A136" s="407" t="s">
        <v>179</v>
      </c>
      <c r="B136" s="408" t="s">
        <v>889</v>
      </c>
      <c r="C136" s="408" t="s">
        <v>947</v>
      </c>
      <c r="D136" s="408" t="s">
        <v>869</v>
      </c>
      <c r="E136" s="409" t="s">
        <v>30</v>
      </c>
      <c r="F136" s="410">
        <v>5502.8</v>
      </c>
      <c r="G136" s="410"/>
      <c r="H136" s="409" t="s">
        <v>31</v>
      </c>
      <c r="I136" s="411" t="s">
        <v>32</v>
      </c>
      <c r="J136" s="411"/>
      <c r="K136" s="412" t="s">
        <v>25</v>
      </c>
      <c r="L136" s="413">
        <v>2915681.08</v>
      </c>
    </row>
    <row r="137" spans="1:12" ht="91.8" hidden="1" x14ac:dyDescent="0.3">
      <c r="A137" s="407" t="s">
        <v>179</v>
      </c>
      <c r="B137" s="408" t="s">
        <v>889</v>
      </c>
      <c r="C137" s="408" t="s">
        <v>948</v>
      </c>
      <c r="D137" s="408" t="s">
        <v>869</v>
      </c>
      <c r="E137" s="409" t="s">
        <v>30</v>
      </c>
      <c r="F137" s="410">
        <v>4290</v>
      </c>
      <c r="G137" s="410"/>
      <c r="H137" s="409" t="s">
        <v>31</v>
      </c>
      <c r="I137" s="411" t="s">
        <v>32</v>
      </c>
      <c r="J137" s="411"/>
      <c r="K137" s="412" t="s">
        <v>25</v>
      </c>
      <c r="L137" s="413">
        <v>2919971.08</v>
      </c>
    </row>
    <row r="138" spans="1:12" ht="91.8" hidden="1" x14ac:dyDescent="0.3">
      <c r="A138" s="407" t="s">
        <v>179</v>
      </c>
      <c r="B138" s="408" t="s">
        <v>889</v>
      </c>
      <c r="C138" s="408" t="s">
        <v>949</v>
      </c>
      <c r="D138" s="408" t="s">
        <v>869</v>
      </c>
      <c r="E138" s="409" t="s">
        <v>30</v>
      </c>
      <c r="F138" s="410">
        <v>3777</v>
      </c>
      <c r="G138" s="410"/>
      <c r="H138" s="409" t="s">
        <v>31</v>
      </c>
      <c r="I138" s="411" t="s">
        <v>32</v>
      </c>
      <c r="J138" s="411"/>
      <c r="K138" s="412" t="s">
        <v>25</v>
      </c>
      <c r="L138" s="413">
        <v>2923748.08</v>
      </c>
    </row>
    <row r="139" spans="1:12" ht="91.8" hidden="1" x14ac:dyDescent="0.3">
      <c r="A139" s="407" t="s">
        <v>179</v>
      </c>
      <c r="B139" s="408" t="s">
        <v>889</v>
      </c>
      <c r="C139" s="408" t="s">
        <v>950</v>
      </c>
      <c r="D139" s="408" t="s">
        <v>869</v>
      </c>
      <c r="E139" s="409" t="s">
        <v>30</v>
      </c>
      <c r="F139" s="410">
        <v>1709.5</v>
      </c>
      <c r="G139" s="410"/>
      <c r="H139" s="409" t="s">
        <v>31</v>
      </c>
      <c r="I139" s="411" t="s">
        <v>32</v>
      </c>
      <c r="J139" s="411"/>
      <c r="K139" s="412" t="s">
        <v>25</v>
      </c>
      <c r="L139" s="413">
        <v>2925457.58</v>
      </c>
    </row>
    <row r="140" spans="1:12" ht="91.8" hidden="1" x14ac:dyDescent="0.3">
      <c r="A140" s="407" t="s">
        <v>179</v>
      </c>
      <c r="B140" s="408" t="s">
        <v>889</v>
      </c>
      <c r="C140" s="408" t="s">
        <v>868</v>
      </c>
      <c r="D140" s="408" t="s">
        <v>869</v>
      </c>
      <c r="E140" s="409" t="s">
        <v>30</v>
      </c>
      <c r="F140" s="410">
        <v>4051.4</v>
      </c>
      <c r="G140" s="410"/>
      <c r="H140" s="409" t="s">
        <v>31</v>
      </c>
      <c r="I140" s="411" t="s">
        <v>32</v>
      </c>
      <c r="J140" s="411"/>
      <c r="K140" s="412" t="s">
        <v>25</v>
      </c>
      <c r="L140" s="413">
        <v>2929508.98</v>
      </c>
    </row>
    <row r="141" spans="1:12" ht="91.8" hidden="1" x14ac:dyDescent="0.3">
      <c r="A141" s="407" t="s">
        <v>179</v>
      </c>
      <c r="B141" s="408" t="s">
        <v>889</v>
      </c>
      <c r="C141" s="408" t="s">
        <v>951</v>
      </c>
      <c r="D141" s="408" t="s">
        <v>869</v>
      </c>
      <c r="E141" s="409" t="s">
        <v>30</v>
      </c>
      <c r="F141" s="410">
        <v>1300</v>
      </c>
      <c r="G141" s="410"/>
      <c r="H141" s="409" t="s">
        <v>31</v>
      </c>
      <c r="I141" s="411" t="s">
        <v>32</v>
      </c>
      <c r="J141" s="411"/>
      <c r="K141" s="412" t="s">
        <v>25</v>
      </c>
      <c r="L141" s="413">
        <v>2930808.98</v>
      </c>
    </row>
    <row r="142" spans="1:12" ht="91.8" hidden="1" x14ac:dyDescent="0.3">
      <c r="A142" s="407" t="s">
        <v>179</v>
      </c>
      <c r="B142" s="408" t="s">
        <v>889</v>
      </c>
      <c r="C142" s="408" t="s">
        <v>952</v>
      </c>
      <c r="D142" s="408" t="s">
        <v>869</v>
      </c>
      <c r="E142" s="409" t="s">
        <v>30</v>
      </c>
      <c r="F142" s="410">
        <v>1519.3</v>
      </c>
      <c r="G142" s="410"/>
      <c r="H142" s="409" t="s">
        <v>31</v>
      </c>
      <c r="I142" s="411" t="s">
        <v>32</v>
      </c>
      <c r="J142" s="411"/>
      <c r="K142" s="412" t="s">
        <v>25</v>
      </c>
      <c r="L142" s="413">
        <v>2932328.28</v>
      </c>
    </row>
    <row r="143" spans="1:12" ht="91.8" hidden="1" x14ac:dyDescent="0.3">
      <c r="A143" s="407" t="s">
        <v>179</v>
      </c>
      <c r="B143" s="408" t="s">
        <v>889</v>
      </c>
      <c r="C143" s="408" t="s">
        <v>953</v>
      </c>
      <c r="D143" s="408" t="s">
        <v>869</v>
      </c>
      <c r="E143" s="409" t="s">
        <v>30</v>
      </c>
      <c r="F143" s="410">
        <v>3260.8</v>
      </c>
      <c r="G143" s="410"/>
      <c r="H143" s="409" t="s">
        <v>31</v>
      </c>
      <c r="I143" s="411" t="s">
        <v>32</v>
      </c>
      <c r="J143" s="411"/>
      <c r="K143" s="412" t="s">
        <v>25</v>
      </c>
      <c r="L143" s="413">
        <v>2935589.08</v>
      </c>
    </row>
    <row r="144" spans="1:12" ht="91.8" hidden="1" x14ac:dyDescent="0.3">
      <c r="A144" s="407" t="s">
        <v>179</v>
      </c>
      <c r="B144" s="408" t="s">
        <v>889</v>
      </c>
      <c r="C144" s="408" t="s">
        <v>954</v>
      </c>
      <c r="D144" s="408" t="s">
        <v>869</v>
      </c>
      <c r="E144" s="409" t="s">
        <v>30</v>
      </c>
      <c r="F144" s="410">
        <v>1975</v>
      </c>
      <c r="G144" s="410"/>
      <c r="H144" s="409" t="s">
        <v>31</v>
      </c>
      <c r="I144" s="411" t="s">
        <v>32</v>
      </c>
      <c r="J144" s="411"/>
      <c r="K144" s="412" t="s">
        <v>25</v>
      </c>
      <c r="L144" s="413">
        <v>2937564.08</v>
      </c>
    </row>
    <row r="145" spans="1:12" ht="91.8" hidden="1" x14ac:dyDescent="0.3">
      <c r="A145" s="407" t="s">
        <v>179</v>
      </c>
      <c r="B145" s="408" t="s">
        <v>889</v>
      </c>
      <c r="C145" s="408" t="s">
        <v>955</v>
      </c>
      <c r="D145" s="408" t="s">
        <v>869</v>
      </c>
      <c r="E145" s="409" t="s">
        <v>30</v>
      </c>
      <c r="F145" s="410">
        <v>2820.8</v>
      </c>
      <c r="G145" s="410"/>
      <c r="H145" s="409" t="s">
        <v>31</v>
      </c>
      <c r="I145" s="411" t="s">
        <v>32</v>
      </c>
      <c r="J145" s="411"/>
      <c r="K145" s="412" t="s">
        <v>25</v>
      </c>
      <c r="L145" s="413">
        <v>2940384.88</v>
      </c>
    </row>
    <row r="146" spans="1:12" ht="91.8" hidden="1" x14ac:dyDescent="0.3">
      <c r="A146" s="407" t="s">
        <v>179</v>
      </c>
      <c r="B146" s="408" t="s">
        <v>889</v>
      </c>
      <c r="C146" s="408" t="s">
        <v>956</v>
      </c>
      <c r="D146" s="408" t="s">
        <v>869</v>
      </c>
      <c r="E146" s="409" t="s">
        <v>30</v>
      </c>
      <c r="F146" s="410">
        <v>2931.2</v>
      </c>
      <c r="G146" s="410"/>
      <c r="H146" s="409" t="s">
        <v>31</v>
      </c>
      <c r="I146" s="411" t="s">
        <v>32</v>
      </c>
      <c r="J146" s="411"/>
      <c r="K146" s="412" t="s">
        <v>25</v>
      </c>
      <c r="L146" s="413">
        <v>2943316.08</v>
      </c>
    </row>
    <row r="147" spans="1:12" ht="91.8" hidden="1" x14ac:dyDescent="0.3">
      <c r="A147" s="407" t="s">
        <v>179</v>
      </c>
      <c r="B147" s="408" t="s">
        <v>889</v>
      </c>
      <c r="C147" s="408" t="s">
        <v>957</v>
      </c>
      <c r="D147" s="408" t="s">
        <v>869</v>
      </c>
      <c r="E147" s="409" t="s">
        <v>30</v>
      </c>
      <c r="F147" s="410">
        <v>1919.8</v>
      </c>
      <c r="G147" s="410"/>
      <c r="H147" s="409" t="s">
        <v>31</v>
      </c>
      <c r="I147" s="411" t="s">
        <v>32</v>
      </c>
      <c r="J147" s="411"/>
      <c r="K147" s="412" t="s">
        <v>25</v>
      </c>
      <c r="L147" s="413">
        <v>2945235.88</v>
      </c>
    </row>
    <row r="148" spans="1:12" ht="91.8" hidden="1" x14ac:dyDescent="0.3">
      <c r="A148" s="407" t="s">
        <v>179</v>
      </c>
      <c r="B148" s="408" t="s">
        <v>889</v>
      </c>
      <c r="C148" s="408" t="s">
        <v>958</v>
      </c>
      <c r="D148" s="408" t="s">
        <v>869</v>
      </c>
      <c r="E148" s="409" t="s">
        <v>30</v>
      </c>
      <c r="F148" s="410">
        <v>1740.8</v>
      </c>
      <c r="G148" s="410"/>
      <c r="H148" s="409" t="s">
        <v>31</v>
      </c>
      <c r="I148" s="411" t="s">
        <v>32</v>
      </c>
      <c r="J148" s="411"/>
      <c r="K148" s="412" t="s">
        <v>25</v>
      </c>
      <c r="L148" s="413">
        <v>2946976.68</v>
      </c>
    </row>
    <row r="149" spans="1:12" ht="91.8" hidden="1" x14ac:dyDescent="0.3">
      <c r="A149" s="407" t="s">
        <v>179</v>
      </c>
      <c r="B149" s="408" t="s">
        <v>889</v>
      </c>
      <c r="C149" s="408" t="s">
        <v>959</v>
      </c>
      <c r="D149" s="408" t="s">
        <v>869</v>
      </c>
      <c r="E149" s="409" t="s">
        <v>30</v>
      </c>
      <c r="F149" s="410">
        <v>19457.2</v>
      </c>
      <c r="G149" s="410"/>
      <c r="H149" s="409" t="s">
        <v>31</v>
      </c>
      <c r="I149" s="411" t="s">
        <v>32</v>
      </c>
      <c r="J149" s="411"/>
      <c r="K149" s="412" t="s">
        <v>25</v>
      </c>
      <c r="L149" s="413">
        <v>2966433.88</v>
      </c>
    </row>
    <row r="150" spans="1:12" ht="91.8" hidden="1" x14ac:dyDescent="0.3">
      <c r="A150" s="407" t="s">
        <v>179</v>
      </c>
      <c r="B150" s="408" t="s">
        <v>889</v>
      </c>
      <c r="C150" s="408" t="s">
        <v>960</v>
      </c>
      <c r="D150" s="408" t="s">
        <v>869</v>
      </c>
      <c r="E150" s="409" t="s">
        <v>30</v>
      </c>
      <c r="F150" s="410">
        <v>4680.8999999999996</v>
      </c>
      <c r="G150" s="410"/>
      <c r="H150" s="409" t="s">
        <v>31</v>
      </c>
      <c r="I150" s="411" t="s">
        <v>32</v>
      </c>
      <c r="J150" s="411"/>
      <c r="K150" s="412" t="s">
        <v>25</v>
      </c>
      <c r="L150" s="413">
        <v>2971114.78</v>
      </c>
    </row>
    <row r="151" spans="1:12" ht="91.8" hidden="1" x14ac:dyDescent="0.3">
      <c r="A151" s="407" t="s">
        <v>179</v>
      </c>
      <c r="B151" s="408" t="s">
        <v>889</v>
      </c>
      <c r="C151" s="408" t="s">
        <v>960</v>
      </c>
      <c r="D151" s="408" t="s">
        <v>869</v>
      </c>
      <c r="E151" s="409" t="s">
        <v>30</v>
      </c>
      <c r="F151" s="410">
        <v>4616</v>
      </c>
      <c r="G151" s="410"/>
      <c r="H151" s="409" t="s">
        <v>31</v>
      </c>
      <c r="I151" s="411" t="s">
        <v>32</v>
      </c>
      <c r="J151" s="411"/>
      <c r="K151" s="412" t="s">
        <v>25</v>
      </c>
      <c r="L151" s="413">
        <v>2975730.78</v>
      </c>
    </row>
    <row r="152" spans="1:12" ht="91.8" hidden="1" x14ac:dyDescent="0.3">
      <c r="A152" s="407" t="s">
        <v>179</v>
      </c>
      <c r="B152" s="408" t="s">
        <v>889</v>
      </c>
      <c r="C152" s="408" t="s">
        <v>961</v>
      </c>
      <c r="D152" s="408" t="s">
        <v>869</v>
      </c>
      <c r="E152" s="409" t="s">
        <v>30</v>
      </c>
      <c r="F152" s="410">
        <v>24045.5</v>
      </c>
      <c r="G152" s="410"/>
      <c r="H152" s="409" t="s">
        <v>31</v>
      </c>
      <c r="I152" s="411" t="s">
        <v>32</v>
      </c>
      <c r="J152" s="411"/>
      <c r="K152" s="412" t="s">
        <v>25</v>
      </c>
      <c r="L152" s="413">
        <v>2999776.28</v>
      </c>
    </row>
    <row r="153" spans="1:12" ht="91.8" hidden="1" x14ac:dyDescent="0.3">
      <c r="A153" s="407" t="s">
        <v>179</v>
      </c>
      <c r="B153" s="408" t="s">
        <v>889</v>
      </c>
      <c r="C153" s="408" t="s">
        <v>962</v>
      </c>
      <c r="D153" s="408" t="s">
        <v>869</v>
      </c>
      <c r="E153" s="409" t="s">
        <v>30</v>
      </c>
      <c r="F153" s="410">
        <v>6470.9</v>
      </c>
      <c r="G153" s="410"/>
      <c r="H153" s="409" t="s">
        <v>31</v>
      </c>
      <c r="I153" s="411" t="s">
        <v>32</v>
      </c>
      <c r="J153" s="411"/>
      <c r="K153" s="412" t="s">
        <v>25</v>
      </c>
      <c r="L153" s="413">
        <v>3006247.18</v>
      </c>
    </row>
    <row r="154" spans="1:12" ht="91.8" hidden="1" x14ac:dyDescent="0.3">
      <c r="A154" s="407" t="s">
        <v>179</v>
      </c>
      <c r="B154" s="408" t="s">
        <v>889</v>
      </c>
      <c r="C154" s="408" t="s">
        <v>963</v>
      </c>
      <c r="D154" s="408" t="s">
        <v>869</v>
      </c>
      <c r="E154" s="409" t="s">
        <v>30</v>
      </c>
      <c r="F154" s="410">
        <v>2764.8</v>
      </c>
      <c r="G154" s="410"/>
      <c r="H154" s="409" t="s">
        <v>31</v>
      </c>
      <c r="I154" s="411" t="s">
        <v>32</v>
      </c>
      <c r="J154" s="411"/>
      <c r="K154" s="412" t="s">
        <v>25</v>
      </c>
      <c r="L154" s="413">
        <v>3009011.98</v>
      </c>
    </row>
    <row r="155" spans="1:12" ht="91.8" hidden="1" x14ac:dyDescent="0.3">
      <c r="A155" s="407" t="s">
        <v>179</v>
      </c>
      <c r="B155" s="408" t="s">
        <v>889</v>
      </c>
      <c r="C155" s="408" t="s">
        <v>963</v>
      </c>
      <c r="D155" s="408" t="s">
        <v>869</v>
      </c>
      <c r="E155" s="409" t="s">
        <v>30</v>
      </c>
      <c r="F155" s="410">
        <v>11814</v>
      </c>
      <c r="G155" s="410"/>
      <c r="H155" s="409" t="s">
        <v>31</v>
      </c>
      <c r="I155" s="411" t="s">
        <v>32</v>
      </c>
      <c r="J155" s="411"/>
      <c r="K155" s="412" t="s">
        <v>25</v>
      </c>
      <c r="L155" s="413">
        <v>3020825.98</v>
      </c>
    </row>
    <row r="156" spans="1:12" ht="91.8" hidden="1" x14ac:dyDescent="0.3">
      <c r="A156" s="407" t="s">
        <v>179</v>
      </c>
      <c r="B156" s="408" t="s">
        <v>889</v>
      </c>
      <c r="C156" s="408" t="s">
        <v>964</v>
      </c>
      <c r="D156" s="408" t="s">
        <v>869</v>
      </c>
      <c r="E156" s="409" t="s">
        <v>30</v>
      </c>
      <c r="F156" s="410">
        <v>6244.2</v>
      </c>
      <c r="G156" s="410"/>
      <c r="H156" s="409" t="s">
        <v>31</v>
      </c>
      <c r="I156" s="411" t="s">
        <v>32</v>
      </c>
      <c r="J156" s="411"/>
      <c r="K156" s="412" t="s">
        <v>25</v>
      </c>
      <c r="L156" s="413">
        <v>3027070.18</v>
      </c>
    </row>
    <row r="157" spans="1:12" ht="91.8" hidden="1" x14ac:dyDescent="0.3">
      <c r="A157" s="407" t="s">
        <v>179</v>
      </c>
      <c r="B157" s="408" t="s">
        <v>889</v>
      </c>
      <c r="C157" s="408" t="s">
        <v>965</v>
      </c>
      <c r="D157" s="408" t="s">
        <v>869</v>
      </c>
      <c r="E157" s="409" t="s">
        <v>30</v>
      </c>
      <c r="F157" s="410">
        <v>6536.4</v>
      </c>
      <c r="G157" s="410"/>
      <c r="H157" s="409" t="s">
        <v>31</v>
      </c>
      <c r="I157" s="411" t="s">
        <v>32</v>
      </c>
      <c r="J157" s="411"/>
      <c r="K157" s="412" t="s">
        <v>25</v>
      </c>
      <c r="L157" s="413">
        <v>3033606.58</v>
      </c>
    </row>
    <row r="158" spans="1:12" ht="91.8" hidden="1" x14ac:dyDescent="0.3">
      <c r="A158" s="407" t="s">
        <v>179</v>
      </c>
      <c r="B158" s="408" t="s">
        <v>889</v>
      </c>
      <c r="C158" s="408" t="s">
        <v>966</v>
      </c>
      <c r="D158" s="408" t="s">
        <v>869</v>
      </c>
      <c r="E158" s="409" t="s">
        <v>30</v>
      </c>
      <c r="F158" s="410">
        <v>11077.2</v>
      </c>
      <c r="G158" s="410"/>
      <c r="H158" s="409" t="s">
        <v>31</v>
      </c>
      <c r="I158" s="411" t="s">
        <v>32</v>
      </c>
      <c r="J158" s="411"/>
      <c r="K158" s="412" t="s">
        <v>25</v>
      </c>
      <c r="L158" s="413">
        <v>3044683.78</v>
      </c>
    </row>
    <row r="159" spans="1:12" ht="91.8" hidden="1" x14ac:dyDescent="0.3">
      <c r="A159" s="407" t="s">
        <v>179</v>
      </c>
      <c r="B159" s="408" t="s">
        <v>889</v>
      </c>
      <c r="C159" s="408" t="s">
        <v>967</v>
      </c>
      <c r="D159" s="408" t="s">
        <v>869</v>
      </c>
      <c r="E159" s="409" t="s">
        <v>30</v>
      </c>
      <c r="F159" s="410">
        <v>3228</v>
      </c>
      <c r="G159" s="410"/>
      <c r="H159" s="409" t="s">
        <v>31</v>
      </c>
      <c r="I159" s="411" t="s">
        <v>32</v>
      </c>
      <c r="J159" s="411"/>
      <c r="K159" s="412" t="s">
        <v>25</v>
      </c>
      <c r="L159" s="413">
        <v>3047911.78</v>
      </c>
    </row>
    <row r="160" spans="1:12" ht="91.8" hidden="1" x14ac:dyDescent="0.3">
      <c r="A160" s="407" t="s">
        <v>179</v>
      </c>
      <c r="B160" s="408" t="s">
        <v>889</v>
      </c>
      <c r="C160" s="408" t="s">
        <v>957</v>
      </c>
      <c r="D160" s="408" t="s">
        <v>869</v>
      </c>
      <c r="E160" s="409" t="s">
        <v>30</v>
      </c>
      <c r="F160" s="410">
        <v>10080</v>
      </c>
      <c r="G160" s="410"/>
      <c r="H160" s="409" t="s">
        <v>31</v>
      </c>
      <c r="I160" s="411" t="s">
        <v>32</v>
      </c>
      <c r="J160" s="411"/>
      <c r="K160" s="412" t="s">
        <v>25</v>
      </c>
      <c r="L160" s="413">
        <v>3057991.78</v>
      </c>
    </row>
    <row r="161" spans="1:12" ht="91.8" hidden="1" x14ac:dyDescent="0.3">
      <c r="A161" s="407" t="s">
        <v>179</v>
      </c>
      <c r="B161" s="408" t="s">
        <v>889</v>
      </c>
      <c r="C161" s="408" t="s">
        <v>968</v>
      </c>
      <c r="D161" s="408" t="s">
        <v>869</v>
      </c>
      <c r="E161" s="409" t="s">
        <v>30</v>
      </c>
      <c r="F161" s="410">
        <v>2164.4</v>
      </c>
      <c r="G161" s="410"/>
      <c r="H161" s="409" t="s">
        <v>31</v>
      </c>
      <c r="I161" s="411" t="s">
        <v>32</v>
      </c>
      <c r="J161" s="411"/>
      <c r="K161" s="412" t="s">
        <v>25</v>
      </c>
      <c r="L161" s="413">
        <v>3060156.18</v>
      </c>
    </row>
    <row r="162" spans="1:12" ht="91.8" hidden="1" x14ac:dyDescent="0.3">
      <c r="A162" s="407" t="s">
        <v>179</v>
      </c>
      <c r="B162" s="408" t="s">
        <v>889</v>
      </c>
      <c r="C162" s="408" t="s">
        <v>969</v>
      </c>
      <c r="D162" s="408" t="s">
        <v>869</v>
      </c>
      <c r="E162" s="409" t="s">
        <v>30</v>
      </c>
      <c r="F162" s="410">
        <v>2926.7</v>
      </c>
      <c r="G162" s="410"/>
      <c r="H162" s="409" t="s">
        <v>31</v>
      </c>
      <c r="I162" s="411" t="s">
        <v>32</v>
      </c>
      <c r="J162" s="411"/>
      <c r="K162" s="412" t="s">
        <v>25</v>
      </c>
      <c r="L162" s="413">
        <v>3063082.88</v>
      </c>
    </row>
    <row r="163" spans="1:12" ht="91.8" hidden="1" x14ac:dyDescent="0.3">
      <c r="A163" s="407" t="s">
        <v>179</v>
      </c>
      <c r="B163" s="408" t="s">
        <v>889</v>
      </c>
      <c r="C163" s="408" t="s">
        <v>969</v>
      </c>
      <c r="D163" s="408" t="s">
        <v>869</v>
      </c>
      <c r="E163" s="409" t="s">
        <v>30</v>
      </c>
      <c r="F163" s="410">
        <v>15043.5</v>
      </c>
      <c r="G163" s="410"/>
      <c r="H163" s="409" t="s">
        <v>31</v>
      </c>
      <c r="I163" s="411" t="s">
        <v>32</v>
      </c>
      <c r="J163" s="411"/>
      <c r="K163" s="412" t="s">
        <v>25</v>
      </c>
      <c r="L163" s="413">
        <v>3078126.38</v>
      </c>
    </row>
    <row r="164" spans="1:12" ht="91.8" hidden="1" x14ac:dyDescent="0.3">
      <c r="A164" s="407" t="s">
        <v>179</v>
      </c>
      <c r="B164" s="408" t="s">
        <v>889</v>
      </c>
      <c r="C164" s="408" t="s">
        <v>970</v>
      </c>
      <c r="D164" s="408" t="s">
        <v>869</v>
      </c>
      <c r="E164" s="409" t="s">
        <v>30</v>
      </c>
      <c r="F164" s="410">
        <v>2993</v>
      </c>
      <c r="G164" s="410"/>
      <c r="H164" s="409" t="s">
        <v>31</v>
      </c>
      <c r="I164" s="411" t="s">
        <v>32</v>
      </c>
      <c r="J164" s="411"/>
      <c r="K164" s="412" t="s">
        <v>25</v>
      </c>
      <c r="L164" s="413">
        <v>3081119.38</v>
      </c>
    </row>
    <row r="165" spans="1:12" ht="91.8" hidden="1" x14ac:dyDescent="0.3">
      <c r="A165" s="407" t="s">
        <v>179</v>
      </c>
      <c r="B165" s="408" t="s">
        <v>889</v>
      </c>
      <c r="C165" s="408" t="s">
        <v>971</v>
      </c>
      <c r="D165" s="408" t="s">
        <v>869</v>
      </c>
      <c r="E165" s="409" t="s">
        <v>30</v>
      </c>
      <c r="F165" s="410">
        <v>16971.5</v>
      </c>
      <c r="G165" s="410"/>
      <c r="H165" s="409" t="s">
        <v>31</v>
      </c>
      <c r="I165" s="411" t="s">
        <v>32</v>
      </c>
      <c r="J165" s="411"/>
      <c r="K165" s="412" t="s">
        <v>25</v>
      </c>
      <c r="L165" s="413">
        <v>3098090.88</v>
      </c>
    </row>
    <row r="166" spans="1:12" ht="91.8" hidden="1" x14ac:dyDescent="0.3">
      <c r="A166" s="407" t="s">
        <v>179</v>
      </c>
      <c r="B166" s="408" t="s">
        <v>889</v>
      </c>
      <c r="C166" s="408" t="s">
        <v>972</v>
      </c>
      <c r="D166" s="408" t="s">
        <v>869</v>
      </c>
      <c r="E166" s="409" t="s">
        <v>30</v>
      </c>
      <c r="F166" s="410">
        <v>3469.6</v>
      </c>
      <c r="G166" s="410"/>
      <c r="H166" s="409" t="s">
        <v>31</v>
      </c>
      <c r="I166" s="411" t="s">
        <v>32</v>
      </c>
      <c r="J166" s="411"/>
      <c r="K166" s="412" t="s">
        <v>25</v>
      </c>
      <c r="L166" s="413">
        <v>3101560.48</v>
      </c>
    </row>
    <row r="167" spans="1:12" ht="91.8" hidden="1" x14ac:dyDescent="0.3">
      <c r="A167" s="407" t="s">
        <v>179</v>
      </c>
      <c r="B167" s="408" t="s">
        <v>889</v>
      </c>
      <c r="C167" s="408" t="s">
        <v>973</v>
      </c>
      <c r="D167" s="408" t="s">
        <v>869</v>
      </c>
      <c r="E167" s="409" t="s">
        <v>30</v>
      </c>
      <c r="F167" s="410">
        <v>12109.2</v>
      </c>
      <c r="G167" s="410"/>
      <c r="H167" s="409" t="s">
        <v>31</v>
      </c>
      <c r="I167" s="411" t="s">
        <v>32</v>
      </c>
      <c r="J167" s="411"/>
      <c r="K167" s="412" t="s">
        <v>25</v>
      </c>
      <c r="L167" s="413">
        <v>3113669.68</v>
      </c>
    </row>
    <row r="168" spans="1:12" ht="91.8" hidden="1" x14ac:dyDescent="0.3">
      <c r="A168" s="407" t="s">
        <v>179</v>
      </c>
      <c r="B168" s="408" t="s">
        <v>889</v>
      </c>
      <c r="C168" s="408" t="s">
        <v>974</v>
      </c>
      <c r="D168" s="408" t="s">
        <v>869</v>
      </c>
      <c r="E168" s="409" t="s">
        <v>30</v>
      </c>
      <c r="F168" s="410">
        <v>2433.6999999999998</v>
      </c>
      <c r="G168" s="410"/>
      <c r="H168" s="409" t="s">
        <v>31</v>
      </c>
      <c r="I168" s="411" t="s">
        <v>32</v>
      </c>
      <c r="J168" s="411"/>
      <c r="K168" s="412" t="s">
        <v>25</v>
      </c>
      <c r="L168" s="413">
        <v>3116103.38</v>
      </c>
    </row>
    <row r="169" spans="1:12" ht="91.8" hidden="1" x14ac:dyDescent="0.3">
      <c r="A169" s="407" t="s">
        <v>179</v>
      </c>
      <c r="B169" s="408" t="s">
        <v>889</v>
      </c>
      <c r="C169" s="408" t="s">
        <v>975</v>
      </c>
      <c r="D169" s="408" t="s">
        <v>869</v>
      </c>
      <c r="E169" s="409" t="s">
        <v>30</v>
      </c>
      <c r="F169" s="410">
        <v>2908.8</v>
      </c>
      <c r="G169" s="410"/>
      <c r="H169" s="409" t="s">
        <v>31</v>
      </c>
      <c r="I169" s="411" t="s">
        <v>32</v>
      </c>
      <c r="J169" s="411"/>
      <c r="K169" s="412" t="s">
        <v>25</v>
      </c>
      <c r="L169" s="413">
        <v>3119012.18</v>
      </c>
    </row>
    <row r="170" spans="1:12" ht="91.8" hidden="1" x14ac:dyDescent="0.3">
      <c r="A170" s="407" t="s">
        <v>179</v>
      </c>
      <c r="B170" s="408" t="s">
        <v>889</v>
      </c>
      <c r="C170" s="408" t="s">
        <v>976</v>
      </c>
      <c r="D170" s="408" t="s">
        <v>869</v>
      </c>
      <c r="E170" s="409" t="s">
        <v>30</v>
      </c>
      <c r="F170" s="410">
        <v>3101.9</v>
      </c>
      <c r="G170" s="410"/>
      <c r="H170" s="409" t="s">
        <v>31</v>
      </c>
      <c r="I170" s="411" t="s">
        <v>32</v>
      </c>
      <c r="J170" s="411"/>
      <c r="K170" s="412" t="s">
        <v>25</v>
      </c>
      <c r="L170" s="413">
        <v>3122114.08</v>
      </c>
    </row>
    <row r="171" spans="1:12" ht="91.8" hidden="1" x14ac:dyDescent="0.3">
      <c r="A171" s="407" t="s">
        <v>179</v>
      </c>
      <c r="B171" s="408" t="s">
        <v>889</v>
      </c>
      <c r="C171" s="408" t="s">
        <v>977</v>
      </c>
      <c r="D171" s="408" t="s">
        <v>869</v>
      </c>
      <c r="E171" s="409" t="s">
        <v>30</v>
      </c>
      <c r="F171" s="410">
        <v>3701.6</v>
      </c>
      <c r="G171" s="410"/>
      <c r="H171" s="409" t="s">
        <v>31</v>
      </c>
      <c r="I171" s="411" t="s">
        <v>32</v>
      </c>
      <c r="J171" s="411"/>
      <c r="K171" s="412" t="s">
        <v>25</v>
      </c>
      <c r="L171" s="413">
        <v>3125815.68</v>
      </c>
    </row>
    <row r="172" spans="1:12" ht="91.8" hidden="1" x14ac:dyDescent="0.3">
      <c r="A172" s="407" t="s">
        <v>179</v>
      </c>
      <c r="B172" s="408" t="s">
        <v>889</v>
      </c>
      <c r="C172" s="408" t="s">
        <v>977</v>
      </c>
      <c r="D172" s="408" t="s">
        <v>869</v>
      </c>
      <c r="E172" s="409" t="s">
        <v>30</v>
      </c>
      <c r="F172" s="410">
        <v>3747.8</v>
      </c>
      <c r="G172" s="410"/>
      <c r="H172" s="409" t="s">
        <v>31</v>
      </c>
      <c r="I172" s="411" t="s">
        <v>32</v>
      </c>
      <c r="J172" s="411"/>
      <c r="K172" s="412" t="s">
        <v>25</v>
      </c>
      <c r="L172" s="413">
        <v>3129563.48</v>
      </c>
    </row>
    <row r="173" spans="1:12" ht="91.8" hidden="1" x14ac:dyDescent="0.3">
      <c r="A173" s="407" t="s">
        <v>179</v>
      </c>
      <c r="B173" s="408" t="s">
        <v>889</v>
      </c>
      <c r="C173" s="408" t="s">
        <v>978</v>
      </c>
      <c r="D173" s="408" t="s">
        <v>869</v>
      </c>
      <c r="E173" s="409" t="s">
        <v>30</v>
      </c>
      <c r="F173" s="410">
        <v>3784.4</v>
      </c>
      <c r="G173" s="410"/>
      <c r="H173" s="409" t="s">
        <v>31</v>
      </c>
      <c r="I173" s="411" t="s">
        <v>32</v>
      </c>
      <c r="J173" s="411"/>
      <c r="K173" s="412" t="s">
        <v>25</v>
      </c>
      <c r="L173" s="413">
        <v>3133347.88</v>
      </c>
    </row>
    <row r="174" spans="1:12" ht="91.8" hidden="1" x14ac:dyDescent="0.3">
      <c r="A174" s="407" t="s">
        <v>179</v>
      </c>
      <c r="B174" s="408" t="s">
        <v>889</v>
      </c>
      <c r="C174" s="408" t="s">
        <v>979</v>
      </c>
      <c r="D174" s="408" t="s">
        <v>869</v>
      </c>
      <c r="E174" s="409" t="s">
        <v>30</v>
      </c>
      <c r="F174" s="410">
        <v>3661.3</v>
      </c>
      <c r="G174" s="410"/>
      <c r="H174" s="409" t="s">
        <v>31</v>
      </c>
      <c r="I174" s="411" t="s">
        <v>32</v>
      </c>
      <c r="J174" s="411"/>
      <c r="K174" s="412" t="s">
        <v>25</v>
      </c>
      <c r="L174" s="413">
        <v>3137009.18</v>
      </c>
    </row>
    <row r="175" spans="1:12" ht="91.8" hidden="1" x14ac:dyDescent="0.3">
      <c r="A175" s="407" t="s">
        <v>179</v>
      </c>
      <c r="B175" s="408" t="s">
        <v>889</v>
      </c>
      <c r="C175" s="408" t="s">
        <v>979</v>
      </c>
      <c r="D175" s="408" t="s">
        <v>869</v>
      </c>
      <c r="E175" s="409" t="s">
        <v>30</v>
      </c>
      <c r="F175" s="410">
        <v>18716.5</v>
      </c>
      <c r="G175" s="410"/>
      <c r="H175" s="409" t="s">
        <v>31</v>
      </c>
      <c r="I175" s="411" t="s">
        <v>32</v>
      </c>
      <c r="J175" s="411"/>
      <c r="K175" s="412" t="s">
        <v>25</v>
      </c>
      <c r="L175" s="413">
        <v>3155725.68</v>
      </c>
    </row>
    <row r="176" spans="1:12" ht="91.8" hidden="1" x14ac:dyDescent="0.3">
      <c r="A176" s="407" t="s">
        <v>179</v>
      </c>
      <c r="B176" s="408" t="s">
        <v>889</v>
      </c>
      <c r="C176" s="408" t="s">
        <v>980</v>
      </c>
      <c r="D176" s="408" t="s">
        <v>869</v>
      </c>
      <c r="E176" s="409" t="s">
        <v>30</v>
      </c>
      <c r="F176" s="410">
        <v>3742.6</v>
      </c>
      <c r="G176" s="410"/>
      <c r="H176" s="409" t="s">
        <v>31</v>
      </c>
      <c r="I176" s="411" t="s">
        <v>32</v>
      </c>
      <c r="J176" s="411"/>
      <c r="K176" s="412" t="s">
        <v>25</v>
      </c>
      <c r="L176" s="413">
        <v>3159468.28</v>
      </c>
    </row>
    <row r="177" spans="1:12" ht="91.8" hidden="1" x14ac:dyDescent="0.3">
      <c r="A177" s="407" t="s">
        <v>179</v>
      </c>
      <c r="B177" s="408" t="s">
        <v>889</v>
      </c>
      <c r="C177" s="408" t="s">
        <v>981</v>
      </c>
      <c r="D177" s="408" t="s">
        <v>869</v>
      </c>
      <c r="E177" s="409" t="s">
        <v>30</v>
      </c>
      <c r="F177" s="410">
        <v>3836.6</v>
      </c>
      <c r="G177" s="410"/>
      <c r="H177" s="409" t="s">
        <v>31</v>
      </c>
      <c r="I177" s="411" t="s">
        <v>32</v>
      </c>
      <c r="J177" s="411"/>
      <c r="K177" s="412" t="s">
        <v>25</v>
      </c>
      <c r="L177" s="413">
        <v>3163304.88</v>
      </c>
    </row>
    <row r="178" spans="1:12" ht="91.8" hidden="1" x14ac:dyDescent="0.3">
      <c r="A178" s="407" t="s">
        <v>179</v>
      </c>
      <c r="B178" s="408" t="s">
        <v>889</v>
      </c>
      <c r="C178" s="408" t="s">
        <v>982</v>
      </c>
      <c r="D178" s="408" t="s">
        <v>869</v>
      </c>
      <c r="E178" s="409" t="s">
        <v>30</v>
      </c>
      <c r="F178" s="410">
        <v>3982.8</v>
      </c>
      <c r="G178" s="410"/>
      <c r="H178" s="409" t="s">
        <v>31</v>
      </c>
      <c r="I178" s="411" t="s">
        <v>32</v>
      </c>
      <c r="J178" s="411"/>
      <c r="K178" s="412" t="s">
        <v>25</v>
      </c>
      <c r="L178" s="413">
        <v>3167287.68</v>
      </c>
    </row>
    <row r="179" spans="1:12" ht="91.8" hidden="1" x14ac:dyDescent="0.3">
      <c r="A179" s="407" t="s">
        <v>179</v>
      </c>
      <c r="B179" s="408" t="s">
        <v>889</v>
      </c>
      <c r="C179" s="408" t="s">
        <v>983</v>
      </c>
      <c r="D179" s="408" t="s">
        <v>869</v>
      </c>
      <c r="E179" s="409" t="s">
        <v>30</v>
      </c>
      <c r="F179" s="410">
        <v>3151.1</v>
      </c>
      <c r="G179" s="410"/>
      <c r="H179" s="409" t="s">
        <v>31</v>
      </c>
      <c r="I179" s="411" t="s">
        <v>32</v>
      </c>
      <c r="J179" s="411"/>
      <c r="K179" s="412" t="s">
        <v>25</v>
      </c>
      <c r="L179" s="413">
        <v>3170438.78</v>
      </c>
    </row>
    <row r="180" spans="1:12" ht="91.8" hidden="1" x14ac:dyDescent="0.3">
      <c r="A180" s="407" t="s">
        <v>179</v>
      </c>
      <c r="B180" s="408" t="s">
        <v>889</v>
      </c>
      <c r="C180" s="408" t="s">
        <v>984</v>
      </c>
      <c r="D180" s="408" t="s">
        <v>869</v>
      </c>
      <c r="E180" s="409" t="s">
        <v>30</v>
      </c>
      <c r="F180" s="410">
        <v>2690.2</v>
      </c>
      <c r="G180" s="410"/>
      <c r="H180" s="409" t="s">
        <v>31</v>
      </c>
      <c r="I180" s="411" t="s">
        <v>32</v>
      </c>
      <c r="J180" s="411"/>
      <c r="K180" s="412" t="s">
        <v>25</v>
      </c>
      <c r="L180" s="413">
        <v>3173128.98</v>
      </c>
    </row>
    <row r="181" spans="1:12" ht="91.8" hidden="1" x14ac:dyDescent="0.3">
      <c r="A181" s="407" t="s">
        <v>179</v>
      </c>
      <c r="B181" s="408" t="s">
        <v>889</v>
      </c>
      <c r="C181" s="408" t="s">
        <v>985</v>
      </c>
      <c r="D181" s="408" t="s">
        <v>869</v>
      </c>
      <c r="E181" s="409" t="s">
        <v>30</v>
      </c>
      <c r="F181" s="410">
        <v>2710.4</v>
      </c>
      <c r="G181" s="410"/>
      <c r="H181" s="409" t="s">
        <v>31</v>
      </c>
      <c r="I181" s="411" t="s">
        <v>32</v>
      </c>
      <c r="J181" s="411"/>
      <c r="K181" s="412" t="s">
        <v>25</v>
      </c>
      <c r="L181" s="413">
        <v>3175839.38</v>
      </c>
    </row>
    <row r="182" spans="1:12" ht="91.8" hidden="1" x14ac:dyDescent="0.3">
      <c r="A182" s="407" t="s">
        <v>179</v>
      </c>
      <c r="B182" s="408" t="s">
        <v>889</v>
      </c>
      <c r="C182" s="408" t="s">
        <v>986</v>
      </c>
      <c r="D182" s="408" t="s">
        <v>869</v>
      </c>
      <c r="E182" s="409" t="s">
        <v>30</v>
      </c>
      <c r="F182" s="410">
        <v>2012.3</v>
      </c>
      <c r="G182" s="410"/>
      <c r="H182" s="409" t="s">
        <v>31</v>
      </c>
      <c r="I182" s="411" t="s">
        <v>32</v>
      </c>
      <c r="J182" s="411"/>
      <c r="K182" s="412" t="s">
        <v>25</v>
      </c>
      <c r="L182" s="413">
        <v>3177851.68</v>
      </c>
    </row>
    <row r="183" spans="1:12" ht="91.8" hidden="1" x14ac:dyDescent="0.3">
      <c r="A183" s="407" t="s">
        <v>179</v>
      </c>
      <c r="B183" s="408" t="s">
        <v>889</v>
      </c>
      <c r="C183" s="408" t="s">
        <v>987</v>
      </c>
      <c r="D183" s="408" t="s">
        <v>869</v>
      </c>
      <c r="E183" s="409" t="s">
        <v>30</v>
      </c>
      <c r="F183" s="410">
        <v>2033.1</v>
      </c>
      <c r="G183" s="410"/>
      <c r="H183" s="409" t="s">
        <v>31</v>
      </c>
      <c r="I183" s="411" t="s">
        <v>32</v>
      </c>
      <c r="J183" s="411"/>
      <c r="K183" s="412" t="s">
        <v>25</v>
      </c>
      <c r="L183" s="413">
        <v>3179884.78</v>
      </c>
    </row>
    <row r="184" spans="1:12" ht="91.8" hidden="1" x14ac:dyDescent="0.3">
      <c r="A184" s="407" t="s">
        <v>179</v>
      </c>
      <c r="B184" s="408" t="s">
        <v>889</v>
      </c>
      <c r="C184" s="408" t="s">
        <v>988</v>
      </c>
      <c r="D184" s="408" t="s">
        <v>869</v>
      </c>
      <c r="E184" s="409" t="s">
        <v>30</v>
      </c>
      <c r="F184" s="410">
        <v>2053.3000000000002</v>
      </c>
      <c r="G184" s="410"/>
      <c r="H184" s="409" t="s">
        <v>31</v>
      </c>
      <c r="I184" s="411" t="s">
        <v>32</v>
      </c>
      <c r="J184" s="411"/>
      <c r="K184" s="412" t="s">
        <v>25</v>
      </c>
      <c r="L184" s="413">
        <v>3181938.08</v>
      </c>
    </row>
    <row r="185" spans="1:12" ht="91.8" hidden="1" x14ac:dyDescent="0.3">
      <c r="A185" s="407" t="s">
        <v>179</v>
      </c>
      <c r="B185" s="408" t="s">
        <v>889</v>
      </c>
      <c r="C185" s="408" t="s">
        <v>989</v>
      </c>
      <c r="D185" s="408" t="s">
        <v>869</v>
      </c>
      <c r="E185" s="409" t="s">
        <v>30</v>
      </c>
      <c r="F185" s="410">
        <v>1626.7</v>
      </c>
      <c r="G185" s="410"/>
      <c r="H185" s="409" t="s">
        <v>31</v>
      </c>
      <c r="I185" s="411" t="s">
        <v>32</v>
      </c>
      <c r="J185" s="411"/>
      <c r="K185" s="412" t="s">
        <v>25</v>
      </c>
      <c r="L185" s="413">
        <v>3183564.78</v>
      </c>
    </row>
    <row r="186" spans="1:12" ht="91.8" hidden="1" x14ac:dyDescent="0.3">
      <c r="A186" s="407" t="s">
        <v>179</v>
      </c>
      <c r="B186" s="408" t="s">
        <v>889</v>
      </c>
      <c r="C186" s="408" t="s">
        <v>990</v>
      </c>
      <c r="D186" s="408" t="s">
        <v>869</v>
      </c>
      <c r="E186" s="409" t="s">
        <v>30</v>
      </c>
      <c r="F186" s="410">
        <v>9433.4</v>
      </c>
      <c r="G186" s="410"/>
      <c r="H186" s="409" t="s">
        <v>31</v>
      </c>
      <c r="I186" s="411" t="s">
        <v>32</v>
      </c>
      <c r="J186" s="411"/>
      <c r="K186" s="412" t="s">
        <v>25</v>
      </c>
      <c r="L186" s="413">
        <v>3192998.18</v>
      </c>
    </row>
    <row r="187" spans="1:12" ht="91.8" hidden="1" x14ac:dyDescent="0.3">
      <c r="A187" s="407" t="s">
        <v>179</v>
      </c>
      <c r="B187" s="408" t="s">
        <v>889</v>
      </c>
      <c r="C187" s="408" t="s">
        <v>991</v>
      </c>
      <c r="D187" s="408" t="s">
        <v>869</v>
      </c>
      <c r="E187" s="409" t="s">
        <v>30</v>
      </c>
      <c r="F187" s="410">
        <v>4871</v>
      </c>
      <c r="G187" s="410"/>
      <c r="H187" s="409" t="s">
        <v>31</v>
      </c>
      <c r="I187" s="411" t="s">
        <v>32</v>
      </c>
      <c r="J187" s="411"/>
      <c r="K187" s="412" t="s">
        <v>25</v>
      </c>
      <c r="L187" s="413">
        <v>3197869.18</v>
      </c>
    </row>
    <row r="188" spans="1:12" ht="91.8" hidden="1" x14ac:dyDescent="0.3">
      <c r="A188" s="407" t="s">
        <v>179</v>
      </c>
      <c r="B188" s="408" t="s">
        <v>889</v>
      </c>
      <c r="C188" s="408" t="s">
        <v>991</v>
      </c>
      <c r="D188" s="408" t="s">
        <v>869</v>
      </c>
      <c r="E188" s="409" t="s">
        <v>30</v>
      </c>
      <c r="F188" s="410">
        <v>4719.6000000000004</v>
      </c>
      <c r="G188" s="410"/>
      <c r="H188" s="409" t="s">
        <v>31</v>
      </c>
      <c r="I188" s="411" t="s">
        <v>32</v>
      </c>
      <c r="J188" s="411"/>
      <c r="K188" s="412" t="s">
        <v>25</v>
      </c>
      <c r="L188" s="413">
        <v>3202588.78</v>
      </c>
    </row>
    <row r="189" spans="1:12" ht="91.8" hidden="1" x14ac:dyDescent="0.3">
      <c r="A189" s="407" t="s">
        <v>179</v>
      </c>
      <c r="B189" s="408" t="s">
        <v>889</v>
      </c>
      <c r="C189" s="408" t="s">
        <v>991</v>
      </c>
      <c r="D189" s="408" t="s">
        <v>869</v>
      </c>
      <c r="E189" s="409" t="s">
        <v>30</v>
      </c>
      <c r="F189" s="410">
        <v>4772.6000000000004</v>
      </c>
      <c r="G189" s="410"/>
      <c r="H189" s="409" t="s">
        <v>31</v>
      </c>
      <c r="I189" s="411" t="s">
        <v>32</v>
      </c>
      <c r="J189" s="411"/>
      <c r="K189" s="412" t="s">
        <v>25</v>
      </c>
      <c r="L189" s="413">
        <v>3207361.38</v>
      </c>
    </row>
    <row r="190" spans="1:12" ht="91.8" hidden="1" x14ac:dyDescent="0.3">
      <c r="A190" s="407" t="s">
        <v>179</v>
      </c>
      <c r="B190" s="408" t="s">
        <v>889</v>
      </c>
      <c r="C190" s="408" t="s">
        <v>991</v>
      </c>
      <c r="D190" s="408" t="s">
        <v>869</v>
      </c>
      <c r="E190" s="409" t="s">
        <v>30</v>
      </c>
      <c r="F190" s="410">
        <v>4723.3999999999996</v>
      </c>
      <c r="G190" s="410"/>
      <c r="H190" s="409" t="s">
        <v>31</v>
      </c>
      <c r="I190" s="411" t="s">
        <v>32</v>
      </c>
      <c r="J190" s="411"/>
      <c r="K190" s="412" t="s">
        <v>25</v>
      </c>
      <c r="L190" s="413">
        <v>3212084.78</v>
      </c>
    </row>
    <row r="191" spans="1:12" ht="91.8" hidden="1" x14ac:dyDescent="0.3">
      <c r="A191" s="407" t="s">
        <v>179</v>
      </c>
      <c r="B191" s="408" t="s">
        <v>889</v>
      </c>
      <c r="C191" s="408" t="s">
        <v>992</v>
      </c>
      <c r="D191" s="408" t="s">
        <v>869</v>
      </c>
      <c r="E191" s="409" t="s">
        <v>30</v>
      </c>
      <c r="F191" s="410">
        <v>5475.9</v>
      </c>
      <c r="G191" s="410"/>
      <c r="H191" s="409" t="s">
        <v>31</v>
      </c>
      <c r="I191" s="411" t="s">
        <v>32</v>
      </c>
      <c r="J191" s="411"/>
      <c r="K191" s="412" t="s">
        <v>25</v>
      </c>
      <c r="L191" s="413">
        <v>3217560.68</v>
      </c>
    </row>
    <row r="192" spans="1:12" ht="91.8" hidden="1" x14ac:dyDescent="0.3">
      <c r="A192" s="407" t="s">
        <v>179</v>
      </c>
      <c r="B192" s="408" t="s">
        <v>889</v>
      </c>
      <c r="C192" s="408" t="s">
        <v>993</v>
      </c>
      <c r="D192" s="408" t="s">
        <v>869</v>
      </c>
      <c r="E192" s="409" t="s">
        <v>30</v>
      </c>
      <c r="F192" s="410">
        <v>1469.3</v>
      </c>
      <c r="G192" s="410"/>
      <c r="H192" s="409" t="s">
        <v>31</v>
      </c>
      <c r="I192" s="411" t="s">
        <v>32</v>
      </c>
      <c r="J192" s="411"/>
      <c r="K192" s="412" t="s">
        <v>25</v>
      </c>
      <c r="L192" s="413">
        <v>3219029.98</v>
      </c>
    </row>
    <row r="193" spans="1:12" ht="91.8" hidden="1" x14ac:dyDescent="0.3">
      <c r="A193" s="407" t="s">
        <v>179</v>
      </c>
      <c r="B193" s="408" t="s">
        <v>889</v>
      </c>
      <c r="C193" s="408" t="s">
        <v>994</v>
      </c>
      <c r="D193" s="408" t="s">
        <v>869</v>
      </c>
      <c r="E193" s="409" t="s">
        <v>30</v>
      </c>
      <c r="F193" s="410">
        <v>5047.8</v>
      </c>
      <c r="G193" s="410"/>
      <c r="H193" s="409" t="s">
        <v>31</v>
      </c>
      <c r="I193" s="411" t="s">
        <v>32</v>
      </c>
      <c r="J193" s="411"/>
      <c r="K193" s="412" t="s">
        <v>25</v>
      </c>
      <c r="L193" s="413">
        <v>3224077.78</v>
      </c>
    </row>
    <row r="194" spans="1:12" ht="91.8" hidden="1" x14ac:dyDescent="0.3">
      <c r="A194" s="407" t="s">
        <v>179</v>
      </c>
      <c r="B194" s="408" t="s">
        <v>889</v>
      </c>
      <c r="C194" s="408" t="s">
        <v>995</v>
      </c>
      <c r="D194" s="408" t="s">
        <v>869</v>
      </c>
      <c r="E194" s="409" t="s">
        <v>30</v>
      </c>
      <c r="F194" s="410">
        <v>1731.8</v>
      </c>
      <c r="G194" s="410"/>
      <c r="H194" s="409" t="s">
        <v>31</v>
      </c>
      <c r="I194" s="411" t="s">
        <v>32</v>
      </c>
      <c r="J194" s="411"/>
      <c r="K194" s="412" t="s">
        <v>25</v>
      </c>
      <c r="L194" s="413">
        <v>3225809.58</v>
      </c>
    </row>
    <row r="195" spans="1:12" ht="91.8" hidden="1" x14ac:dyDescent="0.3">
      <c r="A195" s="407" t="s">
        <v>179</v>
      </c>
      <c r="B195" s="408" t="s">
        <v>889</v>
      </c>
      <c r="C195" s="408" t="s">
        <v>995</v>
      </c>
      <c r="D195" s="408" t="s">
        <v>869</v>
      </c>
      <c r="E195" s="409" t="s">
        <v>30</v>
      </c>
      <c r="F195" s="410">
        <v>9069.5</v>
      </c>
      <c r="G195" s="410"/>
      <c r="H195" s="409" t="s">
        <v>31</v>
      </c>
      <c r="I195" s="411" t="s">
        <v>32</v>
      </c>
      <c r="J195" s="411"/>
      <c r="K195" s="412" t="s">
        <v>25</v>
      </c>
      <c r="L195" s="413">
        <v>3234879.08</v>
      </c>
    </row>
    <row r="196" spans="1:12" ht="91.8" hidden="1" x14ac:dyDescent="0.3">
      <c r="A196" s="407" t="s">
        <v>179</v>
      </c>
      <c r="B196" s="408" t="s">
        <v>889</v>
      </c>
      <c r="C196" s="408" t="s">
        <v>996</v>
      </c>
      <c r="D196" s="408" t="s">
        <v>869</v>
      </c>
      <c r="E196" s="409" t="s">
        <v>30</v>
      </c>
      <c r="F196" s="410">
        <v>1951.8</v>
      </c>
      <c r="G196" s="410"/>
      <c r="H196" s="409" t="s">
        <v>31</v>
      </c>
      <c r="I196" s="411" t="s">
        <v>32</v>
      </c>
      <c r="J196" s="411"/>
      <c r="K196" s="412" t="s">
        <v>25</v>
      </c>
      <c r="L196" s="413">
        <v>3236830.88</v>
      </c>
    </row>
    <row r="197" spans="1:12" ht="91.8" hidden="1" x14ac:dyDescent="0.3">
      <c r="A197" s="407" t="s">
        <v>179</v>
      </c>
      <c r="B197" s="408" t="s">
        <v>889</v>
      </c>
      <c r="C197" s="408" t="s">
        <v>997</v>
      </c>
      <c r="D197" s="408" t="s">
        <v>869</v>
      </c>
      <c r="E197" s="409" t="s">
        <v>30</v>
      </c>
      <c r="F197" s="410">
        <v>14588.4</v>
      </c>
      <c r="G197" s="410"/>
      <c r="H197" s="409" t="s">
        <v>31</v>
      </c>
      <c r="I197" s="411" t="s">
        <v>32</v>
      </c>
      <c r="J197" s="411"/>
      <c r="K197" s="412" t="s">
        <v>25</v>
      </c>
      <c r="L197" s="413">
        <v>3251419.28</v>
      </c>
    </row>
    <row r="198" spans="1:12" ht="91.8" hidden="1" x14ac:dyDescent="0.3">
      <c r="A198" s="407" t="s">
        <v>179</v>
      </c>
      <c r="B198" s="408" t="s">
        <v>889</v>
      </c>
      <c r="C198" s="408" t="s">
        <v>977</v>
      </c>
      <c r="D198" s="408" t="s">
        <v>869</v>
      </c>
      <c r="E198" s="409" t="s">
        <v>30</v>
      </c>
      <c r="F198" s="410">
        <v>30388</v>
      </c>
      <c r="G198" s="410"/>
      <c r="H198" s="409" t="s">
        <v>31</v>
      </c>
      <c r="I198" s="411" t="s">
        <v>32</v>
      </c>
      <c r="J198" s="411"/>
      <c r="K198" s="412" t="s">
        <v>25</v>
      </c>
      <c r="L198" s="413">
        <v>3281807.28</v>
      </c>
    </row>
    <row r="199" spans="1:12" ht="91.8" hidden="1" x14ac:dyDescent="0.3">
      <c r="A199" s="407" t="s">
        <v>179</v>
      </c>
      <c r="B199" s="408" t="s">
        <v>889</v>
      </c>
      <c r="C199" s="408" t="s">
        <v>998</v>
      </c>
      <c r="D199" s="408" t="s">
        <v>869</v>
      </c>
      <c r="E199" s="409" t="s">
        <v>30</v>
      </c>
      <c r="F199" s="410">
        <v>1545.4</v>
      </c>
      <c r="G199" s="410"/>
      <c r="H199" s="409" t="s">
        <v>31</v>
      </c>
      <c r="I199" s="411" t="s">
        <v>32</v>
      </c>
      <c r="J199" s="411"/>
      <c r="K199" s="412" t="s">
        <v>25</v>
      </c>
      <c r="L199" s="413">
        <v>3283352.68</v>
      </c>
    </row>
    <row r="200" spans="1:12" ht="91.8" hidden="1" x14ac:dyDescent="0.3">
      <c r="A200" s="407" t="s">
        <v>179</v>
      </c>
      <c r="B200" s="408" t="s">
        <v>889</v>
      </c>
      <c r="C200" s="408" t="s">
        <v>999</v>
      </c>
      <c r="D200" s="408" t="s">
        <v>869</v>
      </c>
      <c r="E200" s="409" t="s">
        <v>30</v>
      </c>
      <c r="F200" s="410">
        <v>1736.4</v>
      </c>
      <c r="G200" s="410"/>
      <c r="H200" s="409" t="s">
        <v>31</v>
      </c>
      <c r="I200" s="411" t="s">
        <v>32</v>
      </c>
      <c r="J200" s="411"/>
      <c r="K200" s="412" t="s">
        <v>25</v>
      </c>
      <c r="L200" s="413">
        <v>3285089.08</v>
      </c>
    </row>
    <row r="201" spans="1:12" ht="91.8" hidden="1" x14ac:dyDescent="0.3">
      <c r="A201" s="407" t="s">
        <v>179</v>
      </c>
      <c r="B201" s="408" t="s">
        <v>889</v>
      </c>
      <c r="C201" s="408" t="s">
        <v>1000</v>
      </c>
      <c r="D201" s="408" t="s">
        <v>869</v>
      </c>
      <c r="E201" s="409" t="s">
        <v>30</v>
      </c>
      <c r="F201" s="410">
        <v>6726</v>
      </c>
      <c r="G201" s="410"/>
      <c r="H201" s="409" t="s">
        <v>31</v>
      </c>
      <c r="I201" s="411" t="s">
        <v>32</v>
      </c>
      <c r="J201" s="411"/>
      <c r="K201" s="412" t="s">
        <v>25</v>
      </c>
      <c r="L201" s="413">
        <v>3291815.08</v>
      </c>
    </row>
    <row r="202" spans="1:12" ht="91.8" hidden="1" x14ac:dyDescent="0.3">
      <c r="A202" s="407" t="s">
        <v>179</v>
      </c>
      <c r="B202" s="408" t="s">
        <v>889</v>
      </c>
      <c r="C202" s="408" t="s">
        <v>1001</v>
      </c>
      <c r="D202" s="408" t="s">
        <v>869</v>
      </c>
      <c r="E202" s="409" t="s">
        <v>30</v>
      </c>
      <c r="F202" s="410">
        <v>7121.2</v>
      </c>
      <c r="G202" s="410"/>
      <c r="H202" s="409" t="s">
        <v>31</v>
      </c>
      <c r="I202" s="411" t="s">
        <v>32</v>
      </c>
      <c r="J202" s="411"/>
      <c r="K202" s="412" t="s">
        <v>25</v>
      </c>
      <c r="L202" s="413">
        <v>3298936.28</v>
      </c>
    </row>
    <row r="203" spans="1:12" ht="91.8" hidden="1" x14ac:dyDescent="0.3">
      <c r="A203" s="407" t="s">
        <v>179</v>
      </c>
      <c r="B203" s="408" t="s">
        <v>889</v>
      </c>
      <c r="C203" s="408" t="s">
        <v>1002</v>
      </c>
      <c r="D203" s="408" t="s">
        <v>869</v>
      </c>
      <c r="E203" s="409" t="s">
        <v>30</v>
      </c>
      <c r="F203" s="410">
        <v>12401.6</v>
      </c>
      <c r="G203" s="410"/>
      <c r="H203" s="409" t="s">
        <v>31</v>
      </c>
      <c r="I203" s="411" t="s">
        <v>32</v>
      </c>
      <c r="J203" s="411"/>
      <c r="K203" s="412" t="s">
        <v>25</v>
      </c>
      <c r="L203" s="413">
        <v>3311337.88</v>
      </c>
    </row>
    <row r="204" spans="1:12" ht="91.8" hidden="1" x14ac:dyDescent="0.3">
      <c r="A204" s="407" t="s">
        <v>179</v>
      </c>
      <c r="B204" s="408" t="s">
        <v>889</v>
      </c>
      <c r="C204" s="408" t="s">
        <v>1003</v>
      </c>
      <c r="D204" s="408" t="s">
        <v>869</v>
      </c>
      <c r="E204" s="409" t="s">
        <v>30</v>
      </c>
      <c r="F204" s="410">
        <v>7082.4</v>
      </c>
      <c r="G204" s="410"/>
      <c r="H204" s="409" t="s">
        <v>31</v>
      </c>
      <c r="I204" s="411" t="s">
        <v>32</v>
      </c>
      <c r="J204" s="411"/>
      <c r="K204" s="412" t="s">
        <v>25</v>
      </c>
      <c r="L204" s="413">
        <v>3318420.28</v>
      </c>
    </row>
    <row r="205" spans="1:12" ht="91.8" hidden="1" x14ac:dyDescent="0.3">
      <c r="A205" s="407" t="s">
        <v>179</v>
      </c>
      <c r="B205" s="408" t="s">
        <v>889</v>
      </c>
      <c r="C205" s="408" t="s">
        <v>1004</v>
      </c>
      <c r="D205" s="408" t="s">
        <v>869</v>
      </c>
      <c r="E205" s="409" t="s">
        <v>30</v>
      </c>
      <c r="F205" s="410">
        <v>5423.8</v>
      </c>
      <c r="G205" s="410"/>
      <c r="H205" s="409" t="s">
        <v>31</v>
      </c>
      <c r="I205" s="411" t="s">
        <v>32</v>
      </c>
      <c r="J205" s="411"/>
      <c r="K205" s="412" t="s">
        <v>25</v>
      </c>
      <c r="L205" s="413">
        <v>3323844.08</v>
      </c>
    </row>
    <row r="206" spans="1:12" ht="91.8" hidden="1" x14ac:dyDescent="0.3">
      <c r="A206" s="407" t="s">
        <v>179</v>
      </c>
      <c r="B206" s="408" t="s">
        <v>889</v>
      </c>
      <c r="C206" s="408" t="s">
        <v>1005</v>
      </c>
      <c r="D206" s="408" t="s">
        <v>869</v>
      </c>
      <c r="E206" s="409" t="s">
        <v>30</v>
      </c>
      <c r="F206" s="410">
        <v>3594.9</v>
      </c>
      <c r="G206" s="410"/>
      <c r="H206" s="409" t="s">
        <v>31</v>
      </c>
      <c r="I206" s="411" t="s">
        <v>32</v>
      </c>
      <c r="J206" s="411"/>
      <c r="K206" s="412" t="s">
        <v>25</v>
      </c>
      <c r="L206" s="413">
        <v>3327438.98</v>
      </c>
    </row>
    <row r="207" spans="1:12" ht="91.8" hidden="1" x14ac:dyDescent="0.3">
      <c r="A207" s="407" t="s">
        <v>179</v>
      </c>
      <c r="B207" s="408" t="s">
        <v>889</v>
      </c>
      <c r="C207" s="408" t="s">
        <v>1006</v>
      </c>
      <c r="D207" s="408" t="s">
        <v>869</v>
      </c>
      <c r="E207" s="409" t="s">
        <v>30</v>
      </c>
      <c r="F207" s="410">
        <v>2729</v>
      </c>
      <c r="G207" s="410"/>
      <c r="H207" s="409" t="s">
        <v>31</v>
      </c>
      <c r="I207" s="411" t="s">
        <v>32</v>
      </c>
      <c r="J207" s="411"/>
      <c r="K207" s="412" t="s">
        <v>25</v>
      </c>
      <c r="L207" s="413">
        <v>3330167.98</v>
      </c>
    </row>
    <row r="208" spans="1:12" ht="91.8" hidden="1" x14ac:dyDescent="0.3">
      <c r="A208" s="407" t="s">
        <v>179</v>
      </c>
      <c r="B208" s="408" t="s">
        <v>889</v>
      </c>
      <c r="C208" s="408" t="s">
        <v>1006</v>
      </c>
      <c r="D208" s="408" t="s">
        <v>869</v>
      </c>
      <c r="E208" s="409" t="s">
        <v>30</v>
      </c>
      <c r="F208" s="410">
        <v>8639.1</v>
      </c>
      <c r="G208" s="410"/>
      <c r="H208" s="409" t="s">
        <v>31</v>
      </c>
      <c r="I208" s="411" t="s">
        <v>32</v>
      </c>
      <c r="J208" s="411"/>
      <c r="K208" s="412" t="s">
        <v>25</v>
      </c>
      <c r="L208" s="413">
        <v>3338807.08</v>
      </c>
    </row>
    <row r="209" spans="1:12" ht="91.8" hidden="1" x14ac:dyDescent="0.3">
      <c r="A209" s="407" t="s">
        <v>179</v>
      </c>
      <c r="B209" s="408" t="s">
        <v>889</v>
      </c>
      <c r="C209" s="408" t="s">
        <v>1007</v>
      </c>
      <c r="D209" s="408" t="s">
        <v>869</v>
      </c>
      <c r="E209" s="409" t="s">
        <v>30</v>
      </c>
      <c r="F209" s="410">
        <v>6839.2</v>
      </c>
      <c r="G209" s="410"/>
      <c r="H209" s="409" t="s">
        <v>31</v>
      </c>
      <c r="I209" s="411" t="s">
        <v>32</v>
      </c>
      <c r="J209" s="411"/>
      <c r="K209" s="412" t="s">
        <v>25</v>
      </c>
      <c r="L209" s="413">
        <v>3345646.28</v>
      </c>
    </row>
    <row r="210" spans="1:12" ht="91.8" hidden="1" x14ac:dyDescent="0.3">
      <c r="A210" s="407" t="s">
        <v>179</v>
      </c>
      <c r="B210" s="408" t="s">
        <v>889</v>
      </c>
      <c r="C210" s="408" t="s">
        <v>1008</v>
      </c>
      <c r="D210" s="408" t="s">
        <v>869</v>
      </c>
      <c r="E210" s="409" t="s">
        <v>30</v>
      </c>
      <c r="F210" s="410">
        <v>7167.4</v>
      </c>
      <c r="G210" s="410"/>
      <c r="H210" s="409" t="s">
        <v>31</v>
      </c>
      <c r="I210" s="411" t="s">
        <v>32</v>
      </c>
      <c r="J210" s="411"/>
      <c r="K210" s="412" t="s">
        <v>25</v>
      </c>
      <c r="L210" s="413">
        <v>3352813.68</v>
      </c>
    </row>
    <row r="211" spans="1:12" ht="91.8" hidden="1" x14ac:dyDescent="0.3">
      <c r="A211" s="407" t="s">
        <v>179</v>
      </c>
      <c r="B211" s="408" t="s">
        <v>889</v>
      </c>
      <c r="C211" s="408" t="s">
        <v>1009</v>
      </c>
      <c r="D211" s="408" t="s">
        <v>869</v>
      </c>
      <c r="E211" s="409" t="s">
        <v>30</v>
      </c>
      <c r="F211" s="410">
        <v>3049</v>
      </c>
      <c r="G211" s="410"/>
      <c r="H211" s="409" t="s">
        <v>31</v>
      </c>
      <c r="I211" s="411" t="s">
        <v>32</v>
      </c>
      <c r="J211" s="411"/>
      <c r="K211" s="412" t="s">
        <v>25</v>
      </c>
      <c r="L211" s="413">
        <v>3355862.68</v>
      </c>
    </row>
    <row r="212" spans="1:12" ht="91.8" hidden="1" x14ac:dyDescent="0.3">
      <c r="A212" s="407" t="s">
        <v>179</v>
      </c>
      <c r="B212" s="408" t="s">
        <v>889</v>
      </c>
      <c r="C212" s="408" t="s">
        <v>1010</v>
      </c>
      <c r="D212" s="408" t="s">
        <v>869</v>
      </c>
      <c r="E212" s="409" t="s">
        <v>30</v>
      </c>
      <c r="F212" s="410">
        <v>83315.199999999997</v>
      </c>
      <c r="G212" s="410"/>
      <c r="H212" s="409" t="s">
        <v>31</v>
      </c>
      <c r="I212" s="411" t="s">
        <v>32</v>
      </c>
      <c r="J212" s="411"/>
      <c r="K212" s="412" t="s">
        <v>25</v>
      </c>
      <c r="L212" s="413">
        <v>3439177.88</v>
      </c>
    </row>
    <row r="213" spans="1:12" ht="91.8" hidden="1" x14ac:dyDescent="0.3">
      <c r="A213" s="407" t="s">
        <v>179</v>
      </c>
      <c r="B213" s="408" t="s">
        <v>889</v>
      </c>
      <c r="C213" s="408" t="s">
        <v>1011</v>
      </c>
      <c r="D213" s="408" t="s">
        <v>869</v>
      </c>
      <c r="E213" s="409" t="s">
        <v>30</v>
      </c>
      <c r="F213" s="414">
        <v>546.4</v>
      </c>
      <c r="G213" s="414"/>
      <c r="H213" s="409" t="s">
        <v>31</v>
      </c>
      <c r="I213" s="411" t="s">
        <v>32</v>
      </c>
      <c r="J213" s="411"/>
      <c r="K213" s="412" t="s">
        <v>25</v>
      </c>
      <c r="L213" s="413">
        <v>3439724.28</v>
      </c>
    </row>
    <row r="214" spans="1:12" ht="71.400000000000006" hidden="1" x14ac:dyDescent="0.3">
      <c r="A214" s="407" t="s">
        <v>193</v>
      </c>
      <c r="B214" s="408" t="s">
        <v>1012</v>
      </c>
      <c r="C214" s="408" t="s">
        <v>1013</v>
      </c>
      <c r="D214" s="408" t="s">
        <v>1014</v>
      </c>
      <c r="E214" s="409" t="s">
        <v>30</v>
      </c>
      <c r="F214" s="410">
        <v>1090</v>
      </c>
      <c r="G214" s="410"/>
      <c r="H214" s="409" t="s">
        <v>31</v>
      </c>
      <c r="I214" s="411" t="s">
        <v>32</v>
      </c>
      <c r="J214" s="411"/>
      <c r="K214" s="412" t="s">
        <v>25</v>
      </c>
      <c r="L214" s="413">
        <v>3440814.28</v>
      </c>
    </row>
    <row r="215" spans="1:12" ht="71.400000000000006" hidden="1" x14ac:dyDescent="0.3">
      <c r="A215" s="407" t="s">
        <v>193</v>
      </c>
      <c r="B215" s="408" t="s">
        <v>1012</v>
      </c>
      <c r="C215" s="408" t="s">
        <v>1015</v>
      </c>
      <c r="D215" s="408" t="s">
        <v>1014</v>
      </c>
      <c r="E215" s="409" t="s">
        <v>30</v>
      </c>
      <c r="F215" s="414">
        <v>344.5</v>
      </c>
      <c r="G215" s="414"/>
      <c r="H215" s="409" t="s">
        <v>31</v>
      </c>
      <c r="I215" s="411" t="s">
        <v>32</v>
      </c>
      <c r="J215" s="411"/>
      <c r="K215" s="412" t="s">
        <v>25</v>
      </c>
      <c r="L215" s="413">
        <v>3441158.78</v>
      </c>
    </row>
    <row r="216" spans="1:12" ht="71.400000000000006" hidden="1" x14ac:dyDescent="0.3">
      <c r="A216" s="407" t="s">
        <v>193</v>
      </c>
      <c r="B216" s="408" t="s">
        <v>1012</v>
      </c>
      <c r="C216" s="408" t="s">
        <v>1016</v>
      </c>
      <c r="D216" s="408" t="s">
        <v>1014</v>
      </c>
      <c r="E216" s="409" t="s">
        <v>30</v>
      </c>
      <c r="F216" s="414">
        <v>51</v>
      </c>
      <c r="G216" s="414"/>
      <c r="H216" s="409" t="s">
        <v>31</v>
      </c>
      <c r="I216" s="411" t="s">
        <v>32</v>
      </c>
      <c r="J216" s="411"/>
      <c r="K216" s="412" t="s">
        <v>25</v>
      </c>
      <c r="L216" s="413">
        <v>3441209.78</v>
      </c>
    </row>
    <row r="217" spans="1:12" ht="71.400000000000006" hidden="1" x14ac:dyDescent="0.3">
      <c r="A217" s="407" t="s">
        <v>197</v>
      </c>
      <c r="B217" s="408" t="s">
        <v>1017</v>
      </c>
      <c r="C217" s="408" t="s">
        <v>1018</v>
      </c>
      <c r="D217" s="408" t="s">
        <v>1019</v>
      </c>
      <c r="E217" s="409" t="s">
        <v>30</v>
      </c>
      <c r="F217" s="410">
        <v>58560</v>
      </c>
      <c r="G217" s="410"/>
      <c r="H217" s="409" t="s">
        <v>31</v>
      </c>
      <c r="I217" s="411" t="s">
        <v>32</v>
      </c>
      <c r="J217" s="411"/>
      <c r="K217" s="412" t="s">
        <v>25</v>
      </c>
      <c r="L217" s="413">
        <v>3499769.78</v>
      </c>
    </row>
    <row r="218" spans="1:12" ht="71.400000000000006" hidden="1" x14ac:dyDescent="0.3">
      <c r="A218" s="407" t="s">
        <v>197</v>
      </c>
      <c r="B218" s="408" t="s">
        <v>1020</v>
      </c>
      <c r="C218" s="408" t="s">
        <v>1021</v>
      </c>
      <c r="D218" s="408" t="s">
        <v>1019</v>
      </c>
      <c r="E218" s="409" t="s">
        <v>30</v>
      </c>
      <c r="F218" s="410">
        <v>15079.2</v>
      </c>
      <c r="G218" s="410"/>
      <c r="H218" s="409" t="s">
        <v>31</v>
      </c>
      <c r="I218" s="411" t="s">
        <v>32</v>
      </c>
      <c r="J218" s="411"/>
      <c r="K218" s="412" t="s">
        <v>25</v>
      </c>
      <c r="L218" s="413">
        <v>3514848.98</v>
      </c>
    </row>
    <row r="219" spans="1:12" ht="71.400000000000006" hidden="1" x14ac:dyDescent="0.3">
      <c r="A219" s="407" t="s">
        <v>197</v>
      </c>
      <c r="B219" s="408" t="s">
        <v>1017</v>
      </c>
      <c r="C219" s="408" t="s">
        <v>1021</v>
      </c>
      <c r="D219" s="408" t="s">
        <v>1019</v>
      </c>
      <c r="E219" s="409" t="s">
        <v>30</v>
      </c>
      <c r="F219" s="410">
        <v>10540.8</v>
      </c>
      <c r="G219" s="410"/>
      <c r="H219" s="409" t="s">
        <v>31</v>
      </c>
      <c r="I219" s="411" t="s">
        <v>32</v>
      </c>
      <c r="J219" s="411"/>
      <c r="K219" s="412" t="s">
        <v>25</v>
      </c>
      <c r="L219" s="413">
        <v>3525389.78</v>
      </c>
    </row>
    <row r="220" spans="1:12" ht="81.599999999999994" x14ac:dyDescent="0.3">
      <c r="A220" s="407" t="s">
        <v>89</v>
      </c>
      <c r="B220" s="408" t="s">
        <v>1022</v>
      </c>
      <c r="C220" s="408" t="s">
        <v>53</v>
      </c>
      <c r="D220" s="408" t="s">
        <v>866</v>
      </c>
      <c r="E220" s="409" t="s">
        <v>54</v>
      </c>
      <c r="F220" s="415" t="s">
        <v>32</v>
      </c>
      <c r="G220" s="415"/>
      <c r="H220" s="409" t="s">
        <v>30</v>
      </c>
      <c r="I220" s="416">
        <v>978390</v>
      </c>
      <c r="J220" s="416"/>
      <c r="K220" s="412" t="s">
        <v>25</v>
      </c>
      <c r="L220" s="413">
        <v>2546999.7799999998</v>
      </c>
    </row>
    <row r="221" spans="1:12" ht="81.599999999999994" x14ac:dyDescent="0.3">
      <c r="A221" s="407" t="s">
        <v>89</v>
      </c>
      <c r="B221" s="408" t="s">
        <v>1022</v>
      </c>
      <c r="C221" s="408" t="s">
        <v>53</v>
      </c>
      <c r="D221" s="408" t="s">
        <v>862</v>
      </c>
      <c r="E221" s="409" t="s">
        <v>54</v>
      </c>
      <c r="F221" s="415" t="s">
        <v>32</v>
      </c>
      <c r="G221" s="415"/>
      <c r="H221" s="409" t="s">
        <v>30</v>
      </c>
      <c r="I221" s="416">
        <v>105761.25</v>
      </c>
      <c r="J221" s="416"/>
      <c r="K221" s="412" t="s">
        <v>25</v>
      </c>
      <c r="L221" s="413">
        <v>2441238.5299999998</v>
      </c>
    </row>
    <row r="222" spans="1:12" ht="81.599999999999994" x14ac:dyDescent="0.3">
      <c r="A222" s="407" t="s">
        <v>89</v>
      </c>
      <c r="B222" s="408" t="s">
        <v>1022</v>
      </c>
      <c r="C222" s="408" t="s">
        <v>53</v>
      </c>
      <c r="D222" s="408" t="s">
        <v>864</v>
      </c>
      <c r="E222" s="409" t="s">
        <v>54</v>
      </c>
      <c r="F222" s="415" t="s">
        <v>32</v>
      </c>
      <c r="G222" s="415"/>
      <c r="H222" s="409" t="s">
        <v>30</v>
      </c>
      <c r="I222" s="416">
        <v>206517.5</v>
      </c>
      <c r="J222" s="416"/>
      <c r="K222" s="412" t="s">
        <v>25</v>
      </c>
      <c r="L222" s="413">
        <v>2234721.0299999998</v>
      </c>
    </row>
    <row r="223" spans="1:12" ht="71.400000000000006" x14ac:dyDescent="0.3">
      <c r="A223" s="407" t="s">
        <v>89</v>
      </c>
      <c r="B223" s="408" t="s">
        <v>1023</v>
      </c>
      <c r="C223" s="408" t="s">
        <v>53</v>
      </c>
      <c r="D223" s="408" t="s">
        <v>1024</v>
      </c>
      <c r="E223" s="409" t="s">
        <v>54</v>
      </c>
      <c r="F223" s="415" t="s">
        <v>32</v>
      </c>
      <c r="G223" s="415"/>
      <c r="H223" s="409" t="s">
        <v>30</v>
      </c>
      <c r="I223" s="416">
        <v>1860.7</v>
      </c>
      <c r="J223" s="416"/>
      <c r="K223" s="412" t="s">
        <v>25</v>
      </c>
      <c r="L223" s="413">
        <v>2232860.33</v>
      </c>
    </row>
    <row r="224" spans="1:12" ht="71.400000000000006" hidden="1" x14ac:dyDescent="0.3">
      <c r="A224" s="407" t="s">
        <v>103</v>
      </c>
      <c r="B224" s="408" t="s">
        <v>473</v>
      </c>
      <c r="C224" s="408" t="s">
        <v>474</v>
      </c>
      <c r="D224" s="408" t="s">
        <v>475</v>
      </c>
      <c r="E224" s="409" t="s">
        <v>30</v>
      </c>
      <c r="F224" s="410">
        <v>18970</v>
      </c>
      <c r="G224" s="410"/>
      <c r="H224" s="409" t="s">
        <v>30</v>
      </c>
      <c r="I224" s="411" t="s">
        <v>32</v>
      </c>
      <c r="J224" s="411"/>
      <c r="K224" s="412" t="s">
        <v>25</v>
      </c>
      <c r="L224" s="413">
        <v>2251830.33</v>
      </c>
    </row>
    <row r="225" spans="1:12" ht="71.400000000000006" hidden="1" x14ac:dyDescent="0.3">
      <c r="A225" s="407" t="s">
        <v>103</v>
      </c>
      <c r="B225" s="408" t="s">
        <v>518</v>
      </c>
      <c r="C225" s="408" t="s">
        <v>519</v>
      </c>
      <c r="D225" s="408" t="s">
        <v>520</v>
      </c>
      <c r="E225" s="409" t="s">
        <v>30</v>
      </c>
      <c r="F225" s="410">
        <v>19656</v>
      </c>
      <c r="G225" s="410"/>
      <c r="H225" s="409" t="s">
        <v>30</v>
      </c>
      <c r="I225" s="411" t="s">
        <v>32</v>
      </c>
      <c r="J225" s="411"/>
      <c r="K225" s="412" t="s">
        <v>25</v>
      </c>
      <c r="L225" s="413">
        <v>2271486.33</v>
      </c>
    </row>
    <row r="226" spans="1:12" ht="71.400000000000006" hidden="1" x14ac:dyDescent="0.3">
      <c r="A226" s="407" t="s">
        <v>103</v>
      </c>
      <c r="B226" s="408" t="s">
        <v>518</v>
      </c>
      <c r="C226" s="408" t="s">
        <v>521</v>
      </c>
      <c r="D226" s="408" t="s">
        <v>522</v>
      </c>
      <c r="E226" s="409" t="s">
        <v>30</v>
      </c>
      <c r="F226" s="410">
        <v>19331.400000000001</v>
      </c>
      <c r="G226" s="410"/>
      <c r="H226" s="409" t="s">
        <v>30</v>
      </c>
      <c r="I226" s="411" t="s">
        <v>32</v>
      </c>
      <c r="J226" s="411"/>
      <c r="K226" s="412" t="s">
        <v>25</v>
      </c>
      <c r="L226" s="413">
        <v>2290817.73</v>
      </c>
    </row>
    <row r="227" spans="1:12" ht="71.400000000000006" x14ac:dyDescent="0.3">
      <c r="A227" s="407" t="s">
        <v>103</v>
      </c>
      <c r="B227" s="408" t="s">
        <v>1025</v>
      </c>
      <c r="C227" s="408" t="s">
        <v>53</v>
      </c>
      <c r="D227" s="408" t="s">
        <v>957</v>
      </c>
      <c r="E227" s="409" t="s">
        <v>54</v>
      </c>
      <c r="F227" s="415" t="s">
        <v>32</v>
      </c>
      <c r="G227" s="415"/>
      <c r="H227" s="409" t="s">
        <v>30</v>
      </c>
      <c r="I227" s="416">
        <v>11999.8</v>
      </c>
      <c r="J227" s="416"/>
      <c r="K227" s="412" t="s">
        <v>25</v>
      </c>
      <c r="L227" s="413">
        <v>2278817.9300000002</v>
      </c>
    </row>
    <row r="228" spans="1:12" ht="71.400000000000006" x14ac:dyDescent="0.3">
      <c r="A228" s="407" t="s">
        <v>103</v>
      </c>
      <c r="B228" s="408" t="s">
        <v>1025</v>
      </c>
      <c r="C228" s="408" t="s">
        <v>53</v>
      </c>
      <c r="D228" s="408" t="s">
        <v>968</v>
      </c>
      <c r="E228" s="409" t="s">
        <v>54</v>
      </c>
      <c r="F228" s="415" t="s">
        <v>32</v>
      </c>
      <c r="G228" s="415"/>
      <c r="H228" s="409" t="s">
        <v>30</v>
      </c>
      <c r="I228" s="416">
        <v>2164.4</v>
      </c>
      <c r="J228" s="416"/>
      <c r="K228" s="412" t="s">
        <v>25</v>
      </c>
      <c r="L228" s="413">
        <v>2276653.5299999998</v>
      </c>
    </row>
    <row r="229" spans="1:12" ht="71.400000000000006" x14ac:dyDescent="0.3">
      <c r="A229" s="407" t="s">
        <v>103</v>
      </c>
      <c r="B229" s="408" t="s">
        <v>1025</v>
      </c>
      <c r="C229" s="408" t="s">
        <v>53</v>
      </c>
      <c r="D229" s="408" t="s">
        <v>930</v>
      </c>
      <c r="E229" s="409" t="s">
        <v>54</v>
      </c>
      <c r="F229" s="415" t="s">
        <v>32</v>
      </c>
      <c r="G229" s="415"/>
      <c r="H229" s="409" t="s">
        <v>30</v>
      </c>
      <c r="I229" s="416">
        <v>5135.8</v>
      </c>
      <c r="J229" s="416"/>
      <c r="K229" s="412" t="s">
        <v>25</v>
      </c>
      <c r="L229" s="413">
        <v>2271517.73</v>
      </c>
    </row>
    <row r="230" spans="1:12" ht="71.400000000000006" x14ac:dyDescent="0.3">
      <c r="A230" s="407" t="s">
        <v>103</v>
      </c>
      <c r="B230" s="408" t="s">
        <v>1025</v>
      </c>
      <c r="C230" s="408" t="s">
        <v>53</v>
      </c>
      <c r="D230" s="408" t="s">
        <v>969</v>
      </c>
      <c r="E230" s="409" t="s">
        <v>54</v>
      </c>
      <c r="F230" s="415" t="s">
        <v>32</v>
      </c>
      <c r="G230" s="415"/>
      <c r="H230" s="409" t="s">
        <v>30</v>
      </c>
      <c r="I230" s="416">
        <v>17970.2</v>
      </c>
      <c r="J230" s="416"/>
      <c r="K230" s="412" t="s">
        <v>25</v>
      </c>
      <c r="L230" s="413">
        <v>2253547.5299999998</v>
      </c>
    </row>
    <row r="231" spans="1:12" ht="71.400000000000006" x14ac:dyDescent="0.3">
      <c r="A231" s="407" t="s">
        <v>103</v>
      </c>
      <c r="B231" s="408" t="s">
        <v>1025</v>
      </c>
      <c r="C231" s="408" t="s">
        <v>53</v>
      </c>
      <c r="D231" s="408" t="s">
        <v>970</v>
      </c>
      <c r="E231" s="409" t="s">
        <v>54</v>
      </c>
      <c r="F231" s="415" t="s">
        <v>32</v>
      </c>
      <c r="G231" s="415"/>
      <c r="H231" s="409" t="s">
        <v>30</v>
      </c>
      <c r="I231" s="416">
        <v>2993</v>
      </c>
      <c r="J231" s="416"/>
      <c r="K231" s="412" t="s">
        <v>25</v>
      </c>
      <c r="L231" s="413">
        <v>2250554.5299999998</v>
      </c>
    </row>
    <row r="232" spans="1:12" ht="71.400000000000006" x14ac:dyDescent="0.3">
      <c r="A232" s="407" t="s">
        <v>103</v>
      </c>
      <c r="B232" s="408" t="s">
        <v>1025</v>
      </c>
      <c r="C232" s="408" t="s">
        <v>53</v>
      </c>
      <c r="D232" s="408" t="s">
        <v>881</v>
      </c>
      <c r="E232" s="409" t="s">
        <v>54</v>
      </c>
      <c r="F232" s="415" t="s">
        <v>32</v>
      </c>
      <c r="G232" s="415"/>
      <c r="H232" s="409" t="s">
        <v>30</v>
      </c>
      <c r="I232" s="416">
        <v>13210.4</v>
      </c>
      <c r="J232" s="416"/>
      <c r="K232" s="412" t="s">
        <v>25</v>
      </c>
      <c r="L232" s="413">
        <v>2237344.13</v>
      </c>
    </row>
    <row r="233" spans="1:12" ht="71.400000000000006" x14ac:dyDescent="0.3">
      <c r="A233" s="407" t="s">
        <v>103</v>
      </c>
      <c r="B233" s="408" t="s">
        <v>1025</v>
      </c>
      <c r="C233" s="408" t="s">
        <v>53</v>
      </c>
      <c r="D233" s="408" t="s">
        <v>884</v>
      </c>
      <c r="E233" s="409" t="s">
        <v>54</v>
      </c>
      <c r="F233" s="415" t="s">
        <v>32</v>
      </c>
      <c r="G233" s="415"/>
      <c r="H233" s="409" t="s">
        <v>30</v>
      </c>
      <c r="I233" s="416">
        <v>3928.3</v>
      </c>
      <c r="J233" s="416"/>
      <c r="K233" s="412" t="s">
        <v>25</v>
      </c>
      <c r="L233" s="413">
        <v>2233415.83</v>
      </c>
    </row>
    <row r="234" spans="1:12" ht="71.400000000000006" x14ac:dyDescent="0.3">
      <c r="A234" s="407" t="s">
        <v>103</v>
      </c>
      <c r="B234" s="408" t="s">
        <v>1025</v>
      </c>
      <c r="C234" s="408" t="s">
        <v>53</v>
      </c>
      <c r="D234" s="408" t="s">
        <v>922</v>
      </c>
      <c r="E234" s="409" t="s">
        <v>54</v>
      </c>
      <c r="F234" s="415" t="s">
        <v>32</v>
      </c>
      <c r="G234" s="415"/>
      <c r="H234" s="409" t="s">
        <v>30</v>
      </c>
      <c r="I234" s="416">
        <v>4390.7</v>
      </c>
      <c r="J234" s="416"/>
      <c r="K234" s="412" t="s">
        <v>25</v>
      </c>
      <c r="L234" s="413">
        <v>2229025.13</v>
      </c>
    </row>
    <row r="235" spans="1:12" ht="71.400000000000006" x14ac:dyDescent="0.3">
      <c r="A235" s="407" t="s">
        <v>103</v>
      </c>
      <c r="B235" s="408" t="s">
        <v>1025</v>
      </c>
      <c r="C235" s="408" t="s">
        <v>53</v>
      </c>
      <c r="D235" s="408" t="s">
        <v>892</v>
      </c>
      <c r="E235" s="409" t="s">
        <v>54</v>
      </c>
      <c r="F235" s="415" t="s">
        <v>32</v>
      </c>
      <c r="G235" s="415"/>
      <c r="H235" s="409" t="s">
        <v>30</v>
      </c>
      <c r="I235" s="416">
        <v>8793.4</v>
      </c>
      <c r="J235" s="416"/>
      <c r="K235" s="412" t="s">
        <v>25</v>
      </c>
      <c r="L235" s="413">
        <v>2220231.73</v>
      </c>
    </row>
    <row r="236" spans="1:12" ht="71.400000000000006" x14ac:dyDescent="0.3">
      <c r="A236" s="407" t="s">
        <v>103</v>
      </c>
      <c r="B236" s="408" t="s">
        <v>1025</v>
      </c>
      <c r="C236" s="408" t="s">
        <v>53</v>
      </c>
      <c r="D236" s="408" t="s">
        <v>960</v>
      </c>
      <c r="E236" s="409" t="s">
        <v>54</v>
      </c>
      <c r="F236" s="415" t="s">
        <v>32</v>
      </c>
      <c r="G236" s="415"/>
      <c r="H236" s="409" t="s">
        <v>30</v>
      </c>
      <c r="I236" s="416">
        <v>9296.9</v>
      </c>
      <c r="J236" s="416"/>
      <c r="K236" s="412" t="s">
        <v>25</v>
      </c>
      <c r="L236" s="413">
        <v>2210934.83</v>
      </c>
    </row>
    <row r="237" spans="1:12" ht="71.400000000000006" x14ac:dyDescent="0.3">
      <c r="A237" s="407" t="s">
        <v>103</v>
      </c>
      <c r="B237" s="408" t="s">
        <v>1025</v>
      </c>
      <c r="C237" s="408" t="s">
        <v>53</v>
      </c>
      <c r="D237" s="408" t="s">
        <v>882</v>
      </c>
      <c r="E237" s="409" t="s">
        <v>54</v>
      </c>
      <c r="F237" s="415" t="s">
        <v>32</v>
      </c>
      <c r="G237" s="415"/>
      <c r="H237" s="409" t="s">
        <v>30</v>
      </c>
      <c r="I237" s="416">
        <v>6229.2</v>
      </c>
      <c r="J237" s="416"/>
      <c r="K237" s="412" t="s">
        <v>25</v>
      </c>
      <c r="L237" s="413">
        <v>2204705.63</v>
      </c>
    </row>
    <row r="238" spans="1:12" ht="71.400000000000006" x14ac:dyDescent="0.3">
      <c r="A238" s="407" t="s">
        <v>103</v>
      </c>
      <c r="B238" s="408" t="s">
        <v>1025</v>
      </c>
      <c r="C238" s="408" t="s">
        <v>53</v>
      </c>
      <c r="D238" s="408" t="s">
        <v>958</v>
      </c>
      <c r="E238" s="409" t="s">
        <v>54</v>
      </c>
      <c r="F238" s="415" t="s">
        <v>32</v>
      </c>
      <c r="G238" s="415"/>
      <c r="H238" s="409" t="s">
        <v>30</v>
      </c>
      <c r="I238" s="416">
        <v>1740.8</v>
      </c>
      <c r="J238" s="416"/>
      <c r="K238" s="412" t="s">
        <v>25</v>
      </c>
      <c r="L238" s="413">
        <v>2202964.83</v>
      </c>
    </row>
    <row r="239" spans="1:12" ht="71.400000000000006" x14ac:dyDescent="0.3">
      <c r="A239" s="407" t="s">
        <v>103</v>
      </c>
      <c r="B239" s="408" t="s">
        <v>1025</v>
      </c>
      <c r="C239" s="408" t="s">
        <v>53</v>
      </c>
      <c r="D239" s="408" t="s">
        <v>897</v>
      </c>
      <c r="E239" s="409" t="s">
        <v>54</v>
      </c>
      <c r="F239" s="415" t="s">
        <v>32</v>
      </c>
      <c r="G239" s="415"/>
      <c r="H239" s="409" t="s">
        <v>30</v>
      </c>
      <c r="I239" s="416">
        <v>6963.2</v>
      </c>
      <c r="J239" s="416"/>
      <c r="K239" s="412" t="s">
        <v>25</v>
      </c>
      <c r="L239" s="413">
        <v>2196001.63</v>
      </c>
    </row>
    <row r="240" spans="1:12" ht="71.400000000000006" x14ac:dyDescent="0.3">
      <c r="A240" s="407" t="s">
        <v>103</v>
      </c>
      <c r="B240" s="408" t="s">
        <v>1025</v>
      </c>
      <c r="C240" s="408" t="s">
        <v>53</v>
      </c>
      <c r="D240" s="408" t="s">
        <v>950</v>
      </c>
      <c r="E240" s="409" t="s">
        <v>54</v>
      </c>
      <c r="F240" s="415" t="s">
        <v>32</v>
      </c>
      <c r="G240" s="415"/>
      <c r="H240" s="409" t="s">
        <v>30</v>
      </c>
      <c r="I240" s="416">
        <v>1709.5</v>
      </c>
      <c r="J240" s="416"/>
      <c r="K240" s="412" t="s">
        <v>25</v>
      </c>
      <c r="L240" s="413">
        <v>2194292.13</v>
      </c>
    </row>
    <row r="241" spans="1:12" ht="71.400000000000006" x14ac:dyDescent="0.3">
      <c r="A241" s="407" t="s">
        <v>103</v>
      </c>
      <c r="B241" s="408" t="s">
        <v>1025</v>
      </c>
      <c r="C241" s="408" t="s">
        <v>53</v>
      </c>
      <c r="D241" s="408" t="s">
        <v>893</v>
      </c>
      <c r="E241" s="409" t="s">
        <v>54</v>
      </c>
      <c r="F241" s="415" t="s">
        <v>32</v>
      </c>
      <c r="G241" s="415"/>
      <c r="H241" s="409" t="s">
        <v>30</v>
      </c>
      <c r="I241" s="416">
        <v>9621.5</v>
      </c>
      <c r="J241" s="416"/>
      <c r="K241" s="412" t="s">
        <v>25</v>
      </c>
      <c r="L241" s="413">
        <v>2184670.63</v>
      </c>
    </row>
    <row r="242" spans="1:12" ht="71.400000000000006" x14ac:dyDescent="0.3">
      <c r="A242" s="407" t="s">
        <v>103</v>
      </c>
      <c r="B242" s="408" t="s">
        <v>1025</v>
      </c>
      <c r="C242" s="408" t="s">
        <v>53</v>
      </c>
      <c r="D242" s="408" t="s">
        <v>894</v>
      </c>
      <c r="E242" s="409" t="s">
        <v>54</v>
      </c>
      <c r="F242" s="415" t="s">
        <v>32</v>
      </c>
      <c r="G242" s="415"/>
      <c r="H242" s="409" t="s">
        <v>30</v>
      </c>
      <c r="I242" s="416">
        <v>1942.9</v>
      </c>
      <c r="J242" s="416"/>
      <c r="K242" s="412" t="s">
        <v>25</v>
      </c>
      <c r="L242" s="413">
        <v>2182727.73</v>
      </c>
    </row>
    <row r="243" spans="1:12" ht="71.400000000000006" x14ac:dyDescent="0.3">
      <c r="A243" s="407" t="s">
        <v>103</v>
      </c>
      <c r="B243" s="408" t="s">
        <v>1025</v>
      </c>
      <c r="C243" s="408" t="s">
        <v>53</v>
      </c>
      <c r="D243" s="408" t="s">
        <v>921</v>
      </c>
      <c r="E243" s="409" t="s">
        <v>54</v>
      </c>
      <c r="F243" s="415" t="s">
        <v>32</v>
      </c>
      <c r="G243" s="415"/>
      <c r="H243" s="409" t="s">
        <v>30</v>
      </c>
      <c r="I243" s="416">
        <v>5940.6</v>
      </c>
      <c r="J243" s="416"/>
      <c r="K243" s="412" t="s">
        <v>25</v>
      </c>
      <c r="L243" s="413">
        <v>2176787.13</v>
      </c>
    </row>
    <row r="244" spans="1:12" ht="71.400000000000006" x14ac:dyDescent="0.3">
      <c r="A244" s="407" t="s">
        <v>103</v>
      </c>
      <c r="B244" s="408" t="s">
        <v>1025</v>
      </c>
      <c r="C244" s="408" t="s">
        <v>53</v>
      </c>
      <c r="D244" s="408" t="s">
        <v>871</v>
      </c>
      <c r="E244" s="409" t="s">
        <v>54</v>
      </c>
      <c r="F244" s="415" t="s">
        <v>32</v>
      </c>
      <c r="G244" s="415"/>
      <c r="H244" s="409" t="s">
        <v>30</v>
      </c>
      <c r="I244" s="416">
        <v>4050.6</v>
      </c>
      <c r="J244" s="416"/>
      <c r="K244" s="412" t="s">
        <v>25</v>
      </c>
      <c r="L244" s="413">
        <v>2172736.5299999998</v>
      </c>
    </row>
    <row r="245" spans="1:12" ht="71.400000000000006" x14ac:dyDescent="0.3">
      <c r="A245" s="407" t="s">
        <v>103</v>
      </c>
      <c r="B245" s="408" t="s">
        <v>1025</v>
      </c>
      <c r="C245" s="408" t="s">
        <v>53</v>
      </c>
      <c r="D245" s="408" t="s">
        <v>988</v>
      </c>
      <c r="E245" s="409" t="s">
        <v>54</v>
      </c>
      <c r="F245" s="415" t="s">
        <v>32</v>
      </c>
      <c r="G245" s="415"/>
      <c r="H245" s="409" t="s">
        <v>30</v>
      </c>
      <c r="I245" s="416">
        <v>2053.3000000000002</v>
      </c>
      <c r="J245" s="416"/>
      <c r="K245" s="412" t="s">
        <v>25</v>
      </c>
      <c r="L245" s="413">
        <v>2170683.23</v>
      </c>
    </row>
    <row r="246" spans="1:12" ht="71.400000000000006" x14ac:dyDescent="0.3">
      <c r="A246" s="407" t="s">
        <v>103</v>
      </c>
      <c r="B246" s="408" t="s">
        <v>1025</v>
      </c>
      <c r="C246" s="408" t="s">
        <v>53</v>
      </c>
      <c r="D246" s="408" t="s">
        <v>989</v>
      </c>
      <c r="E246" s="409" t="s">
        <v>54</v>
      </c>
      <c r="F246" s="415" t="s">
        <v>32</v>
      </c>
      <c r="G246" s="415"/>
      <c r="H246" s="409" t="s">
        <v>30</v>
      </c>
      <c r="I246" s="416">
        <v>1626.7</v>
      </c>
      <c r="J246" s="416"/>
      <c r="K246" s="412" t="s">
        <v>25</v>
      </c>
      <c r="L246" s="413">
        <v>2169056.5299999998</v>
      </c>
    </row>
    <row r="247" spans="1:12" ht="71.400000000000006" x14ac:dyDescent="0.3">
      <c r="A247" s="407" t="s">
        <v>103</v>
      </c>
      <c r="B247" s="408" t="s">
        <v>1025</v>
      </c>
      <c r="C247" s="408" t="s">
        <v>53</v>
      </c>
      <c r="D247" s="408" t="s">
        <v>931</v>
      </c>
      <c r="E247" s="409" t="s">
        <v>54</v>
      </c>
      <c r="F247" s="415" t="s">
        <v>32</v>
      </c>
      <c r="G247" s="415"/>
      <c r="H247" s="409" t="s">
        <v>30</v>
      </c>
      <c r="I247" s="416">
        <v>39905.4</v>
      </c>
      <c r="J247" s="416"/>
      <c r="K247" s="412" t="s">
        <v>25</v>
      </c>
      <c r="L247" s="413">
        <v>2129151.13</v>
      </c>
    </row>
    <row r="248" spans="1:12" ht="71.400000000000006" x14ac:dyDescent="0.3">
      <c r="A248" s="407" t="s">
        <v>103</v>
      </c>
      <c r="B248" s="408" t="s">
        <v>1025</v>
      </c>
      <c r="C248" s="408" t="s">
        <v>53</v>
      </c>
      <c r="D248" s="408" t="s">
        <v>900</v>
      </c>
      <c r="E248" s="409" t="s">
        <v>54</v>
      </c>
      <c r="F248" s="415" t="s">
        <v>32</v>
      </c>
      <c r="G248" s="415"/>
      <c r="H248" s="409" t="s">
        <v>30</v>
      </c>
      <c r="I248" s="416">
        <v>2494.1</v>
      </c>
      <c r="J248" s="416"/>
      <c r="K248" s="412" t="s">
        <v>25</v>
      </c>
      <c r="L248" s="413">
        <v>2126657.0299999998</v>
      </c>
    </row>
    <row r="249" spans="1:12" ht="71.400000000000006" x14ac:dyDescent="0.3">
      <c r="A249" s="407" t="s">
        <v>103</v>
      </c>
      <c r="B249" s="408" t="s">
        <v>1025</v>
      </c>
      <c r="C249" s="408" t="s">
        <v>53</v>
      </c>
      <c r="D249" s="408" t="s">
        <v>899</v>
      </c>
      <c r="E249" s="409" t="s">
        <v>54</v>
      </c>
      <c r="F249" s="415" t="s">
        <v>32</v>
      </c>
      <c r="G249" s="415"/>
      <c r="H249" s="409" t="s">
        <v>30</v>
      </c>
      <c r="I249" s="416">
        <v>2494.1</v>
      </c>
      <c r="J249" s="416"/>
      <c r="K249" s="412" t="s">
        <v>25</v>
      </c>
      <c r="L249" s="413">
        <v>2124162.9300000002</v>
      </c>
    </row>
    <row r="250" spans="1:12" ht="71.400000000000006" x14ac:dyDescent="0.3">
      <c r="A250" s="407" t="s">
        <v>103</v>
      </c>
      <c r="B250" s="408" t="s">
        <v>1025</v>
      </c>
      <c r="C250" s="408" t="s">
        <v>53</v>
      </c>
      <c r="D250" s="408" t="s">
        <v>896</v>
      </c>
      <c r="E250" s="409" t="s">
        <v>54</v>
      </c>
      <c r="F250" s="415" t="s">
        <v>32</v>
      </c>
      <c r="G250" s="415"/>
      <c r="H250" s="409" t="s">
        <v>30</v>
      </c>
      <c r="I250" s="416">
        <v>4873.2</v>
      </c>
      <c r="J250" s="416"/>
      <c r="K250" s="412" t="s">
        <v>25</v>
      </c>
      <c r="L250" s="413">
        <v>2119289.73</v>
      </c>
    </row>
    <row r="251" spans="1:12" ht="71.400000000000006" x14ac:dyDescent="0.3">
      <c r="A251" s="407" t="s">
        <v>103</v>
      </c>
      <c r="B251" s="408" t="s">
        <v>1025</v>
      </c>
      <c r="C251" s="408" t="s">
        <v>53</v>
      </c>
      <c r="D251" s="408" t="s">
        <v>895</v>
      </c>
      <c r="E251" s="409" t="s">
        <v>54</v>
      </c>
      <c r="F251" s="415" t="s">
        <v>32</v>
      </c>
      <c r="G251" s="415"/>
      <c r="H251" s="409" t="s">
        <v>30</v>
      </c>
      <c r="I251" s="416">
        <v>2822.2</v>
      </c>
      <c r="J251" s="416"/>
      <c r="K251" s="412" t="s">
        <v>25</v>
      </c>
      <c r="L251" s="413">
        <v>2116467.5299999998</v>
      </c>
    </row>
    <row r="252" spans="1:12" ht="71.400000000000006" x14ac:dyDescent="0.3">
      <c r="A252" s="407" t="s">
        <v>103</v>
      </c>
      <c r="B252" s="408" t="s">
        <v>1025</v>
      </c>
      <c r="C252" s="408" t="s">
        <v>53</v>
      </c>
      <c r="D252" s="408" t="s">
        <v>993</v>
      </c>
      <c r="E252" s="409" t="s">
        <v>54</v>
      </c>
      <c r="F252" s="415" t="s">
        <v>32</v>
      </c>
      <c r="G252" s="415"/>
      <c r="H252" s="409" t="s">
        <v>30</v>
      </c>
      <c r="I252" s="416">
        <v>1469.3</v>
      </c>
      <c r="J252" s="416"/>
      <c r="K252" s="412" t="s">
        <v>25</v>
      </c>
      <c r="L252" s="413">
        <v>2114998.23</v>
      </c>
    </row>
    <row r="253" spans="1:12" ht="71.400000000000006" x14ac:dyDescent="0.3">
      <c r="A253" s="407" t="s">
        <v>103</v>
      </c>
      <c r="B253" s="408" t="s">
        <v>1025</v>
      </c>
      <c r="C253" s="408" t="s">
        <v>53</v>
      </c>
      <c r="D253" s="408" t="s">
        <v>898</v>
      </c>
      <c r="E253" s="409" t="s">
        <v>54</v>
      </c>
      <c r="F253" s="415" t="s">
        <v>32</v>
      </c>
      <c r="G253" s="415"/>
      <c r="H253" s="409" t="s">
        <v>30</v>
      </c>
      <c r="I253" s="416">
        <v>1798.2</v>
      </c>
      <c r="J253" s="416"/>
      <c r="K253" s="412" t="s">
        <v>25</v>
      </c>
      <c r="L253" s="413">
        <v>2113200.0299999998</v>
      </c>
    </row>
    <row r="254" spans="1:12" ht="71.400000000000006" x14ac:dyDescent="0.3">
      <c r="A254" s="407" t="s">
        <v>103</v>
      </c>
      <c r="B254" s="408" t="s">
        <v>1025</v>
      </c>
      <c r="C254" s="408" t="s">
        <v>53</v>
      </c>
      <c r="D254" s="408" t="s">
        <v>948</v>
      </c>
      <c r="E254" s="409" t="s">
        <v>54</v>
      </c>
      <c r="F254" s="415" t="s">
        <v>32</v>
      </c>
      <c r="G254" s="415"/>
      <c r="H254" s="409" t="s">
        <v>30</v>
      </c>
      <c r="I254" s="416">
        <v>4290</v>
      </c>
      <c r="J254" s="416"/>
      <c r="K254" s="412" t="s">
        <v>25</v>
      </c>
      <c r="L254" s="413">
        <v>2108910.0299999998</v>
      </c>
    </row>
    <row r="255" spans="1:12" ht="71.400000000000006" x14ac:dyDescent="0.3">
      <c r="A255" s="407" t="s">
        <v>103</v>
      </c>
      <c r="B255" s="408" t="s">
        <v>1025</v>
      </c>
      <c r="C255" s="408" t="s">
        <v>53</v>
      </c>
      <c r="D255" s="408" t="s">
        <v>870</v>
      </c>
      <c r="E255" s="409" t="s">
        <v>54</v>
      </c>
      <c r="F255" s="415" t="s">
        <v>32</v>
      </c>
      <c r="G255" s="415"/>
      <c r="H255" s="409" t="s">
        <v>30</v>
      </c>
      <c r="I255" s="416">
        <v>10934.1</v>
      </c>
      <c r="J255" s="416"/>
      <c r="K255" s="412" t="s">
        <v>25</v>
      </c>
      <c r="L255" s="413">
        <v>2097975.9300000002</v>
      </c>
    </row>
    <row r="256" spans="1:12" ht="71.400000000000006" x14ac:dyDescent="0.3">
      <c r="A256" s="407" t="s">
        <v>103</v>
      </c>
      <c r="B256" s="408" t="s">
        <v>1025</v>
      </c>
      <c r="C256" s="408" t="s">
        <v>53</v>
      </c>
      <c r="D256" s="408" t="s">
        <v>936</v>
      </c>
      <c r="E256" s="409" t="s">
        <v>54</v>
      </c>
      <c r="F256" s="415" t="s">
        <v>32</v>
      </c>
      <c r="G256" s="415"/>
      <c r="H256" s="409" t="s">
        <v>30</v>
      </c>
      <c r="I256" s="416">
        <v>2642.5</v>
      </c>
      <c r="J256" s="416"/>
      <c r="K256" s="412" t="s">
        <v>25</v>
      </c>
      <c r="L256" s="413">
        <v>2095333.43</v>
      </c>
    </row>
    <row r="257" spans="1:12" ht="71.400000000000006" x14ac:dyDescent="0.3">
      <c r="A257" s="407" t="s">
        <v>103</v>
      </c>
      <c r="B257" s="408" t="s">
        <v>1025</v>
      </c>
      <c r="C257" s="408" t="s">
        <v>53</v>
      </c>
      <c r="D257" s="408" t="s">
        <v>907</v>
      </c>
      <c r="E257" s="409" t="s">
        <v>54</v>
      </c>
      <c r="F257" s="415" t="s">
        <v>32</v>
      </c>
      <c r="G257" s="415"/>
      <c r="H257" s="409" t="s">
        <v>30</v>
      </c>
      <c r="I257" s="416">
        <v>2152.5</v>
      </c>
      <c r="J257" s="416"/>
      <c r="K257" s="412" t="s">
        <v>25</v>
      </c>
      <c r="L257" s="413">
        <v>2093180.93</v>
      </c>
    </row>
    <row r="258" spans="1:12" ht="71.400000000000006" x14ac:dyDescent="0.3">
      <c r="A258" s="407" t="s">
        <v>103</v>
      </c>
      <c r="B258" s="408" t="s">
        <v>1025</v>
      </c>
      <c r="C258" s="408" t="s">
        <v>53</v>
      </c>
      <c r="D258" s="408" t="s">
        <v>913</v>
      </c>
      <c r="E258" s="409" t="s">
        <v>54</v>
      </c>
      <c r="F258" s="415" t="s">
        <v>32</v>
      </c>
      <c r="G258" s="415"/>
      <c r="H258" s="409" t="s">
        <v>30</v>
      </c>
      <c r="I258" s="416">
        <v>2831.9</v>
      </c>
      <c r="J258" s="416"/>
      <c r="K258" s="412" t="s">
        <v>25</v>
      </c>
      <c r="L258" s="413">
        <v>2090349.03</v>
      </c>
    </row>
    <row r="259" spans="1:12" ht="71.400000000000006" x14ac:dyDescent="0.3">
      <c r="A259" s="407" t="s">
        <v>103</v>
      </c>
      <c r="B259" s="408" t="s">
        <v>1025</v>
      </c>
      <c r="C259" s="408" t="s">
        <v>53</v>
      </c>
      <c r="D259" s="408" t="s">
        <v>944</v>
      </c>
      <c r="E259" s="409" t="s">
        <v>54</v>
      </c>
      <c r="F259" s="415" t="s">
        <v>32</v>
      </c>
      <c r="G259" s="415"/>
      <c r="H259" s="409" t="s">
        <v>30</v>
      </c>
      <c r="I259" s="416">
        <v>18116.099999999999</v>
      </c>
      <c r="J259" s="416"/>
      <c r="K259" s="412" t="s">
        <v>25</v>
      </c>
      <c r="L259" s="413">
        <v>2072232.93</v>
      </c>
    </row>
    <row r="260" spans="1:12" ht="71.400000000000006" x14ac:dyDescent="0.3">
      <c r="A260" s="407" t="s">
        <v>103</v>
      </c>
      <c r="B260" s="408" t="s">
        <v>1025</v>
      </c>
      <c r="C260" s="408" t="s">
        <v>53</v>
      </c>
      <c r="D260" s="408" t="s">
        <v>932</v>
      </c>
      <c r="E260" s="409" t="s">
        <v>54</v>
      </c>
      <c r="F260" s="415" t="s">
        <v>32</v>
      </c>
      <c r="G260" s="415"/>
      <c r="H260" s="409" t="s">
        <v>30</v>
      </c>
      <c r="I260" s="416">
        <v>14302.2</v>
      </c>
      <c r="J260" s="416"/>
      <c r="K260" s="412" t="s">
        <v>25</v>
      </c>
      <c r="L260" s="413">
        <v>2057930.73</v>
      </c>
    </row>
    <row r="261" spans="1:12" ht="71.400000000000006" x14ac:dyDescent="0.3">
      <c r="A261" s="407" t="s">
        <v>103</v>
      </c>
      <c r="B261" s="408" t="s">
        <v>1025</v>
      </c>
      <c r="C261" s="408" t="s">
        <v>53</v>
      </c>
      <c r="D261" s="408" t="s">
        <v>929</v>
      </c>
      <c r="E261" s="409" t="s">
        <v>54</v>
      </c>
      <c r="F261" s="415" t="s">
        <v>32</v>
      </c>
      <c r="G261" s="415"/>
      <c r="H261" s="409" t="s">
        <v>30</v>
      </c>
      <c r="I261" s="416">
        <v>17327.8</v>
      </c>
      <c r="J261" s="416"/>
      <c r="K261" s="412" t="s">
        <v>25</v>
      </c>
      <c r="L261" s="413">
        <v>2040602.93</v>
      </c>
    </row>
    <row r="262" spans="1:12" ht="71.400000000000006" x14ac:dyDescent="0.3">
      <c r="A262" s="407" t="s">
        <v>103</v>
      </c>
      <c r="B262" s="408" t="s">
        <v>1025</v>
      </c>
      <c r="C262" s="408" t="s">
        <v>53</v>
      </c>
      <c r="D262" s="408" t="s">
        <v>914</v>
      </c>
      <c r="E262" s="409" t="s">
        <v>54</v>
      </c>
      <c r="F262" s="415" t="s">
        <v>32</v>
      </c>
      <c r="G262" s="415"/>
      <c r="H262" s="409" t="s">
        <v>30</v>
      </c>
      <c r="I262" s="416">
        <v>2499.3000000000002</v>
      </c>
      <c r="J262" s="416"/>
      <c r="K262" s="412" t="s">
        <v>25</v>
      </c>
      <c r="L262" s="413">
        <v>2038103.63</v>
      </c>
    </row>
    <row r="263" spans="1:12" ht="71.400000000000006" x14ac:dyDescent="0.3">
      <c r="A263" s="407" t="s">
        <v>103</v>
      </c>
      <c r="B263" s="408" t="s">
        <v>1025</v>
      </c>
      <c r="C263" s="408" t="s">
        <v>53</v>
      </c>
      <c r="D263" s="408" t="s">
        <v>887</v>
      </c>
      <c r="E263" s="409" t="s">
        <v>54</v>
      </c>
      <c r="F263" s="415" t="s">
        <v>32</v>
      </c>
      <c r="G263" s="415"/>
      <c r="H263" s="409" t="s">
        <v>30</v>
      </c>
      <c r="I263" s="416">
        <v>18617.2</v>
      </c>
      <c r="J263" s="416"/>
      <c r="K263" s="412" t="s">
        <v>25</v>
      </c>
      <c r="L263" s="413">
        <v>2019486.43</v>
      </c>
    </row>
    <row r="264" spans="1:12" ht="71.400000000000006" x14ac:dyDescent="0.3">
      <c r="A264" s="407" t="s">
        <v>103</v>
      </c>
      <c r="B264" s="408" t="s">
        <v>1025</v>
      </c>
      <c r="C264" s="408" t="s">
        <v>53</v>
      </c>
      <c r="D264" s="408" t="s">
        <v>947</v>
      </c>
      <c r="E264" s="409" t="s">
        <v>54</v>
      </c>
      <c r="F264" s="415" t="s">
        <v>32</v>
      </c>
      <c r="G264" s="415"/>
      <c r="H264" s="409" t="s">
        <v>30</v>
      </c>
      <c r="I264" s="416">
        <v>5502.8</v>
      </c>
      <c r="J264" s="416"/>
      <c r="K264" s="412" t="s">
        <v>25</v>
      </c>
      <c r="L264" s="413">
        <v>2013983.63</v>
      </c>
    </row>
    <row r="265" spans="1:12" ht="71.400000000000006" x14ac:dyDescent="0.3">
      <c r="A265" s="407" t="s">
        <v>103</v>
      </c>
      <c r="B265" s="408" t="s">
        <v>1025</v>
      </c>
      <c r="C265" s="408" t="s">
        <v>53</v>
      </c>
      <c r="D265" s="408" t="s">
        <v>942</v>
      </c>
      <c r="E265" s="409" t="s">
        <v>54</v>
      </c>
      <c r="F265" s="415" t="s">
        <v>32</v>
      </c>
      <c r="G265" s="415"/>
      <c r="H265" s="409" t="s">
        <v>30</v>
      </c>
      <c r="I265" s="416">
        <v>2843.1</v>
      </c>
      <c r="J265" s="416"/>
      <c r="K265" s="412" t="s">
        <v>25</v>
      </c>
      <c r="L265" s="413">
        <v>2011140.53</v>
      </c>
    </row>
    <row r="266" spans="1:12" ht="71.400000000000006" x14ac:dyDescent="0.3">
      <c r="A266" s="407" t="s">
        <v>103</v>
      </c>
      <c r="B266" s="408" t="s">
        <v>1025</v>
      </c>
      <c r="C266" s="408" t="s">
        <v>53</v>
      </c>
      <c r="D266" s="408" t="s">
        <v>933</v>
      </c>
      <c r="E266" s="409" t="s">
        <v>54</v>
      </c>
      <c r="F266" s="415" t="s">
        <v>32</v>
      </c>
      <c r="G266" s="415"/>
      <c r="H266" s="409" t="s">
        <v>30</v>
      </c>
      <c r="I266" s="416">
        <v>8585.4</v>
      </c>
      <c r="J266" s="416"/>
      <c r="K266" s="412" t="s">
        <v>25</v>
      </c>
      <c r="L266" s="413">
        <v>2002555.13</v>
      </c>
    </row>
    <row r="267" spans="1:12" ht="71.400000000000006" x14ac:dyDescent="0.3">
      <c r="A267" s="407" t="s">
        <v>103</v>
      </c>
      <c r="B267" s="408" t="s">
        <v>1025</v>
      </c>
      <c r="C267" s="408" t="s">
        <v>53</v>
      </c>
      <c r="D267" s="408" t="s">
        <v>1006</v>
      </c>
      <c r="E267" s="409" t="s">
        <v>54</v>
      </c>
      <c r="F267" s="415" t="s">
        <v>32</v>
      </c>
      <c r="G267" s="415"/>
      <c r="H267" s="409" t="s">
        <v>30</v>
      </c>
      <c r="I267" s="416">
        <v>11368.1</v>
      </c>
      <c r="J267" s="416"/>
      <c r="K267" s="412" t="s">
        <v>25</v>
      </c>
      <c r="L267" s="413">
        <v>1991187.03</v>
      </c>
    </row>
    <row r="268" spans="1:12" ht="71.400000000000006" x14ac:dyDescent="0.3">
      <c r="A268" s="407" t="s">
        <v>103</v>
      </c>
      <c r="B268" s="408" t="s">
        <v>1025</v>
      </c>
      <c r="C268" s="408" t="s">
        <v>53</v>
      </c>
      <c r="D268" s="408" t="s">
        <v>1009</v>
      </c>
      <c r="E268" s="409" t="s">
        <v>54</v>
      </c>
      <c r="F268" s="415" t="s">
        <v>32</v>
      </c>
      <c r="G268" s="415"/>
      <c r="H268" s="409" t="s">
        <v>30</v>
      </c>
      <c r="I268" s="416">
        <v>3049</v>
      </c>
      <c r="J268" s="416"/>
      <c r="K268" s="412" t="s">
        <v>25</v>
      </c>
      <c r="L268" s="413">
        <v>1988138.03</v>
      </c>
    </row>
    <row r="269" spans="1:12" ht="71.400000000000006" x14ac:dyDescent="0.3">
      <c r="A269" s="407" t="s">
        <v>103</v>
      </c>
      <c r="B269" s="408" t="s">
        <v>1025</v>
      </c>
      <c r="C269" s="408" t="s">
        <v>53</v>
      </c>
      <c r="D269" s="408" t="s">
        <v>910</v>
      </c>
      <c r="E269" s="409" t="s">
        <v>54</v>
      </c>
      <c r="F269" s="415" t="s">
        <v>32</v>
      </c>
      <c r="G269" s="415"/>
      <c r="H269" s="409" t="s">
        <v>30</v>
      </c>
      <c r="I269" s="416">
        <v>3333.9</v>
      </c>
      <c r="J269" s="416"/>
      <c r="K269" s="412" t="s">
        <v>25</v>
      </c>
      <c r="L269" s="413">
        <v>1984804.13</v>
      </c>
    </row>
    <row r="270" spans="1:12" ht="71.400000000000006" x14ac:dyDescent="0.3">
      <c r="A270" s="407" t="s">
        <v>103</v>
      </c>
      <c r="B270" s="408" t="s">
        <v>1025</v>
      </c>
      <c r="C270" s="408" t="s">
        <v>53</v>
      </c>
      <c r="D270" s="408" t="s">
        <v>909</v>
      </c>
      <c r="E270" s="409" t="s">
        <v>54</v>
      </c>
      <c r="F270" s="415" t="s">
        <v>32</v>
      </c>
      <c r="G270" s="415"/>
      <c r="H270" s="409" t="s">
        <v>30</v>
      </c>
      <c r="I270" s="416">
        <v>17272</v>
      </c>
      <c r="J270" s="416"/>
      <c r="K270" s="412" t="s">
        <v>25</v>
      </c>
      <c r="L270" s="413">
        <v>1967532.13</v>
      </c>
    </row>
    <row r="271" spans="1:12" ht="71.400000000000006" x14ac:dyDescent="0.3">
      <c r="A271" s="407" t="s">
        <v>103</v>
      </c>
      <c r="B271" s="408" t="s">
        <v>1025</v>
      </c>
      <c r="C271" s="408" t="s">
        <v>53</v>
      </c>
      <c r="D271" s="408" t="s">
        <v>963</v>
      </c>
      <c r="E271" s="409" t="s">
        <v>54</v>
      </c>
      <c r="F271" s="415" t="s">
        <v>32</v>
      </c>
      <c r="G271" s="415"/>
      <c r="H271" s="409" t="s">
        <v>30</v>
      </c>
      <c r="I271" s="416">
        <v>14578.8</v>
      </c>
      <c r="J271" s="416"/>
      <c r="K271" s="412" t="s">
        <v>25</v>
      </c>
      <c r="L271" s="413">
        <v>1952953.33</v>
      </c>
    </row>
    <row r="272" spans="1:12" ht="71.400000000000006" x14ac:dyDescent="0.3">
      <c r="A272" s="407" t="s">
        <v>103</v>
      </c>
      <c r="B272" s="408" t="s">
        <v>1025</v>
      </c>
      <c r="C272" s="408" t="s">
        <v>53</v>
      </c>
      <c r="D272" s="408" t="s">
        <v>973</v>
      </c>
      <c r="E272" s="409" t="s">
        <v>54</v>
      </c>
      <c r="F272" s="415" t="s">
        <v>32</v>
      </c>
      <c r="G272" s="415"/>
      <c r="H272" s="409" t="s">
        <v>30</v>
      </c>
      <c r="I272" s="416">
        <v>12109.2</v>
      </c>
      <c r="J272" s="416"/>
      <c r="K272" s="412" t="s">
        <v>25</v>
      </c>
      <c r="L272" s="413">
        <v>1940844.13</v>
      </c>
    </row>
    <row r="273" spans="1:12" ht="71.400000000000006" x14ac:dyDescent="0.3">
      <c r="A273" s="407" t="s">
        <v>103</v>
      </c>
      <c r="B273" s="408" t="s">
        <v>1025</v>
      </c>
      <c r="C273" s="408" t="s">
        <v>53</v>
      </c>
      <c r="D273" s="408" t="s">
        <v>976</v>
      </c>
      <c r="E273" s="409" t="s">
        <v>54</v>
      </c>
      <c r="F273" s="415" t="s">
        <v>32</v>
      </c>
      <c r="G273" s="415"/>
      <c r="H273" s="409" t="s">
        <v>30</v>
      </c>
      <c r="I273" s="416">
        <v>3101.9</v>
      </c>
      <c r="J273" s="416"/>
      <c r="K273" s="412" t="s">
        <v>25</v>
      </c>
      <c r="L273" s="413">
        <v>1937742.23</v>
      </c>
    </row>
    <row r="274" spans="1:12" ht="71.400000000000006" x14ac:dyDescent="0.3">
      <c r="A274" s="407" t="s">
        <v>103</v>
      </c>
      <c r="B274" s="408" t="s">
        <v>1025</v>
      </c>
      <c r="C274" s="408" t="s">
        <v>53</v>
      </c>
      <c r="D274" s="408" t="s">
        <v>975</v>
      </c>
      <c r="E274" s="409" t="s">
        <v>54</v>
      </c>
      <c r="F274" s="415" t="s">
        <v>32</v>
      </c>
      <c r="G274" s="415"/>
      <c r="H274" s="409" t="s">
        <v>30</v>
      </c>
      <c r="I274" s="416">
        <v>2908.8</v>
      </c>
      <c r="J274" s="416"/>
      <c r="K274" s="412" t="s">
        <v>25</v>
      </c>
      <c r="L274" s="413">
        <v>1934833.43</v>
      </c>
    </row>
    <row r="275" spans="1:12" ht="71.400000000000006" x14ac:dyDescent="0.3">
      <c r="A275" s="407" t="s">
        <v>103</v>
      </c>
      <c r="B275" s="408" t="s">
        <v>1025</v>
      </c>
      <c r="C275" s="408" t="s">
        <v>53</v>
      </c>
      <c r="D275" s="408" t="s">
        <v>974</v>
      </c>
      <c r="E275" s="409" t="s">
        <v>54</v>
      </c>
      <c r="F275" s="415" t="s">
        <v>32</v>
      </c>
      <c r="G275" s="415"/>
      <c r="H275" s="409" t="s">
        <v>30</v>
      </c>
      <c r="I275" s="416">
        <v>2433.6999999999998</v>
      </c>
      <c r="J275" s="416"/>
      <c r="K275" s="412" t="s">
        <v>25</v>
      </c>
      <c r="L275" s="413">
        <v>1932399.73</v>
      </c>
    </row>
    <row r="276" spans="1:12" ht="71.400000000000006" x14ac:dyDescent="0.3">
      <c r="A276" s="407" t="s">
        <v>103</v>
      </c>
      <c r="B276" s="408" t="s">
        <v>1025</v>
      </c>
      <c r="C276" s="408" t="s">
        <v>53</v>
      </c>
      <c r="D276" s="408" t="s">
        <v>911</v>
      </c>
      <c r="E276" s="409" t="s">
        <v>54</v>
      </c>
      <c r="F276" s="415" t="s">
        <v>32</v>
      </c>
      <c r="G276" s="415"/>
      <c r="H276" s="409" t="s">
        <v>30</v>
      </c>
      <c r="I276" s="416">
        <v>2145</v>
      </c>
      <c r="J276" s="416"/>
      <c r="K276" s="412" t="s">
        <v>25</v>
      </c>
      <c r="L276" s="413">
        <v>1930254.73</v>
      </c>
    </row>
    <row r="277" spans="1:12" ht="71.400000000000006" x14ac:dyDescent="0.3">
      <c r="A277" s="407" t="s">
        <v>103</v>
      </c>
      <c r="B277" s="408" t="s">
        <v>1025</v>
      </c>
      <c r="C277" s="408" t="s">
        <v>53</v>
      </c>
      <c r="D277" s="408" t="s">
        <v>1005</v>
      </c>
      <c r="E277" s="409" t="s">
        <v>54</v>
      </c>
      <c r="F277" s="415" t="s">
        <v>32</v>
      </c>
      <c r="G277" s="415"/>
      <c r="H277" s="409" t="s">
        <v>30</v>
      </c>
      <c r="I277" s="416">
        <v>3594.9</v>
      </c>
      <c r="J277" s="416"/>
      <c r="K277" s="412" t="s">
        <v>25</v>
      </c>
      <c r="L277" s="413">
        <v>1926659.83</v>
      </c>
    </row>
    <row r="278" spans="1:12" ht="71.400000000000006" x14ac:dyDescent="0.3">
      <c r="A278" s="407" t="s">
        <v>103</v>
      </c>
      <c r="B278" s="408" t="s">
        <v>1025</v>
      </c>
      <c r="C278" s="408" t="s">
        <v>53</v>
      </c>
      <c r="D278" s="408" t="s">
        <v>1002</v>
      </c>
      <c r="E278" s="409" t="s">
        <v>54</v>
      </c>
      <c r="F278" s="415" t="s">
        <v>32</v>
      </c>
      <c r="G278" s="415"/>
      <c r="H278" s="409" t="s">
        <v>30</v>
      </c>
      <c r="I278" s="416">
        <v>12401.6</v>
      </c>
      <c r="J278" s="416"/>
      <c r="K278" s="412" t="s">
        <v>25</v>
      </c>
      <c r="L278" s="413">
        <v>1914258.23</v>
      </c>
    </row>
    <row r="279" spans="1:12" ht="71.400000000000006" x14ac:dyDescent="0.3">
      <c r="A279" s="407" t="s">
        <v>103</v>
      </c>
      <c r="B279" s="408" t="s">
        <v>1025</v>
      </c>
      <c r="C279" s="408" t="s">
        <v>53</v>
      </c>
      <c r="D279" s="408" t="s">
        <v>888</v>
      </c>
      <c r="E279" s="409" t="s">
        <v>54</v>
      </c>
      <c r="F279" s="415" t="s">
        <v>32</v>
      </c>
      <c r="G279" s="415"/>
      <c r="H279" s="409" t="s">
        <v>30</v>
      </c>
      <c r="I279" s="416">
        <v>3728.4</v>
      </c>
      <c r="J279" s="416"/>
      <c r="K279" s="412" t="s">
        <v>25</v>
      </c>
      <c r="L279" s="413">
        <v>1910529.83</v>
      </c>
    </row>
    <row r="280" spans="1:12" ht="71.400000000000006" x14ac:dyDescent="0.3">
      <c r="A280" s="407" t="s">
        <v>103</v>
      </c>
      <c r="B280" s="408" t="s">
        <v>1025</v>
      </c>
      <c r="C280" s="408" t="s">
        <v>53</v>
      </c>
      <c r="D280" s="408" t="s">
        <v>906</v>
      </c>
      <c r="E280" s="409" t="s">
        <v>54</v>
      </c>
      <c r="F280" s="415" t="s">
        <v>32</v>
      </c>
      <c r="G280" s="415"/>
      <c r="H280" s="409" t="s">
        <v>30</v>
      </c>
      <c r="I280" s="416">
        <v>2621.6</v>
      </c>
      <c r="J280" s="416"/>
      <c r="K280" s="412" t="s">
        <v>25</v>
      </c>
      <c r="L280" s="413">
        <v>1907908.23</v>
      </c>
    </row>
    <row r="281" spans="1:12" ht="71.400000000000006" x14ac:dyDescent="0.3">
      <c r="A281" s="407" t="s">
        <v>103</v>
      </c>
      <c r="B281" s="408" t="s">
        <v>1025</v>
      </c>
      <c r="C281" s="408" t="s">
        <v>53</v>
      </c>
      <c r="D281" s="408" t="s">
        <v>903</v>
      </c>
      <c r="E281" s="409" t="s">
        <v>54</v>
      </c>
      <c r="F281" s="415" t="s">
        <v>32</v>
      </c>
      <c r="G281" s="415"/>
      <c r="H281" s="409" t="s">
        <v>30</v>
      </c>
      <c r="I281" s="416">
        <v>12843.2</v>
      </c>
      <c r="J281" s="416"/>
      <c r="K281" s="412" t="s">
        <v>25</v>
      </c>
      <c r="L281" s="413">
        <v>1895065.03</v>
      </c>
    </row>
    <row r="282" spans="1:12" ht="71.400000000000006" x14ac:dyDescent="0.3">
      <c r="A282" s="407" t="s">
        <v>103</v>
      </c>
      <c r="B282" s="408" t="s">
        <v>1025</v>
      </c>
      <c r="C282" s="408" t="s">
        <v>53</v>
      </c>
      <c r="D282" s="408" t="s">
        <v>904</v>
      </c>
      <c r="E282" s="409" t="s">
        <v>54</v>
      </c>
      <c r="F282" s="415" t="s">
        <v>32</v>
      </c>
      <c r="G282" s="415"/>
      <c r="H282" s="409" t="s">
        <v>30</v>
      </c>
      <c r="I282" s="416">
        <v>3742.6</v>
      </c>
      <c r="J282" s="416"/>
      <c r="K282" s="412" t="s">
        <v>25</v>
      </c>
      <c r="L282" s="413">
        <v>1891322.43</v>
      </c>
    </row>
    <row r="283" spans="1:12" ht="71.400000000000006" x14ac:dyDescent="0.3">
      <c r="A283" s="407" t="s">
        <v>103</v>
      </c>
      <c r="B283" s="408" t="s">
        <v>1025</v>
      </c>
      <c r="C283" s="408" t="s">
        <v>53</v>
      </c>
      <c r="D283" s="408" t="s">
        <v>902</v>
      </c>
      <c r="E283" s="409" t="s">
        <v>54</v>
      </c>
      <c r="F283" s="415" t="s">
        <v>32</v>
      </c>
      <c r="G283" s="415"/>
      <c r="H283" s="409" t="s">
        <v>30</v>
      </c>
      <c r="I283" s="416">
        <v>1854.9</v>
      </c>
      <c r="J283" s="416"/>
      <c r="K283" s="412" t="s">
        <v>25</v>
      </c>
      <c r="L283" s="413">
        <v>1889467.53</v>
      </c>
    </row>
    <row r="284" spans="1:12" ht="71.400000000000006" x14ac:dyDescent="0.3">
      <c r="A284" s="407" t="s">
        <v>103</v>
      </c>
      <c r="B284" s="408" t="s">
        <v>1025</v>
      </c>
      <c r="C284" s="408" t="s">
        <v>53</v>
      </c>
      <c r="D284" s="408" t="s">
        <v>946</v>
      </c>
      <c r="E284" s="409" t="s">
        <v>54</v>
      </c>
      <c r="F284" s="415" t="s">
        <v>32</v>
      </c>
      <c r="G284" s="415"/>
      <c r="H284" s="409" t="s">
        <v>30</v>
      </c>
      <c r="I284" s="416">
        <v>3302.6</v>
      </c>
      <c r="J284" s="416"/>
      <c r="K284" s="412" t="s">
        <v>25</v>
      </c>
      <c r="L284" s="413">
        <v>1886164.93</v>
      </c>
    </row>
    <row r="285" spans="1:12" ht="71.400000000000006" x14ac:dyDescent="0.3">
      <c r="A285" s="407" t="s">
        <v>103</v>
      </c>
      <c r="B285" s="408" t="s">
        <v>1025</v>
      </c>
      <c r="C285" s="408" t="s">
        <v>53</v>
      </c>
      <c r="D285" s="408" t="s">
        <v>935</v>
      </c>
      <c r="E285" s="409" t="s">
        <v>54</v>
      </c>
      <c r="F285" s="415" t="s">
        <v>32</v>
      </c>
      <c r="G285" s="415"/>
      <c r="H285" s="409" t="s">
        <v>30</v>
      </c>
      <c r="I285" s="416">
        <v>2748.4</v>
      </c>
      <c r="J285" s="416"/>
      <c r="K285" s="412" t="s">
        <v>25</v>
      </c>
      <c r="L285" s="413">
        <v>1883416.53</v>
      </c>
    </row>
    <row r="286" spans="1:12" ht="71.400000000000006" x14ac:dyDescent="0.3">
      <c r="A286" s="407" t="s">
        <v>103</v>
      </c>
      <c r="B286" s="408" t="s">
        <v>1025</v>
      </c>
      <c r="C286" s="408" t="s">
        <v>53</v>
      </c>
      <c r="D286" s="408" t="s">
        <v>986</v>
      </c>
      <c r="E286" s="409" t="s">
        <v>54</v>
      </c>
      <c r="F286" s="415" t="s">
        <v>32</v>
      </c>
      <c r="G286" s="415"/>
      <c r="H286" s="409" t="s">
        <v>30</v>
      </c>
      <c r="I286" s="416">
        <v>2012.3</v>
      </c>
      <c r="J286" s="416"/>
      <c r="K286" s="412" t="s">
        <v>25</v>
      </c>
      <c r="L286" s="413">
        <v>1881404.23</v>
      </c>
    </row>
    <row r="287" spans="1:12" ht="71.400000000000006" x14ac:dyDescent="0.3">
      <c r="A287" s="407" t="s">
        <v>103</v>
      </c>
      <c r="B287" s="408" t="s">
        <v>1025</v>
      </c>
      <c r="C287" s="408" t="s">
        <v>53</v>
      </c>
      <c r="D287" s="408" t="s">
        <v>987</v>
      </c>
      <c r="E287" s="409" t="s">
        <v>54</v>
      </c>
      <c r="F287" s="415" t="s">
        <v>32</v>
      </c>
      <c r="G287" s="415"/>
      <c r="H287" s="409" t="s">
        <v>30</v>
      </c>
      <c r="I287" s="416">
        <v>2033.1</v>
      </c>
      <c r="J287" s="416"/>
      <c r="K287" s="412" t="s">
        <v>25</v>
      </c>
      <c r="L287" s="413">
        <v>1879371.13</v>
      </c>
    </row>
    <row r="288" spans="1:12" ht="71.400000000000006" x14ac:dyDescent="0.3">
      <c r="A288" s="407" t="s">
        <v>103</v>
      </c>
      <c r="B288" s="408" t="s">
        <v>1025</v>
      </c>
      <c r="C288" s="408" t="s">
        <v>53</v>
      </c>
      <c r="D288" s="408" t="s">
        <v>925</v>
      </c>
      <c r="E288" s="409" t="s">
        <v>54</v>
      </c>
      <c r="F288" s="415" t="s">
        <v>32</v>
      </c>
      <c r="G288" s="415"/>
      <c r="H288" s="409" t="s">
        <v>30</v>
      </c>
      <c r="I288" s="416">
        <v>17287.599999999999</v>
      </c>
      <c r="J288" s="416"/>
      <c r="K288" s="412" t="s">
        <v>25</v>
      </c>
      <c r="L288" s="413">
        <v>1862083.53</v>
      </c>
    </row>
    <row r="289" spans="1:12" ht="71.400000000000006" x14ac:dyDescent="0.3">
      <c r="A289" s="407" t="s">
        <v>103</v>
      </c>
      <c r="B289" s="408" t="s">
        <v>1025</v>
      </c>
      <c r="C289" s="408" t="s">
        <v>53</v>
      </c>
      <c r="D289" s="408" t="s">
        <v>915</v>
      </c>
      <c r="E289" s="409" t="s">
        <v>54</v>
      </c>
      <c r="F289" s="415" t="s">
        <v>32</v>
      </c>
      <c r="G289" s="415"/>
      <c r="H289" s="409" t="s">
        <v>30</v>
      </c>
      <c r="I289" s="416">
        <v>2961.7</v>
      </c>
      <c r="J289" s="416"/>
      <c r="K289" s="412" t="s">
        <v>25</v>
      </c>
      <c r="L289" s="413">
        <v>1859121.83</v>
      </c>
    </row>
    <row r="290" spans="1:12" ht="71.400000000000006" x14ac:dyDescent="0.3">
      <c r="A290" s="407" t="s">
        <v>103</v>
      </c>
      <c r="B290" s="408" t="s">
        <v>1025</v>
      </c>
      <c r="C290" s="408" t="s">
        <v>53</v>
      </c>
      <c r="D290" s="408" t="s">
        <v>1003</v>
      </c>
      <c r="E290" s="409" t="s">
        <v>54</v>
      </c>
      <c r="F290" s="415" t="s">
        <v>32</v>
      </c>
      <c r="G290" s="415"/>
      <c r="H290" s="409" t="s">
        <v>30</v>
      </c>
      <c r="I290" s="416">
        <v>7082.4</v>
      </c>
      <c r="J290" s="416"/>
      <c r="K290" s="412" t="s">
        <v>25</v>
      </c>
      <c r="L290" s="413">
        <v>1852039.43</v>
      </c>
    </row>
    <row r="291" spans="1:12" ht="71.400000000000006" x14ac:dyDescent="0.3">
      <c r="A291" s="407" t="s">
        <v>103</v>
      </c>
      <c r="B291" s="408" t="s">
        <v>1025</v>
      </c>
      <c r="C291" s="408" t="s">
        <v>53</v>
      </c>
      <c r="D291" s="408" t="s">
        <v>1004</v>
      </c>
      <c r="E291" s="409" t="s">
        <v>54</v>
      </c>
      <c r="F291" s="415" t="s">
        <v>32</v>
      </c>
      <c r="G291" s="415"/>
      <c r="H291" s="409" t="s">
        <v>30</v>
      </c>
      <c r="I291" s="416">
        <v>5423.8</v>
      </c>
      <c r="J291" s="416"/>
      <c r="K291" s="412" t="s">
        <v>25</v>
      </c>
      <c r="L291" s="413">
        <v>1846615.63</v>
      </c>
    </row>
    <row r="292" spans="1:12" ht="71.400000000000006" x14ac:dyDescent="0.3">
      <c r="A292" s="407" t="s">
        <v>103</v>
      </c>
      <c r="B292" s="408" t="s">
        <v>1025</v>
      </c>
      <c r="C292" s="408" t="s">
        <v>53</v>
      </c>
      <c r="D292" s="408" t="s">
        <v>875</v>
      </c>
      <c r="E292" s="409" t="s">
        <v>54</v>
      </c>
      <c r="F292" s="415" t="s">
        <v>32</v>
      </c>
      <c r="G292" s="415"/>
      <c r="H292" s="409" t="s">
        <v>30</v>
      </c>
      <c r="I292" s="416">
        <v>71378.5</v>
      </c>
      <c r="J292" s="416"/>
      <c r="K292" s="412" t="s">
        <v>25</v>
      </c>
      <c r="L292" s="413">
        <v>1775237.13</v>
      </c>
    </row>
    <row r="293" spans="1:12" ht="71.400000000000006" x14ac:dyDescent="0.3">
      <c r="A293" s="407" t="s">
        <v>103</v>
      </c>
      <c r="B293" s="408" t="s">
        <v>1025</v>
      </c>
      <c r="C293" s="408" t="s">
        <v>53</v>
      </c>
      <c r="D293" s="408" t="s">
        <v>878</v>
      </c>
      <c r="E293" s="409" t="s">
        <v>54</v>
      </c>
      <c r="F293" s="415" t="s">
        <v>32</v>
      </c>
      <c r="G293" s="415"/>
      <c r="H293" s="409" t="s">
        <v>30</v>
      </c>
      <c r="I293" s="416">
        <v>16898.5</v>
      </c>
      <c r="J293" s="416"/>
      <c r="K293" s="412" t="s">
        <v>25</v>
      </c>
      <c r="L293" s="413">
        <v>1758338.63</v>
      </c>
    </row>
    <row r="294" spans="1:12" ht="71.400000000000006" x14ac:dyDescent="0.3">
      <c r="A294" s="407" t="s">
        <v>103</v>
      </c>
      <c r="B294" s="408" t="s">
        <v>1025</v>
      </c>
      <c r="C294" s="408" t="s">
        <v>53</v>
      </c>
      <c r="D294" s="408" t="s">
        <v>877</v>
      </c>
      <c r="E294" s="409" t="s">
        <v>54</v>
      </c>
      <c r="F294" s="415" t="s">
        <v>32</v>
      </c>
      <c r="G294" s="415"/>
      <c r="H294" s="409" t="s">
        <v>30</v>
      </c>
      <c r="I294" s="416">
        <v>3034.1</v>
      </c>
      <c r="J294" s="416"/>
      <c r="K294" s="412" t="s">
        <v>25</v>
      </c>
      <c r="L294" s="413">
        <v>1755304.53</v>
      </c>
    </row>
    <row r="295" spans="1:12" ht="71.400000000000006" x14ac:dyDescent="0.3">
      <c r="A295" s="407" t="s">
        <v>103</v>
      </c>
      <c r="B295" s="408" t="s">
        <v>1025</v>
      </c>
      <c r="C295" s="408" t="s">
        <v>53</v>
      </c>
      <c r="D295" s="408" t="s">
        <v>873</v>
      </c>
      <c r="E295" s="409" t="s">
        <v>54</v>
      </c>
      <c r="F295" s="415" t="s">
        <v>32</v>
      </c>
      <c r="G295" s="415"/>
      <c r="H295" s="409" t="s">
        <v>30</v>
      </c>
      <c r="I295" s="416">
        <v>153938.29999999999</v>
      </c>
      <c r="J295" s="416"/>
      <c r="K295" s="412" t="s">
        <v>25</v>
      </c>
      <c r="L295" s="413">
        <v>1601366.23</v>
      </c>
    </row>
    <row r="296" spans="1:12" ht="71.400000000000006" x14ac:dyDescent="0.3">
      <c r="A296" s="407" t="s">
        <v>103</v>
      </c>
      <c r="B296" s="408" t="s">
        <v>1025</v>
      </c>
      <c r="C296" s="408" t="s">
        <v>53</v>
      </c>
      <c r="D296" s="408" t="s">
        <v>981</v>
      </c>
      <c r="E296" s="409" t="s">
        <v>54</v>
      </c>
      <c r="F296" s="415" t="s">
        <v>32</v>
      </c>
      <c r="G296" s="415"/>
      <c r="H296" s="409" t="s">
        <v>30</v>
      </c>
      <c r="I296" s="416">
        <v>3836.6</v>
      </c>
      <c r="J296" s="416"/>
      <c r="K296" s="412" t="s">
        <v>25</v>
      </c>
      <c r="L296" s="413">
        <v>1597529.63</v>
      </c>
    </row>
    <row r="297" spans="1:12" ht="71.400000000000006" x14ac:dyDescent="0.3">
      <c r="A297" s="407" t="s">
        <v>103</v>
      </c>
      <c r="B297" s="408" t="s">
        <v>1025</v>
      </c>
      <c r="C297" s="408" t="s">
        <v>53</v>
      </c>
      <c r="D297" s="408" t="s">
        <v>879</v>
      </c>
      <c r="E297" s="409" t="s">
        <v>54</v>
      </c>
      <c r="F297" s="415" t="s">
        <v>32</v>
      </c>
      <c r="G297" s="415"/>
      <c r="H297" s="409" t="s">
        <v>30</v>
      </c>
      <c r="I297" s="416">
        <v>46981.2</v>
      </c>
      <c r="J297" s="416"/>
      <c r="K297" s="412" t="s">
        <v>25</v>
      </c>
      <c r="L297" s="413">
        <v>1550548.43</v>
      </c>
    </row>
    <row r="298" spans="1:12" ht="71.400000000000006" x14ac:dyDescent="0.3">
      <c r="A298" s="407" t="s">
        <v>103</v>
      </c>
      <c r="B298" s="408" t="s">
        <v>1025</v>
      </c>
      <c r="C298" s="408" t="s">
        <v>53</v>
      </c>
      <c r="D298" s="408" t="s">
        <v>880</v>
      </c>
      <c r="E298" s="409" t="s">
        <v>54</v>
      </c>
      <c r="F298" s="415" t="s">
        <v>32</v>
      </c>
      <c r="G298" s="415"/>
      <c r="H298" s="409" t="s">
        <v>30</v>
      </c>
      <c r="I298" s="416">
        <v>4553.3</v>
      </c>
      <c r="J298" s="416"/>
      <c r="K298" s="412" t="s">
        <v>25</v>
      </c>
      <c r="L298" s="413">
        <v>1545995.13</v>
      </c>
    </row>
    <row r="299" spans="1:12" ht="71.400000000000006" x14ac:dyDescent="0.3">
      <c r="A299" s="407" t="s">
        <v>103</v>
      </c>
      <c r="B299" s="408" t="s">
        <v>1025</v>
      </c>
      <c r="C299" s="408" t="s">
        <v>53</v>
      </c>
      <c r="D299" s="408" t="s">
        <v>982</v>
      </c>
      <c r="E299" s="409" t="s">
        <v>54</v>
      </c>
      <c r="F299" s="415" t="s">
        <v>32</v>
      </c>
      <c r="G299" s="415"/>
      <c r="H299" s="409" t="s">
        <v>30</v>
      </c>
      <c r="I299" s="416">
        <v>3982.8</v>
      </c>
      <c r="J299" s="416"/>
      <c r="K299" s="412" t="s">
        <v>25</v>
      </c>
      <c r="L299" s="413">
        <v>1542012.33</v>
      </c>
    </row>
    <row r="300" spans="1:12" ht="71.400000000000006" x14ac:dyDescent="0.3">
      <c r="A300" s="407" t="s">
        <v>103</v>
      </c>
      <c r="B300" s="408" t="s">
        <v>1025</v>
      </c>
      <c r="C300" s="408" t="s">
        <v>53</v>
      </c>
      <c r="D300" s="408" t="s">
        <v>983</v>
      </c>
      <c r="E300" s="409" t="s">
        <v>54</v>
      </c>
      <c r="F300" s="415" t="s">
        <v>32</v>
      </c>
      <c r="G300" s="415"/>
      <c r="H300" s="409" t="s">
        <v>30</v>
      </c>
      <c r="I300" s="416">
        <v>3151.1</v>
      </c>
      <c r="J300" s="416"/>
      <c r="K300" s="412" t="s">
        <v>25</v>
      </c>
      <c r="L300" s="413">
        <v>1538861.23</v>
      </c>
    </row>
    <row r="301" spans="1:12" ht="71.400000000000006" x14ac:dyDescent="0.3">
      <c r="A301" s="407" t="s">
        <v>103</v>
      </c>
      <c r="B301" s="408" t="s">
        <v>1025</v>
      </c>
      <c r="C301" s="408" t="s">
        <v>53</v>
      </c>
      <c r="D301" s="408" t="s">
        <v>945</v>
      </c>
      <c r="E301" s="409" t="s">
        <v>54</v>
      </c>
      <c r="F301" s="415" t="s">
        <v>32</v>
      </c>
      <c r="G301" s="415"/>
      <c r="H301" s="409" t="s">
        <v>30</v>
      </c>
      <c r="I301" s="416">
        <v>19720</v>
      </c>
      <c r="J301" s="416"/>
      <c r="K301" s="412" t="s">
        <v>25</v>
      </c>
      <c r="L301" s="413">
        <v>1519141.23</v>
      </c>
    </row>
    <row r="302" spans="1:12" ht="71.400000000000006" x14ac:dyDescent="0.3">
      <c r="A302" s="407" t="s">
        <v>103</v>
      </c>
      <c r="B302" s="408" t="s">
        <v>1025</v>
      </c>
      <c r="C302" s="408" t="s">
        <v>53</v>
      </c>
      <c r="D302" s="408" t="s">
        <v>868</v>
      </c>
      <c r="E302" s="409" t="s">
        <v>54</v>
      </c>
      <c r="F302" s="415" t="s">
        <v>32</v>
      </c>
      <c r="G302" s="415"/>
      <c r="H302" s="409" t="s">
        <v>30</v>
      </c>
      <c r="I302" s="416">
        <v>77155.3</v>
      </c>
      <c r="J302" s="416"/>
      <c r="K302" s="412" t="s">
        <v>25</v>
      </c>
      <c r="L302" s="413">
        <v>1441985.93</v>
      </c>
    </row>
    <row r="303" spans="1:12" ht="71.400000000000006" x14ac:dyDescent="0.3">
      <c r="A303" s="407" t="s">
        <v>103</v>
      </c>
      <c r="B303" s="408" t="s">
        <v>1025</v>
      </c>
      <c r="C303" s="408" t="s">
        <v>53</v>
      </c>
      <c r="D303" s="408" t="s">
        <v>872</v>
      </c>
      <c r="E303" s="409" t="s">
        <v>54</v>
      </c>
      <c r="F303" s="415" t="s">
        <v>32</v>
      </c>
      <c r="G303" s="415"/>
      <c r="H303" s="409" t="s">
        <v>30</v>
      </c>
      <c r="I303" s="416">
        <v>4766.6000000000004</v>
      </c>
      <c r="J303" s="416"/>
      <c r="K303" s="412" t="s">
        <v>25</v>
      </c>
      <c r="L303" s="413">
        <v>1437219.33</v>
      </c>
    </row>
    <row r="304" spans="1:12" ht="71.400000000000006" x14ac:dyDescent="0.3">
      <c r="A304" s="407" t="s">
        <v>103</v>
      </c>
      <c r="B304" s="408" t="s">
        <v>1025</v>
      </c>
      <c r="C304" s="408" t="s">
        <v>53</v>
      </c>
      <c r="D304" s="408" t="s">
        <v>984</v>
      </c>
      <c r="E304" s="409" t="s">
        <v>54</v>
      </c>
      <c r="F304" s="415" t="s">
        <v>32</v>
      </c>
      <c r="G304" s="415"/>
      <c r="H304" s="409" t="s">
        <v>30</v>
      </c>
      <c r="I304" s="416">
        <v>2690.2</v>
      </c>
      <c r="J304" s="416"/>
      <c r="K304" s="412" t="s">
        <v>25</v>
      </c>
      <c r="L304" s="413">
        <v>1434529.13</v>
      </c>
    </row>
    <row r="305" spans="1:12" ht="71.400000000000006" x14ac:dyDescent="0.3">
      <c r="A305" s="407" t="s">
        <v>103</v>
      </c>
      <c r="B305" s="408" t="s">
        <v>1025</v>
      </c>
      <c r="C305" s="408" t="s">
        <v>53</v>
      </c>
      <c r="D305" s="408" t="s">
        <v>985</v>
      </c>
      <c r="E305" s="409" t="s">
        <v>54</v>
      </c>
      <c r="F305" s="415" t="s">
        <v>32</v>
      </c>
      <c r="G305" s="415"/>
      <c r="H305" s="409" t="s">
        <v>30</v>
      </c>
      <c r="I305" s="416">
        <v>2710.4</v>
      </c>
      <c r="J305" s="416"/>
      <c r="K305" s="412" t="s">
        <v>25</v>
      </c>
      <c r="L305" s="413">
        <v>1431818.73</v>
      </c>
    </row>
    <row r="306" spans="1:12" ht="71.400000000000006" x14ac:dyDescent="0.3">
      <c r="A306" s="407" t="s">
        <v>103</v>
      </c>
      <c r="B306" s="408" t="s">
        <v>1025</v>
      </c>
      <c r="C306" s="408" t="s">
        <v>53</v>
      </c>
      <c r="D306" s="408" t="s">
        <v>919</v>
      </c>
      <c r="E306" s="409" t="s">
        <v>54</v>
      </c>
      <c r="F306" s="415" t="s">
        <v>32</v>
      </c>
      <c r="G306" s="415"/>
      <c r="H306" s="409" t="s">
        <v>30</v>
      </c>
      <c r="I306" s="416">
        <v>4601.8</v>
      </c>
      <c r="J306" s="416"/>
      <c r="K306" s="412" t="s">
        <v>25</v>
      </c>
      <c r="L306" s="413">
        <v>1427216.93</v>
      </c>
    </row>
    <row r="307" spans="1:12" ht="71.400000000000006" x14ac:dyDescent="0.3">
      <c r="A307" s="407" t="s">
        <v>103</v>
      </c>
      <c r="B307" s="408" t="s">
        <v>1025</v>
      </c>
      <c r="C307" s="408" t="s">
        <v>53</v>
      </c>
      <c r="D307" s="408" t="s">
        <v>918</v>
      </c>
      <c r="E307" s="409" t="s">
        <v>54</v>
      </c>
      <c r="F307" s="415" t="s">
        <v>32</v>
      </c>
      <c r="G307" s="415"/>
      <c r="H307" s="409" t="s">
        <v>30</v>
      </c>
      <c r="I307" s="416">
        <v>21014</v>
      </c>
      <c r="J307" s="416"/>
      <c r="K307" s="412" t="s">
        <v>25</v>
      </c>
      <c r="L307" s="413">
        <v>1406202.93</v>
      </c>
    </row>
    <row r="308" spans="1:12" ht="71.400000000000006" x14ac:dyDescent="0.3">
      <c r="A308" s="407" t="s">
        <v>103</v>
      </c>
      <c r="B308" s="408" t="s">
        <v>1025</v>
      </c>
      <c r="C308" s="408" t="s">
        <v>53</v>
      </c>
      <c r="D308" s="408" t="s">
        <v>917</v>
      </c>
      <c r="E308" s="409" t="s">
        <v>54</v>
      </c>
      <c r="F308" s="415" t="s">
        <v>32</v>
      </c>
      <c r="G308" s="415"/>
      <c r="H308" s="409" t="s">
        <v>30</v>
      </c>
      <c r="I308" s="416">
        <v>4049.9</v>
      </c>
      <c r="J308" s="416"/>
      <c r="K308" s="412" t="s">
        <v>25</v>
      </c>
      <c r="L308" s="413">
        <v>1402153.03</v>
      </c>
    </row>
    <row r="309" spans="1:12" ht="71.400000000000006" x14ac:dyDescent="0.3">
      <c r="A309" s="407" t="s">
        <v>103</v>
      </c>
      <c r="B309" s="408" t="s">
        <v>1025</v>
      </c>
      <c r="C309" s="408" t="s">
        <v>53</v>
      </c>
      <c r="D309" s="408" t="s">
        <v>1001</v>
      </c>
      <c r="E309" s="409" t="s">
        <v>54</v>
      </c>
      <c r="F309" s="415" t="s">
        <v>32</v>
      </c>
      <c r="G309" s="415"/>
      <c r="H309" s="409" t="s">
        <v>30</v>
      </c>
      <c r="I309" s="416">
        <v>7121.2</v>
      </c>
      <c r="J309" s="416"/>
      <c r="K309" s="412" t="s">
        <v>25</v>
      </c>
      <c r="L309" s="413">
        <v>1395031.83</v>
      </c>
    </row>
    <row r="310" spans="1:12" ht="71.400000000000006" x14ac:dyDescent="0.3">
      <c r="A310" s="407" t="s">
        <v>103</v>
      </c>
      <c r="B310" s="408" t="s">
        <v>1025</v>
      </c>
      <c r="C310" s="408" t="s">
        <v>53</v>
      </c>
      <c r="D310" s="408" t="s">
        <v>940</v>
      </c>
      <c r="E310" s="409" t="s">
        <v>54</v>
      </c>
      <c r="F310" s="415" t="s">
        <v>32</v>
      </c>
      <c r="G310" s="415"/>
      <c r="H310" s="409" t="s">
        <v>30</v>
      </c>
      <c r="I310" s="416">
        <v>4340.8</v>
      </c>
      <c r="J310" s="416"/>
      <c r="K310" s="412" t="s">
        <v>25</v>
      </c>
      <c r="L310" s="413">
        <v>1390691.03</v>
      </c>
    </row>
    <row r="311" spans="1:12" ht="71.400000000000006" x14ac:dyDescent="0.3">
      <c r="A311" s="407" t="s">
        <v>103</v>
      </c>
      <c r="B311" s="408" t="s">
        <v>1025</v>
      </c>
      <c r="C311" s="408" t="s">
        <v>53</v>
      </c>
      <c r="D311" s="408" t="s">
        <v>937</v>
      </c>
      <c r="E311" s="409" t="s">
        <v>54</v>
      </c>
      <c r="F311" s="415" t="s">
        <v>32</v>
      </c>
      <c r="G311" s="415"/>
      <c r="H311" s="409" t="s">
        <v>30</v>
      </c>
      <c r="I311" s="416">
        <v>5490.8</v>
      </c>
      <c r="J311" s="416"/>
      <c r="K311" s="412" t="s">
        <v>25</v>
      </c>
      <c r="L311" s="413">
        <v>1385200.23</v>
      </c>
    </row>
    <row r="312" spans="1:12" ht="71.400000000000006" x14ac:dyDescent="0.3">
      <c r="A312" s="407" t="s">
        <v>103</v>
      </c>
      <c r="B312" s="408" t="s">
        <v>1025</v>
      </c>
      <c r="C312" s="408" t="s">
        <v>53</v>
      </c>
      <c r="D312" s="408" t="s">
        <v>912</v>
      </c>
      <c r="E312" s="409" t="s">
        <v>54</v>
      </c>
      <c r="F312" s="415" t="s">
        <v>32</v>
      </c>
      <c r="G312" s="415"/>
      <c r="H312" s="409" t="s">
        <v>30</v>
      </c>
      <c r="I312" s="416">
        <v>2682.8</v>
      </c>
      <c r="J312" s="416"/>
      <c r="K312" s="412" t="s">
        <v>25</v>
      </c>
      <c r="L312" s="413">
        <v>1382517.43</v>
      </c>
    </row>
    <row r="313" spans="1:12" ht="71.400000000000006" x14ac:dyDescent="0.3">
      <c r="A313" s="407" t="s">
        <v>103</v>
      </c>
      <c r="B313" s="408" t="s">
        <v>1025</v>
      </c>
      <c r="C313" s="408" t="s">
        <v>53</v>
      </c>
      <c r="D313" s="408" t="s">
        <v>992</v>
      </c>
      <c r="E313" s="409" t="s">
        <v>54</v>
      </c>
      <c r="F313" s="415" t="s">
        <v>32</v>
      </c>
      <c r="G313" s="415"/>
      <c r="H313" s="409" t="s">
        <v>30</v>
      </c>
      <c r="I313" s="416">
        <v>5475.9</v>
      </c>
      <c r="J313" s="416"/>
      <c r="K313" s="412" t="s">
        <v>25</v>
      </c>
      <c r="L313" s="413">
        <v>1377041.53</v>
      </c>
    </row>
    <row r="314" spans="1:12" ht="71.400000000000006" x14ac:dyDescent="0.3">
      <c r="A314" s="407" t="s">
        <v>103</v>
      </c>
      <c r="B314" s="408" t="s">
        <v>1025</v>
      </c>
      <c r="C314" s="408" t="s">
        <v>53</v>
      </c>
      <c r="D314" s="408" t="s">
        <v>990</v>
      </c>
      <c r="E314" s="409" t="s">
        <v>54</v>
      </c>
      <c r="F314" s="415" t="s">
        <v>32</v>
      </c>
      <c r="G314" s="415"/>
      <c r="H314" s="409" t="s">
        <v>30</v>
      </c>
      <c r="I314" s="416">
        <v>9433.4</v>
      </c>
      <c r="J314" s="416"/>
      <c r="K314" s="412" t="s">
        <v>25</v>
      </c>
      <c r="L314" s="413">
        <v>1367608.13</v>
      </c>
    </row>
    <row r="315" spans="1:12" ht="71.400000000000006" x14ac:dyDescent="0.3">
      <c r="A315" s="407" t="s">
        <v>103</v>
      </c>
      <c r="B315" s="408" t="s">
        <v>1025</v>
      </c>
      <c r="C315" s="408" t="s">
        <v>53</v>
      </c>
      <c r="D315" s="408" t="s">
        <v>991</v>
      </c>
      <c r="E315" s="409" t="s">
        <v>54</v>
      </c>
      <c r="F315" s="415" t="s">
        <v>32</v>
      </c>
      <c r="G315" s="415"/>
      <c r="H315" s="409" t="s">
        <v>30</v>
      </c>
      <c r="I315" s="416">
        <v>19086.599999999999</v>
      </c>
      <c r="J315" s="416"/>
      <c r="K315" s="412" t="s">
        <v>25</v>
      </c>
      <c r="L315" s="413">
        <v>1348521.53</v>
      </c>
    </row>
    <row r="316" spans="1:12" ht="71.400000000000006" x14ac:dyDescent="0.3">
      <c r="A316" s="407" t="s">
        <v>103</v>
      </c>
      <c r="B316" s="408" t="s">
        <v>1025</v>
      </c>
      <c r="C316" s="408" t="s">
        <v>53</v>
      </c>
      <c r="D316" s="408" t="s">
        <v>961</v>
      </c>
      <c r="E316" s="409" t="s">
        <v>54</v>
      </c>
      <c r="F316" s="415" t="s">
        <v>32</v>
      </c>
      <c r="G316" s="415"/>
      <c r="H316" s="409" t="s">
        <v>30</v>
      </c>
      <c r="I316" s="416">
        <v>24045.5</v>
      </c>
      <c r="J316" s="416"/>
      <c r="K316" s="412" t="s">
        <v>25</v>
      </c>
      <c r="L316" s="413">
        <v>1324476.03</v>
      </c>
    </row>
    <row r="317" spans="1:12" ht="71.400000000000006" x14ac:dyDescent="0.3">
      <c r="A317" s="407" t="s">
        <v>103</v>
      </c>
      <c r="B317" s="408" t="s">
        <v>1025</v>
      </c>
      <c r="C317" s="408" t="s">
        <v>53</v>
      </c>
      <c r="D317" s="408" t="s">
        <v>962</v>
      </c>
      <c r="E317" s="409" t="s">
        <v>54</v>
      </c>
      <c r="F317" s="415" t="s">
        <v>32</v>
      </c>
      <c r="G317" s="415"/>
      <c r="H317" s="409" t="s">
        <v>30</v>
      </c>
      <c r="I317" s="416">
        <v>6470.9</v>
      </c>
      <c r="J317" s="416"/>
      <c r="K317" s="412" t="s">
        <v>25</v>
      </c>
      <c r="L317" s="413">
        <v>1318005.1299999999</v>
      </c>
    </row>
    <row r="318" spans="1:12" ht="71.400000000000006" x14ac:dyDescent="0.3">
      <c r="A318" s="407" t="s">
        <v>103</v>
      </c>
      <c r="B318" s="408" t="s">
        <v>1025</v>
      </c>
      <c r="C318" s="408" t="s">
        <v>53</v>
      </c>
      <c r="D318" s="408" t="s">
        <v>941</v>
      </c>
      <c r="E318" s="409" t="s">
        <v>54</v>
      </c>
      <c r="F318" s="415" t="s">
        <v>32</v>
      </c>
      <c r="G318" s="415"/>
      <c r="H318" s="409" t="s">
        <v>30</v>
      </c>
      <c r="I318" s="416">
        <v>19446.2</v>
      </c>
      <c r="J318" s="416"/>
      <c r="K318" s="412" t="s">
        <v>25</v>
      </c>
      <c r="L318" s="413">
        <v>1298558.93</v>
      </c>
    </row>
    <row r="319" spans="1:12" ht="71.400000000000006" x14ac:dyDescent="0.3">
      <c r="A319" s="407" t="s">
        <v>103</v>
      </c>
      <c r="B319" s="408" t="s">
        <v>1025</v>
      </c>
      <c r="C319" s="408" t="s">
        <v>53</v>
      </c>
      <c r="D319" s="408" t="s">
        <v>928</v>
      </c>
      <c r="E319" s="409" t="s">
        <v>54</v>
      </c>
      <c r="F319" s="415" t="s">
        <v>32</v>
      </c>
      <c r="G319" s="415"/>
      <c r="H319" s="409" t="s">
        <v>30</v>
      </c>
      <c r="I319" s="416">
        <v>44604.9</v>
      </c>
      <c r="J319" s="416"/>
      <c r="K319" s="412" t="s">
        <v>25</v>
      </c>
      <c r="L319" s="413">
        <v>1253954.03</v>
      </c>
    </row>
    <row r="320" spans="1:12" ht="71.400000000000006" x14ac:dyDescent="0.3">
      <c r="A320" s="407" t="s">
        <v>103</v>
      </c>
      <c r="B320" s="408" t="s">
        <v>1025</v>
      </c>
      <c r="C320" s="408" t="s">
        <v>53</v>
      </c>
      <c r="D320" s="408" t="s">
        <v>934</v>
      </c>
      <c r="E320" s="409" t="s">
        <v>54</v>
      </c>
      <c r="F320" s="415" t="s">
        <v>32</v>
      </c>
      <c r="G320" s="415"/>
      <c r="H320" s="409" t="s">
        <v>30</v>
      </c>
      <c r="I320" s="416">
        <v>4029</v>
      </c>
      <c r="J320" s="416"/>
      <c r="K320" s="412" t="s">
        <v>25</v>
      </c>
      <c r="L320" s="413">
        <v>1249925.03</v>
      </c>
    </row>
    <row r="321" spans="1:12" ht="71.400000000000006" x14ac:dyDescent="0.3">
      <c r="A321" s="407" t="s">
        <v>103</v>
      </c>
      <c r="B321" s="408" t="s">
        <v>1025</v>
      </c>
      <c r="C321" s="408" t="s">
        <v>53</v>
      </c>
      <c r="D321" s="408" t="s">
        <v>1007</v>
      </c>
      <c r="E321" s="409" t="s">
        <v>54</v>
      </c>
      <c r="F321" s="415" t="s">
        <v>32</v>
      </c>
      <c r="G321" s="415"/>
      <c r="H321" s="409" t="s">
        <v>30</v>
      </c>
      <c r="I321" s="416">
        <v>6839.2</v>
      </c>
      <c r="J321" s="416"/>
      <c r="K321" s="412" t="s">
        <v>25</v>
      </c>
      <c r="L321" s="413">
        <v>1243085.83</v>
      </c>
    </row>
    <row r="322" spans="1:12" ht="71.400000000000006" x14ac:dyDescent="0.3">
      <c r="A322" s="407" t="s">
        <v>103</v>
      </c>
      <c r="B322" s="408" t="s">
        <v>1025</v>
      </c>
      <c r="C322" s="408" t="s">
        <v>53</v>
      </c>
      <c r="D322" s="408" t="s">
        <v>1008</v>
      </c>
      <c r="E322" s="409" t="s">
        <v>54</v>
      </c>
      <c r="F322" s="415" t="s">
        <v>32</v>
      </c>
      <c r="G322" s="415"/>
      <c r="H322" s="409" t="s">
        <v>30</v>
      </c>
      <c r="I322" s="416">
        <v>7167.4</v>
      </c>
      <c r="J322" s="416"/>
      <c r="K322" s="412" t="s">
        <v>25</v>
      </c>
      <c r="L322" s="413">
        <v>1235918.43</v>
      </c>
    </row>
    <row r="323" spans="1:12" ht="71.400000000000006" x14ac:dyDescent="0.3">
      <c r="A323" s="407" t="s">
        <v>103</v>
      </c>
      <c r="B323" s="408" t="s">
        <v>1025</v>
      </c>
      <c r="C323" s="408" t="s">
        <v>53</v>
      </c>
      <c r="D323" s="408" t="s">
        <v>905</v>
      </c>
      <c r="E323" s="409" t="s">
        <v>54</v>
      </c>
      <c r="F323" s="415" t="s">
        <v>32</v>
      </c>
      <c r="G323" s="415"/>
      <c r="H323" s="409" t="s">
        <v>30</v>
      </c>
      <c r="I323" s="416">
        <v>8803.7999999999993</v>
      </c>
      <c r="J323" s="416"/>
      <c r="K323" s="412" t="s">
        <v>25</v>
      </c>
      <c r="L323" s="413">
        <v>1227114.6299999999</v>
      </c>
    </row>
    <row r="324" spans="1:12" ht="71.400000000000006" x14ac:dyDescent="0.3">
      <c r="A324" s="407" t="s">
        <v>103</v>
      </c>
      <c r="B324" s="408" t="s">
        <v>1025</v>
      </c>
      <c r="C324" s="408" t="s">
        <v>53</v>
      </c>
      <c r="D324" s="408" t="s">
        <v>916</v>
      </c>
      <c r="E324" s="409" t="s">
        <v>54</v>
      </c>
      <c r="F324" s="415" t="s">
        <v>32</v>
      </c>
      <c r="G324" s="415"/>
      <c r="H324" s="409" t="s">
        <v>30</v>
      </c>
      <c r="I324" s="416">
        <v>4707.7</v>
      </c>
      <c r="J324" s="416"/>
      <c r="K324" s="412" t="s">
        <v>25</v>
      </c>
      <c r="L324" s="413">
        <v>1222406.93</v>
      </c>
    </row>
    <row r="325" spans="1:12" ht="71.400000000000006" x14ac:dyDescent="0.3">
      <c r="A325" s="407" t="s">
        <v>103</v>
      </c>
      <c r="B325" s="408" t="s">
        <v>1025</v>
      </c>
      <c r="C325" s="408" t="s">
        <v>53</v>
      </c>
      <c r="D325" s="408" t="s">
        <v>954</v>
      </c>
      <c r="E325" s="409" t="s">
        <v>54</v>
      </c>
      <c r="F325" s="415" t="s">
        <v>32</v>
      </c>
      <c r="G325" s="415"/>
      <c r="H325" s="409" t="s">
        <v>30</v>
      </c>
      <c r="I325" s="416">
        <v>1975</v>
      </c>
      <c r="J325" s="416"/>
      <c r="K325" s="412" t="s">
        <v>25</v>
      </c>
      <c r="L325" s="413">
        <v>1220431.93</v>
      </c>
    </row>
    <row r="326" spans="1:12" ht="71.400000000000006" x14ac:dyDescent="0.3">
      <c r="A326" s="407" t="s">
        <v>103</v>
      </c>
      <c r="B326" s="408" t="s">
        <v>1025</v>
      </c>
      <c r="C326" s="408" t="s">
        <v>53</v>
      </c>
      <c r="D326" s="408" t="s">
        <v>951</v>
      </c>
      <c r="E326" s="409" t="s">
        <v>54</v>
      </c>
      <c r="F326" s="415" t="s">
        <v>32</v>
      </c>
      <c r="G326" s="415"/>
      <c r="H326" s="409" t="s">
        <v>30</v>
      </c>
      <c r="I326" s="416">
        <v>1300</v>
      </c>
      <c r="J326" s="416"/>
      <c r="K326" s="412" t="s">
        <v>25</v>
      </c>
      <c r="L326" s="413">
        <v>1219131.93</v>
      </c>
    </row>
    <row r="327" spans="1:12" ht="71.400000000000006" x14ac:dyDescent="0.3">
      <c r="A327" s="407" t="s">
        <v>103</v>
      </c>
      <c r="B327" s="408" t="s">
        <v>1025</v>
      </c>
      <c r="C327" s="408" t="s">
        <v>53</v>
      </c>
      <c r="D327" s="408" t="s">
        <v>952</v>
      </c>
      <c r="E327" s="409" t="s">
        <v>54</v>
      </c>
      <c r="F327" s="415" t="s">
        <v>32</v>
      </c>
      <c r="G327" s="415"/>
      <c r="H327" s="409" t="s">
        <v>30</v>
      </c>
      <c r="I327" s="416">
        <v>1519.3</v>
      </c>
      <c r="J327" s="416"/>
      <c r="K327" s="412" t="s">
        <v>25</v>
      </c>
      <c r="L327" s="413">
        <v>1217612.6299999999</v>
      </c>
    </row>
    <row r="328" spans="1:12" ht="71.400000000000006" x14ac:dyDescent="0.3">
      <c r="A328" s="407" t="s">
        <v>103</v>
      </c>
      <c r="B328" s="408" t="s">
        <v>1025</v>
      </c>
      <c r="C328" s="408" t="s">
        <v>53</v>
      </c>
      <c r="D328" s="408" t="s">
        <v>955</v>
      </c>
      <c r="E328" s="409" t="s">
        <v>54</v>
      </c>
      <c r="F328" s="415" t="s">
        <v>32</v>
      </c>
      <c r="G328" s="415"/>
      <c r="H328" s="409" t="s">
        <v>30</v>
      </c>
      <c r="I328" s="416">
        <v>2820.8</v>
      </c>
      <c r="J328" s="416"/>
      <c r="K328" s="412" t="s">
        <v>25</v>
      </c>
      <c r="L328" s="413">
        <v>1214791.83</v>
      </c>
    </row>
    <row r="329" spans="1:12" ht="71.400000000000006" x14ac:dyDescent="0.3">
      <c r="A329" s="407" t="s">
        <v>103</v>
      </c>
      <c r="B329" s="408" t="s">
        <v>1025</v>
      </c>
      <c r="C329" s="408" t="s">
        <v>53</v>
      </c>
      <c r="D329" s="408" t="s">
        <v>956</v>
      </c>
      <c r="E329" s="409" t="s">
        <v>54</v>
      </c>
      <c r="F329" s="415" t="s">
        <v>32</v>
      </c>
      <c r="G329" s="415"/>
      <c r="H329" s="409" t="s">
        <v>30</v>
      </c>
      <c r="I329" s="416">
        <v>2931.2</v>
      </c>
      <c r="J329" s="416"/>
      <c r="K329" s="412" t="s">
        <v>25</v>
      </c>
      <c r="L329" s="413">
        <v>1211860.6299999999</v>
      </c>
    </row>
    <row r="330" spans="1:12" ht="71.400000000000006" x14ac:dyDescent="0.3">
      <c r="A330" s="407" t="s">
        <v>103</v>
      </c>
      <c r="B330" s="408" t="s">
        <v>1025</v>
      </c>
      <c r="C330" s="408" t="s">
        <v>53</v>
      </c>
      <c r="D330" s="408" t="s">
        <v>939</v>
      </c>
      <c r="E330" s="409" t="s">
        <v>54</v>
      </c>
      <c r="F330" s="415" t="s">
        <v>32</v>
      </c>
      <c r="G330" s="415"/>
      <c r="H330" s="409" t="s">
        <v>30</v>
      </c>
      <c r="I330" s="416">
        <v>6229.2</v>
      </c>
      <c r="J330" s="416"/>
      <c r="K330" s="412" t="s">
        <v>25</v>
      </c>
      <c r="L330" s="413">
        <v>1205631.43</v>
      </c>
    </row>
    <row r="331" spans="1:12" ht="71.400000000000006" x14ac:dyDescent="0.3">
      <c r="A331" s="407" t="s">
        <v>103</v>
      </c>
      <c r="B331" s="408" t="s">
        <v>1025</v>
      </c>
      <c r="C331" s="408" t="s">
        <v>53</v>
      </c>
      <c r="D331" s="408" t="s">
        <v>938</v>
      </c>
      <c r="E331" s="409" t="s">
        <v>54</v>
      </c>
      <c r="F331" s="415" t="s">
        <v>32</v>
      </c>
      <c r="G331" s="415"/>
      <c r="H331" s="409" t="s">
        <v>30</v>
      </c>
      <c r="I331" s="416">
        <v>1852.7</v>
      </c>
      <c r="J331" s="416"/>
      <c r="K331" s="412" t="s">
        <v>25</v>
      </c>
      <c r="L331" s="413">
        <v>1203778.73</v>
      </c>
    </row>
    <row r="332" spans="1:12" ht="71.400000000000006" x14ac:dyDescent="0.3">
      <c r="A332" s="407" t="s">
        <v>103</v>
      </c>
      <c r="B332" s="408" t="s">
        <v>1025</v>
      </c>
      <c r="C332" s="408" t="s">
        <v>53</v>
      </c>
      <c r="D332" s="408" t="s">
        <v>943</v>
      </c>
      <c r="E332" s="409" t="s">
        <v>54</v>
      </c>
      <c r="F332" s="415" t="s">
        <v>32</v>
      </c>
      <c r="G332" s="415"/>
      <c r="H332" s="409" t="s">
        <v>30</v>
      </c>
      <c r="I332" s="416">
        <v>7721.6</v>
      </c>
      <c r="J332" s="416"/>
      <c r="K332" s="412" t="s">
        <v>25</v>
      </c>
      <c r="L332" s="413">
        <v>1196057.1299999999</v>
      </c>
    </row>
    <row r="333" spans="1:12" ht="71.400000000000006" x14ac:dyDescent="0.3">
      <c r="A333" s="407" t="s">
        <v>103</v>
      </c>
      <c r="B333" s="408" t="s">
        <v>1025</v>
      </c>
      <c r="C333" s="408" t="s">
        <v>53</v>
      </c>
      <c r="D333" s="408" t="s">
        <v>876</v>
      </c>
      <c r="E333" s="409" t="s">
        <v>54</v>
      </c>
      <c r="F333" s="415" t="s">
        <v>32</v>
      </c>
      <c r="G333" s="415"/>
      <c r="H333" s="409" t="s">
        <v>30</v>
      </c>
      <c r="I333" s="416">
        <v>1851.2</v>
      </c>
      <c r="J333" s="416"/>
      <c r="K333" s="412" t="s">
        <v>25</v>
      </c>
      <c r="L333" s="413">
        <v>1194205.93</v>
      </c>
    </row>
    <row r="334" spans="1:12" ht="71.400000000000006" x14ac:dyDescent="0.3">
      <c r="A334" s="407" t="s">
        <v>103</v>
      </c>
      <c r="B334" s="408" t="s">
        <v>1025</v>
      </c>
      <c r="C334" s="408" t="s">
        <v>53</v>
      </c>
      <c r="D334" s="408" t="s">
        <v>953</v>
      </c>
      <c r="E334" s="409" t="s">
        <v>54</v>
      </c>
      <c r="F334" s="415" t="s">
        <v>32</v>
      </c>
      <c r="G334" s="415"/>
      <c r="H334" s="409" t="s">
        <v>30</v>
      </c>
      <c r="I334" s="416">
        <v>3260.8</v>
      </c>
      <c r="J334" s="416"/>
      <c r="K334" s="412" t="s">
        <v>25</v>
      </c>
      <c r="L334" s="413">
        <v>1190945.1299999999</v>
      </c>
    </row>
    <row r="335" spans="1:12" ht="71.400000000000006" x14ac:dyDescent="0.3">
      <c r="A335" s="407" t="s">
        <v>103</v>
      </c>
      <c r="B335" s="408" t="s">
        <v>1025</v>
      </c>
      <c r="C335" s="408" t="s">
        <v>53</v>
      </c>
      <c r="D335" s="408" t="s">
        <v>924</v>
      </c>
      <c r="E335" s="409" t="s">
        <v>54</v>
      </c>
      <c r="F335" s="415" t="s">
        <v>32</v>
      </c>
      <c r="G335" s="415"/>
      <c r="H335" s="409" t="s">
        <v>30</v>
      </c>
      <c r="I335" s="416">
        <v>1649</v>
      </c>
      <c r="J335" s="416"/>
      <c r="K335" s="412" t="s">
        <v>25</v>
      </c>
      <c r="L335" s="413">
        <v>1189296.1299999999</v>
      </c>
    </row>
    <row r="336" spans="1:12" ht="71.400000000000006" x14ac:dyDescent="0.3">
      <c r="A336" s="407" t="s">
        <v>103</v>
      </c>
      <c r="B336" s="408" t="s">
        <v>1025</v>
      </c>
      <c r="C336" s="408" t="s">
        <v>53</v>
      </c>
      <c r="D336" s="408" t="s">
        <v>926</v>
      </c>
      <c r="E336" s="409" t="s">
        <v>54</v>
      </c>
      <c r="F336" s="415" t="s">
        <v>32</v>
      </c>
      <c r="G336" s="415"/>
      <c r="H336" s="409" t="s">
        <v>30</v>
      </c>
      <c r="I336" s="417">
        <v>810</v>
      </c>
      <c r="J336" s="417"/>
      <c r="K336" s="412" t="s">
        <v>25</v>
      </c>
      <c r="L336" s="413">
        <v>1188486.1299999999</v>
      </c>
    </row>
    <row r="337" spans="1:12" ht="71.400000000000006" x14ac:dyDescent="0.3">
      <c r="A337" s="407" t="s">
        <v>103</v>
      </c>
      <c r="B337" s="408" t="s">
        <v>1025</v>
      </c>
      <c r="C337" s="408" t="s">
        <v>53</v>
      </c>
      <c r="D337" s="408" t="s">
        <v>927</v>
      </c>
      <c r="E337" s="409" t="s">
        <v>54</v>
      </c>
      <c r="F337" s="415" t="s">
        <v>32</v>
      </c>
      <c r="G337" s="415"/>
      <c r="H337" s="409" t="s">
        <v>30</v>
      </c>
      <c r="I337" s="417">
        <v>927.1</v>
      </c>
      <c r="J337" s="417"/>
      <c r="K337" s="412" t="s">
        <v>25</v>
      </c>
      <c r="L337" s="413">
        <v>1187559.03</v>
      </c>
    </row>
    <row r="338" spans="1:12" ht="71.400000000000006" x14ac:dyDescent="0.3">
      <c r="A338" s="407" t="s">
        <v>103</v>
      </c>
      <c r="B338" s="408" t="s">
        <v>1025</v>
      </c>
      <c r="C338" s="408" t="s">
        <v>53</v>
      </c>
      <c r="D338" s="408" t="s">
        <v>923</v>
      </c>
      <c r="E338" s="409" t="s">
        <v>54</v>
      </c>
      <c r="F338" s="415" t="s">
        <v>32</v>
      </c>
      <c r="G338" s="415"/>
      <c r="H338" s="409" t="s">
        <v>30</v>
      </c>
      <c r="I338" s="416">
        <v>9162.5</v>
      </c>
      <c r="J338" s="416"/>
      <c r="K338" s="412" t="s">
        <v>25</v>
      </c>
      <c r="L338" s="413">
        <v>1178396.53</v>
      </c>
    </row>
    <row r="339" spans="1:12" ht="71.400000000000006" x14ac:dyDescent="0.3">
      <c r="A339" s="407" t="s">
        <v>103</v>
      </c>
      <c r="B339" s="408" t="s">
        <v>1025</v>
      </c>
      <c r="C339" s="408" t="s">
        <v>53</v>
      </c>
      <c r="D339" s="408" t="s">
        <v>886</v>
      </c>
      <c r="E339" s="409" t="s">
        <v>54</v>
      </c>
      <c r="F339" s="415" t="s">
        <v>32</v>
      </c>
      <c r="G339" s="415"/>
      <c r="H339" s="409" t="s">
        <v>30</v>
      </c>
      <c r="I339" s="416">
        <v>2435.1</v>
      </c>
      <c r="J339" s="416"/>
      <c r="K339" s="412" t="s">
        <v>25</v>
      </c>
      <c r="L339" s="413">
        <v>1175961.43</v>
      </c>
    </row>
    <row r="340" spans="1:12" ht="71.400000000000006" x14ac:dyDescent="0.3">
      <c r="A340" s="407" t="s">
        <v>103</v>
      </c>
      <c r="B340" s="408" t="s">
        <v>1025</v>
      </c>
      <c r="C340" s="408" t="s">
        <v>53</v>
      </c>
      <c r="D340" s="408" t="s">
        <v>883</v>
      </c>
      <c r="E340" s="409" t="s">
        <v>54</v>
      </c>
      <c r="F340" s="415" t="s">
        <v>32</v>
      </c>
      <c r="G340" s="415"/>
      <c r="H340" s="409" t="s">
        <v>30</v>
      </c>
      <c r="I340" s="416">
        <v>2436.6</v>
      </c>
      <c r="J340" s="416"/>
      <c r="K340" s="412" t="s">
        <v>25</v>
      </c>
      <c r="L340" s="413">
        <v>1173524.83</v>
      </c>
    </row>
    <row r="341" spans="1:12" ht="71.400000000000006" x14ac:dyDescent="0.3">
      <c r="A341" s="407" t="s">
        <v>103</v>
      </c>
      <c r="B341" s="408" t="s">
        <v>1025</v>
      </c>
      <c r="C341" s="408" t="s">
        <v>53</v>
      </c>
      <c r="D341" s="408" t="s">
        <v>901</v>
      </c>
      <c r="E341" s="409" t="s">
        <v>54</v>
      </c>
      <c r="F341" s="415" t="s">
        <v>32</v>
      </c>
      <c r="G341" s="415"/>
      <c r="H341" s="409" t="s">
        <v>30</v>
      </c>
      <c r="I341" s="416">
        <v>1277.5999999999999</v>
      </c>
      <c r="J341" s="416"/>
      <c r="K341" s="412" t="s">
        <v>25</v>
      </c>
      <c r="L341" s="413">
        <v>1172247.23</v>
      </c>
    </row>
    <row r="342" spans="1:12" ht="71.400000000000006" x14ac:dyDescent="0.3">
      <c r="A342" s="407" t="s">
        <v>103</v>
      </c>
      <c r="B342" s="408" t="s">
        <v>1025</v>
      </c>
      <c r="C342" s="408" t="s">
        <v>53</v>
      </c>
      <c r="D342" s="408" t="s">
        <v>920</v>
      </c>
      <c r="E342" s="409" t="s">
        <v>54</v>
      </c>
      <c r="F342" s="415" t="s">
        <v>32</v>
      </c>
      <c r="G342" s="415"/>
      <c r="H342" s="409" t="s">
        <v>30</v>
      </c>
      <c r="I342" s="416">
        <v>1869.8</v>
      </c>
      <c r="J342" s="416"/>
      <c r="K342" s="412" t="s">
        <v>25</v>
      </c>
      <c r="L342" s="413">
        <v>1170377.43</v>
      </c>
    </row>
    <row r="343" spans="1:12" ht="71.400000000000006" x14ac:dyDescent="0.3">
      <c r="A343" s="407" t="s">
        <v>103</v>
      </c>
      <c r="B343" s="408" t="s">
        <v>1025</v>
      </c>
      <c r="C343" s="408" t="s">
        <v>53</v>
      </c>
      <c r="D343" s="408" t="s">
        <v>949</v>
      </c>
      <c r="E343" s="409" t="s">
        <v>54</v>
      </c>
      <c r="F343" s="415" t="s">
        <v>32</v>
      </c>
      <c r="G343" s="415"/>
      <c r="H343" s="409" t="s">
        <v>30</v>
      </c>
      <c r="I343" s="416">
        <v>3777</v>
      </c>
      <c r="J343" s="416"/>
      <c r="K343" s="412" t="s">
        <v>25</v>
      </c>
      <c r="L343" s="413">
        <v>1166600.43</v>
      </c>
    </row>
    <row r="344" spans="1:12" ht="71.400000000000006" x14ac:dyDescent="0.3">
      <c r="A344" s="407" t="s">
        <v>103</v>
      </c>
      <c r="B344" s="408" t="s">
        <v>1025</v>
      </c>
      <c r="C344" s="408" t="s">
        <v>53</v>
      </c>
      <c r="D344" s="408" t="s">
        <v>874</v>
      </c>
      <c r="E344" s="409" t="s">
        <v>54</v>
      </c>
      <c r="F344" s="415" t="s">
        <v>32</v>
      </c>
      <c r="G344" s="415"/>
      <c r="H344" s="409" t="s">
        <v>30</v>
      </c>
      <c r="I344" s="416">
        <v>13382.4</v>
      </c>
      <c r="J344" s="416"/>
      <c r="K344" s="412" t="s">
        <v>25</v>
      </c>
      <c r="L344" s="413">
        <v>1153218.03</v>
      </c>
    </row>
    <row r="345" spans="1:12" ht="71.400000000000006" x14ac:dyDescent="0.3">
      <c r="A345" s="407" t="s">
        <v>103</v>
      </c>
      <c r="B345" s="408" t="s">
        <v>1025</v>
      </c>
      <c r="C345" s="408" t="s">
        <v>53</v>
      </c>
      <c r="D345" s="408" t="s">
        <v>994</v>
      </c>
      <c r="E345" s="409" t="s">
        <v>54</v>
      </c>
      <c r="F345" s="415" t="s">
        <v>32</v>
      </c>
      <c r="G345" s="415"/>
      <c r="H345" s="409" t="s">
        <v>30</v>
      </c>
      <c r="I345" s="416">
        <v>5047.8</v>
      </c>
      <c r="J345" s="416"/>
      <c r="K345" s="412" t="s">
        <v>25</v>
      </c>
      <c r="L345" s="413">
        <v>1148170.23</v>
      </c>
    </row>
    <row r="346" spans="1:12" ht="71.400000000000006" x14ac:dyDescent="0.3">
      <c r="A346" s="407" t="s">
        <v>103</v>
      </c>
      <c r="B346" s="408" t="s">
        <v>1025</v>
      </c>
      <c r="C346" s="408" t="s">
        <v>53</v>
      </c>
      <c r="D346" s="408" t="s">
        <v>999</v>
      </c>
      <c r="E346" s="409" t="s">
        <v>54</v>
      </c>
      <c r="F346" s="415" t="s">
        <v>32</v>
      </c>
      <c r="G346" s="415"/>
      <c r="H346" s="409" t="s">
        <v>30</v>
      </c>
      <c r="I346" s="416">
        <v>1736.4</v>
      </c>
      <c r="J346" s="416"/>
      <c r="K346" s="412" t="s">
        <v>25</v>
      </c>
      <c r="L346" s="413">
        <v>1146433.83</v>
      </c>
    </row>
    <row r="347" spans="1:12" ht="71.400000000000006" x14ac:dyDescent="0.3">
      <c r="A347" s="407" t="s">
        <v>103</v>
      </c>
      <c r="B347" s="408" t="s">
        <v>1025</v>
      </c>
      <c r="C347" s="408" t="s">
        <v>53</v>
      </c>
      <c r="D347" s="408" t="s">
        <v>998</v>
      </c>
      <c r="E347" s="409" t="s">
        <v>54</v>
      </c>
      <c r="F347" s="415" t="s">
        <v>32</v>
      </c>
      <c r="G347" s="415"/>
      <c r="H347" s="409" t="s">
        <v>30</v>
      </c>
      <c r="I347" s="416">
        <v>1545.4</v>
      </c>
      <c r="J347" s="416"/>
      <c r="K347" s="412" t="s">
        <v>25</v>
      </c>
      <c r="L347" s="413">
        <v>1144888.43</v>
      </c>
    </row>
    <row r="348" spans="1:12" ht="71.400000000000006" x14ac:dyDescent="0.3">
      <c r="A348" s="407" t="s">
        <v>103</v>
      </c>
      <c r="B348" s="408" t="s">
        <v>1025</v>
      </c>
      <c r="C348" s="408" t="s">
        <v>53</v>
      </c>
      <c r="D348" s="408" t="s">
        <v>995</v>
      </c>
      <c r="E348" s="409" t="s">
        <v>54</v>
      </c>
      <c r="F348" s="415" t="s">
        <v>32</v>
      </c>
      <c r="G348" s="415"/>
      <c r="H348" s="409" t="s">
        <v>30</v>
      </c>
      <c r="I348" s="416">
        <v>10801.3</v>
      </c>
      <c r="J348" s="416"/>
      <c r="K348" s="412" t="s">
        <v>25</v>
      </c>
      <c r="L348" s="413">
        <v>1134087.1299999999</v>
      </c>
    </row>
    <row r="349" spans="1:12" ht="71.400000000000006" x14ac:dyDescent="0.3">
      <c r="A349" s="407" t="s">
        <v>103</v>
      </c>
      <c r="B349" s="408" t="s">
        <v>1025</v>
      </c>
      <c r="C349" s="408" t="s">
        <v>53</v>
      </c>
      <c r="D349" s="408" t="s">
        <v>996</v>
      </c>
      <c r="E349" s="409" t="s">
        <v>54</v>
      </c>
      <c r="F349" s="415" t="s">
        <v>32</v>
      </c>
      <c r="G349" s="415"/>
      <c r="H349" s="409" t="s">
        <v>30</v>
      </c>
      <c r="I349" s="416">
        <v>1951.8</v>
      </c>
      <c r="J349" s="416"/>
      <c r="K349" s="412" t="s">
        <v>25</v>
      </c>
      <c r="L349" s="413">
        <v>1132135.33</v>
      </c>
    </row>
    <row r="350" spans="1:12" ht="71.400000000000006" x14ac:dyDescent="0.3">
      <c r="A350" s="407" t="s">
        <v>103</v>
      </c>
      <c r="B350" s="408" t="s">
        <v>1025</v>
      </c>
      <c r="C350" s="408" t="s">
        <v>53</v>
      </c>
      <c r="D350" s="408" t="s">
        <v>966</v>
      </c>
      <c r="E350" s="409" t="s">
        <v>54</v>
      </c>
      <c r="F350" s="415" t="s">
        <v>32</v>
      </c>
      <c r="G350" s="415"/>
      <c r="H350" s="409" t="s">
        <v>30</v>
      </c>
      <c r="I350" s="416">
        <v>11077.2</v>
      </c>
      <c r="J350" s="416"/>
      <c r="K350" s="412" t="s">
        <v>25</v>
      </c>
      <c r="L350" s="413">
        <v>1121058.1299999999</v>
      </c>
    </row>
    <row r="351" spans="1:12" ht="71.400000000000006" x14ac:dyDescent="0.3">
      <c r="A351" s="407" t="s">
        <v>103</v>
      </c>
      <c r="B351" s="408" t="s">
        <v>1025</v>
      </c>
      <c r="C351" s="408" t="s">
        <v>53</v>
      </c>
      <c r="D351" s="408" t="s">
        <v>967</v>
      </c>
      <c r="E351" s="409" t="s">
        <v>54</v>
      </c>
      <c r="F351" s="415" t="s">
        <v>32</v>
      </c>
      <c r="G351" s="415"/>
      <c r="H351" s="409" t="s">
        <v>30</v>
      </c>
      <c r="I351" s="416">
        <v>3228</v>
      </c>
      <c r="J351" s="416"/>
      <c r="K351" s="412" t="s">
        <v>25</v>
      </c>
      <c r="L351" s="413">
        <v>1117830.1299999999</v>
      </c>
    </row>
    <row r="352" spans="1:12" ht="71.400000000000006" x14ac:dyDescent="0.3">
      <c r="A352" s="407" t="s">
        <v>103</v>
      </c>
      <c r="B352" s="408" t="s">
        <v>1025</v>
      </c>
      <c r="C352" s="408" t="s">
        <v>53</v>
      </c>
      <c r="D352" s="408" t="s">
        <v>1000</v>
      </c>
      <c r="E352" s="409" t="s">
        <v>54</v>
      </c>
      <c r="F352" s="415" t="s">
        <v>32</v>
      </c>
      <c r="G352" s="415"/>
      <c r="H352" s="409" t="s">
        <v>30</v>
      </c>
      <c r="I352" s="416">
        <v>6726</v>
      </c>
      <c r="J352" s="416"/>
      <c r="K352" s="412" t="s">
        <v>25</v>
      </c>
      <c r="L352" s="413">
        <v>1111104.1299999999</v>
      </c>
    </row>
    <row r="353" spans="1:12" ht="71.400000000000006" x14ac:dyDescent="0.3">
      <c r="A353" s="407" t="s">
        <v>103</v>
      </c>
      <c r="B353" s="408" t="s">
        <v>1025</v>
      </c>
      <c r="C353" s="408" t="s">
        <v>53</v>
      </c>
      <c r="D353" s="408" t="s">
        <v>885</v>
      </c>
      <c r="E353" s="409" t="s">
        <v>54</v>
      </c>
      <c r="F353" s="415" t="s">
        <v>32</v>
      </c>
      <c r="G353" s="415"/>
      <c r="H353" s="409" t="s">
        <v>30</v>
      </c>
      <c r="I353" s="416">
        <v>16624.5</v>
      </c>
      <c r="J353" s="416"/>
      <c r="K353" s="412" t="s">
        <v>25</v>
      </c>
      <c r="L353" s="413">
        <v>1094479.6299999999</v>
      </c>
    </row>
    <row r="354" spans="1:12" ht="71.400000000000006" x14ac:dyDescent="0.3">
      <c r="A354" s="407" t="s">
        <v>103</v>
      </c>
      <c r="B354" s="408" t="s">
        <v>1025</v>
      </c>
      <c r="C354" s="408" t="s">
        <v>53</v>
      </c>
      <c r="D354" s="408" t="s">
        <v>890</v>
      </c>
      <c r="E354" s="409" t="s">
        <v>54</v>
      </c>
      <c r="F354" s="415" t="s">
        <v>32</v>
      </c>
      <c r="G354" s="415"/>
      <c r="H354" s="409" t="s">
        <v>30</v>
      </c>
      <c r="I354" s="416">
        <v>5232.8</v>
      </c>
      <c r="J354" s="416"/>
      <c r="K354" s="412" t="s">
        <v>25</v>
      </c>
      <c r="L354" s="413">
        <v>1089246.83</v>
      </c>
    </row>
    <row r="355" spans="1:12" ht="81.599999999999994" x14ac:dyDescent="0.3">
      <c r="A355" s="407" t="s">
        <v>103</v>
      </c>
      <c r="B355" s="408" t="s">
        <v>1025</v>
      </c>
      <c r="C355" s="408" t="s">
        <v>53</v>
      </c>
      <c r="D355" s="408" t="s">
        <v>979</v>
      </c>
      <c r="E355" s="409" t="s">
        <v>54</v>
      </c>
      <c r="F355" s="415" t="s">
        <v>32</v>
      </c>
      <c r="G355" s="415"/>
      <c r="H355" s="409" t="s">
        <v>30</v>
      </c>
      <c r="I355" s="416">
        <v>22377.8</v>
      </c>
      <c r="J355" s="416"/>
      <c r="K355" s="412" t="s">
        <v>25</v>
      </c>
      <c r="L355" s="413">
        <v>1066869.03</v>
      </c>
    </row>
    <row r="356" spans="1:12" ht="81.599999999999994" x14ac:dyDescent="0.3">
      <c r="A356" s="407" t="s">
        <v>103</v>
      </c>
      <c r="B356" s="408" t="s">
        <v>1025</v>
      </c>
      <c r="C356" s="408" t="s">
        <v>53</v>
      </c>
      <c r="D356" s="408" t="s">
        <v>980</v>
      </c>
      <c r="E356" s="409" t="s">
        <v>54</v>
      </c>
      <c r="F356" s="415" t="s">
        <v>32</v>
      </c>
      <c r="G356" s="415"/>
      <c r="H356" s="409" t="s">
        <v>30</v>
      </c>
      <c r="I356" s="416">
        <v>3742.6</v>
      </c>
      <c r="J356" s="416"/>
      <c r="K356" s="412" t="s">
        <v>25</v>
      </c>
      <c r="L356" s="413">
        <v>1063126.43</v>
      </c>
    </row>
    <row r="357" spans="1:12" ht="81.599999999999994" x14ac:dyDescent="0.3">
      <c r="A357" s="407" t="s">
        <v>103</v>
      </c>
      <c r="B357" s="408" t="s">
        <v>1025</v>
      </c>
      <c r="C357" s="408" t="s">
        <v>53</v>
      </c>
      <c r="D357" s="408" t="s">
        <v>977</v>
      </c>
      <c r="E357" s="409" t="s">
        <v>54</v>
      </c>
      <c r="F357" s="415" t="s">
        <v>32</v>
      </c>
      <c r="G357" s="415"/>
      <c r="H357" s="409" t="s">
        <v>30</v>
      </c>
      <c r="I357" s="416">
        <v>37837.4</v>
      </c>
      <c r="J357" s="416"/>
      <c r="K357" s="412" t="s">
        <v>25</v>
      </c>
      <c r="L357" s="413">
        <v>1025289.03</v>
      </c>
    </row>
    <row r="358" spans="1:12" ht="81.599999999999994" x14ac:dyDescent="0.3">
      <c r="A358" s="407" t="s">
        <v>103</v>
      </c>
      <c r="B358" s="408" t="s">
        <v>1025</v>
      </c>
      <c r="C358" s="408" t="s">
        <v>53</v>
      </c>
      <c r="D358" s="408" t="s">
        <v>978</v>
      </c>
      <c r="E358" s="409" t="s">
        <v>54</v>
      </c>
      <c r="F358" s="415" t="s">
        <v>32</v>
      </c>
      <c r="G358" s="415"/>
      <c r="H358" s="409" t="s">
        <v>30</v>
      </c>
      <c r="I358" s="416">
        <v>3784.4</v>
      </c>
      <c r="J358" s="416"/>
      <c r="K358" s="412" t="s">
        <v>25</v>
      </c>
      <c r="L358" s="413">
        <v>1021504.63</v>
      </c>
    </row>
    <row r="359" spans="1:12" ht="81.599999999999994" x14ac:dyDescent="0.3">
      <c r="A359" s="407" t="s">
        <v>103</v>
      </c>
      <c r="B359" s="408" t="s">
        <v>1025</v>
      </c>
      <c r="C359" s="408" t="s">
        <v>53</v>
      </c>
      <c r="D359" s="408" t="s">
        <v>997</v>
      </c>
      <c r="E359" s="409" t="s">
        <v>54</v>
      </c>
      <c r="F359" s="415" t="s">
        <v>32</v>
      </c>
      <c r="G359" s="415"/>
      <c r="H359" s="409" t="s">
        <v>30</v>
      </c>
      <c r="I359" s="416">
        <v>14588.4</v>
      </c>
      <c r="J359" s="416"/>
      <c r="K359" s="412" t="s">
        <v>25</v>
      </c>
      <c r="L359" s="413">
        <v>1006916.23</v>
      </c>
    </row>
    <row r="360" spans="1:12" ht="81.599999999999994" x14ac:dyDescent="0.3">
      <c r="A360" s="407" t="s">
        <v>103</v>
      </c>
      <c r="B360" s="408" t="s">
        <v>1025</v>
      </c>
      <c r="C360" s="408" t="s">
        <v>53</v>
      </c>
      <c r="D360" s="408" t="s">
        <v>964</v>
      </c>
      <c r="E360" s="409" t="s">
        <v>54</v>
      </c>
      <c r="F360" s="415" t="s">
        <v>32</v>
      </c>
      <c r="G360" s="415"/>
      <c r="H360" s="409" t="s">
        <v>30</v>
      </c>
      <c r="I360" s="416">
        <v>6244.2</v>
      </c>
      <c r="J360" s="416"/>
      <c r="K360" s="412" t="s">
        <v>25</v>
      </c>
      <c r="L360" s="413">
        <v>1000672.03</v>
      </c>
    </row>
    <row r="361" spans="1:12" ht="81.599999999999994" x14ac:dyDescent="0.3">
      <c r="A361" s="407" t="s">
        <v>103</v>
      </c>
      <c r="B361" s="408" t="s">
        <v>1025</v>
      </c>
      <c r="C361" s="408" t="s">
        <v>53</v>
      </c>
      <c r="D361" s="408" t="s">
        <v>965</v>
      </c>
      <c r="E361" s="409" t="s">
        <v>54</v>
      </c>
      <c r="F361" s="415" t="s">
        <v>32</v>
      </c>
      <c r="G361" s="415"/>
      <c r="H361" s="409" t="s">
        <v>30</v>
      </c>
      <c r="I361" s="416">
        <v>6536.4</v>
      </c>
      <c r="J361" s="416"/>
      <c r="K361" s="412" t="s">
        <v>25</v>
      </c>
      <c r="L361" s="413">
        <v>994135.63</v>
      </c>
    </row>
    <row r="362" spans="1:12" ht="81.599999999999994" x14ac:dyDescent="0.3">
      <c r="A362" s="407" t="s">
        <v>103</v>
      </c>
      <c r="B362" s="408" t="s">
        <v>1025</v>
      </c>
      <c r="C362" s="408" t="s">
        <v>53</v>
      </c>
      <c r="D362" s="408" t="s">
        <v>959</v>
      </c>
      <c r="E362" s="409" t="s">
        <v>54</v>
      </c>
      <c r="F362" s="415" t="s">
        <v>32</v>
      </c>
      <c r="G362" s="415"/>
      <c r="H362" s="409" t="s">
        <v>30</v>
      </c>
      <c r="I362" s="416">
        <v>19457.2</v>
      </c>
      <c r="J362" s="416"/>
      <c r="K362" s="412" t="s">
        <v>25</v>
      </c>
      <c r="L362" s="413">
        <v>974678.43</v>
      </c>
    </row>
    <row r="363" spans="1:12" ht="81.599999999999994" x14ac:dyDescent="0.3">
      <c r="A363" s="407" t="s">
        <v>103</v>
      </c>
      <c r="B363" s="408" t="s">
        <v>1025</v>
      </c>
      <c r="C363" s="408" t="s">
        <v>53</v>
      </c>
      <c r="D363" s="408" t="s">
        <v>908</v>
      </c>
      <c r="E363" s="409" t="s">
        <v>54</v>
      </c>
      <c r="F363" s="415" t="s">
        <v>32</v>
      </c>
      <c r="G363" s="415"/>
      <c r="H363" s="409" t="s">
        <v>30</v>
      </c>
      <c r="I363" s="416">
        <v>2534.3000000000002</v>
      </c>
      <c r="J363" s="416"/>
      <c r="K363" s="412" t="s">
        <v>25</v>
      </c>
      <c r="L363" s="413">
        <v>972144.13</v>
      </c>
    </row>
    <row r="364" spans="1:12" ht="81.599999999999994" x14ac:dyDescent="0.3">
      <c r="A364" s="407" t="s">
        <v>103</v>
      </c>
      <c r="B364" s="408" t="s">
        <v>1025</v>
      </c>
      <c r="C364" s="408" t="s">
        <v>53</v>
      </c>
      <c r="D364" s="408" t="s">
        <v>891</v>
      </c>
      <c r="E364" s="409" t="s">
        <v>54</v>
      </c>
      <c r="F364" s="415" t="s">
        <v>32</v>
      </c>
      <c r="G364" s="415"/>
      <c r="H364" s="409" t="s">
        <v>30</v>
      </c>
      <c r="I364" s="416">
        <v>1832.5</v>
      </c>
      <c r="J364" s="416"/>
      <c r="K364" s="412" t="s">
        <v>25</v>
      </c>
      <c r="L364" s="413">
        <v>970311.63</v>
      </c>
    </row>
    <row r="365" spans="1:12" ht="81.599999999999994" x14ac:dyDescent="0.3">
      <c r="A365" s="407" t="s">
        <v>103</v>
      </c>
      <c r="B365" s="408" t="s">
        <v>1025</v>
      </c>
      <c r="C365" s="408" t="s">
        <v>53</v>
      </c>
      <c r="D365" s="408" t="s">
        <v>971</v>
      </c>
      <c r="E365" s="409" t="s">
        <v>54</v>
      </c>
      <c r="F365" s="415" t="s">
        <v>32</v>
      </c>
      <c r="G365" s="415"/>
      <c r="H365" s="409" t="s">
        <v>30</v>
      </c>
      <c r="I365" s="416">
        <v>16971.5</v>
      </c>
      <c r="J365" s="416"/>
      <c r="K365" s="412" t="s">
        <v>25</v>
      </c>
      <c r="L365" s="413">
        <v>953340.13</v>
      </c>
    </row>
    <row r="366" spans="1:12" ht="81.599999999999994" x14ac:dyDescent="0.3">
      <c r="A366" s="407" t="s">
        <v>103</v>
      </c>
      <c r="B366" s="408" t="s">
        <v>1025</v>
      </c>
      <c r="C366" s="408" t="s">
        <v>53</v>
      </c>
      <c r="D366" s="408" t="s">
        <v>972</v>
      </c>
      <c r="E366" s="409" t="s">
        <v>54</v>
      </c>
      <c r="F366" s="415" t="s">
        <v>32</v>
      </c>
      <c r="G366" s="415"/>
      <c r="H366" s="409" t="s">
        <v>30</v>
      </c>
      <c r="I366" s="416">
        <v>3469.6</v>
      </c>
      <c r="J366" s="416"/>
      <c r="K366" s="412" t="s">
        <v>25</v>
      </c>
      <c r="L366" s="413">
        <v>949870.53</v>
      </c>
    </row>
    <row r="367" spans="1:12" ht="61.2" x14ac:dyDescent="0.3">
      <c r="A367" s="407" t="s">
        <v>103</v>
      </c>
      <c r="B367" s="408" t="s">
        <v>1025</v>
      </c>
      <c r="C367" s="408" t="s">
        <v>53</v>
      </c>
      <c r="D367" s="408" t="s">
        <v>1010</v>
      </c>
      <c r="E367" s="409" t="s">
        <v>54</v>
      </c>
      <c r="F367" s="415" t="s">
        <v>32</v>
      </c>
      <c r="G367" s="415"/>
      <c r="H367" s="409" t="s">
        <v>30</v>
      </c>
      <c r="I367" s="416">
        <v>83315.199999999997</v>
      </c>
      <c r="J367" s="416"/>
      <c r="K367" s="412" t="s">
        <v>25</v>
      </c>
      <c r="L367" s="413">
        <v>866555.33</v>
      </c>
    </row>
    <row r="368" spans="1:12" ht="71.400000000000006" x14ac:dyDescent="0.3">
      <c r="A368" s="407" t="s">
        <v>103</v>
      </c>
      <c r="B368" s="408" t="s">
        <v>1025</v>
      </c>
      <c r="C368" s="408" t="s">
        <v>53</v>
      </c>
      <c r="D368" s="408" t="s">
        <v>1011</v>
      </c>
      <c r="E368" s="409" t="s">
        <v>54</v>
      </c>
      <c r="F368" s="415" t="s">
        <v>32</v>
      </c>
      <c r="G368" s="415"/>
      <c r="H368" s="409" t="s">
        <v>30</v>
      </c>
      <c r="I368" s="417">
        <v>546.4</v>
      </c>
      <c r="J368" s="417"/>
      <c r="K368" s="412" t="s">
        <v>25</v>
      </c>
      <c r="L368" s="413">
        <v>866008.93</v>
      </c>
    </row>
    <row r="369" spans="1:12" ht="71.400000000000006" x14ac:dyDescent="0.3">
      <c r="A369" s="407" t="s">
        <v>103</v>
      </c>
      <c r="B369" s="408" t="s">
        <v>1025</v>
      </c>
      <c r="C369" s="408" t="s">
        <v>53</v>
      </c>
      <c r="D369" s="408" t="s">
        <v>1026</v>
      </c>
      <c r="E369" s="409" t="s">
        <v>54</v>
      </c>
      <c r="F369" s="415" t="s">
        <v>32</v>
      </c>
      <c r="G369" s="415"/>
      <c r="H369" s="409" t="s">
        <v>30</v>
      </c>
      <c r="I369" s="416">
        <v>8881.74</v>
      </c>
      <c r="J369" s="416"/>
      <c r="K369" s="412" t="s">
        <v>25</v>
      </c>
      <c r="L369" s="413">
        <v>857127.19</v>
      </c>
    </row>
    <row r="370" spans="1:12" ht="71.400000000000006" x14ac:dyDescent="0.3">
      <c r="A370" s="407" t="s">
        <v>103</v>
      </c>
      <c r="B370" s="408" t="s">
        <v>1025</v>
      </c>
      <c r="C370" s="408" t="s">
        <v>53</v>
      </c>
      <c r="D370" s="408" t="s">
        <v>836</v>
      </c>
      <c r="E370" s="409" t="s">
        <v>54</v>
      </c>
      <c r="F370" s="415" t="s">
        <v>32</v>
      </c>
      <c r="G370" s="415"/>
      <c r="H370" s="409" t="s">
        <v>30</v>
      </c>
      <c r="I370" s="416">
        <v>56796.39</v>
      </c>
      <c r="J370" s="416"/>
      <c r="K370" s="412" t="s">
        <v>25</v>
      </c>
      <c r="L370" s="413">
        <v>800330.8</v>
      </c>
    </row>
    <row r="371" spans="1:12" ht="71.400000000000006" x14ac:dyDescent="0.3">
      <c r="A371" s="407" t="s">
        <v>103</v>
      </c>
      <c r="B371" s="408" t="s">
        <v>1025</v>
      </c>
      <c r="C371" s="408" t="s">
        <v>53</v>
      </c>
      <c r="D371" s="408" t="s">
        <v>1027</v>
      </c>
      <c r="E371" s="409" t="s">
        <v>54</v>
      </c>
      <c r="F371" s="415" t="s">
        <v>32</v>
      </c>
      <c r="G371" s="415"/>
      <c r="H371" s="409" t="s">
        <v>30</v>
      </c>
      <c r="I371" s="416">
        <v>18064.2</v>
      </c>
      <c r="J371" s="416"/>
      <c r="K371" s="412" t="s">
        <v>25</v>
      </c>
      <c r="L371" s="413">
        <v>782266.6</v>
      </c>
    </row>
    <row r="372" spans="1:12" ht="71.400000000000006" x14ac:dyDescent="0.3">
      <c r="A372" s="407" t="s">
        <v>103</v>
      </c>
      <c r="B372" s="408" t="s">
        <v>1025</v>
      </c>
      <c r="C372" s="408" t="s">
        <v>53</v>
      </c>
      <c r="D372" s="408" t="s">
        <v>1028</v>
      </c>
      <c r="E372" s="409" t="s">
        <v>54</v>
      </c>
      <c r="F372" s="415" t="s">
        <v>32</v>
      </c>
      <c r="G372" s="415"/>
      <c r="H372" s="409" t="s">
        <v>30</v>
      </c>
      <c r="I372" s="416">
        <v>13392.43</v>
      </c>
      <c r="J372" s="416"/>
      <c r="K372" s="412" t="s">
        <v>25</v>
      </c>
      <c r="L372" s="413">
        <v>768874.17</v>
      </c>
    </row>
    <row r="373" spans="1:12" ht="61.2" x14ac:dyDescent="0.3">
      <c r="A373" s="407" t="s">
        <v>103</v>
      </c>
      <c r="B373" s="408" t="s">
        <v>1025</v>
      </c>
      <c r="C373" s="408" t="s">
        <v>53</v>
      </c>
      <c r="D373" s="408" t="s">
        <v>1029</v>
      </c>
      <c r="E373" s="409" t="s">
        <v>54</v>
      </c>
      <c r="F373" s="415" t="s">
        <v>32</v>
      </c>
      <c r="G373" s="415"/>
      <c r="H373" s="409" t="s">
        <v>30</v>
      </c>
      <c r="I373" s="416">
        <v>15593.2</v>
      </c>
      <c r="J373" s="416"/>
      <c r="K373" s="412" t="s">
        <v>25</v>
      </c>
      <c r="L373" s="413">
        <v>753280.97</v>
      </c>
    </row>
    <row r="374" spans="1:12" ht="71.400000000000006" x14ac:dyDescent="0.3">
      <c r="A374" s="407" t="s">
        <v>103</v>
      </c>
      <c r="B374" s="408" t="s">
        <v>1025</v>
      </c>
      <c r="C374" s="408" t="s">
        <v>53</v>
      </c>
      <c r="D374" s="408" t="s">
        <v>1030</v>
      </c>
      <c r="E374" s="409" t="s">
        <v>54</v>
      </c>
      <c r="F374" s="415" t="s">
        <v>32</v>
      </c>
      <c r="G374" s="415"/>
      <c r="H374" s="409" t="s">
        <v>30</v>
      </c>
      <c r="I374" s="416">
        <v>10593.45</v>
      </c>
      <c r="J374" s="416"/>
      <c r="K374" s="412" t="s">
        <v>25</v>
      </c>
      <c r="L374" s="413">
        <v>742687.52</v>
      </c>
    </row>
    <row r="375" spans="1:12" ht="71.400000000000006" x14ac:dyDescent="0.3">
      <c r="A375" s="407" t="s">
        <v>103</v>
      </c>
      <c r="B375" s="408" t="s">
        <v>1025</v>
      </c>
      <c r="C375" s="408" t="s">
        <v>53</v>
      </c>
      <c r="D375" s="408" t="s">
        <v>838</v>
      </c>
      <c r="E375" s="409" t="s">
        <v>54</v>
      </c>
      <c r="F375" s="415" t="s">
        <v>32</v>
      </c>
      <c r="G375" s="415"/>
      <c r="H375" s="409" t="s">
        <v>30</v>
      </c>
      <c r="I375" s="416">
        <v>21815.33</v>
      </c>
      <c r="J375" s="416"/>
      <c r="K375" s="412" t="s">
        <v>25</v>
      </c>
      <c r="L375" s="413">
        <v>720872.19</v>
      </c>
    </row>
    <row r="376" spans="1:12" ht="61.2" x14ac:dyDescent="0.3">
      <c r="A376" s="407" t="s">
        <v>103</v>
      </c>
      <c r="B376" s="408" t="s">
        <v>1025</v>
      </c>
      <c r="C376" s="408" t="s">
        <v>53</v>
      </c>
      <c r="D376" s="408" t="s">
        <v>1031</v>
      </c>
      <c r="E376" s="409" t="s">
        <v>54</v>
      </c>
      <c r="F376" s="415" t="s">
        <v>32</v>
      </c>
      <c r="G376" s="415"/>
      <c r="H376" s="409" t="s">
        <v>30</v>
      </c>
      <c r="I376" s="416">
        <v>10781.4</v>
      </c>
      <c r="J376" s="416"/>
      <c r="K376" s="412" t="s">
        <v>25</v>
      </c>
      <c r="L376" s="413">
        <v>710090.79</v>
      </c>
    </row>
    <row r="377" spans="1:12" ht="61.2" x14ac:dyDescent="0.3">
      <c r="A377" s="407" t="s">
        <v>103</v>
      </c>
      <c r="B377" s="408" t="s">
        <v>1025</v>
      </c>
      <c r="C377" s="408" t="s">
        <v>53</v>
      </c>
      <c r="D377" s="408" t="s">
        <v>1032</v>
      </c>
      <c r="E377" s="409" t="s">
        <v>54</v>
      </c>
      <c r="F377" s="415" t="s">
        <v>32</v>
      </c>
      <c r="G377" s="415"/>
      <c r="H377" s="409" t="s">
        <v>30</v>
      </c>
      <c r="I377" s="416">
        <v>6623.4</v>
      </c>
      <c r="J377" s="416"/>
      <c r="K377" s="412" t="s">
        <v>25</v>
      </c>
      <c r="L377" s="413">
        <v>703467.39</v>
      </c>
    </row>
    <row r="378" spans="1:12" ht="71.400000000000006" x14ac:dyDescent="0.3">
      <c r="A378" s="407" t="s">
        <v>103</v>
      </c>
      <c r="B378" s="408" t="s">
        <v>1025</v>
      </c>
      <c r="C378" s="408" t="s">
        <v>53</v>
      </c>
      <c r="D378" s="408" t="s">
        <v>1033</v>
      </c>
      <c r="E378" s="409" t="s">
        <v>54</v>
      </c>
      <c r="F378" s="415" t="s">
        <v>32</v>
      </c>
      <c r="G378" s="415"/>
      <c r="H378" s="409" t="s">
        <v>30</v>
      </c>
      <c r="I378" s="416">
        <v>12605.25</v>
      </c>
      <c r="J378" s="416"/>
      <c r="K378" s="412" t="s">
        <v>25</v>
      </c>
      <c r="L378" s="413">
        <v>690862.14</v>
      </c>
    </row>
    <row r="379" spans="1:12" ht="61.2" x14ac:dyDescent="0.3">
      <c r="A379" s="407" t="s">
        <v>103</v>
      </c>
      <c r="B379" s="408" t="s">
        <v>1025</v>
      </c>
      <c r="C379" s="408" t="s">
        <v>53</v>
      </c>
      <c r="D379" s="408" t="s">
        <v>839</v>
      </c>
      <c r="E379" s="409" t="s">
        <v>54</v>
      </c>
      <c r="F379" s="415" t="s">
        <v>32</v>
      </c>
      <c r="G379" s="415"/>
      <c r="H379" s="409" t="s">
        <v>30</v>
      </c>
      <c r="I379" s="416">
        <v>11668.85</v>
      </c>
      <c r="J379" s="416"/>
      <c r="K379" s="412" t="s">
        <v>25</v>
      </c>
      <c r="L379" s="413">
        <v>679193.29</v>
      </c>
    </row>
    <row r="380" spans="1:12" ht="71.400000000000006" x14ac:dyDescent="0.3">
      <c r="A380" s="407" t="s">
        <v>103</v>
      </c>
      <c r="B380" s="408" t="s">
        <v>1025</v>
      </c>
      <c r="C380" s="408" t="s">
        <v>53</v>
      </c>
      <c r="D380" s="408" t="s">
        <v>1034</v>
      </c>
      <c r="E380" s="409" t="s">
        <v>54</v>
      </c>
      <c r="F380" s="415" t="s">
        <v>32</v>
      </c>
      <c r="G380" s="415"/>
      <c r="H380" s="409" t="s">
        <v>30</v>
      </c>
      <c r="I380" s="416">
        <v>3930.15</v>
      </c>
      <c r="J380" s="416"/>
      <c r="K380" s="412" t="s">
        <v>25</v>
      </c>
      <c r="L380" s="413">
        <v>675263.14</v>
      </c>
    </row>
    <row r="381" spans="1:12" ht="61.2" x14ac:dyDescent="0.3">
      <c r="A381" s="407" t="s">
        <v>103</v>
      </c>
      <c r="B381" s="408" t="s">
        <v>1025</v>
      </c>
      <c r="C381" s="408" t="s">
        <v>53</v>
      </c>
      <c r="D381" s="408" t="s">
        <v>1035</v>
      </c>
      <c r="E381" s="409" t="s">
        <v>54</v>
      </c>
      <c r="F381" s="415" t="s">
        <v>32</v>
      </c>
      <c r="G381" s="415"/>
      <c r="H381" s="409" t="s">
        <v>30</v>
      </c>
      <c r="I381" s="416">
        <v>11873.92</v>
      </c>
      <c r="J381" s="416"/>
      <c r="K381" s="412" t="s">
        <v>25</v>
      </c>
      <c r="L381" s="413">
        <v>663389.22</v>
      </c>
    </row>
    <row r="382" spans="1:12" ht="71.400000000000006" x14ac:dyDescent="0.3">
      <c r="A382" s="407" t="s">
        <v>103</v>
      </c>
      <c r="B382" s="408" t="s">
        <v>1025</v>
      </c>
      <c r="C382" s="408" t="s">
        <v>53</v>
      </c>
      <c r="D382" s="408" t="s">
        <v>1036</v>
      </c>
      <c r="E382" s="409" t="s">
        <v>54</v>
      </c>
      <c r="F382" s="415" t="s">
        <v>32</v>
      </c>
      <c r="G382" s="415"/>
      <c r="H382" s="409" t="s">
        <v>30</v>
      </c>
      <c r="I382" s="416">
        <v>7342.65</v>
      </c>
      <c r="J382" s="416"/>
      <c r="K382" s="412" t="s">
        <v>25</v>
      </c>
      <c r="L382" s="413">
        <v>656046.56999999995</v>
      </c>
    </row>
    <row r="383" spans="1:12" ht="71.400000000000006" x14ac:dyDescent="0.3">
      <c r="A383" s="407" t="s">
        <v>103</v>
      </c>
      <c r="B383" s="408" t="s">
        <v>1025</v>
      </c>
      <c r="C383" s="408" t="s">
        <v>53</v>
      </c>
      <c r="D383" s="408" t="s">
        <v>1037</v>
      </c>
      <c r="E383" s="409" t="s">
        <v>54</v>
      </c>
      <c r="F383" s="415" t="s">
        <v>32</v>
      </c>
      <c r="G383" s="415"/>
      <c r="H383" s="409" t="s">
        <v>30</v>
      </c>
      <c r="I383" s="416">
        <v>3118.63</v>
      </c>
      <c r="J383" s="416"/>
      <c r="K383" s="412" t="s">
        <v>25</v>
      </c>
      <c r="L383" s="413">
        <v>652927.93999999994</v>
      </c>
    </row>
    <row r="384" spans="1:12" ht="61.2" x14ac:dyDescent="0.3">
      <c r="A384" s="407" t="s">
        <v>103</v>
      </c>
      <c r="B384" s="408" t="s">
        <v>1025</v>
      </c>
      <c r="C384" s="408" t="s">
        <v>53</v>
      </c>
      <c r="D384" s="408" t="s">
        <v>1038</v>
      </c>
      <c r="E384" s="409" t="s">
        <v>54</v>
      </c>
      <c r="F384" s="415" t="s">
        <v>32</v>
      </c>
      <c r="G384" s="415"/>
      <c r="H384" s="409" t="s">
        <v>30</v>
      </c>
      <c r="I384" s="416">
        <v>8828.17</v>
      </c>
      <c r="J384" s="416"/>
      <c r="K384" s="412" t="s">
        <v>25</v>
      </c>
      <c r="L384" s="413">
        <v>644099.77</v>
      </c>
    </row>
    <row r="385" spans="1:12" ht="61.2" x14ac:dyDescent="0.3">
      <c r="A385" s="407" t="s">
        <v>103</v>
      </c>
      <c r="B385" s="408" t="s">
        <v>1025</v>
      </c>
      <c r="C385" s="408" t="s">
        <v>53</v>
      </c>
      <c r="D385" s="408" t="s">
        <v>1039</v>
      </c>
      <c r="E385" s="409" t="s">
        <v>54</v>
      </c>
      <c r="F385" s="415" t="s">
        <v>32</v>
      </c>
      <c r="G385" s="415"/>
      <c r="H385" s="409" t="s">
        <v>30</v>
      </c>
      <c r="I385" s="416">
        <v>4189.5</v>
      </c>
      <c r="J385" s="416"/>
      <c r="K385" s="412" t="s">
        <v>25</v>
      </c>
      <c r="L385" s="413">
        <v>639910.27</v>
      </c>
    </row>
    <row r="386" spans="1:12" ht="61.2" x14ac:dyDescent="0.3">
      <c r="A386" s="407" t="s">
        <v>103</v>
      </c>
      <c r="B386" s="408" t="s">
        <v>1025</v>
      </c>
      <c r="C386" s="408" t="s">
        <v>53</v>
      </c>
      <c r="D386" s="408" t="s">
        <v>851</v>
      </c>
      <c r="E386" s="409" t="s">
        <v>54</v>
      </c>
      <c r="F386" s="415" t="s">
        <v>32</v>
      </c>
      <c r="G386" s="415"/>
      <c r="H386" s="409" t="s">
        <v>30</v>
      </c>
      <c r="I386" s="416">
        <v>3649.52</v>
      </c>
      <c r="J386" s="416"/>
      <c r="K386" s="412" t="s">
        <v>25</v>
      </c>
      <c r="L386" s="413">
        <v>636260.75</v>
      </c>
    </row>
    <row r="387" spans="1:12" ht="71.400000000000006" x14ac:dyDescent="0.3">
      <c r="A387" s="407" t="s">
        <v>103</v>
      </c>
      <c r="B387" s="408" t="s">
        <v>1040</v>
      </c>
      <c r="C387" s="408" t="s">
        <v>53</v>
      </c>
      <c r="D387" s="408" t="s">
        <v>1041</v>
      </c>
      <c r="E387" s="409" t="s">
        <v>54</v>
      </c>
      <c r="F387" s="415" t="s">
        <v>32</v>
      </c>
      <c r="G387" s="415"/>
      <c r="H387" s="409" t="s">
        <v>30</v>
      </c>
      <c r="I387" s="417">
        <v>56.03</v>
      </c>
      <c r="J387" s="417"/>
      <c r="K387" s="412" t="s">
        <v>25</v>
      </c>
      <c r="L387" s="413">
        <v>636204.72</v>
      </c>
    </row>
    <row r="388" spans="1:12" ht="71.400000000000006" x14ac:dyDescent="0.3">
      <c r="A388" s="407" t="s">
        <v>103</v>
      </c>
      <c r="B388" s="408" t="s">
        <v>1042</v>
      </c>
      <c r="C388" s="408" t="s">
        <v>53</v>
      </c>
      <c r="D388" s="408" t="s">
        <v>474</v>
      </c>
      <c r="E388" s="409" t="s">
        <v>54</v>
      </c>
      <c r="F388" s="415" t="s">
        <v>32</v>
      </c>
      <c r="G388" s="415"/>
      <c r="H388" s="409" t="s">
        <v>30</v>
      </c>
      <c r="I388" s="416">
        <v>18970</v>
      </c>
      <c r="J388" s="416"/>
      <c r="K388" s="412" t="s">
        <v>25</v>
      </c>
      <c r="L388" s="413">
        <v>617234.72</v>
      </c>
    </row>
    <row r="389" spans="1:12" ht="91.8" hidden="1" x14ac:dyDescent="0.3">
      <c r="A389" s="407" t="s">
        <v>224</v>
      </c>
      <c r="B389" s="408" t="s">
        <v>1043</v>
      </c>
      <c r="C389" s="408" t="s">
        <v>1044</v>
      </c>
      <c r="D389" s="408" t="s">
        <v>1045</v>
      </c>
      <c r="E389" s="409" t="s">
        <v>30</v>
      </c>
      <c r="F389" s="410">
        <v>2276.3000000000002</v>
      </c>
      <c r="G389" s="410"/>
      <c r="H389" s="409" t="s">
        <v>31</v>
      </c>
      <c r="I389" s="411" t="s">
        <v>32</v>
      </c>
      <c r="J389" s="411"/>
      <c r="K389" s="412" t="s">
        <v>25</v>
      </c>
      <c r="L389" s="413">
        <v>619511.02</v>
      </c>
    </row>
    <row r="390" spans="1:12" ht="91.8" hidden="1" x14ac:dyDescent="0.3">
      <c r="A390" s="407" t="s">
        <v>224</v>
      </c>
      <c r="B390" s="408" t="s">
        <v>1043</v>
      </c>
      <c r="C390" s="408" t="s">
        <v>1046</v>
      </c>
      <c r="D390" s="408" t="s">
        <v>1045</v>
      </c>
      <c r="E390" s="409" t="s">
        <v>30</v>
      </c>
      <c r="F390" s="410">
        <v>1579.7</v>
      </c>
      <c r="G390" s="410"/>
      <c r="H390" s="409" t="s">
        <v>31</v>
      </c>
      <c r="I390" s="411" t="s">
        <v>32</v>
      </c>
      <c r="J390" s="411"/>
      <c r="K390" s="412" t="s">
        <v>25</v>
      </c>
      <c r="L390" s="413">
        <v>621090.72</v>
      </c>
    </row>
    <row r="391" spans="1:12" ht="91.8" hidden="1" x14ac:dyDescent="0.3">
      <c r="A391" s="407" t="s">
        <v>224</v>
      </c>
      <c r="B391" s="408" t="s">
        <v>1043</v>
      </c>
      <c r="C391" s="408" t="s">
        <v>1047</v>
      </c>
      <c r="D391" s="408" t="s">
        <v>1045</v>
      </c>
      <c r="E391" s="409" t="s">
        <v>30</v>
      </c>
      <c r="F391" s="410">
        <v>3376.4</v>
      </c>
      <c r="G391" s="410"/>
      <c r="H391" s="409" t="s">
        <v>31</v>
      </c>
      <c r="I391" s="411" t="s">
        <v>32</v>
      </c>
      <c r="J391" s="411"/>
      <c r="K391" s="412" t="s">
        <v>25</v>
      </c>
      <c r="L391" s="413">
        <v>624467.12</v>
      </c>
    </row>
    <row r="392" spans="1:12" ht="91.8" hidden="1" x14ac:dyDescent="0.3">
      <c r="A392" s="407" t="s">
        <v>224</v>
      </c>
      <c r="B392" s="408" t="s">
        <v>1043</v>
      </c>
      <c r="C392" s="408" t="s">
        <v>1048</v>
      </c>
      <c r="D392" s="408" t="s">
        <v>1045</v>
      </c>
      <c r="E392" s="409" t="s">
        <v>30</v>
      </c>
      <c r="F392" s="410">
        <v>4546.6000000000004</v>
      </c>
      <c r="G392" s="410"/>
      <c r="H392" s="409" t="s">
        <v>31</v>
      </c>
      <c r="I392" s="411" t="s">
        <v>32</v>
      </c>
      <c r="J392" s="411"/>
      <c r="K392" s="412" t="s">
        <v>25</v>
      </c>
      <c r="L392" s="413">
        <v>629013.72</v>
      </c>
    </row>
    <row r="393" spans="1:12" ht="91.8" hidden="1" x14ac:dyDescent="0.3">
      <c r="A393" s="407" t="s">
        <v>224</v>
      </c>
      <c r="B393" s="408" t="s">
        <v>1043</v>
      </c>
      <c r="C393" s="408" t="s">
        <v>1049</v>
      </c>
      <c r="D393" s="408" t="s">
        <v>1045</v>
      </c>
      <c r="E393" s="409" t="s">
        <v>30</v>
      </c>
      <c r="F393" s="410">
        <v>2274</v>
      </c>
      <c r="G393" s="410"/>
      <c r="H393" s="409" t="s">
        <v>31</v>
      </c>
      <c r="I393" s="411" t="s">
        <v>32</v>
      </c>
      <c r="J393" s="411"/>
      <c r="K393" s="412" t="s">
        <v>25</v>
      </c>
      <c r="L393" s="413">
        <v>631287.72</v>
      </c>
    </row>
    <row r="394" spans="1:12" ht="91.8" hidden="1" x14ac:dyDescent="0.3">
      <c r="A394" s="407" t="s">
        <v>224</v>
      </c>
      <c r="B394" s="408" t="s">
        <v>1043</v>
      </c>
      <c r="C394" s="408" t="s">
        <v>1050</v>
      </c>
      <c r="D394" s="408" t="s">
        <v>1045</v>
      </c>
      <c r="E394" s="409" t="s">
        <v>30</v>
      </c>
      <c r="F394" s="410">
        <v>1851.2</v>
      </c>
      <c r="G394" s="410"/>
      <c r="H394" s="409" t="s">
        <v>31</v>
      </c>
      <c r="I394" s="411" t="s">
        <v>32</v>
      </c>
      <c r="J394" s="411"/>
      <c r="K394" s="412" t="s">
        <v>25</v>
      </c>
      <c r="L394" s="413">
        <v>633138.92000000004</v>
      </c>
    </row>
    <row r="395" spans="1:12" ht="91.8" hidden="1" x14ac:dyDescent="0.3">
      <c r="A395" s="407" t="s">
        <v>224</v>
      </c>
      <c r="B395" s="408" t="s">
        <v>1043</v>
      </c>
      <c r="C395" s="408" t="s">
        <v>1051</v>
      </c>
      <c r="D395" s="408" t="s">
        <v>1045</v>
      </c>
      <c r="E395" s="409" t="s">
        <v>30</v>
      </c>
      <c r="F395" s="410">
        <v>4295.3</v>
      </c>
      <c r="G395" s="410"/>
      <c r="H395" s="409" t="s">
        <v>31</v>
      </c>
      <c r="I395" s="411" t="s">
        <v>32</v>
      </c>
      <c r="J395" s="411"/>
      <c r="K395" s="412" t="s">
        <v>25</v>
      </c>
      <c r="L395" s="413">
        <v>637434.22</v>
      </c>
    </row>
    <row r="396" spans="1:12" ht="91.8" hidden="1" x14ac:dyDescent="0.3">
      <c r="A396" s="407" t="s">
        <v>224</v>
      </c>
      <c r="B396" s="408" t="s">
        <v>1043</v>
      </c>
      <c r="C396" s="408" t="s">
        <v>1052</v>
      </c>
      <c r="D396" s="408" t="s">
        <v>1045</v>
      </c>
      <c r="E396" s="409" t="s">
        <v>30</v>
      </c>
      <c r="F396" s="410">
        <v>3183.2</v>
      </c>
      <c r="G396" s="410"/>
      <c r="H396" s="409" t="s">
        <v>31</v>
      </c>
      <c r="I396" s="411" t="s">
        <v>32</v>
      </c>
      <c r="J396" s="411"/>
      <c r="K396" s="412" t="s">
        <v>25</v>
      </c>
      <c r="L396" s="413">
        <v>640617.42000000004</v>
      </c>
    </row>
    <row r="397" spans="1:12" ht="91.8" hidden="1" x14ac:dyDescent="0.3">
      <c r="A397" s="407" t="s">
        <v>224</v>
      </c>
      <c r="B397" s="408" t="s">
        <v>1043</v>
      </c>
      <c r="C397" s="408" t="s">
        <v>1053</v>
      </c>
      <c r="D397" s="408" t="s">
        <v>1045</v>
      </c>
      <c r="E397" s="409" t="s">
        <v>30</v>
      </c>
      <c r="F397" s="410">
        <v>1057.5999999999999</v>
      </c>
      <c r="G397" s="410"/>
      <c r="H397" s="409" t="s">
        <v>31</v>
      </c>
      <c r="I397" s="411" t="s">
        <v>32</v>
      </c>
      <c r="J397" s="411"/>
      <c r="K397" s="412" t="s">
        <v>25</v>
      </c>
      <c r="L397" s="413">
        <v>641675.02</v>
      </c>
    </row>
    <row r="398" spans="1:12" ht="91.8" hidden="1" x14ac:dyDescent="0.3">
      <c r="A398" s="407" t="s">
        <v>224</v>
      </c>
      <c r="B398" s="408" t="s">
        <v>1043</v>
      </c>
      <c r="C398" s="408" t="s">
        <v>1054</v>
      </c>
      <c r="D398" s="408" t="s">
        <v>1045</v>
      </c>
      <c r="E398" s="409" t="s">
        <v>30</v>
      </c>
      <c r="F398" s="410">
        <v>2077.1</v>
      </c>
      <c r="G398" s="410"/>
      <c r="H398" s="409" t="s">
        <v>31</v>
      </c>
      <c r="I398" s="411" t="s">
        <v>32</v>
      </c>
      <c r="J398" s="411"/>
      <c r="K398" s="412" t="s">
        <v>25</v>
      </c>
      <c r="L398" s="413">
        <v>643752.12</v>
      </c>
    </row>
    <row r="399" spans="1:12" ht="91.8" hidden="1" x14ac:dyDescent="0.3">
      <c r="A399" s="407" t="s">
        <v>224</v>
      </c>
      <c r="B399" s="408" t="s">
        <v>1043</v>
      </c>
      <c r="C399" s="408" t="s">
        <v>1055</v>
      </c>
      <c r="D399" s="408" t="s">
        <v>1045</v>
      </c>
      <c r="E399" s="409" t="s">
        <v>30</v>
      </c>
      <c r="F399" s="410">
        <v>2154</v>
      </c>
      <c r="G399" s="410"/>
      <c r="H399" s="409" t="s">
        <v>31</v>
      </c>
      <c r="I399" s="411" t="s">
        <v>32</v>
      </c>
      <c r="J399" s="411"/>
      <c r="K399" s="412" t="s">
        <v>25</v>
      </c>
      <c r="L399" s="413">
        <v>645906.12</v>
      </c>
    </row>
    <row r="400" spans="1:12" ht="91.8" hidden="1" x14ac:dyDescent="0.3">
      <c r="A400" s="407" t="s">
        <v>224</v>
      </c>
      <c r="B400" s="408" t="s">
        <v>1043</v>
      </c>
      <c r="C400" s="408" t="s">
        <v>1056</v>
      </c>
      <c r="D400" s="408" t="s">
        <v>1045</v>
      </c>
      <c r="E400" s="409" t="s">
        <v>30</v>
      </c>
      <c r="F400" s="410">
        <v>1294.8</v>
      </c>
      <c r="G400" s="410"/>
      <c r="H400" s="409" t="s">
        <v>31</v>
      </c>
      <c r="I400" s="411" t="s">
        <v>32</v>
      </c>
      <c r="J400" s="411"/>
      <c r="K400" s="412" t="s">
        <v>25</v>
      </c>
      <c r="L400" s="413">
        <v>647200.92000000004</v>
      </c>
    </row>
    <row r="401" spans="1:12" ht="91.8" hidden="1" x14ac:dyDescent="0.3">
      <c r="A401" s="407" t="s">
        <v>224</v>
      </c>
      <c r="B401" s="408" t="s">
        <v>1043</v>
      </c>
      <c r="C401" s="408" t="s">
        <v>1057</v>
      </c>
      <c r="D401" s="408" t="s">
        <v>1045</v>
      </c>
      <c r="E401" s="409" t="s">
        <v>30</v>
      </c>
      <c r="F401" s="410">
        <v>3178.7</v>
      </c>
      <c r="G401" s="410"/>
      <c r="H401" s="409" t="s">
        <v>31</v>
      </c>
      <c r="I401" s="411" t="s">
        <v>32</v>
      </c>
      <c r="J401" s="411"/>
      <c r="K401" s="412" t="s">
        <v>25</v>
      </c>
      <c r="L401" s="413">
        <v>650379.62</v>
      </c>
    </row>
    <row r="402" spans="1:12" ht="91.8" hidden="1" x14ac:dyDescent="0.3">
      <c r="A402" s="407" t="s">
        <v>224</v>
      </c>
      <c r="B402" s="408" t="s">
        <v>1043</v>
      </c>
      <c r="C402" s="408" t="s">
        <v>1058</v>
      </c>
      <c r="D402" s="408" t="s">
        <v>1045</v>
      </c>
      <c r="E402" s="409" t="s">
        <v>30</v>
      </c>
      <c r="F402" s="410">
        <v>6054.6</v>
      </c>
      <c r="G402" s="410"/>
      <c r="H402" s="409" t="s">
        <v>31</v>
      </c>
      <c r="I402" s="411" t="s">
        <v>32</v>
      </c>
      <c r="J402" s="411"/>
      <c r="K402" s="412" t="s">
        <v>25</v>
      </c>
      <c r="L402" s="413">
        <v>656434.22</v>
      </c>
    </row>
    <row r="403" spans="1:12" ht="91.8" hidden="1" x14ac:dyDescent="0.3">
      <c r="A403" s="407" t="s">
        <v>224</v>
      </c>
      <c r="B403" s="408" t="s">
        <v>1043</v>
      </c>
      <c r="C403" s="408" t="s">
        <v>1059</v>
      </c>
      <c r="D403" s="408" t="s">
        <v>1045</v>
      </c>
      <c r="E403" s="409" t="s">
        <v>30</v>
      </c>
      <c r="F403" s="410">
        <v>1170.2</v>
      </c>
      <c r="G403" s="410"/>
      <c r="H403" s="409" t="s">
        <v>31</v>
      </c>
      <c r="I403" s="411" t="s">
        <v>32</v>
      </c>
      <c r="J403" s="411"/>
      <c r="K403" s="412" t="s">
        <v>25</v>
      </c>
      <c r="L403" s="413">
        <v>657604.42000000004</v>
      </c>
    </row>
    <row r="404" spans="1:12" ht="91.8" hidden="1" x14ac:dyDescent="0.3">
      <c r="A404" s="407" t="s">
        <v>224</v>
      </c>
      <c r="B404" s="408" t="s">
        <v>1043</v>
      </c>
      <c r="C404" s="408" t="s">
        <v>1060</v>
      </c>
      <c r="D404" s="408" t="s">
        <v>1045</v>
      </c>
      <c r="E404" s="409" t="s">
        <v>30</v>
      </c>
      <c r="F404" s="410">
        <v>1170.2</v>
      </c>
      <c r="G404" s="410"/>
      <c r="H404" s="409" t="s">
        <v>31</v>
      </c>
      <c r="I404" s="411" t="s">
        <v>32</v>
      </c>
      <c r="J404" s="411"/>
      <c r="K404" s="412" t="s">
        <v>25</v>
      </c>
      <c r="L404" s="413">
        <v>658774.62</v>
      </c>
    </row>
    <row r="405" spans="1:12" ht="91.8" hidden="1" x14ac:dyDescent="0.3">
      <c r="A405" s="407" t="s">
        <v>224</v>
      </c>
      <c r="B405" s="408" t="s">
        <v>1043</v>
      </c>
      <c r="C405" s="408" t="s">
        <v>1061</v>
      </c>
      <c r="D405" s="408" t="s">
        <v>1045</v>
      </c>
      <c r="E405" s="409" t="s">
        <v>30</v>
      </c>
      <c r="F405" s="410">
        <v>1851.2</v>
      </c>
      <c r="G405" s="410"/>
      <c r="H405" s="409" t="s">
        <v>31</v>
      </c>
      <c r="I405" s="411" t="s">
        <v>32</v>
      </c>
      <c r="J405" s="411"/>
      <c r="K405" s="412" t="s">
        <v>25</v>
      </c>
      <c r="L405" s="413">
        <v>660625.81999999995</v>
      </c>
    </row>
    <row r="406" spans="1:12" ht="91.8" hidden="1" x14ac:dyDescent="0.3">
      <c r="A406" s="407" t="s">
        <v>224</v>
      </c>
      <c r="B406" s="408" t="s">
        <v>1043</v>
      </c>
      <c r="C406" s="408" t="s">
        <v>1062</v>
      </c>
      <c r="D406" s="408" t="s">
        <v>1045</v>
      </c>
      <c r="E406" s="409" t="s">
        <v>30</v>
      </c>
      <c r="F406" s="410">
        <v>6963.2</v>
      </c>
      <c r="G406" s="410"/>
      <c r="H406" s="409" t="s">
        <v>31</v>
      </c>
      <c r="I406" s="411" t="s">
        <v>32</v>
      </c>
      <c r="J406" s="411"/>
      <c r="K406" s="412" t="s">
        <v>25</v>
      </c>
      <c r="L406" s="413">
        <v>667589.02</v>
      </c>
    </row>
    <row r="407" spans="1:12" ht="91.8" hidden="1" x14ac:dyDescent="0.3">
      <c r="A407" s="407" t="s">
        <v>224</v>
      </c>
      <c r="B407" s="408" t="s">
        <v>1043</v>
      </c>
      <c r="C407" s="408" t="s">
        <v>1063</v>
      </c>
      <c r="D407" s="408" t="s">
        <v>1045</v>
      </c>
      <c r="E407" s="409" t="s">
        <v>30</v>
      </c>
      <c r="F407" s="410">
        <v>3669.5</v>
      </c>
      <c r="G407" s="410"/>
      <c r="H407" s="409" t="s">
        <v>31</v>
      </c>
      <c r="I407" s="411" t="s">
        <v>32</v>
      </c>
      <c r="J407" s="411"/>
      <c r="K407" s="412" t="s">
        <v>25</v>
      </c>
      <c r="L407" s="413">
        <v>671258.52</v>
      </c>
    </row>
    <row r="408" spans="1:12" ht="91.8" hidden="1" x14ac:dyDescent="0.3">
      <c r="A408" s="407" t="s">
        <v>224</v>
      </c>
      <c r="B408" s="408" t="s">
        <v>1043</v>
      </c>
      <c r="C408" s="408" t="s">
        <v>1064</v>
      </c>
      <c r="D408" s="408" t="s">
        <v>1045</v>
      </c>
      <c r="E408" s="409" t="s">
        <v>30</v>
      </c>
      <c r="F408" s="410">
        <v>3819.4</v>
      </c>
      <c r="G408" s="410"/>
      <c r="H408" s="409" t="s">
        <v>31</v>
      </c>
      <c r="I408" s="411" t="s">
        <v>32</v>
      </c>
      <c r="J408" s="411"/>
      <c r="K408" s="412" t="s">
        <v>25</v>
      </c>
      <c r="L408" s="413">
        <v>675077.92</v>
      </c>
    </row>
    <row r="409" spans="1:12" ht="91.8" hidden="1" x14ac:dyDescent="0.3">
      <c r="A409" s="407" t="s">
        <v>224</v>
      </c>
      <c r="B409" s="408" t="s">
        <v>1043</v>
      </c>
      <c r="C409" s="408" t="s">
        <v>1065</v>
      </c>
      <c r="D409" s="408" t="s">
        <v>1045</v>
      </c>
      <c r="E409" s="409" t="s">
        <v>30</v>
      </c>
      <c r="F409" s="410">
        <v>1819.8</v>
      </c>
      <c r="G409" s="410"/>
      <c r="H409" s="409" t="s">
        <v>31</v>
      </c>
      <c r="I409" s="411" t="s">
        <v>32</v>
      </c>
      <c r="J409" s="411"/>
      <c r="K409" s="412" t="s">
        <v>25</v>
      </c>
      <c r="L409" s="413">
        <v>676897.72</v>
      </c>
    </row>
    <row r="410" spans="1:12" ht="91.8" hidden="1" x14ac:dyDescent="0.3">
      <c r="A410" s="407" t="s">
        <v>224</v>
      </c>
      <c r="B410" s="408" t="s">
        <v>1043</v>
      </c>
      <c r="C410" s="408" t="s">
        <v>1066</v>
      </c>
      <c r="D410" s="408" t="s">
        <v>1045</v>
      </c>
      <c r="E410" s="409" t="s">
        <v>30</v>
      </c>
      <c r="F410" s="410">
        <v>3504.7</v>
      </c>
      <c r="G410" s="410"/>
      <c r="H410" s="409" t="s">
        <v>31</v>
      </c>
      <c r="I410" s="411" t="s">
        <v>32</v>
      </c>
      <c r="J410" s="411"/>
      <c r="K410" s="412" t="s">
        <v>25</v>
      </c>
      <c r="L410" s="413">
        <v>680402.42</v>
      </c>
    </row>
    <row r="411" spans="1:12" ht="91.8" hidden="1" x14ac:dyDescent="0.3">
      <c r="A411" s="407" t="s">
        <v>224</v>
      </c>
      <c r="B411" s="408" t="s">
        <v>1043</v>
      </c>
      <c r="C411" s="408" t="s">
        <v>1067</v>
      </c>
      <c r="D411" s="408" t="s">
        <v>1045</v>
      </c>
      <c r="E411" s="409" t="s">
        <v>30</v>
      </c>
      <c r="F411" s="410">
        <v>1460.3</v>
      </c>
      <c r="G411" s="410"/>
      <c r="H411" s="409" t="s">
        <v>31</v>
      </c>
      <c r="I411" s="411" t="s">
        <v>32</v>
      </c>
      <c r="J411" s="411"/>
      <c r="K411" s="412" t="s">
        <v>25</v>
      </c>
      <c r="L411" s="413">
        <v>681862.72</v>
      </c>
    </row>
    <row r="412" spans="1:12" ht="91.8" hidden="1" x14ac:dyDescent="0.3">
      <c r="A412" s="407" t="s">
        <v>224</v>
      </c>
      <c r="B412" s="408" t="s">
        <v>1043</v>
      </c>
      <c r="C412" s="408" t="s">
        <v>1068</v>
      </c>
      <c r="D412" s="408" t="s">
        <v>1045</v>
      </c>
      <c r="E412" s="409" t="s">
        <v>30</v>
      </c>
      <c r="F412" s="410">
        <v>4175.1000000000004</v>
      </c>
      <c r="G412" s="410"/>
      <c r="H412" s="409" t="s">
        <v>31</v>
      </c>
      <c r="I412" s="411" t="s">
        <v>32</v>
      </c>
      <c r="J412" s="411"/>
      <c r="K412" s="412" t="s">
        <v>25</v>
      </c>
      <c r="L412" s="413">
        <v>686037.82</v>
      </c>
    </row>
    <row r="413" spans="1:12" ht="91.8" hidden="1" x14ac:dyDescent="0.3">
      <c r="A413" s="407" t="s">
        <v>224</v>
      </c>
      <c r="B413" s="408" t="s">
        <v>1043</v>
      </c>
      <c r="C413" s="408" t="s">
        <v>1069</v>
      </c>
      <c r="D413" s="408" t="s">
        <v>1045</v>
      </c>
      <c r="E413" s="409" t="s">
        <v>30</v>
      </c>
      <c r="F413" s="410">
        <v>1834</v>
      </c>
      <c r="G413" s="410"/>
      <c r="H413" s="409" t="s">
        <v>31</v>
      </c>
      <c r="I413" s="411" t="s">
        <v>32</v>
      </c>
      <c r="J413" s="411"/>
      <c r="K413" s="412" t="s">
        <v>25</v>
      </c>
      <c r="L413" s="413">
        <v>687871.82</v>
      </c>
    </row>
    <row r="414" spans="1:12" ht="91.8" hidden="1" x14ac:dyDescent="0.3">
      <c r="A414" s="407" t="s">
        <v>224</v>
      </c>
      <c r="B414" s="408" t="s">
        <v>1043</v>
      </c>
      <c r="C414" s="408" t="s">
        <v>1070</v>
      </c>
      <c r="D414" s="408" t="s">
        <v>1045</v>
      </c>
      <c r="E414" s="409" t="s">
        <v>30</v>
      </c>
      <c r="F414" s="410">
        <v>1468.5</v>
      </c>
      <c r="G414" s="410"/>
      <c r="H414" s="409" t="s">
        <v>31</v>
      </c>
      <c r="I414" s="411" t="s">
        <v>32</v>
      </c>
      <c r="J414" s="411"/>
      <c r="K414" s="412" t="s">
        <v>25</v>
      </c>
      <c r="L414" s="413">
        <v>689340.32</v>
      </c>
    </row>
    <row r="415" spans="1:12" ht="91.8" hidden="1" x14ac:dyDescent="0.3">
      <c r="A415" s="407" t="s">
        <v>224</v>
      </c>
      <c r="B415" s="408" t="s">
        <v>1043</v>
      </c>
      <c r="C415" s="408" t="s">
        <v>1071</v>
      </c>
      <c r="D415" s="408" t="s">
        <v>1045</v>
      </c>
      <c r="E415" s="409" t="s">
        <v>30</v>
      </c>
      <c r="F415" s="410">
        <v>1524.5</v>
      </c>
      <c r="G415" s="410"/>
      <c r="H415" s="409" t="s">
        <v>31</v>
      </c>
      <c r="I415" s="411" t="s">
        <v>32</v>
      </c>
      <c r="J415" s="411"/>
      <c r="K415" s="412" t="s">
        <v>25</v>
      </c>
      <c r="L415" s="413">
        <v>690864.82</v>
      </c>
    </row>
    <row r="416" spans="1:12" ht="91.8" hidden="1" x14ac:dyDescent="0.3">
      <c r="A416" s="407" t="s">
        <v>224</v>
      </c>
      <c r="B416" s="408" t="s">
        <v>1043</v>
      </c>
      <c r="C416" s="408" t="s">
        <v>1072</v>
      </c>
      <c r="D416" s="408" t="s">
        <v>1045</v>
      </c>
      <c r="E416" s="409" t="s">
        <v>30</v>
      </c>
      <c r="F416" s="410">
        <v>1840</v>
      </c>
      <c r="G416" s="410"/>
      <c r="H416" s="409" t="s">
        <v>31</v>
      </c>
      <c r="I416" s="411" t="s">
        <v>32</v>
      </c>
      <c r="J416" s="411"/>
      <c r="K416" s="412" t="s">
        <v>25</v>
      </c>
      <c r="L416" s="413">
        <v>692704.82</v>
      </c>
    </row>
    <row r="417" spans="1:12" ht="91.8" hidden="1" x14ac:dyDescent="0.3">
      <c r="A417" s="407" t="s">
        <v>224</v>
      </c>
      <c r="B417" s="408" t="s">
        <v>1043</v>
      </c>
      <c r="C417" s="408" t="s">
        <v>1073</v>
      </c>
      <c r="D417" s="408" t="s">
        <v>1045</v>
      </c>
      <c r="E417" s="409" t="s">
        <v>30</v>
      </c>
      <c r="F417" s="410">
        <v>1830.3</v>
      </c>
      <c r="G417" s="410"/>
      <c r="H417" s="409" t="s">
        <v>31</v>
      </c>
      <c r="I417" s="411" t="s">
        <v>32</v>
      </c>
      <c r="J417" s="411"/>
      <c r="K417" s="412" t="s">
        <v>25</v>
      </c>
      <c r="L417" s="413">
        <v>694535.12</v>
      </c>
    </row>
    <row r="418" spans="1:12" ht="91.8" hidden="1" x14ac:dyDescent="0.3">
      <c r="A418" s="407" t="s">
        <v>224</v>
      </c>
      <c r="B418" s="408" t="s">
        <v>1043</v>
      </c>
      <c r="C418" s="408" t="s">
        <v>1074</v>
      </c>
      <c r="D418" s="408" t="s">
        <v>1045</v>
      </c>
      <c r="E418" s="409" t="s">
        <v>30</v>
      </c>
      <c r="F418" s="414">
        <v>791.3</v>
      </c>
      <c r="G418" s="414"/>
      <c r="H418" s="409" t="s">
        <v>31</v>
      </c>
      <c r="I418" s="411" t="s">
        <v>32</v>
      </c>
      <c r="J418" s="411"/>
      <c r="K418" s="412" t="s">
        <v>25</v>
      </c>
      <c r="L418" s="413">
        <v>695326.42</v>
      </c>
    </row>
    <row r="419" spans="1:12" ht="91.8" hidden="1" x14ac:dyDescent="0.3">
      <c r="A419" s="407" t="s">
        <v>224</v>
      </c>
      <c r="B419" s="408" t="s">
        <v>1043</v>
      </c>
      <c r="C419" s="408" t="s">
        <v>1075</v>
      </c>
      <c r="D419" s="408" t="s">
        <v>1045</v>
      </c>
      <c r="E419" s="409" t="s">
        <v>30</v>
      </c>
      <c r="F419" s="410">
        <v>2255.4</v>
      </c>
      <c r="G419" s="410"/>
      <c r="H419" s="409" t="s">
        <v>31</v>
      </c>
      <c r="I419" s="411" t="s">
        <v>32</v>
      </c>
      <c r="J419" s="411"/>
      <c r="K419" s="412" t="s">
        <v>25</v>
      </c>
      <c r="L419" s="413">
        <v>697581.82</v>
      </c>
    </row>
    <row r="420" spans="1:12" ht="91.8" hidden="1" x14ac:dyDescent="0.3">
      <c r="A420" s="407" t="s">
        <v>224</v>
      </c>
      <c r="B420" s="408" t="s">
        <v>1043</v>
      </c>
      <c r="C420" s="408" t="s">
        <v>1076</v>
      </c>
      <c r="D420" s="408" t="s">
        <v>1045</v>
      </c>
      <c r="E420" s="409" t="s">
        <v>30</v>
      </c>
      <c r="F420" s="410">
        <v>2046.6</v>
      </c>
      <c r="G420" s="410"/>
      <c r="H420" s="409" t="s">
        <v>31</v>
      </c>
      <c r="I420" s="411" t="s">
        <v>32</v>
      </c>
      <c r="J420" s="411"/>
      <c r="K420" s="412" t="s">
        <v>25</v>
      </c>
      <c r="L420" s="413">
        <v>699628.42</v>
      </c>
    </row>
    <row r="421" spans="1:12" ht="91.8" hidden="1" x14ac:dyDescent="0.3">
      <c r="A421" s="407" t="s">
        <v>224</v>
      </c>
      <c r="B421" s="408" t="s">
        <v>1043</v>
      </c>
      <c r="C421" s="408" t="s">
        <v>1077</v>
      </c>
      <c r="D421" s="408" t="s">
        <v>1045</v>
      </c>
      <c r="E421" s="409" t="s">
        <v>30</v>
      </c>
      <c r="F421" s="410">
        <v>3994.7</v>
      </c>
      <c r="G421" s="410"/>
      <c r="H421" s="409" t="s">
        <v>31</v>
      </c>
      <c r="I421" s="411" t="s">
        <v>32</v>
      </c>
      <c r="J421" s="411"/>
      <c r="K421" s="412" t="s">
        <v>25</v>
      </c>
      <c r="L421" s="413">
        <v>703623.12</v>
      </c>
    </row>
    <row r="422" spans="1:12" ht="91.8" hidden="1" x14ac:dyDescent="0.3">
      <c r="A422" s="407" t="s">
        <v>224</v>
      </c>
      <c r="B422" s="408" t="s">
        <v>1043</v>
      </c>
      <c r="C422" s="408" t="s">
        <v>1078</v>
      </c>
      <c r="D422" s="408" t="s">
        <v>1045</v>
      </c>
      <c r="E422" s="409" t="s">
        <v>30</v>
      </c>
      <c r="F422" s="410">
        <v>4283.3</v>
      </c>
      <c r="G422" s="410"/>
      <c r="H422" s="409" t="s">
        <v>31</v>
      </c>
      <c r="I422" s="411" t="s">
        <v>32</v>
      </c>
      <c r="J422" s="411"/>
      <c r="K422" s="412" t="s">
        <v>25</v>
      </c>
      <c r="L422" s="413">
        <v>707906.42</v>
      </c>
    </row>
    <row r="423" spans="1:12" ht="91.8" hidden="1" x14ac:dyDescent="0.3">
      <c r="A423" s="407" t="s">
        <v>224</v>
      </c>
      <c r="B423" s="408" t="s">
        <v>1043</v>
      </c>
      <c r="C423" s="408" t="s">
        <v>1079</v>
      </c>
      <c r="D423" s="408" t="s">
        <v>1045</v>
      </c>
      <c r="E423" s="409" t="s">
        <v>30</v>
      </c>
      <c r="F423" s="410">
        <v>1910.1</v>
      </c>
      <c r="G423" s="410"/>
      <c r="H423" s="409" t="s">
        <v>31</v>
      </c>
      <c r="I423" s="411" t="s">
        <v>32</v>
      </c>
      <c r="J423" s="411"/>
      <c r="K423" s="412" t="s">
        <v>25</v>
      </c>
      <c r="L423" s="413">
        <v>709816.52</v>
      </c>
    </row>
    <row r="424" spans="1:12" ht="91.8" hidden="1" x14ac:dyDescent="0.3">
      <c r="A424" s="407" t="s">
        <v>224</v>
      </c>
      <c r="B424" s="408" t="s">
        <v>1043</v>
      </c>
      <c r="C424" s="408" t="s">
        <v>1080</v>
      </c>
      <c r="D424" s="408" t="s">
        <v>1045</v>
      </c>
      <c r="E424" s="409" t="s">
        <v>30</v>
      </c>
      <c r="F424" s="410">
        <v>1892.2</v>
      </c>
      <c r="G424" s="410"/>
      <c r="H424" s="409" t="s">
        <v>31</v>
      </c>
      <c r="I424" s="411" t="s">
        <v>32</v>
      </c>
      <c r="J424" s="411"/>
      <c r="K424" s="412" t="s">
        <v>25</v>
      </c>
      <c r="L424" s="413">
        <v>711708.72</v>
      </c>
    </row>
    <row r="425" spans="1:12" ht="91.8" hidden="1" x14ac:dyDescent="0.3">
      <c r="A425" s="407" t="s">
        <v>224</v>
      </c>
      <c r="B425" s="408" t="s">
        <v>1043</v>
      </c>
      <c r="C425" s="408" t="s">
        <v>1081</v>
      </c>
      <c r="D425" s="408" t="s">
        <v>1045</v>
      </c>
      <c r="E425" s="409" t="s">
        <v>30</v>
      </c>
      <c r="F425" s="410">
        <v>3559.9</v>
      </c>
      <c r="G425" s="410"/>
      <c r="H425" s="409" t="s">
        <v>31</v>
      </c>
      <c r="I425" s="411" t="s">
        <v>32</v>
      </c>
      <c r="J425" s="411"/>
      <c r="K425" s="412" t="s">
        <v>25</v>
      </c>
      <c r="L425" s="413">
        <v>715268.62</v>
      </c>
    </row>
    <row r="426" spans="1:12" ht="91.8" hidden="1" x14ac:dyDescent="0.3">
      <c r="A426" s="407" t="s">
        <v>224</v>
      </c>
      <c r="B426" s="408" t="s">
        <v>1043</v>
      </c>
      <c r="C426" s="408" t="s">
        <v>1082</v>
      </c>
      <c r="D426" s="408" t="s">
        <v>1045</v>
      </c>
      <c r="E426" s="409" t="s">
        <v>30</v>
      </c>
      <c r="F426" s="410">
        <v>1987.6</v>
      </c>
      <c r="G426" s="410"/>
      <c r="H426" s="409" t="s">
        <v>31</v>
      </c>
      <c r="I426" s="411" t="s">
        <v>32</v>
      </c>
      <c r="J426" s="411"/>
      <c r="K426" s="412" t="s">
        <v>25</v>
      </c>
      <c r="L426" s="413">
        <v>717256.22</v>
      </c>
    </row>
    <row r="427" spans="1:12" ht="91.8" hidden="1" x14ac:dyDescent="0.3">
      <c r="A427" s="407" t="s">
        <v>224</v>
      </c>
      <c r="B427" s="408" t="s">
        <v>1043</v>
      </c>
      <c r="C427" s="408" t="s">
        <v>1083</v>
      </c>
      <c r="D427" s="408" t="s">
        <v>1045</v>
      </c>
      <c r="E427" s="409" t="s">
        <v>30</v>
      </c>
      <c r="F427" s="410">
        <v>10538.5</v>
      </c>
      <c r="G427" s="410"/>
      <c r="H427" s="409" t="s">
        <v>31</v>
      </c>
      <c r="I427" s="411" t="s">
        <v>32</v>
      </c>
      <c r="J427" s="411"/>
      <c r="K427" s="412" t="s">
        <v>25</v>
      </c>
      <c r="L427" s="413">
        <v>727794.72</v>
      </c>
    </row>
    <row r="428" spans="1:12" ht="91.8" hidden="1" x14ac:dyDescent="0.3">
      <c r="A428" s="407" t="s">
        <v>224</v>
      </c>
      <c r="B428" s="408" t="s">
        <v>1043</v>
      </c>
      <c r="C428" s="408" t="s">
        <v>1083</v>
      </c>
      <c r="D428" s="408" t="s">
        <v>1045</v>
      </c>
      <c r="E428" s="409" t="s">
        <v>30</v>
      </c>
      <c r="F428" s="410">
        <v>2112.1999999999998</v>
      </c>
      <c r="G428" s="410"/>
      <c r="H428" s="409" t="s">
        <v>31</v>
      </c>
      <c r="I428" s="411" t="s">
        <v>32</v>
      </c>
      <c r="J428" s="411"/>
      <c r="K428" s="412" t="s">
        <v>25</v>
      </c>
      <c r="L428" s="413">
        <v>729906.92</v>
      </c>
    </row>
    <row r="429" spans="1:12" ht="91.8" hidden="1" x14ac:dyDescent="0.3">
      <c r="A429" s="407" t="s">
        <v>224</v>
      </c>
      <c r="B429" s="408" t="s">
        <v>1043</v>
      </c>
      <c r="C429" s="408" t="s">
        <v>1084</v>
      </c>
      <c r="D429" s="408" t="s">
        <v>1045</v>
      </c>
      <c r="E429" s="409" t="s">
        <v>30</v>
      </c>
      <c r="F429" s="410">
        <v>2179.3000000000002</v>
      </c>
      <c r="G429" s="410"/>
      <c r="H429" s="409" t="s">
        <v>31</v>
      </c>
      <c r="I429" s="411" t="s">
        <v>32</v>
      </c>
      <c r="J429" s="411"/>
      <c r="K429" s="412" t="s">
        <v>25</v>
      </c>
      <c r="L429" s="413">
        <v>732086.22</v>
      </c>
    </row>
    <row r="430" spans="1:12" ht="91.8" hidden="1" x14ac:dyDescent="0.3">
      <c r="A430" s="407" t="s">
        <v>224</v>
      </c>
      <c r="B430" s="408" t="s">
        <v>1043</v>
      </c>
      <c r="C430" s="408" t="s">
        <v>1085</v>
      </c>
      <c r="D430" s="408" t="s">
        <v>1045</v>
      </c>
      <c r="E430" s="409" t="s">
        <v>30</v>
      </c>
      <c r="F430" s="410">
        <v>3986.5</v>
      </c>
      <c r="G430" s="410"/>
      <c r="H430" s="409" t="s">
        <v>31</v>
      </c>
      <c r="I430" s="411" t="s">
        <v>32</v>
      </c>
      <c r="J430" s="411"/>
      <c r="K430" s="412" t="s">
        <v>25</v>
      </c>
      <c r="L430" s="413">
        <v>736072.72</v>
      </c>
    </row>
    <row r="431" spans="1:12" ht="91.8" hidden="1" x14ac:dyDescent="0.3">
      <c r="A431" s="407" t="s">
        <v>224</v>
      </c>
      <c r="B431" s="408" t="s">
        <v>1043</v>
      </c>
      <c r="C431" s="408" t="s">
        <v>1085</v>
      </c>
      <c r="D431" s="408" t="s">
        <v>1045</v>
      </c>
      <c r="E431" s="409" t="s">
        <v>30</v>
      </c>
      <c r="F431" s="410">
        <v>21655.5</v>
      </c>
      <c r="G431" s="410"/>
      <c r="H431" s="409" t="s">
        <v>31</v>
      </c>
      <c r="I431" s="411" t="s">
        <v>32</v>
      </c>
      <c r="J431" s="411"/>
      <c r="K431" s="412" t="s">
        <v>25</v>
      </c>
      <c r="L431" s="413">
        <v>757728.22</v>
      </c>
    </row>
    <row r="432" spans="1:12" ht="91.8" hidden="1" x14ac:dyDescent="0.3">
      <c r="A432" s="407" t="s">
        <v>224</v>
      </c>
      <c r="B432" s="408" t="s">
        <v>1043</v>
      </c>
      <c r="C432" s="408" t="s">
        <v>1086</v>
      </c>
      <c r="D432" s="408" t="s">
        <v>1045</v>
      </c>
      <c r="E432" s="409" t="s">
        <v>30</v>
      </c>
      <c r="F432" s="410">
        <v>5006</v>
      </c>
      <c r="G432" s="410"/>
      <c r="H432" s="409" t="s">
        <v>31</v>
      </c>
      <c r="I432" s="411" t="s">
        <v>32</v>
      </c>
      <c r="J432" s="411"/>
      <c r="K432" s="412" t="s">
        <v>25</v>
      </c>
      <c r="L432" s="413">
        <v>762734.22</v>
      </c>
    </row>
    <row r="433" spans="1:12" ht="91.8" hidden="1" x14ac:dyDescent="0.3">
      <c r="A433" s="407" t="s">
        <v>224</v>
      </c>
      <c r="B433" s="408" t="s">
        <v>1043</v>
      </c>
      <c r="C433" s="408" t="s">
        <v>1087</v>
      </c>
      <c r="D433" s="408" t="s">
        <v>1045</v>
      </c>
      <c r="E433" s="409" t="s">
        <v>30</v>
      </c>
      <c r="F433" s="410">
        <v>3595.7</v>
      </c>
      <c r="G433" s="410"/>
      <c r="H433" s="409" t="s">
        <v>31</v>
      </c>
      <c r="I433" s="411" t="s">
        <v>32</v>
      </c>
      <c r="J433" s="411"/>
      <c r="K433" s="412" t="s">
        <v>25</v>
      </c>
      <c r="L433" s="413">
        <v>766329.92</v>
      </c>
    </row>
    <row r="434" spans="1:12" ht="91.8" hidden="1" x14ac:dyDescent="0.3">
      <c r="A434" s="407" t="s">
        <v>224</v>
      </c>
      <c r="B434" s="408" t="s">
        <v>1088</v>
      </c>
      <c r="C434" s="408" t="s">
        <v>1087</v>
      </c>
      <c r="D434" s="408" t="s">
        <v>1045</v>
      </c>
      <c r="E434" s="409" t="s">
        <v>30</v>
      </c>
      <c r="F434" s="410">
        <v>6929.88</v>
      </c>
      <c r="G434" s="410"/>
      <c r="H434" s="409" t="s">
        <v>31</v>
      </c>
      <c r="I434" s="411" t="s">
        <v>32</v>
      </c>
      <c r="J434" s="411"/>
      <c r="K434" s="412" t="s">
        <v>25</v>
      </c>
      <c r="L434" s="413">
        <v>773259.8</v>
      </c>
    </row>
    <row r="435" spans="1:12" ht="91.8" hidden="1" x14ac:dyDescent="0.3">
      <c r="A435" s="407" t="s">
        <v>224</v>
      </c>
      <c r="B435" s="408" t="s">
        <v>1043</v>
      </c>
      <c r="C435" s="408" t="s">
        <v>1087</v>
      </c>
      <c r="D435" s="408" t="s">
        <v>1045</v>
      </c>
      <c r="E435" s="409" t="s">
        <v>30</v>
      </c>
      <c r="F435" s="410">
        <v>10959.12</v>
      </c>
      <c r="G435" s="410"/>
      <c r="H435" s="409" t="s">
        <v>31</v>
      </c>
      <c r="I435" s="411" t="s">
        <v>32</v>
      </c>
      <c r="J435" s="411"/>
      <c r="K435" s="412" t="s">
        <v>25</v>
      </c>
      <c r="L435" s="413">
        <v>784218.92</v>
      </c>
    </row>
    <row r="436" spans="1:12" ht="91.8" hidden="1" x14ac:dyDescent="0.3">
      <c r="A436" s="407" t="s">
        <v>224</v>
      </c>
      <c r="B436" s="408" t="s">
        <v>1088</v>
      </c>
      <c r="C436" s="408" t="s">
        <v>1089</v>
      </c>
      <c r="D436" s="408" t="s">
        <v>1045</v>
      </c>
      <c r="E436" s="409" t="s">
        <v>30</v>
      </c>
      <c r="F436" s="410">
        <v>4240.1000000000004</v>
      </c>
      <c r="G436" s="410"/>
      <c r="H436" s="409" t="s">
        <v>31</v>
      </c>
      <c r="I436" s="411" t="s">
        <v>32</v>
      </c>
      <c r="J436" s="411"/>
      <c r="K436" s="412" t="s">
        <v>25</v>
      </c>
      <c r="L436" s="413">
        <v>788459.02</v>
      </c>
    </row>
    <row r="437" spans="1:12" ht="91.8" hidden="1" x14ac:dyDescent="0.3">
      <c r="A437" s="407" t="s">
        <v>224</v>
      </c>
      <c r="B437" s="408" t="s">
        <v>1088</v>
      </c>
      <c r="C437" s="408" t="s">
        <v>1090</v>
      </c>
      <c r="D437" s="408" t="s">
        <v>1045</v>
      </c>
      <c r="E437" s="409" t="s">
        <v>30</v>
      </c>
      <c r="F437" s="410">
        <v>3761.2</v>
      </c>
      <c r="G437" s="410"/>
      <c r="H437" s="409" t="s">
        <v>31</v>
      </c>
      <c r="I437" s="411" t="s">
        <v>32</v>
      </c>
      <c r="J437" s="411"/>
      <c r="K437" s="412" t="s">
        <v>25</v>
      </c>
      <c r="L437" s="413">
        <v>792220.22</v>
      </c>
    </row>
    <row r="438" spans="1:12" ht="91.8" hidden="1" x14ac:dyDescent="0.3">
      <c r="A438" s="407" t="s">
        <v>224</v>
      </c>
      <c r="B438" s="408" t="s">
        <v>1088</v>
      </c>
      <c r="C438" s="408" t="s">
        <v>1091</v>
      </c>
      <c r="D438" s="408" t="s">
        <v>1045</v>
      </c>
      <c r="E438" s="409" t="s">
        <v>30</v>
      </c>
      <c r="F438" s="410">
        <v>3299.6</v>
      </c>
      <c r="G438" s="410"/>
      <c r="H438" s="409" t="s">
        <v>31</v>
      </c>
      <c r="I438" s="411" t="s">
        <v>32</v>
      </c>
      <c r="J438" s="411"/>
      <c r="K438" s="412" t="s">
        <v>25</v>
      </c>
      <c r="L438" s="413">
        <v>795519.82</v>
      </c>
    </row>
    <row r="439" spans="1:12" ht="91.8" hidden="1" x14ac:dyDescent="0.3">
      <c r="A439" s="407" t="s">
        <v>224</v>
      </c>
      <c r="B439" s="408" t="s">
        <v>1088</v>
      </c>
      <c r="C439" s="408" t="s">
        <v>1092</v>
      </c>
      <c r="D439" s="408" t="s">
        <v>1045</v>
      </c>
      <c r="E439" s="409" t="s">
        <v>30</v>
      </c>
      <c r="F439" s="410">
        <v>2107.6999999999998</v>
      </c>
      <c r="G439" s="410"/>
      <c r="H439" s="409" t="s">
        <v>31</v>
      </c>
      <c r="I439" s="411" t="s">
        <v>32</v>
      </c>
      <c r="J439" s="411"/>
      <c r="K439" s="412" t="s">
        <v>25</v>
      </c>
      <c r="L439" s="413">
        <v>797627.52</v>
      </c>
    </row>
    <row r="440" spans="1:12" ht="91.8" hidden="1" x14ac:dyDescent="0.3">
      <c r="A440" s="407" t="s">
        <v>224</v>
      </c>
      <c r="B440" s="408" t="s">
        <v>1088</v>
      </c>
      <c r="C440" s="408" t="s">
        <v>1093</v>
      </c>
      <c r="D440" s="408" t="s">
        <v>1045</v>
      </c>
      <c r="E440" s="409" t="s">
        <v>30</v>
      </c>
      <c r="F440" s="410">
        <v>4328.1000000000004</v>
      </c>
      <c r="G440" s="410"/>
      <c r="H440" s="409" t="s">
        <v>31</v>
      </c>
      <c r="I440" s="411" t="s">
        <v>32</v>
      </c>
      <c r="J440" s="411"/>
      <c r="K440" s="412" t="s">
        <v>25</v>
      </c>
      <c r="L440" s="413">
        <v>801955.62</v>
      </c>
    </row>
    <row r="441" spans="1:12" ht="91.8" hidden="1" x14ac:dyDescent="0.3">
      <c r="A441" s="407" t="s">
        <v>224</v>
      </c>
      <c r="B441" s="408" t="s">
        <v>1088</v>
      </c>
      <c r="C441" s="408" t="s">
        <v>1094</v>
      </c>
      <c r="D441" s="408" t="s">
        <v>1045</v>
      </c>
      <c r="E441" s="409" t="s">
        <v>30</v>
      </c>
      <c r="F441" s="410">
        <v>7524</v>
      </c>
      <c r="G441" s="410"/>
      <c r="H441" s="409" t="s">
        <v>31</v>
      </c>
      <c r="I441" s="411" t="s">
        <v>32</v>
      </c>
      <c r="J441" s="411"/>
      <c r="K441" s="412" t="s">
        <v>25</v>
      </c>
      <c r="L441" s="413">
        <v>809479.62</v>
      </c>
    </row>
    <row r="442" spans="1:12" ht="91.8" hidden="1" x14ac:dyDescent="0.3">
      <c r="A442" s="407" t="s">
        <v>224</v>
      </c>
      <c r="B442" s="408" t="s">
        <v>1088</v>
      </c>
      <c r="C442" s="408" t="s">
        <v>1095</v>
      </c>
      <c r="D442" s="408" t="s">
        <v>1045</v>
      </c>
      <c r="E442" s="409" t="s">
        <v>30</v>
      </c>
      <c r="F442" s="410">
        <v>4442.2</v>
      </c>
      <c r="G442" s="410"/>
      <c r="H442" s="409" t="s">
        <v>31</v>
      </c>
      <c r="I442" s="411" t="s">
        <v>32</v>
      </c>
      <c r="J442" s="411"/>
      <c r="K442" s="412" t="s">
        <v>25</v>
      </c>
      <c r="L442" s="413">
        <v>813921.82</v>
      </c>
    </row>
    <row r="443" spans="1:12" ht="91.8" hidden="1" x14ac:dyDescent="0.3">
      <c r="A443" s="407" t="s">
        <v>224</v>
      </c>
      <c r="B443" s="408" t="s">
        <v>1088</v>
      </c>
      <c r="C443" s="408" t="s">
        <v>1096</v>
      </c>
      <c r="D443" s="408" t="s">
        <v>1045</v>
      </c>
      <c r="E443" s="409" t="s">
        <v>30</v>
      </c>
      <c r="F443" s="410">
        <v>3856</v>
      </c>
      <c r="G443" s="410"/>
      <c r="H443" s="409" t="s">
        <v>31</v>
      </c>
      <c r="I443" s="411" t="s">
        <v>32</v>
      </c>
      <c r="J443" s="411"/>
      <c r="K443" s="412" t="s">
        <v>25</v>
      </c>
      <c r="L443" s="413">
        <v>817777.82</v>
      </c>
    </row>
    <row r="444" spans="1:12" ht="91.8" hidden="1" x14ac:dyDescent="0.3">
      <c r="A444" s="407" t="s">
        <v>224</v>
      </c>
      <c r="B444" s="408" t="s">
        <v>1088</v>
      </c>
      <c r="C444" s="408" t="s">
        <v>1097</v>
      </c>
      <c r="D444" s="408" t="s">
        <v>1045</v>
      </c>
      <c r="E444" s="409" t="s">
        <v>30</v>
      </c>
      <c r="F444" s="410">
        <v>3717.2</v>
      </c>
      <c r="G444" s="410"/>
      <c r="H444" s="409" t="s">
        <v>31</v>
      </c>
      <c r="I444" s="411" t="s">
        <v>32</v>
      </c>
      <c r="J444" s="411"/>
      <c r="K444" s="412" t="s">
        <v>25</v>
      </c>
      <c r="L444" s="413">
        <v>821495.02</v>
      </c>
    </row>
    <row r="445" spans="1:12" ht="91.8" hidden="1" x14ac:dyDescent="0.3">
      <c r="A445" s="407" t="s">
        <v>224</v>
      </c>
      <c r="B445" s="408" t="s">
        <v>1088</v>
      </c>
      <c r="C445" s="408" t="s">
        <v>1098</v>
      </c>
      <c r="D445" s="408" t="s">
        <v>1045</v>
      </c>
      <c r="E445" s="409" t="s">
        <v>30</v>
      </c>
      <c r="F445" s="410">
        <v>5772.9</v>
      </c>
      <c r="G445" s="410"/>
      <c r="H445" s="409" t="s">
        <v>31</v>
      </c>
      <c r="I445" s="411" t="s">
        <v>32</v>
      </c>
      <c r="J445" s="411"/>
      <c r="K445" s="412" t="s">
        <v>25</v>
      </c>
      <c r="L445" s="413">
        <v>827267.92</v>
      </c>
    </row>
    <row r="446" spans="1:12" ht="91.8" hidden="1" x14ac:dyDescent="0.3">
      <c r="A446" s="407" t="s">
        <v>224</v>
      </c>
      <c r="B446" s="408" t="s">
        <v>1088</v>
      </c>
      <c r="C446" s="408" t="s">
        <v>1099</v>
      </c>
      <c r="D446" s="408" t="s">
        <v>1045</v>
      </c>
      <c r="E446" s="409" t="s">
        <v>30</v>
      </c>
      <c r="F446" s="410">
        <v>2383.6999999999998</v>
      </c>
      <c r="G446" s="410"/>
      <c r="H446" s="409" t="s">
        <v>31</v>
      </c>
      <c r="I446" s="411" t="s">
        <v>32</v>
      </c>
      <c r="J446" s="411"/>
      <c r="K446" s="412" t="s">
        <v>25</v>
      </c>
      <c r="L446" s="413">
        <v>829651.62</v>
      </c>
    </row>
    <row r="447" spans="1:12" ht="91.8" hidden="1" x14ac:dyDescent="0.3">
      <c r="A447" s="407" t="s">
        <v>224</v>
      </c>
      <c r="B447" s="408" t="s">
        <v>1088</v>
      </c>
      <c r="C447" s="408" t="s">
        <v>1100</v>
      </c>
      <c r="D447" s="408" t="s">
        <v>1045</v>
      </c>
      <c r="E447" s="409" t="s">
        <v>30</v>
      </c>
      <c r="F447" s="410">
        <v>4861.3</v>
      </c>
      <c r="G447" s="410"/>
      <c r="H447" s="409" t="s">
        <v>31</v>
      </c>
      <c r="I447" s="411" t="s">
        <v>32</v>
      </c>
      <c r="J447" s="411"/>
      <c r="K447" s="412" t="s">
        <v>25</v>
      </c>
      <c r="L447" s="413">
        <v>834512.92</v>
      </c>
    </row>
    <row r="448" spans="1:12" ht="91.8" hidden="1" x14ac:dyDescent="0.3">
      <c r="A448" s="407" t="s">
        <v>224</v>
      </c>
      <c r="B448" s="408" t="s">
        <v>1088</v>
      </c>
      <c r="C448" s="408" t="s">
        <v>1096</v>
      </c>
      <c r="D448" s="408" t="s">
        <v>1045</v>
      </c>
      <c r="E448" s="409" t="s">
        <v>30</v>
      </c>
      <c r="F448" s="410">
        <v>8441.4</v>
      </c>
      <c r="G448" s="410"/>
      <c r="H448" s="409" t="s">
        <v>31</v>
      </c>
      <c r="I448" s="411" t="s">
        <v>32</v>
      </c>
      <c r="J448" s="411"/>
      <c r="K448" s="412" t="s">
        <v>25</v>
      </c>
      <c r="L448" s="413">
        <v>842954.32</v>
      </c>
    </row>
    <row r="449" spans="1:12" ht="91.8" hidden="1" x14ac:dyDescent="0.3">
      <c r="A449" s="407" t="s">
        <v>224</v>
      </c>
      <c r="B449" s="408" t="s">
        <v>1088</v>
      </c>
      <c r="C449" s="408" t="s">
        <v>1101</v>
      </c>
      <c r="D449" s="408" t="s">
        <v>1045</v>
      </c>
      <c r="E449" s="409" t="s">
        <v>30</v>
      </c>
      <c r="F449" s="410">
        <v>4880.7</v>
      </c>
      <c r="G449" s="410"/>
      <c r="H449" s="409" t="s">
        <v>31</v>
      </c>
      <c r="I449" s="411" t="s">
        <v>32</v>
      </c>
      <c r="J449" s="411"/>
      <c r="K449" s="412" t="s">
        <v>25</v>
      </c>
      <c r="L449" s="413">
        <v>847835.02</v>
      </c>
    </row>
    <row r="450" spans="1:12" ht="91.8" hidden="1" x14ac:dyDescent="0.3">
      <c r="A450" s="407" t="s">
        <v>224</v>
      </c>
      <c r="B450" s="408" t="s">
        <v>1088</v>
      </c>
      <c r="C450" s="408" t="s">
        <v>1102</v>
      </c>
      <c r="D450" s="408" t="s">
        <v>1045</v>
      </c>
      <c r="E450" s="409" t="s">
        <v>30</v>
      </c>
      <c r="F450" s="410">
        <v>3963.4</v>
      </c>
      <c r="G450" s="410"/>
      <c r="H450" s="409" t="s">
        <v>31</v>
      </c>
      <c r="I450" s="411" t="s">
        <v>32</v>
      </c>
      <c r="J450" s="411"/>
      <c r="K450" s="412" t="s">
        <v>25</v>
      </c>
      <c r="L450" s="413">
        <v>851798.42</v>
      </c>
    </row>
    <row r="451" spans="1:12" ht="91.8" hidden="1" x14ac:dyDescent="0.3">
      <c r="A451" s="407" t="s">
        <v>224</v>
      </c>
      <c r="B451" s="408" t="s">
        <v>1088</v>
      </c>
      <c r="C451" s="408" t="s">
        <v>1103</v>
      </c>
      <c r="D451" s="408" t="s">
        <v>1045</v>
      </c>
      <c r="E451" s="409" t="s">
        <v>30</v>
      </c>
      <c r="F451" s="410">
        <v>3470.4</v>
      </c>
      <c r="G451" s="410"/>
      <c r="H451" s="409" t="s">
        <v>31</v>
      </c>
      <c r="I451" s="411" t="s">
        <v>32</v>
      </c>
      <c r="J451" s="411"/>
      <c r="K451" s="412" t="s">
        <v>25</v>
      </c>
      <c r="L451" s="413">
        <v>855268.82</v>
      </c>
    </row>
    <row r="452" spans="1:12" ht="91.8" hidden="1" x14ac:dyDescent="0.3">
      <c r="A452" s="407" t="s">
        <v>224</v>
      </c>
      <c r="B452" s="408" t="s">
        <v>1088</v>
      </c>
      <c r="C452" s="408" t="s">
        <v>1104</v>
      </c>
      <c r="D452" s="408" t="s">
        <v>1045</v>
      </c>
      <c r="E452" s="409" t="s">
        <v>30</v>
      </c>
      <c r="F452" s="410">
        <v>4548.8</v>
      </c>
      <c r="G452" s="410"/>
      <c r="H452" s="409" t="s">
        <v>31</v>
      </c>
      <c r="I452" s="411" t="s">
        <v>32</v>
      </c>
      <c r="J452" s="411"/>
      <c r="K452" s="412" t="s">
        <v>25</v>
      </c>
      <c r="L452" s="413">
        <v>859817.62</v>
      </c>
    </row>
    <row r="453" spans="1:12" ht="91.8" hidden="1" x14ac:dyDescent="0.3">
      <c r="A453" s="407" t="s">
        <v>224</v>
      </c>
      <c r="B453" s="408" t="s">
        <v>1088</v>
      </c>
      <c r="C453" s="408" t="s">
        <v>1105</v>
      </c>
      <c r="D453" s="408" t="s">
        <v>1045</v>
      </c>
      <c r="E453" s="409" t="s">
        <v>30</v>
      </c>
      <c r="F453" s="410">
        <v>11836.5</v>
      </c>
      <c r="G453" s="410"/>
      <c r="H453" s="409" t="s">
        <v>31</v>
      </c>
      <c r="I453" s="411" t="s">
        <v>32</v>
      </c>
      <c r="J453" s="411"/>
      <c r="K453" s="412" t="s">
        <v>25</v>
      </c>
      <c r="L453" s="413">
        <v>871654.12</v>
      </c>
    </row>
    <row r="454" spans="1:12" ht="91.8" hidden="1" x14ac:dyDescent="0.3">
      <c r="A454" s="407" t="s">
        <v>224</v>
      </c>
      <c r="B454" s="408" t="s">
        <v>1088</v>
      </c>
      <c r="C454" s="408" t="s">
        <v>1106</v>
      </c>
      <c r="D454" s="408" t="s">
        <v>1045</v>
      </c>
      <c r="E454" s="409" t="s">
        <v>30</v>
      </c>
      <c r="F454" s="410">
        <v>4681.6000000000004</v>
      </c>
      <c r="G454" s="410"/>
      <c r="H454" s="409" t="s">
        <v>31</v>
      </c>
      <c r="I454" s="411" t="s">
        <v>32</v>
      </c>
      <c r="J454" s="411"/>
      <c r="K454" s="412" t="s">
        <v>25</v>
      </c>
      <c r="L454" s="413">
        <v>876335.72</v>
      </c>
    </row>
    <row r="455" spans="1:12" ht="91.8" hidden="1" x14ac:dyDescent="0.3">
      <c r="A455" s="407" t="s">
        <v>224</v>
      </c>
      <c r="B455" s="408" t="s">
        <v>1088</v>
      </c>
      <c r="C455" s="408" t="s">
        <v>1107</v>
      </c>
      <c r="D455" s="408" t="s">
        <v>1045</v>
      </c>
      <c r="E455" s="409" t="s">
        <v>30</v>
      </c>
      <c r="F455" s="410">
        <v>3503.9</v>
      </c>
      <c r="G455" s="410"/>
      <c r="H455" s="409" t="s">
        <v>31</v>
      </c>
      <c r="I455" s="411" t="s">
        <v>32</v>
      </c>
      <c r="J455" s="411"/>
      <c r="K455" s="412" t="s">
        <v>25</v>
      </c>
      <c r="L455" s="413">
        <v>879839.62</v>
      </c>
    </row>
    <row r="456" spans="1:12" ht="91.8" hidden="1" x14ac:dyDescent="0.3">
      <c r="A456" s="407" t="s">
        <v>224</v>
      </c>
      <c r="B456" s="408" t="s">
        <v>1088</v>
      </c>
      <c r="C456" s="408" t="s">
        <v>1108</v>
      </c>
      <c r="D456" s="408" t="s">
        <v>1045</v>
      </c>
      <c r="E456" s="409" t="s">
        <v>30</v>
      </c>
      <c r="F456" s="410">
        <v>3070.6</v>
      </c>
      <c r="G456" s="410"/>
      <c r="H456" s="409" t="s">
        <v>31</v>
      </c>
      <c r="I456" s="411" t="s">
        <v>32</v>
      </c>
      <c r="J456" s="411"/>
      <c r="K456" s="412" t="s">
        <v>25</v>
      </c>
      <c r="L456" s="413">
        <v>882910.22</v>
      </c>
    </row>
    <row r="457" spans="1:12" ht="91.8" hidden="1" x14ac:dyDescent="0.3">
      <c r="A457" s="407" t="s">
        <v>224</v>
      </c>
      <c r="B457" s="408" t="s">
        <v>1088</v>
      </c>
      <c r="C457" s="408" t="s">
        <v>1109</v>
      </c>
      <c r="D457" s="408" t="s">
        <v>1045</v>
      </c>
      <c r="E457" s="409" t="s">
        <v>30</v>
      </c>
      <c r="F457" s="410">
        <v>1832.5</v>
      </c>
      <c r="G457" s="410"/>
      <c r="H457" s="409" t="s">
        <v>31</v>
      </c>
      <c r="I457" s="411" t="s">
        <v>32</v>
      </c>
      <c r="J457" s="411"/>
      <c r="K457" s="412" t="s">
        <v>25</v>
      </c>
      <c r="L457" s="413">
        <v>884742.72</v>
      </c>
    </row>
    <row r="458" spans="1:12" ht="91.8" hidden="1" x14ac:dyDescent="0.3">
      <c r="A458" s="407" t="s">
        <v>224</v>
      </c>
      <c r="B458" s="408" t="s">
        <v>1088</v>
      </c>
      <c r="C458" s="408" t="s">
        <v>1110</v>
      </c>
      <c r="D458" s="408" t="s">
        <v>1045</v>
      </c>
      <c r="E458" s="409" t="s">
        <v>30</v>
      </c>
      <c r="F458" s="410">
        <v>4016.3</v>
      </c>
      <c r="G458" s="410"/>
      <c r="H458" s="409" t="s">
        <v>31</v>
      </c>
      <c r="I458" s="411" t="s">
        <v>32</v>
      </c>
      <c r="J458" s="411"/>
      <c r="K458" s="412" t="s">
        <v>25</v>
      </c>
      <c r="L458" s="413">
        <v>888759.02</v>
      </c>
    </row>
    <row r="459" spans="1:12" ht="91.8" hidden="1" x14ac:dyDescent="0.3">
      <c r="A459" s="407" t="s">
        <v>224</v>
      </c>
      <c r="B459" s="408" t="s">
        <v>1088</v>
      </c>
      <c r="C459" s="408" t="s">
        <v>1111</v>
      </c>
      <c r="D459" s="408" t="s">
        <v>1045</v>
      </c>
      <c r="E459" s="409" t="s">
        <v>30</v>
      </c>
      <c r="F459" s="410">
        <v>7009.4</v>
      </c>
      <c r="G459" s="410"/>
      <c r="H459" s="409" t="s">
        <v>31</v>
      </c>
      <c r="I459" s="411" t="s">
        <v>32</v>
      </c>
      <c r="J459" s="411"/>
      <c r="K459" s="412" t="s">
        <v>25</v>
      </c>
      <c r="L459" s="413">
        <v>895768.42</v>
      </c>
    </row>
    <row r="460" spans="1:12" ht="91.8" hidden="1" x14ac:dyDescent="0.3">
      <c r="A460" s="407" t="s">
        <v>224</v>
      </c>
      <c r="B460" s="408" t="s">
        <v>1088</v>
      </c>
      <c r="C460" s="408" t="s">
        <v>1112</v>
      </c>
      <c r="D460" s="408" t="s">
        <v>1045</v>
      </c>
      <c r="E460" s="409" t="s">
        <v>30</v>
      </c>
      <c r="F460" s="410">
        <v>4148.3</v>
      </c>
      <c r="G460" s="410"/>
      <c r="H460" s="409" t="s">
        <v>31</v>
      </c>
      <c r="I460" s="411" t="s">
        <v>32</v>
      </c>
      <c r="J460" s="411"/>
      <c r="K460" s="412" t="s">
        <v>25</v>
      </c>
      <c r="L460" s="413">
        <v>899916.72</v>
      </c>
    </row>
    <row r="461" spans="1:12" ht="91.8" hidden="1" x14ac:dyDescent="0.3">
      <c r="A461" s="407" t="s">
        <v>224</v>
      </c>
      <c r="B461" s="408" t="s">
        <v>1088</v>
      </c>
      <c r="C461" s="408" t="s">
        <v>1113</v>
      </c>
      <c r="D461" s="408" t="s">
        <v>1045</v>
      </c>
      <c r="E461" s="409" t="s">
        <v>30</v>
      </c>
      <c r="F461" s="410">
        <v>3304.8</v>
      </c>
      <c r="G461" s="410"/>
      <c r="H461" s="409" t="s">
        <v>31</v>
      </c>
      <c r="I461" s="411" t="s">
        <v>32</v>
      </c>
      <c r="J461" s="411"/>
      <c r="K461" s="412" t="s">
        <v>25</v>
      </c>
      <c r="L461" s="413">
        <v>903221.52</v>
      </c>
    </row>
    <row r="462" spans="1:12" ht="91.8" hidden="1" x14ac:dyDescent="0.3">
      <c r="A462" s="407" t="s">
        <v>224</v>
      </c>
      <c r="B462" s="408" t="s">
        <v>1088</v>
      </c>
      <c r="C462" s="408" t="s">
        <v>1113</v>
      </c>
      <c r="D462" s="408" t="s">
        <v>1045</v>
      </c>
      <c r="E462" s="409" t="s">
        <v>30</v>
      </c>
      <c r="F462" s="410">
        <v>32200.2</v>
      </c>
      <c r="G462" s="410"/>
      <c r="H462" s="409" t="s">
        <v>31</v>
      </c>
      <c r="I462" s="411" t="s">
        <v>32</v>
      </c>
      <c r="J462" s="411"/>
      <c r="K462" s="412" t="s">
        <v>25</v>
      </c>
      <c r="L462" s="413">
        <v>935421.72</v>
      </c>
    </row>
    <row r="463" spans="1:12" ht="91.8" hidden="1" x14ac:dyDescent="0.3">
      <c r="A463" s="407" t="s">
        <v>224</v>
      </c>
      <c r="B463" s="408" t="s">
        <v>1088</v>
      </c>
      <c r="C463" s="408" t="s">
        <v>1114</v>
      </c>
      <c r="D463" s="408" t="s">
        <v>1045</v>
      </c>
      <c r="E463" s="409" t="s">
        <v>30</v>
      </c>
      <c r="F463" s="410">
        <v>4229.6000000000004</v>
      </c>
      <c r="G463" s="410"/>
      <c r="H463" s="409" t="s">
        <v>31</v>
      </c>
      <c r="I463" s="411" t="s">
        <v>32</v>
      </c>
      <c r="J463" s="411"/>
      <c r="K463" s="412" t="s">
        <v>25</v>
      </c>
      <c r="L463" s="413">
        <v>939651.32</v>
      </c>
    </row>
    <row r="464" spans="1:12" ht="91.8" hidden="1" x14ac:dyDescent="0.3">
      <c r="A464" s="407" t="s">
        <v>224</v>
      </c>
      <c r="B464" s="408" t="s">
        <v>1088</v>
      </c>
      <c r="C464" s="408" t="s">
        <v>1115</v>
      </c>
      <c r="D464" s="408" t="s">
        <v>1045</v>
      </c>
      <c r="E464" s="409" t="s">
        <v>30</v>
      </c>
      <c r="F464" s="410">
        <v>3404</v>
      </c>
      <c r="G464" s="410"/>
      <c r="H464" s="409" t="s">
        <v>31</v>
      </c>
      <c r="I464" s="411" t="s">
        <v>32</v>
      </c>
      <c r="J464" s="411"/>
      <c r="K464" s="412" t="s">
        <v>25</v>
      </c>
      <c r="L464" s="413">
        <v>943055.32</v>
      </c>
    </row>
    <row r="465" spans="1:12" ht="91.8" hidden="1" x14ac:dyDescent="0.3">
      <c r="A465" s="407" t="s">
        <v>224</v>
      </c>
      <c r="B465" s="408" t="s">
        <v>1088</v>
      </c>
      <c r="C465" s="408" t="s">
        <v>1116</v>
      </c>
      <c r="D465" s="408" t="s">
        <v>1045</v>
      </c>
      <c r="E465" s="409" t="s">
        <v>30</v>
      </c>
      <c r="F465" s="410">
        <v>3568.8</v>
      </c>
      <c r="G465" s="410"/>
      <c r="H465" s="409" t="s">
        <v>31</v>
      </c>
      <c r="I465" s="411" t="s">
        <v>32</v>
      </c>
      <c r="J465" s="411"/>
      <c r="K465" s="412" t="s">
        <v>25</v>
      </c>
      <c r="L465" s="413">
        <v>946624.12</v>
      </c>
    </row>
    <row r="466" spans="1:12" ht="91.8" hidden="1" x14ac:dyDescent="0.3">
      <c r="A466" s="407" t="s">
        <v>224</v>
      </c>
      <c r="B466" s="408" t="s">
        <v>1088</v>
      </c>
      <c r="C466" s="408" t="s">
        <v>1117</v>
      </c>
      <c r="D466" s="408" t="s">
        <v>1045</v>
      </c>
      <c r="E466" s="409" t="s">
        <v>30</v>
      </c>
      <c r="F466" s="410">
        <v>2596.1999999999998</v>
      </c>
      <c r="G466" s="410"/>
      <c r="H466" s="409" t="s">
        <v>31</v>
      </c>
      <c r="I466" s="411" t="s">
        <v>32</v>
      </c>
      <c r="J466" s="411"/>
      <c r="K466" s="412" t="s">
        <v>25</v>
      </c>
      <c r="L466" s="413">
        <v>949220.32</v>
      </c>
    </row>
    <row r="467" spans="1:12" ht="91.8" hidden="1" x14ac:dyDescent="0.3">
      <c r="A467" s="407" t="s">
        <v>224</v>
      </c>
      <c r="B467" s="408" t="s">
        <v>1088</v>
      </c>
      <c r="C467" s="408" t="s">
        <v>1058</v>
      </c>
      <c r="D467" s="408" t="s">
        <v>1045</v>
      </c>
      <c r="E467" s="409" t="s">
        <v>30</v>
      </c>
      <c r="F467" s="410">
        <v>2541.8000000000002</v>
      </c>
      <c r="G467" s="410"/>
      <c r="H467" s="409" t="s">
        <v>31</v>
      </c>
      <c r="I467" s="411" t="s">
        <v>32</v>
      </c>
      <c r="J467" s="411"/>
      <c r="K467" s="412" t="s">
        <v>25</v>
      </c>
      <c r="L467" s="413">
        <v>951762.12</v>
      </c>
    </row>
    <row r="468" spans="1:12" ht="91.8" hidden="1" x14ac:dyDescent="0.3">
      <c r="A468" s="407" t="s">
        <v>224</v>
      </c>
      <c r="B468" s="408" t="s">
        <v>1088</v>
      </c>
      <c r="C468" s="408" t="s">
        <v>1118</v>
      </c>
      <c r="D468" s="408" t="s">
        <v>1045</v>
      </c>
      <c r="E468" s="409" t="s">
        <v>30</v>
      </c>
      <c r="F468" s="410">
        <v>2060</v>
      </c>
      <c r="G468" s="410"/>
      <c r="H468" s="409" t="s">
        <v>31</v>
      </c>
      <c r="I468" s="411" t="s">
        <v>32</v>
      </c>
      <c r="J468" s="411"/>
      <c r="K468" s="412" t="s">
        <v>25</v>
      </c>
      <c r="L468" s="413">
        <v>953822.12</v>
      </c>
    </row>
    <row r="469" spans="1:12" ht="91.8" hidden="1" x14ac:dyDescent="0.3">
      <c r="A469" s="407" t="s">
        <v>224</v>
      </c>
      <c r="B469" s="408" t="s">
        <v>1088</v>
      </c>
      <c r="C469" s="408" t="s">
        <v>1119</v>
      </c>
      <c r="D469" s="408" t="s">
        <v>1045</v>
      </c>
      <c r="E469" s="409" t="s">
        <v>30</v>
      </c>
      <c r="F469" s="410">
        <v>2275.5</v>
      </c>
      <c r="G469" s="410"/>
      <c r="H469" s="409" t="s">
        <v>31</v>
      </c>
      <c r="I469" s="411" t="s">
        <v>32</v>
      </c>
      <c r="J469" s="411"/>
      <c r="K469" s="412" t="s">
        <v>25</v>
      </c>
      <c r="L469" s="413">
        <v>956097.62</v>
      </c>
    </row>
    <row r="470" spans="1:12" ht="91.8" hidden="1" x14ac:dyDescent="0.3">
      <c r="A470" s="407" t="s">
        <v>224</v>
      </c>
      <c r="B470" s="408" t="s">
        <v>1088</v>
      </c>
      <c r="C470" s="408" t="s">
        <v>1120</v>
      </c>
      <c r="D470" s="408" t="s">
        <v>1045</v>
      </c>
      <c r="E470" s="409" t="s">
        <v>30</v>
      </c>
      <c r="F470" s="410">
        <v>1591.6</v>
      </c>
      <c r="G470" s="410"/>
      <c r="H470" s="409" t="s">
        <v>31</v>
      </c>
      <c r="I470" s="411" t="s">
        <v>32</v>
      </c>
      <c r="J470" s="411"/>
      <c r="K470" s="412" t="s">
        <v>25</v>
      </c>
      <c r="L470" s="413">
        <v>957689.22</v>
      </c>
    </row>
    <row r="471" spans="1:12" ht="91.8" hidden="1" x14ac:dyDescent="0.3">
      <c r="A471" s="407" t="s">
        <v>224</v>
      </c>
      <c r="B471" s="408" t="s">
        <v>1088</v>
      </c>
      <c r="C471" s="408" t="s">
        <v>1121</v>
      </c>
      <c r="D471" s="408" t="s">
        <v>1045</v>
      </c>
      <c r="E471" s="409" t="s">
        <v>30</v>
      </c>
      <c r="F471" s="410">
        <v>20543.2</v>
      </c>
      <c r="G471" s="410"/>
      <c r="H471" s="409" t="s">
        <v>31</v>
      </c>
      <c r="I471" s="411" t="s">
        <v>32</v>
      </c>
      <c r="J471" s="411"/>
      <c r="K471" s="412" t="s">
        <v>25</v>
      </c>
      <c r="L471" s="413">
        <v>978232.42</v>
      </c>
    </row>
    <row r="472" spans="1:12" ht="91.8" hidden="1" x14ac:dyDescent="0.3">
      <c r="A472" s="407" t="s">
        <v>224</v>
      </c>
      <c r="B472" s="408" t="s">
        <v>1088</v>
      </c>
      <c r="C472" s="408" t="s">
        <v>1121</v>
      </c>
      <c r="D472" s="408" t="s">
        <v>1045</v>
      </c>
      <c r="E472" s="409" t="s">
        <v>30</v>
      </c>
      <c r="F472" s="410">
        <v>2041.3</v>
      </c>
      <c r="G472" s="410"/>
      <c r="H472" s="409" t="s">
        <v>31</v>
      </c>
      <c r="I472" s="411" t="s">
        <v>32</v>
      </c>
      <c r="J472" s="411"/>
      <c r="K472" s="412" t="s">
        <v>25</v>
      </c>
      <c r="L472" s="413">
        <v>980273.72</v>
      </c>
    </row>
    <row r="473" spans="1:12" ht="91.8" hidden="1" x14ac:dyDescent="0.3">
      <c r="A473" s="407" t="s">
        <v>224</v>
      </c>
      <c r="B473" s="408" t="s">
        <v>1088</v>
      </c>
      <c r="C473" s="408" t="s">
        <v>1121</v>
      </c>
      <c r="D473" s="408" t="s">
        <v>1045</v>
      </c>
      <c r="E473" s="409" t="s">
        <v>30</v>
      </c>
      <c r="F473" s="410">
        <v>2004.1</v>
      </c>
      <c r="G473" s="410"/>
      <c r="H473" s="409" t="s">
        <v>31</v>
      </c>
      <c r="I473" s="411" t="s">
        <v>32</v>
      </c>
      <c r="J473" s="411"/>
      <c r="K473" s="412" t="s">
        <v>25</v>
      </c>
      <c r="L473" s="413">
        <v>982277.82</v>
      </c>
    </row>
    <row r="474" spans="1:12" ht="91.8" hidden="1" x14ac:dyDescent="0.3">
      <c r="A474" s="407" t="s">
        <v>224</v>
      </c>
      <c r="B474" s="408" t="s">
        <v>1088</v>
      </c>
      <c r="C474" s="408" t="s">
        <v>1122</v>
      </c>
      <c r="D474" s="408" t="s">
        <v>1045</v>
      </c>
      <c r="E474" s="409" t="s">
        <v>30</v>
      </c>
      <c r="F474" s="410">
        <v>6014.4</v>
      </c>
      <c r="G474" s="410"/>
      <c r="H474" s="409" t="s">
        <v>31</v>
      </c>
      <c r="I474" s="411" t="s">
        <v>32</v>
      </c>
      <c r="J474" s="411"/>
      <c r="K474" s="412" t="s">
        <v>25</v>
      </c>
      <c r="L474" s="413">
        <v>988292.22</v>
      </c>
    </row>
    <row r="475" spans="1:12" ht="91.8" hidden="1" x14ac:dyDescent="0.3">
      <c r="A475" s="407" t="s">
        <v>224</v>
      </c>
      <c r="B475" s="408" t="s">
        <v>1088</v>
      </c>
      <c r="C475" s="408" t="s">
        <v>1121</v>
      </c>
      <c r="D475" s="408" t="s">
        <v>1045</v>
      </c>
      <c r="E475" s="409" t="s">
        <v>30</v>
      </c>
      <c r="F475" s="410">
        <v>2083.1</v>
      </c>
      <c r="G475" s="410"/>
      <c r="H475" s="409" t="s">
        <v>31</v>
      </c>
      <c r="I475" s="411" t="s">
        <v>32</v>
      </c>
      <c r="J475" s="411"/>
      <c r="K475" s="412" t="s">
        <v>25</v>
      </c>
      <c r="L475" s="413">
        <v>990375.32</v>
      </c>
    </row>
    <row r="476" spans="1:12" ht="91.8" hidden="1" x14ac:dyDescent="0.3">
      <c r="A476" s="407" t="s">
        <v>224</v>
      </c>
      <c r="B476" s="408" t="s">
        <v>1088</v>
      </c>
      <c r="C476" s="408" t="s">
        <v>1121</v>
      </c>
      <c r="D476" s="408" t="s">
        <v>1045</v>
      </c>
      <c r="E476" s="409" t="s">
        <v>30</v>
      </c>
      <c r="F476" s="410">
        <v>2050.3000000000002</v>
      </c>
      <c r="G476" s="410"/>
      <c r="H476" s="409" t="s">
        <v>31</v>
      </c>
      <c r="I476" s="411" t="s">
        <v>32</v>
      </c>
      <c r="J476" s="411"/>
      <c r="K476" s="412" t="s">
        <v>25</v>
      </c>
      <c r="L476" s="413">
        <v>992425.62</v>
      </c>
    </row>
    <row r="477" spans="1:12" ht="91.8" hidden="1" x14ac:dyDescent="0.3">
      <c r="A477" s="407" t="s">
        <v>224</v>
      </c>
      <c r="B477" s="408" t="s">
        <v>1088</v>
      </c>
      <c r="C477" s="408" t="s">
        <v>1123</v>
      </c>
      <c r="D477" s="408" t="s">
        <v>1045</v>
      </c>
      <c r="E477" s="409" t="s">
        <v>30</v>
      </c>
      <c r="F477" s="410">
        <v>1281.3</v>
      </c>
      <c r="G477" s="410"/>
      <c r="H477" s="409" t="s">
        <v>31</v>
      </c>
      <c r="I477" s="411" t="s">
        <v>32</v>
      </c>
      <c r="J477" s="411"/>
      <c r="K477" s="412" t="s">
        <v>25</v>
      </c>
      <c r="L477" s="413">
        <v>993706.92</v>
      </c>
    </row>
    <row r="478" spans="1:12" ht="91.8" hidden="1" x14ac:dyDescent="0.3">
      <c r="A478" s="407" t="s">
        <v>224</v>
      </c>
      <c r="B478" s="408" t="s">
        <v>1088</v>
      </c>
      <c r="C478" s="408" t="s">
        <v>1124</v>
      </c>
      <c r="D478" s="408" t="s">
        <v>1045</v>
      </c>
      <c r="E478" s="409" t="s">
        <v>30</v>
      </c>
      <c r="F478" s="410">
        <v>7155.6</v>
      </c>
      <c r="G478" s="410"/>
      <c r="H478" s="409" t="s">
        <v>31</v>
      </c>
      <c r="I478" s="411" t="s">
        <v>32</v>
      </c>
      <c r="J478" s="411"/>
      <c r="K478" s="412" t="s">
        <v>25</v>
      </c>
      <c r="L478" s="413">
        <v>1000862.52</v>
      </c>
    </row>
    <row r="479" spans="1:12" ht="91.8" hidden="1" x14ac:dyDescent="0.3">
      <c r="A479" s="407" t="s">
        <v>224</v>
      </c>
      <c r="B479" s="408" t="s">
        <v>1088</v>
      </c>
      <c r="C479" s="408" t="s">
        <v>1125</v>
      </c>
      <c r="D479" s="408" t="s">
        <v>1045</v>
      </c>
      <c r="E479" s="409" t="s">
        <v>30</v>
      </c>
      <c r="F479" s="410">
        <v>1869.1</v>
      </c>
      <c r="G479" s="410"/>
      <c r="H479" s="409" t="s">
        <v>31</v>
      </c>
      <c r="I479" s="411" t="s">
        <v>32</v>
      </c>
      <c r="J479" s="411"/>
      <c r="K479" s="412" t="s">
        <v>25</v>
      </c>
      <c r="L479" s="413">
        <v>1002731.62</v>
      </c>
    </row>
    <row r="480" spans="1:12" ht="91.8" hidden="1" x14ac:dyDescent="0.3">
      <c r="A480" s="407" t="s">
        <v>224</v>
      </c>
      <c r="B480" s="408" t="s">
        <v>1088</v>
      </c>
      <c r="C480" s="408" t="s">
        <v>1126</v>
      </c>
      <c r="D480" s="408" t="s">
        <v>1045</v>
      </c>
      <c r="E480" s="409" t="s">
        <v>30</v>
      </c>
      <c r="F480" s="410">
        <v>2089.8000000000002</v>
      </c>
      <c r="G480" s="410"/>
      <c r="H480" s="409" t="s">
        <v>31</v>
      </c>
      <c r="I480" s="411" t="s">
        <v>32</v>
      </c>
      <c r="J480" s="411"/>
      <c r="K480" s="412" t="s">
        <v>25</v>
      </c>
      <c r="L480" s="413">
        <v>1004821.42</v>
      </c>
    </row>
    <row r="481" spans="1:12" ht="91.8" hidden="1" x14ac:dyDescent="0.3">
      <c r="A481" s="407" t="s">
        <v>224</v>
      </c>
      <c r="B481" s="408" t="s">
        <v>1088</v>
      </c>
      <c r="C481" s="408" t="s">
        <v>1124</v>
      </c>
      <c r="D481" s="408" t="s">
        <v>1045</v>
      </c>
      <c r="E481" s="409" t="s">
        <v>30</v>
      </c>
      <c r="F481" s="410">
        <v>3372.7</v>
      </c>
      <c r="G481" s="410"/>
      <c r="H481" s="409" t="s">
        <v>31</v>
      </c>
      <c r="I481" s="411" t="s">
        <v>32</v>
      </c>
      <c r="J481" s="411"/>
      <c r="K481" s="412" t="s">
        <v>25</v>
      </c>
      <c r="L481" s="413">
        <v>1008194.12</v>
      </c>
    </row>
    <row r="482" spans="1:12" ht="91.8" hidden="1" x14ac:dyDescent="0.3">
      <c r="A482" s="407" t="s">
        <v>224</v>
      </c>
      <c r="B482" s="408" t="s">
        <v>1088</v>
      </c>
      <c r="C482" s="408" t="s">
        <v>1124</v>
      </c>
      <c r="D482" s="408" t="s">
        <v>1045</v>
      </c>
      <c r="E482" s="409" t="s">
        <v>30</v>
      </c>
      <c r="F482" s="410">
        <v>2909.5</v>
      </c>
      <c r="G482" s="410"/>
      <c r="H482" s="409" t="s">
        <v>31</v>
      </c>
      <c r="I482" s="411" t="s">
        <v>32</v>
      </c>
      <c r="J482" s="411"/>
      <c r="K482" s="412" t="s">
        <v>25</v>
      </c>
      <c r="L482" s="413">
        <v>1011103.62</v>
      </c>
    </row>
    <row r="483" spans="1:12" ht="91.8" hidden="1" x14ac:dyDescent="0.3">
      <c r="A483" s="407" t="s">
        <v>224</v>
      </c>
      <c r="B483" s="408" t="s">
        <v>1088</v>
      </c>
      <c r="C483" s="408" t="s">
        <v>1124</v>
      </c>
      <c r="D483" s="408" t="s">
        <v>1045</v>
      </c>
      <c r="E483" s="409" t="s">
        <v>30</v>
      </c>
      <c r="F483" s="410">
        <v>2867.7</v>
      </c>
      <c r="G483" s="410"/>
      <c r="H483" s="409" t="s">
        <v>31</v>
      </c>
      <c r="I483" s="411" t="s">
        <v>32</v>
      </c>
      <c r="J483" s="411"/>
      <c r="K483" s="412" t="s">
        <v>25</v>
      </c>
      <c r="L483" s="413">
        <v>1013971.32</v>
      </c>
    </row>
    <row r="484" spans="1:12" ht="91.8" hidden="1" x14ac:dyDescent="0.3">
      <c r="A484" s="407" t="s">
        <v>224</v>
      </c>
      <c r="B484" s="408" t="s">
        <v>1088</v>
      </c>
      <c r="C484" s="408" t="s">
        <v>1127</v>
      </c>
      <c r="D484" s="408" t="s">
        <v>1045</v>
      </c>
      <c r="E484" s="409" t="s">
        <v>30</v>
      </c>
      <c r="F484" s="410">
        <v>4189.3</v>
      </c>
      <c r="G484" s="410"/>
      <c r="H484" s="409" t="s">
        <v>31</v>
      </c>
      <c r="I484" s="411" t="s">
        <v>32</v>
      </c>
      <c r="J484" s="411"/>
      <c r="K484" s="412" t="s">
        <v>25</v>
      </c>
      <c r="L484" s="413">
        <v>1018160.62</v>
      </c>
    </row>
    <row r="485" spans="1:12" ht="91.8" hidden="1" x14ac:dyDescent="0.3">
      <c r="A485" s="407" t="s">
        <v>224</v>
      </c>
      <c r="B485" s="408" t="s">
        <v>1088</v>
      </c>
      <c r="C485" s="408" t="s">
        <v>1128</v>
      </c>
      <c r="D485" s="408" t="s">
        <v>1045</v>
      </c>
      <c r="E485" s="409" t="s">
        <v>30</v>
      </c>
      <c r="F485" s="410">
        <v>4077.5</v>
      </c>
      <c r="G485" s="410"/>
      <c r="H485" s="409" t="s">
        <v>31</v>
      </c>
      <c r="I485" s="411" t="s">
        <v>32</v>
      </c>
      <c r="J485" s="411"/>
      <c r="K485" s="412" t="s">
        <v>25</v>
      </c>
      <c r="L485" s="413">
        <v>1022238.12</v>
      </c>
    </row>
    <row r="486" spans="1:12" ht="91.8" hidden="1" x14ac:dyDescent="0.3">
      <c r="A486" s="407" t="s">
        <v>224</v>
      </c>
      <c r="B486" s="408" t="s">
        <v>1088</v>
      </c>
      <c r="C486" s="408" t="s">
        <v>1129</v>
      </c>
      <c r="D486" s="408" t="s">
        <v>1045</v>
      </c>
      <c r="E486" s="409" t="s">
        <v>30</v>
      </c>
      <c r="F486" s="410">
        <v>2273.3000000000002</v>
      </c>
      <c r="G486" s="410"/>
      <c r="H486" s="409" t="s">
        <v>31</v>
      </c>
      <c r="I486" s="411" t="s">
        <v>32</v>
      </c>
      <c r="J486" s="411"/>
      <c r="K486" s="412" t="s">
        <v>25</v>
      </c>
      <c r="L486" s="413">
        <v>1024511.42</v>
      </c>
    </row>
    <row r="487" spans="1:12" ht="91.8" hidden="1" x14ac:dyDescent="0.3">
      <c r="A487" s="407" t="s">
        <v>224</v>
      </c>
      <c r="B487" s="408" t="s">
        <v>1088</v>
      </c>
      <c r="C487" s="408" t="s">
        <v>1130</v>
      </c>
      <c r="D487" s="408" t="s">
        <v>1045</v>
      </c>
      <c r="E487" s="409" t="s">
        <v>30</v>
      </c>
      <c r="F487" s="410">
        <v>2402.3000000000002</v>
      </c>
      <c r="G487" s="410"/>
      <c r="H487" s="409" t="s">
        <v>31</v>
      </c>
      <c r="I487" s="411" t="s">
        <v>32</v>
      </c>
      <c r="J487" s="411"/>
      <c r="K487" s="412" t="s">
        <v>25</v>
      </c>
      <c r="L487" s="413">
        <v>1026913.72</v>
      </c>
    </row>
    <row r="488" spans="1:12" ht="91.8" hidden="1" x14ac:dyDescent="0.3">
      <c r="A488" s="407" t="s">
        <v>224</v>
      </c>
      <c r="B488" s="408" t="s">
        <v>1088</v>
      </c>
      <c r="C488" s="408" t="s">
        <v>1128</v>
      </c>
      <c r="D488" s="408" t="s">
        <v>1045</v>
      </c>
      <c r="E488" s="409" t="s">
        <v>30</v>
      </c>
      <c r="F488" s="410">
        <v>3976</v>
      </c>
      <c r="G488" s="410"/>
      <c r="H488" s="409" t="s">
        <v>31</v>
      </c>
      <c r="I488" s="411" t="s">
        <v>32</v>
      </c>
      <c r="J488" s="411"/>
      <c r="K488" s="412" t="s">
        <v>25</v>
      </c>
      <c r="L488" s="413">
        <v>1030889.72</v>
      </c>
    </row>
    <row r="489" spans="1:12" ht="91.8" hidden="1" x14ac:dyDescent="0.3">
      <c r="A489" s="407" t="s">
        <v>224</v>
      </c>
      <c r="B489" s="408" t="s">
        <v>1088</v>
      </c>
      <c r="C489" s="408" t="s">
        <v>1128</v>
      </c>
      <c r="D489" s="408" t="s">
        <v>1045</v>
      </c>
      <c r="E489" s="409" t="s">
        <v>30</v>
      </c>
      <c r="F489" s="410">
        <v>12717.9</v>
      </c>
      <c r="G489" s="410"/>
      <c r="H489" s="409" t="s">
        <v>31</v>
      </c>
      <c r="I489" s="411" t="s">
        <v>32</v>
      </c>
      <c r="J489" s="411"/>
      <c r="K489" s="412" t="s">
        <v>25</v>
      </c>
      <c r="L489" s="413">
        <v>1043607.62</v>
      </c>
    </row>
    <row r="490" spans="1:12" ht="91.8" hidden="1" x14ac:dyDescent="0.3">
      <c r="A490" s="407" t="s">
        <v>224</v>
      </c>
      <c r="B490" s="408" t="s">
        <v>1088</v>
      </c>
      <c r="C490" s="408" t="s">
        <v>1131</v>
      </c>
      <c r="D490" s="408" t="s">
        <v>1045</v>
      </c>
      <c r="E490" s="409" t="s">
        <v>30</v>
      </c>
      <c r="F490" s="410">
        <v>4752.5</v>
      </c>
      <c r="G490" s="410"/>
      <c r="H490" s="409" t="s">
        <v>31</v>
      </c>
      <c r="I490" s="411" t="s">
        <v>32</v>
      </c>
      <c r="J490" s="411"/>
      <c r="K490" s="412" t="s">
        <v>25</v>
      </c>
      <c r="L490" s="413">
        <v>1048360.12</v>
      </c>
    </row>
    <row r="491" spans="1:12" ht="91.8" hidden="1" x14ac:dyDescent="0.3">
      <c r="A491" s="407" t="s">
        <v>224</v>
      </c>
      <c r="B491" s="408" t="s">
        <v>1088</v>
      </c>
      <c r="C491" s="408" t="s">
        <v>1132</v>
      </c>
      <c r="D491" s="408" t="s">
        <v>1045</v>
      </c>
      <c r="E491" s="409" t="s">
        <v>30</v>
      </c>
      <c r="F491" s="410">
        <v>2493.3000000000002</v>
      </c>
      <c r="G491" s="410"/>
      <c r="H491" s="409" t="s">
        <v>31</v>
      </c>
      <c r="I491" s="411" t="s">
        <v>32</v>
      </c>
      <c r="J491" s="411"/>
      <c r="K491" s="412" t="s">
        <v>25</v>
      </c>
      <c r="L491" s="413">
        <v>1050853.42</v>
      </c>
    </row>
    <row r="492" spans="1:12" ht="91.8" hidden="1" x14ac:dyDescent="0.3">
      <c r="A492" s="407" t="s">
        <v>224</v>
      </c>
      <c r="B492" s="408" t="s">
        <v>1088</v>
      </c>
      <c r="C492" s="408" t="s">
        <v>1133</v>
      </c>
      <c r="D492" s="408" t="s">
        <v>1045</v>
      </c>
      <c r="E492" s="409" t="s">
        <v>30</v>
      </c>
      <c r="F492" s="410">
        <v>1924.3</v>
      </c>
      <c r="G492" s="410"/>
      <c r="H492" s="409" t="s">
        <v>31</v>
      </c>
      <c r="I492" s="411" t="s">
        <v>32</v>
      </c>
      <c r="J492" s="411"/>
      <c r="K492" s="412" t="s">
        <v>25</v>
      </c>
      <c r="L492" s="413">
        <v>1052777.72</v>
      </c>
    </row>
    <row r="493" spans="1:12" ht="91.8" hidden="1" x14ac:dyDescent="0.3">
      <c r="A493" s="407" t="s">
        <v>224</v>
      </c>
      <c r="B493" s="408" t="s">
        <v>1088</v>
      </c>
      <c r="C493" s="408" t="s">
        <v>1134</v>
      </c>
      <c r="D493" s="408" t="s">
        <v>1045</v>
      </c>
      <c r="E493" s="409" t="s">
        <v>30</v>
      </c>
      <c r="F493" s="410">
        <v>3824.6</v>
      </c>
      <c r="G493" s="410"/>
      <c r="H493" s="409" t="s">
        <v>31</v>
      </c>
      <c r="I493" s="411" t="s">
        <v>32</v>
      </c>
      <c r="J493" s="411"/>
      <c r="K493" s="412" t="s">
        <v>25</v>
      </c>
      <c r="L493" s="413">
        <v>1056602.32</v>
      </c>
    </row>
    <row r="494" spans="1:12" ht="91.8" hidden="1" x14ac:dyDescent="0.3">
      <c r="A494" s="407" t="s">
        <v>224</v>
      </c>
      <c r="B494" s="408" t="s">
        <v>1088</v>
      </c>
      <c r="C494" s="408" t="s">
        <v>1135</v>
      </c>
      <c r="D494" s="408" t="s">
        <v>1045</v>
      </c>
      <c r="E494" s="409" t="s">
        <v>30</v>
      </c>
      <c r="F494" s="410">
        <v>7891</v>
      </c>
      <c r="G494" s="410"/>
      <c r="H494" s="409" t="s">
        <v>31</v>
      </c>
      <c r="I494" s="411" t="s">
        <v>32</v>
      </c>
      <c r="J494" s="411"/>
      <c r="K494" s="412" t="s">
        <v>25</v>
      </c>
      <c r="L494" s="413">
        <v>1064493.32</v>
      </c>
    </row>
    <row r="495" spans="1:12" ht="91.8" hidden="1" x14ac:dyDescent="0.3">
      <c r="A495" s="407" t="s">
        <v>224</v>
      </c>
      <c r="B495" s="408" t="s">
        <v>1088</v>
      </c>
      <c r="C495" s="408" t="s">
        <v>1135</v>
      </c>
      <c r="D495" s="408" t="s">
        <v>1045</v>
      </c>
      <c r="E495" s="409" t="s">
        <v>30</v>
      </c>
      <c r="F495" s="410">
        <v>2939.3</v>
      </c>
      <c r="G495" s="410"/>
      <c r="H495" s="409" t="s">
        <v>31</v>
      </c>
      <c r="I495" s="411" t="s">
        <v>32</v>
      </c>
      <c r="J495" s="411"/>
      <c r="K495" s="412" t="s">
        <v>25</v>
      </c>
      <c r="L495" s="413">
        <v>1067432.6200000001</v>
      </c>
    </row>
    <row r="496" spans="1:12" ht="91.8" hidden="1" x14ac:dyDescent="0.3">
      <c r="A496" s="407" t="s">
        <v>224</v>
      </c>
      <c r="B496" s="408" t="s">
        <v>1088</v>
      </c>
      <c r="C496" s="408" t="s">
        <v>1136</v>
      </c>
      <c r="D496" s="408" t="s">
        <v>1045</v>
      </c>
      <c r="E496" s="409" t="s">
        <v>30</v>
      </c>
      <c r="F496" s="410">
        <v>3775.4</v>
      </c>
      <c r="G496" s="410"/>
      <c r="H496" s="409" t="s">
        <v>31</v>
      </c>
      <c r="I496" s="411" t="s">
        <v>32</v>
      </c>
      <c r="J496" s="411"/>
      <c r="K496" s="412" t="s">
        <v>25</v>
      </c>
      <c r="L496" s="413">
        <v>1071208.02</v>
      </c>
    </row>
    <row r="497" spans="1:12" ht="91.8" hidden="1" x14ac:dyDescent="0.3">
      <c r="A497" s="407" t="s">
        <v>224</v>
      </c>
      <c r="B497" s="408" t="s">
        <v>1088</v>
      </c>
      <c r="C497" s="408" t="s">
        <v>1084</v>
      </c>
      <c r="D497" s="408" t="s">
        <v>1045</v>
      </c>
      <c r="E497" s="409" t="s">
        <v>30</v>
      </c>
      <c r="F497" s="410">
        <v>2107.6999999999998</v>
      </c>
      <c r="G497" s="410"/>
      <c r="H497" s="409" t="s">
        <v>31</v>
      </c>
      <c r="I497" s="411" t="s">
        <v>32</v>
      </c>
      <c r="J497" s="411"/>
      <c r="K497" s="412" t="s">
        <v>25</v>
      </c>
      <c r="L497" s="413">
        <v>1073315.72</v>
      </c>
    </row>
    <row r="498" spans="1:12" ht="91.8" hidden="1" x14ac:dyDescent="0.3">
      <c r="A498" s="407" t="s">
        <v>224</v>
      </c>
      <c r="B498" s="408" t="s">
        <v>1088</v>
      </c>
      <c r="C498" s="408" t="s">
        <v>1107</v>
      </c>
      <c r="D498" s="408" t="s">
        <v>1045</v>
      </c>
      <c r="E498" s="409" t="s">
        <v>30</v>
      </c>
      <c r="F498" s="410">
        <v>17430</v>
      </c>
      <c r="G498" s="410"/>
      <c r="H498" s="409" t="s">
        <v>31</v>
      </c>
      <c r="I498" s="411" t="s">
        <v>32</v>
      </c>
      <c r="J498" s="411"/>
      <c r="K498" s="412" t="s">
        <v>25</v>
      </c>
      <c r="L498" s="413">
        <v>1090745.72</v>
      </c>
    </row>
    <row r="499" spans="1:12" ht="91.8" hidden="1" x14ac:dyDescent="0.3">
      <c r="A499" s="407" t="s">
        <v>224</v>
      </c>
      <c r="B499" s="408" t="s">
        <v>1088</v>
      </c>
      <c r="C499" s="408" t="s">
        <v>1107</v>
      </c>
      <c r="D499" s="408" t="s">
        <v>1045</v>
      </c>
      <c r="E499" s="409" t="s">
        <v>30</v>
      </c>
      <c r="F499" s="410">
        <v>2665.6</v>
      </c>
      <c r="G499" s="410"/>
      <c r="H499" s="409" t="s">
        <v>31</v>
      </c>
      <c r="I499" s="411" t="s">
        <v>32</v>
      </c>
      <c r="J499" s="411"/>
      <c r="K499" s="412" t="s">
        <v>25</v>
      </c>
      <c r="L499" s="413">
        <v>1093411.32</v>
      </c>
    </row>
    <row r="500" spans="1:12" ht="91.8" hidden="1" x14ac:dyDescent="0.3">
      <c r="A500" s="407" t="s">
        <v>224</v>
      </c>
      <c r="B500" s="408" t="s">
        <v>1088</v>
      </c>
      <c r="C500" s="408" t="s">
        <v>1137</v>
      </c>
      <c r="D500" s="408" t="s">
        <v>1045</v>
      </c>
      <c r="E500" s="409" t="s">
        <v>30</v>
      </c>
      <c r="F500" s="410">
        <v>3395</v>
      </c>
      <c r="G500" s="410"/>
      <c r="H500" s="409" t="s">
        <v>31</v>
      </c>
      <c r="I500" s="411" t="s">
        <v>32</v>
      </c>
      <c r="J500" s="411"/>
      <c r="K500" s="412" t="s">
        <v>25</v>
      </c>
      <c r="L500" s="413">
        <v>1096806.32</v>
      </c>
    </row>
    <row r="501" spans="1:12" ht="91.8" hidden="1" x14ac:dyDescent="0.3">
      <c r="A501" s="407" t="s">
        <v>224</v>
      </c>
      <c r="B501" s="408" t="s">
        <v>1088</v>
      </c>
      <c r="C501" s="408" t="s">
        <v>1113</v>
      </c>
      <c r="D501" s="408" t="s">
        <v>1045</v>
      </c>
      <c r="E501" s="409" t="s">
        <v>30</v>
      </c>
      <c r="F501" s="410">
        <v>3454</v>
      </c>
      <c r="G501" s="410"/>
      <c r="H501" s="409" t="s">
        <v>31</v>
      </c>
      <c r="I501" s="411" t="s">
        <v>32</v>
      </c>
      <c r="J501" s="411"/>
      <c r="K501" s="412" t="s">
        <v>25</v>
      </c>
      <c r="L501" s="413">
        <v>1100260.32</v>
      </c>
    </row>
    <row r="502" spans="1:12" ht="91.8" hidden="1" x14ac:dyDescent="0.3">
      <c r="A502" s="407" t="s">
        <v>224</v>
      </c>
      <c r="B502" s="408" t="s">
        <v>1088</v>
      </c>
      <c r="C502" s="408" t="s">
        <v>1113</v>
      </c>
      <c r="D502" s="408" t="s">
        <v>1045</v>
      </c>
      <c r="E502" s="409" t="s">
        <v>30</v>
      </c>
      <c r="F502" s="410">
        <v>3518.1</v>
      </c>
      <c r="G502" s="410"/>
      <c r="H502" s="409" t="s">
        <v>31</v>
      </c>
      <c r="I502" s="411" t="s">
        <v>32</v>
      </c>
      <c r="J502" s="411"/>
      <c r="K502" s="412" t="s">
        <v>25</v>
      </c>
      <c r="L502" s="413">
        <v>1103778.42</v>
      </c>
    </row>
    <row r="503" spans="1:12" ht="91.8" hidden="1" x14ac:dyDescent="0.3">
      <c r="A503" s="407" t="s">
        <v>224</v>
      </c>
      <c r="B503" s="408" t="s">
        <v>1088</v>
      </c>
      <c r="C503" s="408" t="s">
        <v>1138</v>
      </c>
      <c r="D503" s="408" t="s">
        <v>1045</v>
      </c>
      <c r="E503" s="409" t="s">
        <v>30</v>
      </c>
      <c r="F503" s="410">
        <v>3964.9</v>
      </c>
      <c r="G503" s="410"/>
      <c r="H503" s="409" t="s">
        <v>31</v>
      </c>
      <c r="I503" s="411" t="s">
        <v>32</v>
      </c>
      <c r="J503" s="411"/>
      <c r="K503" s="412" t="s">
        <v>25</v>
      </c>
      <c r="L503" s="413">
        <v>1107743.32</v>
      </c>
    </row>
    <row r="504" spans="1:12" ht="91.8" hidden="1" x14ac:dyDescent="0.3">
      <c r="A504" s="407" t="s">
        <v>224</v>
      </c>
      <c r="B504" s="408" t="s">
        <v>1088</v>
      </c>
      <c r="C504" s="408" t="s">
        <v>1139</v>
      </c>
      <c r="D504" s="408" t="s">
        <v>1045</v>
      </c>
      <c r="E504" s="409" t="s">
        <v>30</v>
      </c>
      <c r="F504" s="410">
        <v>1593.8</v>
      </c>
      <c r="G504" s="410"/>
      <c r="H504" s="409" t="s">
        <v>31</v>
      </c>
      <c r="I504" s="411" t="s">
        <v>32</v>
      </c>
      <c r="J504" s="411"/>
      <c r="K504" s="412" t="s">
        <v>25</v>
      </c>
      <c r="L504" s="413">
        <v>1109337.1200000001</v>
      </c>
    </row>
    <row r="505" spans="1:12" ht="91.8" hidden="1" x14ac:dyDescent="0.3">
      <c r="A505" s="407" t="s">
        <v>224</v>
      </c>
      <c r="B505" s="408" t="s">
        <v>1088</v>
      </c>
      <c r="C505" s="408" t="s">
        <v>1140</v>
      </c>
      <c r="D505" s="408" t="s">
        <v>1045</v>
      </c>
      <c r="E505" s="409" t="s">
        <v>30</v>
      </c>
      <c r="F505" s="410">
        <v>3234</v>
      </c>
      <c r="G505" s="410"/>
      <c r="H505" s="409" t="s">
        <v>31</v>
      </c>
      <c r="I505" s="411" t="s">
        <v>32</v>
      </c>
      <c r="J505" s="411"/>
      <c r="K505" s="412" t="s">
        <v>25</v>
      </c>
      <c r="L505" s="413">
        <v>1112571.1200000001</v>
      </c>
    </row>
    <row r="506" spans="1:12" ht="91.8" hidden="1" x14ac:dyDescent="0.3">
      <c r="A506" s="407" t="s">
        <v>224</v>
      </c>
      <c r="B506" s="408" t="s">
        <v>1088</v>
      </c>
      <c r="C506" s="408" t="s">
        <v>1141</v>
      </c>
      <c r="D506" s="408" t="s">
        <v>1045</v>
      </c>
      <c r="E506" s="409" t="s">
        <v>30</v>
      </c>
      <c r="F506" s="410">
        <v>32089.599999999999</v>
      </c>
      <c r="G506" s="410"/>
      <c r="H506" s="409" t="s">
        <v>31</v>
      </c>
      <c r="I506" s="411" t="s">
        <v>32</v>
      </c>
      <c r="J506" s="411"/>
      <c r="K506" s="412" t="s">
        <v>25</v>
      </c>
      <c r="L506" s="413">
        <v>1144660.72</v>
      </c>
    </row>
    <row r="507" spans="1:12" ht="91.8" hidden="1" x14ac:dyDescent="0.3">
      <c r="A507" s="407" t="s">
        <v>224</v>
      </c>
      <c r="B507" s="408" t="s">
        <v>1142</v>
      </c>
      <c r="C507" s="408" t="s">
        <v>1143</v>
      </c>
      <c r="D507" s="408" t="s">
        <v>1144</v>
      </c>
      <c r="E507" s="409" t="s">
        <v>30</v>
      </c>
      <c r="F507" s="410">
        <v>3900.7</v>
      </c>
      <c r="G507" s="410"/>
      <c r="H507" s="409" t="s">
        <v>31</v>
      </c>
      <c r="I507" s="411" t="s">
        <v>32</v>
      </c>
      <c r="J507" s="411"/>
      <c r="K507" s="412" t="s">
        <v>25</v>
      </c>
      <c r="L507" s="413">
        <v>1148561.42</v>
      </c>
    </row>
    <row r="508" spans="1:12" ht="91.8" hidden="1" x14ac:dyDescent="0.3">
      <c r="A508" s="407" t="s">
        <v>224</v>
      </c>
      <c r="B508" s="408" t="s">
        <v>1142</v>
      </c>
      <c r="C508" s="408" t="s">
        <v>1145</v>
      </c>
      <c r="D508" s="408" t="s">
        <v>1144</v>
      </c>
      <c r="E508" s="409" t="s">
        <v>30</v>
      </c>
      <c r="F508" s="410">
        <v>1226.2</v>
      </c>
      <c r="G508" s="410"/>
      <c r="H508" s="409" t="s">
        <v>31</v>
      </c>
      <c r="I508" s="411" t="s">
        <v>32</v>
      </c>
      <c r="J508" s="411"/>
      <c r="K508" s="412" t="s">
        <v>25</v>
      </c>
      <c r="L508" s="413">
        <v>1149787.6200000001</v>
      </c>
    </row>
    <row r="509" spans="1:12" ht="91.8" hidden="1" x14ac:dyDescent="0.3">
      <c r="A509" s="407" t="s">
        <v>224</v>
      </c>
      <c r="B509" s="408" t="s">
        <v>1142</v>
      </c>
      <c r="C509" s="408" t="s">
        <v>1146</v>
      </c>
      <c r="D509" s="408" t="s">
        <v>1144</v>
      </c>
      <c r="E509" s="409" t="s">
        <v>30</v>
      </c>
      <c r="F509" s="410">
        <v>2532.9</v>
      </c>
      <c r="G509" s="410"/>
      <c r="H509" s="409" t="s">
        <v>31</v>
      </c>
      <c r="I509" s="411" t="s">
        <v>32</v>
      </c>
      <c r="J509" s="411"/>
      <c r="K509" s="412" t="s">
        <v>25</v>
      </c>
      <c r="L509" s="413">
        <v>1152320.52</v>
      </c>
    </row>
    <row r="510" spans="1:12" ht="91.8" hidden="1" x14ac:dyDescent="0.3">
      <c r="A510" s="407" t="s">
        <v>224</v>
      </c>
      <c r="B510" s="408" t="s">
        <v>1142</v>
      </c>
      <c r="C510" s="408" t="s">
        <v>1146</v>
      </c>
      <c r="D510" s="408" t="s">
        <v>1144</v>
      </c>
      <c r="E510" s="409" t="s">
        <v>30</v>
      </c>
      <c r="F510" s="410">
        <v>10638.4</v>
      </c>
      <c r="G510" s="410"/>
      <c r="H510" s="409" t="s">
        <v>31</v>
      </c>
      <c r="I510" s="411" t="s">
        <v>32</v>
      </c>
      <c r="J510" s="411"/>
      <c r="K510" s="412" t="s">
        <v>25</v>
      </c>
      <c r="L510" s="413">
        <v>1162958.92</v>
      </c>
    </row>
    <row r="511" spans="1:12" ht="91.8" hidden="1" x14ac:dyDescent="0.3">
      <c r="A511" s="407" t="s">
        <v>224</v>
      </c>
      <c r="B511" s="408" t="s">
        <v>1142</v>
      </c>
      <c r="C511" s="408" t="s">
        <v>1146</v>
      </c>
      <c r="D511" s="408" t="s">
        <v>1144</v>
      </c>
      <c r="E511" s="409" t="s">
        <v>30</v>
      </c>
      <c r="F511" s="410">
        <v>2371.8000000000002</v>
      </c>
      <c r="G511" s="410"/>
      <c r="H511" s="409" t="s">
        <v>31</v>
      </c>
      <c r="I511" s="411" t="s">
        <v>32</v>
      </c>
      <c r="J511" s="411"/>
      <c r="K511" s="412" t="s">
        <v>25</v>
      </c>
      <c r="L511" s="413">
        <v>1165330.72</v>
      </c>
    </row>
    <row r="512" spans="1:12" ht="91.8" hidden="1" x14ac:dyDescent="0.3">
      <c r="A512" s="407" t="s">
        <v>224</v>
      </c>
      <c r="B512" s="408" t="s">
        <v>1142</v>
      </c>
      <c r="C512" s="408" t="s">
        <v>1147</v>
      </c>
      <c r="D512" s="408" t="s">
        <v>1144</v>
      </c>
      <c r="E512" s="409" t="s">
        <v>30</v>
      </c>
      <c r="F512" s="410">
        <v>2569.4</v>
      </c>
      <c r="G512" s="410"/>
      <c r="H512" s="409" t="s">
        <v>31</v>
      </c>
      <c r="I512" s="411" t="s">
        <v>32</v>
      </c>
      <c r="J512" s="411"/>
      <c r="K512" s="412" t="s">
        <v>25</v>
      </c>
      <c r="L512" s="413">
        <v>1167900.1200000001</v>
      </c>
    </row>
    <row r="513" spans="1:12" ht="91.8" hidden="1" x14ac:dyDescent="0.3">
      <c r="A513" s="407" t="s">
        <v>224</v>
      </c>
      <c r="B513" s="408" t="s">
        <v>1142</v>
      </c>
      <c r="C513" s="408" t="s">
        <v>1148</v>
      </c>
      <c r="D513" s="408" t="s">
        <v>1144</v>
      </c>
      <c r="E513" s="409" t="s">
        <v>30</v>
      </c>
      <c r="F513" s="410">
        <v>3507.7</v>
      </c>
      <c r="G513" s="410"/>
      <c r="H513" s="409" t="s">
        <v>31</v>
      </c>
      <c r="I513" s="411" t="s">
        <v>32</v>
      </c>
      <c r="J513" s="411"/>
      <c r="K513" s="412" t="s">
        <v>25</v>
      </c>
      <c r="L513" s="413">
        <v>1171407.82</v>
      </c>
    </row>
    <row r="514" spans="1:12" ht="91.8" hidden="1" x14ac:dyDescent="0.3">
      <c r="A514" s="407" t="s">
        <v>224</v>
      </c>
      <c r="B514" s="408" t="s">
        <v>1142</v>
      </c>
      <c r="C514" s="408" t="s">
        <v>1149</v>
      </c>
      <c r="D514" s="408" t="s">
        <v>1144</v>
      </c>
      <c r="E514" s="409" t="s">
        <v>30</v>
      </c>
      <c r="F514" s="410">
        <v>1482.7</v>
      </c>
      <c r="G514" s="410"/>
      <c r="H514" s="409" t="s">
        <v>31</v>
      </c>
      <c r="I514" s="411" t="s">
        <v>32</v>
      </c>
      <c r="J514" s="411"/>
      <c r="K514" s="412" t="s">
        <v>25</v>
      </c>
      <c r="L514" s="413">
        <v>1172890.52</v>
      </c>
    </row>
    <row r="515" spans="1:12" ht="91.8" hidden="1" x14ac:dyDescent="0.3">
      <c r="A515" s="407" t="s">
        <v>224</v>
      </c>
      <c r="B515" s="408" t="s">
        <v>1142</v>
      </c>
      <c r="C515" s="408" t="s">
        <v>1150</v>
      </c>
      <c r="D515" s="408" t="s">
        <v>1144</v>
      </c>
      <c r="E515" s="409" t="s">
        <v>30</v>
      </c>
      <c r="F515" s="410">
        <v>1097.9000000000001</v>
      </c>
      <c r="G515" s="410"/>
      <c r="H515" s="409" t="s">
        <v>31</v>
      </c>
      <c r="I515" s="411" t="s">
        <v>32</v>
      </c>
      <c r="J515" s="411"/>
      <c r="K515" s="412" t="s">
        <v>25</v>
      </c>
      <c r="L515" s="413">
        <v>1173988.42</v>
      </c>
    </row>
    <row r="516" spans="1:12" ht="91.8" hidden="1" x14ac:dyDescent="0.3">
      <c r="A516" s="407" t="s">
        <v>224</v>
      </c>
      <c r="B516" s="408" t="s">
        <v>1142</v>
      </c>
      <c r="C516" s="408" t="s">
        <v>1151</v>
      </c>
      <c r="D516" s="408" t="s">
        <v>1144</v>
      </c>
      <c r="E516" s="409" t="s">
        <v>30</v>
      </c>
      <c r="F516" s="410">
        <v>1784</v>
      </c>
      <c r="G516" s="410"/>
      <c r="H516" s="409" t="s">
        <v>31</v>
      </c>
      <c r="I516" s="411" t="s">
        <v>32</v>
      </c>
      <c r="J516" s="411"/>
      <c r="K516" s="412" t="s">
        <v>25</v>
      </c>
      <c r="L516" s="413">
        <v>1175772.42</v>
      </c>
    </row>
    <row r="517" spans="1:12" ht="91.8" hidden="1" x14ac:dyDescent="0.3">
      <c r="A517" s="407" t="s">
        <v>224</v>
      </c>
      <c r="B517" s="408" t="s">
        <v>1142</v>
      </c>
      <c r="C517" s="408" t="s">
        <v>1152</v>
      </c>
      <c r="D517" s="408" t="s">
        <v>1144</v>
      </c>
      <c r="E517" s="409" t="s">
        <v>30</v>
      </c>
      <c r="F517" s="410">
        <v>2809.6</v>
      </c>
      <c r="G517" s="410"/>
      <c r="H517" s="409" t="s">
        <v>31</v>
      </c>
      <c r="I517" s="411" t="s">
        <v>32</v>
      </c>
      <c r="J517" s="411"/>
      <c r="K517" s="412" t="s">
        <v>25</v>
      </c>
      <c r="L517" s="413">
        <v>1178582.02</v>
      </c>
    </row>
    <row r="518" spans="1:12" ht="91.8" hidden="1" x14ac:dyDescent="0.3">
      <c r="A518" s="407" t="s">
        <v>224</v>
      </c>
      <c r="B518" s="408" t="s">
        <v>1142</v>
      </c>
      <c r="C518" s="408" t="s">
        <v>1153</v>
      </c>
      <c r="D518" s="408" t="s">
        <v>1144</v>
      </c>
      <c r="E518" s="409" t="s">
        <v>30</v>
      </c>
      <c r="F518" s="410">
        <v>1648.3</v>
      </c>
      <c r="G518" s="410"/>
      <c r="H518" s="409" t="s">
        <v>31</v>
      </c>
      <c r="I518" s="411" t="s">
        <v>32</v>
      </c>
      <c r="J518" s="411"/>
      <c r="K518" s="412" t="s">
        <v>25</v>
      </c>
      <c r="L518" s="413">
        <v>1180230.32</v>
      </c>
    </row>
    <row r="519" spans="1:12" ht="91.8" hidden="1" x14ac:dyDescent="0.3">
      <c r="A519" s="407" t="s">
        <v>224</v>
      </c>
      <c r="B519" s="408" t="s">
        <v>1142</v>
      </c>
      <c r="C519" s="408" t="s">
        <v>1154</v>
      </c>
      <c r="D519" s="408" t="s">
        <v>1144</v>
      </c>
      <c r="E519" s="409" t="s">
        <v>30</v>
      </c>
      <c r="F519" s="410">
        <v>2157.6999999999998</v>
      </c>
      <c r="G519" s="410"/>
      <c r="H519" s="409" t="s">
        <v>31</v>
      </c>
      <c r="I519" s="411" t="s">
        <v>32</v>
      </c>
      <c r="J519" s="411"/>
      <c r="K519" s="412" t="s">
        <v>25</v>
      </c>
      <c r="L519" s="413">
        <v>1182388.02</v>
      </c>
    </row>
    <row r="520" spans="1:12" ht="91.8" hidden="1" x14ac:dyDescent="0.3">
      <c r="A520" s="407" t="s">
        <v>224</v>
      </c>
      <c r="B520" s="408" t="s">
        <v>1142</v>
      </c>
      <c r="C520" s="408" t="s">
        <v>1155</v>
      </c>
      <c r="D520" s="408" t="s">
        <v>1144</v>
      </c>
      <c r="E520" s="409" t="s">
        <v>30</v>
      </c>
      <c r="F520" s="410">
        <v>1933.9</v>
      </c>
      <c r="G520" s="410"/>
      <c r="H520" s="409" t="s">
        <v>31</v>
      </c>
      <c r="I520" s="411" t="s">
        <v>32</v>
      </c>
      <c r="J520" s="411"/>
      <c r="K520" s="412" t="s">
        <v>25</v>
      </c>
      <c r="L520" s="413">
        <v>1184321.92</v>
      </c>
    </row>
    <row r="521" spans="1:12" ht="91.8" hidden="1" x14ac:dyDescent="0.3">
      <c r="A521" s="407" t="s">
        <v>224</v>
      </c>
      <c r="B521" s="408" t="s">
        <v>1142</v>
      </c>
      <c r="C521" s="408" t="s">
        <v>1156</v>
      </c>
      <c r="D521" s="408" t="s">
        <v>1144</v>
      </c>
      <c r="E521" s="409" t="s">
        <v>30</v>
      </c>
      <c r="F521" s="414">
        <v>879.3</v>
      </c>
      <c r="G521" s="414"/>
      <c r="H521" s="409" t="s">
        <v>31</v>
      </c>
      <c r="I521" s="411" t="s">
        <v>32</v>
      </c>
      <c r="J521" s="411"/>
      <c r="K521" s="412" t="s">
        <v>25</v>
      </c>
      <c r="L521" s="413">
        <v>1185201.22</v>
      </c>
    </row>
    <row r="522" spans="1:12" ht="91.8" hidden="1" x14ac:dyDescent="0.3">
      <c r="A522" s="407" t="s">
        <v>224</v>
      </c>
      <c r="B522" s="408" t="s">
        <v>1142</v>
      </c>
      <c r="C522" s="408" t="s">
        <v>1157</v>
      </c>
      <c r="D522" s="408" t="s">
        <v>1144</v>
      </c>
      <c r="E522" s="409" t="s">
        <v>30</v>
      </c>
      <c r="F522" s="410">
        <v>2699.9</v>
      </c>
      <c r="G522" s="410"/>
      <c r="H522" s="409" t="s">
        <v>31</v>
      </c>
      <c r="I522" s="411" t="s">
        <v>32</v>
      </c>
      <c r="J522" s="411"/>
      <c r="K522" s="412" t="s">
        <v>25</v>
      </c>
      <c r="L522" s="413">
        <v>1187901.1200000001</v>
      </c>
    </row>
    <row r="523" spans="1:12" ht="91.8" hidden="1" x14ac:dyDescent="0.3">
      <c r="A523" s="407" t="s">
        <v>224</v>
      </c>
      <c r="B523" s="408" t="s">
        <v>1142</v>
      </c>
      <c r="C523" s="408" t="s">
        <v>1158</v>
      </c>
      <c r="D523" s="408" t="s">
        <v>1144</v>
      </c>
      <c r="E523" s="409" t="s">
        <v>30</v>
      </c>
      <c r="F523" s="410">
        <v>36328.6</v>
      </c>
      <c r="G523" s="410"/>
      <c r="H523" s="409" t="s">
        <v>31</v>
      </c>
      <c r="I523" s="411" t="s">
        <v>32</v>
      </c>
      <c r="J523" s="411"/>
      <c r="K523" s="412" t="s">
        <v>25</v>
      </c>
      <c r="L523" s="413">
        <v>1224229.72</v>
      </c>
    </row>
    <row r="524" spans="1:12" ht="91.8" hidden="1" x14ac:dyDescent="0.3">
      <c r="A524" s="407" t="s">
        <v>224</v>
      </c>
      <c r="B524" s="408" t="s">
        <v>1142</v>
      </c>
      <c r="C524" s="408" t="s">
        <v>1158</v>
      </c>
      <c r="D524" s="408" t="s">
        <v>1144</v>
      </c>
      <c r="E524" s="409" t="s">
        <v>30</v>
      </c>
      <c r="F524" s="410">
        <v>2952</v>
      </c>
      <c r="G524" s="410"/>
      <c r="H524" s="409" t="s">
        <v>31</v>
      </c>
      <c r="I524" s="411" t="s">
        <v>32</v>
      </c>
      <c r="J524" s="411"/>
      <c r="K524" s="412" t="s">
        <v>25</v>
      </c>
      <c r="L524" s="413">
        <v>1227181.72</v>
      </c>
    </row>
    <row r="525" spans="1:12" ht="91.8" hidden="1" x14ac:dyDescent="0.3">
      <c r="A525" s="407" t="s">
        <v>224</v>
      </c>
      <c r="B525" s="408" t="s">
        <v>1142</v>
      </c>
      <c r="C525" s="408" t="s">
        <v>1159</v>
      </c>
      <c r="D525" s="408" t="s">
        <v>1144</v>
      </c>
      <c r="E525" s="409" t="s">
        <v>30</v>
      </c>
      <c r="F525" s="410">
        <v>3264.5</v>
      </c>
      <c r="G525" s="410"/>
      <c r="H525" s="409" t="s">
        <v>31</v>
      </c>
      <c r="I525" s="411" t="s">
        <v>32</v>
      </c>
      <c r="J525" s="411"/>
      <c r="K525" s="412" t="s">
        <v>25</v>
      </c>
      <c r="L525" s="413">
        <v>1230446.22</v>
      </c>
    </row>
    <row r="526" spans="1:12" ht="91.8" hidden="1" x14ac:dyDescent="0.3">
      <c r="A526" s="407" t="s">
        <v>224</v>
      </c>
      <c r="B526" s="408" t="s">
        <v>1142</v>
      </c>
      <c r="C526" s="408" t="s">
        <v>1159</v>
      </c>
      <c r="D526" s="408" t="s">
        <v>1144</v>
      </c>
      <c r="E526" s="409" t="s">
        <v>30</v>
      </c>
      <c r="F526" s="410">
        <v>8624.7999999999993</v>
      </c>
      <c r="G526" s="410"/>
      <c r="H526" s="409" t="s">
        <v>31</v>
      </c>
      <c r="I526" s="411" t="s">
        <v>32</v>
      </c>
      <c r="J526" s="411"/>
      <c r="K526" s="412" t="s">
        <v>25</v>
      </c>
      <c r="L526" s="413">
        <v>1239071.02</v>
      </c>
    </row>
    <row r="527" spans="1:12" ht="91.8" hidden="1" x14ac:dyDescent="0.3">
      <c r="A527" s="407" t="s">
        <v>224</v>
      </c>
      <c r="B527" s="408" t="s">
        <v>1142</v>
      </c>
      <c r="C527" s="408" t="s">
        <v>1160</v>
      </c>
      <c r="D527" s="408" t="s">
        <v>1144</v>
      </c>
      <c r="E527" s="409" t="s">
        <v>30</v>
      </c>
      <c r="F527" s="410">
        <v>4267.7</v>
      </c>
      <c r="G527" s="410"/>
      <c r="H527" s="409" t="s">
        <v>31</v>
      </c>
      <c r="I527" s="411" t="s">
        <v>32</v>
      </c>
      <c r="J527" s="411"/>
      <c r="K527" s="412" t="s">
        <v>25</v>
      </c>
      <c r="L527" s="413">
        <v>1243338.72</v>
      </c>
    </row>
    <row r="528" spans="1:12" ht="91.8" hidden="1" x14ac:dyDescent="0.3">
      <c r="A528" s="407" t="s">
        <v>224</v>
      </c>
      <c r="B528" s="408" t="s">
        <v>1142</v>
      </c>
      <c r="C528" s="408" t="s">
        <v>1161</v>
      </c>
      <c r="D528" s="408" t="s">
        <v>1144</v>
      </c>
      <c r="E528" s="409" t="s">
        <v>30</v>
      </c>
      <c r="F528" s="410">
        <v>1729.6</v>
      </c>
      <c r="G528" s="410"/>
      <c r="H528" s="409" t="s">
        <v>31</v>
      </c>
      <c r="I528" s="411" t="s">
        <v>32</v>
      </c>
      <c r="J528" s="411"/>
      <c r="K528" s="412" t="s">
        <v>25</v>
      </c>
      <c r="L528" s="413">
        <v>1245068.32</v>
      </c>
    </row>
    <row r="529" spans="1:12" ht="91.8" hidden="1" x14ac:dyDescent="0.3">
      <c r="A529" s="407" t="s">
        <v>224</v>
      </c>
      <c r="B529" s="408" t="s">
        <v>1142</v>
      </c>
      <c r="C529" s="408" t="s">
        <v>1161</v>
      </c>
      <c r="D529" s="408" t="s">
        <v>1144</v>
      </c>
      <c r="E529" s="409" t="s">
        <v>30</v>
      </c>
      <c r="F529" s="410">
        <v>7697.2</v>
      </c>
      <c r="G529" s="410"/>
      <c r="H529" s="409" t="s">
        <v>31</v>
      </c>
      <c r="I529" s="411" t="s">
        <v>32</v>
      </c>
      <c r="J529" s="411"/>
      <c r="K529" s="412" t="s">
        <v>25</v>
      </c>
      <c r="L529" s="413">
        <v>1252765.52</v>
      </c>
    </row>
    <row r="530" spans="1:12" ht="91.8" hidden="1" x14ac:dyDescent="0.3">
      <c r="A530" s="407" t="s">
        <v>224</v>
      </c>
      <c r="B530" s="408" t="s">
        <v>1142</v>
      </c>
      <c r="C530" s="408" t="s">
        <v>1162</v>
      </c>
      <c r="D530" s="408" t="s">
        <v>1144</v>
      </c>
      <c r="E530" s="409" t="s">
        <v>30</v>
      </c>
      <c r="F530" s="410">
        <v>2315.1</v>
      </c>
      <c r="G530" s="410"/>
      <c r="H530" s="409" t="s">
        <v>31</v>
      </c>
      <c r="I530" s="411" t="s">
        <v>32</v>
      </c>
      <c r="J530" s="411"/>
      <c r="K530" s="412" t="s">
        <v>25</v>
      </c>
      <c r="L530" s="413">
        <v>1255080.6200000001</v>
      </c>
    </row>
    <row r="531" spans="1:12" ht="91.8" hidden="1" x14ac:dyDescent="0.3">
      <c r="A531" s="407" t="s">
        <v>224</v>
      </c>
      <c r="B531" s="408" t="s">
        <v>1142</v>
      </c>
      <c r="C531" s="408" t="s">
        <v>1163</v>
      </c>
      <c r="D531" s="408" t="s">
        <v>1144</v>
      </c>
      <c r="E531" s="409" t="s">
        <v>30</v>
      </c>
      <c r="F531" s="410">
        <v>2382.9</v>
      </c>
      <c r="G531" s="410"/>
      <c r="H531" s="409" t="s">
        <v>31</v>
      </c>
      <c r="I531" s="411" t="s">
        <v>32</v>
      </c>
      <c r="J531" s="411"/>
      <c r="K531" s="412" t="s">
        <v>25</v>
      </c>
      <c r="L531" s="413">
        <v>1257463.52</v>
      </c>
    </row>
    <row r="532" spans="1:12" ht="91.8" hidden="1" x14ac:dyDescent="0.3">
      <c r="A532" s="407" t="s">
        <v>224</v>
      </c>
      <c r="B532" s="408" t="s">
        <v>1142</v>
      </c>
      <c r="C532" s="408" t="s">
        <v>1164</v>
      </c>
      <c r="D532" s="408" t="s">
        <v>1144</v>
      </c>
      <c r="E532" s="409" t="s">
        <v>30</v>
      </c>
      <c r="F532" s="410">
        <v>2293.4</v>
      </c>
      <c r="G532" s="410"/>
      <c r="H532" s="409" t="s">
        <v>31</v>
      </c>
      <c r="I532" s="411" t="s">
        <v>32</v>
      </c>
      <c r="J532" s="411"/>
      <c r="K532" s="412" t="s">
        <v>25</v>
      </c>
      <c r="L532" s="413">
        <v>1259756.92</v>
      </c>
    </row>
    <row r="533" spans="1:12" ht="91.8" hidden="1" x14ac:dyDescent="0.3">
      <c r="A533" s="407" t="s">
        <v>224</v>
      </c>
      <c r="B533" s="408" t="s">
        <v>1142</v>
      </c>
      <c r="C533" s="408" t="s">
        <v>1161</v>
      </c>
      <c r="D533" s="408" t="s">
        <v>1144</v>
      </c>
      <c r="E533" s="409" t="s">
        <v>30</v>
      </c>
      <c r="F533" s="410">
        <v>1860.1</v>
      </c>
      <c r="G533" s="410"/>
      <c r="H533" s="409" t="s">
        <v>31</v>
      </c>
      <c r="I533" s="411" t="s">
        <v>32</v>
      </c>
      <c r="J533" s="411"/>
      <c r="K533" s="412" t="s">
        <v>25</v>
      </c>
      <c r="L533" s="413">
        <v>1261617.02</v>
      </c>
    </row>
    <row r="534" spans="1:12" ht="91.8" hidden="1" x14ac:dyDescent="0.3">
      <c r="A534" s="407" t="s">
        <v>224</v>
      </c>
      <c r="B534" s="408" t="s">
        <v>1142</v>
      </c>
      <c r="C534" s="408" t="s">
        <v>1165</v>
      </c>
      <c r="D534" s="408" t="s">
        <v>1144</v>
      </c>
      <c r="E534" s="409" t="s">
        <v>30</v>
      </c>
      <c r="F534" s="414">
        <v>889</v>
      </c>
      <c r="G534" s="414"/>
      <c r="H534" s="409" t="s">
        <v>31</v>
      </c>
      <c r="I534" s="411" t="s">
        <v>32</v>
      </c>
      <c r="J534" s="411"/>
      <c r="K534" s="412" t="s">
        <v>25</v>
      </c>
      <c r="L534" s="413">
        <v>1262506.02</v>
      </c>
    </row>
    <row r="535" spans="1:12" ht="91.8" hidden="1" x14ac:dyDescent="0.3">
      <c r="A535" s="407" t="s">
        <v>224</v>
      </c>
      <c r="B535" s="408" t="s">
        <v>1142</v>
      </c>
      <c r="C535" s="408" t="s">
        <v>1166</v>
      </c>
      <c r="D535" s="408" t="s">
        <v>1144</v>
      </c>
      <c r="E535" s="409" t="s">
        <v>30</v>
      </c>
      <c r="F535" s="410">
        <v>1575.2</v>
      </c>
      <c r="G535" s="410"/>
      <c r="H535" s="409" t="s">
        <v>31</v>
      </c>
      <c r="I535" s="411" t="s">
        <v>32</v>
      </c>
      <c r="J535" s="411"/>
      <c r="K535" s="412" t="s">
        <v>25</v>
      </c>
      <c r="L535" s="413">
        <v>1264081.22</v>
      </c>
    </row>
    <row r="536" spans="1:12" ht="91.8" hidden="1" x14ac:dyDescent="0.3">
      <c r="A536" s="407" t="s">
        <v>224</v>
      </c>
      <c r="B536" s="408" t="s">
        <v>1142</v>
      </c>
      <c r="C536" s="408" t="s">
        <v>1167</v>
      </c>
      <c r="D536" s="408" t="s">
        <v>1144</v>
      </c>
      <c r="E536" s="409" t="s">
        <v>30</v>
      </c>
      <c r="F536" s="414">
        <v>718.2</v>
      </c>
      <c r="G536" s="414"/>
      <c r="H536" s="409" t="s">
        <v>31</v>
      </c>
      <c r="I536" s="411" t="s">
        <v>32</v>
      </c>
      <c r="J536" s="411"/>
      <c r="K536" s="412" t="s">
        <v>25</v>
      </c>
      <c r="L536" s="413">
        <v>1264799.42</v>
      </c>
    </row>
    <row r="537" spans="1:12" ht="91.8" hidden="1" x14ac:dyDescent="0.3">
      <c r="A537" s="407" t="s">
        <v>224</v>
      </c>
      <c r="B537" s="408" t="s">
        <v>1142</v>
      </c>
      <c r="C537" s="408" t="s">
        <v>1168</v>
      </c>
      <c r="D537" s="408" t="s">
        <v>1144</v>
      </c>
      <c r="E537" s="409" t="s">
        <v>30</v>
      </c>
      <c r="F537" s="410">
        <v>3101.2</v>
      </c>
      <c r="G537" s="410"/>
      <c r="H537" s="409" t="s">
        <v>31</v>
      </c>
      <c r="I537" s="411" t="s">
        <v>32</v>
      </c>
      <c r="J537" s="411"/>
      <c r="K537" s="412" t="s">
        <v>25</v>
      </c>
      <c r="L537" s="413">
        <v>1267900.6200000001</v>
      </c>
    </row>
    <row r="538" spans="1:12" ht="91.8" hidden="1" x14ac:dyDescent="0.3">
      <c r="A538" s="407" t="s">
        <v>224</v>
      </c>
      <c r="B538" s="408" t="s">
        <v>1142</v>
      </c>
      <c r="C538" s="408" t="s">
        <v>1169</v>
      </c>
      <c r="D538" s="408" t="s">
        <v>1144</v>
      </c>
      <c r="E538" s="409" t="s">
        <v>30</v>
      </c>
      <c r="F538" s="410">
        <v>2091.3000000000002</v>
      </c>
      <c r="G538" s="410"/>
      <c r="H538" s="409" t="s">
        <v>31</v>
      </c>
      <c r="I538" s="411" t="s">
        <v>32</v>
      </c>
      <c r="J538" s="411"/>
      <c r="K538" s="412" t="s">
        <v>25</v>
      </c>
      <c r="L538" s="413">
        <v>1269991.92</v>
      </c>
    </row>
    <row r="539" spans="1:12" ht="91.8" hidden="1" x14ac:dyDescent="0.3">
      <c r="A539" s="407" t="s">
        <v>224</v>
      </c>
      <c r="B539" s="408" t="s">
        <v>1142</v>
      </c>
      <c r="C539" s="408" t="s">
        <v>1170</v>
      </c>
      <c r="D539" s="408" t="s">
        <v>1144</v>
      </c>
      <c r="E539" s="409" t="s">
        <v>30</v>
      </c>
      <c r="F539" s="410">
        <v>4053.6</v>
      </c>
      <c r="G539" s="410"/>
      <c r="H539" s="409" t="s">
        <v>31</v>
      </c>
      <c r="I539" s="411" t="s">
        <v>32</v>
      </c>
      <c r="J539" s="411"/>
      <c r="K539" s="412" t="s">
        <v>25</v>
      </c>
      <c r="L539" s="413">
        <v>1274045.52</v>
      </c>
    </row>
    <row r="540" spans="1:12" ht="91.8" hidden="1" x14ac:dyDescent="0.3">
      <c r="A540" s="407" t="s">
        <v>224</v>
      </c>
      <c r="B540" s="408" t="s">
        <v>1142</v>
      </c>
      <c r="C540" s="408" t="s">
        <v>1170</v>
      </c>
      <c r="D540" s="408" t="s">
        <v>1144</v>
      </c>
      <c r="E540" s="409" t="s">
        <v>30</v>
      </c>
      <c r="F540" s="410">
        <v>8184.8</v>
      </c>
      <c r="G540" s="410"/>
      <c r="H540" s="409" t="s">
        <v>31</v>
      </c>
      <c r="I540" s="411" t="s">
        <v>32</v>
      </c>
      <c r="J540" s="411"/>
      <c r="K540" s="412" t="s">
        <v>25</v>
      </c>
      <c r="L540" s="413">
        <v>1282230.32</v>
      </c>
    </row>
    <row r="541" spans="1:12" ht="91.8" hidden="1" x14ac:dyDescent="0.3">
      <c r="A541" s="407" t="s">
        <v>224</v>
      </c>
      <c r="B541" s="408" t="s">
        <v>1142</v>
      </c>
      <c r="C541" s="408" t="s">
        <v>1171</v>
      </c>
      <c r="D541" s="408" t="s">
        <v>1144</v>
      </c>
      <c r="E541" s="409" t="s">
        <v>30</v>
      </c>
      <c r="F541" s="414">
        <v>968.8</v>
      </c>
      <c r="G541" s="414"/>
      <c r="H541" s="409" t="s">
        <v>31</v>
      </c>
      <c r="I541" s="411" t="s">
        <v>32</v>
      </c>
      <c r="J541" s="411"/>
      <c r="K541" s="412" t="s">
        <v>25</v>
      </c>
      <c r="L541" s="413">
        <v>1283199.1200000001</v>
      </c>
    </row>
    <row r="542" spans="1:12" ht="91.8" hidden="1" x14ac:dyDescent="0.3">
      <c r="A542" s="407" t="s">
        <v>224</v>
      </c>
      <c r="B542" s="408" t="s">
        <v>1142</v>
      </c>
      <c r="C542" s="408" t="s">
        <v>1172</v>
      </c>
      <c r="D542" s="408" t="s">
        <v>1144</v>
      </c>
      <c r="E542" s="409" t="s">
        <v>30</v>
      </c>
      <c r="F542" s="410">
        <v>1152.3</v>
      </c>
      <c r="G542" s="410"/>
      <c r="H542" s="409" t="s">
        <v>31</v>
      </c>
      <c r="I542" s="411" t="s">
        <v>32</v>
      </c>
      <c r="J542" s="411"/>
      <c r="K542" s="412" t="s">
        <v>25</v>
      </c>
      <c r="L542" s="413">
        <v>1284351.42</v>
      </c>
    </row>
    <row r="543" spans="1:12" ht="91.8" hidden="1" x14ac:dyDescent="0.3">
      <c r="A543" s="407" t="s">
        <v>224</v>
      </c>
      <c r="B543" s="408" t="s">
        <v>1142</v>
      </c>
      <c r="C543" s="408" t="s">
        <v>1173</v>
      </c>
      <c r="D543" s="408" t="s">
        <v>1144</v>
      </c>
      <c r="E543" s="409" t="s">
        <v>30</v>
      </c>
      <c r="F543" s="410">
        <v>4075.2</v>
      </c>
      <c r="G543" s="410"/>
      <c r="H543" s="409" t="s">
        <v>31</v>
      </c>
      <c r="I543" s="411" t="s">
        <v>32</v>
      </c>
      <c r="J543" s="411"/>
      <c r="K543" s="412" t="s">
        <v>25</v>
      </c>
      <c r="L543" s="413">
        <v>1288426.6200000001</v>
      </c>
    </row>
    <row r="544" spans="1:12" ht="91.8" hidden="1" x14ac:dyDescent="0.3">
      <c r="A544" s="407" t="s">
        <v>224</v>
      </c>
      <c r="B544" s="408" t="s">
        <v>1142</v>
      </c>
      <c r="C544" s="408" t="s">
        <v>1174</v>
      </c>
      <c r="D544" s="408" t="s">
        <v>1144</v>
      </c>
      <c r="E544" s="409" t="s">
        <v>30</v>
      </c>
      <c r="F544" s="410">
        <v>6863.2</v>
      </c>
      <c r="G544" s="410"/>
      <c r="H544" s="409" t="s">
        <v>31</v>
      </c>
      <c r="I544" s="411" t="s">
        <v>32</v>
      </c>
      <c r="J544" s="411"/>
      <c r="K544" s="412" t="s">
        <v>25</v>
      </c>
      <c r="L544" s="413">
        <v>1295289.82</v>
      </c>
    </row>
    <row r="545" spans="1:12" ht="91.8" hidden="1" x14ac:dyDescent="0.3">
      <c r="A545" s="407" t="s">
        <v>224</v>
      </c>
      <c r="B545" s="408" t="s">
        <v>1142</v>
      </c>
      <c r="C545" s="408" t="s">
        <v>1175</v>
      </c>
      <c r="D545" s="408" t="s">
        <v>1144</v>
      </c>
      <c r="E545" s="409" t="s">
        <v>30</v>
      </c>
      <c r="F545" s="410">
        <v>3692.6</v>
      </c>
      <c r="G545" s="410"/>
      <c r="H545" s="409" t="s">
        <v>31</v>
      </c>
      <c r="I545" s="411" t="s">
        <v>32</v>
      </c>
      <c r="J545" s="411"/>
      <c r="K545" s="412" t="s">
        <v>25</v>
      </c>
      <c r="L545" s="413">
        <v>1298982.42</v>
      </c>
    </row>
    <row r="546" spans="1:12" ht="91.8" hidden="1" x14ac:dyDescent="0.3">
      <c r="A546" s="407" t="s">
        <v>224</v>
      </c>
      <c r="B546" s="408" t="s">
        <v>1142</v>
      </c>
      <c r="C546" s="408" t="s">
        <v>1176</v>
      </c>
      <c r="D546" s="408" t="s">
        <v>1144</v>
      </c>
      <c r="E546" s="409" t="s">
        <v>30</v>
      </c>
      <c r="F546" s="410">
        <v>3819.4</v>
      </c>
      <c r="G546" s="410"/>
      <c r="H546" s="409" t="s">
        <v>31</v>
      </c>
      <c r="I546" s="411" t="s">
        <v>32</v>
      </c>
      <c r="J546" s="411"/>
      <c r="K546" s="412" t="s">
        <v>25</v>
      </c>
      <c r="L546" s="413">
        <v>1302801.82</v>
      </c>
    </row>
    <row r="547" spans="1:12" ht="91.8" hidden="1" x14ac:dyDescent="0.3">
      <c r="A547" s="407" t="s">
        <v>224</v>
      </c>
      <c r="B547" s="408" t="s">
        <v>1142</v>
      </c>
      <c r="C547" s="408" t="s">
        <v>1177</v>
      </c>
      <c r="D547" s="408" t="s">
        <v>1144</v>
      </c>
      <c r="E547" s="409" t="s">
        <v>30</v>
      </c>
      <c r="F547" s="410">
        <v>2625.3</v>
      </c>
      <c r="G547" s="410"/>
      <c r="H547" s="409" t="s">
        <v>31</v>
      </c>
      <c r="I547" s="411" t="s">
        <v>32</v>
      </c>
      <c r="J547" s="411"/>
      <c r="K547" s="412" t="s">
        <v>25</v>
      </c>
      <c r="L547" s="413">
        <v>1305427.1200000001</v>
      </c>
    </row>
    <row r="548" spans="1:12" ht="91.8" hidden="1" x14ac:dyDescent="0.3">
      <c r="A548" s="407" t="s">
        <v>224</v>
      </c>
      <c r="B548" s="408" t="s">
        <v>1142</v>
      </c>
      <c r="C548" s="408" t="s">
        <v>1178</v>
      </c>
      <c r="D548" s="408" t="s">
        <v>1144</v>
      </c>
      <c r="E548" s="409" t="s">
        <v>30</v>
      </c>
      <c r="F548" s="410">
        <v>10901.1</v>
      </c>
      <c r="G548" s="410"/>
      <c r="H548" s="409" t="s">
        <v>31</v>
      </c>
      <c r="I548" s="411" t="s">
        <v>32</v>
      </c>
      <c r="J548" s="411"/>
      <c r="K548" s="412" t="s">
        <v>25</v>
      </c>
      <c r="L548" s="413">
        <v>1316328.22</v>
      </c>
    </row>
    <row r="549" spans="1:12" ht="91.8" hidden="1" x14ac:dyDescent="0.3">
      <c r="A549" s="407" t="s">
        <v>224</v>
      </c>
      <c r="B549" s="408" t="s">
        <v>1142</v>
      </c>
      <c r="C549" s="408" t="s">
        <v>1179</v>
      </c>
      <c r="D549" s="408" t="s">
        <v>1144</v>
      </c>
      <c r="E549" s="409" t="s">
        <v>30</v>
      </c>
      <c r="F549" s="410">
        <v>6314.2</v>
      </c>
      <c r="G549" s="410"/>
      <c r="H549" s="409" t="s">
        <v>31</v>
      </c>
      <c r="I549" s="411" t="s">
        <v>32</v>
      </c>
      <c r="J549" s="411"/>
      <c r="K549" s="412" t="s">
        <v>25</v>
      </c>
      <c r="L549" s="413">
        <v>1322642.42</v>
      </c>
    </row>
    <row r="550" spans="1:12" ht="91.8" hidden="1" x14ac:dyDescent="0.3">
      <c r="A550" s="407" t="s">
        <v>224</v>
      </c>
      <c r="B550" s="408" t="s">
        <v>1142</v>
      </c>
      <c r="C550" s="408" t="s">
        <v>1180</v>
      </c>
      <c r="D550" s="408" t="s">
        <v>1144</v>
      </c>
      <c r="E550" s="409" t="s">
        <v>30</v>
      </c>
      <c r="F550" s="410">
        <v>4194.6000000000004</v>
      </c>
      <c r="G550" s="410"/>
      <c r="H550" s="409" t="s">
        <v>31</v>
      </c>
      <c r="I550" s="411" t="s">
        <v>32</v>
      </c>
      <c r="J550" s="411"/>
      <c r="K550" s="412" t="s">
        <v>25</v>
      </c>
      <c r="L550" s="413">
        <v>1326837.02</v>
      </c>
    </row>
    <row r="551" spans="1:12" ht="91.8" hidden="1" x14ac:dyDescent="0.3">
      <c r="A551" s="407" t="s">
        <v>224</v>
      </c>
      <c r="B551" s="408" t="s">
        <v>1142</v>
      </c>
      <c r="C551" s="408" t="s">
        <v>1181</v>
      </c>
      <c r="D551" s="408" t="s">
        <v>1144</v>
      </c>
      <c r="E551" s="409" t="s">
        <v>30</v>
      </c>
      <c r="F551" s="410">
        <v>2776</v>
      </c>
      <c r="G551" s="410"/>
      <c r="H551" s="409" t="s">
        <v>31</v>
      </c>
      <c r="I551" s="411" t="s">
        <v>32</v>
      </c>
      <c r="J551" s="411"/>
      <c r="K551" s="412" t="s">
        <v>25</v>
      </c>
      <c r="L551" s="413">
        <v>1329613.02</v>
      </c>
    </row>
    <row r="552" spans="1:12" ht="91.8" hidden="1" x14ac:dyDescent="0.3">
      <c r="A552" s="407" t="s">
        <v>224</v>
      </c>
      <c r="B552" s="408" t="s">
        <v>1142</v>
      </c>
      <c r="C552" s="408" t="s">
        <v>1182</v>
      </c>
      <c r="D552" s="408" t="s">
        <v>1144</v>
      </c>
      <c r="E552" s="409" t="s">
        <v>30</v>
      </c>
      <c r="F552" s="410">
        <v>2571.6</v>
      </c>
      <c r="G552" s="410"/>
      <c r="H552" s="409" t="s">
        <v>31</v>
      </c>
      <c r="I552" s="411" t="s">
        <v>32</v>
      </c>
      <c r="J552" s="411"/>
      <c r="K552" s="412" t="s">
        <v>25</v>
      </c>
      <c r="L552" s="413">
        <v>1332184.6200000001</v>
      </c>
    </row>
    <row r="553" spans="1:12" ht="91.8" hidden="1" x14ac:dyDescent="0.3">
      <c r="A553" s="407" t="s">
        <v>224</v>
      </c>
      <c r="B553" s="408" t="s">
        <v>1142</v>
      </c>
      <c r="C553" s="408" t="s">
        <v>1183</v>
      </c>
      <c r="D553" s="408" t="s">
        <v>1144</v>
      </c>
      <c r="E553" s="409" t="s">
        <v>30</v>
      </c>
      <c r="F553" s="410">
        <v>12377</v>
      </c>
      <c r="G553" s="410"/>
      <c r="H553" s="409" t="s">
        <v>31</v>
      </c>
      <c r="I553" s="411" t="s">
        <v>32</v>
      </c>
      <c r="J553" s="411"/>
      <c r="K553" s="412" t="s">
        <v>25</v>
      </c>
      <c r="L553" s="413">
        <v>1344561.62</v>
      </c>
    </row>
    <row r="554" spans="1:12" ht="91.8" hidden="1" x14ac:dyDescent="0.3">
      <c r="A554" s="407" t="s">
        <v>224</v>
      </c>
      <c r="B554" s="408" t="s">
        <v>1142</v>
      </c>
      <c r="C554" s="408" t="s">
        <v>1183</v>
      </c>
      <c r="D554" s="408" t="s">
        <v>1144</v>
      </c>
      <c r="E554" s="409" t="s">
        <v>30</v>
      </c>
      <c r="F554" s="410">
        <v>2351.6</v>
      </c>
      <c r="G554" s="410"/>
      <c r="H554" s="409" t="s">
        <v>31</v>
      </c>
      <c r="I554" s="411" t="s">
        <v>32</v>
      </c>
      <c r="J554" s="411"/>
      <c r="K554" s="412" t="s">
        <v>25</v>
      </c>
      <c r="L554" s="413">
        <v>1346913.22</v>
      </c>
    </row>
    <row r="555" spans="1:12" ht="91.8" hidden="1" x14ac:dyDescent="0.3">
      <c r="A555" s="407" t="s">
        <v>224</v>
      </c>
      <c r="B555" s="408" t="s">
        <v>1142</v>
      </c>
      <c r="C555" s="408" t="s">
        <v>1184</v>
      </c>
      <c r="D555" s="408" t="s">
        <v>1144</v>
      </c>
      <c r="E555" s="409" t="s">
        <v>30</v>
      </c>
      <c r="F555" s="410">
        <v>4460.8</v>
      </c>
      <c r="G555" s="410"/>
      <c r="H555" s="409" t="s">
        <v>31</v>
      </c>
      <c r="I555" s="411" t="s">
        <v>32</v>
      </c>
      <c r="J555" s="411"/>
      <c r="K555" s="412" t="s">
        <v>25</v>
      </c>
      <c r="L555" s="413">
        <v>1351374.02</v>
      </c>
    </row>
    <row r="556" spans="1:12" ht="91.8" hidden="1" x14ac:dyDescent="0.3">
      <c r="A556" s="407" t="s">
        <v>224</v>
      </c>
      <c r="B556" s="408" t="s">
        <v>1142</v>
      </c>
      <c r="C556" s="408" t="s">
        <v>1185</v>
      </c>
      <c r="D556" s="408" t="s">
        <v>1144</v>
      </c>
      <c r="E556" s="409" t="s">
        <v>30</v>
      </c>
      <c r="F556" s="410">
        <v>11286</v>
      </c>
      <c r="G556" s="410"/>
      <c r="H556" s="409" t="s">
        <v>31</v>
      </c>
      <c r="I556" s="411" t="s">
        <v>32</v>
      </c>
      <c r="J556" s="411"/>
      <c r="K556" s="412" t="s">
        <v>25</v>
      </c>
      <c r="L556" s="413">
        <v>1362660.02</v>
      </c>
    </row>
    <row r="557" spans="1:12" ht="91.8" hidden="1" x14ac:dyDescent="0.3">
      <c r="A557" s="407" t="s">
        <v>224</v>
      </c>
      <c r="B557" s="408" t="s">
        <v>1142</v>
      </c>
      <c r="C557" s="408" t="s">
        <v>1186</v>
      </c>
      <c r="D557" s="408" t="s">
        <v>1144</v>
      </c>
      <c r="E557" s="409" t="s">
        <v>30</v>
      </c>
      <c r="F557" s="410">
        <v>3884.3</v>
      </c>
      <c r="G557" s="410"/>
      <c r="H557" s="409" t="s">
        <v>31</v>
      </c>
      <c r="I557" s="411" t="s">
        <v>32</v>
      </c>
      <c r="J557" s="411"/>
      <c r="K557" s="412" t="s">
        <v>25</v>
      </c>
      <c r="L557" s="413">
        <v>1366544.32</v>
      </c>
    </row>
    <row r="558" spans="1:12" ht="91.8" hidden="1" x14ac:dyDescent="0.3">
      <c r="A558" s="407" t="s">
        <v>224</v>
      </c>
      <c r="B558" s="408" t="s">
        <v>1142</v>
      </c>
      <c r="C558" s="408" t="s">
        <v>1187</v>
      </c>
      <c r="D558" s="408" t="s">
        <v>1144</v>
      </c>
      <c r="E558" s="409" t="s">
        <v>30</v>
      </c>
      <c r="F558" s="410">
        <v>3166.1</v>
      </c>
      <c r="G558" s="410"/>
      <c r="H558" s="409" t="s">
        <v>31</v>
      </c>
      <c r="I558" s="411" t="s">
        <v>32</v>
      </c>
      <c r="J558" s="411"/>
      <c r="K558" s="412" t="s">
        <v>25</v>
      </c>
      <c r="L558" s="413">
        <v>1369710.42</v>
      </c>
    </row>
    <row r="559" spans="1:12" ht="91.8" hidden="1" x14ac:dyDescent="0.3">
      <c r="A559" s="407" t="s">
        <v>224</v>
      </c>
      <c r="B559" s="408" t="s">
        <v>1142</v>
      </c>
      <c r="C559" s="408" t="s">
        <v>1188</v>
      </c>
      <c r="D559" s="408" t="s">
        <v>1144</v>
      </c>
      <c r="E559" s="409" t="s">
        <v>30</v>
      </c>
      <c r="F559" s="414">
        <v>834.6</v>
      </c>
      <c r="G559" s="414"/>
      <c r="H559" s="409" t="s">
        <v>31</v>
      </c>
      <c r="I559" s="411" t="s">
        <v>32</v>
      </c>
      <c r="J559" s="411"/>
      <c r="K559" s="412" t="s">
        <v>25</v>
      </c>
      <c r="L559" s="413">
        <v>1370545.02</v>
      </c>
    </row>
    <row r="560" spans="1:12" ht="91.8" hidden="1" x14ac:dyDescent="0.3">
      <c r="A560" s="407" t="s">
        <v>224</v>
      </c>
      <c r="B560" s="408" t="s">
        <v>1142</v>
      </c>
      <c r="C560" s="408" t="s">
        <v>1189</v>
      </c>
      <c r="D560" s="408" t="s">
        <v>1144</v>
      </c>
      <c r="E560" s="409" t="s">
        <v>30</v>
      </c>
      <c r="F560" s="410">
        <v>2235.3000000000002</v>
      </c>
      <c r="G560" s="410"/>
      <c r="H560" s="409" t="s">
        <v>31</v>
      </c>
      <c r="I560" s="411" t="s">
        <v>32</v>
      </c>
      <c r="J560" s="411"/>
      <c r="K560" s="412" t="s">
        <v>25</v>
      </c>
      <c r="L560" s="413">
        <v>1372780.32</v>
      </c>
    </row>
    <row r="561" spans="1:12" ht="91.8" hidden="1" x14ac:dyDescent="0.3">
      <c r="A561" s="407" t="s">
        <v>224</v>
      </c>
      <c r="B561" s="408" t="s">
        <v>1142</v>
      </c>
      <c r="C561" s="408" t="s">
        <v>1190</v>
      </c>
      <c r="D561" s="408" t="s">
        <v>1144</v>
      </c>
      <c r="E561" s="409" t="s">
        <v>30</v>
      </c>
      <c r="F561" s="410">
        <v>5147.7</v>
      </c>
      <c r="G561" s="410"/>
      <c r="H561" s="409" t="s">
        <v>31</v>
      </c>
      <c r="I561" s="411" t="s">
        <v>32</v>
      </c>
      <c r="J561" s="411"/>
      <c r="K561" s="412" t="s">
        <v>25</v>
      </c>
      <c r="L561" s="413">
        <v>1377928.02</v>
      </c>
    </row>
    <row r="562" spans="1:12" ht="91.8" hidden="1" x14ac:dyDescent="0.3">
      <c r="A562" s="407" t="s">
        <v>224</v>
      </c>
      <c r="B562" s="408" t="s">
        <v>1142</v>
      </c>
      <c r="C562" s="408" t="s">
        <v>1191</v>
      </c>
      <c r="D562" s="408" t="s">
        <v>1144</v>
      </c>
      <c r="E562" s="409" t="s">
        <v>30</v>
      </c>
      <c r="F562" s="410">
        <v>2961.7</v>
      </c>
      <c r="G562" s="410"/>
      <c r="H562" s="409" t="s">
        <v>31</v>
      </c>
      <c r="I562" s="411" t="s">
        <v>32</v>
      </c>
      <c r="J562" s="411"/>
      <c r="K562" s="412" t="s">
        <v>25</v>
      </c>
      <c r="L562" s="413">
        <v>1380889.72</v>
      </c>
    </row>
    <row r="563" spans="1:12" ht="91.8" hidden="1" x14ac:dyDescent="0.3">
      <c r="A563" s="407" t="s">
        <v>224</v>
      </c>
      <c r="B563" s="408" t="s">
        <v>1142</v>
      </c>
      <c r="C563" s="408" t="s">
        <v>1192</v>
      </c>
      <c r="D563" s="408" t="s">
        <v>1144</v>
      </c>
      <c r="E563" s="409" t="s">
        <v>30</v>
      </c>
      <c r="F563" s="410">
        <v>4335.5</v>
      </c>
      <c r="G563" s="410"/>
      <c r="H563" s="409" t="s">
        <v>31</v>
      </c>
      <c r="I563" s="411" t="s">
        <v>32</v>
      </c>
      <c r="J563" s="411"/>
      <c r="K563" s="412" t="s">
        <v>25</v>
      </c>
      <c r="L563" s="413">
        <v>1385225.22</v>
      </c>
    </row>
    <row r="564" spans="1:12" ht="91.8" hidden="1" x14ac:dyDescent="0.3">
      <c r="A564" s="407" t="s">
        <v>224</v>
      </c>
      <c r="B564" s="408" t="s">
        <v>1142</v>
      </c>
      <c r="C564" s="408" t="s">
        <v>1193</v>
      </c>
      <c r="D564" s="408" t="s">
        <v>1144</v>
      </c>
      <c r="E564" s="409" t="s">
        <v>30</v>
      </c>
      <c r="F564" s="410">
        <v>3445</v>
      </c>
      <c r="G564" s="410"/>
      <c r="H564" s="409" t="s">
        <v>31</v>
      </c>
      <c r="I564" s="411" t="s">
        <v>32</v>
      </c>
      <c r="J564" s="411"/>
      <c r="K564" s="412" t="s">
        <v>25</v>
      </c>
      <c r="L564" s="413">
        <v>1388670.22</v>
      </c>
    </row>
    <row r="565" spans="1:12" ht="91.8" hidden="1" x14ac:dyDescent="0.3">
      <c r="A565" s="407" t="s">
        <v>224</v>
      </c>
      <c r="B565" s="408" t="s">
        <v>1142</v>
      </c>
      <c r="C565" s="408" t="s">
        <v>1194</v>
      </c>
      <c r="D565" s="408" t="s">
        <v>1144</v>
      </c>
      <c r="E565" s="409" t="s">
        <v>30</v>
      </c>
      <c r="F565" s="410">
        <v>2611.1999999999998</v>
      </c>
      <c r="G565" s="410"/>
      <c r="H565" s="409" t="s">
        <v>31</v>
      </c>
      <c r="I565" s="411" t="s">
        <v>32</v>
      </c>
      <c r="J565" s="411"/>
      <c r="K565" s="412" t="s">
        <v>25</v>
      </c>
      <c r="L565" s="413">
        <v>1391281.42</v>
      </c>
    </row>
    <row r="566" spans="1:12" ht="91.8" hidden="1" x14ac:dyDescent="0.3">
      <c r="A566" s="407" t="s">
        <v>224</v>
      </c>
      <c r="B566" s="408" t="s">
        <v>1142</v>
      </c>
      <c r="C566" s="408" t="s">
        <v>1195</v>
      </c>
      <c r="D566" s="408" t="s">
        <v>1144</v>
      </c>
      <c r="E566" s="409" t="s">
        <v>30</v>
      </c>
      <c r="F566" s="410">
        <v>2761.1</v>
      </c>
      <c r="G566" s="410"/>
      <c r="H566" s="409" t="s">
        <v>31</v>
      </c>
      <c r="I566" s="411" t="s">
        <v>32</v>
      </c>
      <c r="J566" s="411"/>
      <c r="K566" s="412" t="s">
        <v>25</v>
      </c>
      <c r="L566" s="413">
        <v>1394042.52</v>
      </c>
    </row>
    <row r="567" spans="1:12" ht="91.8" hidden="1" x14ac:dyDescent="0.3">
      <c r="A567" s="407" t="s">
        <v>224</v>
      </c>
      <c r="B567" s="408" t="s">
        <v>1142</v>
      </c>
      <c r="C567" s="408" t="s">
        <v>1195</v>
      </c>
      <c r="D567" s="408" t="s">
        <v>1144</v>
      </c>
      <c r="E567" s="409" t="s">
        <v>30</v>
      </c>
      <c r="F567" s="410">
        <v>2805.8</v>
      </c>
      <c r="G567" s="410"/>
      <c r="H567" s="409" t="s">
        <v>31</v>
      </c>
      <c r="I567" s="411" t="s">
        <v>32</v>
      </c>
      <c r="J567" s="411"/>
      <c r="K567" s="412" t="s">
        <v>25</v>
      </c>
      <c r="L567" s="413">
        <v>1396848.32</v>
      </c>
    </row>
    <row r="568" spans="1:12" ht="91.8" hidden="1" x14ac:dyDescent="0.3">
      <c r="A568" s="407" t="s">
        <v>224</v>
      </c>
      <c r="B568" s="408" t="s">
        <v>1142</v>
      </c>
      <c r="C568" s="408" t="s">
        <v>1196</v>
      </c>
      <c r="D568" s="408" t="s">
        <v>1144</v>
      </c>
      <c r="E568" s="409" t="s">
        <v>30</v>
      </c>
      <c r="F568" s="410">
        <v>2198.6999999999998</v>
      </c>
      <c r="G568" s="410"/>
      <c r="H568" s="409" t="s">
        <v>31</v>
      </c>
      <c r="I568" s="411" t="s">
        <v>32</v>
      </c>
      <c r="J568" s="411"/>
      <c r="K568" s="412" t="s">
        <v>25</v>
      </c>
      <c r="L568" s="413">
        <v>1399047.02</v>
      </c>
    </row>
    <row r="569" spans="1:12" ht="91.8" hidden="1" x14ac:dyDescent="0.3">
      <c r="A569" s="407" t="s">
        <v>224</v>
      </c>
      <c r="B569" s="408" t="s">
        <v>1142</v>
      </c>
      <c r="C569" s="408" t="s">
        <v>1197</v>
      </c>
      <c r="D569" s="408" t="s">
        <v>1144</v>
      </c>
      <c r="E569" s="409" t="s">
        <v>30</v>
      </c>
      <c r="F569" s="410">
        <v>1083.7</v>
      </c>
      <c r="G569" s="410"/>
      <c r="H569" s="409" t="s">
        <v>31</v>
      </c>
      <c r="I569" s="411" t="s">
        <v>32</v>
      </c>
      <c r="J569" s="411"/>
      <c r="K569" s="412" t="s">
        <v>25</v>
      </c>
      <c r="L569" s="413">
        <v>1400130.72</v>
      </c>
    </row>
    <row r="570" spans="1:12" ht="91.8" hidden="1" x14ac:dyDescent="0.3">
      <c r="A570" s="407" t="s">
        <v>224</v>
      </c>
      <c r="B570" s="408" t="s">
        <v>1142</v>
      </c>
      <c r="C570" s="408" t="s">
        <v>1198</v>
      </c>
      <c r="D570" s="408" t="s">
        <v>1144</v>
      </c>
      <c r="E570" s="409" t="s">
        <v>30</v>
      </c>
      <c r="F570" s="410">
        <v>2185.3000000000002</v>
      </c>
      <c r="G570" s="410"/>
      <c r="H570" s="409" t="s">
        <v>31</v>
      </c>
      <c r="I570" s="411" t="s">
        <v>32</v>
      </c>
      <c r="J570" s="411"/>
      <c r="K570" s="412" t="s">
        <v>25</v>
      </c>
      <c r="L570" s="413">
        <v>1402316.02</v>
      </c>
    </row>
    <row r="571" spans="1:12" ht="91.8" hidden="1" x14ac:dyDescent="0.3">
      <c r="A571" s="407" t="s">
        <v>224</v>
      </c>
      <c r="B571" s="408" t="s">
        <v>1142</v>
      </c>
      <c r="C571" s="408" t="s">
        <v>1199</v>
      </c>
      <c r="D571" s="408" t="s">
        <v>1144</v>
      </c>
      <c r="E571" s="409" t="s">
        <v>30</v>
      </c>
      <c r="F571" s="410">
        <v>3454.7</v>
      </c>
      <c r="G571" s="410"/>
      <c r="H571" s="409" t="s">
        <v>31</v>
      </c>
      <c r="I571" s="411" t="s">
        <v>32</v>
      </c>
      <c r="J571" s="411"/>
      <c r="K571" s="412" t="s">
        <v>25</v>
      </c>
      <c r="L571" s="413">
        <v>1405770.72</v>
      </c>
    </row>
    <row r="572" spans="1:12" ht="91.8" hidden="1" x14ac:dyDescent="0.3">
      <c r="A572" s="407" t="s">
        <v>224</v>
      </c>
      <c r="B572" s="408" t="s">
        <v>1142</v>
      </c>
      <c r="C572" s="408" t="s">
        <v>1200</v>
      </c>
      <c r="D572" s="408" t="s">
        <v>1144</v>
      </c>
      <c r="E572" s="409" t="s">
        <v>30</v>
      </c>
      <c r="F572" s="410">
        <v>2235.3000000000002</v>
      </c>
      <c r="G572" s="410"/>
      <c r="H572" s="409" t="s">
        <v>31</v>
      </c>
      <c r="I572" s="411" t="s">
        <v>32</v>
      </c>
      <c r="J572" s="411"/>
      <c r="K572" s="412" t="s">
        <v>25</v>
      </c>
      <c r="L572" s="413">
        <v>1408006.02</v>
      </c>
    </row>
    <row r="573" spans="1:12" ht="91.8" hidden="1" x14ac:dyDescent="0.3">
      <c r="A573" s="407" t="s">
        <v>224</v>
      </c>
      <c r="B573" s="408" t="s">
        <v>1142</v>
      </c>
      <c r="C573" s="408" t="s">
        <v>1201</v>
      </c>
      <c r="D573" s="408" t="s">
        <v>1144</v>
      </c>
      <c r="E573" s="409" t="s">
        <v>30</v>
      </c>
      <c r="F573" s="410">
        <v>2875.9</v>
      </c>
      <c r="G573" s="410"/>
      <c r="H573" s="409" t="s">
        <v>31</v>
      </c>
      <c r="I573" s="411" t="s">
        <v>32</v>
      </c>
      <c r="J573" s="411"/>
      <c r="K573" s="412" t="s">
        <v>25</v>
      </c>
      <c r="L573" s="413">
        <v>1410881.92</v>
      </c>
    </row>
    <row r="574" spans="1:12" ht="91.8" hidden="1" x14ac:dyDescent="0.3">
      <c r="A574" s="407" t="s">
        <v>224</v>
      </c>
      <c r="B574" s="408" t="s">
        <v>1142</v>
      </c>
      <c r="C574" s="408" t="s">
        <v>1202</v>
      </c>
      <c r="D574" s="408" t="s">
        <v>1144</v>
      </c>
      <c r="E574" s="409" t="s">
        <v>30</v>
      </c>
      <c r="F574" s="410">
        <v>2982.6</v>
      </c>
      <c r="G574" s="410"/>
      <c r="H574" s="409" t="s">
        <v>31</v>
      </c>
      <c r="I574" s="411" t="s">
        <v>32</v>
      </c>
      <c r="J574" s="411"/>
      <c r="K574" s="412" t="s">
        <v>25</v>
      </c>
      <c r="L574" s="413">
        <v>1413864.52</v>
      </c>
    </row>
    <row r="575" spans="1:12" ht="91.8" hidden="1" x14ac:dyDescent="0.3">
      <c r="A575" s="407" t="s">
        <v>224</v>
      </c>
      <c r="B575" s="408" t="s">
        <v>1142</v>
      </c>
      <c r="C575" s="408" t="s">
        <v>1203</v>
      </c>
      <c r="D575" s="408" t="s">
        <v>1144</v>
      </c>
      <c r="E575" s="409" t="s">
        <v>30</v>
      </c>
      <c r="F575" s="410">
        <v>1705.7</v>
      </c>
      <c r="G575" s="410"/>
      <c r="H575" s="409" t="s">
        <v>31</v>
      </c>
      <c r="I575" s="411" t="s">
        <v>32</v>
      </c>
      <c r="J575" s="411"/>
      <c r="K575" s="412" t="s">
        <v>25</v>
      </c>
      <c r="L575" s="413">
        <v>1415570.22</v>
      </c>
    </row>
    <row r="576" spans="1:12" ht="91.8" hidden="1" x14ac:dyDescent="0.3">
      <c r="A576" s="407" t="s">
        <v>224</v>
      </c>
      <c r="B576" s="408" t="s">
        <v>1142</v>
      </c>
      <c r="C576" s="408" t="s">
        <v>1204</v>
      </c>
      <c r="D576" s="408" t="s">
        <v>1144</v>
      </c>
      <c r="E576" s="409" t="s">
        <v>30</v>
      </c>
      <c r="F576" s="410">
        <v>1897.4</v>
      </c>
      <c r="G576" s="410"/>
      <c r="H576" s="409" t="s">
        <v>31</v>
      </c>
      <c r="I576" s="411" t="s">
        <v>32</v>
      </c>
      <c r="J576" s="411"/>
      <c r="K576" s="412" t="s">
        <v>25</v>
      </c>
      <c r="L576" s="413">
        <v>1417467.62</v>
      </c>
    </row>
    <row r="577" spans="1:12" ht="91.8" hidden="1" x14ac:dyDescent="0.3">
      <c r="A577" s="407" t="s">
        <v>224</v>
      </c>
      <c r="B577" s="408" t="s">
        <v>1142</v>
      </c>
      <c r="C577" s="408" t="s">
        <v>1205</v>
      </c>
      <c r="D577" s="408" t="s">
        <v>1144</v>
      </c>
      <c r="E577" s="409" t="s">
        <v>30</v>
      </c>
      <c r="F577" s="410">
        <v>2513.5</v>
      </c>
      <c r="G577" s="410"/>
      <c r="H577" s="409" t="s">
        <v>31</v>
      </c>
      <c r="I577" s="411" t="s">
        <v>32</v>
      </c>
      <c r="J577" s="411"/>
      <c r="K577" s="412" t="s">
        <v>25</v>
      </c>
      <c r="L577" s="413">
        <v>1419981.12</v>
      </c>
    </row>
    <row r="578" spans="1:12" ht="91.8" hidden="1" x14ac:dyDescent="0.3">
      <c r="A578" s="407" t="s">
        <v>224</v>
      </c>
      <c r="B578" s="408" t="s">
        <v>1142</v>
      </c>
      <c r="C578" s="408" t="s">
        <v>1206</v>
      </c>
      <c r="D578" s="408" t="s">
        <v>1144</v>
      </c>
      <c r="E578" s="409" t="s">
        <v>30</v>
      </c>
      <c r="F578" s="410">
        <v>1745.3</v>
      </c>
      <c r="G578" s="410"/>
      <c r="H578" s="409" t="s">
        <v>31</v>
      </c>
      <c r="I578" s="411" t="s">
        <v>32</v>
      </c>
      <c r="J578" s="411"/>
      <c r="K578" s="412" t="s">
        <v>25</v>
      </c>
      <c r="L578" s="413">
        <v>1421726.42</v>
      </c>
    </row>
    <row r="579" spans="1:12" ht="91.8" hidden="1" x14ac:dyDescent="0.3">
      <c r="A579" s="407" t="s">
        <v>224</v>
      </c>
      <c r="B579" s="408" t="s">
        <v>1142</v>
      </c>
      <c r="C579" s="408" t="s">
        <v>1207</v>
      </c>
      <c r="D579" s="408" t="s">
        <v>1144</v>
      </c>
      <c r="E579" s="409" t="s">
        <v>30</v>
      </c>
      <c r="F579" s="410">
        <v>1514.8</v>
      </c>
      <c r="G579" s="410"/>
      <c r="H579" s="409" t="s">
        <v>31</v>
      </c>
      <c r="I579" s="411" t="s">
        <v>32</v>
      </c>
      <c r="J579" s="411"/>
      <c r="K579" s="412" t="s">
        <v>25</v>
      </c>
      <c r="L579" s="413">
        <v>1423241.22</v>
      </c>
    </row>
    <row r="580" spans="1:12" ht="91.8" hidden="1" x14ac:dyDescent="0.3">
      <c r="A580" s="407" t="s">
        <v>224</v>
      </c>
      <c r="B580" s="408" t="s">
        <v>1142</v>
      </c>
      <c r="C580" s="408" t="s">
        <v>1208</v>
      </c>
      <c r="D580" s="408" t="s">
        <v>1144</v>
      </c>
      <c r="E580" s="409" t="s">
        <v>30</v>
      </c>
      <c r="F580" s="410">
        <v>2943.1</v>
      </c>
      <c r="G580" s="410"/>
      <c r="H580" s="409" t="s">
        <v>31</v>
      </c>
      <c r="I580" s="411" t="s">
        <v>32</v>
      </c>
      <c r="J580" s="411"/>
      <c r="K580" s="412" t="s">
        <v>25</v>
      </c>
      <c r="L580" s="413">
        <v>1426184.32</v>
      </c>
    </row>
    <row r="581" spans="1:12" ht="91.8" hidden="1" x14ac:dyDescent="0.3">
      <c r="A581" s="407" t="s">
        <v>224</v>
      </c>
      <c r="B581" s="408" t="s">
        <v>1142</v>
      </c>
      <c r="C581" s="408" t="s">
        <v>1209</v>
      </c>
      <c r="D581" s="408" t="s">
        <v>1144</v>
      </c>
      <c r="E581" s="409" t="s">
        <v>30</v>
      </c>
      <c r="F581" s="410">
        <v>2541.1</v>
      </c>
      <c r="G581" s="410"/>
      <c r="H581" s="409" t="s">
        <v>31</v>
      </c>
      <c r="I581" s="411" t="s">
        <v>32</v>
      </c>
      <c r="J581" s="411"/>
      <c r="K581" s="412" t="s">
        <v>25</v>
      </c>
      <c r="L581" s="413">
        <v>1428725.42</v>
      </c>
    </row>
    <row r="582" spans="1:12" ht="91.8" hidden="1" x14ac:dyDescent="0.3">
      <c r="A582" s="407" t="s">
        <v>224</v>
      </c>
      <c r="B582" s="408" t="s">
        <v>1142</v>
      </c>
      <c r="C582" s="408" t="s">
        <v>1204</v>
      </c>
      <c r="D582" s="408" t="s">
        <v>1144</v>
      </c>
      <c r="E582" s="409" t="s">
        <v>30</v>
      </c>
      <c r="F582" s="410">
        <v>1995.9</v>
      </c>
      <c r="G582" s="410"/>
      <c r="H582" s="409" t="s">
        <v>31</v>
      </c>
      <c r="I582" s="411" t="s">
        <v>32</v>
      </c>
      <c r="J582" s="411"/>
      <c r="K582" s="412" t="s">
        <v>25</v>
      </c>
      <c r="L582" s="413">
        <v>1430721.32</v>
      </c>
    </row>
    <row r="583" spans="1:12" ht="91.8" hidden="1" x14ac:dyDescent="0.3">
      <c r="A583" s="407" t="s">
        <v>224</v>
      </c>
      <c r="B583" s="408" t="s">
        <v>1142</v>
      </c>
      <c r="C583" s="408" t="s">
        <v>1161</v>
      </c>
      <c r="D583" s="408" t="s">
        <v>1144</v>
      </c>
      <c r="E583" s="409" t="s">
        <v>30</v>
      </c>
      <c r="F583" s="410">
        <v>1649.8</v>
      </c>
      <c r="G583" s="410"/>
      <c r="H583" s="409" t="s">
        <v>31</v>
      </c>
      <c r="I583" s="411" t="s">
        <v>32</v>
      </c>
      <c r="J583" s="411"/>
      <c r="K583" s="412" t="s">
        <v>25</v>
      </c>
      <c r="L583" s="413">
        <v>1432371.12</v>
      </c>
    </row>
    <row r="584" spans="1:12" ht="91.8" hidden="1" x14ac:dyDescent="0.3">
      <c r="A584" s="407" t="s">
        <v>224</v>
      </c>
      <c r="B584" s="408" t="s">
        <v>1142</v>
      </c>
      <c r="C584" s="408" t="s">
        <v>1210</v>
      </c>
      <c r="D584" s="408" t="s">
        <v>1144</v>
      </c>
      <c r="E584" s="409" t="s">
        <v>30</v>
      </c>
      <c r="F584" s="410">
        <v>1207.5</v>
      </c>
      <c r="G584" s="410"/>
      <c r="H584" s="409" t="s">
        <v>31</v>
      </c>
      <c r="I584" s="411" t="s">
        <v>32</v>
      </c>
      <c r="J584" s="411"/>
      <c r="K584" s="412" t="s">
        <v>25</v>
      </c>
      <c r="L584" s="413">
        <v>1433578.62</v>
      </c>
    </row>
    <row r="585" spans="1:12" ht="91.8" hidden="1" x14ac:dyDescent="0.3">
      <c r="A585" s="407" t="s">
        <v>224</v>
      </c>
      <c r="B585" s="408" t="s">
        <v>1142</v>
      </c>
      <c r="C585" s="408" t="s">
        <v>1211</v>
      </c>
      <c r="D585" s="408" t="s">
        <v>1144</v>
      </c>
      <c r="E585" s="409" t="s">
        <v>30</v>
      </c>
      <c r="F585" s="410">
        <v>2377.6999999999998</v>
      </c>
      <c r="G585" s="410"/>
      <c r="H585" s="409" t="s">
        <v>31</v>
      </c>
      <c r="I585" s="411" t="s">
        <v>32</v>
      </c>
      <c r="J585" s="411"/>
      <c r="K585" s="412" t="s">
        <v>25</v>
      </c>
      <c r="L585" s="413">
        <v>1435956.32</v>
      </c>
    </row>
    <row r="586" spans="1:12" ht="91.8" hidden="1" x14ac:dyDescent="0.3">
      <c r="A586" s="407" t="s">
        <v>224</v>
      </c>
      <c r="B586" s="408" t="s">
        <v>1142</v>
      </c>
      <c r="C586" s="408" t="s">
        <v>1158</v>
      </c>
      <c r="D586" s="408" t="s">
        <v>1144</v>
      </c>
      <c r="E586" s="409" t="s">
        <v>30</v>
      </c>
      <c r="F586" s="410">
        <v>2281.5</v>
      </c>
      <c r="G586" s="410"/>
      <c r="H586" s="409" t="s">
        <v>31</v>
      </c>
      <c r="I586" s="411" t="s">
        <v>32</v>
      </c>
      <c r="J586" s="411"/>
      <c r="K586" s="412" t="s">
        <v>25</v>
      </c>
      <c r="L586" s="413">
        <v>1438237.82</v>
      </c>
    </row>
    <row r="587" spans="1:12" ht="91.8" hidden="1" x14ac:dyDescent="0.3">
      <c r="A587" s="407" t="s">
        <v>224</v>
      </c>
      <c r="B587" s="408" t="s">
        <v>1142</v>
      </c>
      <c r="C587" s="408" t="s">
        <v>1158</v>
      </c>
      <c r="D587" s="408" t="s">
        <v>1144</v>
      </c>
      <c r="E587" s="409" t="s">
        <v>30</v>
      </c>
      <c r="F587" s="410">
        <v>3238.4</v>
      </c>
      <c r="G587" s="410"/>
      <c r="H587" s="409" t="s">
        <v>31</v>
      </c>
      <c r="I587" s="411" t="s">
        <v>32</v>
      </c>
      <c r="J587" s="411"/>
      <c r="K587" s="412" t="s">
        <v>25</v>
      </c>
      <c r="L587" s="413">
        <v>1441476.22</v>
      </c>
    </row>
    <row r="588" spans="1:12" ht="91.8" hidden="1" x14ac:dyDescent="0.3">
      <c r="A588" s="407" t="s">
        <v>224</v>
      </c>
      <c r="B588" s="408" t="s">
        <v>1142</v>
      </c>
      <c r="C588" s="408" t="s">
        <v>1158</v>
      </c>
      <c r="D588" s="408" t="s">
        <v>1144</v>
      </c>
      <c r="E588" s="409" t="s">
        <v>30</v>
      </c>
      <c r="F588" s="410">
        <v>2029.4</v>
      </c>
      <c r="G588" s="410"/>
      <c r="H588" s="409" t="s">
        <v>31</v>
      </c>
      <c r="I588" s="411" t="s">
        <v>32</v>
      </c>
      <c r="J588" s="411"/>
      <c r="K588" s="412" t="s">
        <v>25</v>
      </c>
      <c r="L588" s="413">
        <v>1443505.62</v>
      </c>
    </row>
    <row r="589" spans="1:12" ht="91.8" hidden="1" x14ac:dyDescent="0.3">
      <c r="A589" s="407" t="s">
        <v>224</v>
      </c>
      <c r="B589" s="408" t="s">
        <v>1212</v>
      </c>
      <c r="C589" s="408" t="s">
        <v>1208</v>
      </c>
      <c r="D589" s="408" t="s">
        <v>1144</v>
      </c>
      <c r="E589" s="409" t="s">
        <v>30</v>
      </c>
      <c r="F589" s="410">
        <v>2994.5</v>
      </c>
      <c r="G589" s="410"/>
      <c r="H589" s="409" t="s">
        <v>31</v>
      </c>
      <c r="I589" s="411" t="s">
        <v>32</v>
      </c>
      <c r="J589" s="411"/>
      <c r="K589" s="412" t="s">
        <v>25</v>
      </c>
      <c r="L589" s="413">
        <v>1446500.12</v>
      </c>
    </row>
    <row r="590" spans="1:12" ht="91.8" hidden="1" x14ac:dyDescent="0.3">
      <c r="A590" s="407" t="s">
        <v>224</v>
      </c>
      <c r="B590" s="408" t="s">
        <v>1212</v>
      </c>
      <c r="C590" s="408" t="s">
        <v>1208</v>
      </c>
      <c r="D590" s="408" t="s">
        <v>1144</v>
      </c>
      <c r="E590" s="409" t="s">
        <v>30</v>
      </c>
      <c r="F590" s="410">
        <v>12111.6</v>
      </c>
      <c r="G590" s="410"/>
      <c r="H590" s="409" t="s">
        <v>31</v>
      </c>
      <c r="I590" s="411" t="s">
        <v>32</v>
      </c>
      <c r="J590" s="411"/>
      <c r="K590" s="412" t="s">
        <v>25</v>
      </c>
      <c r="L590" s="413">
        <v>1458611.72</v>
      </c>
    </row>
    <row r="591" spans="1:12" ht="91.8" hidden="1" x14ac:dyDescent="0.3">
      <c r="A591" s="407" t="s">
        <v>224</v>
      </c>
      <c r="B591" s="408" t="s">
        <v>1212</v>
      </c>
      <c r="C591" s="408" t="s">
        <v>1211</v>
      </c>
      <c r="D591" s="408" t="s">
        <v>1144</v>
      </c>
      <c r="E591" s="409" t="s">
        <v>30</v>
      </c>
      <c r="F591" s="410">
        <v>5502.8</v>
      </c>
      <c r="G591" s="410"/>
      <c r="H591" s="409" t="s">
        <v>31</v>
      </c>
      <c r="I591" s="411" t="s">
        <v>32</v>
      </c>
      <c r="J591" s="411"/>
      <c r="K591" s="412" t="s">
        <v>25</v>
      </c>
      <c r="L591" s="413">
        <v>1464114.52</v>
      </c>
    </row>
    <row r="592" spans="1:12" ht="91.8" hidden="1" x14ac:dyDescent="0.3">
      <c r="A592" s="407" t="s">
        <v>224</v>
      </c>
      <c r="B592" s="408" t="s">
        <v>1212</v>
      </c>
      <c r="C592" s="408" t="s">
        <v>1211</v>
      </c>
      <c r="D592" s="408" t="s">
        <v>1144</v>
      </c>
      <c r="E592" s="409" t="s">
        <v>30</v>
      </c>
      <c r="F592" s="410">
        <v>2654.4</v>
      </c>
      <c r="G592" s="410"/>
      <c r="H592" s="409" t="s">
        <v>31</v>
      </c>
      <c r="I592" s="411" t="s">
        <v>32</v>
      </c>
      <c r="J592" s="411"/>
      <c r="K592" s="412" t="s">
        <v>25</v>
      </c>
      <c r="L592" s="413">
        <v>1466768.92</v>
      </c>
    </row>
    <row r="593" spans="1:12" ht="91.8" hidden="1" x14ac:dyDescent="0.3">
      <c r="A593" s="407" t="s">
        <v>224</v>
      </c>
      <c r="B593" s="408" t="s">
        <v>1212</v>
      </c>
      <c r="C593" s="408" t="s">
        <v>1213</v>
      </c>
      <c r="D593" s="408" t="s">
        <v>1144</v>
      </c>
      <c r="E593" s="409" t="s">
        <v>30</v>
      </c>
      <c r="F593" s="410">
        <v>2718.6</v>
      </c>
      <c r="G593" s="410"/>
      <c r="H593" s="409" t="s">
        <v>31</v>
      </c>
      <c r="I593" s="411" t="s">
        <v>32</v>
      </c>
      <c r="J593" s="411"/>
      <c r="K593" s="412" t="s">
        <v>25</v>
      </c>
      <c r="L593" s="413">
        <v>1469487.52</v>
      </c>
    </row>
    <row r="594" spans="1:12" ht="91.8" hidden="1" x14ac:dyDescent="0.3">
      <c r="A594" s="407" t="s">
        <v>224</v>
      </c>
      <c r="B594" s="408" t="s">
        <v>1212</v>
      </c>
      <c r="C594" s="408" t="s">
        <v>1213</v>
      </c>
      <c r="D594" s="408" t="s">
        <v>1144</v>
      </c>
      <c r="E594" s="409" t="s">
        <v>30</v>
      </c>
      <c r="F594" s="410">
        <v>14215.5</v>
      </c>
      <c r="G594" s="410"/>
      <c r="H594" s="409" t="s">
        <v>31</v>
      </c>
      <c r="I594" s="411" t="s">
        <v>32</v>
      </c>
      <c r="J594" s="411"/>
      <c r="K594" s="412" t="s">
        <v>25</v>
      </c>
      <c r="L594" s="413">
        <v>1483703.02</v>
      </c>
    </row>
    <row r="595" spans="1:12" ht="91.8" hidden="1" x14ac:dyDescent="0.3">
      <c r="A595" s="407" t="s">
        <v>224</v>
      </c>
      <c r="B595" s="408" t="s">
        <v>1212</v>
      </c>
      <c r="C595" s="408" t="s">
        <v>1214</v>
      </c>
      <c r="D595" s="408" t="s">
        <v>1144</v>
      </c>
      <c r="E595" s="409" t="s">
        <v>30</v>
      </c>
      <c r="F595" s="410">
        <v>2741.7</v>
      </c>
      <c r="G595" s="410"/>
      <c r="H595" s="409" t="s">
        <v>31</v>
      </c>
      <c r="I595" s="411" t="s">
        <v>32</v>
      </c>
      <c r="J595" s="411"/>
      <c r="K595" s="412" t="s">
        <v>25</v>
      </c>
      <c r="L595" s="413">
        <v>1486444.72</v>
      </c>
    </row>
    <row r="596" spans="1:12" ht="91.8" hidden="1" x14ac:dyDescent="0.3">
      <c r="A596" s="407" t="s">
        <v>224</v>
      </c>
      <c r="B596" s="408" t="s">
        <v>1212</v>
      </c>
      <c r="C596" s="408" t="s">
        <v>1215</v>
      </c>
      <c r="D596" s="408" t="s">
        <v>1144</v>
      </c>
      <c r="E596" s="409" t="s">
        <v>30</v>
      </c>
      <c r="F596" s="410">
        <v>14827.2</v>
      </c>
      <c r="G596" s="410"/>
      <c r="H596" s="409" t="s">
        <v>31</v>
      </c>
      <c r="I596" s="411" t="s">
        <v>32</v>
      </c>
      <c r="J596" s="411"/>
      <c r="K596" s="412" t="s">
        <v>25</v>
      </c>
      <c r="L596" s="413">
        <v>1501271.92</v>
      </c>
    </row>
    <row r="597" spans="1:12" ht="91.8" hidden="1" x14ac:dyDescent="0.3">
      <c r="A597" s="407" t="s">
        <v>224</v>
      </c>
      <c r="B597" s="408" t="s">
        <v>1212</v>
      </c>
      <c r="C597" s="408" t="s">
        <v>1216</v>
      </c>
      <c r="D597" s="408" t="s">
        <v>1144</v>
      </c>
      <c r="E597" s="409" t="s">
        <v>30</v>
      </c>
      <c r="F597" s="410">
        <v>5751.1</v>
      </c>
      <c r="G597" s="410"/>
      <c r="H597" s="409" t="s">
        <v>31</v>
      </c>
      <c r="I597" s="411" t="s">
        <v>32</v>
      </c>
      <c r="J597" s="411"/>
      <c r="K597" s="412" t="s">
        <v>25</v>
      </c>
      <c r="L597" s="413">
        <v>1507023.02</v>
      </c>
    </row>
    <row r="598" spans="1:12" ht="91.8" hidden="1" x14ac:dyDescent="0.3">
      <c r="A598" s="407" t="s">
        <v>224</v>
      </c>
      <c r="B598" s="408" t="s">
        <v>1212</v>
      </c>
      <c r="C598" s="408" t="s">
        <v>1217</v>
      </c>
      <c r="D598" s="408" t="s">
        <v>1144</v>
      </c>
      <c r="E598" s="409" t="s">
        <v>30</v>
      </c>
      <c r="F598" s="410">
        <v>26720.400000000001</v>
      </c>
      <c r="G598" s="410"/>
      <c r="H598" s="409" t="s">
        <v>31</v>
      </c>
      <c r="I598" s="411" t="s">
        <v>32</v>
      </c>
      <c r="J598" s="411"/>
      <c r="K598" s="412" t="s">
        <v>25</v>
      </c>
      <c r="L598" s="413">
        <v>1533743.42</v>
      </c>
    </row>
    <row r="599" spans="1:12" ht="91.8" hidden="1" x14ac:dyDescent="0.3">
      <c r="A599" s="407" t="s">
        <v>224</v>
      </c>
      <c r="B599" s="408" t="s">
        <v>1212</v>
      </c>
      <c r="C599" s="408" t="s">
        <v>1218</v>
      </c>
      <c r="D599" s="408" t="s">
        <v>1144</v>
      </c>
      <c r="E599" s="409" t="s">
        <v>30</v>
      </c>
      <c r="F599" s="410">
        <v>2949</v>
      </c>
      <c r="G599" s="410"/>
      <c r="H599" s="409" t="s">
        <v>31</v>
      </c>
      <c r="I599" s="411" t="s">
        <v>32</v>
      </c>
      <c r="J599" s="411"/>
      <c r="K599" s="412" t="s">
        <v>25</v>
      </c>
      <c r="L599" s="413">
        <v>1536692.42</v>
      </c>
    </row>
    <row r="600" spans="1:12" ht="91.8" hidden="1" x14ac:dyDescent="0.3">
      <c r="A600" s="407" t="s">
        <v>224</v>
      </c>
      <c r="B600" s="408" t="s">
        <v>1212</v>
      </c>
      <c r="C600" s="408" t="s">
        <v>1218</v>
      </c>
      <c r="D600" s="408" t="s">
        <v>1144</v>
      </c>
      <c r="E600" s="409" t="s">
        <v>30</v>
      </c>
      <c r="F600" s="410">
        <v>12109.2</v>
      </c>
      <c r="G600" s="410"/>
      <c r="H600" s="409" t="s">
        <v>31</v>
      </c>
      <c r="I600" s="411" t="s">
        <v>32</v>
      </c>
      <c r="J600" s="411"/>
      <c r="K600" s="412" t="s">
        <v>25</v>
      </c>
      <c r="L600" s="413">
        <v>1548801.62</v>
      </c>
    </row>
    <row r="601" spans="1:12" ht="91.8" hidden="1" x14ac:dyDescent="0.3">
      <c r="A601" s="407" t="s">
        <v>224</v>
      </c>
      <c r="B601" s="408" t="s">
        <v>1212</v>
      </c>
      <c r="C601" s="408" t="s">
        <v>1218</v>
      </c>
      <c r="D601" s="408" t="s">
        <v>1144</v>
      </c>
      <c r="E601" s="409" t="s">
        <v>30</v>
      </c>
      <c r="F601" s="410">
        <v>2962.5</v>
      </c>
      <c r="G601" s="410"/>
      <c r="H601" s="409" t="s">
        <v>31</v>
      </c>
      <c r="I601" s="411" t="s">
        <v>32</v>
      </c>
      <c r="J601" s="411"/>
      <c r="K601" s="412" t="s">
        <v>25</v>
      </c>
      <c r="L601" s="413">
        <v>1551764.12</v>
      </c>
    </row>
    <row r="602" spans="1:12" ht="91.8" hidden="1" x14ac:dyDescent="0.3">
      <c r="A602" s="407" t="s">
        <v>224</v>
      </c>
      <c r="B602" s="408" t="s">
        <v>1212</v>
      </c>
      <c r="C602" s="408" t="s">
        <v>1219</v>
      </c>
      <c r="D602" s="408" t="s">
        <v>1144</v>
      </c>
      <c r="E602" s="409" t="s">
        <v>30</v>
      </c>
      <c r="F602" s="410">
        <v>3316</v>
      </c>
      <c r="G602" s="410"/>
      <c r="H602" s="409" t="s">
        <v>31</v>
      </c>
      <c r="I602" s="411" t="s">
        <v>32</v>
      </c>
      <c r="J602" s="411"/>
      <c r="K602" s="412" t="s">
        <v>25</v>
      </c>
      <c r="L602" s="413">
        <v>1555080.12</v>
      </c>
    </row>
    <row r="603" spans="1:12" ht="91.8" hidden="1" x14ac:dyDescent="0.3">
      <c r="A603" s="407" t="s">
        <v>224</v>
      </c>
      <c r="B603" s="408" t="s">
        <v>1212</v>
      </c>
      <c r="C603" s="408" t="s">
        <v>1219</v>
      </c>
      <c r="D603" s="408" t="s">
        <v>1144</v>
      </c>
      <c r="E603" s="409" t="s">
        <v>30</v>
      </c>
      <c r="F603" s="410">
        <v>74674.600000000006</v>
      </c>
      <c r="G603" s="410"/>
      <c r="H603" s="409" t="s">
        <v>31</v>
      </c>
      <c r="I603" s="411" t="s">
        <v>32</v>
      </c>
      <c r="J603" s="411"/>
      <c r="K603" s="412" t="s">
        <v>25</v>
      </c>
      <c r="L603" s="413">
        <v>1629754.72</v>
      </c>
    </row>
    <row r="604" spans="1:12" ht="91.8" hidden="1" x14ac:dyDescent="0.3">
      <c r="A604" s="407" t="s">
        <v>224</v>
      </c>
      <c r="B604" s="408" t="s">
        <v>1212</v>
      </c>
      <c r="C604" s="408" t="s">
        <v>1219</v>
      </c>
      <c r="D604" s="408" t="s">
        <v>1144</v>
      </c>
      <c r="E604" s="409" t="s">
        <v>30</v>
      </c>
      <c r="F604" s="410">
        <v>3330.1</v>
      </c>
      <c r="G604" s="410"/>
      <c r="H604" s="409" t="s">
        <v>31</v>
      </c>
      <c r="I604" s="411" t="s">
        <v>32</v>
      </c>
      <c r="J604" s="411"/>
      <c r="K604" s="412" t="s">
        <v>25</v>
      </c>
      <c r="L604" s="413">
        <v>1633084.82</v>
      </c>
    </row>
    <row r="605" spans="1:12" ht="91.8" hidden="1" x14ac:dyDescent="0.3">
      <c r="A605" s="407" t="s">
        <v>224</v>
      </c>
      <c r="B605" s="408" t="s">
        <v>1212</v>
      </c>
      <c r="C605" s="408" t="s">
        <v>1220</v>
      </c>
      <c r="D605" s="408" t="s">
        <v>1144</v>
      </c>
      <c r="E605" s="409" t="s">
        <v>30</v>
      </c>
      <c r="F605" s="410">
        <v>17247.5</v>
      </c>
      <c r="G605" s="410"/>
      <c r="H605" s="409" t="s">
        <v>31</v>
      </c>
      <c r="I605" s="411" t="s">
        <v>32</v>
      </c>
      <c r="J605" s="411"/>
      <c r="K605" s="412" t="s">
        <v>25</v>
      </c>
      <c r="L605" s="413">
        <v>1650332.32</v>
      </c>
    </row>
    <row r="606" spans="1:12" ht="91.8" hidden="1" x14ac:dyDescent="0.3">
      <c r="A606" s="407" t="s">
        <v>224</v>
      </c>
      <c r="B606" s="408" t="s">
        <v>1212</v>
      </c>
      <c r="C606" s="408" t="s">
        <v>1221</v>
      </c>
      <c r="D606" s="408" t="s">
        <v>1144</v>
      </c>
      <c r="E606" s="409" t="s">
        <v>30</v>
      </c>
      <c r="F606" s="410">
        <v>3335.4</v>
      </c>
      <c r="G606" s="410"/>
      <c r="H606" s="409" t="s">
        <v>31</v>
      </c>
      <c r="I606" s="411" t="s">
        <v>32</v>
      </c>
      <c r="J606" s="411"/>
      <c r="K606" s="412" t="s">
        <v>25</v>
      </c>
      <c r="L606" s="413">
        <v>1653667.72</v>
      </c>
    </row>
    <row r="607" spans="1:12" ht="91.8" hidden="1" x14ac:dyDescent="0.3">
      <c r="A607" s="407" t="s">
        <v>224</v>
      </c>
      <c r="B607" s="408" t="s">
        <v>1212</v>
      </c>
      <c r="C607" s="408" t="s">
        <v>1222</v>
      </c>
      <c r="D607" s="408" t="s">
        <v>1144</v>
      </c>
      <c r="E607" s="409" t="s">
        <v>30</v>
      </c>
      <c r="F607" s="410">
        <v>15774.5</v>
      </c>
      <c r="G607" s="410"/>
      <c r="H607" s="409" t="s">
        <v>31</v>
      </c>
      <c r="I607" s="411" t="s">
        <v>32</v>
      </c>
      <c r="J607" s="411"/>
      <c r="K607" s="412" t="s">
        <v>25</v>
      </c>
      <c r="L607" s="413">
        <v>1669442.22</v>
      </c>
    </row>
    <row r="608" spans="1:12" ht="91.8" hidden="1" x14ac:dyDescent="0.3">
      <c r="A608" s="407" t="s">
        <v>224</v>
      </c>
      <c r="B608" s="408" t="s">
        <v>1212</v>
      </c>
      <c r="C608" s="408" t="s">
        <v>1223</v>
      </c>
      <c r="D608" s="408" t="s">
        <v>1144</v>
      </c>
      <c r="E608" s="409" t="s">
        <v>30</v>
      </c>
      <c r="F608" s="410">
        <v>5977.9</v>
      </c>
      <c r="G608" s="410"/>
      <c r="H608" s="409" t="s">
        <v>31</v>
      </c>
      <c r="I608" s="411" t="s">
        <v>32</v>
      </c>
      <c r="J608" s="411"/>
      <c r="K608" s="412" t="s">
        <v>25</v>
      </c>
      <c r="L608" s="413">
        <v>1675420.12</v>
      </c>
    </row>
    <row r="609" spans="1:12" ht="91.8" hidden="1" x14ac:dyDescent="0.3">
      <c r="A609" s="407" t="s">
        <v>224</v>
      </c>
      <c r="B609" s="408" t="s">
        <v>1212</v>
      </c>
      <c r="C609" s="408" t="s">
        <v>1224</v>
      </c>
      <c r="D609" s="408" t="s">
        <v>1144</v>
      </c>
      <c r="E609" s="409" t="s">
        <v>30</v>
      </c>
      <c r="F609" s="410">
        <v>3132.5</v>
      </c>
      <c r="G609" s="410"/>
      <c r="H609" s="409" t="s">
        <v>31</v>
      </c>
      <c r="I609" s="411" t="s">
        <v>32</v>
      </c>
      <c r="J609" s="411"/>
      <c r="K609" s="412" t="s">
        <v>25</v>
      </c>
      <c r="L609" s="413">
        <v>1678552.62</v>
      </c>
    </row>
    <row r="610" spans="1:12" ht="91.8" hidden="1" x14ac:dyDescent="0.3">
      <c r="A610" s="407" t="s">
        <v>224</v>
      </c>
      <c r="B610" s="408" t="s">
        <v>1212</v>
      </c>
      <c r="C610" s="408" t="s">
        <v>1224</v>
      </c>
      <c r="D610" s="408" t="s">
        <v>1144</v>
      </c>
      <c r="E610" s="409" t="s">
        <v>30</v>
      </c>
      <c r="F610" s="410">
        <v>6421.6</v>
      </c>
      <c r="G610" s="410"/>
      <c r="H610" s="409" t="s">
        <v>31</v>
      </c>
      <c r="I610" s="411" t="s">
        <v>32</v>
      </c>
      <c r="J610" s="411"/>
      <c r="K610" s="412" t="s">
        <v>25</v>
      </c>
      <c r="L610" s="413">
        <v>1684974.22</v>
      </c>
    </row>
    <row r="611" spans="1:12" ht="91.8" hidden="1" x14ac:dyDescent="0.3">
      <c r="A611" s="407" t="s">
        <v>224</v>
      </c>
      <c r="B611" s="408" t="s">
        <v>1212</v>
      </c>
      <c r="C611" s="408" t="s">
        <v>1225</v>
      </c>
      <c r="D611" s="408" t="s">
        <v>1144</v>
      </c>
      <c r="E611" s="409" t="s">
        <v>30</v>
      </c>
      <c r="F611" s="410">
        <v>2399.3000000000002</v>
      </c>
      <c r="G611" s="410"/>
      <c r="H611" s="409" t="s">
        <v>31</v>
      </c>
      <c r="I611" s="411" t="s">
        <v>32</v>
      </c>
      <c r="J611" s="411"/>
      <c r="K611" s="412" t="s">
        <v>25</v>
      </c>
      <c r="L611" s="413">
        <v>1687373.52</v>
      </c>
    </row>
    <row r="612" spans="1:12" ht="91.8" hidden="1" x14ac:dyDescent="0.3">
      <c r="A612" s="407" t="s">
        <v>224</v>
      </c>
      <c r="B612" s="408" t="s">
        <v>1212</v>
      </c>
      <c r="C612" s="408" t="s">
        <v>1224</v>
      </c>
      <c r="D612" s="408" t="s">
        <v>1144</v>
      </c>
      <c r="E612" s="409" t="s">
        <v>30</v>
      </c>
      <c r="F612" s="410">
        <v>3145.9</v>
      </c>
      <c r="G612" s="410"/>
      <c r="H612" s="409" t="s">
        <v>31</v>
      </c>
      <c r="I612" s="411" t="s">
        <v>32</v>
      </c>
      <c r="J612" s="411"/>
      <c r="K612" s="412" t="s">
        <v>25</v>
      </c>
      <c r="L612" s="413">
        <v>1690519.42</v>
      </c>
    </row>
    <row r="613" spans="1:12" ht="91.8" hidden="1" x14ac:dyDescent="0.3">
      <c r="A613" s="407" t="s">
        <v>224</v>
      </c>
      <c r="B613" s="408" t="s">
        <v>1212</v>
      </c>
      <c r="C613" s="408" t="s">
        <v>1219</v>
      </c>
      <c r="D613" s="408" t="s">
        <v>1144</v>
      </c>
      <c r="E613" s="409" t="s">
        <v>30</v>
      </c>
      <c r="F613" s="410">
        <v>3316</v>
      </c>
      <c r="G613" s="410"/>
      <c r="H613" s="409" t="s">
        <v>31</v>
      </c>
      <c r="I613" s="411" t="s">
        <v>32</v>
      </c>
      <c r="J613" s="411"/>
      <c r="K613" s="412" t="s">
        <v>25</v>
      </c>
      <c r="L613" s="413">
        <v>1693835.42</v>
      </c>
    </row>
    <row r="614" spans="1:12" ht="91.8" hidden="1" x14ac:dyDescent="0.3">
      <c r="A614" s="407" t="s">
        <v>224</v>
      </c>
      <c r="B614" s="408" t="s">
        <v>1212</v>
      </c>
      <c r="C614" s="408" t="s">
        <v>1219</v>
      </c>
      <c r="D614" s="408" t="s">
        <v>1144</v>
      </c>
      <c r="E614" s="409" t="s">
        <v>30</v>
      </c>
      <c r="F614" s="410">
        <v>3371.9</v>
      </c>
      <c r="G614" s="410"/>
      <c r="H614" s="409" t="s">
        <v>31</v>
      </c>
      <c r="I614" s="411" t="s">
        <v>32</v>
      </c>
      <c r="J614" s="411"/>
      <c r="K614" s="412" t="s">
        <v>25</v>
      </c>
      <c r="L614" s="413">
        <v>1697207.32</v>
      </c>
    </row>
    <row r="615" spans="1:12" ht="91.8" hidden="1" x14ac:dyDescent="0.3">
      <c r="A615" s="407" t="s">
        <v>224</v>
      </c>
      <c r="B615" s="408" t="s">
        <v>1212</v>
      </c>
      <c r="C615" s="408" t="s">
        <v>1226</v>
      </c>
      <c r="D615" s="408" t="s">
        <v>1144</v>
      </c>
      <c r="E615" s="409" t="s">
        <v>30</v>
      </c>
      <c r="F615" s="410">
        <v>3706.8</v>
      </c>
      <c r="G615" s="410"/>
      <c r="H615" s="409" t="s">
        <v>31</v>
      </c>
      <c r="I615" s="411" t="s">
        <v>32</v>
      </c>
      <c r="J615" s="411"/>
      <c r="K615" s="412" t="s">
        <v>25</v>
      </c>
      <c r="L615" s="413">
        <v>1700914.12</v>
      </c>
    </row>
    <row r="616" spans="1:12" ht="91.8" hidden="1" x14ac:dyDescent="0.3">
      <c r="A616" s="407" t="s">
        <v>224</v>
      </c>
      <c r="B616" s="408" t="s">
        <v>1212</v>
      </c>
      <c r="C616" s="408" t="s">
        <v>1227</v>
      </c>
      <c r="D616" s="408" t="s">
        <v>1144</v>
      </c>
      <c r="E616" s="409" t="s">
        <v>30</v>
      </c>
      <c r="F616" s="410">
        <v>4032</v>
      </c>
      <c r="G616" s="410"/>
      <c r="H616" s="409" t="s">
        <v>31</v>
      </c>
      <c r="I616" s="411" t="s">
        <v>32</v>
      </c>
      <c r="J616" s="411"/>
      <c r="K616" s="412" t="s">
        <v>25</v>
      </c>
      <c r="L616" s="413">
        <v>1704946.12</v>
      </c>
    </row>
    <row r="617" spans="1:12" ht="91.8" hidden="1" x14ac:dyDescent="0.3">
      <c r="A617" s="407" t="s">
        <v>224</v>
      </c>
      <c r="B617" s="408" t="s">
        <v>1212</v>
      </c>
      <c r="C617" s="408" t="s">
        <v>1228</v>
      </c>
      <c r="D617" s="408" t="s">
        <v>1144</v>
      </c>
      <c r="E617" s="409" t="s">
        <v>30</v>
      </c>
      <c r="F617" s="410">
        <v>11229.9</v>
      </c>
      <c r="G617" s="410"/>
      <c r="H617" s="409" t="s">
        <v>31</v>
      </c>
      <c r="I617" s="411" t="s">
        <v>32</v>
      </c>
      <c r="J617" s="411"/>
      <c r="K617" s="412" t="s">
        <v>25</v>
      </c>
      <c r="L617" s="413">
        <v>1716176.02</v>
      </c>
    </row>
    <row r="618" spans="1:12" ht="91.8" hidden="1" x14ac:dyDescent="0.3">
      <c r="A618" s="407" t="s">
        <v>224</v>
      </c>
      <c r="B618" s="408" t="s">
        <v>1212</v>
      </c>
      <c r="C618" s="408" t="s">
        <v>1229</v>
      </c>
      <c r="D618" s="408" t="s">
        <v>1144</v>
      </c>
      <c r="E618" s="409" t="s">
        <v>30</v>
      </c>
      <c r="F618" s="410">
        <v>3923</v>
      </c>
      <c r="G618" s="410"/>
      <c r="H618" s="409" t="s">
        <v>31</v>
      </c>
      <c r="I618" s="411" t="s">
        <v>32</v>
      </c>
      <c r="J618" s="411"/>
      <c r="K618" s="412" t="s">
        <v>25</v>
      </c>
      <c r="L618" s="413">
        <v>1720099.02</v>
      </c>
    </row>
    <row r="619" spans="1:12" ht="91.8" hidden="1" x14ac:dyDescent="0.3">
      <c r="A619" s="407" t="s">
        <v>224</v>
      </c>
      <c r="B619" s="408" t="s">
        <v>1212</v>
      </c>
      <c r="C619" s="408" t="s">
        <v>1230</v>
      </c>
      <c r="D619" s="408" t="s">
        <v>1144</v>
      </c>
      <c r="E619" s="409" t="s">
        <v>30</v>
      </c>
      <c r="F619" s="410">
        <v>2167.4</v>
      </c>
      <c r="G619" s="410"/>
      <c r="H619" s="409" t="s">
        <v>31</v>
      </c>
      <c r="I619" s="411" t="s">
        <v>32</v>
      </c>
      <c r="J619" s="411"/>
      <c r="K619" s="412" t="s">
        <v>25</v>
      </c>
      <c r="L619" s="413">
        <v>1722266.42</v>
      </c>
    </row>
    <row r="620" spans="1:12" ht="91.8" hidden="1" x14ac:dyDescent="0.3">
      <c r="A620" s="407" t="s">
        <v>224</v>
      </c>
      <c r="B620" s="408" t="s">
        <v>1212</v>
      </c>
      <c r="C620" s="408" t="s">
        <v>1231</v>
      </c>
      <c r="D620" s="408" t="s">
        <v>1144</v>
      </c>
      <c r="E620" s="409" t="s">
        <v>30</v>
      </c>
      <c r="F620" s="410">
        <v>2055.5</v>
      </c>
      <c r="G620" s="410"/>
      <c r="H620" s="409" t="s">
        <v>31</v>
      </c>
      <c r="I620" s="411" t="s">
        <v>32</v>
      </c>
      <c r="J620" s="411"/>
      <c r="K620" s="412" t="s">
        <v>25</v>
      </c>
      <c r="L620" s="413">
        <v>1724321.92</v>
      </c>
    </row>
    <row r="621" spans="1:12" ht="91.8" hidden="1" x14ac:dyDescent="0.3">
      <c r="A621" s="407" t="s">
        <v>224</v>
      </c>
      <c r="B621" s="408" t="s">
        <v>1212</v>
      </c>
      <c r="C621" s="408" t="s">
        <v>1232</v>
      </c>
      <c r="D621" s="408" t="s">
        <v>1144</v>
      </c>
      <c r="E621" s="409" t="s">
        <v>30</v>
      </c>
      <c r="F621" s="410">
        <v>3407</v>
      </c>
      <c r="G621" s="410"/>
      <c r="H621" s="409" t="s">
        <v>31</v>
      </c>
      <c r="I621" s="411" t="s">
        <v>32</v>
      </c>
      <c r="J621" s="411"/>
      <c r="K621" s="412" t="s">
        <v>25</v>
      </c>
      <c r="L621" s="413">
        <v>1727728.92</v>
      </c>
    </row>
    <row r="622" spans="1:12" ht="91.8" hidden="1" x14ac:dyDescent="0.3">
      <c r="A622" s="407" t="s">
        <v>224</v>
      </c>
      <c r="B622" s="408" t="s">
        <v>1212</v>
      </c>
      <c r="C622" s="408" t="s">
        <v>1233</v>
      </c>
      <c r="D622" s="408" t="s">
        <v>1144</v>
      </c>
      <c r="E622" s="409" t="s">
        <v>30</v>
      </c>
      <c r="F622" s="410">
        <v>1124</v>
      </c>
      <c r="G622" s="410"/>
      <c r="H622" s="409" t="s">
        <v>31</v>
      </c>
      <c r="I622" s="411" t="s">
        <v>32</v>
      </c>
      <c r="J622" s="411"/>
      <c r="K622" s="412" t="s">
        <v>25</v>
      </c>
      <c r="L622" s="413">
        <v>1728852.92</v>
      </c>
    </row>
    <row r="623" spans="1:12" ht="91.8" hidden="1" x14ac:dyDescent="0.3">
      <c r="A623" s="407" t="s">
        <v>224</v>
      </c>
      <c r="B623" s="408" t="s">
        <v>1212</v>
      </c>
      <c r="C623" s="408" t="s">
        <v>1234</v>
      </c>
      <c r="D623" s="408" t="s">
        <v>1144</v>
      </c>
      <c r="E623" s="409" t="s">
        <v>30</v>
      </c>
      <c r="F623" s="410">
        <v>1996.6</v>
      </c>
      <c r="G623" s="410"/>
      <c r="H623" s="409" t="s">
        <v>31</v>
      </c>
      <c r="I623" s="411" t="s">
        <v>32</v>
      </c>
      <c r="J623" s="411"/>
      <c r="K623" s="412" t="s">
        <v>25</v>
      </c>
      <c r="L623" s="413">
        <v>1730849.52</v>
      </c>
    </row>
    <row r="624" spans="1:12" ht="91.8" hidden="1" x14ac:dyDescent="0.3">
      <c r="A624" s="407" t="s">
        <v>224</v>
      </c>
      <c r="B624" s="408" t="s">
        <v>1212</v>
      </c>
      <c r="C624" s="408" t="s">
        <v>1235</v>
      </c>
      <c r="D624" s="408" t="s">
        <v>1144</v>
      </c>
      <c r="E624" s="409" t="s">
        <v>30</v>
      </c>
      <c r="F624" s="410">
        <v>2579.8000000000002</v>
      </c>
      <c r="G624" s="410"/>
      <c r="H624" s="409" t="s">
        <v>31</v>
      </c>
      <c r="I624" s="411" t="s">
        <v>32</v>
      </c>
      <c r="J624" s="411"/>
      <c r="K624" s="412" t="s">
        <v>25</v>
      </c>
      <c r="L624" s="413">
        <v>1733429.32</v>
      </c>
    </row>
    <row r="625" spans="1:12" ht="91.8" hidden="1" x14ac:dyDescent="0.3">
      <c r="A625" s="407" t="s">
        <v>224</v>
      </c>
      <c r="B625" s="408" t="s">
        <v>1212</v>
      </c>
      <c r="C625" s="408" t="s">
        <v>1236</v>
      </c>
      <c r="D625" s="408" t="s">
        <v>1144</v>
      </c>
      <c r="E625" s="409" t="s">
        <v>30</v>
      </c>
      <c r="F625" s="410">
        <v>3250.3</v>
      </c>
      <c r="G625" s="410"/>
      <c r="H625" s="409" t="s">
        <v>31</v>
      </c>
      <c r="I625" s="411" t="s">
        <v>32</v>
      </c>
      <c r="J625" s="411"/>
      <c r="K625" s="412" t="s">
        <v>25</v>
      </c>
      <c r="L625" s="413">
        <v>1736679.62</v>
      </c>
    </row>
    <row r="626" spans="1:12" ht="91.8" hidden="1" x14ac:dyDescent="0.3">
      <c r="A626" s="407" t="s">
        <v>224</v>
      </c>
      <c r="B626" s="408" t="s">
        <v>1212</v>
      </c>
      <c r="C626" s="408" t="s">
        <v>1237</v>
      </c>
      <c r="D626" s="408" t="s">
        <v>1144</v>
      </c>
      <c r="E626" s="409" t="s">
        <v>30</v>
      </c>
      <c r="F626" s="410">
        <v>2234.5</v>
      </c>
      <c r="G626" s="410"/>
      <c r="H626" s="409" t="s">
        <v>31</v>
      </c>
      <c r="I626" s="411" t="s">
        <v>32</v>
      </c>
      <c r="J626" s="411"/>
      <c r="K626" s="412" t="s">
        <v>25</v>
      </c>
      <c r="L626" s="413">
        <v>1738914.12</v>
      </c>
    </row>
    <row r="627" spans="1:12" ht="91.8" hidden="1" x14ac:dyDescent="0.3">
      <c r="A627" s="407" t="s">
        <v>224</v>
      </c>
      <c r="B627" s="408" t="s">
        <v>1212</v>
      </c>
      <c r="C627" s="408" t="s">
        <v>1235</v>
      </c>
      <c r="D627" s="408" t="s">
        <v>1144</v>
      </c>
      <c r="E627" s="409" t="s">
        <v>30</v>
      </c>
      <c r="F627" s="410">
        <v>8088.6</v>
      </c>
      <c r="G627" s="410"/>
      <c r="H627" s="409" t="s">
        <v>31</v>
      </c>
      <c r="I627" s="411" t="s">
        <v>32</v>
      </c>
      <c r="J627" s="411"/>
      <c r="K627" s="412" t="s">
        <v>25</v>
      </c>
      <c r="L627" s="413">
        <v>1747002.72</v>
      </c>
    </row>
    <row r="628" spans="1:12" ht="91.8" hidden="1" x14ac:dyDescent="0.3">
      <c r="A628" s="407" t="s">
        <v>224</v>
      </c>
      <c r="B628" s="408" t="s">
        <v>1212</v>
      </c>
      <c r="C628" s="408" t="s">
        <v>1235</v>
      </c>
      <c r="D628" s="408" t="s">
        <v>1144</v>
      </c>
      <c r="E628" s="409" t="s">
        <v>30</v>
      </c>
      <c r="F628" s="410">
        <v>2599.1999999999998</v>
      </c>
      <c r="G628" s="410"/>
      <c r="H628" s="409" t="s">
        <v>31</v>
      </c>
      <c r="I628" s="411" t="s">
        <v>32</v>
      </c>
      <c r="J628" s="411"/>
      <c r="K628" s="412" t="s">
        <v>25</v>
      </c>
      <c r="L628" s="413">
        <v>1749601.92</v>
      </c>
    </row>
    <row r="629" spans="1:12" ht="91.8" hidden="1" x14ac:dyDescent="0.3">
      <c r="A629" s="407" t="s">
        <v>224</v>
      </c>
      <c r="B629" s="408" t="s">
        <v>1212</v>
      </c>
      <c r="C629" s="408" t="s">
        <v>1238</v>
      </c>
      <c r="D629" s="408" t="s">
        <v>1144</v>
      </c>
      <c r="E629" s="409" t="s">
        <v>30</v>
      </c>
      <c r="F629" s="410">
        <v>4449.6000000000004</v>
      </c>
      <c r="G629" s="410"/>
      <c r="H629" s="409" t="s">
        <v>31</v>
      </c>
      <c r="I629" s="411" t="s">
        <v>32</v>
      </c>
      <c r="J629" s="411"/>
      <c r="K629" s="412" t="s">
        <v>25</v>
      </c>
      <c r="L629" s="413">
        <v>1754051.52</v>
      </c>
    </row>
    <row r="630" spans="1:12" ht="91.8" hidden="1" x14ac:dyDescent="0.3">
      <c r="A630" s="407" t="s">
        <v>224</v>
      </c>
      <c r="B630" s="408" t="s">
        <v>1212</v>
      </c>
      <c r="C630" s="408" t="s">
        <v>1238</v>
      </c>
      <c r="D630" s="408" t="s">
        <v>1144</v>
      </c>
      <c r="E630" s="409" t="s">
        <v>30</v>
      </c>
      <c r="F630" s="410">
        <v>4589.1000000000004</v>
      </c>
      <c r="G630" s="410"/>
      <c r="H630" s="409" t="s">
        <v>31</v>
      </c>
      <c r="I630" s="411" t="s">
        <v>32</v>
      </c>
      <c r="J630" s="411"/>
      <c r="K630" s="412" t="s">
        <v>25</v>
      </c>
      <c r="L630" s="413">
        <v>1758640.62</v>
      </c>
    </row>
    <row r="631" spans="1:12" ht="91.8" hidden="1" x14ac:dyDescent="0.3">
      <c r="A631" s="407" t="s">
        <v>224</v>
      </c>
      <c r="B631" s="408" t="s">
        <v>1212</v>
      </c>
      <c r="C631" s="408" t="s">
        <v>1239</v>
      </c>
      <c r="D631" s="408" t="s">
        <v>1144</v>
      </c>
      <c r="E631" s="409" t="s">
        <v>30</v>
      </c>
      <c r="F631" s="410">
        <v>4648.8</v>
      </c>
      <c r="G631" s="410"/>
      <c r="H631" s="409" t="s">
        <v>31</v>
      </c>
      <c r="I631" s="411" t="s">
        <v>32</v>
      </c>
      <c r="J631" s="411"/>
      <c r="K631" s="412" t="s">
        <v>25</v>
      </c>
      <c r="L631" s="413">
        <v>1763289.42</v>
      </c>
    </row>
    <row r="632" spans="1:12" ht="91.8" hidden="1" x14ac:dyDescent="0.3">
      <c r="A632" s="407" t="s">
        <v>224</v>
      </c>
      <c r="B632" s="408" t="s">
        <v>1212</v>
      </c>
      <c r="C632" s="408" t="s">
        <v>1239</v>
      </c>
      <c r="D632" s="408" t="s">
        <v>1144</v>
      </c>
      <c r="E632" s="409" t="s">
        <v>30</v>
      </c>
      <c r="F632" s="410">
        <v>4612.2</v>
      </c>
      <c r="G632" s="410"/>
      <c r="H632" s="409" t="s">
        <v>31</v>
      </c>
      <c r="I632" s="411" t="s">
        <v>32</v>
      </c>
      <c r="J632" s="411"/>
      <c r="K632" s="412" t="s">
        <v>25</v>
      </c>
      <c r="L632" s="413">
        <v>1767901.62</v>
      </c>
    </row>
    <row r="633" spans="1:12" ht="91.8" hidden="1" x14ac:dyDescent="0.3">
      <c r="A633" s="407" t="s">
        <v>224</v>
      </c>
      <c r="B633" s="408" t="s">
        <v>1212</v>
      </c>
      <c r="C633" s="408" t="s">
        <v>1240</v>
      </c>
      <c r="D633" s="408" t="s">
        <v>1144</v>
      </c>
      <c r="E633" s="409" t="s">
        <v>30</v>
      </c>
      <c r="F633" s="410">
        <v>4950.8</v>
      </c>
      <c r="G633" s="410"/>
      <c r="H633" s="409" t="s">
        <v>31</v>
      </c>
      <c r="I633" s="411" t="s">
        <v>32</v>
      </c>
      <c r="J633" s="411"/>
      <c r="K633" s="412" t="s">
        <v>25</v>
      </c>
      <c r="L633" s="413">
        <v>1772852.42</v>
      </c>
    </row>
    <row r="634" spans="1:12" ht="91.8" hidden="1" x14ac:dyDescent="0.3">
      <c r="A634" s="407" t="s">
        <v>224</v>
      </c>
      <c r="B634" s="408" t="s">
        <v>1212</v>
      </c>
      <c r="C634" s="408" t="s">
        <v>1241</v>
      </c>
      <c r="D634" s="408" t="s">
        <v>1144</v>
      </c>
      <c r="E634" s="409" t="s">
        <v>30</v>
      </c>
      <c r="F634" s="410">
        <v>4472.8</v>
      </c>
      <c r="G634" s="410"/>
      <c r="H634" s="409" t="s">
        <v>31</v>
      </c>
      <c r="I634" s="411" t="s">
        <v>32</v>
      </c>
      <c r="J634" s="411"/>
      <c r="K634" s="412" t="s">
        <v>25</v>
      </c>
      <c r="L634" s="413">
        <v>1777325.22</v>
      </c>
    </row>
    <row r="635" spans="1:12" ht="91.8" hidden="1" x14ac:dyDescent="0.3">
      <c r="A635" s="407" t="s">
        <v>224</v>
      </c>
      <c r="B635" s="408" t="s">
        <v>1212</v>
      </c>
      <c r="C635" s="408" t="s">
        <v>1242</v>
      </c>
      <c r="D635" s="408" t="s">
        <v>1144</v>
      </c>
      <c r="E635" s="409" t="s">
        <v>30</v>
      </c>
      <c r="F635" s="410">
        <v>2089.8000000000002</v>
      </c>
      <c r="G635" s="410"/>
      <c r="H635" s="409" t="s">
        <v>31</v>
      </c>
      <c r="I635" s="411" t="s">
        <v>32</v>
      </c>
      <c r="J635" s="411"/>
      <c r="K635" s="412" t="s">
        <v>25</v>
      </c>
      <c r="L635" s="413">
        <v>1779415.02</v>
      </c>
    </row>
    <row r="636" spans="1:12" ht="91.8" hidden="1" x14ac:dyDescent="0.3">
      <c r="A636" s="407" t="s">
        <v>224</v>
      </c>
      <c r="B636" s="408" t="s">
        <v>1212</v>
      </c>
      <c r="C636" s="408" t="s">
        <v>1243</v>
      </c>
      <c r="D636" s="408" t="s">
        <v>1144</v>
      </c>
      <c r="E636" s="409" t="s">
        <v>30</v>
      </c>
      <c r="F636" s="410">
        <v>2515</v>
      </c>
      <c r="G636" s="410"/>
      <c r="H636" s="409" t="s">
        <v>31</v>
      </c>
      <c r="I636" s="411" t="s">
        <v>32</v>
      </c>
      <c r="J636" s="411"/>
      <c r="K636" s="412" t="s">
        <v>25</v>
      </c>
      <c r="L636" s="413">
        <v>1781930.02</v>
      </c>
    </row>
    <row r="637" spans="1:12" ht="91.8" hidden="1" x14ac:dyDescent="0.3">
      <c r="A637" s="407" t="s">
        <v>224</v>
      </c>
      <c r="B637" s="408" t="s">
        <v>1212</v>
      </c>
      <c r="C637" s="408" t="s">
        <v>1244</v>
      </c>
      <c r="D637" s="408" t="s">
        <v>1144</v>
      </c>
      <c r="E637" s="409" t="s">
        <v>30</v>
      </c>
      <c r="F637" s="410">
        <v>2087.6</v>
      </c>
      <c r="G637" s="410"/>
      <c r="H637" s="409" t="s">
        <v>31</v>
      </c>
      <c r="I637" s="411" t="s">
        <v>32</v>
      </c>
      <c r="J637" s="411"/>
      <c r="K637" s="412" t="s">
        <v>25</v>
      </c>
      <c r="L637" s="413">
        <v>1784017.62</v>
      </c>
    </row>
    <row r="638" spans="1:12" ht="91.8" hidden="1" x14ac:dyDescent="0.3">
      <c r="A638" s="407" t="s">
        <v>224</v>
      </c>
      <c r="B638" s="408" t="s">
        <v>1212</v>
      </c>
      <c r="C638" s="408" t="s">
        <v>1245</v>
      </c>
      <c r="D638" s="408" t="s">
        <v>1144</v>
      </c>
      <c r="E638" s="409" t="s">
        <v>30</v>
      </c>
      <c r="F638" s="410">
        <v>4119.3</v>
      </c>
      <c r="G638" s="410"/>
      <c r="H638" s="409" t="s">
        <v>31</v>
      </c>
      <c r="I638" s="411" t="s">
        <v>32</v>
      </c>
      <c r="J638" s="411"/>
      <c r="K638" s="412" t="s">
        <v>25</v>
      </c>
      <c r="L638" s="413">
        <v>1788136.92</v>
      </c>
    </row>
    <row r="639" spans="1:12" ht="91.8" hidden="1" x14ac:dyDescent="0.3">
      <c r="A639" s="407" t="s">
        <v>224</v>
      </c>
      <c r="B639" s="408" t="s">
        <v>1212</v>
      </c>
      <c r="C639" s="408" t="s">
        <v>1246</v>
      </c>
      <c r="D639" s="408" t="s">
        <v>1144</v>
      </c>
      <c r="E639" s="409" t="s">
        <v>30</v>
      </c>
      <c r="F639" s="410">
        <v>33025.5</v>
      </c>
      <c r="G639" s="410"/>
      <c r="H639" s="409" t="s">
        <v>31</v>
      </c>
      <c r="I639" s="411" t="s">
        <v>32</v>
      </c>
      <c r="J639" s="411"/>
      <c r="K639" s="412" t="s">
        <v>25</v>
      </c>
      <c r="L639" s="413">
        <v>1821162.42</v>
      </c>
    </row>
    <row r="640" spans="1:12" ht="91.8" hidden="1" x14ac:dyDescent="0.3">
      <c r="A640" s="407" t="s">
        <v>224</v>
      </c>
      <c r="B640" s="408" t="s">
        <v>1212</v>
      </c>
      <c r="C640" s="408" t="s">
        <v>1246</v>
      </c>
      <c r="D640" s="408" t="s">
        <v>1144</v>
      </c>
      <c r="E640" s="409" t="s">
        <v>30</v>
      </c>
      <c r="F640" s="410">
        <v>3524.8</v>
      </c>
      <c r="G640" s="410"/>
      <c r="H640" s="409" t="s">
        <v>31</v>
      </c>
      <c r="I640" s="411" t="s">
        <v>32</v>
      </c>
      <c r="J640" s="411"/>
      <c r="K640" s="412" t="s">
        <v>25</v>
      </c>
      <c r="L640" s="413">
        <v>1824687.22</v>
      </c>
    </row>
    <row r="641" spans="1:12" ht="91.8" hidden="1" x14ac:dyDescent="0.3">
      <c r="A641" s="407" t="s">
        <v>224</v>
      </c>
      <c r="B641" s="408" t="s">
        <v>1212</v>
      </c>
      <c r="C641" s="408" t="s">
        <v>1247</v>
      </c>
      <c r="D641" s="408" t="s">
        <v>1144</v>
      </c>
      <c r="E641" s="409" t="s">
        <v>30</v>
      </c>
      <c r="F641" s="410">
        <v>3806</v>
      </c>
      <c r="G641" s="410"/>
      <c r="H641" s="409" t="s">
        <v>31</v>
      </c>
      <c r="I641" s="411" t="s">
        <v>32</v>
      </c>
      <c r="J641" s="411"/>
      <c r="K641" s="412" t="s">
        <v>25</v>
      </c>
      <c r="L641" s="413">
        <v>1828493.22</v>
      </c>
    </row>
    <row r="642" spans="1:12" ht="91.8" hidden="1" x14ac:dyDescent="0.3">
      <c r="A642" s="407" t="s">
        <v>224</v>
      </c>
      <c r="B642" s="408" t="s">
        <v>1212</v>
      </c>
      <c r="C642" s="408" t="s">
        <v>1246</v>
      </c>
      <c r="D642" s="408" t="s">
        <v>1144</v>
      </c>
      <c r="E642" s="409" t="s">
        <v>30</v>
      </c>
      <c r="F642" s="410">
        <v>3548.7</v>
      </c>
      <c r="G642" s="410"/>
      <c r="H642" s="409" t="s">
        <v>31</v>
      </c>
      <c r="I642" s="411" t="s">
        <v>32</v>
      </c>
      <c r="J642" s="411"/>
      <c r="K642" s="412" t="s">
        <v>25</v>
      </c>
      <c r="L642" s="413">
        <v>1832041.92</v>
      </c>
    </row>
    <row r="643" spans="1:12" ht="91.8" hidden="1" x14ac:dyDescent="0.3">
      <c r="A643" s="407" t="s">
        <v>224</v>
      </c>
      <c r="B643" s="408" t="s">
        <v>1212</v>
      </c>
      <c r="C643" s="408" t="s">
        <v>1248</v>
      </c>
      <c r="D643" s="408" t="s">
        <v>1144</v>
      </c>
      <c r="E643" s="409" t="s">
        <v>30</v>
      </c>
      <c r="F643" s="410">
        <v>6863.2</v>
      </c>
      <c r="G643" s="410"/>
      <c r="H643" s="409" t="s">
        <v>31</v>
      </c>
      <c r="I643" s="411" t="s">
        <v>32</v>
      </c>
      <c r="J643" s="411"/>
      <c r="K643" s="412" t="s">
        <v>25</v>
      </c>
      <c r="L643" s="413">
        <v>1838905.12</v>
      </c>
    </row>
    <row r="644" spans="1:12" ht="91.8" hidden="1" x14ac:dyDescent="0.3">
      <c r="A644" s="407" t="s">
        <v>224</v>
      </c>
      <c r="B644" s="408" t="s">
        <v>1212</v>
      </c>
      <c r="C644" s="408" t="s">
        <v>1249</v>
      </c>
      <c r="D644" s="408" t="s">
        <v>1144</v>
      </c>
      <c r="E644" s="409" t="s">
        <v>30</v>
      </c>
      <c r="F644" s="410">
        <v>5003</v>
      </c>
      <c r="G644" s="410"/>
      <c r="H644" s="409" t="s">
        <v>31</v>
      </c>
      <c r="I644" s="411" t="s">
        <v>32</v>
      </c>
      <c r="J644" s="411"/>
      <c r="K644" s="412" t="s">
        <v>25</v>
      </c>
      <c r="L644" s="413">
        <v>1843908.12</v>
      </c>
    </row>
    <row r="645" spans="1:12" ht="91.8" hidden="1" x14ac:dyDescent="0.3">
      <c r="A645" s="407" t="s">
        <v>224</v>
      </c>
      <c r="B645" s="408" t="s">
        <v>1212</v>
      </c>
      <c r="C645" s="408" t="s">
        <v>1250</v>
      </c>
      <c r="D645" s="408" t="s">
        <v>1144</v>
      </c>
      <c r="E645" s="409" t="s">
        <v>30</v>
      </c>
      <c r="F645" s="410">
        <v>7773</v>
      </c>
      <c r="G645" s="410"/>
      <c r="H645" s="409" t="s">
        <v>31</v>
      </c>
      <c r="I645" s="411" t="s">
        <v>32</v>
      </c>
      <c r="J645" s="411"/>
      <c r="K645" s="412" t="s">
        <v>25</v>
      </c>
      <c r="L645" s="413">
        <v>1851681.12</v>
      </c>
    </row>
    <row r="646" spans="1:12" ht="91.8" hidden="1" x14ac:dyDescent="0.3">
      <c r="A646" s="407" t="s">
        <v>224</v>
      </c>
      <c r="B646" s="408" t="s">
        <v>1212</v>
      </c>
      <c r="C646" s="408" t="s">
        <v>1251</v>
      </c>
      <c r="D646" s="408" t="s">
        <v>1144</v>
      </c>
      <c r="E646" s="409" t="s">
        <v>30</v>
      </c>
      <c r="F646" s="410">
        <v>5759.4</v>
      </c>
      <c r="G646" s="410"/>
      <c r="H646" s="409" t="s">
        <v>31</v>
      </c>
      <c r="I646" s="411" t="s">
        <v>32</v>
      </c>
      <c r="J646" s="411"/>
      <c r="K646" s="412" t="s">
        <v>25</v>
      </c>
      <c r="L646" s="413">
        <v>1857440.52</v>
      </c>
    </row>
    <row r="647" spans="1:12" ht="91.8" hidden="1" x14ac:dyDescent="0.3">
      <c r="A647" s="407" t="s">
        <v>224</v>
      </c>
      <c r="B647" s="408" t="s">
        <v>1212</v>
      </c>
      <c r="C647" s="408" t="s">
        <v>1185</v>
      </c>
      <c r="D647" s="408" t="s">
        <v>1144</v>
      </c>
      <c r="E647" s="409" t="s">
        <v>30</v>
      </c>
      <c r="F647" s="410">
        <v>3199.6</v>
      </c>
      <c r="G647" s="410"/>
      <c r="H647" s="409" t="s">
        <v>31</v>
      </c>
      <c r="I647" s="411" t="s">
        <v>32</v>
      </c>
      <c r="J647" s="411"/>
      <c r="K647" s="412" t="s">
        <v>25</v>
      </c>
      <c r="L647" s="413">
        <v>1860640.12</v>
      </c>
    </row>
    <row r="648" spans="1:12" ht="91.8" hidden="1" x14ac:dyDescent="0.3">
      <c r="A648" s="407" t="s">
        <v>224</v>
      </c>
      <c r="B648" s="408" t="s">
        <v>1212</v>
      </c>
      <c r="C648" s="408" t="s">
        <v>1252</v>
      </c>
      <c r="D648" s="408" t="s">
        <v>1144</v>
      </c>
      <c r="E648" s="409" t="s">
        <v>30</v>
      </c>
      <c r="F648" s="410">
        <v>2402.3000000000002</v>
      </c>
      <c r="G648" s="410"/>
      <c r="H648" s="409" t="s">
        <v>31</v>
      </c>
      <c r="I648" s="411" t="s">
        <v>32</v>
      </c>
      <c r="J648" s="411"/>
      <c r="K648" s="412" t="s">
        <v>25</v>
      </c>
      <c r="L648" s="413">
        <v>1863042.42</v>
      </c>
    </row>
    <row r="649" spans="1:12" ht="91.8" hidden="1" x14ac:dyDescent="0.3">
      <c r="A649" s="407" t="s">
        <v>224</v>
      </c>
      <c r="B649" s="408" t="s">
        <v>1212</v>
      </c>
      <c r="C649" s="408" t="s">
        <v>1147</v>
      </c>
      <c r="D649" s="408" t="s">
        <v>1144</v>
      </c>
      <c r="E649" s="409" t="s">
        <v>30</v>
      </c>
      <c r="F649" s="410">
        <v>17058.599999999999</v>
      </c>
      <c r="G649" s="410"/>
      <c r="H649" s="409" t="s">
        <v>31</v>
      </c>
      <c r="I649" s="411" t="s">
        <v>32</v>
      </c>
      <c r="J649" s="411"/>
      <c r="K649" s="412" t="s">
        <v>25</v>
      </c>
      <c r="L649" s="413">
        <v>1880101.02</v>
      </c>
    </row>
    <row r="650" spans="1:12" ht="91.8" hidden="1" x14ac:dyDescent="0.3">
      <c r="A650" s="407" t="s">
        <v>224</v>
      </c>
      <c r="B650" s="408" t="s">
        <v>1212</v>
      </c>
      <c r="C650" s="408" t="s">
        <v>1217</v>
      </c>
      <c r="D650" s="408" t="s">
        <v>1144</v>
      </c>
      <c r="E650" s="409" t="s">
        <v>30</v>
      </c>
      <c r="F650" s="410">
        <v>3101.9</v>
      </c>
      <c r="G650" s="410"/>
      <c r="H650" s="409" t="s">
        <v>31</v>
      </c>
      <c r="I650" s="411" t="s">
        <v>32</v>
      </c>
      <c r="J650" s="411"/>
      <c r="K650" s="412" t="s">
        <v>25</v>
      </c>
      <c r="L650" s="413">
        <v>1883202.92</v>
      </c>
    </row>
    <row r="651" spans="1:12" ht="91.8" hidden="1" x14ac:dyDescent="0.3">
      <c r="A651" s="407" t="s">
        <v>224</v>
      </c>
      <c r="B651" s="408" t="s">
        <v>1212</v>
      </c>
      <c r="C651" s="408" t="s">
        <v>1253</v>
      </c>
      <c r="D651" s="408" t="s">
        <v>1144</v>
      </c>
      <c r="E651" s="409" t="s">
        <v>30</v>
      </c>
      <c r="F651" s="410">
        <v>1944.4</v>
      </c>
      <c r="G651" s="410"/>
      <c r="H651" s="409" t="s">
        <v>31</v>
      </c>
      <c r="I651" s="411" t="s">
        <v>32</v>
      </c>
      <c r="J651" s="411"/>
      <c r="K651" s="412" t="s">
        <v>25</v>
      </c>
      <c r="L651" s="413">
        <v>1885147.32</v>
      </c>
    </row>
    <row r="652" spans="1:12" ht="91.8" hidden="1" x14ac:dyDescent="0.3">
      <c r="A652" s="407" t="s">
        <v>224</v>
      </c>
      <c r="B652" s="408" t="s">
        <v>1212</v>
      </c>
      <c r="C652" s="408" t="s">
        <v>1254</v>
      </c>
      <c r="D652" s="408" t="s">
        <v>1144</v>
      </c>
      <c r="E652" s="409" t="s">
        <v>30</v>
      </c>
      <c r="F652" s="410">
        <v>1487.9</v>
      </c>
      <c r="G652" s="410"/>
      <c r="H652" s="409" t="s">
        <v>31</v>
      </c>
      <c r="I652" s="411" t="s">
        <v>32</v>
      </c>
      <c r="J652" s="411"/>
      <c r="K652" s="412" t="s">
        <v>25</v>
      </c>
      <c r="L652" s="413">
        <v>1886635.22</v>
      </c>
    </row>
    <row r="653" spans="1:12" ht="91.8" hidden="1" x14ac:dyDescent="0.3">
      <c r="A653" s="407" t="s">
        <v>224</v>
      </c>
      <c r="B653" s="408" t="s">
        <v>1212</v>
      </c>
      <c r="C653" s="408" t="s">
        <v>1255</v>
      </c>
      <c r="D653" s="408" t="s">
        <v>1144</v>
      </c>
      <c r="E653" s="409" t="s">
        <v>30</v>
      </c>
      <c r="F653" s="410">
        <v>1355.2</v>
      </c>
      <c r="G653" s="410"/>
      <c r="H653" s="409" t="s">
        <v>31</v>
      </c>
      <c r="I653" s="411" t="s">
        <v>32</v>
      </c>
      <c r="J653" s="411"/>
      <c r="K653" s="412" t="s">
        <v>25</v>
      </c>
      <c r="L653" s="413">
        <v>1887990.42</v>
      </c>
    </row>
    <row r="654" spans="1:12" ht="91.8" hidden="1" x14ac:dyDescent="0.3">
      <c r="A654" s="407" t="s">
        <v>224</v>
      </c>
      <c r="B654" s="408" t="s">
        <v>1212</v>
      </c>
      <c r="C654" s="408" t="s">
        <v>1256</v>
      </c>
      <c r="D654" s="408" t="s">
        <v>1144</v>
      </c>
      <c r="E654" s="409" t="s">
        <v>30</v>
      </c>
      <c r="F654" s="414">
        <v>991.2</v>
      </c>
      <c r="G654" s="414"/>
      <c r="H654" s="409" t="s">
        <v>31</v>
      </c>
      <c r="I654" s="411" t="s">
        <v>32</v>
      </c>
      <c r="J654" s="411"/>
      <c r="K654" s="412" t="s">
        <v>25</v>
      </c>
      <c r="L654" s="413">
        <v>1888981.62</v>
      </c>
    </row>
    <row r="655" spans="1:12" ht="91.8" hidden="1" x14ac:dyDescent="0.3">
      <c r="A655" s="407" t="s">
        <v>224</v>
      </c>
      <c r="B655" s="408" t="s">
        <v>1212</v>
      </c>
      <c r="C655" s="408" t="s">
        <v>1257</v>
      </c>
      <c r="D655" s="408" t="s">
        <v>1144</v>
      </c>
      <c r="E655" s="409" t="s">
        <v>30</v>
      </c>
      <c r="F655" s="410">
        <v>3078.8</v>
      </c>
      <c r="G655" s="410"/>
      <c r="H655" s="409" t="s">
        <v>31</v>
      </c>
      <c r="I655" s="411" t="s">
        <v>32</v>
      </c>
      <c r="J655" s="411"/>
      <c r="K655" s="412" t="s">
        <v>25</v>
      </c>
      <c r="L655" s="413">
        <v>1892060.42</v>
      </c>
    </row>
    <row r="656" spans="1:12" ht="91.8" hidden="1" x14ac:dyDescent="0.3">
      <c r="A656" s="407" t="s">
        <v>224</v>
      </c>
      <c r="B656" s="408" t="s">
        <v>1212</v>
      </c>
      <c r="C656" s="408" t="s">
        <v>1258</v>
      </c>
      <c r="D656" s="408" t="s">
        <v>1144</v>
      </c>
      <c r="E656" s="409" t="s">
        <v>30</v>
      </c>
      <c r="F656" s="410">
        <v>7989.2</v>
      </c>
      <c r="G656" s="410"/>
      <c r="H656" s="409" t="s">
        <v>31</v>
      </c>
      <c r="I656" s="411" t="s">
        <v>32</v>
      </c>
      <c r="J656" s="411"/>
      <c r="K656" s="412" t="s">
        <v>25</v>
      </c>
      <c r="L656" s="413">
        <v>1900049.62</v>
      </c>
    </row>
    <row r="657" spans="1:12" ht="91.8" hidden="1" x14ac:dyDescent="0.3">
      <c r="A657" s="407" t="s">
        <v>224</v>
      </c>
      <c r="B657" s="408" t="s">
        <v>1212</v>
      </c>
      <c r="C657" s="408" t="s">
        <v>1259</v>
      </c>
      <c r="D657" s="408" t="s">
        <v>1144</v>
      </c>
      <c r="E657" s="409" t="s">
        <v>30</v>
      </c>
      <c r="F657" s="410">
        <v>2128.6</v>
      </c>
      <c r="G657" s="410"/>
      <c r="H657" s="409" t="s">
        <v>31</v>
      </c>
      <c r="I657" s="411" t="s">
        <v>32</v>
      </c>
      <c r="J657" s="411"/>
      <c r="K657" s="412" t="s">
        <v>25</v>
      </c>
      <c r="L657" s="413">
        <v>1902178.22</v>
      </c>
    </row>
    <row r="658" spans="1:12" ht="91.8" hidden="1" x14ac:dyDescent="0.3">
      <c r="A658" s="407" t="s">
        <v>224</v>
      </c>
      <c r="B658" s="408" t="s">
        <v>1212</v>
      </c>
      <c r="C658" s="408" t="s">
        <v>1260</v>
      </c>
      <c r="D658" s="408" t="s">
        <v>1144</v>
      </c>
      <c r="E658" s="409" t="s">
        <v>30</v>
      </c>
      <c r="F658" s="410">
        <v>1929.5</v>
      </c>
      <c r="G658" s="410"/>
      <c r="H658" s="409" t="s">
        <v>31</v>
      </c>
      <c r="I658" s="411" t="s">
        <v>32</v>
      </c>
      <c r="J658" s="411"/>
      <c r="K658" s="412" t="s">
        <v>25</v>
      </c>
      <c r="L658" s="413">
        <v>1904107.72</v>
      </c>
    </row>
    <row r="659" spans="1:12" ht="91.8" hidden="1" x14ac:dyDescent="0.3">
      <c r="A659" s="407" t="s">
        <v>224</v>
      </c>
      <c r="B659" s="408" t="s">
        <v>1212</v>
      </c>
      <c r="C659" s="408" t="s">
        <v>1261</v>
      </c>
      <c r="D659" s="408" t="s">
        <v>1144</v>
      </c>
      <c r="E659" s="409" t="s">
        <v>30</v>
      </c>
      <c r="F659" s="410">
        <v>1465.6</v>
      </c>
      <c r="G659" s="410"/>
      <c r="H659" s="409" t="s">
        <v>31</v>
      </c>
      <c r="I659" s="411" t="s">
        <v>32</v>
      </c>
      <c r="J659" s="411"/>
      <c r="K659" s="412" t="s">
        <v>25</v>
      </c>
      <c r="L659" s="413">
        <v>1905573.32</v>
      </c>
    </row>
    <row r="660" spans="1:12" ht="91.8" hidden="1" x14ac:dyDescent="0.3">
      <c r="A660" s="407" t="s">
        <v>224</v>
      </c>
      <c r="B660" s="408" t="s">
        <v>1212</v>
      </c>
      <c r="C660" s="408" t="s">
        <v>1262</v>
      </c>
      <c r="D660" s="408" t="s">
        <v>1144</v>
      </c>
      <c r="E660" s="409" t="s">
        <v>30</v>
      </c>
      <c r="F660" s="410">
        <v>13481</v>
      </c>
      <c r="G660" s="410"/>
      <c r="H660" s="409" t="s">
        <v>31</v>
      </c>
      <c r="I660" s="411" t="s">
        <v>32</v>
      </c>
      <c r="J660" s="411"/>
      <c r="K660" s="412" t="s">
        <v>25</v>
      </c>
      <c r="L660" s="413">
        <v>1919054.32</v>
      </c>
    </row>
    <row r="661" spans="1:12" ht="91.8" hidden="1" x14ac:dyDescent="0.3">
      <c r="A661" s="407" t="s">
        <v>224</v>
      </c>
      <c r="B661" s="408" t="s">
        <v>1212</v>
      </c>
      <c r="C661" s="408" t="s">
        <v>1262</v>
      </c>
      <c r="D661" s="408" t="s">
        <v>1144</v>
      </c>
      <c r="E661" s="409" t="s">
        <v>30</v>
      </c>
      <c r="F661" s="410">
        <v>2611.9</v>
      </c>
      <c r="G661" s="410"/>
      <c r="H661" s="409" t="s">
        <v>31</v>
      </c>
      <c r="I661" s="411" t="s">
        <v>32</v>
      </c>
      <c r="J661" s="411"/>
      <c r="K661" s="412" t="s">
        <v>25</v>
      </c>
      <c r="L661" s="413">
        <v>1921666.22</v>
      </c>
    </row>
    <row r="662" spans="1:12" ht="91.8" hidden="1" x14ac:dyDescent="0.3">
      <c r="A662" s="407" t="s">
        <v>224</v>
      </c>
      <c r="B662" s="408" t="s">
        <v>1212</v>
      </c>
      <c r="C662" s="408" t="s">
        <v>1263</v>
      </c>
      <c r="D662" s="408" t="s">
        <v>1144</v>
      </c>
      <c r="E662" s="409" t="s">
        <v>30</v>
      </c>
      <c r="F662" s="410">
        <v>2318.8000000000002</v>
      </c>
      <c r="G662" s="410"/>
      <c r="H662" s="409" t="s">
        <v>31</v>
      </c>
      <c r="I662" s="411" t="s">
        <v>32</v>
      </c>
      <c r="J662" s="411"/>
      <c r="K662" s="412" t="s">
        <v>25</v>
      </c>
      <c r="L662" s="413">
        <v>1923985.02</v>
      </c>
    </row>
    <row r="663" spans="1:12" ht="91.8" hidden="1" x14ac:dyDescent="0.3">
      <c r="A663" s="407" t="s">
        <v>224</v>
      </c>
      <c r="B663" s="408" t="s">
        <v>1212</v>
      </c>
      <c r="C663" s="408" t="s">
        <v>1264</v>
      </c>
      <c r="D663" s="408" t="s">
        <v>1144</v>
      </c>
      <c r="E663" s="409" t="s">
        <v>30</v>
      </c>
      <c r="F663" s="410">
        <v>3533.8</v>
      </c>
      <c r="G663" s="410"/>
      <c r="H663" s="409" t="s">
        <v>31</v>
      </c>
      <c r="I663" s="411" t="s">
        <v>32</v>
      </c>
      <c r="J663" s="411"/>
      <c r="K663" s="412" t="s">
        <v>25</v>
      </c>
      <c r="L663" s="413">
        <v>1927518.82</v>
      </c>
    </row>
    <row r="664" spans="1:12" ht="91.8" hidden="1" x14ac:dyDescent="0.3">
      <c r="A664" s="407" t="s">
        <v>224</v>
      </c>
      <c r="B664" s="408" t="s">
        <v>1212</v>
      </c>
      <c r="C664" s="408" t="s">
        <v>1265</v>
      </c>
      <c r="D664" s="408" t="s">
        <v>1144</v>
      </c>
      <c r="E664" s="409" t="s">
        <v>30</v>
      </c>
      <c r="F664" s="410">
        <v>3699.3</v>
      </c>
      <c r="G664" s="410"/>
      <c r="H664" s="409" t="s">
        <v>31</v>
      </c>
      <c r="I664" s="411" t="s">
        <v>32</v>
      </c>
      <c r="J664" s="411"/>
      <c r="K664" s="412" t="s">
        <v>25</v>
      </c>
      <c r="L664" s="413">
        <v>1931218.12</v>
      </c>
    </row>
    <row r="665" spans="1:12" ht="91.8" hidden="1" x14ac:dyDescent="0.3">
      <c r="A665" s="407" t="s">
        <v>224</v>
      </c>
      <c r="B665" s="408" t="s">
        <v>1212</v>
      </c>
      <c r="C665" s="408" t="s">
        <v>1265</v>
      </c>
      <c r="D665" s="408" t="s">
        <v>1144</v>
      </c>
      <c r="E665" s="409" t="s">
        <v>30</v>
      </c>
      <c r="F665" s="410">
        <v>18992.5</v>
      </c>
      <c r="G665" s="410"/>
      <c r="H665" s="409" t="s">
        <v>31</v>
      </c>
      <c r="I665" s="411" t="s">
        <v>32</v>
      </c>
      <c r="J665" s="411"/>
      <c r="K665" s="412" t="s">
        <v>25</v>
      </c>
      <c r="L665" s="413">
        <v>1950210.62</v>
      </c>
    </row>
    <row r="666" spans="1:12" ht="91.8" hidden="1" x14ac:dyDescent="0.3">
      <c r="A666" s="407" t="s">
        <v>224</v>
      </c>
      <c r="B666" s="408" t="s">
        <v>1212</v>
      </c>
      <c r="C666" s="408" t="s">
        <v>1265</v>
      </c>
      <c r="D666" s="408" t="s">
        <v>1144</v>
      </c>
      <c r="E666" s="409" t="s">
        <v>30</v>
      </c>
      <c r="F666" s="410">
        <v>3715</v>
      </c>
      <c r="G666" s="410"/>
      <c r="H666" s="409" t="s">
        <v>31</v>
      </c>
      <c r="I666" s="411" t="s">
        <v>32</v>
      </c>
      <c r="J666" s="411"/>
      <c r="K666" s="412" t="s">
        <v>25</v>
      </c>
      <c r="L666" s="413">
        <v>1953925.62</v>
      </c>
    </row>
    <row r="667" spans="1:12" ht="91.8" hidden="1" x14ac:dyDescent="0.3">
      <c r="A667" s="407" t="s">
        <v>224</v>
      </c>
      <c r="B667" s="408" t="s">
        <v>1212</v>
      </c>
      <c r="C667" s="408" t="s">
        <v>1266</v>
      </c>
      <c r="D667" s="408" t="s">
        <v>1144</v>
      </c>
      <c r="E667" s="409" t="s">
        <v>30</v>
      </c>
      <c r="F667" s="410">
        <v>4087.2</v>
      </c>
      <c r="G667" s="410"/>
      <c r="H667" s="409" t="s">
        <v>31</v>
      </c>
      <c r="I667" s="411" t="s">
        <v>32</v>
      </c>
      <c r="J667" s="411"/>
      <c r="K667" s="412" t="s">
        <v>25</v>
      </c>
      <c r="L667" s="413">
        <v>1958012.82</v>
      </c>
    </row>
    <row r="668" spans="1:12" ht="91.8" hidden="1" x14ac:dyDescent="0.3">
      <c r="A668" s="407" t="s">
        <v>224</v>
      </c>
      <c r="B668" s="408" t="s">
        <v>1212</v>
      </c>
      <c r="C668" s="408" t="s">
        <v>1267</v>
      </c>
      <c r="D668" s="408" t="s">
        <v>1144</v>
      </c>
      <c r="E668" s="409" t="s">
        <v>30</v>
      </c>
      <c r="F668" s="410">
        <v>18716.5</v>
      </c>
      <c r="G668" s="410"/>
      <c r="H668" s="409" t="s">
        <v>31</v>
      </c>
      <c r="I668" s="411" t="s">
        <v>32</v>
      </c>
      <c r="J668" s="411"/>
      <c r="K668" s="412" t="s">
        <v>25</v>
      </c>
      <c r="L668" s="413">
        <v>1976729.32</v>
      </c>
    </row>
    <row r="669" spans="1:12" ht="91.8" hidden="1" x14ac:dyDescent="0.3">
      <c r="A669" s="407" t="s">
        <v>224</v>
      </c>
      <c r="B669" s="408" t="s">
        <v>1212</v>
      </c>
      <c r="C669" s="408" t="s">
        <v>1267</v>
      </c>
      <c r="D669" s="408" t="s">
        <v>1144</v>
      </c>
      <c r="E669" s="409" t="s">
        <v>30</v>
      </c>
      <c r="F669" s="410">
        <v>3674.7</v>
      </c>
      <c r="G669" s="410"/>
      <c r="H669" s="409" t="s">
        <v>31</v>
      </c>
      <c r="I669" s="411" t="s">
        <v>32</v>
      </c>
      <c r="J669" s="411"/>
      <c r="K669" s="412" t="s">
        <v>25</v>
      </c>
      <c r="L669" s="413">
        <v>1980404.02</v>
      </c>
    </row>
    <row r="670" spans="1:12" ht="91.8" hidden="1" x14ac:dyDescent="0.3">
      <c r="A670" s="407" t="s">
        <v>224</v>
      </c>
      <c r="B670" s="408" t="s">
        <v>1212</v>
      </c>
      <c r="C670" s="408" t="s">
        <v>1268</v>
      </c>
      <c r="D670" s="408" t="s">
        <v>1144</v>
      </c>
      <c r="E670" s="409" t="s">
        <v>30</v>
      </c>
      <c r="F670" s="410">
        <v>4381.8</v>
      </c>
      <c r="G670" s="410"/>
      <c r="H670" s="409" t="s">
        <v>31</v>
      </c>
      <c r="I670" s="411" t="s">
        <v>32</v>
      </c>
      <c r="J670" s="411"/>
      <c r="K670" s="412" t="s">
        <v>25</v>
      </c>
      <c r="L670" s="413">
        <v>1984785.82</v>
      </c>
    </row>
    <row r="671" spans="1:12" ht="91.8" hidden="1" x14ac:dyDescent="0.3">
      <c r="A671" s="407" t="s">
        <v>224</v>
      </c>
      <c r="B671" s="408" t="s">
        <v>1212</v>
      </c>
      <c r="C671" s="408" t="s">
        <v>1269</v>
      </c>
      <c r="D671" s="408" t="s">
        <v>1144</v>
      </c>
      <c r="E671" s="409" t="s">
        <v>30</v>
      </c>
      <c r="F671" s="410">
        <v>23122.2</v>
      </c>
      <c r="G671" s="410"/>
      <c r="H671" s="409" t="s">
        <v>31</v>
      </c>
      <c r="I671" s="411" t="s">
        <v>32</v>
      </c>
      <c r="J671" s="411"/>
      <c r="K671" s="412" t="s">
        <v>25</v>
      </c>
      <c r="L671" s="413">
        <v>2007908.02</v>
      </c>
    </row>
    <row r="672" spans="1:12" ht="91.8" hidden="1" x14ac:dyDescent="0.3">
      <c r="A672" s="407" t="s">
        <v>224</v>
      </c>
      <c r="B672" s="408" t="s">
        <v>1212</v>
      </c>
      <c r="C672" s="408" t="s">
        <v>1270</v>
      </c>
      <c r="D672" s="408" t="s">
        <v>1144</v>
      </c>
      <c r="E672" s="409" t="s">
        <v>30</v>
      </c>
      <c r="F672" s="410">
        <v>2391.9</v>
      </c>
      <c r="G672" s="410"/>
      <c r="H672" s="409" t="s">
        <v>31</v>
      </c>
      <c r="I672" s="411" t="s">
        <v>32</v>
      </c>
      <c r="J672" s="411"/>
      <c r="K672" s="412" t="s">
        <v>25</v>
      </c>
      <c r="L672" s="413">
        <v>2010299.92</v>
      </c>
    </row>
    <row r="673" spans="1:12" ht="91.8" hidden="1" x14ac:dyDescent="0.3">
      <c r="A673" s="407" t="s">
        <v>224</v>
      </c>
      <c r="B673" s="408" t="s">
        <v>1212</v>
      </c>
      <c r="C673" s="408" t="s">
        <v>1271</v>
      </c>
      <c r="D673" s="408" t="s">
        <v>1144</v>
      </c>
      <c r="E673" s="409" t="s">
        <v>30</v>
      </c>
      <c r="F673" s="410">
        <v>3206.3</v>
      </c>
      <c r="G673" s="410"/>
      <c r="H673" s="409" t="s">
        <v>31</v>
      </c>
      <c r="I673" s="411" t="s">
        <v>32</v>
      </c>
      <c r="J673" s="411"/>
      <c r="K673" s="412" t="s">
        <v>25</v>
      </c>
      <c r="L673" s="413">
        <v>2013506.22</v>
      </c>
    </row>
    <row r="674" spans="1:12" ht="91.8" hidden="1" x14ac:dyDescent="0.3">
      <c r="A674" s="407" t="s">
        <v>224</v>
      </c>
      <c r="B674" s="408" t="s">
        <v>1212</v>
      </c>
      <c r="C674" s="408" t="s">
        <v>1272</v>
      </c>
      <c r="D674" s="408" t="s">
        <v>1144</v>
      </c>
      <c r="E674" s="409" t="s">
        <v>30</v>
      </c>
      <c r="F674" s="410">
        <v>1782.5</v>
      </c>
      <c r="G674" s="410"/>
      <c r="H674" s="409" t="s">
        <v>31</v>
      </c>
      <c r="I674" s="411" t="s">
        <v>32</v>
      </c>
      <c r="J674" s="411"/>
      <c r="K674" s="412" t="s">
        <v>25</v>
      </c>
      <c r="L674" s="413">
        <v>2015288.72</v>
      </c>
    </row>
    <row r="675" spans="1:12" ht="91.8" hidden="1" x14ac:dyDescent="0.3">
      <c r="A675" s="407" t="s">
        <v>224</v>
      </c>
      <c r="B675" s="408" t="s">
        <v>1212</v>
      </c>
      <c r="C675" s="408" t="s">
        <v>1273</v>
      </c>
      <c r="D675" s="408" t="s">
        <v>1144</v>
      </c>
      <c r="E675" s="409" t="s">
        <v>30</v>
      </c>
      <c r="F675" s="410">
        <v>1433.5</v>
      </c>
      <c r="G675" s="410"/>
      <c r="H675" s="409" t="s">
        <v>31</v>
      </c>
      <c r="I675" s="411" t="s">
        <v>32</v>
      </c>
      <c r="J675" s="411"/>
      <c r="K675" s="412" t="s">
        <v>25</v>
      </c>
      <c r="L675" s="413">
        <v>2016722.22</v>
      </c>
    </row>
    <row r="676" spans="1:12" ht="91.8" hidden="1" x14ac:dyDescent="0.3">
      <c r="A676" s="407" t="s">
        <v>224</v>
      </c>
      <c r="B676" s="408" t="s">
        <v>1212</v>
      </c>
      <c r="C676" s="408" t="s">
        <v>1274</v>
      </c>
      <c r="D676" s="408" t="s">
        <v>1144</v>
      </c>
      <c r="E676" s="409" t="s">
        <v>30</v>
      </c>
      <c r="F676" s="410">
        <v>2685.7</v>
      </c>
      <c r="G676" s="410"/>
      <c r="H676" s="409" t="s">
        <v>31</v>
      </c>
      <c r="I676" s="411" t="s">
        <v>32</v>
      </c>
      <c r="J676" s="411"/>
      <c r="K676" s="412" t="s">
        <v>25</v>
      </c>
      <c r="L676" s="413">
        <v>2019407.92</v>
      </c>
    </row>
    <row r="677" spans="1:12" ht="91.8" hidden="1" x14ac:dyDescent="0.3">
      <c r="A677" s="407" t="s">
        <v>224</v>
      </c>
      <c r="B677" s="408" t="s">
        <v>1212</v>
      </c>
      <c r="C677" s="408" t="s">
        <v>1275</v>
      </c>
      <c r="D677" s="408" t="s">
        <v>1144</v>
      </c>
      <c r="E677" s="409" t="s">
        <v>30</v>
      </c>
      <c r="F677" s="414">
        <v>868.2</v>
      </c>
      <c r="G677" s="414"/>
      <c r="H677" s="409" t="s">
        <v>31</v>
      </c>
      <c r="I677" s="411" t="s">
        <v>32</v>
      </c>
      <c r="J677" s="411"/>
      <c r="K677" s="412" t="s">
        <v>25</v>
      </c>
      <c r="L677" s="413">
        <v>2020276.12</v>
      </c>
    </row>
    <row r="678" spans="1:12" ht="91.8" hidden="1" x14ac:dyDescent="0.3">
      <c r="A678" s="407" t="s">
        <v>224</v>
      </c>
      <c r="B678" s="408" t="s">
        <v>1212</v>
      </c>
      <c r="C678" s="408" t="s">
        <v>1276</v>
      </c>
      <c r="D678" s="408" t="s">
        <v>1144</v>
      </c>
      <c r="E678" s="409" t="s">
        <v>30</v>
      </c>
      <c r="F678" s="410">
        <v>1869.8</v>
      </c>
      <c r="G678" s="410"/>
      <c r="H678" s="409" t="s">
        <v>31</v>
      </c>
      <c r="I678" s="411" t="s">
        <v>32</v>
      </c>
      <c r="J678" s="411"/>
      <c r="K678" s="412" t="s">
        <v>25</v>
      </c>
      <c r="L678" s="413">
        <v>2022145.92</v>
      </c>
    </row>
    <row r="679" spans="1:12" ht="91.8" hidden="1" x14ac:dyDescent="0.3">
      <c r="A679" s="407" t="s">
        <v>224</v>
      </c>
      <c r="B679" s="408" t="s">
        <v>1212</v>
      </c>
      <c r="C679" s="408" t="s">
        <v>1277</v>
      </c>
      <c r="D679" s="408" t="s">
        <v>1144</v>
      </c>
      <c r="E679" s="409" t="s">
        <v>30</v>
      </c>
      <c r="F679" s="410">
        <v>1103.0999999999999</v>
      </c>
      <c r="G679" s="410"/>
      <c r="H679" s="409" t="s">
        <v>31</v>
      </c>
      <c r="I679" s="411" t="s">
        <v>32</v>
      </c>
      <c r="J679" s="411"/>
      <c r="K679" s="412" t="s">
        <v>25</v>
      </c>
      <c r="L679" s="413">
        <v>2023249.02</v>
      </c>
    </row>
    <row r="680" spans="1:12" ht="91.8" hidden="1" x14ac:dyDescent="0.3">
      <c r="A680" s="407" t="s">
        <v>224</v>
      </c>
      <c r="B680" s="408" t="s">
        <v>1212</v>
      </c>
      <c r="C680" s="408" t="s">
        <v>1222</v>
      </c>
      <c r="D680" s="408" t="s">
        <v>1144</v>
      </c>
      <c r="E680" s="409" t="s">
        <v>30</v>
      </c>
      <c r="F680" s="410">
        <v>2171.9</v>
      </c>
      <c r="G680" s="410"/>
      <c r="H680" s="409" t="s">
        <v>31</v>
      </c>
      <c r="I680" s="411" t="s">
        <v>32</v>
      </c>
      <c r="J680" s="411"/>
      <c r="K680" s="412" t="s">
        <v>25</v>
      </c>
      <c r="L680" s="413">
        <v>2025420.92</v>
      </c>
    </row>
    <row r="681" spans="1:12" ht="91.8" hidden="1" x14ac:dyDescent="0.3">
      <c r="A681" s="407" t="s">
        <v>224</v>
      </c>
      <c r="B681" s="408" t="s">
        <v>1212</v>
      </c>
      <c r="C681" s="408" t="s">
        <v>1278</v>
      </c>
      <c r="D681" s="408" t="s">
        <v>1144</v>
      </c>
      <c r="E681" s="409" t="s">
        <v>30</v>
      </c>
      <c r="F681" s="410">
        <v>1801.9</v>
      </c>
      <c r="G681" s="410"/>
      <c r="H681" s="409" t="s">
        <v>31</v>
      </c>
      <c r="I681" s="411" t="s">
        <v>32</v>
      </c>
      <c r="J681" s="411"/>
      <c r="K681" s="412" t="s">
        <v>25</v>
      </c>
      <c r="L681" s="413">
        <v>2027222.82</v>
      </c>
    </row>
    <row r="682" spans="1:12" ht="91.8" hidden="1" x14ac:dyDescent="0.3">
      <c r="A682" s="407" t="s">
        <v>224</v>
      </c>
      <c r="B682" s="408" t="s">
        <v>1212</v>
      </c>
      <c r="C682" s="408" t="s">
        <v>1279</v>
      </c>
      <c r="D682" s="408" t="s">
        <v>1144</v>
      </c>
      <c r="E682" s="409" t="s">
        <v>30</v>
      </c>
      <c r="F682" s="410">
        <v>1044.9000000000001</v>
      </c>
      <c r="G682" s="410"/>
      <c r="H682" s="409" t="s">
        <v>31</v>
      </c>
      <c r="I682" s="411" t="s">
        <v>32</v>
      </c>
      <c r="J682" s="411"/>
      <c r="K682" s="412" t="s">
        <v>25</v>
      </c>
      <c r="L682" s="413">
        <v>2028267.72</v>
      </c>
    </row>
    <row r="683" spans="1:12" ht="91.8" hidden="1" x14ac:dyDescent="0.3">
      <c r="A683" s="407" t="s">
        <v>224</v>
      </c>
      <c r="B683" s="408" t="s">
        <v>1212</v>
      </c>
      <c r="C683" s="408" t="s">
        <v>1280</v>
      </c>
      <c r="D683" s="408" t="s">
        <v>1144</v>
      </c>
      <c r="E683" s="409" t="s">
        <v>30</v>
      </c>
      <c r="F683" s="414">
        <v>751.1</v>
      </c>
      <c r="G683" s="414"/>
      <c r="H683" s="409" t="s">
        <v>31</v>
      </c>
      <c r="I683" s="411" t="s">
        <v>32</v>
      </c>
      <c r="J683" s="411"/>
      <c r="K683" s="412" t="s">
        <v>25</v>
      </c>
      <c r="L683" s="413">
        <v>2029018.82</v>
      </c>
    </row>
    <row r="684" spans="1:12" ht="91.8" hidden="1" x14ac:dyDescent="0.3">
      <c r="A684" s="407" t="s">
        <v>224</v>
      </c>
      <c r="B684" s="408" t="s">
        <v>1212</v>
      </c>
      <c r="C684" s="408" t="s">
        <v>1281</v>
      </c>
      <c r="D684" s="408" t="s">
        <v>1144</v>
      </c>
      <c r="E684" s="409" t="s">
        <v>30</v>
      </c>
      <c r="F684" s="410">
        <v>2209.1999999999998</v>
      </c>
      <c r="G684" s="410"/>
      <c r="H684" s="409" t="s">
        <v>31</v>
      </c>
      <c r="I684" s="411" t="s">
        <v>32</v>
      </c>
      <c r="J684" s="411"/>
      <c r="K684" s="412" t="s">
        <v>25</v>
      </c>
      <c r="L684" s="413">
        <v>2031228.02</v>
      </c>
    </row>
    <row r="685" spans="1:12" ht="91.8" hidden="1" x14ac:dyDescent="0.3">
      <c r="A685" s="407" t="s">
        <v>224</v>
      </c>
      <c r="B685" s="408" t="s">
        <v>1212</v>
      </c>
      <c r="C685" s="408" t="s">
        <v>1282</v>
      </c>
      <c r="D685" s="408" t="s">
        <v>1144</v>
      </c>
      <c r="E685" s="409" t="s">
        <v>30</v>
      </c>
      <c r="F685" s="410">
        <v>1740.8</v>
      </c>
      <c r="G685" s="410"/>
      <c r="H685" s="409" t="s">
        <v>31</v>
      </c>
      <c r="I685" s="411" t="s">
        <v>32</v>
      </c>
      <c r="J685" s="411"/>
      <c r="K685" s="412" t="s">
        <v>25</v>
      </c>
      <c r="L685" s="413">
        <v>2032968.82</v>
      </c>
    </row>
    <row r="686" spans="1:12" ht="91.8" hidden="1" x14ac:dyDescent="0.3">
      <c r="A686" s="407" t="s">
        <v>224</v>
      </c>
      <c r="B686" s="408" t="s">
        <v>1212</v>
      </c>
      <c r="C686" s="408" t="s">
        <v>1283</v>
      </c>
      <c r="D686" s="408" t="s">
        <v>1144</v>
      </c>
      <c r="E686" s="409" t="s">
        <v>30</v>
      </c>
      <c r="F686" s="410">
        <v>2825.2</v>
      </c>
      <c r="G686" s="410"/>
      <c r="H686" s="409" t="s">
        <v>31</v>
      </c>
      <c r="I686" s="411" t="s">
        <v>32</v>
      </c>
      <c r="J686" s="411"/>
      <c r="K686" s="412" t="s">
        <v>25</v>
      </c>
      <c r="L686" s="413">
        <v>2035794.02</v>
      </c>
    </row>
    <row r="687" spans="1:12" ht="91.8" hidden="1" x14ac:dyDescent="0.3">
      <c r="A687" s="407" t="s">
        <v>224</v>
      </c>
      <c r="B687" s="408" t="s">
        <v>1212</v>
      </c>
      <c r="C687" s="408" t="s">
        <v>1284</v>
      </c>
      <c r="D687" s="408" t="s">
        <v>1144</v>
      </c>
      <c r="E687" s="409" t="s">
        <v>30</v>
      </c>
      <c r="F687" s="410">
        <v>1872</v>
      </c>
      <c r="G687" s="410"/>
      <c r="H687" s="409" t="s">
        <v>31</v>
      </c>
      <c r="I687" s="411" t="s">
        <v>32</v>
      </c>
      <c r="J687" s="411"/>
      <c r="K687" s="412" t="s">
        <v>25</v>
      </c>
      <c r="L687" s="413">
        <v>2037666.02</v>
      </c>
    </row>
    <row r="688" spans="1:12" ht="91.8" hidden="1" x14ac:dyDescent="0.3">
      <c r="A688" s="407" t="s">
        <v>224</v>
      </c>
      <c r="B688" s="408" t="s">
        <v>1212</v>
      </c>
      <c r="C688" s="408" t="s">
        <v>1285</v>
      </c>
      <c r="D688" s="408" t="s">
        <v>1144</v>
      </c>
      <c r="E688" s="409" t="s">
        <v>30</v>
      </c>
      <c r="F688" s="414">
        <v>889</v>
      </c>
      <c r="G688" s="414"/>
      <c r="H688" s="409" t="s">
        <v>31</v>
      </c>
      <c r="I688" s="411" t="s">
        <v>32</v>
      </c>
      <c r="J688" s="411"/>
      <c r="K688" s="412" t="s">
        <v>25</v>
      </c>
      <c r="L688" s="413">
        <v>2038555.02</v>
      </c>
    </row>
    <row r="689" spans="1:12" ht="91.8" hidden="1" x14ac:dyDescent="0.3">
      <c r="A689" s="407" t="s">
        <v>224</v>
      </c>
      <c r="B689" s="408" t="s">
        <v>1212</v>
      </c>
      <c r="C689" s="408" t="s">
        <v>1286</v>
      </c>
      <c r="D689" s="408" t="s">
        <v>1144</v>
      </c>
      <c r="E689" s="409" t="s">
        <v>30</v>
      </c>
      <c r="F689" s="410">
        <v>1752.7</v>
      </c>
      <c r="G689" s="410"/>
      <c r="H689" s="409" t="s">
        <v>31</v>
      </c>
      <c r="I689" s="411" t="s">
        <v>32</v>
      </c>
      <c r="J689" s="411"/>
      <c r="K689" s="412" t="s">
        <v>25</v>
      </c>
      <c r="L689" s="413">
        <v>2040307.72</v>
      </c>
    </row>
    <row r="690" spans="1:12" ht="91.8" hidden="1" x14ac:dyDescent="0.3">
      <c r="A690" s="407" t="s">
        <v>224</v>
      </c>
      <c r="B690" s="408" t="s">
        <v>1212</v>
      </c>
      <c r="C690" s="408" t="s">
        <v>1287</v>
      </c>
      <c r="D690" s="408" t="s">
        <v>1144</v>
      </c>
      <c r="E690" s="409" t="s">
        <v>30</v>
      </c>
      <c r="F690" s="410">
        <v>1171</v>
      </c>
      <c r="G690" s="410"/>
      <c r="H690" s="409" t="s">
        <v>31</v>
      </c>
      <c r="I690" s="411" t="s">
        <v>32</v>
      </c>
      <c r="J690" s="411"/>
      <c r="K690" s="412" t="s">
        <v>25</v>
      </c>
      <c r="L690" s="413">
        <v>2041478.72</v>
      </c>
    </row>
    <row r="691" spans="1:12" ht="91.8" hidden="1" x14ac:dyDescent="0.3">
      <c r="A691" s="407" t="s">
        <v>224</v>
      </c>
      <c r="B691" s="408" t="s">
        <v>1212</v>
      </c>
      <c r="C691" s="408" t="s">
        <v>1288</v>
      </c>
      <c r="D691" s="408" t="s">
        <v>1144</v>
      </c>
      <c r="E691" s="409" t="s">
        <v>30</v>
      </c>
      <c r="F691" s="410">
        <v>3362.2</v>
      </c>
      <c r="G691" s="410"/>
      <c r="H691" s="409" t="s">
        <v>31</v>
      </c>
      <c r="I691" s="411" t="s">
        <v>32</v>
      </c>
      <c r="J691" s="411"/>
      <c r="K691" s="412" t="s">
        <v>25</v>
      </c>
      <c r="L691" s="413">
        <v>2044840.92</v>
      </c>
    </row>
    <row r="692" spans="1:12" ht="91.8" hidden="1" x14ac:dyDescent="0.3">
      <c r="A692" s="407" t="s">
        <v>224</v>
      </c>
      <c r="B692" s="408" t="s">
        <v>1212</v>
      </c>
      <c r="C692" s="408" t="s">
        <v>1289</v>
      </c>
      <c r="D692" s="408" t="s">
        <v>1144</v>
      </c>
      <c r="E692" s="409" t="s">
        <v>30</v>
      </c>
      <c r="F692" s="410">
        <v>2817</v>
      </c>
      <c r="G692" s="410"/>
      <c r="H692" s="409" t="s">
        <v>31</v>
      </c>
      <c r="I692" s="411" t="s">
        <v>32</v>
      </c>
      <c r="J692" s="411"/>
      <c r="K692" s="412" t="s">
        <v>25</v>
      </c>
      <c r="L692" s="413">
        <v>2047657.92</v>
      </c>
    </row>
    <row r="693" spans="1:12" ht="91.8" hidden="1" x14ac:dyDescent="0.3">
      <c r="A693" s="407" t="s">
        <v>224</v>
      </c>
      <c r="B693" s="408" t="s">
        <v>1212</v>
      </c>
      <c r="C693" s="408" t="s">
        <v>1290</v>
      </c>
      <c r="D693" s="408" t="s">
        <v>1144</v>
      </c>
      <c r="E693" s="409" t="s">
        <v>30</v>
      </c>
      <c r="F693" s="414">
        <v>907.7</v>
      </c>
      <c r="G693" s="414"/>
      <c r="H693" s="409" t="s">
        <v>31</v>
      </c>
      <c r="I693" s="411" t="s">
        <v>32</v>
      </c>
      <c r="J693" s="411"/>
      <c r="K693" s="412" t="s">
        <v>25</v>
      </c>
      <c r="L693" s="413">
        <v>2048565.62</v>
      </c>
    </row>
    <row r="694" spans="1:12" ht="91.8" hidden="1" x14ac:dyDescent="0.3">
      <c r="A694" s="407" t="s">
        <v>224</v>
      </c>
      <c r="B694" s="408" t="s">
        <v>1212</v>
      </c>
      <c r="C694" s="408" t="s">
        <v>1291</v>
      </c>
      <c r="D694" s="408" t="s">
        <v>1144</v>
      </c>
      <c r="E694" s="409" t="s">
        <v>30</v>
      </c>
      <c r="F694" s="410">
        <v>2312.1</v>
      </c>
      <c r="G694" s="410"/>
      <c r="H694" s="409" t="s">
        <v>31</v>
      </c>
      <c r="I694" s="411" t="s">
        <v>32</v>
      </c>
      <c r="J694" s="411"/>
      <c r="K694" s="412" t="s">
        <v>25</v>
      </c>
      <c r="L694" s="413">
        <v>2050877.72</v>
      </c>
    </row>
    <row r="695" spans="1:12" ht="91.8" hidden="1" x14ac:dyDescent="0.3">
      <c r="A695" s="407" t="s">
        <v>224</v>
      </c>
      <c r="B695" s="408" t="s">
        <v>1212</v>
      </c>
      <c r="C695" s="408" t="s">
        <v>1292</v>
      </c>
      <c r="D695" s="408" t="s">
        <v>1144</v>
      </c>
      <c r="E695" s="409" t="s">
        <v>30</v>
      </c>
      <c r="F695" s="414">
        <v>751.8</v>
      </c>
      <c r="G695" s="414"/>
      <c r="H695" s="409" t="s">
        <v>31</v>
      </c>
      <c r="I695" s="411" t="s">
        <v>32</v>
      </c>
      <c r="J695" s="411"/>
      <c r="K695" s="412" t="s">
        <v>25</v>
      </c>
      <c r="L695" s="413">
        <v>2051629.52</v>
      </c>
    </row>
    <row r="696" spans="1:12" ht="91.8" hidden="1" x14ac:dyDescent="0.3">
      <c r="A696" s="407" t="s">
        <v>224</v>
      </c>
      <c r="B696" s="408" t="s">
        <v>1212</v>
      </c>
      <c r="C696" s="408" t="s">
        <v>1293</v>
      </c>
      <c r="D696" s="408" t="s">
        <v>1144</v>
      </c>
      <c r="E696" s="409" t="s">
        <v>30</v>
      </c>
      <c r="F696" s="410">
        <v>1276.0999999999999</v>
      </c>
      <c r="G696" s="410"/>
      <c r="H696" s="409" t="s">
        <v>31</v>
      </c>
      <c r="I696" s="411" t="s">
        <v>32</v>
      </c>
      <c r="J696" s="411"/>
      <c r="K696" s="412" t="s">
        <v>25</v>
      </c>
      <c r="L696" s="413">
        <v>2052905.62</v>
      </c>
    </row>
    <row r="697" spans="1:12" ht="91.8" hidden="1" x14ac:dyDescent="0.3">
      <c r="A697" s="407" t="s">
        <v>224</v>
      </c>
      <c r="B697" s="408" t="s">
        <v>1212</v>
      </c>
      <c r="C697" s="408" t="s">
        <v>1294</v>
      </c>
      <c r="D697" s="408" t="s">
        <v>1144</v>
      </c>
      <c r="E697" s="409" t="s">
        <v>30</v>
      </c>
      <c r="F697" s="410">
        <v>4846.3999999999996</v>
      </c>
      <c r="G697" s="410"/>
      <c r="H697" s="409" t="s">
        <v>31</v>
      </c>
      <c r="I697" s="411" t="s">
        <v>32</v>
      </c>
      <c r="J697" s="411"/>
      <c r="K697" s="412" t="s">
        <v>25</v>
      </c>
      <c r="L697" s="413">
        <v>2057752.02</v>
      </c>
    </row>
    <row r="698" spans="1:12" ht="91.8" hidden="1" x14ac:dyDescent="0.3">
      <c r="A698" s="407" t="s">
        <v>224</v>
      </c>
      <c r="B698" s="408" t="s">
        <v>1212</v>
      </c>
      <c r="C698" s="408" t="s">
        <v>1295</v>
      </c>
      <c r="D698" s="408" t="s">
        <v>1144</v>
      </c>
      <c r="E698" s="409" t="s">
        <v>30</v>
      </c>
      <c r="F698" s="410">
        <v>2475.4</v>
      </c>
      <c r="G698" s="410"/>
      <c r="H698" s="409" t="s">
        <v>31</v>
      </c>
      <c r="I698" s="411" t="s">
        <v>32</v>
      </c>
      <c r="J698" s="411"/>
      <c r="K698" s="412" t="s">
        <v>25</v>
      </c>
      <c r="L698" s="413">
        <v>2060227.42</v>
      </c>
    </row>
    <row r="699" spans="1:12" ht="91.8" hidden="1" x14ac:dyDescent="0.3">
      <c r="A699" s="407" t="s">
        <v>224</v>
      </c>
      <c r="B699" s="408" t="s">
        <v>1212</v>
      </c>
      <c r="C699" s="408" t="s">
        <v>1296</v>
      </c>
      <c r="D699" s="408" t="s">
        <v>1144</v>
      </c>
      <c r="E699" s="409" t="s">
        <v>30</v>
      </c>
      <c r="F699" s="410">
        <v>1238.8</v>
      </c>
      <c r="G699" s="410"/>
      <c r="H699" s="409" t="s">
        <v>31</v>
      </c>
      <c r="I699" s="411" t="s">
        <v>32</v>
      </c>
      <c r="J699" s="411"/>
      <c r="K699" s="412" t="s">
        <v>25</v>
      </c>
      <c r="L699" s="413">
        <v>2061466.22</v>
      </c>
    </row>
    <row r="700" spans="1:12" ht="91.8" hidden="1" x14ac:dyDescent="0.3">
      <c r="A700" s="407" t="s">
        <v>224</v>
      </c>
      <c r="B700" s="408" t="s">
        <v>1212</v>
      </c>
      <c r="C700" s="408" t="s">
        <v>1297</v>
      </c>
      <c r="D700" s="408" t="s">
        <v>1144</v>
      </c>
      <c r="E700" s="409" t="s">
        <v>30</v>
      </c>
      <c r="F700" s="414">
        <v>926.3</v>
      </c>
      <c r="G700" s="414"/>
      <c r="H700" s="409" t="s">
        <v>31</v>
      </c>
      <c r="I700" s="411" t="s">
        <v>32</v>
      </c>
      <c r="J700" s="411"/>
      <c r="K700" s="412" t="s">
        <v>25</v>
      </c>
      <c r="L700" s="413">
        <v>2062392.52</v>
      </c>
    </row>
    <row r="701" spans="1:12" ht="91.8" hidden="1" x14ac:dyDescent="0.3">
      <c r="A701" s="407" t="s">
        <v>224</v>
      </c>
      <c r="B701" s="408" t="s">
        <v>1212</v>
      </c>
      <c r="C701" s="408" t="s">
        <v>1298</v>
      </c>
      <c r="D701" s="408" t="s">
        <v>1144</v>
      </c>
      <c r="E701" s="409" t="s">
        <v>30</v>
      </c>
      <c r="F701" s="410">
        <v>1527.5</v>
      </c>
      <c r="G701" s="410"/>
      <c r="H701" s="409" t="s">
        <v>31</v>
      </c>
      <c r="I701" s="411" t="s">
        <v>32</v>
      </c>
      <c r="J701" s="411"/>
      <c r="K701" s="412" t="s">
        <v>25</v>
      </c>
      <c r="L701" s="413">
        <v>2063920.02</v>
      </c>
    </row>
    <row r="702" spans="1:12" ht="91.8" hidden="1" x14ac:dyDescent="0.3">
      <c r="A702" s="407" t="s">
        <v>224</v>
      </c>
      <c r="B702" s="408" t="s">
        <v>1212</v>
      </c>
      <c r="C702" s="408" t="s">
        <v>1299</v>
      </c>
      <c r="D702" s="408" t="s">
        <v>1144</v>
      </c>
      <c r="E702" s="409" t="s">
        <v>30</v>
      </c>
      <c r="F702" s="414">
        <v>998.7</v>
      </c>
      <c r="G702" s="414"/>
      <c r="H702" s="409" t="s">
        <v>31</v>
      </c>
      <c r="I702" s="411" t="s">
        <v>32</v>
      </c>
      <c r="J702" s="411"/>
      <c r="K702" s="412" t="s">
        <v>25</v>
      </c>
      <c r="L702" s="413">
        <v>2064918.72</v>
      </c>
    </row>
    <row r="703" spans="1:12" ht="91.8" hidden="1" x14ac:dyDescent="0.3">
      <c r="A703" s="407" t="s">
        <v>224</v>
      </c>
      <c r="B703" s="408" t="s">
        <v>1212</v>
      </c>
      <c r="C703" s="408" t="s">
        <v>1300</v>
      </c>
      <c r="D703" s="408" t="s">
        <v>1144</v>
      </c>
      <c r="E703" s="409" t="s">
        <v>30</v>
      </c>
      <c r="F703" s="410">
        <v>3125</v>
      </c>
      <c r="G703" s="410"/>
      <c r="H703" s="409" t="s">
        <v>31</v>
      </c>
      <c r="I703" s="411" t="s">
        <v>32</v>
      </c>
      <c r="J703" s="411"/>
      <c r="K703" s="412" t="s">
        <v>25</v>
      </c>
      <c r="L703" s="413">
        <v>2068043.72</v>
      </c>
    </row>
    <row r="704" spans="1:12" ht="91.8" hidden="1" x14ac:dyDescent="0.3">
      <c r="A704" s="407" t="s">
        <v>224</v>
      </c>
      <c r="B704" s="408" t="s">
        <v>1212</v>
      </c>
      <c r="C704" s="408" t="s">
        <v>1301</v>
      </c>
      <c r="D704" s="408" t="s">
        <v>1144</v>
      </c>
      <c r="E704" s="409" t="s">
        <v>30</v>
      </c>
      <c r="F704" s="410">
        <v>1352.2</v>
      </c>
      <c r="G704" s="410"/>
      <c r="H704" s="409" t="s">
        <v>31</v>
      </c>
      <c r="I704" s="411" t="s">
        <v>32</v>
      </c>
      <c r="J704" s="411"/>
      <c r="K704" s="412" t="s">
        <v>25</v>
      </c>
      <c r="L704" s="413">
        <v>2069395.92</v>
      </c>
    </row>
    <row r="705" spans="1:12" ht="91.8" hidden="1" x14ac:dyDescent="0.3">
      <c r="A705" s="407" t="s">
        <v>224</v>
      </c>
      <c r="B705" s="408" t="s">
        <v>1212</v>
      </c>
      <c r="C705" s="408" t="s">
        <v>1302</v>
      </c>
      <c r="D705" s="408" t="s">
        <v>1144</v>
      </c>
      <c r="E705" s="409" t="s">
        <v>30</v>
      </c>
      <c r="F705" s="410">
        <v>2877.4</v>
      </c>
      <c r="G705" s="410"/>
      <c r="H705" s="409" t="s">
        <v>31</v>
      </c>
      <c r="I705" s="411" t="s">
        <v>32</v>
      </c>
      <c r="J705" s="411"/>
      <c r="K705" s="412" t="s">
        <v>25</v>
      </c>
      <c r="L705" s="413">
        <v>2072273.32</v>
      </c>
    </row>
    <row r="706" spans="1:12" ht="91.8" hidden="1" x14ac:dyDescent="0.3">
      <c r="A706" s="407" t="s">
        <v>224</v>
      </c>
      <c r="B706" s="408" t="s">
        <v>1212</v>
      </c>
      <c r="C706" s="408" t="s">
        <v>1303</v>
      </c>
      <c r="D706" s="408" t="s">
        <v>1144</v>
      </c>
      <c r="E706" s="409" t="s">
        <v>30</v>
      </c>
      <c r="F706" s="410">
        <v>1352.9</v>
      </c>
      <c r="G706" s="410"/>
      <c r="H706" s="409" t="s">
        <v>31</v>
      </c>
      <c r="I706" s="411" t="s">
        <v>32</v>
      </c>
      <c r="J706" s="411"/>
      <c r="K706" s="412" t="s">
        <v>25</v>
      </c>
      <c r="L706" s="413">
        <v>2073626.22</v>
      </c>
    </row>
    <row r="707" spans="1:12" ht="91.8" hidden="1" x14ac:dyDescent="0.3">
      <c r="A707" s="407" t="s">
        <v>224</v>
      </c>
      <c r="B707" s="408" t="s">
        <v>1212</v>
      </c>
      <c r="C707" s="408" t="s">
        <v>1304</v>
      </c>
      <c r="D707" s="408" t="s">
        <v>1144</v>
      </c>
      <c r="E707" s="409" t="s">
        <v>30</v>
      </c>
      <c r="F707" s="410">
        <v>2483.6</v>
      </c>
      <c r="G707" s="410"/>
      <c r="H707" s="409" t="s">
        <v>31</v>
      </c>
      <c r="I707" s="411" t="s">
        <v>32</v>
      </c>
      <c r="J707" s="411"/>
      <c r="K707" s="412" t="s">
        <v>25</v>
      </c>
      <c r="L707" s="413">
        <v>2076109.82</v>
      </c>
    </row>
    <row r="708" spans="1:12" ht="91.8" hidden="1" x14ac:dyDescent="0.3">
      <c r="A708" s="407" t="s">
        <v>224</v>
      </c>
      <c r="B708" s="408" t="s">
        <v>1212</v>
      </c>
      <c r="C708" s="408" t="s">
        <v>1305</v>
      </c>
      <c r="D708" s="408" t="s">
        <v>1144</v>
      </c>
      <c r="E708" s="409" t="s">
        <v>30</v>
      </c>
      <c r="F708" s="410">
        <v>1044.2</v>
      </c>
      <c r="G708" s="410"/>
      <c r="H708" s="409" t="s">
        <v>31</v>
      </c>
      <c r="I708" s="411" t="s">
        <v>32</v>
      </c>
      <c r="J708" s="411"/>
      <c r="K708" s="412" t="s">
        <v>25</v>
      </c>
      <c r="L708" s="413">
        <v>2077154.02</v>
      </c>
    </row>
    <row r="709" spans="1:12" ht="91.8" hidden="1" x14ac:dyDescent="0.3">
      <c r="A709" s="407" t="s">
        <v>224</v>
      </c>
      <c r="B709" s="408" t="s">
        <v>1212</v>
      </c>
      <c r="C709" s="408" t="s">
        <v>1306</v>
      </c>
      <c r="D709" s="408" t="s">
        <v>1144</v>
      </c>
      <c r="E709" s="409" t="s">
        <v>30</v>
      </c>
      <c r="F709" s="410">
        <v>62560</v>
      </c>
      <c r="G709" s="410"/>
      <c r="H709" s="409" t="s">
        <v>31</v>
      </c>
      <c r="I709" s="411" t="s">
        <v>32</v>
      </c>
      <c r="J709" s="411"/>
      <c r="K709" s="412" t="s">
        <v>25</v>
      </c>
      <c r="L709" s="413">
        <v>2139714.02</v>
      </c>
    </row>
    <row r="710" spans="1:12" hidden="1" x14ac:dyDescent="0.3">
      <c r="A710" s="418" t="s">
        <v>120</v>
      </c>
      <c r="B710" s="418"/>
      <c r="C710" s="418"/>
      <c r="D710" s="418"/>
      <c r="E710" s="419">
        <v>4837026.49</v>
      </c>
      <c r="F710" s="419"/>
      <c r="G710" s="419"/>
      <c r="H710" s="419">
        <v>2966112.46</v>
      </c>
      <c r="I710" s="419"/>
      <c r="J710" s="419"/>
      <c r="K710" s="420" t="s">
        <v>25</v>
      </c>
      <c r="L710" s="421">
        <v>2139714.02</v>
      </c>
    </row>
    <row r="712" spans="1:12" x14ac:dyDescent="0.3">
      <c r="J712" s="2">
        <f>SUBTOTAL(9,I220:J388)</f>
        <v>2966112.4599999995</v>
      </c>
    </row>
  </sheetData>
  <autoFilter ref="A1:L710" xr:uid="{97585ADC-D15A-49CD-8A29-6B768B7EC2B5}">
    <filterColumn colId="1">
      <filters>
        <filter val="Вимога-накладна ІБ00-000371 від 22.05.2025 13:05:18_x000a_Списаны ТМЦ"/>
        <filter val="Вимога-накладна ІБ00-000395 від 29.05.2025 13:17:43_x000a_Списаны ТМЦ"/>
        <filter val="Вимога-накладна ІБ00-000398 від 29.05.2025 15:33:06_x000a_Списаны ТМЦ"/>
        <filter val="Вимога-накладна ІБ00-000421 від 29.05.2025 21:00:00_x000a_Списаны ТМЦ"/>
        <filter val="Списання товарів ІБ00-000259 від 22.05.2025 14:53:35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26">
    <mergeCell ref="F709:G709"/>
    <mergeCell ref="I709:J709"/>
    <mergeCell ref="A710:D710"/>
    <mergeCell ref="E710:G710"/>
    <mergeCell ref="H710:J710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2108-D4AA-4265-B1C4-F7EEEC035598}">
  <sheetPr filterMode="1"/>
  <dimension ref="A1:L14"/>
  <sheetViews>
    <sheetView topLeftCell="A8" workbookViewId="0">
      <selection activeCell="J14" sqref="J14"/>
    </sheetView>
  </sheetViews>
  <sheetFormatPr defaultRowHeight="14.4" x14ac:dyDescent="0.3"/>
  <cols>
    <col min="2" max="4" width="18.21875" customWidth="1"/>
    <col min="10" max="10" width="9.88671875" bestFit="1" customWidth="1"/>
  </cols>
  <sheetData>
    <row r="1" spans="1:12" x14ac:dyDescent="0.3">
      <c r="A1" s="422" t="s">
        <v>17</v>
      </c>
      <c r="B1" s="423" t="s">
        <v>18</v>
      </c>
      <c r="C1" s="423" t="s">
        <v>19</v>
      </c>
      <c r="D1" s="424" t="s">
        <v>20</v>
      </c>
      <c r="E1" s="425" t="s">
        <v>21</v>
      </c>
      <c r="F1" s="425"/>
      <c r="G1" s="425"/>
      <c r="H1" s="426" t="s">
        <v>22</v>
      </c>
      <c r="I1" s="426"/>
      <c r="J1" s="426"/>
      <c r="K1" s="423" t="s">
        <v>23</v>
      </c>
      <c r="L1" s="423"/>
    </row>
    <row r="2" spans="1:12" hidden="1" x14ac:dyDescent="0.3">
      <c r="A2" s="427"/>
      <c r="B2" s="428"/>
      <c r="C2" s="428"/>
      <c r="D2" s="429"/>
      <c r="E2" s="430" t="s">
        <v>24</v>
      </c>
      <c r="F2" s="431"/>
      <c r="G2" s="431"/>
      <c r="H2" s="432" t="s">
        <v>24</v>
      </c>
      <c r="I2" s="433"/>
      <c r="J2" s="433"/>
      <c r="K2" s="427"/>
      <c r="L2" s="434"/>
    </row>
    <row r="3" spans="1:12" ht="71.400000000000006" x14ac:dyDescent="0.3">
      <c r="A3" s="435" t="s">
        <v>103</v>
      </c>
      <c r="B3" s="436" t="s">
        <v>1040</v>
      </c>
      <c r="C3" s="436" t="s">
        <v>53</v>
      </c>
      <c r="D3" s="436" t="s">
        <v>1307</v>
      </c>
      <c r="E3" s="437" t="s">
        <v>54</v>
      </c>
      <c r="F3" s="438" t="s">
        <v>32</v>
      </c>
      <c r="G3" s="438"/>
      <c r="H3" s="437" t="s">
        <v>1308</v>
      </c>
      <c r="I3" s="439">
        <v>52142</v>
      </c>
      <c r="J3" s="439"/>
      <c r="K3" s="440" t="s">
        <v>25</v>
      </c>
      <c r="L3" s="441">
        <v>3876857.12</v>
      </c>
    </row>
    <row r="4" spans="1:12" ht="71.400000000000006" x14ac:dyDescent="0.3">
      <c r="A4" s="435" t="s">
        <v>103</v>
      </c>
      <c r="B4" s="436" t="s">
        <v>1040</v>
      </c>
      <c r="C4" s="436" t="s">
        <v>53</v>
      </c>
      <c r="D4" s="436" t="s">
        <v>1309</v>
      </c>
      <c r="E4" s="437" t="s">
        <v>54</v>
      </c>
      <c r="F4" s="438" t="s">
        <v>32</v>
      </c>
      <c r="G4" s="438"/>
      <c r="H4" s="437" t="s">
        <v>1308</v>
      </c>
      <c r="I4" s="442">
        <v>56.92</v>
      </c>
      <c r="J4" s="442"/>
      <c r="K4" s="440" t="s">
        <v>25</v>
      </c>
      <c r="L4" s="441">
        <v>3876800.2</v>
      </c>
    </row>
    <row r="5" spans="1:12" ht="71.400000000000006" x14ac:dyDescent="0.3">
      <c r="A5" s="435" t="s">
        <v>103</v>
      </c>
      <c r="B5" s="436" t="s">
        <v>1040</v>
      </c>
      <c r="C5" s="436" t="s">
        <v>53</v>
      </c>
      <c r="D5" s="436" t="s">
        <v>1310</v>
      </c>
      <c r="E5" s="437" t="s">
        <v>54</v>
      </c>
      <c r="F5" s="438" t="s">
        <v>32</v>
      </c>
      <c r="G5" s="438"/>
      <c r="H5" s="437" t="s">
        <v>1308</v>
      </c>
      <c r="I5" s="439">
        <v>1585.95</v>
      </c>
      <c r="J5" s="439"/>
      <c r="K5" s="440" t="s">
        <v>25</v>
      </c>
      <c r="L5" s="441">
        <v>3875214.25</v>
      </c>
    </row>
    <row r="6" spans="1:12" ht="71.400000000000006" x14ac:dyDescent="0.3">
      <c r="A6" s="435" t="s">
        <v>103</v>
      </c>
      <c r="B6" s="436" t="s">
        <v>1040</v>
      </c>
      <c r="C6" s="436" t="s">
        <v>53</v>
      </c>
      <c r="D6" s="436" t="s">
        <v>1311</v>
      </c>
      <c r="E6" s="437" t="s">
        <v>54</v>
      </c>
      <c r="F6" s="438" t="s">
        <v>32</v>
      </c>
      <c r="G6" s="438"/>
      <c r="H6" s="437" t="s">
        <v>1308</v>
      </c>
      <c r="I6" s="442">
        <v>542.5</v>
      </c>
      <c r="J6" s="442"/>
      <c r="K6" s="440" t="s">
        <v>25</v>
      </c>
      <c r="L6" s="441">
        <v>3874671.75</v>
      </c>
    </row>
    <row r="7" spans="1:12" ht="71.400000000000006" x14ac:dyDescent="0.3">
      <c r="A7" s="435" t="s">
        <v>103</v>
      </c>
      <c r="B7" s="436" t="s">
        <v>1040</v>
      </c>
      <c r="C7" s="436" t="s">
        <v>53</v>
      </c>
      <c r="D7" s="436" t="s">
        <v>1312</v>
      </c>
      <c r="E7" s="437" t="s">
        <v>54</v>
      </c>
      <c r="F7" s="438" t="s">
        <v>32</v>
      </c>
      <c r="G7" s="438"/>
      <c r="H7" s="437" t="s">
        <v>1308</v>
      </c>
      <c r="I7" s="442">
        <v>271.25</v>
      </c>
      <c r="J7" s="442"/>
      <c r="K7" s="440" t="s">
        <v>25</v>
      </c>
      <c r="L7" s="441">
        <v>3874400.5</v>
      </c>
    </row>
    <row r="8" spans="1:12" ht="71.400000000000006" x14ac:dyDescent="0.3">
      <c r="A8" s="435" t="s">
        <v>103</v>
      </c>
      <c r="B8" s="436" t="s">
        <v>1040</v>
      </c>
      <c r="C8" s="436" t="s">
        <v>53</v>
      </c>
      <c r="D8" s="436" t="s">
        <v>1313</v>
      </c>
      <c r="E8" s="437" t="s">
        <v>54</v>
      </c>
      <c r="F8" s="438" t="s">
        <v>32</v>
      </c>
      <c r="G8" s="438"/>
      <c r="H8" s="437" t="s">
        <v>1308</v>
      </c>
      <c r="I8" s="439">
        <v>6076</v>
      </c>
      <c r="J8" s="439"/>
      <c r="K8" s="440" t="s">
        <v>25</v>
      </c>
      <c r="L8" s="441">
        <v>3868324.5</v>
      </c>
    </row>
    <row r="9" spans="1:12" ht="71.400000000000006" x14ac:dyDescent="0.3">
      <c r="A9" s="435" t="s">
        <v>103</v>
      </c>
      <c r="B9" s="436" t="s">
        <v>1040</v>
      </c>
      <c r="C9" s="436" t="s">
        <v>53</v>
      </c>
      <c r="D9" s="436" t="s">
        <v>1314</v>
      </c>
      <c r="E9" s="437" t="s">
        <v>54</v>
      </c>
      <c r="F9" s="438" t="s">
        <v>32</v>
      </c>
      <c r="G9" s="438"/>
      <c r="H9" s="437" t="s">
        <v>1308</v>
      </c>
      <c r="I9" s="439">
        <v>41201.879999999997</v>
      </c>
      <c r="J9" s="439"/>
      <c r="K9" s="440" t="s">
        <v>25</v>
      </c>
      <c r="L9" s="441">
        <v>3827122.62</v>
      </c>
    </row>
    <row r="10" spans="1:12" ht="71.400000000000006" x14ac:dyDescent="0.3">
      <c r="A10" s="435" t="s">
        <v>103</v>
      </c>
      <c r="B10" s="436" t="s">
        <v>1040</v>
      </c>
      <c r="C10" s="436" t="s">
        <v>53</v>
      </c>
      <c r="D10" s="436" t="s">
        <v>1315</v>
      </c>
      <c r="E10" s="437" t="s">
        <v>54</v>
      </c>
      <c r="F10" s="438" t="s">
        <v>32</v>
      </c>
      <c r="G10" s="438"/>
      <c r="H10" s="437" t="s">
        <v>1308</v>
      </c>
      <c r="I10" s="442">
        <v>27.99</v>
      </c>
      <c r="J10" s="442"/>
      <c r="K10" s="440" t="s">
        <v>25</v>
      </c>
      <c r="L10" s="441">
        <v>3827094.63</v>
      </c>
    </row>
    <row r="11" spans="1:12" ht="71.400000000000006" x14ac:dyDescent="0.3">
      <c r="A11" s="435" t="s">
        <v>103</v>
      </c>
      <c r="B11" s="436" t="s">
        <v>1040</v>
      </c>
      <c r="C11" s="436" t="s">
        <v>53</v>
      </c>
      <c r="D11" s="436" t="s">
        <v>1316</v>
      </c>
      <c r="E11" s="437" t="s">
        <v>54</v>
      </c>
      <c r="F11" s="438" t="s">
        <v>32</v>
      </c>
      <c r="G11" s="438"/>
      <c r="H11" s="437" t="s">
        <v>1308</v>
      </c>
      <c r="I11" s="439">
        <v>32623.71</v>
      </c>
      <c r="J11" s="439"/>
      <c r="K11" s="440" t="s">
        <v>25</v>
      </c>
      <c r="L11" s="441">
        <v>3794470.92</v>
      </c>
    </row>
    <row r="12" spans="1:12" hidden="1" x14ac:dyDescent="0.3">
      <c r="A12" s="443" t="s">
        <v>120</v>
      </c>
      <c r="B12" s="443"/>
      <c r="C12" s="443"/>
      <c r="D12" s="443"/>
      <c r="E12" s="444">
        <v>0</v>
      </c>
      <c r="F12" s="444"/>
      <c r="G12" s="444"/>
      <c r="H12" s="445">
        <v>134528.20000000001</v>
      </c>
      <c r="I12" s="445"/>
      <c r="J12" s="445"/>
      <c r="K12" s="446" t="s">
        <v>25</v>
      </c>
      <c r="L12" s="447">
        <v>3794470.92</v>
      </c>
    </row>
    <row r="14" spans="1:12" x14ac:dyDescent="0.3">
      <c r="J14" s="2">
        <f>SUBTOTAL(9,I3:J11)</f>
        <v>134528.20000000001</v>
      </c>
    </row>
  </sheetData>
  <autoFilter ref="A1:L12" xr:uid="{5295617A-A202-4DD6-B51E-92F699E40995}">
    <filterColumn colId="1">
      <customFilters>
        <customFilter operator="notEqual" val=" "/>
      </custom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0">
    <mergeCell ref="F10:G10"/>
    <mergeCell ref="I10:J10"/>
    <mergeCell ref="F11:G11"/>
    <mergeCell ref="I11:J11"/>
    <mergeCell ref="A12:D12"/>
    <mergeCell ref="E12:G12"/>
    <mergeCell ref="H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Свод</vt:lpstr>
      <vt:lpstr>АПК</vt:lpstr>
      <vt:lpstr>Генплан благоустрій</vt:lpstr>
      <vt:lpstr>Генплан дорога СПК</vt:lpstr>
      <vt:lpstr>Генплан митний склад</vt:lpstr>
      <vt:lpstr>Генплан підпірна стінка</vt:lpstr>
      <vt:lpstr>Глобине-2</vt:lpstr>
      <vt:lpstr>Котельна</vt:lpstr>
      <vt:lpstr>Насосна Градирня</vt:lpstr>
      <vt:lpstr>Пож. резервуар</vt:lpstr>
      <vt:lpstr>БигБеги</vt:lpstr>
      <vt:lpstr>Резервуар розчин</vt:lpstr>
      <vt:lpstr>Резервуарний соев мел</vt:lpstr>
      <vt:lpstr>СПК</vt:lpstr>
      <vt:lpstr>Транспортна галерея</vt:lpstr>
      <vt:lpstr>Цех екстракції 205</vt:lpstr>
      <vt:lpstr>Цех екстракції 205.1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2025-06-20T07:39:21Z</dcterms:modified>
</cp:coreProperties>
</file>
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Май_25\Данные\Строительство\МШП+Материалы\"/>
    </mc:Choice>
  </mc:AlternateContent>
  <xr:revisionPtr revIDLastSave="0" documentId="13_ncr:1_{56EBF8B1-4525-4926-8B9A-4A6EA73C4F1E}" xr6:coauthVersionLast="45" xr6:coauthVersionMax="45" xr10:uidLastSave="{00000000-0000-0000-0000-000000000000}"/>
  <bookViews>
    <workbookView xWindow="-108" yWindow="-108" windowWidth="23256" windowHeight="12600" tabRatio="826" xr2:uid="{00000000-000D-0000-FFFF-FFFF00000000}"/>
  </bookViews>
  <sheets>
    <sheet name="СВОД" sheetId="1" r:id="rId1"/>
    <sheet name="Катеринопіль МХП" sheetId="2" r:id="rId2"/>
    <sheet name="Цех_Катеринопіль МХП" sheetId="3" r:id="rId3"/>
    <sheet name="Цех_Катеринопіль МХП(ДУ-1 Пункт" sheetId="4" r:id="rId4"/>
    <sheet name="Цех_Катеринопіль МХП(ДУ-4 Охоло" sheetId="5" r:id="rId5"/>
    <sheet name="Цех_Катеринопіль МХП(ДУ-5 Охоло" sheetId="6" r:id="rId6"/>
    <sheet name="Цех_Катеринопіль МХП(ДУ-6 Транс" sheetId="7" r:id="rId7"/>
    <sheet name="Цех_Катеринопіль МХП(олійно екс" sheetId="9" r:id="rId8"/>
  </sheets>
  <definedNames>
    <definedName name="_xlnm._FilterDatabase" localSheetId="1" hidden="1">'Катеринопіль МХП'!$A$1:$L$133</definedName>
    <definedName name="_xlnm._FilterDatabase" localSheetId="2" hidden="1">'Цех_Катеринопіль МХП'!$A$1:$L$28</definedName>
    <definedName name="_xlnm._FilterDatabase" localSheetId="3" hidden="1">'Цех_Катеринопіль МХП(ДУ-1 Пункт'!$A$1:$L$4</definedName>
    <definedName name="_xlnm._FilterDatabase" localSheetId="4" hidden="1">'Цех_Катеринопіль МХП(ДУ-4 Охоло'!$A$1:$L$94</definedName>
    <definedName name="_xlnm._FilterDatabase" localSheetId="5" hidden="1">'Цех_Катеринопіль МХП(ДУ-5 Охоло'!$A$1:$L$28</definedName>
    <definedName name="_xlnm._FilterDatabase" localSheetId="6" hidden="1">'Цех_Катеринопіль МХП(ДУ-6 Транс'!$A$1:$L$22</definedName>
    <definedName name="_xlnm._FilterDatabase" localSheetId="7" hidden="1">'Цех_Катеринопіль МХП(олійно екс'!$A$1:$L$16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C3" i="1"/>
  <c r="C2" i="1"/>
  <c r="J135" i="2"/>
  <c r="J6" i="4"/>
  <c r="J96" i="5"/>
  <c r="J30" i="6"/>
  <c r="J24" i="7"/>
  <c r="J18" i="9"/>
  <c r="C9" i="1" l="1"/>
</calcChain>
</file>

<file path=xl/sharedStrings.xml><?xml version="1.0" encoding="utf-8"?>
<sst xmlns="http://schemas.openxmlformats.org/spreadsheetml/2006/main" count="2517" uniqueCount="301">
  <si>
    <t>Катеринопіль МХП</t>
  </si>
  <si>
    <t>Цех_Катеринопіль МХП</t>
  </si>
  <si>
    <t>Цех_Катеринопіль МХП(ДУ-1 Пункт відв)</t>
  </si>
  <si>
    <t>Цех_Катеринопіль МХП(ДУ-4 Охолодж макухи)</t>
  </si>
  <si>
    <t>Цех_Катеринопіль МХП(ДУ-5 Охолодж шроту)</t>
  </si>
  <si>
    <t>Цех_Катеринопіль МХП(ДУ-6 Транспортгалерея)</t>
  </si>
  <si>
    <t>Цех_Катеринопіль МХП(олійно екстракційний)</t>
  </si>
  <si>
    <t>ВСЕГО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</si>
  <si>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</si>
  <si>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</si>
  <si>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</si>
  <si>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</si>
  <si>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</si>
  <si>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</si>
  <si>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</si>
  <si>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</si>
  <si>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</si>
  <si>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01.05.2025</t>
  </si>
  <si>
    <t>Надходження товарів і послуг ІБ00-002179 від 01.05.2025 11:00:00
Оприходованы ТМЦ</t>
  </si>
  <si>
    <t>Обл. НДС
Розчинник Уайт-спіріт 5 л (шт) 
Надходження товарів і послуг ІБ00-002179 від 01.05.2025 11:00:00
Катеринопіль МХП</t>
  </si>
  <si>
    <t>Адаменко Юрій Андрійович ФОП
РАХУНКИ_МХП Катеринополь
Рахунок на оплату постачальника ІБ00-001660 від 30.04.2025 23:59:59</t>
  </si>
  <si>
    <t>205</t>
  </si>
  <si>
    <t>631</t>
  </si>
  <si>
    <t xml:space="preserve"> </t>
  </si>
  <si>
    <t>Надходження товарів і послуг ІБ00-002522 від 01.05.2025 11:00:00
Оприходованы ТМЦ</t>
  </si>
  <si>
    <t>Обл. НДС
Емаль алкідна ПФ-115 П сіра 2,8 кг
Надходження товарів і послуг ІБ00-002522 від 01.05.2025 11:00:00
Катеринопіль МХП</t>
  </si>
  <si>
    <t>МУСІЄНКО ЄВГЕН ВІКТОРОВИЧ ФОП
Рахунки_МХП Катеринополь
Рахунок на оплату постачальника ІБ00-001673 від 01.05.2025 20:00:19</t>
  </si>
  <si>
    <t>Обл. НДС
Емаль алкідна "КОРАБЕЛЬНАЯ" ПФ-115 (2,8) (сіра) RAL7012
Надходження товарів і послуг ІБ00-002522 від 01.05.2025 11:00:00
Катеринопіль МХП</t>
  </si>
  <si>
    <t>Обл. НДС
Емаль алкідна ПФ-115 П сіра 0,9 кг
Надходження товарів і послуг ІБ00-002522 від 01.05.2025 11:00:00
Катеринопіль МХП</t>
  </si>
  <si>
    <t>Надходження дод. витрат ІБ00-000344 від 01.05.2025 11:10:00
Доп. расходы при поступлении товаров</t>
  </si>
  <si>
    <t>Вимога-накладна ІБ00-000311 від 01.05.2025 13:28:35
Списаны ТМЦ</t>
  </si>
  <si>
    <t>Обл. НДС
Виробничий (Катеринопіль МХП)
Катеринопіль МХП
Прямі материальні виробничі витрати крім зворотніх відходів</t>
  </si>
  <si>
    <t>Обл. НДС
Балка 30 ІРЕ (12.15 EN 10024 S235/ S275)
Надходження товарів і послуг ІБ00-001307 від 28.03.2025 18:00:03
Катеринопіль МХП</t>
  </si>
  <si>
    <t>231</t>
  </si>
  <si>
    <t>Обл. НДС
Балка 36 ІРЕ(12-S235/S275)
Надходження товарів і послуг ІБ00-001307 від 28.03.2025 18:00:03
Катеринопіль МХП</t>
  </si>
  <si>
    <t>Обл. НДС
Труба 140*140*5 мм (12,5-8940:2019 08пк/1-3пс)
Надходження товарів і послуг ІБ00-001307 від 28.03.2025 18:00:03
Катеринопіль МХП</t>
  </si>
  <si>
    <t>Обл. НДС
Болт М16*50  DIN 933 оц. 5,8
Надходження товарів і послуг ІБ00-001612 від 01.04.2025 23:10:32
Катеринопіль МХП</t>
  </si>
  <si>
    <t>Обл. НДС
Гайка М16 DIN 934 ЦБ
Надходження товарів і послуг ІБ00-001612 від 01.04.2025 23:10:32
Катеринопіль МХП</t>
  </si>
  <si>
    <t>Обл. НДС
Шайба 16  DIN125-1
Надходження товарів і послуг ІБ00-001612 від 01.04.2025 23:10:32
Катеринопіль МХП</t>
  </si>
  <si>
    <t>Вимога-накладна ІБ00-000400 від 01.05.2025 16:55:11
Списаны ТМЦ</t>
  </si>
  <si>
    <t>Обл. НДС
Емаль алкідна ПФ-115 П сіра, 50 кг
Надходження товарів і послуг ІБ00-001454 від 27.03.2025 12:00:00
Катеринопіль МХП</t>
  </si>
  <si>
    <t>Обл. НДС
Розчинник УС Нефрас 0,94 л/ 0,70 кг
Надходження товарів і послуг ІБ00-001079 від 12.03.2025 18:45:29
Катеринопіль МХП</t>
  </si>
  <si>
    <t>14.05.2025</t>
  </si>
  <si>
    <t>Надходження товарів і послуг ІБ00-002267 від 14.05.2025 11:00:00
Оприходованы ТМЦ (Зачет аванса поставщику)</t>
  </si>
  <si>
    <t>Обл. НДС
Самонаріз для кріплення мет.профілю до легких мет.конструкцій 5,5х32 Wkret-met до 12 мм (1003 жовтий
Надходження товарів і послуг ІБ00-002267 від 14.05.2025 11:00:00
Катеринопіль МХП</t>
  </si>
  <si>
    <t>ТПК-ЦЕНТР ТОВ
Договір 13/20/П/011від 21.07.2020_МХП Катеринопіль
Рахунок на оплату постачальника ІБ00-001301 від 01.04.2025 23:10:08</t>
  </si>
  <si>
    <t>Обл. НДС
Самонаріз для кріплення мет.профілю до легких мет.конструкцій 5,5х32 Wkret-met до 12 мм (6005 зелени
Надходження товарів і послуг ІБ00-002267 від 14.05.2025 11:00:00
Катеринопіль МХП</t>
  </si>
  <si>
    <t>Обл. НДС
Самонаріз для кріплення мет.профілю до легких мет.конструкцій оцинк. 5,5х32 Wkret-met до 12 мм
Надходження товарів і послуг ІБ00-002267 від 14.05.2025 11:00:00
Катеринопіль МХП</t>
  </si>
  <si>
    <t>Обл. НДС
Профільований полікарбонат 0.8мм, 1150 мм прозорий, SUNTUF 7310 (ТП-20) (6,000м  )
Надходження товарів і послуг ІБ00-002267 від 14.05.2025 11:00:00
Катеринопіль МХП</t>
  </si>
  <si>
    <t>Обл. НДС
Клей-герметик д/сендвіч-панелей Soudaflex 40 FC  (12 шт/уп) (310мл(шт.) cірий )
Надходження товарів і послуг ІБ00-002267 від 14.05.2025 11:00:00
Катеринопіль МХП</t>
  </si>
  <si>
    <t>Обл. НДС
Максі d=170мм ринва 4м (сірий GR515 )
Надходження товарів і послуг ІБ00-002267 від 14.05.2025 11:00:00
Катеринопіль МХП</t>
  </si>
  <si>
    <t>Обл. НДС
Максі d=170мм вивід серединний (сірий GR454 )
Надходження товарів і послуг ІБ00-002267 від 14.05.2025 11:00:00
Катеринопіль МХП</t>
  </si>
  <si>
    <t>Обл. НДС
Максі d=170мм заглушка (сірий GR402 )
Надходження товарів і послуг ІБ00-002267 від 14.05.2025 11:00:00
Катеринопіль МХП</t>
  </si>
  <si>
    <t>Обл. НДС
Максі d=170мм з'єднувач ринв (сірий GR042 )
Надходження товарів і послуг ІБ00-002267 від 14.05.2025 11:00:00
Катеринопіль МХП</t>
  </si>
  <si>
    <t>Обл. НДС
Максі d=170мм кронштейн ринви (сірий GR452 )
Надходження товарів і послуг ІБ00-002267 від 14.05.2025 11:00:00
Катеринопіль МХП</t>
  </si>
  <si>
    <t>Обл. НДС
Максі d=110мм відвідна труба (сірий GS266 )
Надходження товарів і послуг ІБ00-002267 від 14.05.2025 11:00:00
Катеринопіль МХП</t>
  </si>
  <si>
    <t>Обл. НДС
Максі d=110мм коліно дворастр. 112,5 гр. (сірий GS270 )
Надходження товарів і послуг ІБ00-002267 від 14.05.2025 11:00:00
Катеринопіль МХП</t>
  </si>
  <si>
    <t>Обл. НДС
Максі d=110мм коліно нижн.растр. 112,5 гр. (сірий GS271 )
Надходження товарів і послуг ІБ00-002267 від 14.05.2025 11:00:00
Катеринопіль МХП</t>
  </si>
  <si>
    <t>Обл. НДС
Максі d=110мм з'єднувач труб  (сірий GS208 )
Надходження товарів і послуг ІБ00-002267 від 14.05.2025 11:00:00
Катеринопіль МХП</t>
  </si>
  <si>
    <t>Обл. НДС
Максі d=110мм Кронштейн S220 (муфти) (сірий GS220 )
Надходження товарів і послуг ІБ00-002267 від 14.05.2025 11:00:00
Катеринопіль МХП</t>
  </si>
  <si>
    <t>Обл. НДС
Максі d=110мм Кронштейн S219 (2 шурупа) (сірий GS219 )
Надходження товарів і послуг ІБ00-002267 від 14.05.2025 11:00:00
Катеринопіль МХП</t>
  </si>
  <si>
    <t>Обл. НДС
Максі d=110мм труба 4м (сірий GS506 )
Надходження товарів і послуг ІБ00-002267 від 14.05.2025 11:00:00
Катеринопіль МХП</t>
  </si>
  <si>
    <t>Обл. НДС
Металопрофіль ТП 20 СО поліестер 0,5 мм z140 (б.п. 1003 жовтий 0,330м. )
Надходження товарів і послуг ІБ00-002267 від 14.05.2025 11:00:00
Катеринопіль МХП</t>
  </si>
  <si>
    <t>Обл. НДС
Металопрофіль ТП 20 СО поліестер 0,5 мм z140 (б.п. 1003 жовтий 7,100м. )
Надходження товарів і послуг ІБ00-002267 від 14.05.2025 11:00:00
Катеринопіль МХП</t>
  </si>
  <si>
    <t>Обл. НДС
Металопрофіль ТП 20 СО поліестер 0,5 мм z140 (б.п. 1003 жовтий 8,150м. )
Надходження товарів і послуг ІБ00-002267 від 14.05.2025 11:00:00
Катеринопіль МХП</t>
  </si>
  <si>
    <t>Обл. НДС
Металопрофіль ТП 20 СО поліестер 0,5 мм z140 (б.п. 1003 жовтий 10,250м. )
Надходження товарів і послуг ІБ00-002267 від 14.05.2025 11:00:00
Катеринопіль МХП</t>
  </si>
  <si>
    <t>Обл. НДС
Металопрофіль ТП 20 СО поліестер 0,5 мм z140 (б.п. 1003 жовтий 0,200м. )
Надходження товарів і послуг ІБ00-002267 від 14.05.2025 11:00:00
Катеринопіль МХП</t>
  </si>
  <si>
    <t>Обл. НДС
Металопрофіль ТП 20 СО поліестер 0,5 мм z140 (б.п. 1003 жовтий 9,500м. )
Надходження товарів і послуг ІБ00-002267 від 14.05.2025 11:00:00
Катеринопіль МХП</t>
  </si>
  <si>
    <t>Обл. НДС
Металопрофіль ТП 20 СО поліестер 0,5 мм z140 (б.п. 1003 жовтий 5,850м. )
Надходження товарів і послуг ІБ00-002267 від 14.05.2025 11:00:00
Катеринопіль МХП</t>
  </si>
  <si>
    <t>Обл. НДС
Металопрофіль ТП 20 СО поліестер 0,5 мм z140 (б.п. 1003 жовтий 3,500м. )
Надходження товарів і послуг ІБ00-002267 від 14.05.2025 11:00:00
Катеринопіль МХП</t>
  </si>
  <si>
    <t>Обл. НДС
Металопрофіль ТП 20 СО поліестер 0,5 мм z140 (б.п. 1003 жовтий 2,850м. )
Надходження товарів і послуг ІБ00-002267 від 14.05.2025 11:00:00
Катеринопіль МХП</t>
  </si>
  <si>
    <t>Обл. НДС
Металопрофіль ТП 20 СО поліестер 0,5 мм z140 (б.п. 1003 жовтий 2,770м. )
Надходження товарів і послуг ІБ00-002267 від 14.05.2025 11:00:00
Катеринопіль МХП</t>
  </si>
  <si>
    <t>Обл. НДС
Металопрофіль ТП 20 СО поліестер 0,5 мм z140 (б.п. 1003 жовтий 5,230м. )
Надходження товарів і послуг ІБ00-002267 від 14.05.2025 11:00:00
Катеринопіль МХП</t>
  </si>
  <si>
    <t>Обл. НДС
Металопрофіль ТП 60 оцинкований 0,7 мм (7,220м. )
Надходження товарів і послуг ІБ00-002267 від 14.05.2025 11:00:00
Катеринопіль МХП</t>
  </si>
  <si>
    <t>20.05.2025</t>
  </si>
  <si>
    <t>Надходження товарів і послуг ІБ00-002329 від 20.05.2025 11:00:00
Оприходованы ТМЦ</t>
  </si>
  <si>
    <t>Обл. НДС
Болт М12*40  DIN 933
Надходження товарів і послуг ІБ00-002329 від 20.05.2025 11:00:00
Катеринопіль МХП</t>
  </si>
  <si>
    <t>ЄВРОБОЛТ УКРАЇНА ТОВ
Рахунки_МХП Катеринополь
Рахунок на оплату постачальника ІБ00-001919 від 13.05.2025 23:11:54</t>
  </si>
  <si>
    <t>Обл. НДС
Болт М12*45  DIN 931
Надходження товарів і послуг ІБ00-002329 від 20.05.2025 11:00:00
Катеринопіль МХП</t>
  </si>
  <si>
    <t>Обл. НДС
Болт М12*50  DIN 933
Надходження товарів і послуг ІБ00-002329 від 20.05.2025 11:00:00
Катеринопіль МХП</t>
  </si>
  <si>
    <t>Обл. НДС
Болт М12*55  DIN 933
Надходження товарів і послуг ІБ00-002329 від 20.05.2025 11:00:00
Катеринопіль МХП</t>
  </si>
  <si>
    <t>Обл. НДС
Болт М16*60  DIN 933 оц. 8.8цб
Надходження товарів і послуг ІБ00-002329 від 20.05.2025 11:00:00
Катеринопіль МХП</t>
  </si>
  <si>
    <t>Обл. НДС
Болт М16*65 8,8 цб ЧР 
Надходження товарів і послуг ІБ00-002329 від 20.05.2025 11:00:00
Катеринопіль МХП</t>
  </si>
  <si>
    <t>Обл. НДС
Гайка М12  DIN 934  цб
Надходження товарів і послуг ІБ00-002329 від 20.05.2025 11:00:00
Катеринопіль МХП</t>
  </si>
  <si>
    <t>Обл. НДС
Гайка М16  DIN 934 оцинк.
Надходження товарів і послуг ІБ00-002329 від 20.05.2025 11:00:00
Катеринопіль МХП</t>
  </si>
  <si>
    <t>Обл. НДС
Шайба М12  DIN125 плоска 14HV цб
Надходження товарів і послуг ІБ00-002329 від 20.05.2025 11:00:00
Катеринопіль МХП</t>
  </si>
  <si>
    <t>Обл. НДС
Шайба М16 DIN 125 плоска 140 HV цб
Надходження товарів і послуг ІБ00-002329 від 20.05.2025 11:00:00
Катеринопіль МХП</t>
  </si>
  <si>
    <t>Надходження товарів і послуг ІБ00-002523 від 20.05.2025 11:00:00
Оприходованы ТМЦ (Зачет аванса поставщику)</t>
  </si>
  <si>
    <t>Обл. НДС
Болт М12*40 DIN 933 8,8 цб пр
Надходження товарів і послуг ІБ00-002523 від 20.05.2025 11:00:00
Катеринопіль МХП</t>
  </si>
  <si>
    <t>Солді і Ко ПАТ
Дог № 378542-55/19 від 21.01.2019 р. РАХ_МХП Катер
Рахунок на оплату постачальника ІБ00-002081 від 13.05.2025 23:12:05</t>
  </si>
  <si>
    <t>Обл. НДС
Болт М12*45  DIN 933
Надходження товарів і послуг ІБ00-002523 від 20.05.2025 11:00:00
Катеринопіль МХП</t>
  </si>
  <si>
    <t>Обл. НДС
Болт М12*50  DIN 933
Надходження товарів і послуг ІБ00-002523 від 20.05.2025 11:00:00
Катеринопіль МХП</t>
  </si>
  <si>
    <t>Обл. НДС
Болт М12*55  DIN 933
Надходження товарів і послуг ІБ00-002523 від 20.05.2025 11:00:00
Катеринопіль МХП</t>
  </si>
  <si>
    <t>Обл. НДС
Болт М14*50  DIN 933
Надходження товарів і послуг ІБ00-002523 від 20.05.2025 11:00:00
Катеринопіль МХП</t>
  </si>
  <si>
    <t>Обл. НДС
ISO4032 Гайка М12 8 ЦБ  S18Г
Надходження товарів і послуг ІБ00-002523 від 20.05.2025 11:00:00
Катеринопіль МХП</t>
  </si>
  <si>
    <t>Обл. НДС
Гайка М14 8 цб  ISO4032
Надходження товарів і послуг ІБ00-002523 від 20.05.2025 11:00:00
Катеринопіль МХП</t>
  </si>
  <si>
    <t>Обл. НДС
Гайка М16 8 цб  ISO4032
Надходження товарів і послуг ІБ00-002523 від 20.05.2025 11:00:00
Катеринопіль МХП</t>
  </si>
  <si>
    <t>Обл. НДС
Шайба М12  DIN 125-1 до кл м 4,6-8,8
Надходження товарів і послуг ІБ00-002523 від 20.05.2025 11:00:00
Катеринопіль МХП</t>
  </si>
  <si>
    <t>Обл. НДС
Шайба М14  DIN 125-1 до кл м 4,6-8,8
Надходження товарів і послуг ІБ00-002523 від 20.05.2025 11:00:00
Катеринопіль МХП</t>
  </si>
  <si>
    <t>Обл. НДС
Шайба М16  DIN 125-1 до кл м 4,6-8,8
Надходження товарів і послуг ІБ00-002523 від 20.05.2025 11:00:00
Катеринопіль МХП</t>
  </si>
  <si>
    <t>Надходження товарів і послуг ІБ00-002523 від 20.05.2025 11:00:00
Оприходованы ТМЦ</t>
  </si>
  <si>
    <t>Обл. НДС
Болт М20*75  DIN 6914 цб
Надходження товарів і послуг ІБ00-002523 від 20.05.2025 11:00:00
Катеринопіль МХП</t>
  </si>
  <si>
    <t>Обл. НДС
Гайка М20  ЕN 14399/4Мо
Надходження товарів і послуг ІБ00-002523 від 20.05.2025 11:00:00
Катеринопіль МХП</t>
  </si>
  <si>
    <t>Обл. НДС
Шайба 20  DIN6916
Надходження товарів і послуг ІБ00-002523 від 20.05.2025 11:00:00
Катеринопіль МХП</t>
  </si>
  <si>
    <t>Обл. НДС
Болт М 24*75 EN14399/4
Надходження товарів і послуг ІБ00-002523 від 20.05.2025 11:00:00
Катеринопіль МХП</t>
  </si>
  <si>
    <t>Обл. НДС
Болт М24*100  ЕN 14399/4
Надходження товарів і послуг ІБ00-002523 від 20.05.2025 11:00:00
Катеринопіль МХП</t>
  </si>
  <si>
    <t>Обл. НДС
Гайка М24  ЕN 14399/4Мо
Надходження товарів і послуг ІБ00-002523 від 20.05.2025 11:00:00
Катеринопіль МХП</t>
  </si>
  <si>
    <t>Обл. НДС
Шайба 24  ЕN14399/6 
Надходження товарів і послуг ІБ00-002523 від 20.05.2025 11:00:00
Катеринопіль МХП</t>
  </si>
  <si>
    <t>Надходження товарів і послуг ІБ00-002524 від 20.05.2025 11:00:00
Оприходованы ТМЦ</t>
  </si>
  <si>
    <t>Обл. НДС
Болт М16*60  DIN 933 оц. 8.8цб
Надходження товарів і послуг ІБ00-002524 від 20.05.2025 11:00:00
Катеринопіль МХП</t>
  </si>
  <si>
    <t>Солді і Ко ПАТ
Дог № 378542-55/19 від 21.01.2019 р. РАХ_МХП Катер
Рахунок на оплату постачальника ІБ00-001972 від 12.05.2025 17:50:45</t>
  </si>
  <si>
    <t>Обл. НДС
Болт М16*65  DIN 933 цб
Надходження товарів і послуг ІБ00-002524 від 20.05.2025 11:00:00
Катеринопіль МХП</t>
  </si>
  <si>
    <t>Обл. НДС
Болт М16*100  DIN 933 з шест.голівкою цб
Надходження товарів і послуг ІБ00-002524 від 20.05.2025 11:00:00
Катеринопіль МХП</t>
  </si>
  <si>
    <t>22.05.2025</t>
  </si>
  <si>
    <t>Надходження товарів і послуг ІБ00-002421 від 22.05.2025 11:00:00
Оприходованы ТМЦ</t>
  </si>
  <si>
    <t>Обл. НДС
Болт М16*50  DIN 933 оц. 5,8
Надходження товарів і послуг ІБ00-002421 від 22.05.2025 11:00:00
Катеринопіль МХП</t>
  </si>
  <si>
    <t>ЄВРОБОЛТ УКРАЇНА ТОВ
Рахунки_МХП Катеринополь
Рахунок на оплату постачальника ІБ00-001970 від 21.05.2025 18:58:44</t>
  </si>
  <si>
    <t>Обл. НДС
Болт М16*60  DIN 933 оц. 8.8цб
Надходження товарів і послуг ІБ00-002421 від 22.05.2025 11:00:00
Катеринопіль МХП</t>
  </si>
  <si>
    <t>Обл. НДС
Болт М16*65  DIN 933 цб
Надходження товарів і послуг ІБ00-002421 від 22.05.2025 11:00:00
Катеринопіль МХП</t>
  </si>
  <si>
    <t>Обл. НДС
Гайка М16 DIN 934 ЦБ
Надходження товарів і послуг ІБ00-002421 від 22.05.2025 11:00:00
Катеринопіль МХП</t>
  </si>
  <si>
    <t>Обл. НДС
Шайба М16 DIN 125 плоска 140 HV цб
Надходження товарів і послуг ІБ00-002421 від 22.05.2025 11:00:00
Катеринопіль МХП</t>
  </si>
  <si>
    <t>Надходження товарів і послуг ІБ00-002423 від 22.05.2025 11:00:00
Оприходованы ТМЦ</t>
  </si>
  <si>
    <t>Обл. НДС
Болт М12*30 DIN 933 цб 
Надходження товарів і послуг ІБ00-002423 від 22.05.2025 11:00:00
Катеринопіль МХП</t>
  </si>
  <si>
    <t>ЄВРОБОЛТ УКРАЇНА ТОВ
Рахунки_МХП Катеринополь
Рахунок на оплату постачальника ІБ00-002022 від 21.05.2025 18:59:01</t>
  </si>
  <si>
    <t>Обл. НДС
Болт М12*50  DIN 933
Надходження товарів і послуг ІБ00-002423 від 22.05.2025 11:00:00
Катеринопіль МХП</t>
  </si>
  <si>
    <t>Обл. НДС
Болт М16*50  DIN 933
Надходження товарів і послуг ІБ00-002423 від 22.05.2025 11:00:00
Катеринопіль МХП</t>
  </si>
  <si>
    <t>Обл. НДС
Болт М16*60  DIN 933 оц. 8.8цб
Надходження товарів і послуг ІБ00-002423 від 22.05.2025 11:00:00
Катеринопіль МХП</t>
  </si>
  <si>
    <t>Обл. НДС
Болт М16*65  DIN 933 цб
Надходження товарів і послуг ІБ00-002423 від 22.05.2025 11:00:00
Катеринопіль МХП</t>
  </si>
  <si>
    <t>Обл. НДС
Гайка М12  DIN 934  цб
Надходження товарів і послуг ІБ00-002423 від 22.05.2025 11:00:00
Катеринопіль МХП</t>
  </si>
  <si>
    <t>Обл. НДС
Гайка М16 DIN 934 ЦБ
Надходження товарів і послуг ІБ00-002423 від 22.05.2025 11:00:00
Катеринопіль МХП</t>
  </si>
  <si>
    <t>Обл. НДС
Шайба М12  DIN125 плоска 14HV цб
Надходження товарів і послуг ІБ00-002423 від 22.05.2025 11:00:00
Катеринопіль МХП</t>
  </si>
  <si>
    <t>Обл. НДС
Шайба М16 DIN 125 плоска 140 HV цб
Надходження товарів і послуг ІБ00-002423 від 22.05.2025 11:00:00
Катеринопіль МХП</t>
  </si>
  <si>
    <t>27.05.2025</t>
  </si>
  <si>
    <t>Надходження товарів і послуг ІБ00-002626 від 27.05.2025 11:00:00
Оприходованы ТМЦ (Зачет аванса поставщику)</t>
  </si>
  <si>
    <t>Обл. НДС
Металопрофіль ТП20 СО  поліестер 0,5мм z140 (б,п.6005  зелений 1,750м)
Надходження товарів і послуг ІБ00-002626 від 27.05.2025 11:00:00
Катеринопіль МХП</t>
  </si>
  <si>
    <t>Обл. НДС
Металопрофіль ТП20 СО  поліестер 0,5мм z140 (б,п.6005 зелений 0,620м)
Надходження товарів і послуг ІБ00-002626 від 27.05.2025 11:00:00
Катеринопіль МХП</t>
  </si>
  <si>
    <t>Обл. НДС
Металопрофіль ТП20 СО  поліестер 0,5мм z140 (б,п.6005 зелений 1,000м)
Надходження товарів і послуг ІБ00-002626 від 27.05.2025 11:00:00
Катеринопіль МХП</t>
  </si>
  <si>
    <t>Обл. НДС
Металопрофіль ТП20 СО  поліестер 0,5мм z140 (б,п.6005 зелений 8,050м)
Надходження товарів і послуг ІБ00-002626 від 27.05.2025 11:00:00
Катеринопіль МХП</t>
  </si>
  <si>
    <t>Надходження товарів і послуг ІБ00-002626 від 27.05.2025 11:00:00
Оприходованы ТМЦ</t>
  </si>
  <si>
    <t>Обл. НДС
Металопрофіль ТП20 СО  поліестер 0,5мм z140 (б,п.6005 зелений 5,380м)
Надходження товарів і послуг ІБ00-002626 від 27.05.2025 11:00:00
Катеринопіль МХП</t>
  </si>
  <si>
    <t>Обл. НДС
Металопрофіль ТП20 СО  поліестер 0,5мм z140 (б,п.6005 зелений 10,150м)
Надходження товарів і послуг ІБ00-002626 від 27.05.2025 11:00:00
Катеринопіль МХП</t>
  </si>
  <si>
    <t>Обл. НДС
Металопрофіль ТП20 СО  поліестер 0,5мм z140 (б,п.6005 зелений 1,020м)
Надходження товарів і послуг ІБ00-002626 від 27.05.2025 11:00:00
Катеринопіль МХП</t>
  </si>
  <si>
    <t>Обл. НДС
Металопрофіль ТП20 СО  поліестер 0,5мм z140 (б,п.6005 зелений 1,670м)
Надходження товарів і послуг ІБ00-002626 від 27.05.2025 11:00:00
Катеринопіль МХП</t>
  </si>
  <si>
    <t>Обл. НДС
Металопрофіль ТП20 СО  поліестер 0,5мм z140 (б,п.6005 зелений 5,150м)
Надходження товарів і послуг ІБ00-002626 від 27.05.2025 11:00:00
Катеринопіль МХП</t>
  </si>
  <si>
    <t>Обл. НДС
Металопрофіль ТП20 СО  поліестер 0,5мм z140 (б,п.6005 зелений 2,890м)
Надходження товарів і послуг ІБ00-002626 від 27.05.2025 11:00:00
Катеринопіль МХП</t>
  </si>
  <si>
    <t>Обл. НДС
Металопрофіль ТП20 СО  поліестер 0,5мм z140 (б,п.6005 зелений 5,410м)
Надходження товарів і послуг ІБ00-002626 від 27.05.2025 11:00:00
Катеринопіль МХП</t>
  </si>
  <si>
    <t>Обл. НДС
Металопрофіль ТП20 СО  поліестер 0,5мм z140 (б,п.6005 зелений 5,540м)
Надходження товарів і послуг ІБ00-002626 від 27.05.2025 11:00:00
Катеринопіль МХП</t>
  </si>
  <si>
    <t>Обл. НДС
Металопрофіль ТП20 СО  поліестер 0,5мм z140 (б,п.6005 зелений 2,760м)
Надходження товарів і послуг ІБ00-002626 від 27.05.2025 11:00:00
Катеринопіль МХП</t>
  </si>
  <si>
    <t>Обл. НДС
Металопрофіль ТП20 СО  поліестер 0,5мм z140 (б,п.6005 зелений 9,400м)
Надходження товарів і послуг ІБ00-002626 від 27.05.2025 11:00:00
Катеринопіль МХП</t>
  </si>
  <si>
    <t>Обл. НДС
Металопрофіль ТП20 СО  поліестер 0,5мм z140 (б,п.6005 зелений 3,020м)
Надходження товарів і послуг ІБ00-002626 від 27.05.2025 11:00:00
Катеринопіль МХП</t>
  </si>
  <si>
    <t>Обл. НДС
Металопрофіль ТП20 СО  поліестер 0,5мм z140 (б,п.6005 зелений 3,150м)
Надходження товарів і послуг ІБ00-002626 від 27.05.2025 11:00:00
Катеринопіль МХП</t>
  </si>
  <si>
    <t>Обл. НДС
Металопрофіль ТП20 СО  поліестер 0,5мм z140 (б,п.6005 зелений 2,590м)
Надходження товарів і послуг ІБ00-002626 від 27.05.2025 11:00:00
Катеринопіль МХП</t>
  </si>
  <si>
    <t>Обл. НДС
Металопрофіль ТП20 СО  поліестер 0,5мм z140 (б,п.6005 зелений 2,570м)
Надходження товарів і послуг ІБ00-002626 від 27.05.2025 11:00:00
Катеринопіль МХП</t>
  </si>
  <si>
    <t>Обл. НДС
Металопрофіль ТП20 СО  поліестер 0,5мм z140 (б,п.6005 зелений 5,280м)
Надходження товарів і послуг ІБ00-002626 від 27.05.2025 11:00:00
Катеринопіль МХП</t>
  </si>
  <si>
    <t>Обл. НДС
Металопрофіль ТП20 СО  поліестер 0,5мм z140 (б,п.6005 зелений 7,000м)
Надходження товарів і послуг ІБ00-002626 від 27.05.2025 11:00:00
Катеринопіль МХП</t>
  </si>
  <si>
    <t>28.05.2025</t>
  </si>
  <si>
    <t>Надходження товарів і послуг ІБ00-002646 від 28.05.2025 11:00:00
Оприходованы ТМЦ (Зачет аванса поставщику)</t>
  </si>
  <si>
    <t>Обл. НДС
Емаль ПФ-115 RAL 7012 (50кг) сірий
Надходження товарів і послуг ІБ00-002646 від 28.05.2025 11:00:00
Катеринопіль МХП</t>
  </si>
  <si>
    <t>Хімрезерв-Львів ТОВ
Дог №1/01/06/2023 від 01.06.23_МХП Катеринополь
Рахунок на оплату постачальника ІБ00-001977 від 16.05.2025 18:58:20</t>
  </si>
  <si>
    <t>Надходження товарів і послуг ІБ00-002649 від 28.05.2025 11:00:00
Оприходованы ТМЦ</t>
  </si>
  <si>
    <t>Обл. НДС
Розчинник "White Spirit", кг
Надходження товарів і послуг ІБ00-002649 від 28.05.2025 11:00:00
Катеринопіль МХП</t>
  </si>
  <si>
    <t>29.05.2025</t>
  </si>
  <si>
    <t>Вимога-накладна ІБ00-000401 від 29.05.2025 16:58:37
Списаны ТМЦ</t>
  </si>
  <si>
    <t>Обл. НДС
Розчинник УС Нефрас 0,94 л/ 0,70 кг
Надходження товарів і послуг ІБ00-001080 від 12.03.2025 18:45:30
Катеринопіль МХП</t>
  </si>
  <si>
    <t>Обл. НДС
Болт М16*55  DIN 933 8,8 цб пр
Надходження товарів і послуг ІБ00-001607 від 02.04.2025 18:11:21
Катеринопіль МХП</t>
  </si>
  <si>
    <t>Обл. НДС
Гайка М16 8 цб  ISO4032
Надходження товарів і послуг ІБ00-001607 від 02.04.2025 18:11:21
Катеринопіль МХП</t>
  </si>
  <si>
    <t>Вимога-накладна ІБ00-000402 від 29.05.2025 20:19:42
Списаны ТМЦ</t>
  </si>
  <si>
    <t>Обороти за період та сальдо на кінець</t>
  </si>
  <si>
    <t>Переміщення товарів ІБ00-000387 від 01.05.2025 19:24:59
Перемещение ТМЦ</t>
  </si>
  <si>
    <t>Обл. НДС
Балка 30 ІРЕ (12.15 EN 10024 S235/ S275)
Надходження товарів і послуг ІБ00-001513 від 08.04.2025 18:11:06
Цех_Катеринопіль МХП(олійно екстракційний)</t>
  </si>
  <si>
    <t>Обл. НДС
Балка 30 ІРЕ (12.15 EN 10024 S235/ S275)
Надходження товарів і послуг ІБ00-001513 від 08.04.2025 18:11:06
Цех_Катеринопіль МХП</t>
  </si>
  <si>
    <t>Обл. НДС
Швелер 16П  S275JR,12 м
Надходження товарів і послуг ІБ00-001842 від 25.04.2025 19:45:33
Цех_Катеринопіль МХП(олійно екстракційний)</t>
  </si>
  <si>
    <t>Обл. НДС
Швелер 16П  S275JR,12 м
Надходження товарів і послуг ІБ00-001842 від 25.04.2025 19:45:33
Цех_Катеринопіль МХП</t>
  </si>
  <si>
    <t>Обл. НДС
Лист 4 (г.к)  (1,5х6) ((1,5*6,0) 14637 3сп5)
Надходження товарів і послуг ІБ00-001671 від 03.04.2025 17:42:11
Цех_Катеринопіль МХП(олійно екстракційний)</t>
  </si>
  <si>
    <t>Обл. НДС
Лист 4 (г.к)  (1,5х6) ((1,5*6,0) 14637 3сп5)
Надходження товарів і послуг ІБ00-001671 від 03.04.2025 17:42:11
Цех_Катеринопіль МХП</t>
  </si>
  <si>
    <t>Обл. НДС
Лист  2*1000*2000
Надходження товарів і послуг ІБ00-001671 від 03.04.2025 17:42:11
Цех_Катеринопіль МХП(олійно екстракційний)</t>
  </si>
  <si>
    <t>Обл. НДС
Лист  2*1000*2000
Надходження товарів і послуг ІБ00-001671 від 03.04.2025 17:42:11
Цех_Катеринопіль МХП</t>
  </si>
  <si>
    <t>Обл. НДС
Труба 100х100х5 мм; ст. 3пс5; 12 м
Надходження товарів і послуг ІБ00-001677 від 17.04.2025 18:05:55
Цех_Катеринопіль МХП(олійно екстракційний)</t>
  </si>
  <si>
    <t>Обл. НДС
Труба 100х100х5 мм; ст. 3пс5; 12 м
Надходження товарів і послуг ІБ00-001677 від 17.04.2025 18:05:55
Цех_Катеринопіль МХП</t>
  </si>
  <si>
    <t>Переміщення товарів ІБ00-000389 від 01.05.2025 20:00:05
Перемещение ТМЦ</t>
  </si>
  <si>
    <t>Обл. НДС
Лист 4 (рифл) ((1,25*6,0) 
Надходження товарів і послуг ІБ00-001671 від 03.04.2025 17:42:11
Цех_Катеринопіль МХП(ДУ-4 Охолодж макухи)</t>
  </si>
  <si>
    <t>Обл. НДС
Лист 4 (рифл) ((1,25*6,0) 
Надходження товарів і послуг ІБ00-001671 від 03.04.2025 17:42:11
Цех_Катеринопіль МХП</t>
  </si>
  <si>
    <t>05.05.2025</t>
  </si>
  <si>
    <t>Переміщення товарів ІБ00-000497 від 05.05.2025 23:00:03
Перемещение ТМЦ</t>
  </si>
  <si>
    <t>Обл. НДС
Лист 12*1500*6000
Надходження товарів і послуг ІБ00-001471 від 04.04.2025 16:24:39
Цех_Катеринопіль МХП(ДУ-4 Охолодж макухи)</t>
  </si>
  <si>
    <t>Обл. НДС
Лист 12*1500*6000
Надходження товарів і послуг ІБ00-001471 від 04.04.2025 16:24:39
Цех_Катеринопіль МХП</t>
  </si>
  <si>
    <t>Обл. НДС
Лист 14 (г.к.) (1,5х6) imp ((1,5*6,0) S235JR)
Надходження товарів і послуг ІБ00-001471 від 04.04.2025 16:24:39
Цех_Катеринопіль МХП(ДУ-4 Охолодж макухи)</t>
  </si>
  <si>
    <t>Обл. НДС
Лист 14 (г.к.) (1,5х6) imp ((1,5*6,0) S235JR)
Надходження товарів і послуг ІБ00-001471 від 04.04.2025 16:24:39
Цех_Катеринопіль МХП</t>
  </si>
  <si>
    <t>Обл. НДС
Швелер 16П  S275JR,12 м
Надходження товарів і послуг ІБ00-001842 від 25.04.2025 19:45:33
Цех_Катеринопіль МХП(ДУ-4 Охолодж макухи)</t>
  </si>
  <si>
    <t>Обл. НДС
Лист 4 (г.к)  (1,5х6) ((1,5*6,0) 14637 3сп5)
Надходження товарів і послуг ІБ00-001671 від 03.04.2025 17:42:11
Цех_Катеринопіль МХП(ДУ-4 Охолодж макухи)</t>
  </si>
  <si>
    <t>Обл. НДС
Труба 100х100х4 (12,05- 8940:2019 08кп/1-3пс)
Надходження товарів і послуг ІБ00-001677 від 17.04.2025 18:05:55
Цех_Катеринопіль МХП(ДУ-4 Охолодж макухи)</t>
  </si>
  <si>
    <t>Обл. НДС
Труба 100х100х4 (12,05- 8940:2019 08кп/1-3пс)
Надходження товарів і послуг ІБ00-001677 від 17.04.2025 18:05:55
Цех_Катеринопіль МХП</t>
  </si>
  <si>
    <t>Обл. НДС
Балка 30 ІРЕ (12.15 EN 10024 S235/ S275)
Надходження товарів і послуг ІБ00-001513 від 08.04.2025 18:11:06
Цех_Катеринопіль МХП(ДУ-4 Охолодж макухи)</t>
  </si>
  <si>
    <t>12.05.2025</t>
  </si>
  <si>
    <t>Переміщення товарів ІБ00-000425 від 12.05.2025 17:49:52
Перемещение ТМЦ</t>
  </si>
  <si>
    <t>Обл. НДС
Швелер 10П 
Оприбуткування товарів ІБ00-000001 від 01.02.2024 20:00:33
Цех_Катеринопіль МХП</t>
  </si>
  <si>
    <t>Обл. НДС
Швелер 10П 
Оприбуткування товарів ІБ00-000001 від 01.02.2024 20:00:33
Вулиця</t>
  </si>
  <si>
    <t>Обл. НДС
Балка 36 міра 1-3 сп/пс 5 кат.L=12 м
Надходження товарів і послуг 00000005662 від 30.12.2021 17:22:44
Цех_Катеринопіль МХП</t>
  </si>
  <si>
    <t>Обл. НДС
Балка 36 міра 1-3 сп/пс 5 кат.L=12 м
Надходження товарів і послуг 00000005662 від 30.12.2021 17:22:44
Вулиця</t>
  </si>
  <si>
    <t>Обл. НДС
балка №36 (ИПЕ 360); S275 JR L=12,1 м
Оприбуткування товарів ІБ00-000001 від 01.02.2024 20:00:33
Цех_Катеринопіль МХП</t>
  </si>
  <si>
    <t>Обл. НДС
балка №36 (ИПЕ 360); S275 JR L=12,1 м
Оприбуткування товарів ІБ00-000001 від 01.02.2024 20:00:33
Вулиця</t>
  </si>
  <si>
    <t>Обл. НДС
Труба 120х120х4 (12,05- 8940:2019 08кп/1-3пс)
Надходження товарів і послуг AS000001371 від 02.11.2022 17:22:05
Цех_Катеринопіль МХП</t>
  </si>
  <si>
    <t>Обл. НДС
Труба 120х120х4 (12,05- 8940:2019 08кп/1-3пс)
Надходження товарів і послуг AS000001371 від 02.11.2022 17:22:05
Вулиця</t>
  </si>
  <si>
    <t>15.05.2025</t>
  </si>
  <si>
    <t>Надходження товарів і послуг ІБ00-002212 від 15.05.2025 18:45:41
Оприходованы ТМЦ</t>
  </si>
  <si>
    <t>Обл. НДС
Швелер 16П  S275JR,12 м
Надходження товарів і послуг ІБ00-002212 від 15.05.2025 18:45:41
Цех_Катеринопіль МХП</t>
  </si>
  <si>
    <t>МЕТАЛ ХОЛДІНГ ТРЕЙД ТОВ
Дог 01/221/25 від 01.04.2025_Катеринопіль МХП
Рахунок на оплату постачальника ІБ00-001152 від 01.04.2025 18:03:51</t>
  </si>
  <si>
    <t>Обл. НДС
Швелер 24П міра 12,00 м 
Надходження товарів і послуг ІБ00-002212 від 15.05.2025 18:45:41
Цех_Катеринопіль МХП</t>
  </si>
  <si>
    <t>Обл. НДС
Труба 40х40х3 (6,05-S235/S275)
Надходження товарів і послуг ІБ00-002212 від 15.05.2025 18:45:41
Цех_Катеринопіль МХП</t>
  </si>
  <si>
    <t>Обл. НДС
Труба 160х160x4  ст 3 пс 5, L=12000
Надходження товарів і послуг ІБ00-002212 від 15.05.2025 18:45:41
Цех_Катеринопіль МХП</t>
  </si>
  <si>
    <t>Надходження дод. витрат ІБ00-000308 від 15.05.2025 18:45:42
Доп. расходы при поступлении товаров</t>
  </si>
  <si>
    <t>Переміщення товарів ІБ00-000510 від 27.05.2025 18:43:44
Перемещение ТМЦ</t>
  </si>
  <si>
    <t>Обл. НДС
Швелер 30П
Надходження товарів і послуг ІБ00-001513 від 08.04.2025 18:11:06
Цех_Катеринопіль МХП(ДУ-6 Транспортгалерея)</t>
  </si>
  <si>
    <t>Обл. НДС
Швелер 30П
Надходження товарів і послуг ІБ00-001513 від 08.04.2025 18:11:06
Цех_Катеринопіль МХП</t>
  </si>
  <si>
    <t>Переміщення товарів ІБ00-000499 від 05.05.2025 23:00:05
Перемещение ТМЦ</t>
  </si>
  <si>
    <t>Обл. НДС
Труба 40х40х3 (6,05-S235/S275)
Надходження товарів і послуг ІБ00-001120 від 19.03.2025 18:35:17
Цех_Катеринопіль МХП(ДУ-4 Охолодж макухи)</t>
  </si>
  <si>
    <t>Обл. НДС
Труба 40х40х3 (6,05-S235/S275)
Надходження товарів і послуг ІБ00-001120 від 19.03.2025 18:35:17
Цех_Катеринопіль МХП(ДУ-1 Пункт відв)</t>
  </si>
  <si>
    <t>Вимога-накладна ІБ00-000359 від 01.05.2025 22:00:35
Списаны ТМЦ</t>
  </si>
  <si>
    <t>Обл. НДС
Виробничий (Катеринопіль МХП)
Цех МХП
Прямі материальні виробничі витрати крім зворотніх відходів</t>
  </si>
  <si>
    <t>Обл. НДС
Швелер 16П  S275JR,12 м
Надходження товарів і послуг ІБ00-001671 від 03.04.2025 17:42:11
Цех_Катеринопіль МХП(ДУ-4 Охолодж макухи)</t>
  </si>
  <si>
    <t>Обл. НДС
Швелер 16П  S275JR,12 м
Надходження товарів і послуг ІБ00-001471 від 04.04.2025 16:24:39
Цех_Катеринопіль МХП(ДУ-4 Охолодж макухи)</t>
  </si>
  <si>
    <t>Обл. НДС
Труба 100х100х4 (12,05- 8940:2019 08кп/1-3пс)
Надходження товарів і послуг ІБ00-001470 від 07.04.2025 19:59:50
Цех_Катеринопіль МХП(ДУ-4 Охолодж макухи)</t>
  </si>
  <si>
    <t>Вимога-накладна ІБ00-000360 від 01.05.2025 22:00:36
Списаны ТМЦ</t>
  </si>
  <si>
    <t>Обл. НДС
Балка 36 ІРЕ(12-S235/S275)
Надходження товарів і послуг ІБ00-001471 від 04.04.2025 16:24:39
Цех_Катеринопіль МХП(ДУ-4 Охолодж макухи)</t>
  </si>
  <si>
    <t>Обл. НДС
Лист 20 (г.к)  (1,5х6) imp ((1,5*6,0) S235JR)
Надходження товарів і послуг ІБ00-001471 від 04.04.2025 16:24:39
Цех_Катеринопіль МХП(ДУ-4 Охолодж макухи)</t>
  </si>
  <si>
    <t>Обл. НДС
Лист 10*1500*6000 3 сп/пс5  7208
Надходження товарів і послуг ІБ00-001671 від 03.04.2025 17:42:11
Цех_Катеринопіль МХП(ДУ-4 Охолодж макухи)</t>
  </si>
  <si>
    <t>Обл. НДС
Лист 6 (г.к)  (1,5х6) ((1,5*6,0) 14637 3сп5)
Надходження товарів і послуг ІБ00-001671 від 03.04.2025 17:42:11
Цех_Катеринопіль МХП(ДУ-4 Охолодж макухи)</t>
  </si>
  <si>
    <t>Обл. НДС
Швелер 24П міра 12,00 м 
Надходження товарів і послуг ІБ00-001671 від 03.04.2025 17:42:11
Цех_Катеринопіль МХП(ДУ-4 Охолодж макухи)</t>
  </si>
  <si>
    <t>Обл. НДС
Швелер 30П
Оприбуткування товарів ІБ00-000001 від 01.02.2024 20:00:33
Цех_Катеринопіль МХП(ДУ-4 Охолодж макухи)</t>
  </si>
  <si>
    <t>Обл. НДС
Швелер 30П
Надходження товарів і послуг ІБ00-001671 від 03.04.2025 17:42:11
Цех_Катеринопіль МХП(ДУ-4 Охолодж макухи)</t>
  </si>
  <si>
    <t>Вимога-накладна ІБ00-000313 від 05.05.2025 00:00:00
Списаны ТМЦ</t>
  </si>
  <si>
    <t>Обл. НДС
Балка 20 IPE (12,15 IPE200)
Оприбуткування товарів ІБ00-000001 від 01.02.2024 20:00:33
Цех_Катеринопіль МХП(ДУ-4 Охолодж макухи)</t>
  </si>
  <si>
    <t>Обл. НДС
Швелер 20П міра 12,00 м 
Надходження товарів і послуг ІБ00-001671 від 03.04.2025 17:42:11
Цех_Катеринопіль МХП(ДУ-4 Охолодж макухи)</t>
  </si>
  <si>
    <t>Обл. НДС
Кутник 75х75х6 мм ст.3сп5 12м
Надходження товарів і послуг ІБ00-000245 від 22.01.2025 19:00:20
Цех_Катеринопіль МХП(ДУ-4 Охолодж макухи)</t>
  </si>
  <si>
    <t>Обл. НДС
Кутник 75х75х6 мм ст.3сп5 12м
Надходження товарів і послуг ІБ00-001513 від 08.04.2025 18:11:06
Цех_Катеринопіль МХП(ДУ-4 Охолодж макухи)</t>
  </si>
  <si>
    <t>Обл. НДС
Швелер 10П 
Оприбуткування товарів ІБ00-000001 від 01.02.2024 20:00:33
Цех_Катеринопіль МХП(ДУ-4 Охолодж макухи)</t>
  </si>
  <si>
    <t>Обл. НДС
Лист 5 мм
Надходження товарів і послуг ІБ00-001671 від 03.04.2025 17:42:11
Цех_Катеринопіль МХП(ДУ-4 Охолодж макухи)</t>
  </si>
  <si>
    <t>Обл. НДС
Кутник 50х50х5 мм ст.3пс 6м
Надходження товарів і послуг ІБ00-001513 від 08.04.2025 18:11:06
Цех_Катеринопіль МХП(ДУ-4 Охолодж макухи)</t>
  </si>
  <si>
    <t>Обл. НДС
Лист 30 С255 
Надходження товарів і послуг ІБ00-001632 від 15.04.2025 18:30:28
Цех_Катеринопіль МХП(ДУ-4 Охолодж макухи)</t>
  </si>
  <si>
    <t>Обл. НДС
Лист 8 (г.к.) (1,5х6) ((1,5*6,0) 14637 3сп5)
Надходження товарів і послуг ІБ00-001671 від 03.04.2025 17:42:11
Цех_Катеринопіль МХП(ДУ-4 Охолодж макухи)</t>
  </si>
  <si>
    <t>Обл. НДС
Кутник 125х125х10
Надходження товарів і послуг ІБ00-001677 від 17.04.2025 18:05:55
Цех_Катеринопіль МХП(ДУ-4 Охолодж макухи)</t>
  </si>
  <si>
    <t>Вимога-накладна ІБ00-000361 від 05.05.2025 18:06:37
Списаны ТМЦ</t>
  </si>
  <si>
    <t>Обл. НДС
Лист 10 (г.к.) (1,5х6) imp ((1,5*6,0) S235)
Надходження товарів і послуг ІБ00-001539 від 10.04.2025 22:56:09
Цех_Катеринопіль МХП(ДУ-4 Охолодж макухи)</t>
  </si>
  <si>
    <t>Обл. НДС
Балка 20 IPE (12,15 IPE200)
Надходження товарів і послуг ІБ00-001513 від 08.04.2025 18:11:06
Цех_Катеринопіль МХП(ДУ-4 Охолодж макухи)</t>
  </si>
  <si>
    <t>Обл. НДС
Труба 100х100х4 (12,05- 8940:2019 08кп/1-3пс)
Надходження товарів і послуг ІБ00-001539 від 10.04.2025 22:56:09
Цех_Катеринопіль МХП(ДУ-4 Охолодж макухи)</t>
  </si>
  <si>
    <t>Обл. НДС
Лист 30 С255 
Надходження товарів і послуг ІБ00-001677 від 17.04.2025 18:05:55
Цех_Катеринопіль МХП(ДУ-4 Охолодж макухи)</t>
  </si>
  <si>
    <t>Переміщення товарів ІБ00-000498 від 05.05.2025 23:00:04
Перемещение ТМЦ</t>
  </si>
  <si>
    <t>Обл. НДС
Лист 20 (г.к)  (1,5х6) imp ((1,5*6,0) S235JR)
Надходження товарів і послуг ІБ00-000167 від 20.01.2025 18:00:20
Цех_Катеринопіль МХП(ДУ-4 Охолодж макухи)</t>
  </si>
  <si>
    <t>Обл. НДС
Лист 20 (г.к)  (1,5х6) imp ((1,5*6,0) S235JR)
Надходження товарів і послуг ІБ00-000167 від 20.01.2025 18:00:20
Цех_Катеринопіль МХП(олійно екстракційний)</t>
  </si>
  <si>
    <t>Обл. НДС
Швелер 16П  S275JR,12 м
Надходження товарів і послуг ІБ00-000189 від 22.01.2025 18:18:27
Цех_Катеринопіль МХП(ДУ-4 Охолодж макухи)</t>
  </si>
  <si>
    <t>Обл. НДС
Швелер 16П  S275JR,12 м
Надходження товарів і послуг ІБ00-000189 від 22.01.2025 18:18:27
Цех_Катеринопіль МХП(олійно екстракційний)</t>
  </si>
  <si>
    <t>Обл. НДС
Швелер 20П міра 12,00 м 
Надходження товарів і послуг ІБ00-001671 від 03.04.2025 17:42:11
Цех_Катеринопіль МХП(олійно екстракційний)</t>
  </si>
  <si>
    <t>Обл. НДС
Труба 100х100х4 (12,05- 8940:2019 08кп/1-3пс)
Надходження товарів і послуг ІБ00-000245 від 22.01.2025 19:00:20
Цех_Катеринопіль МХП(ДУ-4 Охолодж макухи)</t>
  </si>
  <si>
    <t>Обл. НДС
Труба 100х100х4 (12,05- 8940:2019 08кп/1-3пс)
Надходження товарів і послуг ІБ00-000245 від 22.01.2025 19:00:20
Цех_Катеринопіль МХП(олійно екстракційний)</t>
  </si>
  <si>
    <t>Обл. НДС
Лист 10*1500*6000 3 сп/пс5  7208
Надходження товарів і послуг ІБ00-000244 від 27.01.2025 18:00:04
Цех_Катеринопіль МХП(ДУ-4 Охолодж макухи)</t>
  </si>
  <si>
    <t>Обл. НДС
Лист 10*1500*6000 3 сп/пс5  7208
Надходження товарів і послуг ІБ00-000244 від 27.01.2025 18:00:04
Цех_Катеринопіль МХП(олійно екстракційний)</t>
  </si>
  <si>
    <t>06.05.2025</t>
  </si>
  <si>
    <t>Вимога-накладна ІБ00-000415 від 06.05.2025 18:17:47
Списаны ТМЦ</t>
  </si>
  <si>
    <t>Обл. НДС
Швелер 16П  S275JR,12 м
Надходження товарів і послуг ІБ00-001677 від 17.04.2025 18:05:55
Цех_Катеринопіль МХП(ДУ-4 Охолодж макухи)</t>
  </si>
  <si>
    <t>Обл. НДС
Труба 40х40х3 (6,05-S235/S275)
Надходження товарів і послуг ІБ00-001632 від 15.04.2025 18:30:28
Цех_Катеринопіль МХП(ДУ-4 Охолодж макухи)</t>
  </si>
  <si>
    <t>Обл. НДС
Труба  40*20*2 мм  S235JRH, L=6 м
Надходження товарів і послуг ІБ00-001470 від 07.04.2025 19:59:50
Цех_Катеринопіль МХП(ДУ-4 Охолодж макухи)</t>
  </si>
  <si>
    <t>Обл. НДС
Лист  2*1000*2000
Надходження товарів і послуг ІБ00-001671 від 03.04.2025 17:42:11
Цех_Катеринопіль МХП(ДУ-4 Охолодж макухи)</t>
  </si>
  <si>
    <t>Вимога-накладна ІБ00-000296 від 01.05.2025 00:00:00
Списаны ТМЦ</t>
  </si>
  <si>
    <t>Обл. НДС
Виробничий (Цех МХП)
Цех МХП
Прямі материальні виробничі витрати крім зворотніх відходів</t>
  </si>
  <si>
    <t>Обл. НДС
Швелер 16П  S275JR,12 м
Надходження товарів і послуг ІБ00-001671 від 03.04.2025 17:42:11
Цех_Катеринопіль МХП(ДУ-5 Охолодж шроту)</t>
  </si>
  <si>
    <t>Вимога-накладна ІБ00-000297 від 01.05.2025 00:00:00
Списаны ТМЦ</t>
  </si>
  <si>
    <t>Обл. НДС
Швелер 16П  S275JR,12 м
Надходження товарів і послуг ІБ00-001677 від 17.04.2025 18:05:55
Цех_Катеринопіль МХП(ДУ-5 Охолодж шроту)</t>
  </si>
  <si>
    <t>Обл. НДС
Швелер 16П  S275JR,12 м
Надходження товарів і послуг ІБ00-001842 від 25.04.2025 19:45:33
Цех_Катеринопіль МХП(ДУ-5 Охолодж шроту)</t>
  </si>
  <si>
    <t>Обл. НДС
Швелер 16У ст.1-3сп/пс 5, L= 12 м
Надходження товарів і послуг 00000000074 від 13.01.2022 11:58:04
Цех_Катеринопіль МХП(ДУ-5 Охолодж шроту)</t>
  </si>
  <si>
    <t>Обл. НДС
Швелер № 16 ст.3пс 5, 12м
Надходження товарів і послуг 00000000072 від 19.01.2023 15:30:59
Цех_Катеринопіль МХП(ДУ-5 Охолодж шроту)</t>
  </si>
  <si>
    <t>Обл. НДС
Лист 10 (г.к.) (1,5х6) imp ((1,5*6,0) S235)
Надходження товарів і послуг ІБ00-001539 від 10.04.2025 22:56:09
Цех_Катеринопіль МХП(ДУ-5 Охолодж шроту)</t>
  </si>
  <si>
    <t>Обл. НДС
Лист 6 (г.к)  (1,5х6) ((1,5*6,0) 14637 3сп5)
Надходження товарів і послуг ІБ00-001671 від 03.04.2025 17:42:11
Цех_Катеринопіль МХП(ДУ-5 Охолодж шроту)</t>
  </si>
  <si>
    <t>Обл. НДС
Труба 80х80х4 (12,05- 8940:2019 08кп/1-3пс)
Надходження товарів і послуг ІБ00-001470 від 07.04.2025 19:59:50
Цех_Катеринопіль МХП(ДУ-5 Охолодж шроту)</t>
  </si>
  <si>
    <t>Обл. НДС
Лист 8 (г.к.) (1,5х6) ((1,5*6,0) 14637 3сп5)
Надходження товарів і послуг ІБ00-001671 від 03.04.2025 17:42:11
Цех_Катеринопіль МХП(ДУ-5 Охолодж шроту)</t>
  </si>
  <si>
    <t>Обл. НДС
Труба 219*6
Надходження товарів і послуг ІБ00-001632 від 15.04.2025 18:30:28
Цех_Катеринопіль МХП(ДУ-5 Охолодж шроту)</t>
  </si>
  <si>
    <t>Обл. НДС
Лист 20 (г.к)  (1,5х6) imp ((1,5*6,0) S235JR)
Надходження товарів і послуг ІБ00-001471 від 04.04.2025 16:24:39
Цех_Катеринопіль МХП(ДУ-5 Охолодж шроту)</t>
  </si>
  <si>
    <t>Вимога-накладна ІБ00-000312 від 01.05.2025 20:00:00
Списаны ТМЦ</t>
  </si>
  <si>
    <t>Вимога-накладна ІБ00-000298 від 05.05.2025 00:00:00
Списаны ТМЦ</t>
  </si>
  <si>
    <t>Обл. НДС
Балка 20 IPE (12,15 IPE200)
Надходження товарів і послуг ІБ00-001513 від 08.04.2025 18:11:06
Цех_Катеринопіль МХП(ДУ-5 Охолодж шроту)</t>
  </si>
  <si>
    <t>Вимога-накладна ІБ00-000412 від 06.05.2025 18:17:46
Списаны ТМЦ</t>
  </si>
  <si>
    <t>Обл. НДС
Труба  40*20*2 мм  S235JRH, L=6 м
Надходження товарів і послуг ІБ00-001470 від 07.04.2025 19:59:50
Цех_Катеринопіль МХП(ДУ-5 Охолодж шроту)</t>
  </si>
  <si>
    <t>Обл. НДС
Труба 40х40х3 (6,05-S235/S275)
Надходження товарів і послуг ІБ00-001632 від 15.04.2025 18:30:28
Цех_Катеринопіль МХП(ДУ-5 Охолодж шроту)</t>
  </si>
  <si>
    <t>Обл. НДС
Лист 4 (г.к)  (1,5х6) ((1,5*6,0) 14637 3сп5)
Надходження товарів і послуг ІБ00-001671 від 03.04.2025 17:42:11
Цех_Катеринопіль МХП(ДУ-5 Охолодж шроту)</t>
  </si>
  <si>
    <t>Переміщення товарів ІБ00-000511 від 27.05.2025 18:43:45
Перемещение ТМЦ</t>
  </si>
  <si>
    <t>Обл. НДС
Лист 30 С255 
Надходження товарів і послуг ІБ00-000245 від 22.01.2025 19:00:20
Цех_Катеринопіль МХП(ДУ-6 Транспортгалерея)</t>
  </si>
  <si>
    <t>Обл. НДС
Лист 30 С255 
Надходження товарів і послуг ІБ00-000245 від 22.01.2025 19:00:20
Цех_Катеринопіль МХП(олійно екстракційний)</t>
  </si>
  <si>
    <t>Вимога-накладна ІБ00-000419 від 28.05.2025 18:19:19
Списаны ТМЦ</t>
  </si>
  <si>
    <t>Обл. НДС
Труба 273*6,0
Надходження товарів і послуг ІБ00-001539 від 10.04.2025 22:56:09
Цех_Катеринопіль МХП(ДУ-6 Транспортгалерея)</t>
  </si>
  <si>
    <t>Обл. НДС
Лист 10 (г.к.) (1,5х6) imp ((1,5*6,0) S235)
Надходження товарів і послуг ІБ00-001539 від 10.04.2025 22:56:09
Цех_Катеринопіль МХП(ДУ-6 Транспортгалерея)</t>
  </si>
  <si>
    <t>Обл. НДС
Лист 30 С255 
Надходження товарів і послуг ІБ00-001677 від 17.04.2025 18:05:55
Цех_Катеринопіль МХП(ДУ-6 Транспортгалерея)</t>
  </si>
  <si>
    <t>Обл. НДС
Лист 20 (г.к)  (1,5х6) imp ((1,5*6,0) S235JR)
Надходження товарів і послуг ІБ00-001471 від 04.04.2025 16:24:39
Цех_Катеринопіль МХП(ДУ-6 Транспортгалерея)</t>
  </si>
  <si>
    <t>Обл. НДС
Круг 20 мм 3 ПС, 6 м
Надходження товарів і послуг ІБ00-001471 від 04.04.2025 16:24:39
Цех_Катеринопіль МХП(ДУ-6 Транспортгалерея)</t>
  </si>
  <si>
    <t>Вимога-накладна ІБ00-000420 від 28.05.2025 18:19:20
Списаны ТМЦ</t>
  </si>
  <si>
    <t>Обл. НДС
Лист 4 (г.к)  (1,5х6) ((1,5*6,0) 14637 3сп5)
Надходження товарів і послуг ІБ00-001671 від 03.04.2025 17:42:11
Цех_Катеринопіль МХП(ДУ-6 Транспортгалерея)</t>
  </si>
  <si>
    <t>Обл. НДС
Швелер 30П
Надходження товарів і послуг ІБ00-001671 від 03.04.2025 17:42:11
Цех_Катеринопіль МХП(ДУ-6 Транспортгалерея)</t>
  </si>
  <si>
    <t>Обл. НДС
Лист 8 (г.к.) (1,5х6) ((1,5*6,0) 14637 3сп5)
Надходження товарів і послуг ІБ00-001671 від 03.04.2025 17:42:11
Цех_Катеринопіль МХП(ДУ-6 Транспортгалерея)</t>
  </si>
  <si>
    <t>Обл. НДС
Труба 80х80х4 (12,05- 8940:2019 08кп/1-3пс)
Надходження товарів і послуг ІБ00-001470 від 07.04.2025 19:59:50
Цех_Катеринопіль МХП(ДУ-6 Транспортгалерея)</t>
  </si>
  <si>
    <t>Обл. НДС
Труба 100х100х4 (12,05- 8940:2019 08кп/1-3пс)
Надходження товарів і послуг ІБ00-001539 від 10.04.2025 22:56:09
Цех_Катеринопіль МХП(ДУ-6 Транспортгалерея)</t>
  </si>
  <si>
    <t>Вимога-накладна ІБ00-000275 від 01.05.2025 00:00:00
Списаны ТМЦ</t>
  </si>
  <si>
    <t>Обл. НДС
Лист 18  (г,к)(2х6)imp((2,0*6,0)S235JR)
Надходження товарів і послуг ІБ00-000470 від 08.02.2024 00:00:00
Цех_Катеринопіль МХП(олійно екстракційний)</t>
  </si>
  <si>
    <t>Обл. НДС
Лист 18  (г,к)(2х6)imp((2,0*6,0)S235JR)
Надходження товарів і послуг ІБ00-001307 від 28.03.2025 18:00:03
Цех_Катеринопіль МХП(олійно екстракційний)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</si>
</sst>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21"/>
      <name val="Arial"/>
      <family val="2"/>
      <charset val="204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95">
    <xf numFmtId="0" fontId="0" fillId="0" borderId="0" xfId="0"/>
    <xf numFmtId="0" fontId="3" fillId="2" borderId="2" xfId="1" applyNumberFormat="1" applyFont="1" applyFill="1" applyBorder="1" applyAlignment="1">
      <alignment vertical="top" wrapText="1" indent="1"/>
    </xf>
    <xf numFmtId="0" fontId="0" fillId="0" borderId="2" xfId="0" applyBorder="1"/>
    <xf numFmtId="4" fontId="0" fillId="0" borderId="2" xfId="0" applyNumberFormat="1" applyBorder="1"/>
    <xf numFmtId="0" fontId="4" fillId="2" borderId="3" xfId="2" applyNumberFormat="1" applyFont="1" applyFill="1" applyBorder="1" applyAlignment="1">
      <alignment vertical="top"/>
    </xf>
    <xf numFmtId="0" fontId="4" fillId="2" borderId="4" xfId="2" applyNumberFormat="1" applyFont="1" applyFill="1" applyBorder="1" applyAlignment="1">
      <alignment vertical="top"/>
    </xf>
    <xf numFmtId="0" fontId="4" fillId="2" borderId="5" xfId="2" applyNumberFormat="1" applyFont="1" applyFill="1" applyBorder="1" applyAlignment="1">
      <alignment vertical="top"/>
    </xf>
    <xf numFmtId="0" fontId="4" fillId="2" borderId="4" xfId="2" applyNumberFormat="1" applyFont="1" applyFill="1" applyBorder="1" applyAlignment="1">
      <alignment horizontal="center" vertical="top"/>
    </xf>
    <xf numFmtId="0" fontId="4" fillId="2" borderId="6" xfId="2" applyNumberFormat="1" applyFont="1" applyFill="1" applyBorder="1" applyAlignment="1">
      <alignment horizontal="center" vertical="top"/>
    </xf>
    <xf numFmtId="0" fontId="4" fillId="2" borderId="7" xfId="2" applyNumberFormat="1" applyFont="1" applyFill="1" applyBorder="1" applyAlignment="1">
      <alignment vertical="top"/>
    </xf>
    <xf numFmtId="0" fontId="4" fillId="2" borderId="8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6" xfId="2" applyNumberFormat="1" applyFont="1" applyFill="1" applyBorder="1" applyAlignment="1">
      <alignment vertical="top"/>
    </xf>
    <xf numFmtId="0" fontId="4" fillId="2" borderId="10" xfId="2" applyNumberFormat="1" applyFont="1" applyFill="1" applyBorder="1" applyAlignment="1">
      <alignment vertical="top"/>
    </xf>
    <xf numFmtId="0" fontId="4" fillId="2" borderId="10" xfId="2" applyNumberFormat="1" applyFont="1" applyFill="1" applyBorder="1" applyAlignment="1">
      <alignment vertical="top"/>
    </xf>
    <xf numFmtId="0" fontId="4" fillId="2" borderId="11" xfId="2" applyNumberFormat="1" applyFont="1" applyFill="1" applyBorder="1" applyAlignment="1">
      <alignment vertical="top"/>
    </xf>
    <xf numFmtId="0" fontId="4" fillId="2" borderId="12" xfId="2" applyNumberFormat="1" applyFont="1" applyFill="1" applyBorder="1" applyAlignment="1">
      <alignment vertical="top"/>
    </xf>
    <xf numFmtId="0" fontId="5" fillId="0" borderId="1" xfId="2" applyNumberFormat="1" applyFont="1" applyBorder="1" applyAlignment="1">
      <alignment vertical="top"/>
    </xf>
    <xf numFmtId="0" fontId="5" fillId="0" borderId="1" xfId="2" applyNumberFormat="1" applyFont="1" applyBorder="1" applyAlignment="1">
      <alignment vertical="top" wrapText="1"/>
    </xf>
    <xf numFmtId="0" fontId="5" fillId="0" borderId="1" xfId="2" applyNumberFormat="1" applyFont="1" applyBorder="1" applyAlignment="1">
      <alignment horizontal="left" vertical="top"/>
    </xf>
    <xf numFmtId="4" fontId="5" fillId="0" borderId="1" xfId="2" applyNumberFormat="1" applyFont="1" applyBorder="1" applyAlignment="1">
      <alignment horizontal="right" vertical="top" wrapText="1"/>
    </xf>
    <xf numFmtId="0" fontId="5" fillId="0" borderId="14" xfId="2" applyNumberFormat="1" applyFont="1" applyBorder="1" applyAlignment="1">
      <alignment horizontal="right" vertical="top" wrapText="1"/>
    </xf>
    <xf numFmtId="0" fontId="5" fillId="0" borderId="13" xfId="2" applyNumberFormat="1" applyFont="1" applyBorder="1" applyAlignment="1">
      <alignment horizontal="center" vertical="top"/>
    </xf>
    <xf numFmtId="4" fontId="5" fillId="0" borderId="14" xfId="2" applyNumberFormat="1" applyFont="1" applyBorder="1" applyAlignment="1">
      <alignment horizontal="right" vertical="top" wrapText="1"/>
    </xf>
    <xf numFmtId="2" fontId="5" fillId="0" borderId="1" xfId="2" applyNumberFormat="1" applyFont="1" applyBorder="1" applyAlignment="1">
      <alignment horizontal="right" vertical="top" wrapText="1"/>
    </xf>
    <xf numFmtId="0" fontId="5" fillId="0" borderId="1" xfId="2" applyNumberFormat="1" applyFont="1" applyBorder="1" applyAlignment="1">
      <alignment horizontal="right" vertical="top" wrapText="1"/>
    </xf>
    <xf numFmtId="4" fontId="5" fillId="0" borderId="14" xfId="2" applyNumberFormat="1" applyFont="1" applyBorder="1" applyAlignment="1">
      <alignment horizontal="right" vertical="top" wrapText="1"/>
    </xf>
    <xf numFmtId="2" fontId="5" fillId="0" borderId="14" xfId="2" applyNumberFormat="1" applyFont="1" applyBorder="1" applyAlignment="1">
      <alignment horizontal="right" vertical="top" wrapText="1"/>
    </xf>
    <xf numFmtId="0" fontId="6" fillId="2" borderId="1" xfId="2" applyNumberFormat="1" applyFont="1" applyFill="1" applyBorder="1" applyAlignment="1">
      <alignment vertical="top"/>
    </xf>
    <xf numFmtId="4" fontId="6" fillId="2" borderId="1" xfId="2" applyNumberFormat="1" applyFont="1" applyFill="1" applyBorder="1" applyAlignment="1">
      <alignment horizontal="right" vertical="top" wrapText="1"/>
    </xf>
    <xf numFmtId="0" fontId="6" fillId="2" borderId="13" xfId="2" applyNumberFormat="1" applyFont="1" applyFill="1" applyBorder="1" applyAlignment="1">
      <alignment horizontal="center" vertical="top"/>
    </xf>
    <xf numFmtId="4" fontId="6" fillId="2" borderId="14" xfId="2" applyNumberFormat="1" applyFont="1" applyFill="1" applyBorder="1" applyAlignment="1">
      <alignment horizontal="right" vertical="top" wrapText="1"/>
    </xf>
    <xf numFmtId="0" fontId="4" fillId="2" borderId="3" xfId="3" applyNumberFormat="1" applyFont="1" applyFill="1" applyBorder="1" applyAlignment="1">
      <alignment vertical="top"/>
    </xf>
    <xf numFmtId="0" fontId="4" fillId="2" borderId="4" xfId="3" applyNumberFormat="1" applyFont="1" applyFill="1" applyBorder="1" applyAlignment="1">
      <alignment vertical="top"/>
    </xf>
    <xf numFmtId="0" fontId="4" fillId="2" borderId="5" xfId="3" applyNumberFormat="1" applyFont="1" applyFill="1" applyBorder="1" applyAlignment="1">
      <alignment vertical="top"/>
    </xf>
    <xf numFmtId="0" fontId="4" fillId="2" borderId="4" xfId="3" applyNumberFormat="1" applyFont="1" applyFill="1" applyBorder="1" applyAlignment="1">
      <alignment horizontal="center" vertical="top"/>
    </xf>
    <xf numFmtId="0" fontId="4" fillId="2" borderId="6" xfId="3" applyNumberFormat="1" applyFont="1" applyFill="1" applyBorder="1" applyAlignment="1">
      <alignment horizontal="center" vertical="top"/>
    </xf>
    <xf numFmtId="0" fontId="4" fillId="2" borderId="7" xfId="3" applyNumberFormat="1" applyFont="1" applyFill="1" applyBorder="1" applyAlignment="1">
      <alignment vertical="top"/>
    </xf>
    <xf numFmtId="0" fontId="4" fillId="2" borderId="8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6" xfId="3" applyNumberFormat="1" applyFont="1" applyFill="1" applyBorder="1" applyAlignment="1">
      <alignment vertical="top"/>
    </xf>
    <xf numFmtId="0" fontId="4" fillId="2" borderId="10" xfId="3" applyNumberFormat="1" applyFont="1" applyFill="1" applyBorder="1" applyAlignment="1">
      <alignment vertical="top"/>
    </xf>
    <xf numFmtId="0" fontId="4" fillId="2" borderId="10" xfId="3" applyNumberFormat="1" applyFont="1" applyFill="1" applyBorder="1" applyAlignment="1">
      <alignment vertical="top"/>
    </xf>
    <xf numFmtId="0" fontId="4" fillId="2" borderId="11" xfId="3" applyNumberFormat="1" applyFont="1" applyFill="1" applyBorder="1" applyAlignment="1">
      <alignment vertical="top"/>
    </xf>
    <xf numFmtId="0" fontId="4" fillId="2" borderId="12" xfId="3" applyNumberFormat="1" applyFont="1" applyFill="1" applyBorder="1" applyAlignment="1">
      <alignment vertical="top"/>
    </xf>
    <xf numFmtId="0" fontId="5" fillId="0" borderId="1" xfId="3" applyNumberFormat="1" applyFont="1" applyBorder="1" applyAlignment="1">
      <alignment vertical="top"/>
    </xf>
    <xf numFmtId="0" fontId="5" fillId="0" borderId="1" xfId="3" applyNumberFormat="1" applyFont="1" applyBorder="1" applyAlignment="1">
      <alignment vertical="top" wrapText="1"/>
    </xf>
    <xf numFmtId="0" fontId="5" fillId="0" borderId="1" xfId="3" applyNumberFormat="1" applyFont="1" applyBorder="1" applyAlignment="1">
      <alignment horizontal="left" vertical="top"/>
    </xf>
    <xf numFmtId="0" fontId="5" fillId="0" borderId="1" xfId="3" applyNumberFormat="1" applyFont="1" applyBorder="1" applyAlignment="1">
      <alignment horizontal="right" vertical="top" wrapText="1"/>
    </xf>
    <xf numFmtId="4" fontId="5" fillId="0" borderId="14" xfId="3" applyNumberFormat="1" applyFont="1" applyBorder="1" applyAlignment="1">
      <alignment horizontal="right" vertical="top" wrapText="1"/>
    </xf>
    <xf numFmtId="0" fontId="5" fillId="0" borderId="13" xfId="3" applyNumberFormat="1" applyFont="1" applyBorder="1" applyAlignment="1">
      <alignment horizontal="center" vertical="top"/>
    </xf>
    <xf numFmtId="4" fontId="5" fillId="0" borderId="14" xfId="3" applyNumberFormat="1" applyFont="1" applyBorder="1" applyAlignment="1">
      <alignment horizontal="right" vertical="top" wrapText="1"/>
    </xf>
    <xf numFmtId="2" fontId="5" fillId="0" borderId="14" xfId="3" applyNumberFormat="1" applyFont="1" applyBorder="1" applyAlignment="1">
      <alignment horizontal="right" vertical="top" wrapText="1"/>
    </xf>
    <xf numFmtId="4" fontId="5" fillId="0" borderId="1" xfId="3" applyNumberFormat="1" applyFont="1" applyBorder="1" applyAlignment="1">
      <alignment horizontal="right" vertical="top" wrapText="1"/>
    </xf>
    <xf numFmtId="0" fontId="5" fillId="0" borderId="14" xfId="3" applyNumberFormat="1" applyFont="1" applyBorder="1" applyAlignment="1">
      <alignment horizontal="right" vertical="top" wrapText="1"/>
    </xf>
    <xf numFmtId="2" fontId="5" fillId="0" borderId="1" xfId="3" applyNumberFormat="1" applyFont="1" applyBorder="1" applyAlignment="1">
      <alignment horizontal="right" vertical="top" wrapText="1"/>
    </xf>
    <xf numFmtId="0" fontId="6" fillId="2" borderId="1" xfId="3" applyNumberFormat="1" applyFont="1" applyFill="1" applyBorder="1" applyAlignment="1">
      <alignment vertical="top"/>
    </xf>
    <xf numFmtId="4" fontId="6" fillId="2" borderId="1" xfId="3" applyNumberFormat="1" applyFont="1" applyFill="1" applyBorder="1" applyAlignment="1">
      <alignment horizontal="right" vertical="top" wrapText="1"/>
    </xf>
    <xf numFmtId="0" fontId="6" fillId="2" borderId="13" xfId="3" applyNumberFormat="1" applyFont="1" applyFill="1" applyBorder="1" applyAlignment="1">
      <alignment horizontal="center" vertical="top"/>
    </xf>
    <xf numFmtId="4" fontId="6" fillId="2" borderId="14" xfId="3" applyNumberFormat="1" applyFont="1" applyFill="1" applyBorder="1" applyAlignment="1">
      <alignment horizontal="right" vertical="top" wrapText="1"/>
    </xf>
    <xf numFmtId="0" fontId="4" fillId="2" borderId="3" xfId="4" applyNumberFormat="1" applyFont="1" applyFill="1" applyBorder="1" applyAlignment="1">
      <alignment vertical="top"/>
    </xf>
    <xf numFmtId="0" fontId="4" fillId="2" borderId="4" xfId="4" applyNumberFormat="1" applyFont="1" applyFill="1" applyBorder="1" applyAlignment="1">
      <alignment vertical="top"/>
    </xf>
    <xf numFmtId="0" fontId="4" fillId="2" borderId="5" xfId="4" applyNumberFormat="1" applyFont="1" applyFill="1" applyBorder="1" applyAlignment="1">
      <alignment vertical="top"/>
    </xf>
    <xf numFmtId="0" fontId="4" fillId="2" borderId="4" xfId="4" applyNumberFormat="1" applyFont="1" applyFill="1" applyBorder="1" applyAlignment="1">
      <alignment horizontal="center" vertical="top"/>
    </xf>
    <xf numFmtId="0" fontId="4" fillId="2" borderId="6" xfId="4" applyNumberFormat="1" applyFont="1" applyFill="1" applyBorder="1" applyAlignment="1">
      <alignment horizontal="center" vertical="top"/>
    </xf>
    <xf numFmtId="0" fontId="4" fillId="2" borderId="7" xfId="4" applyNumberFormat="1" applyFont="1" applyFill="1" applyBorder="1" applyAlignment="1">
      <alignment vertical="top"/>
    </xf>
    <xf numFmtId="0" fontId="4" fillId="2" borderId="8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6" xfId="4" applyNumberFormat="1" applyFont="1" applyFill="1" applyBorder="1" applyAlignment="1">
      <alignment vertical="top"/>
    </xf>
    <xf numFmtId="0" fontId="4" fillId="2" borderId="10" xfId="4" applyNumberFormat="1" applyFont="1" applyFill="1" applyBorder="1" applyAlignment="1">
      <alignment vertical="top"/>
    </xf>
    <xf numFmtId="0" fontId="4" fillId="2" borderId="10" xfId="4" applyNumberFormat="1" applyFont="1" applyFill="1" applyBorder="1" applyAlignment="1">
      <alignment vertical="top"/>
    </xf>
    <xf numFmtId="0" fontId="4" fillId="2" borderId="11" xfId="4" applyNumberFormat="1" applyFont="1" applyFill="1" applyBorder="1" applyAlignment="1">
      <alignment vertical="top"/>
    </xf>
    <xf numFmtId="0" fontId="4" fillId="2" borderId="12" xfId="4" applyNumberFormat="1" applyFont="1" applyFill="1" applyBorder="1" applyAlignment="1">
      <alignment vertical="top"/>
    </xf>
    <xf numFmtId="0" fontId="5" fillId="0" borderId="1" xfId="4" applyNumberFormat="1" applyFont="1" applyBorder="1" applyAlignment="1">
      <alignment vertical="top"/>
    </xf>
    <xf numFmtId="0" fontId="5" fillId="0" borderId="1" xfId="4" applyNumberFormat="1" applyFont="1" applyBorder="1" applyAlignment="1">
      <alignment vertical="top" wrapText="1"/>
    </xf>
    <xf numFmtId="0" fontId="5" fillId="0" borderId="1" xfId="4" applyNumberFormat="1" applyFont="1" applyBorder="1" applyAlignment="1">
      <alignment horizontal="left" vertical="top"/>
    </xf>
    <xf numFmtId="0" fontId="5" fillId="0" borderId="1" xfId="4" applyNumberFormat="1" applyFont="1" applyBorder="1" applyAlignment="1">
      <alignment horizontal="right" vertical="top" wrapText="1"/>
    </xf>
    <xf numFmtId="2" fontId="5" fillId="0" borderId="14" xfId="4" applyNumberFormat="1" applyFont="1" applyBorder="1" applyAlignment="1">
      <alignment horizontal="right" vertical="top" wrapText="1"/>
    </xf>
    <xf numFmtId="0" fontId="5" fillId="0" borderId="13" xfId="4" applyNumberFormat="1" applyFont="1" applyBorder="1" applyAlignment="1">
      <alignment horizontal="center" vertical="top"/>
    </xf>
    <xf numFmtId="4" fontId="5" fillId="0" borderId="14" xfId="4" applyNumberFormat="1" applyFont="1" applyBorder="1" applyAlignment="1">
      <alignment horizontal="right" vertical="top" wrapText="1"/>
    </xf>
    <xf numFmtId="0" fontId="6" fillId="2" borderId="1" xfId="4" applyNumberFormat="1" applyFont="1" applyFill="1" applyBorder="1" applyAlignment="1">
      <alignment vertical="top"/>
    </xf>
    <xf numFmtId="2" fontId="6" fillId="2" borderId="1" xfId="4" applyNumberFormat="1" applyFont="1" applyFill="1" applyBorder="1" applyAlignment="1">
      <alignment horizontal="right" vertical="top" wrapText="1"/>
    </xf>
    <xf numFmtId="0" fontId="6" fillId="2" borderId="13" xfId="4" applyNumberFormat="1" applyFont="1" applyFill="1" applyBorder="1" applyAlignment="1">
      <alignment horizontal="center" vertical="top"/>
    </xf>
    <xf numFmtId="4" fontId="6" fillId="2" borderId="14" xfId="4" applyNumberFormat="1" applyFont="1" applyFill="1" applyBorder="1" applyAlignment="1">
      <alignment horizontal="right" vertical="top" wrapText="1"/>
    </xf>
    <xf numFmtId="0" fontId="4" fillId="2" borderId="3" xfId="5" applyNumberFormat="1" applyFont="1" applyFill="1" applyBorder="1" applyAlignment="1">
      <alignment vertical="top"/>
    </xf>
    <xf numFmtId="0" fontId="4" fillId="2" borderId="4" xfId="5" applyNumberFormat="1" applyFont="1" applyFill="1" applyBorder="1" applyAlignment="1">
      <alignment vertical="top"/>
    </xf>
    <xf numFmtId="0" fontId="4" fillId="2" borderId="5" xfId="5" applyNumberFormat="1" applyFont="1" applyFill="1" applyBorder="1" applyAlignment="1">
      <alignment vertical="top"/>
    </xf>
    <xf numFmtId="0" fontId="4" fillId="2" borderId="4" xfId="5" applyNumberFormat="1" applyFont="1" applyFill="1" applyBorder="1" applyAlignment="1">
      <alignment horizontal="center" vertical="top"/>
    </xf>
    <xf numFmtId="0" fontId="4" fillId="2" borderId="6" xfId="5" applyNumberFormat="1" applyFont="1" applyFill="1" applyBorder="1" applyAlignment="1">
      <alignment horizontal="center" vertical="top"/>
    </xf>
    <xf numFmtId="0" fontId="4" fillId="2" borderId="7" xfId="5" applyNumberFormat="1" applyFont="1" applyFill="1" applyBorder="1" applyAlignment="1">
      <alignment vertical="top"/>
    </xf>
    <xf numFmtId="0" fontId="4" fillId="2" borderId="8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6" xfId="5" applyNumberFormat="1" applyFont="1" applyFill="1" applyBorder="1" applyAlignment="1">
      <alignment vertical="top"/>
    </xf>
    <xf numFmtId="0" fontId="4" fillId="2" borderId="10" xfId="5" applyNumberFormat="1" applyFont="1" applyFill="1" applyBorder="1" applyAlignment="1">
      <alignment vertical="top"/>
    </xf>
    <xf numFmtId="0" fontId="4" fillId="2" borderId="10" xfId="5" applyNumberFormat="1" applyFont="1" applyFill="1" applyBorder="1" applyAlignment="1">
      <alignment vertical="top"/>
    </xf>
    <xf numFmtId="0" fontId="4" fillId="2" borderId="11" xfId="5" applyNumberFormat="1" applyFont="1" applyFill="1" applyBorder="1" applyAlignment="1">
      <alignment vertical="top"/>
    </xf>
    <xf numFmtId="0" fontId="4" fillId="2" borderId="12" xfId="5" applyNumberFormat="1" applyFont="1" applyFill="1" applyBorder="1" applyAlignment="1">
      <alignment vertical="top"/>
    </xf>
    <xf numFmtId="0" fontId="5" fillId="0" borderId="1" xfId="5" applyNumberFormat="1" applyFont="1" applyBorder="1" applyAlignment="1">
      <alignment vertical="top"/>
    </xf>
    <xf numFmtId="0" fontId="5" fillId="0" borderId="1" xfId="5" applyNumberFormat="1" applyFont="1" applyBorder="1" applyAlignment="1">
      <alignment vertical="top" wrapText="1"/>
    </xf>
    <xf numFmtId="0" fontId="5" fillId="0" borderId="1" xfId="5" applyNumberFormat="1" applyFont="1" applyBorder="1" applyAlignment="1">
      <alignment horizontal="left" vertical="top"/>
    </xf>
    <xf numFmtId="2" fontId="5" fillId="0" borderId="1" xfId="5" applyNumberFormat="1" applyFont="1" applyBorder="1" applyAlignment="1">
      <alignment horizontal="right" vertical="top" wrapText="1"/>
    </xf>
    <xf numFmtId="0" fontId="5" fillId="0" borderId="14" xfId="5" applyNumberFormat="1" applyFont="1" applyBorder="1" applyAlignment="1">
      <alignment horizontal="right" vertical="top" wrapText="1"/>
    </xf>
    <xf numFmtId="0" fontId="5" fillId="0" borderId="13" xfId="5" applyNumberFormat="1" applyFont="1" applyBorder="1" applyAlignment="1">
      <alignment horizontal="center" vertical="top"/>
    </xf>
    <xf numFmtId="4" fontId="5" fillId="0" borderId="14" xfId="5" applyNumberFormat="1" applyFont="1" applyBorder="1" applyAlignment="1">
      <alignment horizontal="right" vertical="top" wrapText="1"/>
    </xf>
    <xf numFmtId="0" fontId="5" fillId="0" borderId="1" xfId="5" applyNumberFormat="1" applyFont="1" applyBorder="1" applyAlignment="1">
      <alignment horizontal="right" vertical="top" wrapText="1"/>
    </xf>
    <xf numFmtId="4" fontId="5" fillId="0" borderId="14" xfId="5" applyNumberFormat="1" applyFont="1" applyBorder="1" applyAlignment="1">
      <alignment horizontal="right" vertical="top" wrapText="1"/>
    </xf>
    <xf numFmtId="2" fontId="5" fillId="0" borderId="14" xfId="5" applyNumberFormat="1" applyFont="1" applyBorder="1" applyAlignment="1">
      <alignment horizontal="right" vertical="top" wrapText="1"/>
    </xf>
    <xf numFmtId="4" fontId="5" fillId="0" borderId="1" xfId="5" applyNumberFormat="1" applyFont="1" applyBorder="1" applyAlignment="1">
      <alignment horizontal="right" vertical="top" wrapText="1"/>
    </xf>
    <xf numFmtId="0" fontId="6" fillId="2" borderId="1" xfId="5" applyNumberFormat="1" applyFont="1" applyFill="1" applyBorder="1" applyAlignment="1">
      <alignment vertical="top"/>
    </xf>
    <xf numFmtId="4" fontId="6" fillId="2" borderId="1" xfId="5" applyNumberFormat="1" applyFont="1" applyFill="1" applyBorder="1" applyAlignment="1">
      <alignment horizontal="right" vertical="top" wrapText="1"/>
    </xf>
    <xf numFmtId="0" fontId="6" fillId="2" borderId="13" xfId="5" applyNumberFormat="1" applyFont="1" applyFill="1" applyBorder="1" applyAlignment="1">
      <alignment horizontal="center" vertical="top"/>
    </xf>
    <xf numFmtId="4" fontId="6" fillId="2" borderId="14" xfId="5" applyNumberFormat="1" applyFont="1" applyFill="1" applyBorder="1" applyAlignment="1">
      <alignment horizontal="right" vertical="top" wrapText="1"/>
    </xf>
    <xf numFmtId="0" fontId="4" fillId="2" borderId="3" xfId="6" applyNumberFormat="1" applyFont="1" applyFill="1" applyBorder="1" applyAlignment="1">
      <alignment vertical="top"/>
    </xf>
    <xf numFmtId="0" fontId="4" fillId="2" borderId="4" xfId="6" applyNumberFormat="1" applyFont="1" applyFill="1" applyBorder="1" applyAlignment="1">
      <alignment vertical="top"/>
    </xf>
    <xf numFmtId="0" fontId="4" fillId="2" borderId="5" xfId="6" applyNumberFormat="1" applyFont="1" applyFill="1" applyBorder="1" applyAlignment="1">
      <alignment vertical="top"/>
    </xf>
    <xf numFmtId="0" fontId="4" fillId="2" borderId="4" xfId="6" applyNumberFormat="1" applyFont="1" applyFill="1" applyBorder="1" applyAlignment="1">
      <alignment horizontal="center" vertical="top"/>
    </xf>
    <xf numFmtId="0" fontId="4" fillId="2" borderId="6" xfId="6" applyNumberFormat="1" applyFont="1" applyFill="1" applyBorder="1" applyAlignment="1">
      <alignment horizontal="center" vertical="top"/>
    </xf>
    <xf numFmtId="0" fontId="4" fillId="2" borderId="7" xfId="6" applyNumberFormat="1" applyFont="1" applyFill="1" applyBorder="1" applyAlignment="1">
      <alignment vertical="top"/>
    </xf>
    <xf numFmtId="0" fontId="4" fillId="2" borderId="8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6" xfId="6" applyNumberFormat="1" applyFont="1" applyFill="1" applyBorder="1" applyAlignment="1">
      <alignment vertical="top"/>
    </xf>
    <xf numFmtId="0" fontId="4" fillId="2" borderId="10" xfId="6" applyNumberFormat="1" applyFont="1" applyFill="1" applyBorder="1" applyAlignment="1">
      <alignment vertical="top"/>
    </xf>
    <xf numFmtId="0" fontId="4" fillId="2" borderId="10" xfId="6" applyNumberFormat="1" applyFont="1" applyFill="1" applyBorder="1" applyAlignment="1">
      <alignment vertical="top"/>
    </xf>
    <xf numFmtId="0" fontId="4" fillId="2" borderId="11" xfId="6" applyNumberFormat="1" applyFont="1" applyFill="1" applyBorder="1" applyAlignment="1">
      <alignment vertical="top"/>
    </xf>
    <xf numFmtId="0" fontId="4" fillId="2" borderId="12" xfId="6" applyNumberFormat="1" applyFont="1" applyFill="1" applyBorder="1" applyAlignment="1">
      <alignment vertical="top"/>
    </xf>
    <xf numFmtId="0" fontId="5" fillId="0" borderId="1" xfId="6" applyNumberFormat="1" applyFont="1" applyBorder="1" applyAlignment="1">
      <alignment vertical="top"/>
    </xf>
    <xf numFmtId="0" fontId="5" fillId="0" borderId="1" xfId="6" applyNumberFormat="1" applyFont="1" applyBorder="1" applyAlignment="1">
      <alignment vertical="top" wrapText="1"/>
    </xf>
    <xf numFmtId="0" fontId="5" fillId="0" borderId="1" xfId="6" applyNumberFormat="1" applyFont="1" applyBorder="1" applyAlignment="1">
      <alignment horizontal="left" vertical="top"/>
    </xf>
    <xf numFmtId="0" fontId="5" fillId="0" borderId="1" xfId="6" applyNumberFormat="1" applyFont="1" applyBorder="1" applyAlignment="1">
      <alignment horizontal="right" vertical="top" wrapText="1"/>
    </xf>
    <xf numFmtId="4" fontId="5" fillId="0" borderId="14" xfId="6" applyNumberFormat="1" applyFont="1" applyBorder="1" applyAlignment="1">
      <alignment horizontal="right" vertical="top" wrapText="1"/>
    </xf>
    <xf numFmtId="0" fontId="5" fillId="0" borderId="13" xfId="6" applyNumberFormat="1" applyFont="1" applyBorder="1" applyAlignment="1">
      <alignment horizontal="center" vertical="top"/>
    </xf>
    <xf numFmtId="4" fontId="5" fillId="0" borderId="14" xfId="6" applyNumberFormat="1" applyFont="1" applyBorder="1" applyAlignment="1">
      <alignment horizontal="right" vertical="top" wrapText="1"/>
    </xf>
    <xf numFmtId="2" fontId="5" fillId="0" borderId="14" xfId="6" applyNumberFormat="1" applyFont="1" applyBorder="1" applyAlignment="1">
      <alignment horizontal="right" vertical="top" wrapText="1"/>
    </xf>
    <xf numFmtId="0" fontId="6" fillId="2" borderId="1" xfId="6" applyNumberFormat="1" applyFont="1" applyFill="1" applyBorder="1" applyAlignment="1">
      <alignment vertical="top"/>
    </xf>
    <xf numFmtId="2" fontId="6" fillId="2" borderId="1" xfId="6" applyNumberFormat="1" applyFont="1" applyFill="1" applyBorder="1" applyAlignment="1">
      <alignment horizontal="right" vertical="top" wrapText="1"/>
    </xf>
    <xf numFmtId="4" fontId="6" fillId="2" borderId="1" xfId="6" applyNumberFormat="1" applyFont="1" applyFill="1" applyBorder="1" applyAlignment="1">
      <alignment horizontal="right" vertical="top" wrapText="1"/>
    </xf>
    <xf numFmtId="0" fontId="6" fillId="2" borderId="13" xfId="6" applyNumberFormat="1" applyFont="1" applyFill="1" applyBorder="1" applyAlignment="1">
      <alignment horizontal="center" vertical="top"/>
    </xf>
    <xf numFmtId="4" fontId="6" fillId="2" borderId="14" xfId="6" applyNumberFormat="1" applyFont="1" applyFill="1" applyBorder="1" applyAlignment="1">
      <alignment horizontal="right" vertical="top" wrapText="1"/>
    </xf>
    <xf numFmtId="0" fontId="4" fillId="2" borderId="3" xfId="7" applyNumberFormat="1" applyFont="1" applyFill="1" applyBorder="1" applyAlignment="1">
      <alignment vertical="top"/>
    </xf>
    <xf numFmtId="0" fontId="4" fillId="2" borderId="4" xfId="7" applyNumberFormat="1" applyFont="1" applyFill="1" applyBorder="1" applyAlignment="1">
      <alignment vertical="top"/>
    </xf>
    <xf numFmtId="0" fontId="4" fillId="2" borderId="5" xfId="7" applyNumberFormat="1" applyFont="1" applyFill="1" applyBorder="1" applyAlignment="1">
      <alignment vertical="top"/>
    </xf>
    <xf numFmtId="0" fontId="4" fillId="2" borderId="4" xfId="7" applyNumberFormat="1" applyFont="1" applyFill="1" applyBorder="1" applyAlignment="1">
      <alignment horizontal="center" vertical="top"/>
    </xf>
    <xf numFmtId="0" fontId="4" fillId="2" borderId="6" xfId="7" applyNumberFormat="1" applyFont="1" applyFill="1" applyBorder="1" applyAlignment="1">
      <alignment horizontal="center" vertical="top"/>
    </xf>
    <xf numFmtId="0" fontId="4" fillId="2" borderId="7" xfId="7" applyNumberFormat="1" applyFont="1" applyFill="1" applyBorder="1" applyAlignment="1">
      <alignment vertical="top"/>
    </xf>
    <xf numFmtId="0" fontId="4" fillId="2" borderId="8" xfId="7" applyNumberFormat="1" applyFont="1" applyFill="1" applyBorder="1" applyAlignment="1">
      <alignment vertical="top"/>
    </xf>
    <xf numFmtId="0" fontId="4" fillId="2" borderId="9" xfId="7" applyNumberFormat="1" applyFont="1" applyFill="1" applyBorder="1" applyAlignment="1">
      <alignment vertical="top"/>
    </xf>
    <xf numFmtId="0" fontId="4" fillId="2" borderId="6" xfId="7" applyNumberFormat="1" applyFont="1" applyFill="1" applyBorder="1" applyAlignment="1">
      <alignment vertical="top"/>
    </xf>
    <xf numFmtId="0" fontId="4" fillId="2" borderId="10" xfId="7" applyNumberFormat="1" applyFont="1" applyFill="1" applyBorder="1" applyAlignment="1">
      <alignment vertical="top"/>
    </xf>
    <xf numFmtId="0" fontId="4" fillId="2" borderId="10" xfId="7" applyNumberFormat="1" applyFont="1" applyFill="1" applyBorder="1" applyAlignment="1">
      <alignment vertical="top"/>
    </xf>
    <xf numFmtId="0" fontId="4" fillId="2" borderId="11" xfId="7" applyNumberFormat="1" applyFont="1" applyFill="1" applyBorder="1" applyAlignment="1">
      <alignment vertical="top"/>
    </xf>
    <xf numFmtId="0" fontId="4" fillId="2" borderId="12" xfId="7" applyNumberFormat="1" applyFont="1" applyFill="1" applyBorder="1" applyAlignment="1">
      <alignment vertical="top"/>
    </xf>
    <xf numFmtId="0" fontId="5" fillId="0" borderId="1" xfId="7" applyNumberFormat="1" applyFont="1" applyBorder="1" applyAlignment="1">
      <alignment vertical="top"/>
    </xf>
    <xf numFmtId="0" fontId="5" fillId="0" borderId="1" xfId="7" applyNumberFormat="1" applyFont="1" applyBorder="1" applyAlignment="1">
      <alignment vertical="top" wrapText="1"/>
    </xf>
    <xf numFmtId="0" fontId="5" fillId="0" borderId="1" xfId="7" applyNumberFormat="1" applyFont="1" applyBorder="1" applyAlignment="1">
      <alignment horizontal="left" vertical="top"/>
    </xf>
    <xf numFmtId="2" fontId="5" fillId="0" borderId="1" xfId="7" applyNumberFormat="1" applyFont="1" applyBorder="1" applyAlignment="1">
      <alignment horizontal="right" vertical="top" wrapText="1"/>
    </xf>
    <xf numFmtId="0" fontId="5" fillId="0" borderId="14" xfId="7" applyNumberFormat="1" applyFont="1" applyBorder="1" applyAlignment="1">
      <alignment horizontal="right" vertical="top" wrapText="1"/>
    </xf>
    <xf numFmtId="0" fontId="5" fillId="0" borderId="13" xfId="7" applyNumberFormat="1" applyFont="1" applyBorder="1" applyAlignment="1">
      <alignment horizontal="center" vertical="top"/>
    </xf>
    <xf numFmtId="4" fontId="5" fillId="0" borderId="14" xfId="7" applyNumberFormat="1" applyFont="1" applyBorder="1" applyAlignment="1">
      <alignment horizontal="right" vertical="top" wrapText="1"/>
    </xf>
    <xf numFmtId="0" fontId="5" fillId="0" borderId="1" xfId="7" applyNumberFormat="1" applyFont="1" applyBorder="1" applyAlignment="1">
      <alignment horizontal="right" vertical="top" wrapText="1"/>
    </xf>
    <xf numFmtId="4" fontId="5" fillId="0" borderId="14" xfId="7" applyNumberFormat="1" applyFont="1" applyBorder="1" applyAlignment="1">
      <alignment horizontal="right" vertical="top" wrapText="1"/>
    </xf>
    <xf numFmtId="2" fontId="5" fillId="0" borderId="14" xfId="7" applyNumberFormat="1" applyFont="1" applyBorder="1" applyAlignment="1">
      <alignment horizontal="right" vertical="top" wrapText="1"/>
    </xf>
    <xf numFmtId="0" fontId="6" fillId="2" borderId="1" xfId="7" applyNumberFormat="1" applyFont="1" applyFill="1" applyBorder="1" applyAlignment="1">
      <alignment vertical="top"/>
    </xf>
    <xf numFmtId="4" fontId="6" fillId="2" borderId="1" xfId="7" applyNumberFormat="1" applyFont="1" applyFill="1" applyBorder="1" applyAlignment="1">
      <alignment horizontal="right" vertical="top" wrapText="1"/>
    </xf>
    <xf numFmtId="0" fontId="6" fillId="2" borderId="13" xfId="7" applyNumberFormat="1" applyFont="1" applyFill="1" applyBorder="1" applyAlignment="1">
      <alignment horizontal="center" vertical="top"/>
    </xf>
    <xf numFmtId="4" fontId="6" fillId="2" borderId="14" xfId="7" applyNumberFormat="1" applyFont="1" applyFill="1" applyBorder="1" applyAlignment="1">
      <alignment horizontal="right" vertical="top" wrapText="1"/>
    </xf>
    <xf numFmtId="0" fontId="4" fillId="2" borderId="3" xfId="8" applyNumberFormat="1" applyFont="1" applyFill="1" applyBorder="1" applyAlignment="1">
      <alignment vertical="top"/>
    </xf>
    <xf numFmtId="0" fontId="4" fillId="2" borderId="4" xfId="8" applyNumberFormat="1" applyFont="1" applyFill="1" applyBorder="1" applyAlignment="1">
      <alignment vertical="top"/>
    </xf>
    <xf numFmtId="0" fontId="4" fillId="2" borderId="5" xfId="8" applyNumberFormat="1" applyFont="1" applyFill="1" applyBorder="1" applyAlignment="1">
      <alignment vertical="top"/>
    </xf>
    <xf numFmtId="0" fontId="4" fillId="2" borderId="4" xfId="8" applyNumberFormat="1" applyFont="1" applyFill="1" applyBorder="1" applyAlignment="1">
      <alignment horizontal="center" vertical="top"/>
    </xf>
    <xf numFmtId="0" fontId="4" fillId="2" borderId="6" xfId="8" applyNumberFormat="1" applyFont="1" applyFill="1" applyBorder="1" applyAlignment="1">
      <alignment horizontal="center" vertical="top"/>
    </xf>
    <xf numFmtId="0" fontId="4" fillId="2" borderId="7" xfId="8" applyNumberFormat="1" applyFont="1" applyFill="1" applyBorder="1" applyAlignment="1">
      <alignment vertical="top"/>
    </xf>
    <xf numFmtId="0" fontId="4" fillId="2" borderId="8" xfId="8" applyNumberFormat="1" applyFont="1" applyFill="1" applyBorder="1" applyAlignment="1">
      <alignment vertical="top"/>
    </xf>
    <xf numFmtId="0" fontId="4" fillId="2" borderId="9" xfId="8" applyNumberFormat="1" applyFont="1" applyFill="1" applyBorder="1" applyAlignment="1">
      <alignment vertical="top"/>
    </xf>
    <xf numFmtId="0" fontId="4" fillId="2" borderId="6" xfId="8" applyNumberFormat="1" applyFont="1" applyFill="1" applyBorder="1" applyAlignment="1">
      <alignment vertical="top"/>
    </xf>
    <xf numFmtId="0" fontId="4" fillId="2" borderId="10" xfId="8" applyNumberFormat="1" applyFont="1" applyFill="1" applyBorder="1" applyAlignment="1">
      <alignment vertical="top"/>
    </xf>
    <xf numFmtId="0" fontId="4" fillId="2" borderId="10" xfId="8" applyNumberFormat="1" applyFont="1" applyFill="1" applyBorder="1" applyAlignment="1">
      <alignment vertical="top"/>
    </xf>
    <xf numFmtId="0" fontId="4" fillId="2" borderId="11" xfId="8" applyNumberFormat="1" applyFont="1" applyFill="1" applyBorder="1" applyAlignment="1">
      <alignment vertical="top"/>
    </xf>
    <xf numFmtId="0" fontId="4" fillId="2" borderId="12" xfId="8" applyNumberFormat="1" applyFont="1" applyFill="1" applyBorder="1" applyAlignment="1">
      <alignment vertical="top"/>
    </xf>
    <xf numFmtId="0" fontId="5" fillId="0" borderId="1" xfId="8" applyNumberFormat="1" applyFont="1" applyBorder="1" applyAlignment="1">
      <alignment vertical="top"/>
    </xf>
    <xf numFmtId="0" fontId="5" fillId="0" borderId="1" xfId="8" applyNumberFormat="1" applyFont="1" applyBorder="1" applyAlignment="1">
      <alignment vertical="top" wrapText="1"/>
    </xf>
    <xf numFmtId="0" fontId="5" fillId="0" borderId="1" xfId="8" applyNumberFormat="1" applyFont="1" applyBorder="1" applyAlignment="1">
      <alignment horizontal="left" vertical="top"/>
    </xf>
    <xf numFmtId="0" fontId="5" fillId="0" borderId="1" xfId="8" applyNumberFormat="1" applyFont="1" applyBorder="1" applyAlignment="1">
      <alignment horizontal="right" vertical="top" wrapText="1"/>
    </xf>
    <xf numFmtId="4" fontId="5" fillId="0" borderId="14" xfId="8" applyNumberFormat="1" applyFont="1" applyBorder="1" applyAlignment="1">
      <alignment horizontal="right" vertical="top" wrapText="1"/>
    </xf>
    <xf numFmtId="0" fontId="5" fillId="0" borderId="13" xfId="8" applyNumberFormat="1" applyFont="1" applyBorder="1" applyAlignment="1">
      <alignment horizontal="center" vertical="top"/>
    </xf>
    <xf numFmtId="4" fontId="5" fillId="0" borderId="14" xfId="8" applyNumberFormat="1" applyFont="1" applyBorder="1" applyAlignment="1">
      <alignment horizontal="right" vertical="top" wrapText="1"/>
    </xf>
    <xf numFmtId="4" fontId="5" fillId="0" borderId="1" xfId="8" applyNumberFormat="1" applyFont="1" applyBorder="1" applyAlignment="1">
      <alignment horizontal="right" vertical="top" wrapText="1"/>
    </xf>
    <xf numFmtId="0" fontId="5" fillId="0" borderId="14" xfId="8" applyNumberFormat="1" applyFont="1" applyBorder="1" applyAlignment="1">
      <alignment horizontal="right" vertical="top" wrapText="1"/>
    </xf>
    <xf numFmtId="2" fontId="5" fillId="0" borderId="1" xfId="8" applyNumberFormat="1" applyFont="1" applyBorder="1" applyAlignment="1">
      <alignment horizontal="right" vertical="top" wrapText="1"/>
    </xf>
    <xf numFmtId="2" fontId="5" fillId="0" borderId="14" xfId="8" applyNumberFormat="1" applyFont="1" applyBorder="1" applyAlignment="1">
      <alignment horizontal="right" vertical="top" wrapText="1"/>
    </xf>
    <xf numFmtId="0" fontId="6" fillId="2" borderId="1" xfId="8" applyNumberFormat="1" applyFont="1" applyFill="1" applyBorder="1" applyAlignment="1">
      <alignment vertical="top"/>
    </xf>
    <xf numFmtId="4" fontId="6" fillId="2" borderId="1" xfId="8" applyNumberFormat="1" applyFont="1" applyFill="1" applyBorder="1" applyAlignment="1">
      <alignment horizontal="right" vertical="top" wrapText="1"/>
    </xf>
    <xf numFmtId="0" fontId="6" fillId="2" borderId="13" xfId="8" applyNumberFormat="1" applyFont="1" applyFill="1" applyBorder="1" applyAlignment="1">
      <alignment horizontal="center" vertical="top"/>
    </xf>
    <xf numFmtId="4" fontId="6" fillId="2" borderId="14" xfId="8" applyNumberFormat="1" applyFont="1" applyFill="1" applyBorder="1" applyAlignment="1">
      <alignment horizontal="right" vertical="top" wrapText="1"/>
    </xf>
    <xf numFmtId="4" fontId="0" fillId="0" borderId="0" xfId="0" applyNumberFormat="1"/>
    <xf numFmtId="4" fontId="1" fillId="0" borderId="2" xfId="0" applyNumberFormat="1" applyFont="1" applyBorder="1"/>
  </cellXfs>
  <cellStyles count="9">
    <cellStyle name="Обычный" xfId="0" builtinId="0"/>
    <cellStyle name="Обычный_Sheet1" xfId="1" xr:uid="{2509B205-F074-4DEC-8C7E-2ACE390E5491}"/>
    <cellStyle name="Обычный_Катеринопіль МХП" xfId="2" xr:uid="{3056327F-3E67-445D-9872-E325AE277DA8}"/>
    <cellStyle name="Обычный_Цех_Катеринопіль МХП" xfId="3" xr:uid="{494B2BF1-7724-47CE-814E-83B03C53C62C}"/>
    <cellStyle name="Обычный_Цех_Катеринопіль МХП(ДУ-1 Пункт" xfId="4" xr:uid="{321B1B43-CB6A-4E83-A131-C1B2A71D2068}"/>
    <cellStyle name="Обычный_Цех_Катеринопіль МХП(ДУ-4 Охоло" xfId="5" xr:uid="{58C20F65-17FF-4DF2-95D0-AFB2B2660898}"/>
    <cellStyle name="Обычный_Цех_Катеринопіль МХП(ДУ-5 Охоло" xfId="6" xr:uid="{06BCB0B9-D537-4C0D-B41A-EB1502EC4E7C}"/>
    <cellStyle name="Обычный_Цех_Катеринопіль МХП(ДУ-6 Транс" xfId="7" xr:uid="{D01A110A-AC55-49C2-8631-0B492F70B782}"/>
    <cellStyle name="Обычный_Цех_Катеринопіль МХП(олійно екс" xfId="8" xr:uid="{460B0DFE-045A-4D7C-B52D-A22EDAE50F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tabSelected="1" workbookViewId="0">
      <selection activeCell="C9" sqref="C9"/>
    </sheetView>
  </sheetViews>
  <sheetFormatPr defaultRowHeight="14.4" x14ac:dyDescent="0.3"/>
  <cols>
    <col min="1" max="1" width="3.21875" customWidth="1"/>
    <col min="2" max="2" width="34.88671875" bestFit="1" customWidth="1"/>
    <col min="3" max="3" width="13" customWidth="1"/>
  </cols>
  <sheetData>
    <row r="2" spans="2:3" x14ac:dyDescent="0.3">
      <c r="B2" s="1" t="s">
        <v>0</v>
      </c>
      <c r="C2" s="3">
        <f>'Катеринопіль МХП'!J135*1.2</f>
        <v>139581.29999999996</v>
      </c>
    </row>
    <row r="3" spans="2:3" x14ac:dyDescent="0.3">
      <c r="B3" s="1" t="s">
        <v>1</v>
      </c>
      <c r="C3" s="3">
        <f>'Цех_Катеринопіль МХП'!J30</f>
        <v>0</v>
      </c>
    </row>
    <row r="4" spans="2:3" x14ac:dyDescent="0.3">
      <c r="B4" s="1" t="s">
        <v>2</v>
      </c>
      <c r="C4" s="3">
        <f>'Цех_Катеринопіль МХП(ДУ-1 Пункт'!J6</f>
        <v>0</v>
      </c>
    </row>
    <row r="5" spans="2:3" x14ac:dyDescent="0.3">
      <c r="B5" s="1" t="s">
        <v>3</v>
      </c>
      <c r="C5" s="3">
        <f>'Цех_Катеринопіль МХП(ДУ-4 Охоло'!J96*1.2</f>
        <v>1696372.1039999998</v>
      </c>
    </row>
    <row r="6" spans="2:3" x14ac:dyDescent="0.3">
      <c r="B6" s="1" t="s">
        <v>4</v>
      </c>
      <c r="C6" s="3">
        <f>'Цех_Катеринопіль МХП(ДУ-5 Охоло'!J30*1.2</f>
        <v>415364.35199999996</v>
      </c>
    </row>
    <row r="7" spans="2:3" x14ac:dyDescent="0.3">
      <c r="B7" s="1" t="s">
        <v>5</v>
      </c>
      <c r="C7" s="3">
        <f>'Цех_Катеринопіль МХП(ДУ-6 Транс'!J24*1.2</f>
        <v>735274.11599999992</v>
      </c>
    </row>
    <row r="8" spans="2:3" x14ac:dyDescent="0.3">
      <c r="B8" s="1" t="s">
        <v>6</v>
      </c>
      <c r="C8" s="3">
        <f>'Цех_Катеринопіль МХП(олійно екс'!J18*1.2</f>
        <v>35873.796000000002</v>
      </c>
    </row>
    <row r="9" spans="2:3" x14ac:dyDescent="0.3">
      <c r="B9" s="2" t="s">
        <v>7</v>
      </c>
      <c r="C9" s="194">
        <f>SUM(C2:C8)</f>
        <v>3022465.6680000001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494B-B659-42F6-9BC6-34FDA6D422E9}">
  <sheetPr filterMode="1"/>
  <dimension ref="A1:L135"/>
  <sheetViews>
    <sheetView topLeftCell="A128" workbookViewId="0">
      <selection activeCell="J135" sqref="J135"/>
    </sheetView>
  </sheetViews>
  <sheetFormatPr defaultRowHeight="14.4" x14ac:dyDescent="0.3"/>
  <cols>
    <col min="2" max="4" width="24.33203125" customWidth="1"/>
    <col min="10" max="10" width="9.88671875" bestFit="1" customWidth="1"/>
  </cols>
  <sheetData>
    <row r="1" spans="1:12" x14ac:dyDescent="0.3">
      <c r="A1" s="4" t="s">
        <v>8</v>
      </c>
      <c r="B1" s="5" t="s">
        <v>9</v>
      </c>
      <c r="C1" s="5" t="s">
        <v>10</v>
      </c>
      <c r="D1" s="6" t="s">
        <v>11</v>
      </c>
      <c r="E1" s="7" t="s">
        <v>12</v>
      </c>
      <c r="F1" s="7"/>
      <c r="G1" s="7"/>
      <c r="H1" s="8" t="s">
        <v>13</v>
      </c>
      <c r="I1" s="8"/>
      <c r="J1" s="8"/>
      <c r="K1" s="5" t="s">
        <v>14</v>
      </c>
      <c r="L1" s="5"/>
    </row>
    <row r="2" spans="1:12" hidden="1" x14ac:dyDescent="0.3">
      <c r="A2" s="9"/>
      <c r="B2" s="10"/>
      <c r="C2" s="10"/>
      <c r="D2" s="11"/>
      <c r="E2" s="12" t="s">
        <v>15</v>
      </c>
      <c r="F2" s="13"/>
      <c r="G2" s="13"/>
      <c r="H2" s="14" t="s">
        <v>15</v>
      </c>
      <c r="I2" s="15"/>
      <c r="J2" s="15"/>
      <c r="K2" s="9"/>
      <c r="L2" s="16"/>
    </row>
    <row r="3" spans="1:12" ht="61.2" hidden="1" x14ac:dyDescent="0.3">
      <c r="A3" s="17" t="s">
        <v>17</v>
      </c>
      <c r="B3" s="18" t="s">
        <v>18</v>
      </c>
      <c r="C3" s="18" t="s">
        <v>19</v>
      </c>
      <c r="D3" s="18" t="s">
        <v>20</v>
      </c>
      <c r="E3" s="19" t="s">
        <v>21</v>
      </c>
      <c r="F3" s="20">
        <v>2000</v>
      </c>
      <c r="G3" s="20"/>
      <c r="H3" s="19" t="s">
        <v>22</v>
      </c>
      <c r="I3" s="21" t="s">
        <v>23</v>
      </c>
      <c r="J3" s="21"/>
      <c r="K3" s="22" t="s">
        <v>16</v>
      </c>
      <c r="L3" s="23">
        <v>141583.16</v>
      </c>
    </row>
    <row r="4" spans="1:12" ht="71.400000000000006" hidden="1" x14ac:dyDescent="0.3">
      <c r="A4" s="17" t="s">
        <v>17</v>
      </c>
      <c r="B4" s="18" t="s">
        <v>24</v>
      </c>
      <c r="C4" s="18" t="s">
        <v>25</v>
      </c>
      <c r="D4" s="18" t="s">
        <v>26</v>
      </c>
      <c r="E4" s="19" t="s">
        <v>21</v>
      </c>
      <c r="F4" s="20">
        <v>11755.4</v>
      </c>
      <c r="G4" s="20"/>
      <c r="H4" s="19" t="s">
        <v>22</v>
      </c>
      <c r="I4" s="21" t="s">
        <v>23</v>
      </c>
      <c r="J4" s="21"/>
      <c r="K4" s="22" t="s">
        <v>16</v>
      </c>
      <c r="L4" s="23">
        <v>153338.56</v>
      </c>
    </row>
    <row r="5" spans="1:12" ht="71.400000000000006" hidden="1" x14ac:dyDescent="0.3">
      <c r="A5" s="17" t="s">
        <v>17</v>
      </c>
      <c r="B5" s="18" t="s">
        <v>24</v>
      </c>
      <c r="C5" s="18" t="s">
        <v>27</v>
      </c>
      <c r="D5" s="18" t="s">
        <v>26</v>
      </c>
      <c r="E5" s="19" t="s">
        <v>21</v>
      </c>
      <c r="F5" s="20">
        <v>8103.94</v>
      </c>
      <c r="G5" s="20"/>
      <c r="H5" s="19" t="s">
        <v>22</v>
      </c>
      <c r="I5" s="21" t="s">
        <v>23</v>
      </c>
      <c r="J5" s="21"/>
      <c r="K5" s="22" t="s">
        <v>16</v>
      </c>
      <c r="L5" s="23">
        <v>161442.5</v>
      </c>
    </row>
    <row r="6" spans="1:12" ht="71.400000000000006" hidden="1" x14ac:dyDescent="0.3">
      <c r="A6" s="17" t="s">
        <v>17</v>
      </c>
      <c r="B6" s="18" t="s">
        <v>24</v>
      </c>
      <c r="C6" s="18" t="s">
        <v>28</v>
      </c>
      <c r="D6" s="18" t="s">
        <v>26</v>
      </c>
      <c r="E6" s="19" t="s">
        <v>21</v>
      </c>
      <c r="F6" s="20">
        <v>3081.6</v>
      </c>
      <c r="G6" s="20"/>
      <c r="H6" s="19" t="s">
        <v>22</v>
      </c>
      <c r="I6" s="21" t="s">
        <v>23</v>
      </c>
      <c r="J6" s="21"/>
      <c r="K6" s="22" t="s">
        <v>16</v>
      </c>
      <c r="L6" s="23">
        <v>164524.1</v>
      </c>
    </row>
    <row r="7" spans="1:12" ht="71.400000000000006" hidden="1" x14ac:dyDescent="0.3">
      <c r="A7" s="17" t="s">
        <v>17</v>
      </c>
      <c r="B7" s="18" t="s">
        <v>29</v>
      </c>
      <c r="C7" s="18" t="s">
        <v>25</v>
      </c>
      <c r="D7" s="18" t="s">
        <v>26</v>
      </c>
      <c r="E7" s="19" t="s">
        <v>21</v>
      </c>
      <c r="F7" s="20">
        <v>1140.1300000000001</v>
      </c>
      <c r="G7" s="20"/>
      <c r="H7" s="19" t="s">
        <v>22</v>
      </c>
      <c r="I7" s="21" t="s">
        <v>23</v>
      </c>
      <c r="J7" s="21"/>
      <c r="K7" s="22" t="s">
        <v>16</v>
      </c>
      <c r="L7" s="23">
        <v>165664.23000000001</v>
      </c>
    </row>
    <row r="8" spans="1:12" ht="71.400000000000006" hidden="1" x14ac:dyDescent="0.3">
      <c r="A8" s="17" t="s">
        <v>17</v>
      </c>
      <c r="B8" s="18" t="s">
        <v>29</v>
      </c>
      <c r="C8" s="18" t="s">
        <v>27</v>
      </c>
      <c r="D8" s="18" t="s">
        <v>26</v>
      </c>
      <c r="E8" s="19" t="s">
        <v>21</v>
      </c>
      <c r="F8" s="24">
        <v>785.99</v>
      </c>
      <c r="G8" s="24"/>
      <c r="H8" s="19" t="s">
        <v>22</v>
      </c>
      <c r="I8" s="21" t="s">
        <v>23</v>
      </c>
      <c r="J8" s="21"/>
      <c r="K8" s="22" t="s">
        <v>16</v>
      </c>
      <c r="L8" s="23">
        <v>166450.22</v>
      </c>
    </row>
    <row r="9" spans="1:12" hidden="1" x14ac:dyDescent="0.3">
      <c r="A9" s="17" t="s">
        <v>17</v>
      </c>
      <c r="B9" s="18" t="s">
        <v>29</v>
      </c>
      <c r="C9" s="18" t="s">
        <v>28</v>
      </c>
      <c r="D9" s="18" t="s">
        <v>26</v>
      </c>
      <c r="E9" s="19" t="s">
        <v>21</v>
      </c>
      <c r="F9" s="24">
        <v>298.88</v>
      </c>
      <c r="G9" s="24"/>
      <c r="H9" s="19" t="s">
        <v>22</v>
      </c>
      <c r="I9" s="21" t="s">
        <v>23</v>
      </c>
      <c r="J9" s="21"/>
      <c r="K9" s="22" t="s">
        <v>16</v>
      </c>
      <c r="L9" s="23">
        <v>166749.1</v>
      </c>
    </row>
    <row r="10" spans="1:12" ht="71.400000000000006" x14ac:dyDescent="0.3">
      <c r="A10" s="17" t="s">
        <v>17</v>
      </c>
      <c r="B10" s="18" t="s">
        <v>30</v>
      </c>
      <c r="C10" s="18" t="s">
        <v>31</v>
      </c>
      <c r="D10" s="18" t="s">
        <v>32</v>
      </c>
      <c r="E10" s="19" t="s">
        <v>33</v>
      </c>
      <c r="F10" s="25" t="s">
        <v>23</v>
      </c>
      <c r="G10" s="25"/>
      <c r="H10" s="19" t="s">
        <v>21</v>
      </c>
      <c r="I10" s="26">
        <v>29373.67</v>
      </c>
      <c r="J10" s="26"/>
      <c r="K10" s="22" t="s">
        <v>16</v>
      </c>
      <c r="L10" s="23">
        <v>137375.43</v>
      </c>
    </row>
    <row r="11" spans="1:12" ht="61.2" x14ac:dyDescent="0.3">
      <c r="A11" s="17" t="s">
        <v>17</v>
      </c>
      <c r="B11" s="18" t="s">
        <v>30</v>
      </c>
      <c r="C11" s="18" t="s">
        <v>31</v>
      </c>
      <c r="D11" s="18" t="s">
        <v>34</v>
      </c>
      <c r="E11" s="19" t="s">
        <v>33</v>
      </c>
      <c r="F11" s="25" t="s">
        <v>23</v>
      </c>
      <c r="G11" s="25"/>
      <c r="H11" s="19" t="s">
        <v>21</v>
      </c>
      <c r="I11" s="26">
        <v>14653.18</v>
      </c>
      <c r="J11" s="26"/>
      <c r="K11" s="22" t="s">
        <v>16</v>
      </c>
      <c r="L11" s="23">
        <v>122722.25</v>
      </c>
    </row>
    <row r="12" spans="1:12" ht="71.400000000000006" x14ac:dyDescent="0.3">
      <c r="A12" s="17" t="s">
        <v>17</v>
      </c>
      <c r="B12" s="18" t="s">
        <v>30</v>
      </c>
      <c r="C12" s="18" t="s">
        <v>31</v>
      </c>
      <c r="D12" s="18" t="s">
        <v>35</v>
      </c>
      <c r="E12" s="19" t="s">
        <v>33</v>
      </c>
      <c r="F12" s="25" t="s">
        <v>23</v>
      </c>
      <c r="G12" s="25"/>
      <c r="H12" s="19" t="s">
        <v>21</v>
      </c>
      <c r="I12" s="26">
        <v>21458.53</v>
      </c>
      <c r="J12" s="26"/>
      <c r="K12" s="22" t="s">
        <v>16</v>
      </c>
      <c r="L12" s="23">
        <v>101263.72</v>
      </c>
    </row>
    <row r="13" spans="1:12" ht="61.2" x14ac:dyDescent="0.3">
      <c r="A13" s="17" t="s">
        <v>17</v>
      </c>
      <c r="B13" s="18" t="s">
        <v>30</v>
      </c>
      <c r="C13" s="18" t="s">
        <v>31</v>
      </c>
      <c r="D13" s="18" t="s">
        <v>36</v>
      </c>
      <c r="E13" s="19" t="s">
        <v>33</v>
      </c>
      <c r="F13" s="25" t="s">
        <v>23</v>
      </c>
      <c r="G13" s="25"/>
      <c r="H13" s="19" t="s">
        <v>21</v>
      </c>
      <c r="I13" s="27">
        <v>436.96</v>
      </c>
      <c r="J13" s="27"/>
      <c r="K13" s="22" t="s">
        <v>16</v>
      </c>
      <c r="L13" s="23">
        <v>100826.76</v>
      </c>
    </row>
    <row r="14" spans="1:12" ht="61.2" x14ac:dyDescent="0.3">
      <c r="A14" s="17" t="s">
        <v>17</v>
      </c>
      <c r="B14" s="18" t="s">
        <v>30</v>
      </c>
      <c r="C14" s="18" t="s">
        <v>31</v>
      </c>
      <c r="D14" s="18" t="s">
        <v>37</v>
      </c>
      <c r="E14" s="19" t="s">
        <v>33</v>
      </c>
      <c r="F14" s="25" t="s">
        <v>23</v>
      </c>
      <c r="G14" s="25"/>
      <c r="H14" s="19" t="s">
        <v>21</v>
      </c>
      <c r="I14" s="27">
        <v>119.4</v>
      </c>
      <c r="J14" s="27"/>
      <c r="K14" s="22" t="s">
        <v>16</v>
      </c>
      <c r="L14" s="23">
        <v>100707.36</v>
      </c>
    </row>
    <row r="15" spans="1:12" ht="61.2" x14ac:dyDescent="0.3">
      <c r="A15" s="17" t="s">
        <v>17</v>
      </c>
      <c r="B15" s="18" t="s">
        <v>30</v>
      </c>
      <c r="C15" s="18" t="s">
        <v>31</v>
      </c>
      <c r="D15" s="18" t="s">
        <v>38</v>
      </c>
      <c r="E15" s="19" t="s">
        <v>33</v>
      </c>
      <c r="F15" s="25" t="s">
        <v>23</v>
      </c>
      <c r="G15" s="25"/>
      <c r="H15" s="19" t="s">
        <v>21</v>
      </c>
      <c r="I15" s="27">
        <v>45</v>
      </c>
      <c r="J15" s="27"/>
      <c r="K15" s="22" t="s">
        <v>16</v>
      </c>
      <c r="L15" s="23">
        <v>100662.36</v>
      </c>
    </row>
    <row r="16" spans="1:12" ht="71.400000000000006" x14ac:dyDescent="0.3">
      <c r="A16" s="17" t="s">
        <v>17</v>
      </c>
      <c r="B16" s="18" t="s">
        <v>39</v>
      </c>
      <c r="C16" s="18" t="s">
        <v>31</v>
      </c>
      <c r="D16" s="18" t="s">
        <v>40</v>
      </c>
      <c r="E16" s="19" t="s">
        <v>33</v>
      </c>
      <c r="F16" s="25" t="s">
        <v>23</v>
      </c>
      <c r="G16" s="25"/>
      <c r="H16" s="19" t="s">
        <v>21</v>
      </c>
      <c r="I16" s="26">
        <v>2114.75</v>
      </c>
      <c r="J16" s="26"/>
      <c r="K16" s="22" t="s">
        <v>16</v>
      </c>
      <c r="L16" s="23">
        <v>98547.61</v>
      </c>
    </row>
    <row r="17" spans="1:12" ht="71.400000000000006" x14ac:dyDescent="0.3">
      <c r="A17" s="17" t="s">
        <v>17</v>
      </c>
      <c r="B17" s="18" t="s">
        <v>39</v>
      </c>
      <c r="C17" s="18" t="s">
        <v>31</v>
      </c>
      <c r="D17" s="18" t="s">
        <v>41</v>
      </c>
      <c r="E17" s="19" t="s">
        <v>33</v>
      </c>
      <c r="F17" s="25" t="s">
        <v>23</v>
      </c>
      <c r="G17" s="25"/>
      <c r="H17" s="19" t="s">
        <v>21</v>
      </c>
      <c r="I17" s="27">
        <v>144.99</v>
      </c>
      <c r="J17" s="27"/>
      <c r="K17" s="22" t="s">
        <v>16</v>
      </c>
      <c r="L17" s="23">
        <v>98402.62</v>
      </c>
    </row>
    <row r="18" spans="1:12" ht="91.8" hidden="1" x14ac:dyDescent="0.3">
      <c r="A18" s="17" t="s">
        <v>42</v>
      </c>
      <c r="B18" s="18" t="s">
        <v>43</v>
      </c>
      <c r="C18" s="18" t="s">
        <v>44</v>
      </c>
      <c r="D18" s="18" t="s">
        <v>45</v>
      </c>
      <c r="E18" s="19" t="s">
        <v>21</v>
      </c>
      <c r="F18" s="20">
        <v>2025</v>
      </c>
      <c r="G18" s="20"/>
      <c r="H18" s="19" t="s">
        <v>22</v>
      </c>
      <c r="I18" s="21" t="s">
        <v>23</v>
      </c>
      <c r="J18" s="21"/>
      <c r="K18" s="22" t="s">
        <v>16</v>
      </c>
      <c r="L18" s="23">
        <v>100427.62</v>
      </c>
    </row>
    <row r="19" spans="1:12" ht="91.8" hidden="1" x14ac:dyDescent="0.3">
      <c r="A19" s="17" t="s">
        <v>42</v>
      </c>
      <c r="B19" s="18" t="s">
        <v>43</v>
      </c>
      <c r="C19" s="18" t="s">
        <v>46</v>
      </c>
      <c r="D19" s="18" t="s">
        <v>45</v>
      </c>
      <c r="E19" s="19" t="s">
        <v>21</v>
      </c>
      <c r="F19" s="20">
        <v>5400</v>
      </c>
      <c r="G19" s="20"/>
      <c r="H19" s="19" t="s">
        <v>22</v>
      </c>
      <c r="I19" s="21" t="s">
        <v>23</v>
      </c>
      <c r="J19" s="21"/>
      <c r="K19" s="22" t="s">
        <v>16</v>
      </c>
      <c r="L19" s="23">
        <v>105827.62</v>
      </c>
    </row>
    <row r="20" spans="1:12" ht="91.8" hidden="1" x14ac:dyDescent="0.3">
      <c r="A20" s="17" t="s">
        <v>42</v>
      </c>
      <c r="B20" s="18" t="s">
        <v>43</v>
      </c>
      <c r="C20" s="18" t="s">
        <v>47</v>
      </c>
      <c r="D20" s="18" t="s">
        <v>45</v>
      </c>
      <c r="E20" s="19" t="s">
        <v>21</v>
      </c>
      <c r="F20" s="20">
        <v>1537.5</v>
      </c>
      <c r="G20" s="20"/>
      <c r="H20" s="19" t="s">
        <v>22</v>
      </c>
      <c r="I20" s="21" t="s">
        <v>23</v>
      </c>
      <c r="J20" s="21"/>
      <c r="K20" s="22" t="s">
        <v>16</v>
      </c>
      <c r="L20" s="23">
        <v>107365.12</v>
      </c>
    </row>
    <row r="21" spans="1:12" ht="81.599999999999994" hidden="1" x14ac:dyDescent="0.3">
      <c r="A21" s="17" t="s">
        <v>42</v>
      </c>
      <c r="B21" s="18" t="s">
        <v>43</v>
      </c>
      <c r="C21" s="18" t="s">
        <v>48</v>
      </c>
      <c r="D21" s="18" t="s">
        <v>45</v>
      </c>
      <c r="E21" s="19" t="s">
        <v>21</v>
      </c>
      <c r="F21" s="20">
        <v>16180.78</v>
      </c>
      <c r="G21" s="20"/>
      <c r="H21" s="19" t="s">
        <v>22</v>
      </c>
      <c r="I21" s="21" t="s">
        <v>23</v>
      </c>
      <c r="J21" s="21"/>
      <c r="K21" s="22" t="s">
        <v>16</v>
      </c>
      <c r="L21" s="23">
        <v>123545.9</v>
      </c>
    </row>
    <row r="22" spans="1:12" ht="81.599999999999994" hidden="1" x14ac:dyDescent="0.3">
      <c r="A22" s="17" t="s">
        <v>42</v>
      </c>
      <c r="B22" s="18" t="s">
        <v>43</v>
      </c>
      <c r="C22" s="18" t="s">
        <v>49</v>
      </c>
      <c r="D22" s="18" t="s">
        <v>45</v>
      </c>
      <c r="E22" s="19" t="s">
        <v>21</v>
      </c>
      <c r="F22" s="20">
        <v>2161.1</v>
      </c>
      <c r="G22" s="20"/>
      <c r="H22" s="19" t="s">
        <v>22</v>
      </c>
      <c r="I22" s="21" t="s">
        <v>23</v>
      </c>
      <c r="J22" s="21"/>
      <c r="K22" s="22" t="s">
        <v>16</v>
      </c>
      <c r="L22" s="23">
        <v>125707</v>
      </c>
    </row>
    <row r="23" spans="1:12" ht="71.400000000000006" hidden="1" x14ac:dyDescent="0.3">
      <c r="A23" s="17" t="s">
        <v>42</v>
      </c>
      <c r="B23" s="18" t="s">
        <v>43</v>
      </c>
      <c r="C23" s="18" t="s">
        <v>50</v>
      </c>
      <c r="D23" s="18" t="s">
        <v>45</v>
      </c>
      <c r="E23" s="19" t="s">
        <v>21</v>
      </c>
      <c r="F23" s="20">
        <v>5654.2</v>
      </c>
      <c r="G23" s="20"/>
      <c r="H23" s="19" t="s">
        <v>22</v>
      </c>
      <c r="I23" s="21" t="s">
        <v>23</v>
      </c>
      <c r="J23" s="21"/>
      <c r="K23" s="22" t="s">
        <v>16</v>
      </c>
      <c r="L23" s="23">
        <v>131361.20000000001</v>
      </c>
    </row>
    <row r="24" spans="1:12" ht="71.400000000000006" hidden="1" x14ac:dyDescent="0.3">
      <c r="A24" s="17" t="s">
        <v>42</v>
      </c>
      <c r="B24" s="18" t="s">
        <v>43</v>
      </c>
      <c r="C24" s="18" t="s">
        <v>51</v>
      </c>
      <c r="D24" s="18" t="s">
        <v>45</v>
      </c>
      <c r="E24" s="19" t="s">
        <v>21</v>
      </c>
      <c r="F24" s="24">
        <v>960</v>
      </c>
      <c r="G24" s="24"/>
      <c r="H24" s="19" t="s">
        <v>22</v>
      </c>
      <c r="I24" s="21" t="s">
        <v>23</v>
      </c>
      <c r="J24" s="21"/>
      <c r="K24" s="22" t="s">
        <v>16</v>
      </c>
      <c r="L24" s="23">
        <v>132321.20000000001</v>
      </c>
    </row>
    <row r="25" spans="1:12" ht="71.400000000000006" hidden="1" x14ac:dyDescent="0.3">
      <c r="A25" s="17" t="s">
        <v>42</v>
      </c>
      <c r="B25" s="18" t="s">
        <v>43</v>
      </c>
      <c r="C25" s="18" t="s">
        <v>52</v>
      </c>
      <c r="D25" s="18" t="s">
        <v>45</v>
      </c>
      <c r="E25" s="19" t="s">
        <v>21</v>
      </c>
      <c r="F25" s="24">
        <v>978.44</v>
      </c>
      <c r="G25" s="24"/>
      <c r="H25" s="19" t="s">
        <v>22</v>
      </c>
      <c r="I25" s="21" t="s">
        <v>23</v>
      </c>
      <c r="J25" s="21"/>
      <c r="K25" s="22" t="s">
        <v>16</v>
      </c>
      <c r="L25" s="23">
        <v>133299.64000000001</v>
      </c>
    </row>
    <row r="26" spans="1:12" ht="71.400000000000006" hidden="1" x14ac:dyDescent="0.3">
      <c r="A26" s="17" t="s">
        <v>42</v>
      </c>
      <c r="B26" s="18" t="s">
        <v>43</v>
      </c>
      <c r="C26" s="18" t="s">
        <v>53</v>
      </c>
      <c r="D26" s="18" t="s">
        <v>45</v>
      </c>
      <c r="E26" s="19" t="s">
        <v>21</v>
      </c>
      <c r="F26" s="20">
        <v>1167.72</v>
      </c>
      <c r="G26" s="20"/>
      <c r="H26" s="19" t="s">
        <v>22</v>
      </c>
      <c r="I26" s="21" t="s">
        <v>23</v>
      </c>
      <c r="J26" s="21"/>
      <c r="K26" s="22" t="s">
        <v>16</v>
      </c>
      <c r="L26" s="23">
        <v>134467.35999999999</v>
      </c>
    </row>
    <row r="27" spans="1:12" ht="71.400000000000006" hidden="1" x14ac:dyDescent="0.3">
      <c r="A27" s="17" t="s">
        <v>42</v>
      </c>
      <c r="B27" s="18" t="s">
        <v>43</v>
      </c>
      <c r="C27" s="18" t="s">
        <v>54</v>
      </c>
      <c r="D27" s="18" t="s">
        <v>45</v>
      </c>
      <c r="E27" s="19" t="s">
        <v>21</v>
      </c>
      <c r="F27" s="20">
        <v>3686.21</v>
      </c>
      <c r="G27" s="20"/>
      <c r="H27" s="19" t="s">
        <v>22</v>
      </c>
      <c r="I27" s="21" t="s">
        <v>23</v>
      </c>
      <c r="J27" s="21"/>
      <c r="K27" s="22" t="s">
        <v>16</v>
      </c>
      <c r="L27" s="23">
        <v>138153.57</v>
      </c>
    </row>
    <row r="28" spans="1:12" ht="71.400000000000006" hidden="1" x14ac:dyDescent="0.3">
      <c r="A28" s="17" t="s">
        <v>42</v>
      </c>
      <c r="B28" s="18" t="s">
        <v>43</v>
      </c>
      <c r="C28" s="18" t="s">
        <v>55</v>
      </c>
      <c r="D28" s="18" t="s">
        <v>45</v>
      </c>
      <c r="E28" s="19" t="s">
        <v>21</v>
      </c>
      <c r="F28" s="24">
        <v>776.54</v>
      </c>
      <c r="G28" s="24"/>
      <c r="H28" s="19" t="s">
        <v>22</v>
      </c>
      <c r="I28" s="21" t="s">
        <v>23</v>
      </c>
      <c r="J28" s="21"/>
      <c r="K28" s="22" t="s">
        <v>16</v>
      </c>
      <c r="L28" s="23">
        <v>138930.10999999999</v>
      </c>
    </row>
    <row r="29" spans="1:12" ht="71.400000000000006" hidden="1" x14ac:dyDescent="0.3">
      <c r="A29" s="17" t="s">
        <v>42</v>
      </c>
      <c r="B29" s="18" t="s">
        <v>43</v>
      </c>
      <c r="C29" s="18" t="s">
        <v>56</v>
      </c>
      <c r="D29" s="18" t="s">
        <v>45</v>
      </c>
      <c r="E29" s="19" t="s">
        <v>21</v>
      </c>
      <c r="F29" s="24">
        <v>878.94</v>
      </c>
      <c r="G29" s="24"/>
      <c r="H29" s="19" t="s">
        <v>22</v>
      </c>
      <c r="I29" s="21" t="s">
        <v>23</v>
      </c>
      <c r="J29" s="21"/>
      <c r="K29" s="22" t="s">
        <v>16</v>
      </c>
      <c r="L29" s="23">
        <v>139809.04999999999</v>
      </c>
    </row>
    <row r="30" spans="1:12" ht="71.400000000000006" hidden="1" x14ac:dyDescent="0.3">
      <c r="A30" s="17" t="s">
        <v>42</v>
      </c>
      <c r="B30" s="18" t="s">
        <v>43</v>
      </c>
      <c r="C30" s="18" t="s">
        <v>57</v>
      </c>
      <c r="D30" s="18" t="s">
        <v>45</v>
      </c>
      <c r="E30" s="19" t="s">
        <v>21</v>
      </c>
      <c r="F30" s="24">
        <v>790.6</v>
      </c>
      <c r="G30" s="24"/>
      <c r="H30" s="19" t="s">
        <v>22</v>
      </c>
      <c r="I30" s="21" t="s">
        <v>23</v>
      </c>
      <c r="J30" s="21"/>
      <c r="K30" s="22" t="s">
        <v>16</v>
      </c>
      <c r="L30" s="23">
        <v>140599.65</v>
      </c>
    </row>
    <row r="31" spans="1:12" ht="71.400000000000006" hidden="1" x14ac:dyDescent="0.3">
      <c r="A31" s="17" t="s">
        <v>42</v>
      </c>
      <c r="B31" s="18" t="s">
        <v>43</v>
      </c>
      <c r="C31" s="18" t="s">
        <v>58</v>
      </c>
      <c r="D31" s="18" t="s">
        <v>45</v>
      </c>
      <c r="E31" s="19" t="s">
        <v>21</v>
      </c>
      <c r="F31" s="20">
        <v>1243.44</v>
      </c>
      <c r="G31" s="20"/>
      <c r="H31" s="19" t="s">
        <v>22</v>
      </c>
      <c r="I31" s="21" t="s">
        <v>23</v>
      </c>
      <c r="J31" s="21"/>
      <c r="K31" s="22" t="s">
        <v>16</v>
      </c>
      <c r="L31" s="23">
        <v>141843.09</v>
      </c>
    </row>
    <row r="32" spans="1:12" ht="71.400000000000006" hidden="1" x14ac:dyDescent="0.3">
      <c r="A32" s="17" t="s">
        <v>42</v>
      </c>
      <c r="B32" s="18" t="s">
        <v>43</v>
      </c>
      <c r="C32" s="18" t="s">
        <v>59</v>
      </c>
      <c r="D32" s="18" t="s">
        <v>45</v>
      </c>
      <c r="E32" s="19" t="s">
        <v>21</v>
      </c>
      <c r="F32" s="24">
        <v>745.44</v>
      </c>
      <c r="G32" s="24"/>
      <c r="H32" s="19" t="s">
        <v>22</v>
      </c>
      <c r="I32" s="21" t="s">
        <v>23</v>
      </c>
      <c r="J32" s="21"/>
      <c r="K32" s="22" t="s">
        <v>16</v>
      </c>
      <c r="L32" s="23">
        <v>142588.53</v>
      </c>
    </row>
    <row r="33" spans="1:12" ht="71.400000000000006" hidden="1" x14ac:dyDescent="0.3">
      <c r="A33" s="17" t="s">
        <v>42</v>
      </c>
      <c r="B33" s="18" t="s">
        <v>43</v>
      </c>
      <c r="C33" s="18" t="s">
        <v>60</v>
      </c>
      <c r="D33" s="18" t="s">
        <v>45</v>
      </c>
      <c r="E33" s="19" t="s">
        <v>21</v>
      </c>
      <c r="F33" s="20">
        <v>1581.12</v>
      </c>
      <c r="G33" s="20"/>
      <c r="H33" s="19" t="s">
        <v>22</v>
      </c>
      <c r="I33" s="21" t="s">
        <v>23</v>
      </c>
      <c r="J33" s="21"/>
      <c r="K33" s="22" t="s">
        <v>16</v>
      </c>
      <c r="L33" s="23">
        <v>144169.65</v>
      </c>
    </row>
    <row r="34" spans="1:12" ht="71.400000000000006" hidden="1" x14ac:dyDescent="0.3">
      <c r="A34" s="17" t="s">
        <v>42</v>
      </c>
      <c r="B34" s="18" t="s">
        <v>43</v>
      </c>
      <c r="C34" s="18" t="s">
        <v>61</v>
      </c>
      <c r="D34" s="18" t="s">
        <v>45</v>
      </c>
      <c r="E34" s="19" t="s">
        <v>21</v>
      </c>
      <c r="F34" s="20">
        <v>10692.96</v>
      </c>
      <c r="G34" s="20"/>
      <c r="H34" s="19" t="s">
        <v>22</v>
      </c>
      <c r="I34" s="21" t="s">
        <v>23</v>
      </c>
      <c r="J34" s="21"/>
      <c r="K34" s="22" t="s">
        <v>16</v>
      </c>
      <c r="L34" s="23">
        <v>154862.60999999999</v>
      </c>
    </row>
    <row r="35" spans="1:12" ht="81.599999999999994" hidden="1" x14ac:dyDescent="0.3">
      <c r="A35" s="17" t="s">
        <v>42</v>
      </c>
      <c r="B35" s="18" t="s">
        <v>43</v>
      </c>
      <c r="C35" s="18" t="s">
        <v>62</v>
      </c>
      <c r="D35" s="18" t="s">
        <v>45</v>
      </c>
      <c r="E35" s="19" t="s">
        <v>21</v>
      </c>
      <c r="F35" s="20">
        <v>1090.9000000000001</v>
      </c>
      <c r="G35" s="20"/>
      <c r="H35" s="19" t="s">
        <v>22</v>
      </c>
      <c r="I35" s="21" t="s">
        <v>23</v>
      </c>
      <c r="J35" s="21"/>
      <c r="K35" s="22" t="s">
        <v>16</v>
      </c>
      <c r="L35" s="23">
        <v>155953.51</v>
      </c>
    </row>
    <row r="36" spans="1:12" ht="81.599999999999994" hidden="1" x14ac:dyDescent="0.3">
      <c r="A36" s="17" t="s">
        <v>42</v>
      </c>
      <c r="B36" s="18" t="s">
        <v>43</v>
      </c>
      <c r="C36" s="18" t="s">
        <v>63</v>
      </c>
      <c r="D36" s="18" t="s">
        <v>45</v>
      </c>
      <c r="E36" s="19" t="s">
        <v>21</v>
      </c>
      <c r="F36" s="20">
        <v>1956.08</v>
      </c>
      <c r="G36" s="20"/>
      <c r="H36" s="19" t="s">
        <v>22</v>
      </c>
      <c r="I36" s="21" t="s">
        <v>23</v>
      </c>
      <c r="J36" s="21"/>
      <c r="K36" s="22" t="s">
        <v>16</v>
      </c>
      <c r="L36" s="23">
        <v>157909.59</v>
      </c>
    </row>
    <row r="37" spans="1:12" ht="81.599999999999994" hidden="1" x14ac:dyDescent="0.3">
      <c r="A37" s="17" t="s">
        <v>42</v>
      </c>
      <c r="B37" s="18" t="s">
        <v>43</v>
      </c>
      <c r="C37" s="18" t="s">
        <v>64</v>
      </c>
      <c r="D37" s="18" t="s">
        <v>45</v>
      </c>
      <c r="E37" s="19" t="s">
        <v>21</v>
      </c>
      <c r="F37" s="20">
        <v>2245.36</v>
      </c>
      <c r="G37" s="20"/>
      <c r="H37" s="19" t="s">
        <v>22</v>
      </c>
      <c r="I37" s="21" t="s">
        <v>23</v>
      </c>
      <c r="J37" s="21"/>
      <c r="K37" s="22" t="s">
        <v>16</v>
      </c>
      <c r="L37" s="23">
        <v>160154.95000000001</v>
      </c>
    </row>
    <row r="38" spans="1:12" ht="81.599999999999994" hidden="1" x14ac:dyDescent="0.3">
      <c r="A38" s="17" t="s">
        <v>42</v>
      </c>
      <c r="B38" s="18" t="s">
        <v>43</v>
      </c>
      <c r="C38" s="18" t="s">
        <v>65</v>
      </c>
      <c r="D38" s="18" t="s">
        <v>45</v>
      </c>
      <c r="E38" s="19" t="s">
        <v>21</v>
      </c>
      <c r="F38" s="20">
        <v>5647.83</v>
      </c>
      <c r="G38" s="20"/>
      <c r="H38" s="19" t="s">
        <v>22</v>
      </c>
      <c r="I38" s="21" t="s">
        <v>23</v>
      </c>
      <c r="J38" s="21"/>
      <c r="K38" s="22" t="s">
        <v>16</v>
      </c>
      <c r="L38" s="23">
        <v>165802.78</v>
      </c>
    </row>
    <row r="39" spans="1:12" ht="81.599999999999994" hidden="1" x14ac:dyDescent="0.3">
      <c r="A39" s="17" t="s">
        <v>42</v>
      </c>
      <c r="B39" s="18" t="s">
        <v>43</v>
      </c>
      <c r="C39" s="18" t="s">
        <v>66</v>
      </c>
      <c r="D39" s="18" t="s">
        <v>45</v>
      </c>
      <c r="E39" s="19" t="s">
        <v>21</v>
      </c>
      <c r="F39" s="20">
        <v>1542.82</v>
      </c>
      <c r="G39" s="20"/>
      <c r="H39" s="19" t="s">
        <v>22</v>
      </c>
      <c r="I39" s="21" t="s">
        <v>23</v>
      </c>
      <c r="J39" s="21"/>
      <c r="K39" s="22" t="s">
        <v>16</v>
      </c>
      <c r="L39" s="23">
        <v>167345.60000000001</v>
      </c>
    </row>
    <row r="40" spans="1:12" ht="81.599999999999994" hidden="1" x14ac:dyDescent="0.3">
      <c r="A40" s="17" t="s">
        <v>42</v>
      </c>
      <c r="B40" s="18" t="s">
        <v>43</v>
      </c>
      <c r="C40" s="18" t="s">
        <v>67</v>
      </c>
      <c r="D40" s="18" t="s">
        <v>45</v>
      </c>
      <c r="E40" s="19" t="s">
        <v>21</v>
      </c>
      <c r="F40" s="20">
        <v>5234.57</v>
      </c>
      <c r="G40" s="20"/>
      <c r="H40" s="19" t="s">
        <v>22</v>
      </c>
      <c r="I40" s="21" t="s">
        <v>23</v>
      </c>
      <c r="J40" s="21"/>
      <c r="K40" s="22" t="s">
        <v>16</v>
      </c>
      <c r="L40" s="23">
        <v>172580.17</v>
      </c>
    </row>
    <row r="41" spans="1:12" ht="81.599999999999994" hidden="1" x14ac:dyDescent="0.3">
      <c r="A41" s="17" t="s">
        <v>42</v>
      </c>
      <c r="B41" s="18" t="s">
        <v>43</v>
      </c>
      <c r="C41" s="18" t="s">
        <v>68</v>
      </c>
      <c r="D41" s="18" t="s">
        <v>45</v>
      </c>
      <c r="E41" s="19" t="s">
        <v>21</v>
      </c>
      <c r="F41" s="20">
        <v>1611.7</v>
      </c>
      <c r="G41" s="20"/>
      <c r="H41" s="19" t="s">
        <v>22</v>
      </c>
      <c r="I41" s="21" t="s">
        <v>23</v>
      </c>
      <c r="J41" s="21"/>
      <c r="K41" s="22" t="s">
        <v>16</v>
      </c>
      <c r="L41" s="23">
        <v>174191.87</v>
      </c>
    </row>
    <row r="42" spans="1:12" ht="81.599999999999994" hidden="1" x14ac:dyDescent="0.3">
      <c r="A42" s="17" t="s">
        <v>42</v>
      </c>
      <c r="B42" s="18" t="s">
        <v>43</v>
      </c>
      <c r="C42" s="18" t="s">
        <v>69</v>
      </c>
      <c r="D42" s="18" t="s">
        <v>45</v>
      </c>
      <c r="E42" s="19" t="s">
        <v>21</v>
      </c>
      <c r="F42" s="24">
        <v>964.26</v>
      </c>
      <c r="G42" s="24"/>
      <c r="H42" s="19" t="s">
        <v>22</v>
      </c>
      <c r="I42" s="21" t="s">
        <v>23</v>
      </c>
      <c r="J42" s="21"/>
      <c r="K42" s="22" t="s">
        <v>16</v>
      </c>
      <c r="L42" s="23">
        <v>175156.13</v>
      </c>
    </row>
    <row r="43" spans="1:12" ht="81.599999999999994" hidden="1" x14ac:dyDescent="0.3">
      <c r="A43" s="17" t="s">
        <v>42</v>
      </c>
      <c r="B43" s="18" t="s">
        <v>43</v>
      </c>
      <c r="C43" s="18" t="s">
        <v>70</v>
      </c>
      <c r="D43" s="18" t="s">
        <v>45</v>
      </c>
      <c r="E43" s="19" t="s">
        <v>21</v>
      </c>
      <c r="F43" s="24">
        <v>785.19</v>
      </c>
      <c r="G43" s="24"/>
      <c r="H43" s="19" t="s">
        <v>22</v>
      </c>
      <c r="I43" s="21" t="s">
        <v>23</v>
      </c>
      <c r="J43" s="21"/>
      <c r="K43" s="22" t="s">
        <v>16</v>
      </c>
      <c r="L43" s="23">
        <v>175941.32</v>
      </c>
    </row>
    <row r="44" spans="1:12" ht="81.599999999999994" hidden="1" x14ac:dyDescent="0.3">
      <c r="A44" s="17" t="s">
        <v>42</v>
      </c>
      <c r="B44" s="18" t="s">
        <v>43</v>
      </c>
      <c r="C44" s="18" t="s">
        <v>71</v>
      </c>
      <c r="D44" s="18" t="s">
        <v>45</v>
      </c>
      <c r="E44" s="19" t="s">
        <v>21</v>
      </c>
      <c r="F44" s="20">
        <v>1526.39</v>
      </c>
      <c r="G44" s="20"/>
      <c r="H44" s="19" t="s">
        <v>22</v>
      </c>
      <c r="I44" s="21" t="s">
        <v>23</v>
      </c>
      <c r="J44" s="21"/>
      <c r="K44" s="22" t="s">
        <v>16</v>
      </c>
      <c r="L44" s="23">
        <v>177467.71</v>
      </c>
    </row>
    <row r="45" spans="1:12" ht="81.599999999999994" hidden="1" x14ac:dyDescent="0.3">
      <c r="A45" s="17" t="s">
        <v>42</v>
      </c>
      <c r="B45" s="18" t="s">
        <v>43</v>
      </c>
      <c r="C45" s="18" t="s">
        <v>72</v>
      </c>
      <c r="D45" s="18" t="s">
        <v>45</v>
      </c>
      <c r="E45" s="19" t="s">
        <v>21</v>
      </c>
      <c r="F45" s="20">
        <v>1440.84</v>
      </c>
      <c r="G45" s="20"/>
      <c r="H45" s="19" t="s">
        <v>22</v>
      </c>
      <c r="I45" s="21" t="s">
        <v>23</v>
      </c>
      <c r="J45" s="21"/>
      <c r="K45" s="22" t="s">
        <v>16</v>
      </c>
      <c r="L45" s="23">
        <v>178908.55</v>
      </c>
    </row>
    <row r="46" spans="1:12" ht="71.400000000000006" hidden="1" x14ac:dyDescent="0.3">
      <c r="A46" s="17" t="s">
        <v>42</v>
      </c>
      <c r="B46" s="18" t="s">
        <v>43</v>
      </c>
      <c r="C46" s="18" t="s">
        <v>73</v>
      </c>
      <c r="D46" s="18" t="s">
        <v>45</v>
      </c>
      <c r="E46" s="19" t="s">
        <v>21</v>
      </c>
      <c r="F46" s="20">
        <v>49937.85</v>
      </c>
      <c r="G46" s="20"/>
      <c r="H46" s="19" t="s">
        <v>22</v>
      </c>
      <c r="I46" s="21" t="s">
        <v>23</v>
      </c>
      <c r="J46" s="21"/>
      <c r="K46" s="22" t="s">
        <v>16</v>
      </c>
      <c r="L46" s="23">
        <v>228846.4</v>
      </c>
    </row>
    <row r="47" spans="1:12" ht="61.2" hidden="1" x14ac:dyDescent="0.3">
      <c r="A47" s="17" t="s">
        <v>74</v>
      </c>
      <c r="B47" s="18" t="s">
        <v>75</v>
      </c>
      <c r="C47" s="18" t="s">
        <v>76</v>
      </c>
      <c r="D47" s="18" t="s">
        <v>77</v>
      </c>
      <c r="E47" s="19" t="s">
        <v>21</v>
      </c>
      <c r="F47" s="24">
        <v>602</v>
      </c>
      <c r="G47" s="24"/>
      <c r="H47" s="19" t="s">
        <v>22</v>
      </c>
      <c r="I47" s="21" t="s">
        <v>23</v>
      </c>
      <c r="J47" s="21"/>
      <c r="K47" s="22" t="s">
        <v>16</v>
      </c>
      <c r="L47" s="23">
        <v>229448.4</v>
      </c>
    </row>
    <row r="48" spans="1:12" ht="61.2" hidden="1" x14ac:dyDescent="0.3">
      <c r="A48" s="17" t="s">
        <v>74</v>
      </c>
      <c r="B48" s="18" t="s">
        <v>75</v>
      </c>
      <c r="C48" s="18" t="s">
        <v>78</v>
      </c>
      <c r="D48" s="18" t="s">
        <v>77</v>
      </c>
      <c r="E48" s="19" t="s">
        <v>21</v>
      </c>
      <c r="F48" s="24">
        <v>647.28</v>
      </c>
      <c r="G48" s="24"/>
      <c r="H48" s="19" t="s">
        <v>22</v>
      </c>
      <c r="I48" s="21" t="s">
        <v>23</v>
      </c>
      <c r="J48" s="21"/>
      <c r="K48" s="22" t="s">
        <v>16</v>
      </c>
      <c r="L48" s="23">
        <v>230095.68</v>
      </c>
    </row>
    <row r="49" spans="1:12" ht="61.2" hidden="1" x14ac:dyDescent="0.3">
      <c r="A49" s="17" t="s">
        <v>74</v>
      </c>
      <c r="B49" s="18" t="s">
        <v>75</v>
      </c>
      <c r="C49" s="18" t="s">
        <v>79</v>
      </c>
      <c r="D49" s="18" t="s">
        <v>77</v>
      </c>
      <c r="E49" s="19" t="s">
        <v>21</v>
      </c>
      <c r="F49" s="24">
        <v>227.92</v>
      </c>
      <c r="G49" s="24"/>
      <c r="H49" s="19" t="s">
        <v>22</v>
      </c>
      <c r="I49" s="21" t="s">
        <v>23</v>
      </c>
      <c r="J49" s="21"/>
      <c r="K49" s="22" t="s">
        <v>16</v>
      </c>
      <c r="L49" s="23">
        <v>230323.6</v>
      </c>
    </row>
    <row r="50" spans="1:12" ht="61.2" hidden="1" x14ac:dyDescent="0.3">
      <c r="A50" s="17" t="s">
        <v>74</v>
      </c>
      <c r="B50" s="18" t="s">
        <v>75</v>
      </c>
      <c r="C50" s="18" t="s">
        <v>80</v>
      </c>
      <c r="D50" s="18" t="s">
        <v>77</v>
      </c>
      <c r="E50" s="19" t="s">
        <v>21</v>
      </c>
      <c r="F50" s="24">
        <v>22.8</v>
      </c>
      <c r="G50" s="24"/>
      <c r="H50" s="19" t="s">
        <v>22</v>
      </c>
      <c r="I50" s="21" t="s">
        <v>23</v>
      </c>
      <c r="J50" s="21"/>
      <c r="K50" s="22" t="s">
        <v>16</v>
      </c>
      <c r="L50" s="23">
        <v>230346.4</v>
      </c>
    </row>
    <row r="51" spans="1:12" ht="61.2" hidden="1" x14ac:dyDescent="0.3">
      <c r="A51" s="17" t="s">
        <v>74</v>
      </c>
      <c r="B51" s="18" t="s">
        <v>75</v>
      </c>
      <c r="C51" s="18" t="s">
        <v>81</v>
      </c>
      <c r="D51" s="18" t="s">
        <v>77</v>
      </c>
      <c r="E51" s="19" t="s">
        <v>21</v>
      </c>
      <c r="F51" s="20">
        <v>2751.84</v>
      </c>
      <c r="G51" s="20"/>
      <c r="H51" s="19" t="s">
        <v>22</v>
      </c>
      <c r="I51" s="21" t="s">
        <v>23</v>
      </c>
      <c r="J51" s="21"/>
      <c r="K51" s="22" t="s">
        <v>16</v>
      </c>
      <c r="L51" s="23">
        <v>233098.23999999999</v>
      </c>
    </row>
    <row r="52" spans="1:12" ht="61.2" hidden="1" x14ac:dyDescent="0.3">
      <c r="A52" s="17" t="s">
        <v>74</v>
      </c>
      <c r="B52" s="18" t="s">
        <v>75</v>
      </c>
      <c r="C52" s="18" t="s">
        <v>81</v>
      </c>
      <c r="D52" s="18" t="s">
        <v>77</v>
      </c>
      <c r="E52" s="19" t="s">
        <v>21</v>
      </c>
      <c r="F52" s="24">
        <v>917.28</v>
      </c>
      <c r="G52" s="24"/>
      <c r="H52" s="19" t="s">
        <v>22</v>
      </c>
      <c r="I52" s="21" t="s">
        <v>23</v>
      </c>
      <c r="J52" s="21"/>
      <c r="K52" s="22" t="s">
        <v>16</v>
      </c>
      <c r="L52" s="23">
        <v>234015.52</v>
      </c>
    </row>
    <row r="53" spans="1:12" ht="61.2" hidden="1" x14ac:dyDescent="0.3">
      <c r="A53" s="17" t="s">
        <v>74</v>
      </c>
      <c r="B53" s="18" t="s">
        <v>75</v>
      </c>
      <c r="C53" s="18" t="s">
        <v>82</v>
      </c>
      <c r="D53" s="18" t="s">
        <v>77</v>
      </c>
      <c r="E53" s="19" t="s">
        <v>21</v>
      </c>
      <c r="F53" s="24">
        <v>891.36</v>
      </c>
      <c r="G53" s="24"/>
      <c r="H53" s="19" t="s">
        <v>22</v>
      </c>
      <c r="I53" s="21" t="s">
        <v>23</v>
      </c>
      <c r="J53" s="21"/>
      <c r="K53" s="22" t="s">
        <v>16</v>
      </c>
      <c r="L53" s="23">
        <v>234906.88</v>
      </c>
    </row>
    <row r="54" spans="1:12" ht="61.2" hidden="1" x14ac:dyDescent="0.3">
      <c r="A54" s="17" t="s">
        <v>74</v>
      </c>
      <c r="B54" s="18" t="s">
        <v>75</v>
      </c>
      <c r="C54" s="18" t="s">
        <v>83</v>
      </c>
      <c r="D54" s="18" t="s">
        <v>77</v>
      </c>
      <c r="E54" s="19" t="s">
        <v>21</v>
      </c>
      <c r="F54" s="24">
        <v>852</v>
      </c>
      <c r="G54" s="24"/>
      <c r="H54" s="19" t="s">
        <v>22</v>
      </c>
      <c r="I54" s="21" t="s">
        <v>23</v>
      </c>
      <c r="J54" s="21"/>
      <c r="K54" s="22" t="s">
        <v>16</v>
      </c>
      <c r="L54" s="23">
        <v>235758.88</v>
      </c>
    </row>
    <row r="55" spans="1:12" ht="61.2" hidden="1" x14ac:dyDescent="0.3">
      <c r="A55" s="17" t="s">
        <v>74</v>
      </c>
      <c r="B55" s="18" t="s">
        <v>75</v>
      </c>
      <c r="C55" s="18" t="s">
        <v>84</v>
      </c>
      <c r="D55" s="18" t="s">
        <v>77</v>
      </c>
      <c r="E55" s="19" t="s">
        <v>21</v>
      </c>
      <c r="F55" s="20">
        <v>2300.84</v>
      </c>
      <c r="G55" s="20"/>
      <c r="H55" s="19" t="s">
        <v>22</v>
      </c>
      <c r="I55" s="21" t="s">
        <v>23</v>
      </c>
      <c r="J55" s="21"/>
      <c r="K55" s="22" t="s">
        <v>16</v>
      </c>
      <c r="L55" s="23">
        <v>238059.72</v>
      </c>
    </row>
    <row r="56" spans="1:12" ht="71.400000000000006" hidden="1" x14ac:dyDescent="0.3">
      <c r="A56" s="17" t="s">
        <v>74</v>
      </c>
      <c r="B56" s="18" t="s">
        <v>75</v>
      </c>
      <c r="C56" s="18" t="s">
        <v>85</v>
      </c>
      <c r="D56" s="18" t="s">
        <v>77</v>
      </c>
      <c r="E56" s="19" t="s">
        <v>21</v>
      </c>
      <c r="F56" s="24">
        <v>199.44</v>
      </c>
      <c r="G56" s="24"/>
      <c r="H56" s="19" t="s">
        <v>22</v>
      </c>
      <c r="I56" s="21" t="s">
        <v>23</v>
      </c>
      <c r="J56" s="21"/>
      <c r="K56" s="22" t="s">
        <v>16</v>
      </c>
      <c r="L56" s="23">
        <v>238259.16</v>
      </c>
    </row>
    <row r="57" spans="1:12" ht="71.400000000000006" hidden="1" x14ac:dyDescent="0.3">
      <c r="A57" s="17" t="s">
        <v>74</v>
      </c>
      <c r="B57" s="18" t="s">
        <v>75</v>
      </c>
      <c r="C57" s="18" t="s">
        <v>86</v>
      </c>
      <c r="D57" s="18" t="s">
        <v>77</v>
      </c>
      <c r="E57" s="19" t="s">
        <v>21</v>
      </c>
      <c r="F57" s="24">
        <v>509.83</v>
      </c>
      <c r="G57" s="24"/>
      <c r="H57" s="19" t="s">
        <v>22</v>
      </c>
      <c r="I57" s="21" t="s">
        <v>23</v>
      </c>
      <c r="J57" s="21"/>
      <c r="K57" s="22" t="s">
        <v>16</v>
      </c>
      <c r="L57" s="23">
        <v>238768.99</v>
      </c>
    </row>
    <row r="58" spans="1:12" ht="61.2" hidden="1" x14ac:dyDescent="0.3">
      <c r="A58" s="17" t="s">
        <v>74</v>
      </c>
      <c r="B58" s="18" t="s">
        <v>87</v>
      </c>
      <c r="C58" s="18" t="s">
        <v>88</v>
      </c>
      <c r="D58" s="18" t="s">
        <v>89</v>
      </c>
      <c r="E58" s="19" t="s">
        <v>21</v>
      </c>
      <c r="F58" s="24">
        <v>233.6</v>
      </c>
      <c r="G58" s="24"/>
      <c r="H58" s="19" t="s">
        <v>22</v>
      </c>
      <c r="I58" s="21" t="s">
        <v>23</v>
      </c>
      <c r="J58" s="21"/>
      <c r="K58" s="22" t="s">
        <v>16</v>
      </c>
      <c r="L58" s="23">
        <v>239002.59</v>
      </c>
    </row>
    <row r="59" spans="1:12" ht="61.2" hidden="1" x14ac:dyDescent="0.3">
      <c r="A59" s="17" t="s">
        <v>74</v>
      </c>
      <c r="B59" s="18" t="s">
        <v>87</v>
      </c>
      <c r="C59" s="18" t="s">
        <v>90</v>
      </c>
      <c r="D59" s="18" t="s">
        <v>89</v>
      </c>
      <c r="E59" s="19" t="s">
        <v>21</v>
      </c>
      <c r="F59" s="24">
        <v>339.26</v>
      </c>
      <c r="G59" s="24"/>
      <c r="H59" s="19" t="s">
        <v>22</v>
      </c>
      <c r="I59" s="21" t="s">
        <v>23</v>
      </c>
      <c r="J59" s="21"/>
      <c r="K59" s="22" t="s">
        <v>16</v>
      </c>
      <c r="L59" s="23">
        <v>239341.85</v>
      </c>
    </row>
    <row r="60" spans="1:12" ht="61.2" hidden="1" x14ac:dyDescent="0.3">
      <c r="A60" s="17" t="s">
        <v>74</v>
      </c>
      <c r="B60" s="18" t="s">
        <v>87</v>
      </c>
      <c r="C60" s="18" t="s">
        <v>91</v>
      </c>
      <c r="D60" s="18" t="s">
        <v>89</v>
      </c>
      <c r="E60" s="19" t="s">
        <v>21</v>
      </c>
      <c r="F60" s="24">
        <v>229.82</v>
      </c>
      <c r="G60" s="24"/>
      <c r="H60" s="19" t="s">
        <v>22</v>
      </c>
      <c r="I60" s="21" t="s">
        <v>23</v>
      </c>
      <c r="J60" s="21"/>
      <c r="K60" s="22" t="s">
        <v>16</v>
      </c>
      <c r="L60" s="23">
        <v>239571.67</v>
      </c>
    </row>
    <row r="61" spans="1:12" ht="61.2" hidden="1" x14ac:dyDescent="0.3">
      <c r="A61" s="17" t="s">
        <v>74</v>
      </c>
      <c r="B61" s="18" t="s">
        <v>87</v>
      </c>
      <c r="C61" s="18" t="s">
        <v>92</v>
      </c>
      <c r="D61" s="18" t="s">
        <v>89</v>
      </c>
      <c r="E61" s="19" t="s">
        <v>21</v>
      </c>
      <c r="F61" s="24">
        <v>33.31</v>
      </c>
      <c r="G61" s="24"/>
      <c r="H61" s="19" t="s">
        <v>22</v>
      </c>
      <c r="I61" s="21" t="s">
        <v>23</v>
      </c>
      <c r="J61" s="21"/>
      <c r="K61" s="22" t="s">
        <v>16</v>
      </c>
      <c r="L61" s="23">
        <v>239604.98</v>
      </c>
    </row>
    <row r="62" spans="1:12" ht="61.2" hidden="1" x14ac:dyDescent="0.3">
      <c r="A62" s="17" t="s">
        <v>74</v>
      </c>
      <c r="B62" s="18" t="s">
        <v>87</v>
      </c>
      <c r="C62" s="18" t="s">
        <v>93</v>
      </c>
      <c r="D62" s="18" t="s">
        <v>89</v>
      </c>
      <c r="E62" s="19" t="s">
        <v>21</v>
      </c>
      <c r="F62" s="20">
        <v>2305.14</v>
      </c>
      <c r="G62" s="20"/>
      <c r="H62" s="19" t="s">
        <v>22</v>
      </c>
      <c r="I62" s="21" t="s">
        <v>23</v>
      </c>
      <c r="J62" s="21"/>
      <c r="K62" s="22" t="s">
        <v>16</v>
      </c>
      <c r="L62" s="23">
        <v>241910.12</v>
      </c>
    </row>
    <row r="63" spans="1:12" ht="61.2" hidden="1" x14ac:dyDescent="0.3">
      <c r="A63" s="17" t="s">
        <v>74</v>
      </c>
      <c r="B63" s="18" t="s">
        <v>87</v>
      </c>
      <c r="C63" s="18" t="s">
        <v>94</v>
      </c>
      <c r="D63" s="18" t="s">
        <v>89</v>
      </c>
      <c r="E63" s="19" t="s">
        <v>21</v>
      </c>
      <c r="F63" s="24">
        <v>517.49</v>
      </c>
      <c r="G63" s="24"/>
      <c r="H63" s="19" t="s">
        <v>22</v>
      </c>
      <c r="I63" s="21" t="s">
        <v>23</v>
      </c>
      <c r="J63" s="21"/>
      <c r="K63" s="22" t="s">
        <v>16</v>
      </c>
      <c r="L63" s="23">
        <v>242427.61</v>
      </c>
    </row>
    <row r="64" spans="1:12" ht="61.2" hidden="1" x14ac:dyDescent="0.3">
      <c r="A64" s="17" t="s">
        <v>74</v>
      </c>
      <c r="B64" s="18" t="s">
        <v>87</v>
      </c>
      <c r="C64" s="18" t="s">
        <v>95</v>
      </c>
      <c r="D64" s="18" t="s">
        <v>89</v>
      </c>
      <c r="E64" s="19" t="s">
        <v>21</v>
      </c>
      <c r="F64" s="20">
        <v>1563.4</v>
      </c>
      <c r="G64" s="20"/>
      <c r="H64" s="19" t="s">
        <v>22</v>
      </c>
      <c r="I64" s="21" t="s">
        <v>23</v>
      </c>
      <c r="J64" s="21"/>
      <c r="K64" s="22" t="s">
        <v>16</v>
      </c>
      <c r="L64" s="23">
        <v>243991.01</v>
      </c>
    </row>
    <row r="65" spans="1:12" ht="61.2" hidden="1" x14ac:dyDescent="0.3">
      <c r="A65" s="17" t="s">
        <v>74</v>
      </c>
      <c r="B65" s="18" t="s">
        <v>87</v>
      </c>
      <c r="C65" s="18" t="s">
        <v>96</v>
      </c>
      <c r="D65" s="18" t="s">
        <v>89</v>
      </c>
      <c r="E65" s="19" t="s">
        <v>21</v>
      </c>
      <c r="F65" s="20">
        <v>6596.35</v>
      </c>
      <c r="G65" s="20"/>
      <c r="H65" s="19" t="s">
        <v>22</v>
      </c>
      <c r="I65" s="21" t="s">
        <v>23</v>
      </c>
      <c r="J65" s="21"/>
      <c r="K65" s="22" t="s">
        <v>16</v>
      </c>
      <c r="L65" s="23">
        <v>250587.36</v>
      </c>
    </row>
    <row r="66" spans="1:12" ht="71.400000000000006" hidden="1" x14ac:dyDescent="0.3">
      <c r="A66" s="17" t="s">
        <v>74</v>
      </c>
      <c r="B66" s="18" t="s">
        <v>87</v>
      </c>
      <c r="C66" s="18" t="s">
        <v>97</v>
      </c>
      <c r="D66" s="18" t="s">
        <v>89</v>
      </c>
      <c r="E66" s="19" t="s">
        <v>21</v>
      </c>
      <c r="F66" s="24">
        <v>163.5</v>
      </c>
      <c r="G66" s="24"/>
      <c r="H66" s="19" t="s">
        <v>22</v>
      </c>
      <c r="I66" s="21" t="s">
        <v>23</v>
      </c>
      <c r="J66" s="21"/>
      <c r="K66" s="22" t="s">
        <v>16</v>
      </c>
      <c r="L66" s="23">
        <v>250750.86</v>
      </c>
    </row>
    <row r="67" spans="1:12" ht="71.400000000000006" hidden="1" x14ac:dyDescent="0.3">
      <c r="A67" s="17" t="s">
        <v>74</v>
      </c>
      <c r="B67" s="18" t="s">
        <v>87</v>
      </c>
      <c r="C67" s="18" t="s">
        <v>98</v>
      </c>
      <c r="D67" s="18" t="s">
        <v>89</v>
      </c>
      <c r="E67" s="19" t="s">
        <v>21</v>
      </c>
      <c r="F67" s="24">
        <v>424.78</v>
      </c>
      <c r="G67" s="24"/>
      <c r="H67" s="19" t="s">
        <v>22</v>
      </c>
      <c r="I67" s="21" t="s">
        <v>23</v>
      </c>
      <c r="J67" s="21"/>
      <c r="K67" s="22" t="s">
        <v>16</v>
      </c>
      <c r="L67" s="23">
        <v>251175.64</v>
      </c>
    </row>
    <row r="68" spans="1:12" ht="71.400000000000006" hidden="1" x14ac:dyDescent="0.3">
      <c r="A68" s="17" t="s">
        <v>74</v>
      </c>
      <c r="B68" s="18" t="s">
        <v>87</v>
      </c>
      <c r="C68" s="18" t="s">
        <v>99</v>
      </c>
      <c r="D68" s="18" t="s">
        <v>89</v>
      </c>
      <c r="E68" s="19" t="s">
        <v>21</v>
      </c>
      <c r="F68" s="20">
        <v>1533.47</v>
      </c>
      <c r="G68" s="20"/>
      <c r="H68" s="19" t="s">
        <v>22</v>
      </c>
      <c r="I68" s="21" t="s">
        <v>23</v>
      </c>
      <c r="J68" s="21"/>
      <c r="K68" s="22" t="s">
        <v>16</v>
      </c>
      <c r="L68" s="23">
        <v>252709.11</v>
      </c>
    </row>
    <row r="69" spans="1:12" ht="61.2" hidden="1" x14ac:dyDescent="0.3">
      <c r="A69" s="17" t="s">
        <v>74</v>
      </c>
      <c r="B69" s="18" t="s">
        <v>100</v>
      </c>
      <c r="C69" s="18" t="s">
        <v>101</v>
      </c>
      <c r="D69" s="18" t="s">
        <v>89</v>
      </c>
      <c r="E69" s="19" t="s">
        <v>21</v>
      </c>
      <c r="F69" s="24">
        <v>320.86</v>
      </c>
      <c r="G69" s="24"/>
      <c r="H69" s="19" t="s">
        <v>22</v>
      </c>
      <c r="I69" s="21" t="s">
        <v>23</v>
      </c>
      <c r="J69" s="21"/>
      <c r="K69" s="22" t="s">
        <v>16</v>
      </c>
      <c r="L69" s="23">
        <v>253029.97</v>
      </c>
    </row>
    <row r="70" spans="1:12" ht="61.2" hidden="1" x14ac:dyDescent="0.3">
      <c r="A70" s="17" t="s">
        <v>74</v>
      </c>
      <c r="B70" s="18" t="s">
        <v>87</v>
      </c>
      <c r="C70" s="18" t="s">
        <v>101</v>
      </c>
      <c r="D70" s="18" t="s">
        <v>89</v>
      </c>
      <c r="E70" s="19" t="s">
        <v>21</v>
      </c>
      <c r="F70" s="20">
        <v>1420.5</v>
      </c>
      <c r="G70" s="20"/>
      <c r="H70" s="19" t="s">
        <v>22</v>
      </c>
      <c r="I70" s="21" t="s">
        <v>23</v>
      </c>
      <c r="J70" s="21"/>
      <c r="K70" s="22" t="s">
        <v>16</v>
      </c>
      <c r="L70" s="23">
        <v>254450.47</v>
      </c>
    </row>
    <row r="71" spans="1:12" ht="61.2" hidden="1" x14ac:dyDescent="0.3">
      <c r="A71" s="17" t="s">
        <v>74</v>
      </c>
      <c r="B71" s="18" t="s">
        <v>100</v>
      </c>
      <c r="C71" s="18" t="s">
        <v>102</v>
      </c>
      <c r="D71" s="18" t="s">
        <v>89</v>
      </c>
      <c r="E71" s="19" t="s">
        <v>21</v>
      </c>
      <c r="F71" s="24">
        <v>674.29</v>
      </c>
      <c r="G71" s="24"/>
      <c r="H71" s="19" t="s">
        <v>22</v>
      </c>
      <c r="I71" s="21" t="s">
        <v>23</v>
      </c>
      <c r="J71" s="21"/>
      <c r="K71" s="22" t="s">
        <v>16</v>
      </c>
      <c r="L71" s="23">
        <v>255124.76</v>
      </c>
    </row>
    <row r="72" spans="1:12" ht="61.2" hidden="1" x14ac:dyDescent="0.3">
      <c r="A72" s="17" t="s">
        <v>74</v>
      </c>
      <c r="B72" s="18" t="s">
        <v>100</v>
      </c>
      <c r="C72" s="18" t="s">
        <v>103</v>
      </c>
      <c r="D72" s="18" t="s">
        <v>89</v>
      </c>
      <c r="E72" s="19" t="s">
        <v>21</v>
      </c>
      <c r="F72" s="24">
        <v>580.25</v>
      </c>
      <c r="G72" s="24"/>
      <c r="H72" s="19" t="s">
        <v>22</v>
      </c>
      <c r="I72" s="21" t="s">
        <v>23</v>
      </c>
      <c r="J72" s="21"/>
      <c r="K72" s="22" t="s">
        <v>16</v>
      </c>
      <c r="L72" s="23">
        <v>255705.01</v>
      </c>
    </row>
    <row r="73" spans="1:12" ht="61.2" hidden="1" x14ac:dyDescent="0.3">
      <c r="A73" s="17" t="s">
        <v>74</v>
      </c>
      <c r="B73" s="18" t="s">
        <v>100</v>
      </c>
      <c r="C73" s="18" t="s">
        <v>104</v>
      </c>
      <c r="D73" s="18" t="s">
        <v>89</v>
      </c>
      <c r="E73" s="19" t="s">
        <v>21</v>
      </c>
      <c r="F73" s="20">
        <v>1934.38</v>
      </c>
      <c r="G73" s="20"/>
      <c r="H73" s="19" t="s">
        <v>22</v>
      </c>
      <c r="I73" s="21" t="s">
        <v>23</v>
      </c>
      <c r="J73" s="21"/>
      <c r="K73" s="22" t="s">
        <v>16</v>
      </c>
      <c r="L73" s="23">
        <v>257639.39</v>
      </c>
    </row>
    <row r="74" spans="1:12" ht="61.2" hidden="1" x14ac:dyDescent="0.3">
      <c r="A74" s="17" t="s">
        <v>74</v>
      </c>
      <c r="B74" s="18" t="s">
        <v>100</v>
      </c>
      <c r="C74" s="18" t="s">
        <v>105</v>
      </c>
      <c r="D74" s="18" t="s">
        <v>89</v>
      </c>
      <c r="E74" s="19" t="s">
        <v>21</v>
      </c>
      <c r="F74" s="20">
        <v>9834.44</v>
      </c>
      <c r="G74" s="20"/>
      <c r="H74" s="19" t="s">
        <v>22</v>
      </c>
      <c r="I74" s="21" t="s">
        <v>23</v>
      </c>
      <c r="J74" s="21"/>
      <c r="K74" s="22" t="s">
        <v>16</v>
      </c>
      <c r="L74" s="23">
        <v>267473.83</v>
      </c>
    </row>
    <row r="75" spans="1:12" ht="61.2" hidden="1" x14ac:dyDescent="0.3">
      <c r="A75" s="17" t="s">
        <v>74</v>
      </c>
      <c r="B75" s="18" t="s">
        <v>100</v>
      </c>
      <c r="C75" s="18" t="s">
        <v>106</v>
      </c>
      <c r="D75" s="18" t="s">
        <v>89</v>
      </c>
      <c r="E75" s="19" t="s">
        <v>21</v>
      </c>
      <c r="F75" s="20">
        <v>6102.91</v>
      </c>
      <c r="G75" s="20"/>
      <c r="H75" s="19" t="s">
        <v>22</v>
      </c>
      <c r="I75" s="21" t="s">
        <v>23</v>
      </c>
      <c r="J75" s="21"/>
      <c r="K75" s="22" t="s">
        <v>16</v>
      </c>
      <c r="L75" s="23">
        <v>273576.74</v>
      </c>
    </row>
    <row r="76" spans="1:12" ht="61.2" hidden="1" x14ac:dyDescent="0.3">
      <c r="A76" s="17" t="s">
        <v>74</v>
      </c>
      <c r="B76" s="18" t="s">
        <v>100</v>
      </c>
      <c r="C76" s="18" t="s">
        <v>107</v>
      </c>
      <c r="D76" s="18" t="s">
        <v>89</v>
      </c>
      <c r="E76" s="19" t="s">
        <v>21</v>
      </c>
      <c r="F76" s="20">
        <v>3264.4</v>
      </c>
      <c r="G76" s="20"/>
      <c r="H76" s="19" t="s">
        <v>22</v>
      </c>
      <c r="I76" s="21" t="s">
        <v>23</v>
      </c>
      <c r="J76" s="21"/>
      <c r="K76" s="22" t="s">
        <v>16</v>
      </c>
      <c r="L76" s="23">
        <v>276841.14</v>
      </c>
    </row>
    <row r="77" spans="1:12" ht="61.2" hidden="1" x14ac:dyDescent="0.3">
      <c r="A77" s="17" t="s">
        <v>74</v>
      </c>
      <c r="B77" s="18" t="s">
        <v>108</v>
      </c>
      <c r="C77" s="18" t="s">
        <v>109</v>
      </c>
      <c r="D77" s="18" t="s">
        <v>110</v>
      </c>
      <c r="E77" s="19" t="s">
        <v>21</v>
      </c>
      <c r="F77" s="20">
        <v>7809.3</v>
      </c>
      <c r="G77" s="20"/>
      <c r="H77" s="19" t="s">
        <v>22</v>
      </c>
      <c r="I77" s="21" t="s">
        <v>23</v>
      </c>
      <c r="J77" s="21"/>
      <c r="K77" s="22" t="s">
        <v>16</v>
      </c>
      <c r="L77" s="23">
        <v>284650.44</v>
      </c>
    </row>
    <row r="78" spans="1:12" ht="61.2" hidden="1" x14ac:dyDescent="0.3">
      <c r="A78" s="17" t="s">
        <v>74</v>
      </c>
      <c r="B78" s="18" t="s">
        <v>108</v>
      </c>
      <c r="C78" s="18" t="s">
        <v>111</v>
      </c>
      <c r="D78" s="18" t="s">
        <v>110</v>
      </c>
      <c r="E78" s="19" t="s">
        <v>21</v>
      </c>
      <c r="F78" s="20">
        <v>3105.74</v>
      </c>
      <c r="G78" s="20"/>
      <c r="H78" s="19" t="s">
        <v>22</v>
      </c>
      <c r="I78" s="21" t="s">
        <v>23</v>
      </c>
      <c r="J78" s="21"/>
      <c r="K78" s="22" t="s">
        <v>16</v>
      </c>
      <c r="L78" s="23">
        <v>287756.18</v>
      </c>
    </row>
    <row r="79" spans="1:12" ht="71.400000000000006" hidden="1" x14ac:dyDescent="0.3">
      <c r="A79" s="17" t="s">
        <v>74</v>
      </c>
      <c r="B79" s="18" t="s">
        <v>108</v>
      </c>
      <c r="C79" s="18" t="s">
        <v>112</v>
      </c>
      <c r="D79" s="18" t="s">
        <v>110</v>
      </c>
      <c r="E79" s="19" t="s">
        <v>21</v>
      </c>
      <c r="F79" s="24">
        <v>41.87</v>
      </c>
      <c r="G79" s="24"/>
      <c r="H79" s="19" t="s">
        <v>22</v>
      </c>
      <c r="I79" s="21" t="s">
        <v>23</v>
      </c>
      <c r="J79" s="21"/>
      <c r="K79" s="22" t="s">
        <v>16</v>
      </c>
      <c r="L79" s="23">
        <v>287798.05</v>
      </c>
    </row>
    <row r="80" spans="1:12" ht="61.2" hidden="1" x14ac:dyDescent="0.3">
      <c r="A80" s="17" t="s">
        <v>113</v>
      </c>
      <c r="B80" s="18" t="s">
        <v>114</v>
      </c>
      <c r="C80" s="18" t="s">
        <v>115</v>
      </c>
      <c r="D80" s="18" t="s">
        <v>116</v>
      </c>
      <c r="E80" s="19" t="s">
        <v>21</v>
      </c>
      <c r="F80" s="24">
        <v>23</v>
      </c>
      <c r="G80" s="24"/>
      <c r="H80" s="19" t="s">
        <v>22</v>
      </c>
      <c r="I80" s="21" t="s">
        <v>23</v>
      </c>
      <c r="J80" s="21"/>
      <c r="K80" s="22" t="s">
        <v>16</v>
      </c>
      <c r="L80" s="23">
        <v>287821.05</v>
      </c>
    </row>
    <row r="81" spans="1:12" ht="61.2" hidden="1" x14ac:dyDescent="0.3">
      <c r="A81" s="17" t="s">
        <v>113</v>
      </c>
      <c r="B81" s="18" t="s">
        <v>114</v>
      </c>
      <c r="C81" s="18" t="s">
        <v>117</v>
      </c>
      <c r="D81" s="18" t="s">
        <v>116</v>
      </c>
      <c r="E81" s="19" t="s">
        <v>21</v>
      </c>
      <c r="F81" s="20">
        <v>1176.48</v>
      </c>
      <c r="G81" s="20"/>
      <c r="H81" s="19" t="s">
        <v>22</v>
      </c>
      <c r="I81" s="21" t="s">
        <v>23</v>
      </c>
      <c r="J81" s="21"/>
      <c r="K81" s="22" t="s">
        <v>16</v>
      </c>
      <c r="L81" s="23">
        <v>288997.53000000003</v>
      </c>
    </row>
    <row r="82" spans="1:12" ht="61.2" hidden="1" x14ac:dyDescent="0.3">
      <c r="A82" s="17" t="s">
        <v>113</v>
      </c>
      <c r="B82" s="18" t="s">
        <v>114</v>
      </c>
      <c r="C82" s="18" t="s">
        <v>118</v>
      </c>
      <c r="D82" s="18" t="s">
        <v>116</v>
      </c>
      <c r="E82" s="19" t="s">
        <v>21</v>
      </c>
      <c r="F82" s="24">
        <v>272.36</v>
      </c>
      <c r="G82" s="24"/>
      <c r="H82" s="19" t="s">
        <v>22</v>
      </c>
      <c r="I82" s="21" t="s">
        <v>23</v>
      </c>
      <c r="J82" s="21"/>
      <c r="K82" s="22" t="s">
        <v>16</v>
      </c>
      <c r="L82" s="23">
        <v>289269.89</v>
      </c>
    </row>
    <row r="83" spans="1:12" ht="61.2" hidden="1" x14ac:dyDescent="0.3">
      <c r="A83" s="17" t="s">
        <v>113</v>
      </c>
      <c r="B83" s="18" t="s">
        <v>114</v>
      </c>
      <c r="C83" s="18" t="s">
        <v>119</v>
      </c>
      <c r="D83" s="18" t="s">
        <v>116</v>
      </c>
      <c r="E83" s="19" t="s">
        <v>21</v>
      </c>
      <c r="F83" s="24">
        <v>587.07000000000005</v>
      </c>
      <c r="G83" s="24"/>
      <c r="H83" s="19" t="s">
        <v>22</v>
      </c>
      <c r="I83" s="21" t="s">
        <v>23</v>
      </c>
      <c r="J83" s="21"/>
      <c r="K83" s="22" t="s">
        <v>16</v>
      </c>
      <c r="L83" s="23">
        <v>289856.96000000002</v>
      </c>
    </row>
    <row r="84" spans="1:12" ht="71.400000000000006" hidden="1" x14ac:dyDescent="0.3">
      <c r="A84" s="17" t="s">
        <v>113</v>
      </c>
      <c r="B84" s="18" t="s">
        <v>114</v>
      </c>
      <c r="C84" s="18" t="s">
        <v>120</v>
      </c>
      <c r="D84" s="18" t="s">
        <v>116</v>
      </c>
      <c r="E84" s="19" t="s">
        <v>21</v>
      </c>
      <c r="F84" s="24">
        <v>190.53</v>
      </c>
      <c r="G84" s="24"/>
      <c r="H84" s="19" t="s">
        <v>22</v>
      </c>
      <c r="I84" s="21" t="s">
        <v>23</v>
      </c>
      <c r="J84" s="21"/>
      <c r="K84" s="22" t="s">
        <v>16</v>
      </c>
      <c r="L84" s="23">
        <v>290047.49</v>
      </c>
    </row>
    <row r="85" spans="1:12" ht="61.2" hidden="1" x14ac:dyDescent="0.3">
      <c r="A85" s="17" t="s">
        <v>113</v>
      </c>
      <c r="B85" s="18" t="s">
        <v>121</v>
      </c>
      <c r="C85" s="18" t="s">
        <v>122</v>
      </c>
      <c r="D85" s="18" t="s">
        <v>123</v>
      </c>
      <c r="E85" s="19" t="s">
        <v>21</v>
      </c>
      <c r="F85" s="24">
        <v>336</v>
      </c>
      <c r="G85" s="24"/>
      <c r="H85" s="19" t="s">
        <v>22</v>
      </c>
      <c r="I85" s="21" t="s">
        <v>23</v>
      </c>
      <c r="J85" s="21"/>
      <c r="K85" s="22" t="s">
        <v>16</v>
      </c>
      <c r="L85" s="23">
        <v>290383.49</v>
      </c>
    </row>
    <row r="86" spans="1:12" ht="61.2" hidden="1" x14ac:dyDescent="0.3">
      <c r="A86" s="17" t="s">
        <v>113</v>
      </c>
      <c r="B86" s="18" t="s">
        <v>121</v>
      </c>
      <c r="C86" s="18" t="s">
        <v>124</v>
      </c>
      <c r="D86" s="18" t="s">
        <v>123</v>
      </c>
      <c r="E86" s="19" t="s">
        <v>21</v>
      </c>
      <c r="F86" s="24">
        <v>103.6</v>
      </c>
      <c r="G86" s="24"/>
      <c r="H86" s="19" t="s">
        <v>22</v>
      </c>
      <c r="I86" s="21" t="s">
        <v>23</v>
      </c>
      <c r="J86" s="21"/>
      <c r="K86" s="22" t="s">
        <v>16</v>
      </c>
      <c r="L86" s="23">
        <v>290487.09000000003</v>
      </c>
    </row>
    <row r="87" spans="1:12" ht="61.2" hidden="1" x14ac:dyDescent="0.3">
      <c r="A87" s="17" t="s">
        <v>113</v>
      </c>
      <c r="B87" s="18" t="s">
        <v>121</v>
      </c>
      <c r="C87" s="18" t="s">
        <v>125</v>
      </c>
      <c r="D87" s="18" t="s">
        <v>123</v>
      </c>
      <c r="E87" s="19" t="s">
        <v>21</v>
      </c>
      <c r="F87" s="24">
        <v>690</v>
      </c>
      <c r="G87" s="24"/>
      <c r="H87" s="19" t="s">
        <v>22</v>
      </c>
      <c r="I87" s="21" t="s">
        <v>23</v>
      </c>
      <c r="J87" s="21"/>
      <c r="K87" s="22" t="s">
        <v>16</v>
      </c>
      <c r="L87" s="23">
        <v>291177.09000000003</v>
      </c>
    </row>
    <row r="88" spans="1:12" ht="61.2" hidden="1" x14ac:dyDescent="0.3">
      <c r="A88" s="17" t="s">
        <v>113</v>
      </c>
      <c r="B88" s="18" t="s">
        <v>121</v>
      </c>
      <c r="C88" s="18" t="s">
        <v>126</v>
      </c>
      <c r="D88" s="18" t="s">
        <v>123</v>
      </c>
      <c r="E88" s="19" t="s">
        <v>21</v>
      </c>
      <c r="F88" s="20">
        <v>2136.2399999999998</v>
      </c>
      <c r="G88" s="20"/>
      <c r="H88" s="19" t="s">
        <v>22</v>
      </c>
      <c r="I88" s="21" t="s">
        <v>23</v>
      </c>
      <c r="J88" s="21"/>
      <c r="K88" s="22" t="s">
        <v>16</v>
      </c>
      <c r="L88" s="23">
        <v>293313.33</v>
      </c>
    </row>
    <row r="89" spans="1:12" ht="61.2" hidden="1" x14ac:dyDescent="0.3">
      <c r="A89" s="17" t="s">
        <v>113</v>
      </c>
      <c r="B89" s="18" t="s">
        <v>121</v>
      </c>
      <c r="C89" s="18" t="s">
        <v>127</v>
      </c>
      <c r="D89" s="18" t="s">
        <v>123</v>
      </c>
      <c r="E89" s="19" t="s">
        <v>21</v>
      </c>
      <c r="F89" s="24">
        <v>792.32</v>
      </c>
      <c r="G89" s="24"/>
      <c r="H89" s="19" t="s">
        <v>22</v>
      </c>
      <c r="I89" s="21" t="s">
        <v>23</v>
      </c>
      <c r="J89" s="21"/>
      <c r="K89" s="22" t="s">
        <v>16</v>
      </c>
      <c r="L89" s="23">
        <v>294105.65000000002</v>
      </c>
    </row>
    <row r="90" spans="1:12" ht="61.2" hidden="1" x14ac:dyDescent="0.3">
      <c r="A90" s="17" t="s">
        <v>113</v>
      </c>
      <c r="B90" s="18" t="s">
        <v>121</v>
      </c>
      <c r="C90" s="18" t="s">
        <v>128</v>
      </c>
      <c r="D90" s="18" t="s">
        <v>123</v>
      </c>
      <c r="E90" s="19" t="s">
        <v>21</v>
      </c>
      <c r="F90" s="24">
        <v>176.08</v>
      </c>
      <c r="G90" s="24"/>
      <c r="H90" s="19" t="s">
        <v>22</v>
      </c>
      <c r="I90" s="21" t="s">
        <v>23</v>
      </c>
      <c r="J90" s="21"/>
      <c r="K90" s="22" t="s">
        <v>16</v>
      </c>
      <c r="L90" s="23">
        <v>294281.73</v>
      </c>
    </row>
    <row r="91" spans="1:12" ht="61.2" hidden="1" x14ac:dyDescent="0.3">
      <c r="A91" s="17" t="s">
        <v>113</v>
      </c>
      <c r="B91" s="18" t="s">
        <v>121</v>
      </c>
      <c r="C91" s="18" t="s">
        <v>129</v>
      </c>
      <c r="D91" s="18" t="s">
        <v>123</v>
      </c>
      <c r="E91" s="19" t="s">
        <v>21</v>
      </c>
      <c r="F91" s="20">
        <v>1375.76</v>
      </c>
      <c r="G91" s="20"/>
      <c r="H91" s="19" t="s">
        <v>22</v>
      </c>
      <c r="I91" s="21" t="s">
        <v>23</v>
      </c>
      <c r="J91" s="21"/>
      <c r="K91" s="22" t="s">
        <v>16</v>
      </c>
      <c r="L91" s="23">
        <v>295657.49</v>
      </c>
    </row>
    <row r="92" spans="1:12" ht="71.400000000000006" hidden="1" x14ac:dyDescent="0.3">
      <c r="A92" s="17" t="s">
        <v>113</v>
      </c>
      <c r="B92" s="18" t="s">
        <v>121</v>
      </c>
      <c r="C92" s="18" t="s">
        <v>130</v>
      </c>
      <c r="D92" s="18" t="s">
        <v>123</v>
      </c>
      <c r="E92" s="19" t="s">
        <v>21</v>
      </c>
      <c r="F92" s="24">
        <v>69.14</v>
      </c>
      <c r="G92" s="24"/>
      <c r="H92" s="19" t="s">
        <v>22</v>
      </c>
      <c r="I92" s="21" t="s">
        <v>23</v>
      </c>
      <c r="J92" s="21"/>
      <c r="K92" s="22" t="s">
        <v>16</v>
      </c>
      <c r="L92" s="23">
        <v>295726.63</v>
      </c>
    </row>
    <row r="93" spans="1:12" ht="71.400000000000006" hidden="1" x14ac:dyDescent="0.3">
      <c r="A93" s="17" t="s">
        <v>113</v>
      </c>
      <c r="B93" s="18" t="s">
        <v>121</v>
      </c>
      <c r="C93" s="18" t="s">
        <v>131</v>
      </c>
      <c r="D93" s="18" t="s">
        <v>123</v>
      </c>
      <c r="E93" s="19" t="s">
        <v>21</v>
      </c>
      <c r="F93" s="24">
        <v>476.98</v>
      </c>
      <c r="G93" s="24"/>
      <c r="H93" s="19" t="s">
        <v>22</v>
      </c>
      <c r="I93" s="21" t="s">
        <v>23</v>
      </c>
      <c r="J93" s="21"/>
      <c r="K93" s="22" t="s">
        <v>16</v>
      </c>
      <c r="L93" s="23">
        <v>296203.61</v>
      </c>
    </row>
    <row r="94" spans="1:12" ht="81.599999999999994" hidden="1" x14ac:dyDescent="0.3">
      <c r="A94" s="17" t="s">
        <v>132</v>
      </c>
      <c r="B94" s="18" t="s">
        <v>133</v>
      </c>
      <c r="C94" s="18" t="s">
        <v>134</v>
      </c>
      <c r="D94" s="18" t="s">
        <v>45</v>
      </c>
      <c r="E94" s="19" t="s">
        <v>21</v>
      </c>
      <c r="F94" s="24">
        <v>964.26</v>
      </c>
      <c r="G94" s="24"/>
      <c r="H94" s="19" t="s">
        <v>22</v>
      </c>
      <c r="I94" s="21" t="s">
        <v>23</v>
      </c>
      <c r="J94" s="21"/>
      <c r="K94" s="22" t="s">
        <v>16</v>
      </c>
      <c r="L94" s="23">
        <v>297167.87</v>
      </c>
    </row>
    <row r="95" spans="1:12" ht="81.599999999999994" hidden="1" x14ac:dyDescent="0.3">
      <c r="A95" s="17" t="s">
        <v>132</v>
      </c>
      <c r="B95" s="18" t="s">
        <v>133</v>
      </c>
      <c r="C95" s="18" t="s">
        <v>135</v>
      </c>
      <c r="D95" s="18" t="s">
        <v>45</v>
      </c>
      <c r="E95" s="19" t="s">
        <v>21</v>
      </c>
      <c r="F95" s="24">
        <v>512.34</v>
      </c>
      <c r="G95" s="24"/>
      <c r="H95" s="19" t="s">
        <v>22</v>
      </c>
      <c r="I95" s="21" t="s">
        <v>23</v>
      </c>
      <c r="J95" s="21"/>
      <c r="K95" s="22" t="s">
        <v>16</v>
      </c>
      <c r="L95" s="23">
        <v>297680.21000000002</v>
      </c>
    </row>
    <row r="96" spans="1:12" ht="81.599999999999994" hidden="1" x14ac:dyDescent="0.3">
      <c r="A96" s="17" t="s">
        <v>132</v>
      </c>
      <c r="B96" s="18" t="s">
        <v>133</v>
      </c>
      <c r="C96" s="18" t="s">
        <v>136</v>
      </c>
      <c r="D96" s="18" t="s">
        <v>45</v>
      </c>
      <c r="E96" s="19" t="s">
        <v>21</v>
      </c>
      <c r="F96" s="24">
        <v>551.01</v>
      </c>
      <c r="G96" s="24"/>
      <c r="H96" s="19" t="s">
        <v>22</v>
      </c>
      <c r="I96" s="21" t="s">
        <v>23</v>
      </c>
      <c r="J96" s="21"/>
      <c r="K96" s="22" t="s">
        <v>16</v>
      </c>
      <c r="L96" s="23">
        <v>298231.21999999997</v>
      </c>
    </row>
    <row r="97" spans="1:12" ht="81.599999999999994" hidden="1" x14ac:dyDescent="0.3">
      <c r="A97" s="17" t="s">
        <v>132</v>
      </c>
      <c r="B97" s="18" t="s">
        <v>133</v>
      </c>
      <c r="C97" s="18" t="s">
        <v>137</v>
      </c>
      <c r="D97" s="18" t="s">
        <v>45</v>
      </c>
      <c r="E97" s="19" t="s">
        <v>21</v>
      </c>
      <c r="F97" s="20">
        <v>15524.64</v>
      </c>
      <c r="G97" s="20"/>
      <c r="H97" s="19" t="s">
        <v>22</v>
      </c>
      <c r="I97" s="21" t="s">
        <v>23</v>
      </c>
      <c r="J97" s="21"/>
      <c r="K97" s="22" t="s">
        <v>16</v>
      </c>
      <c r="L97" s="23">
        <v>313755.86</v>
      </c>
    </row>
    <row r="98" spans="1:12" ht="81.599999999999994" hidden="1" x14ac:dyDescent="0.3">
      <c r="A98" s="17" t="s">
        <v>132</v>
      </c>
      <c r="B98" s="18" t="s">
        <v>138</v>
      </c>
      <c r="C98" s="18" t="s">
        <v>139</v>
      </c>
      <c r="D98" s="18" t="s">
        <v>45</v>
      </c>
      <c r="E98" s="19" t="s">
        <v>21</v>
      </c>
      <c r="F98" s="20">
        <v>1951.58</v>
      </c>
      <c r="G98" s="20"/>
      <c r="H98" s="19" t="s">
        <v>22</v>
      </c>
      <c r="I98" s="21" t="s">
        <v>23</v>
      </c>
      <c r="J98" s="21"/>
      <c r="K98" s="22" t="s">
        <v>16</v>
      </c>
      <c r="L98" s="23">
        <v>315707.44</v>
      </c>
    </row>
    <row r="99" spans="1:12" ht="81.599999999999994" hidden="1" x14ac:dyDescent="0.3">
      <c r="A99" s="17" t="s">
        <v>132</v>
      </c>
      <c r="B99" s="18" t="s">
        <v>133</v>
      </c>
      <c r="C99" s="18" t="s">
        <v>139</v>
      </c>
      <c r="D99" s="18" t="s">
        <v>45</v>
      </c>
      <c r="E99" s="19" t="s">
        <v>21</v>
      </c>
      <c r="F99" s="20">
        <v>12870.52</v>
      </c>
      <c r="G99" s="20"/>
      <c r="H99" s="19" t="s">
        <v>22</v>
      </c>
      <c r="I99" s="21" t="s">
        <v>23</v>
      </c>
      <c r="J99" s="21"/>
      <c r="K99" s="22" t="s">
        <v>16</v>
      </c>
      <c r="L99" s="23">
        <v>328577.96000000002</v>
      </c>
    </row>
    <row r="100" spans="1:12" ht="81.599999999999994" hidden="1" x14ac:dyDescent="0.3">
      <c r="A100" s="17" t="s">
        <v>132</v>
      </c>
      <c r="B100" s="18" t="s">
        <v>138</v>
      </c>
      <c r="C100" s="18" t="s">
        <v>140</v>
      </c>
      <c r="D100" s="18" t="s">
        <v>45</v>
      </c>
      <c r="E100" s="19" t="s">
        <v>21</v>
      </c>
      <c r="F100" s="20">
        <v>5592.73</v>
      </c>
      <c r="G100" s="20"/>
      <c r="H100" s="19" t="s">
        <v>22</v>
      </c>
      <c r="I100" s="21" t="s">
        <v>23</v>
      </c>
      <c r="J100" s="21"/>
      <c r="K100" s="22" t="s">
        <v>16</v>
      </c>
      <c r="L100" s="23">
        <v>334170.69</v>
      </c>
    </row>
    <row r="101" spans="1:12" ht="81.599999999999994" hidden="1" x14ac:dyDescent="0.3">
      <c r="A101" s="17" t="s">
        <v>132</v>
      </c>
      <c r="B101" s="18" t="s">
        <v>138</v>
      </c>
      <c r="C101" s="18" t="s">
        <v>141</v>
      </c>
      <c r="D101" s="18" t="s">
        <v>45</v>
      </c>
      <c r="E101" s="19" t="s">
        <v>21</v>
      </c>
      <c r="F101" s="20">
        <v>1124.01</v>
      </c>
      <c r="G101" s="20"/>
      <c r="H101" s="19" t="s">
        <v>22</v>
      </c>
      <c r="I101" s="21" t="s">
        <v>23</v>
      </c>
      <c r="J101" s="21"/>
      <c r="K101" s="22" t="s">
        <v>16</v>
      </c>
      <c r="L101" s="23">
        <v>335294.7</v>
      </c>
    </row>
    <row r="102" spans="1:12" ht="81.599999999999994" hidden="1" x14ac:dyDescent="0.3">
      <c r="A102" s="17" t="s">
        <v>132</v>
      </c>
      <c r="B102" s="18" t="s">
        <v>138</v>
      </c>
      <c r="C102" s="18" t="s">
        <v>142</v>
      </c>
      <c r="D102" s="18" t="s">
        <v>45</v>
      </c>
      <c r="E102" s="19" t="s">
        <v>21</v>
      </c>
      <c r="F102" s="20">
        <v>1380.18</v>
      </c>
      <c r="G102" s="20"/>
      <c r="H102" s="19" t="s">
        <v>22</v>
      </c>
      <c r="I102" s="21" t="s">
        <v>23</v>
      </c>
      <c r="J102" s="21"/>
      <c r="K102" s="22" t="s">
        <v>16</v>
      </c>
      <c r="L102" s="23">
        <v>336674.88</v>
      </c>
    </row>
    <row r="103" spans="1:12" ht="81.599999999999994" hidden="1" x14ac:dyDescent="0.3">
      <c r="A103" s="17" t="s">
        <v>132</v>
      </c>
      <c r="B103" s="18" t="s">
        <v>138</v>
      </c>
      <c r="C103" s="18" t="s">
        <v>143</v>
      </c>
      <c r="D103" s="18" t="s">
        <v>45</v>
      </c>
      <c r="E103" s="19" t="s">
        <v>21</v>
      </c>
      <c r="F103" s="20">
        <v>1418.84</v>
      </c>
      <c r="G103" s="20"/>
      <c r="H103" s="19" t="s">
        <v>22</v>
      </c>
      <c r="I103" s="21" t="s">
        <v>23</v>
      </c>
      <c r="J103" s="21"/>
      <c r="K103" s="22" t="s">
        <v>16</v>
      </c>
      <c r="L103" s="23">
        <v>338093.72</v>
      </c>
    </row>
    <row r="104" spans="1:12" ht="81.599999999999994" hidden="1" x14ac:dyDescent="0.3">
      <c r="A104" s="17" t="s">
        <v>132</v>
      </c>
      <c r="B104" s="18" t="s">
        <v>138</v>
      </c>
      <c r="C104" s="18" t="s">
        <v>144</v>
      </c>
      <c r="D104" s="18" t="s">
        <v>45</v>
      </c>
      <c r="E104" s="19" t="s">
        <v>21</v>
      </c>
      <c r="F104" s="24">
        <v>796.3</v>
      </c>
      <c r="G104" s="24"/>
      <c r="H104" s="19" t="s">
        <v>22</v>
      </c>
      <c r="I104" s="21" t="s">
        <v>23</v>
      </c>
      <c r="J104" s="21"/>
      <c r="K104" s="22" t="s">
        <v>16</v>
      </c>
      <c r="L104" s="23">
        <v>338890.02</v>
      </c>
    </row>
    <row r="105" spans="1:12" ht="81.599999999999994" hidden="1" x14ac:dyDescent="0.3">
      <c r="A105" s="17" t="s">
        <v>132</v>
      </c>
      <c r="B105" s="18" t="s">
        <v>138</v>
      </c>
      <c r="C105" s="18" t="s">
        <v>145</v>
      </c>
      <c r="D105" s="18" t="s">
        <v>45</v>
      </c>
      <c r="E105" s="19" t="s">
        <v>21</v>
      </c>
      <c r="F105" s="20">
        <v>1490.38</v>
      </c>
      <c r="G105" s="20"/>
      <c r="H105" s="19" t="s">
        <v>22</v>
      </c>
      <c r="I105" s="21" t="s">
        <v>23</v>
      </c>
      <c r="J105" s="21"/>
      <c r="K105" s="22" t="s">
        <v>16</v>
      </c>
      <c r="L105" s="23">
        <v>340380.4</v>
      </c>
    </row>
    <row r="106" spans="1:12" ht="81.599999999999994" hidden="1" x14ac:dyDescent="0.3">
      <c r="A106" s="17" t="s">
        <v>132</v>
      </c>
      <c r="B106" s="18" t="s">
        <v>138</v>
      </c>
      <c r="C106" s="18" t="s">
        <v>146</v>
      </c>
      <c r="D106" s="18" t="s">
        <v>45</v>
      </c>
      <c r="E106" s="19" t="s">
        <v>21</v>
      </c>
      <c r="F106" s="20">
        <v>1526.39</v>
      </c>
      <c r="G106" s="20"/>
      <c r="H106" s="19" t="s">
        <v>22</v>
      </c>
      <c r="I106" s="21" t="s">
        <v>23</v>
      </c>
      <c r="J106" s="21"/>
      <c r="K106" s="22" t="s">
        <v>16</v>
      </c>
      <c r="L106" s="23">
        <v>341906.79</v>
      </c>
    </row>
    <row r="107" spans="1:12" ht="81.599999999999994" hidden="1" x14ac:dyDescent="0.3">
      <c r="A107" s="17" t="s">
        <v>132</v>
      </c>
      <c r="B107" s="18" t="s">
        <v>138</v>
      </c>
      <c r="C107" s="18" t="s">
        <v>147</v>
      </c>
      <c r="D107" s="18" t="s">
        <v>45</v>
      </c>
      <c r="E107" s="19" t="s">
        <v>21</v>
      </c>
      <c r="F107" s="24">
        <v>760.29</v>
      </c>
      <c r="G107" s="24"/>
      <c r="H107" s="19" t="s">
        <v>22</v>
      </c>
      <c r="I107" s="21" t="s">
        <v>23</v>
      </c>
      <c r="J107" s="21"/>
      <c r="K107" s="22" t="s">
        <v>16</v>
      </c>
      <c r="L107" s="23">
        <v>342667.08</v>
      </c>
    </row>
    <row r="108" spans="1:12" ht="81.599999999999994" hidden="1" x14ac:dyDescent="0.3">
      <c r="A108" s="17" t="s">
        <v>132</v>
      </c>
      <c r="B108" s="18" t="s">
        <v>138</v>
      </c>
      <c r="C108" s="18" t="s">
        <v>148</v>
      </c>
      <c r="D108" s="18" t="s">
        <v>45</v>
      </c>
      <c r="E108" s="19" t="s">
        <v>21</v>
      </c>
      <c r="F108" s="20">
        <v>5179.47</v>
      </c>
      <c r="G108" s="20"/>
      <c r="H108" s="19" t="s">
        <v>22</v>
      </c>
      <c r="I108" s="21" t="s">
        <v>23</v>
      </c>
      <c r="J108" s="21"/>
      <c r="K108" s="22" t="s">
        <v>16</v>
      </c>
      <c r="L108" s="23">
        <v>347846.55</v>
      </c>
    </row>
    <row r="109" spans="1:12" ht="81.599999999999994" hidden="1" x14ac:dyDescent="0.3">
      <c r="A109" s="17" t="s">
        <v>132</v>
      </c>
      <c r="B109" s="18" t="s">
        <v>138</v>
      </c>
      <c r="C109" s="18" t="s">
        <v>149</v>
      </c>
      <c r="D109" s="18" t="s">
        <v>45</v>
      </c>
      <c r="E109" s="19" t="s">
        <v>21</v>
      </c>
      <c r="F109" s="24">
        <v>832.07</v>
      </c>
      <c r="G109" s="24"/>
      <c r="H109" s="19" t="s">
        <v>22</v>
      </c>
      <c r="I109" s="21" t="s">
        <v>23</v>
      </c>
      <c r="J109" s="21"/>
      <c r="K109" s="22" t="s">
        <v>16</v>
      </c>
      <c r="L109" s="23">
        <v>348678.62</v>
      </c>
    </row>
    <row r="110" spans="1:12" ht="81.599999999999994" hidden="1" x14ac:dyDescent="0.3">
      <c r="A110" s="17" t="s">
        <v>132</v>
      </c>
      <c r="B110" s="18" t="s">
        <v>138</v>
      </c>
      <c r="C110" s="18" t="s">
        <v>150</v>
      </c>
      <c r="D110" s="18" t="s">
        <v>45</v>
      </c>
      <c r="E110" s="19" t="s">
        <v>21</v>
      </c>
      <c r="F110" s="24">
        <v>867.84</v>
      </c>
      <c r="G110" s="24"/>
      <c r="H110" s="19" t="s">
        <v>22</v>
      </c>
      <c r="I110" s="21" t="s">
        <v>23</v>
      </c>
      <c r="J110" s="21"/>
      <c r="K110" s="22" t="s">
        <v>16</v>
      </c>
      <c r="L110" s="23">
        <v>349546.46</v>
      </c>
    </row>
    <row r="111" spans="1:12" ht="81.599999999999994" hidden="1" x14ac:dyDescent="0.3">
      <c r="A111" s="17" t="s">
        <v>132</v>
      </c>
      <c r="B111" s="18" t="s">
        <v>138</v>
      </c>
      <c r="C111" s="18" t="s">
        <v>151</v>
      </c>
      <c r="D111" s="18" t="s">
        <v>45</v>
      </c>
      <c r="E111" s="19" t="s">
        <v>21</v>
      </c>
      <c r="F111" s="24">
        <v>713.65</v>
      </c>
      <c r="G111" s="24"/>
      <c r="H111" s="19" t="s">
        <v>22</v>
      </c>
      <c r="I111" s="21" t="s">
        <v>23</v>
      </c>
      <c r="J111" s="21"/>
      <c r="K111" s="22" t="s">
        <v>16</v>
      </c>
      <c r="L111" s="23">
        <v>350260.11</v>
      </c>
    </row>
    <row r="112" spans="1:12" ht="81.599999999999994" hidden="1" x14ac:dyDescent="0.3">
      <c r="A112" s="17" t="s">
        <v>132</v>
      </c>
      <c r="B112" s="18" t="s">
        <v>138</v>
      </c>
      <c r="C112" s="18" t="s">
        <v>152</v>
      </c>
      <c r="D112" s="18" t="s">
        <v>45</v>
      </c>
      <c r="E112" s="19" t="s">
        <v>21</v>
      </c>
      <c r="F112" s="20">
        <v>2124.04</v>
      </c>
      <c r="G112" s="20"/>
      <c r="H112" s="19" t="s">
        <v>22</v>
      </c>
      <c r="I112" s="21" t="s">
        <v>23</v>
      </c>
      <c r="J112" s="21"/>
      <c r="K112" s="22" t="s">
        <v>16</v>
      </c>
      <c r="L112" s="23">
        <v>352384.15</v>
      </c>
    </row>
    <row r="113" spans="1:12" ht="81.599999999999994" hidden="1" x14ac:dyDescent="0.3">
      <c r="A113" s="17" t="s">
        <v>132</v>
      </c>
      <c r="B113" s="18" t="s">
        <v>138</v>
      </c>
      <c r="C113" s="18" t="s">
        <v>153</v>
      </c>
      <c r="D113" s="18" t="s">
        <v>45</v>
      </c>
      <c r="E113" s="19" t="s">
        <v>21</v>
      </c>
      <c r="F113" s="20">
        <v>1454.6</v>
      </c>
      <c r="G113" s="20"/>
      <c r="H113" s="19" t="s">
        <v>22</v>
      </c>
      <c r="I113" s="21" t="s">
        <v>23</v>
      </c>
      <c r="J113" s="21"/>
      <c r="K113" s="22" t="s">
        <v>16</v>
      </c>
      <c r="L113" s="23">
        <v>353838.75</v>
      </c>
    </row>
    <row r="114" spans="1:12" ht="81.599999999999994" hidden="1" x14ac:dyDescent="0.3">
      <c r="A114" s="17" t="s">
        <v>132</v>
      </c>
      <c r="B114" s="18" t="s">
        <v>138</v>
      </c>
      <c r="C114" s="18" t="s">
        <v>154</v>
      </c>
      <c r="D114" s="18" t="s">
        <v>45</v>
      </c>
      <c r="E114" s="19" t="s">
        <v>21</v>
      </c>
      <c r="F114" s="20">
        <v>13499.69</v>
      </c>
      <c r="G114" s="20"/>
      <c r="H114" s="19" t="s">
        <v>22</v>
      </c>
      <c r="I114" s="21" t="s">
        <v>23</v>
      </c>
      <c r="J114" s="21"/>
      <c r="K114" s="22" t="s">
        <v>16</v>
      </c>
      <c r="L114" s="23">
        <v>367338.44</v>
      </c>
    </row>
    <row r="115" spans="1:12" ht="71.400000000000006" hidden="1" x14ac:dyDescent="0.3">
      <c r="A115" s="17" t="s">
        <v>155</v>
      </c>
      <c r="B115" s="18" t="s">
        <v>156</v>
      </c>
      <c r="C115" s="18" t="s">
        <v>157</v>
      </c>
      <c r="D115" s="18" t="s">
        <v>158</v>
      </c>
      <c r="E115" s="19" t="s">
        <v>21</v>
      </c>
      <c r="F115" s="20">
        <v>60800</v>
      </c>
      <c r="G115" s="20"/>
      <c r="H115" s="19" t="s">
        <v>22</v>
      </c>
      <c r="I115" s="21" t="s">
        <v>23</v>
      </c>
      <c r="J115" s="21"/>
      <c r="K115" s="22" t="s">
        <v>16</v>
      </c>
      <c r="L115" s="23">
        <v>428138.44</v>
      </c>
    </row>
    <row r="116" spans="1:12" ht="61.2" hidden="1" x14ac:dyDescent="0.3">
      <c r="A116" s="17" t="s">
        <v>155</v>
      </c>
      <c r="B116" s="18" t="s">
        <v>159</v>
      </c>
      <c r="C116" s="18" t="s">
        <v>160</v>
      </c>
      <c r="D116" s="18" t="s">
        <v>158</v>
      </c>
      <c r="E116" s="19" t="s">
        <v>21</v>
      </c>
      <c r="F116" s="20">
        <v>6265</v>
      </c>
      <c r="G116" s="20"/>
      <c r="H116" s="19" t="s">
        <v>22</v>
      </c>
      <c r="I116" s="21" t="s">
        <v>23</v>
      </c>
      <c r="J116" s="21"/>
      <c r="K116" s="22" t="s">
        <v>16</v>
      </c>
      <c r="L116" s="23">
        <v>434403.44</v>
      </c>
    </row>
    <row r="117" spans="1:12" ht="71.400000000000006" x14ac:dyDescent="0.3">
      <c r="A117" s="17" t="s">
        <v>161</v>
      </c>
      <c r="B117" s="18" t="s">
        <v>162</v>
      </c>
      <c r="C117" s="18" t="s">
        <v>31</v>
      </c>
      <c r="D117" s="18" t="s">
        <v>40</v>
      </c>
      <c r="E117" s="19" t="s">
        <v>33</v>
      </c>
      <c r="F117" s="25" t="s">
        <v>23</v>
      </c>
      <c r="G117" s="25"/>
      <c r="H117" s="19" t="s">
        <v>21</v>
      </c>
      <c r="I117" s="26">
        <v>10227.06</v>
      </c>
      <c r="J117" s="26"/>
      <c r="K117" s="22" t="s">
        <v>16</v>
      </c>
      <c r="L117" s="23">
        <v>424176.38</v>
      </c>
    </row>
    <row r="118" spans="1:12" ht="71.400000000000006" x14ac:dyDescent="0.3">
      <c r="A118" s="17" t="s">
        <v>161</v>
      </c>
      <c r="B118" s="18" t="s">
        <v>162</v>
      </c>
      <c r="C118" s="18" t="s">
        <v>31</v>
      </c>
      <c r="D118" s="18" t="s">
        <v>41</v>
      </c>
      <c r="E118" s="19" t="s">
        <v>33</v>
      </c>
      <c r="F118" s="25" t="s">
        <v>23</v>
      </c>
      <c r="G118" s="25"/>
      <c r="H118" s="19" t="s">
        <v>21</v>
      </c>
      <c r="I118" s="27">
        <v>494.83</v>
      </c>
      <c r="J118" s="27"/>
      <c r="K118" s="22" t="s">
        <v>16</v>
      </c>
      <c r="L118" s="23">
        <v>423681.55</v>
      </c>
    </row>
    <row r="119" spans="1:12" ht="71.400000000000006" x14ac:dyDescent="0.3">
      <c r="A119" s="17" t="s">
        <v>161</v>
      </c>
      <c r="B119" s="18" t="s">
        <v>162</v>
      </c>
      <c r="C119" s="18" t="s">
        <v>31</v>
      </c>
      <c r="D119" s="18" t="s">
        <v>163</v>
      </c>
      <c r="E119" s="19" t="s">
        <v>33</v>
      </c>
      <c r="F119" s="25" t="s">
        <v>23</v>
      </c>
      <c r="G119" s="25"/>
      <c r="H119" s="19" t="s">
        <v>21</v>
      </c>
      <c r="I119" s="27">
        <v>218.37</v>
      </c>
      <c r="J119" s="27"/>
      <c r="K119" s="22" t="s">
        <v>16</v>
      </c>
      <c r="L119" s="23">
        <v>423463.18</v>
      </c>
    </row>
    <row r="120" spans="1:12" ht="61.2" x14ac:dyDescent="0.3">
      <c r="A120" s="17" t="s">
        <v>161</v>
      </c>
      <c r="B120" s="18" t="s">
        <v>162</v>
      </c>
      <c r="C120" s="18" t="s">
        <v>31</v>
      </c>
      <c r="D120" s="18" t="s">
        <v>164</v>
      </c>
      <c r="E120" s="19" t="s">
        <v>33</v>
      </c>
      <c r="F120" s="25" t="s">
        <v>23</v>
      </c>
      <c r="G120" s="25"/>
      <c r="H120" s="19" t="s">
        <v>21</v>
      </c>
      <c r="I120" s="26">
        <v>3743.37</v>
      </c>
      <c r="J120" s="26"/>
      <c r="K120" s="22" t="s">
        <v>16</v>
      </c>
      <c r="L120" s="23">
        <v>419719.81</v>
      </c>
    </row>
    <row r="121" spans="1:12" ht="61.2" x14ac:dyDescent="0.3">
      <c r="A121" s="17" t="s">
        <v>161</v>
      </c>
      <c r="B121" s="18" t="s">
        <v>162</v>
      </c>
      <c r="C121" s="18" t="s">
        <v>31</v>
      </c>
      <c r="D121" s="18" t="s">
        <v>81</v>
      </c>
      <c r="E121" s="19" t="s">
        <v>33</v>
      </c>
      <c r="F121" s="25" t="s">
        <v>23</v>
      </c>
      <c r="G121" s="25"/>
      <c r="H121" s="19" t="s">
        <v>21</v>
      </c>
      <c r="I121" s="26">
        <v>3669.12</v>
      </c>
      <c r="J121" s="26"/>
      <c r="K121" s="22" t="s">
        <v>16</v>
      </c>
      <c r="L121" s="23">
        <v>416050.69</v>
      </c>
    </row>
    <row r="122" spans="1:12" ht="61.2" x14ac:dyDescent="0.3">
      <c r="A122" s="17" t="s">
        <v>161</v>
      </c>
      <c r="B122" s="18" t="s">
        <v>162</v>
      </c>
      <c r="C122" s="18" t="s">
        <v>31</v>
      </c>
      <c r="D122" s="18" t="s">
        <v>117</v>
      </c>
      <c r="E122" s="19" t="s">
        <v>33</v>
      </c>
      <c r="F122" s="25" t="s">
        <v>23</v>
      </c>
      <c r="G122" s="25"/>
      <c r="H122" s="19" t="s">
        <v>21</v>
      </c>
      <c r="I122" s="26">
        <v>1176.48</v>
      </c>
      <c r="J122" s="26"/>
      <c r="K122" s="22" t="s">
        <v>16</v>
      </c>
      <c r="L122" s="23">
        <v>414874.21</v>
      </c>
    </row>
    <row r="123" spans="1:12" ht="61.2" x14ac:dyDescent="0.3">
      <c r="A123" s="17" t="s">
        <v>161</v>
      </c>
      <c r="B123" s="18" t="s">
        <v>162</v>
      </c>
      <c r="C123" s="18" t="s">
        <v>31</v>
      </c>
      <c r="D123" s="18" t="s">
        <v>125</v>
      </c>
      <c r="E123" s="19" t="s">
        <v>33</v>
      </c>
      <c r="F123" s="25" t="s">
        <v>23</v>
      </c>
      <c r="G123" s="25"/>
      <c r="H123" s="19" t="s">
        <v>21</v>
      </c>
      <c r="I123" s="27">
        <v>690</v>
      </c>
      <c r="J123" s="27"/>
      <c r="K123" s="22" t="s">
        <v>16</v>
      </c>
      <c r="L123" s="23">
        <v>414184.21</v>
      </c>
    </row>
    <row r="124" spans="1:12" ht="61.2" x14ac:dyDescent="0.3">
      <c r="A124" s="17" t="s">
        <v>161</v>
      </c>
      <c r="B124" s="18" t="s">
        <v>162</v>
      </c>
      <c r="C124" s="18" t="s">
        <v>31</v>
      </c>
      <c r="D124" s="18" t="s">
        <v>36</v>
      </c>
      <c r="E124" s="19" t="s">
        <v>33</v>
      </c>
      <c r="F124" s="25" t="s">
        <v>23</v>
      </c>
      <c r="G124" s="25"/>
      <c r="H124" s="19" t="s">
        <v>21</v>
      </c>
      <c r="I124" s="27">
        <v>18.21</v>
      </c>
      <c r="J124" s="27"/>
      <c r="K124" s="22" t="s">
        <v>16</v>
      </c>
      <c r="L124" s="23">
        <v>414166</v>
      </c>
    </row>
    <row r="125" spans="1:12" ht="61.2" x14ac:dyDescent="0.3">
      <c r="A125" s="17" t="s">
        <v>161</v>
      </c>
      <c r="B125" s="18" t="s">
        <v>162</v>
      </c>
      <c r="C125" s="18" t="s">
        <v>31</v>
      </c>
      <c r="D125" s="18" t="s">
        <v>84</v>
      </c>
      <c r="E125" s="19" t="s">
        <v>33</v>
      </c>
      <c r="F125" s="25" t="s">
        <v>23</v>
      </c>
      <c r="G125" s="25"/>
      <c r="H125" s="19" t="s">
        <v>21</v>
      </c>
      <c r="I125" s="26">
        <v>2300.84</v>
      </c>
      <c r="J125" s="26"/>
      <c r="K125" s="22" t="s">
        <v>16</v>
      </c>
      <c r="L125" s="23">
        <v>411865.16</v>
      </c>
    </row>
    <row r="126" spans="1:12" ht="61.2" x14ac:dyDescent="0.3">
      <c r="A126" s="17" t="s">
        <v>161</v>
      </c>
      <c r="B126" s="18" t="s">
        <v>162</v>
      </c>
      <c r="C126" s="18" t="s">
        <v>31</v>
      </c>
      <c r="D126" s="18" t="s">
        <v>165</v>
      </c>
      <c r="E126" s="19" t="s">
        <v>33</v>
      </c>
      <c r="F126" s="25" t="s">
        <v>23</v>
      </c>
      <c r="G126" s="25"/>
      <c r="H126" s="19" t="s">
        <v>21</v>
      </c>
      <c r="I126" s="26">
        <v>2935.29</v>
      </c>
      <c r="J126" s="26"/>
      <c r="K126" s="22" t="s">
        <v>16</v>
      </c>
      <c r="L126" s="23">
        <v>408929.87</v>
      </c>
    </row>
    <row r="127" spans="1:12" ht="71.400000000000006" x14ac:dyDescent="0.3">
      <c r="A127" s="17" t="s">
        <v>161</v>
      </c>
      <c r="B127" s="18" t="s">
        <v>162</v>
      </c>
      <c r="C127" s="18" t="s">
        <v>31</v>
      </c>
      <c r="D127" s="18" t="s">
        <v>86</v>
      </c>
      <c r="E127" s="19" t="s">
        <v>33</v>
      </c>
      <c r="F127" s="25" t="s">
        <v>23</v>
      </c>
      <c r="G127" s="25"/>
      <c r="H127" s="19" t="s">
        <v>21</v>
      </c>
      <c r="I127" s="27">
        <v>509.83</v>
      </c>
      <c r="J127" s="27"/>
      <c r="K127" s="22" t="s">
        <v>16</v>
      </c>
      <c r="L127" s="23">
        <v>408420.04</v>
      </c>
    </row>
    <row r="128" spans="1:12" ht="71.400000000000006" x14ac:dyDescent="0.3">
      <c r="A128" s="17" t="s">
        <v>161</v>
      </c>
      <c r="B128" s="18" t="s">
        <v>162</v>
      </c>
      <c r="C128" s="18" t="s">
        <v>31</v>
      </c>
      <c r="D128" s="18" t="s">
        <v>120</v>
      </c>
      <c r="E128" s="19" t="s">
        <v>33</v>
      </c>
      <c r="F128" s="25" t="s">
        <v>23</v>
      </c>
      <c r="G128" s="25"/>
      <c r="H128" s="19" t="s">
        <v>21</v>
      </c>
      <c r="I128" s="27">
        <v>190.53</v>
      </c>
      <c r="J128" s="27"/>
      <c r="K128" s="22" t="s">
        <v>16</v>
      </c>
      <c r="L128" s="23">
        <v>408229.51</v>
      </c>
    </row>
    <row r="129" spans="1:12" ht="71.400000000000006" x14ac:dyDescent="0.3">
      <c r="A129" s="17" t="s">
        <v>161</v>
      </c>
      <c r="B129" s="18" t="s">
        <v>162</v>
      </c>
      <c r="C129" s="18" t="s">
        <v>31</v>
      </c>
      <c r="D129" s="18" t="s">
        <v>131</v>
      </c>
      <c r="E129" s="19" t="s">
        <v>33</v>
      </c>
      <c r="F129" s="25" t="s">
        <v>23</v>
      </c>
      <c r="G129" s="25"/>
      <c r="H129" s="19" t="s">
        <v>21</v>
      </c>
      <c r="I129" s="27">
        <v>286.45</v>
      </c>
      <c r="J129" s="27"/>
      <c r="K129" s="22" t="s">
        <v>16</v>
      </c>
      <c r="L129" s="23">
        <v>407943.06</v>
      </c>
    </row>
    <row r="130" spans="1:12" ht="61.2" x14ac:dyDescent="0.3">
      <c r="A130" s="17" t="s">
        <v>161</v>
      </c>
      <c r="B130" s="18" t="s">
        <v>162</v>
      </c>
      <c r="C130" s="18" t="s">
        <v>31</v>
      </c>
      <c r="D130" s="18" t="s">
        <v>38</v>
      </c>
      <c r="E130" s="19" t="s">
        <v>33</v>
      </c>
      <c r="F130" s="25" t="s">
        <v>23</v>
      </c>
      <c r="G130" s="25"/>
      <c r="H130" s="19" t="s">
        <v>21</v>
      </c>
      <c r="I130" s="27">
        <v>1.87</v>
      </c>
      <c r="J130" s="27"/>
      <c r="K130" s="22" t="s">
        <v>16</v>
      </c>
      <c r="L130" s="23">
        <v>407941.19</v>
      </c>
    </row>
    <row r="131" spans="1:12" ht="71.400000000000006" x14ac:dyDescent="0.3">
      <c r="A131" s="17" t="s">
        <v>161</v>
      </c>
      <c r="B131" s="18" t="s">
        <v>166</v>
      </c>
      <c r="C131" s="18" t="s">
        <v>31</v>
      </c>
      <c r="D131" s="18" t="s">
        <v>40</v>
      </c>
      <c r="E131" s="19" t="s">
        <v>33</v>
      </c>
      <c r="F131" s="25" t="s">
        <v>23</v>
      </c>
      <c r="G131" s="25"/>
      <c r="H131" s="19" t="s">
        <v>21</v>
      </c>
      <c r="I131" s="26">
        <v>19691.419999999998</v>
      </c>
      <c r="J131" s="26"/>
      <c r="K131" s="22" t="s">
        <v>16</v>
      </c>
      <c r="L131" s="23">
        <v>388249.77</v>
      </c>
    </row>
    <row r="132" spans="1:12" ht="61.2" x14ac:dyDescent="0.3">
      <c r="A132" s="17" t="s">
        <v>161</v>
      </c>
      <c r="B132" s="18" t="s">
        <v>166</v>
      </c>
      <c r="C132" s="18" t="s">
        <v>31</v>
      </c>
      <c r="D132" s="18" t="s">
        <v>19</v>
      </c>
      <c r="E132" s="19" t="s">
        <v>33</v>
      </c>
      <c r="F132" s="25" t="s">
        <v>23</v>
      </c>
      <c r="G132" s="25"/>
      <c r="H132" s="19" t="s">
        <v>21</v>
      </c>
      <c r="I132" s="26">
        <v>1817.6</v>
      </c>
      <c r="J132" s="26"/>
      <c r="K132" s="22" t="s">
        <v>16</v>
      </c>
      <c r="L132" s="23">
        <v>386432.17</v>
      </c>
    </row>
    <row r="133" spans="1:12" hidden="1" x14ac:dyDescent="0.3">
      <c r="A133" s="28" t="s">
        <v>167</v>
      </c>
      <c r="B133" s="28"/>
      <c r="C133" s="28"/>
      <c r="D133" s="28"/>
      <c r="E133" s="29">
        <v>363166.76</v>
      </c>
      <c r="F133" s="29"/>
      <c r="G133" s="29"/>
      <c r="H133" s="29">
        <v>116317.75</v>
      </c>
      <c r="I133" s="29"/>
      <c r="J133" s="29"/>
      <c r="K133" s="30" t="s">
        <v>16</v>
      </c>
      <c r="L133" s="31">
        <v>386432.17</v>
      </c>
    </row>
    <row r="135" spans="1:12" x14ac:dyDescent="0.3">
      <c r="J135" s="193">
        <f>SUBTOTAL(9,I10:J132)</f>
        <v>116317.74999999997</v>
      </c>
    </row>
  </sheetData>
  <autoFilter ref="A1:L133" xr:uid="{48AA1600-6310-45B6-B3E8-574945BF3281}">
    <filterColumn colId="1">
      <filters>
        <filter val="Вимога-накладна ІБ00-000311 від 01.05.2025 13:28:35_x000a_Списаны ТМЦ"/>
        <filter val="Вимога-накладна ІБ00-000400 від 01.05.2025 16:55:11_x000a_Списаны ТМЦ"/>
        <filter val="Вимога-накладна ІБ00-000401 від 29.05.2025 16:58:37_x000a_Списаны ТМЦ"/>
        <filter val="Вимога-накладна ІБ00-000402 від 29.05.2025 20:19:42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72">
    <mergeCell ref="A133:D133"/>
    <mergeCell ref="E133:G133"/>
    <mergeCell ref="H133:J133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9427-7C81-424F-AEF1-A07224DC5A1E}">
  <sheetPr filterMode="1"/>
  <dimension ref="A1:L30"/>
  <sheetViews>
    <sheetView workbookViewId="0">
      <selection activeCell="J31" sqref="J31"/>
    </sheetView>
  </sheetViews>
  <sheetFormatPr defaultRowHeight="14.4" x14ac:dyDescent="0.3"/>
  <cols>
    <col min="2" max="4" width="24.33203125" customWidth="1"/>
  </cols>
  <sheetData>
    <row r="1" spans="1:12" x14ac:dyDescent="0.3">
      <c r="A1" s="32" t="s">
        <v>8</v>
      </c>
      <c r="B1" s="33" t="s">
        <v>9</v>
      </c>
      <c r="C1" s="33" t="s">
        <v>10</v>
      </c>
      <c r="D1" s="34" t="s">
        <v>11</v>
      </c>
      <c r="E1" s="35" t="s">
        <v>12</v>
      </c>
      <c r="F1" s="35"/>
      <c r="G1" s="35"/>
      <c r="H1" s="36" t="s">
        <v>13</v>
      </c>
      <c r="I1" s="36"/>
      <c r="J1" s="36"/>
      <c r="K1" s="33" t="s">
        <v>14</v>
      </c>
      <c r="L1" s="33"/>
    </row>
    <row r="2" spans="1:12" x14ac:dyDescent="0.3">
      <c r="A2" s="37"/>
      <c r="B2" s="38"/>
      <c r="C2" s="38"/>
      <c r="D2" s="39"/>
      <c r="E2" s="40" t="s">
        <v>15</v>
      </c>
      <c r="F2" s="41"/>
      <c r="G2" s="41"/>
      <c r="H2" s="42" t="s">
        <v>15</v>
      </c>
      <c r="I2" s="43"/>
      <c r="J2" s="43"/>
      <c r="K2" s="37"/>
      <c r="L2" s="44"/>
    </row>
    <row r="3" spans="1:12" ht="81.599999999999994" hidden="1" x14ac:dyDescent="0.3">
      <c r="A3" s="45" t="s">
        <v>17</v>
      </c>
      <c r="B3" s="46" t="s">
        <v>168</v>
      </c>
      <c r="C3" s="46" t="s">
        <v>169</v>
      </c>
      <c r="D3" s="46" t="s">
        <v>170</v>
      </c>
      <c r="E3" s="47" t="s">
        <v>21</v>
      </c>
      <c r="F3" s="48" t="s">
        <v>23</v>
      </c>
      <c r="G3" s="48"/>
      <c r="H3" s="47" t="s">
        <v>21</v>
      </c>
      <c r="I3" s="49">
        <v>9741.89</v>
      </c>
      <c r="J3" s="49"/>
      <c r="K3" s="50" t="s">
        <v>16</v>
      </c>
      <c r="L3" s="51">
        <v>163161.69</v>
      </c>
    </row>
    <row r="4" spans="1:12" ht="71.400000000000006" hidden="1" x14ac:dyDescent="0.3">
      <c r="A4" s="45" t="s">
        <v>17</v>
      </c>
      <c r="B4" s="46" t="s">
        <v>168</v>
      </c>
      <c r="C4" s="46" t="s">
        <v>171</v>
      </c>
      <c r="D4" s="46" t="s">
        <v>172</v>
      </c>
      <c r="E4" s="47" t="s">
        <v>21</v>
      </c>
      <c r="F4" s="48" t="s">
        <v>23</v>
      </c>
      <c r="G4" s="48"/>
      <c r="H4" s="47" t="s">
        <v>21</v>
      </c>
      <c r="I4" s="49">
        <v>35677.230000000003</v>
      </c>
      <c r="J4" s="49"/>
      <c r="K4" s="50" t="s">
        <v>16</v>
      </c>
      <c r="L4" s="51">
        <v>127484.46</v>
      </c>
    </row>
    <row r="5" spans="1:12" ht="81.599999999999994" hidden="1" x14ac:dyDescent="0.3">
      <c r="A5" s="45" t="s">
        <v>17</v>
      </c>
      <c r="B5" s="46" t="s">
        <v>168</v>
      </c>
      <c r="C5" s="46" t="s">
        <v>173</v>
      </c>
      <c r="D5" s="46" t="s">
        <v>174</v>
      </c>
      <c r="E5" s="47" t="s">
        <v>21</v>
      </c>
      <c r="F5" s="48" t="s">
        <v>23</v>
      </c>
      <c r="G5" s="48"/>
      <c r="H5" s="47" t="s">
        <v>21</v>
      </c>
      <c r="I5" s="52">
        <v>63.74</v>
      </c>
      <c r="J5" s="52"/>
      <c r="K5" s="50" t="s">
        <v>16</v>
      </c>
      <c r="L5" s="51">
        <v>127420.72</v>
      </c>
    </row>
    <row r="6" spans="1:12" ht="71.400000000000006" hidden="1" x14ac:dyDescent="0.3">
      <c r="A6" s="45" t="s">
        <v>17</v>
      </c>
      <c r="B6" s="46" t="s">
        <v>168</v>
      </c>
      <c r="C6" s="46" t="s">
        <v>175</v>
      </c>
      <c r="D6" s="46" t="s">
        <v>176</v>
      </c>
      <c r="E6" s="47" t="s">
        <v>21</v>
      </c>
      <c r="F6" s="48" t="s">
        <v>23</v>
      </c>
      <c r="G6" s="48"/>
      <c r="H6" s="47" t="s">
        <v>21</v>
      </c>
      <c r="I6" s="52">
        <v>281.27</v>
      </c>
      <c r="J6" s="52"/>
      <c r="K6" s="50" t="s">
        <v>16</v>
      </c>
      <c r="L6" s="51">
        <v>127139.45</v>
      </c>
    </row>
    <row r="7" spans="1:12" ht="81.599999999999994" hidden="1" x14ac:dyDescent="0.3">
      <c r="A7" s="45" t="s">
        <v>17</v>
      </c>
      <c r="B7" s="46" t="s">
        <v>168</v>
      </c>
      <c r="C7" s="46" t="s">
        <v>177</v>
      </c>
      <c r="D7" s="46" t="s">
        <v>178</v>
      </c>
      <c r="E7" s="47" t="s">
        <v>21</v>
      </c>
      <c r="F7" s="48" t="s">
        <v>23</v>
      </c>
      <c r="G7" s="48"/>
      <c r="H7" s="47" t="s">
        <v>21</v>
      </c>
      <c r="I7" s="52">
        <v>483.07</v>
      </c>
      <c r="J7" s="52"/>
      <c r="K7" s="50" t="s">
        <v>16</v>
      </c>
      <c r="L7" s="51">
        <v>126656.38</v>
      </c>
    </row>
    <row r="8" spans="1:12" ht="71.400000000000006" hidden="1" x14ac:dyDescent="0.3">
      <c r="A8" s="45" t="s">
        <v>17</v>
      </c>
      <c r="B8" s="46" t="s">
        <v>179</v>
      </c>
      <c r="C8" s="46" t="s">
        <v>180</v>
      </c>
      <c r="D8" s="46" t="s">
        <v>181</v>
      </c>
      <c r="E8" s="47" t="s">
        <v>21</v>
      </c>
      <c r="F8" s="48" t="s">
        <v>23</v>
      </c>
      <c r="G8" s="48"/>
      <c r="H8" s="47" t="s">
        <v>21</v>
      </c>
      <c r="I8" s="52">
        <v>121.51</v>
      </c>
      <c r="J8" s="52"/>
      <c r="K8" s="50" t="s">
        <v>16</v>
      </c>
      <c r="L8" s="51">
        <v>126534.87</v>
      </c>
    </row>
    <row r="9" spans="1:12" ht="71.400000000000006" hidden="1" x14ac:dyDescent="0.3">
      <c r="A9" s="45" t="s">
        <v>182</v>
      </c>
      <c r="B9" s="46" t="s">
        <v>183</v>
      </c>
      <c r="C9" s="46" t="s">
        <v>184</v>
      </c>
      <c r="D9" s="46" t="s">
        <v>185</v>
      </c>
      <c r="E9" s="47" t="s">
        <v>21</v>
      </c>
      <c r="F9" s="48" t="s">
        <v>23</v>
      </c>
      <c r="G9" s="48"/>
      <c r="H9" s="47" t="s">
        <v>21</v>
      </c>
      <c r="I9" s="52">
        <v>211.72</v>
      </c>
      <c r="J9" s="52"/>
      <c r="K9" s="50" t="s">
        <v>16</v>
      </c>
      <c r="L9" s="51">
        <v>126323.15</v>
      </c>
    </row>
    <row r="10" spans="1:12" ht="81.599999999999994" hidden="1" x14ac:dyDescent="0.3">
      <c r="A10" s="45" t="s">
        <v>182</v>
      </c>
      <c r="B10" s="46" t="s">
        <v>183</v>
      </c>
      <c r="C10" s="46" t="s">
        <v>186</v>
      </c>
      <c r="D10" s="46" t="s">
        <v>187</v>
      </c>
      <c r="E10" s="47" t="s">
        <v>21</v>
      </c>
      <c r="F10" s="48" t="s">
        <v>23</v>
      </c>
      <c r="G10" s="48"/>
      <c r="H10" s="47" t="s">
        <v>21</v>
      </c>
      <c r="I10" s="52">
        <v>120.98</v>
      </c>
      <c r="J10" s="52"/>
      <c r="K10" s="50" t="s">
        <v>16</v>
      </c>
      <c r="L10" s="51">
        <v>126202.17</v>
      </c>
    </row>
    <row r="11" spans="1:12" ht="71.400000000000006" hidden="1" x14ac:dyDescent="0.3">
      <c r="A11" s="45" t="s">
        <v>182</v>
      </c>
      <c r="B11" s="46" t="s">
        <v>183</v>
      </c>
      <c r="C11" s="46" t="s">
        <v>188</v>
      </c>
      <c r="D11" s="46" t="s">
        <v>172</v>
      </c>
      <c r="E11" s="47" t="s">
        <v>21</v>
      </c>
      <c r="F11" s="48" t="s">
        <v>23</v>
      </c>
      <c r="G11" s="48"/>
      <c r="H11" s="47" t="s">
        <v>21</v>
      </c>
      <c r="I11" s="49">
        <v>11313.32</v>
      </c>
      <c r="J11" s="49"/>
      <c r="K11" s="50" t="s">
        <v>16</v>
      </c>
      <c r="L11" s="51">
        <v>114888.85</v>
      </c>
    </row>
    <row r="12" spans="1:12" ht="81.599999999999994" hidden="1" x14ac:dyDescent="0.3">
      <c r="A12" s="45" t="s">
        <v>182</v>
      </c>
      <c r="B12" s="46" t="s">
        <v>183</v>
      </c>
      <c r="C12" s="46" t="s">
        <v>189</v>
      </c>
      <c r="D12" s="46" t="s">
        <v>174</v>
      </c>
      <c r="E12" s="47" t="s">
        <v>21</v>
      </c>
      <c r="F12" s="48" t="s">
        <v>23</v>
      </c>
      <c r="G12" s="48"/>
      <c r="H12" s="47" t="s">
        <v>21</v>
      </c>
      <c r="I12" s="52">
        <v>286.82</v>
      </c>
      <c r="J12" s="52"/>
      <c r="K12" s="50" t="s">
        <v>16</v>
      </c>
      <c r="L12" s="51">
        <v>114602.03</v>
      </c>
    </row>
    <row r="13" spans="1:12" ht="81.599999999999994" hidden="1" x14ac:dyDescent="0.3">
      <c r="A13" s="45" t="s">
        <v>182</v>
      </c>
      <c r="B13" s="46" t="s">
        <v>183</v>
      </c>
      <c r="C13" s="46" t="s">
        <v>190</v>
      </c>
      <c r="D13" s="46" t="s">
        <v>191</v>
      </c>
      <c r="E13" s="47" t="s">
        <v>21</v>
      </c>
      <c r="F13" s="48" t="s">
        <v>23</v>
      </c>
      <c r="G13" s="48"/>
      <c r="H13" s="47" t="s">
        <v>21</v>
      </c>
      <c r="I13" s="52">
        <v>318.13</v>
      </c>
      <c r="J13" s="52"/>
      <c r="K13" s="50" t="s">
        <v>16</v>
      </c>
      <c r="L13" s="51">
        <v>114283.9</v>
      </c>
    </row>
    <row r="14" spans="1:12" ht="81.599999999999994" hidden="1" x14ac:dyDescent="0.3">
      <c r="A14" s="45" t="s">
        <v>182</v>
      </c>
      <c r="B14" s="46" t="s">
        <v>183</v>
      </c>
      <c r="C14" s="46" t="s">
        <v>192</v>
      </c>
      <c r="D14" s="46" t="s">
        <v>170</v>
      </c>
      <c r="E14" s="47" t="s">
        <v>21</v>
      </c>
      <c r="F14" s="48" t="s">
        <v>23</v>
      </c>
      <c r="G14" s="48"/>
      <c r="H14" s="47" t="s">
        <v>21</v>
      </c>
      <c r="I14" s="52">
        <v>149.88</v>
      </c>
      <c r="J14" s="52"/>
      <c r="K14" s="50" t="s">
        <v>16</v>
      </c>
      <c r="L14" s="51">
        <v>114134.02</v>
      </c>
    </row>
    <row r="15" spans="1:12" ht="51" hidden="1" x14ac:dyDescent="0.3">
      <c r="A15" s="45" t="s">
        <v>193</v>
      </c>
      <c r="B15" s="46" t="s">
        <v>194</v>
      </c>
      <c r="C15" s="46" t="s">
        <v>195</v>
      </c>
      <c r="D15" s="46" t="s">
        <v>196</v>
      </c>
      <c r="E15" s="47" t="s">
        <v>21</v>
      </c>
      <c r="F15" s="53">
        <v>1236.22</v>
      </c>
      <c r="G15" s="53"/>
      <c r="H15" s="47" t="s">
        <v>21</v>
      </c>
      <c r="I15" s="54" t="s">
        <v>23</v>
      </c>
      <c r="J15" s="54"/>
      <c r="K15" s="50" t="s">
        <v>16</v>
      </c>
      <c r="L15" s="51">
        <v>115370.24000000001</v>
      </c>
    </row>
    <row r="16" spans="1:12" ht="71.400000000000006" hidden="1" x14ac:dyDescent="0.3">
      <c r="A16" s="45" t="s">
        <v>193</v>
      </c>
      <c r="B16" s="46" t="s">
        <v>194</v>
      </c>
      <c r="C16" s="46" t="s">
        <v>197</v>
      </c>
      <c r="D16" s="46" t="s">
        <v>198</v>
      </c>
      <c r="E16" s="47" t="s">
        <v>21</v>
      </c>
      <c r="F16" s="53">
        <v>16649.54</v>
      </c>
      <c r="G16" s="53"/>
      <c r="H16" s="47" t="s">
        <v>21</v>
      </c>
      <c r="I16" s="54" t="s">
        <v>23</v>
      </c>
      <c r="J16" s="54"/>
      <c r="K16" s="50" t="s">
        <v>16</v>
      </c>
      <c r="L16" s="51">
        <v>132019.78</v>
      </c>
    </row>
    <row r="17" spans="1:12" ht="61.2" hidden="1" x14ac:dyDescent="0.3">
      <c r="A17" s="45" t="s">
        <v>193</v>
      </c>
      <c r="B17" s="46" t="s">
        <v>194</v>
      </c>
      <c r="C17" s="46" t="s">
        <v>199</v>
      </c>
      <c r="D17" s="46" t="s">
        <v>200</v>
      </c>
      <c r="E17" s="47" t="s">
        <v>21</v>
      </c>
      <c r="F17" s="53">
        <v>12663.7</v>
      </c>
      <c r="G17" s="53"/>
      <c r="H17" s="47" t="s">
        <v>21</v>
      </c>
      <c r="I17" s="54" t="s">
        <v>23</v>
      </c>
      <c r="J17" s="54"/>
      <c r="K17" s="50" t="s">
        <v>16</v>
      </c>
      <c r="L17" s="51">
        <v>144683.48000000001</v>
      </c>
    </row>
    <row r="18" spans="1:12" ht="71.400000000000006" hidden="1" x14ac:dyDescent="0.3">
      <c r="A18" s="45" t="s">
        <v>193</v>
      </c>
      <c r="B18" s="46" t="s">
        <v>194</v>
      </c>
      <c r="C18" s="46" t="s">
        <v>201</v>
      </c>
      <c r="D18" s="46" t="s">
        <v>202</v>
      </c>
      <c r="E18" s="47" t="s">
        <v>21</v>
      </c>
      <c r="F18" s="53">
        <v>23473.97</v>
      </c>
      <c r="G18" s="53"/>
      <c r="H18" s="47" t="s">
        <v>21</v>
      </c>
      <c r="I18" s="54" t="s">
        <v>23</v>
      </c>
      <c r="J18" s="54"/>
      <c r="K18" s="50" t="s">
        <v>16</v>
      </c>
      <c r="L18" s="51">
        <v>168157.45</v>
      </c>
    </row>
    <row r="19" spans="1:12" ht="61.2" hidden="1" x14ac:dyDescent="0.3">
      <c r="A19" s="45" t="s">
        <v>203</v>
      </c>
      <c r="B19" s="46" t="s">
        <v>204</v>
      </c>
      <c r="C19" s="46" t="s">
        <v>205</v>
      </c>
      <c r="D19" s="46" t="s">
        <v>206</v>
      </c>
      <c r="E19" s="47" t="s">
        <v>21</v>
      </c>
      <c r="F19" s="53">
        <v>697443.12</v>
      </c>
      <c r="G19" s="53"/>
      <c r="H19" s="47" t="s">
        <v>22</v>
      </c>
      <c r="I19" s="54" t="s">
        <v>23</v>
      </c>
      <c r="J19" s="54"/>
      <c r="K19" s="50" t="s">
        <v>16</v>
      </c>
      <c r="L19" s="51">
        <v>865600.57</v>
      </c>
    </row>
    <row r="20" spans="1:12" ht="61.2" hidden="1" x14ac:dyDescent="0.3">
      <c r="A20" s="45" t="s">
        <v>203</v>
      </c>
      <c r="B20" s="46" t="s">
        <v>204</v>
      </c>
      <c r="C20" s="46" t="s">
        <v>207</v>
      </c>
      <c r="D20" s="46" t="s">
        <v>206</v>
      </c>
      <c r="E20" s="47" t="s">
        <v>21</v>
      </c>
      <c r="F20" s="53">
        <v>14525.52</v>
      </c>
      <c r="G20" s="53"/>
      <c r="H20" s="47" t="s">
        <v>22</v>
      </c>
      <c r="I20" s="54" t="s">
        <v>23</v>
      </c>
      <c r="J20" s="54"/>
      <c r="K20" s="50" t="s">
        <v>16</v>
      </c>
      <c r="L20" s="51">
        <v>880126.09</v>
      </c>
    </row>
    <row r="21" spans="1:12" ht="61.2" hidden="1" x14ac:dyDescent="0.3">
      <c r="A21" s="45" t="s">
        <v>203</v>
      </c>
      <c r="B21" s="46" t="s">
        <v>204</v>
      </c>
      <c r="C21" s="46" t="s">
        <v>208</v>
      </c>
      <c r="D21" s="46" t="s">
        <v>206</v>
      </c>
      <c r="E21" s="47" t="s">
        <v>21</v>
      </c>
      <c r="F21" s="53">
        <v>30796.92</v>
      </c>
      <c r="G21" s="53"/>
      <c r="H21" s="47" t="s">
        <v>22</v>
      </c>
      <c r="I21" s="54" t="s">
        <v>23</v>
      </c>
      <c r="J21" s="54"/>
      <c r="K21" s="50" t="s">
        <v>16</v>
      </c>
      <c r="L21" s="51">
        <v>910923.01</v>
      </c>
    </row>
    <row r="22" spans="1:12" ht="71.400000000000006" hidden="1" x14ac:dyDescent="0.3">
      <c r="A22" s="45" t="s">
        <v>203</v>
      </c>
      <c r="B22" s="46" t="s">
        <v>204</v>
      </c>
      <c r="C22" s="46" t="s">
        <v>209</v>
      </c>
      <c r="D22" s="46" t="s">
        <v>206</v>
      </c>
      <c r="E22" s="47" t="s">
        <v>21</v>
      </c>
      <c r="F22" s="53">
        <v>9572.58</v>
      </c>
      <c r="G22" s="53"/>
      <c r="H22" s="47" t="s">
        <v>22</v>
      </c>
      <c r="I22" s="54" t="s">
        <v>23</v>
      </c>
      <c r="J22" s="54"/>
      <c r="K22" s="50" t="s">
        <v>16</v>
      </c>
      <c r="L22" s="51">
        <v>920495.59</v>
      </c>
    </row>
    <row r="23" spans="1:12" ht="61.2" hidden="1" x14ac:dyDescent="0.3">
      <c r="A23" s="45" t="s">
        <v>203</v>
      </c>
      <c r="B23" s="46" t="s">
        <v>210</v>
      </c>
      <c r="C23" s="46" t="s">
        <v>205</v>
      </c>
      <c r="D23" s="46" t="s">
        <v>206</v>
      </c>
      <c r="E23" s="47" t="s">
        <v>21</v>
      </c>
      <c r="F23" s="53">
        <v>5407.69</v>
      </c>
      <c r="G23" s="53"/>
      <c r="H23" s="47" t="s">
        <v>22</v>
      </c>
      <c r="I23" s="54" t="s">
        <v>23</v>
      </c>
      <c r="J23" s="54"/>
      <c r="K23" s="50" t="s">
        <v>16</v>
      </c>
      <c r="L23" s="51">
        <v>925903.28</v>
      </c>
    </row>
    <row r="24" spans="1:12" ht="61.2" hidden="1" x14ac:dyDescent="0.3">
      <c r="A24" s="45" t="s">
        <v>203</v>
      </c>
      <c r="B24" s="46" t="s">
        <v>210</v>
      </c>
      <c r="C24" s="46" t="s">
        <v>207</v>
      </c>
      <c r="D24" s="46" t="s">
        <v>206</v>
      </c>
      <c r="E24" s="47" t="s">
        <v>21</v>
      </c>
      <c r="F24" s="55">
        <v>112.63</v>
      </c>
      <c r="G24" s="55"/>
      <c r="H24" s="47" t="s">
        <v>22</v>
      </c>
      <c r="I24" s="54" t="s">
        <v>23</v>
      </c>
      <c r="J24" s="54"/>
      <c r="K24" s="50" t="s">
        <v>16</v>
      </c>
      <c r="L24" s="51">
        <v>926015.91</v>
      </c>
    </row>
    <row r="25" spans="1:12" ht="61.2" hidden="1" x14ac:dyDescent="0.3">
      <c r="A25" s="45" t="s">
        <v>203</v>
      </c>
      <c r="B25" s="46" t="s">
        <v>210</v>
      </c>
      <c r="C25" s="46" t="s">
        <v>208</v>
      </c>
      <c r="D25" s="46" t="s">
        <v>206</v>
      </c>
      <c r="E25" s="47" t="s">
        <v>21</v>
      </c>
      <c r="F25" s="55">
        <v>238.79</v>
      </c>
      <c r="G25" s="55"/>
      <c r="H25" s="47" t="s">
        <v>22</v>
      </c>
      <c r="I25" s="54" t="s">
        <v>23</v>
      </c>
      <c r="J25" s="54"/>
      <c r="K25" s="50" t="s">
        <v>16</v>
      </c>
      <c r="L25" s="51">
        <v>926254.7</v>
      </c>
    </row>
    <row r="26" spans="1:12" ht="71.400000000000006" hidden="1" x14ac:dyDescent="0.3">
      <c r="A26" s="45" t="s">
        <v>203</v>
      </c>
      <c r="B26" s="46" t="s">
        <v>210</v>
      </c>
      <c r="C26" s="46" t="s">
        <v>209</v>
      </c>
      <c r="D26" s="46" t="s">
        <v>206</v>
      </c>
      <c r="E26" s="47" t="s">
        <v>21</v>
      </c>
      <c r="F26" s="55">
        <v>74.22</v>
      </c>
      <c r="G26" s="55"/>
      <c r="H26" s="47" t="s">
        <v>22</v>
      </c>
      <c r="I26" s="54" t="s">
        <v>23</v>
      </c>
      <c r="J26" s="54"/>
      <c r="K26" s="50" t="s">
        <v>16</v>
      </c>
      <c r="L26" s="51">
        <v>926328.92</v>
      </c>
    </row>
    <row r="27" spans="1:12" ht="71.400000000000006" hidden="1" x14ac:dyDescent="0.3">
      <c r="A27" s="45" t="s">
        <v>132</v>
      </c>
      <c r="B27" s="46" t="s">
        <v>211</v>
      </c>
      <c r="C27" s="46" t="s">
        <v>212</v>
      </c>
      <c r="D27" s="46" t="s">
        <v>213</v>
      </c>
      <c r="E27" s="47" t="s">
        <v>21</v>
      </c>
      <c r="F27" s="48" t="s">
        <v>23</v>
      </c>
      <c r="G27" s="48"/>
      <c r="H27" s="47" t="s">
        <v>21</v>
      </c>
      <c r="I27" s="52">
        <v>608.66999999999996</v>
      </c>
      <c r="J27" s="52"/>
      <c r="K27" s="50" t="s">
        <v>16</v>
      </c>
      <c r="L27" s="51">
        <v>925720.25</v>
      </c>
    </row>
    <row r="28" spans="1:12" x14ac:dyDescent="0.3">
      <c r="A28" s="56" t="s">
        <v>167</v>
      </c>
      <c r="B28" s="56"/>
      <c r="C28" s="56"/>
      <c r="D28" s="56"/>
      <c r="E28" s="57">
        <v>812194.9</v>
      </c>
      <c r="F28" s="57"/>
      <c r="G28" s="57"/>
      <c r="H28" s="57">
        <v>59378.23</v>
      </c>
      <c r="I28" s="57"/>
      <c r="J28" s="57"/>
      <c r="K28" s="58" t="s">
        <v>16</v>
      </c>
      <c r="L28" s="59">
        <v>925720.25</v>
      </c>
    </row>
    <row r="30" spans="1:12" x14ac:dyDescent="0.3">
      <c r="J30">
        <v>0</v>
      </c>
    </row>
  </sheetData>
  <autoFilter ref="A1:L28" xr:uid="{69927313-CE3B-4D08-A58F-0D7A5340AFD1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62">
    <mergeCell ref="A28:D28"/>
    <mergeCell ref="E28:G28"/>
    <mergeCell ref="H28:J28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00A0-E387-4486-89A4-8D019EC24172}">
  <sheetPr filterMode="1"/>
  <dimension ref="A1:L6"/>
  <sheetViews>
    <sheetView workbookViewId="0">
      <selection activeCell="C29" sqref="C29"/>
    </sheetView>
  </sheetViews>
  <sheetFormatPr defaultRowHeight="14.4" x14ac:dyDescent="0.3"/>
  <cols>
    <col min="2" max="4" width="24.33203125" customWidth="1"/>
  </cols>
  <sheetData>
    <row r="1" spans="1:12" x14ac:dyDescent="0.3">
      <c r="A1" s="60" t="s">
        <v>8</v>
      </c>
      <c r="B1" s="61" t="s">
        <v>9</v>
      </c>
      <c r="C1" s="61" t="s">
        <v>10</v>
      </c>
      <c r="D1" s="62" t="s">
        <v>11</v>
      </c>
      <c r="E1" s="63" t="s">
        <v>12</v>
      </c>
      <c r="F1" s="63"/>
      <c r="G1" s="63"/>
      <c r="H1" s="64" t="s">
        <v>13</v>
      </c>
      <c r="I1" s="64"/>
      <c r="J1" s="64"/>
      <c r="K1" s="61" t="s">
        <v>14</v>
      </c>
      <c r="L1" s="61"/>
    </row>
    <row r="2" spans="1:12" x14ac:dyDescent="0.3">
      <c r="A2" s="65"/>
      <c r="B2" s="66"/>
      <c r="C2" s="66"/>
      <c r="D2" s="67"/>
      <c r="E2" s="68" t="s">
        <v>15</v>
      </c>
      <c r="F2" s="69"/>
      <c r="G2" s="69"/>
      <c r="H2" s="70" t="s">
        <v>15</v>
      </c>
      <c r="I2" s="71"/>
      <c r="J2" s="71"/>
      <c r="K2" s="65"/>
      <c r="L2" s="72"/>
    </row>
    <row r="3" spans="1:12" ht="71.400000000000006" hidden="1" x14ac:dyDescent="0.3">
      <c r="A3" s="73" t="s">
        <v>182</v>
      </c>
      <c r="B3" s="74" t="s">
        <v>214</v>
      </c>
      <c r="C3" s="74" t="s">
        <v>215</v>
      </c>
      <c r="D3" s="74" t="s">
        <v>216</v>
      </c>
      <c r="E3" s="75" t="s">
        <v>21</v>
      </c>
      <c r="F3" s="76" t="s">
        <v>23</v>
      </c>
      <c r="G3" s="76"/>
      <c r="H3" s="75" t="s">
        <v>21</v>
      </c>
      <c r="I3" s="77">
        <v>116.48</v>
      </c>
      <c r="J3" s="77"/>
      <c r="K3" s="78" t="s">
        <v>16</v>
      </c>
      <c r="L3" s="79">
        <v>52371.360000000001</v>
      </c>
    </row>
    <row r="4" spans="1:12" x14ac:dyDescent="0.3">
      <c r="A4" s="80" t="s">
        <v>167</v>
      </c>
      <c r="B4" s="80"/>
      <c r="C4" s="80"/>
      <c r="D4" s="80"/>
      <c r="E4" s="81">
        <v>0</v>
      </c>
      <c r="F4" s="81"/>
      <c r="G4" s="81"/>
      <c r="H4" s="81">
        <v>116.48</v>
      </c>
      <c r="I4" s="81"/>
      <c r="J4" s="81"/>
      <c r="K4" s="82" t="s">
        <v>16</v>
      </c>
      <c r="L4" s="83">
        <v>52371.360000000001</v>
      </c>
    </row>
    <row r="6" spans="1:12" x14ac:dyDescent="0.3">
      <c r="J6">
        <f>0</f>
        <v>0</v>
      </c>
    </row>
  </sheetData>
  <autoFilter ref="A1:L4" xr:uid="{5ED42E00-81CD-4CB2-8492-4C1C10FCF4B3}">
    <filterColumn colId="1">
      <filters blank="1"/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4">
    <mergeCell ref="A4:D4"/>
    <mergeCell ref="E4:G4"/>
    <mergeCell ref="H4:J4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5A8D-8F3D-46A9-814B-620908FF0C34}">
  <sheetPr filterMode="1"/>
  <dimension ref="A1:L96"/>
  <sheetViews>
    <sheetView topLeftCell="A90" workbookViewId="0">
      <selection activeCell="J96" sqref="J96"/>
    </sheetView>
  </sheetViews>
  <sheetFormatPr defaultRowHeight="14.4" x14ac:dyDescent="0.3"/>
  <cols>
    <col min="2" max="4" width="24.33203125" customWidth="1"/>
    <col min="10" max="10" width="11.33203125" bestFit="1" customWidth="1"/>
  </cols>
  <sheetData>
    <row r="1" spans="1:12" x14ac:dyDescent="0.3">
      <c r="A1" s="84" t="s">
        <v>8</v>
      </c>
      <c r="B1" s="85" t="s">
        <v>9</v>
      </c>
      <c r="C1" s="85" t="s">
        <v>10</v>
      </c>
      <c r="D1" s="86" t="s">
        <v>11</v>
      </c>
      <c r="E1" s="87" t="s">
        <v>12</v>
      </c>
      <c r="F1" s="87"/>
      <c r="G1" s="87"/>
      <c r="H1" s="88" t="s">
        <v>13</v>
      </c>
      <c r="I1" s="88"/>
      <c r="J1" s="88"/>
      <c r="K1" s="85" t="s">
        <v>14</v>
      </c>
      <c r="L1" s="85"/>
    </row>
    <row r="2" spans="1:12" x14ac:dyDescent="0.3">
      <c r="A2" s="89"/>
      <c r="B2" s="90"/>
      <c r="C2" s="90"/>
      <c r="D2" s="91"/>
      <c r="E2" s="92" t="s">
        <v>15</v>
      </c>
      <c r="F2" s="93"/>
      <c r="G2" s="93"/>
      <c r="H2" s="94" t="s">
        <v>15</v>
      </c>
      <c r="I2" s="95"/>
      <c r="J2" s="95"/>
      <c r="K2" s="89"/>
      <c r="L2" s="96"/>
    </row>
    <row r="3" spans="1:12" ht="71.400000000000006" hidden="1" x14ac:dyDescent="0.3">
      <c r="A3" s="97" t="s">
        <v>17</v>
      </c>
      <c r="B3" s="98" t="s">
        <v>179</v>
      </c>
      <c r="C3" s="98" t="s">
        <v>180</v>
      </c>
      <c r="D3" s="98" t="s">
        <v>181</v>
      </c>
      <c r="E3" s="99" t="s">
        <v>21</v>
      </c>
      <c r="F3" s="100">
        <v>121.51</v>
      </c>
      <c r="G3" s="100"/>
      <c r="H3" s="99" t="s">
        <v>21</v>
      </c>
      <c r="I3" s="101" t="s">
        <v>23</v>
      </c>
      <c r="J3" s="101"/>
      <c r="K3" s="102" t="s">
        <v>16</v>
      </c>
      <c r="L3" s="103">
        <v>1433801.73</v>
      </c>
    </row>
    <row r="4" spans="1:12" ht="71.400000000000006" x14ac:dyDescent="0.3">
      <c r="A4" s="97" t="s">
        <v>17</v>
      </c>
      <c r="B4" s="98" t="s">
        <v>217</v>
      </c>
      <c r="C4" s="98" t="s">
        <v>218</v>
      </c>
      <c r="D4" s="98" t="s">
        <v>219</v>
      </c>
      <c r="E4" s="99" t="s">
        <v>33</v>
      </c>
      <c r="F4" s="104" t="s">
        <v>23</v>
      </c>
      <c r="G4" s="104"/>
      <c r="H4" s="99" t="s">
        <v>21</v>
      </c>
      <c r="I4" s="105">
        <v>33417.32</v>
      </c>
      <c r="J4" s="105"/>
      <c r="K4" s="102" t="s">
        <v>16</v>
      </c>
      <c r="L4" s="103">
        <v>1400384.41</v>
      </c>
    </row>
    <row r="5" spans="1:12" ht="71.400000000000006" x14ac:dyDescent="0.3">
      <c r="A5" s="97" t="s">
        <v>17</v>
      </c>
      <c r="B5" s="98" t="s">
        <v>217</v>
      </c>
      <c r="C5" s="98" t="s">
        <v>218</v>
      </c>
      <c r="D5" s="98" t="s">
        <v>220</v>
      </c>
      <c r="E5" s="99" t="s">
        <v>33</v>
      </c>
      <c r="F5" s="104" t="s">
        <v>23</v>
      </c>
      <c r="G5" s="104"/>
      <c r="H5" s="99" t="s">
        <v>21</v>
      </c>
      <c r="I5" s="105">
        <v>13371.15</v>
      </c>
      <c r="J5" s="105"/>
      <c r="K5" s="102" t="s">
        <v>16</v>
      </c>
      <c r="L5" s="103">
        <v>1387013.26</v>
      </c>
    </row>
    <row r="6" spans="1:12" ht="81.599999999999994" x14ac:dyDescent="0.3">
      <c r="A6" s="97" t="s">
        <v>17</v>
      </c>
      <c r="B6" s="98" t="s">
        <v>217</v>
      </c>
      <c r="C6" s="98" t="s">
        <v>218</v>
      </c>
      <c r="D6" s="98" t="s">
        <v>221</v>
      </c>
      <c r="E6" s="99" t="s">
        <v>33</v>
      </c>
      <c r="F6" s="104" t="s">
        <v>23</v>
      </c>
      <c r="G6" s="104"/>
      <c r="H6" s="99" t="s">
        <v>21</v>
      </c>
      <c r="I6" s="105">
        <v>39556.18</v>
      </c>
      <c r="J6" s="105"/>
      <c r="K6" s="102" t="s">
        <v>16</v>
      </c>
      <c r="L6" s="103">
        <v>1347457.08</v>
      </c>
    </row>
    <row r="7" spans="1:12" ht="71.400000000000006" x14ac:dyDescent="0.3">
      <c r="A7" s="97" t="s">
        <v>17</v>
      </c>
      <c r="B7" s="98" t="s">
        <v>222</v>
      </c>
      <c r="C7" s="98" t="s">
        <v>218</v>
      </c>
      <c r="D7" s="98" t="s">
        <v>223</v>
      </c>
      <c r="E7" s="99" t="s">
        <v>33</v>
      </c>
      <c r="F7" s="104" t="s">
        <v>23</v>
      </c>
      <c r="G7" s="104"/>
      <c r="H7" s="99" t="s">
        <v>21</v>
      </c>
      <c r="I7" s="105">
        <v>170666.56</v>
      </c>
      <c r="J7" s="105"/>
      <c r="K7" s="102" t="s">
        <v>16</v>
      </c>
      <c r="L7" s="103">
        <v>1176790.52</v>
      </c>
    </row>
    <row r="8" spans="1:12" ht="81.599999999999994" x14ac:dyDescent="0.3">
      <c r="A8" s="97" t="s">
        <v>17</v>
      </c>
      <c r="B8" s="98" t="s">
        <v>222</v>
      </c>
      <c r="C8" s="98" t="s">
        <v>218</v>
      </c>
      <c r="D8" s="98" t="s">
        <v>224</v>
      </c>
      <c r="E8" s="99" t="s">
        <v>33</v>
      </c>
      <c r="F8" s="104" t="s">
        <v>23</v>
      </c>
      <c r="G8" s="104"/>
      <c r="H8" s="99" t="s">
        <v>21</v>
      </c>
      <c r="I8" s="105">
        <v>6351.64</v>
      </c>
      <c r="J8" s="105"/>
      <c r="K8" s="102" t="s">
        <v>16</v>
      </c>
      <c r="L8" s="103">
        <v>1170438.8799999999</v>
      </c>
    </row>
    <row r="9" spans="1:12" ht="71.400000000000006" x14ac:dyDescent="0.3">
      <c r="A9" s="97" t="s">
        <v>17</v>
      </c>
      <c r="B9" s="98" t="s">
        <v>222</v>
      </c>
      <c r="C9" s="98" t="s">
        <v>218</v>
      </c>
      <c r="D9" s="98" t="s">
        <v>225</v>
      </c>
      <c r="E9" s="99" t="s">
        <v>33</v>
      </c>
      <c r="F9" s="104" t="s">
        <v>23</v>
      </c>
      <c r="G9" s="104"/>
      <c r="H9" s="99" t="s">
        <v>21</v>
      </c>
      <c r="I9" s="105">
        <v>13990.49</v>
      </c>
      <c r="J9" s="105"/>
      <c r="K9" s="102" t="s">
        <v>16</v>
      </c>
      <c r="L9" s="103">
        <v>1156448.3899999999</v>
      </c>
    </row>
    <row r="10" spans="1:12" ht="71.400000000000006" x14ac:dyDescent="0.3">
      <c r="A10" s="97" t="s">
        <v>17</v>
      </c>
      <c r="B10" s="98" t="s">
        <v>222</v>
      </c>
      <c r="C10" s="98" t="s">
        <v>218</v>
      </c>
      <c r="D10" s="98" t="s">
        <v>184</v>
      </c>
      <c r="E10" s="99" t="s">
        <v>33</v>
      </c>
      <c r="F10" s="104" t="s">
        <v>23</v>
      </c>
      <c r="G10" s="104"/>
      <c r="H10" s="99" t="s">
        <v>21</v>
      </c>
      <c r="I10" s="106">
        <v>302.45999999999998</v>
      </c>
      <c r="J10" s="106"/>
      <c r="K10" s="102" t="s">
        <v>16</v>
      </c>
      <c r="L10" s="103">
        <v>1156145.93</v>
      </c>
    </row>
    <row r="11" spans="1:12" ht="81.599999999999994" x14ac:dyDescent="0.3">
      <c r="A11" s="97" t="s">
        <v>17</v>
      </c>
      <c r="B11" s="98" t="s">
        <v>222</v>
      </c>
      <c r="C11" s="98" t="s">
        <v>218</v>
      </c>
      <c r="D11" s="98" t="s">
        <v>226</v>
      </c>
      <c r="E11" s="99" t="s">
        <v>33</v>
      </c>
      <c r="F11" s="104" t="s">
        <v>23</v>
      </c>
      <c r="G11" s="104"/>
      <c r="H11" s="99" t="s">
        <v>21</v>
      </c>
      <c r="I11" s="106">
        <v>29.52</v>
      </c>
      <c r="J11" s="106"/>
      <c r="K11" s="102" t="s">
        <v>16</v>
      </c>
      <c r="L11" s="103">
        <v>1156116.4099999999</v>
      </c>
    </row>
    <row r="12" spans="1:12" ht="81.599999999999994" x14ac:dyDescent="0.3">
      <c r="A12" s="97" t="s">
        <v>17</v>
      </c>
      <c r="B12" s="98" t="s">
        <v>222</v>
      </c>
      <c r="C12" s="98" t="s">
        <v>218</v>
      </c>
      <c r="D12" s="98" t="s">
        <v>192</v>
      </c>
      <c r="E12" s="99" t="s">
        <v>33</v>
      </c>
      <c r="F12" s="104" t="s">
        <v>23</v>
      </c>
      <c r="G12" s="104"/>
      <c r="H12" s="99" t="s">
        <v>21</v>
      </c>
      <c r="I12" s="105">
        <v>27989.19</v>
      </c>
      <c r="J12" s="105"/>
      <c r="K12" s="102" t="s">
        <v>16</v>
      </c>
      <c r="L12" s="103">
        <v>1128127.22</v>
      </c>
    </row>
    <row r="13" spans="1:12" ht="81.599999999999994" x14ac:dyDescent="0.3">
      <c r="A13" s="97" t="s">
        <v>17</v>
      </c>
      <c r="B13" s="98" t="s">
        <v>222</v>
      </c>
      <c r="C13" s="98" t="s">
        <v>218</v>
      </c>
      <c r="D13" s="98" t="s">
        <v>221</v>
      </c>
      <c r="E13" s="99" t="s">
        <v>33</v>
      </c>
      <c r="F13" s="104" t="s">
        <v>23</v>
      </c>
      <c r="G13" s="104"/>
      <c r="H13" s="99" t="s">
        <v>21</v>
      </c>
      <c r="I13" s="105">
        <v>22594.44</v>
      </c>
      <c r="J13" s="105"/>
      <c r="K13" s="102" t="s">
        <v>16</v>
      </c>
      <c r="L13" s="103">
        <v>1105532.78</v>
      </c>
    </row>
    <row r="14" spans="1:12" ht="71.400000000000006" x14ac:dyDescent="0.3">
      <c r="A14" s="97" t="s">
        <v>17</v>
      </c>
      <c r="B14" s="98" t="s">
        <v>222</v>
      </c>
      <c r="C14" s="98" t="s">
        <v>218</v>
      </c>
      <c r="D14" s="98" t="s">
        <v>220</v>
      </c>
      <c r="E14" s="99" t="s">
        <v>33</v>
      </c>
      <c r="F14" s="104" t="s">
        <v>23</v>
      </c>
      <c r="G14" s="104"/>
      <c r="H14" s="99" t="s">
        <v>21</v>
      </c>
      <c r="I14" s="105">
        <v>4015.62</v>
      </c>
      <c r="J14" s="105"/>
      <c r="K14" s="102" t="s">
        <v>16</v>
      </c>
      <c r="L14" s="103">
        <v>1101517.1599999999</v>
      </c>
    </row>
    <row r="15" spans="1:12" ht="71.400000000000006" x14ac:dyDescent="0.3">
      <c r="A15" s="97" t="s">
        <v>17</v>
      </c>
      <c r="B15" s="98" t="s">
        <v>222</v>
      </c>
      <c r="C15" s="98" t="s">
        <v>218</v>
      </c>
      <c r="D15" s="98" t="s">
        <v>227</v>
      </c>
      <c r="E15" s="99" t="s">
        <v>33</v>
      </c>
      <c r="F15" s="104" t="s">
        <v>23</v>
      </c>
      <c r="G15" s="104"/>
      <c r="H15" s="99" t="s">
        <v>21</v>
      </c>
      <c r="I15" s="105">
        <v>53931.47</v>
      </c>
      <c r="J15" s="105"/>
      <c r="K15" s="102" t="s">
        <v>16</v>
      </c>
      <c r="L15" s="103">
        <v>1047585.69</v>
      </c>
    </row>
    <row r="16" spans="1:12" ht="81.599999999999994" x14ac:dyDescent="0.3">
      <c r="A16" s="97" t="s">
        <v>17</v>
      </c>
      <c r="B16" s="98" t="s">
        <v>222</v>
      </c>
      <c r="C16" s="98" t="s">
        <v>218</v>
      </c>
      <c r="D16" s="98" t="s">
        <v>189</v>
      </c>
      <c r="E16" s="99" t="s">
        <v>33</v>
      </c>
      <c r="F16" s="104" t="s">
        <v>23</v>
      </c>
      <c r="G16" s="104"/>
      <c r="H16" s="99" t="s">
        <v>21</v>
      </c>
      <c r="I16" s="105">
        <v>3027.54</v>
      </c>
      <c r="J16" s="105"/>
      <c r="K16" s="102" t="s">
        <v>16</v>
      </c>
      <c r="L16" s="103">
        <v>1044558.15</v>
      </c>
    </row>
    <row r="17" spans="1:12" ht="61.2" x14ac:dyDescent="0.3">
      <c r="A17" s="97" t="s">
        <v>17</v>
      </c>
      <c r="B17" s="98" t="s">
        <v>222</v>
      </c>
      <c r="C17" s="98" t="s">
        <v>218</v>
      </c>
      <c r="D17" s="98" t="s">
        <v>228</v>
      </c>
      <c r="E17" s="99" t="s">
        <v>33</v>
      </c>
      <c r="F17" s="104" t="s">
        <v>23</v>
      </c>
      <c r="G17" s="104"/>
      <c r="H17" s="99" t="s">
        <v>21</v>
      </c>
      <c r="I17" s="105">
        <v>6995.19</v>
      </c>
      <c r="J17" s="105"/>
      <c r="K17" s="102" t="s">
        <v>16</v>
      </c>
      <c r="L17" s="103">
        <v>1037562.96</v>
      </c>
    </row>
    <row r="18" spans="1:12" ht="71.400000000000006" x14ac:dyDescent="0.3">
      <c r="A18" s="97" t="s">
        <v>17</v>
      </c>
      <c r="B18" s="98" t="s">
        <v>222</v>
      </c>
      <c r="C18" s="98" t="s">
        <v>218</v>
      </c>
      <c r="D18" s="98" t="s">
        <v>229</v>
      </c>
      <c r="E18" s="99" t="s">
        <v>33</v>
      </c>
      <c r="F18" s="104" t="s">
        <v>23</v>
      </c>
      <c r="G18" s="104"/>
      <c r="H18" s="99" t="s">
        <v>21</v>
      </c>
      <c r="I18" s="105">
        <v>26082.85</v>
      </c>
      <c r="J18" s="105"/>
      <c r="K18" s="102" t="s">
        <v>16</v>
      </c>
      <c r="L18" s="103">
        <v>1011480.11</v>
      </c>
    </row>
    <row r="19" spans="1:12" ht="61.2" x14ac:dyDescent="0.3">
      <c r="A19" s="97" t="s">
        <v>182</v>
      </c>
      <c r="B19" s="98" t="s">
        <v>230</v>
      </c>
      <c r="C19" s="98" t="s">
        <v>218</v>
      </c>
      <c r="D19" s="98" t="s">
        <v>231</v>
      </c>
      <c r="E19" s="99" t="s">
        <v>33</v>
      </c>
      <c r="F19" s="104" t="s">
        <v>23</v>
      </c>
      <c r="G19" s="104"/>
      <c r="H19" s="99" t="s">
        <v>21</v>
      </c>
      <c r="I19" s="105">
        <v>1326.67</v>
      </c>
      <c r="J19" s="105"/>
      <c r="K19" s="102" t="s">
        <v>16</v>
      </c>
      <c r="L19" s="103">
        <v>1010153.44</v>
      </c>
    </row>
    <row r="20" spans="1:12" ht="71.400000000000006" x14ac:dyDescent="0.3">
      <c r="A20" s="97" t="s">
        <v>182</v>
      </c>
      <c r="B20" s="98" t="s">
        <v>230</v>
      </c>
      <c r="C20" s="98" t="s">
        <v>218</v>
      </c>
      <c r="D20" s="98" t="s">
        <v>225</v>
      </c>
      <c r="E20" s="99" t="s">
        <v>33</v>
      </c>
      <c r="F20" s="104" t="s">
        <v>23</v>
      </c>
      <c r="G20" s="104"/>
      <c r="H20" s="99" t="s">
        <v>21</v>
      </c>
      <c r="I20" s="105">
        <v>11240.74</v>
      </c>
      <c r="J20" s="105"/>
      <c r="K20" s="102" t="s">
        <v>16</v>
      </c>
      <c r="L20" s="103">
        <v>998912.7</v>
      </c>
    </row>
    <row r="21" spans="1:12" ht="71.400000000000006" x14ac:dyDescent="0.3">
      <c r="A21" s="97" t="s">
        <v>182</v>
      </c>
      <c r="B21" s="98" t="s">
        <v>230</v>
      </c>
      <c r="C21" s="98" t="s">
        <v>218</v>
      </c>
      <c r="D21" s="98" t="s">
        <v>220</v>
      </c>
      <c r="E21" s="99" t="s">
        <v>33</v>
      </c>
      <c r="F21" s="104" t="s">
        <v>23</v>
      </c>
      <c r="G21" s="104"/>
      <c r="H21" s="99" t="s">
        <v>21</v>
      </c>
      <c r="I21" s="105">
        <v>22983</v>
      </c>
      <c r="J21" s="105"/>
      <c r="K21" s="102" t="s">
        <v>16</v>
      </c>
      <c r="L21" s="103">
        <v>975929.7</v>
      </c>
    </row>
    <row r="22" spans="1:12" ht="81.599999999999994" x14ac:dyDescent="0.3">
      <c r="A22" s="97" t="s">
        <v>182</v>
      </c>
      <c r="B22" s="98" t="s">
        <v>230</v>
      </c>
      <c r="C22" s="98" t="s">
        <v>218</v>
      </c>
      <c r="D22" s="98" t="s">
        <v>226</v>
      </c>
      <c r="E22" s="99" t="s">
        <v>33</v>
      </c>
      <c r="F22" s="104" t="s">
        <v>23</v>
      </c>
      <c r="G22" s="104"/>
      <c r="H22" s="99" t="s">
        <v>21</v>
      </c>
      <c r="I22" s="106">
        <v>236.16</v>
      </c>
      <c r="J22" s="106"/>
      <c r="K22" s="102" t="s">
        <v>16</v>
      </c>
      <c r="L22" s="103">
        <v>975693.54</v>
      </c>
    </row>
    <row r="23" spans="1:12" ht="71.400000000000006" x14ac:dyDescent="0.3">
      <c r="A23" s="97" t="s">
        <v>182</v>
      </c>
      <c r="B23" s="98" t="s">
        <v>230</v>
      </c>
      <c r="C23" s="98" t="s">
        <v>218</v>
      </c>
      <c r="D23" s="98" t="s">
        <v>232</v>
      </c>
      <c r="E23" s="99" t="s">
        <v>33</v>
      </c>
      <c r="F23" s="104" t="s">
        <v>23</v>
      </c>
      <c r="G23" s="104"/>
      <c r="H23" s="99" t="s">
        <v>21</v>
      </c>
      <c r="I23" s="105">
        <v>8279.64</v>
      </c>
      <c r="J23" s="105"/>
      <c r="K23" s="102" t="s">
        <v>16</v>
      </c>
      <c r="L23" s="103">
        <v>967413.9</v>
      </c>
    </row>
    <row r="24" spans="1:12" ht="71.400000000000006" x14ac:dyDescent="0.3">
      <c r="A24" s="97" t="s">
        <v>182</v>
      </c>
      <c r="B24" s="98" t="s">
        <v>230</v>
      </c>
      <c r="C24" s="98" t="s">
        <v>218</v>
      </c>
      <c r="D24" s="98" t="s">
        <v>233</v>
      </c>
      <c r="E24" s="99" t="s">
        <v>33</v>
      </c>
      <c r="F24" s="104" t="s">
        <v>23</v>
      </c>
      <c r="G24" s="104"/>
      <c r="H24" s="99" t="s">
        <v>21</v>
      </c>
      <c r="I24" s="105">
        <v>4240.41</v>
      </c>
      <c r="J24" s="105"/>
      <c r="K24" s="102" t="s">
        <v>16</v>
      </c>
      <c r="L24" s="103">
        <v>963173.49</v>
      </c>
    </row>
    <row r="25" spans="1:12" ht="71.400000000000006" x14ac:dyDescent="0.3">
      <c r="A25" s="97" t="s">
        <v>182</v>
      </c>
      <c r="B25" s="98" t="s">
        <v>230</v>
      </c>
      <c r="C25" s="98" t="s">
        <v>218</v>
      </c>
      <c r="D25" s="98" t="s">
        <v>234</v>
      </c>
      <c r="E25" s="99" t="s">
        <v>33</v>
      </c>
      <c r="F25" s="104" t="s">
        <v>23</v>
      </c>
      <c r="G25" s="104"/>
      <c r="H25" s="99" t="s">
        <v>21</v>
      </c>
      <c r="I25" s="105">
        <v>2732.95</v>
      </c>
      <c r="J25" s="105"/>
      <c r="K25" s="102" t="s">
        <v>16</v>
      </c>
      <c r="L25" s="103">
        <v>960440.54</v>
      </c>
    </row>
    <row r="26" spans="1:12" ht="61.2" x14ac:dyDescent="0.3">
      <c r="A26" s="97" t="s">
        <v>182</v>
      </c>
      <c r="B26" s="98" t="s">
        <v>230</v>
      </c>
      <c r="C26" s="98" t="s">
        <v>218</v>
      </c>
      <c r="D26" s="98" t="s">
        <v>235</v>
      </c>
      <c r="E26" s="99" t="s">
        <v>33</v>
      </c>
      <c r="F26" s="104" t="s">
        <v>23</v>
      </c>
      <c r="G26" s="104"/>
      <c r="H26" s="99" t="s">
        <v>21</v>
      </c>
      <c r="I26" s="106">
        <v>904.55</v>
      </c>
      <c r="J26" s="106"/>
      <c r="K26" s="102" t="s">
        <v>16</v>
      </c>
      <c r="L26" s="103">
        <v>959535.99</v>
      </c>
    </row>
    <row r="27" spans="1:12" ht="71.400000000000006" x14ac:dyDescent="0.3">
      <c r="A27" s="97" t="s">
        <v>182</v>
      </c>
      <c r="B27" s="98" t="s">
        <v>230</v>
      </c>
      <c r="C27" s="98" t="s">
        <v>218</v>
      </c>
      <c r="D27" s="98" t="s">
        <v>236</v>
      </c>
      <c r="E27" s="99" t="s">
        <v>33</v>
      </c>
      <c r="F27" s="104" t="s">
        <v>23</v>
      </c>
      <c r="G27" s="104"/>
      <c r="H27" s="99" t="s">
        <v>21</v>
      </c>
      <c r="I27" s="105">
        <v>9151.2099999999991</v>
      </c>
      <c r="J27" s="105"/>
      <c r="K27" s="102" t="s">
        <v>16</v>
      </c>
      <c r="L27" s="103">
        <v>950384.78</v>
      </c>
    </row>
    <row r="28" spans="1:12" ht="71.400000000000006" x14ac:dyDescent="0.3">
      <c r="A28" s="97" t="s">
        <v>182</v>
      </c>
      <c r="B28" s="98" t="s">
        <v>230</v>
      </c>
      <c r="C28" s="98" t="s">
        <v>218</v>
      </c>
      <c r="D28" s="98" t="s">
        <v>237</v>
      </c>
      <c r="E28" s="99" t="s">
        <v>33</v>
      </c>
      <c r="F28" s="104" t="s">
        <v>23</v>
      </c>
      <c r="G28" s="104"/>
      <c r="H28" s="99" t="s">
        <v>21</v>
      </c>
      <c r="I28" s="105">
        <v>1559.52</v>
      </c>
      <c r="J28" s="105"/>
      <c r="K28" s="102" t="s">
        <v>16</v>
      </c>
      <c r="L28" s="103">
        <v>948825.26</v>
      </c>
    </row>
    <row r="29" spans="1:12" ht="81.599999999999994" x14ac:dyDescent="0.3">
      <c r="A29" s="97" t="s">
        <v>182</v>
      </c>
      <c r="B29" s="98" t="s">
        <v>230</v>
      </c>
      <c r="C29" s="98" t="s">
        <v>218</v>
      </c>
      <c r="D29" s="98" t="s">
        <v>224</v>
      </c>
      <c r="E29" s="99" t="s">
        <v>33</v>
      </c>
      <c r="F29" s="104" t="s">
        <v>23</v>
      </c>
      <c r="G29" s="104"/>
      <c r="H29" s="99" t="s">
        <v>21</v>
      </c>
      <c r="I29" s="105">
        <v>10404.59</v>
      </c>
      <c r="J29" s="105"/>
      <c r="K29" s="102" t="s">
        <v>16</v>
      </c>
      <c r="L29" s="103">
        <v>938420.67</v>
      </c>
    </row>
    <row r="30" spans="1:12" ht="71.400000000000006" x14ac:dyDescent="0.3">
      <c r="A30" s="97" t="s">
        <v>182</v>
      </c>
      <c r="B30" s="98" t="s">
        <v>230</v>
      </c>
      <c r="C30" s="98" t="s">
        <v>218</v>
      </c>
      <c r="D30" s="98" t="s">
        <v>184</v>
      </c>
      <c r="E30" s="99" t="s">
        <v>33</v>
      </c>
      <c r="F30" s="104" t="s">
        <v>23</v>
      </c>
      <c r="G30" s="104"/>
      <c r="H30" s="99" t="s">
        <v>21</v>
      </c>
      <c r="I30" s="105">
        <v>65905.84</v>
      </c>
      <c r="J30" s="105"/>
      <c r="K30" s="102" t="s">
        <v>16</v>
      </c>
      <c r="L30" s="103">
        <v>872514.83</v>
      </c>
    </row>
    <row r="31" spans="1:12" ht="71.400000000000006" x14ac:dyDescent="0.3">
      <c r="A31" s="97" t="s">
        <v>182</v>
      </c>
      <c r="B31" s="98" t="s">
        <v>230</v>
      </c>
      <c r="C31" s="98" t="s">
        <v>218</v>
      </c>
      <c r="D31" s="98" t="s">
        <v>238</v>
      </c>
      <c r="E31" s="99" t="s">
        <v>33</v>
      </c>
      <c r="F31" s="104" t="s">
        <v>23</v>
      </c>
      <c r="G31" s="104"/>
      <c r="H31" s="99" t="s">
        <v>21</v>
      </c>
      <c r="I31" s="105">
        <v>3441.99</v>
      </c>
      <c r="J31" s="105"/>
      <c r="K31" s="102" t="s">
        <v>16</v>
      </c>
      <c r="L31" s="103">
        <v>869072.84</v>
      </c>
    </row>
    <row r="32" spans="1:12" ht="81.599999999999994" x14ac:dyDescent="0.3">
      <c r="A32" s="97" t="s">
        <v>182</v>
      </c>
      <c r="B32" s="98" t="s">
        <v>230</v>
      </c>
      <c r="C32" s="98" t="s">
        <v>218</v>
      </c>
      <c r="D32" s="98" t="s">
        <v>239</v>
      </c>
      <c r="E32" s="99" t="s">
        <v>33</v>
      </c>
      <c r="F32" s="104" t="s">
        <v>23</v>
      </c>
      <c r="G32" s="104"/>
      <c r="H32" s="99" t="s">
        <v>21</v>
      </c>
      <c r="I32" s="105">
        <v>17446.349999999999</v>
      </c>
      <c r="J32" s="105"/>
      <c r="K32" s="102" t="s">
        <v>16</v>
      </c>
      <c r="L32" s="103">
        <v>851626.49</v>
      </c>
    </row>
    <row r="33" spans="1:12" ht="71.400000000000006" x14ac:dyDescent="0.3">
      <c r="A33" s="97" t="s">
        <v>182</v>
      </c>
      <c r="B33" s="98" t="s">
        <v>230</v>
      </c>
      <c r="C33" s="98" t="s">
        <v>218</v>
      </c>
      <c r="D33" s="98" t="s">
        <v>240</v>
      </c>
      <c r="E33" s="99" t="s">
        <v>33</v>
      </c>
      <c r="F33" s="104" t="s">
        <v>23</v>
      </c>
      <c r="G33" s="104"/>
      <c r="H33" s="99" t="s">
        <v>21</v>
      </c>
      <c r="I33" s="105">
        <v>4238.6000000000004</v>
      </c>
      <c r="J33" s="105"/>
      <c r="K33" s="102" t="s">
        <v>16</v>
      </c>
      <c r="L33" s="103">
        <v>847387.89</v>
      </c>
    </row>
    <row r="34" spans="1:12" ht="71.400000000000006" x14ac:dyDescent="0.3">
      <c r="A34" s="97" t="s">
        <v>182</v>
      </c>
      <c r="B34" s="98" t="s">
        <v>230</v>
      </c>
      <c r="C34" s="98" t="s">
        <v>218</v>
      </c>
      <c r="D34" s="98" t="s">
        <v>227</v>
      </c>
      <c r="E34" s="99" t="s">
        <v>33</v>
      </c>
      <c r="F34" s="104" t="s">
        <v>23</v>
      </c>
      <c r="G34" s="104"/>
      <c r="H34" s="99" t="s">
        <v>21</v>
      </c>
      <c r="I34" s="105">
        <v>39401.760000000002</v>
      </c>
      <c r="J34" s="105"/>
      <c r="K34" s="102" t="s">
        <v>16</v>
      </c>
      <c r="L34" s="103">
        <v>807986.13</v>
      </c>
    </row>
    <row r="35" spans="1:12" ht="71.400000000000006" x14ac:dyDescent="0.3">
      <c r="A35" s="97" t="s">
        <v>182</v>
      </c>
      <c r="B35" s="98" t="s">
        <v>230</v>
      </c>
      <c r="C35" s="98" t="s">
        <v>218</v>
      </c>
      <c r="D35" s="98" t="s">
        <v>180</v>
      </c>
      <c r="E35" s="99" t="s">
        <v>33</v>
      </c>
      <c r="F35" s="104" t="s">
        <v>23</v>
      </c>
      <c r="G35" s="104"/>
      <c r="H35" s="99" t="s">
        <v>21</v>
      </c>
      <c r="I35" s="105">
        <v>3159.33</v>
      </c>
      <c r="J35" s="105"/>
      <c r="K35" s="102" t="s">
        <v>16</v>
      </c>
      <c r="L35" s="103">
        <v>804826.8</v>
      </c>
    </row>
    <row r="36" spans="1:12" ht="71.400000000000006" x14ac:dyDescent="0.3">
      <c r="A36" s="97" t="s">
        <v>182</v>
      </c>
      <c r="B36" s="98" t="s">
        <v>230</v>
      </c>
      <c r="C36" s="98" t="s">
        <v>218</v>
      </c>
      <c r="D36" s="98" t="s">
        <v>229</v>
      </c>
      <c r="E36" s="99" t="s">
        <v>33</v>
      </c>
      <c r="F36" s="104" t="s">
        <v>23</v>
      </c>
      <c r="G36" s="104"/>
      <c r="H36" s="99" t="s">
        <v>21</v>
      </c>
      <c r="I36" s="105">
        <v>18918.900000000001</v>
      </c>
      <c r="J36" s="105"/>
      <c r="K36" s="102" t="s">
        <v>16</v>
      </c>
      <c r="L36" s="103">
        <v>785907.9</v>
      </c>
    </row>
    <row r="37" spans="1:12" ht="81.599999999999994" x14ac:dyDescent="0.3">
      <c r="A37" s="97" t="s">
        <v>182</v>
      </c>
      <c r="B37" s="98" t="s">
        <v>230</v>
      </c>
      <c r="C37" s="98" t="s">
        <v>218</v>
      </c>
      <c r="D37" s="98" t="s">
        <v>221</v>
      </c>
      <c r="E37" s="99" t="s">
        <v>33</v>
      </c>
      <c r="F37" s="104" t="s">
        <v>23</v>
      </c>
      <c r="G37" s="104"/>
      <c r="H37" s="99" t="s">
        <v>21</v>
      </c>
      <c r="I37" s="106">
        <v>445.52</v>
      </c>
      <c r="J37" s="106"/>
      <c r="K37" s="102" t="s">
        <v>16</v>
      </c>
      <c r="L37" s="103">
        <v>785462.38</v>
      </c>
    </row>
    <row r="38" spans="1:12" ht="71.400000000000006" x14ac:dyDescent="0.3">
      <c r="A38" s="97" t="s">
        <v>182</v>
      </c>
      <c r="B38" s="98" t="s">
        <v>241</v>
      </c>
      <c r="C38" s="98" t="s">
        <v>218</v>
      </c>
      <c r="D38" s="98" t="s">
        <v>220</v>
      </c>
      <c r="E38" s="99" t="s">
        <v>33</v>
      </c>
      <c r="F38" s="104" t="s">
        <v>23</v>
      </c>
      <c r="G38" s="104"/>
      <c r="H38" s="99" t="s">
        <v>21</v>
      </c>
      <c r="I38" s="105">
        <v>57671.08</v>
      </c>
      <c r="J38" s="105"/>
      <c r="K38" s="102" t="s">
        <v>16</v>
      </c>
      <c r="L38" s="103">
        <v>727791.3</v>
      </c>
    </row>
    <row r="39" spans="1:12" ht="81.599999999999994" x14ac:dyDescent="0.3">
      <c r="A39" s="97" t="s">
        <v>182</v>
      </c>
      <c r="B39" s="98" t="s">
        <v>241</v>
      </c>
      <c r="C39" s="98" t="s">
        <v>218</v>
      </c>
      <c r="D39" s="98" t="s">
        <v>242</v>
      </c>
      <c r="E39" s="99" t="s">
        <v>33</v>
      </c>
      <c r="F39" s="104" t="s">
        <v>23</v>
      </c>
      <c r="G39" s="104"/>
      <c r="H39" s="99" t="s">
        <v>21</v>
      </c>
      <c r="I39" s="105">
        <v>1815.26</v>
      </c>
      <c r="J39" s="105"/>
      <c r="K39" s="102" t="s">
        <v>16</v>
      </c>
      <c r="L39" s="103">
        <v>725976.04</v>
      </c>
    </row>
    <row r="40" spans="1:12" ht="71.400000000000006" x14ac:dyDescent="0.3">
      <c r="A40" s="97" t="s">
        <v>182</v>
      </c>
      <c r="B40" s="98" t="s">
        <v>241</v>
      </c>
      <c r="C40" s="98" t="s">
        <v>218</v>
      </c>
      <c r="D40" s="98" t="s">
        <v>225</v>
      </c>
      <c r="E40" s="99" t="s">
        <v>33</v>
      </c>
      <c r="F40" s="104" t="s">
        <v>23</v>
      </c>
      <c r="G40" s="104"/>
      <c r="H40" s="99" t="s">
        <v>21</v>
      </c>
      <c r="I40" s="105">
        <v>21212.37</v>
      </c>
      <c r="J40" s="105"/>
      <c r="K40" s="102" t="s">
        <v>16</v>
      </c>
      <c r="L40" s="103">
        <v>704763.67</v>
      </c>
    </row>
    <row r="41" spans="1:12" ht="81.599999999999994" x14ac:dyDescent="0.3">
      <c r="A41" s="97" t="s">
        <v>182</v>
      </c>
      <c r="B41" s="98" t="s">
        <v>241</v>
      </c>
      <c r="C41" s="98" t="s">
        <v>218</v>
      </c>
      <c r="D41" s="98" t="s">
        <v>192</v>
      </c>
      <c r="E41" s="99" t="s">
        <v>33</v>
      </c>
      <c r="F41" s="104" t="s">
        <v>23</v>
      </c>
      <c r="G41" s="104"/>
      <c r="H41" s="99" t="s">
        <v>21</v>
      </c>
      <c r="I41" s="105">
        <v>9479.61</v>
      </c>
      <c r="J41" s="105"/>
      <c r="K41" s="102" t="s">
        <v>16</v>
      </c>
      <c r="L41" s="103">
        <v>695284.06</v>
      </c>
    </row>
    <row r="42" spans="1:12" ht="81.599999999999994" x14ac:dyDescent="0.3">
      <c r="A42" s="97" t="s">
        <v>182</v>
      </c>
      <c r="B42" s="98" t="s">
        <v>241</v>
      </c>
      <c r="C42" s="98" t="s">
        <v>218</v>
      </c>
      <c r="D42" s="98" t="s">
        <v>224</v>
      </c>
      <c r="E42" s="99" t="s">
        <v>33</v>
      </c>
      <c r="F42" s="104" t="s">
        <v>23</v>
      </c>
      <c r="G42" s="104"/>
      <c r="H42" s="99" t="s">
        <v>21</v>
      </c>
      <c r="I42" s="105">
        <v>14760.01</v>
      </c>
      <c r="J42" s="105"/>
      <c r="K42" s="102" t="s">
        <v>16</v>
      </c>
      <c r="L42" s="103">
        <v>680524.05</v>
      </c>
    </row>
    <row r="43" spans="1:12" ht="71.400000000000006" x14ac:dyDescent="0.3">
      <c r="A43" s="97" t="s">
        <v>182</v>
      </c>
      <c r="B43" s="98" t="s">
        <v>241</v>
      </c>
      <c r="C43" s="98" t="s">
        <v>218</v>
      </c>
      <c r="D43" s="98" t="s">
        <v>184</v>
      </c>
      <c r="E43" s="99" t="s">
        <v>33</v>
      </c>
      <c r="F43" s="104" t="s">
        <v>23</v>
      </c>
      <c r="G43" s="104"/>
      <c r="H43" s="99" t="s">
        <v>21</v>
      </c>
      <c r="I43" s="105">
        <v>104015.69</v>
      </c>
      <c r="J43" s="105"/>
      <c r="K43" s="102" t="s">
        <v>16</v>
      </c>
      <c r="L43" s="103">
        <v>576508.36</v>
      </c>
    </row>
    <row r="44" spans="1:12" ht="61.2" x14ac:dyDescent="0.3">
      <c r="A44" s="97" t="s">
        <v>182</v>
      </c>
      <c r="B44" s="98" t="s">
        <v>241</v>
      </c>
      <c r="C44" s="98" t="s">
        <v>218</v>
      </c>
      <c r="D44" s="98" t="s">
        <v>231</v>
      </c>
      <c r="E44" s="99" t="s">
        <v>33</v>
      </c>
      <c r="F44" s="104" t="s">
        <v>23</v>
      </c>
      <c r="G44" s="104"/>
      <c r="H44" s="99" t="s">
        <v>21</v>
      </c>
      <c r="I44" s="105">
        <v>4372</v>
      </c>
      <c r="J44" s="105"/>
      <c r="K44" s="102" t="s">
        <v>16</v>
      </c>
      <c r="L44" s="103">
        <v>572136.36</v>
      </c>
    </row>
    <row r="45" spans="1:12" ht="71.400000000000006" x14ac:dyDescent="0.3">
      <c r="A45" s="97" t="s">
        <v>182</v>
      </c>
      <c r="B45" s="98" t="s">
        <v>241</v>
      </c>
      <c r="C45" s="98" t="s">
        <v>218</v>
      </c>
      <c r="D45" s="98" t="s">
        <v>243</v>
      </c>
      <c r="E45" s="99" t="s">
        <v>33</v>
      </c>
      <c r="F45" s="104" t="s">
        <v>23</v>
      </c>
      <c r="G45" s="104"/>
      <c r="H45" s="99" t="s">
        <v>21</v>
      </c>
      <c r="I45" s="105">
        <v>9075.66</v>
      </c>
      <c r="J45" s="105"/>
      <c r="K45" s="102" t="s">
        <v>16</v>
      </c>
      <c r="L45" s="103">
        <v>563060.69999999995</v>
      </c>
    </row>
    <row r="46" spans="1:12" ht="71.400000000000006" x14ac:dyDescent="0.3">
      <c r="A46" s="97" t="s">
        <v>182</v>
      </c>
      <c r="B46" s="98" t="s">
        <v>241</v>
      </c>
      <c r="C46" s="98" t="s">
        <v>218</v>
      </c>
      <c r="D46" s="98" t="s">
        <v>232</v>
      </c>
      <c r="E46" s="99" t="s">
        <v>33</v>
      </c>
      <c r="F46" s="104" t="s">
        <v>23</v>
      </c>
      <c r="G46" s="104"/>
      <c r="H46" s="99" t="s">
        <v>21</v>
      </c>
      <c r="I46" s="105">
        <v>9858.75</v>
      </c>
      <c r="J46" s="105"/>
      <c r="K46" s="102" t="s">
        <v>16</v>
      </c>
      <c r="L46" s="103">
        <v>553201.94999999995</v>
      </c>
    </row>
    <row r="47" spans="1:12" ht="71.400000000000006" x14ac:dyDescent="0.3">
      <c r="A47" s="97" t="s">
        <v>182</v>
      </c>
      <c r="B47" s="98" t="s">
        <v>241</v>
      </c>
      <c r="C47" s="98" t="s">
        <v>218</v>
      </c>
      <c r="D47" s="98" t="s">
        <v>229</v>
      </c>
      <c r="E47" s="99" t="s">
        <v>33</v>
      </c>
      <c r="F47" s="104" t="s">
        <v>23</v>
      </c>
      <c r="G47" s="104"/>
      <c r="H47" s="99" t="s">
        <v>21</v>
      </c>
      <c r="I47" s="105">
        <v>28504.47</v>
      </c>
      <c r="J47" s="105"/>
      <c r="K47" s="102" t="s">
        <v>16</v>
      </c>
      <c r="L47" s="103">
        <v>524697.48</v>
      </c>
    </row>
    <row r="48" spans="1:12" ht="81.599999999999994" x14ac:dyDescent="0.3">
      <c r="A48" s="97" t="s">
        <v>182</v>
      </c>
      <c r="B48" s="98" t="s">
        <v>241</v>
      </c>
      <c r="C48" s="98" t="s">
        <v>218</v>
      </c>
      <c r="D48" s="98" t="s">
        <v>221</v>
      </c>
      <c r="E48" s="99" t="s">
        <v>33</v>
      </c>
      <c r="F48" s="104" t="s">
        <v>23</v>
      </c>
      <c r="G48" s="104"/>
      <c r="H48" s="99" t="s">
        <v>21</v>
      </c>
      <c r="I48" s="105">
        <v>81562.759999999995</v>
      </c>
      <c r="J48" s="105"/>
      <c r="K48" s="102" t="s">
        <v>16</v>
      </c>
      <c r="L48" s="103">
        <v>443134.71999999997</v>
      </c>
    </row>
    <row r="49" spans="1:12" ht="81.599999999999994" x14ac:dyDescent="0.3">
      <c r="A49" s="97" t="s">
        <v>182</v>
      </c>
      <c r="B49" s="98" t="s">
        <v>241</v>
      </c>
      <c r="C49" s="98" t="s">
        <v>218</v>
      </c>
      <c r="D49" s="98" t="s">
        <v>244</v>
      </c>
      <c r="E49" s="99" t="s">
        <v>33</v>
      </c>
      <c r="F49" s="104" t="s">
        <v>23</v>
      </c>
      <c r="G49" s="104"/>
      <c r="H49" s="99" t="s">
        <v>21</v>
      </c>
      <c r="I49" s="105">
        <v>61350.03</v>
      </c>
      <c r="J49" s="105"/>
      <c r="K49" s="102" t="s">
        <v>16</v>
      </c>
      <c r="L49" s="103">
        <v>381784.69</v>
      </c>
    </row>
    <row r="50" spans="1:12" ht="71.400000000000006" x14ac:dyDescent="0.3">
      <c r="A50" s="97" t="s">
        <v>182</v>
      </c>
      <c r="B50" s="98" t="s">
        <v>241</v>
      </c>
      <c r="C50" s="98" t="s">
        <v>218</v>
      </c>
      <c r="D50" s="98" t="s">
        <v>238</v>
      </c>
      <c r="E50" s="99" t="s">
        <v>33</v>
      </c>
      <c r="F50" s="104" t="s">
        <v>23</v>
      </c>
      <c r="G50" s="104"/>
      <c r="H50" s="99" t="s">
        <v>21</v>
      </c>
      <c r="I50" s="105">
        <v>2970.98</v>
      </c>
      <c r="J50" s="105"/>
      <c r="K50" s="102" t="s">
        <v>16</v>
      </c>
      <c r="L50" s="103">
        <v>378813.71</v>
      </c>
    </row>
    <row r="51" spans="1:12" ht="71.400000000000006" x14ac:dyDescent="0.3">
      <c r="A51" s="97" t="s">
        <v>182</v>
      </c>
      <c r="B51" s="98" t="s">
        <v>241</v>
      </c>
      <c r="C51" s="98" t="s">
        <v>218</v>
      </c>
      <c r="D51" s="98" t="s">
        <v>245</v>
      </c>
      <c r="E51" s="99" t="s">
        <v>33</v>
      </c>
      <c r="F51" s="104" t="s">
        <v>23</v>
      </c>
      <c r="G51" s="104"/>
      <c r="H51" s="99" t="s">
        <v>21</v>
      </c>
      <c r="I51" s="105">
        <v>2186.42</v>
      </c>
      <c r="J51" s="105"/>
      <c r="K51" s="102" t="s">
        <v>16</v>
      </c>
      <c r="L51" s="103">
        <v>376627.29</v>
      </c>
    </row>
    <row r="52" spans="1:12" ht="81.599999999999994" x14ac:dyDescent="0.3">
      <c r="A52" s="97" t="s">
        <v>182</v>
      </c>
      <c r="B52" s="98" t="s">
        <v>241</v>
      </c>
      <c r="C52" s="98" t="s">
        <v>218</v>
      </c>
      <c r="D52" s="98" t="s">
        <v>239</v>
      </c>
      <c r="E52" s="99" t="s">
        <v>33</v>
      </c>
      <c r="F52" s="104" t="s">
        <v>23</v>
      </c>
      <c r="G52" s="104"/>
      <c r="H52" s="99" t="s">
        <v>21</v>
      </c>
      <c r="I52" s="105">
        <v>28309.73</v>
      </c>
      <c r="J52" s="105"/>
      <c r="K52" s="102" t="s">
        <v>16</v>
      </c>
      <c r="L52" s="103">
        <v>348317.56</v>
      </c>
    </row>
    <row r="53" spans="1:12" ht="71.400000000000006" x14ac:dyDescent="0.3">
      <c r="A53" s="97" t="s">
        <v>182</v>
      </c>
      <c r="B53" s="98" t="s">
        <v>241</v>
      </c>
      <c r="C53" s="98" t="s">
        <v>218</v>
      </c>
      <c r="D53" s="98" t="s">
        <v>240</v>
      </c>
      <c r="E53" s="99" t="s">
        <v>33</v>
      </c>
      <c r="F53" s="104" t="s">
        <v>23</v>
      </c>
      <c r="G53" s="104"/>
      <c r="H53" s="99" t="s">
        <v>21</v>
      </c>
      <c r="I53" s="105">
        <v>3790.29</v>
      </c>
      <c r="J53" s="105"/>
      <c r="K53" s="102" t="s">
        <v>16</v>
      </c>
      <c r="L53" s="103">
        <v>344527.27</v>
      </c>
    </row>
    <row r="54" spans="1:12" ht="81.599999999999994" x14ac:dyDescent="0.3">
      <c r="A54" s="97" t="s">
        <v>182</v>
      </c>
      <c r="B54" s="98" t="s">
        <v>241</v>
      </c>
      <c r="C54" s="98" t="s">
        <v>218</v>
      </c>
      <c r="D54" s="98" t="s">
        <v>226</v>
      </c>
      <c r="E54" s="99" t="s">
        <v>33</v>
      </c>
      <c r="F54" s="104" t="s">
        <v>23</v>
      </c>
      <c r="G54" s="104"/>
      <c r="H54" s="99" t="s">
        <v>21</v>
      </c>
      <c r="I54" s="106">
        <v>501.84</v>
      </c>
      <c r="J54" s="106"/>
      <c r="K54" s="102" t="s">
        <v>16</v>
      </c>
      <c r="L54" s="103">
        <v>344025.43</v>
      </c>
    </row>
    <row r="55" spans="1:12" ht="71.400000000000006" x14ac:dyDescent="0.3">
      <c r="A55" s="97" t="s">
        <v>182</v>
      </c>
      <c r="B55" s="98" t="s">
        <v>241</v>
      </c>
      <c r="C55" s="98" t="s">
        <v>218</v>
      </c>
      <c r="D55" s="98" t="s">
        <v>227</v>
      </c>
      <c r="E55" s="99" t="s">
        <v>33</v>
      </c>
      <c r="F55" s="104" t="s">
        <v>23</v>
      </c>
      <c r="G55" s="104"/>
      <c r="H55" s="99" t="s">
        <v>21</v>
      </c>
      <c r="I55" s="105">
        <v>33953.11</v>
      </c>
      <c r="J55" s="105"/>
      <c r="K55" s="102" t="s">
        <v>16</v>
      </c>
      <c r="L55" s="103">
        <v>310072.32000000001</v>
      </c>
    </row>
    <row r="56" spans="1:12" ht="81.599999999999994" x14ac:dyDescent="0.3">
      <c r="A56" s="97" t="s">
        <v>182</v>
      </c>
      <c r="B56" s="98" t="s">
        <v>241</v>
      </c>
      <c r="C56" s="98" t="s">
        <v>218</v>
      </c>
      <c r="D56" s="98" t="s">
        <v>189</v>
      </c>
      <c r="E56" s="99" t="s">
        <v>33</v>
      </c>
      <c r="F56" s="104" t="s">
        <v>23</v>
      </c>
      <c r="G56" s="104"/>
      <c r="H56" s="99" t="s">
        <v>21</v>
      </c>
      <c r="I56" s="105">
        <v>1338.49</v>
      </c>
      <c r="J56" s="105"/>
      <c r="K56" s="102" t="s">
        <v>16</v>
      </c>
      <c r="L56" s="103">
        <v>308733.83</v>
      </c>
    </row>
    <row r="57" spans="1:12" ht="71.400000000000006" x14ac:dyDescent="0.3">
      <c r="A57" s="97" t="s">
        <v>182</v>
      </c>
      <c r="B57" s="98" t="s">
        <v>241</v>
      </c>
      <c r="C57" s="98" t="s">
        <v>218</v>
      </c>
      <c r="D57" s="98" t="s">
        <v>234</v>
      </c>
      <c r="E57" s="99" t="s">
        <v>33</v>
      </c>
      <c r="F57" s="104" t="s">
        <v>23</v>
      </c>
      <c r="G57" s="104"/>
      <c r="H57" s="99" t="s">
        <v>21</v>
      </c>
      <c r="I57" s="105">
        <v>5038.87</v>
      </c>
      <c r="J57" s="105"/>
      <c r="K57" s="102" t="s">
        <v>16</v>
      </c>
      <c r="L57" s="103">
        <v>303694.96000000002</v>
      </c>
    </row>
    <row r="58" spans="1:12" ht="71.400000000000006" hidden="1" x14ac:dyDescent="0.3">
      <c r="A58" s="97" t="s">
        <v>182</v>
      </c>
      <c r="B58" s="98" t="s">
        <v>183</v>
      </c>
      <c r="C58" s="98" t="s">
        <v>184</v>
      </c>
      <c r="D58" s="98" t="s">
        <v>185</v>
      </c>
      <c r="E58" s="99" t="s">
        <v>21</v>
      </c>
      <c r="F58" s="100">
        <v>211.72</v>
      </c>
      <c r="G58" s="100"/>
      <c r="H58" s="99" t="s">
        <v>21</v>
      </c>
      <c r="I58" s="101" t="s">
        <v>23</v>
      </c>
      <c r="J58" s="101"/>
      <c r="K58" s="102" t="s">
        <v>16</v>
      </c>
      <c r="L58" s="103">
        <v>303906.68</v>
      </c>
    </row>
    <row r="59" spans="1:12" ht="81.599999999999994" hidden="1" x14ac:dyDescent="0.3">
      <c r="A59" s="97" t="s">
        <v>182</v>
      </c>
      <c r="B59" s="98" t="s">
        <v>183</v>
      </c>
      <c r="C59" s="98" t="s">
        <v>186</v>
      </c>
      <c r="D59" s="98" t="s">
        <v>187</v>
      </c>
      <c r="E59" s="99" t="s">
        <v>21</v>
      </c>
      <c r="F59" s="100">
        <v>120.98</v>
      </c>
      <c r="G59" s="100"/>
      <c r="H59" s="99" t="s">
        <v>21</v>
      </c>
      <c r="I59" s="101" t="s">
        <v>23</v>
      </c>
      <c r="J59" s="101"/>
      <c r="K59" s="102" t="s">
        <v>16</v>
      </c>
      <c r="L59" s="103">
        <v>304027.65999999997</v>
      </c>
    </row>
    <row r="60" spans="1:12" ht="71.400000000000006" hidden="1" x14ac:dyDescent="0.3">
      <c r="A60" s="97" t="s">
        <v>182</v>
      </c>
      <c r="B60" s="98" t="s">
        <v>183</v>
      </c>
      <c r="C60" s="98" t="s">
        <v>188</v>
      </c>
      <c r="D60" s="98" t="s">
        <v>172</v>
      </c>
      <c r="E60" s="99" t="s">
        <v>21</v>
      </c>
      <c r="F60" s="107">
        <v>11313.32</v>
      </c>
      <c r="G60" s="107"/>
      <c r="H60" s="99" t="s">
        <v>21</v>
      </c>
      <c r="I60" s="101" t="s">
        <v>23</v>
      </c>
      <c r="J60" s="101"/>
      <c r="K60" s="102" t="s">
        <v>16</v>
      </c>
      <c r="L60" s="103">
        <v>315340.98</v>
      </c>
    </row>
    <row r="61" spans="1:12" ht="81.599999999999994" hidden="1" x14ac:dyDescent="0.3">
      <c r="A61" s="97" t="s">
        <v>182</v>
      </c>
      <c r="B61" s="98" t="s">
        <v>183</v>
      </c>
      <c r="C61" s="98" t="s">
        <v>189</v>
      </c>
      <c r="D61" s="98" t="s">
        <v>174</v>
      </c>
      <c r="E61" s="99" t="s">
        <v>21</v>
      </c>
      <c r="F61" s="100">
        <v>286.82</v>
      </c>
      <c r="G61" s="100"/>
      <c r="H61" s="99" t="s">
        <v>21</v>
      </c>
      <c r="I61" s="101" t="s">
        <v>23</v>
      </c>
      <c r="J61" s="101"/>
      <c r="K61" s="102" t="s">
        <v>16</v>
      </c>
      <c r="L61" s="103">
        <v>315627.8</v>
      </c>
    </row>
    <row r="62" spans="1:12" ht="81.599999999999994" hidden="1" x14ac:dyDescent="0.3">
      <c r="A62" s="97" t="s">
        <v>182</v>
      </c>
      <c r="B62" s="98" t="s">
        <v>183</v>
      </c>
      <c r="C62" s="98" t="s">
        <v>190</v>
      </c>
      <c r="D62" s="98" t="s">
        <v>191</v>
      </c>
      <c r="E62" s="99" t="s">
        <v>21</v>
      </c>
      <c r="F62" s="100">
        <v>318.13</v>
      </c>
      <c r="G62" s="100"/>
      <c r="H62" s="99" t="s">
        <v>21</v>
      </c>
      <c r="I62" s="101" t="s">
        <v>23</v>
      </c>
      <c r="J62" s="101"/>
      <c r="K62" s="102" t="s">
        <v>16</v>
      </c>
      <c r="L62" s="103">
        <v>315945.93</v>
      </c>
    </row>
    <row r="63" spans="1:12" ht="81.599999999999994" hidden="1" x14ac:dyDescent="0.3">
      <c r="A63" s="97" t="s">
        <v>182</v>
      </c>
      <c r="B63" s="98" t="s">
        <v>183</v>
      </c>
      <c r="C63" s="98" t="s">
        <v>192</v>
      </c>
      <c r="D63" s="98" t="s">
        <v>170</v>
      </c>
      <c r="E63" s="99" t="s">
        <v>21</v>
      </c>
      <c r="F63" s="100">
        <v>149.88</v>
      </c>
      <c r="G63" s="100"/>
      <c r="H63" s="99" t="s">
        <v>21</v>
      </c>
      <c r="I63" s="101" t="s">
        <v>23</v>
      </c>
      <c r="J63" s="101"/>
      <c r="K63" s="102" t="s">
        <v>16</v>
      </c>
      <c r="L63" s="103">
        <v>316095.81</v>
      </c>
    </row>
    <row r="64" spans="1:12" ht="81.599999999999994" hidden="1" x14ac:dyDescent="0.3">
      <c r="A64" s="97" t="s">
        <v>182</v>
      </c>
      <c r="B64" s="98" t="s">
        <v>246</v>
      </c>
      <c r="C64" s="98" t="s">
        <v>247</v>
      </c>
      <c r="D64" s="98" t="s">
        <v>248</v>
      </c>
      <c r="E64" s="99" t="s">
        <v>21</v>
      </c>
      <c r="F64" s="100">
        <v>62.48</v>
      </c>
      <c r="G64" s="100"/>
      <c r="H64" s="99" t="s">
        <v>21</v>
      </c>
      <c r="I64" s="101" t="s">
        <v>23</v>
      </c>
      <c r="J64" s="101"/>
      <c r="K64" s="102" t="s">
        <v>16</v>
      </c>
      <c r="L64" s="103">
        <v>316158.28999999998</v>
      </c>
    </row>
    <row r="65" spans="1:12" ht="71.400000000000006" hidden="1" x14ac:dyDescent="0.3">
      <c r="A65" s="97" t="s">
        <v>182</v>
      </c>
      <c r="B65" s="98" t="s">
        <v>246</v>
      </c>
      <c r="C65" s="98" t="s">
        <v>249</v>
      </c>
      <c r="D65" s="98" t="s">
        <v>250</v>
      </c>
      <c r="E65" s="99" t="s">
        <v>21</v>
      </c>
      <c r="F65" s="107">
        <v>24032.07</v>
      </c>
      <c r="G65" s="107"/>
      <c r="H65" s="99" t="s">
        <v>21</v>
      </c>
      <c r="I65" s="101" t="s">
        <v>23</v>
      </c>
      <c r="J65" s="101"/>
      <c r="K65" s="102" t="s">
        <v>16</v>
      </c>
      <c r="L65" s="103">
        <v>340190.36</v>
      </c>
    </row>
    <row r="66" spans="1:12" ht="71.400000000000006" hidden="1" x14ac:dyDescent="0.3">
      <c r="A66" s="97" t="s">
        <v>182</v>
      </c>
      <c r="B66" s="98" t="s">
        <v>246</v>
      </c>
      <c r="C66" s="98" t="s">
        <v>232</v>
      </c>
      <c r="D66" s="98" t="s">
        <v>251</v>
      </c>
      <c r="E66" s="99" t="s">
        <v>21</v>
      </c>
      <c r="F66" s="107">
        <v>11608.57</v>
      </c>
      <c r="G66" s="107"/>
      <c r="H66" s="99" t="s">
        <v>21</v>
      </c>
      <c r="I66" s="101" t="s">
        <v>23</v>
      </c>
      <c r="J66" s="101"/>
      <c r="K66" s="102" t="s">
        <v>16</v>
      </c>
      <c r="L66" s="103">
        <v>351798.93</v>
      </c>
    </row>
    <row r="67" spans="1:12" ht="81.599999999999994" hidden="1" x14ac:dyDescent="0.3">
      <c r="A67" s="97" t="s">
        <v>182</v>
      </c>
      <c r="B67" s="98" t="s">
        <v>246</v>
      </c>
      <c r="C67" s="98" t="s">
        <v>252</v>
      </c>
      <c r="D67" s="98" t="s">
        <v>253</v>
      </c>
      <c r="E67" s="99" t="s">
        <v>21</v>
      </c>
      <c r="F67" s="107">
        <v>7670.43</v>
      </c>
      <c r="G67" s="107"/>
      <c r="H67" s="99" t="s">
        <v>21</v>
      </c>
      <c r="I67" s="101" t="s">
        <v>23</v>
      </c>
      <c r="J67" s="101"/>
      <c r="K67" s="102" t="s">
        <v>16</v>
      </c>
      <c r="L67" s="103">
        <v>359469.36</v>
      </c>
    </row>
    <row r="68" spans="1:12" ht="71.400000000000006" hidden="1" x14ac:dyDescent="0.3">
      <c r="A68" s="97" t="s">
        <v>182</v>
      </c>
      <c r="B68" s="98" t="s">
        <v>246</v>
      </c>
      <c r="C68" s="98" t="s">
        <v>254</v>
      </c>
      <c r="D68" s="98" t="s">
        <v>255</v>
      </c>
      <c r="E68" s="99" t="s">
        <v>21</v>
      </c>
      <c r="F68" s="107">
        <v>1222.0899999999999</v>
      </c>
      <c r="G68" s="107"/>
      <c r="H68" s="99" t="s">
        <v>21</v>
      </c>
      <c r="I68" s="101" t="s">
        <v>23</v>
      </c>
      <c r="J68" s="101"/>
      <c r="K68" s="102" t="s">
        <v>16</v>
      </c>
      <c r="L68" s="103">
        <v>360691.45</v>
      </c>
    </row>
    <row r="69" spans="1:12" ht="71.400000000000006" hidden="1" x14ac:dyDescent="0.3">
      <c r="A69" s="97" t="s">
        <v>182</v>
      </c>
      <c r="B69" s="98" t="s">
        <v>214</v>
      </c>
      <c r="C69" s="98" t="s">
        <v>215</v>
      </c>
      <c r="D69" s="98" t="s">
        <v>216</v>
      </c>
      <c r="E69" s="99" t="s">
        <v>21</v>
      </c>
      <c r="F69" s="100">
        <v>116.48</v>
      </c>
      <c r="G69" s="100"/>
      <c r="H69" s="99" t="s">
        <v>21</v>
      </c>
      <c r="I69" s="101" t="s">
        <v>23</v>
      </c>
      <c r="J69" s="101"/>
      <c r="K69" s="102" t="s">
        <v>16</v>
      </c>
      <c r="L69" s="103">
        <v>360807.93</v>
      </c>
    </row>
    <row r="70" spans="1:12" ht="81.599999999999994" x14ac:dyDescent="0.3">
      <c r="A70" s="97" t="s">
        <v>256</v>
      </c>
      <c r="B70" s="98" t="s">
        <v>257</v>
      </c>
      <c r="C70" s="98" t="s">
        <v>218</v>
      </c>
      <c r="D70" s="98" t="s">
        <v>247</v>
      </c>
      <c r="E70" s="99" t="s">
        <v>33</v>
      </c>
      <c r="F70" s="104" t="s">
        <v>23</v>
      </c>
      <c r="G70" s="104"/>
      <c r="H70" s="99" t="s">
        <v>21</v>
      </c>
      <c r="I70" s="106">
        <v>62.48</v>
      </c>
      <c r="J70" s="106"/>
      <c r="K70" s="102" t="s">
        <v>16</v>
      </c>
      <c r="L70" s="103">
        <v>360745.45</v>
      </c>
    </row>
    <row r="71" spans="1:12" ht="81.599999999999994" x14ac:dyDescent="0.3">
      <c r="A71" s="97" t="s">
        <v>256</v>
      </c>
      <c r="B71" s="98" t="s">
        <v>257</v>
      </c>
      <c r="C71" s="98" t="s">
        <v>218</v>
      </c>
      <c r="D71" s="98" t="s">
        <v>224</v>
      </c>
      <c r="E71" s="99" t="s">
        <v>33</v>
      </c>
      <c r="F71" s="104" t="s">
        <v>23</v>
      </c>
      <c r="G71" s="104"/>
      <c r="H71" s="99" t="s">
        <v>21</v>
      </c>
      <c r="I71" s="105">
        <v>5383.77</v>
      </c>
      <c r="J71" s="105"/>
      <c r="K71" s="102" t="s">
        <v>16</v>
      </c>
      <c r="L71" s="103">
        <v>355361.68</v>
      </c>
    </row>
    <row r="72" spans="1:12" ht="71.400000000000006" x14ac:dyDescent="0.3">
      <c r="A72" s="97" t="s">
        <v>256</v>
      </c>
      <c r="B72" s="98" t="s">
        <v>257</v>
      </c>
      <c r="C72" s="98" t="s">
        <v>218</v>
      </c>
      <c r="D72" s="98" t="s">
        <v>254</v>
      </c>
      <c r="E72" s="99" t="s">
        <v>33</v>
      </c>
      <c r="F72" s="104" t="s">
        <v>23</v>
      </c>
      <c r="G72" s="104"/>
      <c r="H72" s="99" t="s">
        <v>21</v>
      </c>
      <c r="I72" s="105">
        <v>1222.0899999999999</v>
      </c>
      <c r="J72" s="105"/>
      <c r="K72" s="102" t="s">
        <v>16</v>
      </c>
      <c r="L72" s="103">
        <v>354139.59</v>
      </c>
    </row>
    <row r="73" spans="1:12" ht="71.400000000000006" x14ac:dyDescent="0.3">
      <c r="A73" s="97" t="s">
        <v>256</v>
      </c>
      <c r="B73" s="98" t="s">
        <v>257</v>
      </c>
      <c r="C73" s="98" t="s">
        <v>218</v>
      </c>
      <c r="D73" s="98" t="s">
        <v>225</v>
      </c>
      <c r="E73" s="99" t="s">
        <v>33</v>
      </c>
      <c r="F73" s="104" t="s">
        <v>23</v>
      </c>
      <c r="G73" s="104"/>
      <c r="H73" s="99" t="s">
        <v>21</v>
      </c>
      <c r="I73" s="105">
        <v>9488.16</v>
      </c>
      <c r="J73" s="105"/>
      <c r="K73" s="102" t="s">
        <v>16</v>
      </c>
      <c r="L73" s="103">
        <v>344651.43</v>
      </c>
    </row>
    <row r="74" spans="1:12" ht="71.400000000000006" x14ac:dyDescent="0.3">
      <c r="A74" s="97" t="s">
        <v>256</v>
      </c>
      <c r="B74" s="98" t="s">
        <v>257</v>
      </c>
      <c r="C74" s="98" t="s">
        <v>218</v>
      </c>
      <c r="D74" s="98" t="s">
        <v>184</v>
      </c>
      <c r="E74" s="99" t="s">
        <v>33</v>
      </c>
      <c r="F74" s="104" t="s">
        <v>23</v>
      </c>
      <c r="G74" s="104"/>
      <c r="H74" s="99" t="s">
        <v>21</v>
      </c>
      <c r="I74" s="106">
        <v>272.20999999999998</v>
      </c>
      <c r="J74" s="106"/>
      <c r="K74" s="102" t="s">
        <v>16</v>
      </c>
      <c r="L74" s="103">
        <v>344379.22</v>
      </c>
    </row>
    <row r="75" spans="1:12" ht="81.599999999999994" x14ac:dyDescent="0.3">
      <c r="A75" s="97" t="s">
        <v>256</v>
      </c>
      <c r="B75" s="98" t="s">
        <v>257</v>
      </c>
      <c r="C75" s="98" t="s">
        <v>218</v>
      </c>
      <c r="D75" s="98" t="s">
        <v>186</v>
      </c>
      <c r="E75" s="99" t="s">
        <v>33</v>
      </c>
      <c r="F75" s="104" t="s">
        <v>23</v>
      </c>
      <c r="G75" s="104"/>
      <c r="H75" s="99" t="s">
        <v>21</v>
      </c>
      <c r="I75" s="105">
        <v>5867.7</v>
      </c>
      <c r="J75" s="105"/>
      <c r="K75" s="102" t="s">
        <v>16</v>
      </c>
      <c r="L75" s="103">
        <v>338511.52</v>
      </c>
    </row>
    <row r="76" spans="1:12" ht="71.400000000000006" x14ac:dyDescent="0.3">
      <c r="A76" s="97" t="s">
        <v>256</v>
      </c>
      <c r="B76" s="98" t="s">
        <v>257</v>
      </c>
      <c r="C76" s="98" t="s">
        <v>218</v>
      </c>
      <c r="D76" s="98" t="s">
        <v>223</v>
      </c>
      <c r="E76" s="99" t="s">
        <v>33</v>
      </c>
      <c r="F76" s="104" t="s">
        <v>23</v>
      </c>
      <c r="G76" s="104"/>
      <c r="H76" s="99" t="s">
        <v>21</v>
      </c>
      <c r="I76" s="105">
        <v>33801.760000000002</v>
      </c>
      <c r="J76" s="105"/>
      <c r="K76" s="102" t="s">
        <v>16</v>
      </c>
      <c r="L76" s="103">
        <v>304709.76000000001</v>
      </c>
    </row>
    <row r="77" spans="1:12" ht="81.599999999999994" x14ac:dyDescent="0.3">
      <c r="A77" s="97" t="s">
        <v>256</v>
      </c>
      <c r="B77" s="98" t="s">
        <v>257</v>
      </c>
      <c r="C77" s="98" t="s">
        <v>218</v>
      </c>
      <c r="D77" s="98" t="s">
        <v>239</v>
      </c>
      <c r="E77" s="99" t="s">
        <v>33</v>
      </c>
      <c r="F77" s="104" t="s">
        <v>23</v>
      </c>
      <c r="G77" s="104"/>
      <c r="H77" s="99" t="s">
        <v>21</v>
      </c>
      <c r="I77" s="106">
        <v>206.64</v>
      </c>
      <c r="J77" s="106"/>
      <c r="K77" s="102" t="s">
        <v>16</v>
      </c>
      <c r="L77" s="103">
        <v>304503.12</v>
      </c>
    </row>
    <row r="78" spans="1:12" ht="71.400000000000006" x14ac:dyDescent="0.3">
      <c r="A78" s="97" t="s">
        <v>256</v>
      </c>
      <c r="B78" s="98" t="s">
        <v>257</v>
      </c>
      <c r="C78" s="98" t="s">
        <v>218</v>
      </c>
      <c r="D78" s="98" t="s">
        <v>243</v>
      </c>
      <c r="E78" s="99" t="s">
        <v>33</v>
      </c>
      <c r="F78" s="104" t="s">
        <v>23</v>
      </c>
      <c r="G78" s="104"/>
      <c r="H78" s="99" t="s">
        <v>21</v>
      </c>
      <c r="I78" s="105">
        <v>4732.05</v>
      </c>
      <c r="J78" s="105"/>
      <c r="K78" s="102" t="s">
        <v>16</v>
      </c>
      <c r="L78" s="103">
        <v>299771.07</v>
      </c>
    </row>
    <row r="79" spans="1:12" ht="81.599999999999994" x14ac:dyDescent="0.3">
      <c r="A79" s="97" t="s">
        <v>256</v>
      </c>
      <c r="B79" s="98" t="s">
        <v>257</v>
      </c>
      <c r="C79" s="98" t="s">
        <v>218</v>
      </c>
      <c r="D79" s="98" t="s">
        <v>226</v>
      </c>
      <c r="E79" s="99" t="s">
        <v>33</v>
      </c>
      <c r="F79" s="104" t="s">
        <v>23</v>
      </c>
      <c r="G79" s="104"/>
      <c r="H79" s="99" t="s">
        <v>21</v>
      </c>
      <c r="I79" s="106">
        <v>619.91999999999996</v>
      </c>
      <c r="J79" s="106"/>
      <c r="K79" s="102" t="s">
        <v>16</v>
      </c>
      <c r="L79" s="103">
        <v>299151.15000000002</v>
      </c>
    </row>
    <row r="80" spans="1:12" ht="71.400000000000006" x14ac:dyDescent="0.3">
      <c r="A80" s="97" t="s">
        <v>256</v>
      </c>
      <c r="B80" s="98" t="s">
        <v>257</v>
      </c>
      <c r="C80" s="98" t="s">
        <v>218</v>
      </c>
      <c r="D80" s="98" t="s">
        <v>249</v>
      </c>
      <c r="E80" s="99" t="s">
        <v>33</v>
      </c>
      <c r="F80" s="104" t="s">
        <v>23</v>
      </c>
      <c r="G80" s="104"/>
      <c r="H80" s="99" t="s">
        <v>21</v>
      </c>
      <c r="I80" s="105">
        <v>24032.07</v>
      </c>
      <c r="J80" s="105"/>
      <c r="K80" s="102" t="s">
        <v>16</v>
      </c>
      <c r="L80" s="103">
        <v>275119.08</v>
      </c>
    </row>
    <row r="81" spans="1:12" ht="71.400000000000006" x14ac:dyDescent="0.3">
      <c r="A81" s="97" t="s">
        <v>256</v>
      </c>
      <c r="B81" s="98" t="s">
        <v>257</v>
      </c>
      <c r="C81" s="98" t="s">
        <v>218</v>
      </c>
      <c r="D81" s="98" t="s">
        <v>220</v>
      </c>
      <c r="E81" s="99" t="s">
        <v>33</v>
      </c>
      <c r="F81" s="104" t="s">
        <v>23</v>
      </c>
      <c r="G81" s="104"/>
      <c r="H81" s="99" t="s">
        <v>21</v>
      </c>
      <c r="I81" s="105">
        <v>19010.099999999999</v>
      </c>
      <c r="J81" s="105"/>
      <c r="K81" s="102" t="s">
        <v>16</v>
      </c>
      <c r="L81" s="103">
        <v>256108.98</v>
      </c>
    </row>
    <row r="82" spans="1:12" ht="71.400000000000006" x14ac:dyDescent="0.3">
      <c r="A82" s="97" t="s">
        <v>256</v>
      </c>
      <c r="B82" s="98" t="s">
        <v>257</v>
      </c>
      <c r="C82" s="98" t="s">
        <v>218</v>
      </c>
      <c r="D82" s="98" t="s">
        <v>258</v>
      </c>
      <c r="E82" s="99" t="s">
        <v>33</v>
      </c>
      <c r="F82" s="104" t="s">
        <v>23</v>
      </c>
      <c r="G82" s="104"/>
      <c r="H82" s="99" t="s">
        <v>21</v>
      </c>
      <c r="I82" s="105">
        <v>82944.36</v>
      </c>
      <c r="J82" s="105"/>
      <c r="K82" s="102" t="s">
        <v>16</v>
      </c>
      <c r="L82" s="103">
        <v>173164.62</v>
      </c>
    </row>
    <row r="83" spans="1:12" ht="71.400000000000006" x14ac:dyDescent="0.3">
      <c r="A83" s="97" t="s">
        <v>256</v>
      </c>
      <c r="B83" s="98" t="s">
        <v>257</v>
      </c>
      <c r="C83" s="98" t="s">
        <v>218</v>
      </c>
      <c r="D83" s="98" t="s">
        <v>188</v>
      </c>
      <c r="E83" s="99" t="s">
        <v>33</v>
      </c>
      <c r="F83" s="104" t="s">
        <v>23</v>
      </c>
      <c r="G83" s="104"/>
      <c r="H83" s="99" t="s">
        <v>21</v>
      </c>
      <c r="I83" s="105">
        <v>11313.32</v>
      </c>
      <c r="J83" s="105"/>
      <c r="K83" s="102" t="s">
        <v>16</v>
      </c>
      <c r="L83" s="103">
        <v>161851.29999999999</v>
      </c>
    </row>
    <row r="84" spans="1:12" ht="71.400000000000006" x14ac:dyDescent="0.3">
      <c r="A84" s="97" t="s">
        <v>256</v>
      </c>
      <c r="B84" s="98" t="s">
        <v>257</v>
      </c>
      <c r="C84" s="98" t="s">
        <v>218</v>
      </c>
      <c r="D84" s="98" t="s">
        <v>232</v>
      </c>
      <c r="E84" s="99" t="s">
        <v>33</v>
      </c>
      <c r="F84" s="104" t="s">
        <v>23</v>
      </c>
      <c r="G84" s="104"/>
      <c r="H84" s="99" t="s">
        <v>21</v>
      </c>
      <c r="I84" s="105">
        <v>11608.57</v>
      </c>
      <c r="J84" s="105"/>
      <c r="K84" s="102" t="s">
        <v>16</v>
      </c>
      <c r="L84" s="103">
        <v>150242.73000000001</v>
      </c>
    </row>
    <row r="85" spans="1:12" ht="71.400000000000006" x14ac:dyDescent="0.3">
      <c r="A85" s="97" t="s">
        <v>256</v>
      </c>
      <c r="B85" s="98" t="s">
        <v>257</v>
      </c>
      <c r="C85" s="98" t="s">
        <v>218</v>
      </c>
      <c r="D85" s="98" t="s">
        <v>229</v>
      </c>
      <c r="E85" s="99" t="s">
        <v>33</v>
      </c>
      <c r="F85" s="104" t="s">
        <v>23</v>
      </c>
      <c r="G85" s="104"/>
      <c r="H85" s="99" t="s">
        <v>21</v>
      </c>
      <c r="I85" s="105">
        <v>47372.91</v>
      </c>
      <c r="J85" s="105"/>
      <c r="K85" s="102" t="s">
        <v>16</v>
      </c>
      <c r="L85" s="103">
        <v>102869.82</v>
      </c>
    </row>
    <row r="86" spans="1:12" ht="81.599999999999994" x14ac:dyDescent="0.3">
      <c r="A86" s="97" t="s">
        <v>256</v>
      </c>
      <c r="B86" s="98" t="s">
        <v>257</v>
      </c>
      <c r="C86" s="98" t="s">
        <v>218</v>
      </c>
      <c r="D86" s="98" t="s">
        <v>189</v>
      </c>
      <c r="E86" s="99" t="s">
        <v>33</v>
      </c>
      <c r="F86" s="104" t="s">
        <v>23</v>
      </c>
      <c r="G86" s="104"/>
      <c r="H86" s="99" t="s">
        <v>21</v>
      </c>
      <c r="I86" s="105">
        <v>2294.56</v>
      </c>
      <c r="J86" s="105"/>
      <c r="K86" s="102" t="s">
        <v>16</v>
      </c>
      <c r="L86" s="103">
        <v>100575.26</v>
      </c>
    </row>
    <row r="87" spans="1:12" ht="71.400000000000006" x14ac:dyDescent="0.3">
      <c r="A87" s="97" t="s">
        <v>256</v>
      </c>
      <c r="B87" s="98" t="s">
        <v>257</v>
      </c>
      <c r="C87" s="98" t="s">
        <v>218</v>
      </c>
      <c r="D87" s="98" t="s">
        <v>215</v>
      </c>
      <c r="E87" s="99" t="s">
        <v>33</v>
      </c>
      <c r="F87" s="104" t="s">
        <v>23</v>
      </c>
      <c r="G87" s="104"/>
      <c r="H87" s="99" t="s">
        <v>21</v>
      </c>
      <c r="I87" s="106">
        <v>116.48</v>
      </c>
      <c r="J87" s="106"/>
      <c r="K87" s="102" t="s">
        <v>16</v>
      </c>
      <c r="L87" s="103">
        <v>100458.78</v>
      </c>
    </row>
    <row r="88" spans="1:12" ht="71.400000000000006" x14ac:dyDescent="0.3">
      <c r="A88" s="97" t="s">
        <v>256</v>
      </c>
      <c r="B88" s="98" t="s">
        <v>257</v>
      </c>
      <c r="C88" s="98" t="s">
        <v>218</v>
      </c>
      <c r="D88" s="98" t="s">
        <v>259</v>
      </c>
      <c r="E88" s="99" t="s">
        <v>33</v>
      </c>
      <c r="F88" s="104" t="s">
        <v>23</v>
      </c>
      <c r="G88" s="104"/>
      <c r="H88" s="99" t="s">
        <v>21</v>
      </c>
      <c r="I88" s="105">
        <v>6851.22</v>
      </c>
      <c r="J88" s="105"/>
      <c r="K88" s="102" t="s">
        <v>16</v>
      </c>
      <c r="L88" s="103">
        <v>93607.56</v>
      </c>
    </row>
    <row r="89" spans="1:12" ht="81.599999999999994" x14ac:dyDescent="0.3">
      <c r="A89" s="97" t="s">
        <v>256</v>
      </c>
      <c r="B89" s="98" t="s">
        <v>257</v>
      </c>
      <c r="C89" s="98" t="s">
        <v>218</v>
      </c>
      <c r="D89" s="98" t="s">
        <v>260</v>
      </c>
      <c r="E89" s="99" t="s">
        <v>33</v>
      </c>
      <c r="F89" s="104" t="s">
        <v>23</v>
      </c>
      <c r="G89" s="104"/>
      <c r="H89" s="99" t="s">
        <v>21</v>
      </c>
      <c r="I89" s="105">
        <v>1170.68</v>
      </c>
      <c r="J89" s="105"/>
      <c r="K89" s="102" t="s">
        <v>16</v>
      </c>
      <c r="L89" s="103">
        <v>92436.88</v>
      </c>
    </row>
    <row r="90" spans="1:12" ht="81.599999999999994" x14ac:dyDescent="0.3">
      <c r="A90" s="97" t="s">
        <v>256</v>
      </c>
      <c r="B90" s="98" t="s">
        <v>257</v>
      </c>
      <c r="C90" s="98" t="s">
        <v>218</v>
      </c>
      <c r="D90" s="98" t="s">
        <v>252</v>
      </c>
      <c r="E90" s="99" t="s">
        <v>33</v>
      </c>
      <c r="F90" s="104" t="s">
        <v>23</v>
      </c>
      <c r="G90" s="104"/>
      <c r="H90" s="99" t="s">
        <v>21</v>
      </c>
      <c r="I90" s="105">
        <v>7670.43</v>
      </c>
      <c r="J90" s="105"/>
      <c r="K90" s="102" t="s">
        <v>16</v>
      </c>
      <c r="L90" s="103">
        <v>84766.45</v>
      </c>
    </row>
    <row r="91" spans="1:12" ht="81.599999999999994" x14ac:dyDescent="0.3">
      <c r="A91" s="97" t="s">
        <v>256</v>
      </c>
      <c r="B91" s="98" t="s">
        <v>257</v>
      </c>
      <c r="C91" s="98" t="s">
        <v>218</v>
      </c>
      <c r="D91" s="98" t="s">
        <v>244</v>
      </c>
      <c r="E91" s="99" t="s">
        <v>33</v>
      </c>
      <c r="F91" s="104" t="s">
        <v>23</v>
      </c>
      <c r="G91" s="104"/>
      <c r="H91" s="99" t="s">
        <v>21</v>
      </c>
      <c r="I91" s="105">
        <v>1239.07</v>
      </c>
      <c r="J91" s="105"/>
      <c r="K91" s="102" t="s">
        <v>16</v>
      </c>
      <c r="L91" s="103">
        <v>83527.38</v>
      </c>
    </row>
    <row r="92" spans="1:12" ht="81.599999999999994" x14ac:dyDescent="0.3">
      <c r="A92" s="97" t="s">
        <v>256</v>
      </c>
      <c r="B92" s="98" t="s">
        <v>257</v>
      </c>
      <c r="C92" s="98" t="s">
        <v>218</v>
      </c>
      <c r="D92" s="98" t="s">
        <v>190</v>
      </c>
      <c r="E92" s="99" t="s">
        <v>33</v>
      </c>
      <c r="F92" s="104" t="s">
        <v>23</v>
      </c>
      <c r="G92" s="104"/>
      <c r="H92" s="99" t="s">
        <v>21</v>
      </c>
      <c r="I92" s="106">
        <v>318.13</v>
      </c>
      <c r="J92" s="106"/>
      <c r="K92" s="102" t="s">
        <v>16</v>
      </c>
      <c r="L92" s="103">
        <v>83209.25</v>
      </c>
    </row>
    <row r="93" spans="1:12" ht="71.400000000000006" x14ac:dyDescent="0.3">
      <c r="A93" s="97" t="s">
        <v>256</v>
      </c>
      <c r="B93" s="98" t="s">
        <v>257</v>
      </c>
      <c r="C93" s="98" t="s">
        <v>218</v>
      </c>
      <c r="D93" s="98" t="s">
        <v>261</v>
      </c>
      <c r="E93" s="99" t="s">
        <v>33</v>
      </c>
      <c r="F93" s="104" t="s">
        <v>23</v>
      </c>
      <c r="G93" s="104"/>
      <c r="H93" s="99" t="s">
        <v>21</v>
      </c>
      <c r="I93" s="105">
        <v>5937.97</v>
      </c>
      <c r="J93" s="105"/>
      <c r="K93" s="102" t="s">
        <v>16</v>
      </c>
      <c r="L93" s="103">
        <v>77271.28</v>
      </c>
    </row>
    <row r="94" spans="1:12" x14ac:dyDescent="0.3">
      <c r="A94" s="108" t="s">
        <v>167</v>
      </c>
      <c r="B94" s="108"/>
      <c r="C94" s="108"/>
      <c r="D94" s="108"/>
      <c r="E94" s="109">
        <v>57234.48</v>
      </c>
      <c r="F94" s="109"/>
      <c r="G94" s="109"/>
      <c r="H94" s="109">
        <v>1413643.42</v>
      </c>
      <c r="I94" s="109"/>
      <c r="J94" s="109"/>
      <c r="K94" s="110" t="s">
        <v>16</v>
      </c>
      <c r="L94" s="111">
        <v>77271.28</v>
      </c>
    </row>
    <row r="96" spans="1:12" x14ac:dyDescent="0.3">
      <c r="J96" s="193">
        <f>SUBTOTAL(9,I4:J93)</f>
        <v>1413643.42</v>
      </c>
    </row>
  </sheetData>
  <autoFilter ref="A1:L94" xr:uid="{497AC9F7-87B8-4C46-A30C-7DC11B3BE473}">
    <filterColumn colId="1">
      <filters blank="1">
        <filter val="Вимога-накладна ІБ00-000313 від 05.05.2025 00:00:00_x000a_Списаны ТМЦ"/>
        <filter val="Вимога-накладна ІБ00-000359 від 01.05.2025 22:00:35_x000a_Списаны ТМЦ"/>
        <filter val="Вимога-накладна ІБ00-000360 від 01.05.2025 22:00:36_x000a_Списаны ТМЦ"/>
        <filter val="Вимога-накладна ІБ00-000361 від 05.05.2025 18:06:37_x000a_Списаны ТМЦ"/>
        <filter val="Вимога-накладна ІБ00-000415 від 06.05.2025 18:17:47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94">
    <mergeCell ref="A94:D94"/>
    <mergeCell ref="E94:G94"/>
    <mergeCell ref="H94:J94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287E-BB9D-4773-AFBE-4A2CAE321C17}">
  <sheetPr filterMode="1"/>
  <dimension ref="A1:L30"/>
  <sheetViews>
    <sheetView topLeftCell="A24" workbookViewId="0">
      <selection activeCell="J30" sqref="J30"/>
    </sheetView>
  </sheetViews>
  <sheetFormatPr defaultRowHeight="14.4" x14ac:dyDescent="0.3"/>
  <cols>
    <col min="2" max="4" width="24.33203125" customWidth="1"/>
    <col min="10" max="10" width="9.88671875" bestFit="1" customWidth="1"/>
    <col min="12" max="12" width="10.109375" bestFit="1" customWidth="1"/>
  </cols>
  <sheetData>
    <row r="1" spans="1:12" x14ac:dyDescent="0.3">
      <c r="A1" s="112" t="s">
        <v>8</v>
      </c>
      <c r="B1" s="113" t="s">
        <v>9</v>
      </c>
      <c r="C1" s="113" t="s">
        <v>10</v>
      </c>
      <c r="D1" s="114" t="s">
        <v>11</v>
      </c>
      <c r="E1" s="115" t="s">
        <v>12</v>
      </c>
      <c r="F1" s="115"/>
      <c r="G1" s="115"/>
      <c r="H1" s="116" t="s">
        <v>13</v>
      </c>
      <c r="I1" s="116"/>
      <c r="J1" s="116"/>
      <c r="K1" s="113" t="s">
        <v>14</v>
      </c>
      <c r="L1" s="113"/>
    </row>
    <row r="2" spans="1:12" hidden="1" x14ac:dyDescent="0.3">
      <c r="A2" s="117"/>
      <c r="B2" s="118"/>
      <c r="C2" s="118"/>
      <c r="D2" s="119"/>
      <c r="E2" s="120" t="s">
        <v>15</v>
      </c>
      <c r="F2" s="121"/>
      <c r="G2" s="121"/>
      <c r="H2" s="122" t="s">
        <v>15</v>
      </c>
      <c r="I2" s="123"/>
      <c r="J2" s="123"/>
      <c r="K2" s="117"/>
      <c r="L2" s="124"/>
    </row>
    <row r="3" spans="1:12" ht="71.400000000000006" x14ac:dyDescent="0.3">
      <c r="A3" s="125" t="s">
        <v>17</v>
      </c>
      <c r="B3" s="126" t="s">
        <v>262</v>
      </c>
      <c r="C3" s="126" t="s">
        <v>263</v>
      </c>
      <c r="D3" s="126" t="s">
        <v>264</v>
      </c>
      <c r="E3" s="127" t="s">
        <v>33</v>
      </c>
      <c r="F3" s="128" t="s">
        <v>23</v>
      </c>
      <c r="G3" s="128"/>
      <c r="H3" s="127" t="s">
        <v>21</v>
      </c>
      <c r="I3" s="129">
        <v>28978.74</v>
      </c>
      <c r="J3" s="129"/>
      <c r="K3" s="130" t="s">
        <v>16</v>
      </c>
      <c r="L3" s="131">
        <v>327862.68</v>
      </c>
    </row>
    <row r="4" spans="1:12" ht="71.400000000000006" x14ac:dyDescent="0.3">
      <c r="A4" s="125" t="s">
        <v>17</v>
      </c>
      <c r="B4" s="126" t="s">
        <v>265</v>
      </c>
      <c r="C4" s="126" t="s">
        <v>263</v>
      </c>
      <c r="D4" s="126" t="s">
        <v>264</v>
      </c>
      <c r="E4" s="127" t="s">
        <v>33</v>
      </c>
      <c r="F4" s="128" t="s">
        <v>23</v>
      </c>
      <c r="G4" s="128"/>
      <c r="H4" s="127" t="s">
        <v>21</v>
      </c>
      <c r="I4" s="129">
        <v>3328.93</v>
      </c>
      <c r="J4" s="129"/>
      <c r="K4" s="130" t="s">
        <v>16</v>
      </c>
      <c r="L4" s="131">
        <v>324533.75</v>
      </c>
    </row>
    <row r="5" spans="1:12" ht="71.400000000000006" x14ac:dyDescent="0.3">
      <c r="A5" s="125" t="s">
        <v>17</v>
      </c>
      <c r="B5" s="126" t="s">
        <v>265</v>
      </c>
      <c r="C5" s="126" t="s">
        <v>263</v>
      </c>
      <c r="D5" s="126" t="s">
        <v>266</v>
      </c>
      <c r="E5" s="127" t="s">
        <v>33</v>
      </c>
      <c r="F5" s="128" t="s">
        <v>23</v>
      </c>
      <c r="G5" s="128"/>
      <c r="H5" s="127" t="s">
        <v>21</v>
      </c>
      <c r="I5" s="129">
        <v>39855.83</v>
      </c>
      <c r="J5" s="129"/>
      <c r="K5" s="130" t="s">
        <v>16</v>
      </c>
      <c r="L5" s="131">
        <v>284677.92</v>
      </c>
    </row>
    <row r="6" spans="1:12" ht="71.400000000000006" x14ac:dyDescent="0.3">
      <c r="A6" s="125" t="s">
        <v>17</v>
      </c>
      <c r="B6" s="126" t="s">
        <v>265</v>
      </c>
      <c r="C6" s="126" t="s">
        <v>263</v>
      </c>
      <c r="D6" s="126" t="s">
        <v>267</v>
      </c>
      <c r="E6" s="127" t="s">
        <v>33</v>
      </c>
      <c r="F6" s="128" t="s">
        <v>23</v>
      </c>
      <c r="G6" s="128"/>
      <c r="H6" s="127" t="s">
        <v>21</v>
      </c>
      <c r="I6" s="129">
        <v>17796.240000000002</v>
      </c>
      <c r="J6" s="129"/>
      <c r="K6" s="130" t="s">
        <v>16</v>
      </c>
      <c r="L6" s="131">
        <v>266881.68</v>
      </c>
    </row>
    <row r="7" spans="1:12" ht="71.400000000000006" x14ac:dyDescent="0.3">
      <c r="A7" s="125" t="s">
        <v>17</v>
      </c>
      <c r="B7" s="126" t="s">
        <v>265</v>
      </c>
      <c r="C7" s="126" t="s">
        <v>263</v>
      </c>
      <c r="D7" s="126" t="s">
        <v>268</v>
      </c>
      <c r="E7" s="127" t="s">
        <v>33</v>
      </c>
      <c r="F7" s="128" t="s">
        <v>23</v>
      </c>
      <c r="G7" s="128"/>
      <c r="H7" s="127" t="s">
        <v>21</v>
      </c>
      <c r="I7" s="129">
        <v>3653.74</v>
      </c>
      <c r="J7" s="129"/>
      <c r="K7" s="130" t="s">
        <v>16</v>
      </c>
      <c r="L7" s="131">
        <v>263227.94</v>
      </c>
    </row>
    <row r="8" spans="1:12" ht="71.400000000000006" x14ac:dyDescent="0.3">
      <c r="A8" s="125" t="s">
        <v>17</v>
      </c>
      <c r="B8" s="126" t="s">
        <v>265</v>
      </c>
      <c r="C8" s="126" t="s">
        <v>263</v>
      </c>
      <c r="D8" s="126" t="s">
        <v>269</v>
      </c>
      <c r="E8" s="127" t="s">
        <v>33</v>
      </c>
      <c r="F8" s="128" t="s">
        <v>23</v>
      </c>
      <c r="G8" s="128"/>
      <c r="H8" s="127" t="s">
        <v>21</v>
      </c>
      <c r="I8" s="129">
        <v>2602.41</v>
      </c>
      <c r="J8" s="129"/>
      <c r="K8" s="130" t="s">
        <v>16</v>
      </c>
      <c r="L8" s="131">
        <v>260625.53</v>
      </c>
    </row>
    <row r="9" spans="1:12" ht="81.599999999999994" x14ac:dyDescent="0.3">
      <c r="A9" s="125" t="s">
        <v>17</v>
      </c>
      <c r="B9" s="126" t="s">
        <v>265</v>
      </c>
      <c r="C9" s="126" t="s">
        <v>263</v>
      </c>
      <c r="D9" s="126" t="s">
        <v>270</v>
      </c>
      <c r="E9" s="127" t="s">
        <v>33</v>
      </c>
      <c r="F9" s="128" t="s">
        <v>23</v>
      </c>
      <c r="G9" s="128"/>
      <c r="H9" s="127" t="s">
        <v>21</v>
      </c>
      <c r="I9" s="129">
        <v>8713.26</v>
      </c>
      <c r="J9" s="129"/>
      <c r="K9" s="130" t="s">
        <v>16</v>
      </c>
      <c r="L9" s="131">
        <v>251912.27</v>
      </c>
    </row>
    <row r="10" spans="1:12" ht="81.599999999999994" x14ac:dyDescent="0.3">
      <c r="A10" s="125" t="s">
        <v>17</v>
      </c>
      <c r="B10" s="126" t="s">
        <v>265</v>
      </c>
      <c r="C10" s="126" t="s">
        <v>263</v>
      </c>
      <c r="D10" s="126" t="s">
        <v>271</v>
      </c>
      <c r="E10" s="127" t="s">
        <v>33</v>
      </c>
      <c r="F10" s="128" t="s">
        <v>23</v>
      </c>
      <c r="G10" s="128"/>
      <c r="H10" s="127" t="s">
        <v>21</v>
      </c>
      <c r="I10" s="132">
        <v>413.28</v>
      </c>
      <c r="J10" s="132"/>
      <c r="K10" s="130" t="s">
        <v>16</v>
      </c>
      <c r="L10" s="131">
        <v>251498.99</v>
      </c>
    </row>
    <row r="11" spans="1:12" ht="81.599999999999994" x14ac:dyDescent="0.3">
      <c r="A11" s="125" t="s">
        <v>17</v>
      </c>
      <c r="B11" s="126" t="s">
        <v>265</v>
      </c>
      <c r="C11" s="126" t="s">
        <v>263</v>
      </c>
      <c r="D11" s="126" t="s">
        <v>272</v>
      </c>
      <c r="E11" s="127" t="s">
        <v>33</v>
      </c>
      <c r="F11" s="128" t="s">
        <v>23</v>
      </c>
      <c r="G11" s="128"/>
      <c r="H11" s="127" t="s">
        <v>21</v>
      </c>
      <c r="I11" s="129">
        <v>22280.85</v>
      </c>
      <c r="J11" s="129"/>
      <c r="K11" s="130" t="s">
        <v>16</v>
      </c>
      <c r="L11" s="131">
        <v>229218.14</v>
      </c>
    </row>
    <row r="12" spans="1:12" ht="81.599999999999994" x14ac:dyDescent="0.3">
      <c r="A12" s="125" t="s">
        <v>17</v>
      </c>
      <c r="B12" s="126" t="s">
        <v>265</v>
      </c>
      <c r="C12" s="126" t="s">
        <v>263</v>
      </c>
      <c r="D12" s="126" t="s">
        <v>273</v>
      </c>
      <c r="E12" s="127" t="s">
        <v>33</v>
      </c>
      <c r="F12" s="128" t="s">
        <v>23</v>
      </c>
      <c r="G12" s="128"/>
      <c r="H12" s="127" t="s">
        <v>21</v>
      </c>
      <c r="I12" s="129">
        <v>2361.6</v>
      </c>
      <c r="J12" s="129"/>
      <c r="K12" s="130" t="s">
        <v>16</v>
      </c>
      <c r="L12" s="131">
        <v>226856.54</v>
      </c>
    </row>
    <row r="13" spans="1:12" ht="71.400000000000006" x14ac:dyDescent="0.3">
      <c r="A13" s="125" t="s">
        <v>17</v>
      </c>
      <c r="B13" s="126" t="s">
        <v>265</v>
      </c>
      <c r="C13" s="126" t="s">
        <v>263</v>
      </c>
      <c r="D13" s="126" t="s">
        <v>274</v>
      </c>
      <c r="E13" s="127" t="s">
        <v>33</v>
      </c>
      <c r="F13" s="128" t="s">
        <v>23</v>
      </c>
      <c r="G13" s="128"/>
      <c r="H13" s="127" t="s">
        <v>21</v>
      </c>
      <c r="I13" s="129">
        <v>47737</v>
      </c>
      <c r="J13" s="129"/>
      <c r="K13" s="130" t="s">
        <v>16</v>
      </c>
      <c r="L13" s="131">
        <v>179119.54</v>
      </c>
    </row>
    <row r="14" spans="1:12" ht="81.599999999999994" x14ac:dyDescent="0.3">
      <c r="A14" s="125" t="s">
        <v>17</v>
      </c>
      <c r="B14" s="126" t="s">
        <v>265</v>
      </c>
      <c r="C14" s="126" t="s">
        <v>263</v>
      </c>
      <c r="D14" s="126" t="s">
        <v>275</v>
      </c>
      <c r="E14" s="127" t="s">
        <v>33</v>
      </c>
      <c r="F14" s="128" t="s">
        <v>23</v>
      </c>
      <c r="G14" s="128"/>
      <c r="H14" s="127" t="s">
        <v>21</v>
      </c>
      <c r="I14" s="129">
        <v>6956.56</v>
      </c>
      <c r="J14" s="129"/>
      <c r="K14" s="130" t="s">
        <v>16</v>
      </c>
      <c r="L14" s="131">
        <v>172162.98</v>
      </c>
    </row>
    <row r="15" spans="1:12" ht="71.400000000000006" x14ac:dyDescent="0.3">
      <c r="A15" s="125" t="s">
        <v>17</v>
      </c>
      <c r="B15" s="126" t="s">
        <v>276</v>
      </c>
      <c r="C15" s="126" t="s">
        <v>263</v>
      </c>
      <c r="D15" s="126" t="s">
        <v>267</v>
      </c>
      <c r="E15" s="127" t="s">
        <v>33</v>
      </c>
      <c r="F15" s="128" t="s">
        <v>23</v>
      </c>
      <c r="G15" s="128"/>
      <c r="H15" s="127" t="s">
        <v>21</v>
      </c>
      <c r="I15" s="129">
        <v>28431.61</v>
      </c>
      <c r="J15" s="129"/>
      <c r="K15" s="130" t="s">
        <v>16</v>
      </c>
      <c r="L15" s="131">
        <v>143731.37</v>
      </c>
    </row>
    <row r="16" spans="1:12" ht="81.599999999999994" x14ac:dyDescent="0.3">
      <c r="A16" s="125" t="s">
        <v>17</v>
      </c>
      <c r="B16" s="126" t="s">
        <v>276</v>
      </c>
      <c r="C16" s="126" t="s">
        <v>263</v>
      </c>
      <c r="D16" s="126" t="s">
        <v>270</v>
      </c>
      <c r="E16" s="127" t="s">
        <v>33</v>
      </c>
      <c r="F16" s="128" t="s">
        <v>23</v>
      </c>
      <c r="G16" s="128"/>
      <c r="H16" s="127" t="s">
        <v>21</v>
      </c>
      <c r="I16" s="129">
        <v>1270.68</v>
      </c>
      <c r="J16" s="129"/>
      <c r="K16" s="130" t="s">
        <v>16</v>
      </c>
      <c r="L16" s="131">
        <v>142460.69</v>
      </c>
    </row>
    <row r="17" spans="1:12" ht="81.599999999999994" x14ac:dyDescent="0.3">
      <c r="A17" s="125" t="s">
        <v>17</v>
      </c>
      <c r="B17" s="126" t="s">
        <v>276</v>
      </c>
      <c r="C17" s="126" t="s">
        <v>263</v>
      </c>
      <c r="D17" s="126" t="s">
        <v>271</v>
      </c>
      <c r="E17" s="127" t="s">
        <v>33</v>
      </c>
      <c r="F17" s="128" t="s">
        <v>23</v>
      </c>
      <c r="G17" s="128"/>
      <c r="H17" s="127" t="s">
        <v>21</v>
      </c>
      <c r="I17" s="132">
        <v>177.12</v>
      </c>
      <c r="J17" s="132"/>
      <c r="K17" s="130" t="s">
        <v>16</v>
      </c>
      <c r="L17" s="131">
        <v>142283.57</v>
      </c>
    </row>
    <row r="18" spans="1:12" ht="71.400000000000006" x14ac:dyDescent="0.3">
      <c r="A18" s="125" t="s">
        <v>182</v>
      </c>
      <c r="B18" s="126" t="s">
        <v>277</v>
      </c>
      <c r="C18" s="126" t="s">
        <v>263</v>
      </c>
      <c r="D18" s="126" t="s">
        <v>267</v>
      </c>
      <c r="E18" s="127" t="s">
        <v>33</v>
      </c>
      <c r="F18" s="128" t="s">
        <v>23</v>
      </c>
      <c r="G18" s="128"/>
      <c r="H18" s="127" t="s">
        <v>21</v>
      </c>
      <c r="I18" s="129">
        <v>70930.73</v>
      </c>
      <c r="J18" s="129"/>
      <c r="K18" s="130" t="s">
        <v>16</v>
      </c>
      <c r="L18" s="131">
        <v>71352.84</v>
      </c>
    </row>
    <row r="19" spans="1:12" ht="81.599999999999994" x14ac:dyDescent="0.3">
      <c r="A19" s="125" t="s">
        <v>182</v>
      </c>
      <c r="B19" s="126" t="s">
        <v>277</v>
      </c>
      <c r="C19" s="126" t="s">
        <v>263</v>
      </c>
      <c r="D19" s="126" t="s">
        <v>270</v>
      </c>
      <c r="E19" s="127" t="s">
        <v>33</v>
      </c>
      <c r="F19" s="128" t="s">
        <v>23</v>
      </c>
      <c r="G19" s="128"/>
      <c r="H19" s="127" t="s">
        <v>21</v>
      </c>
      <c r="I19" s="129">
        <v>3842.3</v>
      </c>
      <c r="J19" s="129"/>
      <c r="K19" s="130" t="s">
        <v>16</v>
      </c>
      <c r="L19" s="131">
        <v>67510.539999999994</v>
      </c>
    </row>
    <row r="20" spans="1:12" ht="81.599999999999994" x14ac:dyDescent="0.3">
      <c r="A20" s="125" t="s">
        <v>182</v>
      </c>
      <c r="B20" s="126" t="s">
        <v>277</v>
      </c>
      <c r="C20" s="126" t="s">
        <v>263</v>
      </c>
      <c r="D20" s="126" t="s">
        <v>271</v>
      </c>
      <c r="E20" s="127" t="s">
        <v>33</v>
      </c>
      <c r="F20" s="128" t="s">
        <v>23</v>
      </c>
      <c r="G20" s="128"/>
      <c r="H20" s="127" t="s">
        <v>21</v>
      </c>
      <c r="I20" s="132">
        <v>413.28</v>
      </c>
      <c r="J20" s="132"/>
      <c r="K20" s="130" t="s">
        <v>16</v>
      </c>
      <c r="L20" s="131">
        <v>67097.259999999995</v>
      </c>
    </row>
    <row r="21" spans="1:12" ht="71.400000000000006" x14ac:dyDescent="0.3">
      <c r="A21" s="125" t="s">
        <v>182</v>
      </c>
      <c r="B21" s="126" t="s">
        <v>277</v>
      </c>
      <c r="C21" s="126" t="s">
        <v>263</v>
      </c>
      <c r="D21" s="126" t="s">
        <v>278</v>
      </c>
      <c r="E21" s="127" t="s">
        <v>33</v>
      </c>
      <c r="F21" s="128" t="s">
        <v>23</v>
      </c>
      <c r="G21" s="128"/>
      <c r="H21" s="127" t="s">
        <v>21</v>
      </c>
      <c r="I21" s="129">
        <v>10947.29</v>
      </c>
      <c r="J21" s="129"/>
      <c r="K21" s="130" t="s">
        <v>16</v>
      </c>
      <c r="L21" s="131">
        <v>56149.97</v>
      </c>
    </row>
    <row r="22" spans="1:12" ht="71.400000000000006" x14ac:dyDescent="0.3">
      <c r="A22" s="125" t="s">
        <v>182</v>
      </c>
      <c r="B22" s="126" t="s">
        <v>277</v>
      </c>
      <c r="C22" s="126" t="s">
        <v>263</v>
      </c>
      <c r="D22" s="126" t="s">
        <v>274</v>
      </c>
      <c r="E22" s="127" t="s">
        <v>33</v>
      </c>
      <c r="F22" s="128" t="s">
        <v>23</v>
      </c>
      <c r="G22" s="128"/>
      <c r="H22" s="127" t="s">
        <v>21</v>
      </c>
      <c r="I22" s="129">
        <v>10571.51</v>
      </c>
      <c r="J22" s="129"/>
      <c r="K22" s="130" t="s">
        <v>16</v>
      </c>
      <c r="L22" s="131">
        <v>45578.46</v>
      </c>
    </row>
    <row r="23" spans="1:12" ht="81.599999999999994" x14ac:dyDescent="0.3">
      <c r="A23" s="125" t="s">
        <v>182</v>
      </c>
      <c r="B23" s="126" t="s">
        <v>277</v>
      </c>
      <c r="C23" s="126" t="s">
        <v>263</v>
      </c>
      <c r="D23" s="126" t="s">
        <v>275</v>
      </c>
      <c r="E23" s="127" t="s">
        <v>33</v>
      </c>
      <c r="F23" s="128" t="s">
        <v>23</v>
      </c>
      <c r="G23" s="128"/>
      <c r="H23" s="127" t="s">
        <v>21</v>
      </c>
      <c r="I23" s="132">
        <v>907.38</v>
      </c>
      <c r="J23" s="132"/>
      <c r="K23" s="130" t="s">
        <v>16</v>
      </c>
      <c r="L23" s="131">
        <v>44671.08</v>
      </c>
    </row>
    <row r="24" spans="1:12" ht="81.599999999999994" x14ac:dyDescent="0.3">
      <c r="A24" s="125" t="s">
        <v>256</v>
      </c>
      <c r="B24" s="126" t="s">
        <v>279</v>
      </c>
      <c r="C24" s="126" t="s">
        <v>263</v>
      </c>
      <c r="D24" s="126" t="s">
        <v>271</v>
      </c>
      <c r="E24" s="127" t="s">
        <v>33</v>
      </c>
      <c r="F24" s="128" t="s">
        <v>23</v>
      </c>
      <c r="G24" s="128"/>
      <c r="H24" s="127" t="s">
        <v>21</v>
      </c>
      <c r="I24" s="129">
        <v>1269.3699999999999</v>
      </c>
      <c r="J24" s="129"/>
      <c r="K24" s="130" t="s">
        <v>16</v>
      </c>
      <c r="L24" s="131">
        <v>43401.71</v>
      </c>
    </row>
    <row r="25" spans="1:12" ht="81.599999999999994" x14ac:dyDescent="0.3">
      <c r="A25" s="125" t="s">
        <v>256</v>
      </c>
      <c r="B25" s="126" t="s">
        <v>279</v>
      </c>
      <c r="C25" s="126" t="s">
        <v>263</v>
      </c>
      <c r="D25" s="126" t="s">
        <v>280</v>
      </c>
      <c r="E25" s="127" t="s">
        <v>33</v>
      </c>
      <c r="F25" s="128" t="s">
        <v>23</v>
      </c>
      <c r="G25" s="128"/>
      <c r="H25" s="127" t="s">
        <v>21</v>
      </c>
      <c r="I25" s="129">
        <v>4097.3599999999997</v>
      </c>
      <c r="J25" s="129"/>
      <c r="K25" s="130" t="s">
        <v>16</v>
      </c>
      <c r="L25" s="131">
        <v>39304.35</v>
      </c>
    </row>
    <row r="26" spans="1:12" ht="71.400000000000006" x14ac:dyDescent="0.3">
      <c r="A26" s="125" t="s">
        <v>256</v>
      </c>
      <c r="B26" s="126" t="s">
        <v>279</v>
      </c>
      <c r="C26" s="126" t="s">
        <v>263</v>
      </c>
      <c r="D26" s="126" t="s">
        <v>281</v>
      </c>
      <c r="E26" s="127" t="s">
        <v>33</v>
      </c>
      <c r="F26" s="128" t="s">
        <v>23</v>
      </c>
      <c r="G26" s="128"/>
      <c r="H26" s="127" t="s">
        <v>21</v>
      </c>
      <c r="I26" s="129">
        <v>19899.689999999999</v>
      </c>
      <c r="J26" s="129"/>
      <c r="K26" s="130" t="s">
        <v>16</v>
      </c>
      <c r="L26" s="131">
        <v>19404.66</v>
      </c>
    </row>
    <row r="27" spans="1:12" ht="81.599999999999994" x14ac:dyDescent="0.3">
      <c r="A27" s="125" t="s">
        <v>256</v>
      </c>
      <c r="B27" s="126" t="s">
        <v>279</v>
      </c>
      <c r="C27" s="126" t="s">
        <v>263</v>
      </c>
      <c r="D27" s="126" t="s">
        <v>282</v>
      </c>
      <c r="E27" s="127" t="s">
        <v>33</v>
      </c>
      <c r="F27" s="128" t="s">
        <v>23</v>
      </c>
      <c r="G27" s="128"/>
      <c r="H27" s="127" t="s">
        <v>21</v>
      </c>
      <c r="I27" s="129">
        <v>8700.2000000000007</v>
      </c>
      <c r="J27" s="129"/>
      <c r="K27" s="130" t="s">
        <v>16</v>
      </c>
      <c r="L27" s="131">
        <v>10704.46</v>
      </c>
    </row>
    <row r="28" spans="1:12" hidden="1" x14ac:dyDescent="0.3">
      <c r="A28" s="133" t="s">
        <v>167</v>
      </c>
      <c r="B28" s="133"/>
      <c r="C28" s="133"/>
      <c r="D28" s="133"/>
      <c r="E28" s="134">
        <v>0</v>
      </c>
      <c r="F28" s="134"/>
      <c r="G28" s="134"/>
      <c r="H28" s="135">
        <v>346136.96</v>
      </c>
      <c r="I28" s="135"/>
      <c r="J28" s="135"/>
      <c r="K28" s="136" t="s">
        <v>16</v>
      </c>
      <c r="L28" s="137">
        <v>10704.46</v>
      </c>
    </row>
    <row r="30" spans="1:12" x14ac:dyDescent="0.3">
      <c r="J30" s="193">
        <f>SUBTOTAL(9,I3:J27)</f>
        <v>346136.95999999996</v>
      </c>
    </row>
  </sheetData>
  <autoFilter ref="A1:L28" xr:uid="{D6AE3AA7-0F9F-49AC-A814-5F91A24DE376}">
    <filterColumn colId="1">
      <customFilters>
        <customFilter operator="notEqual" val=" "/>
      </custom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62">
    <mergeCell ref="A28:D28"/>
    <mergeCell ref="E28:G28"/>
    <mergeCell ref="H28:J28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7375-4F8E-4CA0-B64B-F97287C1130B}">
  <sheetPr filterMode="1"/>
  <dimension ref="A1:L24"/>
  <sheetViews>
    <sheetView topLeftCell="A18" workbookViewId="0">
      <selection activeCell="J24" sqref="J24"/>
    </sheetView>
  </sheetViews>
  <sheetFormatPr defaultRowHeight="14.4" x14ac:dyDescent="0.3"/>
  <cols>
    <col min="2" max="4" width="24.33203125" customWidth="1"/>
    <col min="10" max="10" width="9.88671875" bestFit="1" customWidth="1"/>
  </cols>
  <sheetData>
    <row r="1" spans="1:12" x14ac:dyDescent="0.3">
      <c r="A1" s="138" t="s">
        <v>8</v>
      </c>
      <c r="B1" s="139" t="s">
        <v>9</v>
      </c>
      <c r="C1" s="139" t="s">
        <v>10</v>
      </c>
      <c r="D1" s="140" t="s">
        <v>11</v>
      </c>
      <c r="E1" s="141" t="s">
        <v>12</v>
      </c>
      <c r="F1" s="141"/>
      <c r="G1" s="141"/>
      <c r="H1" s="142" t="s">
        <v>13</v>
      </c>
      <c r="I1" s="142"/>
      <c r="J1" s="142"/>
      <c r="K1" s="139" t="s">
        <v>14</v>
      </c>
      <c r="L1" s="139"/>
    </row>
    <row r="2" spans="1:12" hidden="1" x14ac:dyDescent="0.3">
      <c r="A2" s="143"/>
      <c r="B2" s="144"/>
      <c r="C2" s="144"/>
      <c r="D2" s="145"/>
      <c r="E2" s="146" t="s">
        <v>15</v>
      </c>
      <c r="F2" s="147"/>
      <c r="G2" s="147"/>
      <c r="H2" s="148" t="s">
        <v>15</v>
      </c>
      <c r="I2" s="149"/>
      <c r="J2" s="149"/>
      <c r="K2" s="143"/>
      <c r="L2" s="150"/>
    </row>
    <row r="3" spans="1:12" ht="71.400000000000006" hidden="1" x14ac:dyDescent="0.3">
      <c r="A3" s="151" t="s">
        <v>132</v>
      </c>
      <c r="B3" s="152" t="s">
        <v>211</v>
      </c>
      <c r="C3" s="152" t="s">
        <v>212</v>
      </c>
      <c r="D3" s="152" t="s">
        <v>213</v>
      </c>
      <c r="E3" s="153" t="s">
        <v>21</v>
      </c>
      <c r="F3" s="154">
        <v>608.66999999999996</v>
      </c>
      <c r="G3" s="154"/>
      <c r="H3" s="153" t="s">
        <v>21</v>
      </c>
      <c r="I3" s="155" t="s">
        <v>23</v>
      </c>
      <c r="J3" s="155"/>
      <c r="K3" s="156" t="s">
        <v>16</v>
      </c>
      <c r="L3" s="157">
        <v>2107726.12</v>
      </c>
    </row>
    <row r="4" spans="1:12" ht="71.400000000000006" hidden="1" x14ac:dyDescent="0.3">
      <c r="A4" s="151" t="s">
        <v>132</v>
      </c>
      <c r="B4" s="152" t="s">
        <v>283</v>
      </c>
      <c r="C4" s="152" t="s">
        <v>284</v>
      </c>
      <c r="D4" s="152" t="s">
        <v>285</v>
      </c>
      <c r="E4" s="153" t="s">
        <v>21</v>
      </c>
      <c r="F4" s="154">
        <v>634.78</v>
      </c>
      <c r="G4" s="154"/>
      <c r="H4" s="153" t="s">
        <v>21</v>
      </c>
      <c r="I4" s="155" t="s">
        <v>23</v>
      </c>
      <c r="J4" s="155"/>
      <c r="K4" s="156" t="s">
        <v>16</v>
      </c>
      <c r="L4" s="157">
        <v>2108360.9</v>
      </c>
    </row>
    <row r="5" spans="1:12" ht="71.400000000000006" x14ac:dyDescent="0.3">
      <c r="A5" s="151" t="s">
        <v>155</v>
      </c>
      <c r="B5" s="152" t="s">
        <v>286</v>
      </c>
      <c r="C5" s="152" t="s">
        <v>218</v>
      </c>
      <c r="D5" s="152" t="s">
        <v>287</v>
      </c>
      <c r="E5" s="153" t="s">
        <v>33</v>
      </c>
      <c r="F5" s="158" t="s">
        <v>23</v>
      </c>
      <c r="G5" s="158"/>
      <c r="H5" s="153" t="s">
        <v>21</v>
      </c>
      <c r="I5" s="159">
        <v>61653.05</v>
      </c>
      <c r="J5" s="159"/>
      <c r="K5" s="156" t="s">
        <v>16</v>
      </c>
      <c r="L5" s="157">
        <v>2046707.85</v>
      </c>
    </row>
    <row r="6" spans="1:12" ht="81.599999999999994" x14ac:dyDescent="0.3">
      <c r="A6" s="151" t="s">
        <v>155</v>
      </c>
      <c r="B6" s="152" t="s">
        <v>286</v>
      </c>
      <c r="C6" s="152" t="s">
        <v>218</v>
      </c>
      <c r="D6" s="152" t="s">
        <v>288</v>
      </c>
      <c r="E6" s="153" t="s">
        <v>33</v>
      </c>
      <c r="F6" s="158" t="s">
        <v>23</v>
      </c>
      <c r="G6" s="158"/>
      <c r="H6" s="153" t="s">
        <v>21</v>
      </c>
      <c r="I6" s="159">
        <v>6595.45</v>
      </c>
      <c r="J6" s="159"/>
      <c r="K6" s="156" t="s">
        <v>16</v>
      </c>
      <c r="L6" s="157">
        <v>2040112.4</v>
      </c>
    </row>
    <row r="7" spans="1:12" ht="71.400000000000006" x14ac:dyDescent="0.3">
      <c r="A7" s="151" t="s">
        <v>155</v>
      </c>
      <c r="B7" s="152" t="s">
        <v>286</v>
      </c>
      <c r="C7" s="152" t="s">
        <v>218</v>
      </c>
      <c r="D7" s="152" t="s">
        <v>284</v>
      </c>
      <c r="E7" s="153" t="s">
        <v>33</v>
      </c>
      <c r="F7" s="158" t="s">
        <v>23</v>
      </c>
      <c r="G7" s="158"/>
      <c r="H7" s="153" t="s">
        <v>21</v>
      </c>
      <c r="I7" s="160">
        <v>634.78</v>
      </c>
      <c r="J7" s="160"/>
      <c r="K7" s="156" t="s">
        <v>16</v>
      </c>
      <c r="L7" s="157">
        <v>2039477.62</v>
      </c>
    </row>
    <row r="8" spans="1:12" ht="71.400000000000006" x14ac:dyDescent="0.3">
      <c r="A8" s="151" t="s">
        <v>155</v>
      </c>
      <c r="B8" s="152" t="s">
        <v>286</v>
      </c>
      <c r="C8" s="152" t="s">
        <v>218</v>
      </c>
      <c r="D8" s="152" t="s">
        <v>289</v>
      </c>
      <c r="E8" s="153" t="s">
        <v>33</v>
      </c>
      <c r="F8" s="158" t="s">
        <v>23</v>
      </c>
      <c r="G8" s="158"/>
      <c r="H8" s="153" t="s">
        <v>21</v>
      </c>
      <c r="I8" s="159">
        <v>8884.49</v>
      </c>
      <c r="J8" s="159"/>
      <c r="K8" s="156" t="s">
        <v>16</v>
      </c>
      <c r="L8" s="157">
        <v>2030593.13</v>
      </c>
    </row>
    <row r="9" spans="1:12" ht="81.599999999999994" x14ac:dyDescent="0.3">
      <c r="A9" s="151" t="s">
        <v>155</v>
      </c>
      <c r="B9" s="152" t="s">
        <v>286</v>
      </c>
      <c r="C9" s="152" t="s">
        <v>218</v>
      </c>
      <c r="D9" s="152" t="s">
        <v>290</v>
      </c>
      <c r="E9" s="153" t="s">
        <v>33</v>
      </c>
      <c r="F9" s="158" t="s">
        <v>23</v>
      </c>
      <c r="G9" s="158"/>
      <c r="H9" s="153" t="s">
        <v>21</v>
      </c>
      <c r="I9" s="159">
        <v>2903.61</v>
      </c>
      <c r="J9" s="159"/>
      <c r="K9" s="156" t="s">
        <v>16</v>
      </c>
      <c r="L9" s="157">
        <v>2027689.52</v>
      </c>
    </row>
    <row r="10" spans="1:12" ht="71.400000000000006" x14ac:dyDescent="0.3">
      <c r="A10" s="151" t="s">
        <v>155</v>
      </c>
      <c r="B10" s="152" t="s">
        <v>286</v>
      </c>
      <c r="C10" s="152" t="s">
        <v>218</v>
      </c>
      <c r="D10" s="152" t="s">
        <v>291</v>
      </c>
      <c r="E10" s="153" t="s">
        <v>33</v>
      </c>
      <c r="F10" s="158" t="s">
        <v>23</v>
      </c>
      <c r="G10" s="158"/>
      <c r="H10" s="153" t="s">
        <v>21</v>
      </c>
      <c r="I10" s="160">
        <v>28.93</v>
      </c>
      <c r="J10" s="160"/>
      <c r="K10" s="156" t="s">
        <v>16</v>
      </c>
      <c r="L10" s="157">
        <v>2027660.59</v>
      </c>
    </row>
    <row r="11" spans="1:12" ht="81.599999999999994" x14ac:dyDescent="0.3">
      <c r="A11" s="151" t="s">
        <v>155</v>
      </c>
      <c r="B11" s="152" t="s">
        <v>292</v>
      </c>
      <c r="C11" s="152" t="s">
        <v>218</v>
      </c>
      <c r="D11" s="152" t="s">
        <v>290</v>
      </c>
      <c r="E11" s="153" t="s">
        <v>33</v>
      </c>
      <c r="F11" s="158" t="s">
        <v>23</v>
      </c>
      <c r="G11" s="158"/>
      <c r="H11" s="153" t="s">
        <v>21</v>
      </c>
      <c r="I11" s="159">
        <v>36174.11</v>
      </c>
      <c r="J11" s="159"/>
      <c r="K11" s="156" t="s">
        <v>16</v>
      </c>
      <c r="L11" s="157">
        <v>1991486.48</v>
      </c>
    </row>
    <row r="12" spans="1:12" ht="81.599999999999994" x14ac:dyDescent="0.3">
      <c r="A12" s="151" t="s">
        <v>155</v>
      </c>
      <c r="B12" s="152" t="s">
        <v>292</v>
      </c>
      <c r="C12" s="152" t="s">
        <v>218</v>
      </c>
      <c r="D12" s="152" t="s">
        <v>293</v>
      </c>
      <c r="E12" s="153" t="s">
        <v>33</v>
      </c>
      <c r="F12" s="158" t="s">
        <v>23</v>
      </c>
      <c r="G12" s="158"/>
      <c r="H12" s="153" t="s">
        <v>21</v>
      </c>
      <c r="I12" s="160">
        <v>669.25</v>
      </c>
      <c r="J12" s="160"/>
      <c r="K12" s="156" t="s">
        <v>16</v>
      </c>
      <c r="L12" s="157">
        <v>1990817.23</v>
      </c>
    </row>
    <row r="13" spans="1:12" ht="71.400000000000006" x14ac:dyDescent="0.3">
      <c r="A13" s="151" t="s">
        <v>155</v>
      </c>
      <c r="B13" s="152" t="s">
        <v>292</v>
      </c>
      <c r="C13" s="152" t="s">
        <v>218</v>
      </c>
      <c r="D13" s="152" t="s">
        <v>291</v>
      </c>
      <c r="E13" s="153" t="s">
        <v>33</v>
      </c>
      <c r="F13" s="158" t="s">
        <v>23</v>
      </c>
      <c r="G13" s="158"/>
      <c r="H13" s="153" t="s">
        <v>21</v>
      </c>
      <c r="I13" s="160">
        <v>405.04</v>
      </c>
      <c r="J13" s="160"/>
      <c r="K13" s="156" t="s">
        <v>16</v>
      </c>
      <c r="L13" s="157">
        <v>1990412.19</v>
      </c>
    </row>
    <row r="14" spans="1:12" ht="71.400000000000006" x14ac:dyDescent="0.3">
      <c r="A14" s="151" t="s">
        <v>155</v>
      </c>
      <c r="B14" s="152" t="s">
        <v>292</v>
      </c>
      <c r="C14" s="152" t="s">
        <v>218</v>
      </c>
      <c r="D14" s="152" t="s">
        <v>294</v>
      </c>
      <c r="E14" s="153" t="s">
        <v>33</v>
      </c>
      <c r="F14" s="158" t="s">
        <v>23</v>
      </c>
      <c r="G14" s="158"/>
      <c r="H14" s="153" t="s">
        <v>21</v>
      </c>
      <c r="I14" s="159">
        <v>37434.19</v>
      </c>
      <c r="J14" s="159"/>
      <c r="K14" s="156" t="s">
        <v>16</v>
      </c>
      <c r="L14" s="157">
        <v>1952978</v>
      </c>
    </row>
    <row r="15" spans="1:12" ht="71.400000000000006" x14ac:dyDescent="0.3">
      <c r="A15" s="151" t="s">
        <v>155</v>
      </c>
      <c r="B15" s="152" t="s">
        <v>292</v>
      </c>
      <c r="C15" s="152" t="s">
        <v>218</v>
      </c>
      <c r="D15" s="152" t="s">
        <v>212</v>
      </c>
      <c r="E15" s="153" t="s">
        <v>33</v>
      </c>
      <c r="F15" s="158" t="s">
        <v>23</v>
      </c>
      <c r="G15" s="158"/>
      <c r="H15" s="153" t="s">
        <v>21</v>
      </c>
      <c r="I15" s="159">
        <v>19781.830000000002</v>
      </c>
      <c r="J15" s="159"/>
      <c r="K15" s="156" t="s">
        <v>16</v>
      </c>
      <c r="L15" s="157">
        <v>1933196.17</v>
      </c>
    </row>
    <row r="16" spans="1:12" ht="81.599999999999994" x14ac:dyDescent="0.3">
      <c r="A16" s="151" t="s">
        <v>155</v>
      </c>
      <c r="B16" s="152" t="s">
        <v>292</v>
      </c>
      <c r="C16" s="152" t="s">
        <v>218</v>
      </c>
      <c r="D16" s="152" t="s">
        <v>295</v>
      </c>
      <c r="E16" s="153" t="s">
        <v>33</v>
      </c>
      <c r="F16" s="158" t="s">
        <v>23</v>
      </c>
      <c r="G16" s="158"/>
      <c r="H16" s="153" t="s">
        <v>21</v>
      </c>
      <c r="I16" s="159">
        <v>14435.3</v>
      </c>
      <c r="J16" s="159"/>
      <c r="K16" s="156" t="s">
        <v>16</v>
      </c>
      <c r="L16" s="157">
        <v>1918760.87</v>
      </c>
    </row>
    <row r="17" spans="1:12" ht="81.599999999999994" x14ac:dyDescent="0.3">
      <c r="A17" s="151" t="s">
        <v>155</v>
      </c>
      <c r="B17" s="152" t="s">
        <v>292</v>
      </c>
      <c r="C17" s="152" t="s">
        <v>218</v>
      </c>
      <c r="D17" s="152" t="s">
        <v>296</v>
      </c>
      <c r="E17" s="153" t="s">
        <v>33</v>
      </c>
      <c r="F17" s="158" t="s">
        <v>23</v>
      </c>
      <c r="G17" s="158"/>
      <c r="H17" s="153" t="s">
        <v>21</v>
      </c>
      <c r="I17" s="159">
        <v>109009.4</v>
      </c>
      <c r="J17" s="159"/>
      <c r="K17" s="156" t="s">
        <v>16</v>
      </c>
      <c r="L17" s="157">
        <v>1809751.47</v>
      </c>
    </row>
    <row r="18" spans="1:12" ht="81.599999999999994" x14ac:dyDescent="0.3">
      <c r="A18" s="151" t="s">
        <v>155</v>
      </c>
      <c r="B18" s="152" t="s">
        <v>292</v>
      </c>
      <c r="C18" s="152" t="s">
        <v>218</v>
      </c>
      <c r="D18" s="152" t="s">
        <v>288</v>
      </c>
      <c r="E18" s="153" t="s">
        <v>33</v>
      </c>
      <c r="F18" s="158" t="s">
        <v>23</v>
      </c>
      <c r="G18" s="158"/>
      <c r="H18" s="153" t="s">
        <v>21</v>
      </c>
      <c r="I18" s="159">
        <v>41357.72</v>
      </c>
      <c r="J18" s="159"/>
      <c r="K18" s="156" t="s">
        <v>16</v>
      </c>
      <c r="L18" s="157">
        <v>1768393.75</v>
      </c>
    </row>
    <row r="19" spans="1:12" ht="81.599999999999994" x14ac:dyDescent="0.3">
      <c r="A19" s="151" t="s">
        <v>155</v>
      </c>
      <c r="B19" s="152" t="s">
        <v>292</v>
      </c>
      <c r="C19" s="152" t="s">
        <v>218</v>
      </c>
      <c r="D19" s="152" t="s">
        <v>297</v>
      </c>
      <c r="E19" s="153" t="s">
        <v>33</v>
      </c>
      <c r="F19" s="158" t="s">
        <v>23</v>
      </c>
      <c r="G19" s="158"/>
      <c r="H19" s="153" t="s">
        <v>21</v>
      </c>
      <c r="I19" s="159">
        <v>9944.36</v>
      </c>
      <c r="J19" s="159"/>
      <c r="K19" s="156" t="s">
        <v>16</v>
      </c>
      <c r="L19" s="157">
        <v>1758449.39</v>
      </c>
    </row>
    <row r="20" spans="1:12" ht="71.400000000000006" x14ac:dyDescent="0.3">
      <c r="A20" s="151" t="s">
        <v>155</v>
      </c>
      <c r="B20" s="152" t="s">
        <v>292</v>
      </c>
      <c r="C20" s="152" t="s">
        <v>218</v>
      </c>
      <c r="D20" s="152" t="s">
        <v>287</v>
      </c>
      <c r="E20" s="153" t="s">
        <v>33</v>
      </c>
      <c r="F20" s="158" t="s">
        <v>23</v>
      </c>
      <c r="G20" s="158"/>
      <c r="H20" s="153" t="s">
        <v>21</v>
      </c>
      <c r="I20" s="159">
        <v>224606.69</v>
      </c>
      <c r="J20" s="159"/>
      <c r="K20" s="156" t="s">
        <v>16</v>
      </c>
      <c r="L20" s="157">
        <v>1533842.7</v>
      </c>
    </row>
    <row r="21" spans="1:12" ht="71.400000000000006" x14ac:dyDescent="0.3">
      <c r="A21" s="151" t="s">
        <v>155</v>
      </c>
      <c r="B21" s="152" t="s">
        <v>292</v>
      </c>
      <c r="C21" s="152" t="s">
        <v>218</v>
      </c>
      <c r="D21" s="152" t="s">
        <v>289</v>
      </c>
      <c r="E21" s="153" t="s">
        <v>33</v>
      </c>
      <c r="F21" s="158" t="s">
        <v>23</v>
      </c>
      <c r="G21" s="158"/>
      <c r="H21" s="153" t="s">
        <v>21</v>
      </c>
      <c r="I21" s="159">
        <v>38210.230000000003</v>
      </c>
      <c r="J21" s="159"/>
      <c r="K21" s="156" t="s">
        <v>16</v>
      </c>
      <c r="L21" s="157">
        <v>1495632.47</v>
      </c>
    </row>
    <row r="22" spans="1:12" hidden="1" x14ac:dyDescent="0.3">
      <c r="A22" s="161" t="s">
        <v>167</v>
      </c>
      <c r="B22" s="161"/>
      <c r="C22" s="161"/>
      <c r="D22" s="161"/>
      <c r="E22" s="162">
        <v>1243.45</v>
      </c>
      <c r="F22" s="162"/>
      <c r="G22" s="162"/>
      <c r="H22" s="162">
        <v>612728.43000000005</v>
      </c>
      <c r="I22" s="162"/>
      <c r="J22" s="162"/>
      <c r="K22" s="163" t="s">
        <v>16</v>
      </c>
      <c r="L22" s="164">
        <v>1495632.47</v>
      </c>
    </row>
    <row r="24" spans="1:12" x14ac:dyDescent="0.3">
      <c r="J24" s="193">
        <f>SUBTOTAL(9,I5:J21)</f>
        <v>612728.42999999993</v>
      </c>
    </row>
  </sheetData>
  <autoFilter ref="A1:L22" xr:uid="{92887816-6C82-4BF6-B3E5-E2AC7E482008}">
    <filterColumn colId="1">
      <filters>
        <filter val="Вимога-накладна ІБ00-000419 від 28.05.2025 18:19:19_x000a_Списаны ТМЦ"/>
        <filter val="Вимога-накладна ІБ00-000420 від 28.05.2025 18:19:2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0">
    <mergeCell ref="A22:D22"/>
    <mergeCell ref="E22:G22"/>
    <mergeCell ref="H22:J22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9AD6-BEC4-4124-9BE7-F333160049B6}">
  <sheetPr filterMode="1"/>
  <dimension ref="A1:L18"/>
  <sheetViews>
    <sheetView workbookViewId="0">
      <selection activeCell="J18" sqref="J18"/>
    </sheetView>
  </sheetViews>
  <sheetFormatPr defaultRowHeight="14.4" x14ac:dyDescent="0.3"/>
  <cols>
    <col min="2" max="4" width="24.33203125" customWidth="1"/>
  </cols>
  <sheetData>
    <row r="1" spans="1:12" x14ac:dyDescent="0.3">
      <c r="A1" s="165" t="s">
        <v>8</v>
      </c>
      <c r="B1" s="166" t="s">
        <v>9</v>
      </c>
      <c r="C1" s="166" t="s">
        <v>10</v>
      </c>
      <c r="D1" s="167" t="s">
        <v>11</v>
      </c>
      <c r="E1" s="168" t="s">
        <v>12</v>
      </c>
      <c r="F1" s="168"/>
      <c r="G1" s="168"/>
      <c r="H1" s="169" t="s">
        <v>13</v>
      </c>
      <c r="I1" s="169"/>
      <c r="J1" s="169"/>
      <c r="K1" s="166" t="s">
        <v>14</v>
      </c>
      <c r="L1" s="166"/>
    </row>
    <row r="2" spans="1:12" hidden="1" x14ac:dyDescent="0.3">
      <c r="A2" s="170"/>
      <c r="B2" s="171"/>
      <c r="C2" s="171"/>
      <c r="D2" s="172"/>
      <c r="E2" s="173" t="s">
        <v>15</v>
      </c>
      <c r="F2" s="174"/>
      <c r="G2" s="174"/>
      <c r="H2" s="175" t="s">
        <v>15</v>
      </c>
      <c r="I2" s="176"/>
      <c r="J2" s="176"/>
      <c r="K2" s="170"/>
      <c r="L2" s="177"/>
    </row>
    <row r="3" spans="1:12" ht="81.599999999999994" x14ac:dyDescent="0.3">
      <c r="A3" s="178" t="s">
        <v>17</v>
      </c>
      <c r="B3" s="179" t="s">
        <v>298</v>
      </c>
      <c r="C3" s="179" t="s">
        <v>218</v>
      </c>
      <c r="D3" s="179" t="s">
        <v>299</v>
      </c>
      <c r="E3" s="180" t="s">
        <v>33</v>
      </c>
      <c r="F3" s="181" t="s">
        <v>23</v>
      </c>
      <c r="G3" s="181"/>
      <c r="H3" s="180" t="s">
        <v>21</v>
      </c>
      <c r="I3" s="182">
        <v>3007.18</v>
      </c>
      <c r="J3" s="182"/>
      <c r="K3" s="183" t="s">
        <v>16</v>
      </c>
      <c r="L3" s="184">
        <v>428926.23</v>
      </c>
    </row>
    <row r="4" spans="1:12" ht="81.599999999999994" x14ac:dyDescent="0.3">
      <c r="A4" s="178" t="s">
        <v>17</v>
      </c>
      <c r="B4" s="179" t="s">
        <v>298</v>
      </c>
      <c r="C4" s="179" t="s">
        <v>218</v>
      </c>
      <c r="D4" s="179" t="s">
        <v>300</v>
      </c>
      <c r="E4" s="180" t="s">
        <v>33</v>
      </c>
      <c r="F4" s="181" t="s">
        <v>23</v>
      </c>
      <c r="G4" s="181"/>
      <c r="H4" s="180" t="s">
        <v>21</v>
      </c>
      <c r="I4" s="182">
        <v>26887.65</v>
      </c>
      <c r="J4" s="182"/>
      <c r="K4" s="183" t="s">
        <v>16</v>
      </c>
      <c r="L4" s="184">
        <v>402038.58</v>
      </c>
    </row>
    <row r="5" spans="1:12" ht="81.599999999999994" hidden="1" x14ac:dyDescent="0.3">
      <c r="A5" s="178" t="s">
        <v>17</v>
      </c>
      <c r="B5" s="179" t="s">
        <v>168</v>
      </c>
      <c r="C5" s="179" t="s">
        <v>169</v>
      </c>
      <c r="D5" s="179" t="s">
        <v>170</v>
      </c>
      <c r="E5" s="180" t="s">
        <v>21</v>
      </c>
      <c r="F5" s="185">
        <v>9741.89</v>
      </c>
      <c r="G5" s="185"/>
      <c r="H5" s="180" t="s">
        <v>21</v>
      </c>
      <c r="I5" s="186" t="s">
        <v>23</v>
      </c>
      <c r="J5" s="186"/>
      <c r="K5" s="183" t="s">
        <v>16</v>
      </c>
      <c r="L5" s="184">
        <v>411780.47</v>
      </c>
    </row>
    <row r="6" spans="1:12" ht="71.400000000000006" hidden="1" x14ac:dyDescent="0.3">
      <c r="A6" s="178" t="s">
        <v>17</v>
      </c>
      <c r="B6" s="179" t="s">
        <v>168</v>
      </c>
      <c r="C6" s="179" t="s">
        <v>171</v>
      </c>
      <c r="D6" s="179" t="s">
        <v>172</v>
      </c>
      <c r="E6" s="180" t="s">
        <v>21</v>
      </c>
      <c r="F6" s="185">
        <v>35677.230000000003</v>
      </c>
      <c r="G6" s="185"/>
      <c r="H6" s="180" t="s">
        <v>21</v>
      </c>
      <c r="I6" s="186" t="s">
        <v>23</v>
      </c>
      <c r="J6" s="186"/>
      <c r="K6" s="183" t="s">
        <v>16</v>
      </c>
      <c r="L6" s="184">
        <v>447457.7</v>
      </c>
    </row>
    <row r="7" spans="1:12" ht="81.599999999999994" hidden="1" x14ac:dyDescent="0.3">
      <c r="A7" s="178" t="s">
        <v>17</v>
      </c>
      <c r="B7" s="179" t="s">
        <v>168</v>
      </c>
      <c r="C7" s="179" t="s">
        <v>173</v>
      </c>
      <c r="D7" s="179" t="s">
        <v>174</v>
      </c>
      <c r="E7" s="180" t="s">
        <v>21</v>
      </c>
      <c r="F7" s="187">
        <v>63.74</v>
      </c>
      <c r="G7" s="187"/>
      <c r="H7" s="180" t="s">
        <v>21</v>
      </c>
      <c r="I7" s="186" t="s">
        <v>23</v>
      </c>
      <c r="J7" s="186"/>
      <c r="K7" s="183" t="s">
        <v>16</v>
      </c>
      <c r="L7" s="184">
        <v>447521.44</v>
      </c>
    </row>
    <row r="8" spans="1:12" ht="71.400000000000006" hidden="1" x14ac:dyDescent="0.3">
      <c r="A8" s="178" t="s">
        <v>17</v>
      </c>
      <c r="B8" s="179" t="s">
        <v>168</v>
      </c>
      <c r="C8" s="179" t="s">
        <v>175</v>
      </c>
      <c r="D8" s="179" t="s">
        <v>176</v>
      </c>
      <c r="E8" s="180" t="s">
        <v>21</v>
      </c>
      <c r="F8" s="187">
        <v>281.27</v>
      </c>
      <c r="G8" s="187"/>
      <c r="H8" s="180" t="s">
        <v>21</v>
      </c>
      <c r="I8" s="186" t="s">
        <v>23</v>
      </c>
      <c r="J8" s="186"/>
      <c r="K8" s="183" t="s">
        <v>16</v>
      </c>
      <c r="L8" s="184">
        <v>447802.71</v>
      </c>
    </row>
    <row r="9" spans="1:12" ht="81.599999999999994" hidden="1" x14ac:dyDescent="0.3">
      <c r="A9" s="178" t="s">
        <v>17</v>
      </c>
      <c r="B9" s="179" t="s">
        <v>168</v>
      </c>
      <c r="C9" s="179" t="s">
        <v>177</v>
      </c>
      <c r="D9" s="179" t="s">
        <v>178</v>
      </c>
      <c r="E9" s="180" t="s">
        <v>21</v>
      </c>
      <c r="F9" s="187">
        <v>483.07</v>
      </c>
      <c r="G9" s="187"/>
      <c r="H9" s="180" t="s">
        <v>21</v>
      </c>
      <c r="I9" s="186" t="s">
        <v>23</v>
      </c>
      <c r="J9" s="186"/>
      <c r="K9" s="183" t="s">
        <v>16</v>
      </c>
      <c r="L9" s="184">
        <v>448285.78</v>
      </c>
    </row>
    <row r="10" spans="1:12" ht="81.599999999999994" hidden="1" x14ac:dyDescent="0.3">
      <c r="A10" s="178" t="s">
        <v>182</v>
      </c>
      <c r="B10" s="179" t="s">
        <v>246</v>
      </c>
      <c r="C10" s="179" t="s">
        <v>247</v>
      </c>
      <c r="D10" s="179" t="s">
        <v>248</v>
      </c>
      <c r="E10" s="180" t="s">
        <v>21</v>
      </c>
      <c r="F10" s="181" t="s">
        <v>23</v>
      </c>
      <c r="G10" s="181"/>
      <c r="H10" s="180" t="s">
        <v>21</v>
      </c>
      <c r="I10" s="188">
        <v>62.48</v>
      </c>
      <c r="J10" s="188"/>
      <c r="K10" s="183" t="s">
        <v>16</v>
      </c>
      <c r="L10" s="184">
        <v>448223.3</v>
      </c>
    </row>
    <row r="11" spans="1:12" ht="71.400000000000006" hidden="1" x14ac:dyDescent="0.3">
      <c r="A11" s="178" t="s">
        <v>182</v>
      </c>
      <c r="B11" s="179" t="s">
        <v>246</v>
      </c>
      <c r="C11" s="179" t="s">
        <v>249</v>
      </c>
      <c r="D11" s="179" t="s">
        <v>250</v>
      </c>
      <c r="E11" s="180" t="s">
        <v>21</v>
      </c>
      <c r="F11" s="181" t="s">
        <v>23</v>
      </c>
      <c r="G11" s="181"/>
      <c r="H11" s="180" t="s">
        <v>21</v>
      </c>
      <c r="I11" s="182">
        <v>24032.07</v>
      </c>
      <c r="J11" s="182"/>
      <c r="K11" s="183" t="s">
        <v>16</v>
      </c>
      <c r="L11" s="184">
        <v>424191.23</v>
      </c>
    </row>
    <row r="12" spans="1:12" ht="71.400000000000006" hidden="1" x14ac:dyDescent="0.3">
      <c r="A12" s="178" t="s">
        <v>182</v>
      </c>
      <c r="B12" s="179" t="s">
        <v>246</v>
      </c>
      <c r="C12" s="179" t="s">
        <v>232</v>
      </c>
      <c r="D12" s="179" t="s">
        <v>251</v>
      </c>
      <c r="E12" s="180" t="s">
        <v>21</v>
      </c>
      <c r="F12" s="181" t="s">
        <v>23</v>
      </c>
      <c r="G12" s="181"/>
      <c r="H12" s="180" t="s">
        <v>21</v>
      </c>
      <c r="I12" s="182">
        <v>11608.57</v>
      </c>
      <c r="J12" s="182"/>
      <c r="K12" s="183" t="s">
        <v>16</v>
      </c>
      <c r="L12" s="184">
        <v>412582.66</v>
      </c>
    </row>
    <row r="13" spans="1:12" ht="81.599999999999994" hidden="1" x14ac:dyDescent="0.3">
      <c r="A13" s="178" t="s">
        <v>182</v>
      </c>
      <c r="B13" s="179" t="s">
        <v>246</v>
      </c>
      <c r="C13" s="179" t="s">
        <v>252</v>
      </c>
      <c r="D13" s="179" t="s">
        <v>253</v>
      </c>
      <c r="E13" s="180" t="s">
        <v>21</v>
      </c>
      <c r="F13" s="181" t="s">
        <v>23</v>
      </c>
      <c r="G13" s="181"/>
      <c r="H13" s="180" t="s">
        <v>21</v>
      </c>
      <c r="I13" s="182">
        <v>7670.43</v>
      </c>
      <c r="J13" s="182"/>
      <c r="K13" s="183" t="s">
        <v>16</v>
      </c>
      <c r="L13" s="184">
        <v>404912.23</v>
      </c>
    </row>
    <row r="14" spans="1:12" ht="71.400000000000006" hidden="1" x14ac:dyDescent="0.3">
      <c r="A14" s="178" t="s">
        <v>182</v>
      </c>
      <c r="B14" s="179" t="s">
        <v>246</v>
      </c>
      <c r="C14" s="179" t="s">
        <v>254</v>
      </c>
      <c r="D14" s="179" t="s">
        <v>255</v>
      </c>
      <c r="E14" s="180" t="s">
        <v>21</v>
      </c>
      <c r="F14" s="181" t="s">
        <v>23</v>
      </c>
      <c r="G14" s="181"/>
      <c r="H14" s="180" t="s">
        <v>21</v>
      </c>
      <c r="I14" s="182">
        <v>1222.0899999999999</v>
      </c>
      <c r="J14" s="182"/>
      <c r="K14" s="183" t="s">
        <v>16</v>
      </c>
      <c r="L14" s="184">
        <v>403690.14</v>
      </c>
    </row>
    <row r="15" spans="1:12" ht="71.400000000000006" hidden="1" x14ac:dyDescent="0.3">
      <c r="A15" s="178" t="s">
        <v>132</v>
      </c>
      <c r="B15" s="179" t="s">
        <v>283</v>
      </c>
      <c r="C15" s="179" t="s">
        <v>284</v>
      </c>
      <c r="D15" s="179" t="s">
        <v>285</v>
      </c>
      <c r="E15" s="180" t="s">
        <v>21</v>
      </c>
      <c r="F15" s="181" t="s">
        <v>23</v>
      </c>
      <c r="G15" s="181"/>
      <c r="H15" s="180" t="s">
        <v>21</v>
      </c>
      <c r="I15" s="188">
        <v>634.78</v>
      </c>
      <c r="J15" s="188"/>
      <c r="K15" s="183" t="s">
        <v>16</v>
      </c>
      <c r="L15" s="184">
        <v>403055.35999999999</v>
      </c>
    </row>
    <row r="16" spans="1:12" hidden="1" x14ac:dyDescent="0.3">
      <c r="A16" s="189" t="s">
        <v>167</v>
      </c>
      <c r="B16" s="189"/>
      <c r="C16" s="189"/>
      <c r="D16" s="189"/>
      <c r="E16" s="190">
        <v>46247.199999999997</v>
      </c>
      <c r="F16" s="190"/>
      <c r="G16" s="190"/>
      <c r="H16" s="190">
        <v>75125.25</v>
      </c>
      <c r="I16" s="190"/>
      <c r="J16" s="190"/>
      <c r="K16" s="191" t="s">
        <v>16</v>
      </c>
      <c r="L16" s="192">
        <v>403055.35999999999</v>
      </c>
    </row>
    <row r="18" spans="10:10" x14ac:dyDescent="0.3">
      <c r="J18" s="193">
        <f>SUBTOTAL(9,I3:J4)</f>
        <v>29894.83</v>
      </c>
    </row>
  </sheetData>
  <autoFilter ref="A1:L16" xr:uid="{D95316EA-6DCD-4DB7-8C32-F771858825A8}">
    <filterColumn colId="1">
      <filters>
        <filter val="Вимога-накладна ІБ00-000275 від 01.05.2025 00:00:00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8">
    <mergeCell ref="A16:D16"/>
    <mergeCell ref="E16:G16"/>
    <mergeCell ref="H16:J16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СВОД</vt:lpstr>
      <vt:lpstr>Катеринопіль МХП</vt:lpstr>
      <vt:lpstr>Цех_Катеринопіль МХП</vt:lpstr>
      <vt:lpstr>Цех_Катеринопіль МХП(ДУ-1 Пункт</vt:lpstr>
      <vt:lpstr>Цех_Катеринопіль МХП(ДУ-4 Охоло</vt:lpstr>
      <vt:lpstr>Цех_Катеринопіль МХП(ДУ-5 Охоло</vt:lpstr>
      <vt:lpstr>Цех_Катеринопіль МХП(ДУ-6 Транс</vt:lpstr>
      <vt:lpstr>Цех_Катеринопіль МХП(олійно екс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2025-06-20T09:29:36Z</dcterms:modified>
</cp:coreProperties>
</file>
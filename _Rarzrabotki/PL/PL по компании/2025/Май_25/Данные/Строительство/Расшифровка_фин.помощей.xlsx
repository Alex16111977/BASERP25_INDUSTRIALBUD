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"/>
    </mc:Choice>
  </mc:AlternateContent>
  <xr:revisionPtr revIDLastSave="0" documentId="13_ncr:1_{F1EEF0CD-FE1D-41D3-9CFF-CFE880320FE4}" xr6:coauthVersionLast="45" xr6:coauthVersionMax="45" xr10:uidLastSave="{00000000-0000-0000-0000-000000000000}"/>
  <bookViews>
    <workbookView xWindow="-108" yWindow="-108" windowWidth="23256" windowHeight="12600" xr2:uid="{2A3F8AA4-A8E4-4767-B257-FDC84A65FE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D21" i="1"/>
  <c r="D20" i="1"/>
  <c r="D19" i="1"/>
</calcChain>
</file>

<file path=xl/sharedStrings.xml><?xml version="1.0" encoding="utf-8"?>
<sst xmlns="http://schemas.openxmlformats.org/spreadsheetml/2006/main" count="44" uniqueCount="25">
  <si>
    <t>Реєстратор</t>
  </si>
  <si>
    <t>Сумма план</t>
  </si>
  <si>
    <t>Сумма факт</t>
  </si>
  <si>
    <t>Операция бюджетирование 000000208 від 14.05.2025 12:00:01</t>
  </si>
  <si>
    <t>ИПС</t>
  </si>
  <si>
    <t>Страховка</t>
  </si>
  <si>
    <t>Операция бюджетирование 000000200 від 16.05.2025 12:00:00</t>
  </si>
  <si>
    <t>Подгорцы</t>
  </si>
  <si>
    <t>%%</t>
  </si>
  <si>
    <t>Операция бюджетирование 000000201 від 20.05.2025 00:00:00</t>
  </si>
  <si>
    <t>Операция бюджетирование 000000195 від 20.05.2025 12:00:00</t>
  </si>
  <si>
    <t>Оплата НДС за расстаможку</t>
  </si>
  <si>
    <t>Операция бюджетирование 000000202 від 21.05.2025 16:25:04</t>
  </si>
  <si>
    <t>Операция бюджетирование 000000203 від 22.05.2025 12:00:00</t>
  </si>
  <si>
    <t>Операция бюджетирование 000000204 від 23.05.2025 12:00:00</t>
  </si>
  <si>
    <t>Операция бюджетирование 000000215 від 27.05.2025 00:00:00</t>
  </si>
  <si>
    <t>Платежное поручение исходящее 00007865 від 27.05.2025 15:37:47</t>
  </si>
  <si>
    <t>Оплата ПФД</t>
  </si>
  <si>
    <t>Операция бюджетирование 000000205 від 27.05.2025 18:28:33</t>
  </si>
  <si>
    <t>Операция бюджетирование 000000220 від 27.05.2025 18:28:35</t>
  </si>
  <si>
    <t>Операция бюджетирование 000000199 від 29.05.2025 12:05:02</t>
  </si>
  <si>
    <t xml:space="preserve">Оплата за транспортніе , таможню, брокер </t>
  </si>
  <si>
    <t>Операция бюджетирование 000000218 від 29.05.2025 12:05:05</t>
  </si>
  <si>
    <t>Операция бюджетирование 000000207 від 30.05.2025 12:00:00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</si>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</sst>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indexed="2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1" fillId="0" borderId="2" xfId="1" applyBorder="1" applyAlignment="1">
      <alignment vertical="top" wrapText="1"/>
    </xf>
    <xf numFmtId="0" fontId="1" fillId="0" borderId="2" xfId="1" applyBorder="1" applyAlignment="1">
      <alignment horizontal="right" vertical="top"/>
    </xf>
    <xf numFmtId="4" fontId="1" fillId="0" borderId="2" xfId="1" applyNumberFormat="1" applyBorder="1" applyAlignment="1">
      <alignment horizontal="right" vertical="top"/>
    </xf>
    <xf numFmtId="0" fontId="1" fillId="3" borderId="2" xfId="1" applyFill="1" applyBorder="1" applyAlignment="1">
      <alignment vertical="top" wrapText="1"/>
    </xf>
    <xf numFmtId="0" fontId="1" fillId="3" borderId="2" xfId="1" applyFill="1" applyBorder="1" applyAlignment="1">
      <alignment horizontal="right" vertical="top"/>
    </xf>
    <xf numFmtId="4" fontId="1" fillId="3" borderId="2" xfId="1" applyNumberFormat="1" applyFill="1" applyBorder="1" applyAlignment="1">
      <alignment horizontal="right" vertical="top"/>
    </xf>
    <xf numFmtId="0" fontId="2" fillId="2" borderId="1" xfId="1" applyFont="1" applyFill="1" applyBorder="1" applyAlignment="1">
      <alignment vertical="top"/>
    </xf>
    <xf numFmtId="0" fontId="2" fillId="2" borderId="1" xfId="1" applyFont="1" applyFill="1" applyBorder="1" applyAlignment="1">
      <alignment horizontal="right" vertical="top"/>
    </xf>
    <xf numFmtId="4" fontId="2" fillId="2" borderId="1" xfId="1" applyNumberFormat="1" applyFont="1" applyFill="1" applyBorder="1" applyAlignment="1">
      <alignment horizontal="right" vertical="top"/>
    </xf>
    <xf numFmtId="4" fontId="0" fillId="0" borderId="0" xfId="0" applyNumberFormat="1"/>
  </cellXfs>
  <cellStyles count="2">
    <cellStyle name="Обычный" xfId="0" builtinId="0"/>
    <cellStyle name="Обычный_Лист2" xfId="1" xr:uid="{3F440A00-F989-4096-B5D4-C6EC39FE6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BA84-BF20-40D0-ACBD-AC6D0D30F2F8}">
  <dimension ref="B2:F21"/>
  <sheetViews>
    <sheetView tabSelected="1" workbookViewId="0">
      <selection activeCell="D19" sqref="D19:E20"/>
    </sheetView>
  </sheetViews>
  <sheetFormatPr defaultRowHeight="14.4" x14ac:dyDescent="0.3"/>
  <cols>
    <col min="1" max="1" width="3.88671875" customWidth="1"/>
    <col min="2" max="2" width="51.33203125" customWidth="1"/>
    <col min="4" max="4" width="16.77734375" customWidth="1"/>
    <col min="5" max="5" width="9.6640625" bestFit="1" customWidth="1"/>
    <col min="6" max="6" width="25.5546875" bestFit="1" customWidth="1"/>
  </cols>
  <sheetData>
    <row r="2" spans="2:6" ht="26.4" x14ac:dyDescent="0.3">
      <c r="B2" s="1" t="s">
        <v>0</v>
      </c>
      <c r="C2" s="1" t="s">
        <v>1</v>
      </c>
      <c r="D2" s="1" t="s">
        <v>2</v>
      </c>
    </row>
    <row r="3" spans="2:6" x14ac:dyDescent="0.3">
      <c r="B3" s="2" t="s">
        <v>3</v>
      </c>
      <c r="C3" s="3"/>
      <c r="D3" s="4">
        <v>-31275.05</v>
      </c>
      <c r="E3" t="s">
        <v>4</v>
      </c>
      <c r="F3" t="s">
        <v>5</v>
      </c>
    </row>
    <row r="4" spans="2:6" x14ac:dyDescent="0.3">
      <c r="B4" s="2" t="s">
        <v>6</v>
      </c>
      <c r="C4" s="3"/>
      <c r="D4" s="4">
        <v>-33640</v>
      </c>
      <c r="E4" t="s">
        <v>7</v>
      </c>
      <c r="F4" t="s">
        <v>8</v>
      </c>
    </row>
    <row r="5" spans="2:6" x14ac:dyDescent="0.3">
      <c r="B5" s="2" t="s">
        <v>9</v>
      </c>
      <c r="C5" s="3"/>
      <c r="D5" s="4">
        <v>-15596</v>
      </c>
      <c r="E5" t="s">
        <v>7</v>
      </c>
      <c r="F5" t="s">
        <v>8</v>
      </c>
    </row>
    <row r="6" spans="2:6" x14ac:dyDescent="0.3">
      <c r="B6" s="2" t="s">
        <v>10</v>
      </c>
      <c r="C6" s="3"/>
      <c r="D6" s="4">
        <v>-3924593.21</v>
      </c>
      <c r="E6" t="s">
        <v>4</v>
      </c>
      <c r="F6" t="s">
        <v>11</v>
      </c>
    </row>
    <row r="7" spans="2:6" x14ac:dyDescent="0.3">
      <c r="B7" s="2" t="s">
        <v>12</v>
      </c>
      <c r="C7" s="3"/>
      <c r="D7" s="4">
        <v>-120000</v>
      </c>
      <c r="E7" t="s">
        <v>7</v>
      </c>
      <c r="F7" t="s">
        <v>8</v>
      </c>
    </row>
    <row r="8" spans="2:6" x14ac:dyDescent="0.3">
      <c r="B8" s="2" t="s">
        <v>13</v>
      </c>
      <c r="C8" s="3"/>
      <c r="D8" s="4">
        <v>-198999</v>
      </c>
      <c r="E8" t="s">
        <v>7</v>
      </c>
      <c r="F8" t="s">
        <v>8</v>
      </c>
    </row>
    <row r="9" spans="2:6" x14ac:dyDescent="0.3">
      <c r="B9" s="2" t="s">
        <v>14</v>
      </c>
      <c r="C9" s="3"/>
      <c r="D9" s="4">
        <v>-47935</v>
      </c>
      <c r="E9" t="s">
        <v>7</v>
      </c>
      <c r="F9" t="s">
        <v>8</v>
      </c>
    </row>
    <row r="10" spans="2:6" x14ac:dyDescent="0.3">
      <c r="B10" s="5" t="s">
        <v>15</v>
      </c>
      <c r="C10" s="6"/>
      <c r="D10" s="7">
        <v>490110</v>
      </c>
    </row>
    <row r="11" spans="2:6" x14ac:dyDescent="0.3">
      <c r="B11" s="2" t="s">
        <v>16</v>
      </c>
      <c r="C11" s="3"/>
      <c r="D11" s="4">
        <v>-490110</v>
      </c>
      <c r="E11" t="s">
        <v>4</v>
      </c>
      <c r="F11" t="s">
        <v>17</v>
      </c>
    </row>
    <row r="12" spans="2:6" x14ac:dyDescent="0.3">
      <c r="B12" s="2" t="s">
        <v>18</v>
      </c>
      <c r="C12" s="3"/>
      <c r="D12" s="4">
        <v>-667616</v>
      </c>
      <c r="E12" t="s">
        <v>7</v>
      </c>
      <c r="F12" t="s">
        <v>8</v>
      </c>
    </row>
    <row r="13" spans="2:6" x14ac:dyDescent="0.3">
      <c r="B13" s="5" t="s">
        <v>19</v>
      </c>
      <c r="C13" s="6"/>
      <c r="D13" s="7">
        <v>-490110</v>
      </c>
    </row>
    <row r="14" spans="2:6" x14ac:dyDescent="0.3">
      <c r="B14" s="2" t="s">
        <v>20</v>
      </c>
      <c r="C14" s="3"/>
      <c r="D14" s="4">
        <v>-169822</v>
      </c>
      <c r="E14" t="s">
        <v>4</v>
      </c>
      <c r="F14" t="s">
        <v>21</v>
      </c>
    </row>
    <row r="15" spans="2:6" x14ac:dyDescent="0.3">
      <c r="B15" s="2" t="s">
        <v>22</v>
      </c>
      <c r="C15" s="3"/>
      <c r="D15" s="4">
        <v>-57586</v>
      </c>
      <c r="E15" t="s">
        <v>7</v>
      </c>
      <c r="F15" t="s">
        <v>8</v>
      </c>
    </row>
    <row r="16" spans="2:6" x14ac:dyDescent="0.3">
      <c r="B16" s="2" t="s">
        <v>23</v>
      </c>
      <c r="C16" s="3"/>
      <c r="D16" s="4">
        <v>-144253</v>
      </c>
      <c r="E16" t="s">
        <v>7</v>
      </c>
      <c r="F16" t="s">
        <v>8</v>
      </c>
    </row>
    <row r="17" spans="2:5" x14ac:dyDescent="0.3">
      <c r="B17" s="8" t="s">
        <v>24</v>
      </c>
      <c r="C17" s="9"/>
      <c r="D17" s="10">
        <v>-5901425.2599999998</v>
      </c>
    </row>
    <row r="18" spans="2:5" x14ac:dyDescent="0.3">
      <c r="D18" s="11">
        <f>D17-D21</f>
        <v>0</v>
      </c>
    </row>
    <row r="19" spans="2:5" x14ac:dyDescent="0.3">
      <c r="D19" s="11">
        <f>SUMIF(E3:E16,E19,D3:D16)</f>
        <v>-4615800.26</v>
      </c>
      <c r="E19" t="s">
        <v>4</v>
      </c>
    </row>
    <row r="20" spans="2:5" x14ac:dyDescent="0.3">
      <c r="D20" s="11">
        <f>SUMIF(E3:E16,E20,D3:D16)</f>
        <v>-1285625</v>
      </c>
      <c r="E20" t="s">
        <v>7</v>
      </c>
    </row>
    <row r="21" spans="2:5" x14ac:dyDescent="0.3">
      <c r="D21" s="11">
        <f>SUM(D19:D20)</f>
        <v>-5901425.2599999998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2025-06-24T05:29:41Z</dcterms:created>
  <dcterms:modified xsi:type="dcterms:W3CDTF">2025-06-24T05:42:31Z</dcterms:modified>
</cp:coreProperties>
</file>
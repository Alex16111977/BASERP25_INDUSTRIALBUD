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"/>
    </mc:Choice>
  </mc:AlternateContent>
  <xr:revisionPtr revIDLastSave="0" documentId="13_ncr:1_{429CE58A-C7C9-4046-9A28-04683841D194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Sheet1!$A$1:$I$257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2" l="1"/>
  <c r="E4" i="2"/>
  <c r="E6" i="2"/>
  <c r="E3" i="2" l="1"/>
  <c r="E8" i="2"/>
  <c r="E9" i="2"/>
  <c r="E10" i="2"/>
  <c r="B16" i="2"/>
  <c r="E11" i="2"/>
  <c r="E12" i="2"/>
</calcChain>
</file>

<file path=xl/sharedStrings.xml><?xml version="1.0" encoding="utf-8"?>
<sst xmlns="http://schemas.openxmlformats.org/spreadsheetml/2006/main" count="1815" uniqueCount="541">
  <si>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</si>
  <si>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</si>
  <si>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</si>
  <si>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</si>
  <si>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</si>
  <si>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</si>
  <si>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</si>
  <si>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</si>
  <si>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</si>
  <si>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ІБ00-000420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</si>
  <si>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</si>
  <si>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</si>
  <si>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</si>
  <si>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</si>
  <si>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</si>
  <si>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>Акт 1/1.3-КБ Цех екстракції</t>
  </si>
  <si>
    <t>ІБ00-000422</t>
  </si>
  <si>
    <t>Акт 1/1.14-КБ Котельня</t>
  </si>
  <si>
    <t>ІБ00-000423</t>
  </si>
  <si>
    <t>Акт 1/1.5-КБ (насосна,градирня)</t>
  </si>
  <si>
    <t>ІБ00-000424</t>
  </si>
  <si>
    <t>Акт 1/1.4-КБ</t>
  </si>
  <si>
    <t>ІБ00-000425</t>
  </si>
  <si>
    <t>Акт 2/1.3-КБ(Цех екстракції поз. 3 ГБ)</t>
  </si>
  <si>
    <t>ІБ00-000426</t>
  </si>
  <si>
    <t>Акт 2/1.14-КБ (Котельня)</t>
  </si>
  <si>
    <t>ІБ00-000441</t>
  </si>
  <si>
    <t>Акт 3/1.3-КБ(Цех екстракції поз. 3 ГБ)</t>
  </si>
  <si>
    <t>ІБ00-000442</t>
  </si>
  <si>
    <t>Акт 3/1.14-КБ (Котельня)</t>
  </si>
  <si>
    <t>ІБ00-000455</t>
  </si>
  <si>
    <t>Акт 4/1.3-КБ(Цех екстракції поз. 3 ГБ)</t>
  </si>
  <si>
    <t>ІБ00-000454</t>
  </si>
  <si>
    <t>Акт 4/1.14-КБ (Котельня)</t>
  </si>
  <si>
    <t>ІБ00-000457</t>
  </si>
  <si>
    <t>Акт 5/1.14-КБ (Котельня)</t>
  </si>
  <si>
    <t>ІБ00-000458</t>
  </si>
  <si>
    <t>Акт 6/1.3-КБ(Цех екстракції поз. 3 ГБ)</t>
  </si>
  <si>
    <t>ІБ00-000459</t>
  </si>
  <si>
    <t xml:space="preserve"> Акт 5/1.3-КБ(Цех екстракції поз. 3 ГБ)</t>
  </si>
  <si>
    <t>ІБ00-000490</t>
  </si>
  <si>
    <t>Акт 7/1.3-КБ(Цех екстракції поз. 3 ГБ)</t>
  </si>
  <si>
    <t>ІБ00-000493</t>
  </si>
  <si>
    <t>Аулова Маргарита</t>
  </si>
  <si>
    <t xml:space="preserve"> Акт 6/1.14-КБ (Котельня)</t>
  </si>
  <si>
    <t>ІБ00-000505</t>
  </si>
  <si>
    <t>Акт 10/1.3-КБ(Цех екстракції поз. 3 ГБ)</t>
  </si>
  <si>
    <t>ІБ00-000509</t>
  </si>
  <si>
    <t xml:space="preserve"> Акт 8/1.14-КБ (Котельня)</t>
  </si>
  <si>
    <t>ІБ00-000510</t>
  </si>
  <si>
    <t>Акт 2/1.5-КБ (насосна,градирня)</t>
  </si>
  <si>
    <t>ІБ00-000491</t>
  </si>
  <si>
    <t>Акт 8/1.3-КБ(Цех екстракції поз. 3 ГБ)</t>
  </si>
  <si>
    <t>ІБ00-000501</t>
  </si>
  <si>
    <t>Акт 9/1.3-КБ(Цех екстракції поз. 3 ГБ)</t>
  </si>
  <si>
    <t>ІБ00-000502</t>
  </si>
  <si>
    <t xml:space="preserve"> Акт 7/1.14-КБ (Котельня)</t>
  </si>
  <si>
    <t>ІБ00-000503</t>
  </si>
  <si>
    <t xml:space="preserve"> Акт 1/1.9-КБ (СПК)</t>
  </si>
  <si>
    <t>ІБ00-000504</t>
  </si>
  <si>
    <t xml:space="preserve"> Акт 2/1.9-КБ (СПК)</t>
  </si>
  <si>
    <t>ІБ00-000520</t>
  </si>
  <si>
    <t>Акт 11/1.3-КБ(Цех екстракції поз. 3 ГБ)</t>
  </si>
  <si>
    <t>ІБ00-000521</t>
  </si>
  <si>
    <t xml:space="preserve"> Акт 9/1.14-КБ (Котельня)</t>
  </si>
  <si>
    <t>ІБ00-000522</t>
  </si>
  <si>
    <t xml:space="preserve"> Акт 3/1.9-КБ (СПК)</t>
  </si>
  <si>
    <t>ІБ00-000524</t>
  </si>
  <si>
    <t>Акт 3/1.5-КБ (насосна,градирня)</t>
  </si>
  <si>
    <t>ІБ00-000537</t>
  </si>
  <si>
    <t xml:space="preserve"> Акт 1/1.14-КМ (Котельня)</t>
  </si>
  <si>
    <t>ІБ00-000541</t>
  </si>
  <si>
    <t xml:space="preserve"> Акт 4/1.9-КБ (СПК)</t>
  </si>
  <si>
    <t>ІБ00-000542</t>
  </si>
  <si>
    <t>Акт 12/1.3-КБ(Цех екстракції поз. 3 ГБ)</t>
  </si>
  <si>
    <t>ІБ00-000543</t>
  </si>
  <si>
    <t xml:space="preserve"> Акт 10/1.14-КБ (Котельня)</t>
  </si>
  <si>
    <t>ІБ00-000552</t>
  </si>
  <si>
    <t xml:space="preserve"> Акт 5/1.9-КБ (СПК)</t>
  </si>
  <si>
    <t>ІБ00-000553</t>
  </si>
  <si>
    <t>Акт 1/1.3-КМ(Цех екстракції поз. 3 ГБ)</t>
  </si>
  <si>
    <t>ІБ00-000554</t>
  </si>
  <si>
    <t>Акт 13/1.3-КБ(Цех екстракції поз. 3 ГБ)</t>
  </si>
  <si>
    <t>ІБ00-000555</t>
  </si>
  <si>
    <t xml:space="preserve"> Акт 11/1.14-КБ (Котельня)</t>
  </si>
  <si>
    <t>ІБ00-000556</t>
  </si>
  <si>
    <t xml:space="preserve"> Акт 2/1.14-КМ (Котельня)</t>
  </si>
  <si>
    <t>ІБ00-000557</t>
  </si>
  <si>
    <t>Акт 4/1.5-КБ (насосна,градирня)</t>
  </si>
  <si>
    <t>ІБ00-000576</t>
  </si>
  <si>
    <t>Акт 2/1.3-КМ(Цех екстракції поз. 3 ГБ)</t>
  </si>
  <si>
    <t>ІБ00-000577</t>
  </si>
  <si>
    <t>Акт 3/1.3-КМ(Цех екстракції поз. 3 ГБ)</t>
  </si>
  <si>
    <t>ІБ00-000578</t>
  </si>
  <si>
    <t xml:space="preserve"> Акт 3/1.14-КМ (Котельня)</t>
  </si>
  <si>
    <t>ІБ00-000581</t>
  </si>
  <si>
    <t>Акт 14/1.3-КБ(Цех екстракції поз. 3 ГБ)</t>
  </si>
  <si>
    <t>ІБ00-000584</t>
  </si>
  <si>
    <t>Акт 4/1.3-КМ(Цех екстракції поз. 3 ГБ)</t>
  </si>
  <si>
    <t>ІБ00-000580</t>
  </si>
  <si>
    <t>Акт 5/1.5-КБ (насосна,градирня)</t>
  </si>
  <si>
    <t>ІБ00-000582</t>
  </si>
  <si>
    <t xml:space="preserve"> Акт 6/1.9-КБ (СПК)</t>
  </si>
  <si>
    <t>ІБ00-000583</t>
  </si>
  <si>
    <t xml:space="preserve"> Акт 12/1.14-КБ (Котельня)</t>
  </si>
  <si>
    <t>ІБ00-000586</t>
  </si>
  <si>
    <t xml:space="preserve"> Акт 4/1.14-КМ (Котельня)</t>
  </si>
  <si>
    <t>ІБ00-000604</t>
  </si>
  <si>
    <t>Акт 7/1.3-КМ(Цех екстракції поз. 3 ГБ)</t>
  </si>
  <si>
    <t>ІБ00-000605</t>
  </si>
  <si>
    <t>Акт 8/1.3-КМ(Цех екстракції поз. 3 ГБ)</t>
  </si>
  <si>
    <t>ІБ00-000606</t>
  </si>
  <si>
    <t>Акт 9/1.3-КМ(Цех екстракції поз. 3 ГБ)</t>
  </si>
  <si>
    <t>ІБ00-000607</t>
  </si>
  <si>
    <t>Акт 10/1.3-КМ(Цех екстракції поз. 3 ГБ)</t>
  </si>
  <si>
    <t>ІБ00-000608</t>
  </si>
  <si>
    <t>Акт 11/1.3-КМ(Цех екстракції поз. 3 ГБ)</t>
  </si>
  <si>
    <t>ІБ00-000609</t>
  </si>
  <si>
    <t>Акт 12/1.3-КМ(Цех екстракції поз. 3 ГБ)</t>
  </si>
  <si>
    <t>ІБ00-000587</t>
  </si>
  <si>
    <t xml:space="preserve"> Акт 7/1.9-КБ (СПК)</t>
  </si>
  <si>
    <t>ІБ00-000588</t>
  </si>
  <si>
    <t xml:space="preserve"> Акт 13/1.14-КБ (Котельня)</t>
  </si>
  <si>
    <t>ІБ00-000589</t>
  </si>
  <si>
    <t>Акт 15/1.3-КБ(Цех екстракції поз. 3 ГБ)</t>
  </si>
  <si>
    <t>ІБ00-000590</t>
  </si>
  <si>
    <t>Акт 5/1.3-КМ(Цех екстракції поз. 3 ГБ)</t>
  </si>
  <si>
    <t>ІБ00-000591</t>
  </si>
  <si>
    <t xml:space="preserve"> (сума зменшиться) Акт 5/1.14-КМ (Котельня)</t>
  </si>
  <si>
    <t>ІБ00-000592</t>
  </si>
  <si>
    <t xml:space="preserve"> Акт 1/1.16-КБ (Пожежний резервуар)</t>
  </si>
  <si>
    <t>ІБ00-000593</t>
  </si>
  <si>
    <t xml:space="preserve"> Акт 1/1.12-КБ (Резервуарний парк)</t>
  </si>
  <si>
    <t>ІБ00-000594</t>
  </si>
  <si>
    <t xml:space="preserve"> Акт 8/1.9-КБ (СПК)</t>
  </si>
  <si>
    <t>ІБ00-000595</t>
  </si>
  <si>
    <t>Акт 2/1.4-КБ (резервуар для зберігання розчинника)</t>
  </si>
  <si>
    <t>ІБ00-000596</t>
  </si>
  <si>
    <t>Акт 6/1.5-КБ (насосна,градирня)</t>
  </si>
  <si>
    <t>ІБ00-000597</t>
  </si>
  <si>
    <t>Акт 16/1.3-КБ(Цех екстракції поз. 3 ГБ)</t>
  </si>
  <si>
    <t>ІБ00-000598</t>
  </si>
  <si>
    <t xml:space="preserve"> Акт 14/1.14-КБ (Котельня)</t>
  </si>
  <si>
    <t>ІБ00-000599</t>
  </si>
  <si>
    <t>Акт 6/1.3-КМ(Цех екстракції поз. 3 ГБ)</t>
  </si>
  <si>
    <t>ІБ00-000600</t>
  </si>
  <si>
    <t xml:space="preserve"> Акт 7/1.14-КМ (Котельня)</t>
  </si>
  <si>
    <t>ІБ00-000601</t>
  </si>
  <si>
    <t xml:space="preserve"> Акт 6/1.14-КМ (Котельня)</t>
  </si>
  <si>
    <t>ІБ00-000621</t>
  </si>
  <si>
    <t>Акт 1/1.3-ТХ(Цех екстракції поз. 3 ГБ)</t>
  </si>
  <si>
    <t>ІБ00-000011</t>
  </si>
  <si>
    <t xml:space="preserve"> Акт 1/1.25 (Демонтажні роботи)</t>
  </si>
  <si>
    <t>ІБ00-000003</t>
  </si>
  <si>
    <t xml:space="preserve"> Акт 8/1.14-КМ (Котельня)</t>
  </si>
  <si>
    <t>ІБ00-000005</t>
  </si>
  <si>
    <t>Акт 13/1.3-КМ(Цех екстракції поз. 3 ГБ)</t>
  </si>
  <si>
    <t>ІБ00-000006</t>
  </si>
  <si>
    <t>Акт 3/1.4-КБ (резервуар для зберігання розчинника)</t>
  </si>
  <si>
    <t>ІБ00-000004</t>
  </si>
  <si>
    <t xml:space="preserve"> Акт 2/1.25 (Демонтажні роботи)</t>
  </si>
  <si>
    <t>ІБ00-000013</t>
  </si>
  <si>
    <t xml:space="preserve"> Акт 9/1.14-КМ (Котельня)</t>
  </si>
  <si>
    <t>ІБ00-000014</t>
  </si>
  <si>
    <t>Акт 14/1.3-КМ(Цех екстракції поз. 3 ГБ)</t>
  </si>
  <si>
    <t>ІБ00-000016</t>
  </si>
  <si>
    <t xml:space="preserve"> Акт 9/1.9-КБ (СПК)</t>
  </si>
  <si>
    <t>ІБ00-000017</t>
  </si>
  <si>
    <t>Акт 15/1.3-КМ(Цех екстракції поз. 3 ГБ)</t>
  </si>
  <si>
    <t>ІБ00-000018</t>
  </si>
  <si>
    <t>Акт 16/1.3-КМ(Цех екстракції поз. 3 ГБ)</t>
  </si>
  <si>
    <t>ІБ00-000015</t>
  </si>
  <si>
    <t xml:space="preserve"> Акт 2/1.12-КБ (Резервуарний парк)</t>
  </si>
  <si>
    <t>ІБ00-000019</t>
  </si>
  <si>
    <t xml:space="preserve"> Акт 10/1.9-КБ (СПК)</t>
  </si>
  <si>
    <t>ІБ00-000020</t>
  </si>
  <si>
    <t xml:space="preserve"> Акт 3/1.12-КБ (Резервуарний парк)</t>
  </si>
  <si>
    <t>ІБ00-000021</t>
  </si>
  <si>
    <t>Акт 7/1.5-КБ (насосна,градирня)</t>
  </si>
  <si>
    <t>ІБ00-000022</t>
  </si>
  <si>
    <t xml:space="preserve"> Акт 10/1.14-КМ (Котельня)</t>
  </si>
  <si>
    <t>ІБ00-000023</t>
  </si>
  <si>
    <t xml:space="preserve"> Акт 15/1.14-КБ (Котельня)</t>
  </si>
  <si>
    <t>ІБ00-000024</t>
  </si>
  <si>
    <t>Акт 17/1.3-КМ(Цех екстракції поз. 3 ГБ)</t>
  </si>
  <si>
    <t>ІБ00-000025</t>
  </si>
  <si>
    <t>Акт 18/1.3-КМ(Цех екстракції поз. 3 ГБ)</t>
  </si>
  <si>
    <t>ІБ00-000026</t>
  </si>
  <si>
    <t>Акт 17/1.3-КБ(Цех екстракції поз. 3 ГБ)</t>
  </si>
  <si>
    <t>ІБ00-000027</t>
  </si>
  <si>
    <t>Акт 21/1.3-КМ(Цех екстракції поз. 3 ГБ)</t>
  </si>
  <si>
    <t>ІБ00-000028</t>
  </si>
  <si>
    <t>Акт 20/1.3-КМ(Цех екстракції поз. 3 ГБ)</t>
  </si>
  <si>
    <t>ІБ00-000029</t>
  </si>
  <si>
    <t>Акт 19/1.3-КМ(Цех екстракції поз. 3 ГБ)</t>
  </si>
  <si>
    <t>ІБ00-000039</t>
  </si>
  <si>
    <t>Акт 22/1.3-КМ(Цех екстракції поз. 3 ГБ)</t>
  </si>
  <si>
    <t>ІБ00-000041</t>
  </si>
  <si>
    <t xml:space="preserve"> Акт 16/1.14-КБ (Котельня)</t>
  </si>
  <si>
    <t>ІБ00-000042</t>
  </si>
  <si>
    <t xml:space="preserve"> Акт 11/1.14-КМ (Котельня)</t>
  </si>
  <si>
    <t>ІБ00-000043</t>
  </si>
  <si>
    <t>Акт 18/1.3-КБ(Цех екстракції поз. 3 ГБ)</t>
  </si>
  <si>
    <t>ІБ00-000044</t>
  </si>
  <si>
    <t>Акт 23/1.3-КМ(Цех екстракції поз. 3 ГБ)</t>
  </si>
  <si>
    <t>ІБ00-000045</t>
  </si>
  <si>
    <t>Акт 1/1.5-КМ (насосна,градирня)</t>
  </si>
  <si>
    <t>ІБ00-000046</t>
  </si>
  <si>
    <t>Акт 4/1.4-КБ (резервуар для зберігання розчинника)</t>
  </si>
  <si>
    <t>ІБ00-000047</t>
  </si>
  <si>
    <t xml:space="preserve"> Акт 4/1.12-КБ (Резервуарний парк)</t>
  </si>
  <si>
    <t>ІБ00-000048</t>
  </si>
  <si>
    <t xml:space="preserve"> Акт 11/1.9-КБ (СПК)</t>
  </si>
  <si>
    <t>ІБ00-000049</t>
  </si>
  <si>
    <t>Акт 5/1.4-КБ (резервуар для зберігання розчинника)</t>
  </si>
  <si>
    <t>ІБ00-000050</t>
  </si>
  <si>
    <t>Акт 19/1.3-КБ(Цех екстракції поз. 3 ГБ)</t>
  </si>
  <si>
    <t>ІБ00-000051</t>
  </si>
  <si>
    <t xml:space="preserve"> Акт 12/1.9-КБ (СПК)</t>
  </si>
  <si>
    <t>ІБ00-000052</t>
  </si>
  <si>
    <t>Акт 24/1.3-КМ(Цех екстракції поз. 3 ГБ)</t>
  </si>
  <si>
    <t>ІБ00-000053</t>
  </si>
  <si>
    <t>Акт 25/1.3-КМ(Цех екстракції поз. 3 ГБ)</t>
  </si>
  <si>
    <t>ІБ00-000056</t>
  </si>
  <si>
    <t xml:space="preserve"> Акт 12/1.14-КМ (Котельня)</t>
  </si>
  <si>
    <t>ІБ00-000054</t>
  </si>
  <si>
    <t>Акт 2/1.5-КМ (насосна,градирня)</t>
  </si>
  <si>
    <t>ІБ00-000058</t>
  </si>
  <si>
    <t>Акт 20/1.3-КБ(Цех екстракції поз. 3 ГБ)</t>
  </si>
  <si>
    <t>ІБ00-000059</t>
  </si>
  <si>
    <t xml:space="preserve"> Акт 13/1.9-КБ (СПК)</t>
  </si>
  <si>
    <t>ІБ00-000060</t>
  </si>
  <si>
    <t>Акт 6/1.4-КБ (резервуар для зберігання розчинника)</t>
  </si>
  <si>
    <t>ІБ00-000061</t>
  </si>
  <si>
    <t xml:space="preserve"> Акт 13/1.14-КМ (Котельня)</t>
  </si>
  <si>
    <t>ІБ00-000062</t>
  </si>
  <si>
    <t xml:space="preserve"> Акт 6/1.12-КБ (Резервуарний парк)</t>
  </si>
  <si>
    <t>ІБ00-000063</t>
  </si>
  <si>
    <t>Акт 26/1.3-КМ(Цех екстракції поз. 3 ГБ)</t>
  </si>
  <si>
    <t>ІБ00-000055</t>
  </si>
  <si>
    <t xml:space="preserve"> Акт 17/1.14-КБ (Котельня) мшп 5828,44</t>
  </si>
  <si>
    <t>ІБ00-000057</t>
  </si>
  <si>
    <t xml:space="preserve"> Акт 5/1.12-КБ (Резервуарний парк) мшп 2691,31</t>
  </si>
  <si>
    <t>ІБ00-000073</t>
  </si>
  <si>
    <t>Акт 27/1.3-КМ(Цех екстракції поз. 3 ГБ) МШП 10724,58</t>
  </si>
  <si>
    <t>ІБ00-000074</t>
  </si>
  <si>
    <t>Акт 28/1.3-КМ(Цех екстракції поз. 3 ГБ)</t>
  </si>
  <si>
    <t>ІБ00-000075</t>
  </si>
  <si>
    <t>Акт 29/1.3-КМ(Цех екстракції поз. 3 ГБ)</t>
  </si>
  <si>
    <t>ІБ00-000076</t>
  </si>
  <si>
    <t>Акт 30/1.3-КМ(Цех екстракції поз. 3 ГБ)</t>
  </si>
  <si>
    <t>ІБ00-000077</t>
  </si>
  <si>
    <t>Акт 31/1.3-КМ(Цех екстракції поз. 3 ГБ)</t>
  </si>
  <si>
    <t>ІБ00-000079</t>
  </si>
  <si>
    <t xml:space="preserve"> Акт 3/1.25 (Демонтажні роботи)</t>
  </si>
  <si>
    <t>ІБ00-000080</t>
  </si>
  <si>
    <t xml:space="preserve"> Акт 14/1.9-КБ (СПК) мшп 2247,26</t>
  </si>
  <si>
    <t>ІБ00-000081</t>
  </si>
  <si>
    <t>Акт 21/1.3-КБ(Цех екстракції поз. 3 ГБ)</t>
  </si>
  <si>
    <t>ІБ00-000082</t>
  </si>
  <si>
    <t xml:space="preserve"> Акт 7/1.12-КБ (Резервуарний парк) мшп 8463,77</t>
  </si>
  <si>
    <t>ІБ00-000083</t>
  </si>
  <si>
    <t xml:space="preserve"> Акт 18/1.14-КБ (Котельня)</t>
  </si>
  <si>
    <t>ІБ00-000084</t>
  </si>
  <si>
    <t xml:space="preserve"> Акт 14/1.14-КМ (Котельня) мшп 24 407,14</t>
  </si>
  <si>
    <t>ІБ00-000078</t>
  </si>
  <si>
    <t xml:space="preserve"> Акт 4/1.25 (Демонтажні роботи)</t>
  </si>
  <si>
    <t>ІБ00-000093</t>
  </si>
  <si>
    <t xml:space="preserve"> Акт 15/1.14-КМ (Котельня)</t>
  </si>
  <si>
    <t>ІБ00-000094</t>
  </si>
  <si>
    <t>Акт 22/1.3-КБ(Цех екстракції поз. 3 ГБ) МШП 1996,32</t>
  </si>
  <si>
    <t>ІБ00-000095</t>
  </si>
  <si>
    <t>Акт 32/1.3-КМ(Цех екстракції поз. 3 ГБ) МШП 10648 (монтаж м/к)</t>
  </si>
  <si>
    <t>ІБ00-000096</t>
  </si>
  <si>
    <t>Акт 3/1.5-КМ (насосна,градирня)</t>
  </si>
  <si>
    <t>ІБ00-000097</t>
  </si>
  <si>
    <t>Акт 4/1.5-КМ (насосна,градирня) МШП 1025,97</t>
  </si>
  <si>
    <t>ІБ00-000098</t>
  </si>
  <si>
    <t xml:space="preserve"> Акт 8/1.12-КБ (Резервуарний парк) МШП 7431,80</t>
  </si>
  <si>
    <t>ІБ00-000099</t>
  </si>
  <si>
    <t xml:space="preserve"> Акт 1/1.9-ЗБ</t>
  </si>
  <si>
    <t>ІБ00-000101</t>
  </si>
  <si>
    <t xml:space="preserve"> Акт 5/1.25 (Демонтажні роботи) роботи підрядника мшп 2955,00</t>
  </si>
  <si>
    <t>ІБ00-000102</t>
  </si>
  <si>
    <t xml:space="preserve"> Акт 1/1.26_Б мшп 1477,50</t>
  </si>
  <si>
    <t>ІБ00-000103</t>
  </si>
  <si>
    <t xml:space="preserve"> Акт 2/1.9-ЗБ роботи підрядника</t>
  </si>
  <si>
    <t>ІБ00-000104</t>
  </si>
  <si>
    <t>Акт 5/1.5-КМ (насосна,градирня) МШП 2749,90</t>
  </si>
  <si>
    <t>ІБ00-000105</t>
  </si>
  <si>
    <t>Акт 6/1.5-КМ (насосна,градирня) закрывался только материал. Работы не выполнялись</t>
  </si>
  <si>
    <t>ІБ00-000106</t>
  </si>
  <si>
    <t xml:space="preserve"> Акт 9/1.12-КБ (Резервуарний парк) МШП 2680,41</t>
  </si>
  <si>
    <t>ІБ00-000107</t>
  </si>
  <si>
    <t xml:space="preserve"> Акт 16/1.14-КМ (Котельня) МШП 14688,09</t>
  </si>
  <si>
    <t>ІБ00-000108</t>
  </si>
  <si>
    <t>Акт 33/1.3-КМ(Цех екстракції поз. 3 ГБ) завод матеріалів,роботи не виконувалися</t>
  </si>
  <si>
    <t>ІБ00-000109</t>
  </si>
  <si>
    <t>Акт 7/1.4-КБ (резервуар для зберігання розчинника) МШП 1959,25</t>
  </si>
  <si>
    <t>ІБ00-000121</t>
  </si>
  <si>
    <t>Акт 35/1.3-КМ(Цех екстракції поз. 3 ГБ)</t>
  </si>
  <si>
    <t>ІБ00-000111</t>
  </si>
  <si>
    <t xml:space="preserve"> Акт 3/1.9-ЗБ підрядні роботи</t>
  </si>
  <si>
    <t>ІБ00-000112</t>
  </si>
  <si>
    <t xml:space="preserve"> Акт 15/1.9-КБ (СПК)</t>
  </si>
  <si>
    <t>ІБ00-000113</t>
  </si>
  <si>
    <t>Акт 8/1.4-КБ (резервуар для зберігання розчинника) мшп 3167,28</t>
  </si>
  <si>
    <t>ІБ00-000114</t>
  </si>
  <si>
    <t>Акт 34/1.3-КМ(Цех екстракції поз. 3 ГБ) монтаж конструкцій без списання</t>
  </si>
  <si>
    <t>ІБ00-000115</t>
  </si>
  <si>
    <t>Акт 23/1.3-КБ(Цех екстракції поз. 3 ГБ) мшп 2259,10</t>
  </si>
  <si>
    <t>ІБ00-000116</t>
  </si>
  <si>
    <t xml:space="preserve"> Акт 19/1.14-КБ (Котельня)</t>
  </si>
  <si>
    <t>ІБ00-000117</t>
  </si>
  <si>
    <t xml:space="preserve"> Акт 6/1.25 (Демонтажні роботи) мшп 750,00</t>
  </si>
  <si>
    <t>ІБ00-000118</t>
  </si>
  <si>
    <t>ГЛОБИНСЬКИЙ ПЕРЕРОБНИЙ ЗАВОД ТОВ</t>
  </si>
  <si>
    <t xml:space="preserve"> Акт 2/ГПЗ мшп 761,20</t>
  </si>
  <si>
    <t>ІБ00-000119</t>
  </si>
  <si>
    <t xml:space="preserve"> Акт 1/ГПЗ</t>
  </si>
  <si>
    <t>ІБ00-000125</t>
  </si>
  <si>
    <t xml:space="preserve"> Акт 2/1.26_Б</t>
  </si>
  <si>
    <t>ІБ00-000126</t>
  </si>
  <si>
    <t>Акт 36/1.3-КМ(Цех екстракції поз. 3 ГБ)</t>
  </si>
  <si>
    <t>ІБ00-000128</t>
  </si>
  <si>
    <t>Акт 8/1.5-КМ (насосна,градирня)</t>
  </si>
  <si>
    <t>ІБ00-000129</t>
  </si>
  <si>
    <t xml:space="preserve"> Акт 4/1.9-ЗБ</t>
  </si>
  <si>
    <t>ІБ00-000130</t>
  </si>
  <si>
    <t>Акт 24/1.3-КБ(Цех екстракції поз. 3 ГБ)</t>
  </si>
  <si>
    <t>ІБ00-000133</t>
  </si>
  <si>
    <t xml:space="preserve"> Акт 20/1.14-КБ (Котельня)</t>
  </si>
  <si>
    <t>ІБ00-000143</t>
  </si>
  <si>
    <t xml:space="preserve"> Акт 5/1.9-ЗБ</t>
  </si>
  <si>
    <t>ІБ00-000141</t>
  </si>
  <si>
    <t xml:space="preserve"> Акт 3/1.26_Б</t>
  </si>
  <si>
    <t>ІБ00-000144</t>
  </si>
  <si>
    <t xml:space="preserve">Акт 25/1.3-КБ(Цех екстракції поз. 3 ГБ) </t>
  </si>
  <si>
    <t>ІБ00-000145</t>
  </si>
  <si>
    <t>Акт 37/1.3-КМ(Цех екстракції поз. 3 ГБ)</t>
  </si>
  <si>
    <t>ІБ00-000147</t>
  </si>
  <si>
    <t xml:space="preserve"> Акт 3/ГПЗ</t>
  </si>
  <si>
    <t>ІБ00-000146</t>
  </si>
  <si>
    <t xml:space="preserve"> Акт 2/1.14-АР (Котельня)</t>
  </si>
  <si>
    <t>ІБ00-000131</t>
  </si>
  <si>
    <t xml:space="preserve"> Акт 1/1.14-АР (Котельня)</t>
  </si>
  <si>
    <t>ІБ00-000134</t>
  </si>
  <si>
    <t xml:space="preserve"> Акт 1/1.1-КБ (АПК)</t>
  </si>
  <si>
    <t>ІБ00-000135</t>
  </si>
  <si>
    <t xml:space="preserve"> Акт 1/1.10-КБ (Біг-бег)</t>
  </si>
  <si>
    <t>ІБ00-000150</t>
  </si>
  <si>
    <t>Акт 26/1.3-КБ(Цех екстракції поз. 3 ГБ)</t>
  </si>
  <si>
    <t>ІБ00-000151</t>
  </si>
  <si>
    <t>Акт 38/1.3-КМ(Цех екстракції поз. 3 ГБ)</t>
  </si>
  <si>
    <t>ІБ00-000152</t>
  </si>
  <si>
    <t xml:space="preserve"> Акт 6/1.9-ЗБ</t>
  </si>
  <si>
    <t>ІБ00-000153</t>
  </si>
  <si>
    <t xml:space="preserve"> Акт 16/1.9-КБ (СПК)</t>
  </si>
  <si>
    <t>ІБ00-000154</t>
  </si>
  <si>
    <t>Акт 9/1.4-КБ (резервуар для зберігання розчинника)</t>
  </si>
  <si>
    <t>ІБ00-000156</t>
  </si>
  <si>
    <t xml:space="preserve"> Акт 3/1.14-АР (Котельня)</t>
  </si>
  <si>
    <t>ІБ00-000157</t>
  </si>
  <si>
    <t xml:space="preserve"> Акт 2/1.10-КБ</t>
  </si>
  <si>
    <t>ІБ00-000160</t>
  </si>
  <si>
    <t>Акт 39/1.3-КМ(Цех екстракції поз. 3 ГБ)</t>
  </si>
  <si>
    <t>ІБ00-000161</t>
  </si>
  <si>
    <t>Акт 27/1.3-КБ(Цех екстракції поз. 3 ГБ)</t>
  </si>
  <si>
    <t>ІБ00-000163</t>
  </si>
  <si>
    <t xml:space="preserve"> Акт 4/1.26_Б</t>
  </si>
  <si>
    <t>ІБ00-000165</t>
  </si>
  <si>
    <t xml:space="preserve"> Акт 2/1.1-КБ (АПК)</t>
  </si>
  <si>
    <t>ІБ00-000162</t>
  </si>
  <si>
    <t xml:space="preserve"> Акт 4/1.14-АР (Котельня)</t>
  </si>
  <si>
    <t>ІБ00-000168</t>
  </si>
  <si>
    <t xml:space="preserve"> Акт 5/1.14-АР (Котельня)</t>
  </si>
  <si>
    <t>ІБ00-000169</t>
  </si>
  <si>
    <t xml:space="preserve"> Акт 4/ГПЗ</t>
  </si>
  <si>
    <t>ІБ00-000170</t>
  </si>
  <si>
    <t xml:space="preserve"> Акт 2/1.16-КБ (Пожежний резервуар)</t>
  </si>
  <si>
    <t>ІБ00-000171</t>
  </si>
  <si>
    <t xml:space="preserve"> Акт 3/1.10-КБ</t>
  </si>
  <si>
    <t>ІБ00-000172</t>
  </si>
  <si>
    <t xml:space="preserve"> Акт 21/1.14-КБ (Котельня)</t>
  </si>
  <si>
    <t>ІБ00-000173</t>
  </si>
  <si>
    <t xml:space="preserve"> Акт 5/1.26_Б</t>
  </si>
  <si>
    <t>ІБ00-000174</t>
  </si>
  <si>
    <t xml:space="preserve"> Акт 17/1.9-КБ (СПК)</t>
  </si>
  <si>
    <t>ІБ00-000175</t>
  </si>
  <si>
    <t xml:space="preserve"> Акт 7/1.9-ЗБ</t>
  </si>
  <si>
    <t>ІБ00-000176</t>
  </si>
  <si>
    <t>ІБ00-000177</t>
  </si>
  <si>
    <t>Акт 8/1.5-КБ (насосна,градирня)</t>
  </si>
  <si>
    <t>ІБ00-000178</t>
  </si>
  <si>
    <t>Акт 10/1.4-КБ (резервуар для зберігання розчинника)</t>
  </si>
  <si>
    <t>ІБ00-000179</t>
  </si>
  <si>
    <t>Акт 42/1.3-КМ(Цех екстракції поз. 3 ГБ)</t>
  </si>
  <si>
    <t>ІБ00-000180</t>
  </si>
  <si>
    <t>Акт 41/1.3-КМ(Цех екстракції поз. 3 ГБ)</t>
  </si>
  <si>
    <t>ІБ00-000181</t>
  </si>
  <si>
    <t>Акт 40/1.3-КМ(Цех екстракції поз. 3 ГБ)</t>
  </si>
  <si>
    <t>ІБ00-000182</t>
  </si>
  <si>
    <t>Акт 28/1.3-КБ(Цех екстракції поз. 3 ГБ)</t>
  </si>
  <si>
    <t>ІБ00-000183</t>
  </si>
  <si>
    <t>Акт 2/1.3-ТХ (Цех екстракції поз. 3 ГБ)</t>
  </si>
  <si>
    <t>ІБ00-000185</t>
  </si>
  <si>
    <t xml:space="preserve"> Акт 3/1.1-КБ (АПК)</t>
  </si>
  <si>
    <t>ІБ00-000186</t>
  </si>
  <si>
    <t xml:space="preserve"> Акт 17/1.14-КМ (Котельня)</t>
  </si>
  <si>
    <t>ІБ00-000164</t>
  </si>
  <si>
    <t>Акт 1/1.5-АР (насосна,градирня)</t>
  </si>
  <si>
    <t>ІБ00-000188</t>
  </si>
  <si>
    <t xml:space="preserve"> Акт 7/1.25 (Демонтажні роботи) </t>
  </si>
  <si>
    <t>ІБ00-000189</t>
  </si>
  <si>
    <t xml:space="preserve"> Акт 4/1.1-КБ (АПК)</t>
  </si>
  <si>
    <t>ІБ00-000191</t>
  </si>
  <si>
    <t xml:space="preserve"> Акт 4/1.10-КБ</t>
  </si>
  <si>
    <t>ІБ00-000192</t>
  </si>
  <si>
    <t xml:space="preserve"> Акт 18/1.9-КБ (СПК)</t>
  </si>
  <si>
    <t>ІБ00-000193</t>
  </si>
  <si>
    <t xml:space="preserve"> Акт 8/1.9-ЗБ</t>
  </si>
  <si>
    <t>ІБ00-000194</t>
  </si>
  <si>
    <t>Акт 11/1.4-КБ (резервуар для зберігання розчинника)</t>
  </si>
  <si>
    <t>ІБ00-000195</t>
  </si>
  <si>
    <t>Акт 43/1.3-КМ(Цех екстракції поз. 3 ГБ)</t>
  </si>
  <si>
    <t>ІБ00-000196</t>
  </si>
  <si>
    <t>Акт 44/1.3-КМ(Цех екстракції поз. 3 ГБ)</t>
  </si>
  <si>
    <t>ІБ00-000200</t>
  </si>
  <si>
    <t xml:space="preserve"> Акт 5/ГПЗ</t>
  </si>
  <si>
    <t>ІБ00-000184</t>
  </si>
  <si>
    <t>Акт 3/1.3-ТХ (Цех екстракції поз. 3 ГБ)</t>
  </si>
  <si>
    <t>ІБ00-000199</t>
  </si>
  <si>
    <t>Акт 3/1.16-КБ (Насосна пожежогасіння поз.7 по ГП)</t>
  </si>
  <si>
    <t>ІБ00-000205</t>
  </si>
  <si>
    <t xml:space="preserve"> Акт 6/1.26_Б</t>
  </si>
  <si>
    <t>ІБ00-000207</t>
  </si>
  <si>
    <t xml:space="preserve"> Акт 5/1.10-КБ</t>
  </si>
  <si>
    <t>ІБ00-000208</t>
  </si>
  <si>
    <t xml:space="preserve"> Акт 5/1.1-КБ (АПК)</t>
  </si>
  <si>
    <t>ІБ00-000209</t>
  </si>
  <si>
    <t>Акт 4/1.16-КБ (Насосна пожежогасіння поз.7 по ГП)</t>
  </si>
  <si>
    <t>ІБ00-000210</t>
  </si>
  <si>
    <t xml:space="preserve"> Акт 9/1.9-ЗБ</t>
  </si>
  <si>
    <t>ІБ00-000211</t>
  </si>
  <si>
    <t>Акт 12/1.4-КБ (резервуар для зберігання розчинника)</t>
  </si>
  <si>
    <t>ІБ00-000212</t>
  </si>
  <si>
    <t xml:space="preserve"> Акт 8/1.25 (Демонтажні роботи) </t>
  </si>
  <si>
    <t>ІБ00-000213</t>
  </si>
  <si>
    <t xml:space="preserve"> Акт 6/ГПЗ</t>
  </si>
  <si>
    <t>ІБ00-000227</t>
  </si>
  <si>
    <t xml:space="preserve"> Акт 7/ГПЗ</t>
  </si>
  <si>
    <t>ІБ00-000216</t>
  </si>
  <si>
    <t>Акт 13/1.4-КБ (резервуар для зберігання розчинника)</t>
  </si>
  <si>
    <t>ІБ00-000217</t>
  </si>
  <si>
    <t xml:space="preserve"> Акт 6/1.1-КБ (АПК)</t>
  </si>
  <si>
    <t>ІБ00-000218</t>
  </si>
  <si>
    <t xml:space="preserve"> Акт 7/1.26_Б</t>
  </si>
  <si>
    <t>ІБ00-000219</t>
  </si>
  <si>
    <t xml:space="preserve"> Акт 8/1.26_Б</t>
  </si>
  <si>
    <t>ІБ00-000220</t>
  </si>
  <si>
    <t>Акт 45/1.3-КМ(Цех екстракції поз. 3 ГБ)</t>
  </si>
  <si>
    <t>ІБ00-000221</t>
  </si>
  <si>
    <t>Акт 5/1.16-КБ (Насосна пожежогасіння поз.7 по ГП)</t>
  </si>
  <si>
    <t>ІБ00-000222</t>
  </si>
  <si>
    <t xml:space="preserve"> Акт 10/1.9-ЗБ</t>
  </si>
  <si>
    <t>ІБ00-000223</t>
  </si>
  <si>
    <t xml:space="preserve"> Акт 1/1.9-КМ (СПК)</t>
  </si>
  <si>
    <t>ІБ00-000224</t>
  </si>
  <si>
    <t xml:space="preserve"> Акт 10/1.12-КБ (Резервуарний парк)</t>
  </si>
  <si>
    <t>ІБ00-000226</t>
  </si>
  <si>
    <t xml:space="preserve"> Акт 9/1.25 (Демонтажні роботи) </t>
  </si>
  <si>
    <t>ІБ00-000228</t>
  </si>
  <si>
    <t>Акт 46/1.3-КМ(Цех екстракції поз. 3 ГБ)</t>
  </si>
  <si>
    <t>ІБ00-000206</t>
  </si>
  <si>
    <t>Акт 5/1.3-ТХ (Цех екстракції поз. 3 ГБ)</t>
  </si>
  <si>
    <t>ІБ00-000229</t>
  </si>
  <si>
    <t>Акт 6/1.3-ТХ (Цех екстракції поз. 3 ГБ)</t>
  </si>
  <si>
    <t>ІБ00-000230</t>
  </si>
  <si>
    <t>Акт 47/1.3-КМ(Цех екстракції поз. 3 ГБ)</t>
  </si>
  <si>
    <t>ІБ00-000231</t>
  </si>
  <si>
    <t>Акт 6/1.16-КБ (Насосна пожежогасіння поз.7 по ГП)</t>
  </si>
  <si>
    <t>ІБ00-000232</t>
  </si>
  <si>
    <t>Акт 14/1.4-КБ (резервуар для зберігання розчинника)</t>
  </si>
  <si>
    <t>ІБ00-000233</t>
  </si>
  <si>
    <t xml:space="preserve"> Акт 19/1.9-КБ (СПК)</t>
  </si>
  <si>
    <t>ІБ00-000234</t>
  </si>
  <si>
    <t xml:space="preserve"> Акт 2/1.9-КМ (СПК)</t>
  </si>
  <si>
    <t>ІБ00-000235</t>
  </si>
  <si>
    <t xml:space="preserve"> Акт 11/1.9-ЗБ</t>
  </si>
  <si>
    <t>ІБ00-000236</t>
  </si>
  <si>
    <t xml:space="preserve"> Акт 9/1.26_Б</t>
  </si>
  <si>
    <t>ІБ00-000237</t>
  </si>
  <si>
    <t xml:space="preserve"> Акт 7/1.1-КБ (АПК)</t>
  </si>
  <si>
    <t>ІБ00-000238</t>
  </si>
  <si>
    <t xml:space="preserve"> Акт 6/1.10-КБ</t>
  </si>
  <si>
    <t>ІБ00-000239</t>
  </si>
  <si>
    <t xml:space="preserve"> Акт 8/ГПЗ</t>
  </si>
  <si>
    <t>ІБ00-000251</t>
  </si>
  <si>
    <t xml:space="preserve"> Акт 7/1.10-КБ</t>
  </si>
  <si>
    <t>ІБ00-000252</t>
  </si>
  <si>
    <t xml:space="preserve"> Акт 10/1.25 (Демонтажні роботи) </t>
  </si>
  <si>
    <t>ІБ00-000253</t>
  </si>
  <si>
    <t xml:space="preserve"> Акт 10/1.26_Б</t>
  </si>
  <si>
    <t>ІБ00-000254</t>
  </si>
  <si>
    <t xml:space="preserve"> Акт 12/1.9-ЗБ</t>
  </si>
  <si>
    <t>ІБ00-000255</t>
  </si>
  <si>
    <t>Акт 15/1.4-КБ (резервуар для зберігання розчинника)</t>
  </si>
  <si>
    <t>ІБ00-000257</t>
  </si>
  <si>
    <t>Акт 7/1.3-ТХ (Цех екстракції поз. 3 ГБ)</t>
  </si>
  <si>
    <t>ІБ00-000258</t>
  </si>
  <si>
    <t>Акт 48/1.3-КМ(Цех екстракції поз. 3 ГБ)</t>
  </si>
  <si>
    <t>ІБ00-000259</t>
  </si>
  <si>
    <t xml:space="preserve"> Акт 3/1.9-КМ (СПК)</t>
  </si>
  <si>
    <t>ІБ00-000260</t>
  </si>
  <si>
    <t>Акт 7/1.16-КБ (Насосна пожежогасіння поз.7 по ГП)</t>
  </si>
  <si>
    <t>ІБ00-000261</t>
  </si>
  <si>
    <t xml:space="preserve"> Акт 9/ГПЗ</t>
  </si>
  <si>
    <t>ІБ00-000284</t>
  </si>
  <si>
    <t>Акт 4/1.3-ТХ (Цех екстракції поз. 3 ГБ)</t>
  </si>
  <si>
    <t>ІБ00-000281</t>
  </si>
  <si>
    <t>Акт 9/1.3-ТХ (Цех екстракції поз. 3 ГБ)</t>
  </si>
  <si>
    <t>ІБ00-000250</t>
  </si>
  <si>
    <t xml:space="preserve"> Акт 8/1.1-КБ (АПК)</t>
  </si>
  <si>
    <t>ІБ00-000256</t>
  </si>
  <si>
    <t>Акт 8/1.3-ТХ (Цех екстракції поз. 3 ГБ)</t>
  </si>
  <si>
    <t>ІБ00-000262</t>
  </si>
  <si>
    <t>Акт 10/1.3-ТХ (Цех екстракції поз. 3 ГБ)</t>
  </si>
  <si>
    <t>Названия строк</t>
  </si>
  <si>
    <t>Общий итог</t>
  </si>
  <si>
    <t>&lt;08.10.2024</t>
  </si>
  <si>
    <t>2024</t>
  </si>
  <si>
    <t>Жов</t>
  </si>
  <si>
    <t>Лис</t>
  </si>
  <si>
    <t>Гру</t>
  </si>
  <si>
    <t>2025</t>
  </si>
  <si>
    <t>Січ</t>
  </si>
  <si>
    <t>Лют</t>
  </si>
  <si>
    <t>Бер</t>
  </si>
  <si>
    <t>Кві</t>
  </si>
  <si>
    <t>Тра</t>
  </si>
  <si>
    <t>Сумма по полю Сума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</si>
</sst>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_₴_-;\-* #,##0.00_₴_-;_-* &quot;-&quot;??_₴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theme="3" tint="-0.49998474074526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14" fontId="4" fillId="2" borderId="1" xfId="1" applyNumberFormat="1" applyFont="1" applyFill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5" fillId="0" borderId="2" xfId="2" applyNumberFormat="1" applyFont="1" applyFill="1" applyBorder="1" applyAlignment="1">
      <alignment horizontal="center" vertical="center"/>
    </xf>
    <xf numFmtId="3" fontId="0" fillId="0" borderId="0" xfId="0" applyNumberFormat="1"/>
  </cellXfs>
  <cellStyles count="3">
    <cellStyle name="Обычный" xfId="0" builtinId="0"/>
    <cellStyle name="Обычный_Sheet1" xfId="1" xr:uid="{36B2921A-6B94-4E68-A040-F7690AA543B2}"/>
    <cellStyle name="Финансовый 2" xfId="2" xr:uid="{01C96658-1306-4BD2-831E-4D9C12DA6BAC}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.steblianko" refreshedDate="45832.621886458335" createdVersion="6" refreshedVersion="6" minRefreshableVersion="3" recordCount="258" xr:uid="{0D2A95FE-A23E-46E6-B9A0-F7B936F1E70E}">
  <cacheSource type="worksheet">
    <worksheetSource ref="A1:I1048576" sheet="Sheet1"/>
  </cacheSource>
  <cacheFields count="11">
    <cacheField name="Дата" numFmtId="0">
      <sharedItems containsNonDate="0" containsDate="1" containsString="0" containsBlank="1" minDate="2024-10-08T00:00:00" maxDate="2025-05-30T00:00:00" count="44">
        <d v="2024-10-08T00:00:00"/>
        <d v="2024-10-24T00:00:00"/>
        <d v="2024-10-28T00:00:00"/>
        <d v="2024-11-04T00:00:00"/>
        <d v="2024-11-12T00:00:00"/>
        <d v="2024-11-14T00:00:00"/>
        <d v="2024-11-15T00:00:00"/>
        <d v="2024-11-28T00:00:00"/>
        <d v="2024-12-04T00:00:00"/>
        <d v="2024-12-12T00:00:00"/>
        <d v="2024-12-16T00:00:00"/>
        <d v="2024-12-18T00:00:00"/>
        <d v="2024-12-23T00:00:00"/>
        <d v="2024-12-26T00:00:00"/>
        <d v="2025-01-14T00:00:00"/>
        <d v="2025-01-15T00:00:00"/>
        <d v="2025-01-22T00:00:00"/>
        <d v="2025-01-30T00:00:00"/>
        <d v="2025-02-05T00:00:00"/>
        <d v="2025-02-12T00:00:00"/>
        <d v="2025-02-19T00:00:00"/>
        <d v="2025-02-24T00:00:00"/>
        <d v="2025-03-05T00:00:00"/>
        <d v="2025-03-12T00:00:00"/>
        <d v="2025-03-19T00:00:00"/>
        <d v="2025-03-25T00:00:00"/>
        <d v="2025-03-26T00:00:00"/>
        <d v="2025-04-01T00:00:00"/>
        <d v="2025-04-03T00:00:00"/>
        <d v="2025-04-08T00:00:00"/>
        <d v="2025-04-10T00:00:00"/>
        <d v="2025-04-16T00:00:00"/>
        <d v="2025-04-22T00:00:00"/>
        <d v="2025-04-23T00:00:00"/>
        <d v="2025-04-29T00:00:00"/>
        <d v="2025-05-09T00:00:00"/>
        <d v="2025-05-12T00:00:00"/>
        <d v="2025-05-13T00:00:00"/>
        <d v="2025-05-14T00:00:00"/>
        <d v="2025-05-21T00:00:00"/>
        <d v="2025-05-26T00:00:00"/>
        <d v="2025-05-28T00:00:00"/>
        <d v="2025-05-29T00:00:00"/>
        <m/>
      </sharedItems>
      <fieldGroup par="10" base="0">
        <rangePr groupBy="months" startDate="2024-10-08T00:00:00" endDate="2025-05-30T00:00:00"/>
        <groupItems count="14">
          <s v="(пусто)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30.05.2025"/>
        </groupItems>
      </fieldGroup>
    </cacheField>
    <cacheField name="Номер" numFmtId="0">
      <sharedItems containsBlank="1"/>
    </cacheField>
    <cacheField name="Контрагент" numFmtId="0">
      <sharedItems containsBlank="1"/>
    </cacheField>
    <cacheField name="Сума" numFmtId="0">
      <sharedItems containsString="0" containsBlank="1" containsNumber="1" minValue="6800.99" maxValue="13836489.1"/>
    </cacheField>
    <cacheField name="Валюта" numFmtId="0">
      <sharedItems containsBlank="1"/>
    </cacheField>
    <cacheField name="Підрозділ" numFmtId="0">
      <sharedItems containsBlank="1"/>
    </cacheField>
    <cacheField name="Організація" numFmtId="0">
      <sharedItems containsBlank="1"/>
    </cacheField>
    <cacheField name="Відповідальний" numFmtId="0">
      <sharedItems containsBlank="1"/>
    </cacheField>
    <cacheField name="Коментар" numFmtId="0">
      <sharedItems containsBlank="1"/>
    </cacheField>
    <cacheField name="Кварталы" numFmtId="0" databaseField="0">
      <fieldGroup base="0">
        <rangePr groupBy="quarters" startDate="2024-10-08T00:00:00" endDate="2025-05-30T00:00:00"/>
        <groupItems count="6">
          <s v="&lt;08.10.2024"/>
          <s v="Кв-л1"/>
          <s v="Кв-л2"/>
          <s v="Кв-л3"/>
          <s v="Кв-л4"/>
          <s v="&gt;30.05.2025"/>
        </groupItems>
      </fieldGroup>
    </cacheField>
    <cacheField name="Годы" numFmtId="0" databaseField="0">
      <fieldGroup base="0">
        <rangePr groupBy="years" startDate="2024-10-08T00:00:00" endDate="2025-05-30T00:00:00"/>
        <groupItems count="4">
          <s v="&lt;08.10.2024"/>
          <s v="2024"/>
          <s v="2025"/>
          <s v="&gt;30.05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x v="0"/>
    <s v="ІБ00-000420"/>
    <s v="АСТАРТА АГРО ПРОТЕЇН ТОВ"/>
    <n v="2150496"/>
    <s v="грн"/>
    <s v="Виробничий (Глобине-2)"/>
    <s v="ТОВ &quot;ІНДАСТРІАЛБУД&quot;"/>
    <s v="Хлань Елена"/>
    <s v="Акт 1/1.3-КБ Цех екстракції"/>
  </r>
  <r>
    <x v="0"/>
    <s v="ІБ00-000422"/>
    <s v="АСТАРТА АГРО ПРОТЕЇН ТОВ"/>
    <n v="690300.6"/>
    <s v="грн"/>
    <s v="Виробничий (Глобине-2)"/>
    <s v="ТОВ &quot;ІНДАСТРІАЛБУД&quot;"/>
    <s v="Хлань Елена"/>
    <s v="Акт 1/1.14-КБ Котельня"/>
  </r>
  <r>
    <x v="0"/>
    <s v="ІБ00-000423"/>
    <s v="АСТАРТА АГРО ПРОТЕЇН ТОВ"/>
    <n v="293650.2"/>
    <s v="грн"/>
    <s v="Виробничий (Глобине-2)"/>
    <s v="ТОВ &quot;ІНДАСТРІАЛБУД&quot;"/>
    <s v="Хлань Елена"/>
    <s v="Акт 1/1.5-КБ (насосна,градирня)"/>
  </r>
  <r>
    <x v="0"/>
    <s v="ІБ00-000424"/>
    <s v="АСТАРТА АГРО ПРОТЕЇН ТОВ"/>
    <n v="879777.9"/>
    <s v="грн"/>
    <s v="Виробничий (Глобине-2)"/>
    <s v="ТОВ &quot;ІНДАСТРІАЛБУД&quot;"/>
    <s v="Хлань Елена"/>
    <s v="Акт 1/1.4-КБ"/>
  </r>
  <r>
    <x v="1"/>
    <s v="ІБ00-000425"/>
    <s v="АСТАРТА АГРО ПРОТЕЇН ТОВ"/>
    <n v="1208467.1599999999"/>
    <s v="грн"/>
    <s v="Виробничий (Глобине-2)"/>
    <s v="ТОВ &quot;ІНДАСТРІАЛБУД&quot;"/>
    <s v="Хлань Елена"/>
    <s v="Акт 2/1.3-КБ(Цех екстракції поз. 3 ГБ)"/>
  </r>
  <r>
    <x v="1"/>
    <s v="ІБ00-000426"/>
    <s v="АСТАРТА АГРО ПРОТЕЇН ТОВ"/>
    <n v="676459.44"/>
    <s v="грн"/>
    <s v="Виробничий (Глобине-2)"/>
    <s v="ТОВ &quot;ІНДАСТРІАЛБУД&quot;"/>
    <s v="Хлань Елена"/>
    <s v="Акт 2/1.14-КБ (Котельня)"/>
  </r>
  <r>
    <x v="1"/>
    <s v="ІБ00-000441"/>
    <s v="АСТАРТА АГРО ПРОТЕЇН ТОВ"/>
    <n v="1573765.6"/>
    <s v="грн"/>
    <s v="Виробничий (Глобине-2)"/>
    <s v="ТОВ &quot;ІНДАСТРІАЛБУД&quot;"/>
    <s v="Хлань Елена"/>
    <s v="Акт 3/1.3-КБ(Цех екстракції поз. 3 ГБ)"/>
  </r>
  <r>
    <x v="1"/>
    <s v="ІБ00-000442"/>
    <s v="АСТАРТА АГРО ПРОТЕЇН ТОВ"/>
    <n v="400634.29"/>
    <s v="грн"/>
    <s v="Виробничий (Глобине-2)"/>
    <s v="ТОВ &quot;ІНДАСТРІАЛБУД&quot;"/>
    <s v="Хлань Елена"/>
    <s v="Акт 3/1.14-КБ (Котельня)"/>
  </r>
  <r>
    <x v="2"/>
    <s v="ІБ00-000455"/>
    <s v="АСТАРТА АГРО ПРОТЕЇН ТОВ"/>
    <n v="1019637.38"/>
    <s v="грн"/>
    <s v="Виробничий (Глобине-2)"/>
    <s v="ТОВ &quot;ІНДАСТРІАЛБУД&quot;"/>
    <s v="Хлань Елена"/>
    <s v="Акт 4/1.3-КБ(Цех екстракції поз. 3 ГБ)"/>
  </r>
  <r>
    <x v="3"/>
    <s v="ІБ00-000454"/>
    <s v="АСТАРТА АГРО ПРОТЕЇН ТОВ"/>
    <n v="827310.95"/>
    <s v="грн"/>
    <s v="Виробничий (Глобине-2)"/>
    <s v="ТОВ &quot;ІНДАСТРІАЛБУД&quot;"/>
    <s v="Хлань Елена"/>
    <s v="Акт 4/1.14-КБ (Котельня)"/>
  </r>
  <r>
    <x v="3"/>
    <s v="ІБ00-000457"/>
    <s v="АСТАРТА АГРО ПРОТЕЇН ТОВ"/>
    <n v="257756.03"/>
    <s v="грн"/>
    <s v="Виробничий (Глобине-2)"/>
    <s v="ТОВ &quot;ІНДАСТРІАЛБУД&quot;"/>
    <s v="Хлань Елена"/>
    <s v="Акт 5/1.14-КБ (Котельня)"/>
  </r>
  <r>
    <x v="3"/>
    <s v="ІБ00-000458"/>
    <s v="АСТАРТА АГРО ПРОТЕЇН ТОВ"/>
    <n v="262987.33"/>
    <s v="грн"/>
    <s v="Виробничий (Глобине-2)"/>
    <s v="ТОВ &quot;ІНДАСТРІАЛБУД&quot;"/>
    <s v="Хлань Елена"/>
    <s v="Акт 6/1.3-КБ(Цех екстракції поз. 3 ГБ)"/>
  </r>
  <r>
    <x v="3"/>
    <s v="ІБ00-000459"/>
    <s v="АСТАРТА АГРО ПРОТЕЇН ТОВ"/>
    <n v="311201.77"/>
    <s v="грн"/>
    <s v="Виробничий (Глобине-2)"/>
    <s v="ТОВ &quot;ІНДАСТРІАЛБУД&quot;"/>
    <s v="Хлань Елена"/>
    <s v=" Акт 5/1.3-КБ(Цех екстракції поз. 3 ГБ)"/>
  </r>
  <r>
    <x v="4"/>
    <s v="ІБ00-000490"/>
    <s v="АСТАРТА АГРО ПРОТЕЇН ТОВ"/>
    <n v="567906.1"/>
    <s v="грн"/>
    <s v="Виробничий (Глобине-2)"/>
    <s v="ТОВ &quot;ІНДАСТРІАЛБУД&quot;"/>
    <s v="Хлань Елена"/>
    <s v="Акт 7/1.3-КБ(Цех екстракції поз. 3 ГБ)"/>
  </r>
  <r>
    <x v="5"/>
    <s v="ІБ00-000493"/>
    <s v="АСТАРТА АГРО ПРОТЕЇН ТОВ"/>
    <n v="127800.19"/>
    <s v="грн"/>
    <s v="Виробничий (Глобине-2)"/>
    <s v="ТОВ &quot;ІНДАСТРІАЛБУД&quot;"/>
    <s v="Аулова Маргарита"/>
    <s v=" Акт 6/1.14-КБ (Котельня)"/>
  </r>
  <r>
    <x v="6"/>
    <s v="ІБ00-000505"/>
    <s v="АСТАРТА АГРО ПРОТЕЇН ТОВ"/>
    <n v="492959.28"/>
    <s v="грн"/>
    <s v="Виробничий (Глобине-2)"/>
    <s v="ТОВ &quot;ІНДАСТРІАЛБУД&quot;"/>
    <s v="Хлань Елена"/>
    <s v="Акт 10/1.3-КБ(Цех екстракції поз. 3 ГБ)"/>
  </r>
  <r>
    <x v="6"/>
    <s v="ІБ00-000509"/>
    <s v="АСТАРТА АГРО ПРОТЕЇН ТОВ"/>
    <n v="734264.92"/>
    <s v="грн"/>
    <s v="Виробничий (Глобине-2)"/>
    <s v="ТОВ &quot;ІНДАСТРІАЛБУД&quot;"/>
    <s v="Хлань Елена"/>
    <s v=" Акт 8/1.14-КБ (Котельня)"/>
  </r>
  <r>
    <x v="6"/>
    <s v="ІБ00-000510"/>
    <s v="АСТАРТА АГРО ПРОТЕЇН ТОВ"/>
    <n v="344971.33"/>
    <s v="грн"/>
    <s v="Виробничий (Глобине-2)"/>
    <s v="ТОВ &quot;ІНДАСТРІАЛБУД&quot;"/>
    <s v="Хлань Елена"/>
    <s v="Акт 2/1.5-КБ (насосна,градирня)"/>
  </r>
  <r>
    <x v="6"/>
    <s v="ІБ00-000491"/>
    <s v="АСТАРТА АГРО ПРОТЕЇН ТОВ"/>
    <n v="789116.72"/>
    <s v="грн"/>
    <s v="Виробничий (Глобине-2)"/>
    <s v="ТОВ &quot;ІНДАСТРІАЛБУД&quot;"/>
    <s v="Хлань Елена"/>
    <s v="Акт 8/1.3-КБ(Цех екстракції поз. 3 ГБ)"/>
  </r>
  <r>
    <x v="6"/>
    <s v="ІБ00-000501"/>
    <s v="АСТАРТА АГРО ПРОТЕЇН ТОВ"/>
    <n v="518102.3"/>
    <s v="грн"/>
    <s v="Виробничий (Глобине-2)"/>
    <s v="ТОВ &quot;ІНДАСТРІАЛБУД&quot;"/>
    <s v="Хлань Елена"/>
    <s v="Акт 9/1.3-КБ(Цех екстракції поз. 3 ГБ)"/>
  </r>
  <r>
    <x v="6"/>
    <s v="ІБ00-000502"/>
    <s v="АСТАРТА АГРО ПРОТЕЇН ТОВ"/>
    <n v="324958.37"/>
    <s v="грн"/>
    <s v="Виробничий (Глобине-2)"/>
    <s v="ТОВ &quot;ІНДАСТРІАЛБУД&quot;"/>
    <s v="Хлань Елена"/>
    <s v=" Акт 7/1.14-КБ (Котельня)"/>
  </r>
  <r>
    <x v="6"/>
    <s v="ІБ00-000503"/>
    <s v="АСТАРТА АГРО ПРОТЕЇН ТОВ"/>
    <n v="1069747.33"/>
    <s v="грн"/>
    <s v="Виробничий (Глобине-2)"/>
    <s v="ТОВ &quot;ІНДАСТРІАЛБУД&quot;"/>
    <s v="Хлань Елена"/>
    <s v=" Акт 1/1.9-КБ (СПК)"/>
  </r>
  <r>
    <x v="6"/>
    <s v="ІБ00-000504"/>
    <s v="АСТАРТА АГРО ПРОТЕЇН ТОВ"/>
    <n v="150631.84"/>
    <s v="грн"/>
    <s v="Виробничий (Глобине-2)"/>
    <s v="ТОВ &quot;ІНДАСТРІАЛБУД&quot;"/>
    <s v="Хлань Елена"/>
    <s v=" Акт 2/1.9-КБ (СПК)"/>
  </r>
  <r>
    <x v="7"/>
    <s v="ІБ00-000520"/>
    <s v="АСТАРТА АГРО ПРОТЕЇН ТОВ"/>
    <n v="858855.97"/>
    <s v="грн"/>
    <s v="Виробничий (Глобине-2)"/>
    <s v="ТОВ &quot;ІНДАСТРІАЛБУД&quot;"/>
    <s v="Хлань Елена"/>
    <s v="Акт 11/1.3-КБ(Цех екстракції поз. 3 ГБ)"/>
  </r>
  <r>
    <x v="7"/>
    <s v="ІБ00-000521"/>
    <s v="АСТАРТА АГРО ПРОТЕЇН ТОВ"/>
    <n v="623405.12"/>
    <s v="грн"/>
    <s v="Виробничий (Глобине-2)"/>
    <s v="ТОВ &quot;ІНДАСТРІАЛБУД&quot;"/>
    <s v="Хлань Елена"/>
    <s v=" Акт 9/1.14-КБ (Котельня)"/>
  </r>
  <r>
    <x v="7"/>
    <s v="ІБ00-000522"/>
    <s v="АСТАРТА АГРО ПРОТЕЇН ТОВ"/>
    <n v="570648.81999999995"/>
    <s v="грн"/>
    <s v="Виробничий (Глобине-2)"/>
    <s v="ТОВ &quot;ІНДАСТРІАЛБУД&quot;"/>
    <s v="Хлань Елена"/>
    <s v=" Акт 3/1.9-КБ (СПК)"/>
  </r>
  <r>
    <x v="7"/>
    <s v="ІБ00-000524"/>
    <s v="АСТАРТА АГРО ПРОТЕЇН ТОВ"/>
    <n v="879169.39"/>
    <s v="грн"/>
    <s v="Виробничий (Глобине-2)"/>
    <s v="ТОВ &quot;ІНДАСТРІАЛБУД&quot;"/>
    <s v="Хлань Елена"/>
    <s v="Акт 3/1.5-КБ (насосна,градирня)"/>
  </r>
  <r>
    <x v="8"/>
    <s v="ІБ00-000537"/>
    <s v="АСТАРТА АГРО ПРОТЕЇН ТОВ"/>
    <n v="1625770.49"/>
    <s v="грн"/>
    <s v="Виробничий (Глобине-2)"/>
    <s v="ТОВ &quot;ІНДАСТРІАЛБУД&quot;"/>
    <s v="Хлань Елена"/>
    <s v=" Акт 1/1.14-КМ (Котельня)"/>
  </r>
  <r>
    <x v="8"/>
    <s v="ІБ00-000541"/>
    <s v="АСТАРТА АГРО ПРОТЕЇН ТОВ"/>
    <n v="891689.84"/>
    <s v="грн"/>
    <s v="Виробничий (Глобине-2)"/>
    <s v="ТОВ &quot;ІНДАСТРІАЛБУД&quot;"/>
    <s v="Хлань Елена"/>
    <s v=" Акт 4/1.9-КБ (СПК)"/>
  </r>
  <r>
    <x v="8"/>
    <s v="ІБ00-000542"/>
    <s v="АСТАРТА АГРО ПРОТЕЇН ТОВ"/>
    <n v="255009.67"/>
    <s v="грн"/>
    <s v="Виробничий (Глобине-2)"/>
    <s v="ТОВ &quot;ІНДАСТРІАЛБУД&quot;"/>
    <s v="Хлань Елена"/>
    <s v="Акт 12/1.3-КБ(Цех екстракції поз. 3 ГБ)"/>
  </r>
  <r>
    <x v="8"/>
    <s v="ІБ00-000543"/>
    <s v="АСТАРТА АГРО ПРОТЕЇН ТОВ"/>
    <n v="74595.38"/>
    <s v="грн"/>
    <s v="Виробничий (Глобине-2)"/>
    <s v="ТОВ &quot;ІНДАСТРІАЛБУД&quot;"/>
    <s v="Хлань Елена"/>
    <s v=" Акт 10/1.14-КБ (Котельня)"/>
  </r>
  <r>
    <x v="9"/>
    <s v="ІБ00-000552"/>
    <s v="АСТАРТА АГРО ПРОТЕЇН ТОВ"/>
    <n v="189732.76"/>
    <s v="грн"/>
    <s v="Виробничий (Глобине-2)"/>
    <s v="ТОВ &quot;ІНДАСТРІАЛБУД&quot;"/>
    <s v="Хлань Елена"/>
    <s v=" Акт 5/1.9-КБ (СПК)"/>
  </r>
  <r>
    <x v="9"/>
    <s v="ІБ00-000553"/>
    <s v="АСТАРТА АГРО ПРОТЕЇН ТОВ"/>
    <n v="1493088.67"/>
    <s v="грн"/>
    <s v="Виробничий (Глобине-2)"/>
    <s v="ТОВ &quot;ІНДАСТРІАЛБУД&quot;"/>
    <s v="Хлань Елена"/>
    <s v="Акт 1/1.3-КМ(Цех екстракції поз. 3 ГБ)"/>
  </r>
  <r>
    <x v="9"/>
    <s v="ІБ00-000554"/>
    <s v="АСТАРТА АГРО ПРОТЕЇН ТОВ"/>
    <n v="916480.84"/>
    <s v="грн"/>
    <s v="Виробничий (Глобине-2)"/>
    <s v="ТОВ &quot;ІНДАСТРІАЛБУД&quot;"/>
    <s v="Хлань Елена"/>
    <s v="Акт 13/1.3-КБ(Цех екстракції поз. 3 ГБ)"/>
  </r>
  <r>
    <x v="9"/>
    <s v="ІБ00-000555"/>
    <s v="АСТАРТА АГРО ПРОТЕЇН ТОВ"/>
    <n v="293643.82"/>
    <s v="грн"/>
    <s v="Виробничий (Глобине-2)"/>
    <s v="ТОВ &quot;ІНДАСТРІАЛБУД&quot;"/>
    <s v="Хлань Елена"/>
    <s v=" Акт 11/1.14-КБ (Котельня)"/>
  </r>
  <r>
    <x v="9"/>
    <s v="ІБ00-000556"/>
    <s v="АСТАРТА АГРО ПРОТЕЇН ТОВ"/>
    <n v="1852335.28"/>
    <s v="грн"/>
    <s v="Виробничий (Глобине-2)"/>
    <s v="ТОВ &quot;ІНДАСТРІАЛБУД&quot;"/>
    <s v="Хлань Елена"/>
    <s v=" Акт 2/1.14-КМ (Котельня)"/>
  </r>
  <r>
    <x v="9"/>
    <s v="ІБ00-000557"/>
    <s v="АСТАРТА АГРО ПРОТЕЇН ТОВ"/>
    <n v="551905.01"/>
    <s v="грн"/>
    <s v="Виробничий (Глобине-2)"/>
    <s v="ТОВ &quot;ІНДАСТРІАЛБУД&quot;"/>
    <s v="Хлань Елена"/>
    <s v="Акт 4/1.5-КБ (насосна,градирня)"/>
  </r>
  <r>
    <x v="9"/>
    <s v="ІБ00-000576"/>
    <s v="АСТАРТА АГРО ПРОТЕЇН ТОВ"/>
    <n v="1396069.49"/>
    <s v="грн"/>
    <s v="Виробничий (Глобине-2)"/>
    <s v="ТОВ &quot;ІНДАСТРІАЛБУД&quot;"/>
    <s v="Хлань Елена"/>
    <s v="Акт 2/1.3-КМ(Цех екстракції поз. 3 ГБ)"/>
  </r>
  <r>
    <x v="9"/>
    <s v="ІБ00-000577"/>
    <s v="АСТАРТА АГРО ПРОТЕЇН ТОВ"/>
    <n v="1427253.71"/>
    <s v="грн"/>
    <s v="Виробничий (Глобине-2)"/>
    <s v="ТОВ &quot;ІНДАСТРІАЛБУД&quot;"/>
    <s v="Хлань Елена"/>
    <s v="Акт 3/1.3-КМ(Цех екстракції поз. 3 ГБ)"/>
  </r>
  <r>
    <x v="9"/>
    <s v="ІБ00-000578"/>
    <s v="АСТАРТА АГРО ПРОТЕЇН ТОВ"/>
    <n v="1432990.86"/>
    <s v="грн"/>
    <s v="Виробничий (Глобине-2)"/>
    <s v="ТОВ &quot;ІНДАСТРІАЛБУД&quot;"/>
    <s v="Хлань Елена"/>
    <s v=" Акт 3/1.14-КМ (Котельня)"/>
  </r>
  <r>
    <x v="10"/>
    <s v="ІБ00-000581"/>
    <s v="АСТАРТА АГРО ПРОТЕЇН ТОВ"/>
    <n v="189299.33"/>
    <s v="грн"/>
    <s v="Виробничий (Глобине-2)"/>
    <s v="ТОВ &quot;ІНДАСТРІАЛБУД&quot;"/>
    <s v="Хлань Елена"/>
    <s v="Акт 14/1.3-КБ(Цех екстракції поз. 3 ГБ)"/>
  </r>
  <r>
    <x v="10"/>
    <s v="ІБ00-000584"/>
    <s v="АСТАРТА АГРО ПРОТЕЇН ТОВ"/>
    <n v="1647758.93"/>
    <s v="грн"/>
    <s v="Виробничий (Глобине-2)"/>
    <s v="ТОВ &quot;ІНДАСТРІАЛБУД&quot;"/>
    <s v="Хлань Елена"/>
    <s v="Акт 4/1.3-КМ(Цех екстракції поз. 3 ГБ)"/>
  </r>
  <r>
    <x v="11"/>
    <s v="ІБ00-000580"/>
    <s v="АСТАРТА АГРО ПРОТЕЇН ТОВ"/>
    <n v="553342.96"/>
    <s v="грн"/>
    <s v="Виробничий (Глобине-2)"/>
    <s v="ТОВ &quot;ІНДАСТРІАЛБУД&quot;"/>
    <s v="Хлань Елена"/>
    <s v="Акт 5/1.5-КБ (насосна,градирня)"/>
  </r>
  <r>
    <x v="11"/>
    <s v="ІБ00-000582"/>
    <s v="АСТАРТА АГРО ПРОТЕЇН ТОВ"/>
    <n v="573416.30000000005"/>
    <s v="грн"/>
    <s v="Виробничий (Глобине-2)"/>
    <s v="ТОВ &quot;ІНДАСТРІАЛБУД&quot;"/>
    <s v="Хлань Елена"/>
    <s v=" Акт 6/1.9-КБ (СПК)"/>
  </r>
  <r>
    <x v="11"/>
    <s v="ІБ00-000583"/>
    <s v="АСТАРТА АГРО ПРОТЕЇН ТОВ"/>
    <n v="149214.10999999999"/>
    <s v="грн"/>
    <s v="Виробничий (Глобине-2)"/>
    <s v="ТОВ &quot;ІНДАСТРІАЛБУД&quot;"/>
    <s v="Хлань Елена"/>
    <s v=" Акт 12/1.14-КБ (Котельня)"/>
  </r>
  <r>
    <x v="11"/>
    <s v="ІБ00-000586"/>
    <s v="АСТАРТА АГРО ПРОТЕЇН ТОВ"/>
    <n v="1581832.13"/>
    <s v="грн"/>
    <s v="Виробничий (Глобине-2)"/>
    <s v="ТОВ &quot;ІНДАСТРІАЛБУД&quot;"/>
    <s v="Хлань Елена"/>
    <s v=" Акт 4/1.14-КМ (Котельня)"/>
  </r>
  <r>
    <x v="12"/>
    <s v="ІБ00-000604"/>
    <s v="АСТАРТА АГРО ПРОТЕЇН ТОВ"/>
    <n v="1538203.55"/>
    <s v="грн"/>
    <s v="Виробничий (Глобине-2)"/>
    <s v="ТОВ &quot;ІНДАСТРІАЛБУД&quot;"/>
    <s v="Хлань Елена"/>
    <s v="Акт 7/1.3-КМ(Цех екстракції поз. 3 ГБ)"/>
  </r>
  <r>
    <x v="12"/>
    <s v="ІБ00-000605"/>
    <s v="АСТАРТА АГРО ПРОТЕЇН ТОВ"/>
    <n v="1919957.71"/>
    <s v="грн"/>
    <s v="Виробничий (Глобине-2)"/>
    <s v="ТОВ &quot;ІНДАСТРІАЛБУД&quot;"/>
    <s v="Хлань Елена"/>
    <s v="Акт 8/1.3-КМ(Цех екстракції поз. 3 ГБ)"/>
  </r>
  <r>
    <x v="12"/>
    <s v="ІБ00-000606"/>
    <s v="АСТАРТА АГРО ПРОТЕЇН ТОВ"/>
    <n v="1155962.82"/>
    <s v="грн"/>
    <s v="Виробничий (Глобине-2)"/>
    <s v="ТОВ &quot;ІНДАСТРІАЛБУД&quot;"/>
    <s v="Хлань Елена"/>
    <s v="Акт 9/1.3-КМ(Цех екстракції поз. 3 ГБ)"/>
  </r>
  <r>
    <x v="12"/>
    <s v="ІБ00-000607"/>
    <s v="АСТАРТА АГРО ПРОТЕЇН ТОВ"/>
    <n v="1394721.36"/>
    <s v="грн"/>
    <s v="Виробничий (Глобине-2)"/>
    <s v="ТОВ &quot;ІНДАСТРІАЛБУД&quot;"/>
    <s v="Хлань Елена"/>
    <s v="Акт 10/1.3-КМ(Цех екстракції поз. 3 ГБ)"/>
  </r>
  <r>
    <x v="12"/>
    <s v="ІБ00-000608"/>
    <s v="АСТАРТА АГРО ПРОТЕЇН ТОВ"/>
    <n v="1439689.54"/>
    <s v="грн"/>
    <s v="Виробничий (Глобине-2)"/>
    <s v="ТОВ &quot;ІНДАСТРІАЛБУД&quot;"/>
    <s v="Хлань Елена"/>
    <s v="Акт 11/1.3-КМ(Цех екстракції поз. 3 ГБ)"/>
  </r>
  <r>
    <x v="12"/>
    <s v="ІБ00-000609"/>
    <s v="АСТАРТА АГРО ПРОТЕЇН ТОВ"/>
    <n v="1223132.93"/>
    <s v="грн"/>
    <s v="Виробничий (Глобине-2)"/>
    <s v="ТОВ &quot;ІНДАСТРІАЛБУД&quot;"/>
    <s v="Хлань Елена"/>
    <s v="Акт 12/1.3-КМ(Цех екстракції поз. 3 ГБ)"/>
  </r>
  <r>
    <x v="12"/>
    <s v="ІБ00-000587"/>
    <s v="АСТАРТА АГРО ПРОТЕЇН ТОВ"/>
    <n v="385695.8"/>
    <s v="грн"/>
    <s v="Виробничий (Глобине-2)"/>
    <s v="ТОВ &quot;ІНДАСТРІАЛБУД&quot;"/>
    <s v="Хлань Елена"/>
    <s v=" Акт 7/1.9-КБ (СПК)"/>
  </r>
  <r>
    <x v="12"/>
    <s v="ІБ00-000588"/>
    <s v="АСТАРТА АГРО ПРОТЕЇН ТОВ"/>
    <n v="912212.21"/>
    <s v="грн"/>
    <s v="Виробничий (Глобине-2)"/>
    <s v="ТОВ &quot;ІНДАСТРІАЛБУД&quot;"/>
    <s v="Хлань Елена"/>
    <s v=" Акт 13/1.14-КБ (Котельня)"/>
  </r>
  <r>
    <x v="12"/>
    <s v="ІБ00-000589"/>
    <s v="АСТАРТА АГРО ПРОТЕЇН ТОВ"/>
    <n v="1353790.73"/>
    <s v="грн"/>
    <s v="Виробничий (Глобине-2)"/>
    <s v="ТОВ &quot;ІНДАСТРІАЛБУД&quot;"/>
    <s v="Хлань Елена"/>
    <s v="Акт 15/1.3-КБ(Цех екстракції поз. 3 ГБ)"/>
  </r>
  <r>
    <x v="12"/>
    <s v="ІБ00-000590"/>
    <s v="АСТАРТА АГРО ПРОТЕЇН ТОВ"/>
    <n v="1594901.54"/>
    <s v="грн"/>
    <s v="Виробничий (Глобине-2)"/>
    <s v="ТОВ &quot;ІНДАСТРІАЛБУД&quot;"/>
    <s v="Хлань Елена"/>
    <s v="Акт 5/1.3-КМ(Цех екстракції поз. 3 ГБ)"/>
  </r>
  <r>
    <x v="12"/>
    <s v="ІБ00-000591"/>
    <s v="АСТАРТА АГРО ПРОТЕЇН ТОВ"/>
    <n v="3319852.72"/>
    <s v="грн"/>
    <s v="Виробничий (Глобине-2)"/>
    <s v="ТОВ &quot;ІНДАСТРІАЛБУД&quot;"/>
    <s v="Хлань Елена"/>
    <s v=" (сума зменшиться) Акт 5/1.14-КМ (Котельня)"/>
  </r>
  <r>
    <x v="12"/>
    <s v="ІБ00-000592"/>
    <s v="АСТАРТА АГРО ПРОТЕЇН ТОВ"/>
    <n v="200560.63"/>
    <s v="грн"/>
    <s v="Виробничий (Глобине-2)"/>
    <s v="ТОВ &quot;ІНДАСТРІАЛБУД&quot;"/>
    <s v="Хлань Елена"/>
    <s v=" Акт 1/1.16-КБ (Пожежний резервуар)"/>
  </r>
  <r>
    <x v="12"/>
    <s v="ІБ00-000593"/>
    <s v="АСТАРТА АГРО ПРОТЕЇН ТОВ"/>
    <n v="166627.20000000001"/>
    <s v="грн"/>
    <s v="Виробничий (Глобине-2)"/>
    <s v="ТОВ &quot;ІНДАСТРІАЛБУД&quot;"/>
    <s v="Хлань Елена"/>
    <s v=" Акт 1/1.12-КБ (Резервуарний парк)"/>
  </r>
  <r>
    <x v="12"/>
    <s v="ІБ00-000594"/>
    <s v="АСТАРТА АГРО ПРОТЕЇН ТОВ"/>
    <n v="643318.31999999995"/>
    <s v="грн"/>
    <s v="Виробничий (Глобине-2)"/>
    <s v="ТОВ &quot;ІНДАСТРІАЛБУД&quot;"/>
    <s v="Хлань Елена"/>
    <s v=" Акт 8/1.9-КБ (СПК)"/>
  </r>
  <r>
    <x v="12"/>
    <s v="ІБ00-000595"/>
    <s v="АСТАРТА АГРО ПРОТЕЇН ТОВ"/>
    <n v="127818.11"/>
    <s v="грн"/>
    <s v="Виробничий (Глобине-2)"/>
    <s v="ТОВ &quot;ІНДАСТРІАЛБУД&quot;"/>
    <s v="Хлань Елена"/>
    <s v="Акт 2/1.4-КБ (резервуар для зберігання розчинника)"/>
  </r>
  <r>
    <x v="12"/>
    <s v="ІБ00-000596"/>
    <s v="АСТАРТА АГРО ПРОТЕЇН ТОВ"/>
    <n v="716695.44"/>
    <s v="грн"/>
    <s v="Виробничий (Глобине-2)"/>
    <s v="ТОВ &quot;ІНДАСТРІАЛБУД&quot;"/>
    <s v="Хлань Елена"/>
    <s v="Акт 6/1.5-КБ (насосна,градирня)"/>
  </r>
  <r>
    <x v="12"/>
    <s v="ІБ00-000597"/>
    <s v="АСТАРТА АГРО ПРОТЕЇН ТОВ"/>
    <n v="2362222.88"/>
    <s v="грн"/>
    <s v="Виробничий (Глобине-2)"/>
    <s v="ТОВ &quot;ІНДАСТРІАЛБУД&quot;"/>
    <s v="Хлань Елена"/>
    <s v="Акт 16/1.3-КБ(Цех екстракції поз. 3 ГБ)"/>
  </r>
  <r>
    <x v="12"/>
    <s v="ІБ00-000598"/>
    <s v="АСТАРТА АГРО ПРОТЕЇН ТОВ"/>
    <n v="347659.13"/>
    <s v="грн"/>
    <s v="Виробничий (Глобине-2)"/>
    <s v="ТОВ &quot;ІНДАСТРІАЛБУД&quot;"/>
    <s v="Хлань Елена"/>
    <s v=" Акт 14/1.14-КБ (Котельня)"/>
  </r>
  <r>
    <x v="12"/>
    <s v="ІБ00-000599"/>
    <s v="АСТАРТА АГРО ПРОТЕЇН ТОВ"/>
    <n v="402909.6"/>
    <s v="грн"/>
    <s v="Виробничий (Глобине-2)"/>
    <s v="ТОВ &quot;ІНДАСТРІАЛБУД&quot;"/>
    <s v="Хлань Елена"/>
    <s v="Акт 6/1.3-КМ(Цех екстракції поз. 3 ГБ)"/>
  </r>
  <r>
    <x v="12"/>
    <s v="ІБ00-000600"/>
    <s v="АСТАРТА АГРО ПРОТЕЇН ТОВ"/>
    <n v="442334.76"/>
    <s v="грн"/>
    <s v="Виробничий (Глобине-2)"/>
    <s v="ТОВ &quot;ІНДАСТРІАЛБУД&quot;"/>
    <s v="Хлань Елена"/>
    <s v=" Акт 7/1.14-КМ (Котельня)"/>
  </r>
  <r>
    <x v="12"/>
    <s v="ІБ00-000601"/>
    <s v="АСТАРТА АГРО ПРОТЕЇН ТОВ"/>
    <n v="402888"/>
    <s v="грн"/>
    <s v="Виробничий (Глобине-2)"/>
    <s v="ТОВ &quot;ІНДАСТРІАЛБУД&quot;"/>
    <s v="Хлань Елена"/>
    <s v=" Акт 6/1.14-КМ (Котельня)"/>
  </r>
  <r>
    <x v="13"/>
    <s v="ІБ00-000621"/>
    <s v="АСТАРТА АГРО ПРОТЕЇН ТОВ"/>
    <n v="432820.72"/>
    <s v="грн"/>
    <s v="Виробничий (Глобине-2)"/>
    <s v="ТОВ &quot;ІНДАСТРІАЛБУД&quot;"/>
    <s v="Хлань Елена"/>
    <s v="Акт 1/1.3-ТХ(Цех екстракції поз. 3 ГБ)"/>
  </r>
  <r>
    <x v="14"/>
    <s v="ІБ00-000011"/>
    <s v="АСТАРТА АГРО ПРОТЕЇН ТОВ"/>
    <n v="253226.72"/>
    <s v="грн"/>
    <s v="Виробничий (Глобине-2)"/>
    <s v="ТОВ &quot;ІНДАСТРІАЛБУД&quot;"/>
    <s v="Хлань Елена"/>
    <s v=" Акт 1/1.25 (Демонтажні роботи)"/>
  </r>
  <r>
    <x v="14"/>
    <s v="ІБ00-000003"/>
    <s v="АСТАРТА АГРО ПРОТЕЇН ТОВ"/>
    <n v="1083567.28"/>
    <s v="грн"/>
    <s v="Виробничий (Глобине-2)"/>
    <s v="ТОВ &quot;ІНДАСТРІАЛБУД&quot;"/>
    <s v="Хлань Елена"/>
    <s v=" Акт 8/1.14-КМ (Котельня)"/>
  </r>
  <r>
    <x v="14"/>
    <s v="ІБ00-000005"/>
    <s v="АСТАРТА АГРО ПРОТЕЇН ТОВ"/>
    <n v="1236731.02"/>
    <s v="грн"/>
    <s v="Виробничий (Глобине-2)"/>
    <s v="ТОВ &quot;ІНДАСТРІАЛБУД&quot;"/>
    <s v="Хлань Елена"/>
    <s v="Акт 13/1.3-КМ(Цех екстракції поз. 3 ГБ)"/>
  </r>
  <r>
    <x v="14"/>
    <s v="ІБ00-000006"/>
    <s v="АСТАРТА АГРО ПРОТЕЇН ТОВ"/>
    <n v="252904.27"/>
    <s v="грн"/>
    <s v="Виробничий (Глобине-2)"/>
    <s v="ТОВ &quot;ІНДАСТРІАЛБУД&quot;"/>
    <s v="Хлань Елена"/>
    <s v="Акт 3/1.4-КБ (резервуар для зберігання розчинника)"/>
  </r>
  <r>
    <x v="15"/>
    <s v="ІБ00-000004"/>
    <s v="АСТАРТА АГРО ПРОТЕЇН ТОВ"/>
    <n v="164812.87"/>
    <s v="грн"/>
    <s v="Виробничий (Глобине-2)"/>
    <s v="ТОВ &quot;ІНДАСТРІАЛБУД&quot;"/>
    <s v="Хлань Елена"/>
    <s v=" Акт 2/1.25 (Демонтажні роботи)"/>
  </r>
  <r>
    <x v="16"/>
    <s v="ІБ00-000013"/>
    <s v="АСТАРТА АГРО ПРОТЕЇН ТОВ"/>
    <n v="149068.56"/>
    <s v="грн"/>
    <s v="Виробничий (Глобине-2)"/>
    <s v="ТОВ &quot;ІНДАСТРІАЛБУД&quot;"/>
    <s v="Хлань Елена"/>
    <s v=" Акт 9/1.14-КМ (Котельня)"/>
  </r>
  <r>
    <x v="16"/>
    <s v="ІБ00-000014"/>
    <s v="АСТАРТА АГРО ПРОТЕЇН ТОВ"/>
    <n v="1071739.54"/>
    <s v="грн"/>
    <s v="Виробничий (Глобине-2)"/>
    <s v="ТОВ &quot;ІНДАСТРІАЛБУД&quot;"/>
    <s v="Хлань Елена"/>
    <s v="Акт 14/1.3-КМ(Цех екстракції поз. 3 ГБ)"/>
  </r>
  <r>
    <x v="16"/>
    <s v="ІБ00-000016"/>
    <s v="АСТАРТА АГРО ПРОТЕЇН ТОВ"/>
    <n v="817290.02"/>
    <s v="грн"/>
    <s v="Виробничий (Глобине-2)"/>
    <s v="ТОВ &quot;ІНДАСТРІАЛБУД&quot;"/>
    <s v="Хлань Елена"/>
    <s v=" Акт 9/1.9-КБ (СПК)"/>
  </r>
  <r>
    <x v="16"/>
    <s v="ІБ00-000017"/>
    <s v="АСТАРТА АГРО ПРОТЕЇН ТОВ"/>
    <n v="1795822.42"/>
    <s v="грн"/>
    <s v="Виробничий (Глобине-2)"/>
    <s v="ТОВ &quot;ІНДАСТРІАЛБУД&quot;"/>
    <s v="Хлань Елена"/>
    <s v="Акт 15/1.3-КМ(Цех екстракції поз. 3 ГБ)"/>
  </r>
  <r>
    <x v="16"/>
    <s v="ІБ00-000018"/>
    <s v="АСТАРТА АГРО ПРОТЕЇН ТОВ"/>
    <n v="886150.07"/>
    <s v="грн"/>
    <s v="Виробничий (Глобине-2)"/>
    <s v="ТОВ &quot;ІНДАСТРІАЛБУД&quot;"/>
    <s v="Хлань Елена"/>
    <s v="Акт 16/1.3-КМ(Цех екстракції поз. 3 ГБ)"/>
  </r>
  <r>
    <x v="16"/>
    <s v="ІБ00-000015"/>
    <s v="АСТАРТА АГРО ПРОТЕЇН ТОВ"/>
    <n v="1091993.98"/>
    <s v="грн"/>
    <s v="Виробничий (Глобине-2)"/>
    <s v="ТОВ &quot;ІНДАСТРІАЛБУД&quot;"/>
    <s v="Хлань Елена"/>
    <s v=" Акт 2/1.12-КБ (Резервуарний парк)"/>
  </r>
  <r>
    <x v="17"/>
    <s v="ІБ00-000019"/>
    <s v="АСТАРТА АГРО ПРОТЕЇН ТОВ"/>
    <n v="420061.13"/>
    <s v="грн"/>
    <s v="Виробничий (Глобине-2)"/>
    <s v="ТОВ &quot;ІНДАСТРІАЛБУД&quot;"/>
    <s v="Хлань Елена"/>
    <s v=" Акт 10/1.9-КБ (СПК)"/>
  </r>
  <r>
    <x v="17"/>
    <s v="ІБ00-000020"/>
    <s v="АСТАРТА АГРО ПРОТЕЇН ТОВ"/>
    <n v="951198.17"/>
    <s v="грн"/>
    <s v="Виробничий (Глобине-2)"/>
    <s v="ТОВ &quot;ІНДАСТРІАЛБУД&quot;"/>
    <s v="Хлань Елена"/>
    <s v=" Акт 3/1.12-КБ (Резервуарний парк)"/>
  </r>
  <r>
    <x v="17"/>
    <s v="ІБ00-000021"/>
    <s v="АСТАРТА АГРО ПРОТЕЇН ТОВ"/>
    <n v="6800.99"/>
    <s v="грн"/>
    <s v="Виробничий (Глобине-2)"/>
    <s v="ТОВ &quot;ІНДАСТРІАЛБУД&quot;"/>
    <s v="Хлань Елена"/>
    <s v="Акт 7/1.5-КБ (насосна,градирня)"/>
  </r>
  <r>
    <x v="17"/>
    <s v="ІБ00-000022"/>
    <s v="АСТАРТА АГРО ПРОТЕЇН ТОВ"/>
    <n v="163831.22"/>
    <s v="грн"/>
    <s v="Виробничий (Глобине-2)"/>
    <s v="ТОВ &quot;ІНДАСТРІАЛБУД&quot;"/>
    <s v="Хлань Елена"/>
    <s v=" Акт 10/1.14-КМ (Котельня)"/>
  </r>
  <r>
    <x v="17"/>
    <s v="ІБ00-000023"/>
    <s v="АСТАРТА АГРО ПРОТЕЇН ТОВ"/>
    <n v="100446.18"/>
    <s v="грн"/>
    <s v="Виробничий (Глобине-2)"/>
    <s v="ТОВ &quot;ІНДАСТРІАЛБУД&quot;"/>
    <s v="Хлань Елена"/>
    <s v=" Акт 15/1.14-КБ (Котельня)"/>
  </r>
  <r>
    <x v="17"/>
    <s v="ІБ00-000024"/>
    <s v="АСТАРТА АГРО ПРОТЕЇН ТОВ"/>
    <n v="1505681.76"/>
    <s v="грн"/>
    <s v="Виробничий (Глобине-2)"/>
    <s v="ТОВ &quot;ІНДАСТРІАЛБУД&quot;"/>
    <s v="Хлань Елена"/>
    <s v="Акт 17/1.3-КМ(Цех екстракції поз. 3 ГБ)"/>
  </r>
  <r>
    <x v="17"/>
    <s v="ІБ00-000025"/>
    <s v="АСТАРТА АГРО ПРОТЕЇН ТОВ"/>
    <n v="860212"/>
    <s v="грн"/>
    <s v="Виробничий (Глобине-2)"/>
    <s v="ТОВ &quot;ІНДАСТРІАЛБУД&quot;"/>
    <s v="Хлань Елена"/>
    <s v="Акт 18/1.3-КМ(Цех екстракції поз. 3 ГБ)"/>
  </r>
  <r>
    <x v="17"/>
    <s v="ІБ00-000026"/>
    <s v="АСТАРТА АГРО ПРОТЕЇН ТОВ"/>
    <n v="968129.2"/>
    <s v="грн"/>
    <s v="Виробничий (Глобине-2)"/>
    <s v="ТОВ &quot;ІНДАСТРІАЛБУД&quot;"/>
    <s v="Хлань Елена"/>
    <s v="Акт 17/1.3-КБ(Цех екстракції поз. 3 ГБ)"/>
  </r>
  <r>
    <x v="17"/>
    <s v="ІБ00-000027"/>
    <s v="АСТАРТА АГРО ПРОТЕЇН ТОВ"/>
    <n v="1858038.04"/>
    <s v="грн"/>
    <s v="Виробничий (Глобине-2)"/>
    <s v="ТОВ &quot;ІНДАСТРІАЛБУД&quot;"/>
    <s v="Хлань Елена"/>
    <s v="Акт 21/1.3-КМ(Цех екстракції поз. 3 ГБ)"/>
  </r>
  <r>
    <x v="17"/>
    <s v="ІБ00-000028"/>
    <s v="АСТАРТА АГРО ПРОТЕЇН ТОВ"/>
    <n v="1540060.34"/>
    <s v="грн"/>
    <s v="Виробничий (Глобине-2)"/>
    <s v="ТОВ &quot;ІНДАСТРІАЛБУД&quot;"/>
    <s v="Хлань Елена"/>
    <s v="Акт 20/1.3-КМ(Цех екстракції поз. 3 ГБ)"/>
  </r>
  <r>
    <x v="17"/>
    <s v="ІБ00-000029"/>
    <s v="АСТАРТА АГРО ПРОТЕЇН ТОВ"/>
    <n v="1518451.78"/>
    <s v="грн"/>
    <s v="Виробничий (Глобине-2)"/>
    <s v="ТОВ &quot;ІНДАСТРІАЛБУД&quot;"/>
    <s v="Хлань Елена"/>
    <s v="Акт 19/1.3-КМ(Цех екстракції поз. 3 ГБ)"/>
  </r>
  <r>
    <x v="17"/>
    <s v="ІБ00-000039"/>
    <s v="АСТАРТА АГРО ПРОТЕЇН ТОВ"/>
    <n v="1349055.62"/>
    <s v="грн"/>
    <s v="Виробничий (Глобине-2)"/>
    <s v="ТОВ &quot;ІНДАСТРІАЛБУД&quot;"/>
    <s v="Хлань Елена"/>
    <s v="Акт 22/1.3-КМ(Цех екстракції поз. 3 ГБ)"/>
  </r>
  <r>
    <x v="18"/>
    <s v="ІБ00-000041"/>
    <s v="АСТАРТА АГРО ПРОТЕЇН ТОВ"/>
    <n v="539434.19999999995"/>
    <s v="грн"/>
    <s v="Виробничий (Глобине-2)"/>
    <s v="ТОВ &quot;ІНДАСТРІАЛБУД&quot;"/>
    <s v="Хлань Елена"/>
    <s v=" Акт 16/1.14-КБ (Котельня)"/>
  </r>
  <r>
    <x v="18"/>
    <s v="ІБ00-000042"/>
    <s v="АСТАРТА АГРО ПРОТЕЇН ТОВ"/>
    <n v="26944.63"/>
    <s v="грн"/>
    <s v="Виробничий (Глобине-2)"/>
    <s v="ТОВ &quot;ІНДАСТРІАЛБУД&quot;"/>
    <s v="Хлань Елена"/>
    <s v=" Акт 11/1.14-КМ (Котельня)"/>
  </r>
  <r>
    <x v="18"/>
    <s v="ІБ00-000043"/>
    <s v="АСТАРТА АГРО ПРОТЕЇН ТОВ"/>
    <n v="359413.1"/>
    <s v="грн"/>
    <s v="Виробничий (Глобине-2)"/>
    <s v="ТОВ &quot;ІНДАСТРІАЛБУД&quot;"/>
    <s v="Хлань Елена"/>
    <s v="Акт 18/1.3-КБ(Цех екстракції поз. 3 ГБ)"/>
  </r>
  <r>
    <x v="18"/>
    <s v="ІБ00-000044"/>
    <s v="АСТАРТА АГРО ПРОТЕЇН ТОВ"/>
    <n v="1108248.05"/>
    <s v="грн"/>
    <s v="Виробничий (Глобине-2)"/>
    <s v="ТОВ &quot;ІНДАСТРІАЛБУД&quot;"/>
    <s v="Хлань Елена"/>
    <s v="Акт 23/1.3-КМ(Цех екстракції поз. 3 ГБ)"/>
  </r>
  <r>
    <x v="18"/>
    <s v="ІБ00-000045"/>
    <s v="АСТАРТА АГРО ПРОТЕЇН ТОВ"/>
    <n v="442463.36"/>
    <s v="грн"/>
    <s v="Виробничий (Глобине-2)"/>
    <s v="ТОВ &quot;ІНДАСТРІАЛБУД&quot;"/>
    <s v="Хлань Елена"/>
    <s v="Акт 1/1.5-КМ (насосна,градирня)"/>
  </r>
  <r>
    <x v="18"/>
    <s v="ІБ00-000046"/>
    <s v="АСТАРТА АГРО ПРОТЕЇН ТОВ"/>
    <n v="330004.78999999998"/>
    <s v="грн"/>
    <s v="Виробничий (Глобине-2)"/>
    <s v="ТОВ &quot;ІНДАСТРІАЛБУД&quot;"/>
    <s v="Хлань Елена"/>
    <s v="Акт 4/1.4-КБ (резервуар для зберігання розчинника)"/>
  </r>
  <r>
    <x v="18"/>
    <s v="ІБ00-000047"/>
    <s v="АСТАРТА АГРО ПРОТЕЇН ТОВ"/>
    <n v="583261.72"/>
    <s v="грн"/>
    <s v="Виробничий (Глобине-2)"/>
    <s v="ТОВ &quot;ІНДАСТРІАЛБУД&quot;"/>
    <s v="Хлань Елена"/>
    <s v=" Акт 4/1.12-КБ (Резервуарний парк)"/>
  </r>
  <r>
    <x v="18"/>
    <s v="ІБ00-000048"/>
    <s v="АСТАРТА АГРО ПРОТЕЇН ТОВ"/>
    <n v="1221495.49"/>
    <s v="грн"/>
    <s v="Виробничий (Глобине-2)"/>
    <s v="ТОВ &quot;ІНДАСТРІАЛБУД&quot;"/>
    <s v="Хлань Елена"/>
    <s v=" Акт 11/1.9-КБ (СПК)"/>
  </r>
  <r>
    <x v="19"/>
    <s v="ІБ00-000049"/>
    <s v="АСТАРТА АГРО ПРОТЕЇН ТОВ"/>
    <n v="563733.24"/>
    <s v="грн"/>
    <s v="Виробничий (Глобине-2)"/>
    <s v="ТОВ &quot;ІНДАСТРІАЛБУД&quot;"/>
    <s v="Хлань Елена"/>
    <s v="Акт 5/1.4-КБ (резервуар для зберігання розчинника)"/>
  </r>
  <r>
    <x v="19"/>
    <s v="ІБ00-000050"/>
    <s v="АСТАРТА АГРО ПРОТЕЇН ТОВ"/>
    <n v="284344.74"/>
    <s v="грн"/>
    <s v="Виробничий (Глобине-2)"/>
    <s v="ТОВ &quot;ІНДАСТРІАЛБУД&quot;"/>
    <s v="Хлань Елена"/>
    <s v="Акт 19/1.3-КБ(Цех екстракції поз. 3 ГБ)"/>
  </r>
  <r>
    <x v="19"/>
    <s v="ІБ00-000051"/>
    <s v="АСТАРТА АГРО ПРОТЕЇН ТОВ"/>
    <n v="403716.05"/>
    <s v="грн"/>
    <s v="Виробничий (Глобине-2)"/>
    <s v="ТОВ &quot;ІНДАСТРІАЛБУД&quot;"/>
    <s v="Хлань Елена"/>
    <s v=" Акт 12/1.9-КБ (СПК)"/>
  </r>
  <r>
    <x v="19"/>
    <s v="ІБ00-000052"/>
    <s v="АСТАРТА АГРО ПРОТЕЇН ТОВ"/>
    <n v="217571.18"/>
    <s v="грн"/>
    <s v="Виробничий (Глобине-2)"/>
    <s v="ТОВ &quot;ІНДАСТРІАЛБУД&quot;"/>
    <s v="Хлань Елена"/>
    <s v="Акт 24/1.3-КМ(Цех екстракції поз. 3 ГБ)"/>
  </r>
  <r>
    <x v="19"/>
    <s v="ІБ00-000053"/>
    <s v="АСТАРТА АГРО ПРОТЕЇН ТОВ"/>
    <n v="196260.96"/>
    <s v="грн"/>
    <s v="Виробничий (Глобине-2)"/>
    <s v="ТОВ &quot;ІНДАСТРІАЛБУД&quot;"/>
    <s v="Хлань Елена"/>
    <s v="Акт 25/1.3-КМ(Цех екстракції поз. 3 ГБ)"/>
  </r>
  <r>
    <x v="19"/>
    <s v="ІБ00-000056"/>
    <s v="АСТАРТА АГРО ПРОТЕЇН ТОВ"/>
    <n v="25782.58"/>
    <s v="грн"/>
    <s v="Виробничий (Глобине-2)"/>
    <s v="ТОВ &quot;ІНДАСТРІАЛБУД&quot;"/>
    <s v="Хлань Елена"/>
    <s v=" Акт 12/1.14-КМ (Котельня)"/>
  </r>
  <r>
    <x v="20"/>
    <s v="ІБ00-000054"/>
    <s v="АСТАРТА АГРО ПРОТЕЇН ТОВ"/>
    <n v="117224.65"/>
    <s v="грн"/>
    <s v="Виробничий (Глобине-2)"/>
    <s v="ТОВ &quot;ІНДАСТРІАЛБУД&quot;"/>
    <s v="Хлань Елена"/>
    <s v="Акт 2/1.5-КМ (насосна,градирня)"/>
  </r>
  <r>
    <x v="20"/>
    <s v="ІБ00-000058"/>
    <s v="АСТАРТА АГРО ПРОТЕЇН ТОВ"/>
    <n v="219799.34"/>
    <s v="грн"/>
    <s v="Виробничий (Глобине-2)"/>
    <s v="ТОВ &quot;ІНДАСТРІАЛБУД&quot;"/>
    <s v="Хлань Елена"/>
    <s v="Акт 20/1.3-КБ(Цех екстракції поз. 3 ГБ)"/>
  </r>
  <r>
    <x v="20"/>
    <s v="ІБ00-000059"/>
    <s v="АСТАРТА АГРО ПРОТЕЇН ТОВ"/>
    <n v="248741.89"/>
    <s v="грн"/>
    <s v="Виробничий (Глобине-2)"/>
    <s v="ТОВ &quot;ІНДАСТРІАЛБУД&quot;"/>
    <s v="Хлань Елена"/>
    <s v=" Акт 13/1.9-КБ (СПК)"/>
  </r>
  <r>
    <x v="20"/>
    <s v="ІБ00-000060"/>
    <s v="АСТАРТА АГРО ПРОТЕЇН ТОВ"/>
    <n v="481763.12"/>
    <s v="грн"/>
    <s v="Виробничий (Глобине-2)"/>
    <s v="ТОВ &quot;ІНДАСТРІАЛБУД&quot;"/>
    <s v="Хлань Елена"/>
    <s v="Акт 6/1.4-КБ (резервуар для зберігання розчинника)"/>
  </r>
  <r>
    <x v="20"/>
    <s v="ІБ00-000061"/>
    <s v="АСТАРТА АГРО ПРОТЕЇН ТОВ"/>
    <n v="104756.5"/>
    <s v="грн"/>
    <s v="Виробничий (Глобине-2)"/>
    <s v="ТОВ &quot;ІНДАСТРІАЛБУД&quot;"/>
    <s v="Хлань Елена"/>
    <s v=" Акт 13/1.14-КМ (Котельня)"/>
  </r>
  <r>
    <x v="20"/>
    <s v="ІБ00-000062"/>
    <s v="АСТАРТА АГРО ПРОТЕЇН ТОВ"/>
    <n v="306825.48"/>
    <s v="грн"/>
    <s v="Виробничий (Глобине-2)"/>
    <s v="ТОВ &quot;ІНДАСТРІАЛБУД&quot;"/>
    <s v="Хлань Елена"/>
    <s v=" Акт 6/1.12-КБ (Резервуарний парк)"/>
  </r>
  <r>
    <x v="20"/>
    <s v="ІБ00-000063"/>
    <s v="АСТАРТА АГРО ПРОТЕЇН ТОВ"/>
    <n v="1412046.05"/>
    <s v="грн"/>
    <s v="Виробничий (Глобине-2)"/>
    <s v="ТОВ &quot;ІНДАСТРІАЛБУД&quot;"/>
    <s v="Хлань Елена"/>
    <s v="Акт 26/1.3-КМ(Цех екстракції поз. 3 ГБ)"/>
  </r>
  <r>
    <x v="21"/>
    <s v="ІБ00-000055"/>
    <s v="АСТАРТА АГРО ПРОТЕЇН ТОВ"/>
    <n v="437572.54"/>
    <s v="грн"/>
    <s v="Виробничий (Глобине-2)"/>
    <s v="ТОВ &quot;ІНДАСТРІАЛБУД&quot;"/>
    <s v="Хлань Елена"/>
    <s v=" Акт 17/1.14-КБ (Котельня) мшп 5828,44"/>
  </r>
  <r>
    <x v="21"/>
    <s v="ІБ00-000057"/>
    <s v="АСТАРТА АГРО ПРОТЕЇН ТОВ"/>
    <n v="441565.85"/>
    <s v="грн"/>
    <s v="Виробничий (Глобине-2)"/>
    <s v="ТОВ &quot;ІНДАСТРІАЛБУД&quot;"/>
    <s v="Хлань Елена"/>
    <s v=" Акт 5/1.12-КБ (Резервуарний парк) мшп 2691,31"/>
  </r>
  <r>
    <x v="21"/>
    <s v="ІБ00-000073"/>
    <s v="АСТАРТА АГРО ПРОТЕЇН ТОВ"/>
    <n v="160237.15"/>
    <s v="грн"/>
    <s v="Виробничий (Глобине-2)"/>
    <s v="ТОВ &quot;ІНДАСТРІАЛБУД&quot;"/>
    <s v="Хлань Елена"/>
    <s v="Акт 27/1.3-КМ(Цех екстракції поз. 3 ГБ) МШП 10724,58"/>
  </r>
  <r>
    <x v="21"/>
    <s v="ІБ00-000074"/>
    <s v="АСТАРТА АГРО ПРОТЕЇН ТОВ"/>
    <n v="1579623.65"/>
    <s v="грн"/>
    <s v="Виробничий (Глобине-2)"/>
    <s v="ТОВ &quot;ІНДАСТРІАЛБУД&quot;"/>
    <s v="Хлань Елена"/>
    <s v="Акт 28/1.3-КМ(Цех екстракції поз. 3 ГБ)"/>
  </r>
  <r>
    <x v="21"/>
    <s v="ІБ00-000075"/>
    <s v="АСТАРТА АГРО ПРОТЕЇН ТОВ"/>
    <n v="1253954.8799999999"/>
    <s v="грн"/>
    <s v="Виробничий (Глобине-2)"/>
    <s v="ТОВ &quot;ІНДАСТРІАЛБУД&quot;"/>
    <s v="Хлань Елена"/>
    <s v="Акт 29/1.3-КМ(Цех екстракції поз. 3 ГБ)"/>
  </r>
  <r>
    <x v="21"/>
    <s v="ІБ00-000076"/>
    <s v="АСТАРТА АГРО ПРОТЕЇН ТОВ"/>
    <n v="1128820.04"/>
    <s v="грн"/>
    <s v="Виробничий (Глобине-2)"/>
    <s v="ТОВ &quot;ІНДАСТРІАЛБУД&quot;"/>
    <s v="Хлань Елена"/>
    <s v="Акт 30/1.3-КМ(Цех екстракції поз. 3 ГБ)"/>
  </r>
  <r>
    <x v="21"/>
    <s v="ІБ00-000077"/>
    <s v="АСТАРТА АГРО ПРОТЕЇН ТОВ"/>
    <n v="1491610.94"/>
    <s v="грн"/>
    <s v="Виробничий (Глобине-2)"/>
    <s v="ТОВ &quot;ІНДАСТРІАЛБУД&quot;"/>
    <s v="Хлань Елена"/>
    <s v="Акт 31/1.3-КМ(Цех екстракції поз. 3 ГБ)"/>
  </r>
  <r>
    <x v="21"/>
    <s v="ІБ00-000079"/>
    <s v="АСТАРТА АГРО ПРОТЕЇН ТОВ"/>
    <n v="260629.33"/>
    <s v="грн"/>
    <s v="Виробничий (Глобине-2)"/>
    <s v="ТОВ &quot;ІНДАСТРІАЛБУД&quot;"/>
    <s v="Хлань Елена"/>
    <s v=" Акт 3/1.25 (Демонтажні роботи)"/>
  </r>
  <r>
    <x v="21"/>
    <s v="ІБ00-000080"/>
    <s v="АСТАРТА АГРО ПРОТЕЇН ТОВ"/>
    <n v="298598.24"/>
    <s v="грн"/>
    <s v="Виробничий (Глобине-2)"/>
    <s v="ТОВ &quot;ІНДАСТРІАЛБУД&quot;"/>
    <s v="Хлань Елена"/>
    <s v=" Акт 14/1.9-КБ (СПК) мшп 2247,26"/>
  </r>
  <r>
    <x v="21"/>
    <s v="ІБ00-000081"/>
    <s v="АСТАРТА АГРО ПРОТЕЇН ТОВ"/>
    <n v="154994.69"/>
    <s v="грн"/>
    <s v="Виробничий (Глобине-2)"/>
    <s v="ТОВ &quot;ІНДАСТРІАЛБУД&quot;"/>
    <s v="Хлань Елена"/>
    <s v="Акт 21/1.3-КБ(Цех екстракції поз. 3 ГБ)"/>
  </r>
  <r>
    <x v="21"/>
    <s v="ІБ00-000082"/>
    <s v="АСТАРТА АГРО ПРОТЕЇН ТОВ"/>
    <n v="1029694.64"/>
    <s v="грн"/>
    <s v="Виробничий (Глобине-2)"/>
    <s v="ТОВ &quot;ІНДАСТРІАЛБУД&quot;"/>
    <s v="Хлань Елена"/>
    <s v=" Акт 7/1.12-КБ (Резервуарний парк) мшп 8463,77"/>
  </r>
  <r>
    <x v="21"/>
    <s v="ІБ00-000083"/>
    <s v="АСТАРТА АГРО ПРОТЕЇН ТОВ"/>
    <n v="19283.939999999999"/>
    <s v="грн"/>
    <s v="Виробничий (Глобине-2)"/>
    <s v="ТОВ &quot;ІНДАСТРІАЛБУД&quot;"/>
    <s v="Хлань Елена"/>
    <s v=" Акт 18/1.14-КБ (Котельня)"/>
  </r>
  <r>
    <x v="21"/>
    <s v="ІБ00-000084"/>
    <s v="АСТАРТА АГРО ПРОТЕЇН ТОВ"/>
    <n v="1434302.93"/>
    <s v="грн"/>
    <s v="Виробничий (Глобине-2)"/>
    <s v="ТОВ &quot;ІНДАСТРІАЛБУД&quot;"/>
    <s v="Хлань Елена"/>
    <s v=" Акт 14/1.14-КМ (Котельня) мшп 24 407,14"/>
  </r>
  <r>
    <x v="22"/>
    <s v="ІБ00-000078"/>
    <s v="АСТАРТА АГРО ПРОТЕЇН ТОВ"/>
    <n v="912599.72"/>
    <s v="грн"/>
    <s v="Виробничий (Глобине-2)"/>
    <s v="ТОВ &quot;ІНДАСТРІАЛБУД&quot;"/>
    <s v="Хлань Елена"/>
    <s v=" Акт 4/1.25 (Демонтажні роботи)"/>
  </r>
  <r>
    <x v="22"/>
    <s v="ІБ00-000093"/>
    <s v="АСТАРТА АГРО ПРОТЕЇН ТОВ"/>
    <n v="118016.38"/>
    <s v="грн"/>
    <s v="Виробничий (Глобине-2)"/>
    <s v="ТОВ &quot;ІНДАСТРІАЛБУД&quot;"/>
    <s v="Хлань Елена"/>
    <s v=" Акт 15/1.14-КМ (Котельня)"/>
  </r>
  <r>
    <x v="22"/>
    <s v="ІБ00-000094"/>
    <s v="АСТАРТА АГРО ПРОТЕЇН ТОВ"/>
    <n v="264059.74"/>
    <s v="грн"/>
    <s v="Виробничий (Глобине-2)"/>
    <s v="ТОВ &quot;ІНДАСТРІАЛБУД&quot;"/>
    <s v="Хлань Елена"/>
    <s v="Акт 22/1.3-КБ(Цех екстракції поз. 3 ГБ) МШП 1996,32"/>
  </r>
  <r>
    <x v="22"/>
    <s v="ІБ00-000095"/>
    <s v="АСТАРТА АГРО ПРОТЕЇН ТОВ"/>
    <n v="205483.9"/>
    <s v="грн"/>
    <s v="Виробничий (Глобине-2)"/>
    <s v="ТОВ &quot;ІНДАСТРІАЛБУД&quot;"/>
    <s v="Хлань Елена"/>
    <s v="Акт 32/1.3-КМ(Цех екстракції поз. 3 ГБ) МШП 10648 (монтаж м/к)"/>
  </r>
  <r>
    <x v="22"/>
    <s v="ІБ00-000096"/>
    <s v="АСТАРТА АГРО ПРОТЕЇН ТОВ"/>
    <n v="313468.52"/>
    <s v="грн"/>
    <s v="Виробничий (Глобине-2)"/>
    <s v="ТОВ &quot;ІНДАСТРІАЛБУД&quot;"/>
    <s v="Хлань Елена"/>
    <s v="Акт 3/1.5-КМ (насосна,градирня)"/>
  </r>
  <r>
    <x v="22"/>
    <s v="ІБ00-000097"/>
    <s v="АСТАРТА АГРО ПРОТЕЇН ТОВ"/>
    <n v="432960"/>
    <s v="грн"/>
    <s v="Виробничий (Глобине-2)"/>
    <s v="ТОВ &quot;ІНДАСТРІАЛБУД&quot;"/>
    <s v="Хлань Елена"/>
    <s v="Акт 4/1.5-КМ (насосна,градирня) МШП 1025,97"/>
  </r>
  <r>
    <x v="22"/>
    <s v="ІБ00-000098"/>
    <s v="АСТАРТА АГРО ПРОТЕЇН ТОВ"/>
    <n v="829869.79"/>
    <s v="грн"/>
    <s v="Виробничий (Глобине-2)"/>
    <s v="ТОВ &quot;ІНДАСТРІАЛБУД&quot;"/>
    <s v="Хлань Елена"/>
    <s v=" Акт 8/1.12-КБ (Резервуарний парк) МШП 7431,80"/>
  </r>
  <r>
    <x v="22"/>
    <s v="ІБ00-000099"/>
    <s v="АСТАРТА АГРО ПРОТЕЇН ТОВ"/>
    <n v="1955728.21"/>
    <s v="грн"/>
    <s v="Виробничий (Глобине-2)"/>
    <s v="ТОВ &quot;ІНДАСТРІАЛБУД&quot;"/>
    <s v="Хлань Елена"/>
    <s v=" Акт 1/1.9-ЗБ"/>
  </r>
  <r>
    <x v="23"/>
    <s v="ІБ00-000101"/>
    <s v="АСТАРТА АГРО ПРОТЕЇН ТОВ"/>
    <n v="897258.54"/>
    <s v="грн"/>
    <s v="Виробничий (Глобине-2)"/>
    <s v="ТОВ &quot;ІНДАСТРІАЛБУД&quot;"/>
    <s v="Хлань Елена"/>
    <s v=" Акт 5/1.25 (Демонтажні роботи) роботи підрядника мшп 2955,00"/>
  </r>
  <r>
    <x v="23"/>
    <s v="ІБ00-000102"/>
    <s v="АСТАРТА АГРО ПРОТЕЇН ТОВ"/>
    <n v="794455.3"/>
    <s v="грн"/>
    <s v="Виробничий (Глобине-2)"/>
    <s v="ТОВ &quot;ІНДАСТРІАЛБУД&quot;"/>
    <s v="Хлань Елена"/>
    <s v=" Акт 1/1.26_Б мшп 1477,50"/>
  </r>
  <r>
    <x v="23"/>
    <s v="ІБ00-000103"/>
    <s v="АСТАРТА АГРО ПРОТЕЇН ТОВ"/>
    <n v="1403664.83"/>
    <s v="грн"/>
    <s v="Виробничий (Глобине-2)"/>
    <s v="ТОВ &quot;ІНДАСТРІАЛБУД&quot;"/>
    <s v="Хлань Елена"/>
    <s v=" Акт 2/1.9-ЗБ роботи підрядника"/>
  </r>
  <r>
    <x v="23"/>
    <s v="ІБ00-000104"/>
    <s v="АСТАРТА АГРО ПРОТЕЇН ТОВ"/>
    <n v="107250.37"/>
    <s v="грн"/>
    <s v="Виробничий (Глобине-2)"/>
    <s v="ТОВ &quot;ІНДАСТРІАЛБУД&quot;"/>
    <s v="Хлань Елена"/>
    <s v="Акт 5/1.5-КМ (насосна,градирня) МШП 2749,90"/>
  </r>
  <r>
    <x v="23"/>
    <s v="ІБ00-000105"/>
    <s v="АСТАРТА АГРО ПРОТЕЇН ТОВ"/>
    <n v="128830.32"/>
    <s v="грн"/>
    <s v="Виробничий (Глобине-2)"/>
    <s v="ТОВ &quot;ІНДАСТРІАЛБУД&quot;"/>
    <s v="Хлань Елена"/>
    <s v="Акт 6/1.5-КМ (насосна,градирня) закрывался только материал. Работы не выполнялись"/>
  </r>
  <r>
    <x v="23"/>
    <s v="ІБ00-000106"/>
    <s v="АСТАРТА АГРО ПРОТЕЇН ТОВ"/>
    <n v="375627.56"/>
    <s v="грн"/>
    <s v="Виробничий (Глобине-2)"/>
    <s v="ТОВ &quot;ІНДАСТРІАЛБУД&quot;"/>
    <s v="Хлань Елена"/>
    <s v=" Акт 9/1.12-КБ (Резервуарний парк) МШП 2680,41"/>
  </r>
  <r>
    <x v="23"/>
    <s v="ІБ00-000107"/>
    <s v="АСТАРТА АГРО ПРОТЕЇН ТОВ"/>
    <n v="1208751.3600000001"/>
    <s v="грн"/>
    <s v="Виробничий (Глобине-2)"/>
    <s v="ТОВ &quot;ІНДАСТРІАЛБУД&quot;"/>
    <s v="Хлань Елена"/>
    <s v=" Акт 16/1.14-КМ (Котельня) МШП 14688,09"/>
  </r>
  <r>
    <x v="23"/>
    <s v="ІБ00-000108"/>
    <s v="АСТАРТА АГРО ПРОТЕЇН ТОВ"/>
    <n v="2497089.5299999998"/>
    <s v="грн"/>
    <s v="Виробничий (Глобине-2)"/>
    <s v="ТОВ &quot;ІНДАСТРІАЛБУД&quot;"/>
    <s v="Хлань Елена"/>
    <s v="Акт 33/1.3-КМ(Цех екстракції поз. 3 ГБ) завод матеріалів,роботи не виконувалися"/>
  </r>
  <r>
    <x v="23"/>
    <s v="ІБ00-000109"/>
    <s v="АСТАРТА АГРО ПРОТЕЇН ТОВ"/>
    <n v="228326.5"/>
    <s v="грн"/>
    <s v="Виробничий (Глобине-2)"/>
    <s v="ТОВ &quot;ІНДАСТРІАЛБУД&quot;"/>
    <s v="Хлань Елена"/>
    <s v="Акт 7/1.4-КБ (резервуар для зберігання розчинника) МШП 1959,25"/>
  </r>
  <r>
    <x v="24"/>
    <s v="ІБ00-000121"/>
    <s v="АСТАРТА АГРО ПРОТЕЇН ТОВ"/>
    <n v="13836489.1"/>
    <s v="грн"/>
    <s v="Виробничий (Глобине-2)"/>
    <s v="ТОВ &quot;ІНДАСТРІАЛБУД&quot;"/>
    <s v="Хлань Елена"/>
    <s v="Акт 35/1.3-КМ(Цех екстракції поз. 3 ГБ)"/>
  </r>
  <r>
    <x v="24"/>
    <s v="ІБ00-000111"/>
    <s v="АСТАРТА АГРО ПРОТЕЇН ТОВ"/>
    <n v="2973235.99"/>
    <s v="грн"/>
    <s v="Виробничий (Глобине-2)"/>
    <s v="ТОВ &quot;ІНДАСТРІАЛБУД&quot;"/>
    <s v="Хлань Елена"/>
    <s v=" Акт 3/1.9-ЗБ підрядні роботи"/>
  </r>
  <r>
    <x v="24"/>
    <s v="ІБ00-000112"/>
    <s v="АСТАРТА АГРО ПРОТЕЇН ТОВ"/>
    <n v="203040.53"/>
    <s v="грн"/>
    <s v="Виробничий (Глобине-2)"/>
    <s v="ТОВ &quot;ІНДАСТРІАЛБУД&quot;"/>
    <s v="Хлань Елена"/>
    <s v=" Акт 15/1.9-КБ (СПК)"/>
  </r>
  <r>
    <x v="24"/>
    <s v="ІБ00-000113"/>
    <s v="АСТАРТА АГРО ПРОТЕЇН ТОВ"/>
    <n v="392196.97"/>
    <s v="грн"/>
    <s v="Виробничий (Глобине-2)"/>
    <s v="ТОВ &quot;ІНДАСТРІАЛБУД&quot;"/>
    <s v="Хлань Елена"/>
    <s v="Акт 8/1.4-КБ (резервуар для зберігання розчинника) мшп 3167,28"/>
  </r>
  <r>
    <x v="24"/>
    <s v="ІБ00-000114"/>
    <s v="АСТАРТА АГРО ПРОТЕЇН ТОВ"/>
    <n v="352545.9"/>
    <s v="грн"/>
    <s v="Виробничий (Глобине-2)"/>
    <s v="ТОВ &quot;ІНДАСТРІАЛБУД&quot;"/>
    <s v="Хлань Елена"/>
    <s v="Акт 34/1.3-КМ(Цех екстракції поз. 3 ГБ) монтаж конструкцій без списання"/>
  </r>
  <r>
    <x v="24"/>
    <s v="ІБ00-000115"/>
    <s v="АСТАРТА АГРО ПРОТЕЇН ТОВ"/>
    <n v="461427.12"/>
    <s v="грн"/>
    <s v="Виробничий (Глобине-2)"/>
    <s v="ТОВ &quot;ІНДАСТРІАЛБУД&quot;"/>
    <s v="Хлань Елена"/>
    <s v="Акт 23/1.3-КБ(Цех екстракції поз. 3 ГБ) мшп 2259,10"/>
  </r>
  <r>
    <x v="24"/>
    <s v="ІБ00-000116"/>
    <s v="АСТАРТА АГРО ПРОТЕЇН ТОВ"/>
    <n v="802280.33"/>
    <s v="грн"/>
    <s v="Виробничий (Глобине-2)"/>
    <s v="ТОВ &quot;ІНДАСТРІАЛБУД&quot;"/>
    <s v="Хлань Елена"/>
    <s v=" Акт 19/1.14-КБ (Котельня)"/>
  </r>
  <r>
    <x v="24"/>
    <s v="ІБ00-000117"/>
    <s v="АСТАРТА АГРО ПРОТЕЇН ТОВ"/>
    <n v="17307.59"/>
    <s v="грн"/>
    <s v="Виробничий (Глобине-2)"/>
    <s v="ТОВ &quot;ІНДАСТРІАЛБУД&quot;"/>
    <s v="Хлань Елена"/>
    <s v=" Акт 6/1.25 (Демонтажні роботи) мшп 750,00"/>
  </r>
  <r>
    <x v="24"/>
    <s v="ІБ00-000118"/>
    <s v="ГЛОБИНСЬКИЙ ПЕРЕРОБНИЙ ЗАВОД ТОВ"/>
    <n v="687244.16"/>
    <s v="грн"/>
    <s v="Виробничий (Глобине-2)"/>
    <s v="ТОВ &quot;ІНДАСТРІАЛБУД&quot;"/>
    <s v="Хлань Елена"/>
    <s v=" Акт 2/ГПЗ мшп 761,20"/>
  </r>
  <r>
    <x v="24"/>
    <s v="ІБ00-000119"/>
    <s v="ГЛОБИНСЬКИЙ ПЕРЕРОБНИЙ ЗАВОД ТОВ"/>
    <n v="1726667.27"/>
    <s v="грн"/>
    <s v="Виробничий (Глобине-2)"/>
    <s v="ТОВ &quot;ІНДАСТРІАЛБУД&quot;"/>
    <s v="Хлань Елена"/>
    <s v=" Акт 1/ГПЗ"/>
  </r>
  <r>
    <x v="25"/>
    <s v="ІБ00-000125"/>
    <s v="АСТАРТА АГРО ПРОТЕЇН ТОВ"/>
    <n v="2426298.34"/>
    <s v="грн"/>
    <s v="Виробничий (Глобине-2)"/>
    <s v="ТОВ &quot;ІНДАСТРІАЛБУД&quot;"/>
    <s v="Хлань Елена"/>
    <s v=" Акт 2/1.26_Б"/>
  </r>
  <r>
    <x v="25"/>
    <s v="ІБ00-000126"/>
    <s v="АСТАРТА АГРО ПРОТЕЇН ТОВ"/>
    <n v="1235109.8400000001"/>
    <s v="грн"/>
    <s v="Виробничий (Глобине-2)"/>
    <s v="ТОВ &quot;ІНДАСТРІАЛБУД&quot;"/>
    <s v="Хлань Елена"/>
    <s v="Акт 36/1.3-КМ(Цех екстракції поз. 3 ГБ)"/>
  </r>
  <r>
    <x v="25"/>
    <s v="ІБ00-000128"/>
    <s v="АСТАРТА АГРО ПРОТЕЇН ТОВ"/>
    <n v="18815.88"/>
    <s v="грн"/>
    <s v="Виробничий (Глобине-2)"/>
    <s v="ТОВ &quot;ІНДАСТРІАЛБУД&quot;"/>
    <s v="Хлань Елена"/>
    <s v="Акт 8/1.5-КМ (насосна,градирня)"/>
  </r>
  <r>
    <x v="25"/>
    <s v="ІБ00-000129"/>
    <s v="АСТАРТА АГРО ПРОТЕЇН ТОВ"/>
    <n v="1689654.91"/>
    <s v="грн"/>
    <s v="Виробничий (Глобине-2)"/>
    <s v="ТОВ &quot;ІНДАСТРІАЛБУД&quot;"/>
    <s v="Хлань Елена"/>
    <s v=" Акт 4/1.9-ЗБ"/>
  </r>
  <r>
    <x v="25"/>
    <s v="ІБ00-000130"/>
    <s v="АСТАРТА АГРО ПРОТЕЇН ТОВ"/>
    <n v="225847.98"/>
    <s v="грн"/>
    <s v="Виробничий (Глобине-2)"/>
    <s v="ТОВ &quot;ІНДАСТРІАЛБУД&quot;"/>
    <s v="Хлань Елена"/>
    <s v="Акт 24/1.3-КБ(Цех екстракції поз. 3 ГБ)"/>
  </r>
  <r>
    <x v="26"/>
    <s v="ІБ00-000133"/>
    <s v="АСТАРТА АГРО ПРОТЕЇН ТОВ"/>
    <n v="274195.68"/>
    <s v="грн"/>
    <s v="Виробничий (Глобине-2)"/>
    <s v="ТОВ &quot;ІНДАСТРІАЛБУД&quot;"/>
    <s v="Хлань Елена"/>
    <s v=" Акт 20/1.14-КБ (Котельня)"/>
  </r>
  <r>
    <x v="27"/>
    <s v="ІБ00-000143"/>
    <s v="АСТАРТА АГРО ПРОТЕЇН ТОВ"/>
    <n v="5653291.9699999997"/>
    <s v="грн"/>
    <s v="Виробничий (Глобине-2)"/>
    <s v="ТОВ &quot;ІНДАСТРІАЛБУД&quot;"/>
    <s v="Хлань Елена"/>
    <s v=" Акт 5/1.9-ЗБ"/>
  </r>
  <r>
    <x v="27"/>
    <s v="ІБ00-000141"/>
    <s v="АСТАРТА АГРО ПРОТЕЇН ТОВ"/>
    <n v="38691.11"/>
    <s v="грн"/>
    <s v="Виробничий (Глобине-2)"/>
    <s v="ТОВ &quot;ІНДАСТРІАЛБУД&quot;"/>
    <s v="Хлань Елена"/>
    <s v=" Акт 3/1.26_Б"/>
  </r>
  <r>
    <x v="27"/>
    <s v="ІБ00-000144"/>
    <s v="АСТАРТА АГРО ПРОТЕЇН ТОВ"/>
    <n v="987819.52000000002"/>
    <s v="грн"/>
    <s v="Виробничий (Глобине-2)"/>
    <s v="ТОВ &quot;ІНДАСТРІАЛБУД&quot;"/>
    <s v="Хлань Елена"/>
    <s v="Акт 25/1.3-КБ(Цех екстракції поз. 3 ГБ) "/>
  </r>
  <r>
    <x v="27"/>
    <s v="ІБ00-000145"/>
    <s v="АСТАРТА АГРО ПРОТЕЇН ТОВ"/>
    <n v="688773.96"/>
    <s v="грн"/>
    <s v="Виробничий (Глобине-2)"/>
    <s v="ТОВ &quot;ІНДАСТРІАЛБУД&quot;"/>
    <s v="Хлань Елена"/>
    <s v="Акт 37/1.3-КМ(Цех екстракції поз. 3 ГБ)"/>
  </r>
  <r>
    <x v="27"/>
    <s v="ІБ00-000147"/>
    <s v="ГЛОБИНСЬКИЙ ПЕРЕРОБНИЙ ЗАВОД ТОВ"/>
    <n v="111112.48"/>
    <s v="грн"/>
    <s v="Виробничий (Глобине-2)"/>
    <s v="ТОВ &quot;ІНДАСТРІАЛБУД&quot;"/>
    <s v="Хлань Елена"/>
    <s v=" Акт 3/ГПЗ"/>
  </r>
  <r>
    <x v="28"/>
    <s v="ІБ00-000146"/>
    <s v="АСТАРТА АГРО ПРОТЕЇН ТОВ"/>
    <n v="276513.48"/>
    <s v="грн"/>
    <s v="Виробничий (Глобине-2)"/>
    <s v="ТОВ &quot;ІНДАСТРІАЛБУД&quot;"/>
    <s v="Хлань Елена"/>
    <s v=" Акт 2/1.14-АР (Котельня)"/>
  </r>
  <r>
    <x v="28"/>
    <s v="ІБ00-000131"/>
    <s v="АСТАРТА АГРО ПРОТЕЇН ТОВ"/>
    <n v="278885.40000000002"/>
    <s v="грн"/>
    <s v="Виробничий (Глобине-2)"/>
    <s v="ТОВ &quot;ІНДАСТРІАЛБУД&quot;"/>
    <s v="Хлань Елена"/>
    <s v=" Акт 1/1.14-АР (Котельня)"/>
  </r>
  <r>
    <x v="28"/>
    <s v="ІБ00-000134"/>
    <s v="АСТАРТА АГРО ПРОТЕЇН ТОВ"/>
    <n v="3660583.96"/>
    <s v="грн"/>
    <s v="Виробничий (Глобине-2)"/>
    <s v="ТОВ &quot;ІНДАСТРІАЛБУД&quot;"/>
    <s v="Хлань Елена"/>
    <s v=" Акт 1/1.1-КБ (АПК)"/>
  </r>
  <r>
    <x v="28"/>
    <s v="ІБ00-000135"/>
    <s v="АСТАРТА АГРО ПРОТЕЇН ТОВ"/>
    <n v="1009145.9"/>
    <s v="грн"/>
    <s v="Виробничий (Глобине-2)"/>
    <s v="ТОВ &quot;ІНДАСТРІАЛБУД&quot;"/>
    <s v="Хлань Елена"/>
    <s v=" Акт 1/1.10-КБ (Біг-бег)"/>
  </r>
  <r>
    <x v="29"/>
    <s v="ІБ00-000150"/>
    <s v="АСТАРТА АГРО ПРОТЕЇН ТОВ"/>
    <n v="524107.09"/>
    <s v="грн"/>
    <s v="Виробничий (Глобине-2)"/>
    <s v="ТОВ &quot;ІНДАСТРІАЛБУД&quot;"/>
    <s v="Хлань Елена"/>
    <s v="Акт 26/1.3-КБ(Цех екстракції поз. 3 ГБ)"/>
  </r>
  <r>
    <x v="29"/>
    <s v="ІБ00-000151"/>
    <s v="АСТАРТА АГРО ПРОТЕЇН ТОВ"/>
    <n v="279619.26"/>
    <s v="грн"/>
    <s v="Виробничий (Глобине-2)"/>
    <s v="ТОВ &quot;ІНДАСТРІАЛБУД&quot;"/>
    <s v="Хлань Елена"/>
    <s v="Акт 38/1.3-КМ(Цех екстракції поз. 3 ГБ)"/>
  </r>
  <r>
    <x v="29"/>
    <s v="ІБ00-000152"/>
    <s v="АСТАРТА АГРО ПРОТЕЇН ТОВ"/>
    <n v="1029145.36"/>
    <s v="грн"/>
    <s v="Виробничий (Глобине-2)"/>
    <s v="ТОВ &quot;ІНДАСТРІАЛБУД&quot;"/>
    <s v="Хлань Елена"/>
    <s v=" Акт 6/1.9-ЗБ"/>
  </r>
  <r>
    <x v="29"/>
    <s v="ІБ00-000153"/>
    <s v="АСТАРТА АГРО ПРОТЕЇН ТОВ"/>
    <n v="39115.67"/>
    <s v="грн"/>
    <s v="Виробничий (Глобине-2)"/>
    <s v="ТОВ &quot;ІНДАСТРІАЛБУД&quot;"/>
    <s v="Хлань Елена"/>
    <s v=" Акт 16/1.9-КБ (СПК)"/>
  </r>
  <r>
    <x v="29"/>
    <s v="ІБ00-000154"/>
    <s v="АСТАРТА АГРО ПРОТЕЇН ТОВ"/>
    <n v="184123.84"/>
    <s v="грн"/>
    <s v="Виробничий (Глобине-2)"/>
    <s v="ТОВ &quot;ІНДАСТРІАЛБУД&quot;"/>
    <s v="Хлань Елена"/>
    <s v="Акт 9/1.4-КБ (резервуар для зберігання розчинника)"/>
  </r>
  <r>
    <x v="30"/>
    <s v="ІБ00-000156"/>
    <s v="АСТАРТА АГРО ПРОТЕЇН ТОВ"/>
    <n v="230451.07"/>
    <s v="грн"/>
    <s v="Виробничий (Глобине-2)"/>
    <s v="ТОВ &quot;ІНДАСТРІАЛБУД&quot;"/>
    <s v="Хлань Елена"/>
    <s v=" Акт 3/1.14-АР (Котельня)"/>
  </r>
  <r>
    <x v="30"/>
    <s v="ІБ00-000157"/>
    <s v="АСТАРТА АГРО ПРОТЕЇН ТОВ"/>
    <n v="172188.83"/>
    <s v="грн"/>
    <s v="Виробничий (Глобине-2)"/>
    <s v="ТОВ &quot;ІНДАСТРІАЛБУД&quot;"/>
    <s v="Хлань Елена"/>
    <s v=" Акт 2/1.10-КБ"/>
  </r>
  <r>
    <x v="31"/>
    <s v="ІБ00-000160"/>
    <s v="АСТАРТА АГРО ПРОТЕЇН ТОВ"/>
    <n v="4763796.07"/>
    <s v="грн"/>
    <s v="Виробничий (Глобине-2)"/>
    <s v="ТОВ &quot;ІНДАСТРІАЛБУД&quot;"/>
    <s v="Хлань Елена"/>
    <s v="Акт 39/1.3-КМ(Цех екстракції поз. 3 ГБ)"/>
  </r>
  <r>
    <x v="31"/>
    <s v="ІБ00-000161"/>
    <s v="АСТАРТА АГРО ПРОТЕЇН ТОВ"/>
    <n v="357340.84"/>
    <s v="грн"/>
    <s v="Виробничий (Глобине-2)"/>
    <s v="ТОВ &quot;ІНДАСТРІАЛБУД&quot;"/>
    <s v="Хлань Елена"/>
    <s v="Акт 27/1.3-КБ(Цех екстракції поз. 3 ГБ)"/>
  </r>
  <r>
    <x v="31"/>
    <s v="ІБ00-000163"/>
    <s v="АСТАРТА АГРО ПРОТЕЇН ТОВ"/>
    <n v="186798"/>
    <s v="грн"/>
    <s v="Виробничий (Глобине-2)"/>
    <s v="ТОВ &quot;ІНДАСТРІАЛБУД&quot;"/>
    <s v="Хлань Елена"/>
    <s v=" Акт 4/1.26_Б"/>
  </r>
  <r>
    <x v="31"/>
    <s v="ІБ00-000165"/>
    <s v="АСТАРТА АГРО ПРОТЕЇН ТОВ"/>
    <n v="2668533.2200000002"/>
    <s v="грн"/>
    <s v="Виробничий (Глобине-2)"/>
    <s v="ТОВ &quot;ІНДАСТРІАЛБУД&quot;"/>
    <s v="Хлань Елена"/>
    <s v=" Акт 2/1.1-КБ (АПК)"/>
  </r>
  <r>
    <x v="32"/>
    <s v="ІБ00-000162"/>
    <s v="АСТАРТА АГРО ПРОТЕЇН ТОВ"/>
    <n v="381231.14"/>
    <s v="грн"/>
    <s v="Виробничий (Глобине-2)"/>
    <s v="ТОВ &quot;ІНДАСТРІАЛБУД&quot;"/>
    <s v="Хлань Елена"/>
    <s v=" Акт 4/1.14-АР (Котельня)"/>
  </r>
  <r>
    <x v="33"/>
    <s v="ІБ00-000168"/>
    <s v="АСТАРТА АГРО ПРОТЕЇН ТОВ"/>
    <n v="907425.8"/>
    <s v="грн"/>
    <s v="Виробничий (Глобине-2)"/>
    <s v="ТОВ &quot;ІНДАСТРІАЛБУД&quot;"/>
    <s v="Хлань Елена"/>
    <s v=" Акт 5/1.14-АР (Котельня)"/>
  </r>
  <r>
    <x v="33"/>
    <s v="ІБ00-000169"/>
    <s v="ГЛОБИНСЬКИЙ ПЕРЕРОБНИЙ ЗАВОД ТОВ"/>
    <n v="69288.98"/>
    <s v="грн"/>
    <s v="Виробничий (Глобине-2)"/>
    <s v="ТОВ &quot;ІНДАСТРІАЛБУД&quot;"/>
    <s v="Хлань Елена"/>
    <s v=" Акт 4/ГПЗ"/>
  </r>
  <r>
    <x v="33"/>
    <s v="ІБ00-000170"/>
    <s v="АСТАРТА АГРО ПРОТЕЇН ТОВ"/>
    <n v="323479.52"/>
    <s v="грн"/>
    <s v="Виробничий (Глобине-2)"/>
    <s v="ТОВ &quot;ІНДАСТРІАЛБУД&quot;"/>
    <s v="Хлань Елена"/>
    <s v=" Акт 2/1.16-КБ (Пожежний резервуар)"/>
  </r>
  <r>
    <x v="33"/>
    <s v="ІБ00-000171"/>
    <s v="АСТАРТА АГРО ПРОТЕЇН ТОВ"/>
    <n v="367507.33"/>
    <s v="грн"/>
    <s v="Виробничий (Глобине-2)"/>
    <s v="ТОВ &quot;ІНДАСТРІАЛБУД&quot;"/>
    <s v="Хлань Елена"/>
    <s v=" Акт 3/1.10-КБ"/>
  </r>
  <r>
    <x v="33"/>
    <s v="ІБ00-000172"/>
    <s v="АСТАРТА АГРО ПРОТЕЇН ТОВ"/>
    <n v="80886.820000000007"/>
    <s v="грн"/>
    <s v="Виробничий (Глобине-2)"/>
    <s v="ТОВ &quot;ІНДАСТРІАЛБУД&quot;"/>
    <s v="Хлань Елена"/>
    <s v=" Акт 21/1.14-КБ (Котельня)"/>
  </r>
  <r>
    <x v="33"/>
    <s v="ІБ00-000173"/>
    <s v="АСТАРТА АГРО ПРОТЕЇН ТОВ"/>
    <n v="105132"/>
    <s v="грн"/>
    <s v="Виробничий (Глобине-2)"/>
    <s v="ТОВ &quot;ІНДАСТРІАЛБУД&quot;"/>
    <s v="Хлань Елена"/>
    <s v=" Акт 5/1.26_Б"/>
  </r>
  <r>
    <x v="33"/>
    <s v="ІБ00-000174"/>
    <s v="АСТАРТА АГРО ПРОТЕЇН ТОВ"/>
    <n v="150074.98000000001"/>
    <s v="грн"/>
    <s v="Виробничий (Глобине-2)"/>
    <s v="ТОВ &quot;ІНДАСТРІАЛБУД&quot;"/>
    <s v="Хлань Елена"/>
    <s v=" Акт 17/1.9-КБ (СПК)"/>
  </r>
  <r>
    <x v="33"/>
    <s v="ІБ00-000175"/>
    <s v="АСТАРТА АГРО ПРОТЕЇН ТОВ"/>
    <n v="2392060.7200000002"/>
    <s v="грн"/>
    <s v="Виробничий (Глобине-2)"/>
    <s v="ТОВ &quot;ІНДАСТРІАЛБУД&quot;"/>
    <s v="Хлань Елена"/>
    <s v=" Акт 7/1.9-ЗБ"/>
  </r>
  <r>
    <x v="33"/>
    <s v="ІБ00-000176"/>
    <s v="АСТАРТА АГРО ПРОТЕЇН ТОВ"/>
    <n v="134149.85"/>
    <s v="грн"/>
    <s v="Виробничий (Глобине-2)"/>
    <s v="ТОВ &quot;ІНДАСТРІАЛБУД&quot;"/>
    <s v="Хлань Елена"/>
    <s v="Акт 8/1.5-КМ (насосна,градирня)"/>
  </r>
  <r>
    <x v="33"/>
    <s v="ІБ00-000177"/>
    <s v="АСТАРТА АГРО ПРОТЕЇН ТОВ"/>
    <n v="73375.240000000005"/>
    <s v="грн"/>
    <s v="Виробничий (Глобине-2)"/>
    <s v="ТОВ &quot;ІНДАСТРІАЛБУД&quot;"/>
    <s v="Хлань Елена"/>
    <s v="Акт 8/1.5-КБ (насосна,градирня)"/>
  </r>
  <r>
    <x v="33"/>
    <s v="ІБ00-000178"/>
    <s v="АСТАРТА АГРО ПРОТЕЇН ТОВ"/>
    <n v="175808.34"/>
    <s v="грн"/>
    <s v="Виробничий (Глобине-2)"/>
    <s v="ТОВ &quot;ІНДАСТРІАЛБУД&quot;"/>
    <s v="Хлань Елена"/>
    <s v="Акт 10/1.4-КБ (резервуар для зберігання розчинника)"/>
  </r>
  <r>
    <x v="33"/>
    <s v="ІБ00-000179"/>
    <s v="АСТАРТА АГРО ПРОТЕЇН ТОВ"/>
    <n v="1889378.03"/>
    <s v="грн"/>
    <s v="Виробничий (Глобине-2)"/>
    <s v="ТОВ &quot;ІНДАСТРІАЛБУД&quot;"/>
    <s v="Хлань Елена"/>
    <s v="Акт 42/1.3-КМ(Цех екстракції поз. 3 ГБ)"/>
  </r>
  <r>
    <x v="33"/>
    <s v="ІБ00-000180"/>
    <s v="АСТАРТА АГРО ПРОТЕЇН ТОВ"/>
    <n v="1866362.36"/>
    <s v="грн"/>
    <s v="Виробничий (Глобине-2)"/>
    <s v="ТОВ &quot;ІНДАСТРІАЛБУД&quot;"/>
    <s v="Хлань Елена"/>
    <s v="Акт 41/1.3-КМ(Цех екстракції поз. 3 ГБ)"/>
  </r>
  <r>
    <x v="33"/>
    <s v="ІБ00-000181"/>
    <s v="АСТАРТА АГРО ПРОТЕЇН ТОВ"/>
    <n v="467375.14"/>
    <s v="грн"/>
    <s v="Виробничий (Глобине-2)"/>
    <s v="ТОВ &quot;ІНДАСТРІАЛБУД&quot;"/>
    <s v="Хлань Елена"/>
    <s v="Акт 40/1.3-КМ(Цех екстракції поз. 3 ГБ)"/>
  </r>
  <r>
    <x v="33"/>
    <s v="ІБ00-000182"/>
    <s v="АСТАРТА АГРО ПРОТЕЇН ТОВ"/>
    <n v="290359.33"/>
    <s v="грн"/>
    <s v="Виробничий (Глобине-2)"/>
    <s v="ТОВ &quot;ІНДАСТРІАЛБУД&quot;"/>
    <s v="Хлань Елена"/>
    <s v="Акт 28/1.3-КБ(Цех екстракції поз. 3 ГБ)"/>
  </r>
  <r>
    <x v="33"/>
    <s v="ІБ00-000183"/>
    <s v="АСТАРТА АГРО ПРОТЕЇН ТОВ"/>
    <n v="7231516.4000000004"/>
    <s v="грн"/>
    <s v="Виробничий (Глобине-2)"/>
    <s v="ТОВ &quot;ІНДАСТРІАЛБУД&quot;"/>
    <s v="Хлань Елена"/>
    <s v="Акт 2/1.3-ТХ (Цех екстракції поз. 3 ГБ)"/>
  </r>
  <r>
    <x v="33"/>
    <s v="ІБ00-000185"/>
    <s v="АСТАРТА АГРО ПРОТЕЇН ТОВ"/>
    <n v="47964"/>
    <s v="грн"/>
    <s v="Виробничий (Глобине-2)"/>
    <s v="ТОВ &quot;ІНДАСТРІАЛБУД&quot;"/>
    <s v="Хлань Елена"/>
    <s v=" Акт 3/1.1-КБ (АПК)"/>
  </r>
  <r>
    <x v="33"/>
    <s v="ІБ00-000186"/>
    <s v="АСТАРТА АГРО ПРОТЕЇН ТОВ"/>
    <n v="309320.64"/>
    <s v="грн"/>
    <s v="Виробничий (Глобине-2)"/>
    <s v="ТОВ &quot;ІНДАСТРІАЛБУД&quot;"/>
    <s v="Хлань Елена"/>
    <s v=" Акт 17/1.14-КМ (Котельня)"/>
  </r>
  <r>
    <x v="33"/>
    <s v="ІБ00-000164"/>
    <s v="АСТАРТА АГРО ПРОТЕЇН ТОВ"/>
    <n v="1495017.41"/>
    <s v="грн"/>
    <s v="Виробничий (Глобине-2)"/>
    <s v="ТОВ &quot;ІНДАСТРІАЛБУД&quot;"/>
    <s v="Хлань Елена"/>
    <s v="Акт 1/1.5-АР (насосна,градирня)"/>
  </r>
  <r>
    <x v="34"/>
    <s v="ІБ00-000188"/>
    <s v="АСТАРТА АГРО ПРОТЕЇН ТОВ"/>
    <n v="392667.46"/>
    <s v="грн"/>
    <s v="Виробничий (Глобине-2)"/>
    <s v="ТОВ &quot;ІНДАСТРІАЛБУД&quot;"/>
    <s v="Аулова Маргарита"/>
    <s v=" Акт 7/1.25 (Демонтажні роботи) "/>
  </r>
  <r>
    <x v="34"/>
    <s v="ІБ00-000189"/>
    <s v="АСТАРТА АГРО ПРОТЕЇН ТОВ"/>
    <n v="619722.47"/>
    <s v="грн"/>
    <s v="Виробничий (Глобине-2)"/>
    <s v="ТОВ &quot;ІНДАСТРІАЛБУД&quot;"/>
    <s v="Аулова Маргарита"/>
    <s v=" Акт 4/1.1-КБ (АПК)"/>
  </r>
  <r>
    <x v="34"/>
    <s v="ІБ00-000191"/>
    <s v="АСТАРТА АГРО ПРОТЕЇН ТОВ"/>
    <n v="113687.66"/>
    <s v="грн"/>
    <s v="Виробничий (Глобине-2)"/>
    <s v="ТОВ &quot;ІНДАСТРІАЛБУД&quot;"/>
    <s v="Аулова Маргарита"/>
    <s v=" Акт 4/1.10-КБ"/>
  </r>
  <r>
    <x v="34"/>
    <s v="ІБ00-000192"/>
    <s v="АСТАРТА АГРО ПРОТЕЇН ТОВ"/>
    <n v="306231.88"/>
    <s v="грн"/>
    <s v="Виробничий (Глобине-2)"/>
    <s v="ТОВ &quot;ІНДАСТРІАЛБУД&quot;"/>
    <s v="Аулова Маргарита"/>
    <s v=" Акт 18/1.9-КБ (СПК)"/>
  </r>
  <r>
    <x v="34"/>
    <s v="ІБ00-000193"/>
    <s v="АСТАРТА АГРО ПРОТЕЇН ТОВ"/>
    <n v="721243.01"/>
    <s v="грн"/>
    <s v="Виробничий (Глобине-2)"/>
    <s v="ТОВ &quot;ІНДАСТРІАЛБУД&quot;"/>
    <s v="Аулова Маргарита"/>
    <s v=" Акт 8/1.9-ЗБ"/>
  </r>
  <r>
    <x v="34"/>
    <s v="ІБ00-000194"/>
    <s v="АСТАРТА АГРО ПРОТЕЇН ТОВ"/>
    <n v="546652.79"/>
    <s v="грн"/>
    <s v="Виробничий (Глобине-2)"/>
    <s v="ТОВ &quot;ІНДАСТРІАЛБУД&quot;"/>
    <s v="Аулова Маргарита"/>
    <s v="Акт 11/1.4-КБ (резервуар для зберігання розчинника)"/>
  </r>
  <r>
    <x v="34"/>
    <s v="ІБ00-000195"/>
    <s v="АСТАРТА АГРО ПРОТЕЇН ТОВ"/>
    <n v="507645.95"/>
    <s v="грн"/>
    <s v="Виробничий (Глобине-2)"/>
    <s v="ТОВ &quot;ІНДАСТРІАЛБУД&quot;"/>
    <s v="Аулова Маргарита"/>
    <s v="Акт 43/1.3-КМ(Цех екстракції поз. 3 ГБ)"/>
  </r>
  <r>
    <x v="34"/>
    <s v="ІБ00-000196"/>
    <s v="АСТАРТА АГРО ПРОТЕЇН ТОВ"/>
    <n v="1353258.59"/>
    <s v="грн"/>
    <s v="Виробничий (Глобине-2)"/>
    <s v="ТОВ &quot;ІНДАСТРІАЛБУД&quot;"/>
    <s v="Аулова Маргарита"/>
    <s v="Акт 44/1.3-КМ(Цех екстракції поз. 3 ГБ)"/>
  </r>
  <r>
    <x v="34"/>
    <s v="ІБ00-000200"/>
    <s v="ГЛОБИНСЬКИЙ ПЕРЕРОБНИЙ ЗАВОД ТОВ"/>
    <n v="74061.100000000006"/>
    <s v="грн"/>
    <s v="Виробничий (Глобине-2)"/>
    <s v="ТОВ &quot;ІНДАСТРІАЛБУД&quot;"/>
    <s v="Аулова Маргарита"/>
    <s v=" Акт 5/ГПЗ"/>
  </r>
  <r>
    <x v="35"/>
    <s v="ІБ00-000184"/>
    <s v="АСТАРТА АГРО ПРОТЕЇН ТОВ"/>
    <n v="250366.8"/>
    <s v="грн"/>
    <s v="Виробничий (Глобине-2)"/>
    <s v="ТОВ &quot;ІНДАСТРІАЛБУД&quot;"/>
    <s v="Хлань Елена"/>
    <s v="Акт 3/1.3-ТХ (Цех екстракції поз. 3 ГБ)"/>
  </r>
  <r>
    <x v="35"/>
    <s v="ІБ00-000199"/>
    <s v="АСТАРТА АГРО ПРОТЕЇН ТОВ"/>
    <n v="536499.18000000005"/>
    <s v="грн"/>
    <s v="Виробничий (Глобине-2)"/>
    <s v="ТОВ &quot;ІНДАСТРІАЛБУД&quot;"/>
    <s v="Аулова Маргарита"/>
    <s v="Акт 3/1.16-КБ (Насосна пожежогасіння поз.7 по ГП)"/>
  </r>
  <r>
    <x v="35"/>
    <s v="ІБ00-000205"/>
    <s v="АСТАРТА АГРО ПРОТЕЇН ТОВ"/>
    <n v="234021.88"/>
    <s v="грн"/>
    <s v="Виробничий (Глобине-2)"/>
    <s v="ТОВ &quot;ІНДАСТРІАЛБУД&quot;"/>
    <s v="Хлань Елена"/>
    <s v=" Акт 6/1.26_Б"/>
  </r>
  <r>
    <x v="35"/>
    <s v="ІБ00-000207"/>
    <s v="АСТАРТА АГРО ПРОТЕЇН ТОВ"/>
    <n v="128433.79"/>
    <s v="грн"/>
    <s v="Виробничий (Глобине-2)"/>
    <s v="ТОВ &quot;ІНДАСТРІАЛБУД&quot;"/>
    <s v="Хлань Елена"/>
    <s v=" Акт 5/1.10-КБ"/>
  </r>
  <r>
    <x v="35"/>
    <s v="ІБ00-000208"/>
    <s v="АСТАРТА АГРО ПРОТЕЇН ТОВ"/>
    <n v="1198605.6499999999"/>
    <s v="грн"/>
    <s v="Виробничий (Глобине-2)"/>
    <s v="ТОВ &quot;ІНДАСТРІАЛБУД&quot;"/>
    <s v="Хлань Елена"/>
    <s v=" Акт 5/1.1-КБ (АПК)"/>
  </r>
  <r>
    <x v="35"/>
    <s v="ІБ00-000209"/>
    <s v="АСТАРТА АГРО ПРОТЕЇН ТОВ"/>
    <n v="285591.74"/>
    <s v="грн"/>
    <s v="Виробничий (Глобине-2)"/>
    <s v="ТОВ &quot;ІНДАСТРІАЛБУД&quot;"/>
    <s v="Хлань Елена"/>
    <s v="Акт 4/1.16-КБ (Насосна пожежогасіння поз.7 по ГП)"/>
  </r>
  <r>
    <x v="35"/>
    <s v="ІБ00-000210"/>
    <s v="АСТАРТА АГРО ПРОТЕЇН ТОВ"/>
    <n v="2995839.92"/>
    <s v="грн"/>
    <s v="Виробничий (Глобине-2)"/>
    <s v="ТОВ &quot;ІНДАСТРІАЛБУД&quot;"/>
    <s v="Хлань Елена"/>
    <s v=" Акт 9/1.9-ЗБ"/>
  </r>
  <r>
    <x v="35"/>
    <s v="ІБ00-000211"/>
    <s v="АСТАРТА АГРО ПРОТЕЇН ТОВ"/>
    <n v="43899.44"/>
    <s v="грн"/>
    <s v="Виробничий (Глобине-2)"/>
    <s v="ТОВ &quot;ІНДАСТРІАЛБУД&quot;"/>
    <s v="Хлань Елена"/>
    <s v="Акт 12/1.4-КБ (резервуар для зберігання розчинника)"/>
  </r>
  <r>
    <x v="35"/>
    <s v="ІБ00-000212"/>
    <s v="АСТАРТА АГРО ПРОТЕЇН ТОВ"/>
    <n v="157710.1"/>
    <s v="грн"/>
    <s v="Виробничий (Глобине-2)"/>
    <s v="ТОВ &quot;ІНДАСТРІАЛБУД&quot;"/>
    <s v="Хлань Елена"/>
    <s v=" Акт 8/1.25 (Демонтажні роботи) "/>
  </r>
  <r>
    <x v="36"/>
    <s v="ІБ00-000213"/>
    <s v="ГЛОБИНСЬКИЙ ПЕРЕРОБНИЙ ЗАВОД ТОВ"/>
    <n v="81048.600000000006"/>
    <s v="грн"/>
    <s v="Виробничий (Глобине-2)"/>
    <s v="ТОВ &quot;ІНДАСТРІАЛБУД&quot;"/>
    <s v="Хлань Елена"/>
    <s v=" Акт 6/ГПЗ"/>
  </r>
  <r>
    <x v="37"/>
    <s v="ІБ00-000227"/>
    <s v="ГЛОБИНСЬКИЙ ПЕРЕРОБНИЙ ЗАВОД ТОВ"/>
    <n v="291602.28000000003"/>
    <s v="грн"/>
    <s v="Виробничий (Глобине-2)"/>
    <s v="ТОВ &quot;ІНДАСТРІАЛБУД&quot;"/>
    <s v="Хлань Елена"/>
    <s v=" Акт 7/ГПЗ"/>
  </r>
  <r>
    <x v="38"/>
    <s v="ІБ00-000216"/>
    <s v="АСТАРТА АГРО ПРОТЕЇН ТОВ"/>
    <n v="633172.01"/>
    <s v="грн"/>
    <s v="Виробничий (Глобине-2)"/>
    <s v="ТОВ &quot;ІНДАСТРІАЛБУД&quot;"/>
    <s v="Хлань Елена"/>
    <s v="Акт 13/1.4-КБ (резервуар для зберігання розчинника)"/>
  </r>
  <r>
    <x v="38"/>
    <s v="ІБ00-000217"/>
    <s v="АСТАРТА АГРО ПРОТЕЇН ТОВ"/>
    <n v="798378.2"/>
    <s v="грн"/>
    <s v="Виробничий (Глобине-2)"/>
    <s v="ТОВ &quot;ІНДАСТРІАЛБУД&quot;"/>
    <s v="Хлань Елена"/>
    <s v=" Акт 6/1.1-КБ (АПК)"/>
  </r>
  <r>
    <x v="38"/>
    <s v="ІБ00-000218"/>
    <s v="АСТАРТА АГРО ПРОТЕЇН ТОВ"/>
    <n v="50118"/>
    <s v="грн"/>
    <s v="Виробничий (Глобине-2)"/>
    <s v="ТОВ &quot;ІНДАСТРІАЛБУД&quot;"/>
    <s v="Хлань Елена"/>
    <s v=" Акт 7/1.26_Б"/>
  </r>
  <r>
    <x v="38"/>
    <s v="ІБ00-000219"/>
    <s v="АСТАРТА АГРО ПРОТЕЇН ТОВ"/>
    <n v="335168.86"/>
    <s v="грн"/>
    <s v="Виробничий (Глобине-2)"/>
    <s v="ТОВ &quot;ІНДАСТРІАЛБУД&quot;"/>
    <s v="Хлань Елена"/>
    <s v=" Акт 8/1.26_Б"/>
  </r>
  <r>
    <x v="38"/>
    <s v="ІБ00-000220"/>
    <s v="АСТАРТА АГРО ПРОТЕЇН ТОВ"/>
    <n v="3024589.46"/>
    <s v="грн"/>
    <s v="Виробничий (Глобине-2)"/>
    <s v="ТОВ &quot;ІНДАСТРІАЛБУД&quot;"/>
    <s v="Хлань Елена"/>
    <s v="Акт 45/1.3-КМ(Цех екстракції поз. 3 ГБ)"/>
  </r>
  <r>
    <x v="38"/>
    <s v="ІБ00-000221"/>
    <s v="АСТАРТА АГРО ПРОТЕЇН ТОВ"/>
    <n v="141593"/>
    <s v="грн"/>
    <s v="Виробничий (Глобине-2)"/>
    <s v="ТОВ &quot;ІНДАСТРІАЛБУД&quot;"/>
    <s v="Хлань Елена"/>
    <s v="Акт 5/1.16-КБ (Насосна пожежогасіння поз.7 по ГП)"/>
  </r>
  <r>
    <x v="38"/>
    <s v="ІБ00-000222"/>
    <s v="АСТАРТА АГРО ПРОТЕЇН ТОВ"/>
    <n v="1219968.1200000001"/>
    <s v="грн"/>
    <s v="Виробничий (Глобине-2)"/>
    <s v="ТОВ &quot;ІНДАСТРІАЛБУД&quot;"/>
    <s v="Хлань Елена"/>
    <s v=" Акт 10/1.9-ЗБ"/>
  </r>
  <r>
    <x v="38"/>
    <s v="ІБ00-000223"/>
    <s v="АСТАРТА АГРО ПРОТЕЇН ТОВ"/>
    <n v="1906277.27"/>
    <s v="грн"/>
    <s v="Виробничий (Глобине-2)"/>
    <s v="ТОВ &quot;ІНДАСТРІАЛБУД&quot;"/>
    <s v="Хлань Елена"/>
    <s v=" Акт 1/1.9-КМ (СПК)"/>
  </r>
  <r>
    <x v="38"/>
    <s v="ІБ00-000224"/>
    <s v="АСТАРТА АГРО ПРОТЕЇН ТОВ"/>
    <n v="428732.1"/>
    <s v="грн"/>
    <s v="Виробничий (Глобине-2)"/>
    <s v="ТОВ &quot;ІНДАСТРІАЛБУД&quot;"/>
    <s v="Хлань Елена"/>
    <s v=" Акт 10/1.12-КБ (Резервуарний парк)"/>
  </r>
  <r>
    <x v="38"/>
    <s v="ІБ00-000226"/>
    <s v="АСТАРТА АГРО ПРОТЕЇН ТОВ"/>
    <n v="64885.120000000003"/>
    <s v="грн"/>
    <s v="Виробничий (Глобине-2)"/>
    <s v="ТОВ &quot;ІНДАСТРІАЛБУД&quot;"/>
    <s v="Хлань Елена"/>
    <s v=" Акт 9/1.25 (Демонтажні роботи) "/>
  </r>
  <r>
    <x v="38"/>
    <s v="ІБ00-000228"/>
    <s v="АСТАРТА АГРО ПРОТЕЇН ТОВ"/>
    <n v="1288272.8"/>
    <s v="грн"/>
    <s v="Виробничий (Глобине-2)"/>
    <s v="ТОВ &quot;ІНДАСТРІАЛБУД&quot;"/>
    <s v="Хлань Елена"/>
    <s v="Акт 46/1.3-КМ(Цех екстракції поз. 3 ГБ)"/>
  </r>
  <r>
    <x v="39"/>
    <s v="ІБ00-000206"/>
    <s v="АСТАРТА АГРО ПРОТЕЇН ТОВ"/>
    <n v="1325466.04"/>
    <s v="грн"/>
    <s v="Виробничий (Глобине-2)"/>
    <s v="ТОВ &quot;ІНДАСТРІАЛБУД&quot;"/>
    <s v="Хлань Елена"/>
    <s v="Акт 5/1.3-ТХ (Цех екстракції поз. 3 ГБ)"/>
  </r>
  <r>
    <x v="39"/>
    <s v="ІБ00-000229"/>
    <s v="АСТАРТА АГРО ПРОТЕЇН ТОВ"/>
    <n v="124093.6"/>
    <s v="грн"/>
    <s v="Виробничий (Глобине-2)"/>
    <s v="ТОВ &quot;ІНДАСТРІАЛБУД&quot;"/>
    <s v="Хлань Елена"/>
    <s v="Акт 6/1.3-ТХ (Цех екстракції поз. 3 ГБ)"/>
  </r>
  <r>
    <x v="39"/>
    <s v="ІБ00-000230"/>
    <s v="АСТАРТА АГРО ПРОТЕЇН ТОВ"/>
    <n v="385066.02"/>
    <s v="грн"/>
    <s v="Виробничий (Глобине-2)"/>
    <s v="ТОВ &quot;ІНДАСТРІАЛБУД&quot;"/>
    <s v="Хлань Елена"/>
    <s v="Акт 47/1.3-КМ(Цех екстракції поз. 3 ГБ)"/>
  </r>
  <r>
    <x v="39"/>
    <s v="ІБ00-000231"/>
    <s v="АСТАРТА АГРО ПРОТЕЇН ТОВ"/>
    <n v="1126120.48"/>
    <s v="грн"/>
    <s v="Виробничий (Глобине-2)"/>
    <s v="ТОВ &quot;ІНДАСТРІАЛБУД&quot;"/>
    <s v="Хлань Елена"/>
    <s v="Акт 6/1.16-КБ (Насосна пожежогасіння поз.7 по ГП)"/>
  </r>
  <r>
    <x v="39"/>
    <s v="ІБ00-000232"/>
    <s v="АСТАРТА АГРО ПРОТЕЇН ТОВ"/>
    <n v="34165.760000000002"/>
    <s v="грн"/>
    <s v="Виробничий (Глобине-2)"/>
    <s v="ТОВ &quot;ІНДАСТРІАЛБУД&quot;"/>
    <s v="Хлань Елена"/>
    <s v="Акт 14/1.4-КБ (резервуар для зберігання розчинника)"/>
  </r>
  <r>
    <x v="39"/>
    <s v="ІБ00-000233"/>
    <s v="АСТАРТА АГРО ПРОТЕЇН ТОВ"/>
    <n v="130181.59"/>
    <s v="грн"/>
    <s v="Виробничий (Глобине-2)"/>
    <s v="ТОВ &quot;ІНДАСТРІАЛБУД&quot;"/>
    <s v="Хлань Елена"/>
    <s v=" Акт 19/1.9-КБ (СПК)"/>
  </r>
  <r>
    <x v="39"/>
    <s v="ІБ00-000234"/>
    <s v="АСТАРТА АГРО ПРОТЕЇН ТОВ"/>
    <n v="1248561.3400000001"/>
    <s v="грн"/>
    <s v="Виробничий (Глобине-2)"/>
    <s v="ТОВ &quot;ІНДАСТРІАЛБУД&quot;"/>
    <s v="Хлань Елена"/>
    <s v=" Акт 2/1.9-КМ (СПК)"/>
  </r>
  <r>
    <x v="39"/>
    <s v="ІБ00-000235"/>
    <s v="АСТАРТА АГРО ПРОТЕЇН ТОВ"/>
    <n v="3100405.24"/>
    <s v="грн"/>
    <s v="Виробничий (Глобине-2)"/>
    <s v="ТОВ &quot;ІНДАСТРІАЛБУД&quot;"/>
    <s v="Хлань Елена"/>
    <s v=" Акт 11/1.9-ЗБ"/>
  </r>
  <r>
    <x v="39"/>
    <s v="ІБ00-000236"/>
    <s v="АСТАРТА АГРО ПРОТЕЇН ТОВ"/>
    <n v="114762.48"/>
    <s v="грн"/>
    <s v="Виробничий (Глобине-2)"/>
    <s v="ТОВ &quot;ІНДАСТРІАЛБУД&quot;"/>
    <s v="Хлань Елена"/>
    <s v=" Акт 9/1.26_Б"/>
  </r>
  <r>
    <x v="39"/>
    <s v="ІБ00-000237"/>
    <s v="АСТАРТА АГРО ПРОТЕЇН ТОВ"/>
    <n v="45501.53"/>
    <s v="грн"/>
    <s v="Виробничий (Глобине-2)"/>
    <s v="ТОВ &quot;ІНДАСТРІАЛБУД&quot;"/>
    <s v="Хлань Елена"/>
    <s v=" Акт 7/1.1-КБ (АПК)"/>
  </r>
  <r>
    <x v="39"/>
    <s v="ІБ00-000238"/>
    <s v="АСТАРТА АГРО ПРОТЕЇН ТОВ"/>
    <n v="173928.82"/>
    <s v="грн"/>
    <s v="Виробничий (Глобине-2)"/>
    <s v="ТОВ &quot;ІНДАСТРІАЛБУД&quot;"/>
    <s v="Хлань Елена"/>
    <s v=" Акт 6/1.10-КБ"/>
  </r>
  <r>
    <x v="39"/>
    <s v="ІБ00-000239"/>
    <s v="ГЛОБИНСЬКИЙ ПЕРЕРОБНИЙ ЗАВОД ТОВ"/>
    <n v="126678.38"/>
    <s v="грн"/>
    <s v="Виробничий (Глобине-2)"/>
    <s v="ТОВ &quot;ІНДАСТРІАЛБУД&quot;"/>
    <s v="Хлань Елена"/>
    <s v=" Акт 8/ГПЗ"/>
  </r>
  <r>
    <x v="40"/>
    <s v="ІБ00-000251"/>
    <s v="АСТАРТА АГРО ПРОТЕЇН ТОВ"/>
    <n v="173928.82"/>
    <s v="грн"/>
    <s v="Виробничий (Глобине-2)"/>
    <s v="ТОВ &quot;ІНДАСТРІАЛБУД&quot;"/>
    <s v="Хлань Елена"/>
    <s v=" Акт 7/1.10-КБ"/>
  </r>
  <r>
    <x v="40"/>
    <s v="ІБ00-000252"/>
    <s v="АСТАРТА АГРО ПРОТЕЇН ТОВ"/>
    <n v="58001.23"/>
    <s v="грн"/>
    <s v="Виробничий (Глобине-2)"/>
    <s v="ТОВ &quot;ІНДАСТРІАЛБУД&quot;"/>
    <s v="Хлань Елена"/>
    <s v=" Акт 10/1.25 (Демонтажні роботи) "/>
  </r>
  <r>
    <x v="40"/>
    <s v="ІБ00-000253"/>
    <s v="АСТАРТА АГРО ПРОТЕЇН ТОВ"/>
    <n v="399878.35"/>
    <s v="грн"/>
    <s v="Виробничий (Глобине-2)"/>
    <s v="ТОВ &quot;ІНДАСТРІАЛБУД&quot;"/>
    <s v="Хлань Елена"/>
    <s v=" Акт 10/1.26_Б"/>
  </r>
  <r>
    <x v="40"/>
    <s v="ІБ00-000254"/>
    <s v="АСТАРТА АГРО ПРОТЕЇН ТОВ"/>
    <n v="3702762.48"/>
    <s v="грн"/>
    <s v="Виробничий (Глобине-2)"/>
    <s v="ТОВ &quot;ІНДАСТРІАЛБУД&quot;"/>
    <s v="Хлань Елена"/>
    <s v=" Акт 12/1.9-ЗБ"/>
  </r>
  <r>
    <x v="40"/>
    <s v="ІБ00-000255"/>
    <s v="АСТАРТА АГРО ПРОТЕЇН ТОВ"/>
    <n v="349935.8"/>
    <s v="грн"/>
    <s v="Виробничий (Глобине-2)"/>
    <s v="ТОВ &quot;ІНДАСТРІАЛБУД&quot;"/>
    <s v="Хлань Елена"/>
    <s v="Акт 15/1.4-КБ (резервуар для зберігання розчинника)"/>
  </r>
  <r>
    <x v="40"/>
    <s v="ІБ00-000257"/>
    <s v="АСТАРТА АГРО ПРОТЕЇН ТОВ"/>
    <n v="2490859.31"/>
    <s v="грн"/>
    <s v="Виробничий (Глобине-2)"/>
    <s v="ТОВ &quot;ІНДАСТРІАЛБУД&quot;"/>
    <s v="Хлань Елена"/>
    <s v="Акт 7/1.3-ТХ (Цех екстракції поз. 3 ГБ)"/>
  </r>
  <r>
    <x v="40"/>
    <s v="ІБ00-000258"/>
    <s v="АСТАРТА АГРО ПРОТЕЇН ТОВ"/>
    <n v="209855.46"/>
    <s v="грн"/>
    <s v="Виробничий (Глобине-2)"/>
    <s v="ТОВ &quot;ІНДАСТРІАЛБУД&quot;"/>
    <s v="Хлань Елена"/>
    <s v="Акт 48/1.3-КМ(Цех екстракції поз. 3 ГБ)"/>
  </r>
  <r>
    <x v="40"/>
    <s v="ІБ00-000259"/>
    <s v="АСТАРТА АГРО ПРОТЕЇН ТОВ"/>
    <n v="888843.13"/>
    <s v="грн"/>
    <s v="Виробничий (Глобине-2)"/>
    <s v="ТОВ &quot;ІНДАСТРІАЛБУД&quot;"/>
    <s v="Хлань Елена"/>
    <s v=" Акт 3/1.9-КМ (СПК)"/>
  </r>
  <r>
    <x v="40"/>
    <s v="ІБ00-000260"/>
    <s v="АСТАРТА АГРО ПРОТЕЇН ТОВ"/>
    <n v="212005.46"/>
    <s v="грн"/>
    <s v="Виробничий (Глобине-2)"/>
    <s v="ТОВ &quot;ІНДАСТРІАЛБУД&quot;"/>
    <s v="Хлань Елена"/>
    <s v="Акт 7/1.16-КБ (Насосна пожежогасіння поз.7 по ГП)"/>
  </r>
  <r>
    <x v="40"/>
    <s v="ІБ00-000261"/>
    <s v="ГЛОБИНСЬКИЙ ПЕРЕРОБНИЙ ЗАВОД ТОВ"/>
    <n v="179466.4"/>
    <s v="грн"/>
    <s v="Виробничий (Глобине-2)"/>
    <s v="ТОВ &quot;ІНДАСТРІАЛБУД&quot;"/>
    <s v="Хлань Елена"/>
    <s v=" Акт 9/ГПЗ"/>
  </r>
  <r>
    <x v="40"/>
    <s v="ІБ00-000284"/>
    <s v="АСТАРТА АГРО ПРОТЕЇН ТОВ"/>
    <n v="23541"/>
    <s v="грн"/>
    <s v="Виробничий (Глобине-2)"/>
    <s v="ТОВ &quot;ІНДАСТРІАЛБУД&quot;"/>
    <s v="Хлань Елена"/>
    <s v="Акт 4/1.3-ТХ (Цех екстракції поз. 3 ГБ)"/>
  </r>
  <r>
    <x v="41"/>
    <s v="ІБ00-000281"/>
    <s v="АСТАРТА АГРО ПРОТЕЇН ТОВ"/>
    <n v="97277.6"/>
    <s v="грн"/>
    <s v="Виробничий (Глобине-2)"/>
    <s v="ТОВ &quot;ІНДАСТРІАЛБУД&quot;"/>
    <s v="Аулова Маргарита"/>
    <s v="Акт 9/1.3-ТХ (Цех екстракції поз. 3 ГБ)"/>
  </r>
  <r>
    <x v="42"/>
    <s v="ІБ00-000250"/>
    <s v="АСТАРТА АГРО ПРОТЕЇН ТОВ"/>
    <n v="1289902.79"/>
    <s v="грн"/>
    <s v="Виробничий (Глобине-2)"/>
    <s v="ТОВ &quot;ІНДАСТРІАЛБУД&quot;"/>
    <s v="Хлань Елена"/>
    <s v=" Акт 8/1.1-КБ (АПК)"/>
  </r>
  <r>
    <x v="42"/>
    <s v="ІБ00-000256"/>
    <s v="АСТАРТА АГРО ПРОТЕЇН ТОВ"/>
    <n v="215987.6"/>
    <s v="грн"/>
    <s v="Виробничий (Глобине-2)"/>
    <s v="ТОВ &quot;ІНДАСТРІАЛБУД&quot;"/>
    <s v="Хлань Елена"/>
    <s v="Акт 8/1.3-ТХ (Цех екстракції поз. 3 ГБ)"/>
  </r>
  <r>
    <x v="42"/>
    <s v="ІБ00-000262"/>
    <s v="АСТАРТА АГРО ПРОТЕЇН ТОВ"/>
    <n v="1553803.34"/>
    <s v="грн"/>
    <s v="Виробничий (Глобине-2)"/>
    <s v="ТОВ &quot;ІНДАСТРІАЛБУД&quot;"/>
    <s v="Хлань Елена"/>
    <s v="Акт 10/1.3-ТХ (Цех екстракції поз. 3 ГБ)"/>
  </r>
  <r>
    <x v="43"/>
    <m/>
    <m/>
    <m/>
    <m/>
    <m/>
    <m/>
    <m/>
    <m/>
  </r>
  <r>
    <x v="4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64484-5A09-43F2-B7AD-52EB0C98E752}" name="Сводная таблица1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13" firstHeaderRow="1" firstDataRow="1" firstDataCol="1"/>
  <pivotFields count="11"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0"/>
    <field x="0"/>
  </rowFields>
  <rowItems count="12">
    <i>
      <x/>
    </i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Сумма по полю Сума" fld="3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58"/>
  <sheetViews>
    <sheetView topLeftCell="A53" workbookViewId="0">
      <selection activeCell="I258" sqref="I258"/>
    </sheetView>
  </sheetViews>
  <sheetFormatPr defaultRowHeight="14.4" x14ac:dyDescent="0.3"/>
  <cols>
    <col min="1" max="1" width="19.44140625" customWidth="1"/>
    <col min="2" max="2" width="8.77734375" bestFit="1" customWidth="1"/>
    <col min="3" max="3" width="31.33203125" bestFit="1" customWidth="1"/>
    <col min="4" max="4" width="13.44140625" bestFit="1" customWidth="1"/>
    <col min="5" max="5" width="7.6640625" bestFit="1" customWidth="1"/>
    <col min="6" max="6" width="17" bestFit="1" customWidth="1"/>
    <col min="7" max="7" width="16.6640625" bestFit="1" customWidth="1"/>
    <col min="8" max="8" width="14.5546875" bestFit="1" customWidth="1"/>
    <col min="9" max="9" width="60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5">
        <v>45573</v>
      </c>
      <c r="B2" s="2" t="s">
        <v>9</v>
      </c>
      <c r="C2" s="2" t="s">
        <v>10</v>
      </c>
      <c r="D2" s="3">
        <v>2150496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idden="1" x14ac:dyDescent="0.3">
      <c r="A3" s="5">
        <v>45573</v>
      </c>
      <c r="B3" s="2" t="s">
        <v>16</v>
      </c>
      <c r="C3" s="2" t="s">
        <v>10</v>
      </c>
      <c r="D3" s="3">
        <v>690300.6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17</v>
      </c>
    </row>
    <row r="4" spans="1:9" hidden="1" x14ac:dyDescent="0.3">
      <c r="A4" s="5">
        <v>45573</v>
      </c>
      <c r="B4" s="2" t="s">
        <v>18</v>
      </c>
      <c r="C4" s="2" t="s">
        <v>10</v>
      </c>
      <c r="D4" s="3">
        <v>293650.2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19</v>
      </c>
    </row>
    <row r="5" spans="1:9" hidden="1" x14ac:dyDescent="0.3">
      <c r="A5" s="5">
        <v>45573</v>
      </c>
      <c r="B5" s="2" t="s">
        <v>20</v>
      </c>
      <c r="C5" s="2" t="s">
        <v>10</v>
      </c>
      <c r="D5" s="3">
        <v>879777.9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21</v>
      </c>
    </row>
    <row r="6" spans="1:9" hidden="1" x14ac:dyDescent="0.3">
      <c r="A6" s="5">
        <v>45589</v>
      </c>
      <c r="B6" s="2" t="s">
        <v>22</v>
      </c>
      <c r="C6" s="2" t="s">
        <v>10</v>
      </c>
      <c r="D6" s="3">
        <v>1208467.1599999999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23</v>
      </c>
    </row>
    <row r="7" spans="1:9" hidden="1" x14ac:dyDescent="0.3">
      <c r="A7" s="5">
        <v>45589</v>
      </c>
      <c r="B7" s="2" t="s">
        <v>24</v>
      </c>
      <c r="C7" s="2" t="s">
        <v>10</v>
      </c>
      <c r="D7" s="3">
        <v>676459.44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25</v>
      </c>
    </row>
    <row r="8" spans="1:9" hidden="1" x14ac:dyDescent="0.3">
      <c r="A8" s="5">
        <v>45589</v>
      </c>
      <c r="B8" s="2" t="s">
        <v>26</v>
      </c>
      <c r="C8" s="2" t="s">
        <v>10</v>
      </c>
      <c r="D8" s="3">
        <v>1573765.6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27</v>
      </c>
    </row>
    <row r="9" spans="1:9" hidden="1" x14ac:dyDescent="0.3">
      <c r="A9" s="5">
        <v>45589</v>
      </c>
      <c r="B9" s="2" t="s">
        <v>28</v>
      </c>
      <c r="C9" s="2" t="s">
        <v>10</v>
      </c>
      <c r="D9" s="3">
        <v>400634.29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29</v>
      </c>
    </row>
    <row r="10" spans="1:9" hidden="1" x14ac:dyDescent="0.3">
      <c r="A10" s="5">
        <v>45593</v>
      </c>
      <c r="B10" s="2" t="s">
        <v>30</v>
      </c>
      <c r="C10" s="2" t="s">
        <v>10</v>
      </c>
      <c r="D10" s="3">
        <v>1019637.38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31</v>
      </c>
    </row>
    <row r="11" spans="1:9" hidden="1" x14ac:dyDescent="0.3">
      <c r="A11" s="5">
        <v>45600</v>
      </c>
      <c r="B11" s="2" t="s">
        <v>32</v>
      </c>
      <c r="C11" s="2" t="s">
        <v>10</v>
      </c>
      <c r="D11" s="3">
        <v>827310.95</v>
      </c>
      <c r="E11" s="2" t="s">
        <v>11</v>
      </c>
      <c r="F11" s="2" t="s">
        <v>12</v>
      </c>
      <c r="G11" s="2" t="s">
        <v>13</v>
      </c>
      <c r="H11" s="2" t="s">
        <v>14</v>
      </c>
      <c r="I11" s="2" t="s">
        <v>33</v>
      </c>
    </row>
    <row r="12" spans="1:9" hidden="1" x14ac:dyDescent="0.3">
      <c r="A12" s="5">
        <v>45600</v>
      </c>
      <c r="B12" s="2" t="s">
        <v>34</v>
      </c>
      <c r="C12" s="2" t="s">
        <v>10</v>
      </c>
      <c r="D12" s="3">
        <v>257756.03</v>
      </c>
      <c r="E12" s="2" t="s">
        <v>11</v>
      </c>
      <c r="F12" s="2" t="s">
        <v>12</v>
      </c>
      <c r="G12" s="2" t="s">
        <v>13</v>
      </c>
      <c r="H12" s="2" t="s">
        <v>14</v>
      </c>
      <c r="I12" s="2" t="s">
        <v>35</v>
      </c>
    </row>
    <row r="13" spans="1:9" hidden="1" x14ac:dyDescent="0.3">
      <c r="A13" s="5">
        <v>45600</v>
      </c>
      <c r="B13" s="2" t="s">
        <v>36</v>
      </c>
      <c r="C13" s="2" t="s">
        <v>10</v>
      </c>
      <c r="D13" s="3">
        <v>262987.33</v>
      </c>
      <c r="E13" s="2" t="s">
        <v>11</v>
      </c>
      <c r="F13" s="2" t="s">
        <v>12</v>
      </c>
      <c r="G13" s="2" t="s">
        <v>13</v>
      </c>
      <c r="H13" s="2" t="s">
        <v>14</v>
      </c>
      <c r="I13" s="2" t="s">
        <v>37</v>
      </c>
    </row>
    <row r="14" spans="1:9" hidden="1" x14ac:dyDescent="0.3">
      <c r="A14" s="5">
        <v>45600</v>
      </c>
      <c r="B14" s="2" t="s">
        <v>38</v>
      </c>
      <c r="C14" s="2" t="s">
        <v>10</v>
      </c>
      <c r="D14" s="3">
        <v>311201.77</v>
      </c>
      <c r="E14" s="2" t="s">
        <v>11</v>
      </c>
      <c r="F14" s="2" t="s">
        <v>12</v>
      </c>
      <c r="G14" s="2" t="s">
        <v>13</v>
      </c>
      <c r="H14" s="2" t="s">
        <v>14</v>
      </c>
      <c r="I14" s="2" t="s">
        <v>39</v>
      </c>
    </row>
    <row r="15" spans="1:9" hidden="1" x14ac:dyDescent="0.3">
      <c r="A15" s="5">
        <v>45608</v>
      </c>
      <c r="B15" s="2" t="s">
        <v>40</v>
      </c>
      <c r="C15" s="2" t="s">
        <v>10</v>
      </c>
      <c r="D15" s="3">
        <v>567906.1</v>
      </c>
      <c r="E15" s="2" t="s">
        <v>11</v>
      </c>
      <c r="F15" s="2" t="s">
        <v>12</v>
      </c>
      <c r="G15" s="2" t="s">
        <v>13</v>
      </c>
      <c r="H15" s="2" t="s">
        <v>14</v>
      </c>
      <c r="I15" s="2" t="s">
        <v>41</v>
      </c>
    </row>
    <row r="16" spans="1:9" hidden="1" x14ac:dyDescent="0.3">
      <c r="A16" s="5">
        <v>45610</v>
      </c>
      <c r="B16" s="2" t="s">
        <v>42</v>
      </c>
      <c r="C16" s="2" t="s">
        <v>10</v>
      </c>
      <c r="D16" s="3">
        <v>127800.19</v>
      </c>
      <c r="E16" s="2" t="s">
        <v>11</v>
      </c>
      <c r="F16" s="2" t="s">
        <v>12</v>
      </c>
      <c r="G16" s="2" t="s">
        <v>13</v>
      </c>
      <c r="H16" s="2" t="s">
        <v>43</v>
      </c>
      <c r="I16" s="2" t="s">
        <v>44</v>
      </c>
    </row>
    <row r="17" spans="1:9" hidden="1" x14ac:dyDescent="0.3">
      <c r="A17" s="5">
        <v>45611</v>
      </c>
      <c r="B17" s="2" t="s">
        <v>45</v>
      </c>
      <c r="C17" s="2" t="s">
        <v>10</v>
      </c>
      <c r="D17" s="3">
        <v>492959.28</v>
      </c>
      <c r="E17" s="2" t="s">
        <v>11</v>
      </c>
      <c r="F17" s="2" t="s">
        <v>12</v>
      </c>
      <c r="G17" s="2" t="s">
        <v>13</v>
      </c>
      <c r="H17" s="2" t="s">
        <v>14</v>
      </c>
      <c r="I17" s="2" t="s">
        <v>46</v>
      </c>
    </row>
    <row r="18" spans="1:9" hidden="1" x14ac:dyDescent="0.3">
      <c r="A18" s="5">
        <v>45611</v>
      </c>
      <c r="B18" s="2" t="s">
        <v>47</v>
      </c>
      <c r="C18" s="2" t="s">
        <v>10</v>
      </c>
      <c r="D18" s="3">
        <v>734264.92</v>
      </c>
      <c r="E18" s="2" t="s">
        <v>11</v>
      </c>
      <c r="F18" s="2" t="s">
        <v>12</v>
      </c>
      <c r="G18" s="2" t="s">
        <v>13</v>
      </c>
      <c r="H18" s="2" t="s">
        <v>14</v>
      </c>
      <c r="I18" s="2" t="s">
        <v>48</v>
      </c>
    </row>
    <row r="19" spans="1:9" hidden="1" x14ac:dyDescent="0.3">
      <c r="A19" s="5">
        <v>45611</v>
      </c>
      <c r="B19" s="2" t="s">
        <v>49</v>
      </c>
      <c r="C19" s="2" t="s">
        <v>10</v>
      </c>
      <c r="D19" s="3">
        <v>344971.33</v>
      </c>
      <c r="E19" s="2" t="s">
        <v>11</v>
      </c>
      <c r="F19" s="2" t="s">
        <v>12</v>
      </c>
      <c r="G19" s="2" t="s">
        <v>13</v>
      </c>
      <c r="H19" s="2" t="s">
        <v>14</v>
      </c>
      <c r="I19" s="2" t="s">
        <v>50</v>
      </c>
    </row>
    <row r="20" spans="1:9" hidden="1" x14ac:dyDescent="0.3">
      <c r="A20" s="5">
        <v>45611</v>
      </c>
      <c r="B20" s="2" t="s">
        <v>51</v>
      </c>
      <c r="C20" s="2" t="s">
        <v>10</v>
      </c>
      <c r="D20" s="3">
        <v>789116.72</v>
      </c>
      <c r="E20" s="2" t="s">
        <v>11</v>
      </c>
      <c r="F20" s="2" t="s">
        <v>12</v>
      </c>
      <c r="G20" s="2" t="s">
        <v>13</v>
      </c>
      <c r="H20" s="2" t="s">
        <v>14</v>
      </c>
      <c r="I20" s="2" t="s">
        <v>52</v>
      </c>
    </row>
    <row r="21" spans="1:9" hidden="1" x14ac:dyDescent="0.3">
      <c r="A21" s="5">
        <v>45611</v>
      </c>
      <c r="B21" s="2" t="s">
        <v>53</v>
      </c>
      <c r="C21" s="2" t="s">
        <v>10</v>
      </c>
      <c r="D21" s="3">
        <v>518102.3</v>
      </c>
      <c r="E21" s="2" t="s">
        <v>11</v>
      </c>
      <c r="F21" s="2" t="s">
        <v>12</v>
      </c>
      <c r="G21" s="2" t="s">
        <v>13</v>
      </c>
      <c r="H21" s="2" t="s">
        <v>14</v>
      </c>
      <c r="I21" s="2" t="s">
        <v>54</v>
      </c>
    </row>
    <row r="22" spans="1:9" hidden="1" x14ac:dyDescent="0.3">
      <c r="A22" s="5">
        <v>45611</v>
      </c>
      <c r="B22" s="2" t="s">
        <v>55</v>
      </c>
      <c r="C22" s="2" t="s">
        <v>10</v>
      </c>
      <c r="D22" s="3">
        <v>324958.37</v>
      </c>
      <c r="E22" s="2" t="s">
        <v>11</v>
      </c>
      <c r="F22" s="2" t="s">
        <v>12</v>
      </c>
      <c r="G22" s="2" t="s">
        <v>13</v>
      </c>
      <c r="H22" s="2" t="s">
        <v>14</v>
      </c>
      <c r="I22" s="2" t="s">
        <v>56</v>
      </c>
    </row>
    <row r="23" spans="1:9" hidden="1" x14ac:dyDescent="0.3">
      <c r="A23" s="5">
        <v>45611</v>
      </c>
      <c r="B23" s="2" t="s">
        <v>57</v>
      </c>
      <c r="C23" s="2" t="s">
        <v>10</v>
      </c>
      <c r="D23" s="3">
        <v>1069747.33</v>
      </c>
      <c r="E23" s="2" t="s">
        <v>11</v>
      </c>
      <c r="F23" s="2" t="s">
        <v>12</v>
      </c>
      <c r="G23" s="2" t="s">
        <v>13</v>
      </c>
      <c r="H23" s="2" t="s">
        <v>14</v>
      </c>
      <c r="I23" s="2" t="s">
        <v>58</v>
      </c>
    </row>
    <row r="24" spans="1:9" hidden="1" x14ac:dyDescent="0.3">
      <c r="A24" s="5">
        <v>45611</v>
      </c>
      <c r="B24" s="2" t="s">
        <v>59</v>
      </c>
      <c r="C24" s="2" t="s">
        <v>10</v>
      </c>
      <c r="D24" s="3">
        <v>150631.84</v>
      </c>
      <c r="E24" s="2" t="s">
        <v>11</v>
      </c>
      <c r="F24" s="2" t="s">
        <v>12</v>
      </c>
      <c r="G24" s="2" t="s">
        <v>13</v>
      </c>
      <c r="H24" s="2" t="s">
        <v>14</v>
      </c>
      <c r="I24" s="2" t="s">
        <v>60</v>
      </c>
    </row>
    <row r="25" spans="1:9" hidden="1" x14ac:dyDescent="0.3">
      <c r="A25" s="5">
        <v>45624</v>
      </c>
      <c r="B25" s="2" t="s">
        <v>61</v>
      </c>
      <c r="C25" s="2" t="s">
        <v>10</v>
      </c>
      <c r="D25" s="3">
        <v>858855.97</v>
      </c>
      <c r="E25" s="2" t="s">
        <v>11</v>
      </c>
      <c r="F25" s="2" t="s">
        <v>12</v>
      </c>
      <c r="G25" s="2" t="s">
        <v>13</v>
      </c>
      <c r="H25" s="2" t="s">
        <v>14</v>
      </c>
      <c r="I25" s="2" t="s">
        <v>62</v>
      </c>
    </row>
    <row r="26" spans="1:9" hidden="1" x14ac:dyDescent="0.3">
      <c r="A26" s="5">
        <v>45624</v>
      </c>
      <c r="B26" s="2" t="s">
        <v>63</v>
      </c>
      <c r="C26" s="2" t="s">
        <v>10</v>
      </c>
      <c r="D26" s="3">
        <v>623405.12</v>
      </c>
      <c r="E26" s="2" t="s">
        <v>11</v>
      </c>
      <c r="F26" s="2" t="s">
        <v>12</v>
      </c>
      <c r="G26" s="2" t="s">
        <v>13</v>
      </c>
      <c r="H26" s="2" t="s">
        <v>14</v>
      </c>
      <c r="I26" s="2" t="s">
        <v>64</v>
      </c>
    </row>
    <row r="27" spans="1:9" hidden="1" x14ac:dyDescent="0.3">
      <c r="A27" s="5">
        <v>45624</v>
      </c>
      <c r="B27" s="2" t="s">
        <v>65</v>
      </c>
      <c r="C27" s="2" t="s">
        <v>10</v>
      </c>
      <c r="D27" s="3">
        <v>570648.81999999995</v>
      </c>
      <c r="E27" s="2" t="s">
        <v>11</v>
      </c>
      <c r="F27" s="2" t="s">
        <v>12</v>
      </c>
      <c r="G27" s="2" t="s">
        <v>13</v>
      </c>
      <c r="H27" s="2" t="s">
        <v>14</v>
      </c>
      <c r="I27" s="2" t="s">
        <v>66</v>
      </c>
    </row>
    <row r="28" spans="1:9" hidden="1" x14ac:dyDescent="0.3">
      <c r="A28" s="5">
        <v>45624</v>
      </c>
      <c r="B28" s="2" t="s">
        <v>67</v>
      </c>
      <c r="C28" s="2" t="s">
        <v>10</v>
      </c>
      <c r="D28" s="3">
        <v>879169.39</v>
      </c>
      <c r="E28" s="2" t="s">
        <v>11</v>
      </c>
      <c r="F28" s="2" t="s">
        <v>12</v>
      </c>
      <c r="G28" s="2" t="s">
        <v>13</v>
      </c>
      <c r="H28" s="2" t="s">
        <v>14</v>
      </c>
      <c r="I28" s="2" t="s">
        <v>68</v>
      </c>
    </row>
    <row r="29" spans="1:9" x14ac:dyDescent="0.3">
      <c r="A29" s="5">
        <v>45630</v>
      </c>
      <c r="B29" s="2" t="s">
        <v>69</v>
      </c>
      <c r="C29" s="2" t="s">
        <v>10</v>
      </c>
      <c r="D29" s="3">
        <v>1625770.49</v>
      </c>
      <c r="E29" s="2" t="s">
        <v>11</v>
      </c>
      <c r="F29" s="2" t="s">
        <v>12</v>
      </c>
      <c r="G29" s="2" t="s">
        <v>13</v>
      </c>
      <c r="H29" s="2" t="s">
        <v>14</v>
      </c>
      <c r="I29" s="2" t="s">
        <v>70</v>
      </c>
    </row>
    <row r="30" spans="1:9" x14ac:dyDescent="0.3">
      <c r="A30" s="5">
        <v>45630</v>
      </c>
      <c r="B30" s="2" t="s">
        <v>71</v>
      </c>
      <c r="C30" s="2" t="s">
        <v>10</v>
      </c>
      <c r="D30" s="3">
        <v>891689.84</v>
      </c>
      <c r="E30" s="2" t="s">
        <v>11</v>
      </c>
      <c r="F30" s="2" t="s">
        <v>12</v>
      </c>
      <c r="G30" s="2" t="s">
        <v>13</v>
      </c>
      <c r="H30" s="2" t="s">
        <v>14</v>
      </c>
      <c r="I30" s="2" t="s">
        <v>72</v>
      </c>
    </row>
    <row r="31" spans="1:9" x14ac:dyDescent="0.3">
      <c r="A31" s="5">
        <v>45630</v>
      </c>
      <c r="B31" s="2" t="s">
        <v>73</v>
      </c>
      <c r="C31" s="2" t="s">
        <v>10</v>
      </c>
      <c r="D31" s="3">
        <v>255009.67</v>
      </c>
      <c r="E31" s="2" t="s">
        <v>11</v>
      </c>
      <c r="F31" s="2" t="s">
        <v>12</v>
      </c>
      <c r="G31" s="2" t="s">
        <v>13</v>
      </c>
      <c r="H31" s="2" t="s">
        <v>14</v>
      </c>
      <c r="I31" s="2" t="s">
        <v>74</v>
      </c>
    </row>
    <row r="32" spans="1:9" x14ac:dyDescent="0.3">
      <c r="A32" s="5">
        <v>45630</v>
      </c>
      <c r="B32" s="2" t="s">
        <v>75</v>
      </c>
      <c r="C32" s="2" t="s">
        <v>10</v>
      </c>
      <c r="D32" s="3">
        <v>74595.38</v>
      </c>
      <c r="E32" s="2" t="s">
        <v>11</v>
      </c>
      <c r="F32" s="2" t="s">
        <v>12</v>
      </c>
      <c r="G32" s="2" t="s">
        <v>13</v>
      </c>
      <c r="H32" s="2" t="s">
        <v>14</v>
      </c>
      <c r="I32" s="2" t="s">
        <v>76</v>
      </c>
    </row>
    <row r="33" spans="1:9" x14ac:dyDescent="0.3">
      <c r="A33" s="5">
        <v>45638</v>
      </c>
      <c r="B33" s="2" t="s">
        <v>77</v>
      </c>
      <c r="C33" s="2" t="s">
        <v>10</v>
      </c>
      <c r="D33" s="3">
        <v>189732.76</v>
      </c>
      <c r="E33" s="2" t="s">
        <v>11</v>
      </c>
      <c r="F33" s="2" t="s">
        <v>12</v>
      </c>
      <c r="G33" s="2" t="s">
        <v>13</v>
      </c>
      <c r="H33" s="2" t="s">
        <v>14</v>
      </c>
      <c r="I33" s="2" t="s">
        <v>78</v>
      </c>
    </row>
    <row r="34" spans="1:9" x14ac:dyDescent="0.3">
      <c r="A34" s="5">
        <v>45638</v>
      </c>
      <c r="B34" s="2" t="s">
        <v>79</v>
      </c>
      <c r="C34" s="2" t="s">
        <v>10</v>
      </c>
      <c r="D34" s="3">
        <v>1493088.67</v>
      </c>
      <c r="E34" s="2" t="s">
        <v>11</v>
      </c>
      <c r="F34" s="2" t="s">
        <v>12</v>
      </c>
      <c r="G34" s="2" t="s">
        <v>13</v>
      </c>
      <c r="H34" s="2" t="s">
        <v>14</v>
      </c>
      <c r="I34" s="2" t="s">
        <v>80</v>
      </c>
    </row>
    <row r="35" spans="1:9" x14ac:dyDescent="0.3">
      <c r="A35" s="5">
        <v>45638</v>
      </c>
      <c r="B35" s="2" t="s">
        <v>81</v>
      </c>
      <c r="C35" s="2" t="s">
        <v>10</v>
      </c>
      <c r="D35" s="3">
        <v>916480.84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82</v>
      </c>
    </row>
    <row r="36" spans="1:9" x14ac:dyDescent="0.3">
      <c r="A36" s="5">
        <v>45638</v>
      </c>
      <c r="B36" s="2" t="s">
        <v>83</v>
      </c>
      <c r="C36" s="2" t="s">
        <v>10</v>
      </c>
      <c r="D36" s="3">
        <v>293643.82</v>
      </c>
      <c r="E36" s="2" t="s">
        <v>11</v>
      </c>
      <c r="F36" s="2" t="s">
        <v>12</v>
      </c>
      <c r="G36" s="2" t="s">
        <v>13</v>
      </c>
      <c r="H36" s="2" t="s">
        <v>14</v>
      </c>
      <c r="I36" s="2" t="s">
        <v>84</v>
      </c>
    </row>
    <row r="37" spans="1:9" x14ac:dyDescent="0.3">
      <c r="A37" s="5">
        <v>45638</v>
      </c>
      <c r="B37" s="2" t="s">
        <v>85</v>
      </c>
      <c r="C37" s="2" t="s">
        <v>10</v>
      </c>
      <c r="D37" s="3">
        <v>1852335.28</v>
      </c>
      <c r="E37" s="2" t="s">
        <v>11</v>
      </c>
      <c r="F37" s="2" t="s">
        <v>12</v>
      </c>
      <c r="G37" s="2" t="s">
        <v>13</v>
      </c>
      <c r="H37" s="2" t="s">
        <v>14</v>
      </c>
      <c r="I37" s="2" t="s">
        <v>86</v>
      </c>
    </row>
    <row r="38" spans="1:9" x14ac:dyDescent="0.3">
      <c r="A38" s="5">
        <v>45638</v>
      </c>
      <c r="B38" s="2" t="s">
        <v>87</v>
      </c>
      <c r="C38" s="2" t="s">
        <v>10</v>
      </c>
      <c r="D38" s="3">
        <v>551905.01</v>
      </c>
      <c r="E38" s="2" t="s">
        <v>11</v>
      </c>
      <c r="F38" s="2" t="s">
        <v>12</v>
      </c>
      <c r="G38" s="2" t="s">
        <v>13</v>
      </c>
      <c r="H38" s="2" t="s">
        <v>14</v>
      </c>
      <c r="I38" s="2" t="s">
        <v>88</v>
      </c>
    </row>
    <row r="39" spans="1:9" x14ac:dyDescent="0.3">
      <c r="A39" s="5">
        <v>45638</v>
      </c>
      <c r="B39" s="2" t="s">
        <v>89</v>
      </c>
      <c r="C39" s="2" t="s">
        <v>10</v>
      </c>
      <c r="D39" s="3">
        <v>1396069.49</v>
      </c>
      <c r="E39" s="2" t="s">
        <v>11</v>
      </c>
      <c r="F39" s="2" t="s">
        <v>12</v>
      </c>
      <c r="G39" s="2" t="s">
        <v>13</v>
      </c>
      <c r="H39" s="2" t="s">
        <v>14</v>
      </c>
      <c r="I39" s="2" t="s">
        <v>90</v>
      </c>
    </row>
    <row r="40" spans="1:9" x14ac:dyDescent="0.3">
      <c r="A40" s="5">
        <v>45638</v>
      </c>
      <c r="B40" s="2" t="s">
        <v>91</v>
      </c>
      <c r="C40" s="2" t="s">
        <v>10</v>
      </c>
      <c r="D40" s="3">
        <v>1427253.71</v>
      </c>
      <c r="E40" s="2" t="s">
        <v>11</v>
      </c>
      <c r="F40" s="2" t="s">
        <v>12</v>
      </c>
      <c r="G40" s="2" t="s">
        <v>13</v>
      </c>
      <c r="H40" s="2" t="s">
        <v>14</v>
      </c>
      <c r="I40" s="2" t="s">
        <v>92</v>
      </c>
    </row>
    <row r="41" spans="1:9" x14ac:dyDescent="0.3">
      <c r="A41" s="5">
        <v>45638</v>
      </c>
      <c r="B41" s="2" t="s">
        <v>93</v>
      </c>
      <c r="C41" s="2" t="s">
        <v>10</v>
      </c>
      <c r="D41" s="3">
        <v>1432990.86</v>
      </c>
      <c r="E41" s="2" t="s">
        <v>11</v>
      </c>
      <c r="F41" s="2" t="s">
        <v>12</v>
      </c>
      <c r="G41" s="2" t="s">
        <v>13</v>
      </c>
      <c r="H41" s="2" t="s">
        <v>14</v>
      </c>
      <c r="I41" s="2" t="s">
        <v>94</v>
      </c>
    </row>
    <row r="42" spans="1:9" x14ac:dyDescent="0.3">
      <c r="A42" s="5">
        <v>45642</v>
      </c>
      <c r="B42" s="2" t="s">
        <v>95</v>
      </c>
      <c r="C42" s="2" t="s">
        <v>10</v>
      </c>
      <c r="D42" s="3">
        <v>189299.33</v>
      </c>
      <c r="E42" s="2" t="s">
        <v>11</v>
      </c>
      <c r="F42" s="2" t="s">
        <v>12</v>
      </c>
      <c r="G42" s="2" t="s">
        <v>13</v>
      </c>
      <c r="H42" s="2" t="s">
        <v>14</v>
      </c>
      <c r="I42" s="2" t="s">
        <v>96</v>
      </c>
    </row>
    <row r="43" spans="1:9" x14ac:dyDescent="0.3">
      <c r="A43" s="5">
        <v>45642</v>
      </c>
      <c r="B43" s="2" t="s">
        <v>97</v>
      </c>
      <c r="C43" s="2" t="s">
        <v>10</v>
      </c>
      <c r="D43" s="3">
        <v>1647758.93</v>
      </c>
      <c r="E43" s="2" t="s">
        <v>11</v>
      </c>
      <c r="F43" s="2" t="s">
        <v>12</v>
      </c>
      <c r="G43" s="2" t="s">
        <v>13</v>
      </c>
      <c r="H43" s="2" t="s">
        <v>14</v>
      </c>
      <c r="I43" s="2" t="s">
        <v>98</v>
      </c>
    </row>
    <row r="44" spans="1:9" x14ac:dyDescent="0.3">
      <c r="A44" s="5">
        <v>45644</v>
      </c>
      <c r="B44" s="2" t="s">
        <v>99</v>
      </c>
      <c r="C44" s="2" t="s">
        <v>10</v>
      </c>
      <c r="D44" s="3">
        <v>553342.96</v>
      </c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100</v>
      </c>
    </row>
    <row r="45" spans="1:9" x14ac:dyDescent="0.3">
      <c r="A45" s="5">
        <v>45644</v>
      </c>
      <c r="B45" s="2" t="s">
        <v>101</v>
      </c>
      <c r="C45" s="2" t="s">
        <v>10</v>
      </c>
      <c r="D45" s="3">
        <v>573416.30000000005</v>
      </c>
      <c r="E45" s="2" t="s">
        <v>11</v>
      </c>
      <c r="F45" s="2" t="s">
        <v>12</v>
      </c>
      <c r="G45" s="2" t="s">
        <v>13</v>
      </c>
      <c r="H45" s="2" t="s">
        <v>14</v>
      </c>
      <c r="I45" s="2" t="s">
        <v>102</v>
      </c>
    </row>
    <row r="46" spans="1:9" x14ac:dyDescent="0.3">
      <c r="A46" s="5">
        <v>45644</v>
      </c>
      <c r="B46" s="2" t="s">
        <v>103</v>
      </c>
      <c r="C46" s="2" t="s">
        <v>10</v>
      </c>
      <c r="D46" s="3">
        <v>149214.10999999999</v>
      </c>
      <c r="E46" s="2" t="s">
        <v>11</v>
      </c>
      <c r="F46" s="2" t="s">
        <v>12</v>
      </c>
      <c r="G46" s="2" t="s">
        <v>13</v>
      </c>
      <c r="H46" s="2" t="s">
        <v>14</v>
      </c>
      <c r="I46" s="2" t="s">
        <v>104</v>
      </c>
    </row>
    <row r="47" spans="1:9" x14ac:dyDescent="0.3">
      <c r="A47" s="5">
        <v>45644</v>
      </c>
      <c r="B47" s="2" t="s">
        <v>105</v>
      </c>
      <c r="C47" s="2" t="s">
        <v>10</v>
      </c>
      <c r="D47" s="3">
        <v>1581832.13</v>
      </c>
      <c r="E47" s="2" t="s">
        <v>11</v>
      </c>
      <c r="F47" s="2" t="s">
        <v>12</v>
      </c>
      <c r="G47" s="2" t="s">
        <v>13</v>
      </c>
      <c r="H47" s="2" t="s">
        <v>14</v>
      </c>
      <c r="I47" s="2" t="s">
        <v>106</v>
      </c>
    </row>
    <row r="48" spans="1:9" x14ac:dyDescent="0.3">
      <c r="A48" s="5">
        <v>45649</v>
      </c>
      <c r="B48" s="2" t="s">
        <v>107</v>
      </c>
      <c r="C48" s="2" t="s">
        <v>10</v>
      </c>
      <c r="D48" s="3">
        <v>1538203.55</v>
      </c>
      <c r="E48" s="2" t="s">
        <v>11</v>
      </c>
      <c r="F48" s="2" t="s">
        <v>12</v>
      </c>
      <c r="G48" s="2" t="s">
        <v>13</v>
      </c>
      <c r="H48" s="2" t="s">
        <v>14</v>
      </c>
      <c r="I48" s="2" t="s">
        <v>108</v>
      </c>
    </row>
    <row r="49" spans="1:9" x14ac:dyDescent="0.3">
      <c r="A49" s="5">
        <v>45649</v>
      </c>
      <c r="B49" s="2" t="s">
        <v>109</v>
      </c>
      <c r="C49" s="2" t="s">
        <v>10</v>
      </c>
      <c r="D49" s="3">
        <v>1919957.71</v>
      </c>
      <c r="E49" s="2" t="s">
        <v>11</v>
      </c>
      <c r="F49" s="2" t="s">
        <v>12</v>
      </c>
      <c r="G49" s="2" t="s">
        <v>13</v>
      </c>
      <c r="H49" s="2" t="s">
        <v>14</v>
      </c>
      <c r="I49" s="2" t="s">
        <v>110</v>
      </c>
    </row>
    <row r="50" spans="1:9" x14ac:dyDescent="0.3">
      <c r="A50" s="5">
        <v>45649</v>
      </c>
      <c r="B50" s="2" t="s">
        <v>111</v>
      </c>
      <c r="C50" s="2" t="s">
        <v>10</v>
      </c>
      <c r="D50" s="3">
        <v>1155962.82</v>
      </c>
      <c r="E50" s="2" t="s">
        <v>11</v>
      </c>
      <c r="F50" s="2" t="s">
        <v>12</v>
      </c>
      <c r="G50" s="2" t="s">
        <v>13</v>
      </c>
      <c r="H50" s="2" t="s">
        <v>14</v>
      </c>
      <c r="I50" s="2" t="s">
        <v>112</v>
      </c>
    </row>
    <row r="51" spans="1:9" x14ac:dyDescent="0.3">
      <c r="A51" s="5">
        <v>45649</v>
      </c>
      <c r="B51" s="2" t="s">
        <v>113</v>
      </c>
      <c r="C51" s="2" t="s">
        <v>10</v>
      </c>
      <c r="D51" s="3">
        <v>1394721.36</v>
      </c>
      <c r="E51" s="2" t="s">
        <v>11</v>
      </c>
      <c r="F51" s="2" t="s">
        <v>12</v>
      </c>
      <c r="G51" s="2" t="s">
        <v>13</v>
      </c>
      <c r="H51" s="2" t="s">
        <v>14</v>
      </c>
      <c r="I51" s="2" t="s">
        <v>114</v>
      </c>
    </row>
    <row r="52" spans="1:9" x14ac:dyDescent="0.3">
      <c r="A52" s="5">
        <v>45649</v>
      </c>
      <c r="B52" s="2" t="s">
        <v>115</v>
      </c>
      <c r="C52" s="2" t="s">
        <v>10</v>
      </c>
      <c r="D52" s="3">
        <v>1439689.54</v>
      </c>
      <c r="E52" s="2" t="s">
        <v>11</v>
      </c>
      <c r="F52" s="2" t="s">
        <v>12</v>
      </c>
      <c r="G52" s="2" t="s">
        <v>13</v>
      </c>
      <c r="H52" s="2" t="s">
        <v>14</v>
      </c>
      <c r="I52" s="2" t="s">
        <v>116</v>
      </c>
    </row>
    <row r="53" spans="1:9" x14ac:dyDescent="0.3">
      <c r="A53" s="5">
        <v>45649</v>
      </c>
      <c r="B53" s="2" t="s">
        <v>117</v>
      </c>
      <c r="C53" s="2" t="s">
        <v>10</v>
      </c>
      <c r="D53" s="3">
        <v>1223132.93</v>
      </c>
      <c r="E53" s="2" t="s">
        <v>11</v>
      </c>
      <c r="F53" s="2" t="s">
        <v>12</v>
      </c>
      <c r="G53" s="2" t="s">
        <v>13</v>
      </c>
      <c r="H53" s="2" t="s">
        <v>14</v>
      </c>
      <c r="I53" s="2" t="s">
        <v>118</v>
      </c>
    </row>
    <row r="54" spans="1:9" x14ac:dyDescent="0.3">
      <c r="A54" s="5">
        <v>45649</v>
      </c>
      <c r="B54" s="2" t="s">
        <v>119</v>
      </c>
      <c r="C54" s="2" t="s">
        <v>10</v>
      </c>
      <c r="D54" s="3">
        <v>385695.8</v>
      </c>
      <c r="E54" s="2" t="s">
        <v>11</v>
      </c>
      <c r="F54" s="2" t="s">
        <v>12</v>
      </c>
      <c r="G54" s="2" t="s">
        <v>13</v>
      </c>
      <c r="H54" s="2" t="s">
        <v>14</v>
      </c>
      <c r="I54" s="2" t="s">
        <v>120</v>
      </c>
    </row>
    <row r="55" spans="1:9" x14ac:dyDescent="0.3">
      <c r="A55" s="5">
        <v>45649</v>
      </c>
      <c r="B55" s="2" t="s">
        <v>121</v>
      </c>
      <c r="C55" s="2" t="s">
        <v>10</v>
      </c>
      <c r="D55" s="3">
        <v>912212.21</v>
      </c>
      <c r="E55" s="2" t="s">
        <v>11</v>
      </c>
      <c r="F55" s="2" t="s">
        <v>12</v>
      </c>
      <c r="G55" s="2" t="s">
        <v>13</v>
      </c>
      <c r="H55" s="2" t="s">
        <v>14</v>
      </c>
      <c r="I55" s="2" t="s">
        <v>122</v>
      </c>
    </row>
    <row r="56" spans="1:9" x14ac:dyDescent="0.3">
      <c r="A56" s="5">
        <v>45649</v>
      </c>
      <c r="B56" s="2" t="s">
        <v>123</v>
      </c>
      <c r="C56" s="2" t="s">
        <v>10</v>
      </c>
      <c r="D56" s="3">
        <v>1353790.73</v>
      </c>
      <c r="E56" s="2" t="s">
        <v>11</v>
      </c>
      <c r="F56" s="2" t="s">
        <v>12</v>
      </c>
      <c r="G56" s="2" t="s">
        <v>13</v>
      </c>
      <c r="H56" s="2" t="s">
        <v>14</v>
      </c>
      <c r="I56" s="2" t="s">
        <v>124</v>
      </c>
    </row>
    <row r="57" spans="1:9" x14ac:dyDescent="0.3">
      <c r="A57" s="5">
        <v>45649</v>
      </c>
      <c r="B57" s="2" t="s">
        <v>125</v>
      </c>
      <c r="C57" s="2" t="s">
        <v>10</v>
      </c>
      <c r="D57" s="3">
        <v>1594901.54</v>
      </c>
      <c r="E57" s="2" t="s">
        <v>11</v>
      </c>
      <c r="F57" s="2" t="s">
        <v>12</v>
      </c>
      <c r="G57" s="2" t="s">
        <v>13</v>
      </c>
      <c r="H57" s="2" t="s">
        <v>14</v>
      </c>
      <c r="I57" s="2" t="s">
        <v>126</v>
      </c>
    </row>
    <row r="58" spans="1:9" x14ac:dyDescent="0.3">
      <c r="A58" s="5">
        <v>45649</v>
      </c>
      <c r="B58" s="2" t="s">
        <v>127</v>
      </c>
      <c r="C58" s="2" t="s">
        <v>10</v>
      </c>
      <c r="D58" s="3">
        <v>3319852.72</v>
      </c>
      <c r="E58" s="2" t="s">
        <v>11</v>
      </c>
      <c r="F58" s="2" t="s">
        <v>12</v>
      </c>
      <c r="G58" s="2" t="s">
        <v>13</v>
      </c>
      <c r="H58" s="2" t="s">
        <v>14</v>
      </c>
      <c r="I58" s="2" t="s">
        <v>128</v>
      </c>
    </row>
    <row r="59" spans="1:9" x14ac:dyDescent="0.3">
      <c r="A59" s="5">
        <v>45649</v>
      </c>
      <c r="B59" s="2" t="s">
        <v>129</v>
      </c>
      <c r="C59" s="2" t="s">
        <v>10</v>
      </c>
      <c r="D59" s="3">
        <v>200560.63</v>
      </c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130</v>
      </c>
    </row>
    <row r="60" spans="1:9" x14ac:dyDescent="0.3">
      <c r="A60" s="5">
        <v>45649</v>
      </c>
      <c r="B60" s="2" t="s">
        <v>131</v>
      </c>
      <c r="C60" s="2" t="s">
        <v>10</v>
      </c>
      <c r="D60" s="3">
        <v>166627.20000000001</v>
      </c>
      <c r="E60" s="2" t="s">
        <v>11</v>
      </c>
      <c r="F60" s="2" t="s">
        <v>12</v>
      </c>
      <c r="G60" s="2" t="s">
        <v>13</v>
      </c>
      <c r="H60" s="2" t="s">
        <v>14</v>
      </c>
      <c r="I60" s="2" t="s">
        <v>132</v>
      </c>
    </row>
    <row r="61" spans="1:9" x14ac:dyDescent="0.3">
      <c r="A61" s="5">
        <v>45649</v>
      </c>
      <c r="B61" s="2" t="s">
        <v>133</v>
      </c>
      <c r="C61" s="2" t="s">
        <v>10</v>
      </c>
      <c r="D61" s="3">
        <v>643318.31999999995</v>
      </c>
      <c r="E61" s="2" t="s">
        <v>11</v>
      </c>
      <c r="F61" s="2" t="s">
        <v>12</v>
      </c>
      <c r="G61" s="2" t="s">
        <v>13</v>
      </c>
      <c r="H61" s="2" t="s">
        <v>14</v>
      </c>
      <c r="I61" s="2" t="s">
        <v>134</v>
      </c>
    </row>
    <row r="62" spans="1:9" x14ac:dyDescent="0.3">
      <c r="A62" s="5">
        <v>45649</v>
      </c>
      <c r="B62" s="2" t="s">
        <v>135</v>
      </c>
      <c r="C62" s="2" t="s">
        <v>10</v>
      </c>
      <c r="D62" s="3">
        <v>127818.11</v>
      </c>
      <c r="E62" s="2" t="s">
        <v>11</v>
      </c>
      <c r="F62" s="2" t="s">
        <v>12</v>
      </c>
      <c r="G62" s="2" t="s">
        <v>13</v>
      </c>
      <c r="H62" s="2" t="s">
        <v>14</v>
      </c>
      <c r="I62" s="2" t="s">
        <v>136</v>
      </c>
    </row>
    <row r="63" spans="1:9" x14ac:dyDescent="0.3">
      <c r="A63" s="5">
        <v>45649</v>
      </c>
      <c r="B63" s="2" t="s">
        <v>137</v>
      </c>
      <c r="C63" s="2" t="s">
        <v>10</v>
      </c>
      <c r="D63" s="3">
        <v>716695.44</v>
      </c>
      <c r="E63" s="2" t="s">
        <v>11</v>
      </c>
      <c r="F63" s="2" t="s">
        <v>12</v>
      </c>
      <c r="G63" s="2" t="s">
        <v>13</v>
      </c>
      <c r="H63" s="2" t="s">
        <v>14</v>
      </c>
      <c r="I63" s="2" t="s">
        <v>138</v>
      </c>
    </row>
    <row r="64" spans="1:9" x14ac:dyDescent="0.3">
      <c r="A64" s="5">
        <v>45649</v>
      </c>
      <c r="B64" s="2" t="s">
        <v>139</v>
      </c>
      <c r="C64" s="2" t="s">
        <v>10</v>
      </c>
      <c r="D64" s="3">
        <v>2362222.88</v>
      </c>
      <c r="E64" s="2" t="s">
        <v>11</v>
      </c>
      <c r="F64" s="2" t="s">
        <v>12</v>
      </c>
      <c r="G64" s="2" t="s">
        <v>13</v>
      </c>
      <c r="H64" s="2" t="s">
        <v>14</v>
      </c>
      <c r="I64" s="2" t="s">
        <v>140</v>
      </c>
    </row>
    <row r="65" spans="1:9" x14ac:dyDescent="0.3">
      <c r="A65" s="5">
        <v>45649</v>
      </c>
      <c r="B65" s="2" t="s">
        <v>141</v>
      </c>
      <c r="C65" s="2" t="s">
        <v>10</v>
      </c>
      <c r="D65" s="3">
        <v>347659.13</v>
      </c>
      <c r="E65" s="2" t="s">
        <v>11</v>
      </c>
      <c r="F65" s="2" t="s">
        <v>12</v>
      </c>
      <c r="G65" s="2" t="s">
        <v>13</v>
      </c>
      <c r="H65" s="2" t="s">
        <v>14</v>
      </c>
      <c r="I65" s="2" t="s">
        <v>142</v>
      </c>
    </row>
    <row r="66" spans="1:9" x14ac:dyDescent="0.3">
      <c r="A66" s="5">
        <v>45649</v>
      </c>
      <c r="B66" s="2" t="s">
        <v>143</v>
      </c>
      <c r="C66" s="2" t="s">
        <v>10</v>
      </c>
      <c r="D66" s="3">
        <v>402909.6</v>
      </c>
      <c r="E66" s="2" t="s">
        <v>11</v>
      </c>
      <c r="F66" s="2" t="s">
        <v>12</v>
      </c>
      <c r="G66" s="2" t="s">
        <v>13</v>
      </c>
      <c r="H66" s="2" t="s">
        <v>14</v>
      </c>
      <c r="I66" s="2" t="s">
        <v>144</v>
      </c>
    </row>
    <row r="67" spans="1:9" x14ac:dyDescent="0.3">
      <c r="A67" s="5">
        <v>45649</v>
      </c>
      <c r="B67" s="2" t="s">
        <v>145</v>
      </c>
      <c r="C67" s="2" t="s">
        <v>10</v>
      </c>
      <c r="D67" s="3">
        <v>442334.76</v>
      </c>
      <c r="E67" s="2" t="s">
        <v>11</v>
      </c>
      <c r="F67" s="2" t="s">
        <v>12</v>
      </c>
      <c r="G67" s="2" t="s">
        <v>13</v>
      </c>
      <c r="H67" s="2" t="s">
        <v>14</v>
      </c>
      <c r="I67" s="2" t="s">
        <v>146</v>
      </c>
    </row>
    <row r="68" spans="1:9" x14ac:dyDescent="0.3">
      <c r="A68" s="5">
        <v>45649</v>
      </c>
      <c r="B68" s="2" t="s">
        <v>147</v>
      </c>
      <c r="C68" s="2" t="s">
        <v>10</v>
      </c>
      <c r="D68" s="3">
        <v>402888</v>
      </c>
      <c r="E68" s="2" t="s">
        <v>11</v>
      </c>
      <c r="F68" s="2" t="s">
        <v>12</v>
      </c>
      <c r="G68" s="2" t="s">
        <v>13</v>
      </c>
      <c r="H68" s="2" t="s">
        <v>14</v>
      </c>
      <c r="I68" s="2" t="s">
        <v>148</v>
      </c>
    </row>
    <row r="69" spans="1:9" x14ac:dyDescent="0.3">
      <c r="A69" s="5">
        <v>45652</v>
      </c>
      <c r="B69" s="2" t="s">
        <v>149</v>
      </c>
      <c r="C69" s="2" t="s">
        <v>10</v>
      </c>
      <c r="D69" s="3">
        <v>432820.72</v>
      </c>
      <c r="E69" s="2" t="s">
        <v>11</v>
      </c>
      <c r="F69" s="2" t="s">
        <v>12</v>
      </c>
      <c r="G69" s="2" t="s">
        <v>13</v>
      </c>
      <c r="H69" s="2" t="s">
        <v>14</v>
      </c>
      <c r="I69" s="2" t="s">
        <v>150</v>
      </c>
    </row>
    <row r="70" spans="1:9" hidden="1" x14ac:dyDescent="0.3">
      <c r="A70" s="5">
        <v>45671</v>
      </c>
      <c r="B70" s="2" t="s">
        <v>151</v>
      </c>
      <c r="C70" s="2" t="s">
        <v>10</v>
      </c>
      <c r="D70" s="3">
        <v>253226.72</v>
      </c>
      <c r="E70" s="2" t="s">
        <v>11</v>
      </c>
      <c r="F70" s="2" t="s">
        <v>12</v>
      </c>
      <c r="G70" s="2" t="s">
        <v>13</v>
      </c>
      <c r="H70" s="2" t="s">
        <v>14</v>
      </c>
      <c r="I70" s="2" t="s">
        <v>152</v>
      </c>
    </row>
    <row r="71" spans="1:9" hidden="1" x14ac:dyDescent="0.3">
      <c r="A71" s="5">
        <v>45671</v>
      </c>
      <c r="B71" s="2" t="s">
        <v>153</v>
      </c>
      <c r="C71" s="2" t="s">
        <v>10</v>
      </c>
      <c r="D71" s="3">
        <v>1083567.28</v>
      </c>
      <c r="E71" s="2" t="s">
        <v>11</v>
      </c>
      <c r="F71" s="2" t="s">
        <v>12</v>
      </c>
      <c r="G71" s="2" t="s">
        <v>13</v>
      </c>
      <c r="H71" s="2" t="s">
        <v>14</v>
      </c>
      <c r="I71" s="2" t="s">
        <v>154</v>
      </c>
    </row>
    <row r="72" spans="1:9" hidden="1" x14ac:dyDescent="0.3">
      <c r="A72" s="5">
        <v>45671</v>
      </c>
      <c r="B72" s="2" t="s">
        <v>155</v>
      </c>
      <c r="C72" s="2" t="s">
        <v>10</v>
      </c>
      <c r="D72" s="3">
        <v>1236731.02</v>
      </c>
      <c r="E72" s="2" t="s">
        <v>11</v>
      </c>
      <c r="F72" s="2" t="s">
        <v>12</v>
      </c>
      <c r="G72" s="2" t="s">
        <v>13</v>
      </c>
      <c r="H72" s="2" t="s">
        <v>14</v>
      </c>
      <c r="I72" s="2" t="s">
        <v>156</v>
      </c>
    </row>
    <row r="73" spans="1:9" hidden="1" x14ac:dyDescent="0.3">
      <c r="A73" s="5">
        <v>45671</v>
      </c>
      <c r="B73" s="2" t="s">
        <v>157</v>
      </c>
      <c r="C73" s="2" t="s">
        <v>10</v>
      </c>
      <c r="D73" s="3">
        <v>252904.27</v>
      </c>
      <c r="E73" s="2" t="s">
        <v>11</v>
      </c>
      <c r="F73" s="2" t="s">
        <v>12</v>
      </c>
      <c r="G73" s="2" t="s">
        <v>13</v>
      </c>
      <c r="H73" s="2" t="s">
        <v>14</v>
      </c>
      <c r="I73" s="2" t="s">
        <v>158</v>
      </c>
    </row>
    <row r="74" spans="1:9" hidden="1" x14ac:dyDescent="0.3">
      <c r="A74" s="5">
        <v>45672</v>
      </c>
      <c r="B74" s="2" t="s">
        <v>159</v>
      </c>
      <c r="C74" s="2" t="s">
        <v>10</v>
      </c>
      <c r="D74" s="3">
        <v>164812.87</v>
      </c>
      <c r="E74" s="2" t="s">
        <v>11</v>
      </c>
      <c r="F74" s="2" t="s">
        <v>12</v>
      </c>
      <c r="G74" s="2" t="s">
        <v>13</v>
      </c>
      <c r="H74" s="2" t="s">
        <v>14</v>
      </c>
      <c r="I74" s="2" t="s">
        <v>160</v>
      </c>
    </row>
    <row r="75" spans="1:9" hidden="1" x14ac:dyDescent="0.3">
      <c r="A75" s="5">
        <v>45679</v>
      </c>
      <c r="B75" s="2" t="s">
        <v>161</v>
      </c>
      <c r="C75" s="2" t="s">
        <v>10</v>
      </c>
      <c r="D75" s="3">
        <v>149068.56</v>
      </c>
      <c r="E75" s="2" t="s">
        <v>11</v>
      </c>
      <c r="F75" s="2" t="s">
        <v>12</v>
      </c>
      <c r="G75" s="2" t="s">
        <v>13</v>
      </c>
      <c r="H75" s="2" t="s">
        <v>14</v>
      </c>
      <c r="I75" s="2" t="s">
        <v>162</v>
      </c>
    </row>
    <row r="76" spans="1:9" hidden="1" x14ac:dyDescent="0.3">
      <c r="A76" s="5">
        <v>45679</v>
      </c>
      <c r="B76" s="2" t="s">
        <v>163</v>
      </c>
      <c r="C76" s="2" t="s">
        <v>10</v>
      </c>
      <c r="D76" s="3">
        <v>1071739.54</v>
      </c>
      <c r="E76" s="2" t="s">
        <v>11</v>
      </c>
      <c r="F76" s="2" t="s">
        <v>12</v>
      </c>
      <c r="G76" s="2" t="s">
        <v>13</v>
      </c>
      <c r="H76" s="2" t="s">
        <v>14</v>
      </c>
      <c r="I76" s="2" t="s">
        <v>164</v>
      </c>
    </row>
    <row r="77" spans="1:9" hidden="1" x14ac:dyDescent="0.3">
      <c r="A77" s="5">
        <v>45679</v>
      </c>
      <c r="B77" s="2" t="s">
        <v>165</v>
      </c>
      <c r="C77" s="2" t="s">
        <v>10</v>
      </c>
      <c r="D77" s="3">
        <v>817290.02</v>
      </c>
      <c r="E77" s="2" t="s">
        <v>11</v>
      </c>
      <c r="F77" s="2" t="s">
        <v>12</v>
      </c>
      <c r="G77" s="2" t="s">
        <v>13</v>
      </c>
      <c r="H77" s="2" t="s">
        <v>14</v>
      </c>
      <c r="I77" s="2" t="s">
        <v>166</v>
      </c>
    </row>
    <row r="78" spans="1:9" hidden="1" x14ac:dyDescent="0.3">
      <c r="A78" s="5">
        <v>45679</v>
      </c>
      <c r="B78" s="2" t="s">
        <v>167</v>
      </c>
      <c r="C78" s="2" t="s">
        <v>10</v>
      </c>
      <c r="D78" s="3">
        <v>1795822.42</v>
      </c>
      <c r="E78" s="2" t="s">
        <v>11</v>
      </c>
      <c r="F78" s="2" t="s">
        <v>12</v>
      </c>
      <c r="G78" s="2" t="s">
        <v>13</v>
      </c>
      <c r="H78" s="2" t="s">
        <v>14</v>
      </c>
      <c r="I78" s="2" t="s">
        <v>168</v>
      </c>
    </row>
    <row r="79" spans="1:9" hidden="1" x14ac:dyDescent="0.3">
      <c r="A79" s="5">
        <v>45679</v>
      </c>
      <c r="B79" s="2" t="s">
        <v>169</v>
      </c>
      <c r="C79" s="2" t="s">
        <v>10</v>
      </c>
      <c r="D79" s="3">
        <v>886150.07</v>
      </c>
      <c r="E79" s="2" t="s">
        <v>11</v>
      </c>
      <c r="F79" s="2" t="s">
        <v>12</v>
      </c>
      <c r="G79" s="2" t="s">
        <v>13</v>
      </c>
      <c r="H79" s="2" t="s">
        <v>14</v>
      </c>
      <c r="I79" s="2" t="s">
        <v>170</v>
      </c>
    </row>
    <row r="80" spans="1:9" hidden="1" x14ac:dyDescent="0.3">
      <c r="A80" s="5">
        <v>45679</v>
      </c>
      <c r="B80" s="2" t="s">
        <v>171</v>
      </c>
      <c r="C80" s="2" t="s">
        <v>10</v>
      </c>
      <c r="D80" s="3">
        <v>1091993.98</v>
      </c>
      <c r="E80" s="2" t="s">
        <v>11</v>
      </c>
      <c r="F80" s="2" t="s">
        <v>12</v>
      </c>
      <c r="G80" s="2" t="s">
        <v>13</v>
      </c>
      <c r="H80" s="2" t="s">
        <v>14</v>
      </c>
      <c r="I80" s="2" t="s">
        <v>172</v>
      </c>
    </row>
    <row r="81" spans="1:9" hidden="1" x14ac:dyDescent="0.3">
      <c r="A81" s="5">
        <v>45687</v>
      </c>
      <c r="B81" s="2" t="s">
        <v>173</v>
      </c>
      <c r="C81" s="2" t="s">
        <v>10</v>
      </c>
      <c r="D81" s="3">
        <v>420061.13</v>
      </c>
      <c r="E81" s="2" t="s">
        <v>11</v>
      </c>
      <c r="F81" s="2" t="s">
        <v>12</v>
      </c>
      <c r="G81" s="2" t="s">
        <v>13</v>
      </c>
      <c r="H81" s="2" t="s">
        <v>14</v>
      </c>
      <c r="I81" s="2" t="s">
        <v>174</v>
      </c>
    </row>
    <row r="82" spans="1:9" hidden="1" x14ac:dyDescent="0.3">
      <c r="A82" s="5">
        <v>45687</v>
      </c>
      <c r="B82" s="2" t="s">
        <v>175</v>
      </c>
      <c r="C82" s="2" t="s">
        <v>10</v>
      </c>
      <c r="D82" s="3">
        <v>951198.17</v>
      </c>
      <c r="E82" s="2" t="s">
        <v>11</v>
      </c>
      <c r="F82" s="2" t="s">
        <v>12</v>
      </c>
      <c r="G82" s="2" t="s">
        <v>13</v>
      </c>
      <c r="H82" s="2" t="s">
        <v>14</v>
      </c>
      <c r="I82" s="2" t="s">
        <v>176</v>
      </c>
    </row>
    <row r="83" spans="1:9" hidden="1" x14ac:dyDescent="0.3">
      <c r="A83" s="5">
        <v>45687</v>
      </c>
      <c r="B83" s="2" t="s">
        <v>177</v>
      </c>
      <c r="C83" s="2" t="s">
        <v>10</v>
      </c>
      <c r="D83" s="3">
        <v>6800.99</v>
      </c>
      <c r="E83" s="2" t="s">
        <v>11</v>
      </c>
      <c r="F83" s="2" t="s">
        <v>12</v>
      </c>
      <c r="G83" s="2" t="s">
        <v>13</v>
      </c>
      <c r="H83" s="2" t="s">
        <v>14</v>
      </c>
      <c r="I83" s="2" t="s">
        <v>178</v>
      </c>
    </row>
    <row r="84" spans="1:9" hidden="1" x14ac:dyDescent="0.3">
      <c r="A84" s="5">
        <v>45687</v>
      </c>
      <c r="B84" s="2" t="s">
        <v>179</v>
      </c>
      <c r="C84" s="2" t="s">
        <v>10</v>
      </c>
      <c r="D84" s="3">
        <v>163831.22</v>
      </c>
      <c r="E84" s="2" t="s">
        <v>11</v>
      </c>
      <c r="F84" s="2" t="s">
        <v>12</v>
      </c>
      <c r="G84" s="2" t="s">
        <v>13</v>
      </c>
      <c r="H84" s="2" t="s">
        <v>14</v>
      </c>
      <c r="I84" s="2" t="s">
        <v>180</v>
      </c>
    </row>
    <row r="85" spans="1:9" hidden="1" x14ac:dyDescent="0.3">
      <c r="A85" s="5">
        <v>45687</v>
      </c>
      <c r="B85" s="2" t="s">
        <v>181</v>
      </c>
      <c r="C85" s="2" t="s">
        <v>10</v>
      </c>
      <c r="D85" s="3">
        <v>100446.18</v>
      </c>
      <c r="E85" s="2" t="s">
        <v>11</v>
      </c>
      <c r="F85" s="2" t="s">
        <v>12</v>
      </c>
      <c r="G85" s="2" t="s">
        <v>13</v>
      </c>
      <c r="H85" s="2" t="s">
        <v>14</v>
      </c>
      <c r="I85" s="2" t="s">
        <v>182</v>
      </c>
    </row>
    <row r="86" spans="1:9" hidden="1" x14ac:dyDescent="0.3">
      <c r="A86" s="5">
        <v>45687</v>
      </c>
      <c r="B86" s="2" t="s">
        <v>183</v>
      </c>
      <c r="C86" s="2" t="s">
        <v>10</v>
      </c>
      <c r="D86" s="3">
        <v>1505681.76</v>
      </c>
      <c r="E86" s="2" t="s">
        <v>11</v>
      </c>
      <c r="F86" s="2" t="s">
        <v>12</v>
      </c>
      <c r="G86" s="2" t="s">
        <v>13</v>
      </c>
      <c r="H86" s="2" t="s">
        <v>14</v>
      </c>
      <c r="I86" s="2" t="s">
        <v>184</v>
      </c>
    </row>
    <row r="87" spans="1:9" hidden="1" x14ac:dyDescent="0.3">
      <c r="A87" s="5">
        <v>45687</v>
      </c>
      <c r="B87" s="2" t="s">
        <v>185</v>
      </c>
      <c r="C87" s="2" t="s">
        <v>10</v>
      </c>
      <c r="D87" s="3">
        <v>860212</v>
      </c>
      <c r="E87" s="2" t="s">
        <v>11</v>
      </c>
      <c r="F87" s="2" t="s">
        <v>12</v>
      </c>
      <c r="G87" s="2" t="s">
        <v>13</v>
      </c>
      <c r="H87" s="2" t="s">
        <v>14</v>
      </c>
      <c r="I87" s="2" t="s">
        <v>186</v>
      </c>
    </row>
    <row r="88" spans="1:9" hidden="1" x14ac:dyDescent="0.3">
      <c r="A88" s="5">
        <v>45687</v>
      </c>
      <c r="B88" s="2" t="s">
        <v>187</v>
      </c>
      <c r="C88" s="2" t="s">
        <v>10</v>
      </c>
      <c r="D88" s="3">
        <v>968129.2</v>
      </c>
      <c r="E88" s="2" t="s">
        <v>11</v>
      </c>
      <c r="F88" s="2" t="s">
        <v>12</v>
      </c>
      <c r="G88" s="2" t="s">
        <v>13</v>
      </c>
      <c r="H88" s="2" t="s">
        <v>14</v>
      </c>
      <c r="I88" s="2" t="s">
        <v>188</v>
      </c>
    </row>
    <row r="89" spans="1:9" hidden="1" x14ac:dyDescent="0.3">
      <c r="A89" s="5">
        <v>45687</v>
      </c>
      <c r="B89" s="2" t="s">
        <v>189</v>
      </c>
      <c r="C89" s="2" t="s">
        <v>10</v>
      </c>
      <c r="D89" s="3">
        <v>1858038.04</v>
      </c>
      <c r="E89" s="2" t="s">
        <v>11</v>
      </c>
      <c r="F89" s="2" t="s">
        <v>12</v>
      </c>
      <c r="G89" s="2" t="s">
        <v>13</v>
      </c>
      <c r="H89" s="2" t="s">
        <v>14</v>
      </c>
      <c r="I89" s="2" t="s">
        <v>190</v>
      </c>
    </row>
    <row r="90" spans="1:9" hidden="1" x14ac:dyDescent="0.3">
      <c r="A90" s="5">
        <v>45687</v>
      </c>
      <c r="B90" s="2" t="s">
        <v>191</v>
      </c>
      <c r="C90" s="2" t="s">
        <v>10</v>
      </c>
      <c r="D90" s="3">
        <v>1540060.34</v>
      </c>
      <c r="E90" s="2" t="s">
        <v>11</v>
      </c>
      <c r="F90" s="2" t="s">
        <v>12</v>
      </c>
      <c r="G90" s="2" t="s">
        <v>13</v>
      </c>
      <c r="H90" s="2" t="s">
        <v>14</v>
      </c>
      <c r="I90" s="2" t="s">
        <v>192</v>
      </c>
    </row>
    <row r="91" spans="1:9" hidden="1" x14ac:dyDescent="0.3">
      <c r="A91" s="5">
        <v>45687</v>
      </c>
      <c r="B91" s="2" t="s">
        <v>193</v>
      </c>
      <c r="C91" s="2" t="s">
        <v>10</v>
      </c>
      <c r="D91" s="3">
        <v>1518451.78</v>
      </c>
      <c r="E91" s="2" t="s">
        <v>11</v>
      </c>
      <c r="F91" s="2" t="s">
        <v>12</v>
      </c>
      <c r="G91" s="2" t="s">
        <v>13</v>
      </c>
      <c r="H91" s="2" t="s">
        <v>14</v>
      </c>
      <c r="I91" s="2" t="s">
        <v>194</v>
      </c>
    </row>
    <row r="92" spans="1:9" hidden="1" x14ac:dyDescent="0.3">
      <c r="A92" s="5">
        <v>45687</v>
      </c>
      <c r="B92" s="2" t="s">
        <v>195</v>
      </c>
      <c r="C92" s="2" t="s">
        <v>10</v>
      </c>
      <c r="D92" s="3">
        <v>1349055.62</v>
      </c>
      <c r="E92" s="2" t="s">
        <v>11</v>
      </c>
      <c r="F92" s="2" t="s">
        <v>12</v>
      </c>
      <c r="G92" s="2" t="s">
        <v>13</v>
      </c>
      <c r="H92" s="2" t="s">
        <v>14</v>
      </c>
      <c r="I92" s="2" t="s">
        <v>196</v>
      </c>
    </row>
    <row r="93" spans="1:9" hidden="1" x14ac:dyDescent="0.3">
      <c r="A93" s="5">
        <v>45693</v>
      </c>
      <c r="B93" s="2" t="s">
        <v>197</v>
      </c>
      <c r="C93" s="2" t="s">
        <v>10</v>
      </c>
      <c r="D93" s="3">
        <v>539434.19999999995</v>
      </c>
      <c r="E93" s="2" t="s">
        <v>11</v>
      </c>
      <c r="F93" s="2" t="s">
        <v>12</v>
      </c>
      <c r="G93" s="2" t="s">
        <v>13</v>
      </c>
      <c r="H93" s="2" t="s">
        <v>14</v>
      </c>
      <c r="I93" s="2" t="s">
        <v>198</v>
      </c>
    </row>
    <row r="94" spans="1:9" hidden="1" x14ac:dyDescent="0.3">
      <c r="A94" s="5">
        <v>45693</v>
      </c>
      <c r="B94" s="2" t="s">
        <v>199</v>
      </c>
      <c r="C94" s="2" t="s">
        <v>10</v>
      </c>
      <c r="D94" s="3">
        <v>26944.63</v>
      </c>
      <c r="E94" s="2" t="s">
        <v>11</v>
      </c>
      <c r="F94" s="2" t="s">
        <v>12</v>
      </c>
      <c r="G94" s="2" t="s">
        <v>13</v>
      </c>
      <c r="H94" s="2" t="s">
        <v>14</v>
      </c>
      <c r="I94" s="2" t="s">
        <v>200</v>
      </c>
    </row>
    <row r="95" spans="1:9" hidden="1" x14ac:dyDescent="0.3">
      <c r="A95" s="5">
        <v>45693</v>
      </c>
      <c r="B95" s="2" t="s">
        <v>201</v>
      </c>
      <c r="C95" s="2" t="s">
        <v>10</v>
      </c>
      <c r="D95" s="3">
        <v>359413.1</v>
      </c>
      <c r="E95" s="2" t="s">
        <v>11</v>
      </c>
      <c r="F95" s="2" t="s">
        <v>12</v>
      </c>
      <c r="G95" s="2" t="s">
        <v>13</v>
      </c>
      <c r="H95" s="2" t="s">
        <v>14</v>
      </c>
      <c r="I95" s="2" t="s">
        <v>202</v>
      </c>
    </row>
    <row r="96" spans="1:9" hidden="1" x14ac:dyDescent="0.3">
      <c r="A96" s="5">
        <v>45693</v>
      </c>
      <c r="B96" s="2" t="s">
        <v>203</v>
      </c>
      <c r="C96" s="2" t="s">
        <v>10</v>
      </c>
      <c r="D96" s="3">
        <v>1108248.05</v>
      </c>
      <c r="E96" s="2" t="s">
        <v>11</v>
      </c>
      <c r="F96" s="2" t="s">
        <v>12</v>
      </c>
      <c r="G96" s="2" t="s">
        <v>13</v>
      </c>
      <c r="H96" s="2" t="s">
        <v>14</v>
      </c>
      <c r="I96" s="2" t="s">
        <v>204</v>
      </c>
    </row>
    <row r="97" spans="1:9" hidden="1" x14ac:dyDescent="0.3">
      <c r="A97" s="5">
        <v>45693</v>
      </c>
      <c r="B97" s="2" t="s">
        <v>205</v>
      </c>
      <c r="C97" s="2" t="s">
        <v>10</v>
      </c>
      <c r="D97" s="3">
        <v>442463.36</v>
      </c>
      <c r="E97" s="2" t="s">
        <v>11</v>
      </c>
      <c r="F97" s="2" t="s">
        <v>12</v>
      </c>
      <c r="G97" s="2" t="s">
        <v>13</v>
      </c>
      <c r="H97" s="2" t="s">
        <v>14</v>
      </c>
      <c r="I97" s="2" t="s">
        <v>206</v>
      </c>
    </row>
    <row r="98" spans="1:9" hidden="1" x14ac:dyDescent="0.3">
      <c r="A98" s="5">
        <v>45693</v>
      </c>
      <c r="B98" s="2" t="s">
        <v>207</v>
      </c>
      <c r="C98" s="2" t="s">
        <v>10</v>
      </c>
      <c r="D98" s="3">
        <v>330004.78999999998</v>
      </c>
      <c r="E98" s="2" t="s">
        <v>11</v>
      </c>
      <c r="F98" s="2" t="s">
        <v>12</v>
      </c>
      <c r="G98" s="2" t="s">
        <v>13</v>
      </c>
      <c r="H98" s="2" t="s">
        <v>14</v>
      </c>
      <c r="I98" s="2" t="s">
        <v>208</v>
      </c>
    </row>
    <row r="99" spans="1:9" hidden="1" x14ac:dyDescent="0.3">
      <c r="A99" s="5">
        <v>45693</v>
      </c>
      <c r="B99" s="2" t="s">
        <v>209</v>
      </c>
      <c r="C99" s="2" t="s">
        <v>10</v>
      </c>
      <c r="D99" s="3">
        <v>583261.72</v>
      </c>
      <c r="E99" s="2" t="s">
        <v>11</v>
      </c>
      <c r="F99" s="2" t="s">
        <v>12</v>
      </c>
      <c r="G99" s="2" t="s">
        <v>13</v>
      </c>
      <c r="H99" s="2" t="s">
        <v>14</v>
      </c>
      <c r="I99" s="2" t="s">
        <v>210</v>
      </c>
    </row>
    <row r="100" spans="1:9" hidden="1" x14ac:dyDescent="0.3">
      <c r="A100" s="5">
        <v>45693</v>
      </c>
      <c r="B100" s="2" t="s">
        <v>211</v>
      </c>
      <c r="C100" s="2" t="s">
        <v>10</v>
      </c>
      <c r="D100" s="3">
        <v>1221495.49</v>
      </c>
      <c r="E100" s="2" t="s">
        <v>11</v>
      </c>
      <c r="F100" s="2" t="s">
        <v>12</v>
      </c>
      <c r="G100" s="2" t="s">
        <v>13</v>
      </c>
      <c r="H100" s="2" t="s">
        <v>14</v>
      </c>
      <c r="I100" s="2" t="s">
        <v>212</v>
      </c>
    </row>
    <row r="101" spans="1:9" hidden="1" x14ac:dyDescent="0.3">
      <c r="A101" s="5">
        <v>45700</v>
      </c>
      <c r="B101" s="2" t="s">
        <v>213</v>
      </c>
      <c r="C101" s="2" t="s">
        <v>10</v>
      </c>
      <c r="D101" s="3">
        <v>563733.24</v>
      </c>
      <c r="E101" s="2" t="s">
        <v>11</v>
      </c>
      <c r="F101" s="2" t="s">
        <v>12</v>
      </c>
      <c r="G101" s="2" t="s">
        <v>13</v>
      </c>
      <c r="H101" s="2" t="s">
        <v>14</v>
      </c>
      <c r="I101" s="2" t="s">
        <v>214</v>
      </c>
    </row>
    <row r="102" spans="1:9" hidden="1" x14ac:dyDescent="0.3">
      <c r="A102" s="5">
        <v>45700</v>
      </c>
      <c r="B102" s="2" t="s">
        <v>215</v>
      </c>
      <c r="C102" s="2" t="s">
        <v>10</v>
      </c>
      <c r="D102" s="3">
        <v>284344.74</v>
      </c>
      <c r="E102" s="2" t="s">
        <v>11</v>
      </c>
      <c r="F102" s="2" t="s">
        <v>12</v>
      </c>
      <c r="G102" s="2" t="s">
        <v>13</v>
      </c>
      <c r="H102" s="2" t="s">
        <v>14</v>
      </c>
      <c r="I102" s="2" t="s">
        <v>216</v>
      </c>
    </row>
    <row r="103" spans="1:9" hidden="1" x14ac:dyDescent="0.3">
      <c r="A103" s="5">
        <v>45700</v>
      </c>
      <c r="B103" s="2" t="s">
        <v>217</v>
      </c>
      <c r="C103" s="2" t="s">
        <v>10</v>
      </c>
      <c r="D103" s="3">
        <v>403716.05</v>
      </c>
      <c r="E103" s="2" t="s">
        <v>11</v>
      </c>
      <c r="F103" s="2" t="s">
        <v>12</v>
      </c>
      <c r="G103" s="2" t="s">
        <v>13</v>
      </c>
      <c r="H103" s="2" t="s">
        <v>14</v>
      </c>
      <c r="I103" s="2" t="s">
        <v>218</v>
      </c>
    </row>
    <row r="104" spans="1:9" hidden="1" x14ac:dyDescent="0.3">
      <c r="A104" s="5">
        <v>45700</v>
      </c>
      <c r="B104" s="2" t="s">
        <v>219</v>
      </c>
      <c r="C104" s="2" t="s">
        <v>10</v>
      </c>
      <c r="D104" s="3">
        <v>217571.18</v>
      </c>
      <c r="E104" s="2" t="s">
        <v>11</v>
      </c>
      <c r="F104" s="2" t="s">
        <v>12</v>
      </c>
      <c r="G104" s="2" t="s">
        <v>13</v>
      </c>
      <c r="H104" s="2" t="s">
        <v>14</v>
      </c>
      <c r="I104" s="2" t="s">
        <v>220</v>
      </c>
    </row>
    <row r="105" spans="1:9" hidden="1" x14ac:dyDescent="0.3">
      <c r="A105" s="5">
        <v>45700</v>
      </c>
      <c r="B105" s="2" t="s">
        <v>221</v>
      </c>
      <c r="C105" s="2" t="s">
        <v>10</v>
      </c>
      <c r="D105" s="3">
        <v>196260.96</v>
      </c>
      <c r="E105" s="2" t="s">
        <v>11</v>
      </c>
      <c r="F105" s="2" t="s">
        <v>12</v>
      </c>
      <c r="G105" s="2" t="s">
        <v>13</v>
      </c>
      <c r="H105" s="2" t="s">
        <v>14</v>
      </c>
      <c r="I105" s="2" t="s">
        <v>222</v>
      </c>
    </row>
    <row r="106" spans="1:9" hidden="1" x14ac:dyDescent="0.3">
      <c r="A106" s="5">
        <v>45700</v>
      </c>
      <c r="B106" s="2" t="s">
        <v>223</v>
      </c>
      <c r="C106" s="2" t="s">
        <v>10</v>
      </c>
      <c r="D106" s="3">
        <v>25782.58</v>
      </c>
      <c r="E106" s="2" t="s">
        <v>11</v>
      </c>
      <c r="F106" s="2" t="s">
        <v>12</v>
      </c>
      <c r="G106" s="2" t="s">
        <v>13</v>
      </c>
      <c r="H106" s="2" t="s">
        <v>14</v>
      </c>
      <c r="I106" s="2" t="s">
        <v>224</v>
      </c>
    </row>
    <row r="107" spans="1:9" hidden="1" x14ac:dyDescent="0.3">
      <c r="A107" s="5">
        <v>45707</v>
      </c>
      <c r="B107" s="2" t="s">
        <v>225</v>
      </c>
      <c r="C107" s="2" t="s">
        <v>10</v>
      </c>
      <c r="D107" s="3">
        <v>117224.65</v>
      </c>
      <c r="E107" s="2" t="s">
        <v>11</v>
      </c>
      <c r="F107" s="2" t="s">
        <v>12</v>
      </c>
      <c r="G107" s="2" t="s">
        <v>13</v>
      </c>
      <c r="H107" s="2" t="s">
        <v>14</v>
      </c>
      <c r="I107" s="2" t="s">
        <v>226</v>
      </c>
    </row>
    <row r="108" spans="1:9" hidden="1" x14ac:dyDescent="0.3">
      <c r="A108" s="5">
        <v>45707</v>
      </c>
      <c r="B108" s="2" t="s">
        <v>227</v>
      </c>
      <c r="C108" s="2" t="s">
        <v>10</v>
      </c>
      <c r="D108" s="3">
        <v>219799.34</v>
      </c>
      <c r="E108" s="2" t="s">
        <v>11</v>
      </c>
      <c r="F108" s="2" t="s">
        <v>12</v>
      </c>
      <c r="G108" s="2" t="s">
        <v>13</v>
      </c>
      <c r="H108" s="2" t="s">
        <v>14</v>
      </c>
      <c r="I108" s="2" t="s">
        <v>228</v>
      </c>
    </row>
    <row r="109" spans="1:9" hidden="1" x14ac:dyDescent="0.3">
      <c r="A109" s="5">
        <v>45707</v>
      </c>
      <c r="B109" s="2" t="s">
        <v>229</v>
      </c>
      <c r="C109" s="2" t="s">
        <v>10</v>
      </c>
      <c r="D109" s="3">
        <v>248741.89</v>
      </c>
      <c r="E109" s="2" t="s">
        <v>11</v>
      </c>
      <c r="F109" s="2" t="s">
        <v>12</v>
      </c>
      <c r="G109" s="2" t="s">
        <v>13</v>
      </c>
      <c r="H109" s="2" t="s">
        <v>14</v>
      </c>
      <c r="I109" s="2" t="s">
        <v>230</v>
      </c>
    </row>
    <row r="110" spans="1:9" hidden="1" x14ac:dyDescent="0.3">
      <c r="A110" s="5">
        <v>45707</v>
      </c>
      <c r="B110" s="2" t="s">
        <v>231</v>
      </c>
      <c r="C110" s="2" t="s">
        <v>10</v>
      </c>
      <c r="D110" s="3">
        <v>481763.12</v>
      </c>
      <c r="E110" s="2" t="s">
        <v>11</v>
      </c>
      <c r="F110" s="2" t="s">
        <v>12</v>
      </c>
      <c r="G110" s="2" t="s">
        <v>13</v>
      </c>
      <c r="H110" s="2" t="s">
        <v>14</v>
      </c>
      <c r="I110" s="2" t="s">
        <v>232</v>
      </c>
    </row>
    <row r="111" spans="1:9" hidden="1" x14ac:dyDescent="0.3">
      <c r="A111" s="5">
        <v>45707</v>
      </c>
      <c r="B111" s="2" t="s">
        <v>233</v>
      </c>
      <c r="C111" s="2" t="s">
        <v>10</v>
      </c>
      <c r="D111" s="3">
        <v>104756.5</v>
      </c>
      <c r="E111" s="2" t="s">
        <v>11</v>
      </c>
      <c r="F111" s="2" t="s">
        <v>12</v>
      </c>
      <c r="G111" s="2" t="s">
        <v>13</v>
      </c>
      <c r="H111" s="2" t="s">
        <v>14</v>
      </c>
      <c r="I111" s="2" t="s">
        <v>234</v>
      </c>
    </row>
    <row r="112" spans="1:9" hidden="1" x14ac:dyDescent="0.3">
      <c r="A112" s="5">
        <v>45707</v>
      </c>
      <c r="B112" s="2" t="s">
        <v>235</v>
      </c>
      <c r="C112" s="2" t="s">
        <v>10</v>
      </c>
      <c r="D112" s="3">
        <v>306825.48</v>
      </c>
      <c r="E112" s="2" t="s">
        <v>11</v>
      </c>
      <c r="F112" s="2" t="s">
        <v>12</v>
      </c>
      <c r="G112" s="2" t="s">
        <v>13</v>
      </c>
      <c r="H112" s="2" t="s">
        <v>14</v>
      </c>
      <c r="I112" s="2" t="s">
        <v>236</v>
      </c>
    </row>
    <row r="113" spans="1:9" hidden="1" x14ac:dyDescent="0.3">
      <c r="A113" s="5">
        <v>45707</v>
      </c>
      <c r="B113" s="2" t="s">
        <v>237</v>
      </c>
      <c r="C113" s="2" t="s">
        <v>10</v>
      </c>
      <c r="D113" s="3">
        <v>1412046.05</v>
      </c>
      <c r="E113" s="2" t="s">
        <v>11</v>
      </c>
      <c r="F113" s="2" t="s">
        <v>12</v>
      </c>
      <c r="G113" s="2" t="s">
        <v>13</v>
      </c>
      <c r="H113" s="2" t="s">
        <v>14</v>
      </c>
      <c r="I113" s="2" t="s">
        <v>238</v>
      </c>
    </row>
    <row r="114" spans="1:9" hidden="1" x14ac:dyDescent="0.3">
      <c r="A114" s="5">
        <v>45712</v>
      </c>
      <c r="B114" s="2" t="s">
        <v>239</v>
      </c>
      <c r="C114" s="2" t="s">
        <v>10</v>
      </c>
      <c r="D114" s="3">
        <v>437572.54</v>
      </c>
      <c r="E114" s="2" t="s">
        <v>11</v>
      </c>
      <c r="F114" s="2" t="s">
        <v>12</v>
      </c>
      <c r="G114" s="2" t="s">
        <v>13</v>
      </c>
      <c r="H114" s="2" t="s">
        <v>14</v>
      </c>
      <c r="I114" s="2" t="s">
        <v>240</v>
      </c>
    </row>
    <row r="115" spans="1:9" hidden="1" x14ac:dyDescent="0.3">
      <c r="A115" s="5">
        <v>45712</v>
      </c>
      <c r="B115" s="2" t="s">
        <v>241</v>
      </c>
      <c r="C115" s="2" t="s">
        <v>10</v>
      </c>
      <c r="D115" s="3">
        <v>441565.85</v>
      </c>
      <c r="E115" s="2" t="s">
        <v>11</v>
      </c>
      <c r="F115" s="2" t="s">
        <v>12</v>
      </c>
      <c r="G115" s="2" t="s">
        <v>13</v>
      </c>
      <c r="H115" s="2" t="s">
        <v>14</v>
      </c>
      <c r="I115" s="2" t="s">
        <v>242</v>
      </c>
    </row>
    <row r="116" spans="1:9" hidden="1" x14ac:dyDescent="0.3">
      <c r="A116" s="5">
        <v>45712</v>
      </c>
      <c r="B116" s="2" t="s">
        <v>243</v>
      </c>
      <c r="C116" s="2" t="s">
        <v>10</v>
      </c>
      <c r="D116" s="3">
        <v>160237.15</v>
      </c>
      <c r="E116" s="2" t="s">
        <v>11</v>
      </c>
      <c r="F116" s="2" t="s">
        <v>12</v>
      </c>
      <c r="G116" s="2" t="s">
        <v>13</v>
      </c>
      <c r="H116" s="2" t="s">
        <v>14</v>
      </c>
      <c r="I116" s="2" t="s">
        <v>244</v>
      </c>
    </row>
    <row r="117" spans="1:9" hidden="1" x14ac:dyDescent="0.3">
      <c r="A117" s="5">
        <v>45712</v>
      </c>
      <c r="B117" s="2" t="s">
        <v>245</v>
      </c>
      <c r="C117" s="2" t="s">
        <v>10</v>
      </c>
      <c r="D117" s="3">
        <v>1579623.65</v>
      </c>
      <c r="E117" s="2" t="s">
        <v>11</v>
      </c>
      <c r="F117" s="2" t="s">
        <v>12</v>
      </c>
      <c r="G117" s="2" t="s">
        <v>13</v>
      </c>
      <c r="H117" s="2" t="s">
        <v>14</v>
      </c>
      <c r="I117" s="2" t="s">
        <v>246</v>
      </c>
    </row>
    <row r="118" spans="1:9" hidden="1" x14ac:dyDescent="0.3">
      <c r="A118" s="5">
        <v>45712</v>
      </c>
      <c r="B118" s="2" t="s">
        <v>247</v>
      </c>
      <c r="C118" s="2" t="s">
        <v>10</v>
      </c>
      <c r="D118" s="3">
        <v>1253954.8799999999</v>
      </c>
      <c r="E118" s="2" t="s">
        <v>11</v>
      </c>
      <c r="F118" s="2" t="s">
        <v>12</v>
      </c>
      <c r="G118" s="2" t="s">
        <v>13</v>
      </c>
      <c r="H118" s="2" t="s">
        <v>14</v>
      </c>
      <c r="I118" s="2" t="s">
        <v>248</v>
      </c>
    </row>
    <row r="119" spans="1:9" hidden="1" x14ac:dyDescent="0.3">
      <c r="A119" s="5">
        <v>45712</v>
      </c>
      <c r="B119" s="2" t="s">
        <v>249</v>
      </c>
      <c r="C119" s="2" t="s">
        <v>10</v>
      </c>
      <c r="D119" s="3">
        <v>1128820.04</v>
      </c>
      <c r="E119" s="2" t="s">
        <v>11</v>
      </c>
      <c r="F119" s="2" t="s">
        <v>12</v>
      </c>
      <c r="G119" s="2" t="s">
        <v>13</v>
      </c>
      <c r="H119" s="2" t="s">
        <v>14</v>
      </c>
      <c r="I119" s="2" t="s">
        <v>250</v>
      </c>
    </row>
    <row r="120" spans="1:9" hidden="1" x14ac:dyDescent="0.3">
      <c r="A120" s="5">
        <v>45712</v>
      </c>
      <c r="B120" s="2" t="s">
        <v>251</v>
      </c>
      <c r="C120" s="2" t="s">
        <v>10</v>
      </c>
      <c r="D120" s="3">
        <v>1491610.94</v>
      </c>
      <c r="E120" s="2" t="s">
        <v>11</v>
      </c>
      <c r="F120" s="2" t="s">
        <v>12</v>
      </c>
      <c r="G120" s="2" t="s">
        <v>13</v>
      </c>
      <c r="H120" s="2" t="s">
        <v>14</v>
      </c>
      <c r="I120" s="2" t="s">
        <v>252</v>
      </c>
    </row>
    <row r="121" spans="1:9" hidden="1" x14ac:dyDescent="0.3">
      <c r="A121" s="5">
        <v>45712</v>
      </c>
      <c r="B121" s="2" t="s">
        <v>253</v>
      </c>
      <c r="C121" s="2" t="s">
        <v>10</v>
      </c>
      <c r="D121" s="3">
        <v>260629.33</v>
      </c>
      <c r="E121" s="2" t="s">
        <v>11</v>
      </c>
      <c r="F121" s="2" t="s">
        <v>12</v>
      </c>
      <c r="G121" s="2" t="s">
        <v>13</v>
      </c>
      <c r="H121" s="2" t="s">
        <v>14</v>
      </c>
      <c r="I121" s="2" t="s">
        <v>254</v>
      </c>
    </row>
    <row r="122" spans="1:9" hidden="1" x14ac:dyDescent="0.3">
      <c r="A122" s="5">
        <v>45712</v>
      </c>
      <c r="B122" s="2" t="s">
        <v>255</v>
      </c>
      <c r="C122" s="2" t="s">
        <v>10</v>
      </c>
      <c r="D122" s="3">
        <v>298598.24</v>
      </c>
      <c r="E122" s="2" t="s">
        <v>11</v>
      </c>
      <c r="F122" s="2" t="s">
        <v>12</v>
      </c>
      <c r="G122" s="2" t="s">
        <v>13</v>
      </c>
      <c r="H122" s="2" t="s">
        <v>14</v>
      </c>
      <c r="I122" s="2" t="s">
        <v>256</v>
      </c>
    </row>
    <row r="123" spans="1:9" hidden="1" x14ac:dyDescent="0.3">
      <c r="A123" s="5">
        <v>45712</v>
      </c>
      <c r="B123" s="2" t="s">
        <v>257</v>
      </c>
      <c r="C123" s="2" t="s">
        <v>10</v>
      </c>
      <c r="D123" s="3">
        <v>154994.69</v>
      </c>
      <c r="E123" s="2" t="s">
        <v>11</v>
      </c>
      <c r="F123" s="2" t="s">
        <v>12</v>
      </c>
      <c r="G123" s="2" t="s">
        <v>13</v>
      </c>
      <c r="H123" s="2" t="s">
        <v>14</v>
      </c>
      <c r="I123" s="2" t="s">
        <v>258</v>
      </c>
    </row>
    <row r="124" spans="1:9" hidden="1" x14ac:dyDescent="0.3">
      <c r="A124" s="5">
        <v>45712</v>
      </c>
      <c r="B124" s="2" t="s">
        <v>259</v>
      </c>
      <c r="C124" s="2" t="s">
        <v>10</v>
      </c>
      <c r="D124" s="3">
        <v>1029694.64</v>
      </c>
      <c r="E124" s="2" t="s">
        <v>11</v>
      </c>
      <c r="F124" s="2" t="s">
        <v>12</v>
      </c>
      <c r="G124" s="2" t="s">
        <v>13</v>
      </c>
      <c r="H124" s="2" t="s">
        <v>14</v>
      </c>
      <c r="I124" s="2" t="s">
        <v>260</v>
      </c>
    </row>
    <row r="125" spans="1:9" hidden="1" x14ac:dyDescent="0.3">
      <c r="A125" s="5">
        <v>45712</v>
      </c>
      <c r="B125" s="2" t="s">
        <v>261</v>
      </c>
      <c r="C125" s="2" t="s">
        <v>10</v>
      </c>
      <c r="D125" s="3">
        <v>19283.939999999999</v>
      </c>
      <c r="E125" s="2" t="s">
        <v>11</v>
      </c>
      <c r="F125" s="2" t="s">
        <v>12</v>
      </c>
      <c r="G125" s="2" t="s">
        <v>13</v>
      </c>
      <c r="H125" s="2" t="s">
        <v>14</v>
      </c>
      <c r="I125" s="2" t="s">
        <v>262</v>
      </c>
    </row>
    <row r="126" spans="1:9" hidden="1" x14ac:dyDescent="0.3">
      <c r="A126" s="5">
        <v>45712</v>
      </c>
      <c r="B126" s="2" t="s">
        <v>263</v>
      </c>
      <c r="C126" s="2" t="s">
        <v>10</v>
      </c>
      <c r="D126" s="3">
        <v>1434302.93</v>
      </c>
      <c r="E126" s="2" t="s">
        <v>11</v>
      </c>
      <c r="F126" s="2" t="s">
        <v>12</v>
      </c>
      <c r="G126" s="2" t="s">
        <v>13</v>
      </c>
      <c r="H126" s="2" t="s">
        <v>14</v>
      </c>
      <c r="I126" s="2" t="s">
        <v>264</v>
      </c>
    </row>
    <row r="127" spans="1:9" hidden="1" x14ac:dyDescent="0.3">
      <c r="A127" s="5">
        <v>45721</v>
      </c>
      <c r="B127" s="2" t="s">
        <v>265</v>
      </c>
      <c r="C127" s="2" t="s">
        <v>10</v>
      </c>
      <c r="D127" s="3">
        <v>912599.72</v>
      </c>
      <c r="E127" s="2" t="s">
        <v>11</v>
      </c>
      <c r="F127" s="2" t="s">
        <v>12</v>
      </c>
      <c r="G127" s="2" t="s">
        <v>13</v>
      </c>
      <c r="H127" s="2" t="s">
        <v>14</v>
      </c>
      <c r="I127" s="2" t="s">
        <v>266</v>
      </c>
    </row>
    <row r="128" spans="1:9" hidden="1" x14ac:dyDescent="0.3">
      <c r="A128" s="5">
        <v>45721</v>
      </c>
      <c r="B128" s="2" t="s">
        <v>267</v>
      </c>
      <c r="C128" s="2" t="s">
        <v>10</v>
      </c>
      <c r="D128" s="3">
        <v>118016.38</v>
      </c>
      <c r="E128" s="2" t="s">
        <v>11</v>
      </c>
      <c r="F128" s="2" t="s">
        <v>12</v>
      </c>
      <c r="G128" s="2" t="s">
        <v>13</v>
      </c>
      <c r="H128" s="2" t="s">
        <v>14</v>
      </c>
      <c r="I128" s="2" t="s">
        <v>268</v>
      </c>
    </row>
    <row r="129" spans="1:9" hidden="1" x14ac:dyDescent="0.3">
      <c r="A129" s="5">
        <v>45721</v>
      </c>
      <c r="B129" s="2" t="s">
        <v>269</v>
      </c>
      <c r="C129" s="2" t="s">
        <v>10</v>
      </c>
      <c r="D129" s="3">
        <v>264059.74</v>
      </c>
      <c r="E129" s="2" t="s">
        <v>11</v>
      </c>
      <c r="F129" s="2" t="s">
        <v>12</v>
      </c>
      <c r="G129" s="2" t="s">
        <v>13</v>
      </c>
      <c r="H129" s="2" t="s">
        <v>14</v>
      </c>
      <c r="I129" s="2" t="s">
        <v>270</v>
      </c>
    </row>
    <row r="130" spans="1:9" hidden="1" x14ac:dyDescent="0.3">
      <c r="A130" s="5">
        <v>45721</v>
      </c>
      <c r="B130" s="2" t="s">
        <v>271</v>
      </c>
      <c r="C130" s="2" t="s">
        <v>10</v>
      </c>
      <c r="D130" s="3">
        <v>205483.9</v>
      </c>
      <c r="E130" s="2" t="s">
        <v>11</v>
      </c>
      <c r="F130" s="2" t="s">
        <v>12</v>
      </c>
      <c r="G130" s="2" t="s">
        <v>13</v>
      </c>
      <c r="H130" s="2" t="s">
        <v>14</v>
      </c>
      <c r="I130" s="2" t="s">
        <v>272</v>
      </c>
    </row>
    <row r="131" spans="1:9" hidden="1" x14ac:dyDescent="0.3">
      <c r="A131" s="5">
        <v>45721</v>
      </c>
      <c r="B131" s="2" t="s">
        <v>273</v>
      </c>
      <c r="C131" s="2" t="s">
        <v>10</v>
      </c>
      <c r="D131" s="3">
        <v>313468.52</v>
      </c>
      <c r="E131" s="2" t="s">
        <v>11</v>
      </c>
      <c r="F131" s="2" t="s">
        <v>12</v>
      </c>
      <c r="G131" s="2" t="s">
        <v>13</v>
      </c>
      <c r="H131" s="2" t="s">
        <v>14</v>
      </c>
      <c r="I131" s="2" t="s">
        <v>274</v>
      </c>
    </row>
    <row r="132" spans="1:9" hidden="1" x14ac:dyDescent="0.3">
      <c r="A132" s="5">
        <v>45721</v>
      </c>
      <c r="B132" s="2" t="s">
        <v>275</v>
      </c>
      <c r="C132" s="2" t="s">
        <v>10</v>
      </c>
      <c r="D132" s="3">
        <v>432960</v>
      </c>
      <c r="E132" s="2" t="s">
        <v>11</v>
      </c>
      <c r="F132" s="2" t="s">
        <v>12</v>
      </c>
      <c r="G132" s="2" t="s">
        <v>13</v>
      </c>
      <c r="H132" s="2" t="s">
        <v>14</v>
      </c>
      <c r="I132" s="2" t="s">
        <v>276</v>
      </c>
    </row>
    <row r="133" spans="1:9" hidden="1" x14ac:dyDescent="0.3">
      <c r="A133" s="5">
        <v>45721</v>
      </c>
      <c r="B133" s="2" t="s">
        <v>277</v>
      </c>
      <c r="C133" s="2" t="s">
        <v>10</v>
      </c>
      <c r="D133" s="3">
        <v>829869.79</v>
      </c>
      <c r="E133" s="2" t="s">
        <v>11</v>
      </c>
      <c r="F133" s="2" t="s">
        <v>12</v>
      </c>
      <c r="G133" s="2" t="s">
        <v>13</v>
      </c>
      <c r="H133" s="2" t="s">
        <v>14</v>
      </c>
      <c r="I133" s="2" t="s">
        <v>278</v>
      </c>
    </row>
    <row r="134" spans="1:9" hidden="1" x14ac:dyDescent="0.3">
      <c r="A134" s="5">
        <v>45721</v>
      </c>
      <c r="B134" s="2" t="s">
        <v>279</v>
      </c>
      <c r="C134" s="2" t="s">
        <v>10</v>
      </c>
      <c r="D134" s="3">
        <v>1955728.21</v>
      </c>
      <c r="E134" s="2" t="s">
        <v>11</v>
      </c>
      <c r="F134" s="2" t="s">
        <v>12</v>
      </c>
      <c r="G134" s="2" t="s">
        <v>13</v>
      </c>
      <c r="H134" s="2" t="s">
        <v>14</v>
      </c>
      <c r="I134" s="2" t="s">
        <v>280</v>
      </c>
    </row>
    <row r="135" spans="1:9" hidden="1" x14ac:dyDescent="0.3">
      <c r="A135" s="5">
        <v>45728</v>
      </c>
      <c r="B135" s="2" t="s">
        <v>281</v>
      </c>
      <c r="C135" s="2" t="s">
        <v>10</v>
      </c>
      <c r="D135" s="3">
        <v>897258.54</v>
      </c>
      <c r="E135" s="2" t="s">
        <v>11</v>
      </c>
      <c r="F135" s="2" t="s">
        <v>12</v>
      </c>
      <c r="G135" s="2" t="s">
        <v>13</v>
      </c>
      <c r="H135" s="2" t="s">
        <v>14</v>
      </c>
      <c r="I135" s="2" t="s">
        <v>282</v>
      </c>
    </row>
    <row r="136" spans="1:9" hidden="1" x14ac:dyDescent="0.3">
      <c r="A136" s="5">
        <v>45728</v>
      </c>
      <c r="B136" s="2" t="s">
        <v>283</v>
      </c>
      <c r="C136" s="2" t="s">
        <v>10</v>
      </c>
      <c r="D136" s="3">
        <v>794455.3</v>
      </c>
      <c r="E136" s="2" t="s">
        <v>11</v>
      </c>
      <c r="F136" s="2" t="s">
        <v>12</v>
      </c>
      <c r="G136" s="2" t="s">
        <v>13</v>
      </c>
      <c r="H136" s="2" t="s">
        <v>14</v>
      </c>
      <c r="I136" s="2" t="s">
        <v>284</v>
      </c>
    </row>
    <row r="137" spans="1:9" hidden="1" x14ac:dyDescent="0.3">
      <c r="A137" s="5">
        <v>45728</v>
      </c>
      <c r="B137" s="2" t="s">
        <v>285</v>
      </c>
      <c r="C137" s="2" t="s">
        <v>10</v>
      </c>
      <c r="D137" s="3">
        <v>1403664.83</v>
      </c>
      <c r="E137" s="2" t="s">
        <v>11</v>
      </c>
      <c r="F137" s="2" t="s">
        <v>12</v>
      </c>
      <c r="G137" s="2" t="s">
        <v>13</v>
      </c>
      <c r="H137" s="2" t="s">
        <v>14</v>
      </c>
      <c r="I137" s="2" t="s">
        <v>286</v>
      </c>
    </row>
    <row r="138" spans="1:9" hidden="1" x14ac:dyDescent="0.3">
      <c r="A138" s="5">
        <v>45728</v>
      </c>
      <c r="B138" s="2" t="s">
        <v>287</v>
      </c>
      <c r="C138" s="2" t="s">
        <v>10</v>
      </c>
      <c r="D138" s="3">
        <v>107250.37</v>
      </c>
      <c r="E138" s="2" t="s">
        <v>11</v>
      </c>
      <c r="F138" s="2" t="s">
        <v>12</v>
      </c>
      <c r="G138" s="2" t="s">
        <v>13</v>
      </c>
      <c r="H138" s="2" t="s">
        <v>14</v>
      </c>
      <c r="I138" s="2" t="s">
        <v>288</v>
      </c>
    </row>
    <row r="139" spans="1:9" hidden="1" x14ac:dyDescent="0.3">
      <c r="A139" s="5">
        <v>45728</v>
      </c>
      <c r="B139" s="2" t="s">
        <v>289</v>
      </c>
      <c r="C139" s="2" t="s">
        <v>10</v>
      </c>
      <c r="D139" s="3">
        <v>128830.32</v>
      </c>
      <c r="E139" s="2" t="s">
        <v>11</v>
      </c>
      <c r="F139" s="2" t="s">
        <v>12</v>
      </c>
      <c r="G139" s="2" t="s">
        <v>13</v>
      </c>
      <c r="H139" s="2" t="s">
        <v>14</v>
      </c>
      <c r="I139" s="2" t="s">
        <v>290</v>
      </c>
    </row>
    <row r="140" spans="1:9" hidden="1" x14ac:dyDescent="0.3">
      <c r="A140" s="5">
        <v>45728</v>
      </c>
      <c r="B140" s="2" t="s">
        <v>291</v>
      </c>
      <c r="C140" s="2" t="s">
        <v>10</v>
      </c>
      <c r="D140" s="3">
        <v>375627.56</v>
      </c>
      <c r="E140" s="2" t="s">
        <v>11</v>
      </c>
      <c r="F140" s="2" t="s">
        <v>12</v>
      </c>
      <c r="G140" s="2" t="s">
        <v>13</v>
      </c>
      <c r="H140" s="2" t="s">
        <v>14</v>
      </c>
      <c r="I140" s="2" t="s">
        <v>292</v>
      </c>
    </row>
    <row r="141" spans="1:9" hidden="1" x14ac:dyDescent="0.3">
      <c r="A141" s="5">
        <v>45728</v>
      </c>
      <c r="B141" s="2" t="s">
        <v>293</v>
      </c>
      <c r="C141" s="2" t="s">
        <v>10</v>
      </c>
      <c r="D141" s="3">
        <v>1208751.3600000001</v>
      </c>
      <c r="E141" s="2" t="s">
        <v>11</v>
      </c>
      <c r="F141" s="2" t="s">
        <v>12</v>
      </c>
      <c r="G141" s="2" t="s">
        <v>13</v>
      </c>
      <c r="H141" s="2" t="s">
        <v>14</v>
      </c>
      <c r="I141" s="2" t="s">
        <v>294</v>
      </c>
    </row>
    <row r="142" spans="1:9" hidden="1" x14ac:dyDescent="0.3">
      <c r="A142" s="5">
        <v>45728</v>
      </c>
      <c r="B142" s="2" t="s">
        <v>295</v>
      </c>
      <c r="C142" s="2" t="s">
        <v>10</v>
      </c>
      <c r="D142" s="3">
        <v>2497089.5299999998</v>
      </c>
      <c r="E142" s="2" t="s">
        <v>11</v>
      </c>
      <c r="F142" s="2" t="s">
        <v>12</v>
      </c>
      <c r="G142" s="2" t="s">
        <v>13</v>
      </c>
      <c r="H142" s="2" t="s">
        <v>14</v>
      </c>
      <c r="I142" s="2" t="s">
        <v>296</v>
      </c>
    </row>
    <row r="143" spans="1:9" hidden="1" x14ac:dyDescent="0.3">
      <c r="A143" s="5">
        <v>45728</v>
      </c>
      <c r="B143" s="2" t="s">
        <v>297</v>
      </c>
      <c r="C143" s="2" t="s">
        <v>10</v>
      </c>
      <c r="D143" s="3">
        <v>228326.5</v>
      </c>
      <c r="E143" s="2" t="s">
        <v>11</v>
      </c>
      <c r="F143" s="2" t="s">
        <v>12</v>
      </c>
      <c r="G143" s="2" t="s">
        <v>13</v>
      </c>
      <c r="H143" s="2" t="s">
        <v>14</v>
      </c>
      <c r="I143" s="2" t="s">
        <v>298</v>
      </c>
    </row>
    <row r="144" spans="1:9" hidden="1" x14ac:dyDescent="0.3">
      <c r="A144" s="5">
        <v>45735</v>
      </c>
      <c r="B144" s="2" t="s">
        <v>299</v>
      </c>
      <c r="C144" s="2" t="s">
        <v>10</v>
      </c>
      <c r="D144" s="3">
        <v>13836489.1</v>
      </c>
      <c r="E144" s="2" t="s">
        <v>11</v>
      </c>
      <c r="F144" s="2" t="s">
        <v>12</v>
      </c>
      <c r="G144" s="2" t="s">
        <v>13</v>
      </c>
      <c r="H144" s="2" t="s">
        <v>14</v>
      </c>
      <c r="I144" s="2" t="s">
        <v>300</v>
      </c>
    </row>
    <row r="145" spans="1:9" hidden="1" x14ac:dyDescent="0.3">
      <c r="A145" s="5">
        <v>45735</v>
      </c>
      <c r="B145" s="2" t="s">
        <v>301</v>
      </c>
      <c r="C145" s="2" t="s">
        <v>10</v>
      </c>
      <c r="D145" s="3">
        <v>2973235.99</v>
      </c>
      <c r="E145" s="2" t="s">
        <v>11</v>
      </c>
      <c r="F145" s="2" t="s">
        <v>12</v>
      </c>
      <c r="G145" s="2" t="s">
        <v>13</v>
      </c>
      <c r="H145" s="2" t="s">
        <v>14</v>
      </c>
      <c r="I145" s="2" t="s">
        <v>302</v>
      </c>
    </row>
    <row r="146" spans="1:9" hidden="1" x14ac:dyDescent="0.3">
      <c r="A146" s="5">
        <v>45735</v>
      </c>
      <c r="B146" s="2" t="s">
        <v>303</v>
      </c>
      <c r="C146" s="2" t="s">
        <v>10</v>
      </c>
      <c r="D146" s="3">
        <v>203040.53</v>
      </c>
      <c r="E146" s="2" t="s">
        <v>11</v>
      </c>
      <c r="F146" s="2" t="s">
        <v>12</v>
      </c>
      <c r="G146" s="2" t="s">
        <v>13</v>
      </c>
      <c r="H146" s="2" t="s">
        <v>14</v>
      </c>
      <c r="I146" s="2" t="s">
        <v>304</v>
      </c>
    </row>
    <row r="147" spans="1:9" hidden="1" x14ac:dyDescent="0.3">
      <c r="A147" s="5">
        <v>45735</v>
      </c>
      <c r="B147" s="2" t="s">
        <v>305</v>
      </c>
      <c r="C147" s="2" t="s">
        <v>10</v>
      </c>
      <c r="D147" s="3">
        <v>392196.97</v>
      </c>
      <c r="E147" s="2" t="s">
        <v>11</v>
      </c>
      <c r="F147" s="2" t="s">
        <v>12</v>
      </c>
      <c r="G147" s="2" t="s">
        <v>13</v>
      </c>
      <c r="H147" s="2" t="s">
        <v>14</v>
      </c>
      <c r="I147" s="2" t="s">
        <v>306</v>
      </c>
    </row>
    <row r="148" spans="1:9" hidden="1" x14ac:dyDescent="0.3">
      <c r="A148" s="5">
        <v>45735</v>
      </c>
      <c r="B148" s="2" t="s">
        <v>307</v>
      </c>
      <c r="C148" s="2" t="s">
        <v>10</v>
      </c>
      <c r="D148" s="3">
        <v>352545.9</v>
      </c>
      <c r="E148" s="2" t="s">
        <v>11</v>
      </c>
      <c r="F148" s="2" t="s">
        <v>12</v>
      </c>
      <c r="G148" s="2" t="s">
        <v>13</v>
      </c>
      <c r="H148" s="2" t="s">
        <v>14</v>
      </c>
      <c r="I148" s="2" t="s">
        <v>308</v>
      </c>
    </row>
    <row r="149" spans="1:9" hidden="1" x14ac:dyDescent="0.3">
      <c r="A149" s="5">
        <v>45735</v>
      </c>
      <c r="B149" s="2" t="s">
        <v>309</v>
      </c>
      <c r="C149" s="2" t="s">
        <v>10</v>
      </c>
      <c r="D149" s="3">
        <v>461427.12</v>
      </c>
      <c r="E149" s="2" t="s">
        <v>11</v>
      </c>
      <c r="F149" s="2" t="s">
        <v>12</v>
      </c>
      <c r="G149" s="2" t="s">
        <v>13</v>
      </c>
      <c r="H149" s="2" t="s">
        <v>14</v>
      </c>
      <c r="I149" s="2" t="s">
        <v>310</v>
      </c>
    </row>
    <row r="150" spans="1:9" hidden="1" x14ac:dyDescent="0.3">
      <c r="A150" s="5">
        <v>45735</v>
      </c>
      <c r="B150" s="2" t="s">
        <v>311</v>
      </c>
      <c r="C150" s="2" t="s">
        <v>10</v>
      </c>
      <c r="D150" s="3">
        <v>802280.33</v>
      </c>
      <c r="E150" s="2" t="s">
        <v>11</v>
      </c>
      <c r="F150" s="2" t="s">
        <v>12</v>
      </c>
      <c r="G150" s="2" t="s">
        <v>13</v>
      </c>
      <c r="H150" s="2" t="s">
        <v>14</v>
      </c>
      <c r="I150" s="2" t="s">
        <v>312</v>
      </c>
    </row>
    <row r="151" spans="1:9" hidden="1" x14ac:dyDescent="0.3">
      <c r="A151" s="5">
        <v>45735</v>
      </c>
      <c r="B151" s="2" t="s">
        <v>313</v>
      </c>
      <c r="C151" s="2" t="s">
        <v>10</v>
      </c>
      <c r="D151" s="3">
        <v>17307.59</v>
      </c>
      <c r="E151" s="2" t="s">
        <v>11</v>
      </c>
      <c r="F151" s="2" t="s">
        <v>12</v>
      </c>
      <c r="G151" s="2" t="s">
        <v>13</v>
      </c>
      <c r="H151" s="2" t="s">
        <v>14</v>
      </c>
      <c r="I151" s="2" t="s">
        <v>314</v>
      </c>
    </row>
    <row r="152" spans="1:9" hidden="1" x14ac:dyDescent="0.3">
      <c r="A152" s="5">
        <v>45735</v>
      </c>
      <c r="B152" s="2" t="s">
        <v>315</v>
      </c>
      <c r="C152" s="2" t="s">
        <v>316</v>
      </c>
      <c r="D152" s="3">
        <v>687244.16</v>
      </c>
      <c r="E152" s="2" t="s">
        <v>11</v>
      </c>
      <c r="F152" s="2" t="s">
        <v>12</v>
      </c>
      <c r="G152" s="2" t="s">
        <v>13</v>
      </c>
      <c r="H152" s="2" t="s">
        <v>14</v>
      </c>
      <c r="I152" s="2" t="s">
        <v>317</v>
      </c>
    </row>
    <row r="153" spans="1:9" hidden="1" x14ac:dyDescent="0.3">
      <c r="A153" s="5">
        <v>45735</v>
      </c>
      <c r="B153" s="2" t="s">
        <v>318</v>
      </c>
      <c r="C153" s="2" t="s">
        <v>316</v>
      </c>
      <c r="D153" s="3">
        <v>1726667.27</v>
      </c>
      <c r="E153" s="2" t="s">
        <v>11</v>
      </c>
      <c r="F153" s="2" t="s">
        <v>12</v>
      </c>
      <c r="G153" s="2" t="s">
        <v>13</v>
      </c>
      <c r="H153" s="2" t="s">
        <v>14</v>
      </c>
      <c r="I153" s="2" t="s">
        <v>319</v>
      </c>
    </row>
    <row r="154" spans="1:9" hidden="1" x14ac:dyDescent="0.3">
      <c r="A154" s="5">
        <v>45741</v>
      </c>
      <c r="B154" s="2" t="s">
        <v>320</v>
      </c>
      <c r="C154" s="2" t="s">
        <v>10</v>
      </c>
      <c r="D154" s="3">
        <v>2426298.34</v>
      </c>
      <c r="E154" s="2" t="s">
        <v>11</v>
      </c>
      <c r="F154" s="2" t="s">
        <v>12</v>
      </c>
      <c r="G154" s="2" t="s">
        <v>13</v>
      </c>
      <c r="H154" s="2" t="s">
        <v>14</v>
      </c>
      <c r="I154" s="2" t="s">
        <v>321</v>
      </c>
    </row>
    <row r="155" spans="1:9" hidden="1" x14ac:dyDescent="0.3">
      <c r="A155" s="5">
        <v>45741</v>
      </c>
      <c r="B155" s="2" t="s">
        <v>322</v>
      </c>
      <c r="C155" s="2" t="s">
        <v>10</v>
      </c>
      <c r="D155" s="3">
        <v>1235109.8400000001</v>
      </c>
      <c r="E155" s="2" t="s">
        <v>11</v>
      </c>
      <c r="F155" s="2" t="s">
        <v>12</v>
      </c>
      <c r="G155" s="2" t="s">
        <v>13</v>
      </c>
      <c r="H155" s="2" t="s">
        <v>14</v>
      </c>
      <c r="I155" s="2" t="s">
        <v>323</v>
      </c>
    </row>
    <row r="156" spans="1:9" hidden="1" x14ac:dyDescent="0.3">
      <c r="A156" s="5">
        <v>45741</v>
      </c>
      <c r="B156" s="2" t="s">
        <v>324</v>
      </c>
      <c r="C156" s="2" t="s">
        <v>10</v>
      </c>
      <c r="D156" s="3">
        <v>18815.88</v>
      </c>
      <c r="E156" s="2" t="s">
        <v>11</v>
      </c>
      <c r="F156" s="2" t="s">
        <v>12</v>
      </c>
      <c r="G156" s="2" t="s">
        <v>13</v>
      </c>
      <c r="H156" s="2" t="s">
        <v>14</v>
      </c>
      <c r="I156" s="2" t="s">
        <v>325</v>
      </c>
    </row>
    <row r="157" spans="1:9" hidden="1" x14ac:dyDescent="0.3">
      <c r="A157" s="5">
        <v>45741</v>
      </c>
      <c r="B157" s="2" t="s">
        <v>326</v>
      </c>
      <c r="C157" s="2" t="s">
        <v>10</v>
      </c>
      <c r="D157" s="3">
        <v>1689654.91</v>
      </c>
      <c r="E157" s="2" t="s">
        <v>11</v>
      </c>
      <c r="F157" s="2" t="s">
        <v>12</v>
      </c>
      <c r="G157" s="2" t="s">
        <v>13</v>
      </c>
      <c r="H157" s="2" t="s">
        <v>14</v>
      </c>
      <c r="I157" s="2" t="s">
        <v>327</v>
      </c>
    </row>
    <row r="158" spans="1:9" hidden="1" x14ac:dyDescent="0.3">
      <c r="A158" s="5">
        <v>45741</v>
      </c>
      <c r="B158" s="2" t="s">
        <v>328</v>
      </c>
      <c r="C158" s="2" t="s">
        <v>10</v>
      </c>
      <c r="D158" s="3">
        <v>225847.98</v>
      </c>
      <c r="E158" s="2" t="s">
        <v>11</v>
      </c>
      <c r="F158" s="2" t="s">
        <v>12</v>
      </c>
      <c r="G158" s="2" t="s">
        <v>13</v>
      </c>
      <c r="H158" s="2" t="s">
        <v>14</v>
      </c>
      <c r="I158" s="2" t="s">
        <v>329</v>
      </c>
    </row>
    <row r="159" spans="1:9" hidden="1" x14ac:dyDescent="0.3">
      <c r="A159" s="5">
        <v>45742</v>
      </c>
      <c r="B159" s="2" t="s">
        <v>330</v>
      </c>
      <c r="C159" s="2" t="s">
        <v>10</v>
      </c>
      <c r="D159" s="3">
        <v>274195.68</v>
      </c>
      <c r="E159" s="2" t="s">
        <v>11</v>
      </c>
      <c r="F159" s="2" t="s">
        <v>12</v>
      </c>
      <c r="G159" s="2" t="s">
        <v>13</v>
      </c>
      <c r="H159" s="2" t="s">
        <v>14</v>
      </c>
      <c r="I159" s="2" t="s">
        <v>331</v>
      </c>
    </row>
    <row r="160" spans="1:9" hidden="1" x14ac:dyDescent="0.3">
      <c r="A160" s="5">
        <v>45748</v>
      </c>
      <c r="B160" s="2" t="s">
        <v>332</v>
      </c>
      <c r="C160" s="2" t="s">
        <v>10</v>
      </c>
      <c r="D160" s="3">
        <v>5653291.9699999997</v>
      </c>
      <c r="E160" s="2" t="s">
        <v>11</v>
      </c>
      <c r="F160" s="2" t="s">
        <v>12</v>
      </c>
      <c r="G160" s="2" t="s">
        <v>13</v>
      </c>
      <c r="H160" s="2" t="s">
        <v>14</v>
      </c>
      <c r="I160" s="2" t="s">
        <v>333</v>
      </c>
    </row>
    <row r="161" spans="1:9" hidden="1" x14ac:dyDescent="0.3">
      <c r="A161" s="5">
        <v>45748</v>
      </c>
      <c r="B161" s="2" t="s">
        <v>334</v>
      </c>
      <c r="C161" s="2" t="s">
        <v>10</v>
      </c>
      <c r="D161" s="3">
        <v>38691.11</v>
      </c>
      <c r="E161" s="2" t="s">
        <v>11</v>
      </c>
      <c r="F161" s="2" t="s">
        <v>12</v>
      </c>
      <c r="G161" s="2" t="s">
        <v>13</v>
      </c>
      <c r="H161" s="2" t="s">
        <v>14</v>
      </c>
      <c r="I161" s="2" t="s">
        <v>335</v>
      </c>
    </row>
    <row r="162" spans="1:9" hidden="1" x14ac:dyDescent="0.3">
      <c r="A162" s="5">
        <v>45748</v>
      </c>
      <c r="B162" s="2" t="s">
        <v>336</v>
      </c>
      <c r="C162" s="2" t="s">
        <v>10</v>
      </c>
      <c r="D162" s="3">
        <v>987819.52000000002</v>
      </c>
      <c r="E162" s="2" t="s">
        <v>11</v>
      </c>
      <c r="F162" s="2" t="s">
        <v>12</v>
      </c>
      <c r="G162" s="2" t="s">
        <v>13</v>
      </c>
      <c r="H162" s="2" t="s">
        <v>14</v>
      </c>
      <c r="I162" s="2" t="s">
        <v>337</v>
      </c>
    </row>
    <row r="163" spans="1:9" hidden="1" x14ac:dyDescent="0.3">
      <c r="A163" s="5">
        <v>45748</v>
      </c>
      <c r="B163" s="2" t="s">
        <v>338</v>
      </c>
      <c r="C163" s="2" t="s">
        <v>10</v>
      </c>
      <c r="D163" s="3">
        <v>688773.96</v>
      </c>
      <c r="E163" s="2" t="s">
        <v>11</v>
      </c>
      <c r="F163" s="2" t="s">
        <v>12</v>
      </c>
      <c r="G163" s="2" t="s">
        <v>13</v>
      </c>
      <c r="H163" s="2" t="s">
        <v>14</v>
      </c>
      <c r="I163" s="2" t="s">
        <v>339</v>
      </c>
    </row>
    <row r="164" spans="1:9" hidden="1" x14ac:dyDescent="0.3">
      <c r="A164" s="5">
        <v>45748</v>
      </c>
      <c r="B164" s="2" t="s">
        <v>340</v>
      </c>
      <c r="C164" s="2" t="s">
        <v>316</v>
      </c>
      <c r="D164" s="3">
        <v>111112.48</v>
      </c>
      <c r="E164" s="2" t="s">
        <v>11</v>
      </c>
      <c r="F164" s="2" t="s">
        <v>12</v>
      </c>
      <c r="G164" s="2" t="s">
        <v>13</v>
      </c>
      <c r="H164" s="2" t="s">
        <v>14</v>
      </c>
      <c r="I164" s="2" t="s">
        <v>341</v>
      </c>
    </row>
    <row r="165" spans="1:9" hidden="1" x14ac:dyDescent="0.3">
      <c r="A165" s="5">
        <v>45750</v>
      </c>
      <c r="B165" s="2" t="s">
        <v>342</v>
      </c>
      <c r="C165" s="2" t="s">
        <v>10</v>
      </c>
      <c r="D165" s="3">
        <v>276513.48</v>
      </c>
      <c r="E165" s="2" t="s">
        <v>11</v>
      </c>
      <c r="F165" s="2" t="s">
        <v>12</v>
      </c>
      <c r="G165" s="2" t="s">
        <v>13</v>
      </c>
      <c r="H165" s="2" t="s">
        <v>14</v>
      </c>
      <c r="I165" s="2" t="s">
        <v>343</v>
      </c>
    </row>
    <row r="166" spans="1:9" hidden="1" x14ac:dyDescent="0.3">
      <c r="A166" s="5">
        <v>45750</v>
      </c>
      <c r="B166" s="2" t="s">
        <v>344</v>
      </c>
      <c r="C166" s="2" t="s">
        <v>10</v>
      </c>
      <c r="D166" s="3">
        <v>278885.40000000002</v>
      </c>
      <c r="E166" s="2" t="s">
        <v>11</v>
      </c>
      <c r="F166" s="2" t="s">
        <v>12</v>
      </c>
      <c r="G166" s="2" t="s">
        <v>13</v>
      </c>
      <c r="H166" s="2" t="s">
        <v>14</v>
      </c>
      <c r="I166" s="2" t="s">
        <v>345</v>
      </c>
    </row>
    <row r="167" spans="1:9" hidden="1" x14ac:dyDescent="0.3">
      <c r="A167" s="5">
        <v>45750</v>
      </c>
      <c r="B167" s="2" t="s">
        <v>346</v>
      </c>
      <c r="C167" s="2" t="s">
        <v>10</v>
      </c>
      <c r="D167" s="3">
        <v>3660583.96</v>
      </c>
      <c r="E167" s="2" t="s">
        <v>11</v>
      </c>
      <c r="F167" s="2" t="s">
        <v>12</v>
      </c>
      <c r="G167" s="2" t="s">
        <v>13</v>
      </c>
      <c r="H167" s="2" t="s">
        <v>14</v>
      </c>
      <c r="I167" s="2" t="s">
        <v>347</v>
      </c>
    </row>
    <row r="168" spans="1:9" hidden="1" x14ac:dyDescent="0.3">
      <c r="A168" s="5">
        <v>45750</v>
      </c>
      <c r="B168" s="2" t="s">
        <v>348</v>
      </c>
      <c r="C168" s="2" t="s">
        <v>10</v>
      </c>
      <c r="D168" s="3">
        <v>1009145.9</v>
      </c>
      <c r="E168" s="2" t="s">
        <v>11</v>
      </c>
      <c r="F168" s="2" t="s">
        <v>12</v>
      </c>
      <c r="G168" s="2" t="s">
        <v>13</v>
      </c>
      <c r="H168" s="2" t="s">
        <v>14</v>
      </c>
      <c r="I168" s="2" t="s">
        <v>349</v>
      </c>
    </row>
    <row r="169" spans="1:9" hidden="1" x14ac:dyDescent="0.3">
      <c r="A169" s="5">
        <v>45755</v>
      </c>
      <c r="B169" s="2" t="s">
        <v>350</v>
      </c>
      <c r="C169" s="2" t="s">
        <v>10</v>
      </c>
      <c r="D169" s="3">
        <v>524107.09</v>
      </c>
      <c r="E169" s="2" t="s">
        <v>11</v>
      </c>
      <c r="F169" s="2" t="s">
        <v>12</v>
      </c>
      <c r="G169" s="2" t="s">
        <v>13</v>
      </c>
      <c r="H169" s="2" t="s">
        <v>14</v>
      </c>
      <c r="I169" s="2" t="s">
        <v>351</v>
      </c>
    </row>
    <row r="170" spans="1:9" hidden="1" x14ac:dyDescent="0.3">
      <c r="A170" s="5">
        <v>45755</v>
      </c>
      <c r="B170" s="2" t="s">
        <v>352</v>
      </c>
      <c r="C170" s="2" t="s">
        <v>10</v>
      </c>
      <c r="D170" s="3">
        <v>279619.26</v>
      </c>
      <c r="E170" s="2" t="s">
        <v>11</v>
      </c>
      <c r="F170" s="2" t="s">
        <v>12</v>
      </c>
      <c r="G170" s="2" t="s">
        <v>13</v>
      </c>
      <c r="H170" s="2" t="s">
        <v>14</v>
      </c>
      <c r="I170" s="2" t="s">
        <v>353</v>
      </c>
    </row>
    <row r="171" spans="1:9" hidden="1" x14ac:dyDescent="0.3">
      <c r="A171" s="5">
        <v>45755</v>
      </c>
      <c r="B171" s="2" t="s">
        <v>354</v>
      </c>
      <c r="C171" s="2" t="s">
        <v>10</v>
      </c>
      <c r="D171" s="3">
        <v>1029145.36</v>
      </c>
      <c r="E171" s="2" t="s">
        <v>11</v>
      </c>
      <c r="F171" s="2" t="s">
        <v>12</v>
      </c>
      <c r="G171" s="2" t="s">
        <v>13</v>
      </c>
      <c r="H171" s="2" t="s">
        <v>14</v>
      </c>
      <c r="I171" s="2" t="s">
        <v>355</v>
      </c>
    </row>
    <row r="172" spans="1:9" hidden="1" x14ac:dyDescent="0.3">
      <c r="A172" s="5">
        <v>45755</v>
      </c>
      <c r="B172" s="2" t="s">
        <v>356</v>
      </c>
      <c r="C172" s="2" t="s">
        <v>10</v>
      </c>
      <c r="D172" s="3">
        <v>39115.67</v>
      </c>
      <c r="E172" s="2" t="s">
        <v>11</v>
      </c>
      <c r="F172" s="2" t="s">
        <v>12</v>
      </c>
      <c r="G172" s="2" t="s">
        <v>13</v>
      </c>
      <c r="H172" s="2" t="s">
        <v>14</v>
      </c>
      <c r="I172" s="2" t="s">
        <v>357</v>
      </c>
    </row>
    <row r="173" spans="1:9" hidden="1" x14ac:dyDescent="0.3">
      <c r="A173" s="5">
        <v>45755</v>
      </c>
      <c r="B173" s="2" t="s">
        <v>358</v>
      </c>
      <c r="C173" s="2" t="s">
        <v>10</v>
      </c>
      <c r="D173" s="3">
        <v>184123.84</v>
      </c>
      <c r="E173" s="2" t="s">
        <v>11</v>
      </c>
      <c r="F173" s="2" t="s">
        <v>12</v>
      </c>
      <c r="G173" s="2" t="s">
        <v>13</v>
      </c>
      <c r="H173" s="2" t="s">
        <v>14</v>
      </c>
      <c r="I173" s="2" t="s">
        <v>359</v>
      </c>
    </row>
    <row r="174" spans="1:9" hidden="1" x14ac:dyDescent="0.3">
      <c r="A174" s="5">
        <v>45757</v>
      </c>
      <c r="B174" s="2" t="s">
        <v>360</v>
      </c>
      <c r="C174" s="2" t="s">
        <v>10</v>
      </c>
      <c r="D174" s="3">
        <v>230451.07</v>
      </c>
      <c r="E174" s="2" t="s">
        <v>11</v>
      </c>
      <c r="F174" s="2" t="s">
        <v>12</v>
      </c>
      <c r="G174" s="2" t="s">
        <v>13</v>
      </c>
      <c r="H174" s="2" t="s">
        <v>14</v>
      </c>
      <c r="I174" s="2" t="s">
        <v>361</v>
      </c>
    </row>
    <row r="175" spans="1:9" hidden="1" x14ac:dyDescent="0.3">
      <c r="A175" s="5">
        <v>45757</v>
      </c>
      <c r="B175" s="2" t="s">
        <v>362</v>
      </c>
      <c r="C175" s="2" t="s">
        <v>10</v>
      </c>
      <c r="D175" s="3">
        <v>172188.83</v>
      </c>
      <c r="E175" s="2" t="s">
        <v>11</v>
      </c>
      <c r="F175" s="2" t="s">
        <v>12</v>
      </c>
      <c r="G175" s="2" t="s">
        <v>13</v>
      </c>
      <c r="H175" s="2" t="s">
        <v>14</v>
      </c>
      <c r="I175" s="2" t="s">
        <v>363</v>
      </c>
    </row>
    <row r="176" spans="1:9" hidden="1" x14ac:dyDescent="0.3">
      <c r="A176" s="5">
        <v>45763</v>
      </c>
      <c r="B176" s="2" t="s">
        <v>364</v>
      </c>
      <c r="C176" s="2" t="s">
        <v>10</v>
      </c>
      <c r="D176" s="3">
        <v>4763796.07</v>
      </c>
      <c r="E176" s="2" t="s">
        <v>11</v>
      </c>
      <c r="F176" s="2" t="s">
        <v>12</v>
      </c>
      <c r="G176" s="2" t="s">
        <v>13</v>
      </c>
      <c r="H176" s="2" t="s">
        <v>14</v>
      </c>
      <c r="I176" s="2" t="s">
        <v>365</v>
      </c>
    </row>
    <row r="177" spans="1:9" hidden="1" x14ac:dyDescent="0.3">
      <c r="A177" s="5">
        <v>45763</v>
      </c>
      <c r="B177" s="2" t="s">
        <v>366</v>
      </c>
      <c r="C177" s="2" t="s">
        <v>10</v>
      </c>
      <c r="D177" s="3">
        <v>357340.84</v>
      </c>
      <c r="E177" s="2" t="s">
        <v>11</v>
      </c>
      <c r="F177" s="2" t="s">
        <v>12</v>
      </c>
      <c r="G177" s="2" t="s">
        <v>13</v>
      </c>
      <c r="H177" s="2" t="s">
        <v>14</v>
      </c>
      <c r="I177" s="2" t="s">
        <v>367</v>
      </c>
    </row>
    <row r="178" spans="1:9" hidden="1" x14ac:dyDescent="0.3">
      <c r="A178" s="5">
        <v>45763</v>
      </c>
      <c r="B178" s="2" t="s">
        <v>368</v>
      </c>
      <c r="C178" s="2" t="s">
        <v>10</v>
      </c>
      <c r="D178" s="3">
        <v>186798</v>
      </c>
      <c r="E178" s="2" t="s">
        <v>11</v>
      </c>
      <c r="F178" s="2" t="s">
        <v>12</v>
      </c>
      <c r="G178" s="2" t="s">
        <v>13</v>
      </c>
      <c r="H178" s="2" t="s">
        <v>14</v>
      </c>
      <c r="I178" s="2" t="s">
        <v>369</v>
      </c>
    </row>
    <row r="179" spans="1:9" hidden="1" x14ac:dyDescent="0.3">
      <c r="A179" s="5">
        <v>45763</v>
      </c>
      <c r="B179" s="2" t="s">
        <v>370</v>
      </c>
      <c r="C179" s="2" t="s">
        <v>10</v>
      </c>
      <c r="D179" s="3">
        <v>2668533.2200000002</v>
      </c>
      <c r="E179" s="2" t="s">
        <v>11</v>
      </c>
      <c r="F179" s="2" t="s">
        <v>12</v>
      </c>
      <c r="G179" s="2" t="s">
        <v>13</v>
      </c>
      <c r="H179" s="2" t="s">
        <v>14</v>
      </c>
      <c r="I179" s="2" t="s">
        <v>371</v>
      </c>
    </row>
    <row r="180" spans="1:9" hidden="1" x14ac:dyDescent="0.3">
      <c r="A180" s="5">
        <v>45769</v>
      </c>
      <c r="B180" s="2" t="s">
        <v>372</v>
      </c>
      <c r="C180" s="2" t="s">
        <v>10</v>
      </c>
      <c r="D180" s="3">
        <v>381231.14</v>
      </c>
      <c r="E180" s="2" t="s">
        <v>11</v>
      </c>
      <c r="F180" s="2" t="s">
        <v>12</v>
      </c>
      <c r="G180" s="2" t="s">
        <v>13</v>
      </c>
      <c r="H180" s="2" t="s">
        <v>14</v>
      </c>
      <c r="I180" s="2" t="s">
        <v>373</v>
      </c>
    </row>
    <row r="181" spans="1:9" hidden="1" x14ac:dyDescent="0.3">
      <c r="A181" s="5">
        <v>45770</v>
      </c>
      <c r="B181" s="2" t="s">
        <v>374</v>
      </c>
      <c r="C181" s="2" t="s">
        <v>10</v>
      </c>
      <c r="D181" s="3">
        <v>907425.8</v>
      </c>
      <c r="E181" s="2" t="s">
        <v>11</v>
      </c>
      <c r="F181" s="2" t="s">
        <v>12</v>
      </c>
      <c r="G181" s="2" t="s">
        <v>13</v>
      </c>
      <c r="H181" s="2" t="s">
        <v>14</v>
      </c>
      <c r="I181" s="2" t="s">
        <v>375</v>
      </c>
    </row>
    <row r="182" spans="1:9" hidden="1" x14ac:dyDescent="0.3">
      <c r="A182" s="5">
        <v>45770</v>
      </c>
      <c r="B182" s="2" t="s">
        <v>376</v>
      </c>
      <c r="C182" s="2" t="s">
        <v>316</v>
      </c>
      <c r="D182" s="3">
        <v>69288.98</v>
      </c>
      <c r="E182" s="2" t="s">
        <v>11</v>
      </c>
      <c r="F182" s="2" t="s">
        <v>12</v>
      </c>
      <c r="G182" s="2" t="s">
        <v>13</v>
      </c>
      <c r="H182" s="2" t="s">
        <v>14</v>
      </c>
      <c r="I182" s="2" t="s">
        <v>377</v>
      </c>
    </row>
    <row r="183" spans="1:9" hidden="1" x14ac:dyDescent="0.3">
      <c r="A183" s="5">
        <v>45770</v>
      </c>
      <c r="B183" s="2" t="s">
        <v>378</v>
      </c>
      <c r="C183" s="2" t="s">
        <v>10</v>
      </c>
      <c r="D183" s="3">
        <v>323479.52</v>
      </c>
      <c r="E183" s="2" t="s">
        <v>11</v>
      </c>
      <c r="F183" s="2" t="s">
        <v>12</v>
      </c>
      <c r="G183" s="2" t="s">
        <v>13</v>
      </c>
      <c r="H183" s="2" t="s">
        <v>14</v>
      </c>
      <c r="I183" s="2" t="s">
        <v>379</v>
      </c>
    </row>
    <row r="184" spans="1:9" hidden="1" x14ac:dyDescent="0.3">
      <c r="A184" s="5">
        <v>45770</v>
      </c>
      <c r="B184" s="2" t="s">
        <v>380</v>
      </c>
      <c r="C184" s="2" t="s">
        <v>10</v>
      </c>
      <c r="D184" s="3">
        <v>367507.33</v>
      </c>
      <c r="E184" s="2" t="s">
        <v>11</v>
      </c>
      <c r="F184" s="2" t="s">
        <v>12</v>
      </c>
      <c r="G184" s="2" t="s">
        <v>13</v>
      </c>
      <c r="H184" s="2" t="s">
        <v>14</v>
      </c>
      <c r="I184" s="2" t="s">
        <v>381</v>
      </c>
    </row>
    <row r="185" spans="1:9" hidden="1" x14ac:dyDescent="0.3">
      <c r="A185" s="5">
        <v>45770</v>
      </c>
      <c r="B185" s="2" t="s">
        <v>382</v>
      </c>
      <c r="C185" s="2" t="s">
        <v>10</v>
      </c>
      <c r="D185" s="3">
        <v>80886.820000000007</v>
      </c>
      <c r="E185" s="2" t="s">
        <v>11</v>
      </c>
      <c r="F185" s="2" t="s">
        <v>12</v>
      </c>
      <c r="G185" s="2" t="s">
        <v>13</v>
      </c>
      <c r="H185" s="2" t="s">
        <v>14</v>
      </c>
      <c r="I185" s="2" t="s">
        <v>383</v>
      </c>
    </row>
    <row r="186" spans="1:9" hidden="1" x14ac:dyDescent="0.3">
      <c r="A186" s="5">
        <v>45770</v>
      </c>
      <c r="B186" s="2" t="s">
        <v>384</v>
      </c>
      <c r="C186" s="2" t="s">
        <v>10</v>
      </c>
      <c r="D186" s="3">
        <v>105132</v>
      </c>
      <c r="E186" s="2" t="s">
        <v>11</v>
      </c>
      <c r="F186" s="2" t="s">
        <v>12</v>
      </c>
      <c r="G186" s="2" t="s">
        <v>13</v>
      </c>
      <c r="H186" s="2" t="s">
        <v>14</v>
      </c>
      <c r="I186" s="2" t="s">
        <v>385</v>
      </c>
    </row>
    <row r="187" spans="1:9" hidden="1" x14ac:dyDescent="0.3">
      <c r="A187" s="5">
        <v>45770</v>
      </c>
      <c r="B187" s="2" t="s">
        <v>386</v>
      </c>
      <c r="C187" s="2" t="s">
        <v>10</v>
      </c>
      <c r="D187" s="3">
        <v>150074.98000000001</v>
      </c>
      <c r="E187" s="2" t="s">
        <v>11</v>
      </c>
      <c r="F187" s="2" t="s">
        <v>12</v>
      </c>
      <c r="G187" s="2" t="s">
        <v>13</v>
      </c>
      <c r="H187" s="2" t="s">
        <v>14</v>
      </c>
      <c r="I187" s="2" t="s">
        <v>387</v>
      </c>
    </row>
    <row r="188" spans="1:9" hidden="1" x14ac:dyDescent="0.3">
      <c r="A188" s="5">
        <v>45770</v>
      </c>
      <c r="B188" s="2" t="s">
        <v>388</v>
      </c>
      <c r="C188" s="2" t="s">
        <v>10</v>
      </c>
      <c r="D188" s="3">
        <v>2392060.7200000002</v>
      </c>
      <c r="E188" s="2" t="s">
        <v>11</v>
      </c>
      <c r="F188" s="2" t="s">
        <v>12</v>
      </c>
      <c r="G188" s="2" t="s">
        <v>13</v>
      </c>
      <c r="H188" s="2" t="s">
        <v>14</v>
      </c>
      <c r="I188" s="2" t="s">
        <v>389</v>
      </c>
    </row>
    <row r="189" spans="1:9" hidden="1" x14ac:dyDescent="0.3">
      <c r="A189" s="5">
        <v>45770</v>
      </c>
      <c r="B189" s="2" t="s">
        <v>390</v>
      </c>
      <c r="C189" s="2" t="s">
        <v>10</v>
      </c>
      <c r="D189" s="3">
        <v>134149.85</v>
      </c>
      <c r="E189" s="2" t="s">
        <v>11</v>
      </c>
      <c r="F189" s="2" t="s">
        <v>12</v>
      </c>
      <c r="G189" s="2" t="s">
        <v>13</v>
      </c>
      <c r="H189" s="2" t="s">
        <v>14</v>
      </c>
      <c r="I189" s="2" t="s">
        <v>325</v>
      </c>
    </row>
    <row r="190" spans="1:9" hidden="1" x14ac:dyDescent="0.3">
      <c r="A190" s="5">
        <v>45770</v>
      </c>
      <c r="B190" s="2" t="s">
        <v>391</v>
      </c>
      <c r="C190" s="2" t="s">
        <v>10</v>
      </c>
      <c r="D190" s="3">
        <v>73375.240000000005</v>
      </c>
      <c r="E190" s="2" t="s">
        <v>11</v>
      </c>
      <c r="F190" s="2" t="s">
        <v>12</v>
      </c>
      <c r="G190" s="2" t="s">
        <v>13</v>
      </c>
      <c r="H190" s="2" t="s">
        <v>14</v>
      </c>
      <c r="I190" s="2" t="s">
        <v>392</v>
      </c>
    </row>
    <row r="191" spans="1:9" hidden="1" x14ac:dyDescent="0.3">
      <c r="A191" s="5">
        <v>45770</v>
      </c>
      <c r="B191" s="2" t="s">
        <v>393</v>
      </c>
      <c r="C191" s="2" t="s">
        <v>10</v>
      </c>
      <c r="D191" s="3">
        <v>175808.34</v>
      </c>
      <c r="E191" s="2" t="s">
        <v>11</v>
      </c>
      <c r="F191" s="2" t="s">
        <v>12</v>
      </c>
      <c r="G191" s="2" t="s">
        <v>13</v>
      </c>
      <c r="H191" s="2" t="s">
        <v>14</v>
      </c>
      <c r="I191" s="2" t="s">
        <v>394</v>
      </c>
    </row>
    <row r="192" spans="1:9" hidden="1" x14ac:dyDescent="0.3">
      <c r="A192" s="5">
        <v>45770</v>
      </c>
      <c r="B192" s="2" t="s">
        <v>395</v>
      </c>
      <c r="C192" s="2" t="s">
        <v>10</v>
      </c>
      <c r="D192" s="3">
        <v>1889378.03</v>
      </c>
      <c r="E192" s="2" t="s">
        <v>11</v>
      </c>
      <c r="F192" s="2" t="s">
        <v>12</v>
      </c>
      <c r="G192" s="2" t="s">
        <v>13</v>
      </c>
      <c r="H192" s="2" t="s">
        <v>14</v>
      </c>
      <c r="I192" s="2" t="s">
        <v>396</v>
      </c>
    </row>
    <row r="193" spans="1:9" hidden="1" x14ac:dyDescent="0.3">
      <c r="A193" s="5">
        <v>45770</v>
      </c>
      <c r="B193" s="2" t="s">
        <v>397</v>
      </c>
      <c r="C193" s="2" t="s">
        <v>10</v>
      </c>
      <c r="D193" s="3">
        <v>1866362.36</v>
      </c>
      <c r="E193" s="2" t="s">
        <v>11</v>
      </c>
      <c r="F193" s="2" t="s">
        <v>12</v>
      </c>
      <c r="G193" s="2" t="s">
        <v>13</v>
      </c>
      <c r="H193" s="2" t="s">
        <v>14</v>
      </c>
      <c r="I193" s="2" t="s">
        <v>398</v>
      </c>
    </row>
    <row r="194" spans="1:9" hidden="1" x14ac:dyDescent="0.3">
      <c r="A194" s="5">
        <v>45770</v>
      </c>
      <c r="B194" s="2" t="s">
        <v>399</v>
      </c>
      <c r="C194" s="2" t="s">
        <v>10</v>
      </c>
      <c r="D194" s="3">
        <v>467375.14</v>
      </c>
      <c r="E194" s="2" t="s">
        <v>11</v>
      </c>
      <c r="F194" s="2" t="s">
        <v>12</v>
      </c>
      <c r="G194" s="2" t="s">
        <v>13</v>
      </c>
      <c r="H194" s="2" t="s">
        <v>14</v>
      </c>
      <c r="I194" s="2" t="s">
        <v>400</v>
      </c>
    </row>
    <row r="195" spans="1:9" hidden="1" x14ac:dyDescent="0.3">
      <c r="A195" s="5">
        <v>45770</v>
      </c>
      <c r="B195" s="2" t="s">
        <v>401</v>
      </c>
      <c r="C195" s="2" t="s">
        <v>10</v>
      </c>
      <c r="D195" s="3">
        <v>290359.33</v>
      </c>
      <c r="E195" s="2" t="s">
        <v>11</v>
      </c>
      <c r="F195" s="2" t="s">
        <v>12</v>
      </c>
      <c r="G195" s="2" t="s">
        <v>13</v>
      </c>
      <c r="H195" s="2" t="s">
        <v>14</v>
      </c>
      <c r="I195" s="2" t="s">
        <v>402</v>
      </c>
    </row>
    <row r="196" spans="1:9" hidden="1" x14ac:dyDescent="0.3">
      <c r="A196" s="5">
        <v>45770</v>
      </c>
      <c r="B196" s="2" t="s">
        <v>403</v>
      </c>
      <c r="C196" s="2" t="s">
        <v>10</v>
      </c>
      <c r="D196" s="3">
        <v>7231516.4000000004</v>
      </c>
      <c r="E196" s="2" t="s">
        <v>11</v>
      </c>
      <c r="F196" s="2" t="s">
        <v>12</v>
      </c>
      <c r="G196" s="2" t="s">
        <v>13</v>
      </c>
      <c r="H196" s="2" t="s">
        <v>14</v>
      </c>
      <c r="I196" s="2" t="s">
        <v>404</v>
      </c>
    </row>
    <row r="197" spans="1:9" hidden="1" x14ac:dyDescent="0.3">
      <c r="A197" s="5">
        <v>45770</v>
      </c>
      <c r="B197" s="2" t="s">
        <v>405</v>
      </c>
      <c r="C197" s="2" t="s">
        <v>10</v>
      </c>
      <c r="D197" s="3">
        <v>47964</v>
      </c>
      <c r="E197" s="2" t="s">
        <v>11</v>
      </c>
      <c r="F197" s="2" t="s">
        <v>12</v>
      </c>
      <c r="G197" s="2" t="s">
        <v>13</v>
      </c>
      <c r="H197" s="2" t="s">
        <v>14</v>
      </c>
      <c r="I197" s="2" t="s">
        <v>406</v>
      </c>
    </row>
    <row r="198" spans="1:9" hidden="1" x14ac:dyDescent="0.3">
      <c r="A198" s="5">
        <v>45770</v>
      </c>
      <c r="B198" s="2" t="s">
        <v>407</v>
      </c>
      <c r="C198" s="2" t="s">
        <v>10</v>
      </c>
      <c r="D198" s="3">
        <v>309320.64</v>
      </c>
      <c r="E198" s="2" t="s">
        <v>11</v>
      </c>
      <c r="F198" s="2" t="s">
        <v>12</v>
      </c>
      <c r="G198" s="2" t="s">
        <v>13</v>
      </c>
      <c r="H198" s="2" t="s">
        <v>14</v>
      </c>
      <c r="I198" s="2" t="s">
        <v>408</v>
      </c>
    </row>
    <row r="199" spans="1:9" hidden="1" x14ac:dyDescent="0.3">
      <c r="A199" s="5">
        <v>45770</v>
      </c>
      <c r="B199" s="2" t="s">
        <v>409</v>
      </c>
      <c r="C199" s="2" t="s">
        <v>10</v>
      </c>
      <c r="D199" s="3">
        <v>1495017.41</v>
      </c>
      <c r="E199" s="2" t="s">
        <v>11</v>
      </c>
      <c r="F199" s="2" t="s">
        <v>12</v>
      </c>
      <c r="G199" s="2" t="s">
        <v>13</v>
      </c>
      <c r="H199" s="2" t="s">
        <v>14</v>
      </c>
      <c r="I199" s="2" t="s">
        <v>410</v>
      </c>
    </row>
    <row r="200" spans="1:9" hidden="1" x14ac:dyDescent="0.3">
      <c r="A200" s="5">
        <v>45776</v>
      </c>
      <c r="B200" s="2" t="s">
        <v>411</v>
      </c>
      <c r="C200" s="2" t="s">
        <v>10</v>
      </c>
      <c r="D200" s="3">
        <v>392667.46</v>
      </c>
      <c r="E200" s="2" t="s">
        <v>11</v>
      </c>
      <c r="F200" s="2" t="s">
        <v>12</v>
      </c>
      <c r="G200" s="2" t="s">
        <v>13</v>
      </c>
      <c r="H200" s="2" t="s">
        <v>43</v>
      </c>
      <c r="I200" s="2" t="s">
        <v>412</v>
      </c>
    </row>
    <row r="201" spans="1:9" hidden="1" x14ac:dyDescent="0.3">
      <c r="A201" s="5">
        <v>45776</v>
      </c>
      <c r="B201" s="2" t="s">
        <v>413</v>
      </c>
      <c r="C201" s="2" t="s">
        <v>10</v>
      </c>
      <c r="D201" s="3">
        <v>619722.47</v>
      </c>
      <c r="E201" s="2" t="s">
        <v>11</v>
      </c>
      <c r="F201" s="2" t="s">
        <v>12</v>
      </c>
      <c r="G201" s="2" t="s">
        <v>13</v>
      </c>
      <c r="H201" s="2" t="s">
        <v>43</v>
      </c>
      <c r="I201" s="2" t="s">
        <v>414</v>
      </c>
    </row>
    <row r="202" spans="1:9" hidden="1" x14ac:dyDescent="0.3">
      <c r="A202" s="5">
        <v>45776</v>
      </c>
      <c r="B202" s="2" t="s">
        <v>415</v>
      </c>
      <c r="C202" s="2" t="s">
        <v>10</v>
      </c>
      <c r="D202" s="3">
        <v>113687.66</v>
      </c>
      <c r="E202" s="2" t="s">
        <v>11</v>
      </c>
      <c r="F202" s="2" t="s">
        <v>12</v>
      </c>
      <c r="G202" s="2" t="s">
        <v>13</v>
      </c>
      <c r="H202" s="2" t="s">
        <v>43</v>
      </c>
      <c r="I202" s="2" t="s">
        <v>416</v>
      </c>
    </row>
    <row r="203" spans="1:9" hidden="1" x14ac:dyDescent="0.3">
      <c r="A203" s="5">
        <v>45776</v>
      </c>
      <c r="B203" s="2" t="s">
        <v>417</v>
      </c>
      <c r="C203" s="2" t="s">
        <v>10</v>
      </c>
      <c r="D203" s="3">
        <v>306231.88</v>
      </c>
      <c r="E203" s="2" t="s">
        <v>11</v>
      </c>
      <c r="F203" s="2" t="s">
        <v>12</v>
      </c>
      <c r="G203" s="2" t="s">
        <v>13</v>
      </c>
      <c r="H203" s="2" t="s">
        <v>43</v>
      </c>
      <c r="I203" s="2" t="s">
        <v>418</v>
      </c>
    </row>
    <row r="204" spans="1:9" hidden="1" x14ac:dyDescent="0.3">
      <c r="A204" s="5">
        <v>45776</v>
      </c>
      <c r="B204" s="2" t="s">
        <v>419</v>
      </c>
      <c r="C204" s="2" t="s">
        <v>10</v>
      </c>
      <c r="D204" s="3">
        <v>721243.01</v>
      </c>
      <c r="E204" s="2" t="s">
        <v>11</v>
      </c>
      <c r="F204" s="2" t="s">
        <v>12</v>
      </c>
      <c r="G204" s="2" t="s">
        <v>13</v>
      </c>
      <c r="H204" s="2" t="s">
        <v>43</v>
      </c>
      <c r="I204" s="2" t="s">
        <v>420</v>
      </c>
    </row>
    <row r="205" spans="1:9" hidden="1" x14ac:dyDescent="0.3">
      <c r="A205" s="5">
        <v>45776</v>
      </c>
      <c r="B205" s="2" t="s">
        <v>421</v>
      </c>
      <c r="C205" s="2" t="s">
        <v>10</v>
      </c>
      <c r="D205" s="3">
        <v>546652.79</v>
      </c>
      <c r="E205" s="2" t="s">
        <v>11</v>
      </c>
      <c r="F205" s="2" t="s">
        <v>12</v>
      </c>
      <c r="G205" s="2" t="s">
        <v>13</v>
      </c>
      <c r="H205" s="2" t="s">
        <v>43</v>
      </c>
      <c r="I205" s="2" t="s">
        <v>422</v>
      </c>
    </row>
    <row r="206" spans="1:9" hidden="1" x14ac:dyDescent="0.3">
      <c r="A206" s="5">
        <v>45776</v>
      </c>
      <c r="B206" s="2" t="s">
        <v>423</v>
      </c>
      <c r="C206" s="2" t="s">
        <v>10</v>
      </c>
      <c r="D206" s="3">
        <v>507645.95</v>
      </c>
      <c r="E206" s="2" t="s">
        <v>11</v>
      </c>
      <c r="F206" s="2" t="s">
        <v>12</v>
      </c>
      <c r="G206" s="2" t="s">
        <v>13</v>
      </c>
      <c r="H206" s="2" t="s">
        <v>43</v>
      </c>
      <c r="I206" s="2" t="s">
        <v>424</v>
      </c>
    </row>
    <row r="207" spans="1:9" hidden="1" x14ac:dyDescent="0.3">
      <c r="A207" s="5">
        <v>45776</v>
      </c>
      <c r="B207" s="2" t="s">
        <v>425</v>
      </c>
      <c r="C207" s="2" t="s">
        <v>10</v>
      </c>
      <c r="D207" s="3">
        <v>1353258.59</v>
      </c>
      <c r="E207" s="2" t="s">
        <v>11</v>
      </c>
      <c r="F207" s="2" t="s">
        <v>12</v>
      </c>
      <c r="G207" s="2" t="s">
        <v>13</v>
      </c>
      <c r="H207" s="2" t="s">
        <v>43</v>
      </c>
      <c r="I207" s="2" t="s">
        <v>426</v>
      </c>
    </row>
    <row r="208" spans="1:9" hidden="1" x14ac:dyDescent="0.3">
      <c r="A208" s="5">
        <v>45776</v>
      </c>
      <c r="B208" s="2" t="s">
        <v>427</v>
      </c>
      <c r="C208" s="2" t="s">
        <v>316</v>
      </c>
      <c r="D208" s="3">
        <v>74061.100000000006</v>
      </c>
      <c r="E208" s="2" t="s">
        <v>11</v>
      </c>
      <c r="F208" s="2" t="s">
        <v>12</v>
      </c>
      <c r="G208" s="2" t="s">
        <v>13</v>
      </c>
      <c r="H208" s="2" t="s">
        <v>43</v>
      </c>
      <c r="I208" s="2" t="s">
        <v>428</v>
      </c>
    </row>
    <row r="209" spans="1:9" hidden="1" x14ac:dyDescent="0.3">
      <c r="A209" s="5">
        <v>45786</v>
      </c>
      <c r="B209" s="2" t="s">
        <v>429</v>
      </c>
      <c r="C209" s="2" t="s">
        <v>10</v>
      </c>
      <c r="D209" s="3">
        <v>250366.8</v>
      </c>
      <c r="E209" s="2" t="s">
        <v>11</v>
      </c>
      <c r="F209" s="2" t="s">
        <v>12</v>
      </c>
      <c r="G209" s="2" t="s">
        <v>13</v>
      </c>
      <c r="H209" s="2" t="s">
        <v>14</v>
      </c>
      <c r="I209" s="2" t="s">
        <v>430</v>
      </c>
    </row>
    <row r="210" spans="1:9" hidden="1" x14ac:dyDescent="0.3">
      <c r="A210" s="5">
        <v>45786</v>
      </c>
      <c r="B210" s="2" t="s">
        <v>431</v>
      </c>
      <c r="C210" s="2" t="s">
        <v>10</v>
      </c>
      <c r="D210" s="3">
        <v>536499.18000000005</v>
      </c>
      <c r="E210" s="2" t="s">
        <v>11</v>
      </c>
      <c r="F210" s="2" t="s">
        <v>12</v>
      </c>
      <c r="G210" s="2" t="s">
        <v>13</v>
      </c>
      <c r="H210" s="2" t="s">
        <v>43</v>
      </c>
      <c r="I210" s="2" t="s">
        <v>432</v>
      </c>
    </row>
    <row r="211" spans="1:9" hidden="1" x14ac:dyDescent="0.3">
      <c r="A211" s="5">
        <v>45786</v>
      </c>
      <c r="B211" s="2" t="s">
        <v>433</v>
      </c>
      <c r="C211" s="2" t="s">
        <v>10</v>
      </c>
      <c r="D211" s="3">
        <v>234021.88</v>
      </c>
      <c r="E211" s="2" t="s">
        <v>11</v>
      </c>
      <c r="F211" s="2" t="s">
        <v>12</v>
      </c>
      <c r="G211" s="2" t="s">
        <v>13</v>
      </c>
      <c r="H211" s="2" t="s">
        <v>14</v>
      </c>
      <c r="I211" s="2" t="s">
        <v>434</v>
      </c>
    </row>
    <row r="212" spans="1:9" hidden="1" x14ac:dyDescent="0.3">
      <c r="A212" s="5">
        <v>45786</v>
      </c>
      <c r="B212" s="2" t="s">
        <v>435</v>
      </c>
      <c r="C212" s="2" t="s">
        <v>10</v>
      </c>
      <c r="D212" s="3">
        <v>128433.79</v>
      </c>
      <c r="E212" s="2" t="s">
        <v>11</v>
      </c>
      <c r="F212" s="2" t="s">
        <v>12</v>
      </c>
      <c r="G212" s="2" t="s">
        <v>13</v>
      </c>
      <c r="H212" s="2" t="s">
        <v>14</v>
      </c>
      <c r="I212" s="2" t="s">
        <v>436</v>
      </c>
    </row>
    <row r="213" spans="1:9" hidden="1" x14ac:dyDescent="0.3">
      <c r="A213" s="5">
        <v>45786</v>
      </c>
      <c r="B213" s="2" t="s">
        <v>437</v>
      </c>
      <c r="C213" s="2" t="s">
        <v>10</v>
      </c>
      <c r="D213" s="3">
        <v>1198605.6499999999</v>
      </c>
      <c r="E213" s="2" t="s">
        <v>11</v>
      </c>
      <c r="F213" s="2" t="s">
        <v>12</v>
      </c>
      <c r="G213" s="2" t="s">
        <v>13</v>
      </c>
      <c r="H213" s="2" t="s">
        <v>14</v>
      </c>
      <c r="I213" s="2" t="s">
        <v>438</v>
      </c>
    </row>
    <row r="214" spans="1:9" hidden="1" x14ac:dyDescent="0.3">
      <c r="A214" s="5">
        <v>45786</v>
      </c>
      <c r="B214" s="2" t="s">
        <v>439</v>
      </c>
      <c r="C214" s="2" t="s">
        <v>10</v>
      </c>
      <c r="D214" s="3">
        <v>285591.74</v>
      </c>
      <c r="E214" s="2" t="s">
        <v>11</v>
      </c>
      <c r="F214" s="2" t="s">
        <v>12</v>
      </c>
      <c r="G214" s="2" t="s">
        <v>13</v>
      </c>
      <c r="H214" s="2" t="s">
        <v>14</v>
      </c>
      <c r="I214" s="2" t="s">
        <v>440</v>
      </c>
    </row>
    <row r="215" spans="1:9" hidden="1" x14ac:dyDescent="0.3">
      <c r="A215" s="5">
        <v>45786</v>
      </c>
      <c r="B215" s="2" t="s">
        <v>441</v>
      </c>
      <c r="C215" s="2" t="s">
        <v>10</v>
      </c>
      <c r="D215" s="3">
        <v>2995839.92</v>
      </c>
      <c r="E215" s="2" t="s">
        <v>11</v>
      </c>
      <c r="F215" s="2" t="s">
        <v>12</v>
      </c>
      <c r="G215" s="2" t="s">
        <v>13</v>
      </c>
      <c r="H215" s="2" t="s">
        <v>14</v>
      </c>
      <c r="I215" s="2" t="s">
        <v>442</v>
      </c>
    </row>
    <row r="216" spans="1:9" hidden="1" x14ac:dyDescent="0.3">
      <c r="A216" s="5">
        <v>45786</v>
      </c>
      <c r="B216" s="2" t="s">
        <v>443</v>
      </c>
      <c r="C216" s="2" t="s">
        <v>10</v>
      </c>
      <c r="D216" s="3">
        <v>43899.44</v>
      </c>
      <c r="E216" s="2" t="s">
        <v>11</v>
      </c>
      <c r="F216" s="2" t="s">
        <v>12</v>
      </c>
      <c r="G216" s="2" t="s">
        <v>13</v>
      </c>
      <c r="H216" s="2" t="s">
        <v>14</v>
      </c>
      <c r="I216" s="2" t="s">
        <v>444</v>
      </c>
    </row>
    <row r="217" spans="1:9" hidden="1" x14ac:dyDescent="0.3">
      <c r="A217" s="5">
        <v>45786</v>
      </c>
      <c r="B217" s="2" t="s">
        <v>445</v>
      </c>
      <c r="C217" s="2" t="s">
        <v>10</v>
      </c>
      <c r="D217" s="3">
        <v>157710.1</v>
      </c>
      <c r="E217" s="2" t="s">
        <v>11</v>
      </c>
      <c r="F217" s="2" t="s">
        <v>12</v>
      </c>
      <c r="G217" s="2" t="s">
        <v>13</v>
      </c>
      <c r="H217" s="2" t="s">
        <v>14</v>
      </c>
      <c r="I217" s="2" t="s">
        <v>446</v>
      </c>
    </row>
    <row r="218" spans="1:9" hidden="1" x14ac:dyDescent="0.3">
      <c r="A218" s="5">
        <v>45789</v>
      </c>
      <c r="B218" s="2" t="s">
        <v>447</v>
      </c>
      <c r="C218" s="2" t="s">
        <v>316</v>
      </c>
      <c r="D218" s="3">
        <v>81048.600000000006</v>
      </c>
      <c r="E218" s="2" t="s">
        <v>11</v>
      </c>
      <c r="F218" s="2" t="s">
        <v>12</v>
      </c>
      <c r="G218" s="2" t="s">
        <v>13</v>
      </c>
      <c r="H218" s="2" t="s">
        <v>14</v>
      </c>
      <c r="I218" s="2" t="s">
        <v>448</v>
      </c>
    </row>
    <row r="219" spans="1:9" hidden="1" x14ac:dyDescent="0.3">
      <c r="A219" s="5">
        <v>45790</v>
      </c>
      <c r="B219" s="2" t="s">
        <v>449</v>
      </c>
      <c r="C219" s="2" t="s">
        <v>316</v>
      </c>
      <c r="D219" s="3">
        <v>291602.28000000003</v>
      </c>
      <c r="E219" s="2" t="s">
        <v>11</v>
      </c>
      <c r="F219" s="2" t="s">
        <v>12</v>
      </c>
      <c r="G219" s="2" t="s">
        <v>13</v>
      </c>
      <c r="H219" s="2" t="s">
        <v>14</v>
      </c>
      <c r="I219" s="2" t="s">
        <v>450</v>
      </c>
    </row>
    <row r="220" spans="1:9" hidden="1" x14ac:dyDescent="0.3">
      <c r="A220" s="5">
        <v>45791</v>
      </c>
      <c r="B220" s="2" t="s">
        <v>451</v>
      </c>
      <c r="C220" s="2" t="s">
        <v>10</v>
      </c>
      <c r="D220" s="3">
        <v>633172.01</v>
      </c>
      <c r="E220" s="2" t="s">
        <v>11</v>
      </c>
      <c r="F220" s="2" t="s">
        <v>12</v>
      </c>
      <c r="G220" s="2" t="s">
        <v>13</v>
      </c>
      <c r="H220" s="2" t="s">
        <v>14</v>
      </c>
      <c r="I220" s="2" t="s">
        <v>452</v>
      </c>
    </row>
    <row r="221" spans="1:9" hidden="1" x14ac:dyDescent="0.3">
      <c r="A221" s="5">
        <v>45791</v>
      </c>
      <c r="B221" s="2" t="s">
        <v>453</v>
      </c>
      <c r="C221" s="2" t="s">
        <v>10</v>
      </c>
      <c r="D221" s="3">
        <v>798378.2</v>
      </c>
      <c r="E221" s="2" t="s">
        <v>11</v>
      </c>
      <c r="F221" s="2" t="s">
        <v>12</v>
      </c>
      <c r="G221" s="2" t="s">
        <v>13</v>
      </c>
      <c r="H221" s="2" t="s">
        <v>14</v>
      </c>
      <c r="I221" s="2" t="s">
        <v>454</v>
      </c>
    </row>
    <row r="222" spans="1:9" hidden="1" x14ac:dyDescent="0.3">
      <c r="A222" s="5">
        <v>45791</v>
      </c>
      <c r="B222" s="2" t="s">
        <v>455</v>
      </c>
      <c r="C222" s="2" t="s">
        <v>10</v>
      </c>
      <c r="D222" s="3">
        <v>50118</v>
      </c>
      <c r="E222" s="2" t="s">
        <v>11</v>
      </c>
      <c r="F222" s="2" t="s">
        <v>12</v>
      </c>
      <c r="G222" s="2" t="s">
        <v>13</v>
      </c>
      <c r="H222" s="2" t="s">
        <v>14</v>
      </c>
      <c r="I222" s="2" t="s">
        <v>456</v>
      </c>
    </row>
    <row r="223" spans="1:9" hidden="1" x14ac:dyDescent="0.3">
      <c r="A223" s="5">
        <v>45791</v>
      </c>
      <c r="B223" s="2" t="s">
        <v>457</v>
      </c>
      <c r="C223" s="2" t="s">
        <v>10</v>
      </c>
      <c r="D223" s="3">
        <v>335168.86</v>
      </c>
      <c r="E223" s="2" t="s">
        <v>11</v>
      </c>
      <c r="F223" s="2" t="s">
        <v>12</v>
      </c>
      <c r="G223" s="2" t="s">
        <v>13</v>
      </c>
      <c r="H223" s="2" t="s">
        <v>14</v>
      </c>
      <c r="I223" s="2" t="s">
        <v>458</v>
      </c>
    </row>
    <row r="224" spans="1:9" hidden="1" x14ac:dyDescent="0.3">
      <c r="A224" s="5">
        <v>45791</v>
      </c>
      <c r="B224" s="2" t="s">
        <v>459</v>
      </c>
      <c r="C224" s="2" t="s">
        <v>10</v>
      </c>
      <c r="D224" s="3">
        <v>3024589.46</v>
      </c>
      <c r="E224" s="2" t="s">
        <v>11</v>
      </c>
      <c r="F224" s="2" t="s">
        <v>12</v>
      </c>
      <c r="G224" s="2" t="s">
        <v>13</v>
      </c>
      <c r="H224" s="2" t="s">
        <v>14</v>
      </c>
      <c r="I224" s="2" t="s">
        <v>460</v>
      </c>
    </row>
    <row r="225" spans="1:9" hidden="1" x14ac:dyDescent="0.3">
      <c r="A225" s="5">
        <v>45791</v>
      </c>
      <c r="B225" s="2" t="s">
        <v>461</v>
      </c>
      <c r="C225" s="2" t="s">
        <v>10</v>
      </c>
      <c r="D225" s="3">
        <v>141593</v>
      </c>
      <c r="E225" s="2" t="s">
        <v>11</v>
      </c>
      <c r="F225" s="2" t="s">
        <v>12</v>
      </c>
      <c r="G225" s="2" t="s">
        <v>13</v>
      </c>
      <c r="H225" s="2" t="s">
        <v>14</v>
      </c>
      <c r="I225" s="2" t="s">
        <v>462</v>
      </c>
    </row>
    <row r="226" spans="1:9" hidden="1" x14ac:dyDescent="0.3">
      <c r="A226" s="5">
        <v>45791</v>
      </c>
      <c r="B226" s="2" t="s">
        <v>463</v>
      </c>
      <c r="C226" s="2" t="s">
        <v>10</v>
      </c>
      <c r="D226" s="3">
        <v>1219968.1200000001</v>
      </c>
      <c r="E226" s="2" t="s">
        <v>11</v>
      </c>
      <c r="F226" s="2" t="s">
        <v>12</v>
      </c>
      <c r="G226" s="2" t="s">
        <v>13</v>
      </c>
      <c r="H226" s="2" t="s">
        <v>14</v>
      </c>
      <c r="I226" s="2" t="s">
        <v>464</v>
      </c>
    </row>
    <row r="227" spans="1:9" hidden="1" x14ac:dyDescent="0.3">
      <c r="A227" s="5">
        <v>45791</v>
      </c>
      <c r="B227" s="2" t="s">
        <v>465</v>
      </c>
      <c r="C227" s="2" t="s">
        <v>10</v>
      </c>
      <c r="D227" s="3">
        <v>1906277.27</v>
      </c>
      <c r="E227" s="2" t="s">
        <v>11</v>
      </c>
      <c r="F227" s="2" t="s">
        <v>12</v>
      </c>
      <c r="G227" s="2" t="s">
        <v>13</v>
      </c>
      <c r="H227" s="2" t="s">
        <v>14</v>
      </c>
      <c r="I227" s="2" t="s">
        <v>466</v>
      </c>
    </row>
    <row r="228" spans="1:9" hidden="1" x14ac:dyDescent="0.3">
      <c r="A228" s="5">
        <v>45791</v>
      </c>
      <c r="B228" s="2" t="s">
        <v>467</v>
      </c>
      <c r="C228" s="2" t="s">
        <v>10</v>
      </c>
      <c r="D228" s="3">
        <v>428732.1</v>
      </c>
      <c r="E228" s="2" t="s">
        <v>11</v>
      </c>
      <c r="F228" s="2" t="s">
        <v>12</v>
      </c>
      <c r="G228" s="2" t="s">
        <v>13</v>
      </c>
      <c r="H228" s="2" t="s">
        <v>14</v>
      </c>
      <c r="I228" s="2" t="s">
        <v>468</v>
      </c>
    </row>
    <row r="229" spans="1:9" hidden="1" x14ac:dyDescent="0.3">
      <c r="A229" s="5">
        <v>45791</v>
      </c>
      <c r="B229" s="2" t="s">
        <v>469</v>
      </c>
      <c r="C229" s="2" t="s">
        <v>10</v>
      </c>
      <c r="D229" s="3">
        <v>64885.120000000003</v>
      </c>
      <c r="E229" s="2" t="s">
        <v>11</v>
      </c>
      <c r="F229" s="2" t="s">
        <v>12</v>
      </c>
      <c r="G229" s="2" t="s">
        <v>13</v>
      </c>
      <c r="H229" s="2" t="s">
        <v>14</v>
      </c>
      <c r="I229" s="2" t="s">
        <v>470</v>
      </c>
    </row>
    <row r="230" spans="1:9" hidden="1" x14ac:dyDescent="0.3">
      <c r="A230" s="5">
        <v>45791</v>
      </c>
      <c r="B230" s="2" t="s">
        <v>471</v>
      </c>
      <c r="C230" s="2" t="s">
        <v>10</v>
      </c>
      <c r="D230" s="3">
        <v>1288272.8</v>
      </c>
      <c r="E230" s="2" t="s">
        <v>11</v>
      </c>
      <c r="F230" s="2" t="s">
        <v>12</v>
      </c>
      <c r="G230" s="2" t="s">
        <v>13</v>
      </c>
      <c r="H230" s="2" t="s">
        <v>14</v>
      </c>
      <c r="I230" s="2" t="s">
        <v>472</v>
      </c>
    </row>
    <row r="231" spans="1:9" hidden="1" x14ac:dyDescent="0.3">
      <c r="A231" s="5">
        <v>45798</v>
      </c>
      <c r="B231" s="2" t="s">
        <v>473</v>
      </c>
      <c r="C231" s="2" t="s">
        <v>10</v>
      </c>
      <c r="D231" s="3">
        <v>1325466.04</v>
      </c>
      <c r="E231" s="2" t="s">
        <v>11</v>
      </c>
      <c r="F231" s="2" t="s">
        <v>12</v>
      </c>
      <c r="G231" s="2" t="s">
        <v>13</v>
      </c>
      <c r="H231" s="2" t="s">
        <v>14</v>
      </c>
      <c r="I231" s="2" t="s">
        <v>474</v>
      </c>
    </row>
    <row r="232" spans="1:9" hidden="1" x14ac:dyDescent="0.3">
      <c r="A232" s="5">
        <v>45798</v>
      </c>
      <c r="B232" s="2" t="s">
        <v>475</v>
      </c>
      <c r="C232" s="2" t="s">
        <v>10</v>
      </c>
      <c r="D232" s="3">
        <v>124093.6</v>
      </c>
      <c r="E232" s="2" t="s">
        <v>11</v>
      </c>
      <c r="F232" s="2" t="s">
        <v>12</v>
      </c>
      <c r="G232" s="2" t="s">
        <v>13</v>
      </c>
      <c r="H232" s="2" t="s">
        <v>14</v>
      </c>
      <c r="I232" s="2" t="s">
        <v>476</v>
      </c>
    </row>
    <row r="233" spans="1:9" hidden="1" x14ac:dyDescent="0.3">
      <c r="A233" s="5">
        <v>45798</v>
      </c>
      <c r="B233" s="2" t="s">
        <v>477</v>
      </c>
      <c r="C233" s="2" t="s">
        <v>10</v>
      </c>
      <c r="D233" s="3">
        <v>385066.02</v>
      </c>
      <c r="E233" s="2" t="s">
        <v>11</v>
      </c>
      <c r="F233" s="2" t="s">
        <v>12</v>
      </c>
      <c r="G233" s="2" t="s">
        <v>13</v>
      </c>
      <c r="H233" s="2" t="s">
        <v>14</v>
      </c>
      <c r="I233" s="2" t="s">
        <v>478</v>
      </c>
    </row>
    <row r="234" spans="1:9" hidden="1" x14ac:dyDescent="0.3">
      <c r="A234" s="5">
        <v>45798</v>
      </c>
      <c r="B234" s="2" t="s">
        <v>479</v>
      </c>
      <c r="C234" s="2" t="s">
        <v>10</v>
      </c>
      <c r="D234" s="3">
        <v>1126120.48</v>
      </c>
      <c r="E234" s="2" t="s">
        <v>11</v>
      </c>
      <c r="F234" s="2" t="s">
        <v>12</v>
      </c>
      <c r="G234" s="2" t="s">
        <v>13</v>
      </c>
      <c r="H234" s="2" t="s">
        <v>14</v>
      </c>
      <c r="I234" s="2" t="s">
        <v>480</v>
      </c>
    </row>
    <row r="235" spans="1:9" hidden="1" x14ac:dyDescent="0.3">
      <c r="A235" s="5">
        <v>45798</v>
      </c>
      <c r="B235" s="2" t="s">
        <v>481</v>
      </c>
      <c r="C235" s="2" t="s">
        <v>10</v>
      </c>
      <c r="D235" s="3">
        <v>34165.760000000002</v>
      </c>
      <c r="E235" s="2" t="s">
        <v>11</v>
      </c>
      <c r="F235" s="2" t="s">
        <v>12</v>
      </c>
      <c r="G235" s="2" t="s">
        <v>13</v>
      </c>
      <c r="H235" s="2" t="s">
        <v>14</v>
      </c>
      <c r="I235" s="2" t="s">
        <v>482</v>
      </c>
    </row>
    <row r="236" spans="1:9" hidden="1" x14ac:dyDescent="0.3">
      <c r="A236" s="5">
        <v>45798</v>
      </c>
      <c r="B236" s="2" t="s">
        <v>483</v>
      </c>
      <c r="C236" s="2" t="s">
        <v>10</v>
      </c>
      <c r="D236" s="3">
        <v>130181.59</v>
      </c>
      <c r="E236" s="2" t="s">
        <v>11</v>
      </c>
      <c r="F236" s="2" t="s">
        <v>12</v>
      </c>
      <c r="G236" s="2" t="s">
        <v>13</v>
      </c>
      <c r="H236" s="2" t="s">
        <v>14</v>
      </c>
      <c r="I236" s="2" t="s">
        <v>484</v>
      </c>
    </row>
    <row r="237" spans="1:9" hidden="1" x14ac:dyDescent="0.3">
      <c r="A237" s="5">
        <v>45798</v>
      </c>
      <c r="B237" s="2" t="s">
        <v>485</v>
      </c>
      <c r="C237" s="2" t="s">
        <v>10</v>
      </c>
      <c r="D237" s="3">
        <v>1248561.3400000001</v>
      </c>
      <c r="E237" s="2" t="s">
        <v>11</v>
      </c>
      <c r="F237" s="2" t="s">
        <v>12</v>
      </c>
      <c r="G237" s="2" t="s">
        <v>13</v>
      </c>
      <c r="H237" s="2" t="s">
        <v>14</v>
      </c>
      <c r="I237" s="2" t="s">
        <v>486</v>
      </c>
    </row>
    <row r="238" spans="1:9" hidden="1" x14ac:dyDescent="0.3">
      <c r="A238" s="5">
        <v>45798</v>
      </c>
      <c r="B238" s="2" t="s">
        <v>487</v>
      </c>
      <c r="C238" s="2" t="s">
        <v>10</v>
      </c>
      <c r="D238" s="3">
        <v>3100405.24</v>
      </c>
      <c r="E238" s="2" t="s">
        <v>11</v>
      </c>
      <c r="F238" s="2" t="s">
        <v>12</v>
      </c>
      <c r="G238" s="2" t="s">
        <v>13</v>
      </c>
      <c r="H238" s="2" t="s">
        <v>14</v>
      </c>
      <c r="I238" s="2" t="s">
        <v>488</v>
      </c>
    </row>
    <row r="239" spans="1:9" hidden="1" x14ac:dyDescent="0.3">
      <c r="A239" s="5">
        <v>45798</v>
      </c>
      <c r="B239" s="2" t="s">
        <v>489</v>
      </c>
      <c r="C239" s="2" t="s">
        <v>10</v>
      </c>
      <c r="D239" s="3">
        <v>114762.48</v>
      </c>
      <c r="E239" s="2" t="s">
        <v>11</v>
      </c>
      <c r="F239" s="2" t="s">
        <v>12</v>
      </c>
      <c r="G239" s="2" t="s">
        <v>13</v>
      </c>
      <c r="H239" s="2" t="s">
        <v>14</v>
      </c>
      <c r="I239" s="2" t="s">
        <v>490</v>
      </c>
    </row>
    <row r="240" spans="1:9" hidden="1" x14ac:dyDescent="0.3">
      <c r="A240" s="5">
        <v>45798</v>
      </c>
      <c r="B240" s="2" t="s">
        <v>491</v>
      </c>
      <c r="C240" s="2" t="s">
        <v>10</v>
      </c>
      <c r="D240" s="3">
        <v>45501.53</v>
      </c>
      <c r="E240" s="2" t="s">
        <v>11</v>
      </c>
      <c r="F240" s="2" t="s">
        <v>12</v>
      </c>
      <c r="G240" s="2" t="s">
        <v>13</v>
      </c>
      <c r="H240" s="2" t="s">
        <v>14</v>
      </c>
      <c r="I240" s="2" t="s">
        <v>492</v>
      </c>
    </row>
    <row r="241" spans="1:9" hidden="1" x14ac:dyDescent="0.3">
      <c r="A241" s="5">
        <v>45798</v>
      </c>
      <c r="B241" s="2" t="s">
        <v>493</v>
      </c>
      <c r="C241" s="2" t="s">
        <v>10</v>
      </c>
      <c r="D241" s="3">
        <v>173928.82</v>
      </c>
      <c r="E241" s="2" t="s">
        <v>11</v>
      </c>
      <c r="F241" s="2" t="s">
        <v>12</v>
      </c>
      <c r="G241" s="2" t="s">
        <v>13</v>
      </c>
      <c r="H241" s="2" t="s">
        <v>14</v>
      </c>
      <c r="I241" s="2" t="s">
        <v>494</v>
      </c>
    </row>
    <row r="242" spans="1:9" hidden="1" x14ac:dyDescent="0.3">
      <c r="A242" s="5">
        <v>45798</v>
      </c>
      <c r="B242" s="2" t="s">
        <v>495</v>
      </c>
      <c r="C242" s="2" t="s">
        <v>316</v>
      </c>
      <c r="D242" s="3">
        <v>126678.38</v>
      </c>
      <c r="E242" s="2" t="s">
        <v>11</v>
      </c>
      <c r="F242" s="2" t="s">
        <v>12</v>
      </c>
      <c r="G242" s="2" t="s">
        <v>13</v>
      </c>
      <c r="H242" s="2" t="s">
        <v>14</v>
      </c>
      <c r="I242" s="2" t="s">
        <v>496</v>
      </c>
    </row>
    <row r="243" spans="1:9" hidden="1" x14ac:dyDescent="0.3">
      <c r="A243" s="5">
        <v>45803</v>
      </c>
      <c r="B243" s="2" t="s">
        <v>497</v>
      </c>
      <c r="C243" s="2" t="s">
        <v>10</v>
      </c>
      <c r="D243" s="3">
        <v>173928.82</v>
      </c>
      <c r="E243" s="2" t="s">
        <v>11</v>
      </c>
      <c r="F243" s="2" t="s">
        <v>12</v>
      </c>
      <c r="G243" s="2" t="s">
        <v>13</v>
      </c>
      <c r="H243" s="2" t="s">
        <v>14</v>
      </c>
      <c r="I243" s="2" t="s">
        <v>498</v>
      </c>
    </row>
    <row r="244" spans="1:9" hidden="1" x14ac:dyDescent="0.3">
      <c r="A244" s="5">
        <v>45803</v>
      </c>
      <c r="B244" s="2" t="s">
        <v>499</v>
      </c>
      <c r="C244" s="2" t="s">
        <v>10</v>
      </c>
      <c r="D244" s="3">
        <v>58001.23</v>
      </c>
      <c r="E244" s="2" t="s">
        <v>11</v>
      </c>
      <c r="F244" s="2" t="s">
        <v>12</v>
      </c>
      <c r="G244" s="2" t="s">
        <v>13</v>
      </c>
      <c r="H244" s="2" t="s">
        <v>14</v>
      </c>
      <c r="I244" s="2" t="s">
        <v>500</v>
      </c>
    </row>
    <row r="245" spans="1:9" hidden="1" x14ac:dyDescent="0.3">
      <c r="A245" s="5">
        <v>45803</v>
      </c>
      <c r="B245" s="2" t="s">
        <v>501</v>
      </c>
      <c r="C245" s="2" t="s">
        <v>10</v>
      </c>
      <c r="D245" s="3">
        <v>399878.35</v>
      </c>
      <c r="E245" s="2" t="s">
        <v>11</v>
      </c>
      <c r="F245" s="2" t="s">
        <v>12</v>
      </c>
      <c r="G245" s="2" t="s">
        <v>13</v>
      </c>
      <c r="H245" s="2" t="s">
        <v>14</v>
      </c>
      <c r="I245" s="2" t="s">
        <v>502</v>
      </c>
    </row>
    <row r="246" spans="1:9" hidden="1" x14ac:dyDescent="0.3">
      <c r="A246" s="5">
        <v>45803</v>
      </c>
      <c r="B246" s="2" t="s">
        <v>503</v>
      </c>
      <c r="C246" s="2" t="s">
        <v>10</v>
      </c>
      <c r="D246" s="3">
        <v>3702762.48</v>
      </c>
      <c r="E246" s="2" t="s">
        <v>11</v>
      </c>
      <c r="F246" s="2" t="s">
        <v>12</v>
      </c>
      <c r="G246" s="2" t="s">
        <v>13</v>
      </c>
      <c r="H246" s="2" t="s">
        <v>14</v>
      </c>
      <c r="I246" s="2" t="s">
        <v>504</v>
      </c>
    </row>
    <row r="247" spans="1:9" hidden="1" x14ac:dyDescent="0.3">
      <c r="A247" s="5">
        <v>45803</v>
      </c>
      <c r="B247" s="2" t="s">
        <v>505</v>
      </c>
      <c r="C247" s="2" t="s">
        <v>10</v>
      </c>
      <c r="D247" s="3">
        <v>349935.8</v>
      </c>
      <c r="E247" s="2" t="s">
        <v>11</v>
      </c>
      <c r="F247" s="2" t="s">
        <v>12</v>
      </c>
      <c r="G247" s="2" t="s">
        <v>13</v>
      </c>
      <c r="H247" s="2" t="s">
        <v>14</v>
      </c>
      <c r="I247" s="2" t="s">
        <v>506</v>
      </c>
    </row>
    <row r="248" spans="1:9" hidden="1" x14ac:dyDescent="0.3">
      <c r="A248" s="5">
        <v>45803</v>
      </c>
      <c r="B248" s="2" t="s">
        <v>507</v>
      </c>
      <c r="C248" s="2" t="s">
        <v>10</v>
      </c>
      <c r="D248" s="3">
        <v>2490859.31</v>
      </c>
      <c r="E248" s="2" t="s">
        <v>11</v>
      </c>
      <c r="F248" s="2" t="s">
        <v>12</v>
      </c>
      <c r="G248" s="2" t="s">
        <v>13</v>
      </c>
      <c r="H248" s="2" t="s">
        <v>14</v>
      </c>
      <c r="I248" s="2" t="s">
        <v>508</v>
      </c>
    </row>
    <row r="249" spans="1:9" hidden="1" x14ac:dyDescent="0.3">
      <c r="A249" s="5">
        <v>45803</v>
      </c>
      <c r="B249" s="2" t="s">
        <v>509</v>
      </c>
      <c r="C249" s="2" t="s">
        <v>10</v>
      </c>
      <c r="D249" s="3">
        <v>209855.46</v>
      </c>
      <c r="E249" s="2" t="s">
        <v>11</v>
      </c>
      <c r="F249" s="2" t="s">
        <v>12</v>
      </c>
      <c r="G249" s="2" t="s">
        <v>13</v>
      </c>
      <c r="H249" s="2" t="s">
        <v>14</v>
      </c>
      <c r="I249" s="2" t="s">
        <v>510</v>
      </c>
    </row>
    <row r="250" spans="1:9" hidden="1" x14ac:dyDescent="0.3">
      <c r="A250" s="5">
        <v>45803</v>
      </c>
      <c r="B250" s="2" t="s">
        <v>511</v>
      </c>
      <c r="C250" s="2" t="s">
        <v>10</v>
      </c>
      <c r="D250" s="3">
        <v>888843.13</v>
      </c>
      <c r="E250" s="2" t="s">
        <v>11</v>
      </c>
      <c r="F250" s="2" t="s">
        <v>12</v>
      </c>
      <c r="G250" s="2" t="s">
        <v>13</v>
      </c>
      <c r="H250" s="2" t="s">
        <v>14</v>
      </c>
      <c r="I250" s="2" t="s">
        <v>512</v>
      </c>
    </row>
    <row r="251" spans="1:9" hidden="1" x14ac:dyDescent="0.3">
      <c r="A251" s="5">
        <v>45803</v>
      </c>
      <c r="B251" s="2" t="s">
        <v>513</v>
      </c>
      <c r="C251" s="2" t="s">
        <v>10</v>
      </c>
      <c r="D251" s="3">
        <v>212005.46</v>
      </c>
      <c r="E251" s="2" t="s">
        <v>11</v>
      </c>
      <c r="F251" s="2" t="s">
        <v>12</v>
      </c>
      <c r="G251" s="2" t="s">
        <v>13</v>
      </c>
      <c r="H251" s="2" t="s">
        <v>14</v>
      </c>
      <c r="I251" s="2" t="s">
        <v>514</v>
      </c>
    </row>
    <row r="252" spans="1:9" hidden="1" x14ac:dyDescent="0.3">
      <c r="A252" s="5">
        <v>45803</v>
      </c>
      <c r="B252" s="2" t="s">
        <v>515</v>
      </c>
      <c r="C252" s="2" t="s">
        <v>316</v>
      </c>
      <c r="D252" s="3">
        <v>179466.4</v>
      </c>
      <c r="E252" s="2" t="s">
        <v>11</v>
      </c>
      <c r="F252" s="2" t="s">
        <v>12</v>
      </c>
      <c r="G252" s="2" t="s">
        <v>13</v>
      </c>
      <c r="H252" s="2" t="s">
        <v>14</v>
      </c>
      <c r="I252" s="2" t="s">
        <v>516</v>
      </c>
    </row>
    <row r="253" spans="1:9" hidden="1" x14ac:dyDescent="0.3">
      <c r="A253" s="5">
        <v>45803</v>
      </c>
      <c r="B253" s="2" t="s">
        <v>517</v>
      </c>
      <c r="C253" s="2" t="s">
        <v>10</v>
      </c>
      <c r="D253" s="3">
        <v>23541</v>
      </c>
      <c r="E253" s="2" t="s">
        <v>11</v>
      </c>
      <c r="F253" s="2" t="s">
        <v>12</v>
      </c>
      <c r="G253" s="2" t="s">
        <v>13</v>
      </c>
      <c r="H253" s="2" t="s">
        <v>14</v>
      </c>
      <c r="I253" s="2" t="s">
        <v>518</v>
      </c>
    </row>
    <row r="254" spans="1:9" hidden="1" x14ac:dyDescent="0.3">
      <c r="A254" s="5">
        <v>45805</v>
      </c>
      <c r="B254" s="2" t="s">
        <v>519</v>
      </c>
      <c r="C254" s="2" t="s">
        <v>10</v>
      </c>
      <c r="D254" s="3">
        <v>97277.6</v>
      </c>
      <c r="E254" s="2" t="s">
        <v>11</v>
      </c>
      <c r="F254" s="2" t="s">
        <v>12</v>
      </c>
      <c r="G254" s="2" t="s">
        <v>13</v>
      </c>
      <c r="H254" s="2" t="s">
        <v>43</v>
      </c>
      <c r="I254" s="2" t="s">
        <v>520</v>
      </c>
    </row>
    <row r="255" spans="1:9" hidden="1" x14ac:dyDescent="0.3">
      <c r="A255" s="5">
        <v>45806</v>
      </c>
      <c r="B255" s="2" t="s">
        <v>521</v>
      </c>
      <c r="C255" s="2" t="s">
        <v>10</v>
      </c>
      <c r="D255" s="3">
        <v>1289902.79</v>
      </c>
      <c r="E255" s="2" t="s">
        <v>11</v>
      </c>
      <c r="F255" s="2" t="s">
        <v>12</v>
      </c>
      <c r="G255" s="2" t="s">
        <v>13</v>
      </c>
      <c r="H255" s="2" t="s">
        <v>14</v>
      </c>
      <c r="I255" s="2" t="s">
        <v>522</v>
      </c>
    </row>
    <row r="256" spans="1:9" ht="13.8" hidden="1" customHeight="1" x14ac:dyDescent="0.3">
      <c r="A256" s="5">
        <v>45806</v>
      </c>
      <c r="B256" s="2" t="s">
        <v>523</v>
      </c>
      <c r="C256" s="2" t="s">
        <v>10</v>
      </c>
      <c r="D256" s="3">
        <v>215987.6</v>
      </c>
      <c r="E256" s="2" t="s">
        <v>11</v>
      </c>
      <c r="F256" s="2" t="s">
        <v>12</v>
      </c>
      <c r="G256" s="2" t="s">
        <v>13</v>
      </c>
      <c r="H256" s="2" t="s">
        <v>14</v>
      </c>
      <c r="I256" s="2" t="s">
        <v>524</v>
      </c>
    </row>
    <row r="257" spans="1:9" hidden="1" x14ac:dyDescent="0.3">
      <c r="A257" s="5">
        <v>45806</v>
      </c>
      <c r="B257" s="2" t="s">
        <v>525</v>
      </c>
      <c r="C257" s="2" t="s">
        <v>10</v>
      </c>
      <c r="D257" s="3">
        <v>1553803.34</v>
      </c>
      <c r="E257" s="2" t="s">
        <v>11</v>
      </c>
      <c r="F257" s="2" t="s">
        <v>12</v>
      </c>
      <c r="G257" s="2" t="s">
        <v>13</v>
      </c>
      <c r="H257" s="2" t="s">
        <v>14</v>
      </c>
      <c r="I257" s="2" t="s">
        <v>526</v>
      </c>
    </row>
    <row r="258" spans="1:9" x14ac:dyDescent="0.3">
      <c r="D258" s="4"/>
    </row>
  </sheetData>
  <autoFilter ref="A1:I257" xr:uid="{A2ACFE4D-0723-4F7D-97D7-0FBD1A3A7D59}">
    <filterColumn colId="0">
      <filters>
        <dateGroupItem year="2024" month="12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54FA-60AD-4690-AFF0-D603C5075A96}">
  <dimension ref="A1:E16"/>
  <sheetViews>
    <sheetView tabSelected="1" workbookViewId="0">
      <selection activeCell="E17" sqref="E17"/>
    </sheetView>
  </sheetViews>
  <sheetFormatPr defaultRowHeight="14.4" x14ac:dyDescent="0.3"/>
  <cols>
    <col min="1" max="1" width="17" bestFit="1" customWidth="1"/>
    <col min="2" max="2" width="20.109375" bestFit="1" customWidth="1"/>
    <col min="3" max="4" width="12.44140625" bestFit="1" customWidth="1"/>
    <col min="5" max="5" width="13.109375" bestFit="1" customWidth="1"/>
    <col min="6" max="7" width="12.44140625" bestFit="1" customWidth="1"/>
    <col min="8" max="9" width="11.44140625" bestFit="1" customWidth="1"/>
    <col min="10" max="10" width="12.44140625" bestFit="1" customWidth="1"/>
    <col min="11" max="11" width="13.5546875" bestFit="1" customWidth="1"/>
  </cols>
  <sheetData>
    <row r="1" spans="1:5" x14ac:dyDescent="0.3">
      <c r="A1" s="6" t="s">
        <v>527</v>
      </c>
      <c r="B1" t="s">
        <v>540</v>
      </c>
    </row>
    <row r="2" spans="1:5" x14ac:dyDescent="0.3">
      <c r="A2" s="7" t="s">
        <v>529</v>
      </c>
      <c r="B2" s="4"/>
    </row>
    <row r="3" spans="1:5" x14ac:dyDescent="0.3">
      <c r="A3" s="7" t="s">
        <v>530</v>
      </c>
      <c r="B3" s="4">
        <v>58184387.609999999</v>
      </c>
      <c r="D3" s="4">
        <v>58184387.609999999</v>
      </c>
      <c r="E3" s="4">
        <f>D3-GETPIVOTDATA("Сума",$A$1,"Годы",2024)</f>
        <v>0</v>
      </c>
    </row>
    <row r="4" spans="1:5" x14ac:dyDescent="0.3">
      <c r="A4" s="8" t="s">
        <v>531</v>
      </c>
      <c r="B4" s="4">
        <v>8893188.5700000003</v>
      </c>
      <c r="D4" s="4">
        <v>8893188.5700000003</v>
      </c>
      <c r="E4" s="4">
        <f>D4-GETPIVOTDATA("Сума",$A$1,"Дата",10,"Годы",2024)</f>
        <v>0</v>
      </c>
    </row>
    <row r="5" spans="1:5" x14ac:dyDescent="0.3">
      <c r="A5" s="8" t="s">
        <v>532</v>
      </c>
      <c r="B5" s="4">
        <v>9711793.7599999998</v>
      </c>
      <c r="D5" s="4">
        <v>9711793.7599999998</v>
      </c>
      <c r="E5" s="4">
        <f>D5-GETPIVOTDATA("Сума",$A$1,"Дата",11,"Годы",2024)</f>
        <v>0</v>
      </c>
    </row>
    <row r="6" spans="1:5" x14ac:dyDescent="0.3">
      <c r="A6" s="8" t="s">
        <v>533</v>
      </c>
      <c r="B6" s="4">
        <v>39579405.280000001</v>
      </c>
      <c r="D6" s="4">
        <v>39579405.280000001</v>
      </c>
      <c r="E6" s="4">
        <f>D6-GETPIVOTDATA("Сума",$A$1,"Дата",12,"Годы",2024)</f>
        <v>0</v>
      </c>
    </row>
    <row r="7" spans="1:5" x14ac:dyDescent="0.3">
      <c r="A7" s="7" t="s">
        <v>534</v>
      </c>
      <c r="B7" s="4">
        <v>161334467.62</v>
      </c>
      <c r="D7" s="4"/>
    </row>
    <row r="8" spans="1:5" x14ac:dyDescent="0.3">
      <c r="A8" s="8" t="s">
        <v>535</v>
      </c>
      <c r="B8" s="4">
        <v>20045273.180000003</v>
      </c>
      <c r="D8" s="4">
        <v>20045273.180000003</v>
      </c>
      <c r="E8" s="4">
        <f>D8-GETPIVOTDATA("Сума",$A$1,"Дата",1,"Годы",2025)</f>
        <v>0</v>
      </c>
    </row>
    <row r="9" spans="1:5" x14ac:dyDescent="0.3">
      <c r="A9" s="8" t="s">
        <v>536</v>
      </c>
      <c r="B9" s="4">
        <v>18884719.940000001</v>
      </c>
      <c r="D9" s="4">
        <v>18884719.940000001</v>
      </c>
      <c r="E9" s="4">
        <f>GETPIVOTDATA("Сума",$A$1,"Дата",2,"Годы",2025)-D9</f>
        <v>0</v>
      </c>
    </row>
    <row r="10" spans="1:5" x14ac:dyDescent="0.3">
      <c r="A10" s="8" t="s">
        <v>537</v>
      </c>
      <c r="B10" s="4">
        <v>39995798.159999989</v>
      </c>
      <c r="D10" s="4">
        <v>39995798.159999989</v>
      </c>
      <c r="E10" s="4">
        <f>D10-GETPIVOTDATA("Сума",$A$1,"Дата",3,"Годы",2025)</f>
        <v>0</v>
      </c>
    </row>
    <row r="11" spans="1:5" x14ac:dyDescent="0.3">
      <c r="A11" s="8" t="s">
        <v>538</v>
      </c>
      <c r="B11" s="4">
        <v>46532921.969999999</v>
      </c>
      <c r="D11" s="4">
        <v>46532921.969999999</v>
      </c>
      <c r="E11" s="4">
        <f>GETPIVOTDATA("Сума",$A$1,"Дата",4,"Годы",2025)-D11</f>
        <v>0</v>
      </c>
    </row>
    <row r="12" spans="1:5" x14ac:dyDescent="0.3">
      <c r="A12" s="8" t="s">
        <v>539</v>
      </c>
      <c r="B12" s="4">
        <v>35875754.370000012</v>
      </c>
      <c r="D12" s="4">
        <v>35875754.370000012</v>
      </c>
      <c r="E12" s="4">
        <f>D12-GETPIVOTDATA("Сума",$A$1,"Дата",5,"Годы",2025)</f>
        <v>0</v>
      </c>
    </row>
    <row r="13" spans="1:5" x14ac:dyDescent="0.3">
      <c r="A13" s="7" t="s">
        <v>528</v>
      </c>
      <c r="B13" s="4">
        <v>219518855.22999999</v>
      </c>
      <c r="D13" s="4"/>
    </row>
    <row r="14" spans="1:5" x14ac:dyDescent="0.3">
      <c r="D14" s="4"/>
    </row>
    <row r="15" spans="1:5" x14ac:dyDescent="0.3">
      <c r="B15" s="9">
        <v>219518855.23000002</v>
      </c>
      <c r="D15" s="4"/>
    </row>
    <row r="16" spans="1:5" x14ac:dyDescent="0.3">
      <c r="B16" s="10">
        <f>B15-GETPIVOTDATA("Сума",$A$1)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2025-06-24T12:11:30Z</dcterms:modified>
</cp:coreProperties>
</file>
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Май_25\Данные\Строительство\"/>
    </mc:Choice>
  </mc:AlternateContent>
  <xr:revisionPtr revIDLastSave="0" documentId="13_ncr:1_{54463490-EE26-42C5-B6A6-857AEC61A603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5" i="1" l="1"/>
  <c r="D74" i="1"/>
  <c r="D73" i="1"/>
  <c r="D70" i="1"/>
  <c r="D76" i="1" l="1"/>
  <c r="D71" i="1" s="1"/>
</calcChain>
</file>

<file path=xl/sharedStrings.xml><?xml version="1.0" encoding="utf-8"?>
<sst xmlns="http://schemas.openxmlformats.org/spreadsheetml/2006/main" count="556" uniqueCount="219">
  <si>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</si>
  <si>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</si>
  <si>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</si>
  <si>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</si>
  <si>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</si>
  <si>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</si>
  <si>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</si>
  <si>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</si>
  <si>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</si>
  <si>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01.05.2025 08:15:45</t>
  </si>
  <si>
    <t>ІБ00-000203</t>
  </si>
  <si>
    <t>КАТЕРИНОПІЛЬСЬКИЙ ЕЛЕВАТОР ТОВ</t>
  </si>
  <si>
    <t>грн</t>
  </si>
  <si>
    <t>Виробничий (Катеринопіль МХП)</t>
  </si>
  <si>
    <t>ТОВ "ІНДАСТРІАЛБУД"</t>
  </si>
  <si>
    <t>Хлань Елена</t>
  </si>
  <si>
    <t>Акт 1(охолодження шроту)</t>
  </si>
  <si>
    <t>01.05.2025 18:54:00</t>
  </si>
  <si>
    <t>ІБ00-000201</t>
  </si>
  <si>
    <t>Акт 9</t>
  </si>
  <si>
    <t>01.05.2025 18:54:01</t>
  </si>
  <si>
    <t>ІБ00-000202</t>
  </si>
  <si>
    <t>Акт 10</t>
  </si>
  <si>
    <t>01.05.2025 18:59:27</t>
  </si>
  <si>
    <t>ІБ00-000214</t>
  </si>
  <si>
    <t>Акт 1 (тостер)</t>
  </si>
  <si>
    <t>01.05.2025 20:00:15</t>
  </si>
  <si>
    <t>ІБ00-000215</t>
  </si>
  <si>
    <t>Акт 1 (Охолодження макухи)</t>
  </si>
  <si>
    <t>09.05.2025 00:00:00</t>
  </si>
  <si>
    <t>ІБ00-000184</t>
  </si>
  <si>
    <t>АСТАРТА АГРО ПРОТЕЇН ТОВ</t>
  </si>
  <si>
    <t>Виробничий (Глобине-2)</t>
  </si>
  <si>
    <t>Акт 3/1.3-ТХ (Цех екстракції поз. 3 ГБ)</t>
  </si>
  <si>
    <t>ІБ00-000199</t>
  </si>
  <si>
    <t>Аулова Маргарита</t>
  </si>
  <si>
    <t>Акт 3/1.16-КБ (Насосна пожежогасіння поз.7 по ГП)</t>
  </si>
  <si>
    <t>ІБ00-000205</t>
  </si>
  <si>
    <t xml:space="preserve"> Акт 6/1.26_Б</t>
  </si>
  <si>
    <t>ІБ00-000207</t>
  </si>
  <si>
    <t xml:space="preserve"> Акт 5/1.10-КБ</t>
  </si>
  <si>
    <t>ІБ00-000208</t>
  </si>
  <si>
    <t xml:space="preserve"> Акт 5/1.1-КБ (АПК)</t>
  </si>
  <si>
    <t>ІБ00-000209</t>
  </si>
  <si>
    <t>Акт 4/1.16-КБ (Насосна пожежогасіння поз.7 по ГП)</t>
  </si>
  <si>
    <t>ІБ00-000210</t>
  </si>
  <si>
    <t xml:space="preserve"> Акт 9/1.9-ЗБ</t>
  </si>
  <si>
    <t>ІБ00-000211</t>
  </si>
  <si>
    <t>Акт 12/1.4-КБ (резервуар для зберігання розчинника)</t>
  </si>
  <si>
    <t>ІБ00-000212</t>
  </si>
  <si>
    <t xml:space="preserve"> Акт 8/1.25 (Демонтажні роботи) </t>
  </si>
  <si>
    <t>12.05.2025 00:00:00</t>
  </si>
  <si>
    <t>ІБ00-000213</t>
  </si>
  <si>
    <t>ГЛОБИНСЬКИЙ ПЕРЕРОБНИЙ ЗАВОД ТОВ</t>
  </si>
  <si>
    <t xml:space="preserve"> Акт 6/ГПЗ</t>
  </si>
  <si>
    <t>13.05.2025 15:01:24</t>
  </si>
  <si>
    <t>ІБ00-000227</t>
  </si>
  <si>
    <t xml:space="preserve"> Акт 7/ГПЗ</t>
  </si>
  <si>
    <t>14.05.2025 14:52:19</t>
  </si>
  <si>
    <t>ІБ00-000216</t>
  </si>
  <si>
    <t>Акт 13/1.4-КБ (резервуар для зберігання розчинника)</t>
  </si>
  <si>
    <t>14.05.2025 14:53:05</t>
  </si>
  <si>
    <t>ІБ00-000217</t>
  </si>
  <si>
    <t xml:space="preserve"> Акт 6/1.1-КБ (АПК)</t>
  </si>
  <si>
    <t>14.05.2025 14:53:40</t>
  </si>
  <si>
    <t>ІБ00-000218</t>
  </si>
  <si>
    <t xml:space="preserve"> Акт 7/1.26_Б</t>
  </si>
  <si>
    <t>14.05.2025 14:54:13</t>
  </si>
  <si>
    <t>ІБ00-000219</t>
  </si>
  <si>
    <t xml:space="preserve"> Акт 8/1.26_Б</t>
  </si>
  <si>
    <t>14.05.2025 14:54:47</t>
  </si>
  <si>
    <t>ІБ00-000220</t>
  </si>
  <si>
    <t>Акт 45/1.3-КМ(Цех екстракції поз. 3 ГБ)</t>
  </si>
  <si>
    <t>14.05.2025 14:55:21</t>
  </si>
  <si>
    <t>ІБ00-000221</t>
  </si>
  <si>
    <t>Акт 5/1.16-КБ (Насосна пожежогасіння поз.7 по ГП)</t>
  </si>
  <si>
    <t>14.05.2025 14:55:57</t>
  </si>
  <si>
    <t>ІБ00-000222</t>
  </si>
  <si>
    <t xml:space="preserve"> Акт 10/1.9-ЗБ</t>
  </si>
  <si>
    <t>14.05.2025 14:57:23</t>
  </si>
  <si>
    <t>ІБ00-000223</t>
  </si>
  <si>
    <t xml:space="preserve"> Акт 1/1.9-КМ (СПК)</t>
  </si>
  <si>
    <t>14.05.2025 14:59:01</t>
  </si>
  <si>
    <t>ІБ00-000224</t>
  </si>
  <si>
    <t xml:space="preserve"> Акт 10/1.12-КБ (Резервуарний парк)</t>
  </si>
  <si>
    <t>14.05.2025 15:00:49</t>
  </si>
  <si>
    <t>ІБ00-000226</t>
  </si>
  <si>
    <t xml:space="preserve"> Акт 9/1.25 (Демонтажні роботи) </t>
  </si>
  <si>
    <t>14.05.2025 15:36:34</t>
  </si>
  <si>
    <t>ІБ00-000228</t>
  </si>
  <si>
    <t>Акт 46/1.3-КМ(Цех екстракції поз. 3 ГБ)</t>
  </si>
  <si>
    <t>15.05.2025 08:29:27</t>
  </si>
  <si>
    <t>ІБ00-000243</t>
  </si>
  <si>
    <t>Акт 11</t>
  </si>
  <si>
    <t>15.05.2025 18:47:00</t>
  </si>
  <si>
    <t>ІБ00-000241</t>
  </si>
  <si>
    <t>Акт 2 (тостер)</t>
  </si>
  <si>
    <t>15.05.2025 18:47:01</t>
  </si>
  <si>
    <t>ІБ00-000242</t>
  </si>
  <si>
    <t>Акт 1 (рама під гусину шию)</t>
  </si>
  <si>
    <t>16.05.2025 14:22:25</t>
  </si>
  <si>
    <t>ІБ00-000248</t>
  </si>
  <si>
    <t>Акт 3 (пункт відвантаження)</t>
  </si>
  <si>
    <t>Акт 7/1.3-ТХ (Цех екстракції поз. 3 ГБ)</t>
  </si>
  <si>
    <t>16.05.2025 18:58:17</t>
  </si>
  <si>
    <t>ІБ00-000244</t>
  </si>
  <si>
    <t>Акт 1 № 09/05/2025ВО від 09.05.2025</t>
  </si>
  <si>
    <t>16.05.2025 18:58:21</t>
  </si>
  <si>
    <t>ІБ00-000249</t>
  </si>
  <si>
    <t>Акт 2 (Охолодження макухи)</t>
  </si>
  <si>
    <t>21.05.2025 00:00:00</t>
  </si>
  <si>
    <t>ІБ00-000206</t>
  </si>
  <si>
    <t>Акт 5/1.3-ТХ (Цех екстракції поз. 3 ГБ)</t>
  </si>
  <si>
    <t>21.05.2025 10:30:48</t>
  </si>
  <si>
    <t>ІБ00-000229</t>
  </si>
  <si>
    <t>Акт 6/1.3-ТХ (Цех екстракції поз. 3 ГБ)</t>
  </si>
  <si>
    <t>21.05.2025 14:30:59</t>
  </si>
  <si>
    <t>ІБ00-000230</t>
  </si>
  <si>
    <t>Акт 47/1.3-КМ(Цех екстракції поз. 3 ГБ)</t>
  </si>
  <si>
    <t>21.05.2025 14:31:50</t>
  </si>
  <si>
    <t>ІБ00-000231</t>
  </si>
  <si>
    <t>Акт 6/1.16-КБ (Насосна пожежогасіння поз.7 по ГП)</t>
  </si>
  <si>
    <t>21.05.2025 14:32:20</t>
  </si>
  <si>
    <t>ІБ00-000232</t>
  </si>
  <si>
    <t>Акт 14/1.4-КБ (резервуар для зберігання розчинника)</t>
  </si>
  <si>
    <t>21.05.2025 14:33:05</t>
  </si>
  <si>
    <t>ІБ00-000233</t>
  </si>
  <si>
    <t xml:space="preserve"> Акт 19/1.9-КБ (СПК)</t>
  </si>
  <si>
    <t>21.05.2025 14:33:42</t>
  </si>
  <si>
    <t>ІБ00-000234</t>
  </si>
  <si>
    <t xml:space="preserve"> Акт 2/1.9-КМ (СПК)</t>
  </si>
  <si>
    <t>21.05.2025 14:34:16</t>
  </si>
  <si>
    <t>ІБ00-000235</t>
  </si>
  <si>
    <t xml:space="preserve"> Акт 11/1.9-ЗБ</t>
  </si>
  <si>
    <t>21.05.2025 14:35:02</t>
  </si>
  <si>
    <t>ІБ00-000236</t>
  </si>
  <si>
    <t xml:space="preserve"> Акт 9/1.26_Б</t>
  </si>
  <si>
    <t>21.05.2025 14:36:33</t>
  </si>
  <si>
    <t>ІБ00-000237</t>
  </si>
  <si>
    <t xml:space="preserve"> Акт 7/1.1-КБ (АПК)</t>
  </si>
  <si>
    <t>21.05.2025 14:37:28</t>
  </si>
  <si>
    <t>ІБ00-000238</t>
  </si>
  <si>
    <t xml:space="preserve"> Акт 6/1.10-КБ</t>
  </si>
  <si>
    <t>21.05.2025 14:38:02</t>
  </si>
  <si>
    <t>ІБ00-000239</t>
  </si>
  <si>
    <t xml:space="preserve"> Акт 8/ГПЗ</t>
  </si>
  <si>
    <t>21.05.2025 23:00:06</t>
  </si>
  <si>
    <t>ІБ00-000269</t>
  </si>
  <si>
    <t>Акт 2 № 09/05/2025ВО від 09.05.2025</t>
  </si>
  <si>
    <t>22.05.2025 18:57:08</t>
  </si>
  <si>
    <t>ІБ00-000268</t>
  </si>
  <si>
    <t>Акт 1 (пункт відвантаження)</t>
  </si>
  <si>
    <t>22.05.2025 18:57:09</t>
  </si>
  <si>
    <t>ІБ00-000270</t>
  </si>
  <si>
    <t>Акт 2(охолодження шроту)</t>
  </si>
  <si>
    <t>22.05.2025 18:57:10</t>
  </si>
  <si>
    <t>ІБ00-000271</t>
  </si>
  <si>
    <t>Акт 4 (пункт відвантаження)</t>
  </si>
  <si>
    <t>Акт 9/1.3-ТХ (Цех екстракції поз. 3 ГБ)</t>
  </si>
  <si>
    <t>26.05.2025 15:43:23</t>
  </si>
  <si>
    <t>ІБ00-000251</t>
  </si>
  <si>
    <t xml:space="preserve"> Акт 7/1.10-КБ</t>
  </si>
  <si>
    <t>26.05.2025 15:44:21</t>
  </si>
  <si>
    <t>ІБ00-000252</t>
  </si>
  <si>
    <t xml:space="preserve"> Акт 10/1.25 (Демонтажні роботи) </t>
  </si>
  <si>
    <t>26.05.2025 15:46:10</t>
  </si>
  <si>
    <t>ІБ00-000253</t>
  </si>
  <si>
    <t xml:space="preserve"> Акт 10/1.26_Б</t>
  </si>
  <si>
    <t>26.05.2025 15:46:53</t>
  </si>
  <si>
    <t>ІБ00-000254</t>
  </si>
  <si>
    <t xml:space="preserve"> Акт 12/1.9-ЗБ</t>
  </si>
  <si>
    <t>26.05.2025 15:47:31</t>
  </si>
  <si>
    <t>ІБ00-000255</t>
  </si>
  <si>
    <t>Акт 15/1.4-КБ (резервуар для зберігання розчинника)</t>
  </si>
  <si>
    <t>26.05.2025 15:49:36</t>
  </si>
  <si>
    <t>ІБ00-000257</t>
  </si>
  <si>
    <t>26.05.2025 15:50:35</t>
  </si>
  <si>
    <t>ІБ00-000258</t>
  </si>
  <si>
    <t>Акт 48/1.3-КМ(Цех екстракції поз. 3 ГБ)</t>
  </si>
  <si>
    <t>26.05.2025 15:51:34</t>
  </si>
  <si>
    <t>ІБ00-000259</t>
  </si>
  <si>
    <t xml:space="preserve"> Акт 3/1.9-КМ (СПК)</t>
  </si>
  <si>
    <t>26.05.2025 15:52:49</t>
  </si>
  <si>
    <t>ІБ00-000260</t>
  </si>
  <si>
    <t>Акт 7/1.16-КБ (Насосна пожежогасіння поз.7 по ГП)</t>
  </si>
  <si>
    <t>26.05.2025 15:53:45</t>
  </si>
  <si>
    <t>ІБ00-000261</t>
  </si>
  <si>
    <t xml:space="preserve"> Акт 9/ГПЗ</t>
  </si>
  <si>
    <t>26.05.2025 20:00:00</t>
  </si>
  <si>
    <t>ІБ00-000284</t>
  </si>
  <si>
    <t>Акт 4/1.3-ТХ (Цех екстракції поз. 3 ГБ)</t>
  </si>
  <si>
    <t>27.05.2025 16:27:07</t>
  </si>
  <si>
    <t>ІБ00-000267</t>
  </si>
  <si>
    <t>РЕТАЛ УКРАЇНА ТОВ</t>
  </si>
  <si>
    <t>Виробничий (Ретал ГПУ)</t>
  </si>
  <si>
    <t>Акт № 1 (Ду 3)  Договір підряду № 17/12/24 від 17.12.2024</t>
  </si>
  <si>
    <t>27.05.2025 18:43:29</t>
  </si>
  <si>
    <t>ІБ00-000286</t>
  </si>
  <si>
    <t>Акт 1 (насосна,градирня)</t>
  </si>
  <si>
    <t>27.05.2025 18:43:30</t>
  </si>
  <si>
    <t>ІБ00-000288</t>
  </si>
  <si>
    <t>Акт 3 (тостер)</t>
  </si>
  <si>
    <t>28.05.2025 12:24:45</t>
  </si>
  <si>
    <t>ІБ00-000281</t>
  </si>
  <si>
    <t>28.05.2025 18:19:13</t>
  </si>
  <si>
    <t>ІБ00-000287</t>
  </si>
  <si>
    <t>Акт 1 (Транспортна галерея)</t>
  </si>
  <si>
    <t>29.05.2025 15:42:38</t>
  </si>
  <si>
    <t>ІБ00-000250</t>
  </si>
  <si>
    <t xml:space="preserve"> Акт 8/1.1-КБ (АПК)</t>
  </si>
  <si>
    <t>29.05.2025 15:48:26</t>
  </si>
  <si>
    <t>ІБ00-000256</t>
  </si>
  <si>
    <t>Акт 8/1.3-ТХ (Цех екстракції поз. 3 ГБ)</t>
  </si>
  <si>
    <t>29.05.2025 15:54:54</t>
  </si>
  <si>
    <t>ІБ00-000262</t>
  </si>
  <si>
    <t>Акт 10/1.3-ТХ (Цех екстракції поз. 3 ГБ)</t>
  </si>
  <si>
    <t>Глобино-2</t>
  </si>
  <si>
    <t>МХП Катеринополь</t>
  </si>
  <si>
    <t>Ретал.ГПУ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</si>
</sst>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5" fillId="0" borderId="0" xfId="0" applyNumberFormat="1" applyFont="1"/>
    <xf numFmtId="4" fontId="1" fillId="0" borderId="0" xfId="0" applyNumberFormat="1" applyFont="1"/>
  </cellXfs>
  <cellStyles count="2">
    <cellStyle name="Обычный" xfId="0" builtinId="0"/>
    <cellStyle name="Обычный_Sheet1" xfId="1" xr:uid="{0EB96F7D-F0B9-4B00-B5F6-57FCA38772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58" workbookViewId="0">
      <selection activeCell="E81" sqref="E81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31.33203125" bestFit="1" customWidth="1"/>
    <col min="4" max="4" width="12.33203125" bestFit="1" customWidth="1"/>
    <col min="5" max="5" width="7.6640625" bestFit="1" customWidth="1"/>
    <col min="6" max="6" width="22.6640625" bestFit="1" customWidth="1"/>
    <col min="7" max="7" width="16.6640625" bestFit="1" customWidth="1"/>
    <col min="8" max="8" width="14.5546875" bestFit="1" customWidth="1"/>
    <col min="9" max="9" width="40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603422.80000000005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11</v>
      </c>
      <c r="D3" s="3">
        <v>630167.24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19</v>
      </c>
    </row>
    <row r="4" spans="1:9" x14ac:dyDescent="0.3">
      <c r="A4" s="2" t="s">
        <v>20</v>
      </c>
      <c r="B4" s="2" t="s">
        <v>21</v>
      </c>
      <c r="C4" s="2" t="s">
        <v>11</v>
      </c>
      <c r="D4" s="3">
        <v>70637.53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22</v>
      </c>
    </row>
    <row r="5" spans="1:9" x14ac:dyDescent="0.3">
      <c r="A5" s="2" t="s">
        <v>23</v>
      </c>
      <c r="B5" s="2" t="s">
        <v>24</v>
      </c>
      <c r="C5" s="2" t="s">
        <v>11</v>
      </c>
      <c r="D5" s="3">
        <v>491492.66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25</v>
      </c>
    </row>
    <row r="6" spans="1:9" x14ac:dyDescent="0.3">
      <c r="A6" s="2" t="s">
        <v>26</v>
      </c>
      <c r="B6" s="2" t="s">
        <v>27</v>
      </c>
      <c r="C6" s="2" t="s">
        <v>11</v>
      </c>
      <c r="D6" s="3">
        <v>1967997.9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28</v>
      </c>
    </row>
    <row r="7" spans="1:9" x14ac:dyDescent="0.3">
      <c r="A7" s="2" t="s">
        <v>29</v>
      </c>
      <c r="B7" s="2" t="s">
        <v>30</v>
      </c>
      <c r="C7" s="2" t="s">
        <v>31</v>
      </c>
      <c r="D7" s="3">
        <v>250366.8</v>
      </c>
      <c r="E7" s="2" t="s">
        <v>12</v>
      </c>
      <c r="F7" s="2" t="s">
        <v>32</v>
      </c>
      <c r="G7" s="2" t="s">
        <v>14</v>
      </c>
      <c r="H7" s="2" t="s">
        <v>15</v>
      </c>
      <c r="I7" s="2" t="s">
        <v>33</v>
      </c>
    </row>
    <row r="8" spans="1:9" x14ac:dyDescent="0.3">
      <c r="A8" s="2" t="s">
        <v>29</v>
      </c>
      <c r="B8" s="2" t="s">
        <v>34</v>
      </c>
      <c r="C8" s="2" t="s">
        <v>31</v>
      </c>
      <c r="D8" s="3">
        <v>536499.18000000005</v>
      </c>
      <c r="E8" s="2" t="s">
        <v>12</v>
      </c>
      <c r="F8" s="2" t="s">
        <v>32</v>
      </c>
      <c r="G8" s="2" t="s">
        <v>14</v>
      </c>
      <c r="H8" s="2" t="s">
        <v>35</v>
      </c>
      <c r="I8" s="2" t="s">
        <v>36</v>
      </c>
    </row>
    <row r="9" spans="1:9" x14ac:dyDescent="0.3">
      <c r="A9" s="2" t="s">
        <v>29</v>
      </c>
      <c r="B9" s="2" t="s">
        <v>37</v>
      </c>
      <c r="C9" s="2" t="s">
        <v>31</v>
      </c>
      <c r="D9" s="3">
        <v>234021.88</v>
      </c>
      <c r="E9" s="2" t="s">
        <v>12</v>
      </c>
      <c r="F9" s="2" t="s">
        <v>32</v>
      </c>
      <c r="G9" s="2" t="s">
        <v>14</v>
      </c>
      <c r="H9" s="2" t="s">
        <v>15</v>
      </c>
      <c r="I9" s="2" t="s">
        <v>38</v>
      </c>
    </row>
    <row r="10" spans="1:9" x14ac:dyDescent="0.3">
      <c r="A10" s="2" t="s">
        <v>29</v>
      </c>
      <c r="B10" s="2" t="s">
        <v>39</v>
      </c>
      <c r="C10" s="2" t="s">
        <v>31</v>
      </c>
      <c r="D10" s="3">
        <v>128433.79</v>
      </c>
      <c r="E10" s="2" t="s">
        <v>12</v>
      </c>
      <c r="F10" s="2" t="s">
        <v>32</v>
      </c>
      <c r="G10" s="2" t="s">
        <v>14</v>
      </c>
      <c r="H10" s="2" t="s">
        <v>15</v>
      </c>
      <c r="I10" s="2" t="s">
        <v>40</v>
      </c>
    </row>
    <row r="11" spans="1:9" x14ac:dyDescent="0.3">
      <c r="A11" s="2" t="s">
        <v>29</v>
      </c>
      <c r="B11" s="2" t="s">
        <v>41</v>
      </c>
      <c r="C11" s="2" t="s">
        <v>31</v>
      </c>
      <c r="D11" s="3">
        <v>1198605.6499999999</v>
      </c>
      <c r="E11" s="2" t="s">
        <v>12</v>
      </c>
      <c r="F11" s="2" t="s">
        <v>32</v>
      </c>
      <c r="G11" s="2" t="s">
        <v>14</v>
      </c>
      <c r="H11" s="2" t="s">
        <v>15</v>
      </c>
      <c r="I11" s="2" t="s">
        <v>42</v>
      </c>
    </row>
    <row r="12" spans="1:9" x14ac:dyDescent="0.3">
      <c r="A12" s="2" t="s">
        <v>29</v>
      </c>
      <c r="B12" s="2" t="s">
        <v>43</v>
      </c>
      <c r="C12" s="2" t="s">
        <v>31</v>
      </c>
      <c r="D12" s="3">
        <v>285591.74</v>
      </c>
      <c r="E12" s="2" t="s">
        <v>12</v>
      </c>
      <c r="F12" s="2" t="s">
        <v>32</v>
      </c>
      <c r="G12" s="2" t="s">
        <v>14</v>
      </c>
      <c r="H12" s="2" t="s">
        <v>15</v>
      </c>
      <c r="I12" s="2" t="s">
        <v>44</v>
      </c>
    </row>
    <row r="13" spans="1:9" x14ac:dyDescent="0.3">
      <c r="A13" s="2" t="s">
        <v>29</v>
      </c>
      <c r="B13" s="2" t="s">
        <v>45</v>
      </c>
      <c r="C13" s="2" t="s">
        <v>31</v>
      </c>
      <c r="D13" s="3">
        <v>2995839.92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46</v>
      </c>
    </row>
    <row r="14" spans="1:9" x14ac:dyDescent="0.3">
      <c r="A14" s="2" t="s">
        <v>29</v>
      </c>
      <c r="B14" s="2" t="s">
        <v>47</v>
      </c>
      <c r="C14" s="2" t="s">
        <v>31</v>
      </c>
      <c r="D14" s="3">
        <v>43899.44</v>
      </c>
      <c r="E14" s="2" t="s">
        <v>12</v>
      </c>
      <c r="F14" s="2" t="s">
        <v>32</v>
      </c>
      <c r="G14" s="2" t="s">
        <v>14</v>
      </c>
      <c r="H14" s="2" t="s">
        <v>15</v>
      </c>
      <c r="I14" s="2" t="s">
        <v>48</v>
      </c>
    </row>
    <row r="15" spans="1:9" x14ac:dyDescent="0.3">
      <c r="A15" s="2" t="s">
        <v>29</v>
      </c>
      <c r="B15" s="2" t="s">
        <v>49</v>
      </c>
      <c r="C15" s="2" t="s">
        <v>31</v>
      </c>
      <c r="D15" s="3">
        <v>157710.1</v>
      </c>
      <c r="E15" s="2" t="s">
        <v>12</v>
      </c>
      <c r="F15" s="2" t="s">
        <v>32</v>
      </c>
      <c r="G15" s="2" t="s">
        <v>14</v>
      </c>
      <c r="H15" s="2" t="s">
        <v>15</v>
      </c>
      <c r="I15" s="2" t="s">
        <v>50</v>
      </c>
    </row>
    <row r="16" spans="1:9" x14ac:dyDescent="0.3">
      <c r="A16" s="2" t="s">
        <v>51</v>
      </c>
      <c r="B16" s="2" t="s">
        <v>52</v>
      </c>
      <c r="C16" s="2" t="s">
        <v>53</v>
      </c>
      <c r="D16" s="3">
        <v>81048.600000000006</v>
      </c>
      <c r="E16" s="2" t="s">
        <v>12</v>
      </c>
      <c r="F16" s="2" t="s">
        <v>32</v>
      </c>
      <c r="G16" s="2" t="s">
        <v>14</v>
      </c>
      <c r="H16" s="2" t="s">
        <v>15</v>
      </c>
      <c r="I16" s="2" t="s">
        <v>54</v>
      </c>
    </row>
    <row r="17" spans="1:9" x14ac:dyDescent="0.3">
      <c r="A17" s="2" t="s">
        <v>55</v>
      </c>
      <c r="B17" s="2" t="s">
        <v>56</v>
      </c>
      <c r="C17" s="2" t="s">
        <v>53</v>
      </c>
      <c r="D17" s="3">
        <v>291602.28000000003</v>
      </c>
      <c r="E17" s="2" t="s">
        <v>12</v>
      </c>
      <c r="F17" s="2" t="s">
        <v>32</v>
      </c>
      <c r="G17" s="2" t="s">
        <v>14</v>
      </c>
      <c r="H17" s="2" t="s">
        <v>15</v>
      </c>
      <c r="I17" s="2" t="s">
        <v>57</v>
      </c>
    </row>
    <row r="18" spans="1:9" x14ac:dyDescent="0.3">
      <c r="A18" s="2" t="s">
        <v>58</v>
      </c>
      <c r="B18" s="2" t="s">
        <v>59</v>
      </c>
      <c r="C18" s="2" t="s">
        <v>31</v>
      </c>
      <c r="D18" s="3">
        <v>633172.01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60</v>
      </c>
    </row>
    <row r="19" spans="1:9" x14ac:dyDescent="0.3">
      <c r="A19" s="2" t="s">
        <v>61</v>
      </c>
      <c r="B19" s="2" t="s">
        <v>62</v>
      </c>
      <c r="C19" s="2" t="s">
        <v>31</v>
      </c>
      <c r="D19" s="3">
        <v>798378.2</v>
      </c>
      <c r="E19" s="2" t="s">
        <v>12</v>
      </c>
      <c r="F19" s="2" t="s">
        <v>32</v>
      </c>
      <c r="G19" s="2" t="s">
        <v>14</v>
      </c>
      <c r="H19" s="2" t="s">
        <v>15</v>
      </c>
      <c r="I19" s="2" t="s">
        <v>63</v>
      </c>
    </row>
    <row r="20" spans="1:9" x14ac:dyDescent="0.3">
      <c r="A20" s="2" t="s">
        <v>64</v>
      </c>
      <c r="B20" s="2" t="s">
        <v>65</v>
      </c>
      <c r="C20" s="2" t="s">
        <v>31</v>
      </c>
      <c r="D20" s="3">
        <v>50118</v>
      </c>
      <c r="E20" s="2" t="s">
        <v>12</v>
      </c>
      <c r="F20" s="2" t="s">
        <v>32</v>
      </c>
      <c r="G20" s="2" t="s">
        <v>14</v>
      </c>
      <c r="H20" s="2" t="s">
        <v>15</v>
      </c>
      <c r="I20" s="2" t="s">
        <v>66</v>
      </c>
    </row>
    <row r="21" spans="1:9" x14ac:dyDescent="0.3">
      <c r="A21" s="2" t="s">
        <v>67</v>
      </c>
      <c r="B21" s="2" t="s">
        <v>68</v>
      </c>
      <c r="C21" s="2" t="s">
        <v>31</v>
      </c>
      <c r="D21" s="3">
        <v>335168.86</v>
      </c>
      <c r="E21" s="2" t="s">
        <v>12</v>
      </c>
      <c r="F21" s="2" t="s">
        <v>32</v>
      </c>
      <c r="G21" s="2" t="s">
        <v>14</v>
      </c>
      <c r="H21" s="2" t="s">
        <v>15</v>
      </c>
      <c r="I21" s="2" t="s">
        <v>69</v>
      </c>
    </row>
    <row r="22" spans="1:9" x14ac:dyDescent="0.3">
      <c r="A22" s="2" t="s">
        <v>70</v>
      </c>
      <c r="B22" s="2" t="s">
        <v>71</v>
      </c>
      <c r="C22" s="2" t="s">
        <v>31</v>
      </c>
      <c r="D22" s="3">
        <v>3024589.46</v>
      </c>
      <c r="E22" s="2" t="s">
        <v>12</v>
      </c>
      <c r="F22" s="2" t="s">
        <v>32</v>
      </c>
      <c r="G22" s="2" t="s">
        <v>14</v>
      </c>
      <c r="H22" s="2" t="s">
        <v>15</v>
      </c>
      <c r="I22" s="2" t="s">
        <v>72</v>
      </c>
    </row>
    <row r="23" spans="1:9" x14ac:dyDescent="0.3">
      <c r="A23" s="2" t="s">
        <v>73</v>
      </c>
      <c r="B23" s="2" t="s">
        <v>74</v>
      </c>
      <c r="C23" s="2" t="s">
        <v>31</v>
      </c>
      <c r="D23" s="3">
        <v>141593</v>
      </c>
      <c r="E23" s="2" t="s">
        <v>12</v>
      </c>
      <c r="F23" s="2" t="s">
        <v>32</v>
      </c>
      <c r="G23" s="2" t="s">
        <v>14</v>
      </c>
      <c r="H23" s="2" t="s">
        <v>15</v>
      </c>
      <c r="I23" s="2" t="s">
        <v>75</v>
      </c>
    </row>
    <row r="24" spans="1:9" x14ac:dyDescent="0.3">
      <c r="A24" s="2" t="s">
        <v>76</v>
      </c>
      <c r="B24" s="2" t="s">
        <v>77</v>
      </c>
      <c r="C24" s="2" t="s">
        <v>31</v>
      </c>
      <c r="D24" s="3">
        <v>1219968.1200000001</v>
      </c>
      <c r="E24" s="2" t="s">
        <v>12</v>
      </c>
      <c r="F24" s="2" t="s">
        <v>32</v>
      </c>
      <c r="G24" s="2" t="s">
        <v>14</v>
      </c>
      <c r="H24" s="2" t="s">
        <v>15</v>
      </c>
      <c r="I24" s="2" t="s">
        <v>78</v>
      </c>
    </row>
    <row r="25" spans="1:9" x14ac:dyDescent="0.3">
      <c r="A25" s="2" t="s">
        <v>79</v>
      </c>
      <c r="B25" s="2" t="s">
        <v>80</v>
      </c>
      <c r="C25" s="2" t="s">
        <v>31</v>
      </c>
      <c r="D25" s="3">
        <v>1906277.27</v>
      </c>
      <c r="E25" s="2" t="s">
        <v>12</v>
      </c>
      <c r="F25" s="2" t="s">
        <v>32</v>
      </c>
      <c r="G25" s="2" t="s">
        <v>14</v>
      </c>
      <c r="H25" s="2" t="s">
        <v>15</v>
      </c>
      <c r="I25" s="2" t="s">
        <v>81</v>
      </c>
    </row>
    <row r="26" spans="1:9" x14ac:dyDescent="0.3">
      <c r="A26" s="2" t="s">
        <v>82</v>
      </c>
      <c r="B26" s="2" t="s">
        <v>83</v>
      </c>
      <c r="C26" s="2" t="s">
        <v>31</v>
      </c>
      <c r="D26" s="3">
        <v>428732.1</v>
      </c>
      <c r="E26" s="2" t="s">
        <v>12</v>
      </c>
      <c r="F26" s="2" t="s">
        <v>32</v>
      </c>
      <c r="G26" s="2" t="s">
        <v>14</v>
      </c>
      <c r="H26" s="2" t="s">
        <v>15</v>
      </c>
      <c r="I26" s="2" t="s">
        <v>84</v>
      </c>
    </row>
    <row r="27" spans="1:9" x14ac:dyDescent="0.3">
      <c r="A27" s="2" t="s">
        <v>85</v>
      </c>
      <c r="B27" s="2" t="s">
        <v>86</v>
      </c>
      <c r="C27" s="2" t="s">
        <v>31</v>
      </c>
      <c r="D27" s="3">
        <v>64885.120000000003</v>
      </c>
      <c r="E27" s="2" t="s">
        <v>12</v>
      </c>
      <c r="F27" s="2" t="s">
        <v>32</v>
      </c>
      <c r="G27" s="2" t="s">
        <v>14</v>
      </c>
      <c r="H27" s="2" t="s">
        <v>15</v>
      </c>
      <c r="I27" s="2" t="s">
        <v>87</v>
      </c>
    </row>
    <row r="28" spans="1:9" x14ac:dyDescent="0.3">
      <c r="A28" s="2" t="s">
        <v>88</v>
      </c>
      <c r="B28" s="2" t="s">
        <v>89</v>
      </c>
      <c r="C28" s="2" t="s">
        <v>31</v>
      </c>
      <c r="D28" s="3">
        <v>1288272.8</v>
      </c>
      <c r="E28" s="2" t="s">
        <v>12</v>
      </c>
      <c r="F28" s="2" t="s">
        <v>32</v>
      </c>
      <c r="G28" s="2" t="s">
        <v>14</v>
      </c>
      <c r="H28" s="2" t="s">
        <v>15</v>
      </c>
      <c r="I28" s="2" t="s">
        <v>90</v>
      </c>
    </row>
    <row r="29" spans="1:9" x14ac:dyDescent="0.3">
      <c r="A29" s="2" t="s">
        <v>91</v>
      </c>
      <c r="B29" s="2" t="s">
        <v>92</v>
      </c>
      <c r="C29" s="2" t="s">
        <v>11</v>
      </c>
      <c r="D29" s="3">
        <v>263760.67</v>
      </c>
      <c r="E29" s="2" t="s">
        <v>12</v>
      </c>
      <c r="F29" s="2" t="s">
        <v>13</v>
      </c>
      <c r="G29" s="2" t="s">
        <v>14</v>
      </c>
      <c r="H29" s="2" t="s">
        <v>15</v>
      </c>
      <c r="I29" s="2" t="s">
        <v>93</v>
      </c>
    </row>
    <row r="30" spans="1:9" x14ac:dyDescent="0.3">
      <c r="A30" s="2" t="s">
        <v>94</v>
      </c>
      <c r="B30" s="2" t="s">
        <v>95</v>
      </c>
      <c r="C30" s="2" t="s">
        <v>11</v>
      </c>
      <c r="D30" s="3">
        <v>473326.88</v>
      </c>
      <c r="E30" s="2" t="s">
        <v>12</v>
      </c>
      <c r="F30" s="2" t="s">
        <v>13</v>
      </c>
      <c r="G30" s="2" t="s">
        <v>14</v>
      </c>
      <c r="H30" s="2" t="s">
        <v>15</v>
      </c>
      <c r="I30" s="2" t="s">
        <v>96</v>
      </c>
    </row>
    <row r="31" spans="1:9" x14ac:dyDescent="0.3">
      <c r="A31" s="2" t="s">
        <v>97</v>
      </c>
      <c r="B31" s="2" t="s">
        <v>98</v>
      </c>
      <c r="C31" s="2" t="s">
        <v>11</v>
      </c>
      <c r="D31" s="3">
        <v>39500.15</v>
      </c>
      <c r="E31" s="2" t="s">
        <v>12</v>
      </c>
      <c r="F31" s="2" t="s">
        <v>13</v>
      </c>
      <c r="G31" s="2" t="s">
        <v>14</v>
      </c>
      <c r="H31" s="2" t="s">
        <v>15</v>
      </c>
      <c r="I31" s="2" t="s">
        <v>99</v>
      </c>
    </row>
    <row r="32" spans="1:9" x14ac:dyDescent="0.3">
      <c r="A32" s="2" t="s">
        <v>100</v>
      </c>
      <c r="B32" s="2" t="s">
        <v>101</v>
      </c>
      <c r="C32" s="2" t="s">
        <v>11</v>
      </c>
      <c r="D32" s="3">
        <v>378301.63</v>
      </c>
      <c r="E32" s="2" t="s">
        <v>12</v>
      </c>
      <c r="F32" s="2" t="s">
        <v>13</v>
      </c>
      <c r="G32" s="2" t="s">
        <v>14</v>
      </c>
      <c r="H32" s="2" t="s">
        <v>15</v>
      </c>
      <c r="I32" s="2" t="s">
        <v>102</v>
      </c>
    </row>
    <row r="33" spans="1:9" x14ac:dyDescent="0.3">
      <c r="A33" s="2" t="s">
        <v>104</v>
      </c>
      <c r="B33" s="2" t="s">
        <v>105</v>
      </c>
      <c r="C33" s="2" t="s">
        <v>11</v>
      </c>
      <c r="D33" s="3">
        <v>119674.72</v>
      </c>
      <c r="E33" s="2" t="s">
        <v>12</v>
      </c>
      <c r="F33" s="2" t="s">
        <v>13</v>
      </c>
      <c r="G33" s="2" t="s">
        <v>14</v>
      </c>
      <c r="H33" s="2" t="s">
        <v>15</v>
      </c>
      <c r="I33" s="2" t="s">
        <v>106</v>
      </c>
    </row>
    <row r="34" spans="1:9" x14ac:dyDescent="0.3">
      <c r="A34" s="2" t="s">
        <v>107</v>
      </c>
      <c r="B34" s="2" t="s">
        <v>108</v>
      </c>
      <c r="C34" s="2" t="s">
        <v>11</v>
      </c>
      <c r="D34" s="3">
        <v>1092356.1100000001</v>
      </c>
      <c r="E34" s="2" t="s">
        <v>12</v>
      </c>
      <c r="F34" s="2" t="s">
        <v>13</v>
      </c>
      <c r="G34" s="2" t="s">
        <v>14</v>
      </c>
      <c r="H34" s="2" t="s">
        <v>15</v>
      </c>
      <c r="I34" s="2" t="s">
        <v>109</v>
      </c>
    </row>
    <row r="35" spans="1:9" x14ac:dyDescent="0.3">
      <c r="A35" s="2" t="s">
        <v>110</v>
      </c>
      <c r="B35" s="2" t="s">
        <v>111</v>
      </c>
      <c r="C35" s="2" t="s">
        <v>31</v>
      </c>
      <c r="D35" s="3">
        <v>1325466.04</v>
      </c>
      <c r="E35" s="2" t="s">
        <v>12</v>
      </c>
      <c r="F35" s="2" t="s">
        <v>32</v>
      </c>
      <c r="G35" s="2" t="s">
        <v>14</v>
      </c>
      <c r="H35" s="2" t="s">
        <v>15</v>
      </c>
      <c r="I35" s="2" t="s">
        <v>112</v>
      </c>
    </row>
    <row r="36" spans="1:9" x14ac:dyDescent="0.3">
      <c r="A36" s="2" t="s">
        <v>113</v>
      </c>
      <c r="B36" s="2" t="s">
        <v>114</v>
      </c>
      <c r="C36" s="2" t="s">
        <v>31</v>
      </c>
      <c r="D36" s="3">
        <v>124093.6</v>
      </c>
      <c r="E36" s="2" t="s">
        <v>12</v>
      </c>
      <c r="F36" s="2" t="s">
        <v>32</v>
      </c>
      <c r="G36" s="2" t="s">
        <v>14</v>
      </c>
      <c r="H36" s="2" t="s">
        <v>15</v>
      </c>
      <c r="I36" s="2" t="s">
        <v>115</v>
      </c>
    </row>
    <row r="37" spans="1:9" x14ac:dyDescent="0.3">
      <c r="A37" s="2" t="s">
        <v>116</v>
      </c>
      <c r="B37" s="2" t="s">
        <v>117</v>
      </c>
      <c r="C37" s="2" t="s">
        <v>31</v>
      </c>
      <c r="D37" s="3">
        <v>385066.02</v>
      </c>
      <c r="E37" s="2" t="s">
        <v>12</v>
      </c>
      <c r="F37" s="2" t="s">
        <v>32</v>
      </c>
      <c r="G37" s="2" t="s">
        <v>14</v>
      </c>
      <c r="H37" s="2" t="s">
        <v>15</v>
      </c>
      <c r="I37" s="2" t="s">
        <v>118</v>
      </c>
    </row>
    <row r="38" spans="1:9" x14ac:dyDescent="0.3">
      <c r="A38" s="2" t="s">
        <v>119</v>
      </c>
      <c r="B38" s="2" t="s">
        <v>120</v>
      </c>
      <c r="C38" s="2" t="s">
        <v>31</v>
      </c>
      <c r="D38" s="3">
        <v>1126120.48</v>
      </c>
      <c r="E38" s="2" t="s">
        <v>12</v>
      </c>
      <c r="F38" s="2" t="s">
        <v>32</v>
      </c>
      <c r="G38" s="2" t="s">
        <v>14</v>
      </c>
      <c r="H38" s="2" t="s">
        <v>15</v>
      </c>
      <c r="I38" s="2" t="s">
        <v>121</v>
      </c>
    </row>
    <row r="39" spans="1:9" x14ac:dyDescent="0.3">
      <c r="A39" s="2" t="s">
        <v>122</v>
      </c>
      <c r="B39" s="2" t="s">
        <v>123</v>
      </c>
      <c r="C39" s="2" t="s">
        <v>31</v>
      </c>
      <c r="D39" s="3">
        <v>34165.760000000002</v>
      </c>
      <c r="E39" s="2" t="s">
        <v>12</v>
      </c>
      <c r="F39" s="2" t="s">
        <v>32</v>
      </c>
      <c r="G39" s="2" t="s">
        <v>14</v>
      </c>
      <c r="H39" s="2" t="s">
        <v>15</v>
      </c>
      <c r="I39" s="2" t="s">
        <v>124</v>
      </c>
    </row>
    <row r="40" spans="1:9" x14ac:dyDescent="0.3">
      <c r="A40" s="2" t="s">
        <v>125</v>
      </c>
      <c r="B40" s="2" t="s">
        <v>126</v>
      </c>
      <c r="C40" s="2" t="s">
        <v>31</v>
      </c>
      <c r="D40" s="3">
        <v>130181.59</v>
      </c>
      <c r="E40" s="2" t="s">
        <v>12</v>
      </c>
      <c r="F40" s="2" t="s">
        <v>32</v>
      </c>
      <c r="G40" s="2" t="s">
        <v>14</v>
      </c>
      <c r="H40" s="2" t="s">
        <v>15</v>
      </c>
      <c r="I40" s="2" t="s">
        <v>127</v>
      </c>
    </row>
    <row r="41" spans="1:9" x14ac:dyDescent="0.3">
      <c r="A41" s="2" t="s">
        <v>128</v>
      </c>
      <c r="B41" s="2" t="s">
        <v>129</v>
      </c>
      <c r="C41" s="2" t="s">
        <v>31</v>
      </c>
      <c r="D41" s="3">
        <v>1248561.3400000001</v>
      </c>
      <c r="E41" s="2" t="s">
        <v>12</v>
      </c>
      <c r="F41" s="2" t="s">
        <v>32</v>
      </c>
      <c r="G41" s="2" t="s">
        <v>14</v>
      </c>
      <c r="H41" s="2" t="s">
        <v>15</v>
      </c>
      <c r="I41" s="2" t="s">
        <v>130</v>
      </c>
    </row>
    <row r="42" spans="1:9" x14ac:dyDescent="0.3">
      <c r="A42" s="2" t="s">
        <v>131</v>
      </c>
      <c r="B42" s="2" t="s">
        <v>132</v>
      </c>
      <c r="C42" s="2" t="s">
        <v>31</v>
      </c>
      <c r="D42" s="3">
        <v>3100405.24</v>
      </c>
      <c r="E42" s="2" t="s">
        <v>12</v>
      </c>
      <c r="F42" s="2" t="s">
        <v>32</v>
      </c>
      <c r="G42" s="2" t="s">
        <v>14</v>
      </c>
      <c r="H42" s="2" t="s">
        <v>15</v>
      </c>
      <c r="I42" s="2" t="s">
        <v>133</v>
      </c>
    </row>
    <row r="43" spans="1:9" x14ac:dyDescent="0.3">
      <c r="A43" s="2" t="s">
        <v>134</v>
      </c>
      <c r="B43" s="2" t="s">
        <v>135</v>
      </c>
      <c r="C43" s="2" t="s">
        <v>31</v>
      </c>
      <c r="D43" s="3">
        <v>114762.48</v>
      </c>
      <c r="E43" s="2" t="s">
        <v>12</v>
      </c>
      <c r="F43" s="2" t="s">
        <v>32</v>
      </c>
      <c r="G43" s="2" t="s">
        <v>14</v>
      </c>
      <c r="H43" s="2" t="s">
        <v>15</v>
      </c>
      <c r="I43" s="2" t="s">
        <v>136</v>
      </c>
    </row>
    <row r="44" spans="1:9" x14ac:dyDescent="0.3">
      <c r="A44" s="2" t="s">
        <v>137</v>
      </c>
      <c r="B44" s="2" t="s">
        <v>138</v>
      </c>
      <c r="C44" s="2" t="s">
        <v>31</v>
      </c>
      <c r="D44" s="3">
        <v>45501.53</v>
      </c>
      <c r="E44" s="2" t="s">
        <v>12</v>
      </c>
      <c r="F44" s="2" t="s">
        <v>32</v>
      </c>
      <c r="G44" s="2" t="s">
        <v>14</v>
      </c>
      <c r="H44" s="2" t="s">
        <v>15</v>
      </c>
      <c r="I44" s="2" t="s">
        <v>139</v>
      </c>
    </row>
    <row r="45" spans="1:9" x14ac:dyDescent="0.3">
      <c r="A45" s="2" t="s">
        <v>140</v>
      </c>
      <c r="B45" s="2" t="s">
        <v>141</v>
      </c>
      <c r="C45" s="2" t="s">
        <v>31</v>
      </c>
      <c r="D45" s="3">
        <v>173928.82</v>
      </c>
      <c r="E45" s="2" t="s">
        <v>12</v>
      </c>
      <c r="F45" s="2" t="s">
        <v>32</v>
      </c>
      <c r="G45" s="2" t="s">
        <v>14</v>
      </c>
      <c r="H45" s="2" t="s">
        <v>15</v>
      </c>
      <c r="I45" s="2" t="s">
        <v>142</v>
      </c>
    </row>
    <row r="46" spans="1:9" x14ac:dyDescent="0.3">
      <c r="A46" s="2" t="s">
        <v>143</v>
      </c>
      <c r="B46" s="2" t="s">
        <v>144</v>
      </c>
      <c r="C46" s="2" t="s">
        <v>53</v>
      </c>
      <c r="D46" s="3">
        <v>126678.38</v>
      </c>
      <c r="E46" s="2" t="s">
        <v>12</v>
      </c>
      <c r="F46" s="2" t="s">
        <v>32</v>
      </c>
      <c r="G46" s="2" t="s">
        <v>14</v>
      </c>
      <c r="H46" s="2" t="s">
        <v>15</v>
      </c>
      <c r="I46" s="2" t="s">
        <v>145</v>
      </c>
    </row>
    <row r="47" spans="1:9" x14ac:dyDescent="0.3">
      <c r="A47" s="2" t="s">
        <v>146</v>
      </c>
      <c r="B47" s="2" t="s">
        <v>147</v>
      </c>
      <c r="C47" s="2" t="s">
        <v>11</v>
      </c>
      <c r="D47" s="3">
        <v>544761.14</v>
      </c>
      <c r="E47" s="2" t="s">
        <v>12</v>
      </c>
      <c r="F47" s="2" t="s">
        <v>13</v>
      </c>
      <c r="G47" s="2" t="s">
        <v>14</v>
      </c>
      <c r="H47" s="2" t="s">
        <v>15</v>
      </c>
      <c r="I47" s="2" t="s">
        <v>148</v>
      </c>
    </row>
    <row r="48" spans="1:9" x14ac:dyDescent="0.3">
      <c r="A48" s="2" t="s">
        <v>149</v>
      </c>
      <c r="B48" s="2" t="s">
        <v>150</v>
      </c>
      <c r="C48" s="2" t="s">
        <v>11</v>
      </c>
      <c r="D48" s="3">
        <v>119696.93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151</v>
      </c>
    </row>
    <row r="49" spans="1:9" x14ac:dyDescent="0.3">
      <c r="A49" s="2" t="s">
        <v>152</v>
      </c>
      <c r="B49" s="2" t="s">
        <v>153</v>
      </c>
      <c r="C49" s="2" t="s">
        <v>11</v>
      </c>
      <c r="D49" s="3">
        <v>460093.93</v>
      </c>
      <c r="E49" s="2" t="s">
        <v>12</v>
      </c>
      <c r="F49" s="2" t="s">
        <v>13</v>
      </c>
      <c r="G49" s="2" t="s">
        <v>14</v>
      </c>
      <c r="H49" s="2" t="s">
        <v>15</v>
      </c>
      <c r="I49" s="2" t="s">
        <v>154</v>
      </c>
    </row>
    <row r="50" spans="1:9" x14ac:dyDescent="0.3">
      <c r="A50" s="2" t="s">
        <v>155</v>
      </c>
      <c r="B50" s="2" t="s">
        <v>156</v>
      </c>
      <c r="C50" s="2" t="s">
        <v>11</v>
      </c>
      <c r="D50" s="3">
        <v>424520.7</v>
      </c>
      <c r="E50" s="2" t="s">
        <v>12</v>
      </c>
      <c r="F50" s="2" t="s">
        <v>13</v>
      </c>
      <c r="G50" s="2" t="s">
        <v>14</v>
      </c>
      <c r="H50" s="2" t="s">
        <v>15</v>
      </c>
      <c r="I50" s="2" t="s">
        <v>157</v>
      </c>
    </row>
    <row r="51" spans="1:9" x14ac:dyDescent="0.3">
      <c r="A51" s="2" t="s">
        <v>159</v>
      </c>
      <c r="B51" s="2" t="s">
        <v>160</v>
      </c>
      <c r="C51" s="2" t="s">
        <v>31</v>
      </c>
      <c r="D51" s="3">
        <v>173928.82</v>
      </c>
      <c r="E51" s="2" t="s">
        <v>12</v>
      </c>
      <c r="F51" s="2" t="s">
        <v>32</v>
      </c>
      <c r="G51" s="2" t="s">
        <v>14</v>
      </c>
      <c r="H51" s="2" t="s">
        <v>15</v>
      </c>
      <c r="I51" s="2" t="s">
        <v>161</v>
      </c>
    </row>
    <row r="52" spans="1:9" x14ac:dyDescent="0.3">
      <c r="A52" s="2" t="s">
        <v>162</v>
      </c>
      <c r="B52" s="2" t="s">
        <v>163</v>
      </c>
      <c r="C52" s="2" t="s">
        <v>31</v>
      </c>
      <c r="D52" s="3">
        <v>58001.23</v>
      </c>
      <c r="E52" s="2" t="s">
        <v>12</v>
      </c>
      <c r="F52" s="2" t="s">
        <v>32</v>
      </c>
      <c r="G52" s="2" t="s">
        <v>14</v>
      </c>
      <c r="H52" s="2" t="s">
        <v>15</v>
      </c>
      <c r="I52" s="2" t="s">
        <v>164</v>
      </c>
    </row>
    <row r="53" spans="1:9" x14ac:dyDescent="0.3">
      <c r="A53" s="2" t="s">
        <v>165</v>
      </c>
      <c r="B53" s="2" t="s">
        <v>166</v>
      </c>
      <c r="C53" s="2" t="s">
        <v>31</v>
      </c>
      <c r="D53" s="3">
        <v>399878.35</v>
      </c>
      <c r="E53" s="2" t="s">
        <v>12</v>
      </c>
      <c r="F53" s="2" t="s">
        <v>32</v>
      </c>
      <c r="G53" s="2" t="s">
        <v>14</v>
      </c>
      <c r="H53" s="2" t="s">
        <v>15</v>
      </c>
      <c r="I53" s="2" t="s">
        <v>167</v>
      </c>
    </row>
    <row r="54" spans="1:9" x14ac:dyDescent="0.3">
      <c r="A54" s="2" t="s">
        <v>168</v>
      </c>
      <c r="B54" s="2" t="s">
        <v>169</v>
      </c>
      <c r="C54" s="2" t="s">
        <v>31</v>
      </c>
      <c r="D54" s="3">
        <v>3702762.48</v>
      </c>
      <c r="E54" s="2" t="s">
        <v>12</v>
      </c>
      <c r="F54" s="2" t="s">
        <v>32</v>
      </c>
      <c r="G54" s="2" t="s">
        <v>14</v>
      </c>
      <c r="H54" s="2" t="s">
        <v>15</v>
      </c>
      <c r="I54" s="2" t="s">
        <v>170</v>
      </c>
    </row>
    <row r="55" spans="1:9" x14ac:dyDescent="0.3">
      <c r="A55" s="2" t="s">
        <v>171</v>
      </c>
      <c r="B55" s="2" t="s">
        <v>172</v>
      </c>
      <c r="C55" s="2" t="s">
        <v>31</v>
      </c>
      <c r="D55" s="3">
        <v>349935.8</v>
      </c>
      <c r="E55" s="2" t="s">
        <v>12</v>
      </c>
      <c r="F55" s="2" t="s">
        <v>32</v>
      </c>
      <c r="G55" s="2" t="s">
        <v>14</v>
      </c>
      <c r="H55" s="2" t="s">
        <v>15</v>
      </c>
      <c r="I55" s="2" t="s">
        <v>173</v>
      </c>
    </row>
    <row r="56" spans="1:9" x14ac:dyDescent="0.3">
      <c r="A56" s="2" t="s">
        <v>174</v>
      </c>
      <c r="B56" s="2" t="s">
        <v>175</v>
      </c>
      <c r="C56" s="2" t="s">
        <v>31</v>
      </c>
      <c r="D56" s="3">
        <v>2490859.31</v>
      </c>
      <c r="E56" s="2" t="s">
        <v>12</v>
      </c>
      <c r="F56" s="2" t="s">
        <v>32</v>
      </c>
      <c r="G56" s="2" t="s">
        <v>14</v>
      </c>
      <c r="H56" s="2" t="s">
        <v>15</v>
      </c>
      <c r="I56" s="2" t="s">
        <v>103</v>
      </c>
    </row>
    <row r="57" spans="1:9" x14ac:dyDescent="0.3">
      <c r="A57" s="2" t="s">
        <v>176</v>
      </c>
      <c r="B57" s="2" t="s">
        <v>177</v>
      </c>
      <c r="C57" s="2" t="s">
        <v>31</v>
      </c>
      <c r="D57" s="3">
        <v>209855.46</v>
      </c>
      <c r="E57" s="2" t="s">
        <v>12</v>
      </c>
      <c r="F57" s="2" t="s">
        <v>32</v>
      </c>
      <c r="G57" s="2" t="s">
        <v>14</v>
      </c>
      <c r="H57" s="2" t="s">
        <v>15</v>
      </c>
      <c r="I57" s="2" t="s">
        <v>178</v>
      </c>
    </row>
    <row r="58" spans="1:9" x14ac:dyDescent="0.3">
      <c r="A58" s="2" t="s">
        <v>179</v>
      </c>
      <c r="B58" s="2" t="s">
        <v>180</v>
      </c>
      <c r="C58" s="2" t="s">
        <v>31</v>
      </c>
      <c r="D58" s="3">
        <v>888843.13</v>
      </c>
      <c r="E58" s="2" t="s">
        <v>12</v>
      </c>
      <c r="F58" s="2" t="s">
        <v>32</v>
      </c>
      <c r="G58" s="2" t="s">
        <v>14</v>
      </c>
      <c r="H58" s="2" t="s">
        <v>15</v>
      </c>
      <c r="I58" s="2" t="s">
        <v>181</v>
      </c>
    </row>
    <row r="59" spans="1:9" x14ac:dyDescent="0.3">
      <c r="A59" s="2" t="s">
        <v>182</v>
      </c>
      <c r="B59" s="2" t="s">
        <v>183</v>
      </c>
      <c r="C59" s="2" t="s">
        <v>31</v>
      </c>
      <c r="D59" s="3">
        <v>212005.46</v>
      </c>
      <c r="E59" s="2" t="s">
        <v>12</v>
      </c>
      <c r="F59" s="2" t="s">
        <v>32</v>
      </c>
      <c r="G59" s="2" t="s">
        <v>14</v>
      </c>
      <c r="H59" s="2" t="s">
        <v>15</v>
      </c>
      <c r="I59" s="2" t="s">
        <v>184</v>
      </c>
    </row>
    <row r="60" spans="1:9" x14ac:dyDescent="0.3">
      <c r="A60" s="2" t="s">
        <v>185</v>
      </c>
      <c r="B60" s="2" t="s">
        <v>186</v>
      </c>
      <c r="C60" s="2" t="s">
        <v>53</v>
      </c>
      <c r="D60" s="3">
        <v>179466.4</v>
      </c>
      <c r="E60" s="2" t="s">
        <v>12</v>
      </c>
      <c r="F60" s="2" t="s">
        <v>32</v>
      </c>
      <c r="G60" s="2" t="s">
        <v>14</v>
      </c>
      <c r="H60" s="2" t="s">
        <v>15</v>
      </c>
      <c r="I60" s="2" t="s">
        <v>187</v>
      </c>
    </row>
    <row r="61" spans="1:9" x14ac:dyDescent="0.3">
      <c r="A61" s="2" t="s">
        <v>188</v>
      </c>
      <c r="B61" s="2" t="s">
        <v>189</v>
      </c>
      <c r="C61" s="2" t="s">
        <v>31</v>
      </c>
      <c r="D61" s="3">
        <v>23541</v>
      </c>
      <c r="E61" s="2" t="s">
        <v>12</v>
      </c>
      <c r="F61" s="2" t="s">
        <v>32</v>
      </c>
      <c r="G61" s="2" t="s">
        <v>14</v>
      </c>
      <c r="H61" s="2" t="s">
        <v>15</v>
      </c>
      <c r="I61" s="2" t="s">
        <v>190</v>
      </c>
    </row>
    <row r="62" spans="1:9" x14ac:dyDescent="0.3">
      <c r="A62" s="2" t="s">
        <v>191</v>
      </c>
      <c r="B62" s="2" t="s">
        <v>192</v>
      </c>
      <c r="C62" s="2" t="s">
        <v>193</v>
      </c>
      <c r="D62" s="3">
        <v>715804.12</v>
      </c>
      <c r="E62" s="2" t="s">
        <v>12</v>
      </c>
      <c r="F62" s="2" t="s">
        <v>194</v>
      </c>
      <c r="G62" s="2" t="s">
        <v>14</v>
      </c>
      <c r="H62" s="2" t="s">
        <v>15</v>
      </c>
      <c r="I62" s="2" t="s">
        <v>195</v>
      </c>
    </row>
    <row r="63" spans="1:9" x14ac:dyDescent="0.3">
      <c r="A63" s="2" t="s">
        <v>196</v>
      </c>
      <c r="B63" s="2" t="s">
        <v>197</v>
      </c>
      <c r="C63" s="2" t="s">
        <v>11</v>
      </c>
      <c r="D63" s="3">
        <v>495505.43</v>
      </c>
      <c r="E63" s="2" t="s">
        <v>12</v>
      </c>
      <c r="F63" s="2" t="s">
        <v>13</v>
      </c>
      <c r="G63" s="2" t="s">
        <v>14</v>
      </c>
      <c r="H63" s="2" t="s">
        <v>15</v>
      </c>
      <c r="I63" s="2" t="s">
        <v>198</v>
      </c>
    </row>
    <row r="64" spans="1:9" x14ac:dyDescent="0.3">
      <c r="A64" s="2" t="s">
        <v>199</v>
      </c>
      <c r="B64" s="2" t="s">
        <v>200</v>
      </c>
      <c r="C64" s="2" t="s">
        <v>11</v>
      </c>
      <c r="D64" s="3">
        <v>1135143.7</v>
      </c>
      <c r="E64" s="2" t="s">
        <v>12</v>
      </c>
      <c r="F64" s="2" t="s">
        <v>13</v>
      </c>
      <c r="G64" s="2" t="s">
        <v>14</v>
      </c>
      <c r="H64" s="2" t="s">
        <v>15</v>
      </c>
      <c r="I64" s="2" t="s">
        <v>201</v>
      </c>
    </row>
    <row r="65" spans="1:9" x14ac:dyDescent="0.3">
      <c r="A65" s="2" t="s">
        <v>202</v>
      </c>
      <c r="B65" s="2" t="s">
        <v>203</v>
      </c>
      <c r="C65" s="2" t="s">
        <v>31</v>
      </c>
      <c r="D65" s="3">
        <v>97277.6</v>
      </c>
      <c r="E65" s="2" t="s">
        <v>12</v>
      </c>
      <c r="F65" s="2" t="s">
        <v>32</v>
      </c>
      <c r="G65" s="2" t="s">
        <v>14</v>
      </c>
      <c r="H65" s="2" t="s">
        <v>35</v>
      </c>
      <c r="I65" s="2" t="s">
        <v>158</v>
      </c>
    </row>
    <row r="66" spans="1:9" x14ac:dyDescent="0.3">
      <c r="A66" s="2" t="s">
        <v>204</v>
      </c>
      <c r="B66" s="2" t="s">
        <v>205</v>
      </c>
      <c r="C66" s="2" t="s">
        <v>11</v>
      </c>
      <c r="D66" s="3">
        <v>1253822.48</v>
      </c>
      <c r="E66" s="2" t="s">
        <v>12</v>
      </c>
      <c r="F66" s="2" t="s">
        <v>13</v>
      </c>
      <c r="G66" s="2" t="s">
        <v>14</v>
      </c>
      <c r="H66" s="2" t="s">
        <v>15</v>
      </c>
      <c r="I66" s="2" t="s">
        <v>206</v>
      </c>
    </row>
    <row r="67" spans="1:9" x14ac:dyDescent="0.3">
      <c r="A67" s="2" t="s">
        <v>207</v>
      </c>
      <c r="B67" s="2" t="s">
        <v>208</v>
      </c>
      <c r="C67" s="2" t="s">
        <v>31</v>
      </c>
      <c r="D67" s="3">
        <v>1289902.79</v>
      </c>
      <c r="E67" s="2" t="s">
        <v>12</v>
      </c>
      <c r="F67" s="2" t="s">
        <v>32</v>
      </c>
      <c r="G67" s="2" t="s">
        <v>14</v>
      </c>
      <c r="H67" s="2" t="s">
        <v>15</v>
      </c>
      <c r="I67" s="2" t="s">
        <v>209</v>
      </c>
    </row>
    <row r="68" spans="1:9" x14ac:dyDescent="0.3">
      <c r="A68" s="2" t="s">
        <v>210</v>
      </c>
      <c r="B68" s="2" t="s">
        <v>211</v>
      </c>
      <c r="C68" s="2" t="s">
        <v>31</v>
      </c>
      <c r="D68" s="3">
        <v>215987.6</v>
      </c>
      <c r="E68" s="2" t="s">
        <v>12</v>
      </c>
      <c r="F68" s="2" t="s">
        <v>32</v>
      </c>
      <c r="G68" s="2" t="s">
        <v>14</v>
      </c>
      <c r="H68" s="2" t="s">
        <v>15</v>
      </c>
      <c r="I68" s="2" t="s">
        <v>212</v>
      </c>
    </row>
    <row r="69" spans="1:9" x14ac:dyDescent="0.3">
      <c r="A69" s="2" t="s">
        <v>213</v>
      </c>
      <c r="B69" s="2" t="s">
        <v>214</v>
      </c>
      <c r="C69" s="2" t="s">
        <v>31</v>
      </c>
      <c r="D69" s="3">
        <v>1553803.34</v>
      </c>
      <c r="E69" s="2" t="s">
        <v>12</v>
      </c>
      <c r="F69" s="2" t="s">
        <v>32</v>
      </c>
      <c r="G69" s="2" t="s">
        <v>14</v>
      </c>
      <c r="H69" s="2" t="s">
        <v>15</v>
      </c>
      <c r="I69" s="2" t="s">
        <v>215</v>
      </c>
    </row>
    <row r="70" spans="1:9" x14ac:dyDescent="0.3">
      <c r="D70" s="4">
        <f>SUM(D2:D69)</f>
        <v>47155741.090000004</v>
      </c>
    </row>
    <row r="71" spans="1:9" x14ac:dyDescent="0.3">
      <c r="D71" s="5">
        <f>D70-D76</f>
        <v>0</v>
      </c>
    </row>
    <row r="73" spans="1:9" x14ac:dyDescent="0.3">
      <c r="D73" s="4">
        <f>SUMIF(F2:F69,F8,D2:D69)</f>
        <v>35875754.370000012</v>
      </c>
      <c r="F73" t="s">
        <v>216</v>
      </c>
    </row>
    <row r="74" spans="1:9" x14ac:dyDescent="0.3">
      <c r="D74" s="4">
        <f>SUMIF(F2:F69,F6,D2:D69)</f>
        <v>10564182.6</v>
      </c>
      <c r="F74" t="s">
        <v>217</v>
      </c>
    </row>
    <row r="75" spans="1:9" x14ac:dyDescent="0.3">
      <c r="D75" s="4">
        <f>SUMIF(F2:F69,F62,D2:D69)</f>
        <v>715804.12</v>
      </c>
      <c r="F75" t="s">
        <v>218</v>
      </c>
    </row>
    <row r="76" spans="1:9" x14ac:dyDescent="0.3">
      <c r="D76" s="6">
        <f>SUM(D73:D75)</f>
        <v>47155741.090000011</v>
      </c>
    </row>
  </sheetData>
  <autoFilter ref="A1:I71" xr:uid="{9D25C12A-7C6B-4C5A-B4DA-1D2936FEE9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2025-06-18T08:08:15Z</dcterms:modified>
</cp:coreProperties>
</file>
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.shyshkina\Desktop\Логістика\"/>
    </mc:Choice>
  </mc:AlternateContent>
  <xr:revisionPtr revIDLastSave="0" documentId="13_ncr:1_{07287486-A9F6-48AB-AF45-2C4F44118480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Обєкти" sheetId="10" r:id="rId1"/>
    <sheet name="11.2025 МАНИ" sheetId="1" r:id="rId2"/>
    <sheet name="Автосвіт" sheetId="2" r:id="rId3"/>
    <sheet name="Нікса" sheetId="6" r:id="rId4"/>
    <sheet name="Приватний Двір" sheetId="5" r:id="rId5"/>
    <sheet name="Ендор Логістик " sheetId="3" r:id="rId6"/>
    <sheet name="Корусанд" sheetId="9" r:id="rId7"/>
    <sheet name="АЙРІС ВОРДВАЙЛ" sheetId="8" r:id="rId8"/>
    <sheet name="ФЛУКОРДІ" sheetId="4" r:id="rId9"/>
    <sheet name="ПРЕМІУМ ТРАНС" sheetId="11" r:id="rId10"/>
    <sheet name="Компанія Агротранс" sheetId="14" r:id="rId11"/>
    <sheet name="Автоленд" sheetId="15" r:id="rId12"/>
    <sheet name="Лист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8" i="10" l="1"/>
  <c r="L68" i="10"/>
  <c r="M68" i="10"/>
  <c r="N68" i="10"/>
  <c r="O68" i="10"/>
  <c r="P68" i="10"/>
  <c r="Q68" i="10"/>
  <c r="R68" i="10"/>
  <c r="S68" i="10"/>
  <c r="T68" i="10"/>
  <c r="J68" i="10"/>
  <c r="F39" i="2"/>
  <c r="E39" i="2"/>
  <c r="E11" i="3" l="1"/>
  <c r="F11" i="3" l="1"/>
  <c r="E13" i="5"/>
  <c r="U68" i="10" l="1"/>
  <c r="F72" i="10"/>
  <c r="E72" i="10"/>
  <c r="E22" i="1" l="1"/>
  <c r="I39" i="2" l="1"/>
  <c r="M70" i="10" l="1"/>
  <c r="F10" i="15" l="1"/>
  <c r="E10" i="15"/>
  <c r="L70" i="10"/>
  <c r="K70" i="10"/>
  <c r="I13" i="5" l="1"/>
  <c r="F11" i="14" l="1"/>
  <c r="E11" i="14"/>
  <c r="F11" i="11" l="1"/>
  <c r="E11" i="11"/>
  <c r="F13" i="5" l="1"/>
  <c r="E7" i="4"/>
  <c r="I69" i="10" l="1"/>
  <c r="U69" i="10"/>
  <c r="Q70" i="10" l="1"/>
  <c r="F73" i="10" l="1"/>
  <c r="N70" i="10" l="1"/>
  <c r="O70" i="10"/>
  <c r="R70" i="10"/>
  <c r="S70" i="10"/>
  <c r="T70" i="10"/>
  <c r="J70" i="10" l="1"/>
  <c r="P70" i="10" l="1"/>
  <c r="U70" i="10" s="1"/>
  <c r="F74" i="10" l="1"/>
  <c r="E11" i="9" l="1"/>
  <c r="E11" i="6"/>
  <c r="E23" i="1" s="1"/>
  <c r="F12" i="8" l="1"/>
  <c r="E12" i="8"/>
  <c r="F11" i="6"/>
  <c r="F11" i="9" l="1"/>
  <c r="F7" i="4" l="1"/>
  <c r="E25" i="1" s="1"/>
  <c r="E28" i="1" s="1"/>
</calcChain>
</file>

<file path=xl/sharedStrings.xml><?xml version="1.0" encoding="utf-8"?>
<sst xmlns="http://schemas.openxmlformats.org/spreadsheetml/2006/main" count="572" uniqueCount="141">
  <si>
    <t>АКТ</t>
  </si>
  <si>
    <t>ДАТА</t>
  </si>
  <si>
    <t>акт</t>
  </si>
  <si>
    <t>РАХ</t>
  </si>
  <si>
    <t>МАНИ</t>
  </si>
  <si>
    <t xml:space="preserve"> Експедиція</t>
  </si>
  <si>
    <t>Індаст</t>
  </si>
  <si>
    <t>дата</t>
  </si>
  <si>
    <t>ВООЗ</t>
  </si>
  <si>
    <t>Глобине</t>
  </si>
  <si>
    <t>ООН</t>
  </si>
  <si>
    <t xml:space="preserve">Стіл </t>
  </si>
  <si>
    <t>ТТН</t>
  </si>
  <si>
    <t>Об'єднання</t>
  </si>
  <si>
    <t>КУХНЯ КЕРНЕЛ</t>
  </si>
  <si>
    <t xml:space="preserve">ОПЛАТА </t>
  </si>
  <si>
    <t>оплачено</t>
  </si>
  <si>
    <t>ттн</t>
  </si>
  <si>
    <t>рах</t>
  </si>
  <si>
    <t xml:space="preserve">Акт </t>
  </si>
  <si>
    <t>ДАТА ОТР</t>
  </si>
  <si>
    <t>ОТР</t>
  </si>
  <si>
    <t>IRS</t>
  </si>
  <si>
    <t>Біла Церква</t>
  </si>
  <si>
    <t>Франківськ</t>
  </si>
  <si>
    <t>ТИЩЕНКИ</t>
  </si>
  <si>
    <t xml:space="preserve">ТОВ "АВТОСВІФТ" </t>
  </si>
  <si>
    <t>даск центр</t>
  </si>
  <si>
    <t>Путрівка</t>
  </si>
  <si>
    <t>проведено</t>
  </si>
  <si>
    <t xml:space="preserve">проведено </t>
  </si>
  <si>
    <t>непров</t>
  </si>
  <si>
    <t>пров</t>
  </si>
  <si>
    <t>ТОВ "Ендор Логістик"</t>
  </si>
  <si>
    <t>путрівка</t>
  </si>
  <si>
    <t>Біла Церква - Глобине</t>
  </si>
  <si>
    <t>МК</t>
  </si>
  <si>
    <t>Київ - Біла Церква</t>
  </si>
  <si>
    <t>Спецтехніка</t>
  </si>
  <si>
    <t>Глобине МАН 4 Томченко</t>
  </si>
  <si>
    <t>Лінолеум ВООЗ Комер.Підлога</t>
  </si>
  <si>
    <t>03.11 - 03.11</t>
  </si>
  <si>
    <t>Будматеріали ВООЗ/ООН БУДМАГ
Є1000+1000</t>
  </si>
  <si>
    <t>02.11 - 03.11</t>
  </si>
  <si>
    <t>Путрівка - Київ</t>
  </si>
  <si>
    <t>вібротрамбовка КМД</t>
  </si>
  <si>
    <t>04.11 - 04.11</t>
  </si>
  <si>
    <t>Тищенки - Біла Церква</t>
  </si>
  <si>
    <t>кут металевий</t>
  </si>
  <si>
    <t>04.11 - 05.11</t>
  </si>
  <si>
    <t>столи ООН</t>
  </si>
  <si>
    <t>Будматеріали ВООЗ/ООН БУДМАГ1000+1000</t>
  </si>
  <si>
    <t>Будматеріали ВООЗ БУДМАГ</t>
  </si>
  <si>
    <t>05.11 - 05.11</t>
  </si>
  <si>
    <t>Брус ООН СТАРВУД</t>
  </si>
  <si>
    <t>шафи ООН ФОП Яременко</t>
  </si>
  <si>
    <r>
      <t>ООН МАН 5 Голу</t>
    </r>
    <r>
      <rPr>
        <sz val="11"/>
        <color rgb="FF000000"/>
        <rFont val="Calibri"/>
        <family val="2"/>
        <charset val="204"/>
      </rPr>
      <t>б</t>
    </r>
  </si>
  <si>
    <t>Біла Церква - Запоріжжя</t>
  </si>
  <si>
    <t>05.11 - 06.11</t>
  </si>
  <si>
    <t>модуль</t>
  </si>
  <si>
    <t>ТОВ "Приватний Двір"</t>
  </si>
  <si>
    <t>Бровари - Тищенки</t>
  </si>
  <si>
    <t>опалубка</t>
  </si>
  <si>
    <t>06.11 - 06.11</t>
  </si>
  <si>
    <t>холодильники ООН</t>
  </si>
  <si>
    <t>Будматеріали Кухня Кернел БУДМАГ</t>
  </si>
  <si>
    <t>ООН МАН 4 Томченко</t>
  </si>
  <si>
    <t>06.11 - 07.11</t>
  </si>
  <si>
    <t>Бровари - Путрівка</t>
  </si>
  <si>
    <t>07.11 - 07.11</t>
  </si>
  <si>
    <t>Будматеріали Кернел / Кутики ООН</t>
  </si>
  <si>
    <t>Тищенки МАН 5 Голуб</t>
  </si>
  <si>
    <t>Біла Церква - Тищенки</t>
  </si>
  <si>
    <t>09.11 - 10.11</t>
  </si>
  <si>
    <t>Київ - Глобине</t>
  </si>
  <si>
    <t>венталіційні решітки</t>
  </si>
  <si>
    <t>10.11 - 10.11</t>
  </si>
  <si>
    <t>Тищенки - Бровари</t>
  </si>
  <si>
    <t>10.11 - 11.11</t>
  </si>
  <si>
    <t>ТДВ "ОДЕБП"</t>
  </si>
  <si>
    <t>Власівка - Бориспіль МАН 5 Голуб</t>
  </si>
  <si>
    <t>ЗБК</t>
  </si>
  <si>
    <t>11.11 - 11.11</t>
  </si>
  <si>
    <t>12.11 - 12.11</t>
  </si>
  <si>
    <t>Бровари - Глобине</t>
  </si>
  <si>
    <t>12.11 - 13.11</t>
  </si>
  <si>
    <t>Фастів - Біла Церква</t>
  </si>
  <si>
    <t>плитка тратуарна МЕТАЛЕКС АЛЬЯНС ВООЗ EMS</t>
  </si>
  <si>
    <t>13.11 - 13.11</t>
  </si>
  <si>
    <t>Плінтус ВООЗ ДАСк-Центр</t>
  </si>
  <si>
    <t>профлист ВООЗ Перша Покрівельна</t>
  </si>
  <si>
    <t>Біла Церква - Варва</t>
  </si>
  <si>
    <t>інвентар</t>
  </si>
  <si>
    <t>14.11 - 14.11</t>
  </si>
  <si>
    <t>Київ - Путрівка</t>
  </si>
  <si>
    <t>вібратор</t>
  </si>
  <si>
    <t>Біла Церква МАН</t>
  </si>
  <si>
    <t>бетоні кільця ВООЗ</t>
  </si>
  <si>
    <t>кондиціонери ВООЗ Технопрестиж</t>
  </si>
  <si>
    <t>ТОВ "Автоленд-Кремінь"</t>
  </si>
  <si>
    <t>Тищенки - Глобине</t>
  </si>
  <si>
    <t>перебазування JCB 220</t>
  </si>
  <si>
    <t>17.11 - 17.11</t>
  </si>
  <si>
    <t>Полтава - Глобине</t>
  </si>
  <si>
    <t>затирочні машии для бетону</t>
  </si>
  <si>
    <t>Брус ООН Старвуд</t>
  </si>
  <si>
    <t>ВООЗ  ОСБ плити БУД МАГ</t>
  </si>
  <si>
    <t>рахунок</t>
  </si>
  <si>
    <t>Кутики Кернел</t>
  </si>
  <si>
    <t>18.11 - 18.11</t>
  </si>
  <si>
    <t>Будматеріали Кернел БУДМАГ</t>
  </si>
  <si>
    <t>ліжка ООН</t>
  </si>
  <si>
    <t>модуль негабарит ВООЗ</t>
  </si>
  <si>
    <t>18.11 - 19.11</t>
  </si>
  <si>
    <t>інвентар ВООЗ</t>
  </si>
  <si>
    <t>вібратори</t>
  </si>
  <si>
    <t>19.11 - 19.11</t>
  </si>
  <si>
    <t>19.11 - 20.11</t>
  </si>
  <si>
    <t>ТОВ "КОРУСАНД"</t>
  </si>
  <si>
    <t>Бровари - Тищенки - Бровари</t>
  </si>
  <si>
    <t>20.11 - 21.11</t>
  </si>
  <si>
    <t>20.11 - 20.11</t>
  </si>
  <si>
    <t>Будматеріали ООН БУДМАГ</t>
  </si>
  <si>
    <t>Тищенки МАН 4 Коваленко</t>
  </si>
  <si>
    <t>ООН МАН 5 Голуб</t>
  </si>
  <si>
    <t>21.11 - 22.11</t>
  </si>
  <si>
    <t>16.11 - 17.11</t>
  </si>
  <si>
    <t>ЄМС / ВООЗ МАН 5 Голуб</t>
  </si>
  <si>
    <t>ЄМС / ВООЗ МАН 4 Коваленко</t>
  </si>
  <si>
    <t>Димоходи ООН</t>
  </si>
  <si>
    <t>24.11 - 24.11</t>
  </si>
  <si>
    <t>25.11 - 25.11</t>
  </si>
  <si>
    <t>26.11 - 27.11</t>
  </si>
  <si>
    <t>Т</t>
  </si>
  <si>
    <t>дорожна плитка МЕТАЛЕКС АЛЬЯНС та бочки ФОП Переуда ВООЗ</t>
  </si>
  <si>
    <t>28.11 - 28.11</t>
  </si>
  <si>
    <t>27.11 - 27.11</t>
  </si>
  <si>
    <t>Будматеріали ВООЗ Епіцентр</t>
  </si>
  <si>
    <t>28.11 - 29.11</t>
  </si>
  <si>
    <t>ПЕРЕР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</si>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</sst>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11"/>
      <color rgb="FF1F1F1F"/>
      <name val="Calibri"/>
      <family val="2"/>
      <charset val="204"/>
    </font>
    <font>
      <sz val="12"/>
      <color rgb="FF000000"/>
      <name val="Calibri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vertical="center"/>
    </xf>
    <xf numFmtId="14" fontId="0" fillId="0" borderId="6" xfId="0" applyNumberFormat="1" applyBorder="1"/>
    <xf numFmtId="0" fontId="0" fillId="0" borderId="6" xfId="0" applyBorder="1"/>
    <xf numFmtId="0" fontId="1" fillId="4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0" fontId="0" fillId="4" borderId="0" xfId="0" applyFill="1"/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center" vertical="center" wrapText="1"/>
    </xf>
    <xf numFmtId="3" fontId="1" fillId="4" borderId="4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5" borderId="0" xfId="0" applyFill="1"/>
    <xf numFmtId="16" fontId="0" fillId="0" borderId="0" xfId="0" applyNumberFormat="1"/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0" fillId="0" borderId="0" xfId="0" applyBorder="1"/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right" vertical="center"/>
    </xf>
    <xf numFmtId="0" fontId="0" fillId="0" borderId="10" xfId="0" applyBorder="1"/>
    <xf numFmtId="0" fontId="0" fillId="6" borderId="9" xfId="0" applyFill="1" applyBorder="1" applyAlignment="1">
      <alignment wrapText="1"/>
    </xf>
    <xf numFmtId="14" fontId="0" fillId="6" borderId="6" xfId="0" applyNumberFormat="1" applyFill="1" applyBorder="1"/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right" vertical="center"/>
    </xf>
    <xf numFmtId="3" fontId="1" fillId="6" borderId="6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right" vertical="center"/>
    </xf>
    <xf numFmtId="0" fontId="0" fillId="6" borderId="6" xfId="0" applyFill="1" applyBorder="1"/>
    <xf numFmtId="0" fontId="2" fillId="2" borderId="0" xfId="0" applyFont="1" applyFill="1" applyBorder="1" applyAlignment="1">
      <alignment vertical="center"/>
    </xf>
    <xf numFmtId="3" fontId="1" fillId="4" borderId="0" xfId="0" applyNumberFormat="1" applyFont="1" applyFill="1" applyBorder="1" applyAlignment="1">
      <alignment horizontal="right" vertical="center"/>
    </xf>
    <xf numFmtId="0" fontId="0" fillId="4" borderId="6" xfId="0" applyFill="1" applyBorder="1"/>
    <xf numFmtId="49" fontId="0" fillId="0" borderId="6" xfId="0" applyNumberFormat="1" applyBorder="1"/>
    <xf numFmtId="3" fontId="0" fillId="3" borderId="0" xfId="0" applyNumberFormat="1" applyFill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0" fillId="8" borderId="12" xfId="0" applyFill="1" applyBorder="1"/>
    <xf numFmtId="0" fontId="0" fillId="8" borderId="0" xfId="0" applyFill="1"/>
    <xf numFmtId="0" fontId="0" fillId="0" borderId="10" xfId="0" applyBorder="1" applyAlignment="1">
      <alignment wrapText="1"/>
    </xf>
    <xf numFmtId="0" fontId="0" fillId="5" borderId="10" xfId="0" applyFill="1" applyBorder="1"/>
    <xf numFmtId="0" fontId="1" fillId="4" borderId="0" xfId="0" applyFont="1" applyFill="1" applyBorder="1" applyAlignment="1">
      <alignment vertical="center"/>
    </xf>
    <xf numFmtId="0" fontId="0" fillId="9" borderId="0" xfId="0" applyFill="1" applyBorder="1"/>
    <xf numFmtId="16" fontId="0" fillId="0" borderId="6" xfId="0" applyNumberFormat="1" applyBorder="1"/>
    <xf numFmtId="0" fontId="0" fillId="5" borderId="6" xfId="0" applyFill="1" applyBorder="1"/>
    <xf numFmtId="0" fontId="0" fillId="8" borderId="6" xfId="0" applyFill="1" applyBorder="1"/>
    <xf numFmtId="0" fontId="1" fillId="7" borderId="3" xfId="0" applyFont="1" applyFill="1" applyBorder="1" applyAlignment="1">
      <alignment horizontal="center" vertical="center"/>
    </xf>
    <xf numFmtId="0" fontId="5" fillId="10" borderId="0" xfId="0" applyFont="1" applyFill="1"/>
    <xf numFmtId="0" fontId="0" fillId="11" borderId="0" xfId="0" applyFill="1"/>
    <xf numFmtId="49" fontId="0" fillId="0" borderId="0" xfId="0" applyNumberFormat="1"/>
    <xf numFmtId="0" fontId="0" fillId="10" borderId="6" xfId="0" applyFill="1" applyBorder="1"/>
    <xf numFmtId="0" fontId="0" fillId="10" borderId="0" xfId="0" applyFill="1"/>
    <xf numFmtId="0" fontId="1" fillId="4" borderId="6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wrapText="1"/>
    </xf>
    <xf numFmtId="0" fontId="3" fillId="4" borderId="6" xfId="0" applyFont="1" applyFill="1" applyBorder="1"/>
    <xf numFmtId="0" fontId="3" fillId="4" borderId="0" xfId="0" applyFont="1" applyFill="1"/>
    <xf numFmtId="14" fontId="0" fillId="0" borderId="0" xfId="0" applyNumberFormat="1"/>
    <xf numFmtId="0" fontId="7" fillId="0" borderId="10" xfId="0" applyFont="1" applyBorder="1" applyAlignment="1">
      <alignment wrapText="1"/>
    </xf>
    <xf numFmtId="0" fontId="8" fillId="4" borderId="10" xfId="0" applyFont="1" applyFill="1" applyBorder="1" applyAlignment="1">
      <alignment wrapText="1"/>
    </xf>
    <xf numFmtId="0" fontId="7" fillId="5" borderId="10" xfId="0" applyFont="1" applyFill="1" applyBorder="1"/>
    <xf numFmtId="0" fontId="7" fillId="8" borderId="12" xfId="0" applyFont="1" applyFill="1" applyBorder="1"/>
    <xf numFmtId="0" fontId="1" fillId="10" borderId="3" xfId="0" applyFont="1" applyFill="1" applyBorder="1" applyAlignment="1">
      <alignment horizontal="right" vertical="center"/>
    </xf>
    <xf numFmtId="3" fontId="1" fillId="3" borderId="2" xfId="0" applyNumberFormat="1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7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0" fontId="9" fillId="0" borderId="5" xfId="0" applyFont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0" fillId="0" borderId="15" xfId="0" applyBorder="1"/>
    <xf numFmtId="0" fontId="1" fillId="12" borderId="2" xfId="0" applyFont="1" applyFill="1" applyBorder="1" applyAlignment="1">
      <alignment horizontal="right" vertical="center"/>
    </xf>
    <xf numFmtId="0" fontId="1" fillId="12" borderId="3" xfId="0" applyFont="1" applyFill="1" applyBorder="1" applyAlignment="1">
      <alignment horizontal="right" vertical="center"/>
    </xf>
    <xf numFmtId="0" fontId="1" fillId="3" borderId="14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right" vertical="center"/>
    </xf>
    <xf numFmtId="0" fontId="0" fillId="4" borderId="10" xfId="0" applyFill="1" applyBorder="1"/>
    <xf numFmtId="0" fontId="3" fillId="4" borderId="10" xfId="0" applyFont="1" applyFill="1" applyBorder="1"/>
    <xf numFmtId="0" fontId="0" fillId="8" borderId="10" xfId="0" applyFill="1" applyBorder="1"/>
    <xf numFmtId="0" fontId="6" fillId="0" borderId="7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0" fillId="0" borderId="16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0" fillId="0" borderId="17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10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right" vertical="center"/>
    </xf>
    <xf numFmtId="0" fontId="0" fillId="0" borderId="0" xfId="0" applyBorder="1" applyAlignment="1">
      <alignment wrapText="1"/>
    </xf>
    <xf numFmtId="0" fontId="1" fillId="2" borderId="1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right" vertical="center"/>
    </xf>
    <xf numFmtId="0" fontId="0" fillId="0" borderId="9" xfId="0" applyBorder="1"/>
    <xf numFmtId="0" fontId="0" fillId="4" borderId="9" xfId="0" applyFill="1" applyBorder="1"/>
    <xf numFmtId="0" fontId="0" fillId="4" borderId="19" xfId="0" applyFill="1" applyBorder="1"/>
    <xf numFmtId="0" fontId="1" fillId="5" borderId="6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0" fillId="4" borderId="0" xfId="0" applyFill="1" applyBorder="1"/>
    <xf numFmtId="0" fontId="3" fillId="4" borderId="0" xfId="0" applyFont="1" applyFill="1" applyBorder="1"/>
    <xf numFmtId="0" fontId="0" fillId="5" borderId="0" xfId="0" applyFill="1" applyBorder="1"/>
    <xf numFmtId="0" fontId="0" fillId="8" borderId="0" xfId="0" applyFill="1" applyBorder="1"/>
    <xf numFmtId="0" fontId="0" fillId="6" borderId="6" xfId="0" applyFill="1" applyBorder="1" applyAlignment="1">
      <alignment wrapText="1"/>
    </xf>
    <xf numFmtId="0" fontId="0" fillId="13" borderId="6" xfId="0" applyFill="1" applyBorder="1"/>
    <xf numFmtId="3" fontId="1" fillId="3" borderId="11" xfId="0" applyNumberFormat="1" applyFont="1" applyFill="1" applyBorder="1" applyAlignment="1">
      <alignment horizontal="right" vertical="center"/>
    </xf>
    <xf numFmtId="49" fontId="0" fillId="0" borderId="9" xfId="0" applyNumberFormat="1" applyBorder="1"/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3" fontId="1" fillId="7" borderId="2" xfId="0" applyNumberFormat="1" applyFont="1" applyFill="1" applyBorder="1" applyAlignment="1">
      <alignment horizontal="right" vertical="center"/>
    </xf>
    <xf numFmtId="3" fontId="1" fillId="7" borderId="3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right" vertical="center"/>
    </xf>
    <xf numFmtId="3" fontId="1" fillId="3" borderId="8" xfId="0" applyNumberFormat="1" applyFont="1" applyFill="1" applyBorder="1" applyAlignment="1">
      <alignment horizontal="right" vertical="center"/>
    </xf>
    <xf numFmtId="0" fontId="1" fillId="11" borderId="1" xfId="0" applyFont="1" applyFill="1" applyBorder="1" applyAlignment="1">
      <alignment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right" vertical="center"/>
    </xf>
    <xf numFmtId="0" fontId="1" fillId="11" borderId="8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right" vertical="center"/>
    </xf>
    <xf numFmtId="0" fontId="1" fillId="5" borderId="11" xfId="0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right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787A-38EB-4EC4-9761-627ECCB07D42}">
  <dimension ref="A1:U74"/>
  <sheetViews>
    <sheetView tabSelected="1" topLeftCell="A52" workbookViewId="0">
      <selection activeCell="J70" sqref="J70"/>
    </sheetView>
  </sheetViews>
  <sheetFormatPr defaultRowHeight="14.4" x14ac:dyDescent="0.3"/>
  <cols>
    <col min="1" max="1" width="22.44140625" customWidth="1"/>
    <col min="2" max="2" width="21.44140625" customWidth="1"/>
    <col min="3" max="3" width="35.6640625" style="7" customWidth="1"/>
    <col min="4" max="4" width="11.44140625" customWidth="1"/>
    <col min="5" max="5" width="8.109375" customWidth="1"/>
    <col min="6" max="6" width="8.6640625" customWidth="1"/>
    <col min="7" max="7" width="5.5546875" customWidth="1"/>
    <col min="8" max="8" width="4.6640625" customWidth="1"/>
    <col min="9" max="9" width="7" customWidth="1"/>
    <col min="10" max="10" width="7.33203125" customWidth="1"/>
    <col min="11" max="11" width="7" customWidth="1"/>
    <col min="12" max="12" width="7.21875" customWidth="1"/>
    <col min="13" max="13" width="8.44140625" customWidth="1"/>
    <col min="14" max="14" width="7.109375" customWidth="1"/>
    <col min="15" max="15" width="6.88671875" style="84" customWidth="1"/>
    <col min="16" max="16" width="8.6640625" customWidth="1"/>
    <col min="17" max="17" width="7.77734375" customWidth="1"/>
    <col min="18" max="18" width="8" customWidth="1"/>
    <col min="19" max="19" width="6.88671875" customWidth="1"/>
    <col min="20" max="20" width="7.109375" style="64" customWidth="1"/>
  </cols>
  <sheetData>
    <row r="1" spans="1:20" ht="29.4" customHeight="1" thickBot="1" x14ac:dyDescent="0.35">
      <c r="H1" t="s">
        <v>12</v>
      </c>
      <c r="J1" s="65" t="s">
        <v>8</v>
      </c>
      <c r="K1" s="65" t="s">
        <v>22</v>
      </c>
      <c r="L1" s="65" t="s">
        <v>10</v>
      </c>
      <c r="M1" s="65" t="s">
        <v>9</v>
      </c>
      <c r="N1" s="86" t="s">
        <v>14</v>
      </c>
      <c r="O1" s="82" t="s">
        <v>34</v>
      </c>
      <c r="P1" s="65" t="s">
        <v>38</v>
      </c>
      <c r="Q1" s="65" t="s">
        <v>24</v>
      </c>
      <c r="R1" s="65" t="s">
        <v>25</v>
      </c>
      <c r="S1" s="66" t="s">
        <v>11</v>
      </c>
      <c r="T1" s="63" t="s">
        <v>13</v>
      </c>
    </row>
    <row r="2" spans="1:20" ht="15" thickBot="1" x14ac:dyDescent="0.35">
      <c r="A2" s="1" t="s">
        <v>33</v>
      </c>
      <c r="B2" s="2" t="s">
        <v>37</v>
      </c>
      <c r="C2" s="60" t="s">
        <v>40</v>
      </c>
      <c r="D2" s="60" t="s">
        <v>41</v>
      </c>
      <c r="E2" s="61">
        <v>3500</v>
      </c>
      <c r="F2" s="128">
        <v>3850</v>
      </c>
      <c r="G2" s="31"/>
      <c r="H2" s="10"/>
      <c r="I2" s="135"/>
      <c r="J2" s="10">
        <v>3850</v>
      </c>
      <c r="K2" s="10"/>
      <c r="L2" s="10"/>
      <c r="M2" s="10"/>
      <c r="N2" s="10"/>
      <c r="O2" s="83"/>
      <c r="P2" s="10"/>
      <c r="Q2" s="10"/>
      <c r="R2" s="10"/>
      <c r="S2" s="70"/>
      <c r="T2" s="71"/>
    </row>
    <row r="3" spans="1:20" ht="30" customHeight="1" thickBot="1" x14ac:dyDescent="0.35">
      <c r="A3" s="62" t="s">
        <v>26</v>
      </c>
      <c r="B3" s="5" t="s">
        <v>23</v>
      </c>
      <c r="C3" s="81" t="s">
        <v>42</v>
      </c>
      <c r="D3" s="58" t="s">
        <v>41</v>
      </c>
      <c r="E3" s="59">
        <v>1800</v>
      </c>
      <c r="F3" s="103">
        <v>2000</v>
      </c>
      <c r="G3" s="138"/>
      <c r="H3" s="10"/>
      <c r="I3" s="135"/>
      <c r="J3" s="10">
        <v>1000</v>
      </c>
      <c r="K3" s="10"/>
      <c r="L3" s="10">
        <v>1000</v>
      </c>
      <c r="M3" s="10"/>
      <c r="N3" s="10"/>
      <c r="O3" s="83"/>
      <c r="P3" s="10"/>
      <c r="Q3" s="10"/>
      <c r="R3" s="10"/>
      <c r="S3" s="70"/>
      <c r="T3" s="71"/>
    </row>
    <row r="4" spans="1:20" ht="15" thickBot="1" x14ac:dyDescent="0.35">
      <c r="A4" s="18"/>
      <c r="B4" s="1" t="s">
        <v>39</v>
      </c>
      <c r="C4" s="2" t="s">
        <v>35</v>
      </c>
      <c r="D4" s="60" t="s">
        <v>43</v>
      </c>
      <c r="E4" s="60" t="s">
        <v>36</v>
      </c>
      <c r="F4" s="134">
        <v>23400</v>
      </c>
      <c r="G4" s="31"/>
      <c r="H4" s="10"/>
      <c r="I4" s="135"/>
      <c r="J4" s="10"/>
      <c r="K4" s="10"/>
      <c r="L4" s="10"/>
      <c r="M4" s="10"/>
      <c r="N4" s="10"/>
      <c r="O4" s="83"/>
      <c r="P4" s="10"/>
      <c r="Q4" s="10"/>
      <c r="R4" s="10"/>
      <c r="S4" s="70">
        <v>23400</v>
      </c>
      <c r="T4" s="71"/>
    </row>
    <row r="5" spans="1:20" s="17" customFormat="1" ht="15" thickBot="1" x14ac:dyDescent="0.35">
      <c r="A5" s="1" t="s">
        <v>26</v>
      </c>
      <c r="B5" s="2" t="s">
        <v>44</v>
      </c>
      <c r="C5" s="60" t="s">
        <v>45</v>
      </c>
      <c r="D5" s="60" t="s">
        <v>46</v>
      </c>
      <c r="E5" s="61">
        <v>2500</v>
      </c>
      <c r="F5" s="128">
        <v>2750</v>
      </c>
      <c r="G5" s="78"/>
      <c r="H5" s="55"/>
      <c r="I5" s="136"/>
      <c r="J5" s="55"/>
      <c r="K5" s="55"/>
      <c r="L5" s="55"/>
      <c r="M5" s="55"/>
      <c r="N5" s="55"/>
      <c r="O5" s="83">
        <v>2750</v>
      </c>
      <c r="P5" s="55"/>
      <c r="Q5" s="55"/>
      <c r="R5" s="55"/>
      <c r="S5" s="70"/>
      <c r="T5" s="71"/>
    </row>
    <row r="6" spans="1:20" s="17" customFormat="1" ht="15" thickBot="1" x14ac:dyDescent="0.35">
      <c r="A6" s="62" t="s">
        <v>33</v>
      </c>
      <c r="B6" s="5" t="s">
        <v>47</v>
      </c>
      <c r="C6" s="58" t="s">
        <v>48</v>
      </c>
      <c r="D6" s="58" t="s">
        <v>49</v>
      </c>
      <c r="E6" s="59">
        <v>7000</v>
      </c>
      <c r="F6" s="103">
        <v>7700</v>
      </c>
      <c r="G6" s="78"/>
      <c r="H6" s="55"/>
      <c r="I6" s="136"/>
      <c r="J6" s="55"/>
      <c r="K6" s="55"/>
      <c r="L6" s="55"/>
      <c r="M6" s="55"/>
      <c r="N6" s="55"/>
      <c r="O6" s="83"/>
      <c r="P6" s="55"/>
      <c r="Q6" s="55"/>
      <c r="R6" s="55">
        <v>7700</v>
      </c>
      <c r="S6" s="70"/>
      <c r="T6" s="71"/>
    </row>
    <row r="7" spans="1:20" s="17" customFormat="1" ht="15" thickBot="1" x14ac:dyDescent="0.35">
      <c r="A7" s="62" t="s">
        <v>26</v>
      </c>
      <c r="B7" s="5" t="s">
        <v>23</v>
      </c>
      <c r="C7" s="58" t="s">
        <v>50</v>
      </c>
      <c r="D7" s="58" t="s">
        <v>46</v>
      </c>
      <c r="E7" s="59">
        <v>1100</v>
      </c>
      <c r="F7" s="103">
        <v>1200</v>
      </c>
      <c r="G7" s="78"/>
      <c r="H7" s="55"/>
      <c r="I7" s="136"/>
      <c r="J7" s="55"/>
      <c r="K7" s="55"/>
      <c r="L7" s="55">
        <v>1200</v>
      </c>
      <c r="M7" s="55"/>
      <c r="N7" s="55"/>
      <c r="O7" s="83"/>
      <c r="P7" s="55"/>
      <c r="Q7" s="55"/>
      <c r="R7" s="55"/>
      <c r="S7" s="70"/>
      <c r="T7" s="71"/>
    </row>
    <row r="8" spans="1:20" s="17" customFormat="1" ht="15" thickBot="1" x14ac:dyDescent="0.35">
      <c r="A8" s="62" t="s">
        <v>26</v>
      </c>
      <c r="B8" s="5" t="s">
        <v>23</v>
      </c>
      <c r="C8" s="58" t="s">
        <v>51</v>
      </c>
      <c r="D8" s="58" t="s">
        <v>46</v>
      </c>
      <c r="E8" s="59">
        <v>1800</v>
      </c>
      <c r="F8" s="103">
        <v>2000</v>
      </c>
      <c r="G8" s="78"/>
      <c r="H8" s="55"/>
      <c r="I8" s="136"/>
      <c r="J8" s="55">
        <v>1000</v>
      </c>
      <c r="K8" s="55"/>
      <c r="L8" s="55">
        <v>1000</v>
      </c>
      <c r="M8" s="55"/>
      <c r="N8" s="55"/>
      <c r="O8" s="83"/>
      <c r="P8" s="55"/>
      <c r="Q8" s="55"/>
      <c r="R8" s="55"/>
      <c r="S8" s="70"/>
      <c r="T8" s="71"/>
    </row>
    <row r="9" spans="1:20" s="17" customFormat="1" ht="15" thickBot="1" x14ac:dyDescent="0.35">
      <c r="A9" s="1" t="s">
        <v>26</v>
      </c>
      <c r="B9" s="2" t="s">
        <v>23</v>
      </c>
      <c r="C9" s="60" t="s">
        <v>52</v>
      </c>
      <c r="D9" s="60" t="s">
        <v>53</v>
      </c>
      <c r="E9" s="61">
        <v>1800</v>
      </c>
      <c r="F9" s="128">
        <v>2000</v>
      </c>
      <c r="G9" s="78"/>
      <c r="H9" s="55"/>
      <c r="I9" s="136"/>
      <c r="J9" s="55">
        <v>2000</v>
      </c>
      <c r="K9" s="55"/>
      <c r="L9" s="55"/>
      <c r="M9" s="55"/>
      <c r="N9" s="55"/>
      <c r="O9" s="83"/>
      <c r="P9" s="55"/>
      <c r="Q9" s="55"/>
      <c r="R9" s="55"/>
      <c r="S9" s="70"/>
      <c r="T9" s="71"/>
    </row>
    <row r="10" spans="1:20" s="17" customFormat="1" ht="15" thickBot="1" x14ac:dyDescent="0.35">
      <c r="A10" s="62" t="s">
        <v>26</v>
      </c>
      <c r="B10" s="5" t="s">
        <v>23</v>
      </c>
      <c r="C10" s="58" t="s">
        <v>54</v>
      </c>
      <c r="D10" s="58" t="s">
        <v>53</v>
      </c>
      <c r="E10" s="59">
        <v>3700</v>
      </c>
      <c r="F10" s="103">
        <v>4000</v>
      </c>
      <c r="G10" s="78"/>
      <c r="H10" s="78"/>
      <c r="I10" s="136"/>
      <c r="J10" s="55"/>
      <c r="K10" s="55"/>
      <c r="L10" s="55">
        <v>4000</v>
      </c>
      <c r="M10" s="55"/>
      <c r="N10" s="55"/>
      <c r="O10" s="83"/>
      <c r="P10" s="55"/>
      <c r="Q10" s="55"/>
      <c r="R10" s="55"/>
      <c r="S10" s="70"/>
      <c r="T10" s="71"/>
    </row>
    <row r="11" spans="1:20" s="17" customFormat="1" ht="22.8" customHeight="1" thickBot="1" x14ac:dyDescent="0.35">
      <c r="A11" s="62" t="s">
        <v>26</v>
      </c>
      <c r="B11" s="5" t="s">
        <v>23</v>
      </c>
      <c r="C11" s="58" t="s">
        <v>55</v>
      </c>
      <c r="D11" s="58" t="s">
        <v>53</v>
      </c>
      <c r="E11" s="59">
        <v>1800</v>
      </c>
      <c r="F11" s="103">
        <v>2000</v>
      </c>
      <c r="G11" s="78"/>
      <c r="H11" s="78"/>
      <c r="I11" s="136"/>
      <c r="J11" s="55"/>
      <c r="K11" s="55"/>
      <c r="L11" s="55">
        <v>2000</v>
      </c>
      <c r="M11" s="55"/>
      <c r="N11" s="55"/>
      <c r="O11" s="83"/>
      <c r="P11" s="55"/>
      <c r="Q11" s="55"/>
      <c r="R11" s="55"/>
      <c r="S11" s="70"/>
      <c r="T11" s="71"/>
    </row>
    <row r="12" spans="1:20" s="17" customFormat="1" ht="15" thickBot="1" x14ac:dyDescent="0.35">
      <c r="A12" s="18"/>
      <c r="B12" s="117" t="s">
        <v>56</v>
      </c>
      <c r="C12" s="2" t="s">
        <v>57</v>
      </c>
      <c r="D12" s="60" t="s">
        <v>58</v>
      </c>
      <c r="E12" s="60" t="s">
        <v>59</v>
      </c>
      <c r="F12" s="91">
        <v>38700</v>
      </c>
      <c r="G12" s="78"/>
      <c r="H12" s="78"/>
      <c r="I12" s="136"/>
      <c r="J12" s="55"/>
      <c r="K12" s="55"/>
      <c r="L12" s="55">
        <v>38700</v>
      </c>
      <c r="M12" s="55"/>
      <c r="N12" s="55"/>
      <c r="O12" s="83"/>
      <c r="P12" s="55"/>
      <c r="Q12" s="55"/>
      <c r="R12" s="55"/>
      <c r="S12" s="70"/>
      <c r="T12" s="71"/>
    </row>
    <row r="13" spans="1:20" s="17" customFormat="1" ht="15" thickBot="1" x14ac:dyDescent="0.35">
      <c r="A13" s="18" t="s">
        <v>60</v>
      </c>
      <c r="B13" s="19" t="s">
        <v>61</v>
      </c>
      <c r="C13" s="93" t="s">
        <v>62</v>
      </c>
      <c r="D13" s="93" t="s">
        <v>63</v>
      </c>
      <c r="E13" s="94">
        <v>13500</v>
      </c>
      <c r="F13" s="95">
        <v>14500</v>
      </c>
      <c r="G13" s="78"/>
      <c r="H13" s="55"/>
      <c r="I13" s="136"/>
      <c r="J13" s="55"/>
      <c r="K13" s="55"/>
      <c r="L13" s="55"/>
      <c r="M13" s="55"/>
      <c r="N13" s="55"/>
      <c r="O13" s="83"/>
      <c r="P13" s="55"/>
      <c r="Q13" s="55"/>
      <c r="R13" s="55">
        <v>14500</v>
      </c>
      <c r="S13" s="70"/>
      <c r="T13" s="71"/>
    </row>
    <row r="14" spans="1:20" s="17" customFormat="1" ht="15" thickBot="1" x14ac:dyDescent="0.35">
      <c r="A14" s="1" t="s">
        <v>26</v>
      </c>
      <c r="B14" s="2" t="s">
        <v>23</v>
      </c>
      <c r="C14" s="60" t="s">
        <v>64</v>
      </c>
      <c r="D14" s="60" t="s">
        <v>63</v>
      </c>
      <c r="E14" s="61">
        <v>1100</v>
      </c>
      <c r="F14" s="29">
        <v>1200</v>
      </c>
      <c r="G14" s="78"/>
      <c r="H14" s="55"/>
      <c r="I14" s="136"/>
      <c r="J14" s="55"/>
      <c r="K14" s="55"/>
      <c r="L14" s="55">
        <v>1200</v>
      </c>
      <c r="M14" s="55"/>
      <c r="N14" s="55"/>
      <c r="O14" s="83"/>
      <c r="P14" s="55"/>
      <c r="Q14" s="55"/>
      <c r="R14" s="55"/>
      <c r="S14" s="70"/>
      <c r="T14" s="71"/>
    </row>
    <row r="15" spans="1:20" s="17" customFormat="1" ht="15" thickBot="1" x14ac:dyDescent="0.35">
      <c r="A15" s="62" t="s">
        <v>26</v>
      </c>
      <c r="B15" s="5" t="s">
        <v>23</v>
      </c>
      <c r="C15" s="58" t="s">
        <v>65</v>
      </c>
      <c r="D15" s="58" t="s">
        <v>63</v>
      </c>
      <c r="E15" s="59">
        <v>900</v>
      </c>
      <c r="F15" s="30">
        <v>1000</v>
      </c>
      <c r="G15" s="78"/>
      <c r="H15" s="55"/>
      <c r="I15" s="136"/>
      <c r="J15" s="55"/>
      <c r="K15" s="55"/>
      <c r="L15" s="55"/>
      <c r="M15" s="55"/>
      <c r="N15" s="55">
        <v>1000</v>
      </c>
      <c r="O15" s="83"/>
      <c r="P15" s="55"/>
      <c r="Q15" s="55"/>
      <c r="R15" s="55"/>
      <c r="S15" s="70"/>
      <c r="T15" s="71"/>
    </row>
    <row r="16" spans="1:20" s="17" customFormat="1" ht="15" thickBot="1" x14ac:dyDescent="0.35">
      <c r="A16" s="1"/>
      <c r="B16" s="117" t="s">
        <v>66</v>
      </c>
      <c r="C16" s="2" t="s">
        <v>57</v>
      </c>
      <c r="D16" s="60" t="s">
        <v>67</v>
      </c>
      <c r="E16" s="60" t="s">
        <v>59</v>
      </c>
      <c r="F16" s="91">
        <v>38700</v>
      </c>
      <c r="G16" s="78"/>
      <c r="H16" s="55"/>
      <c r="I16" s="136"/>
      <c r="J16" s="55"/>
      <c r="K16" s="55"/>
      <c r="L16" s="55">
        <v>38700</v>
      </c>
      <c r="M16" s="55"/>
      <c r="N16" s="55"/>
      <c r="O16" s="83"/>
      <c r="P16" s="55"/>
      <c r="Q16" s="55"/>
      <c r="R16" s="55"/>
      <c r="S16" s="70"/>
      <c r="T16" s="71"/>
    </row>
    <row r="17" spans="1:21" s="17" customFormat="1" ht="15" thickBot="1" x14ac:dyDescent="0.35">
      <c r="A17" s="1" t="s">
        <v>60</v>
      </c>
      <c r="B17" s="2" t="s">
        <v>68</v>
      </c>
      <c r="C17" s="60" t="s">
        <v>62</v>
      </c>
      <c r="D17" s="60" t="s">
        <v>69</v>
      </c>
      <c r="E17" s="61">
        <v>7000</v>
      </c>
      <c r="F17" s="29">
        <v>7700</v>
      </c>
      <c r="G17" s="78"/>
      <c r="H17" s="55"/>
      <c r="I17" s="136"/>
      <c r="J17" s="55"/>
      <c r="K17" s="55"/>
      <c r="L17" s="55"/>
      <c r="M17" s="55"/>
      <c r="N17" s="55"/>
      <c r="O17" s="83">
        <v>7700</v>
      </c>
      <c r="P17" s="55"/>
      <c r="Q17" s="55"/>
      <c r="R17" s="55"/>
      <c r="S17" s="70"/>
      <c r="T17" s="71"/>
    </row>
    <row r="18" spans="1:21" s="17" customFormat="1" ht="15" thickBot="1" x14ac:dyDescent="0.35">
      <c r="A18" s="62" t="s">
        <v>26</v>
      </c>
      <c r="B18" s="5" t="s">
        <v>23</v>
      </c>
      <c r="C18" s="58" t="s">
        <v>70</v>
      </c>
      <c r="D18" s="58" t="s">
        <v>69</v>
      </c>
      <c r="E18" s="59">
        <v>1800</v>
      </c>
      <c r="F18" s="30">
        <v>2000</v>
      </c>
      <c r="G18" s="78"/>
      <c r="H18" s="55"/>
      <c r="I18" s="136"/>
      <c r="J18" s="55"/>
      <c r="K18" s="55"/>
      <c r="L18" s="55">
        <v>1000</v>
      </c>
      <c r="M18" s="55"/>
      <c r="N18" s="55">
        <v>1000</v>
      </c>
      <c r="O18" s="83"/>
      <c r="P18" s="55"/>
      <c r="Q18" s="55"/>
      <c r="R18" s="55"/>
      <c r="S18" s="70"/>
      <c r="T18" s="71"/>
    </row>
    <row r="19" spans="1:21" s="17" customFormat="1" ht="15" thickBot="1" x14ac:dyDescent="0.35">
      <c r="A19" s="62"/>
      <c r="B19" s="1" t="s">
        <v>71</v>
      </c>
      <c r="C19" s="2" t="s">
        <v>72</v>
      </c>
      <c r="D19" s="60" t="s">
        <v>73</v>
      </c>
      <c r="E19" s="60" t="s">
        <v>36</v>
      </c>
      <c r="F19" s="61">
        <v>24900</v>
      </c>
      <c r="G19" s="78"/>
      <c r="H19" s="55"/>
      <c r="I19" s="136"/>
      <c r="J19" s="55"/>
      <c r="K19" s="55"/>
      <c r="L19" s="55"/>
      <c r="M19" s="55"/>
      <c r="N19" s="55"/>
      <c r="O19" s="83"/>
      <c r="P19" s="55"/>
      <c r="Q19" s="55"/>
      <c r="R19" s="55"/>
      <c r="S19" s="70">
        <v>24900</v>
      </c>
      <c r="T19" s="71"/>
    </row>
    <row r="20" spans="1:21" s="17" customFormat="1" ht="15" thickBot="1" x14ac:dyDescent="0.35">
      <c r="A20" s="1" t="s">
        <v>26</v>
      </c>
      <c r="B20" s="2" t="s">
        <v>74</v>
      </c>
      <c r="C20" s="60" t="s">
        <v>75</v>
      </c>
      <c r="D20" s="60" t="s">
        <v>76</v>
      </c>
      <c r="E20" s="61">
        <v>9000</v>
      </c>
      <c r="F20" s="29">
        <v>9900</v>
      </c>
      <c r="G20" s="78"/>
      <c r="H20" s="55"/>
      <c r="I20" s="136"/>
      <c r="J20" s="55"/>
      <c r="K20" s="55"/>
      <c r="L20" s="55"/>
      <c r="M20" s="55">
        <v>9900</v>
      </c>
      <c r="N20" s="55"/>
      <c r="O20" s="83"/>
      <c r="P20" s="55"/>
      <c r="Q20" s="55"/>
      <c r="R20" s="55"/>
      <c r="S20" s="70"/>
      <c r="T20" s="71"/>
    </row>
    <row r="21" spans="1:21" s="17" customFormat="1" ht="15" thickBot="1" x14ac:dyDescent="0.35">
      <c r="A21" s="62" t="s">
        <v>60</v>
      </c>
      <c r="B21" s="5" t="s">
        <v>77</v>
      </c>
      <c r="C21" s="58" t="s">
        <v>62</v>
      </c>
      <c r="D21" s="58" t="s">
        <v>78</v>
      </c>
      <c r="E21" s="59">
        <v>17000</v>
      </c>
      <c r="F21" s="30">
        <v>18600</v>
      </c>
      <c r="G21" s="78"/>
      <c r="H21" s="55"/>
      <c r="I21" s="136"/>
      <c r="J21" s="55"/>
      <c r="K21" s="55"/>
      <c r="L21" s="55"/>
      <c r="M21" s="55"/>
      <c r="N21" s="55"/>
      <c r="O21" s="83"/>
      <c r="P21" s="55"/>
      <c r="Q21" s="55"/>
      <c r="R21" s="55">
        <v>18600</v>
      </c>
      <c r="S21" s="70"/>
      <c r="T21" s="71"/>
    </row>
    <row r="22" spans="1:21" s="17" customFormat="1" ht="15" thickBot="1" x14ac:dyDescent="0.35">
      <c r="A22" s="62" t="s">
        <v>26</v>
      </c>
      <c r="B22" s="5" t="s">
        <v>23</v>
      </c>
      <c r="C22" s="58" t="s">
        <v>52</v>
      </c>
      <c r="D22" s="58" t="s">
        <v>76</v>
      </c>
      <c r="E22" s="59">
        <v>2700</v>
      </c>
      <c r="F22" s="30">
        <v>3000</v>
      </c>
      <c r="G22" s="78"/>
      <c r="H22" s="55"/>
      <c r="I22" s="136"/>
      <c r="J22" s="55">
        <v>3000</v>
      </c>
      <c r="K22" s="55"/>
      <c r="L22" s="55"/>
      <c r="M22" s="55"/>
      <c r="N22" s="55"/>
      <c r="O22" s="83"/>
      <c r="P22" s="55"/>
      <c r="Q22" s="55"/>
      <c r="R22" s="55"/>
      <c r="S22" s="70"/>
      <c r="T22" s="71"/>
    </row>
    <row r="23" spans="1:21" s="17" customFormat="1" ht="15" thickBot="1" x14ac:dyDescent="0.35">
      <c r="A23" s="1"/>
      <c r="B23" s="118" t="s">
        <v>79</v>
      </c>
      <c r="C23" s="8" t="s">
        <v>80</v>
      </c>
      <c r="D23" s="60" t="s">
        <v>78</v>
      </c>
      <c r="E23" s="60" t="s">
        <v>81</v>
      </c>
      <c r="F23" s="61">
        <v>12000</v>
      </c>
      <c r="G23" s="78"/>
      <c r="H23" s="55"/>
      <c r="I23" s="136"/>
      <c r="J23" s="55"/>
      <c r="K23" s="55"/>
      <c r="L23" s="55"/>
      <c r="M23" s="55"/>
      <c r="N23" s="55"/>
      <c r="O23" s="83"/>
      <c r="P23" s="55"/>
      <c r="Q23" s="55"/>
      <c r="R23" s="55"/>
      <c r="S23" s="70"/>
      <c r="T23" s="71">
        <v>12000</v>
      </c>
    </row>
    <row r="24" spans="1:21" s="17" customFormat="1" ht="15" thickBot="1" x14ac:dyDescent="0.35">
      <c r="A24" s="1" t="s">
        <v>26</v>
      </c>
      <c r="B24" s="2" t="s">
        <v>23</v>
      </c>
      <c r="C24" s="60" t="s">
        <v>54</v>
      </c>
      <c r="D24" s="60" t="s">
        <v>82</v>
      </c>
      <c r="E24" s="61">
        <v>3700</v>
      </c>
      <c r="F24" s="29">
        <v>4000</v>
      </c>
      <c r="G24" s="78"/>
      <c r="H24" s="78"/>
      <c r="I24" s="137"/>
      <c r="J24" s="113"/>
      <c r="K24" s="113"/>
      <c r="L24" s="113">
        <v>4000</v>
      </c>
      <c r="M24" s="113"/>
      <c r="N24" s="113"/>
      <c r="O24" s="114"/>
      <c r="P24" s="113"/>
      <c r="Q24" s="113"/>
      <c r="R24" s="113"/>
      <c r="S24" s="66"/>
      <c r="T24" s="115"/>
      <c r="U24" s="17" t="s">
        <v>27</v>
      </c>
    </row>
    <row r="25" spans="1:21" s="17" customFormat="1" ht="15" thickBot="1" x14ac:dyDescent="0.35">
      <c r="A25" s="62" t="s">
        <v>26</v>
      </c>
      <c r="B25" s="5" t="s">
        <v>23</v>
      </c>
      <c r="C25" s="58" t="s">
        <v>52</v>
      </c>
      <c r="D25" s="58" t="s">
        <v>82</v>
      </c>
      <c r="E25" s="59">
        <v>900</v>
      </c>
      <c r="F25" s="30">
        <v>1000</v>
      </c>
      <c r="G25" s="78"/>
      <c r="H25" s="78"/>
      <c r="I25" s="136"/>
      <c r="J25" s="55">
        <v>1000</v>
      </c>
      <c r="K25" s="55"/>
      <c r="L25" s="55"/>
      <c r="M25" s="55"/>
      <c r="N25" s="55"/>
      <c r="O25" s="83"/>
      <c r="P25" s="55"/>
      <c r="Q25" s="55"/>
      <c r="R25" s="55"/>
      <c r="S25" s="70"/>
      <c r="T25" s="71"/>
    </row>
    <row r="26" spans="1:21" s="17" customFormat="1" ht="15" thickBot="1" x14ac:dyDescent="0.35">
      <c r="A26" s="1" t="s">
        <v>26</v>
      </c>
      <c r="B26" s="2" t="s">
        <v>23</v>
      </c>
      <c r="C26" s="60" t="s">
        <v>52</v>
      </c>
      <c r="D26" s="60" t="s">
        <v>83</v>
      </c>
      <c r="E26" s="61">
        <v>1800</v>
      </c>
      <c r="F26" s="29">
        <v>2000</v>
      </c>
      <c r="G26" s="78"/>
      <c r="H26" s="78"/>
      <c r="I26" s="136"/>
      <c r="J26" s="55">
        <v>2000</v>
      </c>
      <c r="K26" s="55"/>
      <c r="L26" s="55"/>
      <c r="M26" s="55"/>
      <c r="N26" s="55"/>
      <c r="O26" s="83"/>
      <c r="P26" s="55"/>
      <c r="Q26" s="55"/>
      <c r="R26" s="55"/>
      <c r="S26" s="70"/>
      <c r="T26" s="71"/>
    </row>
    <row r="27" spans="1:21" s="17" customFormat="1" ht="15" thickBot="1" x14ac:dyDescent="0.35">
      <c r="A27" s="62" t="s">
        <v>60</v>
      </c>
      <c r="B27" s="5" t="s">
        <v>84</v>
      </c>
      <c r="C27" s="58" t="s">
        <v>62</v>
      </c>
      <c r="D27" s="58" t="s">
        <v>85</v>
      </c>
      <c r="E27" s="59">
        <v>13000</v>
      </c>
      <c r="F27" s="30">
        <v>14000</v>
      </c>
      <c r="G27" s="78"/>
      <c r="H27" s="78"/>
      <c r="I27" s="136"/>
      <c r="J27" s="55"/>
      <c r="K27" s="55"/>
      <c r="L27" s="55"/>
      <c r="M27" s="55">
        <v>14000</v>
      </c>
      <c r="N27" s="55"/>
      <c r="O27" s="83"/>
      <c r="P27" s="55"/>
      <c r="Q27" s="55"/>
      <c r="R27" s="55"/>
      <c r="S27" s="70"/>
      <c r="T27" s="71"/>
    </row>
    <row r="28" spans="1:21" s="17" customFormat="1" ht="15" thickBot="1" x14ac:dyDescent="0.35">
      <c r="A28" s="1" t="s">
        <v>26</v>
      </c>
      <c r="B28" s="139" t="s">
        <v>86</v>
      </c>
      <c r="C28" s="60" t="s">
        <v>87</v>
      </c>
      <c r="D28" s="60" t="s">
        <v>88</v>
      </c>
      <c r="E28" s="61">
        <v>3100</v>
      </c>
      <c r="F28" s="29">
        <v>3400</v>
      </c>
      <c r="G28" s="78"/>
      <c r="H28" s="78"/>
      <c r="I28" s="136"/>
      <c r="J28" s="55">
        <v>3400</v>
      </c>
      <c r="K28" s="55"/>
      <c r="L28" s="55"/>
      <c r="M28" s="55"/>
      <c r="N28" s="55"/>
      <c r="O28" s="83"/>
      <c r="P28" s="55"/>
      <c r="Q28" s="55"/>
      <c r="R28" s="55"/>
      <c r="S28" s="70"/>
      <c r="T28" s="71"/>
    </row>
    <row r="29" spans="1:21" s="17" customFormat="1" ht="15" thickBot="1" x14ac:dyDescent="0.35">
      <c r="A29" s="62" t="s">
        <v>26</v>
      </c>
      <c r="B29" s="5" t="s">
        <v>23</v>
      </c>
      <c r="C29" s="58" t="s">
        <v>89</v>
      </c>
      <c r="D29" s="58" t="s">
        <v>88</v>
      </c>
      <c r="E29" s="59">
        <v>900</v>
      </c>
      <c r="F29" s="30">
        <v>1000</v>
      </c>
      <c r="G29" s="78"/>
      <c r="H29" s="78"/>
      <c r="I29" s="136"/>
      <c r="J29" s="55">
        <v>1000</v>
      </c>
      <c r="K29" s="55"/>
      <c r="L29" s="55"/>
      <c r="M29" s="55"/>
      <c r="N29" s="55"/>
      <c r="O29" s="83"/>
      <c r="P29" s="55"/>
      <c r="Q29" s="55"/>
      <c r="R29" s="55"/>
      <c r="S29" s="70"/>
      <c r="T29" s="71"/>
    </row>
    <row r="30" spans="1:21" s="17" customFormat="1" ht="15" thickBot="1" x14ac:dyDescent="0.35">
      <c r="A30" s="62" t="s">
        <v>26</v>
      </c>
      <c r="B30" s="5" t="s">
        <v>23</v>
      </c>
      <c r="C30" s="58" t="s">
        <v>52</v>
      </c>
      <c r="D30" s="58" t="s">
        <v>88</v>
      </c>
      <c r="E30" s="59">
        <v>2700</v>
      </c>
      <c r="F30" s="30">
        <v>3000</v>
      </c>
      <c r="G30" s="78"/>
      <c r="H30" s="78"/>
      <c r="I30" s="136"/>
      <c r="J30" s="55">
        <v>3000</v>
      </c>
      <c r="K30" s="55"/>
      <c r="L30" s="55"/>
      <c r="M30" s="55"/>
      <c r="N30" s="55"/>
      <c r="O30" s="83"/>
      <c r="P30" s="55"/>
      <c r="Q30" s="55"/>
      <c r="R30" s="55"/>
      <c r="S30" s="70"/>
      <c r="T30" s="71"/>
    </row>
    <row r="31" spans="1:21" s="17" customFormat="1" ht="15" thickBot="1" x14ac:dyDescent="0.35">
      <c r="A31" s="62" t="s">
        <v>26</v>
      </c>
      <c r="B31" s="5" t="s">
        <v>23</v>
      </c>
      <c r="C31" s="58" t="s">
        <v>90</v>
      </c>
      <c r="D31" s="58" t="s">
        <v>88</v>
      </c>
      <c r="E31" s="59">
        <v>1800</v>
      </c>
      <c r="F31" s="30">
        <v>2000</v>
      </c>
      <c r="G31" s="78"/>
      <c r="H31" s="78"/>
      <c r="I31" s="136"/>
      <c r="J31" s="55">
        <v>2000</v>
      </c>
      <c r="K31" s="55"/>
      <c r="L31" s="55"/>
      <c r="M31" s="55"/>
      <c r="N31" s="55"/>
      <c r="O31" s="83"/>
      <c r="P31" s="55"/>
      <c r="Q31" s="55"/>
      <c r="R31" s="55"/>
      <c r="S31" s="70"/>
      <c r="T31" s="71"/>
    </row>
    <row r="32" spans="1:21" s="17" customFormat="1" ht="15" thickBot="1" x14ac:dyDescent="0.35">
      <c r="A32" s="1" t="s">
        <v>33</v>
      </c>
      <c r="B32" s="2" t="s">
        <v>91</v>
      </c>
      <c r="C32" s="60" t="s">
        <v>92</v>
      </c>
      <c r="D32" s="60" t="s">
        <v>93</v>
      </c>
      <c r="E32" s="61">
        <v>15000</v>
      </c>
      <c r="F32" s="128">
        <v>15000</v>
      </c>
      <c r="G32" s="78"/>
      <c r="H32" s="78"/>
      <c r="I32" s="55"/>
      <c r="J32" s="55"/>
      <c r="K32" s="55"/>
      <c r="L32" s="55"/>
      <c r="M32" s="55"/>
      <c r="N32" s="55">
        <v>15000</v>
      </c>
      <c r="O32" s="83"/>
      <c r="P32" s="55"/>
      <c r="Q32" s="55"/>
      <c r="R32" s="55"/>
      <c r="S32" s="70"/>
      <c r="T32" s="71"/>
    </row>
    <row r="33" spans="1:20" s="17" customFormat="1" ht="15" thickBot="1" x14ac:dyDescent="0.35">
      <c r="A33" s="62" t="s">
        <v>33</v>
      </c>
      <c r="B33" s="5" t="s">
        <v>94</v>
      </c>
      <c r="C33" s="58" t="s">
        <v>95</v>
      </c>
      <c r="D33" s="58" t="s">
        <v>93</v>
      </c>
      <c r="E33" s="59">
        <v>2500</v>
      </c>
      <c r="F33" s="103">
        <v>2750</v>
      </c>
      <c r="G33" s="78"/>
      <c r="H33" s="78"/>
      <c r="I33" s="55"/>
      <c r="J33" s="55"/>
      <c r="K33" s="55"/>
      <c r="L33" s="55"/>
      <c r="M33" s="55"/>
      <c r="N33" s="55"/>
      <c r="O33" s="83">
        <v>2750</v>
      </c>
      <c r="P33" s="55"/>
      <c r="Q33" s="55"/>
      <c r="R33" s="55"/>
      <c r="S33" s="70"/>
      <c r="T33" s="71"/>
    </row>
    <row r="34" spans="1:20" s="17" customFormat="1" ht="15" thickBot="1" x14ac:dyDescent="0.35">
      <c r="A34" s="62" t="s">
        <v>26</v>
      </c>
      <c r="B34" s="5" t="s">
        <v>96</v>
      </c>
      <c r="C34" s="58" t="s">
        <v>97</v>
      </c>
      <c r="D34" s="58" t="s">
        <v>93</v>
      </c>
      <c r="E34" s="59">
        <v>3700</v>
      </c>
      <c r="F34" s="103">
        <v>4000</v>
      </c>
      <c r="G34" s="78"/>
      <c r="H34" s="78"/>
      <c r="I34" s="55"/>
      <c r="J34" s="55">
        <v>4000</v>
      </c>
      <c r="K34" s="55"/>
      <c r="L34" s="55"/>
      <c r="M34" s="55"/>
      <c r="N34" s="55"/>
      <c r="O34" s="83"/>
      <c r="P34" s="55"/>
      <c r="Q34" s="55"/>
      <c r="R34" s="55"/>
      <c r="S34" s="70"/>
      <c r="T34" s="71"/>
    </row>
    <row r="35" spans="1:20" s="17" customFormat="1" ht="15" thickBot="1" x14ac:dyDescent="0.35">
      <c r="A35" s="159" t="s">
        <v>60</v>
      </c>
      <c r="B35" s="160" t="s">
        <v>37</v>
      </c>
      <c r="C35" s="160" t="s">
        <v>98</v>
      </c>
      <c r="D35" s="160" t="s">
        <v>93</v>
      </c>
      <c r="E35" s="161">
        <v>1100</v>
      </c>
      <c r="F35" s="162">
        <v>1200</v>
      </c>
      <c r="G35" s="78"/>
      <c r="H35" s="78"/>
      <c r="I35" s="55"/>
      <c r="J35" s="55">
        <v>1200</v>
      </c>
      <c r="K35" s="55"/>
      <c r="L35" s="55"/>
      <c r="M35" s="55"/>
      <c r="N35" s="55"/>
      <c r="O35" s="83"/>
      <c r="P35" s="55"/>
      <c r="Q35" s="55"/>
      <c r="R35" s="55"/>
      <c r="S35" s="70"/>
      <c r="T35" s="71"/>
    </row>
    <row r="36" spans="1:20" s="17" customFormat="1" ht="15" thickBot="1" x14ac:dyDescent="0.35">
      <c r="A36" s="62"/>
      <c r="B36" s="117" t="s">
        <v>124</v>
      </c>
      <c r="C36" s="2" t="s">
        <v>57</v>
      </c>
      <c r="D36" s="60" t="s">
        <v>126</v>
      </c>
      <c r="E36" s="96" t="s">
        <v>59</v>
      </c>
      <c r="F36" s="151">
        <v>38700</v>
      </c>
      <c r="G36" s="78"/>
      <c r="H36" s="78"/>
      <c r="I36" s="55"/>
      <c r="J36" s="55"/>
      <c r="K36" s="55"/>
      <c r="L36" s="55">
        <v>38700</v>
      </c>
      <c r="M36" s="55"/>
      <c r="N36" s="55"/>
      <c r="O36" s="83"/>
      <c r="P36" s="55"/>
      <c r="Q36" s="55"/>
      <c r="R36" s="55"/>
      <c r="S36" s="70"/>
      <c r="T36" s="71"/>
    </row>
    <row r="37" spans="1:20" s="17" customFormat="1" ht="15" thickBot="1" x14ac:dyDescent="0.35">
      <c r="A37" s="62" t="s">
        <v>99</v>
      </c>
      <c r="B37" s="5" t="s">
        <v>100</v>
      </c>
      <c r="C37" s="58" t="s">
        <v>101</v>
      </c>
      <c r="D37" s="58" t="s">
        <v>102</v>
      </c>
      <c r="E37" s="59">
        <v>36000</v>
      </c>
      <c r="F37" s="103">
        <v>39000</v>
      </c>
      <c r="G37" s="78"/>
      <c r="H37" s="78"/>
      <c r="I37" s="55"/>
      <c r="J37" s="55"/>
      <c r="K37" s="55"/>
      <c r="L37" s="55"/>
      <c r="M37" s="55">
        <v>39000</v>
      </c>
      <c r="N37" s="55"/>
      <c r="O37" s="83"/>
      <c r="P37" s="55"/>
      <c r="Q37" s="55"/>
      <c r="R37" s="55"/>
      <c r="S37" s="70"/>
      <c r="T37" s="71"/>
    </row>
    <row r="38" spans="1:20" s="17" customFormat="1" ht="15" thickBot="1" x14ac:dyDescent="0.35">
      <c r="A38" s="62" t="s">
        <v>33</v>
      </c>
      <c r="B38" s="5" t="s">
        <v>103</v>
      </c>
      <c r="C38" s="58" t="s">
        <v>104</v>
      </c>
      <c r="D38" s="58" t="s">
        <v>102</v>
      </c>
      <c r="E38" s="59">
        <v>6000</v>
      </c>
      <c r="F38" s="103">
        <v>6500</v>
      </c>
      <c r="G38" s="78"/>
      <c r="H38" s="78"/>
      <c r="I38" s="55"/>
      <c r="J38" s="55"/>
      <c r="K38" s="55"/>
      <c r="L38" s="55"/>
      <c r="M38" s="55">
        <v>6500</v>
      </c>
      <c r="N38" s="55"/>
      <c r="O38" s="83"/>
      <c r="P38" s="55"/>
      <c r="Q38" s="55"/>
      <c r="R38" s="55"/>
      <c r="S38" s="70"/>
      <c r="T38" s="71"/>
    </row>
    <row r="39" spans="1:20" s="17" customFormat="1" ht="15" thickBot="1" x14ac:dyDescent="0.35">
      <c r="A39" s="1" t="s">
        <v>26</v>
      </c>
      <c r="B39" s="2" t="s">
        <v>23</v>
      </c>
      <c r="C39" s="60" t="s">
        <v>90</v>
      </c>
      <c r="D39" s="60" t="s">
        <v>102</v>
      </c>
      <c r="E39" s="61">
        <v>900</v>
      </c>
      <c r="F39" s="29">
        <v>1000</v>
      </c>
      <c r="G39" s="78"/>
      <c r="H39" s="78"/>
      <c r="I39" s="55"/>
      <c r="J39" s="55">
        <v>1000</v>
      </c>
      <c r="K39" s="55"/>
      <c r="L39" s="55"/>
      <c r="M39" s="55"/>
      <c r="N39" s="55"/>
      <c r="O39" s="83"/>
      <c r="P39" s="55"/>
      <c r="Q39" s="55"/>
      <c r="R39" s="55"/>
      <c r="S39" s="70"/>
      <c r="T39" s="71"/>
    </row>
    <row r="40" spans="1:20" s="17" customFormat="1" ht="15" thickBot="1" x14ac:dyDescent="0.35">
      <c r="A40" s="62" t="s">
        <v>26</v>
      </c>
      <c r="B40" s="5" t="s">
        <v>23</v>
      </c>
      <c r="C40" s="58" t="s">
        <v>105</v>
      </c>
      <c r="D40" s="58" t="s">
        <v>102</v>
      </c>
      <c r="E40" s="59">
        <v>3700</v>
      </c>
      <c r="F40" s="103">
        <v>4000</v>
      </c>
      <c r="G40" s="78"/>
      <c r="H40" s="78"/>
      <c r="I40" s="55"/>
      <c r="J40" s="55"/>
      <c r="K40" s="55"/>
      <c r="L40" s="55">
        <v>4000</v>
      </c>
      <c r="M40" s="55"/>
      <c r="N40" s="55"/>
      <c r="O40" s="83"/>
      <c r="P40" s="55"/>
      <c r="Q40" s="55"/>
      <c r="R40" s="55"/>
      <c r="S40" s="70"/>
      <c r="T40" s="71"/>
    </row>
    <row r="41" spans="1:20" s="17" customFormat="1" ht="15" thickBot="1" x14ac:dyDescent="0.35">
      <c r="A41" s="62" t="s">
        <v>26</v>
      </c>
      <c r="B41" s="5" t="s">
        <v>23</v>
      </c>
      <c r="C41" s="58" t="s">
        <v>106</v>
      </c>
      <c r="D41" s="58" t="s">
        <v>102</v>
      </c>
      <c r="E41" s="59">
        <v>1100</v>
      </c>
      <c r="F41" s="103">
        <v>1200</v>
      </c>
      <c r="G41" s="78"/>
      <c r="H41" s="78"/>
      <c r="I41" s="55"/>
      <c r="J41" s="55">
        <v>1200</v>
      </c>
      <c r="K41" s="55"/>
      <c r="L41" s="55"/>
      <c r="M41" s="55"/>
      <c r="N41" s="55"/>
      <c r="O41" s="83"/>
      <c r="P41" s="55"/>
      <c r="Q41" s="55"/>
      <c r="R41" s="55"/>
      <c r="S41" s="70"/>
      <c r="T41" s="71"/>
    </row>
    <row r="42" spans="1:20" s="17" customFormat="1" ht="15" thickBot="1" x14ac:dyDescent="0.35">
      <c r="A42" s="1" t="s">
        <v>26</v>
      </c>
      <c r="B42" s="2" t="s">
        <v>23</v>
      </c>
      <c r="C42" s="60" t="s">
        <v>108</v>
      </c>
      <c r="D42" s="60" t="s">
        <v>109</v>
      </c>
      <c r="E42" s="61">
        <v>900</v>
      </c>
      <c r="F42" s="128">
        <v>1000</v>
      </c>
      <c r="G42" s="78"/>
      <c r="H42" s="78"/>
      <c r="I42" s="55"/>
      <c r="J42" s="55"/>
      <c r="K42" s="55"/>
      <c r="L42" s="55"/>
      <c r="M42" s="55"/>
      <c r="N42" s="55">
        <v>1000</v>
      </c>
      <c r="O42" s="83"/>
      <c r="P42" s="55"/>
      <c r="Q42" s="55"/>
      <c r="R42" s="55"/>
      <c r="S42" s="70"/>
      <c r="T42" s="71"/>
    </row>
    <row r="43" spans="1:20" s="17" customFormat="1" ht="15" thickBot="1" x14ac:dyDescent="0.35">
      <c r="A43" s="62" t="s">
        <v>26</v>
      </c>
      <c r="B43" s="5" t="s">
        <v>23</v>
      </c>
      <c r="C43" s="58" t="s">
        <v>110</v>
      </c>
      <c r="D43" s="58" t="s">
        <v>109</v>
      </c>
      <c r="E43" s="59">
        <v>1800</v>
      </c>
      <c r="F43" s="103">
        <v>2000</v>
      </c>
      <c r="G43" s="78"/>
      <c r="H43" s="78"/>
      <c r="I43" s="55"/>
      <c r="J43" s="55"/>
      <c r="K43" s="55"/>
      <c r="L43" s="55"/>
      <c r="M43" s="55"/>
      <c r="N43" s="55">
        <v>2000</v>
      </c>
      <c r="O43" s="83"/>
      <c r="P43" s="55"/>
      <c r="Q43" s="55"/>
      <c r="R43" s="55"/>
      <c r="S43" s="70"/>
      <c r="T43" s="71"/>
    </row>
    <row r="44" spans="1:20" s="17" customFormat="1" ht="15" thickBot="1" x14ac:dyDescent="0.35">
      <c r="A44" s="62" t="s">
        <v>26</v>
      </c>
      <c r="B44" s="5" t="s">
        <v>23</v>
      </c>
      <c r="C44" s="58" t="s">
        <v>111</v>
      </c>
      <c r="D44" s="58" t="s">
        <v>109</v>
      </c>
      <c r="E44" s="59">
        <v>900</v>
      </c>
      <c r="F44" s="103">
        <v>1000</v>
      </c>
      <c r="G44" s="78"/>
      <c r="H44" s="78"/>
      <c r="I44" s="55"/>
      <c r="J44" s="55"/>
      <c r="K44" s="55"/>
      <c r="L44" s="55">
        <v>1000</v>
      </c>
      <c r="M44" s="55"/>
      <c r="N44" s="55"/>
      <c r="O44" s="83"/>
      <c r="P44" s="55"/>
      <c r="Q44" s="55"/>
      <c r="R44" s="55"/>
      <c r="S44" s="70"/>
      <c r="T44" s="71"/>
    </row>
    <row r="45" spans="1:20" s="17" customFormat="1" ht="15" thickBot="1" x14ac:dyDescent="0.35">
      <c r="A45" s="1" t="s">
        <v>60</v>
      </c>
      <c r="B45" s="2" t="s">
        <v>57</v>
      </c>
      <c r="C45" s="60" t="s">
        <v>112</v>
      </c>
      <c r="D45" s="60" t="s">
        <v>113</v>
      </c>
      <c r="E45" s="61">
        <v>51000</v>
      </c>
      <c r="F45" s="128">
        <v>53600</v>
      </c>
      <c r="G45" s="78"/>
      <c r="H45" s="78"/>
      <c r="I45" s="55"/>
      <c r="J45" s="55">
        <v>53600</v>
      </c>
      <c r="K45" s="55"/>
      <c r="L45" s="55"/>
      <c r="M45" s="55"/>
      <c r="N45" s="55"/>
      <c r="O45" s="83"/>
      <c r="P45" s="55"/>
      <c r="Q45" s="55"/>
      <c r="R45" s="55"/>
      <c r="S45" s="70"/>
      <c r="T45" s="71"/>
    </row>
    <row r="46" spans="1:20" s="17" customFormat="1" ht="15" thickBot="1" x14ac:dyDescent="0.35">
      <c r="A46" s="62" t="s">
        <v>60</v>
      </c>
      <c r="B46" s="5" t="s">
        <v>57</v>
      </c>
      <c r="C46" s="58" t="s">
        <v>114</v>
      </c>
      <c r="D46" s="58" t="s">
        <v>113</v>
      </c>
      <c r="E46" s="59">
        <v>30000</v>
      </c>
      <c r="F46" s="103">
        <v>31000</v>
      </c>
      <c r="G46" s="78"/>
      <c r="H46" s="78"/>
      <c r="I46" s="55"/>
      <c r="J46" s="55">
        <v>31000</v>
      </c>
      <c r="K46" s="55"/>
      <c r="L46" s="55"/>
      <c r="M46" s="55"/>
      <c r="N46" s="55"/>
      <c r="O46" s="83"/>
      <c r="P46" s="55"/>
      <c r="Q46" s="55"/>
      <c r="R46" s="55"/>
      <c r="S46" s="70"/>
      <c r="T46" s="71"/>
    </row>
    <row r="47" spans="1:20" s="17" customFormat="1" ht="15" thickBot="1" x14ac:dyDescent="0.35">
      <c r="A47" s="62"/>
      <c r="B47" s="117" t="s">
        <v>127</v>
      </c>
      <c r="C47" s="2" t="s">
        <v>57</v>
      </c>
      <c r="D47" s="60" t="s">
        <v>113</v>
      </c>
      <c r="E47" s="96" t="s">
        <v>59</v>
      </c>
      <c r="F47" s="151">
        <v>53600</v>
      </c>
      <c r="G47" s="78"/>
      <c r="H47" s="78"/>
      <c r="I47" s="55"/>
      <c r="J47" s="55">
        <v>53600</v>
      </c>
      <c r="K47" s="55"/>
      <c r="L47" s="55"/>
      <c r="M47" s="55"/>
      <c r="N47" s="55"/>
      <c r="O47" s="83"/>
      <c r="P47" s="55"/>
      <c r="Q47" s="55"/>
      <c r="R47" s="55"/>
      <c r="S47" s="70"/>
      <c r="T47" s="71"/>
    </row>
    <row r="48" spans="1:20" s="17" customFormat="1" ht="15" thickBot="1" x14ac:dyDescent="0.35">
      <c r="A48" s="62"/>
      <c r="B48" s="62" t="s">
        <v>128</v>
      </c>
      <c r="C48" s="5" t="s">
        <v>57</v>
      </c>
      <c r="D48" s="58" t="s">
        <v>113</v>
      </c>
      <c r="E48" s="72" t="s">
        <v>59</v>
      </c>
      <c r="F48" s="152">
        <v>53600</v>
      </c>
      <c r="G48" s="78"/>
      <c r="H48" s="78"/>
      <c r="I48" s="55"/>
      <c r="J48" s="55">
        <v>53600</v>
      </c>
      <c r="K48" s="55"/>
      <c r="L48" s="55"/>
      <c r="M48" s="55"/>
      <c r="N48" s="55"/>
      <c r="O48" s="83"/>
      <c r="P48" s="55"/>
      <c r="Q48" s="55"/>
      <c r="R48" s="55"/>
      <c r="S48" s="70"/>
      <c r="T48" s="71"/>
    </row>
    <row r="49" spans="1:20" s="17" customFormat="1" ht="15" thickBot="1" x14ac:dyDescent="0.35">
      <c r="A49" s="62" t="s">
        <v>33</v>
      </c>
      <c r="B49" s="5" t="s">
        <v>44</v>
      </c>
      <c r="C49" s="58" t="s">
        <v>115</v>
      </c>
      <c r="D49" s="58" t="s">
        <v>116</v>
      </c>
      <c r="E49" s="59">
        <v>2500</v>
      </c>
      <c r="F49" s="103">
        <v>2750</v>
      </c>
      <c r="G49" s="78"/>
      <c r="H49" s="78"/>
      <c r="I49" s="55"/>
      <c r="J49" s="55"/>
      <c r="K49" s="55"/>
      <c r="L49" s="55"/>
      <c r="M49" s="55"/>
      <c r="N49" s="55"/>
      <c r="O49" s="83">
        <v>2750</v>
      </c>
      <c r="P49" s="55"/>
      <c r="Q49" s="55"/>
      <c r="R49" s="55"/>
      <c r="S49" s="70"/>
      <c r="T49" s="71"/>
    </row>
    <row r="50" spans="1:20" s="17" customFormat="1" ht="15" thickBot="1" x14ac:dyDescent="0.35">
      <c r="A50" s="62" t="s">
        <v>26</v>
      </c>
      <c r="B50" s="5" t="s">
        <v>23</v>
      </c>
      <c r="C50" s="58" t="s">
        <v>52</v>
      </c>
      <c r="D50" s="58" t="s">
        <v>116</v>
      </c>
      <c r="E50" s="59">
        <v>900</v>
      </c>
      <c r="F50" s="103">
        <v>1000</v>
      </c>
      <c r="G50" s="78"/>
      <c r="H50" s="78"/>
      <c r="I50" s="55"/>
      <c r="J50" s="55">
        <v>1000</v>
      </c>
      <c r="K50" s="55"/>
      <c r="L50" s="55"/>
      <c r="M50" s="55"/>
      <c r="N50" s="55"/>
      <c r="O50" s="83"/>
      <c r="P50" s="55"/>
      <c r="Q50" s="55"/>
      <c r="R50" s="55"/>
      <c r="S50" s="70"/>
      <c r="T50" s="71"/>
    </row>
    <row r="51" spans="1:20" s="17" customFormat="1" ht="15" thickBot="1" x14ac:dyDescent="0.35">
      <c r="A51" s="62" t="s">
        <v>33</v>
      </c>
      <c r="B51" s="5" t="s">
        <v>91</v>
      </c>
      <c r="C51" s="58" t="s">
        <v>92</v>
      </c>
      <c r="D51" s="58" t="s">
        <v>117</v>
      </c>
      <c r="E51" s="59">
        <v>13000</v>
      </c>
      <c r="F51" s="103">
        <v>13000</v>
      </c>
      <c r="G51" s="78"/>
      <c r="H51" s="78"/>
      <c r="I51" s="55"/>
      <c r="J51" s="55"/>
      <c r="K51" s="55"/>
      <c r="L51" s="55"/>
      <c r="M51" s="55"/>
      <c r="N51" s="55">
        <v>13000</v>
      </c>
      <c r="O51" s="83"/>
      <c r="P51" s="55"/>
      <c r="Q51" s="55"/>
      <c r="R51" s="55"/>
      <c r="S51" s="70"/>
      <c r="T51" s="71"/>
    </row>
    <row r="52" spans="1:20" s="17" customFormat="1" ht="15" thickBot="1" x14ac:dyDescent="0.35">
      <c r="A52" s="62" t="s">
        <v>118</v>
      </c>
      <c r="B52" s="5" t="s">
        <v>119</v>
      </c>
      <c r="C52" s="58" t="s">
        <v>62</v>
      </c>
      <c r="D52" s="58" t="s">
        <v>120</v>
      </c>
      <c r="E52" s="59">
        <v>23000</v>
      </c>
      <c r="F52" s="103">
        <v>25300</v>
      </c>
      <c r="G52" s="78"/>
      <c r="H52" s="78"/>
      <c r="I52" s="55"/>
      <c r="J52" s="55"/>
      <c r="K52" s="55"/>
      <c r="L52" s="55"/>
      <c r="M52" s="55"/>
      <c r="N52" s="55"/>
      <c r="O52" s="83"/>
      <c r="P52" s="55"/>
      <c r="Q52" s="55"/>
      <c r="R52" s="55">
        <v>25300</v>
      </c>
      <c r="S52" s="70"/>
      <c r="T52" s="71"/>
    </row>
    <row r="53" spans="1:20" s="17" customFormat="1" ht="15" thickBot="1" x14ac:dyDescent="0.35">
      <c r="A53" s="62" t="s">
        <v>33</v>
      </c>
      <c r="B53" s="5" t="s">
        <v>37</v>
      </c>
      <c r="C53" s="58" t="s">
        <v>40</v>
      </c>
      <c r="D53" s="58" t="s">
        <v>121</v>
      </c>
      <c r="E53" s="59">
        <v>3500</v>
      </c>
      <c r="F53" s="103">
        <v>3850</v>
      </c>
      <c r="G53" s="78"/>
      <c r="H53" s="78"/>
      <c r="I53" s="55"/>
      <c r="J53" s="55">
        <v>3850</v>
      </c>
      <c r="K53" s="55"/>
      <c r="L53" s="55"/>
      <c r="M53" s="55"/>
      <c r="N53" s="55"/>
      <c r="O53" s="83"/>
      <c r="P53" s="55"/>
      <c r="Q53" s="55"/>
      <c r="R53" s="55"/>
      <c r="S53" s="70"/>
      <c r="T53" s="71"/>
    </row>
    <row r="54" spans="1:20" s="17" customFormat="1" ht="15" thickBot="1" x14ac:dyDescent="0.35">
      <c r="A54" s="62" t="s">
        <v>26</v>
      </c>
      <c r="B54" s="5" t="s">
        <v>23</v>
      </c>
      <c r="C54" s="58" t="s">
        <v>52</v>
      </c>
      <c r="D54" s="58" t="s">
        <v>121</v>
      </c>
      <c r="E54" s="59">
        <v>1800</v>
      </c>
      <c r="F54" s="103">
        <v>2000</v>
      </c>
      <c r="G54" s="78"/>
      <c r="H54" s="78"/>
      <c r="I54" s="55"/>
      <c r="J54" s="55">
        <v>2000</v>
      </c>
      <c r="K54" s="55"/>
      <c r="L54" s="55"/>
      <c r="M54" s="55"/>
      <c r="N54" s="55"/>
      <c r="O54" s="83"/>
      <c r="P54" s="55"/>
      <c r="Q54" s="55"/>
      <c r="R54" s="55"/>
      <c r="S54" s="70"/>
      <c r="T54" s="71"/>
    </row>
    <row r="55" spans="1:20" s="17" customFormat="1" ht="15" thickBot="1" x14ac:dyDescent="0.35">
      <c r="A55" s="133" t="s">
        <v>26</v>
      </c>
      <c r="B55" s="5" t="s">
        <v>23</v>
      </c>
      <c r="C55" s="58" t="s">
        <v>122</v>
      </c>
      <c r="D55" s="58" t="s">
        <v>121</v>
      </c>
      <c r="E55" s="59">
        <v>900</v>
      </c>
      <c r="F55" s="103">
        <v>1000</v>
      </c>
      <c r="G55" s="78"/>
      <c r="H55" s="78"/>
      <c r="I55" s="55"/>
      <c r="J55" s="55"/>
      <c r="K55" s="55"/>
      <c r="L55" s="55">
        <v>1000</v>
      </c>
      <c r="M55" s="55"/>
      <c r="N55" s="55"/>
      <c r="O55" s="83"/>
      <c r="P55" s="55"/>
      <c r="Q55" s="55"/>
      <c r="R55" s="55"/>
      <c r="S55" s="70"/>
      <c r="T55" s="71"/>
    </row>
    <row r="56" spans="1:20" s="17" customFormat="1" ht="15" thickBot="1" x14ac:dyDescent="0.35">
      <c r="A56" s="31"/>
      <c r="B56" s="8" t="s">
        <v>123</v>
      </c>
      <c r="C56" s="2" t="s">
        <v>72</v>
      </c>
      <c r="D56" s="60" t="s">
        <v>120</v>
      </c>
      <c r="E56" s="60" t="s">
        <v>36</v>
      </c>
      <c r="F56" s="134">
        <v>24900</v>
      </c>
      <c r="G56" s="78"/>
      <c r="H56" s="78"/>
      <c r="I56" s="55"/>
      <c r="J56" s="55"/>
      <c r="K56" s="55"/>
      <c r="L56" s="55"/>
      <c r="M56" s="55"/>
      <c r="N56" s="55"/>
      <c r="O56" s="83"/>
      <c r="P56" s="55"/>
      <c r="Q56" s="55"/>
      <c r="R56" s="55"/>
      <c r="S56" s="70">
        <v>24900</v>
      </c>
      <c r="T56" s="71"/>
    </row>
    <row r="57" spans="1:20" s="17" customFormat="1" ht="15" thickBot="1" x14ac:dyDescent="0.35">
      <c r="A57" s="31"/>
      <c r="B57" s="4" t="s">
        <v>124</v>
      </c>
      <c r="C57" s="5" t="s">
        <v>57</v>
      </c>
      <c r="D57" s="58" t="s">
        <v>125</v>
      </c>
      <c r="E57" s="58" t="s">
        <v>59</v>
      </c>
      <c r="F57" s="146">
        <v>38700</v>
      </c>
      <c r="G57" s="78"/>
      <c r="H57" s="78"/>
      <c r="I57" s="55"/>
      <c r="J57" s="55"/>
      <c r="K57" s="55"/>
      <c r="L57" s="55">
        <v>38700</v>
      </c>
      <c r="M57" s="55"/>
      <c r="N57" s="55"/>
      <c r="O57" s="83"/>
      <c r="P57" s="55"/>
      <c r="Q57" s="55"/>
      <c r="R57" s="55"/>
      <c r="S57" s="70"/>
      <c r="T57" s="71"/>
    </row>
    <row r="58" spans="1:20" s="17" customFormat="1" ht="15" thickBot="1" x14ac:dyDescent="0.35">
      <c r="A58" s="1" t="s">
        <v>26</v>
      </c>
      <c r="B58" s="2" t="s">
        <v>23</v>
      </c>
      <c r="C58" s="60" t="s">
        <v>129</v>
      </c>
      <c r="D58" s="60" t="s">
        <v>130</v>
      </c>
      <c r="E58" s="61">
        <v>900</v>
      </c>
      <c r="F58" s="128">
        <v>1000</v>
      </c>
      <c r="G58" s="78" t="s">
        <v>133</v>
      </c>
      <c r="H58" s="78"/>
      <c r="I58" s="55"/>
      <c r="J58" s="55"/>
      <c r="K58" s="55"/>
      <c r="L58" s="55">
        <v>1000</v>
      </c>
      <c r="M58" s="55"/>
      <c r="N58" s="55"/>
      <c r="O58" s="83"/>
      <c r="P58" s="55"/>
      <c r="Q58" s="55"/>
      <c r="R58" s="55"/>
      <c r="S58" s="70"/>
      <c r="T58" s="71"/>
    </row>
    <row r="59" spans="1:20" s="17" customFormat="1" ht="15" thickBot="1" x14ac:dyDescent="0.35">
      <c r="A59" s="62" t="s">
        <v>26</v>
      </c>
      <c r="B59" s="5" t="s">
        <v>23</v>
      </c>
      <c r="C59" s="58" t="s">
        <v>52</v>
      </c>
      <c r="D59" s="58" t="s">
        <v>130</v>
      </c>
      <c r="E59" s="59">
        <v>1800</v>
      </c>
      <c r="F59" s="103">
        <v>2000</v>
      </c>
      <c r="G59" s="78"/>
      <c r="H59" s="78"/>
      <c r="I59" s="55"/>
      <c r="J59" s="55">
        <v>2000</v>
      </c>
      <c r="K59" s="55"/>
      <c r="L59" s="55"/>
      <c r="M59" s="55"/>
      <c r="N59" s="55"/>
      <c r="O59" s="83"/>
      <c r="P59" s="55"/>
      <c r="Q59" s="55"/>
      <c r="R59" s="55"/>
      <c r="S59" s="70"/>
      <c r="T59" s="71"/>
    </row>
    <row r="60" spans="1:20" s="17" customFormat="1" ht="15" thickBot="1" x14ac:dyDescent="0.35">
      <c r="A60" s="1" t="s">
        <v>26</v>
      </c>
      <c r="B60" s="2" t="s">
        <v>23</v>
      </c>
      <c r="C60" s="60" t="s">
        <v>52</v>
      </c>
      <c r="D60" s="96" t="s">
        <v>131</v>
      </c>
      <c r="E60" s="61">
        <v>900</v>
      </c>
      <c r="F60" s="128">
        <v>1000</v>
      </c>
      <c r="G60" s="78"/>
      <c r="H60" s="78"/>
      <c r="I60" s="55"/>
      <c r="J60" s="55">
        <v>1000</v>
      </c>
      <c r="K60" s="55"/>
      <c r="L60" s="55"/>
      <c r="M60" s="55"/>
      <c r="N60" s="55"/>
      <c r="O60" s="83"/>
      <c r="P60" s="55"/>
      <c r="Q60" s="55"/>
      <c r="R60" s="55"/>
      <c r="S60" s="70"/>
      <c r="T60" s="71"/>
    </row>
    <row r="61" spans="1:20" s="17" customFormat="1" ht="15" thickBot="1" x14ac:dyDescent="0.35">
      <c r="A61" s="12"/>
      <c r="B61" s="1" t="s">
        <v>123</v>
      </c>
      <c r="C61" s="2" t="s">
        <v>72</v>
      </c>
      <c r="D61" s="60" t="s">
        <v>132</v>
      </c>
      <c r="E61" s="60" t="s">
        <v>36</v>
      </c>
      <c r="F61" s="134">
        <v>24900</v>
      </c>
      <c r="G61" s="78"/>
      <c r="H61" s="78"/>
      <c r="I61" s="55"/>
      <c r="J61" s="55"/>
      <c r="K61" s="55"/>
      <c r="L61" s="55"/>
      <c r="M61" s="55"/>
      <c r="N61" s="55"/>
      <c r="O61" s="83"/>
      <c r="P61" s="55"/>
      <c r="Q61" s="55"/>
      <c r="R61" s="55"/>
      <c r="S61" s="70">
        <v>24900</v>
      </c>
      <c r="T61" s="71"/>
    </row>
    <row r="62" spans="1:20" s="17" customFormat="1" ht="29.4" thickBot="1" x14ac:dyDescent="0.35">
      <c r="A62" s="1" t="s">
        <v>118</v>
      </c>
      <c r="B62" s="2" t="s">
        <v>37</v>
      </c>
      <c r="C62" s="153" t="s">
        <v>134</v>
      </c>
      <c r="D62" s="96" t="s">
        <v>135</v>
      </c>
      <c r="E62" s="61">
        <v>6500</v>
      </c>
      <c r="F62" s="128">
        <v>7000</v>
      </c>
      <c r="G62" s="78"/>
      <c r="H62" s="78"/>
      <c r="I62" s="55"/>
      <c r="J62" s="55">
        <v>7000</v>
      </c>
      <c r="K62" s="55"/>
      <c r="L62" s="55"/>
      <c r="M62" s="55"/>
      <c r="N62" s="55"/>
      <c r="O62" s="83"/>
      <c r="P62" s="55"/>
      <c r="Q62" s="55"/>
      <c r="R62" s="55"/>
      <c r="S62" s="70"/>
      <c r="T62" s="71"/>
    </row>
    <row r="63" spans="1:20" s="17" customFormat="1" ht="15" thickBot="1" x14ac:dyDescent="0.35">
      <c r="A63" s="62" t="s">
        <v>26</v>
      </c>
      <c r="B63" s="5" t="s">
        <v>23</v>
      </c>
      <c r="C63" s="81" t="s">
        <v>52</v>
      </c>
      <c r="D63" s="72" t="s">
        <v>136</v>
      </c>
      <c r="E63" s="59">
        <v>900</v>
      </c>
      <c r="F63" s="103">
        <v>1000</v>
      </c>
      <c r="G63" s="78"/>
      <c r="H63" s="78"/>
      <c r="I63" s="55"/>
      <c r="J63" s="55">
        <v>1000</v>
      </c>
      <c r="K63" s="55"/>
      <c r="L63" s="55"/>
      <c r="M63" s="55"/>
      <c r="N63" s="55"/>
      <c r="O63" s="83"/>
      <c r="P63" s="55"/>
      <c r="Q63" s="55"/>
      <c r="R63" s="55"/>
      <c r="S63" s="70"/>
      <c r="T63" s="71"/>
    </row>
    <row r="64" spans="1:20" s="17" customFormat="1" ht="15" thickBot="1" x14ac:dyDescent="0.35">
      <c r="A64" s="62" t="s">
        <v>26</v>
      </c>
      <c r="B64" s="5" t="s">
        <v>23</v>
      </c>
      <c r="C64" s="154" t="s">
        <v>137</v>
      </c>
      <c r="D64" s="155" t="s">
        <v>136</v>
      </c>
      <c r="E64" s="59">
        <v>900</v>
      </c>
      <c r="F64" s="103">
        <v>1000</v>
      </c>
      <c r="G64" s="78"/>
      <c r="H64" s="78"/>
      <c r="I64" s="55"/>
      <c r="J64" s="55">
        <v>1000</v>
      </c>
      <c r="K64" s="55"/>
      <c r="L64" s="55"/>
      <c r="M64" s="55"/>
      <c r="N64" s="55"/>
      <c r="O64" s="83"/>
      <c r="P64" s="55"/>
      <c r="Q64" s="55"/>
      <c r="R64" s="55"/>
      <c r="S64" s="70"/>
      <c r="T64" s="71"/>
    </row>
    <row r="65" spans="1:21" s="17" customFormat="1" ht="15" thickBot="1" x14ac:dyDescent="0.35">
      <c r="A65" s="12"/>
      <c r="B65" s="117" t="s">
        <v>124</v>
      </c>
      <c r="C65" s="2" t="s">
        <v>57</v>
      </c>
      <c r="D65" s="60" t="s">
        <v>138</v>
      </c>
      <c r="E65" s="60" t="s">
        <v>59</v>
      </c>
      <c r="F65" s="158">
        <v>38700</v>
      </c>
      <c r="G65" s="78"/>
      <c r="H65" s="78"/>
      <c r="I65" s="55"/>
      <c r="J65" s="55"/>
      <c r="K65" s="55"/>
      <c r="L65" s="55">
        <v>38700</v>
      </c>
      <c r="M65" s="55"/>
      <c r="N65" s="55"/>
      <c r="O65" s="83"/>
      <c r="P65" s="55"/>
      <c r="Q65" s="55"/>
      <c r="R65" s="55"/>
      <c r="S65" s="70"/>
      <c r="T65" s="71"/>
    </row>
    <row r="66" spans="1:21" s="17" customFormat="1" ht="15" thickBot="1" x14ac:dyDescent="0.35">
      <c r="A66" s="1" t="s">
        <v>26</v>
      </c>
      <c r="B66" s="2" t="s">
        <v>23</v>
      </c>
      <c r="C66" s="156" t="s">
        <v>137</v>
      </c>
      <c r="D66" s="96" t="s">
        <v>135</v>
      </c>
      <c r="E66" s="157">
        <v>900</v>
      </c>
      <c r="F66" s="128">
        <v>1000</v>
      </c>
      <c r="G66" s="78"/>
      <c r="H66" s="78"/>
      <c r="I66" s="55"/>
      <c r="J66" s="55">
        <v>1000</v>
      </c>
      <c r="K66" s="55"/>
      <c r="L66" s="55"/>
      <c r="M66" s="55"/>
      <c r="N66" s="55"/>
      <c r="O66" s="83"/>
      <c r="P66" s="55"/>
      <c r="Q66" s="55"/>
      <c r="R66" s="55"/>
      <c r="S66" s="70"/>
      <c r="T66" s="71"/>
    </row>
    <row r="67" spans="1:21" s="17" customFormat="1" x14ac:dyDescent="0.3">
      <c r="A67" s="12"/>
      <c r="B67" s="12"/>
      <c r="C67" s="13"/>
      <c r="D67" s="79"/>
      <c r="E67" s="79"/>
      <c r="F67" s="80"/>
      <c r="G67" s="67"/>
      <c r="H67" s="67"/>
      <c r="I67" s="140"/>
      <c r="J67" s="140"/>
      <c r="K67" s="140"/>
      <c r="L67" s="140"/>
      <c r="M67" s="140"/>
      <c r="N67" s="140"/>
      <c r="O67" s="141"/>
      <c r="P67" s="140"/>
      <c r="Q67" s="140"/>
      <c r="R67" s="140"/>
      <c r="S67" s="142"/>
      <c r="T67" s="143"/>
    </row>
    <row r="68" spans="1:21" x14ac:dyDescent="0.3">
      <c r="A68" s="12"/>
      <c r="B68" s="13"/>
      <c r="C68" s="34"/>
      <c r="D68" s="27"/>
      <c r="E68" s="54"/>
      <c r="F68" s="67"/>
      <c r="I68" t="s">
        <v>16</v>
      </c>
      <c r="J68" s="68">
        <f t="shared" ref="J68:T68" si="0">SUM(J2:J66)</f>
        <v>242300</v>
      </c>
      <c r="K68" s="68">
        <f t="shared" si="0"/>
        <v>0</v>
      </c>
      <c r="L68" s="68">
        <f t="shared" si="0"/>
        <v>215900</v>
      </c>
      <c r="M68" s="68">
        <f t="shared" si="0"/>
        <v>69400</v>
      </c>
      <c r="N68" s="68">
        <f t="shared" si="0"/>
        <v>33000</v>
      </c>
      <c r="O68" s="68">
        <f t="shared" si="0"/>
        <v>15950</v>
      </c>
      <c r="P68" s="68">
        <f t="shared" si="0"/>
        <v>0</v>
      </c>
      <c r="Q68" s="68">
        <f t="shared" si="0"/>
        <v>0</v>
      </c>
      <c r="R68" s="68">
        <f t="shared" si="0"/>
        <v>66100</v>
      </c>
      <c r="S68" s="68">
        <f t="shared" si="0"/>
        <v>98100</v>
      </c>
      <c r="T68" s="68">
        <f t="shared" si="0"/>
        <v>12000</v>
      </c>
      <c r="U68" s="76">
        <f>SUM(J68:T68)</f>
        <v>752750</v>
      </c>
    </row>
    <row r="69" spans="1:21" x14ac:dyDescent="0.3">
      <c r="I69">
        <f>J69+K69+L69+M69+N69+O69+P69+R69+S69+T69+Q69</f>
        <v>429150</v>
      </c>
      <c r="J69">
        <v>242300</v>
      </c>
      <c r="M69" s="74">
        <v>69400</v>
      </c>
      <c r="O69" s="84">
        <v>15950</v>
      </c>
      <c r="R69">
        <v>66100</v>
      </c>
      <c r="S69">
        <v>23400</v>
      </c>
      <c r="T69" s="64">
        <v>12000</v>
      </c>
      <c r="U69" s="76">
        <f>SUM(J69:T69)</f>
        <v>429150</v>
      </c>
    </row>
    <row r="70" spans="1:21" x14ac:dyDescent="0.3">
      <c r="J70" s="77">
        <f>J68-J69</f>
        <v>0</v>
      </c>
      <c r="K70" s="77">
        <f>K68-K69</f>
        <v>0</v>
      </c>
      <c r="L70" s="77">
        <f>L68-L69</f>
        <v>215900</v>
      </c>
      <c r="M70" s="77">
        <f>M68-M69</f>
        <v>0</v>
      </c>
      <c r="N70" s="77">
        <f t="shared" ref="N70:T70" si="1">N68-N69</f>
        <v>33000</v>
      </c>
      <c r="O70" s="17">
        <f t="shared" si="1"/>
        <v>0</v>
      </c>
      <c r="P70" s="77">
        <f t="shared" si="1"/>
        <v>0</v>
      </c>
      <c r="Q70" s="77">
        <f t="shared" si="1"/>
        <v>0</v>
      </c>
      <c r="R70" s="77">
        <f t="shared" si="1"/>
        <v>0</v>
      </c>
      <c r="S70" s="77">
        <f t="shared" si="1"/>
        <v>74700</v>
      </c>
      <c r="T70" s="77">
        <f t="shared" si="1"/>
        <v>0</v>
      </c>
      <c r="U70" s="76">
        <f>SUM(J70:T70)</f>
        <v>323600</v>
      </c>
    </row>
    <row r="72" spans="1:21" ht="37.200000000000003" customHeight="1" x14ac:dyDescent="0.3">
      <c r="E72">
        <f>SUM(E2:E71)</f>
        <v>318900</v>
      </c>
      <c r="F72" s="24">
        <f>SUM(F2:F71)</f>
        <v>752750</v>
      </c>
      <c r="J72" s="86" t="s">
        <v>8</v>
      </c>
      <c r="K72" s="65" t="s">
        <v>22</v>
      </c>
      <c r="L72" s="86" t="s">
        <v>10</v>
      </c>
      <c r="M72" s="86" t="s">
        <v>9</v>
      </c>
      <c r="N72" s="86" t="s">
        <v>14</v>
      </c>
      <c r="O72" s="87" t="s">
        <v>28</v>
      </c>
      <c r="P72" s="86" t="s">
        <v>38</v>
      </c>
      <c r="Q72" s="65" t="s">
        <v>24</v>
      </c>
      <c r="R72" s="86" t="s">
        <v>25</v>
      </c>
      <c r="S72" s="88" t="s">
        <v>11</v>
      </c>
      <c r="T72" s="89" t="s">
        <v>13</v>
      </c>
    </row>
    <row r="73" spans="1:21" x14ac:dyDescent="0.3">
      <c r="E73" t="s">
        <v>15</v>
      </c>
      <c r="F73">
        <f>I69</f>
        <v>429150</v>
      </c>
    </row>
    <row r="74" spans="1:21" ht="25.2" customHeight="1" x14ac:dyDescent="0.3">
      <c r="F74" s="73">
        <f>F72-F73</f>
        <v>323600</v>
      </c>
    </row>
  </sheetData>
  <pageMargins left="0.23622047244094491" right="0.23622047244094491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"/>
  <sheetViews>
    <sheetView topLeftCell="A4" workbookViewId="0">
      <selection activeCell="A14" sqref="A14:XFD14"/>
    </sheetView>
  </sheetViews>
  <sheetFormatPr defaultRowHeight="14.4" x14ac:dyDescent="0.3"/>
  <cols>
    <col min="1" max="1" width="44.44140625" customWidth="1"/>
    <col min="2" max="2" width="40.6640625" customWidth="1"/>
    <col min="3" max="3" width="34.33203125" customWidth="1"/>
    <col min="4" max="4" width="17.109375" customWidth="1"/>
    <col min="5" max="5" width="22.44140625" customWidth="1"/>
  </cols>
  <sheetData>
    <row r="1" spans="1:9" ht="15" thickBot="1" x14ac:dyDescent="0.35">
      <c r="C1" s="17"/>
      <c r="D1" s="17"/>
      <c r="E1" s="17"/>
    </row>
    <row r="2" spans="1:9" ht="15" thickBot="1" x14ac:dyDescent="0.35">
      <c r="A2" s="1" t="s">
        <v>39</v>
      </c>
      <c r="B2" s="2" t="s">
        <v>35</v>
      </c>
      <c r="C2" s="60" t="s">
        <v>43</v>
      </c>
      <c r="D2" s="60" t="s">
        <v>36</v>
      </c>
      <c r="E2" s="61">
        <v>23400</v>
      </c>
    </row>
    <row r="3" spans="1:9" ht="15" thickBot="1" x14ac:dyDescent="0.35">
      <c r="A3" s="117" t="s">
        <v>56</v>
      </c>
      <c r="B3" s="2" t="s">
        <v>57</v>
      </c>
      <c r="C3" s="60" t="s">
        <v>58</v>
      </c>
      <c r="D3" s="60" t="s">
        <v>59</v>
      </c>
      <c r="E3" s="91">
        <v>38700</v>
      </c>
    </row>
    <row r="4" spans="1:9" ht="15" thickBot="1" x14ac:dyDescent="0.35">
      <c r="A4" s="117" t="s">
        <v>66</v>
      </c>
      <c r="B4" s="2" t="s">
        <v>57</v>
      </c>
      <c r="C4" s="60" t="s">
        <v>67</v>
      </c>
      <c r="D4" s="60" t="s">
        <v>59</v>
      </c>
      <c r="E4" s="91">
        <v>38700</v>
      </c>
    </row>
    <row r="5" spans="1:9" ht="15" thickBot="1" x14ac:dyDescent="0.35">
      <c r="A5" s="1" t="s">
        <v>71</v>
      </c>
      <c r="B5" s="2" t="s">
        <v>72</v>
      </c>
      <c r="C5" s="60" t="s">
        <v>73</v>
      </c>
      <c r="D5" s="60" t="s">
        <v>36</v>
      </c>
      <c r="E5" s="61">
        <v>24900</v>
      </c>
      <c r="G5" s="12"/>
      <c r="H5" s="12"/>
      <c r="I5" s="36"/>
    </row>
    <row r="6" spans="1:9" ht="15" thickBot="1" x14ac:dyDescent="0.35">
      <c r="A6" s="118" t="s">
        <v>79</v>
      </c>
      <c r="B6" s="8" t="s">
        <v>80</v>
      </c>
      <c r="C6" s="60" t="s">
        <v>78</v>
      </c>
      <c r="D6" s="60" t="s">
        <v>81</v>
      </c>
      <c r="E6" s="61">
        <v>12000</v>
      </c>
      <c r="F6" s="12"/>
      <c r="H6" s="12"/>
      <c r="I6" s="36"/>
    </row>
    <row r="7" spans="1:9" ht="15" thickBot="1" x14ac:dyDescent="0.35">
      <c r="A7" s="117" t="s">
        <v>124</v>
      </c>
      <c r="B7" s="2" t="s">
        <v>57</v>
      </c>
      <c r="C7" s="96" t="s">
        <v>126</v>
      </c>
      <c r="D7" s="96" t="s">
        <v>59</v>
      </c>
      <c r="E7" s="151">
        <v>38700</v>
      </c>
      <c r="F7" s="12"/>
      <c r="H7" s="12"/>
      <c r="I7" s="36"/>
    </row>
    <row r="8" spans="1:9" ht="15" thickBot="1" x14ac:dyDescent="0.35">
      <c r="A8" s="117" t="s">
        <v>127</v>
      </c>
      <c r="B8" s="2" t="s">
        <v>57</v>
      </c>
      <c r="C8" s="96" t="s">
        <v>113</v>
      </c>
      <c r="D8" s="96" t="s">
        <v>59</v>
      </c>
      <c r="E8" s="151">
        <v>53600</v>
      </c>
      <c r="F8" s="12"/>
      <c r="H8" s="12"/>
      <c r="I8" s="36"/>
    </row>
    <row r="9" spans="1:9" ht="15" thickBot="1" x14ac:dyDescent="0.35">
      <c r="A9" s="62" t="s">
        <v>128</v>
      </c>
      <c r="B9" s="5" t="s">
        <v>57</v>
      </c>
      <c r="C9" s="72" t="s">
        <v>113</v>
      </c>
      <c r="D9" s="72" t="s">
        <v>59</v>
      </c>
      <c r="E9" s="152">
        <v>53600</v>
      </c>
      <c r="F9" s="12"/>
      <c r="H9" s="12"/>
      <c r="I9" s="36"/>
    </row>
    <row r="10" spans="1:9" ht="15" thickBot="1" x14ac:dyDescent="0.35">
      <c r="A10" s="1" t="s">
        <v>123</v>
      </c>
      <c r="B10" s="2" t="s">
        <v>72</v>
      </c>
      <c r="C10" s="60" t="s">
        <v>120</v>
      </c>
      <c r="D10" s="60" t="s">
        <v>36</v>
      </c>
      <c r="E10" s="61">
        <v>24900</v>
      </c>
      <c r="G10" s="12"/>
    </row>
    <row r="11" spans="1:9" ht="15" thickBot="1" x14ac:dyDescent="0.35">
      <c r="A11" s="62" t="s">
        <v>124</v>
      </c>
      <c r="B11" s="5" t="s">
        <v>57</v>
      </c>
      <c r="C11" s="58" t="s">
        <v>125</v>
      </c>
      <c r="D11" s="58" t="s">
        <v>59</v>
      </c>
      <c r="E11" s="102">
        <v>38700</v>
      </c>
      <c r="G11" s="12"/>
    </row>
    <row r="12" spans="1:9" ht="15" thickBot="1" x14ac:dyDescent="0.35">
      <c r="A12" s="1" t="s">
        <v>123</v>
      </c>
      <c r="B12" s="2" t="s">
        <v>72</v>
      </c>
      <c r="C12" s="60" t="s">
        <v>132</v>
      </c>
      <c r="D12" s="60" t="s">
        <v>36</v>
      </c>
      <c r="E12" s="61">
        <v>24900</v>
      </c>
      <c r="F12" s="17"/>
      <c r="G12" s="36"/>
    </row>
    <row r="13" spans="1:9" ht="15" thickBot="1" x14ac:dyDescent="0.35">
      <c r="A13" s="117" t="s">
        <v>124</v>
      </c>
      <c r="B13" s="2" t="s">
        <v>57</v>
      </c>
      <c r="C13" s="60" t="s">
        <v>138</v>
      </c>
      <c r="D13" s="60" t="s">
        <v>59</v>
      </c>
      <c r="E13" s="158">
        <v>38700</v>
      </c>
    </row>
    <row r="14" spans="1:9" ht="15" thickBot="1" x14ac:dyDescent="0.35">
      <c r="A14" s="118"/>
      <c r="B14" s="8"/>
      <c r="C14" s="60"/>
      <c r="D14" s="60"/>
      <c r="E14" s="61"/>
      <c r="F14" s="17"/>
    </row>
    <row r="15" spans="1:9" ht="16.2" thickBot="1" x14ac:dyDescent="0.35">
      <c r="A15" s="119"/>
      <c r="B15" s="120"/>
      <c r="C15" s="60"/>
      <c r="D15" s="121"/>
      <c r="E15" s="122"/>
      <c r="F15" s="17"/>
    </row>
    <row r="16" spans="1:9" ht="16.2" thickBot="1" x14ac:dyDescent="0.35">
      <c r="A16" s="123"/>
      <c r="B16" s="124"/>
      <c r="C16" s="58"/>
      <c r="D16" s="125"/>
      <c r="E16" s="126"/>
      <c r="F16" s="99"/>
    </row>
    <row r="17" spans="1:6" ht="16.2" thickBot="1" x14ac:dyDescent="0.35">
      <c r="A17" s="127"/>
      <c r="B17" s="2"/>
      <c r="C17" s="60"/>
      <c r="D17" s="60"/>
      <c r="E17" s="61"/>
      <c r="F17" s="100"/>
    </row>
    <row r="18" spans="1:6" ht="15" thickBot="1" x14ac:dyDescent="0.35">
      <c r="A18" s="117"/>
      <c r="B18" s="2"/>
      <c r="C18" s="60"/>
      <c r="D18" s="60"/>
      <c r="E18" s="91"/>
      <c r="F18" s="54"/>
    </row>
    <row r="19" spans="1:6" ht="15" thickBot="1" x14ac:dyDescent="0.35">
      <c r="A19" s="62"/>
      <c r="B19" s="5"/>
      <c r="C19" s="58"/>
      <c r="D19" s="58"/>
      <c r="E19" s="102"/>
      <c r="F19" s="54"/>
    </row>
    <row r="20" spans="1:6" ht="15" thickBot="1" x14ac:dyDescent="0.35">
      <c r="A20" s="1"/>
      <c r="B20" s="2"/>
      <c r="C20" s="60"/>
      <c r="D20" s="60"/>
      <c r="E20" s="61"/>
      <c r="F20" s="54"/>
    </row>
    <row r="21" spans="1:6" x14ac:dyDescent="0.3">
      <c r="A21" s="53"/>
      <c r="B21" s="13"/>
      <c r="C21" s="27"/>
      <c r="D21" s="34"/>
      <c r="E21" s="54"/>
      <c r="F21" s="12"/>
    </row>
    <row r="22" spans="1:6" x14ac:dyDescent="0.3">
      <c r="D22" t="s">
        <v>4</v>
      </c>
      <c r="E22" s="6">
        <f>SUM(E1:E21)</f>
        <v>410800</v>
      </c>
    </row>
    <row r="23" spans="1:6" x14ac:dyDescent="0.3">
      <c r="D23" t="s">
        <v>5</v>
      </c>
      <c r="E23">
        <f>Автосвіт!E39+Нікса!E11+'Приватний Двір'!E13+'Ендор Логістик '!E11+Корусанд!E11+'АЙРІС ВОРДВАЙЛ'!E12+ФЛУКОРДІ!E7+'ПРЕМІУМ ТРАНС'!E11+'Компанія Агротранс'!E11+Автоленд!E10</f>
        <v>318900</v>
      </c>
    </row>
    <row r="25" spans="1:6" x14ac:dyDescent="0.3">
      <c r="D25" t="s">
        <v>6</v>
      </c>
      <c r="E25" s="6">
        <f>Автосвіт!F39+Нікса!F11+'Приватний Двір'!F13+'Ендор Логістик '!F11+Корусанд!F11+'АЙРІС ВОРДВАЙЛ'!F12+ФЛУКОРДІ!F7+'ПРЕМІУМ ТРАНС'!F11+'Компанія Агротранс'!F11+Автоленд!F10</f>
        <v>341950</v>
      </c>
    </row>
    <row r="28" spans="1:6" x14ac:dyDescent="0.3">
      <c r="E28" s="57">
        <f>E25+E22</f>
        <v>752750</v>
      </c>
    </row>
  </sheetData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9"/>
  <sheetViews>
    <sheetView topLeftCell="A30" workbookViewId="0">
      <selection activeCell="E2" sqref="E2:E31"/>
    </sheetView>
  </sheetViews>
  <sheetFormatPr defaultRowHeight="14.4" x14ac:dyDescent="0.3"/>
  <cols>
    <col min="1" max="1" width="17" customWidth="1"/>
    <col min="2" max="2" width="30.5546875" customWidth="1"/>
    <col min="3" max="3" width="39.88671875" customWidth="1"/>
    <col min="4" max="4" width="13.88671875" customWidth="1"/>
    <col min="5" max="5" width="11.5546875" customWidth="1"/>
    <col min="6" max="6" width="8.5546875" customWidth="1"/>
    <col min="7" max="7" width="13.21875" customWidth="1"/>
    <col min="8" max="8" width="5" customWidth="1"/>
    <col min="9" max="9" width="6.77734375" customWidth="1"/>
    <col min="10" max="10" width="6.5546875" style="7" customWidth="1"/>
    <col min="11" max="11" width="11.109375" customWidth="1"/>
    <col min="12" max="12" width="5.88671875" customWidth="1"/>
  </cols>
  <sheetData>
    <row r="1" spans="1:11" x14ac:dyDescent="0.3">
      <c r="G1" t="s">
        <v>29</v>
      </c>
      <c r="H1" t="s">
        <v>17</v>
      </c>
      <c r="I1" t="s">
        <v>107</v>
      </c>
      <c r="J1" s="7" t="s">
        <v>0</v>
      </c>
      <c r="K1" t="s">
        <v>1</v>
      </c>
    </row>
    <row r="2" spans="1:11" ht="29.4" thickBot="1" x14ac:dyDescent="0.35">
      <c r="A2" s="62" t="s">
        <v>26</v>
      </c>
      <c r="B2" s="5" t="s">
        <v>23</v>
      </c>
      <c r="C2" s="81" t="s">
        <v>42</v>
      </c>
      <c r="D2" s="58" t="s">
        <v>41</v>
      </c>
      <c r="E2" s="59">
        <v>1800</v>
      </c>
      <c r="F2" s="30">
        <v>2000</v>
      </c>
      <c r="G2" s="78"/>
      <c r="H2" s="78"/>
      <c r="I2" s="78">
        <v>3086</v>
      </c>
      <c r="J2" s="44">
        <v>3086</v>
      </c>
      <c r="K2" s="45">
        <v>45964</v>
      </c>
    </row>
    <row r="3" spans="1:11" ht="15" thickBot="1" x14ac:dyDescent="0.35">
      <c r="A3" s="1" t="s">
        <v>26</v>
      </c>
      <c r="B3" s="2" t="s">
        <v>44</v>
      </c>
      <c r="C3" s="60" t="s">
        <v>45</v>
      </c>
      <c r="D3" s="96" t="s">
        <v>46</v>
      </c>
      <c r="E3" s="61">
        <v>2500</v>
      </c>
      <c r="F3" s="29">
        <v>2750</v>
      </c>
      <c r="G3" s="78"/>
      <c r="H3" s="78"/>
      <c r="I3" s="78">
        <v>3088</v>
      </c>
      <c r="J3" s="44">
        <v>3088</v>
      </c>
      <c r="K3" s="45">
        <v>45965</v>
      </c>
    </row>
    <row r="4" spans="1:11" ht="15" thickBot="1" x14ac:dyDescent="0.35">
      <c r="A4" s="62" t="s">
        <v>26</v>
      </c>
      <c r="B4" s="5" t="s">
        <v>23</v>
      </c>
      <c r="C4" s="58" t="s">
        <v>50</v>
      </c>
      <c r="D4" s="72" t="s">
        <v>46</v>
      </c>
      <c r="E4" s="59">
        <v>1100</v>
      </c>
      <c r="F4" s="30">
        <v>1200</v>
      </c>
      <c r="G4" s="166">
        <v>2900</v>
      </c>
      <c r="H4" s="78"/>
      <c r="I4" s="78">
        <v>3087</v>
      </c>
      <c r="J4" s="44">
        <v>3087</v>
      </c>
      <c r="K4" s="45">
        <v>45965</v>
      </c>
    </row>
    <row r="5" spans="1:11" ht="15" thickBot="1" x14ac:dyDescent="0.35">
      <c r="A5" s="62" t="s">
        <v>26</v>
      </c>
      <c r="B5" s="5" t="s">
        <v>23</v>
      </c>
      <c r="C5" s="58" t="s">
        <v>51</v>
      </c>
      <c r="D5" s="72" t="s">
        <v>46</v>
      </c>
      <c r="E5" s="59">
        <v>1800</v>
      </c>
      <c r="F5" s="30">
        <v>2000</v>
      </c>
      <c r="G5" s="167"/>
      <c r="H5" s="78"/>
      <c r="I5" s="78">
        <v>3087</v>
      </c>
      <c r="J5" s="44">
        <v>3087</v>
      </c>
      <c r="K5" s="45"/>
    </row>
    <row r="6" spans="1:11" ht="15" thickBot="1" x14ac:dyDescent="0.35">
      <c r="A6" s="1" t="s">
        <v>26</v>
      </c>
      <c r="B6" s="2" t="s">
        <v>23</v>
      </c>
      <c r="C6" s="60" t="s">
        <v>52</v>
      </c>
      <c r="D6" s="96" t="s">
        <v>53</v>
      </c>
      <c r="E6" s="61">
        <v>1800</v>
      </c>
      <c r="F6" s="29">
        <v>2000</v>
      </c>
      <c r="G6" s="166">
        <v>3600</v>
      </c>
      <c r="H6" s="78"/>
      <c r="I6" s="78">
        <v>3089</v>
      </c>
      <c r="J6" s="44">
        <v>3089</v>
      </c>
      <c r="K6" s="45">
        <v>45966</v>
      </c>
    </row>
    <row r="7" spans="1:11" ht="18" customHeight="1" thickBot="1" x14ac:dyDescent="0.35">
      <c r="A7" s="62" t="s">
        <v>26</v>
      </c>
      <c r="B7" s="5" t="s">
        <v>23</v>
      </c>
      <c r="C7" s="58" t="s">
        <v>55</v>
      </c>
      <c r="D7" s="72" t="s">
        <v>53</v>
      </c>
      <c r="E7" s="59">
        <v>1800</v>
      </c>
      <c r="F7" s="30">
        <v>2000</v>
      </c>
      <c r="G7" s="167"/>
      <c r="H7" s="78"/>
      <c r="I7" s="78">
        <v>3089</v>
      </c>
      <c r="J7" s="44">
        <v>3089</v>
      </c>
      <c r="K7" s="45"/>
    </row>
    <row r="8" spans="1:11" ht="19.8" customHeight="1" thickBot="1" x14ac:dyDescent="0.35">
      <c r="A8" s="62" t="s">
        <v>26</v>
      </c>
      <c r="B8" s="5" t="s">
        <v>23</v>
      </c>
      <c r="C8" s="58" t="s">
        <v>54</v>
      </c>
      <c r="D8" s="72" t="s">
        <v>53</v>
      </c>
      <c r="E8" s="163">
        <v>3700</v>
      </c>
      <c r="F8" s="30">
        <v>4000</v>
      </c>
      <c r="G8" s="78"/>
      <c r="H8" s="78"/>
      <c r="I8" s="78">
        <v>3090</v>
      </c>
      <c r="J8" s="44"/>
      <c r="K8" s="45"/>
    </row>
    <row r="9" spans="1:11" ht="17.399999999999999" customHeight="1" thickBot="1" x14ac:dyDescent="0.35">
      <c r="A9" s="1" t="s">
        <v>26</v>
      </c>
      <c r="B9" s="2" t="s">
        <v>23</v>
      </c>
      <c r="C9" s="60" t="s">
        <v>64</v>
      </c>
      <c r="D9" s="96" t="s">
        <v>63</v>
      </c>
      <c r="E9" s="61">
        <v>1100</v>
      </c>
      <c r="F9" s="29">
        <v>1200</v>
      </c>
      <c r="G9" s="166">
        <v>2000</v>
      </c>
      <c r="H9" s="78"/>
      <c r="I9" s="78">
        <v>3091</v>
      </c>
      <c r="J9" s="44"/>
      <c r="K9" s="45"/>
    </row>
    <row r="10" spans="1:11" ht="19.2" customHeight="1" thickBot="1" x14ac:dyDescent="0.35">
      <c r="A10" s="62" t="s">
        <v>26</v>
      </c>
      <c r="B10" s="5" t="s">
        <v>23</v>
      </c>
      <c r="C10" s="58" t="s">
        <v>65</v>
      </c>
      <c r="D10" s="72" t="s">
        <v>63</v>
      </c>
      <c r="E10" s="59">
        <v>900</v>
      </c>
      <c r="F10" s="30">
        <v>1000</v>
      </c>
      <c r="G10" s="167"/>
      <c r="H10" s="78"/>
      <c r="I10" s="78">
        <v>3091</v>
      </c>
      <c r="J10" s="44"/>
      <c r="K10" s="45"/>
    </row>
    <row r="11" spans="1:11" ht="15" thickBot="1" x14ac:dyDescent="0.35">
      <c r="A11" s="62" t="s">
        <v>26</v>
      </c>
      <c r="B11" s="5" t="s">
        <v>23</v>
      </c>
      <c r="C11" s="58" t="s">
        <v>70</v>
      </c>
      <c r="D11" s="72" t="s">
        <v>69</v>
      </c>
      <c r="E11" s="59">
        <v>1800</v>
      </c>
      <c r="F11" s="30">
        <v>2000</v>
      </c>
      <c r="G11" s="78"/>
      <c r="H11" s="78"/>
      <c r="I11" s="78">
        <v>3092</v>
      </c>
      <c r="J11" s="44"/>
      <c r="K11" s="45"/>
    </row>
    <row r="12" spans="1:11" ht="15" thickBot="1" x14ac:dyDescent="0.35">
      <c r="A12" s="1" t="s">
        <v>26</v>
      </c>
      <c r="B12" s="2" t="s">
        <v>74</v>
      </c>
      <c r="C12" s="60" t="s">
        <v>75</v>
      </c>
      <c r="D12" s="60" t="s">
        <v>76</v>
      </c>
      <c r="E12" s="61">
        <v>9000</v>
      </c>
      <c r="F12" s="29">
        <v>9900</v>
      </c>
      <c r="G12" s="78"/>
      <c r="H12" s="78"/>
      <c r="I12" s="78">
        <v>3093</v>
      </c>
      <c r="J12" s="44"/>
      <c r="K12" s="52"/>
    </row>
    <row r="13" spans="1:11" ht="15" thickBot="1" x14ac:dyDescent="0.35">
      <c r="A13" s="62" t="s">
        <v>26</v>
      </c>
      <c r="B13" s="5" t="s">
        <v>23</v>
      </c>
      <c r="C13" s="58" t="s">
        <v>52</v>
      </c>
      <c r="D13" s="58" t="s">
        <v>76</v>
      </c>
      <c r="E13" s="59">
        <v>2700</v>
      </c>
      <c r="F13" s="30">
        <v>3000</v>
      </c>
      <c r="G13" s="78"/>
      <c r="H13" s="78"/>
      <c r="I13" s="78">
        <v>3094</v>
      </c>
      <c r="J13" s="44"/>
      <c r="K13" s="52"/>
    </row>
    <row r="14" spans="1:11" ht="15" thickBot="1" x14ac:dyDescent="0.35">
      <c r="A14" s="1" t="s">
        <v>26</v>
      </c>
      <c r="B14" s="2" t="s">
        <v>23</v>
      </c>
      <c r="C14" s="60" t="s">
        <v>54</v>
      </c>
      <c r="D14" s="96" t="s">
        <v>82</v>
      </c>
      <c r="E14" s="165">
        <v>3700</v>
      </c>
      <c r="F14" s="29">
        <v>4000</v>
      </c>
      <c r="G14" s="31"/>
      <c r="H14" s="31"/>
      <c r="I14" s="31">
        <v>3096</v>
      </c>
      <c r="J14" s="44"/>
      <c r="K14" s="52"/>
    </row>
    <row r="15" spans="1:11" ht="15" thickBot="1" x14ac:dyDescent="0.35">
      <c r="A15" s="62" t="s">
        <v>26</v>
      </c>
      <c r="B15" s="5" t="s">
        <v>23</v>
      </c>
      <c r="C15" s="58" t="s">
        <v>52</v>
      </c>
      <c r="D15" s="72" t="s">
        <v>82</v>
      </c>
      <c r="E15" s="59">
        <v>900</v>
      </c>
      <c r="F15" s="30">
        <v>1000</v>
      </c>
      <c r="G15" s="31"/>
      <c r="H15" s="31"/>
      <c r="I15" s="31">
        <v>3095</v>
      </c>
      <c r="J15" s="44"/>
      <c r="K15" s="52"/>
    </row>
    <row r="16" spans="1:11" ht="15" thickBot="1" x14ac:dyDescent="0.35">
      <c r="A16" s="1" t="s">
        <v>26</v>
      </c>
      <c r="B16" s="2" t="s">
        <v>23</v>
      </c>
      <c r="C16" s="60" t="s">
        <v>52</v>
      </c>
      <c r="D16" s="96" t="s">
        <v>83</v>
      </c>
      <c r="E16" s="61">
        <v>1800</v>
      </c>
      <c r="F16" s="29">
        <v>2000</v>
      </c>
      <c r="G16" s="31"/>
      <c r="H16" s="10"/>
      <c r="I16" s="31">
        <v>3222</v>
      </c>
      <c r="J16" s="144"/>
      <c r="K16" s="45">
        <v>45973</v>
      </c>
    </row>
    <row r="17" spans="1:11" ht="15" thickBot="1" x14ac:dyDescent="0.35">
      <c r="A17" s="1" t="s">
        <v>26</v>
      </c>
      <c r="B17" s="139" t="s">
        <v>86</v>
      </c>
      <c r="C17" s="60" t="s">
        <v>87</v>
      </c>
      <c r="D17" s="96" t="s">
        <v>88</v>
      </c>
      <c r="E17" s="165">
        <v>3100</v>
      </c>
      <c r="F17" s="29">
        <v>3400</v>
      </c>
      <c r="G17" s="31" t="s">
        <v>139</v>
      </c>
      <c r="H17" s="10"/>
      <c r="I17" s="31"/>
      <c r="J17" s="144"/>
      <c r="K17" s="52"/>
    </row>
    <row r="18" spans="1:11" ht="15" thickBot="1" x14ac:dyDescent="0.35">
      <c r="A18" s="62" t="s">
        <v>26</v>
      </c>
      <c r="B18" s="5" t="s">
        <v>23</v>
      </c>
      <c r="C18" s="58" t="s">
        <v>89</v>
      </c>
      <c r="D18" s="72" t="s">
        <v>88</v>
      </c>
      <c r="E18" s="59">
        <v>900</v>
      </c>
      <c r="F18" s="30">
        <v>1000</v>
      </c>
      <c r="G18" s="168">
        <v>5400</v>
      </c>
      <c r="H18" s="10"/>
      <c r="I18" s="171">
        <v>3223</v>
      </c>
      <c r="J18" s="144"/>
      <c r="K18" s="174">
        <v>45974</v>
      </c>
    </row>
    <row r="19" spans="1:11" ht="15" thickBot="1" x14ac:dyDescent="0.35">
      <c r="A19" s="62" t="s">
        <v>26</v>
      </c>
      <c r="B19" s="5" t="s">
        <v>23</v>
      </c>
      <c r="C19" s="58" t="s">
        <v>52</v>
      </c>
      <c r="D19" s="72" t="s">
        <v>88</v>
      </c>
      <c r="E19" s="59">
        <v>2700</v>
      </c>
      <c r="F19" s="30">
        <v>3000</v>
      </c>
      <c r="G19" s="169"/>
      <c r="H19" s="10"/>
      <c r="I19" s="172"/>
      <c r="J19" s="144"/>
      <c r="K19" s="175"/>
    </row>
    <row r="20" spans="1:11" ht="15" thickBot="1" x14ac:dyDescent="0.35">
      <c r="A20" s="62" t="s">
        <v>26</v>
      </c>
      <c r="B20" s="5" t="s">
        <v>23</v>
      </c>
      <c r="C20" s="58" t="s">
        <v>90</v>
      </c>
      <c r="D20" s="72" t="s">
        <v>88</v>
      </c>
      <c r="E20" s="59">
        <v>1800</v>
      </c>
      <c r="F20" s="30">
        <v>2000</v>
      </c>
      <c r="G20" s="170"/>
      <c r="H20" s="10"/>
      <c r="I20" s="173"/>
      <c r="J20" s="144"/>
      <c r="K20" s="176"/>
    </row>
    <row r="21" spans="1:11" ht="15" thickBot="1" x14ac:dyDescent="0.35">
      <c r="A21" s="62" t="s">
        <v>26</v>
      </c>
      <c r="B21" s="160" t="s">
        <v>37</v>
      </c>
      <c r="C21" s="160" t="s">
        <v>98</v>
      </c>
      <c r="D21" s="160" t="s">
        <v>93</v>
      </c>
      <c r="E21" s="165">
        <v>1100</v>
      </c>
      <c r="F21" s="162">
        <v>1200</v>
      </c>
      <c r="G21" s="31" t="s">
        <v>139</v>
      </c>
      <c r="H21" s="10"/>
      <c r="I21" s="31"/>
      <c r="J21" s="144"/>
      <c r="K21" s="52"/>
    </row>
    <row r="22" spans="1:11" ht="15" thickBot="1" x14ac:dyDescent="0.35">
      <c r="A22" s="62" t="s">
        <v>26</v>
      </c>
      <c r="B22" s="5" t="s">
        <v>96</v>
      </c>
      <c r="C22" s="58" t="s">
        <v>97</v>
      </c>
      <c r="D22" s="72" t="s">
        <v>93</v>
      </c>
      <c r="E22" s="163">
        <v>3700</v>
      </c>
      <c r="F22" s="30">
        <v>4000</v>
      </c>
      <c r="G22" s="31"/>
      <c r="H22" s="10"/>
      <c r="I22" s="31"/>
      <c r="J22" s="144"/>
      <c r="K22" s="52"/>
    </row>
    <row r="23" spans="1:11" ht="15" thickBot="1" x14ac:dyDescent="0.35">
      <c r="A23" s="1" t="s">
        <v>26</v>
      </c>
      <c r="B23" s="2" t="s">
        <v>23</v>
      </c>
      <c r="C23" s="60" t="s">
        <v>90</v>
      </c>
      <c r="D23" s="96" t="s">
        <v>102</v>
      </c>
      <c r="E23" s="61">
        <v>900</v>
      </c>
      <c r="F23" s="29">
        <v>1000</v>
      </c>
      <c r="G23" s="31">
        <v>2000</v>
      </c>
      <c r="H23" s="10"/>
      <c r="I23" s="31">
        <v>3227</v>
      </c>
      <c r="J23" s="144"/>
      <c r="K23" s="45">
        <v>45978</v>
      </c>
    </row>
    <row r="24" spans="1:11" ht="15" thickBot="1" x14ac:dyDescent="0.35">
      <c r="A24" s="62" t="s">
        <v>26</v>
      </c>
      <c r="B24" s="5" t="s">
        <v>23</v>
      </c>
      <c r="C24" s="58" t="s">
        <v>105</v>
      </c>
      <c r="D24" s="72" t="s">
        <v>102</v>
      </c>
      <c r="E24" s="163">
        <v>3700</v>
      </c>
      <c r="F24" s="103">
        <v>4000</v>
      </c>
      <c r="G24" s="31"/>
      <c r="H24" s="10"/>
      <c r="I24" s="31">
        <v>3228</v>
      </c>
      <c r="J24" s="144"/>
      <c r="K24" s="45">
        <v>45978</v>
      </c>
    </row>
    <row r="25" spans="1:11" ht="15" thickBot="1" x14ac:dyDescent="0.35">
      <c r="A25" s="62" t="s">
        <v>26</v>
      </c>
      <c r="B25" s="5" t="s">
        <v>23</v>
      </c>
      <c r="C25" s="58" t="s">
        <v>106</v>
      </c>
      <c r="D25" s="72" t="s">
        <v>102</v>
      </c>
      <c r="E25" s="59">
        <v>1100</v>
      </c>
      <c r="F25" s="103">
        <v>1200</v>
      </c>
      <c r="G25" s="31" t="s">
        <v>140</v>
      </c>
      <c r="H25" s="10"/>
      <c r="I25" s="31">
        <v>3227</v>
      </c>
      <c r="J25" s="144"/>
      <c r="K25" s="45">
        <v>45978</v>
      </c>
    </row>
    <row r="26" spans="1:11" ht="15" thickBot="1" x14ac:dyDescent="0.35">
      <c r="A26" s="1" t="s">
        <v>26</v>
      </c>
      <c r="B26" s="2" t="s">
        <v>23</v>
      </c>
      <c r="C26" s="60" t="s">
        <v>108</v>
      </c>
      <c r="D26" s="60" t="s">
        <v>109</v>
      </c>
      <c r="E26" s="61">
        <v>900</v>
      </c>
      <c r="F26" s="128">
        <v>1000</v>
      </c>
      <c r="G26" s="171">
        <v>3600</v>
      </c>
      <c r="H26" s="10"/>
      <c r="I26" s="171">
        <v>3229</v>
      </c>
      <c r="J26" s="144"/>
      <c r="K26" s="174">
        <v>45979</v>
      </c>
    </row>
    <row r="27" spans="1:11" ht="15" thickBot="1" x14ac:dyDescent="0.35">
      <c r="A27" s="62" t="s">
        <v>26</v>
      </c>
      <c r="B27" s="5" t="s">
        <v>23</v>
      </c>
      <c r="C27" s="58" t="s">
        <v>110</v>
      </c>
      <c r="D27" s="58" t="s">
        <v>109</v>
      </c>
      <c r="E27" s="59">
        <v>1800</v>
      </c>
      <c r="F27" s="103">
        <v>2000</v>
      </c>
      <c r="G27" s="172"/>
      <c r="H27" s="10"/>
      <c r="I27" s="172"/>
      <c r="J27" s="144"/>
      <c r="K27" s="175"/>
    </row>
    <row r="28" spans="1:11" ht="15" thickBot="1" x14ac:dyDescent="0.35">
      <c r="A28" s="62" t="s">
        <v>26</v>
      </c>
      <c r="B28" s="5" t="s">
        <v>23</v>
      </c>
      <c r="C28" s="58" t="s">
        <v>111</v>
      </c>
      <c r="D28" s="58" t="s">
        <v>109</v>
      </c>
      <c r="E28" s="59">
        <v>900</v>
      </c>
      <c r="F28" s="103">
        <v>1000</v>
      </c>
      <c r="G28" s="173"/>
      <c r="H28" s="10"/>
      <c r="I28" s="173"/>
      <c r="J28" s="144"/>
      <c r="K28" s="176"/>
    </row>
    <row r="29" spans="1:11" ht="15" thickBot="1" x14ac:dyDescent="0.35">
      <c r="A29" s="62" t="s">
        <v>26</v>
      </c>
      <c r="B29" s="5" t="s">
        <v>23</v>
      </c>
      <c r="C29" s="58" t="s">
        <v>52</v>
      </c>
      <c r="D29" s="72" t="s">
        <v>116</v>
      </c>
      <c r="E29" s="163">
        <v>900</v>
      </c>
      <c r="F29" s="164">
        <v>1000</v>
      </c>
      <c r="G29" s="31" t="s">
        <v>12</v>
      </c>
      <c r="H29" s="10"/>
      <c r="I29" s="31"/>
      <c r="J29" s="144"/>
      <c r="K29" s="52"/>
    </row>
    <row r="30" spans="1:11" ht="15" thickBot="1" x14ac:dyDescent="0.35">
      <c r="A30" s="62" t="s">
        <v>26</v>
      </c>
      <c r="B30" s="5" t="s">
        <v>23</v>
      </c>
      <c r="C30" s="58" t="s">
        <v>52</v>
      </c>
      <c r="D30" s="72" t="s">
        <v>121</v>
      </c>
      <c r="E30" s="59">
        <v>1800</v>
      </c>
      <c r="F30" s="103">
        <v>2000</v>
      </c>
      <c r="G30" s="171">
        <v>2700</v>
      </c>
      <c r="H30" s="10"/>
      <c r="I30" s="171">
        <v>3231</v>
      </c>
      <c r="J30" s="144"/>
      <c r="K30" s="174">
        <v>45981</v>
      </c>
    </row>
    <row r="31" spans="1:11" ht="15" thickBot="1" x14ac:dyDescent="0.35">
      <c r="A31" s="133" t="s">
        <v>26</v>
      </c>
      <c r="B31" s="5" t="s">
        <v>23</v>
      </c>
      <c r="C31" s="58" t="s">
        <v>122</v>
      </c>
      <c r="D31" s="72" t="s">
        <v>121</v>
      </c>
      <c r="E31" s="59">
        <v>900</v>
      </c>
      <c r="F31" s="103">
        <v>1000</v>
      </c>
      <c r="G31" s="173"/>
      <c r="H31" s="10"/>
      <c r="I31" s="173"/>
      <c r="J31" s="144"/>
      <c r="K31" s="176"/>
    </row>
    <row r="32" spans="1:11" ht="15" thickBot="1" x14ac:dyDescent="0.35">
      <c r="A32" s="1" t="s">
        <v>26</v>
      </c>
      <c r="B32" s="2" t="s">
        <v>23</v>
      </c>
      <c r="C32" s="60" t="s">
        <v>129</v>
      </c>
      <c r="D32" s="96" t="s">
        <v>130</v>
      </c>
      <c r="E32" s="61">
        <v>900</v>
      </c>
      <c r="F32" s="128">
        <v>1000</v>
      </c>
      <c r="G32" s="31"/>
      <c r="H32" s="10"/>
      <c r="I32" s="31"/>
      <c r="J32" s="144"/>
      <c r="K32" s="52"/>
    </row>
    <row r="33" spans="1:11" ht="15" thickBot="1" x14ac:dyDescent="0.35">
      <c r="A33" s="62" t="s">
        <v>26</v>
      </c>
      <c r="B33" s="5" t="s">
        <v>23</v>
      </c>
      <c r="C33" s="58" t="s">
        <v>52</v>
      </c>
      <c r="D33" s="72" t="s">
        <v>130</v>
      </c>
      <c r="E33" s="59">
        <v>1800</v>
      </c>
      <c r="F33" s="103">
        <v>2000</v>
      </c>
      <c r="G33" s="31"/>
      <c r="H33" s="10"/>
      <c r="I33" s="31"/>
      <c r="J33" s="144"/>
      <c r="K33" s="52"/>
    </row>
    <row r="34" spans="1:11" ht="15" thickBot="1" x14ac:dyDescent="0.35">
      <c r="A34" s="1" t="s">
        <v>26</v>
      </c>
      <c r="B34" s="2" t="s">
        <v>23</v>
      </c>
      <c r="C34" s="60" t="s">
        <v>52</v>
      </c>
      <c r="D34" s="96" t="s">
        <v>131</v>
      </c>
      <c r="E34" s="61">
        <v>900</v>
      </c>
      <c r="F34" s="128">
        <v>1000</v>
      </c>
      <c r="G34" s="31"/>
      <c r="H34" s="10"/>
      <c r="I34" s="31"/>
      <c r="J34" s="144"/>
      <c r="K34" s="52"/>
    </row>
    <row r="35" spans="1:11" ht="15" thickBot="1" x14ac:dyDescent="0.35">
      <c r="A35" s="62" t="s">
        <v>26</v>
      </c>
      <c r="B35" s="5" t="s">
        <v>23</v>
      </c>
      <c r="C35" s="81" t="s">
        <v>52</v>
      </c>
      <c r="D35" s="72" t="s">
        <v>136</v>
      </c>
      <c r="E35" s="59">
        <v>900</v>
      </c>
      <c r="F35" s="103">
        <v>1000</v>
      </c>
      <c r="G35" s="31"/>
      <c r="H35" s="10"/>
      <c r="I35" s="31"/>
      <c r="J35" s="144"/>
      <c r="K35" s="52"/>
    </row>
    <row r="36" spans="1:11" ht="15" thickBot="1" x14ac:dyDescent="0.35">
      <c r="A36" s="62" t="s">
        <v>26</v>
      </c>
      <c r="B36" s="5" t="s">
        <v>23</v>
      </c>
      <c r="C36" s="154" t="s">
        <v>137</v>
      </c>
      <c r="D36" s="155" t="s">
        <v>136</v>
      </c>
      <c r="E36" s="59">
        <v>900</v>
      </c>
      <c r="F36" s="103">
        <v>1000</v>
      </c>
      <c r="G36" s="31"/>
      <c r="H36" s="10"/>
      <c r="I36" s="31"/>
      <c r="J36" s="144"/>
      <c r="K36" s="52"/>
    </row>
    <row r="37" spans="1:11" ht="15" thickBot="1" x14ac:dyDescent="0.35">
      <c r="A37" s="1" t="s">
        <v>26</v>
      </c>
      <c r="B37" s="2" t="s">
        <v>23</v>
      </c>
      <c r="C37" s="156" t="s">
        <v>137</v>
      </c>
      <c r="D37" s="96" t="s">
        <v>135</v>
      </c>
      <c r="E37" s="157">
        <v>900</v>
      </c>
      <c r="F37" s="128">
        <v>1000</v>
      </c>
      <c r="G37" s="31"/>
      <c r="H37" s="10"/>
      <c r="I37" s="31"/>
      <c r="J37" s="144"/>
      <c r="K37" s="52"/>
    </row>
    <row r="38" spans="1:11" x14ac:dyDescent="0.3">
      <c r="A38" s="12"/>
      <c r="B38" s="13"/>
      <c r="C38" s="129"/>
      <c r="D38" s="130"/>
      <c r="E38" s="131"/>
      <c r="F38" s="14"/>
      <c r="G38" s="12"/>
      <c r="H38" s="36"/>
      <c r="I38" s="12"/>
      <c r="J38" s="132"/>
      <c r="K38" s="36"/>
    </row>
    <row r="39" spans="1:11" ht="15" customHeight="1" x14ac:dyDescent="0.3">
      <c r="E39" s="24">
        <f>SUM(E2:E37)</f>
        <v>68900</v>
      </c>
      <c r="F39" s="24">
        <f>SUM(F2:F37)</f>
        <v>75850</v>
      </c>
      <c r="G39" s="24">
        <v>16200</v>
      </c>
      <c r="I39">
        <f>E39-G39</f>
        <v>52700</v>
      </c>
    </row>
  </sheetData>
  <mergeCells count="12">
    <mergeCell ref="K18:K20"/>
    <mergeCell ref="G26:G28"/>
    <mergeCell ref="I26:I28"/>
    <mergeCell ref="K26:K28"/>
    <mergeCell ref="G30:G31"/>
    <mergeCell ref="I30:I31"/>
    <mergeCell ref="K30:K31"/>
    <mergeCell ref="G4:G5"/>
    <mergeCell ref="G6:G7"/>
    <mergeCell ref="G9:G10"/>
    <mergeCell ref="G18:G20"/>
    <mergeCell ref="I18:I20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A2" sqref="A2:XFD2"/>
    </sheetView>
  </sheetViews>
  <sheetFormatPr defaultRowHeight="14.4" x14ac:dyDescent="0.3"/>
  <cols>
    <col min="1" max="1" width="23.33203125" customWidth="1"/>
    <col min="2" max="2" width="20.88671875" customWidth="1"/>
    <col min="3" max="3" width="17.88671875" customWidth="1"/>
    <col min="4" max="4" width="13.88671875" customWidth="1"/>
    <col min="5" max="5" width="13.5546875" customWidth="1"/>
    <col min="6" max="6" width="14.5546875" customWidth="1"/>
    <col min="7" max="7" width="13.88671875" customWidth="1"/>
    <col min="9" max="9" width="10.109375" bestFit="1" customWidth="1"/>
  </cols>
  <sheetData>
    <row r="1" spans="1:9" ht="15" thickBot="1" x14ac:dyDescent="0.35">
      <c r="A1" s="18"/>
      <c r="B1" s="19"/>
      <c r="C1" s="32"/>
      <c r="D1" s="32"/>
      <c r="E1" s="33"/>
      <c r="F1" s="23"/>
      <c r="G1" s="20"/>
      <c r="H1" t="s">
        <v>19</v>
      </c>
    </row>
    <row r="2" spans="1:9" ht="15" thickBot="1" x14ac:dyDescent="0.35">
      <c r="A2" s="1"/>
      <c r="B2" s="2"/>
      <c r="C2" s="60"/>
      <c r="D2" s="72"/>
      <c r="E2" s="61"/>
      <c r="F2" s="29"/>
      <c r="G2" s="8"/>
      <c r="H2" s="52"/>
      <c r="I2" s="45"/>
    </row>
    <row r="3" spans="1:9" ht="15" thickBot="1" x14ac:dyDescent="0.35">
      <c r="A3" s="1"/>
      <c r="B3" s="2"/>
      <c r="C3" s="49"/>
      <c r="D3" s="50"/>
      <c r="E3" s="51"/>
      <c r="F3" s="3"/>
      <c r="G3" s="8"/>
      <c r="H3" s="10"/>
      <c r="I3" s="10"/>
    </row>
    <row r="4" spans="1:9" ht="15" thickBot="1" x14ac:dyDescent="0.35">
      <c r="A4" s="35"/>
      <c r="B4" s="5"/>
      <c r="C4" s="22"/>
      <c r="D4" s="11"/>
      <c r="E4" s="16"/>
      <c r="F4" s="30"/>
      <c r="G4" s="20"/>
    </row>
    <row r="11" spans="1:9" x14ac:dyDescent="0.3">
      <c r="E11" s="24">
        <f>SUM(E1:E10)</f>
        <v>0</v>
      </c>
      <c r="F11" s="6">
        <f>SUM(F1:F10)</f>
        <v>0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3"/>
  <sheetViews>
    <sheetView workbookViewId="0">
      <selection activeCell="I8" sqref="I8"/>
    </sheetView>
  </sheetViews>
  <sheetFormatPr defaultRowHeight="14.4" x14ac:dyDescent="0.3"/>
  <cols>
    <col min="1" max="1" width="23.88671875" customWidth="1"/>
    <col min="2" max="2" width="41.33203125" customWidth="1"/>
    <col min="3" max="3" width="38.6640625" customWidth="1"/>
    <col min="4" max="4" width="12.6640625" customWidth="1"/>
    <col min="5" max="5" width="8.44140625" customWidth="1"/>
    <col min="6" max="6" width="11" customWidth="1"/>
    <col min="7" max="7" width="17.88671875" customWidth="1"/>
    <col min="8" max="8" width="7.109375" customWidth="1"/>
    <col min="9" max="9" width="10.109375" bestFit="1" customWidth="1"/>
  </cols>
  <sheetData>
    <row r="1" spans="1:9" ht="15" thickBot="1" x14ac:dyDescent="0.35">
      <c r="A1" s="18"/>
      <c r="B1" s="19"/>
      <c r="C1" s="19"/>
      <c r="D1" s="32"/>
      <c r="E1" s="33"/>
      <c r="F1" s="21"/>
      <c r="G1" s="20" t="s">
        <v>30</v>
      </c>
      <c r="H1" s="43"/>
      <c r="I1" s="43"/>
    </row>
    <row r="2" spans="1:9" ht="15" thickBot="1" x14ac:dyDescent="0.35">
      <c r="A2" s="18" t="s">
        <v>60</v>
      </c>
      <c r="B2" s="19" t="s">
        <v>61</v>
      </c>
      <c r="C2" s="93" t="s">
        <v>62</v>
      </c>
      <c r="D2" s="98" t="s">
        <v>63</v>
      </c>
      <c r="E2" s="94">
        <v>13500</v>
      </c>
      <c r="F2" s="95">
        <v>14500</v>
      </c>
      <c r="G2" s="4">
        <v>3195</v>
      </c>
      <c r="H2" s="52">
        <v>2642</v>
      </c>
      <c r="I2" s="45">
        <v>45967</v>
      </c>
    </row>
    <row r="3" spans="1:9" ht="18.600000000000001" customHeight="1" thickBot="1" x14ac:dyDescent="0.35">
      <c r="A3" s="1" t="s">
        <v>60</v>
      </c>
      <c r="B3" s="2" t="s">
        <v>68</v>
      </c>
      <c r="C3" s="60" t="s">
        <v>62</v>
      </c>
      <c r="D3" s="96" t="s">
        <v>69</v>
      </c>
      <c r="E3" s="61">
        <v>7000</v>
      </c>
      <c r="F3" s="29">
        <v>7700</v>
      </c>
      <c r="G3" s="4">
        <v>3196</v>
      </c>
      <c r="H3" s="52">
        <v>2643</v>
      </c>
      <c r="I3" s="45">
        <v>45968</v>
      </c>
    </row>
    <row r="4" spans="1:9" ht="15" thickBot="1" x14ac:dyDescent="0.35">
      <c r="A4" s="62" t="s">
        <v>60</v>
      </c>
      <c r="B4" s="5" t="s">
        <v>77</v>
      </c>
      <c r="C4" s="58" t="s">
        <v>62</v>
      </c>
      <c r="D4" s="58" t="s">
        <v>78</v>
      </c>
      <c r="E4" s="59">
        <v>17000</v>
      </c>
      <c r="F4" s="30">
        <v>18600</v>
      </c>
      <c r="G4" s="4">
        <v>3197</v>
      </c>
      <c r="H4" s="52">
        <v>2644</v>
      </c>
      <c r="I4" s="45">
        <v>45972</v>
      </c>
    </row>
    <row r="5" spans="1:9" ht="15" thickBot="1" x14ac:dyDescent="0.35">
      <c r="A5" s="62" t="s">
        <v>60</v>
      </c>
      <c r="B5" s="5" t="s">
        <v>84</v>
      </c>
      <c r="C5" s="58" t="s">
        <v>62</v>
      </c>
      <c r="D5" s="72" t="s">
        <v>85</v>
      </c>
      <c r="E5" s="59">
        <v>13000</v>
      </c>
      <c r="F5" s="30">
        <v>14000</v>
      </c>
      <c r="G5" s="4">
        <v>3267</v>
      </c>
      <c r="H5" s="52">
        <v>2712</v>
      </c>
      <c r="I5" s="45">
        <v>45974</v>
      </c>
    </row>
    <row r="6" spans="1:9" ht="15" thickBot="1" x14ac:dyDescent="0.35">
      <c r="A6" s="1" t="s">
        <v>60</v>
      </c>
      <c r="B6" s="2" t="s">
        <v>57</v>
      </c>
      <c r="C6" s="60" t="s">
        <v>112</v>
      </c>
      <c r="D6" s="96" t="s">
        <v>113</v>
      </c>
      <c r="E6" s="61">
        <v>51000</v>
      </c>
      <c r="F6" s="128">
        <v>53600</v>
      </c>
      <c r="G6" s="4">
        <v>3269</v>
      </c>
      <c r="H6" s="10">
        <v>2715</v>
      </c>
      <c r="I6" s="9">
        <v>45980</v>
      </c>
    </row>
    <row r="7" spans="1:9" ht="15" thickBot="1" x14ac:dyDescent="0.35">
      <c r="A7" s="62" t="s">
        <v>60</v>
      </c>
      <c r="B7" s="5" t="s">
        <v>57</v>
      </c>
      <c r="C7" s="58" t="s">
        <v>114</v>
      </c>
      <c r="D7" s="72" t="s">
        <v>113</v>
      </c>
      <c r="E7" s="59">
        <v>30000</v>
      </c>
      <c r="F7" s="103">
        <v>31000</v>
      </c>
      <c r="G7" s="4">
        <v>3268</v>
      </c>
      <c r="H7" s="10">
        <v>2714</v>
      </c>
      <c r="I7" s="9">
        <v>45980</v>
      </c>
    </row>
    <row r="8" spans="1:9" ht="15" thickBot="1" x14ac:dyDescent="0.35">
      <c r="A8" s="1"/>
      <c r="B8" s="5"/>
      <c r="C8" s="58"/>
      <c r="D8" s="72"/>
      <c r="E8" s="59"/>
      <c r="F8" s="103"/>
      <c r="G8" s="31"/>
      <c r="H8" s="10"/>
      <c r="I8" s="10"/>
    </row>
    <row r="9" spans="1:9" ht="15" thickBot="1" x14ac:dyDescent="0.35">
      <c r="A9" s="18"/>
      <c r="B9" s="19"/>
      <c r="C9" s="93"/>
      <c r="D9" s="98"/>
      <c r="E9" s="94"/>
      <c r="F9" s="112"/>
      <c r="G9" s="31"/>
      <c r="H9" s="10"/>
      <c r="I9" s="10"/>
    </row>
    <row r="10" spans="1:9" ht="15" thickBot="1" x14ac:dyDescent="0.35">
      <c r="A10" s="62"/>
      <c r="B10" s="19"/>
      <c r="C10" s="92"/>
      <c r="D10" s="93"/>
      <c r="E10" s="94"/>
      <c r="F10" s="95"/>
      <c r="G10" s="12"/>
      <c r="H10" s="36"/>
      <c r="I10" s="36"/>
    </row>
    <row r="11" spans="1:9" x14ac:dyDescent="0.3">
      <c r="A11" s="12"/>
      <c r="B11" s="13"/>
      <c r="C11" s="34"/>
      <c r="D11" s="27"/>
      <c r="E11" s="28"/>
      <c r="F11" s="14"/>
      <c r="G11" s="12"/>
      <c r="H11" s="36"/>
      <c r="I11" s="36"/>
    </row>
    <row r="12" spans="1:9" x14ac:dyDescent="0.3">
      <c r="A12" s="12"/>
      <c r="B12" s="13"/>
      <c r="C12" s="27"/>
      <c r="D12" s="27"/>
      <c r="E12" s="28"/>
      <c r="F12" s="15"/>
      <c r="G12" s="12"/>
      <c r="I12" t="s">
        <v>31</v>
      </c>
    </row>
    <row r="13" spans="1:9" x14ac:dyDescent="0.3">
      <c r="E13" s="24">
        <f>SUM(E1:E10)</f>
        <v>131500</v>
      </c>
      <c r="F13" s="57">
        <f>SUM(F1:F10)</f>
        <v>139400</v>
      </c>
      <c r="G13" s="57">
        <v>37500</v>
      </c>
      <c r="I13" s="6">
        <f>E13-G13</f>
        <v>94000</v>
      </c>
    </row>
  </sheetData>
  <pageMargins left="0.7" right="0.7" top="0.75" bottom="0.75" header="0.3" footer="0.3"/>
  <pageSetup paperSize="9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F28" sqref="F28"/>
    </sheetView>
  </sheetViews>
  <sheetFormatPr defaultRowHeight="14.4" x14ac:dyDescent="0.3"/>
  <cols>
    <col min="1" max="1" width="22.6640625" customWidth="1"/>
    <col min="2" max="2" width="23.33203125" customWidth="1"/>
    <col min="3" max="3" width="18" customWidth="1"/>
    <col min="4" max="4" width="13.88671875" customWidth="1"/>
    <col min="5" max="5" width="7.88671875" customWidth="1"/>
    <col min="7" max="7" width="9.44140625" customWidth="1"/>
    <col min="8" max="8" width="8.44140625" style="75" customWidth="1"/>
    <col min="9" max="9" width="7.6640625" customWidth="1"/>
    <col min="10" max="10" width="9.77734375" style="75" customWidth="1"/>
    <col min="11" max="11" width="5.109375" customWidth="1"/>
    <col min="12" max="12" width="10.109375" bestFit="1" customWidth="1"/>
  </cols>
  <sheetData>
    <row r="1" spans="1:12" x14ac:dyDescent="0.3">
      <c r="H1" s="75" t="s">
        <v>0</v>
      </c>
      <c r="J1" s="75" t="s">
        <v>18</v>
      </c>
      <c r="L1" t="s">
        <v>20</v>
      </c>
    </row>
    <row r="2" spans="1:12" ht="23.4" customHeight="1" x14ac:dyDescent="0.3">
      <c r="A2" s="31" t="s">
        <v>33</v>
      </c>
      <c r="B2" s="41" t="s">
        <v>37</v>
      </c>
      <c r="C2" s="148" t="s">
        <v>40</v>
      </c>
      <c r="D2" s="148" t="s">
        <v>41</v>
      </c>
      <c r="E2" s="149">
        <v>3500</v>
      </c>
      <c r="F2" s="40">
        <v>3850</v>
      </c>
      <c r="G2" s="31"/>
      <c r="H2" s="147"/>
      <c r="I2" s="9"/>
      <c r="J2" s="56"/>
      <c r="K2" s="145"/>
      <c r="L2" s="85"/>
    </row>
    <row r="3" spans="1:12" x14ac:dyDescent="0.3">
      <c r="A3" s="31" t="s">
        <v>33</v>
      </c>
      <c r="B3" s="41" t="s">
        <v>47</v>
      </c>
      <c r="C3" s="148" t="s">
        <v>48</v>
      </c>
      <c r="D3" s="150" t="s">
        <v>49</v>
      </c>
      <c r="E3" s="149">
        <v>7000</v>
      </c>
      <c r="F3" s="40">
        <v>7700</v>
      </c>
      <c r="G3" s="31"/>
      <c r="H3" s="147"/>
      <c r="I3" s="9"/>
      <c r="J3" s="56"/>
      <c r="K3" s="145"/>
      <c r="L3" s="85"/>
    </row>
    <row r="4" spans="1:12" x14ac:dyDescent="0.3">
      <c r="A4" s="31" t="s">
        <v>33</v>
      </c>
      <c r="B4" s="41" t="s">
        <v>91</v>
      </c>
      <c r="C4" s="148" t="s">
        <v>92</v>
      </c>
      <c r="D4" s="150" t="s">
        <v>93</v>
      </c>
      <c r="E4" s="149">
        <v>15000</v>
      </c>
      <c r="F4" s="40">
        <v>15000</v>
      </c>
      <c r="G4" s="31"/>
      <c r="H4" s="147"/>
      <c r="I4" s="9"/>
      <c r="J4" s="56"/>
      <c r="K4" s="145"/>
      <c r="L4" s="85"/>
    </row>
    <row r="5" spans="1:12" x14ac:dyDescent="0.3">
      <c r="A5" s="31" t="s">
        <v>33</v>
      </c>
      <c r="B5" s="41" t="s">
        <v>94</v>
      </c>
      <c r="C5" s="148" t="s">
        <v>95</v>
      </c>
      <c r="D5" s="150" t="s">
        <v>93</v>
      </c>
      <c r="E5" s="149">
        <v>2500</v>
      </c>
      <c r="F5" s="40">
        <v>2750</v>
      </c>
      <c r="G5" s="31"/>
      <c r="H5" s="147"/>
      <c r="I5" s="9"/>
      <c r="J5" s="56"/>
      <c r="K5" s="145"/>
      <c r="L5" s="85"/>
    </row>
    <row r="6" spans="1:12" x14ac:dyDescent="0.3">
      <c r="A6" s="31" t="s">
        <v>33</v>
      </c>
      <c r="B6" s="41" t="s">
        <v>103</v>
      </c>
      <c r="C6" s="148" t="s">
        <v>104</v>
      </c>
      <c r="D6" s="148" t="s">
        <v>102</v>
      </c>
      <c r="E6" s="149">
        <v>6000</v>
      </c>
      <c r="F6" s="40">
        <v>6500</v>
      </c>
      <c r="G6" s="31"/>
      <c r="H6" s="56"/>
      <c r="I6" s="10"/>
      <c r="J6" s="56"/>
      <c r="K6" s="145"/>
    </row>
    <row r="7" spans="1:12" x14ac:dyDescent="0.3">
      <c r="A7" s="31" t="s">
        <v>33</v>
      </c>
      <c r="B7" s="41" t="s">
        <v>44</v>
      </c>
      <c r="C7" s="148" t="s">
        <v>115</v>
      </c>
      <c r="D7" s="150" t="s">
        <v>116</v>
      </c>
      <c r="E7" s="149">
        <v>2500</v>
      </c>
      <c r="F7" s="40">
        <v>2750</v>
      </c>
      <c r="G7" s="31"/>
      <c r="H7" s="56"/>
      <c r="I7" s="10"/>
      <c r="J7" s="56"/>
      <c r="K7" s="145"/>
    </row>
    <row r="8" spans="1:12" x14ac:dyDescent="0.3">
      <c r="A8" s="31" t="s">
        <v>33</v>
      </c>
      <c r="B8" s="41" t="s">
        <v>91</v>
      </c>
      <c r="C8" s="148" t="s">
        <v>92</v>
      </c>
      <c r="D8" s="150" t="s">
        <v>117</v>
      </c>
      <c r="E8" s="149">
        <v>13000</v>
      </c>
      <c r="F8" s="40">
        <v>13000</v>
      </c>
      <c r="G8" s="31"/>
      <c r="H8" s="56"/>
      <c r="I8" s="10"/>
      <c r="J8" s="56"/>
      <c r="K8" s="145"/>
    </row>
    <row r="9" spans="1:12" x14ac:dyDescent="0.3">
      <c r="A9" s="31" t="s">
        <v>33</v>
      </c>
      <c r="B9" s="41" t="s">
        <v>37</v>
      </c>
      <c r="C9" s="148" t="s">
        <v>40</v>
      </c>
      <c r="D9" s="150" t="s">
        <v>121</v>
      </c>
      <c r="E9" s="149">
        <v>3500</v>
      </c>
      <c r="F9" s="40">
        <v>3850</v>
      </c>
      <c r="G9" s="31"/>
      <c r="H9" s="56"/>
      <c r="I9" s="10"/>
      <c r="J9" s="56"/>
      <c r="K9" s="145"/>
    </row>
    <row r="10" spans="1:12" x14ac:dyDescent="0.3">
      <c r="A10" s="12"/>
      <c r="B10" s="13"/>
      <c r="C10" s="79"/>
      <c r="D10" s="79"/>
      <c r="E10" s="80"/>
      <c r="F10" s="14"/>
      <c r="G10" s="12"/>
    </row>
    <row r="11" spans="1:12" x14ac:dyDescent="0.3">
      <c r="E11" s="24">
        <f>SUM(E2:E9)</f>
        <v>53000</v>
      </c>
      <c r="F11" s="24">
        <f>SUM(F2:F9)</f>
        <v>55400</v>
      </c>
      <c r="G11">
        <v>53000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selection activeCell="I4" sqref="I4"/>
    </sheetView>
  </sheetViews>
  <sheetFormatPr defaultRowHeight="14.4" x14ac:dyDescent="0.3"/>
  <cols>
    <col min="1" max="1" width="19.33203125" customWidth="1"/>
    <col min="2" max="2" width="24.88671875" customWidth="1"/>
    <col min="3" max="3" width="31.6640625" customWidth="1"/>
    <col min="4" max="4" width="13.33203125" customWidth="1"/>
    <col min="7" max="7" width="16.5546875" customWidth="1"/>
    <col min="9" max="10" width="10.109375" bestFit="1" customWidth="1"/>
  </cols>
  <sheetData>
    <row r="1" spans="1:10" x14ac:dyDescent="0.3">
      <c r="H1" s="10" t="s">
        <v>2</v>
      </c>
      <c r="I1" s="10" t="s">
        <v>7</v>
      </c>
      <c r="J1" t="s">
        <v>21</v>
      </c>
    </row>
    <row r="2" spans="1:10" ht="15" thickBot="1" x14ac:dyDescent="0.35">
      <c r="A2" s="62" t="s">
        <v>118</v>
      </c>
      <c r="B2" s="5" t="s">
        <v>119</v>
      </c>
      <c r="C2" s="58" t="s">
        <v>62</v>
      </c>
      <c r="D2" s="72" t="s">
        <v>120</v>
      </c>
      <c r="E2" s="59">
        <v>23000</v>
      </c>
      <c r="F2" s="103">
        <v>25300</v>
      </c>
      <c r="G2" s="4"/>
      <c r="H2" s="10">
        <v>16238</v>
      </c>
      <c r="I2" s="9">
        <v>45982</v>
      </c>
      <c r="J2" s="85"/>
    </row>
    <row r="3" spans="1:10" ht="43.8" thickBot="1" x14ac:dyDescent="0.35">
      <c r="A3" s="1" t="s">
        <v>118</v>
      </c>
      <c r="B3" s="2" t="s">
        <v>37</v>
      </c>
      <c r="C3" s="153" t="s">
        <v>134</v>
      </c>
      <c r="D3" s="96" t="s">
        <v>135</v>
      </c>
      <c r="E3" s="61">
        <v>6500</v>
      </c>
      <c r="F3" s="128">
        <v>7000</v>
      </c>
      <c r="G3" s="4"/>
      <c r="H3" s="10">
        <v>16280</v>
      </c>
      <c r="I3" s="69">
        <v>45989</v>
      </c>
      <c r="J3" s="85"/>
    </row>
    <row r="4" spans="1:10" ht="15" thickBot="1" x14ac:dyDescent="0.35">
      <c r="A4" s="18"/>
      <c r="B4" s="2"/>
      <c r="C4" s="58"/>
      <c r="D4" s="72"/>
      <c r="E4" s="59"/>
      <c r="F4" s="108"/>
      <c r="G4" s="8"/>
    </row>
    <row r="5" spans="1:10" x14ac:dyDescent="0.3">
      <c r="A5" s="18"/>
      <c r="B5" s="19"/>
      <c r="C5" s="109"/>
      <c r="D5" s="110"/>
      <c r="E5" s="94"/>
      <c r="F5" s="111"/>
    </row>
    <row r="11" spans="1:10" x14ac:dyDescent="0.3">
      <c r="E11" s="25">
        <f>SUM(E2:E10)</f>
        <v>29500</v>
      </c>
      <c r="F11">
        <f>SUM(F2:F10)</f>
        <v>32300</v>
      </c>
      <c r="G11">
        <v>23000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2"/>
  <sheetViews>
    <sheetView workbookViewId="0">
      <selection activeCell="A2" sqref="A2:F2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  <col min="9" max="9" width="10.109375" bestFit="1" customWidth="1"/>
  </cols>
  <sheetData>
    <row r="1" spans="1:10" ht="16.5" customHeight="1" thickBot="1" x14ac:dyDescent="0.35">
      <c r="A1" s="31"/>
      <c r="B1" s="41"/>
      <c r="C1" s="38"/>
      <c r="D1" s="46"/>
      <c r="E1" s="47"/>
      <c r="F1" s="48"/>
      <c r="G1" s="104"/>
      <c r="H1" s="43"/>
      <c r="I1">
        <v>1</v>
      </c>
      <c r="J1" s="26"/>
    </row>
    <row r="2" spans="1:10" x14ac:dyDescent="0.3">
      <c r="A2" s="116"/>
      <c r="B2" s="19"/>
      <c r="C2" s="93"/>
      <c r="D2" s="98"/>
      <c r="E2" s="94"/>
      <c r="F2" s="95"/>
      <c r="G2" s="31"/>
      <c r="H2" s="10"/>
      <c r="I2" s="9"/>
    </row>
    <row r="3" spans="1:10" ht="15" thickBot="1" x14ac:dyDescent="0.35">
      <c r="A3" s="101"/>
      <c r="B3" s="5"/>
      <c r="C3" s="81"/>
      <c r="D3" s="72"/>
      <c r="E3" s="59"/>
      <c r="F3" s="103"/>
      <c r="G3" s="31"/>
      <c r="H3" s="10"/>
      <c r="I3" s="10"/>
    </row>
    <row r="4" spans="1:10" x14ac:dyDescent="0.3">
      <c r="A4" s="31"/>
      <c r="B4" s="41"/>
      <c r="C4" s="37"/>
      <c r="D4" s="46"/>
      <c r="E4" s="47"/>
      <c r="F4" s="48"/>
      <c r="G4" s="105"/>
      <c r="H4" s="106"/>
    </row>
    <row r="5" spans="1:10" x14ac:dyDescent="0.3">
      <c r="A5" s="31"/>
      <c r="B5" s="41"/>
      <c r="C5" s="37"/>
      <c r="D5" s="46"/>
      <c r="E5" s="47"/>
      <c r="F5" s="48"/>
      <c r="G5" s="31"/>
      <c r="H5" s="10"/>
    </row>
    <row r="6" spans="1:10" x14ac:dyDescent="0.3">
      <c r="A6" s="31"/>
      <c r="B6" s="41"/>
      <c r="C6" s="37"/>
      <c r="D6" s="46"/>
      <c r="E6" s="47"/>
      <c r="F6" s="48"/>
      <c r="G6" s="31"/>
      <c r="H6" s="10"/>
    </row>
    <row r="7" spans="1:10" x14ac:dyDescent="0.3">
      <c r="A7" s="31"/>
      <c r="B7" s="41"/>
      <c r="C7" s="37"/>
      <c r="D7" s="38"/>
      <c r="E7" s="39"/>
      <c r="F7" s="42"/>
      <c r="G7" s="31"/>
      <c r="H7" s="10"/>
    </row>
    <row r="8" spans="1:10" x14ac:dyDescent="0.3">
      <c r="A8" s="31"/>
      <c r="B8" s="41"/>
      <c r="C8" s="37"/>
      <c r="D8" s="38"/>
      <c r="E8" s="39"/>
      <c r="F8" s="40"/>
      <c r="G8" s="31"/>
      <c r="H8" s="10"/>
    </row>
    <row r="9" spans="1:10" x14ac:dyDescent="0.3">
      <c r="A9" s="12"/>
      <c r="B9" s="13"/>
      <c r="C9" s="34"/>
      <c r="D9" s="27"/>
      <c r="E9" s="28"/>
      <c r="F9" s="15"/>
      <c r="G9" s="12"/>
    </row>
    <row r="10" spans="1:10" x14ac:dyDescent="0.3">
      <c r="A10" s="12"/>
      <c r="B10" s="13"/>
      <c r="C10" s="34"/>
      <c r="D10" s="27"/>
      <c r="E10" s="28"/>
      <c r="F10" s="15"/>
      <c r="G10" s="12"/>
    </row>
    <row r="11" spans="1:10" x14ac:dyDescent="0.3">
      <c r="A11" s="12"/>
      <c r="B11" s="13"/>
      <c r="C11" s="34"/>
      <c r="D11" s="27"/>
      <c r="E11" s="14"/>
      <c r="F11" s="15"/>
      <c r="G11" s="12"/>
    </row>
    <row r="12" spans="1:10" x14ac:dyDescent="0.3">
      <c r="E12" s="24">
        <f>SUM(E1:E8)</f>
        <v>0</v>
      </c>
      <c r="F12" s="24">
        <f>SUM(F1:F8)</f>
        <v>0</v>
      </c>
    </row>
  </sheetData>
  <pageMargins left="0.7" right="0.7" top="0.75" bottom="0.75" header="0.3" footer="0.3"/>
  <pageSetup paperSize="9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selection activeCell="A2" sqref="A2:F2"/>
    </sheetView>
  </sheetViews>
  <sheetFormatPr defaultRowHeight="14.4" x14ac:dyDescent="0.3"/>
  <cols>
    <col min="1" max="1" width="17.109375" customWidth="1"/>
    <col min="2" max="2" width="32.6640625" customWidth="1"/>
    <col min="3" max="3" width="17.5546875" customWidth="1"/>
    <col min="4" max="4" width="13.88671875" customWidth="1"/>
    <col min="5" max="5" width="14.44140625" customWidth="1"/>
    <col min="7" max="7" width="8" customWidth="1"/>
    <col min="9" max="9" width="10.109375" bestFit="1" customWidth="1"/>
  </cols>
  <sheetData>
    <row r="1" spans="1:10" ht="15" thickBot="1" x14ac:dyDescent="0.35">
      <c r="H1" t="s">
        <v>0</v>
      </c>
      <c r="I1" t="s">
        <v>1</v>
      </c>
      <c r="J1" t="s">
        <v>3</v>
      </c>
    </row>
    <row r="2" spans="1:10" ht="15" thickBot="1" x14ac:dyDescent="0.35">
      <c r="A2" s="18"/>
      <c r="B2" s="19"/>
      <c r="C2" s="93"/>
      <c r="D2" s="98"/>
      <c r="E2" s="94"/>
      <c r="F2" s="95"/>
      <c r="G2" s="4"/>
      <c r="H2" s="56"/>
      <c r="I2" s="9"/>
      <c r="J2" s="10"/>
    </row>
    <row r="3" spans="1:10" ht="15" thickBot="1" x14ac:dyDescent="0.35">
      <c r="A3" s="1"/>
      <c r="B3" s="19"/>
      <c r="C3" s="92"/>
      <c r="D3" s="98"/>
      <c r="E3" s="94"/>
      <c r="F3" s="95"/>
      <c r="G3" s="4"/>
      <c r="H3" s="56"/>
      <c r="I3" s="9"/>
      <c r="J3" s="10"/>
    </row>
    <row r="4" spans="1:10" ht="15" thickBot="1" x14ac:dyDescent="0.35">
      <c r="A4" s="1"/>
      <c r="B4" s="2"/>
      <c r="C4" s="97"/>
      <c r="D4" s="72"/>
      <c r="E4" s="90"/>
      <c r="F4" s="30"/>
      <c r="G4" s="10"/>
      <c r="H4" s="10"/>
      <c r="I4" s="10"/>
      <c r="J4" s="10"/>
    </row>
    <row r="5" spans="1:10" ht="15" thickBot="1" x14ac:dyDescent="0.35">
      <c r="A5" s="62"/>
      <c r="B5" s="19"/>
      <c r="C5" s="92"/>
      <c r="D5" s="93"/>
      <c r="E5" s="94"/>
      <c r="F5" s="95"/>
      <c r="G5" s="10"/>
      <c r="H5" s="10"/>
      <c r="I5" s="10"/>
      <c r="J5" s="10"/>
    </row>
    <row r="7" spans="1:10" x14ac:dyDescent="0.3">
      <c r="E7">
        <f>SUM(E2:E6)</f>
        <v>0</v>
      </c>
      <c r="F7" s="6">
        <f>SUM(F2:F6)</f>
        <v>0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8D48-F5DF-4F72-A463-23D973439B67}">
  <sheetPr>
    <pageSetUpPr fitToPage="1"/>
  </sheetPr>
  <dimension ref="A1:J11"/>
  <sheetViews>
    <sheetView workbookViewId="0">
      <selection activeCell="E16" sqref="E16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  <col min="9" max="9" width="10.109375" bestFit="1" customWidth="1"/>
  </cols>
  <sheetData>
    <row r="1" spans="1:10" ht="16.5" customHeight="1" thickBot="1" x14ac:dyDescent="0.35">
      <c r="A1" s="31"/>
      <c r="B1" s="41"/>
      <c r="C1" s="38"/>
      <c r="D1" s="46"/>
      <c r="E1" s="47"/>
      <c r="F1" s="48"/>
      <c r="G1" s="31"/>
      <c r="H1" s="10"/>
      <c r="I1">
        <v>1</v>
      </c>
      <c r="J1" s="26"/>
    </row>
    <row r="2" spans="1:10" ht="15" thickBot="1" x14ac:dyDescent="0.35">
      <c r="A2" s="1"/>
      <c r="B2" s="2"/>
      <c r="C2" s="60"/>
      <c r="D2" s="96"/>
      <c r="E2" s="61"/>
      <c r="F2" s="29"/>
      <c r="G2" s="8"/>
      <c r="I2" s="85"/>
    </row>
    <row r="3" spans="1:10" ht="15" thickBot="1" x14ac:dyDescent="0.35">
      <c r="A3" s="1"/>
      <c r="B3" s="5"/>
      <c r="C3" s="58"/>
      <c r="D3" s="72"/>
      <c r="E3" s="59"/>
      <c r="F3" s="30"/>
      <c r="G3" s="31"/>
      <c r="H3" s="10"/>
    </row>
    <row r="4" spans="1:10" x14ac:dyDescent="0.3">
      <c r="A4" s="31"/>
      <c r="B4" s="41"/>
      <c r="C4" s="37"/>
      <c r="D4" s="46"/>
      <c r="E4" s="47"/>
      <c r="F4" s="48"/>
      <c r="G4" s="31"/>
      <c r="H4" s="10"/>
    </row>
    <row r="5" spans="1:10" x14ac:dyDescent="0.3">
      <c r="A5" s="31"/>
      <c r="B5" s="41"/>
      <c r="C5" s="37"/>
      <c r="D5" s="46"/>
      <c r="E5" s="47"/>
      <c r="F5" s="48"/>
      <c r="G5" s="31"/>
      <c r="H5" s="10"/>
    </row>
    <row r="6" spans="1:10" x14ac:dyDescent="0.3">
      <c r="A6" s="31"/>
      <c r="B6" s="41"/>
      <c r="C6" s="37"/>
      <c r="D6" s="38"/>
      <c r="E6" s="39"/>
      <c r="F6" s="42"/>
      <c r="G6" s="31"/>
      <c r="H6" s="10"/>
    </row>
    <row r="7" spans="1:10" x14ac:dyDescent="0.3">
      <c r="A7" s="31"/>
      <c r="B7" s="41"/>
      <c r="C7" s="37"/>
      <c r="D7" s="38"/>
      <c r="E7" s="39"/>
      <c r="F7" s="40"/>
      <c r="G7" s="31"/>
      <c r="H7" s="10"/>
    </row>
    <row r="8" spans="1:10" x14ac:dyDescent="0.3">
      <c r="A8" s="12"/>
      <c r="B8" s="13"/>
      <c r="C8" s="34"/>
      <c r="D8" s="27"/>
      <c r="E8" s="28"/>
      <c r="F8" s="15"/>
      <c r="G8" s="12"/>
    </row>
    <row r="9" spans="1:10" x14ac:dyDescent="0.3">
      <c r="A9" s="12"/>
      <c r="B9" s="13"/>
      <c r="C9" s="34"/>
      <c r="D9" s="27"/>
      <c r="E9" s="28"/>
      <c r="F9" s="15"/>
      <c r="G9" s="12"/>
    </row>
    <row r="10" spans="1:10" x14ac:dyDescent="0.3">
      <c r="A10" s="12"/>
      <c r="B10" s="13"/>
      <c r="C10" s="34"/>
      <c r="D10" s="27"/>
      <c r="E10" s="14"/>
      <c r="F10" s="15"/>
      <c r="G10" s="12" t="s">
        <v>32</v>
      </c>
    </row>
    <row r="11" spans="1:10" x14ac:dyDescent="0.3">
      <c r="E11" s="24">
        <f>SUM(E1:E7)</f>
        <v>0</v>
      </c>
      <c r="F11" s="24">
        <f>SUM(F1:F7)</f>
        <v>0</v>
      </c>
      <c r="G11">
        <v>41000</v>
      </c>
    </row>
  </sheetData>
  <pageMargins left="0.7" right="0.7" top="0.75" bottom="0.75" header="0.3" footer="0.3"/>
  <pageSetup paperSize="9" scale="9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C0AA-8F4C-4375-819C-3918EA4E1CE6}">
  <sheetPr>
    <pageSetUpPr fitToPage="1"/>
  </sheetPr>
  <dimension ref="A1:J11"/>
  <sheetViews>
    <sheetView workbookViewId="0">
      <selection activeCell="A2" sqref="A2:F2"/>
    </sheetView>
  </sheetViews>
  <sheetFormatPr defaultRowHeight="14.4" x14ac:dyDescent="0.3"/>
  <cols>
    <col min="1" max="1" width="25.77734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</cols>
  <sheetData>
    <row r="1" spans="1:10" ht="16.5" customHeight="1" thickBot="1" x14ac:dyDescent="0.35">
      <c r="A1" s="31"/>
      <c r="B1" s="41"/>
      <c r="C1" s="38"/>
      <c r="D1" s="46"/>
      <c r="E1" s="47"/>
      <c r="F1" s="48"/>
      <c r="G1" s="31"/>
      <c r="H1" s="10"/>
      <c r="I1">
        <v>1</v>
      </c>
      <c r="J1" s="26"/>
    </row>
    <row r="2" spans="1:10" ht="15" thickBot="1" x14ac:dyDescent="0.35">
      <c r="A2" s="1"/>
      <c r="B2" s="2"/>
      <c r="C2" s="60"/>
      <c r="D2" s="96"/>
      <c r="E2" s="61"/>
      <c r="F2" s="29"/>
      <c r="G2" s="8"/>
    </row>
    <row r="3" spans="1:10" ht="15" thickBot="1" x14ac:dyDescent="0.35">
      <c r="A3" s="62"/>
      <c r="B3" s="5"/>
      <c r="C3" s="58"/>
      <c r="D3" s="72"/>
      <c r="E3" s="59"/>
      <c r="F3" s="30"/>
      <c r="G3" s="31"/>
      <c r="H3" s="10"/>
    </row>
    <row r="4" spans="1:10" x14ac:dyDescent="0.3">
      <c r="A4" s="31"/>
      <c r="B4" s="41"/>
      <c r="C4" s="37"/>
      <c r="D4" s="46"/>
      <c r="E4" s="47"/>
      <c r="F4" s="48"/>
      <c r="G4" s="31"/>
      <c r="H4" s="10"/>
    </row>
    <row r="5" spans="1:10" x14ac:dyDescent="0.3">
      <c r="A5" s="31"/>
      <c r="B5" s="41"/>
      <c r="C5" s="37"/>
      <c r="D5" s="46"/>
      <c r="E5" s="47"/>
      <c r="F5" s="48"/>
      <c r="G5" s="31"/>
      <c r="H5" s="10"/>
    </row>
    <row r="6" spans="1:10" x14ac:dyDescent="0.3">
      <c r="A6" s="31"/>
      <c r="B6" s="41"/>
      <c r="C6" s="37"/>
      <c r="D6" s="38"/>
      <c r="E6" s="39"/>
      <c r="F6" s="42"/>
      <c r="G6" s="31"/>
      <c r="H6" s="10"/>
    </row>
    <row r="7" spans="1:10" x14ac:dyDescent="0.3">
      <c r="A7" s="31"/>
      <c r="B7" s="41"/>
      <c r="C7" s="37"/>
      <c r="D7" s="38"/>
      <c r="E7" s="39"/>
      <c r="F7" s="40"/>
      <c r="G7" s="31"/>
      <c r="H7" s="10"/>
    </row>
    <row r="8" spans="1:10" x14ac:dyDescent="0.3">
      <c r="A8" s="12"/>
      <c r="B8" s="13"/>
      <c r="C8" s="34"/>
      <c r="D8" s="27"/>
      <c r="E8" s="28"/>
      <c r="F8" s="15"/>
      <c r="G8" s="12"/>
    </row>
    <row r="9" spans="1:10" x14ac:dyDescent="0.3">
      <c r="A9" s="12"/>
      <c r="B9" s="13"/>
      <c r="C9" s="34"/>
      <c r="D9" s="27"/>
      <c r="E9" s="28"/>
      <c r="F9" s="15"/>
      <c r="G9" s="12"/>
    </row>
    <row r="10" spans="1:10" x14ac:dyDescent="0.3">
      <c r="A10" s="12"/>
      <c r="B10" s="13"/>
      <c r="C10" s="34"/>
      <c r="D10" s="27"/>
      <c r="E10" s="14"/>
      <c r="F10" s="15"/>
      <c r="G10" s="12"/>
    </row>
    <row r="11" spans="1:10" x14ac:dyDescent="0.3">
      <c r="E11" s="24">
        <f>SUM(E1:E7)</f>
        <v>0</v>
      </c>
      <c r="F11" s="24">
        <f>SUM(F1:F7)</f>
        <v>0</v>
      </c>
    </row>
  </sheetData>
  <pageMargins left="0.7" right="0.7" top="0.75" bottom="0.75" header="0.3" footer="0.3"/>
  <pageSetup paperSize="9" scale="8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0008-CCDE-4A5F-8E18-ED0A0A22280E}">
  <sheetPr>
    <pageSetUpPr fitToPage="1"/>
  </sheetPr>
  <dimension ref="A1:J10"/>
  <sheetViews>
    <sheetView workbookViewId="0">
      <selection activeCell="G11" sqref="G11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</cols>
  <sheetData>
    <row r="1" spans="1:10" ht="16.5" customHeight="1" thickBot="1" x14ac:dyDescent="0.35">
      <c r="A1" s="31"/>
      <c r="B1" s="41"/>
      <c r="C1" s="38"/>
      <c r="D1" s="46"/>
      <c r="E1" s="47"/>
      <c r="F1" s="48"/>
      <c r="G1" s="31"/>
      <c r="H1" s="10"/>
      <c r="I1">
        <v>1</v>
      </c>
      <c r="J1" s="26"/>
    </row>
    <row r="2" spans="1:10" ht="15" thickBot="1" x14ac:dyDescent="0.35">
      <c r="A2" s="1"/>
      <c r="B2" s="2"/>
      <c r="C2" s="60"/>
      <c r="D2" s="60"/>
      <c r="E2" s="61"/>
      <c r="F2" s="107"/>
      <c r="G2" s="8"/>
    </row>
    <row r="3" spans="1:10" x14ac:dyDescent="0.3">
      <c r="A3" s="31"/>
      <c r="B3" s="41"/>
      <c r="C3" s="37"/>
      <c r="D3" s="46"/>
      <c r="E3" s="47"/>
      <c r="F3" s="48"/>
      <c r="G3" s="31"/>
      <c r="H3" s="10"/>
    </row>
    <row r="4" spans="1:10" ht="15" thickBot="1" x14ac:dyDescent="0.35">
      <c r="A4" s="62" t="s">
        <v>99</v>
      </c>
      <c r="B4" s="5" t="s">
        <v>100</v>
      </c>
      <c r="C4" s="58" t="s">
        <v>101</v>
      </c>
      <c r="D4" s="58" t="s">
        <v>102</v>
      </c>
      <c r="E4" s="59">
        <v>36000</v>
      </c>
      <c r="F4" s="30">
        <v>39000</v>
      </c>
      <c r="G4" s="31"/>
      <c r="H4" s="10"/>
    </row>
    <row r="5" spans="1:10" x14ac:dyDescent="0.3">
      <c r="A5" s="31"/>
      <c r="B5" s="41"/>
      <c r="C5" s="37"/>
      <c r="D5" s="38"/>
      <c r="E5" s="39"/>
      <c r="F5" s="42"/>
      <c r="G5" s="31"/>
      <c r="H5" s="10"/>
    </row>
    <row r="6" spans="1:10" x14ac:dyDescent="0.3">
      <c r="A6" s="31"/>
      <c r="B6" s="41"/>
      <c r="C6" s="37"/>
      <c r="D6" s="38"/>
      <c r="E6" s="39"/>
      <c r="F6" s="40"/>
      <c r="G6" s="31"/>
      <c r="H6" s="10"/>
    </row>
    <row r="7" spans="1:10" x14ac:dyDescent="0.3">
      <c r="A7" s="12"/>
      <c r="B7" s="13"/>
      <c r="C7" s="34"/>
      <c r="D7" s="27"/>
      <c r="E7" s="28"/>
      <c r="F7" s="15"/>
      <c r="G7" s="12"/>
    </row>
    <row r="8" spans="1:10" x14ac:dyDescent="0.3">
      <c r="A8" s="12"/>
      <c r="B8" s="13"/>
      <c r="C8" s="34"/>
      <c r="D8" s="27"/>
      <c r="E8" s="28"/>
      <c r="F8" s="15"/>
      <c r="G8" s="12"/>
    </row>
    <row r="9" spans="1:10" x14ac:dyDescent="0.3">
      <c r="A9" s="12"/>
      <c r="B9" s="13"/>
      <c r="C9" s="34"/>
      <c r="D9" s="27"/>
      <c r="E9" s="14"/>
      <c r="F9" s="15"/>
      <c r="G9" s="12"/>
    </row>
    <row r="10" spans="1:10" x14ac:dyDescent="0.3">
      <c r="E10" s="24">
        <f>SUM(E1:E6)</f>
        <v>36000</v>
      </c>
      <c r="F10" s="24">
        <f>SUM(F1:F6)</f>
        <v>39000</v>
      </c>
      <c r="G10">
        <v>36000</v>
      </c>
    </row>
  </sheetData>
  <pageMargins left="0.7" right="0.7" top="0.75" bottom="0.75" header="0.3" footer="0.3"/>
  <pageSetup paperSize="9" scale="9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2F47-7FA9-40EF-90CF-065C2C41D0D1}">
  <dimension ref="A1"/>
  <sheetViews>
    <sheetView workbookViewId="0">
      <selection activeCell="P11" sqref="P1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Обєкти</vt:lpstr>
      <vt:lpstr>11.2025 МАНИ</vt:lpstr>
      <vt:lpstr>Автосвіт</vt:lpstr>
      <vt:lpstr>Нікса</vt:lpstr>
      <vt:lpstr>Приватний Двір</vt:lpstr>
      <vt:lpstr>Ендор Логістик </vt:lpstr>
      <vt:lpstr>Корусанд</vt:lpstr>
      <vt:lpstr>АЙРІС ВОРДВАЙЛ</vt:lpstr>
      <vt:lpstr>ФЛУКОРДІ</vt:lpstr>
      <vt:lpstr>ПРЕМІУМ ТРАНС</vt:lpstr>
      <vt:lpstr>Компанія Агротранс</vt:lpstr>
      <vt:lpstr>Автоленд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l.shyshkina</cp:lastModifiedBy>
  <cp:lastPrinted>2025-12-04T09:01:36Z</cp:lastPrinted>
  <dcterms:created xsi:type="dcterms:W3CDTF">2015-06-05T18:17:20Z</dcterms:created>
  <dcterms:modified xsi:type="dcterms:W3CDTF">2025-12-15T06:54:29Z</dcterms:modified>
</cp:coreProperties>
</file>
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public\Фінансовий відділ\! PnL\PL по компании\2025\Ноябрь_25\Данные\Производство\зп\"/>
    </mc:Choice>
  </mc:AlternateContent>
  <xr:revisionPtr revIDLastSave="0" documentId="13_ncr:1_{0FCF2ADE-49A0-492B-B128-61EF43C66AA2}" xr6:coauthVersionLast="45" xr6:coauthVersionMax="45" xr10:uidLastSave="{00000000-0000-0000-0000-000000000000}"/>
  <bookViews>
    <workbookView xWindow="-108" yWindow="-108" windowWidth="23256" windowHeight="126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E13" i="1" l="1"/>
  <c r="D13" i="1"/>
  <c r="E8" i="1"/>
  <c r="D8" i="1"/>
  <c r="E15" i="1"/>
  <c r="D15" i="1"/>
  <c r="E22" i="1"/>
  <c r="D31" i="1" l="1"/>
  <c r="D28" i="1"/>
  <c r="D27" i="1"/>
  <c r="D21" i="1"/>
  <c r="D19" i="1"/>
  <c r="D16" i="1"/>
  <c r="C32" i="1" l="1"/>
  <c r="D32" i="1" s="1"/>
  <c r="C30" i="1"/>
  <c r="D30" i="1" s="1"/>
  <c r="C29" i="1"/>
  <c r="D29" i="1" s="1"/>
  <c r="C26" i="1"/>
  <c r="D26" i="1" s="1"/>
  <c r="C25" i="1"/>
  <c r="D25" i="1" s="1"/>
  <c r="C24" i="1"/>
  <c r="D24" i="1" s="1"/>
  <c r="C23" i="1"/>
  <c r="D23" i="1" s="1"/>
  <c r="C10" i="1"/>
  <c r="D10" i="1" s="1"/>
  <c r="C11" i="1"/>
  <c r="D11" i="1" s="1"/>
  <c r="C12" i="1"/>
  <c r="D12" i="1" s="1"/>
  <c r="C14" i="1"/>
  <c r="D14" i="1" s="1"/>
  <c r="C20" i="1"/>
  <c r="D20" i="1" s="1"/>
  <c r="C18" i="1"/>
  <c r="D18" i="1" s="1"/>
  <c r="C17" i="1"/>
  <c r="D17" i="1" s="1"/>
  <c r="D22" i="1" l="1"/>
</calcChain>
</file>

<file path=xl/sharedStrings.xml><?xml version="1.0" encoding="utf-8"?>
<sst xmlns="http://schemas.openxmlformats.org/spreadsheetml/2006/main" count="67" uniqueCount="42">
  <si>
    <t>Параметри:</t>
  </si>
  <si>
    <t>Период отчета: 01.11.2025 - 30.11.2025</t>
  </si>
  <si>
    <t>Відбір:</t>
  </si>
  <si>
    <t>Подразделение Дорівнює "Главный офис" и
Направление Дорівнює "Производство" и
Ф1 Дорівнює "Так" и
Подразделение Не дорівнює "И.П.С."</t>
  </si>
  <si>
    <t>Подразделение</t>
  </si>
  <si>
    <t>Сумма</t>
  </si>
  <si>
    <t>Статья движения денежных средств</t>
  </si>
  <si>
    <t>Комментарий</t>
  </si>
  <si>
    <t>Главный офис</t>
  </si>
  <si>
    <t>Зарплата ИТР</t>
  </si>
  <si>
    <t>Грушко Лариса Вікторівна</t>
  </si>
  <si>
    <t>Пономаренко Віталій Вікторович</t>
  </si>
  <si>
    <t>Скрипник Сергій Павлович</t>
  </si>
  <si>
    <t>Зарплата кладовщика</t>
  </si>
  <si>
    <t>Бойчук Ірина Валеріївна</t>
  </si>
  <si>
    <t>Зарплата производственного персонала</t>
  </si>
  <si>
    <t>Билім Максим Анатолійович</t>
  </si>
  <si>
    <t>Васильєв Віталій Юрійович</t>
  </si>
  <si>
    <t xml:space="preserve">Мудрий Роман Іванович </t>
  </si>
  <si>
    <t>Пономаренко Світлана Юріївна</t>
  </si>
  <si>
    <t xml:space="preserve">Строкач Андрій Вікторович </t>
  </si>
  <si>
    <t>Зарплата управленческого персонала</t>
  </si>
  <si>
    <t>Антонов Ігор Сергійович</t>
  </si>
  <si>
    <t xml:space="preserve">Баєва Олена Миколаївна </t>
  </si>
  <si>
    <t>Бреус Віталій Григорович</t>
  </si>
  <si>
    <t>Бутенко Матвій Анатолійович</t>
  </si>
  <si>
    <t xml:space="preserve">Воронцова Ольга Марківна </t>
  </si>
  <si>
    <t>Парнєва Олена Вікторівна</t>
  </si>
  <si>
    <t>Пономаренко Олександр Вікторович</t>
  </si>
  <si>
    <t>Стецюк Тетяна Леонідівна</t>
  </si>
  <si>
    <t>Чуб Владислав Володимирович</t>
  </si>
  <si>
    <t xml:space="preserve">Шишкіна Людмила Григорівна </t>
  </si>
  <si>
    <t>Разом</t>
  </si>
  <si>
    <t>Подразделение Дорівнює "Главный офис" и
Направление Дорівнює "Производство" и
Ф1 Дорівнює "Ні" и
Подразделение Не дорівнює "И.П.С."</t>
  </si>
  <si>
    <t>Ісайкіна Тетяна Іванівна</t>
  </si>
  <si>
    <t>Серебренніков Володимир Олександрович</t>
  </si>
  <si>
    <t>Период отчета: 15.11.2025 - 13.12.2025</t>
  </si>
  <si>
    <t>фікси/бюджет</t>
  </si>
  <si>
    <t>всього</t>
  </si>
  <si>
    <t>відпрац 231 год. в будні по 11 год +вихідні 6 год</t>
  </si>
  <si>
    <t>відпрац 275 год. в будні по 11 год +вихідні 6 год</t>
  </si>
  <si>
    <t>відпрац 199 год. в будні по 11 год +вихідні 6 год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</si>
</sst>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8"/>
      <name val="Arial"/>
      <family val="2"/>
    </font>
    <font>
      <sz val="10"/>
      <color indexed="63"/>
      <name val="Arial"/>
      <family val="2"/>
      <charset val="204"/>
    </font>
    <font>
      <sz val="8"/>
      <color indexed="63"/>
      <name val="Arial"/>
      <family val="2"/>
    </font>
    <font>
      <b/>
      <sz val="11"/>
      <color theme="1"/>
      <name val="Calibri"/>
      <family val="2"/>
      <charset val="20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</fills>
  <borders count="5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 style="thin">
        <color indexed="9"/>
      </right>
      <top/>
      <bottom/>
      <diagonal/>
    </border>
    <border>
      <left style="thin">
        <color indexed="9"/>
      </left>
      <right style="thin">
        <color indexed="9"/>
      </right>
      <top/>
      <bottom style="thin">
        <color indexed="9"/>
      </bottom>
      <diagonal/>
    </border>
  </borders>
  <cellStyleXfs count="2">
    <xf numFmtId="0" fontId="0" fillId="0" borderId="0"/>
    <xf numFmtId="0" fontId="1" fillId="0" borderId="0"/>
  </cellStyleXfs>
  <cellXfs count="37">
    <xf numFmtId="0" fontId="0" fillId="0" borderId="0" xfId="0"/>
    <xf numFmtId="0" fontId="1" fillId="0" borderId="0" xfId="1"/>
    <xf numFmtId="0" fontId="2" fillId="0" borderId="0" xfId="1" applyNumberFormat="1" applyFont="1" applyAlignment="1">
      <alignment vertical="top"/>
    </xf>
    <xf numFmtId="0" fontId="2" fillId="0" borderId="1" xfId="1" applyNumberFormat="1" applyFont="1" applyBorder="1" applyAlignment="1">
      <alignment vertical="top" wrapText="1"/>
    </xf>
    <xf numFmtId="0" fontId="2" fillId="0" borderId="2" xfId="1" applyNumberFormat="1" applyFont="1" applyBorder="1" applyAlignment="1">
      <alignment vertical="top" wrapText="1"/>
    </xf>
    <xf numFmtId="0" fontId="2" fillId="0" borderId="3" xfId="1" applyNumberFormat="1" applyFont="1" applyBorder="1" applyAlignment="1">
      <alignment vertical="top" wrapText="1"/>
    </xf>
    <xf numFmtId="0" fontId="2" fillId="0" borderId="4" xfId="1" applyNumberFormat="1" applyFont="1" applyBorder="1" applyAlignment="1">
      <alignment vertical="top" wrapText="1"/>
    </xf>
    <xf numFmtId="0" fontId="3" fillId="0" borderId="1" xfId="1" applyNumberFormat="1" applyFont="1" applyBorder="1" applyAlignment="1">
      <alignment vertical="top" wrapText="1"/>
    </xf>
    <xf numFmtId="4" fontId="3" fillId="0" borderId="1" xfId="1" applyNumberFormat="1" applyFont="1" applyBorder="1" applyAlignment="1">
      <alignment horizontal="right" vertical="top"/>
    </xf>
    <xf numFmtId="0" fontId="3" fillId="0" borderId="1" xfId="1" applyNumberFormat="1" applyFont="1" applyBorder="1" applyAlignment="1">
      <alignment vertical="top" wrapText="1" indent="2"/>
    </xf>
    <xf numFmtId="0" fontId="3" fillId="0" borderId="1" xfId="1" applyNumberFormat="1" applyFont="1" applyBorder="1" applyAlignment="1">
      <alignment vertical="top" wrapText="1" indent="4"/>
    </xf>
    <xf numFmtId="0" fontId="2" fillId="0" borderId="1" xfId="1" applyNumberFormat="1" applyFont="1" applyBorder="1" applyAlignment="1">
      <alignment vertical="top"/>
    </xf>
    <xf numFmtId="4" fontId="2" fillId="0" borderId="1" xfId="1" applyNumberFormat="1" applyFont="1" applyBorder="1" applyAlignment="1">
      <alignment horizontal="right" vertical="top"/>
    </xf>
    <xf numFmtId="0" fontId="1" fillId="0" borderId="0" xfId="1" applyAlignment="1"/>
    <xf numFmtId="0" fontId="3" fillId="0" borderId="1" xfId="1" applyNumberFormat="1" applyFont="1" applyBorder="1" applyAlignment="1">
      <alignment horizontal="right" vertical="top"/>
    </xf>
    <xf numFmtId="4" fontId="0" fillId="0" borderId="0" xfId="0" applyNumberFormat="1"/>
    <xf numFmtId="4" fontId="3" fillId="2" borderId="1" xfId="1" applyNumberFormat="1" applyFont="1" applyFill="1" applyBorder="1" applyAlignment="1">
      <alignment horizontal="right" vertical="top"/>
    </xf>
    <xf numFmtId="0" fontId="0" fillId="0" borderId="0" xfId="0" applyFill="1"/>
    <xf numFmtId="4" fontId="0" fillId="0" borderId="0" xfId="0" applyNumberFormat="1" applyFill="1"/>
    <xf numFmtId="0" fontId="3" fillId="0" borderId="1" xfId="1" applyNumberFormat="1" applyFont="1" applyFill="1" applyBorder="1" applyAlignment="1">
      <alignment horizontal="left" vertical="top" indent="4"/>
    </xf>
    <xf numFmtId="0" fontId="3" fillId="0" borderId="1" xfId="1" applyNumberFormat="1" applyFont="1" applyFill="1" applyBorder="1" applyAlignment="1">
      <alignment horizontal="left" vertical="top"/>
    </xf>
    <xf numFmtId="0" fontId="3" fillId="0" borderId="1" xfId="1" applyNumberFormat="1" applyFont="1" applyFill="1" applyBorder="1" applyAlignment="1">
      <alignment vertical="top"/>
    </xf>
    <xf numFmtId="0" fontId="3" fillId="3" borderId="1" xfId="1" applyNumberFormat="1" applyFont="1" applyFill="1" applyBorder="1" applyAlignment="1">
      <alignment vertical="top" wrapText="1" indent="4"/>
    </xf>
    <xf numFmtId="4" fontId="3" fillId="3" borderId="1" xfId="1" applyNumberFormat="1" applyFont="1" applyFill="1" applyBorder="1" applyAlignment="1">
      <alignment horizontal="right" vertical="top"/>
    </xf>
    <xf numFmtId="2" fontId="3" fillId="3" borderId="1" xfId="1" applyNumberFormat="1" applyFont="1" applyFill="1" applyBorder="1" applyAlignment="1">
      <alignment horizontal="right" vertical="top"/>
    </xf>
    <xf numFmtId="0" fontId="0" fillId="4" borderId="0" xfId="0" applyFill="1"/>
    <xf numFmtId="4" fontId="0" fillId="4" borderId="0" xfId="0" applyNumberFormat="1" applyFill="1"/>
    <xf numFmtId="4" fontId="4" fillId="4" borderId="0" xfId="0" applyNumberFormat="1" applyFont="1" applyFill="1"/>
    <xf numFmtId="0" fontId="2" fillId="0" borderId="0" xfId="1" applyNumberFormat="1" applyFont="1" applyAlignment="1">
      <alignment vertical="top" wrapText="1"/>
    </xf>
    <xf numFmtId="4" fontId="0" fillId="3" borderId="0" xfId="0" applyNumberFormat="1" applyFill="1"/>
    <xf numFmtId="0" fontId="0" fillId="3" borderId="0" xfId="0" applyFill="1"/>
    <xf numFmtId="0" fontId="4" fillId="4" borderId="0" xfId="0" applyFont="1" applyFill="1"/>
    <xf numFmtId="0" fontId="0" fillId="0" borderId="0" xfId="0" applyAlignment="1"/>
    <xf numFmtId="0" fontId="0" fillId="4" borderId="0" xfId="0" applyFill="1" applyAlignment="1"/>
    <xf numFmtId="0" fontId="2" fillId="0" borderId="2" xfId="1" applyNumberFormat="1" applyFont="1" applyBorder="1" applyAlignment="1">
      <alignment vertical="top" wrapText="1"/>
    </xf>
    <xf numFmtId="0" fontId="2" fillId="0" borderId="3" xfId="1" applyNumberFormat="1" applyFont="1" applyBorder="1" applyAlignment="1">
      <alignment vertical="top" wrapText="1"/>
    </xf>
    <xf numFmtId="0" fontId="2" fillId="0" borderId="4" xfId="1" applyNumberFormat="1" applyFont="1" applyBorder="1" applyAlignment="1">
      <alignment vertical="top" wrapText="1"/>
    </xf>
  </cellXfs>
  <cellStyles count="2">
    <cellStyle name="Обычный" xfId="0" builtinId="0"/>
    <cellStyle name="Обычный_Sheet1" xfId="1" xr:uid="{F5E605D4-BACD-488D-B7A7-D5FBCE342A9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32"/>
  <sheetViews>
    <sheetView tabSelected="1" topLeftCell="A7" workbookViewId="0">
      <selection activeCell="G21" sqref="G21"/>
    </sheetView>
  </sheetViews>
  <sheetFormatPr defaultRowHeight="14.4" x14ac:dyDescent="0.3"/>
  <cols>
    <col min="1" max="1" width="33.5546875" customWidth="1"/>
    <col min="2" max="2" width="19.109375" customWidth="1"/>
    <col min="4" max="4" width="9.88671875" style="25" bestFit="1" customWidth="1"/>
    <col min="5" max="5" width="10.109375" customWidth="1"/>
    <col min="9" max="10" width="24.33203125" customWidth="1"/>
  </cols>
  <sheetData>
    <row r="1" spans="1:10" s="32" customFormat="1" x14ac:dyDescent="0.3">
      <c r="A1" s="13"/>
      <c r="B1" s="13"/>
      <c r="D1" s="33"/>
      <c r="I1" s="13"/>
      <c r="J1" s="13"/>
    </row>
    <row r="2" spans="1:10" s="32" customFormat="1" x14ac:dyDescent="0.3">
      <c r="A2" s="2" t="s">
        <v>0</v>
      </c>
      <c r="B2" s="2" t="s">
        <v>1</v>
      </c>
      <c r="D2" s="33"/>
      <c r="I2" s="2" t="s">
        <v>0</v>
      </c>
      <c r="J2" s="2" t="s">
        <v>36</v>
      </c>
    </row>
    <row r="3" spans="1:10" s="32" customFormat="1" ht="21" customHeight="1" x14ac:dyDescent="0.3">
      <c r="A3" s="2" t="s">
        <v>2</v>
      </c>
      <c r="B3" s="28" t="s">
        <v>3</v>
      </c>
      <c r="D3" s="33"/>
      <c r="I3" s="2" t="s">
        <v>2</v>
      </c>
      <c r="J3" s="28" t="s">
        <v>33</v>
      </c>
    </row>
    <row r="4" spans="1:10" x14ac:dyDescent="0.3">
      <c r="A4" s="1"/>
      <c r="B4" s="1"/>
      <c r="D4" s="25" t="s">
        <v>38</v>
      </c>
      <c r="E4" t="s">
        <v>37</v>
      </c>
      <c r="I4" s="1"/>
      <c r="J4" s="1"/>
    </row>
    <row r="5" spans="1:10" x14ac:dyDescent="0.3">
      <c r="A5" s="3" t="s">
        <v>4</v>
      </c>
      <c r="B5" s="34" t="s">
        <v>5</v>
      </c>
      <c r="I5" s="3" t="s">
        <v>4</v>
      </c>
      <c r="J5" s="4" t="s">
        <v>5</v>
      </c>
    </row>
    <row r="6" spans="1:10" ht="26.4" x14ac:dyDescent="0.3">
      <c r="A6" s="3" t="s">
        <v>6</v>
      </c>
      <c r="B6" s="35"/>
      <c r="I6" s="3" t="s">
        <v>6</v>
      </c>
      <c r="J6" s="5"/>
    </row>
    <row r="7" spans="1:10" x14ac:dyDescent="0.3">
      <c r="A7" s="3" t="s">
        <v>7</v>
      </c>
      <c r="B7" s="36"/>
      <c r="I7" s="3" t="s">
        <v>7</v>
      </c>
      <c r="J7" s="6"/>
    </row>
    <row r="8" spans="1:10" x14ac:dyDescent="0.3">
      <c r="A8" s="7" t="s">
        <v>8</v>
      </c>
      <c r="B8" s="8">
        <v>297846.32</v>
      </c>
      <c r="D8" s="31">
        <f>SUM(D9:D13)</f>
        <v>150393.5</v>
      </c>
      <c r="E8" s="31">
        <f>SUM(E9:E13)</f>
        <v>146000</v>
      </c>
      <c r="I8" s="7" t="s">
        <v>8</v>
      </c>
      <c r="J8" s="8">
        <v>332700</v>
      </c>
    </row>
    <row r="9" spans="1:10" x14ac:dyDescent="0.3">
      <c r="A9" s="9" t="s">
        <v>9</v>
      </c>
      <c r="B9" s="8">
        <v>46623.5</v>
      </c>
      <c r="I9" s="9" t="s">
        <v>9</v>
      </c>
      <c r="J9" s="8">
        <v>73800</v>
      </c>
    </row>
    <row r="10" spans="1:10" x14ac:dyDescent="0.3">
      <c r="A10" s="10" t="s">
        <v>10</v>
      </c>
      <c r="B10" s="8">
        <v>9394</v>
      </c>
      <c r="C10" s="15">
        <f>J10</f>
        <v>25600</v>
      </c>
      <c r="D10" s="26">
        <f>B10+C10</f>
        <v>34994</v>
      </c>
      <c r="E10">
        <v>35000</v>
      </c>
      <c r="I10" s="10" t="s">
        <v>10</v>
      </c>
      <c r="J10" s="8">
        <v>25600</v>
      </c>
    </row>
    <row r="11" spans="1:10" ht="20.399999999999999" x14ac:dyDescent="0.3">
      <c r="A11" s="10" t="s">
        <v>11</v>
      </c>
      <c r="B11" s="8">
        <v>18422.25</v>
      </c>
      <c r="C11" s="15">
        <f>J11</f>
        <v>22600</v>
      </c>
      <c r="D11" s="26">
        <f t="shared" ref="D11:D32" si="0">B11+C11</f>
        <v>41022.25</v>
      </c>
      <c r="E11">
        <v>40500</v>
      </c>
      <c r="I11" s="10" t="s">
        <v>11</v>
      </c>
      <c r="J11" s="8">
        <v>22600</v>
      </c>
    </row>
    <row r="12" spans="1:10" x14ac:dyDescent="0.3">
      <c r="A12" s="10" t="s">
        <v>12</v>
      </c>
      <c r="B12" s="8">
        <v>18807.25</v>
      </c>
      <c r="C12" s="15">
        <f>J12</f>
        <v>25600</v>
      </c>
      <c r="D12" s="26">
        <f t="shared" si="0"/>
        <v>44407.25</v>
      </c>
      <c r="E12" s="30">
        <v>40500</v>
      </c>
      <c r="F12" s="20" t="s">
        <v>40</v>
      </c>
      <c r="I12" s="10" t="s">
        <v>12</v>
      </c>
      <c r="J12" s="8">
        <v>25600</v>
      </c>
    </row>
    <row r="13" spans="1:10" x14ac:dyDescent="0.3">
      <c r="A13" s="9" t="s">
        <v>13</v>
      </c>
      <c r="B13" s="8">
        <v>8470</v>
      </c>
      <c r="D13" s="27">
        <f>SUM(D14)</f>
        <v>29970</v>
      </c>
      <c r="E13" s="27">
        <f>SUM(E14)</f>
        <v>30000</v>
      </c>
      <c r="I13" s="9" t="s">
        <v>13</v>
      </c>
      <c r="J13" s="8">
        <v>21500</v>
      </c>
    </row>
    <row r="14" spans="1:10" x14ac:dyDescent="0.3">
      <c r="A14" s="10" t="s">
        <v>14</v>
      </c>
      <c r="B14" s="8">
        <v>8470</v>
      </c>
      <c r="C14" s="15">
        <f>J14</f>
        <v>21500</v>
      </c>
      <c r="D14" s="26">
        <f t="shared" si="0"/>
        <v>29970</v>
      </c>
      <c r="E14">
        <v>30000</v>
      </c>
      <c r="I14" s="10" t="s">
        <v>14</v>
      </c>
      <c r="J14" s="8">
        <v>21500</v>
      </c>
    </row>
    <row r="15" spans="1:10" ht="20.399999999999999" x14ac:dyDescent="0.3">
      <c r="A15" s="9" t="s">
        <v>15</v>
      </c>
      <c r="B15" s="8">
        <v>34505.620000000003</v>
      </c>
      <c r="D15" s="27">
        <f>SUM(D16:D21)</f>
        <v>121005.62</v>
      </c>
      <c r="E15" s="27">
        <f>SUM(E16:E21)</f>
        <v>89400</v>
      </c>
      <c r="I15" s="9" t="s">
        <v>15</v>
      </c>
      <c r="J15" s="8">
        <v>86500</v>
      </c>
    </row>
    <row r="16" spans="1:10" ht="20.399999999999999" x14ac:dyDescent="0.3">
      <c r="A16" s="22" t="s">
        <v>16</v>
      </c>
      <c r="B16" s="23">
        <v>2743.12</v>
      </c>
      <c r="D16" s="26">
        <f t="shared" si="0"/>
        <v>2743.12</v>
      </c>
      <c r="E16" s="17"/>
      <c r="F16" s="17"/>
      <c r="G16" s="17"/>
      <c r="I16" s="10" t="s">
        <v>17</v>
      </c>
      <c r="J16" s="8">
        <v>29700</v>
      </c>
    </row>
    <row r="17" spans="1:10" x14ac:dyDescent="0.3">
      <c r="A17" s="10" t="s">
        <v>17</v>
      </c>
      <c r="B17" s="16">
        <v>7854</v>
      </c>
      <c r="C17" s="15">
        <f>J16</f>
        <v>29700</v>
      </c>
      <c r="D17" s="26">
        <f t="shared" si="0"/>
        <v>37554</v>
      </c>
      <c r="E17" s="18">
        <v>39000</v>
      </c>
      <c r="F17" s="19"/>
      <c r="G17" s="17"/>
      <c r="I17" s="10" t="s">
        <v>34</v>
      </c>
      <c r="J17" s="8">
        <v>34700</v>
      </c>
    </row>
    <row r="18" spans="1:10" ht="20.399999999999999" x14ac:dyDescent="0.3">
      <c r="A18" s="10" t="s">
        <v>34</v>
      </c>
      <c r="B18" s="16"/>
      <c r="C18" s="15">
        <f>J17</f>
        <v>34700</v>
      </c>
      <c r="D18" s="26">
        <f t="shared" si="0"/>
        <v>34700</v>
      </c>
      <c r="E18" s="29">
        <v>25200</v>
      </c>
      <c r="F18" s="20" t="s">
        <v>39</v>
      </c>
      <c r="G18" s="17"/>
      <c r="I18" s="10" t="s">
        <v>19</v>
      </c>
      <c r="J18" s="8">
        <v>22100</v>
      </c>
    </row>
    <row r="19" spans="1:10" ht="20.399999999999999" x14ac:dyDescent="0.3">
      <c r="A19" s="22" t="s">
        <v>18</v>
      </c>
      <c r="B19" s="24">
        <v>288.75</v>
      </c>
      <c r="D19" s="26">
        <f t="shared" si="0"/>
        <v>288.75</v>
      </c>
      <c r="E19" s="18"/>
      <c r="F19" s="21"/>
      <c r="G19" s="17"/>
      <c r="I19" s="10" t="s">
        <v>35</v>
      </c>
      <c r="J19" s="14"/>
    </row>
    <row r="20" spans="1:10" ht="20.399999999999999" x14ac:dyDescent="0.3">
      <c r="A20" s="10" t="s">
        <v>19</v>
      </c>
      <c r="B20" s="16">
        <v>7854</v>
      </c>
      <c r="C20" s="15">
        <f>J18</f>
        <v>22100</v>
      </c>
      <c r="D20" s="26">
        <f t="shared" si="0"/>
        <v>29954</v>
      </c>
      <c r="E20" s="30">
        <v>25200</v>
      </c>
      <c r="F20" s="20" t="s">
        <v>41</v>
      </c>
      <c r="G20" s="17"/>
      <c r="I20" s="9" t="s">
        <v>21</v>
      </c>
      <c r="J20" s="8">
        <v>150900</v>
      </c>
    </row>
    <row r="21" spans="1:10" x14ac:dyDescent="0.3">
      <c r="A21" s="22" t="s">
        <v>20</v>
      </c>
      <c r="B21" s="23">
        <v>15765.75</v>
      </c>
      <c r="D21" s="26">
        <f t="shared" si="0"/>
        <v>15765.75</v>
      </c>
      <c r="E21" s="17"/>
      <c r="F21" s="17"/>
      <c r="G21" s="17"/>
      <c r="I21" s="10" t="s">
        <v>22</v>
      </c>
      <c r="J21" s="8">
        <v>33100</v>
      </c>
    </row>
    <row r="22" spans="1:10" x14ac:dyDescent="0.3">
      <c r="A22" s="9" t="s">
        <v>21</v>
      </c>
      <c r="B22" s="8">
        <v>99251.07</v>
      </c>
      <c r="D22" s="27">
        <f>SUM(D23:D32)</f>
        <v>250151.07</v>
      </c>
      <c r="E22" s="27">
        <f>SUM(E23:E32)</f>
        <v>250908</v>
      </c>
      <c r="F22" s="17"/>
      <c r="G22" s="17"/>
      <c r="I22" s="10" t="s">
        <v>23</v>
      </c>
      <c r="J22" s="8">
        <v>14000</v>
      </c>
    </row>
    <row r="23" spans="1:10" x14ac:dyDescent="0.3">
      <c r="A23" s="10" t="s">
        <v>22</v>
      </c>
      <c r="B23" s="8">
        <v>16940</v>
      </c>
      <c r="C23" s="15">
        <f>J21</f>
        <v>33100</v>
      </c>
      <c r="D23" s="26">
        <f t="shared" si="0"/>
        <v>50040</v>
      </c>
      <c r="E23" s="17">
        <v>50000</v>
      </c>
      <c r="F23" s="17"/>
      <c r="G23" s="17"/>
      <c r="I23" s="10" t="s">
        <v>24</v>
      </c>
      <c r="J23" s="8">
        <v>23000</v>
      </c>
    </row>
    <row r="24" spans="1:10" ht="20.399999999999999" x14ac:dyDescent="0.3">
      <c r="A24" s="10" t="s">
        <v>23</v>
      </c>
      <c r="B24" s="8">
        <v>8470</v>
      </c>
      <c r="C24" s="15">
        <f>J22</f>
        <v>14000</v>
      </c>
      <c r="D24" s="26">
        <f t="shared" si="0"/>
        <v>22470</v>
      </c>
      <c r="E24">
        <v>22500</v>
      </c>
      <c r="I24" s="10" t="s">
        <v>25</v>
      </c>
      <c r="J24" s="8">
        <v>17100</v>
      </c>
    </row>
    <row r="25" spans="1:10" ht="20.399999999999999" x14ac:dyDescent="0.3">
      <c r="A25" s="10" t="s">
        <v>24</v>
      </c>
      <c r="B25" s="8">
        <v>16940</v>
      </c>
      <c r="C25" s="15">
        <f>J23</f>
        <v>23000</v>
      </c>
      <c r="D25" s="26">
        <f t="shared" si="0"/>
        <v>39940</v>
      </c>
      <c r="E25">
        <v>40000</v>
      </c>
      <c r="I25" s="10" t="s">
        <v>28</v>
      </c>
      <c r="J25" s="8">
        <v>30500</v>
      </c>
    </row>
    <row r="26" spans="1:10" x14ac:dyDescent="0.3">
      <c r="A26" s="10" t="s">
        <v>25</v>
      </c>
      <c r="B26" s="8">
        <v>16940</v>
      </c>
      <c r="C26" s="15">
        <f>J24</f>
        <v>17100</v>
      </c>
      <c r="D26" s="26">
        <f t="shared" si="0"/>
        <v>34040</v>
      </c>
      <c r="E26">
        <v>35000</v>
      </c>
      <c r="I26" s="10" t="s">
        <v>29</v>
      </c>
      <c r="J26" s="8">
        <v>19500</v>
      </c>
    </row>
    <row r="27" spans="1:10" ht="20.399999999999999" x14ac:dyDescent="0.3">
      <c r="A27" s="10" t="s">
        <v>26</v>
      </c>
      <c r="B27" s="8">
        <v>1674.75</v>
      </c>
      <c r="D27" s="26">
        <f t="shared" si="0"/>
        <v>1674.75</v>
      </c>
      <c r="E27">
        <v>1636</v>
      </c>
      <c r="I27" s="10" t="s">
        <v>31</v>
      </c>
      <c r="J27" s="8">
        <v>13700</v>
      </c>
    </row>
    <row r="28" spans="1:10" x14ac:dyDescent="0.3">
      <c r="A28" s="10" t="s">
        <v>27</v>
      </c>
      <c r="B28" s="8">
        <v>1674.75</v>
      </c>
      <c r="D28" s="26">
        <f t="shared" si="0"/>
        <v>1674.75</v>
      </c>
      <c r="E28">
        <v>1636</v>
      </c>
      <c r="I28" s="11" t="s">
        <v>32</v>
      </c>
      <c r="J28" s="12">
        <v>332700</v>
      </c>
    </row>
    <row r="29" spans="1:10" x14ac:dyDescent="0.3">
      <c r="A29" s="10" t="s">
        <v>28</v>
      </c>
      <c r="B29" s="8">
        <v>19577.25</v>
      </c>
      <c r="C29" s="15">
        <f>J25</f>
        <v>30500</v>
      </c>
      <c r="D29" s="26">
        <f t="shared" si="0"/>
        <v>50077.25</v>
      </c>
      <c r="E29">
        <v>50000</v>
      </c>
    </row>
    <row r="30" spans="1:10" x14ac:dyDescent="0.3">
      <c r="A30" s="10" t="s">
        <v>29</v>
      </c>
      <c r="B30" s="8">
        <v>10549</v>
      </c>
      <c r="C30" s="15">
        <f>J26</f>
        <v>19500</v>
      </c>
      <c r="D30" s="26">
        <f t="shared" si="0"/>
        <v>30049</v>
      </c>
      <c r="E30">
        <v>30000</v>
      </c>
    </row>
    <row r="31" spans="1:10" x14ac:dyDescent="0.3">
      <c r="A31" s="10" t="s">
        <v>30</v>
      </c>
      <c r="B31" s="8">
        <v>1674.75</v>
      </c>
      <c r="D31" s="26">
        <f t="shared" si="0"/>
        <v>1674.75</v>
      </c>
      <c r="E31">
        <v>1636</v>
      </c>
    </row>
    <row r="32" spans="1:10" x14ac:dyDescent="0.3">
      <c r="A32" s="10" t="s">
        <v>31</v>
      </c>
      <c r="B32" s="8">
        <v>4810.57</v>
      </c>
      <c r="C32" s="15">
        <f>J27</f>
        <v>13700</v>
      </c>
      <c r="D32" s="26">
        <f t="shared" si="0"/>
        <v>18510.57</v>
      </c>
      <c r="E32">
        <v>18500</v>
      </c>
    </row>
  </sheetData>
  <mergeCells count="1">
    <mergeCell ref="B5:B7"/>
  </mergeCells>
  <pageMargins left="0.25" right="0.25" top="0.75" bottom="0.75" header="0.3" footer="0.3"/>
  <pageSetup paperSize="9" scale="86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I.antonov</dc:creator>
  <cp:lastModifiedBy>I.antonov</cp:lastModifiedBy>
  <cp:lastPrinted>2025-12-23T13:28:51Z</cp:lastPrinted>
  <dcterms:created xsi:type="dcterms:W3CDTF">2015-06-05T18:17:20Z</dcterms:created>
  <dcterms:modified xsi:type="dcterms:W3CDTF">2025-12-23T13:38:05Z</dcterms:modified>
</cp:coreProperties>
</file>
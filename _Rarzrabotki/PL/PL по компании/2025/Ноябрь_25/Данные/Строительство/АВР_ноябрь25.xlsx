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Ноябрь_25\Данные\Строительство\"/>
    </mc:Choice>
  </mc:AlternateContent>
  <xr:revisionPtr revIDLastSave="0" documentId="13_ncr:1_{D908B5FC-A06C-40D4-A5CF-E11AFF9FE0D0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Sheet1!$A$1:$J$94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3" i="1" l="1"/>
  <c r="E95" i="1"/>
  <c r="E102" i="1"/>
  <c r="E101" i="1"/>
  <c r="E100" i="1"/>
  <c r="E99" i="1"/>
  <c r="E98" i="1"/>
  <c r="E103" i="1" s="1"/>
  <c r="E104" i="1" s="1"/>
</calcChain>
</file>

<file path=xl/sharedStrings.xml><?xml version="1.0" encoding="utf-8"?>
<sst xmlns="http://schemas.openxmlformats.org/spreadsheetml/2006/main" count="985" uniqueCount="348">
  <si>
    <t>Оригинал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</si>
  <si>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</si>
  <si>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</si>
  <si>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</si>
  <si>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</si>
  <si>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</si>
  <si>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</si>
  <si>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</si>
  <si>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</si>
  <si>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</si>
  <si>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Так</t>
  </si>
  <si>
    <t>03.11.2025 11:49:36</t>
  </si>
  <si>
    <t>ІБ00-000737</t>
  </si>
  <si>
    <t>КАТЕРИНОПІЛЬСЬКИЙ ЕЛЕВАТОР ТОВ</t>
  </si>
  <si>
    <t>грн</t>
  </si>
  <si>
    <t>Виробничий (Катеринопіль МХП)</t>
  </si>
  <si>
    <t>ТОВ "ІНДАСТРІАЛБУД"</t>
  </si>
  <si>
    <t>Хлань Елена</t>
  </si>
  <si>
    <t>Акт 12 № 09/05/2025ВО від 09.05.2025</t>
  </si>
  <si>
    <t>03.11.2025 17:40:56</t>
  </si>
  <si>
    <t>ІБ00-000743</t>
  </si>
  <si>
    <t>Акт 9 (Транспортна галерея)</t>
  </si>
  <si>
    <t>04.11.2025 10:35:11</t>
  </si>
  <si>
    <t>ІБ00-000725</t>
  </si>
  <si>
    <t>АСТАРТА АГРО ПРОТЕЇН ТОВ</t>
  </si>
  <si>
    <t>Виробничий (Глобине-2)</t>
  </si>
  <si>
    <t xml:space="preserve"> Акт 23/1.14-АР (Котельня)</t>
  </si>
  <si>
    <t>04.11.2025 10:35:57</t>
  </si>
  <si>
    <t>ІБ00-000726</t>
  </si>
  <si>
    <t>Акт 41/1.3-ТХ(Цех екстракції поз. 3 ГБ)</t>
  </si>
  <si>
    <t>04.11.2025 10:36:43</t>
  </si>
  <si>
    <t>ІБ00-000727</t>
  </si>
  <si>
    <t xml:space="preserve"> Акт 5/1.17-КБ Очисні Споруди</t>
  </si>
  <si>
    <t>04.11.2025 10:41:15</t>
  </si>
  <si>
    <t>ІБ00-000728</t>
  </si>
  <si>
    <t xml:space="preserve"> Акт 3/1.12-КМ меляса</t>
  </si>
  <si>
    <t>04.11.2025 10:42:15</t>
  </si>
  <si>
    <t>ІБ00-000729</t>
  </si>
  <si>
    <t>Акт 38/1.3-ТХ (Цех екстракції поз. 3 ГБ)</t>
  </si>
  <si>
    <t>04.11.2025 10:43:34</t>
  </si>
  <si>
    <t>ІБ00-000730</t>
  </si>
  <si>
    <t>Акт 90/1.3-КМ(Цех екстракції поз. 3 ГБ)</t>
  </si>
  <si>
    <t>04.11.2025 10:44:15</t>
  </si>
  <si>
    <t>ІБ00-000731</t>
  </si>
  <si>
    <t>Акт 6/1.5-ТХ (Насосна пожежогасіння поз.7 по ГП)</t>
  </si>
  <si>
    <t>04.11.2025 10:44:53</t>
  </si>
  <si>
    <t>ІБ00-000732</t>
  </si>
  <si>
    <t xml:space="preserve"> Акт 12/1.1-АР</t>
  </si>
  <si>
    <t>04.11.2025 10:45:45</t>
  </si>
  <si>
    <t>ІБ00-000733</t>
  </si>
  <si>
    <t>Акт 89/1.3-КМ(Цех екстракції поз. 3 ГБ)</t>
  </si>
  <si>
    <t>04.11.2025 10:46:24</t>
  </si>
  <si>
    <t>ІБ00-000734</t>
  </si>
  <si>
    <t>Акт 91/1.3-КМ(Цех екстракції поз. 3 ГБ)</t>
  </si>
  <si>
    <t>04.11.2025 10:47:08</t>
  </si>
  <si>
    <t>ІБ00-000735</t>
  </si>
  <si>
    <t xml:space="preserve"> Акт 25/1.9-КМ (СПК)</t>
  </si>
  <si>
    <t>04.11.2025 12:35:19</t>
  </si>
  <si>
    <t>ІБ00-000738</t>
  </si>
  <si>
    <t xml:space="preserve"> Акт 1/1.18-КМ ГРП (Газорегуляторний пункт)</t>
  </si>
  <si>
    <t>04.11.2025 12:37:08</t>
  </si>
  <si>
    <t>ІБ00-000739</t>
  </si>
  <si>
    <t>Акт 39/1.3-ТХ (Цех екстракції поз. 3 ГБ)</t>
  </si>
  <si>
    <t>04.11.2025 15:22:41</t>
  </si>
  <si>
    <t>ІБ00-000767</t>
  </si>
  <si>
    <t>Акт 36/1.3-КБ(Цех екстракції поз. 3 ГБ)</t>
  </si>
  <si>
    <t>Ні</t>
  </si>
  <si>
    <t>04.11.2025 16:31:41</t>
  </si>
  <si>
    <t>ІБ00-000713</t>
  </si>
  <si>
    <t xml:space="preserve"> Акт 22/1.14-АР (Котельня)</t>
  </si>
  <si>
    <t>04.11.2025 16:32:40</t>
  </si>
  <si>
    <t>ІБ00-000714</t>
  </si>
  <si>
    <t xml:space="preserve"> Акт 4/1.17-КБ Очисні Споруди</t>
  </si>
  <si>
    <t>05.11.2025 17:26:40</t>
  </si>
  <si>
    <t>ІБ00-000753</t>
  </si>
  <si>
    <t>Акт 2 ДУ 10</t>
  </si>
  <si>
    <t>06.11.2025 12:14:24</t>
  </si>
  <si>
    <t>ІБ00-000746</t>
  </si>
  <si>
    <t xml:space="preserve">КОМРАД ТРЕЙД  ТОВ </t>
  </si>
  <si>
    <t>Виробничий (Путрівка КМД)</t>
  </si>
  <si>
    <t xml:space="preserve">Акт 1 </t>
  </si>
  <si>
    <t>06.11.2025 12:46:23</t>
  </si>
  <si>
    <t>ІБ00-000740</t>
  </si>
  <si>
    <t>АГРОФІРМА ІМ. ДОВЖЕНКА ТОВ</t>
  </si>
  <si>
    <t>Виробничий (Астарта_Тищенки)</t>
  </si>
  <si>
    <t>Ємність освітлених вод Акт  3-06</t>
  </si>
  <si>
    <t>06.11.2025 12:46:49</t>
  </si>
  <si>
    <t>ІБ00-000741</t>
  </si>
  <si>
    <t>Ємність освітлених вод Акт  3-07</t>
  </si>
  <si>
    <t>06.11.2025 12:47:27</t>
  </si>
  <si>
    <t>ІБ00-000742</t>
  </si>
  <si>
    <t>Корівник № 6 Акт  1-10</t>
  </si>
  <si>
    <t>06.11.2025 17:49:44</t>
  </si>
  <si>
    <t>ІБ00-000777</t>
  </si>
  <si>
    <t>Акт 13 № 09/05/2025ВО від 09.05.2025</t>
  </si>
  <si>
    <t>10.11.2025 11:10:37</t>
  </si>
  <si>
    <t>ІБ00-000778</t>
  </si>
  <si>
    <t>Акт 1 (Відвантаження лушпиння)</t>
  </si>
  <si>
    <t>10.11.2025 18:45:58</t>
  </si>
  <si>
    <t>ІБ00-000768</t>
  </si>
  <si>
    <t>Акт 7 (Охолодження макухи)</t>
  </si>
  <si>
    <t>11.11.2025 10:32:50</t>
  </si>
  <si>
    <t>ІБ00-000766</t>
  </si>
  <si>
    <t xml:space="preserve"> Акт 13/1.1-АР</t>
  </si>
  <si>
    <t>11.11.2025 11:58:00</t>
  </si>
  <si>
    <t>ІБ00-000745</t>
  </si>
  <si>
    <t>Доїльно-молочний блок Акт 4-06</t>
  </si>
  <si>
    <t>11.11.2025 13:48:07</t>
  </si>
  <si>
    <t>ІБ00-000747</t>
  </si>
  <si>
    <t>Накопичувальна ємність ДМБ 6-01</t>
  </si>
  <si>
    <t>11.11.2025 13:48:38</t>
  </si>
  <si>
    <t>ІБ00-000748</t>
  </si>
  <si>
    <t>Накопичувальна ємність ДМБ 6-02</t>
  </si>
  <si>
    <t>11.11.2025 14:54:12</t>
  </si>
  <si>
    <t>ІБ00-000749</t>
  </si>
  <si>
    <t>Корівник № 6 Акт  1-11</t>
  </si>
  <si>
    <t>11.11.2025 14:54:39</t>
  </si>
  <si>
    <t>ІБ00-000750</t>
  </si>
  <si>
    <t>Корівник №7 АВР № 2-13</t>
  </si>
  <si>
    <t>11.11.2025 14:57:33</t>
  </si>
  <si>
    <t>ІБ00-000751</t>
  </si>
  <si>
    <t>Сепараторна Акт 5-01</t>
  </si>
  <si>
    <t>11.11.2025 16:26:22</t>
  </si>
  <si>
    <t>ІБ00-000755</t>
  </si>
  <si>
    <t xml:space="preserve"> Акт 2/1.12-АР меляса</t>
  </si>
  <si>
    <t>11.11.2025 16:27:37</t>
  </si>
  <si>
    <t>ІБ00-000756</t>
  </si>
  <si>
    <t xml:space="preserve"> Акт 22/1.1-КБ (АПК)</t>
  </si>
  <si>
    <t>11.11.2025 16:28:11</t>
  </si>
  <si>
    <t>ІБ00-000757</t>
  </si>
  <si>
    <t>Акт 92/1.3-КМ(Цех екстракції поз. 3 ГБ)</t>
  </si>
  <si>
    <t>11.11.2025 16:29:39</t>
  </si>
  <si>
    <t>ІБ00-000759</t>
  </si>
  <si>
    <t xml:space="preserve"> Акт 2/1.3-АР</t>
  </si>
  <si>
    <t>11.11.2025 16:40:34</t>
  </si>
  <si>
    <t>ІБ00-000762</t>
  </si>
  <si>
    <t xml:space="preserve"> Акт 26/1.9-КМ (СПК)</t>
  </si>
  <si>
    <t>11.11.2025 16:41:16</t>
  </si>
  <si>
    <t>ІБ00-000763</t>
  </si>
  <si>
    <t xml:space="preserve"> Акт 24/1.14-АР (Котельня)</t>
  </si>
  <si>
    <t>14.11.2025 16:17:12</t>
  </si>
  <si>
    <t>ІБ00-000754</t>
  </si>
  <si>
    <t>Доїльно-молочний блок Акт 4-07</t>
  </si>
  <si>
    <t>14.11.2025 16:36:11</t>
  </si>
  <si>
    <t>ІБ00-000761</t>
  </si>
  <si>
    <t>Проміжна ємність  6-03</t>
  </si>
  <si>
    <t>17.11.2025 23:57:10</t>
  </si>
  <si>
    <t>ІБ00-000799</t>
  </si>
  <si>
    <t>Акт 10 (Транспортна галерея)</t>
  </si>
  <si>
    <t>19.11.2025 11:44:08</t>
  </si>
  <si>
    <t>ІБ00-000780</t>
  </si>
  <si>
    <t xml:space="preserve"> Акт 1/1.10-КМ (СПК) (ЦЕХ)</t>
  </si>
  <si>
    <t>19.11.2025 11:47:29</t>
  </si>
  <si>
    <t>ІБ00-000783</t>
  </si>
  <si>
    <t xml:space="preserve"> Акт 25/1.14-АР (Котельня)</t>
  </si>
  <si>
    <t>19.11.2025 11:48:57</t>
  </si>
  <si>
    <t>ІБ00-000785</t>
  </si>
  <si>
    <t xml:space="preserve"> Акт 5/1.16-КМ (Пожежний резервуар) (цех)</t>
  </si>
  <si>
    <t>19.11.2025 11:51:19</t>
  </si>
  <si>
    <t>ІБ00-000787</t>
  </si>
  <si>
    <t xml:space="preserve"> Акт 27/1.9-КМ (СПК)</t>
  </si>
  <si>
    <t>19.11.2025 11:52:04</t>
  </si>
  <si>
    <t>ІБ00-000788</t>
  </si>
  <si>
    <t xml:space="preserve"> Акт 3/1.3-АР</t>
  </si>
  <si>
    <t>19.11.2025 11:52:33</t>
  </si>
  <si>
    <t>ІБ00-000789</t>
  </si>
  <si>
    <t xml:space="preserve"> Акт 23/1.1-КБ (АПК)</t>
  </si>
  <si>
    <t>19.11.2025 11:54:06</t>
  </si>
  <si>
    <t>ІБ00-000791</t>
  </si>
  <si>
    <t>Акт 94/1.3-КМ(Цех екстракції поз. 3 ГБ)</t>
  </si>
  <si>
    <t>19.11.2025 11:55:01</t>
  </si>
  <si>
    <t>ІБ00-000792</t>
  </si>
  <si>
    <t xml:space="preserve"> Акт 20/1.26_Б</t>
  </si>
  <si>
    <t>19.11.2025 14:33:53</t>
  </si>
  <si>
    <t>ІБ00-000770</t>
  </si>
  <si>
    <t>Корівник № 6 Акт  1-12</t>
  </si>
  <si>
    <t>19.11.2025 14:35:03</t>
  </si>
  <si>
    <t>ІБ00-000771</t>
  </si>
  <si>
    <t>Сепараторна Акт 5-02</t>
  </si>
  <si>
    <t>19.11.2025 14:36:11</t>
  </si>
  <si>
    <t>ІБ00-000772</t>
  </si>
  <si>
    <t>Корівник №7 АВР № 2-14</t>
  </si>
  <si>
    <t>19.11.2025 14:56:35</t>
  </si>
  <si>
    <t>ІБ00-000773</t>
  </si>
  <si>
    <t>Доїльно-молочний блок Акт 4/3</t>
  </si>
  <si>
    <t>19.11.2025 14:57:20</t>
  </si>
  <si>
    <t>ІБ00-000774</t>
  </si>
  <si>
    <t>Корівник №7 АВР № 2/3</t>
  </si>
  <si>
    <t>19.11.2025 14:57:59</t>
  </si>
  <si>
    <t>ІБ00-000775</t>
  </si>
  <si>
    <t>Корівник № 6 Акт  1/3</t>
  </si>
  <si>
    <t>19.11.2025 16:07:37</t>
  </si>
  <si>
    <t>ІБ00-000721</t>
  </si>
  <si>
    <t>Корівник №7 АВР № 2/1</t>
  </si>
  <si>
    <t>19.11.2025 16:08:31</t>
  </si>
  <si>
    <t>ІБ00-000722</t>
  </si>
  <si>
    <t>Корівник № 6 Акт 1/1</t>
  </si>
  <si>
    <t>19.11.2025 16:09:13</t>
  </si>
  <si>
    <t>ІБ00-000723</t>
  </si>
  <si>
    <t>Доїльно-молочний блок Акт 4/01</t>
  </si>
  <si>
    <t>19.11.2025 16:11:59</t>
  </si>
  <si>
    <t>ІБ00-000776</t>
  </si>
  <si>
    <t>Аулова Маргарита</t>
  </si>
  <si>
    <t>Доїльно-молочний блок Акт 4-08</t>
  </si>
  <si>
    <t>20.11.2025 13:31:52</t>
  </si>
  <si>
    <t>ІБ00-000793</t>
  </si>
  <si>
    <t>Доїльно-молочний блок Акт 4-09</t>
  </si>
  <si>
    <t>24.11.2025 11:43:03</t>
  </si>
  <si>
    <t>ІБ00-000779</t>
  </si>
  <si>
    <t>Акт 42/1.3-ТХ (Цех екстракції поз. 3 ГБ)</t>
  </si>
  <si>
    <t>24.11.2025 11:44:54</t>
  </si>
  <si>
    <t>ІБ00-000781</t>
  </si>
  <si>
    <t xml:space="preserve"> Акт 14/1.1-АР</t>
  </si>
  <si>
    <t>24.11.2025 11:48:04</t>
  </si>
  <si>
    <t>ІБ00-000784</t>
  </si>
  <si>
    <t>Акт 41/1.3-ТХ (Цех екстракції поз. 3 ГБ)</t>
  </si>
  <si>
    <t>24.11.2025 11:49:41</t>
  </si>
  <si>
    <t>ІБ00-000786</t>
  </si>
  <si>
    <t xml:space="preserve"> Акт 7/1.17-КБ Очисні Споруди</t>
  </si>
  <si>
    <t>24.11.2025 11:53:28</t>
  </si>
  <si>
    <t>ІБ00-000790</t>
  </si>
  <si>
    <t>Акт 93/1.3-КМ(Цех екстракції поз. 3 ГБ)</t>
  </si>
  <si>
    <t>25.11.2025 00:00:00</t>
  </si>
  <si>
    <t>ІБ00-000838</t>
  </si>
  <si>
    <t>НІЖИНСЬКИЙ ЖИРКОМБІНАТ ПрАТ</t>
  </si>
  <si>
    <t>Виробничий (Ніжин-4)</t>
  </si>
  <si>
    <t>Акт 24</t>
  </si>
  <si>
    <t>ІБ00-000839</t>
  </si>
  <si>
    <t>Акт 26</t>
  </si>
  <si>
    <t>25.11.2025 11:29:29</t>
  </si>
  <si>
    <t>ІБ00-000812</t>
  </si>
  <si>
    <t>Акт 2</t>
  </si>
  <si>
    <t>26.11.2025 00:00:00</t>
  </si>
  <si>
    <t>ІБ00-000765</t>
  </si>
  <si>
    <t>Перша черга. Зовнішні мережі каналізації, системи гноєвидалення, проміжна та накопичувальна ємності  6-04</t>
  </si>
  <si>
    <t>ІБ00-000797</t>
  </si>
  <si>
    <t>Перехідна галерея  Акт 7-01</t>
  </si>
  <si>
    <t>ІБ00-000811</t>
  </si>
  <si>
    <t>Монолітний протирожежний резервуар розм.9,0х10,95м Акт 8-01 (Земляні роботи)</t>
  </si>
  <si>
    <t>26.11.2025 10:00:01</t>
  </si>
  <si>
    <t>ІБ00-000796</t>
  </si>
  <si>
    <t>Корівник № 6 Акт  1-13</t>
  </si>
  <si>
    <t>26.11.2025 10:15:00</t>
  </si>
  <si>
    <t>ІБ00-000798</t>
  </si>
  <si>
    <t>Корівник №7 АВР № 2-15</t>
  </si>
  <si>
    <t>26.11.2025 11:39:14</t>
  </si>
  <si>
    <t>ІБ00-000813</t>
  </si>
  <si>
    <t xml:space="preserve"> Акт 26/1.9-ЗБ</t>
  </si>
  <si>
    <t>26.11.2025 11:40:46</t>
  </si>
  <si>
    <t>ІБ00-000814</t>
  </si>
  <si>
    <t xml:space="preserve"> Акт 28/1.9-КМ (СПК)</t>
  </si>
  <si>
    <t>26.11.2025 11:41:39</t>
  </si>
  <si>
    <t>ІБ00-000815</t>
  </si>
  <si>
    <t xml:space="preserve"> Акт 4/1.3-АР</t>
  </si>
  <si>
    <t>26.11.2025 11:43:27</t>
  </si>
  <si>
    <t>ІБ00-000816</t>
  </si>
  <si>
    <t xml:space="preserve"> Акт 26/1.14-АР (Котельня)</t>
  </si>
  <si>
    <t>26.11.2025 11:46:46</t>
  </si>
  <si>
    <t>ІБ00-000782</t>
  </si>
  <si>
    <t>Акт 1/1.6-КБ (транспортна галерея)</t>
  </si>
  <si>
    <t>26.11.2025 16:20:49</t>
  </si>
  <si>
    <t>ІБ00-000803</t>
  </si>
  <si>
    <t xml:space="preserve"> Акт 15/1.1-АР</t>
  </si>
  <si>
    <t>26.11.2025 16:21:23</t>
  </si>
  <si>
    <t>ІБ00-000804</t>
  </si>
  <si>
    <t xml:space="preserve"> Акт 24/1.1-КБ (АПК)</t>
  </si>
  <si>
    <t>26.11.2025 16:25:14</t>
  </si>
  <si>
    <t>ІБ00-000805</t>
  </si>
  <si>
    <t>Акт 95/1.3-КМ(Цех екстракції поз. 3 ГБ)</t>
  </si>
  <si>
    <t>26.11.2025 16:26:16</t>
  </si>
  <si>
    <t>ІБ00-000806</t>
  </si>
  <si>
    <t xml:space="preserve"> Акт 2/1.18-КМ ГРП (Газорегуляторний пункт)</t>
  </si>
  <si>
    <t>26.11.2025 16:26:57</t>
  </si>
  <si>
    <t>ІБ00-000807</t>
  </si>
  <si>
    <t xml:space="preserve"> Акт 5/1.7-КБ </t>
  </si>
  <si>
    <t>26.11.2025 16:27:34</t>
  </si>
  <si>
    <t>ІБ00-000808</t>
  </si>
  <si>
    <t>Акт 2/1.6-КБ (транспортна галерея)</t>
  </si>
  <si>
    <t>26.11.2025 16:28:49</t>
  </si>
  <si>
    <t>ІБ00-000758</t>
  </si>
  <si>
    <t xml:space="preserve"> Акт 6/1.17-КБ Очисні Споруди</t>
  </si>
  <si>
    <t>26.11.2025 16:39:35</t>
  </si>
  <si>
    <t>ІБ00-000809</t>
  </si>
  <si>
    <t>Накопичувальна ємність ДМБ 6-05</t>
  </si>
  <si>
    <t>26.11.2025 16:40:50</t>
  </si>
  <si>
    <t>ІБ00-000810</t>
  </si>
  <si>
    <t>Проміжна ємність 6-06</t>
  </si>
  <si>
    <t>28.11.2025 10:16:39</t>
  </si>
  <si>
    <t>ІБ00-000820</t>
  </si>
  <si>
    <t>Доїльно-молочний блок Акт 4-11</t>
  </si>
  <si>
    <t>28.11.2025 10:17:25</t>
  </si>
  <si>
    <t>ІБ00-000821</t>
  </si>
  <si>
    <t>Корівник №7 АВР № 2-16</t>
  </si>
  <si>
    <t>28.11.2025 10:18:10</t>
  </si>
  <si>
    <t>ІБ00-000822</t>
  </si>
  <si>
    <t>Корівник № 6 Акт  1-14</t>
  </si>
  <si>
    <t>28.11.2025 14:48:43</t>
  </si>
  <si>
    <t>ІБ00-000818</t>
  </si>
  <si>
    <t>Доїльно-молочний блок Акт 4-10</t>
  </si>
  <si>
    <t>28.11.2025 22:34:42</t>
  </si>
  <si>
    <t>ІБ00-000843</t>
  </si>
  <si>
    <t>Акт 1 (ДУ 5)</t>
  </si>
  <si>
    <t>Астарта.Тищенки</t>
  </si>
  <si>
    <t>Глобино-2</t>
  </si>
  <si>
    <t>МХП Катеринополь</t>
  </si>
  <si>
    <t>Нежин-4</t>
  </si>
  <si>
    <t>КМД-2</t>
  </si>
  <si>
    <t>Вид операції</t>
  </si>
  <si>
    <t>Склад</t>
  </si>
  <si>
    <t>12.11.2025 08:20:43</t>
  </si>
  <si>
    <t>СТ00-000022</t>
  </si>
  <si>
    <t>Продаж, комісія</t>
  </si>
  <si>
    <t>ІНДАСТРIАЛБУД ТОВ</t>
  </si>
  <si>
    <t>СТІЛ Основной склад</t>
  </si>
  <si>
    <t>ТОВ "ІНДЕПТ СТІЛ"</t>
  </si>
  <si>
    <t>13.11.2025 13:02:29</t>
  </si>
  <si>
    <t>ІБ00-000066</t>
  </si>
  <si>
    <t>Резервуар для зберігання розчинника(Глобине)</t>
  </si>
  <si>
    <t>14.11.2025 09:26:04</t>
  </si>
  <si>
    <t>ІБ00-000067</t>
  </si>
  <si>
    <t>Резервуарний парк соєвої меляси (Глобине)</t>
  </si>
  <si>
    <t>17.11.2025 08:18:32</t>
  </si>
  <si>
    <t>ІБ00-000068</t>
  </si>
  <si>
    <t>Цех екстракції (Глобине)</t>
  </si>
  <si>
    <t>17.11.2025 08:28:01</t>
  </si>
  <si>
    <t>ІБ00-000069</t>
  </si>
  <si>
    <t>17.11.2025 08:42:18</t>
  </si>
  <si>
    <t>ІБ00-000070</t>
  </si>
  <si>
    <t>17.11.2025 08:56:32</t>
  </si>
  <si>
    <t>ІБ00-000071</t>
  </si>
  <si>
    <t>18.11.2025 11:36:35</t>
  </si>
  <si>
    <t>ІБ00-000072</t>
  </si>
  <si>
    <t>ЗВК_Глобіне</t>
  </si>
  <si>
    <t>ПН 12099</t>
  </si>
  <si>
    <t>19.11.2025 08:43:54</t>
  </si>
  <si>
    <t>ІБ00-000073</t>
  </si>
  <si>
    <t>ПН 11809+12100</t>
  </si>
  <si>
    <t>19.11.2025 08:56:05</t>
  </si>
  <si>
    <t>ІБ00-000074</t>
  </si>
  <si>
    <t>ПН 11808+11804 (одна позиція)</t>
  </si>
  <si>
    <t>24.11.2025 09:49:13</t>
  </si>
  <si>
    <t>ІБ00-000076</t>
  </si>
  <si>
    <t>24.11.2025 10:36:39</t>
  </si>
  <si>
    <t>ІБ00-000077</t>
  </si>
  <si>
    <t>24.11.2025 13:39:03</t>
  </si>
  <si>
    <t>ІБ00-000079</t>
  </si>
  <si>
    <t>Шишкіна Людмила - Генератор (затрата КМД-2)</t>
  </si>
  <si>
    <t>Глобино-2 (продажа)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</si>
</sst>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5" fillId="0" borderId="0" xfId="0" applyNumberFormat="1" applyFont="1"/>
    <xf numFmtId="4" fontId="1" fillId="0" borderId="0" xfId="0" applyNumberFormat="1" applyFont="1"/>
    <xf numFmtId="0" fontId="4" fillId="3" borderId="1" xfId="1" applyNumberFormat="1" applyFont="1" applyFill="1" applyBorder="1" applyAlignment="1">
      <alignment horizontal="left" vertical="top"/>
    </xf>
    <xf numFmtId="4" fontId="4" fillId="3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Sheet1" xfId="1" xr:uid="{41C8E1AC-E373-4C31-A05B-F0BBE337A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topLeftCell="A27" workbookViewId="0">
      <selection activeCell="E123" sqref="E123"/>
    </sheetView>
  </sheetViews>
  <sheetFormatPr defaultRowHeight="14.4" x14ac:dyDescent="0.3"/>
  <cols>
    <col min="1" max="1" width="9.109375" bestFit="1" customWidth="1"/>
    <col min="2" max="2" width="14" bestFit="1" customWidth="1"/>
    <col min="3" max="3" width="8.77734375" bestFit="1" customWidth="1"/>
    <col min="4" max="4" width="33" bestFit="1" customWidth="1"/>
    <col min="5" max="5" width="12.33203125" bestFit="1" customWidth="1"/>
    <col min="6" max="6" width="7.6640625" bestFit="1" customWidth="1"/>
    <col min="7" max="7" width="22.6640625" bestFit="1" customWidth="1"/>
    <col min="8" max="8" width="16.6640625" bestFit="1" customWidth="1"/>
    <col min="9" max="9" width="14.5546875" bestFit="1" customWidth="1"/>
    <col min="10" max="10" width="76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198110.8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10</v>
      </c>
      <c r="B3" s="2" t="s">
        <v>19</v>
      </c>
      <c r="C3" s="2" t="s">
        <v>20</v>
      </c>
      <c r="D3" s="2" t="s">
        <v>13</v>
      </c>
      <c r="E3" s="3">
        <v>783780.95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21</v>
      </c>
    </row>
    <row r="4" spans="1:10" x14ac:dyDescent="0.3">
      <c r="A4" s="2" t="s">
        <v>10</v>
      </c>
      <c r="B4" s="2" t="s">
        <v>22</v>
      </c>
      <c r="C4" s="2" t="s">
        <v>23</v>
      </c>
      <c r="D4" s="2" t="s">
        <v>24</v>
      </c>
      <c r="E4" s="3">
        <v>345295.84</v>
      </c>
      <c r="F4" s="2" t="s">
        <v>14</v>
      </c>
      <c r="G4" s="2" t="s">
        <v>25</v>
      </c>
      <c r="H4" s="2" t="s">
        <v>16</v>
      </c>
      <c r="I4" s="2" t="s">
        <v>17</v>
      </c>
      <c r="J4" s="2" t="s">
        <v>26</v>
      </c>
    </row>
    <row r="5" spans="1:10" x14ac:dyDescent="0.3">
      <c r="A5" s="2" t="s">
        <v>10</v>
      </c>
      <c r="B5" s="2" t="s">
        <v>27</v>
      </c>
      <c r="C5" s="2" t="s">
        <v>28</v>
      </c>
      <c r="D5" s="2" t="s">
        <v>24</v>
      </c>
      <c r="E5" s="3">
        <v>2436723.77</v>
      </c>
      <c r="F5" s="2" t="s">
        <v>14</v>
      </c>
      <c r="G5" s="2" t="s">
        <v>25</v>
      </c>
      <c r="H5" s="2" t="s">
        <v>16</v>
      </c>
      <c r="I5" s="2" t="s">
        <v>17</v>
      </c>
      <c r="J5" s="2" t="s">
        <v>29</v>
      </c>
    </row>
    <row r="6" spans="1:10" x14ac:dyDescent="0.3">
      <c r="A6" s="2" t="s">
        <v>10</v>
      </c>
      <c r="B6" s="2" t="s">
        <v>30</v>
      </c>
      <c r="C6" s="2" t="s">
        <v>31</v>
      </c>
      <c r="D6" s="2" t="s">
        <v>24</v>
      </c>
      <c r="E6" s="3">
        <v>1325776.07</v>
      </c>
      <c r="F6" s="2" t="s">
        <v>14</v>
      </c>
      <c r="G6" s="2" t="s">
        <v>25</v>
      </c>
      <c r="H6" s="2" t="s">
        <v>16</v>
      </c>
      <c r="I6" s="2" t="s">
        <v>17</v>
      </c>
      <c r="J6" s="2" t="s">
        <v>32</v>
      </c>
    </row>
    <row r="7" spans="1:10" x14ac:dyDescent="0.3">
      <c r="A7" s="2" t="s">
        <v>10</v>
      </c>
      <c r="B7" s="2" t="s">
        <v>33</v>
      </c>
      <c r="C7" s="2" t="s">
        <v>34</v>
      </c>
      <c r="D7" s="2" t="s">
        <v>24</v>
      </c>
      <c r="E7" s="3">
        <v>1148234.8999999999</v>
      </c>
      <c r="F7" s="2" t="s">
        <v>14</v>
      </c>
      <c r="G7" s="2" t="s">
        <v>25</v>
      </c>
      <c r="H7" s="2" t="s">
        <v>16</v>
      </c>
      <c r="I7" s="2" t="s">
        <v>17</v>
      </c>
      <c r="J7" s="2" t="s">
        <v>35</v>
      </c>
    </row>
    <row r="8" spans="1:10" x14ac:dyDescent="0.3">
      <c r="A8" s="2" t="s">
        <v>10</v>
      </c>
      <c r="B8" s="2" t="s">
        <v>36</v>
      </c>
      <c r="C8" s="2" t="s">
        <v>37</v>
      </c>
      <c r="D8" s="2" t="s">
        <v>24</v>
      </c>
      <c r="E8" s="3">
        <v>65176.27</v>
      </c>
      <c r="F8" s="2" t="s">
        <v>14</v>
      </c>
      <c r="G8" s="2" t="s">
        <v>25</v>
      </c>
      <c r="H8" s="2" t="s">
        <v>16</v>
      </c>
      <c r="I8" s="2" t="s">
        <v>17</v>
      </c>
      <c r="J8" s="2" t="s">
        <v>38</v>
      </c>
    </row>
    <row r="9" spans="1:10" x14ac:dyDescent="0.3">
      <c r="A9" s="2" t="s">
        <v>10</v>
      </c>
      <c r="B9" s="2" t="s">
        <v>39</v>
      </c>
      <c r="C9" s="2" t="s">
        <v>40</v>
      </c>
      <c r="D9" s="2" t="s">
        <v>24</v>
      </c>
      <c r="E9" s="3">
        <v>1533670.13</v>
      </c>
      <c r="F9" s="2" t="s">
        <v>14</v>
      </c>
      <c r="G9" s="2" t="s">
        <v>25</v>
      </c>
      <c r="H9" s="2" t="s">
        <v>16</v>
      </c>
      <c r="I9" s="2" t="s">
        <v>17</v>
      </c>
      <c r="J9" s="2" t="s">
        <v>41</v>
      </c>
    </row>
    <row r="10" spans="1:10" x14ac:dyDescent="0.3">
      <c r="A10" s="2" t="s">
        <v>10</v>
      </c>
      <c r="B10" s="2" t="s">
        <v>42</v>
      </c>
      <c r="C10" s="2" t="s">
        <v>43</v>
      </c>
      <c r="D10" s="2" t="s">
        <v>24</v>
      </c>
      <c r="E10" s="3">
        <v>475868.7</v>
      </c>
      <c r="F10" s="2" t="s">
        <v>14</v>
      </c>
      <c r="G10" s="2" t="s">
        <v>25</v>
      </c>
      <c r="H10" s="2" t="s">
        <v>16</v>
      </c>
      <c r="I10" s="2" t="s">
        <v>17</v>
      </c>
      <c r="J10" s="2" t="s">
        <v>44</v>
      </c>
    </row>
    <row r="11" spans="1:10" x14ac:dyDescent="0.3">
      <c r="A11" s="2" t="s">
        <v>10</v>
      </c>
      <c r="B11" s="2" t="s">
        <v>45</v>
      </c>
      <c r="C11" s="2" t="s">
        <v>46</v>
      </c>
      <c r="D11" s="2" t="s">
        <v>24</v>
      </c>
      <c r="E11" s="3">
        <v>724383.32</v>
      </c>
      <c r="F11" s="2" t="s">
        <v>14</v>
      </c>
      <c r="G11" s="2" t="s">
        <v>25</v>
      </c>
      <c r="H11" s="2" t="s">
        <v>16</v>
      </c>
      <c r="I11" s="2" t="s">
        <v>17</v>
      </c>
      <c r="J11" s="2" t="s">
        <v>47</v>
      </c>
    </row>
    <row r="12" spans="1:10" x14ac:dyDescent="0.3">
      <c r="A12" s="2" t="s">
        <v>10</v>
      </c>
      <c r="B12" s="2" t="s">
        <v>48</v>
      </c>
      <c r="C12" s="2" t="s">
        <v>49</v>
      </c>
      <c r="D12" s="2" t="s">
        <v>24</v>
      </c>
      <c r="E12" s="3">
        <v>2180053.44</v>
      </c>
      <c r="F12" s="2" t="s">
        <v>14</v>
      </c>
      <c r="G12" s="2" t="s">
        <v>25</v>
      </c>
      <c r="H12" s="2" t="s">
        <v>16</v>
      </c>
      <c r="I12" s="2" t="s">
        <v>17</v>
      </c>
      <c r="J12" s="2" t="s">
        <v>50</v>
      </c>
    </row>
    <row r="13" spans="1:10" x14ac:dyDescent="0.3">
      <c r="A13" s="2" t="s">
        <v>10</v>
      </c>
      <c r="B13" s="2" t="s">
        <v>51</v>
      </c>
      <c r="C13" s="2" t="s">
        <v>52</v>
      </c>
      <c r="D13" s="2" t="s">
        <v>24</v>
      </c>
      <c r="E13" s="3">
        <v>366619.21</v>
      </c>
      <c r="F13" s="2" t="s">
        <v>14</v>
      </c>
      <c r="G13" s="2" t="s">
        <v>25</v>
      </c>
      <c r="H13" s="2" t="s">
        <v>16</v>
      </c>
      <c r="I13" s="2" t="s">
        <v>17</v>
      </c>
      <c r="J13" s="2" t="s">
        <v>53</v>
      </c>
    </row>
    <row r="14" spans="1:10" x14ac:dyDescent="0.3">
      <c r="A14" s="2" t="s">
        <v>10</v>
      </c>
      <c r="B14" s="2" t="s">
        <v>54</v>
      </c>
      <c r="C14" s="2" t="s">
        <v>55</v>
      </c>
      <c r="D14" s="2" t="s">
        <v>24</v>
      </c>
      <c r="E14" s="3">
        <v>1183936.99</v>
      </c>
      <c r="F14" s="2" t="s">
        <v>14</v>
      </c>
      <c r="G14" s="2" t="s">
        <v>25</v>
      </c>
      <c r="H14" s="2" t="s">
        <v>16</v>
      </c>
      <c r="I14" s="2" t="s">
        <v>17</v>
      </c>
      <c r="J14" s="2" t="s">
        <v>56</v>
      </c>
    </row>
    <row r="15" spans="1:10" x14ac:dyDescent="0.3">
      <c r="A15" s="2" t="s">
        <v>10</v>
      </c>
      <c r="B15" s="2" t="s">
        <v>57</v>
      </c>
      <c r="C15" s="2" t="s">
        <v>58</v>
      </c>
      <c r="D15" s="2" t="s">
        <v>24</v>
      </c>
      <c r="E15" s="3">
        <v>241612.31</v>
      </c>
      <c r="F15" s="2" t="s">
        <v>14</v>
      </c>
      <c r="G15" s="2" t="s">
        <v>25</v>
      </c>
      <c r="H15" s="2" t="s">
        <v>16</v>
      </c>
      <c r="I15" s="2" t="s">
        <v>17</v>
      </c>
      <c r="J15" s="2" t="s">
        <v>59</v>
      </c>
    </row>
    <row r="16" spans="1:10" x14ac:dyDescent="0.3">
      <c r="A16" s="2" t="s">
        <v>10</v>
      </c>
      <c r="B16" s="2" t="s">
        <v>60</v>
      </c>
      <c r="C16" s="2" t="s">
        <v>61</v>
      </c>
      <c r="D16" s="2" t="s">
        <v>24</v>
      </c>
      <c r="E16" s="3">
        <v>1184520</v>
      </c>
      <c r="F16" s="2" t="s">
        <v>14</v>
      </c>
      <c r="G16" s="2" t="s">
        <v>25</v>
      </c>
      <c r="H16" s="2" t="s">
        <v>16</v>
      </c>
      <c r="I16" s="2" t="s">
        <v>17</v>
      </c>
      <c r="J16" s="2" t="s">
        <v>62</v>
      </c>
    </row>
    <row r="17" spans="1:10" x14ac:dyDescent="0.3">
      <c r="A17" s="2" t="s">
        <v>10</v>
      </c>
      <c r="B17" s="2" t="s">
        <v>63</v>
      </c>
      <c r="C17" s="2" t="s">
        <v>64</v>
      </c>
      <c r="D17" s="2" t="s">
        <v>24</v>
      </c>
      <c r="E17" s="3">
        <v>587490.54</v>
      </c>
      <c r="F17" s="2" t="s">
        <v>14</v>
      </c>
      <c r="G17" s="2" t="s">
        <v>25</v>
      </c>
      <c r="H17" s="2" t="s">
        <v>16</v>
      </c>
      <c r="I17" s="2" t="s">
        <v>17</v>
      </c>
      <c r="J17" s="2" t="s">
        <v>65</v>
      </c>
    </row>
    <row r="18" spans="1:10" x14ac:dyDescent="0.3">
      <c r="A18" s="2" t="s">
        <v>10</v>
      </c>
      <c r="B18" s="2" t="s">
        <v>67</v>
      </c>
      <c r="C18" s="2" t="s">
        <v>68</v>
      </c>
      <c r="D18" s="2" t="s">
        <v>24</v>
      </c>
      <c r="E18" s="3">
        <v>409093.67</v>
      </c>
      <c r="F18" s="2" t="s">
        <v>14</v>
      </c>
      <c r="G18" s="2" t="s">
        <v>25</v>
      </c>
      <c r="H18" s="2" t="s">
        <v>16</v>
      </c>
      <c r="I18" s="2" t="s">
        <v>17</v>
      </c>
      <c r="J18" s="2" t="s">
        <v>69</v>
      </c>
    </row>
    <row r="19" spans="1:10" x14ac:dyDescent="0.3">
      <c r="A19" s="2" t="s">
        <v>10</v>
      </c>
      <c r="B19" s="2" t="s">
        <v>70</v>
      </c>
      <c r="C19" s="2" t="s">
        <v>71</v>
      </c>
      <c r="D19" s="2" t="s">
        <v>24</v>
      </c>
      <c r="E19" s="3">
        <v>2475360.88</v>
      </c>
      <c r="F19" s="2" t="s">
        <v>14</v>
      </c>
      <c r="G19" s="2" t="s">
        <v>25</v>
      </c>
      <c r="H19" s="2" t="s">
        <v>16</v>
      </c>
      <c r="I19" s="2" t="s">
        <v>17</v>
      </c>
      <c r="J19" s="2" t="s">
        <v>72</v>
      </c>
    </row>
    <row r="20" spans="1:10" x14ac:dyDescent="0.3">
      <c r="A20" s="2" t="s">
        <v>10</v>
      </c>
      <c r="B20" s="2" t="s">
        <v>73</v>
      </c>
      <c r="C20" s="2" t="s">
        <v>74</v>
      </c>
      <c r="D20" s="2" t="s">
        <v>13</v>
      </c>
      <c r="E20" s="3">
        <v>281732.96000000002</v>
      </c>
      <c r="F20" s="2" t="s">
        <v>14</v>
      </c>
      <c r="G20" s="2" t="s">
        <v>15</v>
      </c>
      <c r="H20" s="2" t="s">
        <v>16</v>
      </c>
      <c r="I20" s="2" t="s">
        <v>17</v>
      </c>
      <c r="J20" s="2" t="s">
        <v>75</v>
      </c>
    </row>
    <row r="21" spans="1:10" x14ac:dyDescent="0.3">
      <c r="A21" s="2" t="s">
        <v>10</v>
      </c>
      <c r="B21" s="2" t="s">
        <v>76</v>
      </c>
      <c r="C21" s="2" t="s">
        <v>77</v>
      </c>
      <c r="D21" s="2" t="s">
        <v>78</v>
      </c>
      <c r="E21" s="3">
        <v>2076041</v>
      </c>
      <c r="F21" s="2" t="s">
        <v>14</v>
      </c>
      <c r="G21" s="2" t="s">
        <v>79</v>
      </c>
      <c r="H21" s="2" t="s">
        <v>16</v>
      </c>
      <c r="I21" s="2" t="s">
        <v>17</v>
      </c>
      <c r="J21" s="2" t="s">
        <v>80</v>
      </c>
    </row>
    <row r="22" spans="1:10" x14ac:dyDescent="0.3">
      <c r="A22" s="2" t="s">
        <v>10</v>
      </c>
      <c r="B22" s="2" t="s">
        <v>81</v>
      </c>
      <c r="C22" s="2" t="s">
        <v>82</v>
      </c>
      <c r="D22" s="2" t="s">
        <v>83</v>
      </c>
      <c r="E22" s="3">
        <v>37172.35</v>
      </c>
      <c r="F22" s="2" t="s">
        <v>14</v>
      </c>
      <c r="G22" s="2" t="s">
        <v>84</v>
      </c>
      <c r="H22" s="2" t="s">
        <v>16</v>
      </c>
      <c r="I22" s="2" t="s">
        <v>17</v>
      </c>
      <c r="J22" s="2" t="s">
        <v>85</v>
      </c>
    </row>
    <row r="23" spans="1:10" x14ac:dyDescent="0.3">
      <c r="A23" s="2" t="s">
        <v>10</v>
      </c>
      <c r="B23" s="2" t="s">
        <v>86</v>
      </c>
      <c r="C23" s="2" t="s">
        <v>87</v>
      </c>
      <c r="D23" s="2" t="s">
        <v>83</v>
      </c>
      <c r="E23" s="3">
        <v>11706.88</v>
      </c>
      <c r="F23" s="2" t="s">
        <v>14</v>
      </c>
      <c r="G23" s="2" t="s">
        <v>84</v>
      </c>
      <c r="H23" s="2" t="s">
        <v>16</v>
      </c>
      <c r="I23" s="2" t="s">
        <v>17</v>
      </c>
      <c r="J23" s="2" t="s">
        <v>88</v>
      </c>
    </row>
    <row r="24" spans="1:10" x14ac:dyDescent="0.3">
      <c r="A24" s="2" t="s">
        <v>10</v>
      </c>
      <c r="B24" s="2" t="s">
        <v>89</v>
      </c>
      <c r="C24" s="2" t="s">
        <v>90</v>
      </c>
      <c r="D24" s="2" t="s">
        <v>83</v>
      </c>
      <c r="E24" s="3">
        <v>623385.72</v>
      </c>
      <c r="F24" s="2" t="s">
        <v>14</v>
      </c>
      <c r="G24" s="2" t="s">
        <v>84</v>
      </c>
      <c r="H24" s="2" t="s">
        <v>16</v>
      </c>
      <c r="I24" s="2" t="s">
        <v>17</v>
      </c>
      <c r="J24" s="2" t="s">
        <v>91</v>
      </c>
    </row>
    <row r="25" spans="1:10" x14ac:dyDescent="0.3">
      <c r="A25" s="2" t="s">
        <v>10</v>
      </c>
      <c r="B25" s="2" t="s">
        <v>92</v>
      </c>
      <c r="C25" s="2" t="s">
        <v>93</v>
      </c>
      <c r="D25" s="2" t="s">
        <v>13</v>
      </c>
      <c r="E25" s="3">
        <v>215604.14</v>
      </c>
      <c r="F25" s="2" t="s">
        <v>14</v>
      </c>
      <c r="G25" s="2" t="s">
        <v>15</v>
      </c>
      <c r="H25" s="2" t="s">
        <v>16</v>
      </c>
      <c r="I25" s="2" t="s">
        <v>17</v>
      </c>
      <c r="J25" s="2" t="s">
        <v>94</v>
      </c>
    </row>
    <row r="26" spans="1:10" x14ac:dyDescent="0.3">
      <c r="A26" s="2" t="s">
        <v>10</v>
      </c>
      <c r="B26" s="2" t="s">
        <v>95</v>
      </c>
      <c r="C26" s="2" t="s">
        <v>96</v>
      </c>
      <c r="D26" s="2" t="s">
        <v>13</v>
      </c>
      <c r="E26" s="3">
        <v>891722.9</v>
      </c>
      <c r="F26" s="2" t="s">
        <v>14</v>
      </c>
      <c r="G26" s="2" t="s">
        <v>15</v>
      </c>
      <c r="H26" s="2" t="s">
        <v>16</v>
      </c>
      <c r="I26" s="2" t="s">
        <v>17</v>
      </c>
      <c r="J26" s="2" t="s">
        <v>97</v>
      </c>
    </row>
    <row r="27" spans="1:10" x14ac:dyDescent="0.3">
      <c r="A27" s="2" t="s">
        <v>10</v>
      </c>
      <c r="B27" s="2" t="s">
        <v>98</v>
      </c>
      <c r="C27" s="2" t="s">
        <v>99</v>
      </c>
      <c r="D27" s="2" t="s">
        <v>13</v>
      </c>
      <c r="E27" s="3">
        <v>34471.74</v>
      </c>
      <c r="F27" s="2" t="s">
        <v>14</v>
      </c>
      <c r="G27" s="2" t="s">
        <v>15</v>
      </c>
      <c r="H27" s="2" t="s">
        <v>16</v>
      </c>
      <c r="I27" s="2" t="s">
        <v>17</v>
      </c>
      <c r="J27" s="2" t="s">
        <v>100</v>
      </c>
    </row>
    <row r="28" spans="1:10" x14ac:dyDescent="0.3">
      <c r="A28" s="2" t="s">
        <v>66</v>
      </c>
      <c r="B28" s="2" t="s">
        <v>101</v>
      </c>
      <c r="C28" s="2" t="s">
        <v>102</v>
      </c>
      <c r="D28" s="2" t="s">
        <v>24</v>
      </c>
      <c r="E28" s="3">
        <v>445936.49</v>
      </c>
      <c r="F28" s="2" t="s">
        <v>14</v>
      </c>
      <c r="G28" s="2" t="s">
        <v>25</v>
      </c>
      <c r="H28" s="2" t="s">
        <v>16</v>
      </c>
      <c r="I28" s="2" t="s">
        <v>17</v>
      </c>
      <c r="J28" s="2" t="s">
        <v>103</v>
      </c>
    </row>
    <row r="29" spans="1:10" x14ac:dyDescent="0.3">
      <c r="A29" s="2" t="s">
        <v>66</v>
      </c>
      <c r="B29" s="2" t="s">
        <v>104</v>
      </c>
      <c r="C29" s="2" t="s">
        <v>105</v>
      </c>
      <c r="D29" s="2" t="s">
        <v>83</v>
      </c>
      <c r="E29" s="3">
        <v>233341.2</v>
      </c>
      <c r="F29" s="2" t="s">
        <v>14</v>
      </c>
      <c r="G29" s="2" t="s">
        <v>84</v>
      </c>
      <c r="H29" s="2" t="s">
        <v>16</v>
      </c>
      <c r="I29" s="2" t="s">
        <v>17</v>
      </c>
      <c r="J29" s="2" t="s">
        <v>106</v>
      </c>
    </row>
    <row r="30" spans="1:10" x14ac:dyDescent="0.3">
      <c r="A30" s="2" t="s">
        <v>10</v>
      </c>
      <c r="B30" s="2" t="s">
        <v>107</v>
      </c>
      <c r="C30" s="2" t="s">
        <v>108</v>
      </c>
      <c r="D30" s="2" t="s">
        <v>83</v>
      </c>
      <c r="E30" s="3">
        <v>327223.87</v>
      </c>
      <c r="F30" s="2" t="s">
        <v>14</v>
      </c>
      <c r="G30" s="2" t="s">
        <v>84</v>
      </c>
      <c r="H30" s="2" t="s">
        <v>16</v>
      </c>
      <c r="I30" s="2" t="s">
        <v>17</v>
      </c>
      <c r="J30" s="2" t="s">
        <v>109</v>
      </c>
    </row>
    <row r="31" spans="1:10" x14ac:dyDescent="0.3">
      <c r="A31" s="2" t="s">
        <v>10</v>
      </c>
      <c r="B31" s="2" t="s">
        <v>110</v>
      </c>
      <c r="C31" s="2" t="s">
        <v>111</v>
      </c>
      <c r="D31" s="2" t="s">
        <v>83</v>
      </c>
      <c r="E31" s="3">
        <v>81324.94</v>
      </c>
      <c r="F31" s="2" t="s">
        <v>14</v>
      </c>
      <c r="G31" s="2" t="s">
        <v>84</v>
      </c>
      <c r="H31" s="2" t="s">
        <v>16</v>
      </c>
      <c r="I31" s="2" t="s">
        <v>17</v>
      </c>
      <c r="J31" s="2" t="s">
        <v>112</v>
      </c>
    </row>
    <row r="32" spans="1:10" x14ac:dyDescent="0.3">
      <c r="A32" s="2" t="s">
        <v>10</v>
      </c>
      <c r="B32" s="2" t="s">
        <v>113</v>
      </c>
      <c r="C32" s="2" t="s">
        <v>114</v>
      </c>
      <c r="D32" s="2" t="s">
        <v>83</v>
      </c>
      <c r="E32" s="3">
        <v>741289.97</v>
      </c>
      <c r="F32" s="2" t="s">
        <v>14</v>
      </c>
      <c r="G32" s="2" t="s">
        <v>84</v>
      </c>
      <c r="H32" s="2" t="s">
        <v>16</v>
      </c>
      <c r="I32" s="2" t="s">
        <v>17</v>
      </c>
      <c r="J32" s="2" t="s">
        <v>115</v>
      </c>
    </row>
    <row r="33" spans="1:10" x14ac:dyDescent="0.3">
      <c r="A33" s="2" t="s">
        <v>10</v>
      </c>
      <c r="B33" s="2" t="s">
        <v>116</v>
      </c>
      <c r="C33" s="2" t="s">
        <v>117</v>
      </c>
      <c r="D33" s="2" t="s">
        <v>83</v>
      </c>
      <c r="E33" s="3">
        <v>869316.92</v>
      </c>
      <c r="F33" s="2" t="s">
        <v>14</v>
      </c>
      <c r="G33" s="2" t="s">
        <v>84</v>
      </c>
      <c r="H33" s="2" t="s">
        <v>16</v>
      </c>
      <c r="I33" s="2" t="s">
        <v>17</v>
      </c>
      <c r="J33" s="2" t="s">
        <v>118</v>
      </c>
    </row>
    <row r="34" spans="1:10" x14ac:dyDescent="0.3">
      <c r="A34" s="2" t="s">
        <v>10</v>
      </c>
      <c r="B34" s="2" t="s">
        <v>119</v>
      </c>
      <c r="C34" s="2" t="s">
        <v>120</v>
      </c>
      <c r="D34" s="2" t="s">
        <v>83</v>
      </c>
      <c r="E34" s="3">
        <v>211624.88</v>
      </c>
      <c r="F34" s="2" t="s">
        <v>14</v>
      </c>
      <c r="G34" s="2" t="s">
        <v>84</v>
      </c>
      <c r="H34" s="2" t="s">
        <v>16</v>
      </c>
      <c r="I34" s="2" t="s">
        <v>17</v>
      </c>
      <c r="J34" s="2" t="s">
        <v>121</v>
      </c>
    </row>
    <row r="35" spans="1:10" x14ac:dyDescent="0.3">
      <c r="A35" s="2" t="s">
        <v>66</v>
      </c>
      <c r="B35" s="2" t="s">
        <v>122</v>
      </c>
      <c r="C35" s="2" t="s">
        <v>123</v>
      </c>
      <c r="D35" s="2" t="s">
        <v>24</v>
      </c>
      <c r="E35" s="3">
        <v>102729.41</v>
      </c>
      <c r="F35" s="2" t="s">
        <v>14</v>
      </c>
      <c r="G35" s="2" t="s">
        <v>25</v>
      </c>
      <c r="H35" s="2" t="s">
        <v>16</v>
      </c>
      <c r="I35" s="2" t="s">
        <v>17</v>
      </c>
      <c r="J35" s="2" t="s">
        <v>124</v>
      </c>
    </row>
    <row r="36" spans="1:10" x14ac:dyDescent="0.3">
      <c r="A36" s="2" t="s">
        <v>66</v>
      </c>
      <c r="B36" s="2" t="s">
        <v>125</v>
      </c>
      <c r="C36" s="2" t="s">
        <v>126</v>
      </c>
      <c r="D36" s="2" t="s">
        <v>24</v>
      </c>
      <c r="E36" s="3">
        <v>85165.49</v>
      </c>
      <c r="F36" s="2" t="s">
        <v>14</v>
      </c>
      <c r="G36" s="2" t="s">
        <v>25</v>
      </c>
      <c r="H36" s="2" t="s">
        <v>16</v>
      </c>
      <c r="I36" s="2" t="s">
        <v>17</v>
      </c>
      <c r="J36" s="2" t="s">
        <v>127</v>
      </c>
    </row>
    <row r="37" spans="1:10" x14ac:dyDescent="0.3">
      <c r="A37" s="2" t="s">
        <v>66</v>
      </c>
      <c r="B37" s="2" t="s">
        <v>128</v>
      </c>
      <c r="C37" s="2" t="s">
        <v>129</v>
      </c>
      <c r="D37" s="2" t="s">
        <v>24</v>
      </c>
      <c r="E37" s="3">
        <v>332239.26</v>
      </c>
      <c r="F37" s="2" t="s">
        <v>14</v>
      </c>
      <c r="G37" s="2" t="s">
        <v>25</v>
      </c>
      <c r="H37" s="2" t="s">
        <v>16</v>
      </c>
      <c r="I37" s="2" t="s">
        <v>17</v>
      </c>
      <c r="J37" s="2" t="s">
        <v>130</v>
      </c>
    </row>
    <row r="38" spans="1:10" x14ac:dyDescent="0.3">
      <c r="A38" s="2" t="s">
        <v>66</v>
      </c>
      <c r="B38" s="2" t="s">
        <v>131</v>
      </c>
      <c r="C38" s="2" t="s">
        <v>132</v>
      </c>
      <c r="D38" s="2" t="s">
        <v>24</v>
      </c>
      <c r="E38" s="3">
        <v>165715.46</v>
      </c>
      <c r="F38" s="2" t="s">
        <v>14</v>
      </c>
      <c r="G38" s="2" t="s">
        <v>25</v>
      </c>
      <c r="H38" s="2" t="s">
        <v>16</v>
      </c>
      <c r="I38" s="2" t="s">
        <v>17</v>
      </c>
      <c r="J38" s="2" t="s">
        <v>133</v>
      </c>
    </row>
    <row r="39" spans="1:10" x14ac:dyDescent="0.3">
      <c r="A39" s="2" t="s">
        <v>66</v>
      </c>
      <c r="B39" s="2" t="s">
        <v>134</v>
      </c>
      <c r="C39" s="2" t="s">
        <v>135</v>
      </c>
      <c r="D39" s="2" t="s">
        <v>24</v>
      </c>
      <c r="E39" s="3">
        <v>1388015.44</v>
      </c>
      <c r="F39" s="2" t="s">
        <v>14</v>
      </c>
      <c r="G39" s="2" t="s">
        <v>25</v>
      </c>
      <c r="H39" s="2" t="s">
        <v>16</v>
      </c>
      <c r="I39" s="2" t="s">
        <v>17</v>
      </c>
      <c r="J39" s="2" t="s">
        <v>136</v>
      </c>
    </row>
    <row r="40" spans="1:10" x14ac:dyDescent="0.3">
      <c r="A40" s="2" t="s">
        <v>66</v>
      </c>
      <c r="B40" s="2" t="s">
        <v>137</v>
      </c>
      <c r="C40" s="2" t="s">
        <v>138</v>
      </c>
      <c r="D40" s="2" t="s">
        <v>24</v>
      </c>
      <c r="E40" s="3">
        <v>274388.86</v>
      </c>
      <c r="F40" s="2" t="s">
        <v>14</v>
      </c>
      <c r="G40" s="2" t="s">
        <v>25</v>
      </c>
      <c r="H40" s="2" t="s">
        <v>16</v>
      </c>
      <c r="I40" s="2" t="s">
        <v>17</v>
      </c>
      <c r="J40" s="2" t="s">
        <v>139</v>
      </c>
    </row>
    <row r="41" spans="1:10" x14ac:dyDescent="0.3">
      <c r="A41" s="2" t="s">
        <v>10</v>
      </c>
      <c r="B41" s="2" t="s">
        <v>140</v>
      </c>
      <c r="C41" s="2" t="s">
        <v>141</v>
      </c>
      <c r="D41" s="2" t="s">
        <v>83</v>
      </c>
      <c r="E41" s="3">
        <v>359681.41</v>
      </c>
      <c r="F41" s="2" t="s">
        <v>14</v>
      </c>
      <c r="G41" s="2" t="s">
        <v>84</v>
      </c>
      <c r="H41" s="2" t="s">
        <v>16</v>
      </c>
      <c r="I41" s="2" t="s">
        <v>17</v>
      </c>
      <c r="J41" s="2" t="s">
        <v>142</v>
      </c>
    </row>
    <row r="42" spans="1:10" x14ac:dyDescent="0.3">
      <c r="A42" s="2" t="s">
        <v>10</v>
      </c>
      <c r="B42" s="2" t="s">
        <v>143</v>
      </c>
      <c r="C42" s="2" t="s">
        <v>144</v>
      </c>
      <c r="D42" s="2" t="s">
        <v>83</v>
      </c>
      <c r="E42" s="3">
        <v>68901.399999999994</v>
      </c>
      <c r="F42" s="2" t="s">
        <v>14</v>
      </c>
      <c r="G42" s="2" t="s">
        <v>84</v>
      </c>
      <c r="H42" s="2" t="s">
        <v>16</v>
      </c>
      <c r="I42" s="2" t="s">
        <v>17</v>
      </c>
      <c r="J42" s="2" t="s">
        <v>145</v>
      </c>
    </row>
    <row r="43" spans="1:10" x14ac:dyDescent="0.3">
      <c r="A43" s="2" t="s">
        <v>10</v>
      </c>
      <c r="B43" s="2" t="s">
        <v>146</v>
      </c>
      <c r="C43" s="2" t="s">
        <v>147</v>
      </c>
      <c r="D43" s="2" t="s">
        <v>13</v>
      </c>
      <c r="E43" s="3">
        <v>217275.04</v>
      </c>
      <c r="F43" s="2" t="s">
        <v>14</v>
      </c>
      <c r="G43" s="2" t="s">
        <v>15</v>
      </c>
      <c r="H43" s="2" t="s">
        <v>16</v>
      </c>
      <c r="I43" s="2" t="s">
        <v>17</v>
      </c>
      <c r="J43" s="2" t="s">
        <v>148</v>
      </c>
    </row>
    <row r="44" spans="1:10" x14ac:dyDescent="0.3">
      <c r="A44" s="2" t="s">
        <v>10</v>
      </c>
      <c r="B44" s="2" t="s">
        <v>149</v>
      </c>
      <c r="C44" s="2" t="s">
        <v>150</v>
      </c>
      <c r="D44" s="2" t="s">
        <v>24</v>
      </c>
      <c r="E44" s="3">
        <v>4852625.9000000004</v>
      </c>
      <c r="F44" s="2" t="s">
        <v>14</v>
      </c>
      <c r="G44" s="2" t="s">
        <v>25</v>
      </c>
      <c r="H44" s="2" t="s">
        <v>16</v>
      </c>
      <c r="I44" s="2" t="s">
        <v>17</v>
      </c>
      <c r="J44" s="2" t="s">
        <v>151</v>
      </c>
    </row>
    <row r="45" spans="1:10" x14ac:dyDescent="0.3">
      <c r="A45" s="2" t="s">
        <v>10</v>
      </c>
      <c r="B45" s="2" t="s">
        <v>152</v>
      </c>
      <c r="C45" s="2" t="s">
        <v>153</v>
      </c>
      <c r="D45" s="2" t="s">
        <v>24</v>
      </c>
      <c r="E45" s="3">
        <v>39198.910000000003</v>
      </c>
      <c r="F45" s="2" t="s">
        <v>14</v>
      </c>
      <c r="G45" s="2" t="s">
        <v>25</v>
      </c>
      <c r="H45" s="2" t="s">
        <v>16</v>
      </c>
      <c r="I45" s="2" t="s">
        <v>17</v>
      </c>
      <c r="J45" s="2" t="s">
        <v>154</v>
      </c>
    </row>
    <row r="46" spans="1:10" x14ac:dyDescent="0.3">
      <c r="A46" s="2" t="s">
        <v>10</v>
      </c>
      <c r="B46" s="2" t="s">
        <v>155</v>
      </c>
      <c r="C46" s="2" t="s">
        <v>156</v>
      </c>
      <c r="D46" s="2" t="s">
        <v>24</v>
      </c>
      <c r="E46" s="3">
        <v>275934.25</v>
      </c>
      <c r="F46" s="2" t="s">
        <v>14</v>
      </c>
      <c r="G46" s="2" t="s">
        <v>25</v>
      </c>
      <c r="H46" s="2" t="s">
        <v>16</v>
      </c>
      <c r="I46" s="2" t="s">
        <v>17</v>
      </c>
      <c r="J46" s="2" t="s">
        <v>157</v>
      </c>
    </row>
    <row r="47" spans="1:10" x14ac:dyDescent="0.3">
      <c r="A47" s="2" t="s">
        <v>10</v>
      </c>
      <c r="B47" s="2" t="s">
        <v>158</v>
      </c>
      <c r="C47" s="2" t="s">
        <v>159</v>
      </c>
      <c r="D47" s="2" t="s">
        <v>24</v>
      </c>
      <c r="E47" s="3">
        <v>120993.76</v>
      </c>
      <c r="F47" s="2" t="s">
        <v>14</v>
      </c>
      <c r="G47" s="2" t="s">
        <v>25</v>
      </c>
      <c r="H47" s="2" t="s">
        <v>16</v>
      </c>
      <c r="I47" s="2" t="s">
        <v>17</v>
      </c>
      <c r="J47" s="2" t="s">
        <v>160</v>
      </c>
    </row>
    <row r="48" spans="1:10" x14ac:dyDescent="0.3">
      <c r="A48" s="2" t="s">
        <v>10</v>
      </c>
      <c r="B48" s="2" t="s">
        <v>161</v>
      </c>
      <c r="C48" s="2" t="s">
        <v>162</v>
      </c>
      <c r="D48" s="2" t="s">
        <v>24</v>
      </c>
      <c r="E48" s="3">
        <v>4409.38</v>
      </c>
      <c r="F48" s="2" t="s">
        <v>14</v>
      </c>
      <c r="G48" s="2" t="s">
        <v>25</v>
      </c>
      <c r="H48" s="2" t="s">
        <v>16</v>
      </c>
      <c r="I48" s="2" t="s">
        <v>17</v>
      </c>
      <c r="J48" s="2" t="s">
        <v>163</v>
      </c>
    </row>
    <row r="49" spans="1:10" x14ac:dyDescent="0.3">
      <c r="A49" s="2" t="s">
        <v>10</v>
      </c>
      <c r="B49" s="2" t="s">
        <v>164</v>
      </c>
      <c r="C49" s="2" t="s">
        <v>165</v>
      </c>
      <c r="D49" s="2" t="s">
        <v>24</v>
      </c>
      <c r="E49" s="3">
        <v>25547.26</v>
      </c>
      <c r="F49" s="2" t="s">
        <v>14</v>
      </c>
      <c r="G49" s="2" t="s">
        <v>25</v>
      </c>
      <c r="H49" s="2" t="s">
        <v>16</v>
      </c>
      <c r="I49" s="2" t="s">
        <v>17</v>
      </c>
      <c r="J49" s="2" t="s">
        <v>166</v>
      </c>
    </row>
    <row r="50" spans="1:10" x14ac:dyDescent="0.3">
      <c r="A50" s="2" t="s">
        <v>10</v>
      </c>
      <c r="B50" s="2" t="s">
        <v>167</v>
      </c>
      <c r="C50" s="2" t="s">
        <v>168</v>
      </c>
      <c r="D50" s="2" t="s">
        <v>24</v>
      </c>
      <c r="E50" s="3">
        <v>1610960.22</v>
      </c>
      <c r="F50" s="2" t="s">
        <v>14</v>
      </c>
      <c r="G50" s="2" t="s">
        <v>25</v>
      </c>
      <c r="H50" s="2" t="s">
        <v>16</v>
      </c>
      <c r="I50" s="2" t="s">
        <v>17</v>
      </c>
      <c r="J50" s="2" t="s">
        <v>169</v>
      </c>
    </row>
    <row r="51" spans="1:10" x14ac:dyDescent="0.3">
      <c r="A51" s="2" t="s">
        <v>10</v>
      </c>
      <c r="B51" s="2" t="s">
        <v>170</v>
      </c>
      <c r="C51" s="2" t="s">
        <v>171</v>
      </c>
      <c r="D51" s="2" t="s">
        <v>24</v>
      </c>
      <c r="E51" s="3">
        <v>75172.5</v>
      </c>
      <c r="F51" s="2" t="s">
        <v>14</v>
      </c>
      <c r="G51" s="2" t="s">
        <v>25</v>
      </c>
      <c r="H51" s="2" t="s">
        <v>16</v>
      </c>
      <c r="I51" s="2" t="s">
        <v>17</v>
      </c>
      <c r="J51" s="2" t="s">
        <v>172</v>
      </c>
    </row>
    <row r="52" spans="1:10" x14ac:dyDescent="0.3">
      <c r="A52" s="2" t="s">
        <v>10</v>
      </c>
      <c r="B52" s="2" t="s">
        <v>173</v>
      </c>
      <c r="C52" s="2" t="s">
        <v>174</v>
      </c>
      <c r="D52" s="2" t="s">
        <v>83</v>
      </c>
      <c r="E52" s="3">
        <v>465651.95</v>
      </c>
      <c r="F52" s="2" t="s">
        <v>14</v>
      </c>
      <c r="G52" s="2" t="s">
        <v>84</v>
      </c>
      <c r="H52" s="2" t="s">
        <v>16</v>
      </c>
      <c r="I52" s="2" t="s">
        <v>17</v>
      </c>
      <c r="J52" s="2" t="s">
        <v>175</v>
      </c>
    </row>
    <row r="53" spans="1:10" x14ac:dyDescent="0.3">
      <c r="A53" s="2" t="s">
        <v>10</v>
      </c>
      <c r="B53" s="2" t="s">
        <v>176</v>
      </c>
      <c r="C53" s="2" t="s">
        <v>177</v>
      </c>
      <c r="D53" s="2" t="s">
        <v>83</v>
      </c>
      <c r="E53" s="3">
        <v>118006.52</v>
      </c>
      <c r="F53" s="2" t="s">
        <v>14</v>
      </c>
      <c r="G53" s="2" t="s">
        <v>84</v>
      </c>
      <c r="H53" s="2" t="s">
        <v>16</v>
      </c>
      <c r="I53" s="2" t="s">
        <v>17</v>
      </c>
      <c r="J53" s="2" t="s">
        <v>178</v>
      </c>
    </row>
    <row r="54" spans="1:10" x14ac:dyDescent="0.3">
      <c r="A54" s="2" t="s">
        <v>10</v>
      </c>
      <c r="B54" s="2" t="s">
        <v>179</v>
      </c>
      <c r="C54" s="2" t="s">
        <v>180</v>
      </c>
      <c r="D54" s="2" t="s">
        <v>83</v>
      </c>
      <c r="E54" s="3">
        <v>779310</v>
      </c>
      <c r="F54" s="2" t="s">
        <v>14</v>
      </c>
      <c r="G54" s="2" t="s">
        <v>84</v>
      </c>
      <c r="H54" s="2" t="s">
        <v>16</v>
      </c>
      <c r="I54" s="2" t="s">
        <v>17</v>
      </c>
      <c r="J54" s="2" t="s">
        <v>181</v>
      </c>
    </row>
    <row r="55" spans="1:10" x14ac:dyDescent="0.3">
      <c r="A55" s="2" t="s">
        <v>10</v>
      </c>
      <c r="B55" s="2" t="s">
        <v>182</v>
      </c>
      <c r="C55" s="2" t="s">
        <v>183</v>
      </c>
      <c r="D55" s="2" t="s">
        <v>83</v>
      </c>
      <c r="E55" s="3">
        <v>31892.54</v>
      </c>
      <c r="F55" s="2" t="s">
        <v>14</v>
      </c>
      <c r="G55" s="2" t="s">
        <v>84</v>
      </c>
      <c r="H55" s="2" t="s">
        <v>16</v>
      </c>
      <c r="I55" s="2" t="s">
        <v>17</v>
      </c>
      <c r="J55" s="2" t="s">
        <v>184</v>
      </c>
    </row>
    <row r="56" spans="1:10" x14ac:dyDescent="0.3">
      <c r="A56" s="2" t="s">
        <v>10</v>
      </c>
      <c r="B56" s="2" t="s">
        <v>185</v>
      </c>
      <c r="C56" s="2" t="s">
        <v>186</v>
      </c>
      <c r="D56" s="2" t="s">
        <v>83</v>
      </c>
      <c r="E56" s="3">
        <v>381607.54</v>
      </c>
      <c r="F56" s="2" t="s">
        <v>14</v>
      </c>
      <c r="G56" s="2" t="s">
        <v>84</v>
      </c>
      <c r="H56" s="2" t="s">
        <v>16</v>
      </c>
      <c r="I56" s="2" t="s">
        <v>17</v>
      </c>
      <c r="J56" s="2" t="s">
        <v>187</v>
      </c>
    </row>
    <row r="57" spans="1:10" x14ac:dyDescent="0.3">
      <c r="A57" s="2" t="s">
        <v>10</v>
      </c>
      <c r="B57" s="2" t="s">
        <v>188</v>
      </c>
      <c r="C57" s="2" t="s">
        <v>189</v>
      </c>
      <c r="D57" s="2" t="s">
        <v>83</v>
      </c>
      <c r="E57" s="3">
        <v>173138.04</v>
      </c>
      <c r="F57" s="2" t="s">
        <v>14</v>
      </c>
      <c r="G57" s="2" t="s">
        <v>84</v>
      </c>
      <c r="H57" s="2" t="s">
        <v>16</v>
      </c>
      <c r="I57" s="2" t="s">
        <v>17</v>
      </c>
      <c r="J57" s="2" t="s">
        <v>190</v>
      </c>
    </row>
    <row r="58" spans="1:10" x14ac:dyDescent="0.3">
      <c r="A58" s="2" t="s">
        <v>10</v>
      </c>
      <c r="B58" s="2" t="s">
        <v>191</v>
      </c>
      <c r="C58" s="2" t="s">
        <v>192</v>
      </c>
      <c r="D58" s="2" t="s">
        <v>83</v>
      </c>
      <c r="E58" s="3">
        <v>33844.46</v>
      </c>
      <c r="F58" s="2" t="s">
        <v>14</v>
      </c>
      <c r="G58" s="2" t="s">
        <v>84</v>
      </c>
      <c r="H58" s="2" t="s">
        <v>16</v>
      </c>
      <c r="I58" s="2" t="s">
        <v>17</v>
      </c>
      <c r="J58" s="2" t="s">
        <v>193</v>
      </c>
    </row>
    <row r="59" spans="1:10" x14ac:dyDescent="0.3">
      <c r="A59" s="2" t="s">
        <v>10</v>
      </c>
      <c r="B59" s="2" t="s">
        <v>194</v>
      </c>
      <c r="C59" s="2" t="s">
        <v>195</v>
      </c>
      <c r="D59" s="2" t="s">
        <v>83</v>
      </c>
      <c r="E59" s="3">
        <v>75424.3</v>
      </c>
      <c r="F59" s="2" t="s">
        <v>14</v>
      </c>
      <c r="G59" s="2" t="s">
        <v>84</v>
      </c>
      <c r="H59" s="2" t="s">
        <v>16</v>
      </c>
      <c r="I59" s="2" t="s">
        <v>17</v>
      </c>
      <c r="J59" s="2" t="s">
        <v>196</v>
      </c>
    </row>
    <row r="60" spans="1:10" x14ac:dyDescent="0.3">
      <c r="A60" s="2" t="s">
        <v>10</v>
      </c>
      <c r="B60" s="2" t="s">
        <v>197</v>
      </c>
      <c r="C60" s="2" t="s">
        <v>198</v>
      </c>
      <c r="D60" s="2" t="s">
        <v>83</v>
      </c>
      <c r="E60" s="3">
        <v>23513.9</v>
      </c>
      <c r="F60" s="2" t="s">
        <v>14</v>
      </c>
      <c r="G60" s="2" t="s">
        <v>84</v>
      </c>
      <c r="H60" s="2" t="s">
        <v>16</v>
      </c>
      <c r="I60" s="2" t="s">
        <v>17</v>
      </c>
      <c r="J60" s="2" t="s">
        <v>199</v>
      </c>
    </row>
    <row r="61" spans="1:10" x14ac:dyDescent="0.3">
      <c r="A61" s="2" t="s">
        <v>10</v>
      </c>
      <c r="B61" s="2" t="s">
        <v>200</v>
      </c>
      <c r="C61" s="2" t="s">
        <v>201</v>
      </c>
      <c r="D61" s="2" t="s">
        <v>83</v>
      </c>
      <c r="E61" s="3">
        <v>1412904.56</v>
      </c>
      <c r="F61" s="2" t="s">
        <v>14</v>
      </c>
      <c r="G61" s="2" t="s">
        <v>84</v>
      </c>
      <c r="H61" s="2" t="s">
        <v>16</v>
      </c>
      <c r="I61" s="2" t="s">
        <v>202</v>
      </c>
      <c r="J61" s="2" t="s">
        <v>203</v>
      </c>
    </row>
    <row r="62" spans="1:10" x14ac:dyDescent="0.3">
      <c r="A62" s="2" t="s">
        <v>10</v>
      </c>
      <c r="B62" s="2" t="s">
        <v>204</v>
      </c>
      <c r="C62" s="2" t="s">
        <v>205</v>
      </c>
      <c r="D62" s="2" t="s">
        <v>83</v>
      </c>
      <c r="E62" s="3">
        <v>871712.1</v>
      </c>
      <c r="F62" s="2" t="s">
        <v>14</v>
      </c>
      <c r="G62" s="2" t="s">
        <v>84</v>
      </c>
      <c r="H62" s="2" t="s">
        <v>16</v>
      </c>
      <c r="I62" s="2" t="s">
        <v>17</v>
      </c>
      <c r="J62" s="2" t="s">
        <v>206</v>
      </c>
    </row>
    <row r="63" spans="1:10" x14ac:dyDescent="0.3">
      <c r="A63" s="2" t="s">
        <v>10</v>
      </c>
      <c r="B63" s="2" t="s">
        <v>207</v>
      </c>
      <c r="C63" s="2" t="s">
        <v>208</v>
      </c>
      <c r="D63" s="2" t="s">
        <v>24</v>
      </c>
      <c r="E63" s="3">
        <v>124383.6</v>
      </c>
      <c r="F63" s="2" t="s">
        <v>14</v>
      </c>
      <c r="G63" s="2" t="s">
        <v>25</v>
      </c>
      <c r="H63" s="2" t="s">
        <v>16</v>
      </c>
      <c r="I63" s="2" t="s">
        <v>17</v>
      </c>
      <c r="J63" s="2" t="s">
        <v>209</v>
      </c>
    </row>
    <row r="64" spans="1:10" x14ac:dyDescent="0.3">
      <c r="A64" s="2" t="s">
        <v>10</v>
      </c>
      <c r="B64" s="2" t="s">
        <v>210</v>
      </c>
      <c r="C64" s="2" t="s">
        <v>211</v>
      </c>
      <c r="D64" s="2" t="s">
        <v>24</v>
      </c>
      <c r="E64" s="3">
        <v>977258.04</v>
      </c>
      <c r="F64" s="2" t="s">
        <v>14</v>
      </c>
      <c r="G64" s="2" t="s">
        <v>25</v>
      </c>
      <c r="H64" s="2" t="s">
        <v>16</v>
      </c>
      <c r="I64" s="2" t="s">
        <v>17</v>
      </c>
      <c r="J64" s="2" t="s">
        <v>212</v>
      </c>
    </row>
    <row r="65" spans="1:10" x14ac:dyDescent="0.3">
      <c r="A65" s="2" t="s">
        <v>10</v>
      </c>
      <c r="B65" s="2" t="s">
        <v>213</v>
      </c>
      <c r="C65" s="2" t="s">
        <v>214</v>
      </c>
      <c r="D65" s="2" t="s">
        <v>24</v>
      </c>
      <c r="E65" s="3">
        <v>377828.77</v>
      </c>
      <c r="F65" s="2" t="s">
        <v>14</v>
      </c>
      <c r="G65" s="2" t="s">
        <v>25</v>
      </c>
      <c r="H65" s="2" t="s">
        <v>16</v>
      </c>
      <c r="I65" s="2" t="s">
        <v>17</v>
      </c>
      <c r="J65" s="2" t="s">
        <v>215</v>
      </c>
    </row>
    <row r="66" spans="1:10" x14ac:dyDescent="0.3">
      <c r="A66" s="2" t="s">
        <v>10</v>
      </c>
      <c r="B66" s="2" t="s">
        <v>216</v>
      </c>
      <c r="C66" s="2" t="s">
        <v>217</v>
      </c>
      <c r="D66" s="2" t="s">
        <v>24</v>
      </c>
      <c r="E66" s="3">
        <v>3071539.81</v>
      </c>
      <c r="F66" s="2" t="s">
        <v>14</v>
      </c>
      <c r="G66" s="2" t="s">
        <v>25</v>
      </c>
      <c r="H66" s="2" t="s">
        <v>16</v>
      </c>
      <c r="I66" s="2" t="s">
        <v>17</v>
      </c>
      <c r="J66" s="2" t="s">
        <v>218</v>
      </c>
    </row>
    <row r="67" spans="1:10" x14ac:dyDescent="0.3">
      <c r="A67" s="2" t="s">
        <v>10</v>
      </c>
      <c r="B67" s="2" t="s">
        <v>219</v>
      </c>
      <c r="C67" s="2" t="s">
        <v>220</v>
      </c>
      <c r="D67" s="2" t="s">
        <v>24</v>
      </c>
      <c r="E67" s="3">
        <v>534439.43999999994</v>
      </c>
      <c r="F67" s="2" t="s">
        <v>14</v>
      </c>
      <c r="G67" s="2" t="s">
        <v>25</v>
      </c>
      <c r="H67" s="2" t="s">
        <v>16</v>
      </c>
      <c r="I67" s="2" t="s">
        <v>17</v>
      </c>
      <c r="J67" s="2" t="s">
        <v>221</v>
      </c>
    </row>
    <row r="68" spans="1:10" x14ac:dyDescent="0.3">
      <c r="A68" s="2" t="s">
        <v>10</v>
      </c>
      <c r="B68" s="2" t="s">
        <v>222</v>
      </c>
      <c r="C68" s="2" t="s">
        <v>223</v>
      </c>
      <c r="D68" s="2" t="s">
        <v>224</v>
      </c>
      <c r="E68" s="3">
        <v>337406.88</v>
      </c>
      <c r="F68" s="2" t="s">
        <v>14</v>
      </c>
      <c r="G68" s="2" t="s">
        <v>225</v>
      </c>
      <c r="H68" s="2" t="s">
        <v>16</v>
      </c>
      <c r="I68" s="2" t="s">
        <v>17</v>
      </c>
      <c r="J68" s="2" t="s">
        <v>226</v>
      </c>
    </row>
    <row r="69" spans="1:10" x14ac:dyDescent="0.3">
      <c r="A69" s="2" t="s">
        <v>10</v>
      </c>
      <c r="B69" s="2" t="s">
        <v>222</v>
      </c>
      <c r="C69" s="2" t="s">
        <v>227</v>
      </c>
      <c r="D69" s="2" t="s">
        <v>224</v>
      </c>
      <c r="E69" s="3">
        <v>17050.2</v>
      </c>
      <c r="F69" s="2" t="s">
        <v>14</v>
      </c>
      <c r="G69" s="2" t="s">
        <v>225</v>
      </c>
      <c r="H69" s="2" t="s">
        <v>16</v>
      </c>
      <c r="I69" s="2" t="s">
        <v>17</v>
      </c>
      <c r="J69" s="2" t="s">
        <v>228</v>
      </c>
    </row>
    <row r="70" spans="1:10" x14ac:dyDescent="0.3">
      <c r="A70" s="2" t="s">
        <v>10</v>
      </c>
      <c r="B70" s="2" t="s">
        <v>229</v>
      </c>
      <c r="C70" s="2" t="s">
        <v>230</v>
      </c>
      <c r="D70" s="2" t="s">
        <v>78</v>
      </c>
      <c r="E70" s="3">
        <v>1813344.72</v>
      </c>
      <c r="F70" s="2" t="s">
        <v>14</v>
      </c>
      <c r="G70" s="2" t="s">
        <v>79</v>
      </c>
      <c r="H70" s="2" t="s">
        <v>16</v>
      </c>
      <c r="I70" s="2" t="s">
        <v>17</v>
      </c>
      <c r="J70" s="2" t="s">
        <v>231</v>
      </c>
    </row>
    <row r="71" spans="1:10" x14ac:dyDescent="0.3">
      <c r="A71" s="2" t="s">
        <v>10</v>
      </c>
      <c r="B71" s="2" t="s">
        <v>232</v>
      </c>
      <c r="C71" s="2" t="s">
        <v>233</v>
      </c>
      <c r="D71" s="2" t="s">
        <v>83</v>
      </c>
      <c r="E71" s="3">
        <v>131277.68</v>
      </c>
      <c r="F71" s="2" t="s">
        <v>14</v>
      </c>
      <c r="G71" s="2" t="s">
        <v>84</v>
      </c>
      <c r="H71" s="2" t="s">
        <v>16</v>
      </c>
      <c r="I71" s="2" t="s">
        <v>17</v>
      </c>
      <c r="J71" s="2" t="s">
        <v>234</v>
      </c>
    </row>
    <row r="72" spans="1:10" x14ac:dyDescent="0.3">
      <c r="A72" s="2" t="s">
        <v>10</v>
      </c>
      <c r="B72" s="2" t="s">
        <v>232</v>
      </c>
      <c r="C72" s="2" t="s">
        <v>235</v>
      </c>
      <c r="D72" s="2" t="s">
        <v>83</v>
      </c>
      <c r="E72" s="3">
        <v>46587.01</v>
      </c>
      <c r="F72" s="2" t="s">
        <v>14</v>
      </c>
      <c r="G72" s="2" t="s">
        <v>84</v>
      </c>
      <c r="H72" s="2" t="s">
        <v>16</v>
      </c>
      <c r="I72" s="2" t="s">
        <v>17</v>
      </c>
      <c r="J72" s="2" t="s">
        <v>236</v>
      </c>
    </row>
    <row r="73" spans="1:10" x14ac:dyDescent="0.3">
      <c r="A73" s="2" t="s">
        <v>10</v>
      </c>
      <c r="B73" s="2" t="s">
        <v>232</v>
      </c>
      <c r="C73" s="2" t="s">
        <v>237</v>
      </c>
      <c r="D73" s="2" t="s">
        <v>83</v>
      </c>
      <c r="E73" s="3">
        <v>139649.71</v>
      </c>
      <c r="F73" s="2" t="s">
        <v>14</v>
      </c>
      <c r="G73" s="2" t="s">
        <v>84</v>
      </c>
      <c r="H73" s="2" t="s">
        <v>16</v>
      </c>
      <c r="I73" s="2" t="s">
        <v>17</v>
      </c>
      <c r="J73" s="2" t="s">
        <v>238</v>
      </c>
    </row>
    <row r="74" spans="1:10" x14ac:dyDescent="0.3">
      <c r="A74" s="2" t="s">
        <v>10</v>
      </c>
      <c r="B74" s="2" t="s">
        <v>239</v>
      </c>
      <c r="C74" s="2" t="s">
        <v>240</v>
      </c>
      <c r="D74" s="2" t="s">
        <v>83</v>
      </c>
      <c r="E74" s="3">
        <v>42473.99</v>
      </c>
      <c r="F74" s="2" t="s">
        <v>14</v>
      </c>
      <c r="G74" s="2" t="s">
        <v>84</v>
      </c>
      <c r="H74" s="2" t="s">
        <v>16</v>
      </c>
      <c r="I74" s="2" t="s">
        <v>17</v>
      </c>
      <c r="J74" s="2" t="s">
        <v>241</v>
      </c>
    </row>
    <row r="75" spans="1:10" x14ac:dyDescent="0.3">
      <c r="A75" s="2" t="s">
        <v>10</v>
      </c>
      <c r="B75" s="2" t="s">
        <v>242</v>
      </c>
      <c r="C75" s="2" t="s">
        <v>243</v>
      </c>
      <c r="D75" s="2" t="s">
        <v>83</v>
      </c>
      <c r="E75" s="3">
        <v>1428371.41</v>
      </c>
      <c r="F75" s="2" t="s">
        <v>14</v>
      </c>
      <c r="G75" s="2" t="s">
        <v>84</v>
      </c>
      <c r="H75" s="2" t="s">
        <v>16</v>
      </c>
      <c r="I75" s="2" t="s">
        <v>17</v>
      </c>
      <c r="J75" s="2" t="s">
        <v>244</v>
      </c>
    </row>
    <row r="76" spans="1:10" x14ac:dyDescent="0.3">
      <c r="A76" s="2" t="s">
        <v>10</v>
      </c>
      <c r="B76" s="2" t="s">
        <v>245</v>
      </c>
      <c r="C76" s="2" t="s">
        <v>246</v>
      </c>
      <c r="D76" s="2" t="s">
        <v>24</v>
      </c>
      <c r="E76" s="3">
        <v>63891.24</v>
      </c>
      <c r="F76" s="2" t="s">
        <v>14</v>
      </c>
      <c r="G76" s="2" t="s">
        <v>25</v>
      </c>
      <c r="H76" s="2" t="s">
        <v>16</v>
      </c>
      <c r="I76" s="2" t="s">
        <v>17</v>
      </c>
      <c r="J76" s="2" t="s">
        <v>247</v>
      </c>
    </row>
    <row r="77" spans="1:10" x14ac:dyDescent="0.3">
      <c r="A77" s="2" t="s">
        <v>10</v>
      </c>
      <c r="B77" s="2" t="s">
        <v>248</v>
      </c>
      <c r="C77" s="2" t="s">
        <v>249</v>
      </c>
      <c r="D77" s="2" t="s">
        <v>24</v>
      </c>
      <c r="E77" s="3">
        <v>2504184.61</v>
      </c>
      <c r="F77" s="2" t="s">
        <v>14</v>
      </c>
      <c r="G77" s="2" t="s">
        <v>25</v>
      </c>
      <c r="H77" s="2" t="s">
        <v>16</v>
      </c>
      <c r="I77" s="2" t="s">
        <v>17</v>
      </c>
      <c r="J77" s="2" t="s">
        <v>250</v>
      </c>
    </row>
    <row r="78" spans="1:10" x14ac:dyDescent="0.3">
      <c r="A78" s="2" t="s">
        <v>10</v>
      </c>
      <c r="B78" s="2" t="s">
        <v>251</v>
      </c>
      <c r="C78" s="2" t="s">
        <v>252</v>
      </c>
      <c r="D78" s="2" t="s">
        <v>24</v>
      </c>
      <c r="E78" s="3">
        <v>159383.32999999999</v>
      </c>
      <c r="F78" s="2" t="s">
        <v>14</v>
      </c>
      <c r="G78" s="2" t="s">
        <v>25</v>
      </c>
      <c r="H78" s="2" t="s">
        <v>16</v>
      </c>
      <c r="I78" s="2" t="s">
        <v>17</v>
      </c>
      <c r="J78" s="2" t="s">
        <v>253</v>
      </c>
    </row>
    <row r="79" spans="1:10" x14ac:dyDescent="0.3">
      <c r="A79" s="2" t="s">
        <v>66</v>
      </c>
      <c r="B79" s="2" t="s">
        <v>254</v>
      </c>
      <c r="C79" s="2" t="s">
        <v>255</v>
      </c>
      <c r="D79" s="2" t="s">
        <v>24</v>
      </c>
      <c r="E79" s="3">
        <v>623354.99</v>
      </c>
      <c r="F79" s="2" t="s">
        <v>14</v>
      </c>
      <c r="G79" s="2" t="s">
        <v>25</v>
      </c>
      <c r="H79" s="2" t="s">
        <v>16</v>
      </c>
      <c r="I79" s="2" t="s">
        <v>17</v>
      </c>
      <c r="J79" s="2" t="s">
        <v>256</v>
      </c>
    </row>
    <row r="80" spans="1:10" x14ac:dyDescent="0.3">
      <c r="A80" s="2" t="s">
        <v>10</v>
      </c>
      <c r="B80" s="2" t="s">
        <v>257</v>
      </c>
      <c r="C80" s="2" t="s">
        <v>258</v>
      </c>
      <c r="D80" s="2" t="s">
        <v>24</v>
      </c>
      <c r="E80" s="3">
        <v>186210.9</v>
      </c>
      <c r="F80" s="2" t="s">
        <v>14</v>
      </c>
      <c r="G80" s="2" t="s">
        <v>25</v>
      </c>
      <c r="H80" s="2" t="s">
        <v>16</v>
      </c>
      <c r="I80" s="2" t="s">
        <v>17</v>
      </c>
      <c r="J80" s="2" t="s">
        <v>259</v>
      </c>
    </row>
    <row r="81" spans="1:10" x14ac:dyDescent="0.3">
      <c r="A81" s="2" t="s">
        <v>10</v>
      </c>
      <c r="B81" s="2" t="s">
        <v>260</v>
      </c>
      <c r="C81" s="2" t="s">
        <v>261</v>
      </c>
      <c r="D81" s="2" t="s">
        <v>24</v>
      </c>
      <c r="E81" s="3">
        <v>1310335.28</v>
      </c>
      <c r="F81" s="2" t="s">
        <v>14</v>
      </c>
      <c r="G81" s="2" t="s">
        <v>25</v>
      </c>
      <c r="H81" s="2" t="s">
        <v>16</v>
      </c>
      <c r="I81" s="2" t="s">
        <v>17</v>
      </c>
      <c r="J81" s="2" t="s">
        <v>262</v>
      </c>
    </row>
    <row r="82" spans="1:10" x14ac:dyDescent="0.3">
      <c r="A82" s="2" t="s">
        <v>10</v>
      </c>
      <c r="B82" s="2" t="s">
        <v>263</v>
      </c>
      <c r="C82" s="2" t="s">
        <v>264</v>
      </c>
      <c r="D82" s="2" t="s">
        <v>24</v>
      </c>
      <c r="E82" s="3">
        <v>90021.65</v>
      </c>
      <c r="F82" s="2" t="s">
        <v>14</v>
      </c>
      <c r="G82" s="2" t="s">
        <v>25</v>
      </c>
      <c r="H82" s="2" t="s">
        <v>16</v>
      </c>
      <c r="I82" s="2" t="s">
        <v>17</v>
      </c>
      <c r="J82" s="2" t="s">
        <v>265</v>
      </c>
    </row>
    <row r="83" spans="1:10" x14ac:dyDescent="0.3">
      <c r="A83" s="2" t="s">
        <v>10</v>
      </c>
      <c r="B83" s="2" t="s">
        <v>266</v>
      </c>
      <c r="C83" s="2" t="s">
        <v>267</v>
      </c>
      <c r="D83" s="2" t="s">
        <v>24</v>
      </c>
      <c r="E83" s="3">
        <v>1410540.86</v>
      </c>
      <c r="F83" s="2" t="s">
        <v>14</v>
      </c>
      <c r="G83" s="2" t="s">
        <v>25</v>
      </c>
      <c r="H83" s="2" t="s">
        <v>16</v>
      </c>
      <c r="I83" s="2" t="s">
        <v>17</v>
      </c>
      <c r="J83" s="2" t="s">
        <v>268</v>
      </c>
    </row>
    <row r="84" spans="1:10" x14ac:dyDescent="0.3">
      <c r="A84" s="2" t="s">
        <v>10</v>
      </c>
      <c r="B84" s="2" t="s">
        <v>269</v>
      </c>
      <c r="C84" s="2" t="s">
        <v>270</v>
      </c>
      <c r="D84" s="2" t="s">
        <v>24</v>
      </c>
      <c r="E84" s="3">
        <v>61272.480000000003</v>
      </c>
      <c r="F84" s="2" t="s">
        <v>14</v>
      </c>
      <c r="G84" s="2" t="s">
        <v>25</v>
      </c>
      <c r="H84" s="2" t="s">
        <v>16</v>
      </c>
      <c r="I84" s="2" t="s">
        <v>17</v>
      </c>
      <c r="J84" s="2" t="s">
        <v>271</v>
      </c>
    </row>
    <row r="85" spans="1:10" x14ac:dyDescent="0.3">
      <c r="A85" s="2" t="s">
        <v>10</v>
      </c>
      <c r="B85" s="2" t="s">
        <v>272</v>
      </c>
      <c r="C85" s="2" t="s">
        <v>273</v>
      </c>
      <c r="D85" s="2" t="s">
        <v>24</v>
      </c>
      <c r="E85" s="3">
        <v>108393.48</v>
      </c>
      <c r="F85" s="2" t="s">
        <v>14</v>
      </c>
      <c r="G85" s="2" t="s">
        <v>25</v>
      </c>
      <c r="H85" s="2" t="s">
        <v>16</v>
      </c>
      <c r="I85" s="2" t="s">
        <v>17</v>
      </c>
      <c r="J85" s="2" t="s">
        <v>274</v>
      </c>
    </row>
    <row r="86" spans="1:10" x14ac:dyDescent="0.3">
      <c r="A86" s="2" t="s">
        <v>10</v>
      </c>
      <c r="B86" s="2" t="s">
        <v>275</v>
      </c>
      <c r="C86" s="2" t="s">
        <v>276</v>
      </c>
      <c r="D86" s="2" t="s">
        <v>24</v>
      </c>
      <c r="E86" s="3">
        <v>94154.77</v>
      </c>
      <c r="F86" s="2" t="s">
        <v>14</v>
      </c>
      <c r="G86" s="2" t="s">
        <v>25</v>
      </c>
      <c r="H86" s="2" t="s">
        <v>16</v>
      </c>
      <c r="I86" s="2" t="s">
        <v>17</v>
      </c>
      <c r="J86" s="2" t="s">
        <v>277</v>
      </c>
    </row>
    <row r="87" spans="1:10" x14ac:dyDescent="0.3">
      <c r="A87" s="2" t="s">
        <v>10</v>
      </c>
      <c r="B87" s="2" t="s">
        <v>278</v>
      </c>
      <c r="C87" s="2" t="s">
        <v>279</v>
      </c>
      <c r="D87" s="2" t="s">
        <v>24</v>
      </c>
      <c r="E87" s="3">
        <v>274118.08</v>
      </c>
      <c r="F87" s="2" t="s">
        <v>14</v>
      </c>
      <c r="G87" s="2" t="s">
        <v>25</v>
      </c>
      <c r="H87" s="2" t="s">
        <v>16</v>
      </c>
      <c r="I87" s="2" t="s">
        <v>17</v>
      </c>
      <c r="J87" s="2" t="s">
        <v>280</v>
      </c>
    </row>
    <row r="88" spans="1:10" x14ac:dyDescent="0.3">
      <c r="A88" s="2" t="s">
        <v>10</v>
      </c>
      <c r="B88" s="2" t="s">
        <v>281</v>
      </c>
      <c r="C88" s="2" t="s">
        <v>282</v>
      </c>
      <c r="D88" s="2" t="s">
        <v>83</v>
      </c>
      <c r="E88" s="3">
        <v>510901.48</v>
      </c>
      <c r="F88" s="2" t="s">
        <v>14</v>
      </c>
      <c r="G88" s="2" t="s">
        <v>84</v>
      </c>
      <c r="H88" s="2" t="s">
        <v>16</v>
      </c>
      <c r="I88" s="2" t="s">
        <v>17</v>
      </c>
      <c r="J88" s="2" t="s">
        <v>283</v>
      </c>
    </row>
    <row r="89" spans="1:10" x14ac:dyDescent="0.3">
      <c r="A89" s="2" t="s">
        <v>10</v>
      </c>
      <c r="B89" s="2" t="s">
        <v>284</v>
      </c>
      <c r="C89" s="2" t="s">
        <v>285</v>
      </c>
      <c r="D89" s="2" t="s">
        <v>83</v>
      </c>
      <c r="E89" s="3">
        <v>450181.74</v>
      </c>
      <c r="F89" s="2" t="s">
        <v>14</v>
      </c>
      <c r="G89" s="2" t="s">
        <v>84</v>
      </c>
      <c r="H89" s="2" t="s">
        <v>16</v>
      </c>
      <c r="I89" s="2" t="s">
        <v>17</v>
      </c>
      <c r="J89" s="2" t="s">
        <v>286</v>
      </c>
    </row>
    <row r="90" spans="1:10" x14ac:dyDescent="0.3">
      <c r="A90" s="2" t="s">
        <v>10</v>
      </c>
      <c r="B90" s="2" t="s">
        <v>287</v>
      </c>
      <c r="C90" s="2" t="s">
        <v>288</v>
      </c>
      <c r="D90" s="2" t="s">
        <v>83</v>
      </c>
      <c r="E90" s="3">
        <v>3082786.03</v>
      </c>
      <c r="F90" s="2" t="s">
        <v>14</v>
      </c>
      <c r="G90" s="2" t="s">
        <v>84</v>
      </c>
      <c r="H90" s="2" t="s">
        <v>16</v>
      </c>
      <c r="I90" s="2" t="s">
        <v>17</v>
      </c>
      <c r="J90" s="2" t="s">
        <v>289</v>
      </c>
    </row>
    <row r="91" spans="1:10" x14ac:dyDescent="0.3">
      <c r="A91" s="2" t="s">
        <v>10</v>
      </c>
      <c r="B91" s="2" t="s">
        <v>290</v>
      </c>
      <c r="C91" s="2" t="s">
        <v>291</v>
      </c>
      <c r="D91" s="2" t="s">
        <v>83</v>
      </c>
      <c r="E91" s="3">
        <v>619688.24</v>
      </c>
      <c r="F91" s="2" t="s">
        <v>14</v>
      </c>
      <c r="G91" s="2" t="s">
        <v>84</v>
      </c>
      <c r="H91" s="2" t="s">
        <v>16</v>
      </c>
      <c r="I91" s="2" t="s">
        <v>17</v>
      </c>
      <c r="J91" s="2" t="s">
        <v>292</v>
      </c>
    </row>
    <row r="92" spans="1:10" x14ac:dyDescent="0.3">
      <c r="A92" s="2" t="s">
        <v>10</v>
      </c>
      <c r="B92" s="2" t="s">
        <v>293</v>
      </c>
      <c r="C92" s="2" t="s">
        <v>294</v>
      </c>
      <c r="D92" s="2" t="s">
        <v>83</v>
      </c>
      <c r="E92" s="3">
        <v>105205.49</v>
      </c>
      <c r="F92" s="2" t="s">
        <v>14</v>
      </c>
      <c r="G92" s="2" t="s">
        <v>84</v>
      </c>
      <c r="H92" s="2" t="s">
        <v>16</v>
      </c>
      <c r="I92" s="2" t="s">
        <v>17</v>
      </c>
      <c r="J92" s="2" t="s">
        <v>295</v>
      </c>
    </row>
    <row r="93" spans="1:10" x14ac:dyDescent="0.3">
      <c r="A93" s="2" t="s">
        <v>10</v>
      </c>
      <c r="B93" s="2" t="s">
        <v>296</v>
      </c>
      <c r="C93" s="2" t="s">
        <v>297</v>
      </c>
      <c r="D93" s="2" t="s">
        <v>83</v>
      </c>
      <c r="E93" s="3">
        <v>256196.6</v>
      </c>
      <c r="F93" s="2" t="s">
        <v>14</v>
      </c>
      <c r="G93" s="2" t="s">
        <v>84</v>
      </c>
      <c r="H93" s="2" t="s">
        <v>16</v>
      </c>
      <c r="I93" s="2" t="s">
        <v>17</v>
      </c>
      <c r="J93" s="2" t="s">
        <v>298</v>
      </c>
    </row>
    <row r="94" spans="1:10" x14ac:dyDescent="0.3">
      <c r="A94" s="2" t="s">
        <v>66</v>
      </c>
      <c r="B94" s="2" t="s">
        <v>299</v>
      </c>
      <c r="C94" s="2" t="s">
        <v>300</v>
      </c>
      <c r="D94" s="2" t="s">
        <v>78</v>
      </c>
      <c r="E94" s="3">
        <v>1235502</v>
      </c>
      <c r="F94" s="2" t="s">
        <v>14</v>
      </c>
      <c r="G94" s="2" t="s">
        <v>79</v>
      </c>
      <c r="H94" s="2" t="s">
        <v>16</v>
      </c>
      <c r="I94" s="2" t="s">
        <v>17</v>
      </c>
      <c r="J94" s="2" t="s">
        <v>301</v>
      </c>
    </row>
    <row r="95" spans="1:10" x14ac:dyDescent="0.3">
      <c r="E95" s="6">
        <f>SUM(E2:E94)</f>
        <v>61301498.120000012</v>
      </c>
    </row>
    <row r="98" spans="1:11" x14ac:dyDescent="0.3">
      <c r="E98" s="4">
        <f>E22+E23+E24+E29+E30+E31+E32+E33+E34+E41+E42+E52+E53+E54+E55+E56+E57+E58+E59+E60+E61+E62+E71+E72+E73+E74+E75+E88+E89+E90+E91+E92+E93</f>
        <v>14745294.829999998</v>
      </c>
      <c r="G98" t="s">
        <v>302</v>
      </c>
    </row>
    <row r="99" spans="1:11" x14ac:dyDescent="0.3">
      <c r="E99" s="4">
        <f>E4+E5+E6+E7+E8+E9+E10+E11+E12+E13+E14+E15+E16+E17+E18+E19+E28+E35+E36+E37+E38+E39+E40+E44+E45+E46+E47+E48+E49+E50+E51+E63+E64+E65+E66+E67+E76+E77+E78+E79+E80+E81+E82+E83+E84+E85+E86+E87</f>
        <v>38454159.959999993</v>
      </c>
      <c r="G99" t="s">
        <v>303</v>
      </c>
    </row>
    <row r="100" spans="1:11" x14ac:dyDescent="0.3">
      <c r="E100" s="4">
        <f>E2+E3+E20+E25+E26+E27+E43</f>
        <v>2622698.5300000003</v>
      </c>
      <c r="G100" t="s">
        <v>304</v>
      </c>
    </row>
    <row r="101" spans="1:11" x14ac:dyDescent="0.3">
      <c r="E101" s="4">
        <f>E68+E69</f>
        <v>354457.08</v>
      </c>
      <c r="G101" t="s">
        <v>305</v>
      </c>
    </row>
    <row r="102" spans="1:11" x14ac:dyDescent="0.3">
      <c r="E102" s="4">
        <f>E21+E70+E94</f>
        <v>5124887.72</v>
      </c>
      <c r="G102" t="s">
        <v>306</v>
      </c>
    </row>
    <row r="103" spans="1:11" x14ac:dyDescent="0.3">
      <c r="E103" s="6">
        <f>SUM(E98:E102)</f>
        <v>61301498.11999999</v>
      </c>
    </row>
    <row r="104" spans="1:11" x14ac:dyDescent="0.3">
      <c r="E104" s="5">
        <f>E103-E95</f>
        <v>0</v>
      </c>
    </row>
    <row r="107" spans="1:11" x14ac:dyDescent="0.3">
      <c r="A107" s="1" t="s">
        <v>0</v>
      </c>
      <c r="B107" s="1" t="s">
        <v>1</v>
      </c>
      <c r="C107" s="1" t="s">
        <v>2</v>
      </c>
      <c r="D107" s="1" t="s">
        <v>307</v>
      </c>
      <c r="E107" s="1" t="s">
        <v>4</v>
      </c>
      <c r="F107" s="1" t="s">
        <v>5</v>
      </c>
      <c r="G107" s="1" t="s">
        <v>3</v>
      </c>
      <c r="H107" s="1" t="s">
        <v>308</v>
      </c>
      <c r="I107" s="1" t="s">
        <v>7</v>
      </c>
      <c r="J107" s="1" t="s">
        <v>8</v>
      </c>
      <c r="K107" s="1" t="s">
        <v>9</v>
      </c>
    </row>
    <row r="108" spans="1:11" x14ac:dyDescent="0.3">
      <c r="A108" s="7" t="s">
        <v>10</v>
      </c>
      <c r="B108" s="7" t="s">
        <v>309</v>
      </c>
      <c r="C108" s="7" t="s">
        <v>310</v>
      </c>
      <c r="D108" s="7" t="s">
        <v>311</v>
      </c>
      <c r="E108" s="8">
        <v>20000</v>
      </c>
      <c r="F108" s="7" t="s">
        <v>14</v>
      </c>
      <c r="G108" s="7" t="s">
        <v>312</v>
      </c>
      <c r="H108" s="7" t="s">
        <v>313</v>
      </c>
      <c r="I108" s="7" t="s">
        <v>314</v>
      </c>
      <c r="J108" s="7" t="s">
        <v>346</v>
      </c>
      <c r="K108" s="7" t="s">
        <v>306</v>
      </c>
    </row>
    <row r="109" spans="1:11" x14ac:dyDescent="0.3">
      <c r="A109" s="2" t="s">
        <v>10</v>
      </c>
      <c r="B109" s="2" t="s">
        <v>315</v>
      </c>
      <c r="C109" s="2" t="s">
        <v>316</v>
      </c>
      <c r="D109" s="2" t="s">
        <v>311</v>
      </c>
      <c r="E109" s="3">
        <v>227644.72</v>
      </c>
      <c r="F109" s="2" t="s">
        <v>14</v>
      </c>
      <c r="G109" s="2" t="s">
        <v>24</v>
      </c>
      <c r="H109" s="2" t="s">
        <v>317</v>
      </c>
      <c r="I109" s="2" t="s">
        <v>16</v>
      </c>
      <c r="J109" s="2" t="s">
        <v>202</v>
      </c>
      <c r="K109" s="2"/>
    </row>
    <row r="110" spans="1:11" x14ac:dyDescent="0.3">
      <c r="A110" s="2" t="s">
        <v>10</v>
      </c>
      <c r="B110" s="2" t="s">
        <v>318</v>
      </c>
      <c r="C110" s="2" t="s">
        <v>319</v>
      </c>
      <c r="D110" s="2" t="s">
        <v>311</v>
      </c>
      <c r="E110" s="3">
        <v>592700.91</v>
      </c>
      <c r="F110" s="2" t="s">
        <v>14</v>
      </c>
      <c r="G110" s="2" t="s">
        <v>24</v>
      </c>
      <c r="H110" s="2" t="s">
        <v>320</v>
      </c>
      <c r="I110" s="2" t="s">
        <v>16</v>
      </c>
      <c r="J110" s="2" t="s">
        <v>202</v>
      </c>
      <c r="K110" s="2"/>
    </row>
    <row r="111" spans="1:11" x14ac:dyDescent="0.3">
      <c r="A111" s="2" t="s">
        <v>10</v>
      </c>
      <c r="B111" s="2" t="s">
        <v>321</v>
      </c>
      <c r="C111" s="2" t="s">
        <v>322</v>
      </c>
      <c r="D111" s="2" t="s">
        <v>311</v>
      </c>
      <c r="E111" s="3">
        <v>167557.31</v>
      </c>
      <c r="F111" s="2" t="s">
        <v>14</v>
      </c>
      <c r="G111" s="2" t="s">
        <v>24</v>
      </c>
      <c r="H111" s="2" t="s">
        <v>323</v>
      </c>
      <c r="I111" s="2" t="s">
        <v>16</v>
      </c>
      <c r="J111" s="2" t="s">
        <v>202</v>
      </c>
      <c r="K111" s="2"/>
    </row>
    <row r="112" spans="1:11" x14ac:dyDescent="0.3">
      <c r="A112" s="2" t="s">
        <v>10</v>
      </c>
      <c r="B112" s="2" t="s">
        <v>324</v>
      </c>
      <c r="C112" s="2" t="s">
        <v>325</v>
      </c>
      <c r="D112" s="2" t="s">
        <v>311</v>
      </c>
      <c r="E112" s="3">
        <v>2253987.3199999998</v>
      </c>
      <c r="F112" s="2" t="s">
        <v>14</v>
      </c>
      <c r="G112" s="2" t="s">
        <v>24</v>
      </c>
      <c r="H112" s="2" t="s">
        <v>323</v>
      </c>
      <c r="I112" s="2" t="s">
        <v>16</v>
      </c>
      <c r="J112" s="2" t="s">
        <v>202</v>
      </c>
      <c r="K112" s="2"/>
    </row>
    <row r="113" spans="1:11" x14ac:dyDescent="0.3">
      <c r="A113" s="2" t="s">
        <v>10</v>
      </c>
      <c r="B113" s="2" t="s">
        <v>326</v>
      </c>
      <c r="C113" s="2" t="s">
        <v>327</v>
      </c>
      <c r="D113" s="2" t="s">
        <v>311</v>
      </c>
      <c r="E113" s="3">
        <v>7464365.6100000003</v>
      </c>
      <c r="F113" s="2" t="s">
        <v>14</v>
      </c>
      <c r="G113" s="2" t="s">
        <v>24</v>
      </c>
      <c r="H113" s="2" t="s">
        <v>323</v>
      </c>
      <c r="I113" s="2" t="s">
        <v>16</v>
      </c>
      <c r="J113" s="2" t="s">
        <v>202</v>
      </c>
      <c r="K113" s="2"/>
    </row>
    <row r="114" spans="1:11" x14ac:dyDescent="0.3">
      <c r="A114" s="2" t="s">
        <v>10</v>
      </c>
      <c r="B114" s="2" t="s">
        <v>328</v>
      </c>
      <c r="C114" s="2" t="s">
        <v>329</v>
      </c>
      <c r="D114" s="2" t="s">
        <v>311</v>
      </c>
      <c r="E114" s="3">
        <v>655524.47</v>
      </c>
      <c r="F114" s="2" t="s">
        <v>14</v>
      </c>
      <c r="G114" s="2" t="s">
        <v>24</v>
      </c>
      <c r="H114" s="2" t="s">
        <v>323</v>
      </c>
      <c r="I114" s="2" t="s">
        <v>16</v>
      </c>
      <c r="J114" s="2" t="s">
        <v>202</v>
      </c>
      <c r="K114" s="2"/>
    </row>
    <row r="115" spans="1:11" x14ac:dyDescent="0.3">
      <c r="A115" s="2" t="s">
        <v>10</v>
      </c>
      <c r="B115" s="2" t="s">
        <v>330</v>
      </c>
      <c r="C115" s="2" t="s">
        <v>331</v>
      </c>
      <c r="D115" s="2" t="s">
        <v>311</v>
      </c>
      <c r="E115" s="3">
        <v>942130.87</v>
      </c>
      <c r="F115" s="2" t="s">
        <v>14</v>
      </c>
      <c r="G115" s="2" t="s">
        <v>24</v>
      </c>
      <c r="H115" s="2" t="s">
        <v>332</v>
      </c>
      <c r="I115" s="2" t="s">
        <v>16</v>
      </c>
      <c r="J115" s="2" t="s">
        <v>202</v>
      </c>
      <c r="K115" s="2" t="s">
        <v>333</v>
      </c>
    </row>
    <row r="116" spans="1:11" x14ac:dyDescent="0.3">
      <c r="A116" s="2" t="s">
        <v>10</v>
      </c>
      <c r="B116" s="2" t="s">
        <v>334</v>
      </c>
      <c r="C116" s="2" t="s">
        <v>335</v>
      </c>
      <c r="D116" s="2" t="s">
        <v>311</v>
      </c>
      <c r="E116" s="3">
        <v>386291.43</v>
      </c>
      <c r="F116" s="2" t="s">
        <v>14</v>
      </c>
      <c r="G116" s="2" t="s">
        <v>24</v>
      </c>
      <c r="H116" s="2" t="s">
        <v>332</v>
      </c>
      <c r="I116" s="2" t="s">
        <v>16</v>
      </c>
      <c r="J116" s="2" t="s">
        <v>202</v>
      </c>
      <c r="K116" s="2" t="s">
        <v>336</v>
      </c>
    </row>
    <row r="117" spans="1:11" x14ac:dyDescent="0.3">
      <c r="A117" s="2" t="s">
        <v>10</v>
      </c>
      <c r="B117" s="2" t="s">
        <v>337</v>
      </c>
      <c r="C117" s="2" t="s">
        <v>338</v>
      </c>
      <c r="D117" s="2" t="s">
        <v>311</v>
      </c>
      <c r="E117" s="3">
        <v>348755.84</v>
      </c>
      <c r="F117" s="2" t="s">
        <v>14</v>
      </c>
      <c r="G117" s="2" t="s">
        <v>24</v>
      </c>
      <c r="H117" s="2" t="s">
        <v>332</v>
      </c>
      <c r="I117" s="2" t="s">
        <v>16</v>
      </c>
      <c r="J117" s="2" t="s">
        <v>202</v>
      </c>
      <c r="K117" s="2" t="s">
        <v>339</v>
      </c>
    </row>
    <row r="118" spans="1:11" x14ac:dyDescent="0.3">
      <c r="A118" s="2" t="s">
        <v>10</v>
      </c>
      <c r="B118" s="2" t="s">
        <v>340</v>
      </c>
      <c r="C118" s="2" t="s">
        <v>341</v>
      </c>
      <c r="D118" s="2" t="s">
        <v>311</v>
      </c>
      <c r="E118" s="3">
        <v>7139045.2800000003</v>
      </c>
      <c r="F118" s="2" t="s">
        <v>14</v>
      </c>
      <c r="G118" s="2" t="s">
        <v>24</v>
      </c>
      <c r="H118" s="2" t="s">
        <v>323</v>
      </c>
      <c r="I118" s="2" t="s">
        <v>16</v>
      </c>
      <c r="J118" s="2" t="s">
        <v>202</v>
      </c>
      <c r="K118" s="2"/>
    </row>
    <row r="119" spans="1:11" x14ac:dyDescent="0.3">
      <c r="A119" s="2" t="s">
        <v>10</v>
      </c>
      <c r="B119" s="2" t="s">
        <v>342</v>
      </c>
      <c r="C119" s="2" t="s">
        <v>343</v>
      </c>
      <c r="D119" s="2" t="s">
        <v>311</v>
      </c>
      <c r="E119" s="3">
        <v>627543.13</v>
      </c>
      <c r="F119" s="2" t="s">
        <v>14</v>
      </c>
      <c r="G119" s="2" t="s">
        <v>24</v>
      </c>
      <c r="H119" s="2" t="s">
        <v>323</v>
      </c>
      <c r="I119" s="2" t="s">
        <v>16</v>
      </c>
      <c r="J119" s="2" t="s">
        <v>17</v>
      </c>
      <c r="K119" s="2"/>
    </row>
    <row r="120" spans="1:11" x14ac:dyDescent="0.3">
      <c r="A120" s="2" t="s">
        <v>10</v>
      </c>
      <c r="B120" s="2" t="s">
        <v>344</v>
      </c>
      <c r="C120" s="2" t="s">
        <v>345</v>
      </c>
      <c r="D120" s="2" t="s">
        <v>311</v>
      </c>
      <c r="E120" s="3">
        <v>4393374.59</v>
      </c>
      <c r="F120" s="2" t="s">
        <v>14</v>
      </c>
      <c r="G120" s="2" t="s">
        <v>24</v>
      </c>
      <c r="H120" s="2" t="s">
        <v>332</v>
      </c>
      <c r="I120" s="2" t="s">
        <v>16</v>
      </c>
      <c r="J120" s="2" t="s">
        <v>17</v>
      </c>
      <c r="K120" s="2"/>
    </row>
    <row r="123" spans="1:11" x14ac:dyDescent="0.3">
      <c r="E123" s="4">
        <f>SUM(E109:E120)</f>
        <v>25198921.48</v>
      </c>
      <c r="G123" t="s">
        <v>347</v>
      </c>
    </row>
  </sheetData>
  <autoFilter ref="A1:J94" xr:uid="{3AFDEBE9-6588-4D43-88CF-0215A0D06D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2025-12-23T11:53:53Z</dcterms:modified>
</cp:coreProperties>
</file>
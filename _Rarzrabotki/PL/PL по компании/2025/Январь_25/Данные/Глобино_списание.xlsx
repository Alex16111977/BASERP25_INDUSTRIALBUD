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55" firstSheet="2" activeTab="8"/>
  </bookViews>
  <sheets>
    <sheet name="Генплан підпірна стінка" sheetId="2" r:id="rId1"/>
    <sheet name="Глобине-2" sheetId="3" r:id="rId2"/>
    <sheet name="Котельна (Глобине)" sheetId="4" r:id="rId3"/>
    <sheet name="Насосна Градирня (Глобине)" sheetId="5" r:id="rId4"/>
    <sheet name="Резервуаарний парк соєвої" sheetId="6" r:id="rId5"/>
    <sheet name="Резервуар для зберігання" sheetId="7" r:id="rId6"/>
    <sheet name="СПК (Глобине)" sheetId="8" r:id="rId7"/>
    <sheet name="Цех екстракції (Глобине)" sheetId="9" r:id="rId8"/>
    <sheet name="СВОД" sheetId="1" r:id="rId9"/>
    <sheet name="Цех_Глобино" sheetId="10" r:id="rId10"/>
  </sheets>
  <definedNames>
    <definedName name="_xlnm._FilterDatabase" localSheetId="0" hidden="1">'Генплан підпірна стінка'!$A$1:$L$24</definedName>
    <definedName name="_xlnm._FilterDatabase" localSheetId="1" hidden="1">'Глобине-2'!$A$1:$L$138</definedName>
    <definedName name="_xlnm._FilterDatabase" localSheetId="2" hidden="1">'Котельна (Глобине)'!$A$1:$L$62</definedName>
    <definedName name="_xlnm._FilterDatabase" localSheetId="4" hidden="1">'Резервуаарний парк соєвої'!$A$1:$L$51</definedName>
    <definedName name="_xlnm._FilterDatabase" localSheetId="5" hidden="1">'Резервуар для зберігання'!$A$1:$L$21</definedName>
    <definedName name="_xlnm._FilterDatabase" localSheetId="6" hidden="1">'СПК (Глобине)'!$A$1:$L$70</definedName>
    <definedName name="_xlnm._FilterDatabase" localSheetId="7" hidden="1">'Цех екстракції (Глобине)'!$A$1:$L$221</definedName>
    <definedName name="_xlnm._FilterDatabase" localSheetId="9" hidden="1">Цех_Глобино!$A$1:$L$30</definedName>
  </definedNames>
  <calcPr calcId="145621"/>
</workbook>
</file>

<file path=xl/calcChain.xml><?xml version="1.0" encoding="utf-8"?>
<calcChain xmlns="http://schemas.openxmlformats.org/spreadsheetml/2006/main">
  <c r="C10" i="1" l="1"/>
  <c r="J32" i="10"/>
  <c r="C9" i="1"/>
  <c r="J223" i="9"/>
  <c r="C8" i="1"/>
  <c r="J72" i="8"/>
  <c r="C7" i="1"/>
  <c r="C6" i="1"/>
  <c r="J53" i="6"/>
  <c r="J23" i="7"/>
  <c r="C4" i="1"/>
  <c r="J64" i="4"/>
  <c r="C3" i="1"/>
  <c r="J140" i="3"/>
  <c r="C11" i="1" l="1"/>
  <c r="C2" i="1"/>
  <c r="J26" i="2"/>
</calcChain>
</file>

<file path=xl/sharedStrings.xml><?xml version="1.0" encoding="utf-8"?>
<sst xmlns="http://schemas.openxmlformats.org/spreadsheetml/2006/main" count="4840" uniqueCount="556">
  <si>
    <t>Генплан підпірна стінка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</si>
  <si>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</si>
  <si>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</si>
  <si>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</si>
  <si>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</si>
  <si>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</si>
  <si>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</si>
  <si>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</si>
  <si>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</si>
  <si>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</si>
  <si>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01.01.2025</t>
  </si>
  <si>
    <t>Надходження товарів і послуг ІБ00-000152 від 01.01.2025 19:00:37
Оприходованы ТМЦ (Зачет аванса поставщику)</t>
  </si>
  <si>
    <t>Обл. НДС
Труби ДСТУ  8936 ду 32 2,8мм , 6м (7306)
Надходження товарів і послуг ІБ00-000152 від 01.01.2025 19:00:37
Генплан підпірна стінка (Глобине)</t>
  </si>
  <si>
    <t>АВ МЕТАЛ ГРУП ТОВ
№6234/Р от 05.09.2024_Глобине-2
Рахунок на оплату постачальника ІБ00-005087 від 18.12.2024 17:58:44</t>
  </si>
  <si>
    <t>205</t>
  </si>
  <si>
    <t>631</t>
  </si>
  <si>
    <t xml:space="preserve"> </t>
  </si>
  <si>
    <t>Надходження товарів і послуг ІБ00-000153 від 01.01.2025 19:00:38
Оприходованы ТМЦ (Зачет аванса поставщику)</t>
  </si>
  <si>
    <t>Обл. НДС
Сітка рабиця д=1,4мм яч 50*50мм оц 2,0*10м
Надходження товарів і послуг ІБ00-000153 від 01.01.2025 19:00:38
Генплан підпірна стінка (Глобине)</t>
  </si>
  <si>
    <t>ЮМАКС ПЛЮС
РАХУНКИ_Глобино-2
Рахунок на оплату постачальника ІБ00-005262 від 25.12.2024 18:26:46</t>
  </si>
  <si>
    <t>Надходження товарів і послуг ІБ00-000154 від 01.01.2025 19:00:39
Оприходованы ТМЦ (Зачет аванса поставщику)</t>
  </si>
  <si>
    <t>Обл. НДС
Сітка рабиця д=1,4мм яч 50*50мм оц 2,0*10м
Надходження товарів і послуг ІБ00-000154 від 01.01.2025 19:00:39
Генплан підпірна стінка (Глобине)</t>
  </si>
  <si>
    <t>ЮМАКС ПЛЮС
РАХУНКИ_Глобино-2
Рахунок на оплату постачальника ІБ00-005263 від 26.12.2024 00:00:00</t>
  </si>
  <si>
    <t>Надходження товарів і послуг ІБ00-000155 від 01.01.2025 19:00:40
Оприходованы ТМЦ (Зачет аванса поставщику)</t>
  </si>
  <si>
    <t>Обл. НДС
Сітка рабиця д=1,4мм яч 50*50мм оц 2,0*10м
Надходження товарів і послуг ІБ00-000155 від 01.01.2025 19:00:40
Генплан підпірна стінка (Глобине)</t>
  </si>
  <si>
    <t>ЮМАКС ПЛЮС
РАХУНКИ_Глобино-2
Рахунок на оплату постачальника ІБ00-005264 від 26.12.2024 19:00:53</t>
  </si>
  <si>
    <t>10.01.2025</t>
  </si>
  <si>
    <t>Надходження товарів і послуг ІБ00-000056 від 10.01.2025 18:00:08
Оприходованы ТМЦ (Зачет аванса поставщику)</t>
  </si>
  <si>
    <t>Обл. НДС
Бетон С20/25 W6 F75 P4
Надходження товарів і послуг ІБ00-000056 від 10.01.2025 18:00:08
Генплан підпірна стінка (Глобине)</t>
  </si>
  <si>
    <t>Кременчуцький річковий порт ПРАТ
Договір 112/Б від 15.10.2024_Глобине-2
Списання з банківського рахунку 00000022328 від 20.12.2024 19:27:44</t>
  </si>
  <si>
    <t>Надходження дод. витрат ІБ00-000007 від 10.01.2025 18:00:09
Доп. расходы при поступлении товаров (Зачет аванса поставщику)</t>
  </si>
  <si>
    <t>Переміщення товарів ІБ00-000028 від 10.01.2025 20:00:00
Перемещение ТМЦ</t>
  </si>
  <si>
    <t>Обл. НДС
Бетон С20/25 W6 F75 P4
Надходження товарів і послуг ІБ00-000056 від 10.01.2025 18:00:08
Резервуар для зберігання розчинника(Глобине)</t>
  </si>
  <si>
    <t>15.01.2025</t>
  </si>
  <si>
    <t>Вимога-накладна ІБ00-000011 від 15.01.2025 00:00:00
Списаны ТМЦ</t>
  </si>
  <si>
    <t>Обл. НДС
Виробничий (Глобине-2)
Глобине-2
Прямі материальні виробничі витрати крім зворотніх відходів</t>
  </si>
  <si>
    <t>Обл. НДС
Труби ДСТУ  8936 ду 32 2,8мм , 6м (7306)
Надходження товарів і послуг ІБ00-006463 від 25.12.2024 18:26:47
Генплан підпірна стінка (Глобине)</t>
  </si>
  <si>
    <t>231</t>
  </si>
  <si>
    <t>Обл. НДС
Дріт 3,0 мм оцинков. 2кг
Надходження товарів і послуг ІБ00-006459 від 24.12.2024 18:38:27
Генплан підпірна стінка (Глобине)</t>
  </si>
  <si>
    <t>Переміщення товарів ІБ00-000077 від 15.01.2025 22:00:32
Перемещение ТМЦ</t>
  </si>
  <si>
    <t>Обл. НДС
Бетон С  8/10 Р4
Надходження товарів і послуг ІБ00-005588 від 12.11.2024 18:12:31
Генплан підпірна стінка (Глобине)</t>
  </si>
  <si>
    <t>Обл. НДС
Бетон С  8/10 Р4
Надходження товарів і послуг ІБ00-005588 від 12.11.2024 18:12:31
Котельна (Глобине)</t>
  </si>
  <si>
    <t>Обл. НДС
Бетон С  8/10 Р4
Надходження товарів і послуг ІБ00-005688 від 14.11.2024 23:01:12
Генплан підпірна стінка (Глобине)</t>
  </si>
  <si>
    <t>Обл. НДС
Бетон С  8/10 Р4
Надходження товарів і послуг ІБ00-005688 від 14.11.2024 23:01:12
Котельна (Глобине)</t>
  </si>
  <si>
    <t>21.01.2025</t>
  </si>
  <si>
    <t>Переміщення товарів ІБ00-000038 від 21.01.2025 19:00:00
Перемещение ТМЦ</t>
  </si>
  <si>
    <t>Обл. НДС
Шуруп г/к по дереву 3,5*55 мм
Надходження товарів і послуг ІБ00-000200 від 21.01.2025 18:10:15
Генплан підпірна стінка (Глобине)</t>
  </si>
  <si>
    <t>Обл. НДС
Шуруп г/к по дереву 3,5*55 мм
Надходження товарів і послуг ІБ00-000200 від 21.01.2025 18:10:15
Глобине-2</t>
  </si>
  <si>
    <t>Обл. НДС
Шуруп г/к по дереву 4,2*76 мм
Надходження товарів і послуг ІБ00-000200 від 21.01.2025 18:10:15
Генплан підпірна стінка (Глобине)</t>
  </si>
  <si>
    <t>Обл. НДС
Шуруп г/к по дереву 4,2*76 мм
Надходження товарів і послуг ІБ00-000200 від 21.01.2025 18:10:15
Глобине-2</t>
  </si>
  <si>
    <t>24.01.2025</t>
  </si>
  <si>
    <t>Надходження товарів і послуг ІБ00-000486 від 24.01.2025 22:10:39
Оприходованы ТМЦ</t>
  </si>
  <si>
    <t>Обл. НДС
Щебінь 40-70
Надходження товарів і послуг ІБ00-000486 від 24.01.2025 22:10:39
Генплан підпірна стінка (Глобине)</t>
  </si>
  <si>
    <t>Венкрас Авто ПП
Договір 05/09/2024 від 05.09.2024_Глобине-2
Рахунок на оплату постачальника ІБ00-000417 від 24.01.2025 22:10:38</t>
  </si>
  <si>
    <t>25.01.2025</t>
  </si>
  <si>
    <t>Надходження товарів і послуг ІБ00-000485 від 25.01.2025 18:00:05
Оприходованы ТМЦ</t>
  </si>
  <si>
    <t>Обл. НДС
Щебінь 40-70
Надходження товарів і послуг ІБ00-000485 від 25.01.2025 18:00:05
Генплан підпірна стінка (Глобине)</t>
  </si>
  <si>
    <t>Венкрас Авто ПП
Договір 05/09/2024 від 05.09.2024_Глобине-2
Рахунок на оплату постачальника ІБ00-000416 від 25.01.2025 18:00:04</t>
  </si>
  <si>
    <t>30.01.2025</t>
  </si>
  <si>
    <t>Вимога-накладна ІБ00-000055 від 30.01.2025 23:20:14
Списаны ТМЦ</t>
  </si>
  <si>
    <t>Обороти за період та сальдо на кінець</t>
  </si>
  <si>
    <t>Глобине-2</t>
  </si>
  <si>
    <t>Котельна (Глобине)</t>
  </si>
  <si>
    <t>Насосна Градирня (Глобине)</t>
  </si>
  <si>
    <t>Резервуаарний парк соєвої меляси (Глобине)</t>
  </si>
  <si>
    <t>Резервуар для зберігання розчинника(Глобине)</t>
  </si>
  <si>
    <t>СПК (Глобине)</t>
  </si>
  <si>
    <t>Цех екстракції (Глобине)</t>
  </si>
  <si>
    <t>Цех_Глобино</t>
  </si>
  <si>
    <t>Надходження товарів і послуг ІБ00-000072 від 01.01.2025 18:00:10
Оприходованы ТМЦ (Зачет аванса поставщику)</t>
  </si>
  <si>
    <t>Обл. НДС
Плита OSB 10 мм
Надходження товарів і послуг ІБ00-000072 від 01.01.2025 18:00:10
Глобине-2</t>
  </si>
  <si>
    <t>Мошинець Ю.П. ФОП
Рахунки_Глобине-2
Рахунок на оплату постачальника ІБ00-005208 від 04.12.2024 22:01:12</t>
  </si>
  <si>
    <t>Обл. НДС
Плита OSB 18 мм
Надходження товарів і послуг ІБ00-000072 від 01.01.2025 18:00:10
Глобине-2</t>
  </si>
  <si>
    <t>Надходження товарів і послуг ІБ00-000072 від 01.01.2025 18:00:10
Оприходованы ТМЦ</t>
  </si>
  <si>
    <t>Обл. НДС
Брус 100х150х4,5
Надходження товарів і послуг ІБ00-000072 від 01.01.2025 18:00:10
Глобине-2</t>
  </si>
  <si>
    <t>Переміщення товарів ІБ00-000014 від 01.01.2025 18:00:11
Перемещение ТМЦ</t>
  </si>
  <si>
    <t>Обл. НДС
Плита OSB 10 мм
Надходження товарів і послуг ІБ00-000072 від 01.01.2025 18:00:10
Цех екстракції (Глобине)</t>
  </si>
  <si>
    <t>Обл. НДС
Брус 100х150х4,5
Надходження товарів і послуг ІБ00-000072 від 01.01.2025 18:00:10
Цех екстракції (Глобине)</t>
  </si>
  <si>
    <t>Переміщення товарів ІБ00-000015 від 01.01.2025 18:00:12
Перемещение ТМЦ</t>
  </si>
  <si>
    <t>Обл. НДС
Плита OSB 18 мм
Надходження товарів і послуг ІБ00-000072 від 01.01.2025 18:00:10
Котельна (Глобине)</t>
  </si>
  <si>
    <t>Надходження товарів і послуг ІБ00-000089 від 01.01.2025 18:00:23
Оприходованы ТМЦ (Зачет аванса поставщику)</t>
  </si>
  <si>
    <t>Обл. НДС
Шуруп г/к по дереву 3,5*55 мм
Надходження товарів і послуг ІБ00-000089 від 01.01.2025 18:00:23
Глобине-2</t>
  </si>
  <si>
    <t>Лук'ян Михайло Федорович ФОП
22/08-24-1 от 22.08.2024 (РАХУНКИ)_Глобине-2
Рахунок на оплату постачальника ІБ00-005211 від 17.12.2024 18:00:35</t>
  </si>
  <si>
    <t>Обл. НДС
Шуруп г/к по дереву 4,2*76 мм
Надходження товарів і послуг ІБ00-000089 від 01.01.2025 18:00:23
Глобине-2</t>
  </si>
  <si>
    <t>Обл. НДС
Дюбель-цвях  3,7*50  DN50
Надходження товарів і послуг ІБ00-000089 від 01.01.2025 18:00:23
Глобине-2</t>
  </si>
  <si>
    <t>Переміщення товарів ІБ00-000019 від 01.01.2025 19:00:00
Перемещение ТМЦ</t>
  </si>
  <si>
    <t>Обл. НДС
Шуруп г/к по дереву 3,5*55 мм
Надходження товарів і послуг ІБ00-000089 від 01.01.2025 18:00:23
Цех екстракції (Глобине)</t>
  </si>
  <si>
    <t>Обл. НДС
Шуруп г/к по дереву 4,2*76 мм
Надходження товарів і послуг ІБ00-000089 від 01.01.2025 18:00:23
Цех екстракції (Глобине)</t>
  </si>
  <si>
    <t>Обл. НДС
Дюбель-цвях  3,7*50  DN50
Надходження товарів і послуг ІБ00-000089 від 01.01.2025 18:00:23
Цех екстракції (Глобине)</t>
  </si>
  <si>
    <t>Переміщення товарів ІБ00-000020 від 01.01.2025 19:00:00
Перемещение ТМЦ</t>
  </si>
  <si>
    <t>Обл. НДС
Шуруп г/к по дереву 3,5*55 мм
Надходження товарів і послуг ІБ00-000089 від 01.01.2025 18:00:23
СПК (Глобине)</t>
  </si>
  <si>
    <t>Обл. НДС
Шуруп г/к по дереву 4,2*76 мм
Надходження товарів і послуг ІБ00-000089 від 01.01.2025 18:00:23
СПК (Глобине)</t>
  </si>
  <si>
    <t>Обл. НДС
Дюбель-цвях  3,7*50  DN50
Надходження товарів і послуг ІБ00-000089 від 01.01.2025 18:00:23
СПК (Глобине)</t>
  </si>
  <si>
    <t>Переміщення товарів ІБ00-000021 від 01.01.2025 19:00:00
Перемещение ТМЦ</t>
  </si>
  <si>
    <t>Обл. НДС
Шуруп г/к по дереву 3,5*55 мм
Надходження товарів і послуг ІБ00-000089 від 01.01.2025 18:00:23
Насосна Градирня (Глобине)</t>
  </si>
  <si>
    <t>Обл. НДС
Шуруп г/к по дереву 4,2*76 мм
Надходження товарів і послуг ІБ00-000089 від 01.01.2025 18:00:23
Насосна Градирня (Глобине)</t>
  </si>
  <si>
    <t>Обл. НДС
Дюбель-цвях  3,7*50  DN50
Надходження товарів і послуг ІБ00-000089 від 01.01.2025 18:00:23
Насосна Градирня (Глобине)</t>
  </si>
  <si>
    <t>Переміщення товарів ІБ00-000022 від 01.01.2025 19:00:00
Перемещение ТМЦ</t>
  </si>
  <si>
    <t>Обл. НДС
Шуруп г/к по дереву 3,5*55 мм
Надходження товарів і послуг ІБ00-000089 від 01.01.2025 18:00:23
Котельна (Глобине)</t>
  </si>
  <si>
    <t>Обл. НДС
Шуруп г/к по дереву 4,2*76 мм
Надходження товарів і послуг ІБ00-000089 від 01.01.2025 18:00:23
Котельна (Глобине)</t>
  </si>
  <si>
    <t>Обл. НДС
Дюбель-цвях  3,7*50  DN50
Надходження товарів і послуг ІБ00-000089 від 01.01.2025 18:00:23
Котельна (Глобине)</t>
  </si>
  <si>
    <t>Надходження товарів і послуг ІБ00-000054 від 10.01.2025 18:00:05
Оприходованы ТМЦ</t>
  </si>
  <si>
    <t>Обл. НДС
Арматура (круг) 10 мм; кл.А240С; 6 м
Надходження товарів і послуг ІБ00-000054 від 10.01.2025 18:00:05
Глобине-2</t>
  </si>
  <si>
    <t>МЕТІНВЕСТ-СМЦ ТОВ
№1778403/01/2023-С от 11.01.2023 РАХУНКИ_Глобино-2
Рахунок на оплату постачальника ІБ00-000048 від 06.01.2025 18:00:44</t>
  </si>
  <si>
    <t>Обл. НДС
Арматура (круг) 12 мм; кл.А240С; 6 м
Надходження товарів і послуг ІБ00-000054 від 10.01.2025 18:00:05
Глобине-2</t>
  </si>
  <si>
    <t>Обл. НДС
Арматура №12  А500С L=12000 мм
Надходження товарів і послуг ІБ00-000054 від 10.01.2025 18:00:05
Глобине-2</t>
  </si>
  <si>
    <t>Обл. НДС
Кутики 100х100х7 мм; ст. 3пс5; 12 м
Надходження товарів і послуг ІБ00-000054 від 10.01.2025 18:00:05
Глобине-2</t>
  </si>
  <si>
    <t>Обл. НДС
Кутик 40x40x4.0 міра L=6000.00мм
Надходження товарів і послуг ІБ00-000054 від 10.01.2025 18:00:05
Глобине-2</t>
  </si>
  <si>
    <t>Переміщення товарів ІБ00-000003 від 10.01.2025 18:00:06
Перемещение ТМЦ</t>
  </si>
  <si>
    <t>Обл. НДС
Арматура (круг) 10 мм; кл.А240С; 6 м
Надходження товарів і послуг ІБ00-000054 від 10.01.2025 18:00:05
Резервуаарний парк соєвої меляси (Глобине)</t>
  </si>
  <si>
    <t>Обл. НДС
Арматура (круг) 12 мм; кл.А240С; 6 м
Надходження товарів і послуг ІБ00-000054 від 10.01.2025 18:00:05
Резервуаарний парк соєвої меляси (Глобине)</t>
  </si>
  <si>
    <t>Обл. НДС
Арматура №12  А500С L=12000 мм
Надходження товарів і послуг ІБ00-000054 від 10.01.2025 18:00:05
Резервуаарний парк соєвої меляси (Глобине)</t>
  </si>
  <si>
    <t>Обл. НДС
Кутики 100х100х7 мм; ст. 3пс5; 12 м
Надходження товарів і послуг ІБ00-000054 від 10.01.2025 18:00:05
Резервуаарний парк соєвої меляси (Глобине)</t>
  </si>
  <si>
    <t>Обл. НДС
Кутик 40x40x4.0 міра L=6000.00мм
Надходження товарів і послуг ІБ00-000054 від 10.01.2025 18:00:05
Резервуаарний парк соєвої меляси (Глобине)</t>
  </si>
  <si>
    <t>Переміщення товарів ІБ00-000004 від 10.01.2025 18:00:07
Перемещение ТМЦ</t>
  </si>
  <si>
    <t>Обл. НДС
Арматура №12  А500С L=12000 мм
Надходження товарів і послуг ІБ00-000054 від 10.01.2025 18:00:05
Котельна (Глобине)</t>
  </si>
  <si>
    <t>Надходження товарів і послуг ІБ00-000060 від 10.01.2025 18:00:10
Оприходованы ТМЦ (Зачет аванса поставщику)</t>
  </si>
  <si>
    <t>Обл. НДС
Труба 219*6 зварна
Надходження товарів і послуг ІБ00-000060 від 10.01.2025 18:00:10
Глобине-2</t>
  </si>
  <si>
    <t>Паритет"ТОВ ТД
Договір 06-09/1 від 06.09.2024_Глобино-2
Рахунок на оплату постачальника ІБ00-000050 від 06.01.2025 18:00:45</t>
  </si>
  <si>
    <t>Обл. НДС
Труба 273*6,0
Надходження товарів і послуг ІБ00-000060 від 10.01.2025 18:00:10
Глобине-2</t>
  </si>
  <si>
    <t>Обл. НДС
Труба 159*4 
Надходження товарів і послуг ІБ00-000060 від 10.01.2025 18:00:10
Глобине-2</t>
  </si>
  <si>
    <t>Обл. НДС
Труба 89*4 
Надходження товарів і послуг ІБ00-000060 від 10.01.2025 18:00:10
Глобине-2</t>
  </si>
  <si>
    <t>Обл. НДС
Відвід  89х4,0 безшовний
Надходження товарів і послуг ІБ00-000060 від 10.01.2025 18:00:10
Глобине-2</t>
  </si>
  <si>
    <t>Обл. НДС
Труба 325*8,0  
Надходження товарів і послуг ІБ00-000060 від 10.01.2025 18:00:10
Глобине-2</t>
  </si>
  <si>
    <t>Надходження товарів і послуг ІБ00-000060 від 10.01.2025 18:00:10
Оприходованы ТМЦ</t>
  </si>
  <si>
    <t>Обл. НДС
Труба 114*6,0
Надходження товарів і послуг ІБ00-000060 від 10.01.2025 18:00:10
Глобине-2</t>
  </si>
  <si>
    <t>Обл. НДС
Відвід 90 ° 114*6мм
Надходження товарів і послуг ІБ00-000060 від 10.01.2025 18:00:10
Глобине-2</t>
  </si>
  <si>
    <t>Переміщення товарів ІБ00-000005 від 10.01.2025 18:00:11
Перемещение ТМЦ</t>
  </si>
  <si>
    <t>Обл. НДС
Труба 219*6 зварна
Надходження товарів і послуг ІБ00-000060 від 10.01.2025 18:00:10
Котельна (Глобине)</t>
  </si>
  <si>
    <t>Обл. НДС
Труба 273*6,0
Надходження товарів і послуг ІБ00-000060 від 10.01.2025 18:00:10
Котельна (Глобине)</t>
  </si>
  <si>
    <t>Обл. НДС
Труба 159*4 
Надходження товарів і послуг ІБ00-000060 від 10.01.2025 18:00:10
Котельна (Глобине)</t>
  </si>
  <si>
    <t>Обл. НДС
Труба 89*4 
Надходження товарів і послуг ІБ00-000060 від 10.01.2025 18:00:10
Котельна (Глобине)</t>
  </si>
  <si>
    <t>Обл. НДС
Відвід  89х4,0 безшовний
Надходження товарів і послуг ІБ00-000060 від 10.01.2025 18:00:10
Котельна (Глобине)</t>
  </si>
  <si>
    <t>Переміщення товарів ІБ00-000006 від 10.01.2025 18:00:12
Перемещение ТМЦ</t>
  </si>
  <si>
    <t>Обл. НДС
Труба 219*6 зварна
Надходження товарів і послуг ІБ00-000060 від 10.01.2025 18:00:10
Резервуаарний парк соєвої меляси (Глобине)</t>
  </si>
  <si>
    <t>Переміщення товарів ІБ00-000007 від 10.01.2025 18:00:13
Перемещение ТМЦ</t>
  </si>
  <si>
    <t>Обл. НДС
Труба 159*4 
Надходження товарів і послуг ІБ00-000060 від 10.01.2025 18:00:10
Цех екстракції (Глобине)</t>
  </si>
  <si>
    <t>Обл. НДС
Труба 325*8,0  
Надходження товарів і послуг ІБ00-000060 від 10.01.2025 18:00:10
Цех екстракції (Глобине)</t>
  </si>
  <si>
    <t>Обл. НДС
Труба 114*6,0
Надходження товарів і послуг ІБ00-000060 від 10.01.2025 18:00:10
Цех екстракції (Глобине)</t>
  </si>
  <si>
    <t>Обл. НДС
Відвід 90 ° 114*6мм
Надходження товарів і послуг ІБ00-000060 від 10.01.2025 18:00:10
Цех екстракції (Глобине)</t>
  </si>
  <si>
    <t>13.01.2025</t>
  </si>
  <si>
    <t>Надходження товарів і послуг ІБ00-000062 від 13.01.2025 17:18:04
Оприходованы ТМЦ (Зачет аванса поставщику)</t>
  </si>
  <si>
    <t>Обл. НДС
Бетон С  8/10 Р4  (-5*)
Надходження товарів і послуг ІБ00-000062 від 13.01.2025 17:18:04
Глобине-2</t>
  </si>
  <si>
    <t>Надходження дод. витрат ІБ00-000008 від 13.01.2025 17:18:05
Доп. расходы при поступлении товаров (Зачет аванса поставщику)</t>
  </si>
  <si>
    <t>Переміщення товарів ІБ00-000008 від 13.01.2025 17:25:00
Перемещение ТМЦ</t>
  </si>
  <si>
    <t>Обл. НДС
Бетон С  8/10 Р4  (-5*)
Надходження товарів і послуг ІБ00-000062 від 13.01.2025 17:18:04
СПК (Глобине)</t>
  </si>
  <si>
    <t>Переміщення товарів ІБ00-000009 від 13.01.2025 17:25:00
Перемещение ТМЦ</t>
  </si>
  <si>
    <t>Обл. НДС
Бетон С  8/10 Р4  (-5*)
Надходження товарів і послуг ІБ00-000062 від 13.01.2025 17:18:04
Резервуаарний парк соєвої меляси (Глобине)</t>
  </si>
  <si>
    <t>Надходження товарів і послуг ІБ00-000069 від 13.01.2025 17:25:04
Оприходованы ТМЦ</t>
  </si>
  <si>
    <t>Обл. НДС
Арматура 14 А500С
Надходження товарів і послуг ІБ00-000069 від 13.01.2025 17:25:04
Глобине-2</t>
  </si>
  <si>
    <t>Обл. НДС
Арматура 16 А500С
Надходження товарів і послуг ІБ00-000069 від 13.01.2025 17:25:04
Глобине-2</t>
  </si>
  <si>
    <t>Обл. НДС
Дріт 1,2 мм Н-О-Ч
Надходження товарів і послуг ІБ00-000069 від 13.01.2025 17:25:04
Глобине-2</t>
  </si>
  <si>
    <t>Переміщення товарів ІБ00-000010 від 13.01.2025 17:25:05
Перемещение ТМЦ</t>
  </si>
  <si>
    <t>Обл. НДС
Арматура 14 А500С
Надходження товарів і послуг ІБ00-000069 від 13.01.2025 17:25:04
Резервуаарний парк соєвої меляси (Глобине)</t>
  </si>
  <si>
    <t>Обл. НДС
Арматура 16 А500С
Надходження товарів і послуг ІБ00-000069 від 13.01.2025 17:25:04
Резервуаарний парк соєвої меляси (Глобине)</t>
  </si>
  <si>
    <t>Обл. НДС
Дріт 1,2 мм Н-О-Ч
Надходження товарів і послуг ІБ00-004375 від 20.09.2024 18:19:18
Резервуаарний парк соєвої меляси (Глобине)</t>
  </si>
  <si>
    <t>Обл. НДС
Дріт 1,2 мм Н-О-Ч
Надходження товарів і послуг ІБ00-004375 від 20.09.2024 18:19:18
Глобине-2</t>
  </si>
  <si>
    <t>Обл. НДС
Дріт 1,2 мм Н-О-Ч
Надходження товарів і послуг ІБ00-000069 від 13.01.2025 17:25:04
Резервуаарний парк соєвої меляси (Глобине)</t>
  </si>
  <si>
    <t>Переміщення товарів ІБ00-000011 від 13.01.2025 17:25:06
Перемещение ТМЦ</t>
  </si>
  <si>
    <t>Обл. НДС
Дріт 1,2 мм Н-О-Ч
Надходження товарів і послуг ІБ00-000069 від 13.01.2025 17:25:04
СПК (Глобине)</t>
  </si>
  <si>
    <t>Переміщення товарів ІБ00-000012 від 13.01.2025 17:25:07
Перемещение ТМЦ</t>
  </si>
  <si>
    <t>Обл. НДС
Дріт 1,2 мм Н-О-Ч
Надходження товарів і послуг ІБ00-000069 від 13.01.2025 17:25:04
Котельна (Глобине)</t>
  </si>
  <si>
    <t>Переміщення товарів ІБ00-000013 від 13.01.2025 17:25:08
Перемещение ТМЦ</t>
  </si>
  <si>
    <t>Обл. НДС
Дріт 1,2 мм Н-О-Ч
Надходження товарів і послуг ІБ00-000069 від 13.01.2025 17:25:04
Цех екстракції (Глобине)</t>
  </si>
  <si>
    <t>Списання товарів ІБ00-000014 від 15.01.2025 00:00:00
Списаны ТМЦ</t>
  </si>
  <si>
    <t>Обл. НДС
Стрічка ущільнювальна 150мм рулон 10м сірий
Надходження товарів і послуг ІБ00-000001 від 04.01.2024 16:47:01
Глобине-2</t>
  </si>
  <si>
    <t>Надходження товарів і послуг ІБ00-000087 від 15.01.2025 18:05:18
Оприходованы ТМЦ (Зачет аванса поставщику)</t>
  </si>
  <si>
    <t>Обл. НДС
Бетон С20/25 W6 F75 P4 доб-5
Надходження товарів і послуг ІБ00-000087 від 15.01.2025 18:05:18
Глобине-2</t>
  </si>
  <si>
    <t>Надходження дод. витрат ІБ00-000012 від 15.01.2025 18:05:19
Доп. расходы при поступлении товаров (Зачет аванса поставщику)</t>
  </si>
  <si>
    <t>Переміщення товарів ІБ00-000016 від 15.01.2025 19:00:00
Перемещение ТМЦ</t>
  </si>
  <si>
    <t>Обл. НДС
Бетон С20/25 W6 F75 P4 доб-5
Надходження товарів і послуг ІБ00-000087 від 15.01.2025 18:05:18
Котельна (Глобине)</t>
  </si>
  <si>
    <t>Переміщення товарів ІБ00-000017 від 15.01.2025 19:00:00
Перемещение ТМЦ</t>
  </si>
  <si>
    <t>Обл. НДС
Бетон С20/25 W6 F75 P4 доб-5
Надходження товарів і послуг ІБ00-000087 від 15.01.2025 18:05:18
Насосна Градирня (Глобине)</t>
  </si>
  <si>
    <t>Переміщення товарів ІБ00-000018 від 15.01.2025 19:00:00
Перемещение ТМЦ</t>
  </si>
  <si>
    <t>Обл. НДС
Бетон С20/25 W6 F75 P4 доб-5
Надходження товарів і послуг ІБ00-000087 від 15.01.2025 18:05:18
Резервуаарний парк соєвої меляси (Глобине)</t>
  </si>
  <si>
    <t>17.01.2025</t>
  </si>
  <si>
    <t>Надходження товарів і послуг ІБ00-000148 від 17.01.2025 17:59:51
Оприходованы ТМЦ (Зачет аванса поставщику)</t>
  </si>
  <si>
    <t>Обл. НДС
Бетон С20/25 W6 F75 P4 доб-5
Надходження товарів і послуг ІБ00-000148 від 17.01.2025 17:59:51
Глобине-2</t>
  </si>
  <si>
    <t>Кременчуцький річковий порт ПРАТ
Договір 112/Б від 15.10.2024_Глобине-2
Списання з банківського рахунку 00000022810 від 26.12.2024 17:23:15</t>
  </si>
  <si>
    <t>Обл. НДС
Бетон С  8/10 Р4  (-5*)
Надходження товарів і послуг ІБ00-000148 від 17.01.2025 17:59:51
Глобине-2</t>
  </si>
  <si>
    <t>Надходження дод. витрат ІБ00-000017 від 17.01.2025 17:59:52
Доп. расходы при поступлении товаров (Зачет аванса поставщику)</t>
  </si>
  <si>
    <t>Переміщення товарів ІБ00-000025 від 17.01.2025 18:59:00
Перемещение ТМЦ</t>
  </si>
  <si>
    <t>Обл. НДС
Бетон С  8/10 Р4  (-5*)
Надходження товарів і послуг ІБ00-000148 від 17.01.2025 17:59:51
Резервуаарний парк соєвої меляси (Глобине)</t>
  </si>
  <si>
    <t>Переміщення товарів ІБ00-000026 від 17.01.2025 18:59:00
Перемещение ТМЦ</t>
  </si>
  <si>
    <t>Обл. НДС
Бетон С  8/10 Р4  (-5*)
Надходження товарів і послуг ІБ00-000148 від 17.01.2025 17:59:51
СПК (Глобине)</t>
  </si>
  <si>
    <t>Переміщення товарів ІБ00-000027 від 17.01.2025 18:59:00
Перемещение ТМЦ</t>
  </si>
  <si>
    <t>Обл. НДС
Бетон С20/25 W6 F75 P4 доб-5
Надходження товарів і послуг ІБ00-000148 від 17.01.2025 17:59:51
Котельна (Глобине)</t>
  </si>
  <si>
    <t>Переміщення товарів ІБ00-000024 від 17.01.2025 18:59:53
Перемещение ТМЦ</t>
  </si>
  <si>
    <t>Обл. НДС
Бетон С20/25 W6 F75 P4 доб-5
Надходження товарів і послуг ІБ00-000148 від 17.01.2025 17:59:51
Насосна Градирня (Глобине)</t>
  </si>
  <si>
    <t>18.01.2025</t>
  </si>
  <si>
    <t>Надходження товарів і послуг ІБ00-000174 від 18.01.2025 15:00:01
Оприходованы ТМЦ (Зачет аванса поставщику)</t>
  </si>
  <si>
    <t>Обл. НДС
Бетон С20/25 W6 F75 P4 доб-5
Надходження товарів і послуг ІБ00-000174 від 18.01.2025 15:00:01
Глобине-2</t>
  </si>
  <si>
    <t>Надходження дод. витрат ІБ00-000021 від 18.01.2025 15:20:00
Доп. расходы при поступлении товаров (Зачет аванса поставщику)</t>
  </si>
  <si>
    <t>Переміщення товарів ІБ00-000030 від 18.01.2025 16:00:00
Перемещение ТМЦ</t>
  </si>
  <si>
    <t>Обл. НДС
Бетон С20/25 W6 F75 P4 доб-5
Надходження товарів і послуг ІБ00-000174 від 18.01.2025 15:00:01
Резервуаарний парк соєвої меляси (Глобине)</t>
  </si>
  <si>
    <t>Переміщення товарів ІБ00-000031 від 18.01.2025 16:00:00
Перемещение ТМЦ</t>
  </si>
  <si>
    <t>Обл. НДС
Бетон С20/25 W6 F75 P4 доб-5
Надходження товарів і послуг ІБ00-000174 від 18.01.2025 15:00:01
Котельна (Глобине)</t>
  </si>
  <si>
    <t>Переміщення товарів ІБ00-000032 від 18.01.2025 16:00:00
Перемещение ТМЦ</t>
  </si>
  <si>
    <t>Обл. НДС
Бетон С20/25 W6 F75 P4 доб-5
Надходження товарів і послуг ІБ00-000174 від 18.01.2025 15:00:01
СПК (Глобине)</t>
  </si>
  <si>
    <t>Надходження товарів і послуг ІБ00-000200 від 21.01.2025 18:10:15
Оприходованы ТМЦ</t>
  </si>
  <si>
    <t>Лук'ян Михайло Федорович ФОП
22/08-24-1 от 22.08.2024 (РАХУНКИ)_Глобине-2
Рахунок на оплату постачальника ІБ00-000199 від 21.01.2025 18:10:14</t>
  </si>
  <si>
    <t>22.01.2025</t>
  </si>
  <si>
    <t>Переміщення товарів ІБ00-000052 від 22.01.2025 00:00:00
Перемещение ТМЦ</t>
  </si>
  <si>
    <t>Обл. НДС
Змішувач д/ EPOFIX (хім.анкера)
Надходження товарів і послуг ІБ00-005517 від 05.11.2024 17:28:15
СПК (Глобине)</t>
  </si>
  <si>
    <t>Обл. НДС
Змішувач д/ EPOFIX (хім.анкера)
Надходження товарів і послуг ІБ00-005517 від 05.11.2024 17:28:15
Глобине-2</t>
  </si>
  <si>
    <t>Надходження товарів і послуг ІБ00-000203 від 22.01.2025 18:18:39
Оприходованы ТМЦ (Зачет аванса поставщику)</t>
  </si>
  <si>
    <t>Обл. НДС
Бетон С20/25 W6 F75 P4 доб-5
Надходження товарів і послуг ІБ00-000203 від 22.01.2025 18:18:39
Глобине-2</t>
  </si>
  <si>
    <t>Надходження дод. витрат ІБ00-000027 від 22.01.2025 18:20:00
Доп. расходы при поступлении товаров (Зачет аванса поставщику)</t>
  </si>
  <si>
    <t>Переміщення товарів ІБ00-000041 від 22.01.2025 19:00:00
Перемещение ТМЦ</t>
  </si>
  <si>
    <t>Обл. НДС
Бетон С20/25 W6 F75 P4 доб-5
Надходження товарів і послуг ІБ00-000203 від 22.01.2025 18:18:39
Насосна Градирня (Глобине)</t>
  </si>
  <si>
    <t>Переміщення товарів ІБ00-000042 від 22.01.2025 19:00:00
Перемещение ТМЦ</t>
  </si>
  <si>
    <t>Обл. НДС
Бетон С20/25 W6 F75 P4 доб-5
Надходження товарів і послуг ІБ00-000203 від 22.01.2025 18:18:39
Цех екстракції (Глобине)</t>
  </si>
  <si>
    <t>Переміщення товарів ІБ00-000043 від 22.01.2025 19:00:00
Перемещение ТМЦ</t>
  </si>
  <si>
    <t>Обл. НДС
Бетон С20/25 W6 F75 P4 доб-5
Надходження товарів і послуг ІБ00-000203 від 22.01.2025 18:18:39
Котельна (Глобине)</t>
  </si>
  <si>
    <t>Переміщення товарів ІБ00-000044 від 22.01.2025 19:00:00
Перемещение ТМЦ</t>
  </si>
  <si>
    <t>Обл. НДС
Бетон С20/25 W6 F75 P4 доб-5
Надходження товарів і послуг ІБ00-000203 від 22.01.2025 18:18:39
Резервуаарний парк соєвої меляси (Глобине)</t>
  </si>
  <si>
    <t>Надходження товарів і послуг ІБ00-000238 від 24.01.2025 18:00:03
Оприходованы ТМЦ (Зачет аванса поставщику)</t>
  </si>
  <si>
    <t>Обл. НДС
Бетон С20/25 W6 F75 P4 доб-5
Надходження товарів і послуг ІБ00-000238 від 24.01.2025 18:00:03
Глобине-2</t>
  </si>
  <si>
    <t>Обл. НДС
Бетон С  8/10 Р4  (-5*)
Надходження товарів і послуг ІБ00-000238 від 24.01.2025 18:00:03
Глобине-2</t>
  </si>
  <si>
    <t>Надходження дод. витрат ІБ00-000029 від 24.01.2025 18:05:00
Доп. расходы при поступлении товаров (Зачет аванса поставщику)</t>
  </si>
  <si>
    <t>Переміщення товарів ІБ00-000045 від 24.01.2025 18:10:00
Перемещение ТМЦ</t>
  </si>
  <si>
    <t>Обл. НДС
Бетон С20/25 W6 F75 P4 доб-5
Надходження товарів і послуг ІБ00-000238 від 24.01.2025 18:00:03
Резервуаарний парк соєвої меляси (Глобине)</t>
  </si>
  <si>
    <t>Переміщення товарів ІБ00-000046 від 24.01.2025 18:10:00
Перемещение ТМЦ</t>
  </si>
  <si>
    <t>Обл. НДС
Бетон С20/25 W6 F75 P4 доб-5
Надходження товарів і послуг ІБ00-000238 від 24.01.2025 18:00:03
Цех екстракції (Глобине)</t>
  </si>
  <si>
    <t>Переміщення товарів ІБ00-000047 від 24.01.2025 18:10:00
Перемещение ТМЦ</t>
  </si>
  <si>
    <t>Обл. НДС
Бетон С20/25 W6 F75 P4 доб-5
Надходження товарів і послуг ІБ00-000238 від 24.01.2025 18:00:03
Котельна (Глобине)</t>
  </si>
  <si>
    <t>Переміщення товарів ІБ00-000048 від 24.01.2025 18:10:00
Перемещение ТМЦ</t>
  </si>
  <si>
    <t>Обл. НДС
Бетон С20/25 W6 F75 P4 доб-5
Надходження товарів і послуг ІБ00-000238 від 24.01.2025 18:00:03
СПК (Глобине)</t>
  </si>
  <si>
    <t>Обл. НДС
Бетон С  8/10 Р4  (-5*)
Надходження товарів і послуг ІБ00-000238 від 24.01.2025 18:00:03
СПК (Глобине)</t>
  </si>
  <si>
    <t>27.01.2025</t>
  </si>
  <si>
    <t>Надходження товарів і послуг ІБ00-000258 від 27.01.2025 18:19:39
Оприходованы ТМЦ (Зачет аванса поставщику)</t>
  </si>
  <si>
    <t>Обл. НДС
Бетон С20/25 W6 F75 P4
Надходження товарів і послуг ІБ00-000258 від 27.01.2025 18:19:39
Глобине-2</t>
  </si>
  <si>
    <t>Надходження дод. витрат ІБ00-000039 від 27.01.2025 18:21:00
Доп. расходы при поступлении товаров (Зачет аванса поставщику)</t>
  </si>
  <si>
    <t>Кременчуцький річковий порт ПРАТ
Договір 112/Б від 15.10.2024_Глобине-2
Списання з банківського рахунку 00000000647 від 17.01.2025 12:00:15</t>
  </si>
  <si>
    <t>Переміщення товарів ІБ00-000049 від 27.01.2025 18:25:00
Перемещение ТМЦ</t>
  </si>
  <si>
    <t>Обл. НДС
Бетон С20/25 W6 F75 P4
Надходження товарів і послуг ІБ00-000258 від 27.01.2025 18:19:39
Резервуаарний парк соєвої меляси (Глобине)</t>
  </si>
  <si>
    <t>Переміщення товарів ІБ00-000050 від 27.01.2025 18:25:00
Перемещение ТМЦ</t>
  </si>
  <si>
    <t>Обл. НДС
Бетон С20/25 W6 F75 P4
Надходження товарів і послуг ІБ00-000258 від 27.01.2025 18:19:39
Котельна (Глобине)</t>
  </si>
  <si>
    <t>29.01.2025</t>
  </si>
  <si>
    <t>Надходження товарів і послуг ІБ00-000364 від 29.01.2025 18:00:25
Оприходованы ТМЦ (Зачет аванса поставщику)</t>
  </si>
  <si>
    <t>Обл. НДС
Бетон С20/25 W6 F75 P4
Надходження товарів і послуг ІБ00-000364 від 29.01.2025 18:00:25
Глобине-2</t>
  </si>
  <si>
    <t>Обл. НДС
Бетон С  8/10 Р4
Надходження товарів і послуг ІБ00-000364 від 29.01.2025 18:00:25
Глобине-2</t>
  </si>
  <si>
    <t>Надходження дод. витрат ІБ00-000061 від 29.01.2025 18:10:00
Доп. расходы при поступлении товаров (Зачет аванса поставщику)</t>
  </si>
  <si>
    <t>Переміщення товарів ІБ00-000060 від 29.01.2025 18:20:00
Перемещение ТМЦ</t>
  </si>
  <si>
    <t>Обл. НДС
Бетон С20/25 W6 F75 P4
Надходження товарів і послуг ІБ00-000364 від 29.01.2025 18:00:25
Цех екстракції (Глобине)</t>
  </si>
  <si>
    <t>Переміщення товарів ІБ00-000061 від 29.01.2025 18:20:00
Перемещение ТМЦ</t>
  </si>
  <si>
    <t>Обл. НДС
Бетон С20/25 W6 F75 P4
Надходження товарів і послуг ІБ00-000364 від 29.01.2025 18:00:25
Котельна (Глобине)</t>
  </si>
  <si>
    <t>Переміщення товарів ІБ00-000062 від 29.01.2025 18:20:00
Перемещение ТМЦ</t>
  </si>
  <si>
    <t>Обл. НДС
Бетон С  8/10 Р4
Надходження товарів і послуг ІБ00-000364 від 29.01.2025 18:00:25
СПК (Глобине)</t>
  </si>
  <si>
    <t>Списання товарів ІБ00-000019 від 30.01.2025 10:00:18
Списаны ТМЦ</t>
  </si>
  <si>
    <t>Обл. НДС
Брус 50х40 4м
Надходження товарів і послуг ІБ00-004600 від 25.09.2024 23:00:14
Глобине-2</t>
  </si>
  <si>
    <t>Списання товарів ІБ00-000028 від 30.01.2025 20:00:00
Списаны ТМЦ</t>
  </si>
  <si>
    <t>Обл. НДС
Провід ПВ-1нгLs 6 білий 
Надходження товарів і послуг ІБ00-004380 від 20.09.2024 18:19:30
Глобине-2</t>
  </si>
  <si>
    <t>Обл. НДС
Стрічка ущільнювальна 150мм рулон 10м сірий
Надходження товарів і послуг ІБ00-000184 від 15.01.2024 17:10:38
Глобине-2</t>
  </si>
  <si>
    <t>Обл. НДС
Пароніт ПОН-Б 3 мм
Надходження товарів і послуг ІБ00-001500 від 22.04.2024 16:54:29
Глобине-2</t>
  </si>
  <si>
    <t>Надходження товарів і послуг ІБ00-000363 від 30.01.2025 20:41:51
Оприходованы ТМЦ (Зачет аванса поставщику)</t>
  </si>
  <si>
    <t>Обл. НДС
Бетон С20/25 W6 F75 P4
Надходження товарів і послуг ІБ00-000363 від 30.01.2025 20:41:51
Глобине-2</t>
  </si>
  <si>
    <t>Надходження дод. витрат ІБ00-000060 від 30.01.2025 20:50:00
Доп. расходы при поступлении товаров</t>
  </si>
  <si>
    <t>Кременчуцький річковий порт ПРАТ
Договір 112/Б від 15.10.2024_Глобине-2
Надходження дод. витрат ІБ00-000060 від 30.01.2025 20:50:00</t>
  </si>
  <si>
    <t>Надходження дод. витрат ІБ00-000060 від 30.01.2025 20:50:00
Доп. расходы при поступлении товаров (Зачет аванса поставщику)</t>
  </si>
  <si>
    <t>Переміщення товарів ІБ00-000057 від 30.01.2025 21:00:00
Перемещение ТМЦ</t>
  </si>
  <si>
    <t>Обл. НДС
Бетон С20/25 W6 F75 P4
Надходження товарів і послуг ІБ00-000363 від 30.01.2025 20:41:51
Резервуаарний парк соєвої меляси (Глобине)</t>
  </si>
  <si>
    <t>Переміщення товарів ІБ00-000058 від 30.01.2025 21:00:00
Перемещение ТМЦ</t>
  </si>
  <si>
    <t>Обл. НДС
Бетон С20/25 W6 F75 P4
Надходження товарів і послуг ІБ00-000363 від 30.01.2025 20:41:51
Цех екстракції (Глобине)</t>
  </si>
  <si>
    <t>Переміщення товарів ІБ00-000059 від 30.01.2025 21:00:00
Перемещение ТМЦ</t>
  </si>
  <si>
    <t>Обл. НДС
Бетон С20/25 W6 F75 P4
Надходження товарів і послуг ІБ00-000363 від 30.01.2025 20:41:51
СПК (Глобине)</t>
  </si>
  <si>
    <t>31.01.2025</t>
  </si>
  <si>
    <t>Надходження товарів і послуг ІБ00-000368 від 31.01.2025 16:00:16
Оприходованы ТМЦ</t>
  </si>
  <si>
    <t>Обл. НДС
Бетон С20/25 W6 F75 P4
Надходження товарів і послуг ІБ00-000368 від 31.01.2025 16:00:16
Глобине-2</t>
  </si>
  <si>
    <t>Кременчуцький річковий порт ПРАТ
Договір 112/Б від 15.10.2024_Глобине-2
Надходження товарів і послуг ІБ00-000368 від 31.01.2025 16:00:16</t>
  </si>
  <si>
    <t>Надходження дод. витрат ІБ00-000062 від 31.01.2025 16:10:00
Доп. расходы при поступлении товаров</t>
  </si>
  <si>
    <t>Кременчуцький річковий порт ПРАТ
Договір 112/Б від 15.10.2024_Глобине-2
Надходження дод. витрат ІБ00-000062 від 31.01.2025 16:10:00</t>
  </si>
  <si>
    <t>Переміщення товарів ІБ00-000063 від 31.01.2025 17:10:00
Перемещение ТМЦ</t>
  </si>
  <si>
    <t>Обл. НДС
Бетон С20/25 W6 F75 P4
Надходження товарів і послуг ІБ00-000364 від 29.01.2025 18:00:25
СПК (Глобине)</t>
  </si>
  <si>
    <t>Обл. НДС
Бетон С20/25 W6 F75 P4
Надходження товарів і послуг ІБ00-000368 від 31.01.2025 16:00:16
СПК (Глобине)</t>
  </si>
  <si>
    <t>Переміщення товарів ІБ00-000064 від 31.01.2025 17:20:00
Перемещение ТМЦ</t>
  </si>
  <si>
    <t>Обл. НДС
Бетон С20/25 W6 F75 P4
Надходження товарів і послуг ІБ00-000368 від 31.01.2025 16:00:16
Цех екстракції (Глобине)</t>
  </si>
  <si>
    <t>Надходження товарів і послуг ІБ00-000490 від 31.01.2025 23:20:33
Оприходованы ТМЦ</t>
  </si>
  <si>
    <t>Обл. НДС
Плівка п/е 100 мк, 100 м 300м кв/рулон
Надходження товарів і послуг ІБ00-000490 від 31.01.2025 23:20:33
Глобине-2</t>
  </si>
  <si>
    <t>Лук'ян Михайло Федорович ФОП
22/08-24-1 от 22.08.2024 (РАХУНКИ)_Глобине-2
Рахунок на оплату постачальника ІБ00-000419 від 31.01.2025 23:20:32</t>
  </si>
  <si>
    <t>Переміщення товарів ІБ00-000072 від 31.01.2025 23:20:34
Перемещение ТМЦ</t>
  </si>
  <si>
    <t>Обл. НДС
Плівка п/е 100 мк, 100 м 300м кв/рулон
Надходження товарів і послуг ІБ00-000490 від 31.01.2025 23:20:33
Цех екстракції (Глобине)</t>
  </si>
  <si>
    <t>Переміщення товарів ІБ00-000073 від 31.01.2025 23:20:35
Перемещение ТМЦ</t>
  </si>
  <si>
    <t>Обл. НДС
Плівка п/е 100 мк, 100 м 300м кв/рулон
Надходження товарів і послуг ІБ00-000490 від 31.01.2025 23:20:33
Котельна (Глобине)</t>
  </si>
  <si>
    <t>Переміщення товарів ІБ00-000029 від 10.01.2025 20:00:00
Перемещение ТМЦ</t>
  </si>
  <si>
    <t>Обл. НДС
Бетон С 20/25  F75 W6 Р4
Надходження товарів і послуг ІБ00-005731 від 19.11.2024 17:51:24
Резервуар для зберігання розчинника(Глобине)</t>
  </si>
  <si>
    <t>Обл. НДС
Бетон С 20/25  F75 W6 Р4
Надходження товарів і послуг ІБ00-005731 від 19.11.2024 17:51:24
Котельна (Глобине)</t>
  </si>
  <si>
    <t>Обл. НДС
Бетон С 20/25  F75 W6 Р4
Надходження товарів і послуг ІБ00-005893 від 21.11.2024 19:12:44
Резервуар для зберігання розчинника(Глобине)</t>
  </si>
  <si>
    <t>Обл. НДС
Бетон С 20/25  F75 W6 Р4
Надходження товарів і послуг ІБ00-005893 від 21.11.2024 19:12:44
Котельна (Глобине)</t>
  </si>
  <si>
    <t>Обл. НДС
Бетон С 20/25  F75 W6 Р4
Надходження товарів і послуг ІБ00-005896 від 25.11.2024 17:50:09
Резервуар для зберігання розчинника(Глобине)</t>
  </si>
  <si>
    <t>Обл. НДС
Бетон С 20/25  F75 W6 Р4
Надходження товарів і послуг ІБ00-005896 від 25.11.2024 17:50:09
Котельна (Глобине)</t>
  </si>
  <si>
    <t>14.01.2025</t>
  </si>
  <si>
    <t>Надходження товарів і послуг ІБ00-000111 від 14.01.2025 18:05:23
Оприходованы ТМЦ</t>
  </si>
  <si>
    <t>Обл. НДС
Шуруп г/к по дереву 3,5*55 мм
Надходження товарів і послуг ІБ00-000111 від 14.01.2025 18:05:23
Котельна (Глобине)</t>
  </si>
  <si>
    <t>Лук'ян Михайло Федорович ФОП
22/08-24-1 от 22.08.2024 (РАХУНКИ)_Глобине-2
Рахунок на оплату постачальника ІБ00-000121 від 14.01.2025 18:05:17</t>
  </si>
  <si>
    <t>Обл. НДС
Шуруп г/к по дереву 4,2*76 мм
Надходження товарів і послуг ІБ00-000111 від 14.01.2025 18:05:23
Котельна (Глобине)</t>
  </si>
  <si>
    <t>Списання товарів ІБ00-000013 від 14.01.2025 18:05:53
Списаны ТМЦ</t>
  </si>
  <si>
    <t>Обл. НДС
Сітка тканна 5*5 НВ
Надходження товарів і послуг ІБ00-006606 від 20.12.2024 12:00:00
Котельна (Глобине)</t>
  </si>
  <si>
    <t>Надходження товарів і послуг ІБ00-000266 від 14.01.2025 18:06:02
Оприходованы ТМЦ</t>
  </si>
  <si>
    <t>Обл. НДС
Суміш для анкерування СХ 15, 25 кг
Надходження товарів і послуг ІБ00-000266 від 14.01.2025 18:06:02
Котельна (Глобине)</t>
  </si>
  <si>
    <t>ПОЛО-ІНВЕСТБУД ТОВ
РАХУНКИ_Глобино-2
Рахунок на оплату постачальника ІБ00-000078 від 09.01.2025 18:00:07</t>
  </si>
  <si>
    <t>Надходження товарів і послуг ІБ00-000266 від 14.01.2025 18:06:02
Оприходованы ТМЦ (Зачет аванса поставщику)</t>
  </si>
  <si>
    <t>Надходження товарів і послуг ІБ00-000138 від 17.01.2025 17:59:46
Оприходованы ТМЦ (Зачет аванса поставщику)</t>
  </si>
  <si>
    <t>Обл. НДС
Грунт-емаль ПФ-012 Р сірий (кг)
Надходження товарів і послуг ІБ00-000138 від 17.01.2025 17:59:46
Котельна (Глобине)</t>
  </si>
  <si>
    <t>Синтез ЛКМ
РАХУНКИ_Глобино-2
Рахунок на оплату постачальника ІБ00-000118 від 08.01.2025 00:00:00</t>
  </si>
  <si>
    <t>Надходження товарів і послуг ІБ00-000138 від 17.01.2025 17:59:46
Оприходованы ТМЦ</t>
  </si>
  <si>
    <t>Обл. НДС
Розчинник "White Spirit" (л)
Надходження товарів і послуг ІБ00-000138 від 17.01.2025 17:59:46
Котельна (Глобине)</t>
  </si>
  <si>
    <t>20.01.2025</t>
  </si>
  <si>
    <t>Надходження товарів і послуг ІБ00-000185 від 20.01.2025 18:00:26
Оприходованы ТМЦ</t>
  </si>
  <si>
    <t>Обл. НДС
Профілі сталеві листові Н-57 оцинк
Надходження товарів і послуг ІБ00-000185 від 20.01.2025 18:00:26
Котельна (Глобине)</t>
  </si>
  <si>
    <t>АЛМЕТ ТОВ
№28 от 22.09.2022.( рахунки)_Глобине-2
Рахунок на оплату постачальника ІБ00-000119 від 10.01.2025 18:00:25</t>
  </si>
  <si>
    <t>Надходження товарів і послуг ІБ00-000185 від 20.01.2025 18:00:26
Оприходованы ТМЦ (Зачет аванса поставщику)</t>
  </si>
  <si>
    <t>Надходження товарів і послуг ІБ00-000195 від 20.01.2025 18:00:30
Оприходованы ТМЦ (Зачет аванса поставщику)</t>
  </si>
  <si>
    <t>Обл. НДС
Труба 51*2,5 ДСТУ 8938(8732)
Надходження товарів і послуг ІБ00-000195 від 20.01.2025 18:00:30
Котельна (Глобине)</t>
  </si>
  <si>
    <t>Паритет"ТОВ ТД
Договір 06-09/1 від 06.09.2024_Глобино-2
Рахунок на оплату постачальника ІБ00-000141 від 10.01.2025 18:00:29</t>
  </si>
  <si>
    <t>Обл. НДС
Труба 159*6,0 ДСТУ 8938(8732)
Надходження товарів і послуг ІБ00-000195 від 20.01.2025 18:00:30
Котельна (Глобине)</t>
  </si>
  <si>
    <t>Обл. НДС
Труба 108*4,0 ДСТУ 8943(10704)
Надходження товарів і послуг ІБ00-000195 від 20.01.2025 18:00:30
Котельна (Глобине)</t>
  </si>
  <si>
    <t>Переміщення товарів ІБ00-000078 від 29.01.2025 20:00:00
Перемещение ТМЦ</t>
  </si>
  <si>
    <t>Обл. НДС
Бетон С20/25 W6 F75 P4
Надходження товарів і послуг ІБ00-000258 від 27.01.2025 18:19:39
Цех екстракції (Глобине)</t>
  </si>
  <si>
    <t>Обл. НДС
Бетон С 20/25  F75 W6 Р4
Надходження товарів і послуг ІБ00-005896 від 25.11.2024 17:50:09
Цех екстракції (Глобине)</t>
  </si>
  <si>
    <t>Обл. НДС
Бетон С20/25 W6 F75 P4 доб-5
Надходження товарів і послуг ІБ00-000087 від 15.01.2025 18:05:18
Цех екстракції (Глобине)</t>
  </si>
  <si>
    <t>Вимога-накладна ІБ00-000033 від 30.01.2025 20:41:45
Списаны ТМЦ</t>
  </si>
  <si>
    <t>Обл. НДС
Щебінь 20-40
Надходження товарів і послуг ІБ00-006545 від 26.12.2024 12:00:00
Котельна (Глобине)</t>
  </si>
  <si>
    <t>Обл. НДС
Плівка п/е рукав 1500*100
Надходження товарів і послуг ІБ00-005781 від 19.11.2024 17:51:41
Котельна (Глобине)</t>
  </si>
  <si>
    <t>Списання товарів ІБ00-000025 від 30.01.2025 20:41:46
Списаны ТМЦ</t>
  </si>
  <si>
    <t>Вимога-накладна ІБ00-000038 від 30.01.2025 22:00:00
Списаны ТМЦ</t>
  </si>
  <si>
    <t>Списання товарів ІБ00-000029 від 30.01.2025 23:00:01
Списаны ТМЦ</t>
  </si>
  <si>
    <t>Переміщення товарів ІБ00-000079 від 30.01.2025 23:20:16
Перемещение ТМЦ</t>
  </si>
  <si>
    <t>Обл. НДС
Арматура №12  А500С L=12000 мм
Надходження товарів і послуг ІБ00-004646 від 02.10.2024 17:19:54
СПК (Глобине)</t>
  </si>
  <si>
    <t>Обл. НДС
Арматура №12  А500С L=12000 мм
Надходження товарів і послуг ІБ00-004646 від 02.10.2024 17:19:54
Котельна (Глобине)</t>
  </si>
  <si>
    <t>Обл. НДС
Арматура №12  А500С L=12000 мм
Надходження товарів і послуг ІБ00-000054 від 10.01.2025 18:00:05
СПК (Глобине)</t>
  </si>
  <si>
    <t>Обл. НДС
Арматура №14  А500С L=12000 мм
Надходження товарів і послуг ІБ00-004646 від 02.10.2024 17:19:54
СПК (Глобине)</t>
  </si>
  <si>
    <t>Обл. НДС
Арматура №14  А500С L=12000 мм
Надходження товарів і послуг ІБ00-004646 від 02.10.2024 17:19:54
Котельна (Глобине)</t>
  </si>
  <si>
    <t>Переміщення товарів ІБ00-000080 від 30.01.2025 23:20:19
Перемещение ТМЦ</t>
  </si>
  <si>
    <t>Обл. НДС
Арматура №12  А500С L=12000 мм
Надходження товарів і послуг ІБ00-000054 від 10.01.2025 18:00:05
Цех екстракції (Глобине)</t>
  </si>
  <si>
    <t>Обл. НДС
Арматура №14  А500С L=12000 мм
Надходження товарів і послуг ІБ00-004646 від 02.10.2024 17:19:54
Цех екстракції (Глобине)</t>
  </si>
  <si>
    <t>16.01.2025</t>
  </si>
  <si>
    <t>Надходження товарів і послуг ІБ00-000103 від 16.01.2025 17:31:04
Оприходованы ТМЦ (Зачет аванса поставщику)</t>
  </si>
  <si>
    <t>Обл. НДС
Бетон С  8/10 Р4  (-5*)
Надходження товарів і послуг ІБ00-000103 від 16.01.2025 17:31:04
Резервуаарний парк соєвої меляси (Глобине)</t>
  </si>
  <si>
    <t>Надходження дод. витрат ІБ00-000014 від 16.01.2025 17:31:05
Доп. расходы при поступлении товаров (Зачет аванса поставщику)</t>
  </si>
  <si>
    <t>Надходження товарів і послуг ІБ00-000175 від 20.01.2025 18:00:24
Оприходованы ТМЦ (Зачет аванса поставщику)</t>
  </si>
  <si>
    <t>Обл. НДС
Бетон С  8/10 Р4  (-5*)
Надходження товарів і послуг ІБ00-000175 від 20.01.2025 18:00:24
Резервуаарний парк соєвої меляси (Глобине)</t>
  </si>
  <si>
    <t>Надходження дод. витрат ІБ00-000022 від 20.01.2025 18:00:25
Доп. расходы при поступлении товаров (Зачет аванса поставщику)</t>
  </si>
  <si>
    <t>Переміщення товарів ІБ00-000051 від 22.01.2025 19:00:27
Перемещение ТМЦ</t>
  </si>
  <si>
    <t>Обл. НДС
Щебінь 20-40
Надходження товарів і послуг ІБ00-006196 від 10.12.2024 18:00:19
Резервуаарний парк соєвої меляси (Глобине)</t>
  </si>
  <si>
    <t>Обл. НДС
Щебінь 20-40
Надходження товарів і послуг ІБ00-006196 від 10.12.2024 18:00:19
Цех екстракції (Глобине)</t>
  </si>
  <si>
    <t>Вимога-накладна ІБ00-000031 від 30.01.2025 00:00:00
Списаны ТМЦ</t>
  </si>
  <si>
    <t>Переміщення товарів ІБ00-000053 від 30.01.2025 09:00:00
Перемещение ТМЦ</t>
  </si>
  <si>
    <t>Вимога-накладна ІБ00-000025 від 30.01.2025 20:41:41
Списаны ТМЦ</t>
  </si>
  <si>
    <t>09.01.2025</t>
  </si>
  <si>
    <t>Надходження товарів і послуг ІБ00-000038 від 09.01.2025 17:38:56
Оприходованы ТМЦ (Зачет аванса поставщику)</t>
  </si>
  <si>
    <t>Обл. НДС
Бетон С20/25 W6 F75 P4
Надходження товарів і послуг ІБ00-000038 від 09.01.2025 17:38:56
Резервуар для зберігання розчинника(Глобине)</t>
  </si>
  <si>
    <t>Надходження дод. витрат ІБ00-000005 від 09.01.2025 17:38:58
Доп. расходы при поступлении товаров (Зачет аванса поставщику)</t>
  </si>
  <si>
    <t>Вимога-накладна ІБ00-000012 від 14.01.2025 18:05:49
Списаны ТМЦ</t>
  </si>
  <si>
    <t>Обл. НДС
Арматура №10  А240С L=6000 мм
Надходження товарів і послуг ІБ00-004378 від 21.09.2024 23:45:38
Резервуар для зберігання розчинника(Глобине)</t>
  </si>
  <si>
    <t>Обл. НДС
Арматура №12  А240С L=6000 мм
Надходження товарів і послуг ІБ00-004646 від 02.10.2024 17:19:54
Резервуар для зберігання розчинника(Глобине)</t>
  </si>
  <si>
    <t>Обл. НДС
Арматура №12  А500С L=12000 мм
Надходження товарів і послуг ІБ00-004378 від 21.09.2024 23:45:38
Резервуар для зберігання розчинника(Глобине)</t>
  </si>
  <si>
    <t>Обл. НДС
Арматура №14  А500С L=12000 мм
Надходження товарів і послуг ІБ00-004644 від 02.10.2024 17:19:53
Резервуар для зберігання розчинника(Глобине)</t>
  </si>
  <si>
    <t>Обл. НДС
Анкерний блок БФБ-1
Надходження товарів і послуг ІБ00-005212 від 23.10.2024 18:16:34
Резервуар для зберігання розчинника(Глобине)</t>
  </si>
  <si>
    <t>Переміщення товарів ІБ00-000054 від 30.01.2025 20:41:49
Перемещение ТМЦ</t>
  </si>
  <si>
    <t>Обл. НДС
Бетон С20/25 W6 F75 P4
Надходження товарів і послуг ІБ00-000038 від 09.01.2025 17:38:56
Цех екстракції (Глобине)</t>
  </si>
  <si>
    <t>Обл. НДС
Бетон С20/25 W6 F75 P4
Надходження товарів і послуг ІБ00-000056 від 10.01.2025 18:00:08
Цех екстракції (Глобине)</t>
  </si>
  <si>
    <t>08.01.2025</t>
  </si>
  <si>
    <t>Надходження товарів і послуг ІБ00-000026 від 08.01.2025 18:00:01
Оприходованы ТМЦ (Зачет аванса поставщику)</t>
  </si>
  <si>
    <t>Обл. НДС
Бетон С20/25 W6 F75 P4
Надходження товарів і послуг ІБ00-000026 від 08.01.2025 18:00:01
СПК (Глобине)</t>
  </si>
  <si>
    <t>Надходження дод. витрат ІБ00-000004 від 08.01.2025 18:00:02
Доп. расходы при поступлении товаров (Зачет аванса поставщику)</t>
  </si>
  <si>
    <t>Надходження товарів і послуг ІБ00-000190 від 21.01.2025 18:00:08
Оприходованы ТМЦ</t>
  </si>
  <si>
    <t>Обл. НДС
Пісок з відсіву дроблення щебеню фр. 0-5мм.
Надходження товарів і послуг ІБ00-000190 від 21.01.2025 18:00:08
СПК (Глобине)</t>
  </si>
  <si>
    <t>Енергія Логістик ТОВ
№28/10-2024 ВІД 28/10/24_Глобине-2
Рахунок на оплату постачальника ІБ00-000177 від 21.01.2025 18:00:10</t>
  </si>
  <si>
    <t>Надходження дод. витрат ІБ00-000024 від 21.01.2025 18:10:09
Доп. расходы при поступлении товаров</t>
  </si>
  <si>
    <t>Надходження товарів і послуг ІБ00-000201 від 22.01.2025 18:18:35
Оприходованы ТМЦ</t>
  </si>
  <si>
    <t>Обл. НДС
Пісок з відсіву дроблення щебеню фр. 0-5мм.
Надходження товарів і послуг ІБ00-000201 від 22.01.2025 18:18:35
СПК (Глобине)</t>
  </si>
  <si>
    <t>Енергія Логістик ТОВ
№28/10-2024 ВІД 28/10/24_Глобине-2
Рахунок на оплату постачальника ІБ00-000200 від 22.01.2025 18:18:34</t>
  </si>
  <si>
    <t>Надходження товарів і послуг ІБ00-000202 від 22.01.2025 18:18:37
Оприходованы ТМЦ</t>
  </si>
  <si>
    <t>Обл. НДС
Пісок з відсіву дроблення щебеню фр. 0-5мм.
Надходження товарів і послуг ІБ00-000202 від 22.01.2025 18:18:37
СПК (Глобине)</t>
  </si>
  <si>
    <t>Енергія Логістик ТОВ
№28/10-2024 ВІД 28/10/24_Глобине-2
Рахунок на оплату постачальника ІБ00-000201 від 22.01.2025 18:18:36</t>
  </si>
  <si>
    <t>Надходження дод. витрат ІБ00-000026 від 22.01.2025 18:18:38
Доп. расходы при поступлении товаров</t>
  </si>
  <si>
    <t>23.01.2025</t>
  </si>
  <si>
    <t>Надходження товарів і послуг ІБ00-000204 від 23.01.2025 18:00:05
Оприходованы ТМЦ</t>
  </si>
  <si>
    <t>Обл. НДС
Пісок з відсіву дроблення щебеню фр. 0-5мм.
Надходження товарів і послуг ІБ00-000204 від 23.01.2025 18:00:05
СПК (Глобине)</t>
  </si>
  <si>
    <t>Енергія Логістик ТОВ
№28/10-2024 ВІД 28/10/24_Глобине-2
Рахунок на оплату постачальника ІБ00-000202 від 23.01.2025 18:00:04</t>
  </si>
  <si>
    <t>Надходження товарів і послуг ІБ00-000205 від 23.01.2025 18:00:07
Оприходованы ТМЦ</t>
  </si>
  <si>
    <t>Обл. НДС
Пісок з відсіву дроблення щебеню фр. 0-5мм.
Надходження товарів і послуг ІБ00-000205 від 23.01.2025 18:00:07
СПК (Глобине)</t>
  </si>
  <si>
    <t>Енергія Логістик ТОВ
№28/10-2024 ВІД 28/10/24_Глобине-2
Рахунок на оплату постачальника ІБ00-000203 від 23.01.2025 18:00:06</t>
  </si>
  <si>
    <t>Надходження дод. витрат ІБ00-000028 від 23.01.2025 18:20:00
Доп. расходы при поступлении товаров</t>
  </si>
  <si>
    <t>Надходження товарів і послуг ІБ00-000257 від 27.01.2025 18:19:37
Оприходованы ТМЦ</t>
  </si>
  <si>
    <t>Обл. НДС
Пісок з відсіву дроблення щебеню фр. 0-5мм.
Надходження товарів і послуг ІБ00-000257 від 27.01.2025 18:19:37
СПК (Глобине)</t>
  </si>
  <si>
    <t>Енергія Логістик ТОВ
№28/10-2024 ВІД 28/10/24_Глобине-2
Рахунок на оплату постачальника ІБ00-000223 від 27.01.2025 18:19:36</t>
  </si>
  <si>
    <t>Надходження дод. витрат ІБ00-000038 від 27.01.2025 18:19:38
Доп. расходы при поступлении товаров</t>
  </si>
  <si>
    <t>Вимога-накладна ІБ00-000059 від 30.01.2025 00:00:00
Списаны ТМЦ</t>
  </si>
  <si>
    <t>Обл. НДС
Бетон М-350 (Р-4) доб- 5 
Надходження товарів і послуг ІБ00-006614 від 26.12.2024 12:00:00
СПК (Глобине)</t>
  </si>
  <si>
    <t>Вимога-накладна ІБ00-000026 від 30.01.2025 10:12:27
Списаны ТМЦ</t>
  </si>
  <si>
    <t>Обл. НДС
Пісок з відсіву дроблення щебеню фр. 0-5мм.
Надходження товарів і послуг ІБ00-006202 від 09.12.2024 18:22:02
СПК (Глобине)</t>
  </si>
  <si>
    <t>Обл. НДС
Пісок з відсіву дроблення щебеню фр. 0-5мм.
Надходження товарів і послуг ІБ00-006204 від 10.12.2024 18:00:22
СПК (Глобине)</t>
  </si>
  <si>
    <t>Обл. НДС
Пісок з відсіву дроблення щебеню фр. 0-5мм.
Надходження товарів і послуг ІБ00-006201 від 11.12.2024 18:00:22
СПК (Глобине)</t>
  </si>
  <si>
    <t>Обл. НДС
Пісок з відсіву дроблення щебеню фр. 0-5мм.
Надходження товарів і послуг ІБ00-006237 від 11.12.2024 18:00:37
СПК (Глобине)</t>
  </si>
  <si>
    <t>Обл. НДС
Пісок з відсіву дроблення щебеню фр. 0-5мм.
Надходження товарів і послуг ІБ00-006224 від 12.12.2024 18:00:32
СПК (Глобине)</t>
  </si>
  <si>
    <t>Обл. НДС
Пісок з відсіву дроблення щебеню фр. 0-5мм.
Надходження товарів і послуг ІБ00-006240 від 12.12.2024 18:00:38
СПК (Глобине)</t>
  </si>
  <si>
    <t>Обл. НДС
Пісок з відсіву дроблення щебеню фр. 0-5мм.
Надходження товарів і послуг ІБ00-006234 від 13.12.2024 19:00:46
СПК (Глобине)</t>
  </si>
  <si>
    <t>Обл. НДС
Пісок з відсіву дроблення щебеню фр. 0-5мм.
Надходження товарів і послуг ІБ00-006235 від 13.12.2024 19:00:49
СПК (Глобине)</t>
  </si>
  <si>
    <t>Обл. НДС
Пісок з відсіву дроблення щебеню фр. 0-5мм.
Надходження товарів і послуг ІБ00-006236 від 14.12.2024 17:00:05
СПК (Глобине)</t>
  </si>
  <si>
    <t>Обл. НДС
Пісок з відсіву дроблення щебеню фр. 0-5мм.
Надходження товарів і послуг ІБ00-006258 від 16.12.2024 18:00:25
СПК (Глобине)</t>
  </si>
  <si>
    <t>Обл. НДС
Пісок з відсіву дроблення щебеню фр. 0-5мм.
Надходження товарів і послуг ІБ00-006259 від 16.12.2024 18:00:27
СПК (Глобине)</t>
  </si>
  <si>
    <t>Списання товарів ІБ00-000020 від 30.01.2025 10:38:38
Списаны ТМЦ</t>
  </si>
  <si>
    <t>Обл. НДС
Піна монтажна  860 мл 
Надходження товарів і послуг ІБ00-006239 від 05.12.2024 19:22:34
СПК (Глобине)</t>
  </si>
  <si>
    <t>Вимога-накладна ІБ00-000032 від 30.01.2025 20:00:00
Списаны ТМЦ</t>
  </si>
  <si>
    <t>Обл. НДС
Пісок з відсіву дроблення щебеню фр. 0-5мм.
Надходження товарів і послуг ІБ00-006313 від 17.12.2024 18:00:22
СПК (Глобине)</t>
  </si>
  <si>
    <t>Списання товарів ІБ00-000024 від 30.01.2025 20:41:42
Списаны ТМЦ</t>
  </si>
  <si>
    <t>Вимога-накладна ІБ00-000057 від 30.01.2025 23:20:17
Списаны ТМЦ</t>
  </si>
  <si>
    <t>02.01.2025</t>
  </si>
  <si>
    <t>Надходження товарів і послуг ІБ00-000006 від 02.01.2025 17:13:37
Оприходованы ТМЦ (Зачет аванса поставщику)</t>
  </si>
  <si>
    <t>Обл. НДС
Балка ІРN 300 S355
Надходження товарів і послуг ІБ00-000006 від 02.01.2025 17:13:37
Цех екстракції (Глобине)</t>
  </si>
  <si>
    <t>АБСОЛЮТ-СТАЛЬ ТОВ
РАХУНКИ_Глобине 2
Рахунок на оплату постачальника ІБ00-005279 від 25.12.2024 18:26:50</t>
  </si>
  <si>
    <t>Надходження дод. витрат ІБ00-000003 від 02.01.2025 17:13:38
Доп. расходы при поступлении товаров</t>
  </si>
  <si>
    <t>03.01.2025</t>
  </si>
  <si>
    <t>Надходження товарів і послуг ІБ00-000093 від 03.01.2025 18:00:13
Оприходованы ТМЦ</t>
  </si>
  <si>
    <t>Обл. НДС
Балка 36 ІРЕ360 12м S275JR
Надходження товарів і послуг ІБ00-000093 від 03.01.2025 18:00:13
Цех екстракції (Глобине)</t>
  </si>
  <si>
    <t>АВ МЕТАЛ ГРУП ТОВ
Дог 2420/Р от 05.10.2023від 05.10.2023_Глобино-2
Рахунок на оплату постачальника ІБ00-005292 від 20.12.2024 12:00:00</t>
  </si>
  <si>
    <t>06.01.2025</t>
  </si>
  <si>
    <t>Надходження товарів і послуг ІБ00-000027 від 06.01.2025 18:00:39
Оприходованы ТМЦ</t>
  </si>
  <si>
    <t>Обл. НДС
Плівка п/е 100 мк, 50м 150м кв
Надходження товарів і послуг ІБ00-000027 від 06.01.2025 18:00:39
Цех екстракції (Глобине)</t>
  </si>
  <si>
    <t>Лук'ян Михайло Федорович ФОП
22/08-24-1 от 22.08.2024 (РАХУНКИ)_Глобине-2
Рахунок на оплату постачальника ІБ00-000021 від 06.01.2025 18:00:38</t>
  </si>
  <si>
    <t>Надходження товарів і послуг ІБ00-000110 від 14.01.2025 18:05:22
Оприходованы ТМЦ</t>
  </si>
  <si>
    <t>Обл. НДС
Шуруп г/к по дереву 3,5*55 мм
Надходження товарів і послуг ІБ00-000110 від 14.01.2025 18:05:22
Цех екстракції (Глобине)</t>
  </si>
  <si>
    <t>Обл. НДС
Шуруп г/к по дереву 4,2*76 мм
Надходження товарів і послуг ІБ00-000110 від 14.01.2025 18:05:22
Цех екстракції (Глобине)</t>
  </si>
  <si>
    <t>Надходження товарів і послуг ІБ00-000146 від 15.01.2025 22:00:01
Оприходованы ТМЦ</t>
  </si>
  <si>
    <t>Обл. НДС
Лист г/к 16,0 мм 1500*6000, S235 JR
Надходження товарів і послуг ІБ00-000146 від 15.01.2025 22:00:01
Цех екстракції (Глобине)</t>
  </si>
  <si>
    <t>АВ МЕТАЛ ГРУП ТОВ
Дог 2420/Р от 05.10.2023від 05.10.2023_Глобино-2
Рахунок на оплату постачальника ІБ00-000146 від 10.01.2025 18:00:30</t>
  </si>
  <si>
    <t>Обл. НДС
Лист г/к 30,0 мм 1500*6000, S235 JR
Надходження товарів і послуг ІБ00-000146 від 15.01.2025 22:00:01
Цех екстракції (Глобине)</t>
  </si>
  <si>
    <t>Обл. НДС
Лист г/к 40*1500*6000, S355JR
Надходження товарів і послуг ІБ00-000146 від 15.01.2025 22:00:01
Цех екстракції (Глобине)</t>
  </si>
  <si>
    <t>Обл. НДС
Труба профільна 120*120*5 L=12000 мм стS235JRH
Надходження товарів і послуг ІБ00-000146 від 15.01.2025 22:00:01
Цех екстракції (Глобине)</t>
  </si>
  <si>
    <t>Надходження товарів і послуг ІБ00-000181 від 15.01.2025 22:00:08
Оприходованы ТМЦ</t>
  </si>
  <si>
    <t>Обл. НДС
Лист г/к  4,0*1500*6000 мм; ст.3 сп/пс 5 кат.необ.кр.
Надходження товарів і послуг ІБ00-000181 від 15.01.2025 22:00:08
Цех екстракції (Глобине)</t>
  </si>
  <si>
    <t>МЕТІНВЕСТ-СМЦ ТОВ
№1778403/01/2023-С от 11.01.2023 РАХУНКИ_Глобино-2
Рахунок на оплату постачальника ІБ00-000168 від 13.01.2025 17:25:32</t>
  </si>
  <si>
    <t>Обл. НДС
Лист г/к  8*1500*6000 мм; ст.3 сп/пс 5 кат.необр.кромка
Надходження товарів і послуг ІБ00-000181 від 15.01.2025 22:00:08
Цех екстракції (Глобине)</t>
  </si>
  <si>
    <t>Обл. НДС
Лист г/к 10,0 мм 1500х6000, S355 J2
Надходження товарів і послуг ІБ00-000181 від 15.01.2025 22:00:08
Цех екстракції (Глобине)</t>
  </si>
  <si>
    <t>Обл. НДС
Лист г/к 10*2000*12000, 1-3пс/сп 5 кат.
Надходження товарів і послуг ІБ00-000181 від 15.01.2025 22:00:08
Цех екстракції (Глобине)</t>
  </si>
  <si>
    <t>Обл. НДС
Лист г/к 14*2000*6000, ст 3 пс/сп
Надходження товарів і послуг ІБ00-000181 від 15.01.2025 22:00:08
Цех екстракції (Глобине)</t>
  </si>
  <si>
    <t>Обл. НДС
Лист г/к 20*2000*6000, S355J2 обр кромка
Надходження товарів і послуг ІБ00-000181 від 15.01.2025 22:00:08
Цех екстракції (Глобине)</t>
  </si>
  <si>
    <t>Обл. НДС
Лист г/к 30*1500*6000, S355J2 необр кромка
Надходження товарів і послуг ІБ00-000181 від 15.01.2025 22:00:08
Цех екстракції (Глобине)</t>
  </si>
  <si>
    <t>Вимога-накладна ІБ00-000017 від 15.01.2025 22:00:09
Списаны ТМЦ</t>
  </si>
  <si>
    <t>Надходження товарів і послуг ІБ00-000104 від 16.01.2025 17:31:06
Оприходованы ТМЦ</t>
  </si>
  <si>
    <t>Обл. НДС
Болт М20*60  DIN 933 оц
Надходження товарів і послуг ІБ00-000104 від 16.01.2025 17:31:06
Цех екстракції (Глобине)</t>
  </si>
  <si>
    <t>Солді і Ко ПАТ
Дог № 378542-55/19 від 21.01.2019 р. РАХ_Глобине-2
Рахунок на оплату постачальника ІБ00-005204 від 09.12.2024 18:22:20</t>
  </si>
  <si>
    <t>Надходження товарів і послуг ІБ00-000178 від 16.01.2025 17:55:14
Оприходованы ТМЦ</t>
  </si>
  <si>
    <t>Обл. НДС
Кутик 75х75х6мм ст.3ПС МІРА 12м
Надходження товарів і послуг ІБ00-000178 від 16.01.2025 17:55:14
Цех екстракції (Глобине)</t>
  </si>
  <si>
    <t>Обл. НДС
Швелер 24П ст.3сп/пс 5, 12 м
Надходження товарів і послуг ІБ00-000178 від 16.01.2025 17:55:14
Цех екстракції (Глобине)</t>
  </si>
  <si>
    <t>Обл. НДС
Лист г/к  6*1500*6000 мм ст.3сп5
Надходження товарів і послуг ІБ00-000178 від 16.01.2025 17:55:14
Цех екстракції (Глобине)</t>
  </si>
  <si>
    <t>Обл. НДС
Лист г/к 30*1500*6000 мм необр кромка
Надходження товарів і послуг ІБ00-000178 від 16.01.2025 17:55:14
Цех екстракції (Глобине)</t>
  </si>
  <si>
    <t>Надходження товарів і послуг ІБ00-000179 від 16.01.2025 17:55:15
Оприходованы ТМЦ</t>
  </si>
  <si>
    <t>Обл. НДС
Лист г/к 16,0 мм 1500*6000, S235 JR
Надходження товарів і послуг ІБ00-000179 від 16.01.2025 17:55:15
Цех екстракції (Глобине)</t>
  </si>
  <si>
    <t>МЕТІНВЕСТ-СМЦ ТОВ
№1778403/01/2023-С от 11.01.2023 РАХУНКИ_Глобино-2
Рахунок на оплату постачальника ІБ00-000064 від 13.01.2025 17:25:03</t>
  </si>
  <si>
    <t>Обл. НДС
Лист г/к 20*1500*6000, S355J2
Надходження товарів і послуг ІБ00-000179 від 16.01.2025 17:55:15
Цех екстракції (Глобине)</t>
  </si>
  <si>
    <t>Надходження товарів і послуг ІБ00-000177 від 17.01.2025 19:00:04
Оприходованы ТМЦ</t>
  </si>
  <si>
    <t>Обл. НДС
Труба 160*160*5  ст 1-3 пс , L=12 м
Надходження товарів і послуг ІБ00-000177 від 17.01.2025 19:00:04
Цех екстракції (Глобине)</t>
  </si>
  <si>
    <t>Надходження товарів і послуг ІБ00-000180 від 17.01.2025 19:00:05
Оприходованы ТМЦ</t>
  </si>
  <si>
    <t>Обл. НДС
Лист г/к 20*1500*6000, S355J2
Надходження товарів і послуг ІБ00-000180 від 17.01.2025 19:00:05
Цех екстракції (Глобине)</t>
  </si>
  <si>
    <t>Надходження товарів і послуг ІБ00-000275 від 22.01.2025 19:00:25
Оприходованы ТМЦ</t>
  </si>
  <si>
    <t>Обл. НДС
Лист г/к 12,0 мм 1500*6000, S235 JR
Надходження товарів і послуг ІБ00-000275 від 22.01.2025 19:00:25
Цех екстракції (Глобине)</t>
  </si>
  <si>
    <t>Обл. НДС
Лист г/к 18*1500*6000, S235 JR
Надходження товарів і послуг ІБ00-000275 від 22.01.2025 19:00:25
Цех екстракції (Глобине)</t>
  </si>
  <si>
    <t>Обл. НДС
Лист г/к 20*1500*6000, ст.3пс/сп
Надходження товарів і послуг ІБ00-000275 від 22.01.2025 19:00:25
Цех екстракції (Глобине)</t>
  </si>
  <si>
    <t>Надходження товарів і послуг ІБ00-000232 від 24.01.2025 18:00:01
Оприходованы ТМЦ (Зачет аванса поставщику)</t>
  </si>
  <si>
    <t>Обл. НДС
Кондуктор ростверка Р-7
Надходження товарів і послуг ІБ00-000232 від 24.01.2025 18:00:01
Цех екстракції (Глобине)</t>
  </si>
  <si>
    <t>Метал Монтаж Сервіс Макс ТОВ
Договір 13/01/2025 від 13.01.2025_Глобине 2
Рахунок на оплату постачальника ІБ00-000143 від 13.01.2025 17:25:28</t>
  </si>
  <si>
    <t>Обл. НДС
Кондуктор ростверка Р-9
Надходження товарів і послуг ІБ00-000232 від 24.01.2025 18:00:01
Цех екстракції (Глобине)</t>
  </si>
  <si>
    <t>Надходження товарів і послуг ІБ00-000232 від 24.01.2025 18:00:01
Оприходованы ТМЦ</t>
  </si>
  <si>
    <t>Обл. НДС
Кондуктор ростверка Р-10
Надходження товарів і послуг ІБ00-000232 від 24.01.2025 18:00:01
Цех екстракції (Глобине)</t>
  </si>
  <si>
    <t>28.01.2025</t>
  </si>
  <si>
    <t>Надходження товарів і послуг ІБ00-000378 від 28.01.2025 23:21:42
Оприходованы ТМЦ</t>
  </si>
  <si>
    <t>Обл. НДС
Балка 20 ІРЕ200 12м S275JR
Надходження товарів і послуг ІБ00-000378 від 28.01.2025 23:21:42
Цех екстракції (Глобине)</t>
  </si>
  <si>
    <t>АВ МЕТАЛ ГРУП ТОВ
Дог 2420/Р от 05.10.2023від 05.10.2023_Глобино-2
Рахунок на оплату постачальника ІБ00-000324 від 21.01.2025 22:00:02</t>
  </si>
  <si>
    <t>Надходження товарів і послуг ІБ00-000379 від 29.01.2025 18:20:01
Оприходованы ТМЦ</t>
  </si>
  <si>
    <t>Обл. НДС
Труба 100х100х5 мм; ст. 3пс5; 12 м
Надходження товарів і послуг ІБ00-000379 від 29.01.2025 18:20:01
Цех екстракції (Глобине)</t>
  </si>
  <si>
    <t>Списання товарів ІБ00-000021 від 30.01.2025 11:27:04
Списаны ТМЦ</t>
  </si>
  <si>
    <t>Вимога-накладна ІБ00-000028 від 30.01.2025 18:03:05
Списаны ТМЦ</t>
  </si>
  <si>
    <t>Обл. НДС
Швелер 16П  7216
Надходження товарів і послуг ІБ00-005351 від 30.10.2024 20:04:11
Цех екстракції (Глобине)</t>
  </si>
  <si>
    <t>Обл. НДС
Швелер 16П міра  12,00 м
Надходження товарів і послуг ІБ00-006404 від 23.12.2024 17:16:10
Цех екстракції (Глобине)</t>
  </si>
  <si>
    <t>Обл. НДС
Швелер 20П  S275JR,12 м
Надходження товарів і послуг ІБ00-006500 від 30.12.2024 12:00:00
Цех екстракції (Глобине)</t>
  </si>
  <si>
    <t>Обл. НДС
Швелер № 22 П міра 12,00 м
Надходження товарів і послуг ІБ00-006502 від 27.12.2024 12:00:00
Цех екстракції (Глобине)</t>
  </si>
  <si>
    <t>Обл. НДС
Балка 16 IPE160 12м S275JR
Надходження товарів і послуг ІБ00-005330 від 29.10.2024 22:00:05
Цех екстракції (Глобине)</t>
  </si>
  <si>
    <t>Обл. НДС
Балка № 16 (ІПЕ 160); S235JR 12 м
Надходження товарів і послуг ІБ00-006404 від 23.12.2024 17:16:10
Цех екстракції (Глобине)</t>
  </si>
  <si>
    <t>Обл. НДС
Балка 20 ІРЕ200 12м S275JR
Надходження товарів і послуг ІБ00-005333 від 28.10.2024 17:55:20
Цех екстракції (Глобине)</t>
  </si>
  <si>
    <t>Обл. НДС
балка №30 (ІРЕ 300); S235/S275JR; L=12 м
Надходження товарів і послуг ІБ00-006403 від 23.12.2024 17:16:09
Цех екстракції (Глобине)</t>
  </si>
  <si>
    <t>Обл. НДС
Балка 36 ІРЕ360 12м S275JR
Надходження товарів і послуг ІБ00-005351 від 30.10.2024 20:04:11
Цех екстракції (Глобине)</t>
  </si>
  <si>
    <t>Обл. НДС
Труба профільна 80*80 мм 4,0 мм,12 м
Надходження товарів і послуг ІБ00-006502 від 27.12.2024 12:00:00
Цех екстракції (Глобине)</t>
  </si>
  <si>
    <t>Обл. НДС
Труба профільна100х100 мм 5,0 мм, 12 м
Надходження товарів і послуг ІБ00-006404 від 23.12.2024 17:16:10
Цех екстракції (Глобине)</t>
  </si>
  <si>
    <t>Обл. НДС
Труба ДСТУ 8943 159 мм 6,0 S235 JRH, 12 м
Надходження товарів і послуг ІБ00-006503 від 30.12.2024 12:00:00
Цех екстракції (Глобине)</t>
  </si>
  <si>
    <t>Обл. НДС
Лист г/к  4,0 мм 1500х6000, S235JR
Надходження товарів і послуг ІБ00-006404 від 23.12.2024 17:16:10
Цех екстракції (Глобине)</t>
  </si>
  <si>
    <t>Обл. НДС
Лист г/к  6*1500*6000 1-3 сп/пс
Надходження товарів і послуг ІБ00-005335 від 29.10.2024 22:00:09
Цех екстракції (Глобине)</t>
  </si>
  <si>
    <t>Обл. НДС
Лист г/к  8*1500*6000 1-3 сп/пс
Надходження товарів і послуг ІБ00-005335 від 29.10.2024 22:00:09
Цех екстракції (Глобине)</t>
  </si>
  <si>
    <t>Обл. НДС
Лист г/к 10,0 мм 1500*6000, S235 JR
Надходження товарів і послуг ІБ00-006503 від 30.12.2024 12:00:00
Цех екстракції (Глобине)</t>
  </si>
  <si>
    <t>Обл. НДС
Лист г/к 12,0 мм 1500*6000, S235 JR
Надходження товарів і послуг ІБ00-006503 від 30.12.2024 12:00:00
Цех екстракції (Глобине)</t>
  </si>
  <si>
    <t>Обл. НДС
Лист г/к 14,0 мм 1500*6000, S235 JR
Надходження товарів і послуг ІБ00-006503 від 30.12.2024 12:00:00
Цех екстракції (Глобине)</t>
  </si>
  <si>
    <t>Обл. НДС
Лист г/к 20,0 мм 2000*6000, S235 JR
Надходження товарів і послуг ІБ00-006500 від 30.12.2024 12:00:00
Цех екстракції (Глобине)</t>
  </si>
  <si>
    <t>Обл. НДС
Лист г/к 30*1500*6000 мм необр кромка
Надходження товарів і послуг ІБ00-005335 від 29.10.2024 22:00:09
Цех екстракції (Глобине)</t>
  </si>
  <si>
    <t>Обл. НДС
Лист г/к 40*2000*6000, 3 сп 5 кат.
Надходження товарів і послуг ІБ00-005547 від 05.11.2024 17:28:27
Цех екстракції (Глобине)</t>
  </si>
  <si>
    <t>Вимога-накладна ІБ00-000029 від 30.01.2025 18:03:08
Списаны ТМЦ</t>
  </si>
  <si>
    <t>Обл. НДС
Лист г/к 16*1500*6000, S235 JR
Надходження товарів і послуг ІБ00-005332 від 29.10.2024 22:00:06
Цех екстракції (Глобине)</t>
  </si>
  <si>
    <t>Обл. НДС
Лист г/к 30,0 мм 2000х6000, S235JR
Надходження товарів і послуг ІБ00-006404 від 23.12.2024 17:16:10
Цех екстракції (Глобине)</t>
  </si>
  <si>
    <t>Вимога-накладна ІБ00-000034 від 30.01.2025 20:41:50
Списаны ТМЦ</t>
  </si>
  <si>
    <t>Списання товарів ІБ00-000026 від 30.01.2025 21:00:04
Списаны ТМЦ</t>
  </si>
  <si>
    <t>Вимога-накладна ІБ00-000036 від 30.01.2025 22:00:00
Списаны ТМЦ</t>
  </si>
  <si>
    <t>Обл. НДС
Труба профільна 80*80*4 L=12 м
Надходження товарів і послуг ІБ00-005543 від 07.11.2024 17:17:33
Цех екстракції (Глобине)</t>
  </si>
  <si>
    <t>Обл. НДС
Труба профільна 100*100*5
Надходження товарів і послуг ІБ00-005333 від 28.10.2024 17:55:20
Цех екстракції (Глобине)</t>
  </si>
  <si>
    <t>Обл. НДС
Швелер 16П  7216
Надходження товарів і послуг ІБ00-005352 від 30.10.2024 20:04:12
Цех екстракції (Глобине)</t>
  </si>
  <si>
    <t>Обл. НДС
Лист г/к 14*2000*6000, 1-3 пс/сп 5 кат.
Надходження товарів і послуг ІБ00-005506 від 01.11.2024 19:56:31
Цех екстракції (Глобине)</t>
  </si>
  <si>
    <t>Обл. НДС
Лист г/к 20,0мм 2000*6000, S235JR
Надходження товарів і послуг ІБ00-006403 від 23.12.2024 17:16:09
Цех екстракції (Глобине)</t>
  </si>
  <si>
    <t>Обл. НДС
Лист г/к 16,0 мм 1500х6000, S355J2С+N 
Надходження товарів і послуг ІБ00-006404 від 23.12.2024 17:16:10
Цех екстракції (Глобине)</t>
  </si>
  <si>
    <t>Вимога-накладна ІБ00-000037 від 30.01.2025 23:00:00
Списаны ТМЦ</t>
  </si>
  <si>
    <t>Обл. НДС
Труба профільна 160*160*5
Надходження товарів і послуг ІБ00-005507 від 05.11.2024 17:28:11
Цех екстракції (Глобине)</t>
  </si>
  <si>
    <t>Обл. НДС
Швелер 20П міра 12,00 м 
Надходження товарів і послуг ІБ00-006404 від 23.12.2024 17:16:10
Цех екстракції (Глобине)</t>
  </si>
  <si>
    <t>Обл. НДС
Швелер № 24 П міра 12,00 м
Надходження товарів і послуг ІБ00-006502 від 27.12.2024 12:00:00
Цех екстракції (Глобине)</t>
  </si>
  <si>
    <t>Обл. НДС
Лист г/к 20,0 мм 2000*6000, S235 JR
Надходження товарів і послуг ІБ00-006501 від 30.12.2024 12:00:00
Цех екстракції (Глобине)</t>
  </si>
  <si>
    <t>Вимога-накладна ІБ00-000039 від 30.01.2025 23:00:00
Списаны ТМЦ</t>
  </si>
  <si>
    <t>Обл. НДС
Труба профільна 160*160  мм 5 мм, S235JR, 12 м
Надходження товарів і послуг ІБ00-006503 від 30.12.2024 12:00:00
Цех екстракції (Глобине)</t>
  </si>
  <si>
    <t>Обл. НДС
Кутник 75*75 мм  6,0 мм, S235 JR 12 м
Надходження товарів і послуг ІБ00-006500 від 30.12.2024 12:00:00
Цех екстракції (Глобине)</t>
  </si>
  <si>
    <t>Обл. НДС
Швелер 22П ст.1-3сп/пс 5, L= 12м
Надходження товарів і послуг ІБ00-005547 від 05.11.2024 17:28:27
Цех екстракції (Глобине)</t>
  </si>
  <si>
    <t>Обл. НДС
Лист г/к 20*2000*6000 09Г2С, 14 кат,обр.кромка
Надходження товарів і послуг ІБ00-005547 від 05.11.2024 17:28:27
Цех екстракції (Глобине)</t>
  </si>
  <si>
    <t>Вимога-накладна ІБ00-000040 від 30.01.2025 23:10:00
Списаны ТМЦ</t>
  </si>
  <si>
    <t>Обл. НДС
Швелер 24П/У ст.1-3сп/пс 5, 12м
Надходження товарів і послуг ІБ00-005352 від 30.10.2024 20:04:12
Цех екстракції (Глобине)</t>
  </si>
  <si>
    <t>Вимога-накладна ІБ00-000041 від 30.01.2025 23:20:00
Списаны ТМЦ</t>
  </si>
  <si>
    <t>Вимога-накладна ІБ00-000056 від 30.01.2025 23:20:15
Списаны ТМЦ</t>
  </si>
  <si>
    <t>Вимога-накладна ІБ00-000060 від 30.01.2025 23:20:20
Списаны ТМЦ</t>
  </si>
  <si>
    <t>Вимога-накладна ІБ00-000061 від 30.01.2025 23:20:21
Списаны ТМЦ</t>
  </si>
  <si>
    <t>Вимога-накладна ІБ00-000062 від 30.01.2025 23:20:22
Списаны ТМЦ</t>
  </si>
  <si>
    <t>Надходження дод. витрат ІБ00-000010 від 10.01.2025 10:00:00
Доп. расходы при поступлении товаров</t>
  </si>
  <si>
    <t>Обл. НДС
Балка 20
Надходження товарів і послуг ІБ00-000065 від 10.01.2025 18:15:17
Цех_Глобино</t>
  </si>
  <si>
    <t>МЕТАЛ ХОЛДІНГ ТРЕЙД ТОВ
Дог поставки № 1506/21 від 15.06.2021 р.Глобино-2
Надходження дод. витрат ІБ00-000010 від 10.01.2025 10:00:00</t>
  </si>
  <si>
    <t>Обл. НДС
Лист г/к 20*1500*6000, S355J2
Надходження товарів і послуг ІБ00-000065 від 10.01.2025 18:15:17
Цех_Глобино</t>
  </si>
  <si>
    <t>Обл. НДС
Лист г/к 10 мм, 1500*6000, S355 J2
Надходження товарів і послуг ІБ00-000065 від 10.01.2025 18:15:17
Цех_Глобино</t>
  </si>
  <si>
    <t>Обл. НДС
Лист 8 (г.к)  (1,5х6) ((1,5*6,0) 14637 3сп5)
Надходження товарів і послуг ІБ00-000065 від 10.01.2025 18:15:17
Цех_Глобино</t>
  </si>
  <si>
    <t>Обл. НДС
Швелер № 14П; ст. 3пс5; 12 м
Надходження товарів і послуг ІБ00-000065 від 10.01.2025 18:15:17
Цех_Глобино</t>
  </si>
  <si>
    <t>Обл. НДС
Швелер 16У (160 12,05- 8240 3пс)
Надходження товарів і послуг ІБ00-000065 від 10.01.2025 18:15:17
Цех_Глобино</t>
  </si>
  <si>
    <t>Надходження товарів і послуг ІБ00-000065 від 10.01.2025 18:15:17
Оприходованы ТМЦ</t>
  </si>
  <si>
    <t>МЕТАЛ ХОЛДІНГ ТРЕЙД ТОВ
Дог поставки № 1506/21 від 15.06.2021 р.Глобино-2
Надходження товарів і послуг ІБ00-000065 від 10.01.2025 18:15:17</t>
  </si>
  <si>
    <t>Повернення товарів постачальнику ІБ00-000004 від 16.01.2025 14:44:34
Возврат ТМЦ (Возврат поставщику. Неоплаченная часть.)</t>
  </si>
  <si>
    <t>МЕТАЛ ХОЛДІНГ ТРЕЙД ТОВ
Дог поставки № 1506/21 від 15.06.2021 р.Глобино-2
Надходження товарів і послуг ІБ00-006577 від 30.12.2024 21:00:07</t>
  </si>
  <si>
    <t>Обл. НДС
Балка 20
Надходження товарів і послуг ІБ00-006577 від 30.12.2024 21:00:07
Цех_Глобино</t>
  </si>
  <si>
    <t>МЕТАЛ ХОЛДІНГ ТРЕЙД ТОВ
Дог поставки № 1506/21 від 15.06.2021 р.Глобино-2
Надходження товарів і послуг ІБ00-006155 від 11.12.2024 21:00:00</t>
  </si>
  <si>
    <t>Надходження товарів і послуг ІБ00-000156 від 20.01.2025 17:50:00
Оприходованы ТМЦ (Зачет аванса поставщику)</t>
  </si>
  <si>
    <t>Обл. НДС
Балка ІРN 240
Надходження товарів і послуг ІБ00-000156 від 20.01.2025 17:50:00
Цех_Глобино</t>
  </si>
  <si>
    <t>АБСОЛЮТ-СТАЛЬ ТОВ
РАХУНКИ_Глобине 2
Рахунок на оплату постачальника ІБ00-005333 від 30.12.2024 21:00:26</t>
  </si>
  <si>
    <t>Надходження дод. витрат ІБ00-000018 від 20.01.2025 18:00:09
Доп. расходы при поступлении товаров</t>
  </si>
  <si>
    <t>Вимога-накладна ІБ00-000027 від 22.01.2025 19:00:31
Списаны ТМЦ</t>
  </si>
  <si>
    <t>Обл. НДС
Виробничий (Глобине-2)
Цех Глобино
Прямі матеріальні виробничі витрати крім зворотних відходів</t>
  </si>
  <si>
    <t>Обл. НДС
Швелер 16У (160 12,05- 8240 3пс)
Надходження товарів і послуг ІБ00-006577 від 30.12.2024 21:00:07
Цех_Глобино</t>
  </si>
  <si>
    <t>Обл. НДС
Лист 8 (г.к)  (1,5х6) ((1,5*6,0) 14637 3сп5)
Надходження товарів і послуг ІБ00-006577 від 30.12.2024 21:00:07
Цех_Глобино</t>
  </si>
  <si>
    <t>Обл. НДС
Лист г/к 10*2000*6000, 1-3пс/сп 5 кат.
Надходження товарів і послуг ІБ00-006577 від 30.12.2024 21:00:07
Цех_Глобино</t>
  </si>
  <si>
    <t>Обл. НДС
Лист г/к 20*1500*6000, S355J2
Надходження товарів і послуг ІБ00-006577 від 30.12.2024 21:00:07
Цех_Глобино</t>
  </si>
  <si>
    <t>Обл. НДС
труба 140х140х4 мм; ст. 3пс5; 12 м
Надходження товарів і послуг ІБ00-006577 від 30.12.2024 21:00:07
Цех_Глобино</t>
  </si>
  <si>
    <t>Обл. НДС
Труба 80х80х4 (12,05- 8940:2019 08кп/1-3пс)
Надходження товарів і послуг ІБ00-006577 від 30.12.2024 21:00:07
Цех_Глобино</t>
  </si>
  <si>
    <t>Обл. НДС
труба 100*100*4,0мм 12м
Надходження товарів і послуг ІБ00-006577 від 30.12.2024 21:00:07
Цех_Глобино</t>
  </si>
  <si>
    <t>Обл. НДС
Кутник 50х50х5
Надходження товарів і послуг ІБ00-006577 від 30.12.2024 21:00:07
Цех_Глобино</t>
  </si>
  <si>
    <t>Обл. НДС
Кутик 100*100*7мм ст. 3Пс МІРА
Надходження товарів і послуг ІБ00-006577 від 30.12.2024 21:00:07
Цех_Глобино</t>
  </si>
  <si>
    <t>Конструктив</t>
  </si>
  <si>
    <t>Грн,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</si>
</sst>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1">
    <xf numFmtId="0" fontId="0" fillId="0" borderId="0" xfId="0"/>
    <xf numFmtId="0" fontId="3" fillId="2" borderId="2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/>
    </xf>
    <xf numFmtId="0" fontId="3" fillId="2" borderId="4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horizontal="center" vertical="top"/>
    </xf>
    <xf numFmtId="0" fontId="3" fillId="2" borderId="5" xfId="1" applyNumberFormat="1" applyFont="1" applyFill="1" applyBorder="1" applyAlignment="1">
      <alignment horizontal="center" vertical="top"/>
    </xf>
    <xf numFmtId="0" fontId="3" fillId="2" borderId="6" xfId="1" applyNumberFormat="1" applyFont="1" applyFill="1" applyBorder="1" applyAlignment="1">
      <alignment vertical="top"/>
    </xf>
    <xf numFmtId="0" fontId="3" fillId="2" borderId="7" xfId="1" applyNumberFormat="1" applyFont="1" applyFill="1" applyBorder="1" applyAlignment="1">
      <alignment vertical="top"/>
    </xf>
    <xf numFmtId="0" fontId="3" fillId="2" borderId="8" xfId="1" applyNumberFormat="1" applyFont="1" applyFill="1" applyBorder="1" applyAlignment="1">
      <alignment vertical="top"/>
    </xf>
    <xf numFmtId="0" fontId="3" fillId="2" borderId="5" xfId="1" applyNumberFormat="1" applyFont="1" applyFill="1" applyBorder="1" applyAlignment="1">
      <alignment vertical="top"/>
    </xf>
    <xf numFmtId="0" fontId="3" fillId="2" borderId="9" xfId="1" applyNumberFormat="1" applyFont="1" applyFill="1" applyBorder="1" applyAlignment="1">
      <alignment vertical="top"/>
    </xf>
    <xf numFmtId="0" fontId="3" fillId="2" borderId="9" xfId="1" applyNumberFormat="1" applyFont="1" applyFill="1" applyBorder="1" applyAlignment="1">
      <alignment vertical="top"/>
    </xf>
    <xf numFmtId="0" fontId="3" fillId="2" borderId="10" xfId="1" applyNumberFormat="1" applyFont="1" applyFill="1" applyBorder="1" applyAlignment="1">
      <alignment vertical="top"/>
    </xf>
    <xf numFmtId="0" fontId="3" fillId="2" borderId="11" xfId="1" applyNumberFormat="1" applyFont="1" applyFill="1" applyBorder="1" applyAlignment="1">
      <alignment vertical="top"/>
    </xf>
    <xf numFmtId="0" fontId="4" fillId="0" borderId="1" xfId="1" applyNumberFormat="1" applyFont="1" applyBorder="1" applyAlignment="1">
      <alignment vertical="top"/>
    </xf>
    <xf numFmtId="0" fontId="4" fillId="0" borderId="1" xfId="1" applyNumberFormat="1" applyFont="1" applyBorder="1" applyAlignment="1">
      <alignment vertical="top" wrapText="1"/>
    </xf>
    <xf numFmtId="0" fontId="4" fillId="0" borderId="1" xfId="1" applyNumberFormat="1" applyFont="1" applyBorder="1" applyAlignment="1">
      <alignment horizontal="left" vertical="top"/>
    </xf>
    <xf numFmtId="4" fontId="4" fillId="0" borderId="1" xfId="1" applyNumberFormat="1" applyFont="1" applyBorder="1" applyAlignment="1">
      <alignment horizontal="right" vertical="top" wrapText="1"/>
    </xf>
    <xf numFmtId="0" fontId="4" fillId="0" borderId="13" xfId="1" applyNumberFormat="1" applyFont="1" applyBorder="1" applyAlignment="1">
      <alignment horizontal="right" vertical="top" wrapText="1"/>
    </xf>
    <xf numFmtId="0" fontId="4" fillId="0" borderId="12" xfId="1" applyNumberFormat="1" applyFont="1" applyBorder="1" applyAlignment="1">
      <alignment horizontal="center" vertical="top"/>
    </xf>
    <xf numFmtId="4" fontId="4" fillId="0" borderId="13" xfId="1" applyNumberFormat="1" applyFont="1" applyBorder="1" applyAlignment="1">
      <alignment horizontal="right" vertical="top" wrapText="1"/>
    </xf>
    <xf numFmtId="0" fontId="4" fillId="0" borderId="1" xfId="1" applyNumberFormat="1" applyFont="1" applyBorder="1" applyAlignment="1">
      <alignment horizontal="right" vertical="top" wrapText="1"/>
    </xf>
    <xf numFmtId="4" fontId="4" fillId="0" borderId="13" xfId="1" applyNumberFormat="1" applyFont="1" applyBorder="1" applyAlignment="1">
      <alignment horizontal="right" vertical="top" wrapText="1"/>
    </xf>
    <xf numFmtId="0" fontId="4" fillId="0" borderId="13" xfId="1" applyNumberFormat="1" applyFont="1" applyBorder="1" applyAlignment="1">
      <alignment horizontal="right" vertical="top" wrapText="1"/>
    </xf>
    <xf numFmtId="2" fontId="4" fillId="0" borderId="1" xfId="1" applyNumberFormat="1" applyFont="1" applyBorder="1" applyAlignment="1">
      <alignment horizontal="right" vertical="top" wrapText="1"/>
    </xf>
    <xf numFmtId="0" fontId="5" fillId="2" borderId="1" xfId="1" applyNumberFormat="1" applyFont="1" applyFill="1" applyBorder="1" applyAlignment="1">
      <alignment vertical="top"/>
    </xf>
    <xf numFmtId="4" fontId="5" fillId="2" borderId="1" xfId="1" applyNumberFormat="1" applyFont="1" applyFill="1" applyBorder="1" applyAlignment="1">
      <alignment horizontal="right" vertical="top" wrapText="1"/>
    </xf>
    <xf numFmtId="0" fontId="5" fillId="2" borderId="12" xfId="1" applyNumberFormat="1" applyFont="1" applyFill="1" applyBorder="1" applyAlignment="1">
      <alignment horizontal="center" vertical="top"/>
    </xf>
    <xf numFmtId="4" fontId="5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3" fillId="2" borderId="2" xfId="3" applyNumberFormat="1" applyFont="1" applyFill="1" applyBorder="1" applyAlignment="1">
      <alignment vertical="top"/>
    </xf>
    <xf numFmtId="0" fontId="3" fillId="2" borderId="3" xfId="3" applyNumberFormat="1" applyFont="1" applyFill="1" applyBorder="1" applyAlignment="1">
      <alignment vertical="top"/>
    </xf>
    <xf numFmtId="0" fontId="3" fillId="2" borderId="4" xfId="3" applyNumberFormat="1" applyFont="1" applyFill="1" applyBorder="1" applyAlignment="1">
      <alignment vertical="top"/>
    </xf>
    <xf numFmtId="0" fontId="3" fillId="2" borderId="3" xfId="3" applyNumberFormat="1" applyFont="1" applyFill="1" applyBorder="1" applyAlignment="1">
      <alignment horizontal="center" vertical="top"/>
    </xf>
    <xf numFmtId="0" fontId="3" fillId="2" borderId="5" xfId="3" applyNumberFormat="1" applyFont="1" applyFill="1" applyBorder="1" applyAlignment="1">
      <alignment horizontal="center" vertical="top"/>
    </xf>
    <xf numFmtId="0" fontId="3" fillId="2" borderId="6" xfId="3" applyNumberFormat="1" applyFont="1" applyFill="1" applyBorder="1" applyAlignment="1">
      <alignment vertical="top"/>
    </xf>
    <xf numFmtId="0" fontId="3" fillId="2" borderId="7" xfId="3" applyNumberFormat="1" applyFont="1" applyFill="1" applyBorder="1" applyAlignment="1">
      <alignment vertical="top"/>
    </xf>
    <xf numFmtId="0" fontId="3" fillId="2" borderId="8" xfId="3" applyNumberFormat="1" applyFont="1" applyFill="1" applyBorder="1" applyAlignment="1">
      <alignment vertical="top"/>
    </xf>
    <xf numFmtId="0" fontId="3" fillId="2" borderId="5" xfId="3" applyNumberFormat="1" applyFont="1" applyFill="1" applyBorder="1" applyAlignment="1">
      <alignment vertical="top"/>
    </xf>
    <xf numFmtId="0" fontId="3" fillId="2" borderId="9" xfId="3" applyNumberFormat="1" applyFont="1" applyFill="1" applyBorder="1" applyAlignment="1">
      <alignment vertical="top"/>
    </xf>
    <xf numFmtId="0" fontId="3" fillId="2" borderId="9" xfId="3" applyNumberFormat="1" applyFont="1" applyFill="1" applyBorder="1" applyAlignment="1">
      <alignment vertical="top"/>
    </xf>
    <xf numFmtId="0" fontId="3" fillId="2" borderId="10" xfId="3" applyNumberFormat="1" applyFont="1" applyFill="1" applyBorder="1" applyAlignment="1">
      <alignment vertical="top"/>
    </xf>
    <xf numFmtId="0" fontId="3" fillId="2" borderId="11" xfId="3" applyNumberFormat="1" applyFont="1" applyFill="1" applyBorder="1" applyAlignment="1">
      <alignment vertical="top"/>
    </xf>
    <xf numFmtId="0" fontId="4" fillId="0" borderId="1" xfId="3" applyNumberFormat="1" applyFont="1" applyBorder="1" applyAlignment="1">
      <alignment vertical="top"/>
    </xf>
    <xf numFmtId="0" fontId="4" fillId="0" borderId="1" xfId="3" applyNumberFormat="1" applyFont="1" applyBorder="1" applyAlignment="1">
      <alignment vertical="top" wrapText="1"/>
    </xf>
    <xf numFmtId="0" fontId="4" fillId="0" borderId="1" xfId="3" applyNumberFormat="1" applyFont="1" applyBorder="1" applyAlignment="1">
      <alignment horizontal="left" vertical="top"/>
    </xf>
    <xf numFmtId="4" fontId="4" fillId="0" borderId="1" xfId="3" applyNumberFormat="1" applyFont="1" applyBorder="1" applyAlignment="1">
      <alignment horizontal="right" vertical="top" wrapText="1"/>
    </xf>
    <xf numFmtId="0" fontId="4" fillId="0" borderId="13" xfId="3" applyNumberFormat="1" applyFont="1" applyBorder="1" applyAlignment="1">
      <alignment horizontal="right" vertical="top" wrapText="1"/>
    </xf>
    <xf numFmtId="0" fontId="4" fillId="0" borderId="12" xfId="3" applyNumberFormat="1" applyFont="1" applyBorder="1" applyAlignment="1">
      <alignment horizontal="center" vertical="top"/>
    </xf>
    <xf numFmtId="4" fontId="4" fillId="0" borderId="13" xfId="3" applyNumberFormat="1" applyFont="1" applyBorder="1" applyAlignment="1">
      <alignment horizontal="right" vertical="top" wrapText="1"/>
    </xf>
    <xf numFmtId="0" fontId="4" fillId="0" borderId="1" xfId="3" applyNumberFormat="1" applyFont="1" applyBorder="1" applyAlignment="1">
      <alignment horizontal="right" vertical="top" wrapText="1"/>
    </xf>
    <xf numFmtId="4" fontId="4" fillId="0" borderId="13" xfId="3" applyNumberFormat="1" applyFont="1" applyBorder="1" applyAlignment="1">
      <alignment horizontal="right" vertical="top" wrapText="1"/>
    </xf>
    <xf numFmtId="2" fontId="4" fillId="0" borderId="1" xfId="3" applyNumberFormat="1" applyFont="1" applyBorder="1" applyAlignment="1">
      <alignment horizontal="right" vertical="top" wrapText="1"/>
    </xf>
    <xf numFmtId="2" fontId="4" fillId="0" borderId="13" xfId="3" applyNumberFormat="1" applyFont="1" applyBorder="1" applyAlignment="1">
      <alignment horizontal="right" vertical="top" wrapText="1"/>
    </xf>
    <xf numFmtId="0" fontId="5" fillId="2" borderId="1" xfId="3" applyNumberFormat="1" applyFont="1" applyFill="1" applyBorder="1" applyAlignment="1">
      <alignment vertical="top"/>
    </xf>
    <xf numFmtId="4" fontId="5" fillId="2" borderId="1" xfId="3" applyNumberFormat="1" applyFont="1" applyFill="1" applyBorder="1" applyAlignment="1">
      <alignment horizontal="right" vertical="top" wrapText="1"/>
    </xf>
    <xf numFmtId="0" fontId="5" fillId="2" borderId="12" xfId="3" applyNumberFormat="1" applyFont="1" applyFill="1" applyBorder="1" applyAlignment="1">
      <alignment horizontal="center" vertical="top"/>
    </xf>
    <xf numFmtId="4" fontId="5" fillId="2" borderId="13" xfId="3" applyNumberFormat="1" applyFont="1" applyFill="1" applyBorder="1" applyAlignment="1">
      <alignment horizontal="right" vertical="top" wrapText="1"/>
    </xf>
    <xf numFmtId="0" fontId="3" fillId="2" borderId="2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vertical="top"/>
    </xf>
    <xf numFmtId="0" fontId="3" fillId="2" borderId="4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horizontal="center" vertical="top"/>
    </xf>
    <xf numFmtId="0" fontId="3" fillId="2" borderId="5" xfId="4" applyNumberFormat="1" applyFont="1" applyFill="1" applyBorder="1" applyAlignment="1">
      <alignment horizontal="center" vertical="top"/>
    </xf>
    <xf numFmtId="0" fontId="3" fillId="2" borderId="6" xfId="4" applyNumberFormat="1" applyFont="1" applyFill="1" applyBorder="1" applyAlignment="1">
      <alignment vertical="top"/>
    </xf>
    <xf numFmtId="0" fontId="3" fillId="2" borderId="7" xfId="4" applyNumberFormat="1" applyFont="1" applyFill="1" applyBorder="1" applyAlignment="1">
      <alignment vertical="top"/>
    </xf>
    <xf numFmtId="0" fontId="3" fillId="2" borderId="8" xfId="4" applyNumberFormat="1" applyFont="1" applyFill="1" applyBorder="1" applyAlignment="1">
      <alignment vertical="top"/>
    </xf>
    <xf numFmtId="0" fontId="3" fillId="2" borderId="5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10" xfId="4" applyNumberFormat="1" applyFont="1" applyFill="1" applyBorder="1" applyAlignment="1">
      <alignment vertical="top"/>
    </xf>
    <xf numFmtId="0" fontId="3" fillId="2" borderId="11" xfId="4" applyNumberFormat="1" applyFont="1" applyFill="1" applyBorder="1" applyAlignment="1">
      <alignment vertical="top"/>
    </xf>
    <xf numFmtId="0" fontId="4" fillId="0" borderId="1" xfId="4" applyNumberFormat="1" applyFont="1" applyBorder="1" applyAlignment="1">
      <alignment vertical="top"/>
    </xf>
    <xf numFmtId="0" fontId="4" fillId="0" borderId="1" xfId="4" applyNumberFormat="1" applyFont="1" applyBorder="1" applyAlignment="1">
      <alignment vertical="top" wrapText="1"/>
    </xf>
    <xf numFmtId="0" fontId="4" fillId="0" borderId="1" xfId="4" applyNumberFormat="1" applyFont="1" applyBorder="1" applyAlignment="1">
      <alignment horizontal="left" vertical="top"/>
    </xf>
    <xf numFmtId="4" fontId="4" fillId="0" borderId="1" xfId="4" applyNumberFormat="1" applyFont="1" applyBorder="1" applyAlignment="1">
      <alignment horizontal="right" vertical="top" wrapText="1"/>
    </xf>
    <xf numFmtId="0" fontId="4" fillId="0" borderId="13" xfId="4" applyNumberFormat="1" applyFont="1" applyBorder="1" applyAlignment="1">
      <alignment horizontal="right" vertical="top" wrapText="1"/>
    </xf>
    <xf numFmtId="0" fontId="4" fillId="0" borderId="12" xfId="4" applyNumberFormat="1" applyFont="1" applyBorder="1" applyAlignment="1">
      <alignment horizontal="center" vertical="top"/>
    </xf>
    <xf numFmtId="4" fontId="4" fillId="0" borderId="13" xfId="4" applyNumberFormat="1" applyFont="1" applyBorder="1" applyAlignment="1">
      <alignment horizontal="right" vertical="top" wrapText="1"/>
    </xf>
    <xf numFmtId="2" fontId="4" fillId="0" borderId="1" xfId="4" applyNumberFormat="1" applyFont="1" applyBorder="1" applyAlignment="1">
      <alignment horizontal="right" vertical="top" wrapText="1"/>
    </xf>
    <xf numFmtId="0" fontId="4" fillId="0" borderId="1" xfId="4" applyNumberFormat="1" applyFont="1" applyBorder="1" applyAlignment="1">
      <alignment horizontal="right" vertical="top" wrapText="1"/>
    </xf>
    <xf numFmtId="2" fontId="4" fillId="0" borderId="13" xfId="4" applyNumberFormat="1" applyFont="1" applyBorder="1" applyAlignment="1">
      <alignment horizontal="right" vertical="top" wrapText="1"/>
    </xf>
    <xf numFmtId="4" fontId="4" fillId="0" borderId="13" xfId="4" applyNumberFormat="1" applyFont="1" applyBorder="1" applyAlignment="1">
      <alignment horizontal="right" vertical="top" wrapText="1"/>
    </xf>
    <xf numFmtId="0" fontId="5" fillId="2" borderId="1" xfId="4" applyNumberFormat="1" applyFont="1" applyFill="1" applyBorder="1" applyAlignment="1">
      <alignment vertical="top"/>
    </xf>
    <xf numFmtId="4" fontId="5" fillId="2" borderId="1" xfId="4" applyNumberFormat="1" applyFont="1" applyFill="1" applyBorder="1" applyAlignment="1">
      <alignment horizontal="right" vertical="top" wrapText="1"/>
    </xf>
    <xf numFmtId="0" fontId="5" fillId="2" borderId="12" xfId="4" applyNumberFormat="1" applyFont="1" applyFill="1" applyBorder="1" applyAlignment="1">
      <alignment horizontal="center" vertical="top"/>
    </xf>
    <xf numFmtId="4" fontId="5" fillId="2" borderId="13" xfId="4" applyNumberFormat="1" applyFont="1" applyFill="1" applyBorder="1" applyAlignment="1">
      <alignment horizontal="right" vertical="top" wrapText="1"/>
    </xf>
    <xf numFmtId="0" fontId="3" fillId="2" borderId="2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vertical="top"/>
    </xf>
    <xf numFmtId="0" fontId="3" fillId="2" borderId="4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horizontal="center" vertical="top"/>
    </xf>
    <xf numFmtId="0" fontId="3" fillId="2" borderId="5" xfId="5" applyNumberFormat="1" applyFont="1" applyFill="1" applyBorder="1" applyAlignment="1">
      <alignment horizontal="center" vertical="top"/>
    </xf>
    <xf numFmtId="0" fontId="3" fillId="2" borderId="6" xfId="5" applyNumberFormat="1" applyFont="1" applyFill="1" applyBorder="1" applyAlignment="1">
      <alignment vertical="top"/>
    </xf>
    <xf numFmtId="0" fontId="3" fillId="2" borderId="7" xfId="5" applyNumberFormat="1" applyFont="1" applyFill="1" applyBorder="1" applyAlignment="1">
      <alignment vertical="top"/>
    </xf>
    <xf numFmtId="0" fontId="3" fillId="2" borderId="8" xfId="5" applyNumberFormat="1" applyFont="1" applyFill="1" applyBorder="1" applyAlignment="1">
      <alignment vertical="top"/>
    </xf>
    <xf numFmtId="0" fontId="3" fillId="2" borderId="5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10" xfId="5" applyNumberFormat="1" applyFont="1" applyFill="1" applyBorder="1" applyAlignment="1">
      <alignment vertical="top"/>
    </xf>
    <xf numFmtId="0" fontId="3" fillId="2" borderId="11" xfId="5" applyNumberFormat="1" applyFont="1" applyFill="1" applyBorder="1" applyAlignment="1">
      <alignment vertical="top"/>
    </xf>
    <xf numFmtId="0" fontId="4" fillId="0" borderId="1" xfId="5" applyNumberFormat="1" applyFont="1" applyBorder="1" applyAlignment="1">
      <alignment vertical="top"/>
    </xf>
    <xf numFmtId="0" fontId="4" fillId="0" borderId="1" xfId="5" applyNumberFormat="1" applyFont="1" applyBorder="1" applyAlignment="1">
      <alignment vertical="top" wrapText="1"/>
    </xf>
    <xf numFmtId="0" fontId="4" fillId="0" borderId="1" xfId="5" applyNumberFormat="1" applyFont="1" applyBorder="1" applyAlignment="1">
      <alignment horizontal="left" vertical="top"/>
    </xf>
    <xf numFmtId="4" fontId="4" fillId="0" borderId="1" xfId="5" applyNumberFormat="1" applyFont="1" applyBorder="1" applyAlignment="1">
      <alignment horizontal="right" vertical="top" wrapText="1"/>
    </xf>
    <xf numFmtId="0" fontId="4" fillId="0" borderId="13" xfId="5" applyNumberFormat="1" applyFont="1" applyBorder="1" applyAlignment="1">
      <alignment horizontal="right" vertical="top" wrapText="1"/>
    </xf>
    <xf numFmtId="0" fontId="4" fillId="0" borderId="12" xfId="5" applyNumberFormat="1" applyFont="1" applyBorder="1" applyAlignment="1">
      <alignment horizontal="center" vertical="top"/>
    </xf>
    <xf numFmtId="4" fontId="4" fillId="0" borderId="13" xfId="5" applyNumberFormat="1" applyFont="1" applyBorder="1" applyAlignment="1">
      <alignment horizontal="right" vertical="top" wrapText="1"/>
    </xf>
    <xf numFmtId="2" fontId="4" fillId="0" borderId="1" xfId="5" applyNumberFormat="1" applyFont="1" applyBorder="1" applyAlignment="1">
      <alignment horizontal="right" vertical="top" wrapText="1"/>
    </xf>
    <xf numFmtId="0" fontId="4" fillId="0" borderId="1" xfId="5" applyNumberFormat="1" applyFont="1" applyBorder="1" applyAlignment="1">
      <alignment horizontal="right" vertical="top" wrapText="1"/>
    </xf>
    <xf numFmtId="2" fontId="4" fillId="0" borderId="13" xfId="5" applyNumberFormat="1" applyFont="1" applyBorder="1" applyAlignment="1">
      <alignment horizontal="right" vertical="top" wrapText="1"/>
    </xf>
    <xf numFmtId="4" fontId="4" fillId="0" borderId="13" xfId="5" applyNumberFormat="1" applyFont="1" applyBorder="1" applyAlignment="1">
      <alignment horizontal="right" vertical="top" wrapText="1"/>
    </xf>
    <xf numFmtId="0" fontId="5" fillId="2" borderId="1" xfId="5" applyNumberFormat="1" applyFont="1" applyFill="1" applyBorder="1" applyAlignment="1">
      <alignment vertical="top"/>
    </xf>
    <xf numFmtId="4" fontId="5" fillId="2" borderId="1" xfId="5" applyNumberFormat="1" applyFont="1" applyFill="1" applyBorder="1" applyAlignment="1">
      <alignment horizontal="right" vertical="top" wrapText="1"/>
    </xf>
    <xf numFmtId="0" fontId="5" fillId="2" borderId="12" xfId="5" applyNumberFormat="1" applyFont="1" applyFill="1" applyBorder="1" applyAlignment="1">
      <alignment horizontal="center" vertical="top"/>
    </xf>
    <xf numFmtId="4" fontId="5" fillId="2" borderId="13" xfId="5" applyNumberFormat="1" applyFont="1" applyFill="1" applyBorder="1" applyAlignment="1">
      <alignment horizontal="right" vertical="top" wrapText="1"/>
    </xf>
    <xf numFmtId="0" fontId="3" fillId="2" borderId="2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vertical="top"/>
    </xf>
    <xf numFmtId="0" fontId="3" fillId="2" borderId="4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horizontal="center" vertical="top"/>
    </xf>
    <xf numFmtId="0" fontId="3" fillId="2" borderId="5" xfId="6" applyNumberFormat="1" applyFont="1" applyFill="1" applyBorder="1" applyAlignment="1">
      <alignment horizontal="center" vertical="top"/>
    </xf>
    <xf numFmtId="0" fontId="3" fillId="2" borderId="6" xfId="6" applyNumberFormat="1" applyFont="1" applyFill="1" applyBorder="1" applyAlignment="1">
      <alignment vertical="top"/>
    </xf>
    <xf numFmtId="0" fontId="3" fillId="2" borderId="7" xfId="6" applyNumberFormat="1" applyFont="1" applyFill="1" applyBorder="1" applyAlignment="1">
      <alignment vertical="top"/>
    </xf>
    <xf numFmtId="0" fontId="3" fillId="2" borderId="8" xfId="6" applyNumberFormat="1" applyFont="1" applyFill="1" applyBorder="1" applyAlignment="1">
      <alignment vertical="top"/>
    </xf>
    <xf numFmtId="0" fontId="3" fillId="2" borderId="5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10" xfId="6" applyNumberFormat="1" applyFont="1" applyFill="1" applyBorder="1" applyAlignment="1">
      <alignment vertical="top"/>
    </xf>
    <xf numFmtId="0" fontId="3" fillId="2" borderId="11" xfId="6" applyNumberFormat="1" applyFont="1" applyFill="1" applyBorder="1" applyAlignment="1">
      <alignment vertical="top"/>
    </xf>
    <xf numFmtId="0" fontId="4" fillId="0" borderId="1" xfId="6" applyNumberFormat="1" applyFont="1" applyBorder="1" applyAlignment="1">
      <alignment vertical="top"/>
    </xf>
    <xf numFmtId="0" fontId="4" fillId="0" borderId="1" xfId="6" applyNumberFormat="1" applyFont="1" applyBorder="1" applyAlignment="1">
      <alignment vertical="top" wrapText="1"/>
    </xf>
    <xf numFmtId="0" fontId="4" fillId="0" borderId="1" xfId="6" applyNumberFormat="1" applyFont="1" applyBorder="1" applyAlignment="1">
      <alignment horizontal="left" vertical="top"/>
    </xf>
    <xf numFmtId="4" fontId="4" fillId="0" borderId="1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4" fillId="0" borderId="12" xfId="6" applyNumberFormat="1" applyFont="1" applyBorder="1" applyAlignment="1">
      <alignment horizontal="center" vertical="top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" xfId="6" applyNumberFormat="1" applyFont="1" applyBorder="1" applyAlignment="1">
      <alignment horizontal="right" vertical="top" wrapText="1"/>
    </xf>
    <xf numFmtId="0" fontId="4" fillId="0" borderId="1" xfId="6" applyNumberFormat="1" applyFont="1" applyBorder="1" applyAlignment="1">
      <alignment horizontal="right" vertical="top" wrapText="1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5" fillId="2" borderId="1" xfId="6" applyNumberFormat="1" applyFont="1" applyFill="1" applyBorder="1" applyAlignment="1">
      <alignment vertical="top"/>
    </xf>
    <xf numFmtId="4" fontId="5" fillId="2" borderId="1" xfId="6" applyNumberFormat="1" applyFont="1" applyFill="1" applyBorder="1" applyAlignment="1">
      <alignment horizontal="right" vertical="top" wrapText="1"/>
    </xf>
    <xf numFmtId="0" fontId="5" fillId="2" borderId="12" xfId="6" applyNumberFormat="1" applyFont="1" applyFill="1" applyBorder="1" applyAlignment="1">
      <alignment horizontal="center" vertical="top"/>
    </xf>
    <xf numFmtId="2" fontId="5" fillId="2" borderId="13" xfId="6" applyNumberFormat="1" applyFont="1" applyFill="1" applyBorder="1" applyAlignment="1">
      <alignment horizontal="right" vertical="top" wrapText="1"/>
    </xf>
    <xf numFmtId="0" fontId="3" fillId="2" borderId="2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vertical="top"/>
    </xf>
    <xf numFmtId="0" fontId="3" fillId="2" borderId="4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horizontal="center" vertical="top"/>
    </xf>
    <xf numFmtId="0" fontId="3" fillId="2" borderId="5" xfId="7" applyNumberFormat="1" applyFont="1" applyFill="1" applyBorder="1" applyAlignment="1">
      <alignment horizontal="center" vertical="top"/>
    </xf>
    <xf numFmtId="0" fontId="3" fillId="2" borderId="6" xfId="7" applyNumberFormat="1" applyFont="1" applyFill="1" applyBorder="1" applyAlignment="1">
      <alignment vertical="top"/>
    </xf>
    <xf numFmtId="0" fontId="3" fillId="2" borderId="7" xfId="7" applyNumberFormat="1" applyFont="1" applyFill="1" applyBorder="1" applyAlignment="1">
      <alignment vertical="top"/>
    </xf>
    <xf numFmtId="0" fontId="3" fillId="2" borderId="8" xfId="7" applyNumberFormat="1" applyFont="1" applyFill="1" applyBorder="1" applyAlignment="1">
      <alignment vertical="top"/>
    </xf>
    <xf numFmtId="0" fontId="3" fillId="2" borderId="5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10" xfId="7" applyNumberFormat="1" applyFont="1" applyFill="1" applyBorder="1" applyAlignment="1">
      <alignment vertical="top"/>
    </xf>
    <xf numFmtId="0" fontId="3" fillId="2" borderId="11" xfId="7" applyNumberFormat="1" applyFont="1" applyFill="1" applyBorder="1" applyAlignment="1">
      <alignment vertical="top"/>
    </xf>
    <xf numFmtId="0" fontId="4" fillId="0" borderId="1" xfId="7" applyNumberFormat="1" applyFont="1" applyBorder="1" applyAlignment="1">
      <alignment vertical="top"/>
    </xf>
    <xf numFmtId="0" fontId="4" fillId="0" borderId="1" xfId="7" applyNumberFormat="1" applyFont="1" applyBorder="1" applyAlignment="1">
      <alignment vertical="top" wrapText="1"/>
    </xf>
    <xf numFmtId="0" fontId="4" fillId="0" borderId="1" xfId="7" applyNumberFormat="1" applyFont="1" applyBorder="1" applyAlignment="1">
      <alignment horizontal="left" vertical="top"/>
    </xf>
    <xf numFmtId="2" fontId="4" fillId="0" borderId="1" xfId="7" applyNumberFormat="1" applyFont="1" applyBorder="1" applyAlignment="1">
      <alignment horizontal="right" vertical="top" wrapText="1"/>
    </xf>
    <xf numFmtId="0" fontId="4" fillId="0" borderId="13" xfId="7" applyNumberFormat="1" applyFont="1" applyBorder="1" applyAlignment="1">
      <alignment horizontal="right" vertical="top" wrapText="1"/>
    </xf>
    <xf numFmtId="0" fontId="4" fillId="0" borderId="12" xfId="7" applyNumberFormat="1" applyFont="1" applyBorder="1" applyAlignment="1">
      <alignment horizontal="center" vertical="top"/>
    </xf>
    <xf numFmtId="4" fontId="4" fillId="0" borderId="13" xfId="7" applyNumberFormat="1" applyFont="1" applyBorder="1" applyAlignment="1">
      <alignment horizontal="right" vertical="top" wrapText="1"/>
    </xf>
    <xf numFmtId="4" fontId="4" fillId="0" borderId="1" xfId="7" applyNumberFormat="1" applyFont="1" applyBorder="1" applyAlignment="1">
      <alignment horizontal="right" vertical="top" wrapText="1"/>
    </xf>
    <xf numFmtId="0" fontId="4" fillId="0" borderId="1" xfId="7" applyNumberFormat="1" applyFont="1" applyBorder="1" applyAlignment="1">
      <alignment horizontal="right" vertical="top" wrapText="1"/>
    </xf>
    <xf numFmtId="4" fontId="4" fillId="0" borderId="13" xfId="7" applyNumberFormat="1" applyFont="1" applyBorder="1" applyAlignment="1">
      <alignment horizontal="right" vertical="top" wrapText="1"/>
    </xf>
    <xf numFmtId="2" fontId="4" fillId="0" borderId="13" xfId="7" applyNumberFormat="1" applyFont="1" applyBorder="1" applyAlignment="1">
      <alignment horizontal="right" vertical="top" wrapText="1"/>
    </xf>
    <xf numFmtId="0" fontId="5" fillId="2" borderId="1" xfId="7" applyNumberFormat="1" applyFont="1" applyFill="1" applyBorder="1" applyAlignment="1">
      <alignment vertical="top"/>
    </xf>
    <xf numFmtId="4" fontId="5" fillId="2" borderId="1" xfId="7" applyNumberFormat="1" applyFont="1" applyFill="1" applyBorder="1" applyAlignment="1">
      <alignment horizontal="right" vertical="top" wrapText="1"/>
    </xf>
    <xf numFmtId="0" fontId="5" fillId="2" borderId="12" xfId="7" applyNumberFormat="1" applyFont="1" applyFill="1" applyBorder="1" applyAlignment="1">
      <alignment horizontal="center" vertical="top"/>
    </xf>
    <xf numFmtId="4" fontId="5" fillId="2" borderId="13" xfId="7" applyNumberFormat="1" applyFont="1" applyFill="1" applyBorder="1" applyAlignment="1">
      <alignment horizontal="right" vertical="top" wrapText="1"/>
    </xf>
    <xf numFmtId="0" fontId="3" fillId="2" borderId="2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vertical="top"/>
    </xf>
    <xf numFmtId="0" fontId="3" fillId="2" borderId="4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horizontal="center" vertical="top"/>
    </xf>
    <xf numFmtId="0" fontId="3" fillId="2" borderId="5" xfId="8" applyNumberFormat="1" applyFont="1" applyFill="1" applyBorder="1" applyAlignment="1">
      <alignment horizontal="center" vertical="top"/>
    </xf>
    <xf numFmtId="0" fontId="3" fillId="2" borderId="6" xfId="8" applyNumberFormat="1" applyFont="1" applyFill="1" applyBorder="1" applyAlignment="1">
      <alignment vertical="top"/>
    </xf>
    <xf numFmtId="0" fontId="3" fillId="2" borderId="7" xfId="8" applyNumberFormat="1" applyFont="1" applyFill="1" applyBorder="1" applyAlignment="1">
      <alignment vertical="top"/>
    </xf>
    <xf numFmtId="0" fontId="3" fillId="2" borderId="8" xfId="8" applyNumberFormat="1" applyFont="1" applyFill="1" applyBorder="1" applyAlignment="1">
      <alignment vertical="top"/>
    </xf>
    <xf numFmtId="0" fontId="3" fillId="2" borderId="5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10" xfId="8" applyNumberFormat="1" applyFont="1" applyFill="1" applyBorder="1" applyAlignment="1">
      <alignment vertical="top"/>
    </xf>
    <xf numFmtId="0" fontId="3" fillId="2" borderId="11" xfId="8" applyNumberFormat="1" applyFont="1" applyFill="1" applyBorder="1" applyAlignment="1">
      <alignment vertical="top"/>
    </xf>
    <xf numFmtId="0" fontId="4" fillId="0" borderId="1" xfId="8" applyNumberFormat="1" applyFont="1" applyBorder="1" applyAlignment="1">
      <alignment vertical="top"/>
    </xf>
    <xf numFmtId="0" fontId="4" fillId="0" borderId="1" xfId="8" applyNumberFormat="1" applyFont="1" applyBorder="1" applyAlignment="1">
      <alignment vertical="top" wrapText="1"/>
    </xf>
    <xf numFmtId="0" fontId="4" fillId="0" borderId="1" xfId="8" applyNumberFormat="1" applyFont="1" applyBorder="1" applyAlignment="1">
      <alignment horizontal="left" vertical="top"/>
    </xf>
    <xf numFmtId="4" fontId="4" fillId="0" borderId="1" xfId="8" applyNumberFormat="1" applyFont="1" applyBorder="1" applyAlignment="1">
      <alignment horizontal="right" vertical="top" wrapText="1"/>
    </xf>
    <xf numFmtId="0" fontId="4" fillId="0" borderId="13" xfId="8" applyNumberFormat="1" applyFont="1" applyBorder="1" applyAlignment="1">
      <alignment horizontal="right" vertical="top" wrapText="1"/>
    </xf>
    <xf numFmtId="0" fontId="4" fillId="0" borderId="12" xfId="8" applyNumberFormat="1" applyFont="1" applyBorder="1" applyAlignment="1">
      <alignment horizontal="center" vertical="top"/>
    </xf>
    <xf numFmtId="4" fontId="4" fillId="0" borderId="13" xfId="8" applyNumberFormat="1" applyFont="1" applyBorder="1" applyAlignment="1">
      <alignment horizontal="right" vertical="top" wrapText="1"/>
    </xf>
    <xf numFmtId="2" fontId="4" fillId="0" borderId="1" xfId="8" applyNumberFormat="1" applyFont="1" applyBorder="1" applyAlignment="1">
      <alignment horizontal="right" vertical="top" wrapText="1"/>
    </xf>
    <xf numFmtId="0" fontId="4" fillId="0" borderId="1" xfId="8" applyNumberFormat="1" applyFont="1" applyBorder="1" applyAlignment="1">
      <alignment horizontal="right" vertical="top" wrapText="1"/>
    </xf>
    <xf numFmtId="4" fontId="4" fillId="0" borderId="13" xfId="8" applyNumberFormat="1" applyFont="1" applyBorder="1" applyAlignment="1">
      <alignment horizontal="right" vertical="top" wrapText="1"/>
    </xf>
    <xf numFmtId="2" fontId="4" fillId="0" borderId="13" xfId="8" applyNumberFormat="1" applyFont="1" applyBorder="1" applyAlignment="1">
      <alignment horizontal="right" vertical="top" wrapText="1"/>
    </xf>
    <xf numFmtId="0" fontId="5" fillId="2" borderId="1" xfId="8" applyNumberFormat="1" applyFont="1" applyFill="1" applyBorder="1" applyAlignment="1">
      <alignment vertical="top"/>
    </xf>
    <xf numFmtId="4" fontId="5" fillId="2" borderId="1" xfId="8" applyNumberFormat="1" applyFont="1" applyFill="1" applyBorder="1" applyAlignment="1">
      <alignment horizontal="right" vertical="top" wrapText="1"/>
    </xf>
    <xf numFmtId="0" fontId="5" fillId="2" borderId="12" xfId="8" applyNumberFormat="1" applyFont="1" applyFill="1" applyBorder="1" applyAlignment="1">
      <alignment horizontal="center" vertical="top"/>
    </xf>
    <xf numFmtId="4" fontId="5" fillId="2" borderId="13" xfId="8" applyNumberFormat="1" applyFont="1" applyFill="1" applyBorder="1" applyAlignment="1">
      <alignment horizontal="right" vertical="top" wrapText="1"/>
    </xf>
    <xf numFmtId="0" fontId="3" fillId="2" borderId="2" xfId="9" applyNumberFormat="1" applyFont="1" applyFill="1" applyBorder="1" applyAlignment="1">
      <alignment vertical="top"/>
    </xf>
    <xf numFmtId="0" fontId="3" fillId="2" borderId="3" xfId="9" applyNumberFormat="1" applyFont="1" applyFill="1" applyBorder="1" applyAlignment="1">
      <alignment vertical="top"/>
    </xf>
    <xf numFmtId="0" fontId="3" fillId="2" borderId="4" xfId="9" applyNumberFormat="1" applyFont="1" applyFill="1" applyBorder="1" applyAlignment="1">
      <alignment vertical="top"/>
    </xf>
    <xf numFmtId="0" fontId="3" fillId="2" borderId="3" xfId="9" applyNumberFormat="1" applyFont="1" applyFill="1" applyBorder="1" applyAlignment="1">
      <alignment horizontal="center" vertical="top"/>
    </xf>
    <xf numFmtId="0" fontId="3" fillId="2" borderId="5" xfId="9" applyNumberFormat="1" applyFont="1" applyFill="1" applyBorder="1" applyAlignment="1">
      <alignment horizontal="center" vertical="top"/>
    </xf>
    <xf numFmtId="0" fontId="3" fillId="2" borderId="6" xfId="9" applyNumberFormat="1" applyFont="1" applyFill="1" applyBorder="1" applyAlignment="1">
      <alignment vertical="top"/>
    </xf>
    <xf numFmtId="0" fontId="3" fillId="2" borderId="7" xfId="9" applyNumberFormat="1" applyFont="1" applyFill="1" applyBorder="1" applyAlignment="1">
      <alignment vertical="top"/>
    </xf>
    <xf numFmtId="0" fontId="3" fillId="2" borderId="8" xfId="9" applyNumberFormat="1" applyFont="1" applyFill="1" applyBorder="1" applyAlignment="1">
      <alignment vertical="top"/>
    </xf>
    <xf numFmtId="0" fontId="3" fillId="2" borderId="5" xfId="9" applyNumberFormat="1" applyFont="1" applyFill="1" applyBorder="1" applyAlignment="1">
      <alignment vertical="top"/>
    </xf>
    <xf numFmtId="0" fontId="3" fillId="2" borderId="9" xfId="9" applyNumberFormat="1" applyFont="1" applyFill="1" applyBorder="1" applyAlignment="1">
      <alignment vertical="top"/>
    </xf>
    <xf numFmtId="0" fontId="3" fillId="2" borderId="9" xfId="9" applyNumberFormat="1" applyFont="1" applyFill="1" applyBorder="1" applyAlignment="1">
      <alignment vertical="top"/>
    </xf>
    <xf numFmtId="0" fontId="3" fillId="2" borderId="10" xfId="9" applyNumberFormat="1" applyFont="1" applyFill="1" applyBorder="1" applyAlignment="1">
      <alignment vertical="top"/>
    </xf>
    <xf numFmtId="0" fontId="3" fillId="2" borderId="11" xfId="9" applyNumberFormat="1" applyFont="1" applyFill="1" applyBorder="1" applyAlignment="1">
      <alignment vertical="top"/>
    </xf>
    <xf numFmtId="0" fontId="4" fillId="0" borderId="1" xfId="9" applyNumberFormat="1" applyFont="1" applyBorder="1" applyAlignment="1">
      <alignment vertical="top"/>
    </xf>
    <xf numFmtId="0" fontId="4" fillId="0" borderId="1" xfId="9" applyNumberFormat="1" applyFont="1" applyBorder="1" applyAlignment="1">
      <alignment vertical="top" wrapText="1"/>
    </xf>
    <xf numFmtId="0" fontId="4" fillId="0" borderId="1" xfId="9" applyNumberFormat="1" applyFont="1" applyBorder="1" applyAlignment="1">
      <alignment horizontal="left" vertical="top"/>
    </xf>
    <xf numFmtId="2" fontId="4" fillId="0" borderId="1" xfId="9" applyNumberFormat="1" applyFont="1" applyBorder="1" applyAlignment="1">
      <alignment horizontal="right" vertical="top" wrapText="1"/>
    </xf>
    <xf numFmtId="0" fontId="4" fillId="0" borderId="13" xfId="9" applyNumberFormat="1" applyFont="1" applyBorder="1" applyAlignment="1">
      <alignment horizontal="right" vertical="top" wrapText="1"/>
    </xf>
    <xf numFmtId="0" fontId="4" fillId="0" borderId="12" xfId="9" applyNumberFormat="1" applyFont="1" applyBorder="1" applyAlignment="1">
      <alignment horizontal="center" vertical="top"/>
    </xf>
    <xf numFmtId="4" fontId="4" fillId="0" borderId="13" xfId="9" applyNumberFormat="1" applyFont="1" applyBorder="1" applyAlignment="1">
      <alignment horizontal="right" vertical="top" wrapText="1"/>
    </xf>
    <xf numFmtId="4" fontId="4" fillId="0" borderId="1" xfId="9" applyNumberFormat="1" applyFont="1" applyBorder="1" applyAlignment="1">
      <alignment horizontal="right" vertical="top" wrapText="1"/>
    </xf>
    <xf numFmtId="0" fontId="4" fillId="0" borderId="1" xfId="9" applyNumberFormat="1" applyFont="1" applyBorder="1" applyAlignment="1">
      <alignment horizontal="right" vertical="top" wrapText="1"/>
    </xf>
    <xf numFmtId="4" fontId="4" fillId="0" borderId="13" xfId="9" applyNumberFormat="1" applyFont="1" applyBorder="1" applyAlignment="1">
      <alignment horizontal="right" vertical="top" wrapText="1"/>
    </xf>
    <xf numFmtId="0" fontId="5" fillId="2" borderId="1" xfId="9" applyNumberFormat="1" applyFont="1" applyFill="1" applyBorder="1" applyAlignment="1">
      <alignment vertical="top"/>
    </xf>
    <xf numFmtId="4" fontId="5" fillId="2" borderId="1" xfId="9" applyNumberFormat="1" applyFont="1" applyFill="1" applyBorder="1" applyAlignment="1">
      <alignment horizontal="right" vertical="top" wrapText="1"/>
    </xf>
    <xf numFmtId="0" fontId="5" fillId="2" borderId="12" xfId="9" applyNumberFormat="1" applyFont="1" applyFill="1" applyBorder="1" applyAlignment="1">
      <alignment horizontal="center" vertical="top"/>
    </xf>
    <xf numFmtId="4" fontId="5" fillId="2" borderId="13" xfId="9" applyNumberFormat="1" applyFont="1" applyFill="1" applyBorder="1" applyAlignment="1">
      <alignment horizontal="right" vertical="top" wrapText="1"/>
    </xf>
    <xf numFmtId="0" fontId="4" fillId="2" borderId="14" xfId="2" applyNumberFormat="1" applyFont="1" applyFill="1" applyBorder="1" applyAlignment="1">
      <alignment vertical="top" wrapText="1" indent="1"/>
    </xf>
    <xf numFmtId="4" fontId="0" fillId="0" borderId="14" xfId="0" applyNumberFormat="1" applyBorder="1"/>
    <xf numFmtId="4" fontId="1" fillId="0" borderId="14" xfId="0" applyNumberFormat="1" applyFont="1" applyBorder="1"/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</cellXfs>
  <cellStyles count="10">
    <cellStyle name="Обычный" xfId="0" builtinId="0"/>
    <cellStyle name="Обычный_Генплан підпірна стінка" xfId="1"/>
    <cellStyle name="Обычный_Глобине-2" xfId="3"/>
    <cellStyle name="Обычный_Котельна (Глобине)" xfId="4"/>
    <cellStyle name="Обычный_Резервуаарний парк соєвої" xfId="5"/>
    <cellStyle name="Обычный_Резервуар для зберігання" xfId="6"/>
    <cellStyle name="Обычный_СВОД" xfId="2"/>
    <cellStyle name="Обычный_СПК (Глобине)" xfId="7"/>
    <cellStyle name="Обычный_Цех екстракції (Глобине)" xfId="8"/>
    <cellStyle name="Обычный_Цех_Глобино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6"/>
  <sheetViews>
    <sheetView topLeftCell="A14" workbookViewId="0">
      <selection activeCell="J27" sqref="J27"/>
    </sheetView>
  </sheetViews>
  <sheetFormatPr defaultRowHeight="14.4" x14ac:dyDescent="0.3"/>
  <cols>
    <col min="2" max="4" width="20.77734375" customWidth="1"/>
  </cols>
  <sheetData>
    <row r="1" spans="1:12" x14ac:dyDescent="0.3">
      <c r="A1" s="1" t="s">
        <v>1</v>
      </c>
      <c r="B1" s="2" t="s">
        <v>2</v>
      </c>
      <c r="C1" s="2" t="s">
        <v>3</v>
      </c>
      <c r="D1" s="3" t="s">
        <v>4</v>
      </c>
      <c r="E1" s="4" t="s">
        <v>5</v>
      </c>
      <c r="F1" s="4"/>
      <c r="G1" s="4"/>
      <c r="H1" s="5" t="s">
        <v>6</v>
      </c>
      <c r="I1" s="5"/>
      <c r="J1" s="5"/>
      <c r="K1" s="2" t="s">
        <v>7</v>
      </c>
      <c r="L1" s="2"/>
    </row>
    <row r="2" spans="1:12" hidden="1" x14ac:dyDescent="0.3">
      <c r="A2" s="6"/>
      <c r="B2" s="7"/>
      <c r="C2" s="7"/>
      <c r="D2" s="8"/>
      <c r="E2" s="9" t="s">
        <v>8</v>
      </c>
      <c r="F2" s="10"/>
      <c r="G2" s="10"/>
      <c r="H2" s="11" t="s">
        <v>8</v>
      </c>
      <c r="I2" s="12"/>
      <c r="J2" s="12"/>
      <c r="K2" s="6"/>
      <c r="L2" s="13"/>
    </row>
    <row r="3" spans="1:12" ht="81.599999999999994" hidden="1" x14ac:dyDescent="0.3">
      <c r="A3" s="14" t="s">
        <v>10</v>
      </c>
      <c r="B3" s="15" t="s">
        <v>11</v>
      </c>
      <c r="C3" s="15" t="s">
        <v>12</v>
      </c>
      <c r="D3" s="15" t="s">
        <v>13</v>
      </c>
      <c r="E3" s="16" t="s">
        <v>14</v>
      </c>
      <c r="F3" s="17">
        <v>4960.2</v>
      </c>
      <c r="G3" s="17"/>
      <c r="H3" s="16" t="s">
        <v>15</v>
      </c>
      <c r="I3" s="18" t="s">
        <v>16</v>
      </c>
      <c r="J3" s="18"/>
      <c r="K3" s="19" t="s">
        <v>9</v>
      </c>
      <c r="L3" s="20">
        <v>27397.16</v>
      </c>
    </row>
    <row r="4" spans="1:12" ht="81.599999999999994" hidden="1" x14ac:dyDescent="0.3">
      <c r="A4" s="14" t="s">
        <v>10</v>
      </c>
      <c r="B4" s="15" t="s">
        <v>17</v>
      </c>
      <c r="C4" s="15" t="s">
        <v>18</v>
      </c>
      <c r="D4" s="15" t="s">
        <v>19</v>
      </c>
      <c r="E4" s="16" t="s">
        <v>14</v>
      </c>
      <c r="F4" s="17">
        <v>6548.8</v>
      </c>
      <c r="G4" s="17"/>
      <c r="H4" s="16" t="s">
        <v>15</v>
      </c>
      <c r="I4" s="18" t="s">
        <v>16</v>
      </c>
      <c r="J4" s="18"/>
      <c r="K4" s="19" t="s">
        <v>9</v>
      </c>
      <c r="L4" s="20">
        <v>33945.96</v>
      </c>
    </row>
    <row r="5" spans="1:12" ht="81.599999999999994" hidden="1" x14ac:dyDescent="0.3">
      <c r="A5" s="14" t="s">
        <v>10</v>
      </c>
      <c r="B5" s="15" t="s">
        <v>20</v>
      </c>
      <c r="C5" s="15" t="s">
        <v>21</v>
      </c>
      <c r="D5" s="15" t="s">
        <v>22</v>
      </c>
      <c r="E5" s="16" t="s">
        <v>14</v>
      </c>
      <c r="F5" s="17">
        <v>8186</v>
      </c>
      <c r="G5" s="17"/>
      <c r="H5" s="16" t="s">
        <v>15</v>
      </c>
      <c r="I5" s="18" t="s">
        <v>16</v>
      </c>
      <c r="J5" s="18"/>
      <c r="K5" s="19" t="s">
        <v>9</v>
      </c>
      <c r="L5" s="20">
        <v>42131.96</v>
      </c>
    </row>
    <row r="6" spans="1:12" ht="81.599999999999994" hidden="1" x14ac:dyDescent="0.3">
      <c r="A6" s="14" t="s">
        <v>10</v>
      </c>
      <c r="B6" s="15" t="s">
        <v>23</v>
      </c>
      <c r="C6" s="15" t="s">
        <v>24</v>
      </c>
      <c r="D6" s="15" t="s">
        <v>25</v>
      </c>
      <c r="E6" s="16" t="s">
        <v>14</v>
      </c>
      <c r="F6" s="17">
        <v>8186</v>
      </c>
      <c r="G6" s="17"/>
      <c r="H6" s="16" t="s">
        <v>15</v>
      </c>
      <c r="I6" s="18" t="s">
        <v>16</v>
      </c>
      <c r="J6" s="18"/>
      <c r="K6" s="19" t="s">
        <v>9</v>
      </c>
      <c r="L6" s="20">
        <v>50317.96</v>
      </c>
    </row>
    <row r="7" spans="1:12" ht="71.400000000000006" hidden="1" x14ac:dyDescent="0.3">
      <c r="A7" s="14" t="s">
        <v>26</v>
      </c>
      <c r="B7" s="15" t="s">
        <v>27</v>
      </c>
      <c r="C7" s="15" t="s">
        <v>28</v>
      </c>
      <c r="D7" s="15" t="s">
        <v>29</v>
      </c>
      <c r="E7" s="16" t="s">
        <v>14</v>
      </c>
      <c r="F7" s="17">
        <v>23895</v>
      </c>
      <c r="G7" s="17"/>
      <c r="H7" s="16" t="s">
        <v>15</v>
      </c>
      <c r="I7" s="18" t="s">
        <v>16</v>
      </c>
      <c r="J7" s="18"/>
      <c r="K7" s="19" t="s">
        <v>9</v>
      </c>
      <c r="L7" s="20">
        <v>74212.960000000006</v>
      </c>
    </row>
    <row r="8" spans="1:12" ht="71.400000000000006" hidden="1" x14ac:dyDescent="0.3">
      <c r="A8" s="14" t="s">
        <v>26</v>
      </c>
      <c r="B8" s="15" t="s">
        <v>30</v>
      </c>
      <c r="C8" s="15" t="s">
        <v>28</v>
      </c>
      <c r="D8" s="15" t="s">
        <v>29</v>
      </c>
      <c r="E8" s="16" t="s">
        <v>14</v>
      </c>
      <c r="F8" s="17">
        <v>7697.5</v>
      </c>
      <c r="G8" s="17"/>
      <c r="H8" s="16" t="s">
        <v>15</v>
      </c>
      <c r="I8" s="18" t="s">
        <v>16</v>
      </c>
      <c r="J8" s="18"/>
      <c r="K8" s="19" t="s">
        <v>9</v>
      </c>
      <c r="L8" s="20">
        <v>81910.460000000006</v>
      </c>
    </row>
    <row r="9" spans="1:12" ht="71.400000000000006" hidden="1" x14ac:dyDescent="0.3">
      <c r="A9" s="14" t="s">
        <v>26</v>
      </c>
      <c r="B9" s="15" t="s">
        <v>31</v>
      </c>
      <c r="C9" s="15" t="s">
        <v>32</v>
      </c>
      <c r="D9" s="15" t="s">
        <v>28</v>
      </c>
      <c r="E9" s="16" t="s">
        <v>14</v>
      </c>
      <c r="F9" s="21" t="s">
        <v>16</v>
      </c>
      <c r="G9" s="21"/>
      <c r="H9" s="16" t="s">
        <v>14</v>
      </c>
      <c r="I9" s="22">
        <v>31592.5</v>
      </c>
      <c r="J9" s="22"/>
      <c r="K9" s="19" t="s">
        <v>9</v>
      </c>
      <c r="L9" s="20">
        <v>50317.96</v>
      </c>
    </row>
    <row r="10" spans="1:12" ht="81.599999999999994" x14ac:dyDescent="0.3">
      <c r="A10" s="14" t="s">
        <v>33</v>
      </c>
      <c r="B10" s="15" t="s">
        <v>34</v>
      </c>
      <c r="C10" s="15" t="s">
        <v>35</v>
      </c>
      <c r="D10" s="15" t="s">
        <v>36</v>
      </c>
      <c r="E10" s="16" t="s">
        <v>37</v>
      </c>
      <c r="F10" s="21" t="s">
        <v>16</v>
      </c>
      <c r="G10" s="21"/>
      <c r="H10" s="16" t="s">
        <v>14</v>
      </c>
      <c r="I10" s="22">
        <v>21270.41</v>
      </c>
      <c r="J10" s="22"/>
      <c r="K10" s="19" t="s">
        <v>9</v>
      </c>
      <c r="L10" s="20">
        <v>29047.55</v>
      </c>
    </row>
    <row r="11" spans="1:12" ht="81.599999999999994" x14ac:dyDescent="0.3">
      <c r="A11" s="14" t="s">
        <v>33</v>
      </c>
      <c r="B11" s="15" t="s">
        <v>34</v>
      </c>
      <c r="C11" s="15" t="s">
        <v>35</v>
      </c>
      <c r="D11" s="15" t="s">
        <v>12</v>
      </c>
      <c r="E11" s="16" t="s">
        <v>37</v>
      </c>
      <c r="F11" s="21" t="s">
        <v>16</v>
      </c>
      <c r="G11" s="21"/>
      <c r="H11" s="16" t="s">
        <v>14</v>
      </c>
      <c r="I11" s="22">
        <v>4960.2</v>
      </c>
      <c r="J11" s="22"/>
      <c r="K11" s="19" t="s">
        <v>9</v>
      </c>
      <c r="L11" s="20">
        <v>24087.35</v>
      </c>
    </row>
    <row r="12" spans="1:12" ht="81.599999999999994" x14ac:dyDescent="0.3">
      <c r="A12" s="14" t="s">
        <v>33</v>
      </c>
      <c r="B12" s="15" t="s">
        <v>34</v>
      </c>
      <c r="C12" s="15" t="s">
        <v>35</v>
      </c>
      <c r="D12" s="15" t="s">
        <v>18</v>
      </c>
      <c r="E12" s="16" t="s">
        <v>37</v>
      </c>
      <c r="F12" s="21" t="s">
        <v>16</v>
      </c>
      <c r="G12" s="21"/>
      <c r="H12" s="16" t="s">
        <v>14</v>
      </c>
      <c r="I12" s="22">
        <v>6548.8</v>
      </c>
      <c r="J12" s="22"/>
      <c r="K12" s="19" t="s">
        <v>9</v>
      </c>
      <c r="L12" s="20">
        <v>17538.55</v>
      </c>
    </row>
    <row r="13" spans="1:12" ht="81.599999999999994" x14ac:dyDescent="0.3">
      <c r="A13" s="14" t="s">
        <v>33</v>
      </c>
      <c r="B13" s="15" t="s">
        <v>34</v>
      </c>
      <c r="C13" s="15" t="s">
        <v>35</v>
      </c>
      <c r="D13" s="15" t="s">
        <v>21</v>
      </c>
      <c r="E13" s="16" t="s">
        <v>37</v>
      </c>
      <c r="F13" s="21" t="s">
        <v>16</v>
      </c>
      <c r="G13" s="21"/>
      <c r="H13" s="16" t="s">
        <v>14</v>
      </c>
      <c r="I13" s="22">
        <v>8186</v>
      </c>
      <c r="J13" s="22"/>
      <c r="K13" s="19" t="s">
        <v>9</v>
      </c>
      <c r="L13" s="20">
        <v>9352.5499999999993</v>
      </c>
    </row>
    <row r="14" spans="1:12" ht="81.599999999999994" x14ac:dyDescent="0.3">
      <c r="A14" s="14" t="s">
        <v>33</v>
      </c>
      <c r="B14" s="15" t="s">
        <v>34</v>
      </c>
      <c r="C14" s="15" t="s">
        <v>35</v>
      </c>
      <c r="D14" s="15" t="s">
        <v>24</v>
      </c>
      <c r="E14" s="16" t="s">
        <v>37</v>
      </c>
      <c r="F14" s="21" t="s">
        <v>16</v>
      </c>
      <c r="G14" s="21"/>
      <c r="H14" s="16" t="s">
        <v>14</v>
      </c>
      <c r="I14" s="22">
        <v>8186</v>
      </c>
      <c r="J14" s="22"/>
      <c r="K14" s="19" t="s">
        <v>9</v>
      </c>
      <c r="L14" s="20">
        <v>1166.55</v>
      </c>
    </row>
    <row r="15" spans="1:12" ht="71.400000000000006" x14ac:dyDescent="0.3">
      <c r="A15" s="14" t="s">
        <v>33</v>
      </c>
      <c r="B15" s="15" t="s">
        <v>34</v>
      </c>
      <c r="C15" s="15" t="s">
        <v>35</v>
      </c>
      <c r="D15" s="15" t="s">
        <v>38</v>
      </c>
      <c r="E15" s="16" t="s">
        <v>37</v>
      </c>
      <c r="F15" s="21" t="s">
        <v>16</v>
      </c>
      <c r="G15" s="21"/>
      <c r="H15" s="16" t="s">
        <v>14</v>
      </c>
      <c r="I15" s="22">
        <v>1166.55</v>
      </c>
      <c r="J15" s="22"/>
      <c r="K15" s="19"/>
      <c r="L15" s="23"/>
    </row>
    <row r="16" spans="1:12" ht="71.400000000000006" hidden="1" x14ac:dyDescent="0.3">
      <c r="A16" s="14" t="s">
        <v>33</v>
      </c>
      <c r="B16" s="15" t="s">
        <v>39</v>
      </c>
      <c r="C16" s="15" t="s">
        <v>40</v>
      </c>
      <c r="D16" s="15" t="s">
        <v>41</v>
      </c>
      <c r="E16" s="16" t="s">
        <v>14</v>
      </c>
      <c r="F16" s="17">
        <v>3265.07</v>
      </c>
      <c r="G16" s="17"/>
      <c r="H16" s="16" t="s">
        <v>14</v>
      </c>
      <c r="I16" s="18" t="s">
        <v>16</v>
      </c>
      <c r="J16" s="18"/>
      <c r="K16" s="19" t="s">
        <v>9</v>
      </c>
      <c r="L16" s="20">
        <v>3265.07</v>
      </c>
    </row>
    <row r="17" spans="1:12" ht="71.400000000000006" hidden="1" x14ac:dyDescent="0.3">
      <c r="A17" s="14" t="s">
        <v>33</v>
      </c>
      <c r="B17" s="15" t="s">
        <v>39</v>
      </c>
      <c r="C17" s="15" t="s">
        <v>42</v>
      </c>
      <c r="D17" s="15" t="s">
        <v>43</v>
      </c>
      <c r="E17" s="16" t="s">
        <v>14</v>
      </c>
      <c r="F17" s="17">
        <v>3938.72</v>
      </c>
      <c r="G17" s="17"/>
      <c r="H17" s="16" t="s">
        <v>14</v>
      </c>
      <c r="I17" s="18" t="s">
        <v>16</v>
      </c>
      <c r="J17" s="18"/>
      <c r="K17" s="19" t="s">
        <v>9</v>
      </c>
      <c r="L17" s="20">
        <v>7203.79</v>
      </c>
    </row>
    <row r="18" spans="1:12" ht="81.599999999999994" hidden="1" x14ac:dyDescent="0.3">
      <c r="A18" s="14" t="s">
        <v>44</v>
      </c>
      <c r="B18" s="15" t="s">
        <v>45</v>
      </c>
      <c r="C18" s="15" t="s">
        <v>46</v>
      </c>
      <c r="D18" s="15" t="s">
        <v>47</v>
      </c>
      <c r="E18" s="16" t="s">
        <v>14</v>
      </c>
      <c r="F18" s="24">
        <v>396.2</v>
      </c>
      <c r="G18" s="24"/>
      <c r="H18" s="16" t="s">
        <v>14</v>
      </c>
      <c r="I18" s="18" t="s">
        <v>16</v>
      </c>
      <c r="J18" s="18"/>
      <c r="K18" s="19" t="s">
        <v>9</v>
      </c>
      <c r="L18" s="20">
        <v>7599.99</v>
      </c>
    </row>
    <row r="19" spans="1:12" ht="81.599999999999994" hidden="1" x14ac:dyDescent="0.3">
      <c r="A19" s="14" t="s">
        <v>44</v>
      </c>
      <c r="B19" s="15" t="s">
        <v>45</v>
      </c>
      <c r="C19" s="15" t="s">
        <v>48</v>
      </c>
      <c r="D19" s="15" t="s">
        <v>49</v>
      </c>
      <c r="E19" s="16" t="s">
        <v>14</v>
      </c>
      <c r="F19" s="24">
        <v>365</v>
      </c>
      <c r="G19" s="24"/>
      <c r="H19" s="16" t="s">
        <v>14</v>
      </c>
      <c r="I19" s="18" t="s">
        <v>16</v>
      </c>
      <c r="J19" s="18"/>
      <c r="K19" s="19" t="s">
        <v>9</v>
      </c>
      <c r="L19" s="20">
        <v>7964.99</v>
      </c>
    </row>
    <row r="20" spans="1:12" ht="71.400000000000006" hidden="1" x14ac:dyDescent="0.3">
      <c r="A20" s="14" t="s">
        <v>50</v>
      </c>
      <c r="B20" s="15" t="s">
        <v>51</v>
      </c>
      <c r="C20" s="15" t="s">
        <v>52</v>
      </c>
      <c r="D20" s="15" t="s">
        <v>53</v>
      </c>
      <c r="E20" s="16" t="s">
        <v>14</v>
      </c>
      <c r="F20" s="17">
        <v>7988.67</v>
      </c>
      <c r="G20" s="17"/>
      <c r="H20" s="16" t="s">
        <v>15</v>
      </c>
      <c r="I20" s="18" t="s">
        <v>16</v>
      </c>
      <c r="J20" s="18"/>
      <c r="K20" s="19" t="s">
        <v>9</v>
      </c>
      <c r="L20" s="20">
        <v>15953.66</v>
      </c>
    </row>
    <row r="21" spans="1:12" ht="71.400000000000006" hidden="1" x14ac:dyDescent="0.3">
      <c r="A21" s="14" t="s">
        <v>54</v>
      </c>
      <c r="B21" s="15" t="s">
        <v>55</v>
      </c>
      <c r="C21" s="15" t="s">
        <v>56</v>
      </c>
      <c r="D21" s="15" t="s">
        <v>57</v>
      </c>
      <c r="E21" s="16" t="s">
        <v>14</v>
      </c>
      <c r="F21" s="17">
        <v>3864</v>
      </c>
      <c r="G21" s="17"/>
      <c r="H21" s="16" t="s">
        <v>15</v>
      </c>
      <c r="I21" s="18" t="s">
        <v>16</v>
      </c>
      <c r="J21" s="18"/>
      <c r="K21" s="19" t="s">
        <v>9</v>
      </c>
      <c r="L21" s="20">
        <v>19817.66</v>
      </c>
    </row>
    <row r="22" spans="1:12" ht="71.400000000000006" x14ac:dyDescent="0.3">
      <c r="A22" s="14" t="s">
        <v>58</v>
      </c>
      <c r="B22" s="15" t="s">
        <v>59</v>
      </c>
      <c r="C22" s="15" t="s">
        <v>35</v>
      </c>
      <c r="D22" s="15" t="s">
        <v>40</v>
      </c>
      <c r="E22" s="16" t="s">
        <v>37</v>
      </c>
      <c r="F22" s="21" t="s">
        <v>16</v>
      </c>
      <c r="G22" s="21"/>
      <c r="H22" s="16" t="s">
        <v>14</v>
      </c>
      <c r="I22" s="22">
        <v>3265.07</v>
      </c>
      <c r="J22" s="22"/>
      <c r="K22" s="19" t="s">
        <v>9</v>
      </c>
      <c r="L22" s="20">
        <v>16552.59</v>
      </c>
    </row>
    <row r="23" spans="1:12" ht="71.400000000000006" x14ac:dyDescent="0.3">
      <c r="A23" s="14" t="s">
        <v>58</v>
      </c>
      <c r="B23" s="15" t="s">
        <v>59</v>
      </c>
      <c r="C23" s="15" t="s">
        <v>35</v>
      </c>
      <c r="D23" s="15" t="s">
        <v>42</v>
      </c>
      <c r="E23" s="16" t="s">
        <v>37</v>
      </c>
      <c r="F23" s="21" t="s">
        <v>16</v>
      </c>
      <c r="G23" s="21"/>
      <c r="H23" s="16" t="s">
        <v>14</v>
      </c>
      <c r="I23" s="22">
        <v>3938.72</v>
      </c>
      <c r="J23" s="22"/>
      <c r="K23" s="19" t="s">
        <v>9</v>
      </c>
      <c r="L23" s="20">
        <v>12613.87</v>
      </c>
    </row>
    <row r="24" spans="1:12" hidden="1" x14ac:dyDescent="0.3">
      <c r="A24" s="25" t="s">
        <v>60</v>
      </c>
      <c r="B24" s="25"/>
      <c r="C24" s="25"/>
      <c r="D24" s="25"/>
      <c r="E24" s="26">
        <v>79291.16</v>
      </c>
      <c r="F24" s="26"/>
      <c r="G24" s="26"/>
      <c r="H24" s="26">
        <v>89114.25</v>
      </c>
      <c r="I24" s="26"/>
      <c r="J24" s="26"/>
      <c r="K24" s="27" t="s">
        <v>9</v>
      </c>
      <c r="L24" s="28">
        <v>12613.87</v>
      </c>
    </row>
    <row r="26" spans="1:12" x14ac:dyDescent="0.3">
      <c r="J26" s="29">
        <f>SUBTOTAL(9,I10:J23)</f>
        <v>57521.750000000007</v>
      </c>
    </row>
  </sheetData>
  <autoFilter ref="A1:L24">
    <filterColumn colId="1">
      <filters>
        <filter val="Вимога-накладна ІБ00-000011 від 15.01.2025 00:00:00_x000a_Списаны ТМЦ"/>
        <filter val="Вимога-накладна ІБ00-000055 від 30.01.2025 23:20:14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4">
    <mergeCell ref="F22:G22"/>
    <mergeCell ref="I22:J22"/>
    <mergeCell ref="F23:G23"/>
    <mergeCell ref="I23:J23"/>
    <mergeCell ref="A24:D24"/>
    <mergeCell ref="E24:G24"/>
    <mergeCell ref="H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40"/>
  <sheetViews>
    <sheetView workbookViewId="0">
      <selection activeCell="J140" sqref="J140"/>
    </sheetView>
  </sheetViews>
  <sheetFormatPr defaultRowHeight="14.4" x14ac:dyDescent="0.3"/>
  <cols>
    <col min="2" max="4" width="23.33203125" customWidth="1"/>
  </cols>
  <sheetData>
    <row r="1" spans="1:12" x14ac:dyDescent="0.3">
      <c r="A1" s="30" t="s">
        <v>1</v>
      </c>
      <c r="B1" s="31" t="s">
        <v>2</v>
      </c>
      <c r="C1" s="31" t="s">
        <v>3</v>
      </c>
      <c r="D1" s="32" t="s">
        <v>4</v>
      </c>
      <c r="E1" s="33" t="s">
        <v>5</v>
      </c>
      <c r="F1" s="33"/>
      <c r="G1" s="33"/>
      <c r="H1" s="34" t="s">
        <v>6</v>
      </c>
      <c r="I1" s="34"/>
      <c r="J1" s="34"/>
      <c r="K1" s="31" t="s">
        <v>7</v>
      </c>
      <c r="L1" s="31"/>
    </row>
    <row r="2" spans="1:12" hidden="1" x14ac:dyDescent="0.3">
      <c r="A2" s="35"/>
      <c r="B2" s="36"/>
      <c r="C2" s="36"/>
      <c r="D2" s="37"/>
      <c r="E2" s="38" t="s">
        <v>8</v>
      </c>
      <c r="F2" s="39"/>
      <c r="G2" s="39"/>
      <c r="H2" s="40" t="s">
        <v>8</v>
      </c>
      <c r="I2" s="41"/>
      <c r="J2" s="41"/>
      <c r="K2" s="35"/>
      <c r="L2" s="42"/>
    </row>
    <row r="3" spans="1:12" ht="61.2" hidden="1" x14ac:dyDescent="0.3">
      <c r="A3" s="43" t="s">
        <v>10</v>
      </c>
      <c r="B3" s="44" t="s">
        <v>69</v>
      </c>
      <c r="C3" s="44" t="s">
        <v>70</v>
      </c>
      <c r="D3" s="44" t="s">
        <v>71</v>
      </c>
      <c r="E3" s="45" t="s">
        <v>14</v>
      </c>
      <c r="F3" s="46">
        <v>2758</v>
      </c>
      <c r="G3" s="46"/>
      <c r="H3" s="45" t="s">
        <v>15</v>
      </c>
      <c r="I3" s="47" t="s">
        <v>16</v>
      </c>
      <c r="J3" s="47"/>
      <c r="K3" s="48" t="s">
        <v>9</v>
      </c>
      <c r="L3" s="49">
        <v>164684.28</v>
      </c>
    </row>
    <row r="4" spans="1:12" ht="61.2" hidden="1" x14ac:dyDescent="0.3">
      <c r="A4" s="43" t="s">
        <v>10</v>
      </c>
      <c r="B4" s="44" t="s">
        <v>69</v>
      </c>
      <c r="C4" s="44" t="s">
        <v>72</v>
      </c>
      <c r="D4" s="44" t="s">
        <v>71</v>
      </c>
      <c r="E4" s="45" t="s">
        <v>14</v>
      </c>
      <c r="F4" s="46">
        <v>16182</v>
      </c>
      <c r="G4" s="46"/>
      <c r="H4" s="45" t="s">
        <v>15</v>
      </c>
      <c r="I4" s="47" t="s">
        <v>16</v>
      </c>
      <c r="J4" s="47"/>
      <c r="K4" s="48" t="s">
        <v>9</v>
      </c>
      <c r="L4" s="49">
        <v>180866.28</v>
      </c>
    </row>
    <row r="5" spans="1:12" ht="61.2" hidden="1" x14ac:dyDescent="0.3">
      <c r="A5" s="43" t="s">
        <v>10</v>
      </c>
      <c r="B5" s="44" t="s">
        <v>73</v>
      </c>
      <c r="C5" s="44" t="s">
        <v>74</v>
      </c>
      <c r="D5" s="44" t="s">
        <v>71</v>
      </c>
      <c r="E5" s="45" t="s">
        <v>14</v>
      </c>
      <c r="F5" s="46">
        <v>7286</v>
      </c>
      <c r="G5" s="46"/>
      <c r="H5" s="45" t="s">
        <v>15</v>
      </c>
      <c r="I5" s="47" t="s">
        <v>16</v>
      </c>
      <c r="J5" s="47"/>
      <c r="K5" s="48" t="s">
        <v>9</v>
      </c>
      <c r="L5" s="49">
        <v>188152.28</v>
      </c>
    </row>
    <row r="6" spans="1:12" ht="61.2" hidden="1" x14ac:dyDescent="0.3">
      <c r="A6" s="43" t="s">
        <v>10</v>
      </c>
      <c r="B6" s="44" t="s">
        <v>69</v>
      </c>
      <c r="C6" s="44" t="s">
        <v>74</v>
      </c>
      <c r="D6" s="44" t="s">
        <v>71</v>
      </c>
      <c r="E6" s="45" t="s">
        <v>14</v>
      </c>
      <c r="F6" s="46">
        <v>10204</v>
      </c>
      <c r="G6" s="46"/>
      <c r="H6" s="45" t="s">
        <v>15</v>
      </c>
      <c r="I6" s="47" t="s">
        <v>16</v>
      </c>
      <c r="J6" s="47"/>
      <c r="K6" s="48" t="s">
        <v>9</v>
      </c>
      <c r="L6" s="49">
        <v>198356.28</v>
      </c>
    </row>
    <row r="7" spans="1:12" ht="61.2" hidden="1" x14ac:dyDescent="0.3">
      <c r="A7" s="43" t="s">
        <v>10</v>
      </c>
      <c r="B7" s="44" t="s">
        <v>75</v>
      </c>
      <c r="C7" s="44" t="s">
        <v>76</v>
      </c>
      <c r="D7" s="44" t="s">
        <v>70</v>
      </c>
      <c r="E7" s="45" t="s">
        <v>14</v>
      </c>
      <c r="F7" s="50" t="s">
        <v>16</v>
      </c>
      <c r="G7" s="50"/>
      <c r="H7" s="45" t="s">
        <v>14</v>
      </c>
      <c r="I7" s="51">
        <v>2758</v>
      </c>
      <c r="J7" s="51"/>
      <c r="K7" s="48" t="s">
        <v>9</v>
      </c>
      <c r="L7" s="49">
        <v>195598.28</v>
      </c>
    </row>
    <row r="8" spans="1:12" ht="61.2" hidden="1" x14ac:dyDescent="0.3">
      <c r="A8" s="43" t="s">
        <v>10</v>
      </c>
      <c r="B8" s="44" t="s">
        <v>75</v>
      </c>
      <c r="C8" s="44" t="s">
        <v>77</v>
      </c>
      <c r="D8" s="44" t="s">
        <v>74</v>
      </c>
      <c r="E8" s="45" t="s">
        <v>14</v>
      </c>
      <c r="F8" s="50" t="s">
        <v>16</v>
      </c>
      <c r="G8" s="50"/>
      <c r="H8" s="45" t="s">
        <v>14</v>
      </c>
      <c r="I8" s="51">
        <v>17490</v>
      </c>
      <c r="J8" s="51"/>
      <c r="K8" s="48" t="s">
        <v>9</v>
      </c>
      <c r="L8" s="49">
        <v>178108.28</v>
      </c>
    </row>
    <row r="9" spans="1:12" ht="61.2" hidden="1" x14ac:dyDescent="0.3">
      <c r="A9" s="43" t="s">
        <v>10</v>
      </c>
      <c r="B9" s="44" t="s">
        <v>78</v>
      </c>
      <c r="C9" s="44" t="s">
        <v>79</v>
      </c>
      <c r="D9" s="44" t="s">
        <v>72</v>
      </c>
      <c r="E9" s="45" t="s">
        <v>14</v>
      </c>
      <c r="F9" s="50" t="s">
        <v>16</v>
      </c>
      <c r="G9" s="50"/>
      <c r="H9" s="45" t="s">
        <v>14</v>
      </c>
      <c r="I9" s="51">
        <v>16182</v>
      </c>
      <c r="J9" s="51"/>
      <c r="K9" s="48" t="s">
        <v>9</v>
      </c>
      <c r="L9" s="49">
        <v>161926.28</v>
      </c>
    </row>
    <row r="10" spans="1:12" ht="71.400000000000006" hidden="1" x14ac:dyDescent="0.3">
      <c r="A10" s="43" t="s">
        <v>10</v>
      </c>
      <c r="B10" s="44" t="s">
        <v>80</v>
      </c>
      <c r="C10" s="44" t="s">
        <v>81</v>
      </c>
      <c r="D10" s="44" t="s">
        <v>82</v>
      </c>
      <c r="E10" s="45" t="s">
        <v>14</v>
      </c>
      <c r="F10" s="52">
        <v>390.2</v>
      </c>
      <c r="G10" s="52"/>
      <c r="H10" s="45" t="s">
        <v>15</v>
      </c>
      <c r="I10" s="47" t="s">
        <v>16</v>
      </c>
      <c r="J10" s="47"/>
      <c r="K10" s="48" t="s">
        <v>9</v>
      </c>
      <c r="L10" s="49">
        <v>162316.48000000001</v>
      </c>
    </row>
    <row r="11" spans="1:12" ht="71.400000000000006" hidden="1" x14ac:dyDescent="0.3">
      <c r="A11" s="43" t="s">
        <v>10</v>
      </c>
      <c r="B11" s="44" t="s">
        <v>80</v>
      </c>
      <c r="C11" s="44" t="s">
        <v>83</v>
      </c>
      <c r="D11" s="44" t="s">
        <v>82</v>
      </c>
      <c r="E11" s="45" t="s">
        <v>14</v>
      </c>
      <c r="F11" s="52">
        <v>365</v>
      </c>
      <c r="G11" s="52"/>
      <c r="H11" s="45" t="s">
        <v>15</v>
      </c>
      <c r="I11" s="47" t="s">
        <v>16</v>
      </c>
      <c r="J11" s="47"/>
      <c r="K11" s="48" t="s">
        <v>9</v>
      </c>
      <c r="L11" s="49">
        <v>162681.48000000001</v>
      </c>
    </row>
    <row r="12" spans="1:12" ht="71.400000000000006" hidden="1" x14ac:dyDescent="0.3">
      <c r="A12" s="43" t="s">
        <v>10</v>
      </c>
      <c r="B12" s="44" t="s">
        <v>80</v>
      </c>
      <c r="C12" s="44" t="s">
        <v>84</v>
      </c>
      <c r="D12" s="44" t="s">
        <v>82</v>
      </c>
      <c r="E12" s="45" t="s">
        <v>14</v>
      </c>
      <c r="F12" s="52">
        <v>579.20000000000005</v>
      </c>
      <c r="G12" s="52"/>
      <c r="H12" s="45" t="s">
        <v>15</v>
      </c>
      <c r="I12" s="47" t="s">
        <v>16</v>
      </c>
      <c r="J12" s="47"/>
      <c r="K12" s="48" t="s">
        <v>9</v>
      </c>
      <c r="L12" s="49">
        <v>163260.68</v>
      </c>
    </row>
    <row r="13" spans="1:12" ht="61.2" hidden="1" x14ac:dyDescent="0.3">
      <c r="A13" s="43" t="s">
        <v>10</v>
      </c>
      <c r="B13" s="44" t="s">
        <v>85</v>
      </c>
      <c r="C13" s="44" t="s">
        <v>86</v>
      </c>
      <c r="D13" s="44" t="s">
        <v>81</v>
      </c>
      <c r="E13" s="45" t="s">
        <v>14</v>
      </c>
      <c r="F13" s="50" t="s">
        <v>16</v>
      </c>
      <c r="G13" s="50"/>
      <c r="H13" s="45" t="s">
        <v>14</v>
      </c>
      <c r="I13" s="53">
        <v>97.55</v>
      </c>
      <c r="J13" s="53"/>
      <c r="K13" s="48" t="s">
        <v>9</v>
      </c>
      <c r="L13" s="49">
        <v>163163.13</v>
      </c>
    </row>
    <row r="14" spans="1:12" ht="61.2" hidden="1" x14ac:dyDescent="0.3">
      <c r="A14" s="43" t="s">
        <v>10</v>
      </c>
      <c r="B14" s="44" t="s">
        <v>85</v>
      </c>
      <c r="C14" s="44" t="s">
        <v>87</v>
      </c>
      <c r="D14" s="44" t="s">
        <v>83</v>
      </c>
      <c r="E14" s="45" t="s">
        <v>14</v>
      </c>
      <c r="F14" s="50" t="s">
        <v>16</v>
      </c>
      <c r="G14" s="50"/>
      <c r="H14" s="45" t="s">
        <v>14</v>
      </c>
      <c r="I14" s="53">
        <v>91.25</v>
      </c>
      <c r="J14" s="53"/>
      <c r="K14" s="48" t="s">
        <v>9</v>
      </c>
      <c r="L14" s="49">
        <v>163071.88</v>
      </c>
    </row>
    <row r="15" spans="1:12" ht="61.2" hidden="1" x14ac:dyDescent="0.3">
      <c r="A15" s="43" t="s">
        <v>10</v>
      </c>
      <c r="B15" s="44" t="s">
        <v>85</v>
      </c>
      <c r="C15" s="44" t="s">
        <v>88</v>
      </c>
      <c r="D15" s="44" t="s">
        <v>84</v>
      </c>
      <c r="E15" s="45" t="s">
        <v>14</v>
      </c>
      <c r="F15" s="50" t="s">
        <v>16</v>
      </c>
      <c r="G15" s="50"/>
      <c r="H15" s="45" t="s">
        <v>14</v>
      </c>
      <c r="I15" s="53">
        <v>144.80000000000001</v>
      </c>
      <c r="J15" s="53"/>
      <c r="K15" s="48" t="s">
        <v>9</v>
      </c>
      <c r="L15" s="49">
        <v>162927.07999999999</v>
      </c>
    </row>
    <row r="16" spans="1:12" ht="61.2" hidden="1" x14ac:dyDescent="0.3">
      <c r="A16" s="43" t="s">
        <v>10</v>
      </c>
      <c r="B16" s="44" t="s">
        <v>89</v>
      </c>
      <c r="C16" s="44" t="s">
        <v>90</v>
      </c>
      <c r="D16" s="44" t="s">
        <v>81</v>
      </c>
      <c r="E16" s="45" t="s">
        <v>14</v>
      </c>
      <c r="F16" s="50" t="s">
        <v>16</v>
      </c>
      <c r="G16" s="50"/>
      <c r="H16" s="45" t="s">
        <v>14</v>
      </c>
      <c r="I16" s="53">
        <v>97.55</v>
      </c>
      <c r="J16" s="53"/>
      <c r="K16" s="48" t="s">
        <v>9</v>
      </c>
      <c r="L16" s="49">
        <v>162829.53</v>
      </c>
    </row>
    <row r="17" spans="1:12" ht="61.2" hidden="1" x14ac:dyDescent="0.3">
      <c r="A17" s="43" t="s">
        <v>10</v>
      </c>
      <c r="B17" s="44" t="s">
        <v>89</v>
      </c>
      <c r="C17" s="44" t="s">
        <v>91</v>
      </c>
      <c r="D17" s="44" t="s">
        <v>83</v>
      </c>
      <c r="E17" s="45" t="s">
        <v>14</v>
      </c>
      <c r="F17" s="50" t="s">
        <v>16</v>
      </c>
      <c r="G17" s="50"/>
      <c r="H17" s="45" t="s">
        <v>14</v>
      </c>
      <c r="I17" s="53">
        <v>91.25</v>
      </c>
      <c r="J17" s="53"/>
      <c r="K17" s="48" t="s">
        <v>9</v>
      </c>
      <c r="L17" s="49">
        <v>162738.28</v>
      </c>
    </row>
    <row r="18" spans="1:12" ht="61.2" hidden="1" x14ac:dyDescent="0.3">
      <c r="A18" s="43" t="s">
        <v>10</v>
      </c>
      <c r="B18" s="44" t="s">
        <v>89</v>
      </c>
      <c r="C18" s="44" t="s">
        <v>92</v>
      </c>
      <c r="D18" s="44" t="s">
        <v>84</v>
      </c>
      <c r="E18" s="45" t="s">
        <v>14</v>
      </c>
      <c r="F18" s="50" t="s">
        <v>16</v>
      </c>
      <c r="G18" s="50"/>
      <c r="H18" s="45" t="s">
        <v>14</v>
      </c>
      <c r="I18" s="53">
        <v>144.80000000000001</v>
      </c>
      <c r="J18" s="53"/>
      <c r="K18" s="48" t="s">
        <v>9</v>
      </c>
      <c r="L18" s="49">
        <v>162593.48000000001</v>
      </c>
    </row>
    <row r="19" spans="1:12" ht="61.2" hidden="1" x14ac:dyDescent="0.3">
      <c r="A19" s="43" t="s">
        <v>10</v>
      </c>
      <c r="B19" s="44" t="s">
        <v>93</v>
      </c>
      <c r="C19" s="44" t="s">
        <v>94</v>
      </c>
      <c r="D19" s="44" t="s">
        <v>81</v>
      </c>
      <c r="E19" s="45" t="s">
        <v>14</v>
      </c>
      <c r="F19" s="50" t="s">
        <v>16</v>
      </c>
      <c r="G19" s="50"/>
      <c r="H19" s="45" t="s">
        <v>14</v>
      </c>
      <c r="I19" s="53">
        <v>97.55</v>
      </c>
      <c r="J19" s="53"/>
      <c r="K19" s="48" t="s">
        <v>9</v>
      </c>
      <c r="L19" s="49">
        <v>162495.93</v>
      </c>
    </row>
    <row r="20" spans="1:12" ht="61.2" hidden="1" x14ac:dyDescent="0.3">
      <c r="A20" s="43" t="s">
        <v>10</v>
      </c>
      <c r="B20" s="44" t="s">
        <v>93</v>
      </c>
      <c r="C20" s="44" t="s">
        <v>95</v>
      </c>
      <c r="D20" s="44" t="s">
        <v>83</v>
      </c>
      <c r="E20" s="45" t="s">
        <v>14</v>
      </c>
      <c r="F20" s="50" t="s">
        <v>16</v>
      </c>
      <c r="G20" s="50"/>
      <c r="H20" s="45" t="s">
        <v>14</v>
      </c>
      <c r="I20" s="53">
        <v>91.25</v>
      </c>
      <c r="J20" s="53"/>
      <c r="K20" s="48" t="s">
        <v>9</v>
      </c>
      <c r="L20" s="49">
        <v>162404.68</v>
      </c>
    </row>
    <row r="21" spans="1:12" ht="61.2" hidden="1" x14ac:dyDescent="0.3">
      <c r="A21" s="43" t="s">
        <v>10</v>
      </c>
      <c r="B21" s="44" t="s">
        <v>93</v>
      </c>
      <c r="C21" s="44" t="s">
        <v>96</v>
      </c>
      <c r="D21" s="44" t="s">
        <v>84</v>
      </c>
      <c r="E21" s="45" t="s">
        <v>14</v>
      </c>
      <c r="F21" s="50" t="s">
        <v>16</v>
      </c>
      <c r="G21" s="50"/>
      <c r="H21" s="45" t="s">
        <v>14</v>
      </c>
      <c r="I21" s="53">
        <v>144.80000000000001</v>
      </c>
      <c r="J21" s="53"/>
      <c r="K21" s="48" t="s">
        <v>9</v>
      </c>
      <c r="L21" s="49">
        <v>162259.88</v>
      </c>
    </row>
    <row r="22" spans="1:12" ht="61.2" hidden="1" x14ac:dyDescent="0.3">
      <c r="A22" s="43" t="s">
        <v>10</v>
      </c>
      <c r="B22" s="44" t="s">
        <v>97</v>
      </c>
      <c r="C22" s="44" t="s">
        <v>98</v>
      </c>
      <c r="D22" s="44" t="s">
        <v>81</v>
      </c>
      <c r="E22" s="45" t="s">
        <v>14</v>
      </c>
      <c r="F22" s="50" t="s">
        <v>16</v>
      </c>
      <c r="G22" s="50"/>
      <c r="H22" s="45" t="s">
        <v>14</v>
      </c>
      <c r="I22" s="53">
        <v>97.55</v>
      </c>
      <c r="J22" s="53"/>
      <c r="K22" s="48" t="s">
        <v>9</v>
      </c>
      <c r="L22" s="49">
        <v>162162.32999999999</v>
      </c>
    </row>
    <row r="23" spans="1:12" ht="61.2" hidden="1" x14ac:dyDescent="0.3">
      <c r="A23" s="43" t="s">
        <v>10</v>
      </c>
      <c r="B23" s="44" t="s">
        <v>97</v>
      </c>
      <c r="C23" s="44" t="s">
        <v>99</v>
      </c>
      <c r="D23" s="44" t="s">
        <v>83</v>
      </c>
      <c r="E23" s="45" t="s">
        <v>14</v>
      </c>
      <c r="F23" s="50" t="s">
        <v>16</v>
      </c>
      <c r="G23" s="50"/>
      <c r="H23" s="45" t="s">
        <v>14</v>
      </c>
      <c r="I23" s="53">
        <v>91.25</v>
      </c>
      <c r="J23" s="53"/>
      <c r="K23" s="48" t="s">
        <v>9</v>
      </c>
      <c r="L23" s="49">
        <v>162071.07999999999</v>
      </c>
    </row>
    <row r="24" spans="1:12" ht="61.2" hidden="1" x14ac:dyDescent="0.3">
      <c r="A24" s="43" t="s">
        <v>10</v>
      </c>
      <c r="B24" s="44" t="s">
        <v>97</v>
      </c>
      <c r="C24" s="44" t="s">
        <v>100</v>
      </c>
      <c r="D24" s="44" t="s">
        <v>84</v>
      </c>
      <c r="E24" s="45" t="s">
        <v>14</v>
      </c>
      <c r="F24" s="50" t="s">
        <v>16</v>
      </c>
      <c r="G24" s="50"/>
      <c r="H24" s="45" t="s">
        <v>14</v>
      </c>
      <c r="I24" s="53">
        <v>144.80000000000001</v>
      </c>
      <c r="J24" s="53"/>
      <c r="K24" s="48" t="s">
        <v>9</v>
      </c>
      <c r="L24" s="49">
        <v>161926.28</v>
      </c>
    </row>
    <row r="25" spans="1:12" ht="71.400000000000006" hidden="1" x14ac:dyDescent="0.3">
      <c r="A25" s="43" t="s">
        <v>26</v>
      </c>
      <c r="B25" s="44" t="s">
        <v>101</v>
      </c>
      <c r="C25" s="44" t="s">
        <v>102</v>
      </c>
      <c r="D25" s="44" t="s">
        <v>103</v>
      </c>
      <c r="E25" s="45" t="s">
        <v>14</v>
      </c>
      <c r="F25" s="46">
        <v>5923.46</v>
      </c>
      <c r="G25" s="46"/>
      <c r="H25" s="45" t="s">
        <v>15</v>
      </c>
      <c r="I25" s="47" t="s">
        <v>16</v>
      </c>
      <c r="J25" s="47"/>
      <c r="K25" s="48" t="s">
        <v>9</v>
      </c>
      <c r="L25" s="49">
        <v>167849.74</v>
      </c>
    </row>
    <row r="26" spans="1:12" ht="71.400000000000006" hidden="1" x14ac:dyDescent="0.3">
      <c r="A26" s="43" t="s">
        <v>26</v>
      </c>
      <c r="B26" s="44" t="s">
        <v>101</v>
      </c>
      <c r="C26" s="44" t="s">
        <v>104</v>
      </c>
      <c r="D26" s="44" t="s">
        <v>103</v>
      </c>
      <c r="E26" s="45" t="s">
        <v>14</v>
      </c>
      <c r="F26" s="46">
        <v>32836.57</v>
      </c>
      <c r="G26" s="46"/>
      <c r="H26" s="45" t="s">
        <v>15</v>
      </c>
      <c r="I26" s="47" t="s">
        <v>16</v>
      </c>
      <c r="J26" s="47"/>
      <c r="K26" s="48" t="s">
        <v>9</v>
      </c>
      <c r="L26" s="49">
        <v>200686.31</v>
      </c>
    </row>
    <row r="27" spans="1:12" ht="71.400000000000006" hidden="1" x14ac:dyDescent="0.3">
      <c r="A27" s="43" t="s">
        <v>26</v>
      </c>
      <c r="B27" s="44" t="s">
        <v>101</v>
      </c>
      <c r="C27" s="44" t="s">
        <v>105</v>
      </c>
      <c r="D27" s="44" t="s">
        <v>103</v>
      </c>
      <c r="E27" s="45" t="s">
        <v>14</v>
      </c>
      <c r="F27" s="46">
        <v>138187.5</v>
      </c>
      <c r="G27" s="46"/>
      <c r="H27" s="45" t="s">
        <v>15</v>
      </c>
      <c r="I27" s="47" t="s">
        <v>16</v>
      </c>
      <c r="J27" s="47"/>
      <c r="K27" s="48" t="s">
        <v>9</v>
      </c>
      <c r="L27" s="49">
        <v>338873.81</v>
      </c>
    </row>
    <row r="28" spans="1:12" ht="71.400000000000006" hidden="1" x14ac:dyDescent="0.3">
      <c r="A28" s="43" t="s">
        <v>26</v>
      </c>
      <c r="B28" s="44" t="s">
        <v>101</v>
      </c>
      <c r="C28" s="44" t="s">
        <v>106</v>
      </c>
      <c r="D28" s="44" t="s">
        <v>103</v>
      </c>
      <c r="E28" s="45" t="s">
        <v>14</v>
      </c>
      <c r="F28" s="46">
        <v>3731.2</v>
      </c>
      <c r="G28" s="46"/>
      <c r="H28" s="45" t="s">
        <v>15</v>
      </c>
      <c r="I28" s="47" t="s">
        <v>16</v>
      </c>
      <c r="J28" s="47"/>
      <c r="K28" s="48" t="s">
        <v>9</v>
      </c>
      <c r="L28" s="49">
        <v>342605.01</v>
      </c>
    </row>
    <row r="29" spans="1:12" ht="71.400000000000006" hidden="1" x14ac:dyDescent="0.3">
      <c r="A29" s="43" t="s">
        <v>26</v>
      </c>
      <c r="B29" s="44" t="s">
        <v>101</v>
      </c>
      <c r="C29" s="44" t="s">
        <v>107</v>
      </c>
      <c r="D29" s="44" t="s">
        <v>103</v>
      </c>
      <c r="E29" s="45" t="s">
        <v>14</v>
      </c>
      <c r="F29" s="46">
        <v>2509.58</v>
      </c>
      <c r="G29" s="46"/>
      <c r="H29" s="45" t="s">
        <v>15</v>
      </c>
      <c r="I29" s="47" t="s">
        <v>16</v>
      </c>
      <c r="J29" s="47"/>
      <c r="K29" s="48" t="s">
        <v>9</v>
      </c>
      <c r="L29" s="49">
        <v>345114.59</v>
      </c>
    </row>
    <row r="30" spans="1:12" ht="81.599999999999994" hidden="1" x14ac:dyDescent="0.3">
      <c r="A30" s="43" t="s">
        <v>26</v>
      </c>
      <c r="B30" s="44" t="s">
        <v>108</v>
      </c>
      <c r="C30" s="44" t="s">
        <v>109</v>
      </c>
      <c r="D30" s="44" t="s">
        <v>102</v>
      </c>
      <c r="E30" s="45" t="s">
        <v>14</v>
      </c>
      <c r="F30" s="50" t="s">
        <v>16</v>
      </c>
      <c r="G30" s="50"/>
      <c r="H30" s="45" t="s">
        <v>14</v>
      </c>
      <c r="I30" s="51">
        <v>5923.46</v>
      </c>
      <c r="J30" s="51"/>
      <c r="K30" s="48" t="s">
        <v>9</v>
      </c>
      <c r="L30" s="49">
        <v>339191.13</v>
      </c>
    </row>
    <row r="31" spans="1:12" ht="81.599999999999994" hidden="1" x14ac:dyDescent="0.3">
      <c r="A31" s="43" t="s">
        <v>26</v>
      </c>
      <c r="B31" s="44" t="s">
        <v>108</v>
      </c>
      <c r="C31" s="44" t="s">
        <v>110</v>
      </c>
      <c r="D31" s="44" t="s">
        <v>104</v>
      </c>
      <c r="E31" s="45" t="s">
        <v>14</v>
      </c>
      <c r="F31" s="50" t="s">
        <v>16</v>
      </c>
      <c r="G31" s="50"/>
      <c r="H31" s="45" t="s">
        <v>14</v>
      </c>
      <c r="I31" s="51">
        <v>32836.57</v>
      </c>
      <c r="J31" s="51"/>
      <c r="K31" s="48" t="s">
        <v>9</v>
      </c>
      <c r="L31" s="49">
        <v>306354.56</v>
      </c>
    </row>
    <row r="32" spans="1:12" ht="81.599999999999994" hidden="1" x14ac:dyDescent="0.3">
      <c r="A32" s="43" t="s">
        <v>26</v>
      </c>
      <c r="B32" s="44" t="s">
        <v>108</v>
      </c>
      <c r="C32" s="44" t="s">
        <v>111</v>
      </c>
      <c r="D32" s="44" t="s">
        <v>105</v>
      </c>
      <c r="E32" s="45" t="s">
        <v>14</v>
      </c>
      <c r="F32" s="50" t="s">
        <v>16</v>
      </c>
      <c r="G32" s="50"/>
      <c r="H32" s="45" t="s">
        <v>14</v>
      </c>
      <c r="I32" s="51">
        <v>76380</v>
      </c>
      <c r="J32" s="51"/>
      <c r="K32" s="48" t="s">
        <v>9</v>
      </c>
      <c r="L32" s="49">
        <v>229974.56</v>
      </c>
    </row>
    <row r="33" spans="1:12" ht="81.599999999999994" hidden="1" x14ac:dyDescent="0.3">
      <c r="A33" s="43" t="s">
        <v>26</v>
      </c>
      <c r="B33" s="44" t="s">
        <v>108</v>
      </c>
      <c r="C33" s="44" t="s">
        <v>112</v>
      </c>
      <c r="D33" s="44" t="s">
        <v>106</v>
      </c>
      <c r="E33" s="45" t="s">
        <v>14</v>
      </c>
      <c r="F33" s="50" t="s">
        <v>16</v>
      </c>
      <c r="G33" s="50"/>
      <c r="H33" s="45" t="s">
        <v>14</v>
      </c>
      <c r="I33" s="51">
        <v>3731.2</v>
      </c>
      <c r="J33" s="51"/>
      <c r="K33" s="48" t="s">
        <v>9</v>
      </c>
      <c r="L33" s="49">
        <v>226243.36</v>
      </c>
    </row>
    <row r="34" spans="1:12" ht="81.599999999999994" hidden="1" x14ac:dyDescent="0.3">
      <c r="A34" s="43" t="s">
        <v>26</v>
      </c>
      <c r="B34" s="44" t="s">
        <v>108</v>
      </c>
      <c r="C34" s="44" t="s">
        <v>113</v>
      </c>
      <c r="D34" s="44" t="s">
        <v>107</v>
      </c>
      <c r="E34" s="45" t="s">
        <v>14</v>
      </c>
      <c r="F34" s="50" t="s">
        <v>16</v>
      </c>
      <c r="G34" s="50"/>
      <c r="H34" s="45" t="s">
        <v>14</v>
      </c>
      <c r="I34" s="51">
        <v>2509.58</v>
      </c>
      <c r="J34" s="51"/>
      <c r="K34" s="48" t="s">
        <v>9</v>
      </c>
      <c r="L34" s="49">
        <v>223733.78</v>
      </c>
    </row>
    <row r="35" spans="1:12" ht="71.400000000000006" hidden="1" x14ac:dyDescent="0.3">
      <c r="A35" s="43" t="s">
        <v>26</v>
      </c>
      <c r="B35" s="44" t="s">
        <v>114</v>
      </c>
      <c r="C35" s="44" t="s">
        <v>115</v>
      </c>
      <c r="D35" s="44" t="s">
        <v>105</v>
      </c>
      <c r="E35" s="45" t="s">
        <v>14</v>
      </c>
      <c r="F35" s="50" t="s">
        <v>16</v>
      </c>
      <c r="G35" s="50"/>
      <c r="H35" s="45" t="s">
        <v>14</v>
      </c>
      <c r="I35" s="51">
        <v>61807.5</v>
      </c>
      <c r="J35" s="51"/>
      <c r="K35" s="48" t="s">
        <v>9</v>
      </c>
      <c r="L35" s="49">
        <v>161926.28</v>
      </c>
    </row>
    <row r="36" spans="1:12" ht="61.2" hidden="1" x14ac:dyDescent="0.3">
      <c r="A36" s="43" t="s">
        <v>26</v>
      </c>
      <c r="B36" s="44" t="s">
        <v>116</v>
      </c>
      <c r="C36" s="44" t="s">
        <v>117</v>
      </c>
      <c r="D36" s="44" t="s">
        <v>118</v>
      </c>
      <c r="E36" s="45" t="s">
        <v>14</v>
      </c>
      <c r="F36" s="46">
        <v>8519.1200000000008</v>
      </c>
      <c r="G36" s="46"/>
      <c r="H36" s="45" t="s">
        <v>15</v>
      </c>
      <c r="I36" s="47" t="s">
        <v>16</v>
      </c>
      <c r="J36" s="47"/>
      <c r="K36" s="48" t="s">
        <v>9</v>
      </c>
      <c r="L36" s="49">
        <v>170445.4</v>
      </c>
    </row>
    <row r="37" spans="1:12" ht="61.2" hidden="1" x14ac:dyDescent="0.3">
      <c r="A37" s="43" t="s">
        <v>26</v>
      </c>
      <c r="B37" s="44" t="s">
        <v>116</v>
      </c>
      <c r="C37" s="44" t="s">
        <v>119</v>
      </c>
      <c r="D37" s="44" t="s">
        <v>118</v>
      </c>
      <c r="E37" s="45" t="s">
        <v>14</v>
      </c>
      <c r="F37" s="46">
        <v>1839.83</v>
      </c>
      <c r="G37" s="46"/>
      <c r="H37" s="45" t="s">
        <v>15</v>
      </c>
      <c r="I37" s="47" t="s">
        <v>16</v>
      </c>
      <c r="J37" s="47"/>
      <c r="K37" s="48" t="s">
        <v>9</v>
      </c>
      <c r="L37" s="49">
        <v>172285.23</v>
      </c>
    </row>
    <row r="38" spans="1:12" ht="61.2" hidden="1" x14ac:dyDescent="0.3">
      <c r="A38" s="43" t="s">
        <v>26</v>
      </c>
      <c r="B38" s="44" t="s">
        <v>116</v>
      </c>
      <c r="C38" s="44" t="s">
        <v>120</v>
      </c>
      <c r="D38" s="44" t="s">
        <v>118</v>
      </c>
      <c r="E38" s="45" t="s">
        <v>14</v>
      </c>
      <c r="F38" s="46">
        <v>3489.76</v>
      </c>
      <c r="G38" s="46"/>
      <c r="H38" s="45" t="s">
        <v>15</v>
      </c>
      <c r="I38" s="47" t="s">
        <v>16</v>
      </c>
      <c r="J38" s="47"/>
      <c r="K38" s="48" t="s">
        <v>9</v>
      </c>
      <c r="L38" s="49">
        <v>175774.99</v>
      </c>
    </row>
    <row r="39" spans="1:12" ht="61.2" hidden="1" x14ac:dyDescent="0.3">
      <c r="A39" s="43" t="s">
        <v>26</v>
      </c>
      <c r="B39" s="44" t="s">
        <v>116</v>
      </c>
      <c r="C39" s="44" t="s">
        <v>121</v>
      </c>
      <c r="D39" s="44" t="s">
        <v>118</v>
      </c>
      <c r="E39" s="45" t="s">
        <v>14</v>
      </c>
      <c r="F39" s="46">
        <v>3483.32</v>
      </c>
      <c r="G39" s="46"/>
      <c r="H39" s="45" t="s">
        <v>15</v>
      </c>
      <c r="I39" s="47" t="s">
        <v>16</v>
      </c>
      <c r="J39" s="47"/>
      <c r="K39" s="48" t="s">
        <v>9</v>
      </c>
      <c r="L39" s="49">
        <v>179258.31</v>
      </c>
    </row>
    <row r="40" spans="1:12" ht="61.2" hidden="1" x14ac:dyDescent="0.3">
      <c r="A40" s="43" t="s">
        <v>26</v>
      </c>
      <c r="B40" s="44" t="s">
        <v>116</v>
      </c>
      <c r="C40" s="44" t="s">
        <v>122</v>
      </c>
      <c r="D40" s="44" t="s">
        <v>118</v>
      </c>
      <c r="E40" s="45" t="s">
        <v>14</v>
      </c>
      <c r="F40" s="52">
        <v>600.46</v>
      </c>
      <c r="G40" s="52"/>
      <c r="H40" s="45" t="s">
        <v>15</v>
      </c>
      <c r="I40" s="47" t="s">
        <v>16</v>
      </c>
      <c r="J40" s="47"/>
      <c r="K40" s="48" t="s">
        <v>9</v>
      </c>
      <c r="L40" s="49">
        <v>179858.77</v>
      </c>
    </row>
    <row r="41" spans="1:12" ht="61.2" hidden="1" x14ac:dyDescent="0.3">
      <c r="A41" s="43" t="s">
        <v>26</v>
      </c>
      <c r="B41" s="44" t="s">
        <v>116</v>
      </c>
      <c r="C41" s="44" t="s">
        <v>123</v>
      </c>
      <c r="D41" s="44" t="s">
        <v>118</v>
      </c>
      <c r="E41" s="45" t="s">
        <v>14</v>
      </c>
      <c r="F41" s="46">
        <v>4155.3900000000003</v>
      </c>
      <c r="G41" s="46"/>
      <c r="H41" s="45" t="s">
        <v>15</v>
      </c>
      <c r="I41" s="47" t="s">
        <v>16</v>
      </c>
      <c r="J41" s="47"/>
      <c r="K41" s="48" t="s">
        <v>9</v>
      </c>
      <c r="L41" s="49">
        <v>184014.16</v>
      </c>
    </row>
    <row r="42" spans="1:12" ht="61.2" hidden="1" x14ac:dyDescent="0.3">
      <c r="A42" s="43" t="s">
        <v>26</v>
      </c>
      <c r="B42" s="44" t="s">
        <v>124</v>
      </c>
      <c r="C42" s="44" t="s">
        <v>125</v>
      </c>
      <c r="D42" s="44" t="s">
        <v>118</v>
      </c>
      <c r="E42" s="45" t="s">
        <v>14</v>
      </c>
      <c r="F42" s="46">
        <v>4696.0600000000004</v>
      </c>
      <c r="G42" s="46"/>
      <c r="H42" s="45" t="s">
        <v>15</v>
      </c>
      <c r="I42" s="47" t="s">
        <v>16</v>
      </c>
      <c r="J42" s="47"/>
      <c r="K42" s="48" t="s">
        <v>9</v>
      </c>
      <c r="L42" s="49">
        <v>188710.22</v>
      </c>
    </row>
    <row r="43" spans="1:12" ht="61.2" hidden="1" x14ac:dyDescent="0.3">
      <c r="A43" s="43" t="s">
        <v>26</v>
      </c>
      <c r="B43" s="44" t="s">
        <v>116</v>
      </c>
      <c r="C43" s="44" t="s">
        <v>125</v>
      </c>
      <c r="D43" s="44" t="s">
        <v>118</v>
      </c>
      <c r="E43" s="45" t="s">
        <v>14</v>
      </c>
      <c r="F43" s="46">
        <v>1985.9</v>
      </c>
      <c r="G43" s="46"/>
      <c r="H43" s="45" t="s">
        <v>15</v>
      </c>
      <c r="I43" s="47" t="s">
        <v>16</v>
      </c>
      <c r="J43" s="47"/>
      <c r="K43" s="48" t="s">
        <v>9</v>
      </c>
      <c r="L43" s="49">
        <v>190696.12</v>
      </c>
    </row>
    <row r="44" spans="1:12" ht="61.2" hidden="1" x14ac:dyDescent="0.3">
      <c r="A44" s="43" t="s">
        <v>26</v>
      </c>
      <c r="B44" s="44" t="s">
        <v>124</v>
      </c>
      <c r="C44" s="44" t="s">
        <v>126</v>
      </c>
      <c r="D44" s="44" t="s">
        <v>118</v>
      </c>
      <c r="E44" s="45" t="s">
        <v>14</v>
      </c>
      <c r="F44" s="52">
        <v>908.66</v>
      </c>
      <c r="G44" s="52"/>
      <c r="H44" s="45" t="s">
        <v>15</v>
      </c>
      <c r="I44" s="47" t="s">
        <v>16</v>
      </c>
      <c r="J44" s="47"/>
      <c r="K44" s="48" t="s">
        <v>9</v>
      </c>
      <c r="L44" s="49">
        <v>191604.78</v>
      </c>
    </row>
    <row r="45" spans="1:12" ht="61.2" hidden="1" x14ac:dyDescent="0.3">
      <c r="A45" s="43" t="s">
        <v>26</v>
      </c>
      <c r="B45" s="44" t="s">
        <v>127</v>
      </c>
      <c r="C45" s="44" t="s">
        <v>128</v>
      </c>
      <c r="D45" s="44" t="s">
        <v>117</v>
      </c>
      <c r="E45" s="45" t="s">
        <v>14</v>
      </c>
      <c r="F45" s="50" t="s">
        <v>16</v>
      </c>
      <c r="G45" s="50"/>
      <c r="H45" s="45" t="s">
        <v>14</v>
      </c>
      <c r="I45" s="51">
        <v>2129.7800000000002</v>
      </c>
      <c r="J45" s="51"/>
      <c r="K45" s="48" t="s">
        <v>9</v>
      </c>
      <c r="L45" s="49">
        <v>189475</v>
      </c>
    </row>
    <row r="46" spans="1:12" ht="61.2" hidden="1" x14ac:dyDescent="0.3">
      <c r="A46" s="43" t="s">
        <v>26</v>
      </c>
      <c r="B46" s="44" t="s">
        <v>127</v>
      </c>
      <c r="C46" s="44" t="s">
        <v>129</v>
      </c>
      <c r="D46" s="44" t="s">
        <v>119</v>
      </c>
      <c r="E46" s="45" t="s">
        <v>14</v>
      </c>
      <c r="F46" s="50" t="s">
        <v>16</v>
      </c>
      <c r="G46" s="50"/>
      <c r="H46" s="45" t="s">
        <v>14</v>
      </c>
      <c r="I46" s="51">
        <v>1839.83</v>
      </c>
      <c r="J46" s="51"/>
      <c r="K46" s="48" t="s">
        <v>9</v>
      </c>
      <c r="L46" s="49">
        <v>187635.17</v>
      </c>
    </row>
    <row r="47" spans="1:12" ht="61.2" hidden="1" x14ac:dyDescent="0.3">
      <c r="A47" s="43" t="s">
        <v>26</v>
      </c>
      <c r="B47" s="44" t="s">
        <v>127</v>
      </c>
      <c r="C47" s="44" t="s">
        <v>130</v>
      </c>
      <c r="D47" s="44" t="s">
        <v>120</v>
      </c>
      <c r="E47" s="45" t="s">
        <v>14</v>
      </c>
      <c r="F47" s="50" t="s">
        <v>16</v>
      </c>
      <c r="G47" s="50"/>
      <c r="H47" s="45" t="s">
        <v>14</v>
      </c>
      <c r="I47" s="53">
        <v>872.44</v>
      </c>
      <c r="J47" s="53"/>
      <c r="K47" s="48" t="s">
        <v>9</v>
      </c>
      <c r="L47" s="49">
        <v>186762.73</v>
      </c>
    </row>
    <row r="48" spans="1:12" ht="61.2" hidden="1" x14ac:dyDescent="0.3">
      <c r="A48" s="43" t="s">
        <v>26</v>
      </c>
      <c r="B48" s="44" t="s">
        <v>127</v>
      </c>
      <c r="C48" s="44" t="s">
        <v>131</v>
      </c>
      <c r="D48" s="44" t="s">
        <v>121</v>
      </c>
      <c r="E48" s="45" t="s">
        <v>14</v>
      </c>
      <c r="F48" s="50" t="s">
        <v>16</v>
      </c>
      <c r="G48" s="50"/>
      <c r="H48" s="45" t="s">
        <v>14</v>
      </c>
      <c r="I48" s="51">
        <v>3483.32</v>
      </c>
      <c r="J48" s="51"/>
      <c r="K48" s="48" t="s">
        <v>9</v>
      </c>
      <c r="L48" s="49">
        <v>183279.41</v>
      </c>
    </row>
    <row r="49" spans="1:12" ht="61.2" hidden="1" x14ac:dyDescent="0.3">
      <c r="A49" s="43" t="s">
        <v>26</v>
      </c>
      <c r="B49" s="44" t="s">
        <v>127</v>
      </c>
      <c r="C49" s="44" t="s">
        <v>132</v>
      </c>
      <c r="D49" s="44" t="s">
        <v>122</v>
      </c>
      <c r="E49" s="45" t="s">
        <v>14</v>
      </c>
      <c r="F49" s="50" t="s">
        <v>16</v>
      </c>
      <c r="G49" s="50"/>
      <c r="H49" s="45" t="s">
        <v>14</v>
      </c>
      <c r="I49" s="53">
        <v>600.46</v>
      </c>
      <c r="J49" s="53"/>
      <c r="K49" s="48" t="s">
        <v>9</v>
      </c>
      <c r="L49" s="49">
        <v>182678.95</v>
      </c>
    </row>
    <row r="50" spans="1:12" ht="71.400000000000006" hidden="1" x14ac:dyDescent="0.3">
      <c r="A50" s="43" t="s">
        <v>26</v>
      </c>
      <c r="B50" s="44" t="s">
        <v>133</v>
      </c>
      <c r="C50" s="44" t="s">
        <v>134</v>
      </c>
      <c r="D50" s="44" t="s">
        <v>117</v>
      </c>
      <c r="E50" s="45" t="s">
        <v>14</v>
      </c>
      <c r="F50" s="50" t="s">
        <v>16</v>
      </c>
      <c r="G50" s="50"/>
      <c r="H50" s="45" t="s">
        <v>14</v>
      </c>
      <c r="I50" s="51">
        <v>6389.34</v>
      </c>
      <c r="J50" s="51"/>
      <c r="K50" s="48" t="s">
        <v>9</v>
      </c>
      <c r="L50" s="49">
        <v>176289.61</v>
      </c>
    </row>
    <row r="51" spans="1:12" ht="61.2" hidden="1" x14ac:dyDescent="0.3">
      <c r="A51" s="43" t="s">
        <v>26</v>
      </c>
      <c r="B51" s="44" t="s">
        <v>135</v>
      </c>
      <c r="C51" s="44" t="s">
        <v>136</v>
      </c>
      <c r="D51" s="44" t="s">
        <v>120</v>
      </c>
      <c r="E51" s="45" t="s">
        <v>14</v>
      </c>
      <c r="F51" s="50" t="s">
        <v>16</v>
      </c>
      <c r="G51" s="50"/>
      <c r="H51" s="45" t="s">
        <v>14</v>
      </c>
      <c r="I51" s="51">
        <v>2617.3200000000002</v>
      </c>
      <c r="J51" s="51"/>
      <c r="K51" s="48" t="s">
        <v>9</v>
      </c>
      <c r="L51" s="49">
        <v>173672.29</v>
      </c>
    </row>
    <row r="52" spans="1:12" ht="61.2" hidden="1" x14ac:dyDescent="0.3">
      <c r="A52" s="43" t="s">
        <v>26</v>
      </c>
      <c r="B52" s="44" t="s">
        <v>135</v>
      </c>
      <c r="C52" s="44" t="s">
        <v>137</v>
      </c>
      <c r="D52" s="44" t="s">
        <v>123</v>
      </c>
      <c r="E52" s="45" t="s">
        <v>14</v>
      </c>
      <c r="F52" s="50" t="s">
        <v>16</v>
      </c>
      <c r="G52" s="50"/>
      <c r="H52" s="45" t="s">
        <v>14</v>
      </c>
      <c r="I52" s="51">
        <v>4155.3900000000003</v>
      </c>
      <c r="J52" s="51"/>
      <c r="K52" s="48" t="s">
        <v>9</v>
      </c>
      <c r="L52" s="49">
        <v>169516.9</v>
      </c>
    </row>
    <row r="53" spans="1:12" ht="61.2" hidden="1" x14ac:dyDescent="0.3">
      <c r="A53" s="43" t="s">
        <v>26</v>
      </c>
      <c r="B53" s="44" t="s">
        <v>135</v>
      </c>
      <c r="C53" s="44" t="s">
        <v>138</v>
      </c>
      <c r="D53" s="44" t="s">
        <v>125</v>
      </c>
      <c r="E53" s="45" t="s">
        <v>14</v>
      </c>
      <c r="F53" s="50" t="s">
        <v>16</v>
      </c>
      <c r="G53" s="50"/>
      <c r="H53" s="45" t="s">
        <v>14</v>
      </c>
      <c r="I53" s="51">
        <v>6681.96</v>
      </c>
      <c r="J53" s="51"/>
      <c r="K53" s="48" t="s">
        <v>9</v>
      </c>
      <c r="L53" s="49">
        <v>162834.94</v>
      </c>
    </row>
    <row r="54" spans="1:12" ht="61.2" hidden="1" x14ac:dyDescent="0.3">
      <c r="A54" s="43" t="s">
        <v>26</v>
      </c>
      <c r="B54" s="44" t="s">
        <v>135</v>
      </c>
      <c r="C54" s="44" t="s">
        <v>139</v>
      </c>
      <c r="D54" s="44" t="s">
        <v>126</v>
      </c>
      <c r="E54" s="45" t="s">
        <v>14</v>
      </c>
      <c r="F54" s="50" t="s">
        <v>16</v>
      </c>
      <c r="G54" s="50"/>
      <c r="H54" s="45" t="s">
        <v>14</v>
      </c>
      <c r="I54" s="53">
        <v>908.66</v>
      </c>
      <c r="J54" s="53"/>
      <c r="K54" s="48" t="s">
        <v>9</v>
      </c>
      <c r="L54" s="49">
        <v>161926.28</v>
      </c>
    </row>
    <row r="55" spans="1:12" ht="71.400000000000006" hidden="1" x14ac:dyDescent="0.3">
      <c r="A55" s="43" t="s">
        <v>140</v>
      </c>
      <c r="B55" s="44" t="s">
        <v>141</v>
      </c>
      <c r="C55" s="44" t="s">
        <v>142</v>
      </c>
      <c r="D55" s="44" t="s">
        <v>29</v>
      </c>
      <c r="E55" s="45" t="s">
        <v>14</v>
      </c>
      <c r="F55" s="46">
        <v>19625</v>
      </c>
      <c r="G55" s="46"/>
      <c r="H55" s="45" t="s">
        <v>15</v>
      </c>
      <c r="I55" s="47" t="s">
        <v>16</v>
      </c>
      <c r="J55" s="47"/>
      <c r="K55" s="48" t="s">
        <v>9</v>
      </c>
      <c r="L55" s="49">
        <v>181551.28</v>
      </c>
    </row>
    <row r="56" spans="1:12" ht="71.400000000000006" hidden="1" x14ac:dyDescent="0.3">
      <c r="A56" s="43" t="s">
        <v>140</v>
      </c>
      <c r="B56" s="44" t="s">
        <v>143</v>
      </c>
      <c r="C56" s="44" t="s">
        <v>142</v>
      </c>
      <c r="D56" s="44" t="s">
        <v>29</v>
      </c>
      <c r="E56" s="45" t="s">
        <v>14</v>
      </c>
      <c r="F56" s="46">
        <v>9579</v>
      </c>
      <c r="G56" s="46"/>
      <c r="H56" s="45" t="s">
        <v>15</v>
      </c>
      <c r="I56" s="47" t="s">
        <v>16</v>
      </c>
      <c r="J56" s="47"/>
      <c r="K56" s="48" t="s">
        <v>9</v>
      </c>
      <c r="L56" s="49">
        <v>191130.28</v>
      </c>
    </row>
    <row r="57" spans="1:12" ht="61.2" hidden="1" x14ac:dyDescent="0.3">
      <c r="A57" s="43" t="s">
        <v>140</v>
      </c>
      <c r="B57" s="44" t="s">
        <v>144</v>
      </c>
      <c r="C57" s="44" t="s">
        <v>145</v>
      </c>
      <c r="D57" s="44" t="s">
        <v>142</v>
      </c>
      <c r="E57" s="45" t="s">
        <v>14</v>
      </c>
      <c r="F57" s="50" t="s">
        <v>16</v>
      </c>
      <c r="G57" s="50"/>
      <c r="H57" s="45" t="s">
        <v>14</v>
      </c>
      <c r="I57" s="51">
        <v>7301</v>
      </c>
      <c r="J57" s="51"/>
      <c r="K57" s="48" t="s">
        <v>9</v>
      </c>
      <c r="L57" s="49">
        <v>183829.28</v>
      </c>
    </row>
    <row r="58" spans="1:12" ht="71.400000000000006" hidden="1" x14ac:dyDescent="0.3">
      <c r="A58" s="43" t="s">
        <v>140</v>
      </c>
      <c r="B58" s="44" t="s">
        <v>146</v>
      </c>
      <c r="C58" s="44" t="s">
        <v>147</v>
      </c>
      <c r="D58" s="44" t="s">
        <v>142</v>
      </c>
      <c r="E58" s="45" t="s">
        <v>14</v>
      </c>
      <c r="F58" s="50" t="s">
        <v>16</v>
      </c>
      <c r="G58" s="50"/>
      <c r="H58" s="45" t="s">
        <v>14</v>
      </c>
      <c r="I58" s="51">
        <v>21903</v>
      </c>
      <c r="J58" s="51"/>
      <c r="K58" s="48" t="s">
        <v>9</v>
      </c>
      <c r="L58" s="49">
        <v>161926.28</v>
      </c>
    </row>
    <row r="59" spans="1:12" ht="61.2" hidden="1" x14ac:dyDescent="0.3">
      <c r="A59" s="43" t="s">
        <v>140</v>
      </c>
      <c r="B59" s="44" t="s">
        <v>148</v>
      </c>
      <c r="C59" s="44" t="s">
        <v>149</v>
      </c>
      <c r="D59" s="44" t="s">
        <v>103</v>
      </c>
      <c r="E59" s="45" t="s">
        <v>14</v>
      </c>
      <c r="F59" s="46">
        <v>303685.88</v>
      </c>
      <c r="G59" s="46"/>
      <c r="H59" s="45" t="s">
        <v>15</v>
      </c>
      <c r="I59" s="47" t="s">
        <v>16</v>
      </c>
      <c r="J59" s="47"/>
      <c r="K59" s="48" t="s">
        <v>9</v>
      </c>
      <c r="L59" s="49">
        <v>465612.16</v>
      </c>
    </row>
    <row r="60" spans="1:12" ht="61.2" hidden="1" x14ac:dyDescent="0.3">
      <c r="A60" s="43" t="s">
        <v>140</v>
      </c>
      <c r="B60" s="44" t="s">
        <v>148</v>
      </c>
      <c r="C60" s="44" t="s">
        <v>150</v>
      </c>
      <c r="D60" s="44" t="s">
        <v>103</v>
      </c>
      <c r="E60" s="45" t="s">
        <v>14</v>
      </c>
      <c r="F60" s="46">
        <v>233813.25</v>
      </c>
      <c r="G60" s="46"/>
      <c r="H60" s="45" t="s">
        <v>15</v>
      </c>
      <c r="I60" s="47" t="s">
        <v>16</v>
      </c>
      <c r="J60" s="47"/>
      <c r="K60" s="48" t="s">
        <v>9</v>
      </c>
      <c r="L60" s="49">
        <v>699425.41</v>
      </c>
    </row>
    <row r="61" spans="1:12" ht="61.2" hidden="1" x14ac:dyDescent="0.3">
      <c r="A61" s="43" t="s">
        <v>140</v>
      </c>
      <c r="B61" s="44" t="s">
        <v>148</v>
      </c>
      <c r="C61" s="44" t="s">
        <v>151</v>
      </c>
      <c r="D61" s="44" t="s">
        <v>103</v>
      </c>
      <c r="E61" s="45" t="s">
        <v>14</v>
      </c>
      <c r="F61" s="46">
        <v>16150</v>
      </c>
      <c r="G61" s="46"/>
      <c r="H61" s="45" t="s">
        <v>15</v>
      </c>
      <c r="I61" s="47" t="s">
        <v>16</v>
      </c>
      <c r="J61" s="47"/>
      <c r="K61" s="48" t="s">
        <v>9</v>
      </c>
      <c r="L61" s="49">
        <v>715575.41</v>
      </c>
    </row>
    <row r="62" spans="1:12" ht="71.400000000000006" hidden="1" x14ac:dyDescent="0.3">
      <c r="A62" s="43" t="s">
        <v>140</v>
      </c>
      <c r="B62" s="44" t="s">
        <v>152</v>
      </c>
      <c r="C62" s="44" t="s">
        <v>153</v>
      </c>
      <c r="D62" s="44" t="s">
        <v>149</v>
      </c>
      <c r="E62" s="45" t="s">
        <v>14</v>
      </c>
      <c r="F62" s="50" t="s">
        <v>16</v>
      </c>
      <c r="G62" s="50"/>
      <c r="H62" s="45" t="s">
        <v>14</v>
      </c>
      <c r="I62" s="51">
        <v>303685.88</v>
      </c>
      <c r="J62" s="51"/>
      <c r="K62" s="48" t="s">
        <v>9</v>
      </c>
      <c r="L62" s="49">
        <v>411889.53</v>
      </c>
    </row>
    <row r="63" spans="1:12" ht="71.400000000000006" hidden="1" x14ac:dyDescent="0.3">
      <c r="A63" s="43" t="s">
        <v>140</v>
      </c>
      <c r="B63" s="44" t="s">
        <v>152</v>
      </c>
      <c r="C63" s="44" t="s">
        <v>154</v>
      </c>
      <c r="D63" s="44" t="s">
        <v>150</v>
      </c>
      <c r="E63" s="45" t="s">
        <v>14</v>
      </c>
      <c r="F63" s="50" t="s">
        <v>16</v>
      </c>
      <c r="G63" s="50"/>
      <c r="H63" s="45" t="s">
        <v>14</v>
      </c>
      <c r="I63" s="51">
        <v>233813.25</v>
      </c>
      <c r="J63" s="51"/>
      <c r="K63" s="48" t="s">
        <v>9</v>
      </c>
      <c r="L63" s="49">
        <v>178076.28</v>
      </c>
    </row>
    <row r="64" spans="1:12" ht="71.400000000000006" hidden="1" x14ac:dyDescent="0.3">
      <c r="A64" s="43" t="s">
        <v>140</v>
      </c>
      <c r="B64" s="44" t="s">
        <v>152</v>
      </c>
      <c r="C64" s="44" t="s">
        <v>155</v>
      </c>
      <c r="D64" s="44" t="s">
        <v>156</v>
      </c>
      <c r="E64" s="45" t="s">
        <v>14</v>
      </c>
      <c r="F64" s="50" t="s">
        <v>16</v>
      </c>
      <c r="G64" s="50"/>
      <c r="H64" s="45" t="s">
        <v>14</v>
      </c>
      <c r="I64" s="51">
        <v>6468</v>
      </c>
      <c r="J64" s="51"/>
      <c r="K64" s="48" t="s">
        <v>9</v>
      </c>
      <c r="L64" s="49">
        <v>171608.28</v>
      </c>
    </row>
    <row r="65" spans="1:12" ht="71.400000000000006" hidden="1" x14ac:dyDescent="0.3">
      <c r="A65" s="43" t="s">
        <v>140</v>
      </c>
      <c r="B65" s="44" t="s">
        <v>152</v>
      </c>
      <c r="C65" s="44" t="s">
        <v>157</v>
      </c>
      <c r="D65" s="44" t="s">
        <v>151</v>
      </c>
      <c r="E65" s="45" t="s">
        <v>14</v>
      </c>
      <c r="F65" s="50" t="s">
        <v>16</v>
      </c>
      <c r="G65" s="50"/>
      <c r="H65" s="45" t="s">
        <v>14</v>
      </c>
      <c r="I65" s="53">
        <v>64.599999999999994</v>
      </c>
      <c r="J65" s="53"/>
      <c r="K65" s="48" t="s">
        <v>9</v>
      </c>
      <c r="L65" s="49">
        <v>171543.67999999999</v>
      </c>
    </row>
    <row r="66" spans="1:12" ht="61.2" hidden="1" x14ac:dyDescent="0.3">
      <c r="A66" s="43" t="s">
        <v>140</v>
      </c>
      <c r="B66" s="44" t="s">
        <v>158</v>
      </c>
      <c r="C66" s="44" t="s">
        <v>159</v>
      </c>
      <c r="D66" s="44" t="s">
        <v>151</v>
      </c>
      <c r="E66" s="45" t="s">
        <v>14</v>
      </c>
      <c r="F66" s="50" t="s">
        <v>16</v>
      </c>
      <c r="G66" s="50"/>
      <c r="H66" s="45" t="s">
        <v>14</v>
      </c>
      <c r="I66" s="51">
        <v>3230</v>
      </c>
      <c r="J66" s="51"/>
      <c r="K66" s="48" t="s">
        <v>9</v>
      </c>
      <c r="L66" s="49">
        <v>168313.68</v>
      </c>
    </row>
    <row r="67" spans="1:12" ht="61.2" hidden="1" x14ac:dyDescent="0.3">
      <c r="A67" s="43" t="s">
        <v>140</v>
      </c>
      <c r="B67" s="44" t="s">
        <v>160</v>
      </c>
      <c r="C67" s="44" t="s">
        <v>161</v>
      </c>
      <c r="D67" s="44" t="s">
        <v>151</v>
      </c>
      <c r="E67" s="45" t="s">
        <v>14</v>
      </c>
      <c r="F67" s="50" t="s">
        <v>16</v>
      </c>
      <c r="G67" s="50"/>
      <c r="H67" s="45" t="s">
        <v>14</v>
      </c>
      <c r="I67" s="51">
        <v>3230</v>
      </c>
      <c r="J67" s="51"/>
      <c r="K67" s="48" t="s">
        <v>9</v>
      </c>
      <c r="L67" s="49">
        <v>165083.68</v>
      </c>
    </row>
    <row r="68" spans="1:12" ht="61.2" hidden="1" x14ac:dyDescent="0.3">
      <c r="A68" s="43" t="s">
        <v>140</v>
      </c>
      <c r="B68" s="44" t="s">
        <v>162</v>
      </c>
      <c r="C68" s="44" t="s">
        <v>163</v>
      </c>
      <c r="D68" s="44" t="s">
        <v>151</v>
      </c>
      <c r="E68" s="45" t="s">
        <v>14</v>
      </c>
      <c r="F68" s="50" t="s">
        <v>16</v>
      </c>
      <c r="G68" s="50"/>
      <c r="H68" s="45" t="s">
        <v>14</v>
      </c>
      <c r="I68" s="51">
        <v>3230</v>
      </c>
      <c r="J68" s="51"/>
      <c r="K68" s="48" t="s">
        <v>9</v>
      </c>
      <c r="L68" s="49">
        <v>161853.68</v>
      </c>
    </row>
    <row r="69" spans="1:12" ht="71.400000000000006" x14ac:dyDescent="0.3">
      <c r="A69" s="43" t="s">
        <v>33</v>
      </c>
      <c r="B69" s="44" t="s">
        <v>164</v>
      </c>
      <c r="C69" s="44" t="s">
        <v>35</v>
      </c>
      <c r="D69" s="44" t="s">
        <v>165</v>
      </c>
      <c r="E69" s="45" t="s">
        <v>37</v>
      </c>
      <c r="F69" s="50" t="s">
        <v>16</v>
      </c>
      <c r="G69" s="50"/>
      <c r="H69" s="45" t="s">
        <v>14</v>
      </c>
      <c r="I69" s="51">
        <v>1974.9</v>
      </c>
      <c r="J69" s="51"/>
      <c r="K69" s="48" t="s">
        <v>9</v>
      </c>
      <c r="L69" s="49">
        <v>159878.78</v>
      </c>
    </row>
    <row r="70" spans="1:12" ht="71.400000000000006" hidden="1" x14ac:dyDescent="0.3">
      <c r="A70" s="43" t="s">
        <v>33</v>
      </c>
      <c r="B70" s="44" t="s">
        <v>166</v>
      </c>
      <c r="C70" s="44" t="s">
        <v>167</v>
      </c>
      <c r="D70" s="44" t="s">
        <v>29</v>
      </c>
      <c r="E70" s="45" t="s">
        <v>14</v>
      </c>
      <c r="F70" s="46">
        <v>20193.75</v>
      </c>
      <c r="G70" s="46"/>
      <c r="H70" s="45" t="s">
        <v>15</v>
      </c>
      <c r="I70" s="47" t="s">
        <v>16</v>
      </c>
      <c r="J70" s="47"/>
      <c r="K70" s="48" t="s">
        <v>9</v>
      </c>
      <c r="L70" s="49">
        <v>180072.53</v>
      </c>
    </row>
    <row r="71" spans="1:12" ht="71.400000000000006" hidden="1" x14ac:dyDescent="0.3">
      <c r="A71" s="43" t="s">
        <v>33</v>
      </c>
      <c r="B71" s="44" t="s">
        <v>168</v>
      </c>
      <c r="C71" s="44" t="s">
        <v>167</v>
      </c>
      <c r="D71" s="44" t="s">
        <v>29</v>
      </c>
      <c r="E71" s="45" t="s">
        <v>14</v>
      </c>
      <c r="F71" s="46">
        <v>8691.25</v>
      </c>
      <c r="G71" s="46"/>
      <c r="H71" s="45" t="s">
        <v>15</v>
      </c>
      <c r="I71" s="47" t="s">
        <v>16</v>
      </c>
      <c r="J71" s="47"/>
      <c r="K71" s="48" t="s">
        <v>9</v>
      </c>
      <c r="L71" s="49">
        <v>188763.78</v>
      </c>
    </row>
    <row r="72" spans="1:12" ht="61.2" hidden="1" x14ac:dyDescent="0.3">
      <c r="A72" s="43" t="s">
        <v>33</v>
      </c>
      <c r="B72" s="44" t="s">
        <v>169</v>
      </c>
      <c r="C72" s="44" t="s">
        <v>170</v>
      </c>
      <c r="D72" s="44" t="s">
        <v>167</v>
      </c>
      <c r="E72" s="45" t="s">
        <v>14</v>
      </c>
      <c r="F72" s="50" t="s">
        <v>16</v>
      </c>
      <c r="G72" s="50"/>
      <c r="H72" s="45" t="s">
        <v>14</v>
      </c>
      <c r="I72" s="51">
        <v>15405.33</v>
      </c>
      <c r="J72" s="51"/>
      <c r="K72" s="48" t="s">
        <v>9</v>
      </c>
      <c r="L72" s="49">
        <v>173358.45</v>
      </c>
    </row>
    <row r="73" spans="1:12" ht="61.2" hidden="1" x14ac:dyDescent="0.3">
      <c r="A73" s="43" t="s">
        <v>33</v>
      </c>
      <c r="B73" s="44" t="s">
        <v>171</v>
      </c>
      <c r="C73" s="44" t="s">
        <v>172</v>
      </c>
      <c r="D73" s="44" t="s">
        <v>167</v>
      </c>
      <c r="E73" s="45" t="s">
        <v>14</v>
      </c>
      <c r="F73" s="50" t="s">
        <v>16</v>
      </c>
      <c r="G73" s="50"/>
      <c r="H73" s="45" t="s">
        <v>14</v>
      </c>
      <c r="I73" s="51">
        <v>11554</v>
      </c>
      <c r="J73" s="51"/>
      <c r="K73" s="48" t="s">
        <v>9</v>
      </c>
      <c r="L73" s="49">
        <v>161804.45000000001</v>
      </c>
    </row>
    <row r="74" spans="1:12" ht="71.400000000000006" hidden="1" x14ac:dyDescent="0.3">
      <c r="A74" s="43" t="s">
        <v>33</v>
      </c>
      <c r="B74" s="44" t="s">
        <v>173</v>
      </c>
      <c r="C74" s="44" t="s">
        <v>174</v>
      </c>
      <c r="D74" s="44" t="s">
        <v>167</v>
      </c>
      <c r="E74" s="45" t="s">
        <v>14</v>
      </c>
      <c r="F74" s="50" t="s">
        <v>16</v>
      </c>
      <c r="G74" s="50"/>
      <c r="H74" s="45" t="s">
        <v>14</v>
      </c>
      <c r="I74" s="51">
        <v>1925.67</v>
      </c>
      <c r="J74" s="51"/>
      <c r="K74" s="48" t="s">
        <v>9</v>
      </c>
      <c r="L74" s="49">
        <v>159878.78</v>
      </c>
    </row>
    <row r="75" spans="1:12" ht="71.400000000000006" hidden="1" x14ac:dyDescent="0.3">
      <c r="A75" s="43" t="s">
        <v>175</v>
      </c>
      <c r="B75" s="44" t="s">
        <v>176</v>
      </c>
      <c r="C75" s="44" t="s">
        <v>177</v>
      </c>
      <c r="D75" s="44" t="s">
        <v>178</v>
      </c>
      <c r="E75" s="45" t="s">
        <v>14</v>
      </c>
      <c r="F75" s="46">
        <v>20193.75</v>
      </c>
      <c r="G75" s="46"/>
      <c r="H75" s="45" t="s">
        <v>15</v>
      </c>
      <c r="I75" s="47" t="s">
        <v>16</v>
      </c>
      <c r="J75" s="47"/>
      <c r="K75" s="48" t="s">
        <v>9</v>
      </c>
      <c r="L75" s="49">
        <v>180072.53</v>
      </c>
    </row>
    <row r="76" spans="1:12" ht="71.400000000000006" hidden="1" x14ac:dyDescent="0.3">
      <c r="A76" s="43" t="s">
        <v>175</v>
      </c>
      <c r="B76" s="44" t="s">
        <v>176</v>
      </c>
      <c r="C76" s="44" t="s">
        <v>179</v>
      </c>
      <c r="D76" s="44" t="s">
        <v>178</v>
      </c>
      <c r="E76" s="45" t="s">
        <v>14</v>
      </c>
      <c r="F76" s="46">
        <v>7850</v>
      </c>
      <c r="G76" s="46"/>
      <c r="H76" s="45" t="s">
        <v>15</v>
      </c>
      <c r="I76" s="47" t="s">
        <v>16</v>
      </c>
      <c r="J76" s="47"/>
      <c r="K76" s="48" t="s">
        <v>9</v>
      </c>
      <c r="L76" s="49">
        <v>187922.53</v>
      </c>
    </row>
    <row r="77" spans="1:12" ht="71.400000000000006" hidden="1" x14ac:dyDescent="0.3">
      <c r="A77" s="43" t="s">
        <v>175</v>
      </c>
      <c r="B77" s="44" t="s">
        <v>180</v>
      </c>
      <c r="C77" s="44" t="s">
        <v>177</v>
      </c>
      <c r="D77" s="44" t="s">
        <v>178</v>
      </c>
      <c r="E77" s="45" t="s">
        <v>14</v>
      </c>
      <c r="F77" s="46">
        <v>11639.02</v>
      </c>
      <c r="G77" s="46"/>
      <c r="H77" s="45" t="s">
        <v>15</v>
      </c>
      <c r="I77" s="47" t="s">
        <v>16</v>
      </c>
      <c r="J77" s="47"/>
      <c r="K77" s="48" t="s">
        <v>9</v>
      </c>
      <c r="L77" s="49">
        <v>199561.55</v>
      </c>
    </row>
    <row r="78" spans="1:12" ht="71.400000000000006" hidden="1" x14ac:dyDescent="0.3">
      <c r="A78" s="43" t="s">
        <v>175</v>
      </c>
      <c r="B78" s="44" t="s">
        <v>180</v>
      </c>
      <c r="C78" s="44" t="s">
        <v>179</v>
      </c>
      <c r="D78" s="44" t="s">
        <v>178</v>
      </c>
      <c r="E78" s="45" t="s">
        <v>14</v>
      </c>
      <c r="F78" s="46">
        <v>4524.4799999999996</v>
      </c>
      <c r="G78" s="46"/>
      <c r="H78" s="45" t="s">
        <v>15</v>
      </c>
      <c r="I78" s="47" t="s">
        <v>16</v>
      </c>
      <c r="J78" s="47"/>
      <c r="K78" s="48" t="s">
        <v>9</v>
      </c>
      <c r="L78" s="49">
        <v>204086.03</v>
      </c>
    </row>
    <row r="79" spans="1:12" ht="71.400000000000006" hidden="1" x14ac:dyDescent="0.3">
      <c r="A79" s="43" t="s">
        <v>175</v>
      </c>
      <c r="B79" s="44" t="s">
        <v>181</v>
      </c>
      <c r="C79" s="44" t="s">
        <v>182</v>
      </c>
      <c r="D79" s="44" t="s">
        <v>179</v>
      </c>
      <c r="E79" s="45" t="s">
        <v>14</v>
      </c>
      <c r="F79" s="50" t="s">
        <v>16</v>
      </c>
      <c r="G79" s="50"/>
      <c r="H79" s="45" t="s">
        <v>14</v>
      </c>
      <c r="I79" s="51">
        <v>6496.6</v>
      </c>
      <c r="J79" s="51"/>
      <c r="K79" s="48" t="s">
        <v>9</v>
      </c>
      <c r="L79" s="49">
        <v>197589.43</v>
      </c>
    </row>
    <row r="80" spans="1:12" ht="61.2" hidden="1" x14ac:dyDescent="0.3">
      <c r="A80" s="43" t="s">
        <v>175</v>
      </c>
      <c r="B80" s="44" t="s">
        <v>183</v>
      </c>
      <c r="C80" s="44" t="s">
        <v>184</v>
      </c>
      <c r="D80" s="44" t="s">
        <v>179</v>
      </c>
      <c r="E80" s="45" t="s">
        <v>14</v>
      </c>
      <c r="F80" s="50" t="s">
        <v>16</v>
      </c>
      <c r="G80" s="50"/>
      <c r="H80" s="45" t="s">
        <v>14</v>
      </c>
      <c r="I80" s="51">
        <v>5877.88</v>
      </c>
      <c r="J80" s="51"/>
      <c r="K80" s="48" t="s">
        <v>9</v>
      </c>
      <c r="L80" s="49">
        <v>191711.55</v>
      </c>
    </row>
    <row r="81" spans="1:12" ht="61.2" hidden="1" x14ac:dyDescent="0.3">
      <c r="A81" s="43" t="s">
        <v>175</v>
      </c>
      <c r="B81" s="44" t="s">
        <v>185</v>
      </c>
      <c r="C81" s="44" t="s">
        <v>186</v>
      </c>
      <c r="D81" s="44" t="s">
        <v>177</v>
      </c>
      <c r="E81" s="45" t="s">
        <v>14</v>
      </c>
      <c r="F81" s="50" t="s">
        <v>16</v>
      </c>
      <c r="G81" s="50"/>
      <c r="H81" s="45" t="s">
        <v>14</v>
      </c>
      <c r="I81" s="51">
        <v>8913.18</v>
      </c>
      <c r="J81" s="51"/>
      <c r="K81" s="48" t="s">
        <v>9</v>
      </c>
      <c r="L81" s="49">
        <v>182798.37</v>
      </c>
    </row>
    <row r="82" spans="1:12" ht="61.2" hidden="1" x14ac:dyDescent="0.3">
      <c r="A82" s="43" t="s">
        <v>175</v>
      </c>
      <c r="B82" s="44" t="s">
        <v>187</v>
      </c>
      <c r="C82" s="44" t="s">
        <v>188</v>
      </c>
      <c r="D82" s="44" t="s">
        <v>177</v>
      </c>
      <c r="E82" s="45" t="s">
        <v>14</v>
      </c>
      <c r="F82" s="50" t="s">
        <v>16</v>
      </c>
      <c r="G82" s="50"/>
      <c r="H82" s="45" t="s">
        <v>14</v>
      </c>
      <c r="I82" s="51">
        <v>22919.59</v>
      </c>
      <c r="J82" s="51"/>
      <c r="K82" s="48" t="s">
        <v>9</v>
      </c>
      <c r="L82" s="49">
        <v>159878.78</v>
      </c>
    </row>
    <row r="83" spans="1:12" ht="71.400000000000006" hidden="1" x14ac:dyDescent="0.3">
      <c r="A83" s="43" t="s">
        <v>189</v>
      </c>
      <c r="B83" s="44" t="s">
        <v>190</v>
      </c>
      <c r="C83" s="44" t="s">
        <v>191</v>
      </c>
      <c r="D83" s="44" t="s">
        <v>178</v>
      </c>
      <c r="E83" s="45" t="s">
        <v>14</v>
      </c>
      <c r="F83" s="46">
        <v>122508.75</v>
      </c>
      <c r="G83" s="46"/>
      <c r="H83" s="45" t="s">
        <v>15</v>
      </c>
      <c r="I83" s="47" t="s">
        <v>16</v>
      </c>
      <c r="J83" s="47"/>
      <c r="K83" s="48" t="s">
        <v>9</v>
      </c>
      <c r="L83" s="49">
        <v>282387.53000000003</v>
      </c>
    </row>
    <row r="84" spans="1:12" ht="71.400000000000006" hidden="1" x14ac:dyDescent="0.3">
      <c r="A84" s="43" t="s">
        <v>189</v>
      </c>
      <c r="B84" s="44" t="s">
        <v>192</v>
      </c>
      <c r="C84" s="44" t="s">
        <v>191</v>
      </c>
      <c r="D84" s="44" t="s">
        <v>178</v>
      </c>
      <c r="E84" s="45" t="s">
        <v>14</v>
      </c>
      <c r="F84" s="46">
        <v>39361</v>
      </c>
      <c r="G84" s="46"/>
      <c r="H84" s="45" t="s">
        <v>15</v>
      </c>
      <c r="I84" s="47" t="s">
        <v>16</v>
      </c>
      <c r="J84" s="47"/>
      <c r="K84" s="48" t="s">
        <v>9</v>
      </c>
      <c r="L84" s="49">
        <v>321748.53000000003</v>
      </c>
    </row>
    <row r="85" spans="1:12" ht="71.400000000000006" hidden="1" x14ac:dyDescent="0.3">
      <c r="A85" s="43" t="s">
        <v>189</v>
      </c>
      <c r="B85" s="44" t="s">
        <v>193</v>
      </c>
      <c r="C85" s="44" t="s">
        <v>194</v>
      </c>
      <c r="D85" s="44" t="s">
        <v>191</v>
      </c>
      <c r="E85" s="45" t="s">
        <v>14</v>
      </c>
      <c r="F85" s="50" t="s">
        <v>16</v>
      </c>
      <c r="G85" s="50"/>
      <c r="H85" s="45" t="s">
        <v>14</v>
      </c>
      <c r="I85" s="51">
        <v>117400.04</v>
      </c>
      <c r="J85" s="51"/>
      <c r="K85" s="48" t="s">
        <v>9</v>
      </c>
      <c r="L85" s="49">
        <v>204348.49</v>
      </c>
    </row>
    <row r="86" spans="1:12" ht="61.2" hidden="1" x14ac:dyDescent="0.3">
      <c r="A86" s="43" t="s">
        <v>189</v>
      </c>
      <c r="B86" s="44" t="s">
        <v>195</v>
      </c>
      <c r="C86" s="44" t="s">
        <v>196</v>
      </c>
      <c r="D86" s="44" t="s">
        <v>191</v>
      </c>
      <c r="E86" s="45" t="s">
        <v>14</v>
      </c>
      <c r="F86" s="50" t="s">
        <v>16</v>
      </c>
      <c r="G86" s="50"/>
      <c r="H86" s="45" t="s">
        <v>14</v>
      </c>
      <c r="I86" s="51">
        <v>7115.15</v>
      </c>
      <c r="J86" s="51"/>
      <c r="K86" s="48" t="s">
        <v>9</v>
      </c>
      <c r="L86" s="49">
        <v>197233.34</v>
      </c>
    </row>
    <row r="87" spans="1:12" ht="61.2" hidden="1" x14ac:dyDescent="0.3">
      <c r="A87" s="43" t="s">
        <v>189</v>
      </c>
      <c r="B87" s="44" t="s">
        <v>197</v>
      </c>
      <c r="C87" s="44" t="s">
        <v>198</v>
      </c>
      <c r="D87" s="44" t="s">
        <v>191</v>
      </c>
      <c r="E87" s="45" t="s">
        <v>14</v>
      </c>
      <c r="F87" s="50" t="s">
        <v>16</v>
      </c>
      <c r="G87" s="50"/>
      <c r="H87" s="45" t="s">
        <v>14</v>
      </c>
      <c r="I87" s="51">
        <v>37354.559999999998</v>
      </c>
      <c r="J87" s="51"/>
      <c r="K87" s="48" t="s">
        <v>9</v>
      </c>
      <c r="L87" s="49">
        <v>159878.78</v>
      </c>
    </row>
    <row r="88" spans="1:12" ht="71.400000000000006" hidden="1" x14ac:dyDescent="0.3">
      <c r="A88" s="43" t="s">
        <v>44</v>
      </c>
      <c r="B88" s="44" t="s">
        <v>199</v>
      </c>
      <c r="C88" s="44" t="s">
        <v>47</v>
      </c>
      <c r="D88" s="44" t="s">
        <v>200</v>
      </c>
      <c r="E88" s="45" t="s">
        <v>14</v>
      </c>
      <c r="F88" s="52">
        <v>396.2</v>
      </c>
      <c r="G88" s="52"/>
      <c r="H88" s="45" t="s">
        <v>15</v>
      </c>
      <c r="I88" s="47" t="s">
        <v>16</v>
      </c>
      <c r="J88" s="47"/>
      <c r="K88" s="48" t="s">
        <v>9</v>
      </c>
      <c r="L88" s="49">
        <v>160274.98000000001</v>
      </c>
    </row>
    <row r="89" spans="1:12" ht="71.400000000000006" hidden="1" x14ac:dyDescent="0.3">
      <c r="A89" s="43" t="s">
        <v>44</v>
      </c>
      <c r="B89" s="44" t="s">
        <v>199</v>
      </c>
      <c r="C89" s="44" t="s">
        <v>49</v>
      </c>
      <c r="D89" s="44" t="s">
        <v>200</v>
      </c>
      <c r="E89" s="45" t="s">
        <v>14</v>
      </c>
      <c r="F89" s="52">
        <v>365</v>
      </c>
      <c r="G89" s="52"/>
      <c r="H89" s="45" t="s">
        <v>15</v>
      </c>
      <c r="I89" s="47" t="s">
        <v>16</v>
      </c>
      <c r="J89" s="47"/>
      <c r="K89" s="48" t="s">
        <v>9</v>
      </c>
      <c r="L89" s="49">
        <v>160639.98000000001</v>
      </c>
    </row>
    <row r="90" spans="1:12" ht="71.400000000000006" hidden="1" x14ac:dyDescent="0.3">
      <c r="A90" s="43" t="s">
        <v>44</v>
      </c>
      <c r="B90" s="44" t="s">
        <v>45</v>
      </c>
      <c r="C90" s="44" t="s">
        <v>46</v>
      </c>
      <c r="D90" s="44" t="s">
        <v>47</v>
      </c>
      <c r="E90" s="45" t="s">
        <v>14</v>
      </c>
      <c r="F90" s="50" t="s">
        <v>16</v>
      </c>
      <c r="G90" s="50"/>
      <c r="H90" s="45" t="s">
        <v>14</v>
      </c>
      <c r="I90" s="53">
        <v>396.2</v>
      </c>
      <c r="J90" s="53"/>
      <c r="K90" s="48" t="s">
        <v>9</v>
      </c>
      <c r="L90" s="49">
        <v>160243.78</v>
      </c>
    </row>
    <row r="91" spans="1:12" ht="71.400000000000006" hidden="1" x14ac:dyDescent="0.3">
      <c r="A91" s="43" t="s">
        <v>44</v>
      </c>
      <c r="B91" s="44" t="s">
        <v>45</v>
      </c>
      <c r="C91" s="44" t="s">
        <v>48</v>
      </c>
      <c r="D91" s="44" t="s">
        <v>49</v>
      </c>
      <c r="E91" s="45" t="s">
        <v>14</v>
      </c>
      <c r="F91" s="50" t="s">
        <v>16</v>
      </c>
      <c r="G91" s="50"/>
      <c r="H91" s="45" t="s">
        <v>14</v>
      </c>
      <c r="I91" s="53">
        <v>365</v>
      </c>
      <c r="J91" s="53"/>
      <c r="K91" s="48" t="s">
        <v>9</v>
      </c>
      <c r="L91" s="49">
        <v>159878.78</v>
      </c>
    </row>
    <row r="92" spans="1:12" ht="71.400000000000006" hidden="1" x14ac:dyDescent="0.3">
      <c r="A92" s="43" t="s">
        <v>201</v>
      </c>
      <c r="B92" s="44" t="s">
        <v>202</v>
      </c>
      <c r="C92" s="44" t="s">
        <v>203</v>
      </c>
      <c r="D92" s="44" t="s">
        <v>204</v>
      </c>
      <c r="E92" s="45" t="s">
        <v>14</v>
      </c>
      <c r="F92" s="50" t="s">
        <v>16</v>
      </c>
      <c r="G92" s="50"/>
      <c r="H92" s="45" t="s">
        <v>14</v>
      </c>
      <c r="I92" s="53">
        <v>353.7</v>
      </c>
      <c r="J92" s="53"/>
      <c r="K92" s="48" t="s">
        <v>9</v>
      </c>
      <c r="L92" s="49">
        <v>159525.07999999999</v>
      </c>
    </row>
    <row r="93" spans="1:12" ht="71.400000000000006" hidden="1" x14ac:dyDescent="0.3">
      <c r="A93" s="43" t="s">
        <v>201</v>
      </c>
      <c r="B93" s="44" t="s">
        <v>205</v>
      </c>
      <c r="C93" s="44" t="s">
        <v>206</v>
      </c>
      <c r="D93" s="44" t="s">
        <v>178</v>
      </c>
      <c r="E93" s="45" t="s">
        <v>14</v>
      </c>
      <c r="F93" s="46">
        <v>22886.25</v>
      </c>
      <c r="G93" s="46"/>
      <c r="H93" s="45" t="s">
        <v>15</v>
      </c>
      <c r="I93" s="47" t="s">
        <v>16</v>
      </c>
      <c r="J93" s="47"/>
      <c r="K93" s="48" t="s">
        <v>9</v>
      </c>
      <c r="L93" s="49">
        <v>182411.33</v>
      </c>
    </row>
    <row r="94" spans="1:12" ht="71.400000000000006" hidden="1" x14ac:dyDescent="0.3">
      <c r="A94" s="43" t="s">
        <v>201</v>
      </c>
      <c r="B94" s="44" t="s">
        <v>207</v>
      </c>
      <c r="C94" s="44" t="s">
        <v>206</v>
      </c>
      <c r="D94" s="44" t="s">
        <v>178</v>
      </c>
      <c r="E94" s="45" t="s">
        <v>14</v>
      </c>
      <c r="F94" s="46">
        <v>9685</v>
      </c>
      <c r="G94" s="46"/>
      <c r="H94" s="45" t="s">
        <v>15</v>
      </c>
      <c r="I94" s="47" t="s">
        <v>16</v>
      </c>
      <c r="J94" s="47"/>
      <c r="K94" s="48" t="s">
        <v>9</v>
      </c>
      <c r="L94" s="49">
        <v>192096.33</v>
      </c>
    </row>
    <row r="95" spans="1:12" ht="61.2" hidden="1" x14ac:dyDescent="0.3">
      <c r="A95" s="43" t="s">
        <v>201</v>
      </c>
      <c r="B95" s="44" t="s">
        <v>208</v>
      </c>
      <c r="C95" s="44" t="s">
        <v>209</v>
      </c>
      <c r="D95" s="44" t="s">
        <v>206</v>
      </c>
      <c r="E95" s="45" t="s">
        <v>14</v>
      </c>
      <c r="F95" s="50" t="s">
        <v>16</v>
      </c>
      <c r="G95" s="50"/>
      <c r="H95" s="45" t="s">
        <v>14</v>
      </c>
      <c r="I95" s="51">
        <v>4981.49</v>
      </c>
      <c r="J95" s="51"/>
      <c r="K95" s="48" t="s">
        <v>9</v>
      </c>
      <c r="L95" s="49">
        <v>187114.84</v>
      </c>
    </row>
    <row r="96" spans="1:12" ht="61.2" hidden="1" x14ac:dyDescent="0.3">
      <c r="A96" s="43" t="s">
        <v>201</v>
      </c>
      <c r="B96" s="44" t="s">
        <v>210</v>
      </c>
      <c r="C96" s="44" t="s">
        <v>211</v>
      </c>
      <c r="D96" s="44" t="s">
        <v>206</v>
      </c>
      <c r="E96" s="45" t="s">
        <v>14</v>
      </c>
      <c r="F96" s="50" t="s">
        <v>16</v>
      </c>
      <c r="G96" s="50"/>
      <c r="H96" s="45" t="s">
        <v>14</v>
      </c>
      <c r="I96" s="51">
        <v>9579.7800000000007</v>
      </c>
      <c r="J96" s="51"/>
      <c r="K96" s="48" t="s">
        <v>9</v>
      </c>
      <c r="L96" s="49">
        <v>177535.06</v>
      </c>
    </row>
    <row r="97" spans="1:12" ht="61.2" hidden="1" x14ac:dyDescent="0.3">
      <c r="A97" s="43" t="s">
        <v>201</v>
      </c>
      <c r="B97" s="44" t="s">
        <v>212</v>
      </c>
      <c r="C97" s="44" t="s">
        <v>213</v>
      </c>
      <c r="D97" s="44" t="s">
        <v>206</v>
      </c>
      <c r="E97" s="45" t="s">
        <v>14</v>
      </c>
      <c r="F97" s="50" t="s">
        <v>16</v>
      </c>
      <c r="G97" s="50"/>
      <c r="H97" s="45" t="s">
        <v>14</v>
      </c>
      <c r="I97" s="51">
        <v>16094.02</v>
      </c>
      <c r="J97" s="51"/>
      <c r="K97" s="48" t="s">
        <v>9</v>
      </c>
      <c r="L97" s="49">
        <v>161441.04</v>
      </c>
    </row>
    <row r="98" spans="1:12" ht="71.400000000000006" hidden="1" x14ac:dyDescent="0.3">
      <c r="A98" s="43" t="s">
        <v>201</v>
      </c>
      <c r="B98" s="44" t="s">
        <v>214</v>
      </c>
      <c r="C98" s="44" t="s">
        <v>215</v>
      </c>
      <c r="D98" s="44" t="s">
        <v>206</v>
      </c>
      <c r="E98" s="45" t="s">
        <v>14</v>
      </c>
      <c r="F98" s="50" t="s">
        <v>16</v>
      </c>
      <c r="G98" s="50"/>
      <c r="H98" s="45" t="s">
        <v>14</v>
      </c>
      <c r="I98" s="51">
        <v>1915.96</v>
      </c>
      <c r="J98" s="51"/>
      <c r="K98" s="48" t="s">
        <v>9</v>
      </c>
      <c r="L98" s="49">
        <v>159525.07999999999</v>
      </c>
    </row>
    <row r="99" spans="1:12" ht="71.400000000000006" hidden="1" x14ac:dyDescent="0.3">
      <c r="A99" s="43" t="s">
        <v>50</v>
      </c>
      <c r="B99" s="44" t="s">
        <v>216</v>
      </c>
      <c r="C99" s="44" t="s">
        <v>217</v>
      </c>
      <c r="D99" s="44" t="s">
        <v>178</v>
      </c>
      <c r="E99" s="45" t="s">
        <v>14</v>
      </c>
      <c r="F99" s="46">
        <v>115777.5</v>
      </c>
      <c r="G99" s="46"/>
      <c r="H99" s="45" t="s">
        <v>15</v>
      </c>
      <c r="I99" s="47" t="s">
        <v>16</v>
      </c>
      <c r="J99" s="47"/>
      <c r="K99" s="48" t="s">
        <v>9</v>
      </c>
      <c r="L99" s="49">
        <v>275302.58</v>
      </c>
    </row>
    <row r="100" spans="1:12" ht="71.400000000000006" hidden="1" x14ac:dyDescent="0.3">
      <c r="A100" s="43" t="s">
        <v>50</v>
      </c>
      <c r="B100" s="44" t="s">
        <v>216</v>
      </c>
      <c r="C100" s="44" t="s">
        <v>218</v>
      </c>
      <c r="D100" s="44" t="s">
        <v>178</v>
      </c>
      <c r="E100" s="45" t="s">
        <v>14</v>
      </c>
      <c r="F100" s="46">
        <v>10793.75</v>
      </c>
      <c r="G100" s="46"/>
      <c r="H100" s="45" t="s">
        <v>15</v>
      </c>
      <c r="I100" s="47" t="s">
        <v>16</v>
      </c>
      <c r="J100" s="47"/>
      <c r="K100" s="48" t="s">
        <v>9</v>
      </c>
      <c r="L100" s="49">
        <v>286096.33</v>
      </c>
    </row>
    <row r="101" spans="1:12" ht="71.400000000000006" hidden="1" x14ac:dyDescent="0.3">
      <c r="A101" s="43" t="s">
        <v>50</v>
      </c>
      <c r="B101" s="44" t="s">
        <v>219</v>
      </c>
      <c r="C101" s="44" t="s">
        <v>217</v>
      </c>
      <c r="D101" s="44" t="s">
        <v>178</v>
      </c>
      <c r="E101" s="45" t="s">
        <v>14</v>
      </c>
      <c r="F101" s="46">
        <v>41543.47</v>
      </c>
      <c r="G101" s="46"/>
      <c r="H101" s="45" t="s">
        <v>15</v>
      </c>
      <c r="I101" s="47" t="s">
        <v>16</v>
      </c>
      <c r="J101" s="47"/>
      <c r="K101" s="48" t="s">
        <v>9</v>
      </c>
      <c r="L101" s="49">
        <v>327639.8</v>
      </c>
    </row>
    <row r="102" spans="1:12" ht="71.400000000000006" hidden="1" x14ac:dyDescent="0.3">
      <c r="A102" s="43" t="s">
        <v>50</v>
      </c>
      <c r="B102" s="44" t="s">
        <v>219</v>
      </c>
      <c r="C102" s="44" t="s">
        <v>218</v>
      </c>
      <c r="D102" s="44" t="s">
        <v>178</v>
      </c>
      <c r="E102" s="45" t="s">
        <v>14</v>
      </c>
      <c r="F102" s="46">
        <v>3873.03</v>
      </c>
      <c r="G102" s="46"/>
      <c r="H102" s="45" t="s">
        <v>15</v>
      </c>
      <c r="I102" s="47" t="s">
        <v>16</v>
      </c>
      <c r="J102" s="47"/>
      <c r="K102" s="48" t="s">
        <v>9</v>
      </c>
      <c r="L102" s="49">
        <v>331512.83</v>
      </c>
    </row>
    <row r="103" spans="1:12" ht="71.400000000000006" hidden="1" x14ac:dyDescent="0.3">
      <c r="A103" s="43" t="s">
        <v>50</v>
      </c>
      <c r="B103" s="44" t="s">
        <v>220</v>
      </c>
      <c r="C103" s="44" t="s">
        <v>221</v>
      </c>
      <c r="D103" s="44" t="s">
        <v>217</v>
      </c>
      <c r="E103" s="45" t="s">
        <v>14</v>
      </c>
      <c r="F103" s="50" t="s">
        <v>16</v>
      </c>
      <c r="G103" s="50"/>
      <c r="H103" s="45" t="s">
        <v>14</v>
      </c>
      <c r="I103" s="51">
        <v>104270.88</v>
      </c>
      <c r="J103" s="51"/>
      <c r="K103" s="48" t="s">
        <v>9</v>
      </c>
      <c r="L103" s="49">
        <v>227241.95</v>
      </c>
    </row>
    <row r="104" spans="1:12" ht="61.2" hidden="1" x14ac:dyDescent="0.3">
      <c r="A104" s="43" t="s">
        <v>50</v>
      </c>
      <c r="B104" s="44" t="s">
        <v>222</v>
      </c>
      <c r="C104" s="44" t="s">
        <v>223</v>
      </c>
      <c r="D104" s="44" t="s">
        <v>217</v>
      </c>
      <c r="E104" s="45" t="s">
        <v>14</v>
      </c>
      <c r="F104" s="50" t="s">
        <v>16</v>
      </c>
      <c r="G104" s="50"/>
      <c r="H104" s="45" t="s">
        <v>14</v>
      </c>
      <c r="I104" s="51">
        <v>7317.25</v>
      </c>
      <c r="J104" s="51"/>
      <c r="K104" s="48" t="s">
        <v>9</v>
      </c>
      <c r="L104" s="49">
        <v>219924.7</v>
      </c>
    </row>
    <row r="105" spans="1:12" ht="61.2" hidden="1" x14ac:dyDescent="0.3">
      <c r="A105" s="43" t="s">
        <v>50</v>
      </c>
      <c r="B105" s="44" t="s">
        <v>224</v>
      </c>
      <c r="C105" s="44" t="s">
        <v>225</v>
      </c>
      <c r="D105" s="44" t="s">
        <v>217</v>
      </c>
      <c r="E105" s="45" t="s">
        <v>14</v>
      </c>
      <c r="F105" s="50" t="s">
        <v>16</v>
      </c>
      <c r="G105" s="50"/>
      <c r="H105" s="45" t="s">
        <v>14</v>
      </c>
      <c r="I105" s="51">
        <v>9146.57</v>
      </c>
      <c r="J105" s="51"/>
      <c r="K105" s="48" t="s">
        <v>9</v>
      </c>
      <c r="L105" s="49">
        <v>210778.13</v>
      </c>
    </row>
    <row r="106" spans="1:12" ht="61.2" hidden="1" x14ac:dyDescent="0.3">
      <c r="A106" s="43" t="s">
        <v>50</v>
      </c>
      <c r="B106" s="44" t="s">
        <v>226</v>
      </c>
      <c r="C106" s="44" t="s">
        <v>227</v>
      </c>
      <c r="D106" s="44" t="s">
        <v>217</v>
      </c>
      <c r="E106" s="45" t="s">
        <v>14</v>
      </c>
      <c r="F106" s="50" t="s">
        <v>16</v>
      </c>
      <c r="G106" s="50"/>
      <c r="H106" s="45" t="s">
        <v>14</v>
      </c>
      <c r="I106" s="51">
        <v>36586.269999999997</v>
      </c>
      <c r="J106" s="51"/>
      <c r="K106" s="48" t="s">
        <v>9</v>
      </c>
      <c r="L106" s="49">
        <v>174191.86</v>
      </c>
    </row>
    <row r="107" spans="1:12" ht="61.2" hidden="1" x14ac:dyDescent="0.3">
      <c r="A107" s="43" t="s">
        <v>50</v>
      </c>
      <c r="B107" s="44" t="s">
        <v>226</v>
      </c>
      <c r="C107" s="44" t="s">
        <v>228</v>
      </c>
      <c r="D107" s="44" t="s">
        <v>218</v>
      </c>
      <c r="E107" s="45" t="s">
        <v>14</v>
      </c>
      <c r="F107" s="50" t="s">
        <v>16</v>
      </c>
      <c r="G107" s="50"/>
      <c r="H107" s="45" t="s">
        <v>14</v>
      </c>
      <c r="I107" s="51">
        <v>14666.78</v>
      </c>
      <c r="J107" s="51"/>
      <c r="K107" s="48" t="s">
        <v>9</v>
      </c>
      <c r="L107" s="49">
        <v>159525.07999999999</v>
      </c>
    </row>
    <row r="108" spans="1:12" ht="71.400000000000006" hidden="1" x14ac:dyDescent="0.3">
      <c r="A108" s="43" t="s">
        <v>229</v>
      </c>
      <c r="B108" s="44" t="s">
        <v>230</v>
      </c>
      <c r="C108" s="44" t="s">
        <v>231</v>
      </c>
      <c r="D108" s="44" t="s">
        <v>178</v>
      </c>
      <c r="E108" s="45" t="s">
        <v>14</v>
      </c>
      <c r="F108" s="46">
        <v>65047.5</v>
      </c>
      <c r="G108" s="46"/>
      <c r="H108" s="45" t="s">
        <v>15</v>
      </c>
      <c r="I108" s="47" t="s">
        <v>16</v>
      </c>
      <c r="J108" s="47"/>
      <c r="K108" s="48" t="s">
        <v>9</v>
      </c>
      <c r="L108" s="49">
        <v>224572.58</v>
      </c>
    </row>
    <row r="109" spans="1:12" ht="71.400000000000006" hidden="1" x14ac:dyDescent="0.3">
      <c r="A109" s="43" t="s">
        <v>229</v>
      </c>
      <c r="B109" s="44" t="s">
        <v>232</v>
      </c>
      <c r="C109" s="44" t="s">
        <v>231</v>
      </c>
      <c r="D109" s="44" t="s">
        <v>233</v>
      </c>
      <c r="E109" s="45" t="s">
        <v>14</v>
      </c>
      <c r="F109" s="46">
        <v>11006.2</v>
      </c>
      <c r="G109" s="46"/>
      <c r="H109" s="45" t="s">
        <v>15</v>
      </c>
      <c r="I109" s="47" t="s">
        <v>16</v>
      </c>
      <c r="J109" s="47"/>
      <c r="K109" s="48" t="s">
        <v>9</v>
      </c>
      <c r="L109" s="49">
        <v>235578.78</v>
      </c>
    </row>
    <row r="110" spans="1:12" ht="71.400000000000006" hidden="1" x14ac:dyDescent="0.3">
      <c r="A110" s="43" t="s">
        <v>229</v>
      </c>
      <c r="B110" s="44" t="s">
        <v>232</v>
      </c>
      <c r="C110" s="44" t="s">
        <v>231</v>
      </c>
      <c r="D110" s="44" t="s">
        <v>178</v>
      </c>
      <c r="E110" s="45" t="s">
        <v>14</v>
      </c>
      <c r="F110" s="46">
        <v>11317.8</v>
      </c>
      <c r="G110" s="46"/>
      <c r="H110" s="45" t="s">
        <v>15</v>
      </c>
      <c r="I110" s="47" t="s">
        <v>16</v>
      </c>
      <c r="J110" s="47"/>
      <c r="K110" s="48" t="s">
        <v>9</v>
      </c>
      <c r="L110" s="49">
        <v>246896.58</v>
      </c>
    </row>
    <row r="111" spans="1:12" ht="71.400000000000006" hidden="1" x14ac:dyDescent="0.3">
      <c r="A111" s="43" t="s">
        <v>229</v>
      </c>
      <c r="B111" s="44" t="s">
        <v>234</v>
      </c>
      <c r="C111" s="44" t="s">
        <v>235</v>
      </c>
      <c r="D111" s="44" t="s">
        <v>231</v>
      </c>
      <c r="E111" s="45" t="s">
        <v>14</v>
      </c>
      <c r="F111" s="50" t="s">
        <v>16</v>
      </c>
      <c r="G111" s="50"/>
      <c r="H111" s="45" t="s">
        <v>14</v>
      </c>
      <c r="I111" s="51">
        <v>83805.320000000007</v>
      </c>
      <c r="J111" s="51"/>
      <c r="K111" s="48" t="s">
        <v>9</v>
      </c>
      <c r="L111" s="49">
        <v>163091.26</v>
      </c>
    </row>
    <row r="112" spans="1:12" ht="61.2" hidden="1" x14ac:dyDescent="0.3">
      <c r="A112" s="43" t="s">
        <v>229</v>
      </c>
      <c r="B112" s="44" t="s">
        <v>236</v>
      </c>
      <c r="C112" s="44" t="s">
        <v>237</v>
      </c>
      <c r="D112" s="44" t="s">
        <v>231</v>
      </c>
      <c r="E112" s="45" t="s">
        <v>14</v>
      </c>
      <c r="F112" s="50" t="s">
        <v>16</v>
      </c>
      <c r="G112" s="50"/>
      <c r="H112" s="45" t="s">
        <v>14</v>
      </c>
      <c r="I112" s="51">
        <v>3566.18</v>
      </c>
      <c r="J112" s="51"/>
      <c r="K112" s="48" t="s">
        <v>9</v>
      </c>
      <c r="L112" s="49">
        <v>159525.07999999999</v>
      </c>
    </row>
    <row r="113" spans="1:12" ht="71.400000000000006" hidden="1" x14ac:dyDescent="0.3">
      <c r="A113" s="43" t="s">
        <v>238</v>
      </c>
      <c r="B113" s="44" t="s">
        <v>239</v>
      </c>
      <c r="C113" s="44" t="s">
        <v>240</v>
      </c>
      <c r="D113" s="44" t="s">
        <v>233</v>
      </c>
      <c r="E113" s="45" t="s">
        <v>14</v>
      </c>
      <c r="F113" s="46">
        <v>193815</v>
      </c>
      <c r="G113" s="46"/>
      <c r="H113" s="45" t="s">
        <v>15</v>
      </c>
      <c r="I113" s="47" t="s">
        <v>16</v>
      </c>
      <c r="J113" s="47"/>
      <c r="K113" s="48" t="s">
        <v>9</v>
      </c>
      <c r="L113" s="49">
        <v>353340.08</v>
      </c>
    </row>
    <row r="114" spans="1:12" ht="71.400000000000006" hidden="1" x14ac:dyDescent="0.3">
      <c r="A114" s="43" t="s">
        <v>238</v>
      </c>
      <c r="B114" s="44" t="s">
        <v>239</v>
      </c>
      <c r="C114" s="44" t="s">
        <v>241</v>
      </c>
      <c r="D114" s="44" t="s">
        <v>233</v>
      </c>
      <c r="E114" s="45" t="s">
        <v>14</v>
      </c>
      <c r="F114" s="46">
        <v>11550</v>
      </c>
      <c r="G114" s="46"/>
      <c r="H114" s="45" t="s">
        <v>15</v>
      </c>
      <c r="I114" s="47" t="s">
        <v>16</v>
      </c>
      <c r="J114" s="47"/>
      <c r="K114" s="48" t="s">
        <v>9</v>
      </c>
      <c r="L114" s="49">
        <v>364890.08</v>
      </c>
    </row>
    <row r="115" spans="1:12" ht="71.400000000000006" hidden="1" x14ac:dyDescent="0.3">
      <c r="A115" s="43" t="s">
        <v>238</v>
      </c>
      <c r="B115" s="44" t="s">
        <v>242</v>
      </c>
      <c r="C115" s="44" t="s">
        <v>240</v>
      </c>
      <c r="D115" s="44" t="s">
        <v>233</v>
      </c>
      <c r="E115" s="45" t="s">
        <v>14</v>
      </c>
      <c r="F115" s="46">
        <v>62239.7</v>
      </c>
      <c r="G115" s="46"/>
      <c r="H115" s="45" t="s">
        <v>15</v>
      </c>
      <c r="I115" s="47" t="s">
        <v>16</v>
      </c>
      <c r="J115" s="47"/>
      <c r="K115" s="48" t="s">
        <v>9</v>
      </c>
      <c r="L115" s="49">
        <v>427129.78</v>
      </c>
    </row>
    <row r="116" spans="1:12" ht="71.400000000000006" hidden="1" x14ac:dyDescent="0.3">
      <c r="A116" s="43" t="s">
        <v>238</v>
      </c>
      <c r="B116" s="44" t="s">
        <v>242</v>
      </c>
      <c r="C116" s="44" t="s">
        <v>241</v>
      </c>
      <c r="D116" s="44" t="s">
        <v>233</v>
      </c>
      <c r="E116" s="45" t="s">
        <v>14</v>
      </c>
      <c r="F116" s="46">
        <v>3709.05</v>
      </c>
      <c r="G116" s="46"/>
      <c r="H116" s="45" t="s">
        <v>15</v>
      </c>
      <c r="I116" s="47" t="s">
        <v>16</v>
      </c>
      <c r="J116" s="47"/>
      <c r="K116" s="48" t="s">
        <v>9</v>
      </c>
      <c r="L116" s="49">
        <v>430838.83</v>
      </c>
    </row>
    <row r="117" spans="1:12" ht="61.2" hidden="1" x14ac:dyDescent="0.3">
      <c r="A117" s="43" t="s">
        <v>238</v>
      </c>
      <c r="B117" s="44" t="s">
        <v>243</v>
      </c>
      <c r="C117" s="44" t="s">
        <v>244</v>
      </c>
      <c r="D117" s="44" t="s">
        <v>240</v>
      </c>
      <c r="E117" s="45" t="s">
        <v>14</v>
      </c>
      <c r="F117" s="50" t="s">
        <v>16</v>
      </c>
      <c r="G117" s="50"/>
      <c r="H117" s="45" t="s">
        <v>14</v>
      </c>
      <c r="I117" s="51">
        <v>249039.5</v>
      </c>
      <c r="J117" s="51"/>
      <c r="K117" s="48" t="s">
        <v>9</v>
      </c>
      <c r="L117" s="49">
        <v>181799.33</v>
      </c>
    </row>
    <row r="118" spans="1:12" ht="61.2" hidden="1" x14ac:dyDescent="0.3">
      <c r="A118" s="43" t="s">
        <v>238</v>
      </c>
      <c r="B118" s="44" t="s">
        <v>245</v>
      </c>
      <c r="C118" s="44" t="s">
        <v>246</v>
      </c>
      <c r="D118" s="44" t="s">
        <v>240</v>
      </c>
      <c r="E118" s="45" t="s">
        <v>14</v>
      </c>
      <c r="F118" s="50" t="s">
        <v>16</v>
      </c>
      <c r="G118" s="50"/>
      <c r="H118" s="45" t="s">
        <v>14</v>
      </c>
      <c r="I118" s="51">
        <v>5261.4</v>
      </c>
      <c r="J118" s="51"/>
      <c r="K118" s="48" t="s">
        <v>9</v>
      </c>
      <c r="L118" s="49">
        <v>176537.93</v>
      </c>
    </row>
    <row r="119" spans="1:12" ht="61.2" hidden="1" x14ac:dyDescent="0.3">
      <c r="A119" s="43" t="s">
        <v>238</v>
      </c>
      <c r="B119" s="44" t="s">
        <v>247</v>
      </c>
      <c r="C119" s="44" t="s">
        <v>248</v>
      </c>
      <c r="D119" s="44" t="s">
        <v>241</v>
      </c>
      <c r="E119" s="45" t="s">
        <v>14</v>
      </c>
      <c r="F119" s="50" t="s">
        <v>16</v>
      </c>
      <c r="G119" s="50"/>
      <c r="H119" s="45" t="s">
        <v>14</v>
      </c>
      <c r="I119" s="51">
        <v>15259.05</v>
      </c>
      <c r="J119" s="51"/>
      <c r="K119" s="48" t="s">
        <v>9</v>
      </c>
      <c r="L119" s="49">
        <v>161278.88</v>
      </c>
    </row>
    <row r="120" spans="1:12" ht="61.2" x14ac:dyDescent="0.3">
      <c r="A120" s="43" t="s">
        <v>58</v>
      </c>
      <c r="B120" s="44" t="s">
        <v>249</v>
      </c>
      <c r="C120" s="44" t="s">
        <v>35</v>
      </c>
      <c r="D120" s="44" t="s">
        <v>250</v>
      </c>
      <c r="E120" s="45" t="s">
        <v>37</v>
      </c>
      <c r="F120" s="50" t="s">
        <v>16</v>
      </c>
      <c r="G120" s="50"/>
      <c r="H120" s="45" t="s">
        <v>14</v>
      </c>
      <c r="I120" s="51">
        <v>14212</v>
      </c>
      <c r="J120" s="51"/>
      <c r="K120" s="48" t="s">
        <v>9</v>
      </c>
      <c r="L120" s="49">
        <v>147066.88</v>
      </c>
    </row>
    <row r="121" spans="1:12" ht="61.2" x14ac:dyDescent="0.3">
      <c r="A121" s="43" t="s">
        <v>58</v>
      </c>
      <c r="B121" s="44" t="s">
        <v>251</v>
      </c>
      <c r="C121" s="44" t="s">
        <v>35</v>
      </c>
      <c r="D121" s="44" t="s">
        <v>252</v>
      </c>
      <c r="E121" s="45" t="s">
        <v>37</v>
      </c>
      <c r="F121" s="50" t="s">
        <v>16</v>
      </c>
      <c r="G121" s="50"/>
      <c r="H121" s="45" t="s">
        <v>14</v>
      </c>
      <c r="I121" s="53">
        <v>699.79</v>
      </c>
      <c r="J121" s="53"/>
      <c r="K121" s="48" t="s">
        <v>9</v>
      </c>
      <c r="L121" s="49">
        <v>146367.09</v>
      </c>
    </row>
    <row r="122" spans="1:12" ht="71.400000000000006" x14ac:dyDescent="0.3">
      <c r="A122" s="43" t="s">
        <v>58</v>
      </c>
      <c r="B122" s="44" t="s">
        <v>251</v>
      </c>
      <c r="C122" s="44" t="s">
        <v>35</v>
      </c>
      <c r="D122" s="44" t="s">
        <v>253</v>
      </c>
      <c r="E122" s="45" t="s">
        <v>37</v>
      </c>
      <c r="F122" s="50" t="s">
        <v>16</v>
      </c>
      <c r="G122" s="50"/>
      <c r="H122" s="45" t="s">
        <v>14</v>
      </c>
      <c r="I122" s="51">
        <v>1974.9</v>
      </c>
      <c r="J122" s="51"/>
      <c r="K122" s="48" t="s">
        <v>9</v>
      </c>
      <c r="L122" s="49">
        <v>144392.19</v>
      </c>
    </row>
    <row r="123" spans="1:12" ht="61.2" x14ac:dyDescent="0.3">
      <c r="A123" s="43" t="s">
        <v>58</v>
      </c>
      <c r="B123" s="44" t="s">
        <v>251</v>
      </c>
      <c r="C123" s="44" t="s">
        <v>35</v>
      </c>
      <c r="D123" s="44" t="s">
        <v>254</v>
      </c>
      <c r="E123" s="45" t="s">
        <v>37</v>
      </c>
      <c r="F123" s="50" t="s">
        <v>16</v>
      </c>
      <c r="G123" s="50"/>
      <c r="H123" s="45" t="s">
        <v>14</v>
      </c>
      <c r="I123" s="53">
        <v>875</v>
      </c>
      <c r="J123" s="53"/>
      <c r="K123" s="48" t="s">
        <v>9</v>
      </c>
      <c r="L123" s="49">
        <v>143517.19</v>
      </c>
    </row>
    <row r="124" spans="1:12" ht="71.400000000000006" hidden="1" x14ac:dyDescent="0.3">
      <c r="A124" s="43" t="s">
        <v>58</v>
      </c>
      <c r="B124" s="44" t="s">
        <v>255</v>
      </c>
      <c r="C124" s="44" t="s">
        <v>256</v>
      </c>
      <c r="D124" s="44" t="s">
        <v>233</v>
      </c>
      <c r="E124" s="45" t="s">
        <v>14</v>
      </c>
      <c r="F124" s="46">
        <v>116820</v>
      </c>
      <c r="G124" s="46"/>
      <c r="H124" s="45" t="s">
        <v>15</v>
      </c>
      <c r="I124" s="47" t="s">
        <v>16</v>
      </c>
      <c r="J124" s="47"/>
      <c r="K124" s="48" t="s">
        <v>9</v>
      </c>
      <c r="L124" s="49">
        <v>260337.19</v>
      </c>
    </row>
    <row r="125" spans="1:12" ht="61.2" hidden="1" x14ac:dyDescent="0.3">
      <c r="A125" s="43" t="s">
        <v>58</v>
      </c>
      <c r="B125" s="44" t="s">
        <v>257</v>
      </c>
      <c r="C125" s="44" t="s">
        <v>256</v>
      </c>
      <c r="D125" s="44" t="s">
        <v>258</v>
      </c>
      <c r="E125" s="45" t="s">
        <v>14</v>
      </c>
      <c r="F125" s="46">
        <v>33334.800000000003</v>
      </c>
      <c r="G125" s="46"/>
      <c r="H125" s="45" t="s">
        <v>15</v>
      </c>
      <c r="I125" s="47" t="s">
        <v>16</v>
      </c>
      <c r="J125" s="47"/>
      <c r="K125" s="48" t="s">
        <v>9</v>
      </c>
      <c r="L125" s="49">
        <v>293671.99</v>
      </c>
    </row>
    <row r="126" spans="1:12" ht="71.400000000000006" hidden="1" x14ac:dyDescent="0.3">
      <c r="A126" s="43" t="s">
        <v>58</v>
      </c>
      <c r="B126" s="44" t="s">
        <v>259</v>
      </c>
      <c r="C126" s="44" t="s">
        <v>256</v>
      </c>
      <c r="D126" s="44" t="s">
        <v>233</v>
      </c>
      <c r="E126" s="45" t="s">
        <v>14</v>
      </c>
      <c r="F126" s="46">
        <v>3165.2</v>
      </c>
      <c r="G126" s="46"/>
      <c r="H126" s="45" t="s">
        <v>15</v>
      </c>
      <c r="I126" s="47" t="s">
        <v>16</v>
      </c>
      <c r="J126" s="47"/>
      <c r="K126" s="48" t="s">
        <v>9</v>
      </c>
      <c r="L126" s="49">
        <v>296837.19</v>
      </c>
    </row>
    <row r="127" spans="1:12" ht="71.400000000000006" hidden="1" x14ac:dyDescent="0.3">
      <c r="A127" s="43" t="s">
        <v>58</v>
      </c>
      <c r="B127" s="44" t="s">
        <v>260</v>
      </c>
      <c r="C127" s="44" t="s">
        <v>261</v>
      </c>
      <c r="D127" s="44" t="s">
        <v>256</v>
      </c>
      <c r="E127" s="45" t="s">
        <v>14</v>
      </c>
      <c r="F127" s="50" t="s">
        <v>16</v>
      </c>
      <c r="G127" s="50"/>
      <c r="H127" s="45" t="s">
        <v>14</v>
      </c>
      <c r="I127" s="51">
        <v>83629.09</v>
      </c>
      <c r="J127" s="51"/>
      <c r="K127" s="48" t="s">
        <v>9</v>
      </c>
      <c r="L127" s="49">
        <v>213208.1</v>
      </c>
    </row>
    <row r="128" spans="1:12" ht="61.2" hidden="1" x14ac:dyDescent="0.3">
      <c r="A128" s="43" t="s">
        <v>58</v>
      </c>
      <c r="B128" s="44" t="s">
        <v>262</v>
      </c>
      <c r="C128" s="44" t="s">
        <v>263</v>
      </c>
      <c r="D128" s="44" t="s">
        <v>256</v>
      </c>
      <c r="E128" s="45" t="s">
        <v>14</v>
      </c>
      <c r="F128" s="50" t="s">
        <v>16</v>
      </c>
      <c r="G128" s="50"/>
      <c r="H128" s="45" t="s">
        <v>14</v>
      </c>
      <c r="I128" s="51">
        <v>59237.27</v>
      </c>
      <c r="J128" s="51"/>
      <c r="K128" s="48" t="s">
        <v>9</v>
      </c>
      <c r="L128" s="49">
        <v>153970.82999999999</v>
      </c>
    </row>
    <row r="129" spans="1:12" ht="61.2" hidden="1" x14ac:dyDescent="0.3">
      <c r="A129" s="43" t="s">
        <v>58</v>
      </c>
      <c r="B129" s="44" t="s">
        <v>264</v>
      </c>
      <c r="C129" s="44" t="s">
        <v>265</v>
      </c>
      <c r="D129" s="44" t="s">
        <v>256</v>
      </c>
      <c r="E129" s="45" t="s">
        <v>14</v>
      </c>
      <c r="F129" s="50" t="s">
        <v>16</v>
      </c>
      <c r="G129" s="50"/>
      <c r="H129" s="45" t="s">
        <v>14</v>
      </c>
      <c r="I129" s="51">
        <v>10453.64</v>
      </c>
      <c r="J129" s="51"/>
      <c r="K129" s="48" t="s">
        <v>9</v>
      </c>
      <c r="L129" s="49">
        <v>143517.19</v>
      </c>
    </row>
    <row r="130" spans="1:12" ht="71.400000000000006" hidden="1" x14ac:dyDescent="0.3">
      <c r="A130" s="43" t="s">
        <v>266</v>
      </c>
      <c r="B130" s="44" t="s">
        <v>267</v>
      </c>
      <c r="C130" s="44" t="s">
        <v>268</v>
      </c>
      <c r="D130" s="44" t="s">
        <v>269</v>
      </c>
      <c r="E130" s="45" t="s">
        <v>14</v>
      </c>
      <c r="F130" s="46">
        <v>45135</v>
      </c>
      <c r="G130" s="46"/>
      <c r="H130" s="45" t="s">
        <v>15</v>
      </c>
      <c r="I130" s="47" t="s">
        <v>16</v>
      </c>
      <c r="J130" s="47"/>
      <c r="K130" s="48" t="s">
        <v>9</v>
      </c>
      <c r="L130" s="49">
        <v>188652.19</v>
      </c>
    </row>
    <row r="131" spans="1:12" ht="61.2" hidden="1" x14ac:dyDescent="0.3">
      <c r="A131" s="43" t="s">
        <v>266</v>
      </c>
      <c r="B131" s="44" t="s">
        <v>270</v>
      </c>
      <c r="C131" s="44" t="s">
        <v>268</v>
      </c>
      <c r="D131" s="44" t="s">
        <v>271</v>
      </c>
      <c r="E131" s="45" t="s">
        <v>14</v>
      </c>
      <c r="F131" s="46">
        <v>17939</v>
      </c>
      <c r="G131" s="46"/>
      <c r="H131" s="45" t="s">
        <v>15</v>
      </c>
      <c r="I131" s="47" t="s">
        <v>16</v>
      </c>
      <c r="J131" s="47"/>
      <c r="K131" s="48" t="s">
        <v>9</v>
      </c>
      <c r="L131" s="49">
        <v>206591.19</v>
      </c>
    </row>
    <row r="132" spans="1:12" ht="61.2" hidden="1" x14ac:dyDescent="0.3">
      <c r="A132" s="43" t="s">
        <v>266</v>
      </c>
      <c r="B132" s="44" t="s">
        <v>272</v>
      </c>
      <c r="C132" s="44" t="s">
        <v>273</v>
      </c>
      <c r="D132" s="44" t="s">
        <v>240</v>
      </c>
      <c r="E132" s="45" t="s">
        <v>14</v>
      </c>
      <c r="F132" s="50" t="s">
        <v>16</v>
      </c>
      <c r="G132" s="50"/>
      <c r="H132" s="45" t="s">
        <v>14</v>
      </c>
      <c r="I132" s="51">
        <v>1753.8</v>
      </c>
      <c r="J132" s="51"/>
      <c r="K132" s="48" t="s">
        <v>9</v>
      </c>
      <c r="L132" s="49">
        <v>204837.39</v>
      </c>
    </row>
    <row r="133" spans="1:12" ht="61.2" hidden="1" x14ac:dyDescent="0.3">
      <c r="A133" s="43" t="s">
        <v>266</v>
      </c>
      <c r="B133" s="44" t="s">
        <v>272</v>
      </c>
      <c r="C133" s="44" t="s">
        <v>274</v>
      </c>
      <c r="D133" s="44" t="s">
        <v>268</v>
      </c>
      <c r="E133" s="45" t="s">
        <v>14</v>
      </c>
      <c r="F133" s="50" t="s">
        <v>16</v>
      </c>
      <c r="G133" s="50"/>
      <c r="H133" s="45" t="s">
        <v>14</v>
      </c>
      <c r="I133" s="51">
        <v>59734.79</v>
      </c>
      <c r="J133" s="51"/>
      <c r="K133" s="48" t="s">
        <v>9</v>
      </c>
      <c r="L133" s="49">
        <v>145102.6</v>
      </c>
    </row>
    <row r="134" spans="1:12" ht="61.2" hidden="1" x14ac:dyDescent="0.3">
      <c r="A134" s="43" t="s">
        <v>266</v>
      </c>
      <c r="B134" s="44" t="s">
        <v>275</v>
      </c>
      <c r="C134" s="44" t="s">
        <v>276</v>
      </c>
      <c r="D134" s="44" t="s">
        <v>268</v>
      </c>
      <c r="E134" s="45" t="s">
        <v>14</v>
      </c>
      <c r="F134" s="50" t="s">
        <v>16</v>
      </c>
      <c r="G134" s="50"/>
      <c r="H134" s="45" t="s">
        <v>14</v>
      </c>
      <c r="I134" s="51">
        <v>1484.09</v>
      </c>
      <c r="J134" s="51"/>
      <c r="K134" s="48" t="s">
        <v>9</v>
      </c>
      <c r="L134" s="49">
        <v>143618.51</v>
      </c>
    </row>
    <row r="135" spans="1:12" ht="71.400000000000006" hidden="1" x14ac:dyDescent="0.3">
      <c r="A135" s="43" t="s">
        <v>266</v>
      </c>
      <c r="B135" s="44" t="s">
        <v>277</v>
      </c>
      <c r="C135" s="44" t="s">
        <v>278</v>
      </c>
      <c r="D135" s="44" t="s">
        <v>279</v>
      </c>
      <c r="E135" s="45" t="s">
        <v>14</v>
      </c>
      <c r="F135" s="46">
        <v>6270</v>
      </c>
      <c r="G135" s="46"/>
      <c r="H135" s="45" t="s">
        <v>15</v>
      </c>
      <c r="I135" s="47" t="s">
        <v>16</v>
      </c>
      <c r="J135" s="47"/>
      <c r="K135" s="48" t="s">
        <v>9</v>
      </c>
      <c r="L135" s="49">
        <v>149888.51</v>
      </c>
    </row>
    <row r="136" spans="1:12" ht="71.400000000000006" hidden="1" x14ac:dyDescent="0.3">
      <c r="A136" s="43" t="s">
        <v>266</v>
      </c>
      <c r="B136" s="44" t="s">
        <v>280</v>
      </c>
      <c r="C136" s="44" t="s">
        <v>281</v>
      </c>
      <c r="D136" s="44" t="s">
        <v>278</v>
      </c>
      <c r="E136" s="45" t="s">
        <v>14</v>
      </c>
      <c r="F136" s="50" t="s">
        <v>16</v>
      </c>
      <c r="G136" s="50"/>
      <c r="H136" s="45" t="s">
        <v>14</v>
      </c>
      <c r="I136" s="51">
        <v>3239.5</v>
      </c>
      <c r="J136" s="51"/>
      <c r="K136" s="48" t="s">
        <v>9</v>
      </c>
      <c r="L136" s="49">
        <v>146649.01</v>
      </c>
    </row>
    <row r="137" spans="1:12" ht="71.400000000000006" hidden="1" x14ac:dyDescent="0.3">
      <c r="A137" s="43" t="s">
        <v>266</v>
      </c>
      <c r="B137" s="44" t="s">
        <v>282</v>
      </c>
      <c r="C137" s="44" t="s">
        <v>283</v>
      </c>
      <c r="D137" s="44" t="s">
        <v>278</v>
      </c>
      <c r="E137" s="45" t="s">
        <v>14</v>
      </c>
      <c r="F137" s="50" t="s">
        <v>16</v>
      </c>
      <c r="G137" s="50"/>
      <c r="H137" s="45" t="s">
        <v>14</v>
      </c>
      <c r="I137" s="51">
        <v>3030.5</v>
      </c>
      <c r="J137" s="51"/>
      <c r="K137" s="48" t="s">
        <v>9</v>
      </c>
      <c r="L137" s="49">
        <v>143618.51</v>
      </c>
    </row>
    <row r="138" spans="1:12" hidden="1" x14ac:dyDescent="0.3">
      <c r="A138" s="54" t="s">
        <v>60</v>
      </c>
      <c r="B138" s="54"/>
      <c r="C138" s="54"/>
      <c r="D138" s="54"/>
      <c r="E138" s="55">
        <v>1855115.79</v>
      </c>
      <c r="F138" s="55"/>
      <c r="G138" s="55"/>
      <c r="H138" s="55">
        <v>1873423.56</v>
      </c>
      <c r="I138" s="55"/>
      <c r="J138" s="55"/>
      <c r="K138" s="56" t="s">
        <v>9</v>
      </c>
      <c r="L138" s="57">
        <v>143618.51</v>
      </c>
    </row>
    <row r="140" spans="1:12" x14ac:dyDescent="0.3">
      <c r="J140" s="29">
        <f>SUBTOTAL(9,I69:J123)</f>
        <v>19736.59</v>
      </c>
    </row>
  </sheetData>
  <autoFilter ref="A1:L138">
    <filterColumn colId="1">
      <filters>
        <filter val="Списання товарів ІБ00-000014 від 15.01.2025 00:00:00_x000a_Списаны ТМЦ"/>
        <filter val="Списання товарів ІБ00-000019 від 30.01.2025 10:00:18_x000a_Списаны ТМЦ"/>
        <filter val="Списання товарів ІБ00-000028 від 30.01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82">
    <mergeCell ref="F136:G136"/>
    <mergeCell ref="I136:J136"/>
    <mergeCell ref="F137:G137"/>
    <mergeCell ref="I137:J137"/>
    <mergeCell ref="A138:D138"/>
    <mergeCell ref="E138:G138"/>
    <mergeCell ref="H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4"/>
  <sheetViews>
    <sheetView topLeftCell="A51" workbookViewId="0">
      <selection activeCell="J64" sqref="J64"/>
    </sheetView>
  </sheetViews>
  <sheetFormatPr defaultRowHeight="14.4" x14ac:dyDescent="0.3"/>
  <cols>
    <col min="2" max="4" width="21.21875" customWidth="1"/>
  </cols>
  <sheetData>
    <row r="1" spans="1:12" x14ac:dyDescent="0.3">
      <c r="A1" s="58" t="s">
        <v>1</v>
      </c>
      <c r="B1" s="59" t="s">
        <v>2</v>
      </c>
      <c r="C1" s="59" t="s">
        <v>3</v>
      </c>
      <c r="D1" s="60" t="s">
        <v>4</v>
      </c>
      <c r="E1" s="61" t="s">
        <v>5</v>
      </c>
      <c r="F1" s="61"/>
      <c r="G1" s="61"/>
      <c r="H1" s="62" t="s">
        <v>6</v>
      </c>
      <c r="I1" s="62"/>
      <c r="J1" s="62"/>
      <c r="K1" s="59" t="s">
        <v>7</v>
      </c>
      <c r="L1" s="59"/>
    </row>
    <row r="2" spans="1:12" hidden="1" x14ac:dyDescent="0.3">
      <c r="A2" s="63"/>
      <c r="B2" s="64"/>
      <c r="C2" s="64"/>
      <c r="D2" s="65"/>
      <c r="E2" s="66" t="s">
        <v>8</v>
      </c>
      <c r="F2" s="67"/>
      <c r="G2" s="67"/>
      <c r="H2" s="68" t="s">
        <v>8</v>
      </c>
      <c r="I2" s="69"/>
      <c r="J2" s="69"/>
      <c r="K2" s="63"/>
      <c r="L2" s="70"/>
    </row>
    <row r="3" spans="1:12" ht="61.2" hidden="1" x14ac:dyDescent="0.3">
      <c r="A3" s="71" t="s">
        <v>10</v>
      </c>
      <c r="B3" s="72" t="s">
        <v>78</v>
      </c>
      <c r="C3" s="72" t="s">
        <v>79</v>
      </c>
      <c r="D3" s="72" t="s">
        <v>72</v>
      </c>
      <c r="E3" s="73" t="s">
        <v>14</v>
      </c>
      <c r="F3" s="74">
        <v>16182</v>
      </c>
      <c r="G3" s="74"/>
      <c r="H3" s="73" t="s">
        <v>14</v>
      </c>
      <c r="I3" s="75" t="s">
        <v>16</v>
      </c>
      <c r="J3" s="75"/>
      <c r="K3" s="76" t="s">
        <v>9</v>
      </c>
      <c r="L3" s="77">
        <v>314147.75</v>
      </c>
    </row>
    <row r="4" spans="1:12" ht="122.4" hidden="1" x14ac:dyDescent="0.3">
      <c r="A4" s="71" t="s">
        <v>10</v>
      </c>
      <c r="B4" s="72" t="s">
        <v>97</v>
      </c>
      <c r="C4" s="72" t="s">
        <v>98</v>
      </c>
      <c r="D4" s="72" t="s">
        <v>81</v>
      </c>
      <c r="E4" s="73" t="s">
        <v>14</v>
      </c>
      <c r="F4" s="78">
        <v>97.55</v>
      </c>
      <c r="G4" s="78"/>
      <c r="H4" s="73" t="s">
        <v>14</v>
      </c>
      <c r="I4" s="75" t="s">
        <v>16</v>
      </c>
      <c r="J4" s="75"/>
      <c r="K4" s="76" t="s">
        <v>9</v>
      </c>
      <c r="L4" s="77">
        <v>314245.3</v>
      </c>
    </row>
    <row r="5" spans="1:12" ht="122.4" hidden="1" x14ac:dyDescent="0.3">
      <c r="A5" s="71" t="s">
        <v>10</v>
      </c>
      <c r="B5" s="72" t="s">
        <v>97</v>
      </c>
      <c r="C5" s="72" t="s">
        <v>99</v>
      </c>
      <c r="D5" s="72" t="s">
        <v>83</v>
      </c>
      <c r="E5" s="73" t="s">
        <v>14</v>
      </c>
      <c r="F5" s="78">
        <v>91.25</v>
      </c>
      <c r="G5" s="78"/>
      <c r="H5" s="73" t="s">
        <v>14</v>
      </c>
      <c r="I5" s="75" t="s">
        <v>16</v>
      </c>
      <c r="J5" s="75"/>
      <c r="K5" s="76" t="s">
        <v>9</v>
      </c>
      <c r="L5" s="77">
        <v>314336.55</v>
      </c>
    </row>
    <row r="6" spans="1:12" ht="122.4" hidden="1" x14ac:dyDescent="0.3">
      <c r="A6" s="71" t="s">
        <v>10</v>
      </c>
      <c r="B6" s="72" t="s">
        <v>97</v>
      </c>
      <c r="C6" s="72" t="s">
        <v>100</v>
      </c>
      <c r="D6" s="72" t="s">
        <v>84</v>
      </c>
      <c r="E6" s="73" t="s">
        <v>14</v>
      </c>
      <c r="F6" s="78">
        <v>144.80000000000001</v>
      </c>
      <c r="G6" s="78"/>
      <c r="H6" s="73" t="s">
        <v>14</v>
      </c>
      <c r="I6" s="75" t="s">
        <v>16</v>
      </c>
      <c r="J6" s="75"/>
      <c r="K6" s="76" t="s">
        <v>9</v>
      </c>
      <c r="L6" s="77">
        <v>314481.34999999998</v>
      </c>
    </row>
    <row r="7" spans="1:12" ht="132.6" hidden="1" x14ac:dyDescent="0.3">
      <c r="A7" s="71" t="s">
        <v>26</v>
      </c>
      <c r="B7" s="72" t="s">
        <v>114</v>
      </c>
      <c r="C7" s="72" t="s">
        <v>115</v>
      </c>
      <c r="D7" s="72" t="s">
        <v>105</v>
      </c>
      <c r="E7" s="73" t="s">
        <v>14</v>
      </c>
      <c r="F7" s="74">
        <v>61807.5</v>
      </c>
      <c r="G7" s="74"/>
      <c r="H7" s="73" t="s">
        <v>14</v>
      </c>
      <c r="I7" s="75" t="s">
        <v>16</v>
      </c>
      <c r="J7" s="75"/>
      <c r="K7" s="76" t="s">
        <v>9</v>
      </c>
      <c r="L7" s="77">
        <v>376288.85</v>
      </c>
    </row>
    <row r="8" spans="1:12" ht="112.2" hidden="1" x14ac:dyDescent="0.3">
      <c r="A8" s="71" t="s">
        <v>26</v>
      </c>
      <c r="B8" s="72" t="s">
        <v>127</v>
      </c>
      <c r="C8" s="72" t="s">
        <v>128</v>
      </c>
      <c r="D8" s="72" t="s">
        <v>117</v>
      </c>
      <c r="E8" s="73" t="s">
        <v>14</v>
      </c>
      <c r="F8" s="74">
        <v>2129.7800000000002</v>
      </c>
      <c r="G8" s="74"/>
      <c r="H8" s="73" t="s">
        <v>14</v>
      </c>
      <c r="I8" s="75" t="s">
        <v>16</v>
      </c>
      <c r="J8" s="75"/>
      <c r="K8" s="76" t="s">
        <v>9</v>
      </c>
      <c r="L8" s="77">
        <v>378418.63</v>
      </c>
    </row>
    <row r="9" spans="1:12" ht="112.2" hidden="1" x14ac:dyDescent="0.3">
      <c r="A9" s="71" t="s">
        <v>26</v>
      </c>
      <c r="B9" s="72" t="s">
        <v>127</v>
      </c>
      <c r="C9" s="72" t="s">
        <v>129</v>
      </c>
      <c r="D9" s="72" t="s">
        <v>119</v>
      </c>
      <c r="E9" s="73" t="s">
        <v>14</v>
      </c>
      <c r="F9" s="74">
        <v>1839.83</v>
      </c>
      <c r="G9" s="74"/>
      <c r="H9" s="73" t="s">
        <v>14</v>
      </c>
      <c r="I9" s="75" t="s">
        <v>16</v>
      </c>
      <c r="J9" s="75"/>
      <c r="K9" s="76" t="s">
        <v>9</v>
      </c>
      <c r="L9" s="77">
        <v>380258.46</v>
      </c>
    </row>
    <row r="10" spans="1:12" ht="102" hidden="1" x14ac:dyDescent="0.3">
      <c r="A10" s="71" t="s">
        <v>26</v>
      </c>
      <c r="B10" s="72" t="s">
        <v>127</v>
      </c>
      <c r="C10" s="72" t="s">
        <v>130</v>
      </c>
      <c r="D10" s="72" t="s">
        <v>120</v>
      </c>
      <c r="E10" s="73" t="s">
        <v>14</v>
      </c>
      <c r="F10" s="78">
        <v>872.44</v>
      </c>
      <c r="G10" s="78"/>
      <c r="H10" s="73" t="s">
        <v>14</v>
      </c>
      <c r="I10" s="75" t="s">
        <v>16</v>
      </c>
      <c r="J10" s="75"/>
      <c r="K10" s="76" t="s">
        <v>9</v>
      </c>
      <c r="L10" s="77">
        <v>381130.9</v>
      </c>
    </row>
    <row r="11" spans="1:12" ht="102" hidden="1" x14ac:dyDescent="0.3">
      <c r="A11" s="71" t="s">
        <v>26</v>
      </c>
      <c r="B11" s="72" t="s">
        <v>127</v>
      </c>
      <c r="C11" s="72" t="s">
        <v>131</v>
      </c>
      <c r="D11" s="72" t="s">
        <v>121</v>
      </c>
      <c r="E11" s="73" t="s">
        <v>14</v>
      </c>
      <c r="F11" s="74">
        <v>3483.32</v>
      </c>
      <c r="G11" s="74"/>
      <c r="H11" s="73" t="s">
        <v>14</v>
      </c>
      <c r="I11" s="75" t="s">
        <v>16</v>
      </c>
      <c r="J11" s="75"/>
      <c r="K11" s="76" t="s">
        <v>9</v>
      </c>
      <c r="L11" s="77">
        <v>384614.22</v>
      </c>
    </row>
    <row r="12" spans="1:12" ht="122.4" hidden="1" x14ac:dyDescent="0.3">
      <c r="A12" s="71" t="s">
        <v>26</v>
      </c>
      <c r="B12" s="72" t="s">
        <v>127</v>
      </c>
      <c r="C12" s="72" t="s">
        <v>132</v>
      </c>
      <c r="D12" s="72" t="s">
        <v>122</v>
      </c>
      <c r="E12" s="73" t="s">
        <v>14</v>
      </c>
      <c r="F12" s="78">
        <v>600.46</v>
      </c>
      <c r="G12" s="78"/>
      <c r="H12" s="73" t="s">
        <v>14</v>
      </c>
      <c r="I12" s="75" t="s">
        <v>16</v>
      </c>
      <c r="J12" s="75"/>
      <c r="K12" s="76" t="s">
        <v>9</v>
      </c>
      <c r="L12" s="77">
        <v>385214.68</v>
      </c>
    </row>
    <row r="13" spans="1:12" ht="153" hidden="1" x14ac:dyDescent="0.3">
      <c r="A13" s="71" t="s">
        <v>26</v>
      </c>
      <c r="B13" s="72" t="s">
        <v>284</v>
      </c>
      <c r="C13" s="72" t="s">
        <v>285</v>
      </c>
      <c r="D13" s="72" t="s">
        <v>286</v>
      </c>
      <c r="E13" s="73" t="s">
        <v>14</v>
      </c>
      <c r="F13" s="79" t="s">
        <v>16</v>
      </c>
      <c r="G13" s="79"/>
      <c r="H13" s="73" t="s">
        <v>14</v>
      </c>
      <c r="I13" s="80">
        <v>130.69999999999999</v>
      </c>
      <c r="J13" s="80"/>
      <c r="K13" s="76" t="s">
        <v>9</v>
      </c>
      <c r="L13" s="77">
        <v>385083.98</v>
      </c>
    </row>
    <row r="14" spans="1:12" ht="153" hidden="1" x14ac:dyDescent="0.3">
      <c r="A14" s="71" t="s">
        <v>26</v>
      </c>
      <c r="B14" s="72" t="s">
        <v>284</v>
      </c>
      <c r="C14" s="72" t="s">
        <v>287</v>
      </c>
      <c r="D14" s="72" t="s">
        <v>288</v>
      </c>
      <c r="E14" s="73" t="s">
        <v>14</v>
      </c>
      <c r="F14" s="79" t="s">
        <v>16</v>
      </c>
      <c r="G14" s="79"/>
      <c r="H14" s="73" t="s">
        <v>14</v>
      </c>
      <c r="I14" s="81">
        <v>1832.25</v>
      </c>
      <c r="J14" s="81"/>
      <c r="K14" s="76" t="s">
        <v>9</v>
      </c>
      <c r="L14" s="77">
        <v>383251.73</v>
      </c>
    </row>
    <row r="15" spans="1:12" ht="153" hidden="1" x14ac:dyDescent="0.3">
      <c r="A15" s="71" t="s">
        <v>26</v>
      </c>
      <c r="B15" s="72" t="s">
        <v>284</v>
      </c>
      <c r="C15" s="72" t="s">
        <v>289</v>
      </c>
      <c r="D15" s="72" t="s">
        <v>290</v>
      </c>
      <c r="E15" s="73" t="s">
        <v>14</v>
      </c>
      <c r="F15" s="79" t="s">
        <v>16</v>
      </c>
      <c r="G15" s="79"/>
      <c r="H15" s="73" t="s">
        <v>14</v>
      </c>
      <c r="I15" s="81">
        <v>12181.3</v>
      </c>
      <c r="J15" s="81"/>
      <c r="K15" s="76" t="s">
        <v>9</v>
      </c>
      <c r="L15" s="77">
        <v>371070.43</v>
      </c>
    </row>
    <row r="16" spans="1:12" ht="112.2" hidden="1" x14ac:dyDescent="0.3">
      <c r="A16" s="71" t="s">
        <v>140</v>
      </c>
      <c r="B16" s="72" t="s">
        <v>160</v>
      </c>
      <c r="C16" s="72" t="s">
        <v>161</v>
      </c>
      <c r="D16" s="72" t="s">
        <v>151</v>
      </c>
      <c r="E16" s="73" t="s">
        <v>14</v>
      </c>
      <c r="F16" s="74">
        <v>3230</v>
      </c>
      <c r="G16" s="74"/>
      <c r="H16" s="73" t="s">
        <v>14</v>
      </c>
      <c r="I16" s="75" t="s">
        <v>16</v>
      </c>
      <c r="J16" s="75"/>
      <c r="K16" s="76" t="s">
        <v>9</v>
      </c>
      <c r="L16" s="77">
        <v>374300.43</v>
      </c>
    </row>
    <row r="17" spans="1:12" ht="163.19999999999999" hidden="1" x14ac:dyDescent="0.3">
      <c r="A17" s="71" t="s">
        <v>291</v>
      </c>
      <c r="B17" s="72" t="s">
        <v>292</v>
      </c>
      <c r="C17" s="72" t="s">
        <v>293</v>
      </c>
      <c r="D17" s="72" t="s">
        <v>294</v>
      </c>
      <c r="E17" s="73" t="s">
        <v>14</v>
      </c>
      <c r="F17" s="78">
        <v>198.1</v>
      </c>
      <c r="G17" s="78"/>
      <c r="H17" s="73" t="s">
        <v>15</v>
      </c>
      <c r="I17" s="75" t="s">
        <v>16</v>
      </c>
      <c r="J17" s="75"/>
      <c r="K17" s="76" t="s">
        <v>9</v>
      </c>
      <c r="L17" s="77">
        <v>374498.53</v>
      </c>
    </row>
    <row r="18" spans="1:12" ht="163.19999999999999" hidden="1" x14ac:dyDescent="0.3">
      <c r="A18" s="71" t="s">
        <v>291</v>
      </c>
      <c r="B18" s="72" t="s">
        <v>292</v>
      </c>
      <c r="C18" s="72" t="s">
        <v>295</v>
      </c>
      <c r="D18" s="72" t="s">
        <v>294</v>
      </c>
      <c r="E18" s="73" t="s">
        <v>14</v>
      </c>
      <c r="F18" s="78">
        <v>182.5</v>
      </c>
      <c r="G18" s="78"/>
      <c r="H18" s="73" t="s">
        <v>15</v>
      </c>
      <c r="I18" s="75" t="s">
        <v>16</v>
      </c>
      <c r="J18" s="75"/>
      <c r="K18" s="76" t="s">
        <v>9</v>
      </c>
      <c r="L18" s="77">
        <v>374681.03</v>
      </c>
    </row>
    <row r="19" spans="1:12" ht="61.2" x14ac:dyDescent="0.3">
      <c r="A19" s="71" t="s">
        <v>291</v>
      </c>
      <c r="B19" s="72" t="s">
        <v>296</v>
      </c>
      <c r="C19" s="72" t="s">
        <v>35</v>
      </c>
      <c r="D19" s="72" t="s">
        <v>297</v>
      </c>
      <c r="E19" s="73" t="s">
        <v>37</v>
      </c>
      <c r="F19" s="79" t="s">
        <v>16</v>
      </c>
      <c r="G19" s="79"/>
      <c r="H19" s="73" t="s">
        <v>14</v>
      </c>
      <c r="I19" s="81">
        <v>2200</v>
      </c>
      <c r="J19" s="81"/>
      <c r="K19" s="76" t="s">
        <v>9</v>
      </c>
      <c r="L19" s="77">
        <v>372481.03</v>
      </c>
    </row>
    <row r="20" spans="1:12" ht="71.400000000000006" hidden="1" x14ac:dyDescent="0.3">
      <c r="A20" s="71" t="s">
        <v>291</v>
      </c>
      <c r="B20" s="72" t="s">
        <v>298</v>
      </c>
      <c r="C20" s="72" t="s">
        <v>299</v>
      </c>
      <c r="D20" s="72" t="s">
        <v>300</v>
      </c>
      <c r="E20" s="73" t="s">
        <v>14</v>
      </c>
      <c r="F20" s="78">
        <v>758.8</v>
      </c>
      <c r="G20" s="78"/>
      <c r="H20" s="73" t="s">
        <v>15</v>
      </c>
      <c r="I20" s="75" t="s">
        <v>16</v>
      </c>
      <c r="J20" s="75"/>
      <c r="K20" s="76" t="s">
        <v>9</v>
      </c>
      <c r="L20" s="77">
        <v>373239.83</v>
      </c>
    </row>
    <row r="21" spans="1:12" ht="132.6" hidden="1" x14ac:dyDescent="0.3">
      <c r="A21" s="71" t="s">
        <v>291</v>
      </c>
      <c r="B21" s="72" t="s">
        <v>301</v>
      </c>
      <c r="C21" s="72" t="s">
        <v>299</v>
      </c>
      <c r="D21" s="72" t="s">
        <v>300</v>
      </c>
      <c r="E21" s="73" t="s">
        <v>14</v>
      </c>
      <c r="F21" s="74">
        <v>18211.2</v>
      </c>
      <c r="G21" s="74"/>
      <c r="H21" s="73" t="s">
        <v>15</v>
      </c>
      <c r="I21" s="75" t="s">
        <v>16</v>
      </c>
      <c r="J21" s="75"/>
      <c r="K21" s="76" t="s">
        <v>9</v>
      </c>
      <c r="L21" s="77">
        <v>391451.03</v>
      </c>
    </row>
    <row r="22" spans="1:12" ht="132.6" hidden="1" x14ac:dyDescent="0.3">
      <c r="A22" s="71" t="s">
        <v>33</v>
      </c>
      <c r="B22" s="72" t="s">
        <v>169</v>
      </c>
      <c r="C22" s="72" t="s">
        <v>170</v>
      </c>
      <c r="D22" s="72" t="s">
        <v>167</v>
      </c>
      <c r="E22" s="73" t="s">
        <v>14</v>
      </c>
      <c r="F22" s="74">
        <v>15405.33</v>
      </c>
      <c r="G22" s="74"/>
      <c r="H22" s="73" t="s">
        <v>14</v>
      </c>
      <c r="I22" s="75" t="s">
        <v>16</v>
      </c>
      <c r="J22" s="75"/>
      <c r="K22" s="76" t="s">
        <v>9</v>
      </c>
      <c r="L22" s="77">
        <v>406856.36</v>
      </c>
    </row>
    <row r="23" spans="1:12" ht="132.6" hidden="1" x14ac:dyDescent="0.3">
      <c r="A23" s="71" t="s">
        <v>33</v>
      </c>
      <c r="B23" s="72" t="s">
        <v>39</v>
      </c>
      <c r="C23" s="72" t="s">
        <v>40</v>
      </c>
      <c r="D23" s="72" t="s">
        <v>41</v>
      </c>
      <c r="E23" s="73" t="s">
        <v>14</v>
      </c>
      <c r="F23" s="79" t="s">
        <v>16</v>
      </c>
      <c r="G23" s="79"/>
      <c r="H23" s="73" t="s">
        <v>14</v>
      </c>
      <c r="I23" s="81">
        <v>3265.07</v>
      </c>
      <c r="J23" s="81"/>
      <c r="K23" s="76" t="s">
        <v>9</v>
      </c>
      <c r="L23" s="77">
        <v>403591.29</v>
      </c>
    </row>
    <row r="24" spans="1:12" ht="132.6" hidden="1" x14ac:dyDescent="0.3">
      <c r="A24" s="71" t="s">
        <v>33</v>
      </c>
      <c r="B24" s="72" t="s">
        <v>39</v>
      </c>
      <c r="C24" s="72" t="s">
        <v>42</v>
      </c>
      <c r="D24" s="72" t="s">
        <v>43</v>
      </c>
      <c r="E24" s="73" t="s">
        <v>14</v>
      </c>
      <c r="F24" s="79" t="s">
        <v>16</v>
      </c>
      <c r="G24" s="79"/>
      <c r="H24" s="73" t="s">
        <v>14</v>
      </c>
      <c r="I24" s="81">
        <v>3938.72</v>
      </c>
      <c r="J24" s="81"/>
      <c r="K24" s="76" t="s">
        <v>9</v>
      </c>
      <c r="L24" s="77">
        <v>399652.57</v>
      </c>
    </row>
    <row r="25" spans="1:12" ht="132.6" hidden="1" x14ac:dyDescent="0.3">
      <c r="A25" s="71" t="s">
        <v>175</v>
      </c>
      <c r="B25" s="72" t="s">
        <v>302</v>
      </c>
      <c r="C25" s="72" t="s">
        <v>303</v>
      </c>
      <c r="D25" s="72" t="s">
        <v>304</v>
      </c>
      <c r="E25" s="73" t="s">
        <v>14</v>
      </c>
      <c r="F25" s="74">
        <v>34336</v>
      </c>
      <c r="G25" s="74"/>
      <c r="H25" s="73" t="s">
        <v>15</v>
      </c>
      <c r="I25" s="75" t="s">
        <v>16</v>
      </c>
      <c r="J25" s="75"/>
      <c r="K25" s="76" t="s">
        <v>9</v>
      </c>
      <c r="L25" s="77">
        <v>433988.57</v>
      </c>
    </row>
    <row r="26" spans="1:12" ht="122.4" hidden="1" x14ac:dyDescent="0.3">
      <c r="A26" s="71" t="s">
        <v>175</v>
      </c>
      <c r="B26" s="72" t="s">
        <v>305</v>
      </c>
      <c r="C26" s="72" t="s">
        <v>306</v>
      </c>
      <c r="D26" s="72" t="s">
        <v>304</v>
      </c>
      <c r="E26" s="73" t="s">
        <v>14</v>
      </c>
      <c r="F26" s="74">
        <v>6567</v>
      </c>
      <c r="G26" s="74"/>
      <c r="H26" s="73" t="s">
        <v>15</v>
      </c>
      <c r="I26" s="75" t="s">
        <v>16</v>
      </c>
      <c r="J26" s="75"/>
      <c r="K26" s="76" t="s">
        <v>9</v>
      </c>
      <c r="L26" s="77">
        <v>440555.57</v>
      </c>
    </row>
    <row r="27" spans="1:12" ht="132.6" hidden="1" x14ac:dyDescent="0.3">
      <c r="A27" s="71" t="s">
        <v>175</v>
      </c>
      <c r="B27" s="72" t="s">
        <v>185</v>
      </c>
      <c r="C27" s="72" t="s">
        <v>186</v>
      </c>
      <c r="D27" s="72" t="s">
        <v>177</v>
      </c>
      <c r="E27" s="73" t="s">
        <v>14</v>
      </c>
      <c r="F27" s="74">
        <v>8913.18</v>
      </c>
      <c r="G27" s="74"/>
      <c r="H27" s="73" t="s">
        <v>14</v>
      </c>
      <c r="I27" s="75" t="s">
        <v>16</v>
      </c>
      <c r="J27" s="75"/>
      <c r="K27" s="76" t="s">
        <v>9</v>
      </c>
      <c r="L27" s="77">
        <v>449468.75</v>
      </c>
    </row>
    <row r="28" spans="1:12" ht="132.6" hidden="1" x14ac:dyDescent="0.3">
      <c r="A28" s="71" t="s">
        <v>189</v>
      </c>
      <c r="B28" s="72" t="s">
        <v>195</v>
      </c>
      <c r="C28" s="72" t="s">
        <v>196</v>
      </c>
      <c r="D28" s="72" t="s">
        <v>191</v>
      </c>
      <c r="E28" s="73" t="s">
        <v>14</v>
      </c>
      <c r="F28" s="74">
        <v>7115.15</v>
      </c>
      <c r="G28" s="74"/>
      <c r="H28" s="73" t="s">
        <v>14</v>
      </c>
      <c r="I28" s="75" t="s">
        <v>16</v>
      </c>
      <c r="J28" s="75"/>
      <c r="K28" s="76" t="s">
        <v>9</v>
      </c>
      <c r="L28" s="77">
        <v>456583.9</v>
      </c>
    </row>
    <row r="29" spans="1:12" ht="132.6" hidden="1" x14ac:dyDescent="0.3">
      <c r="A29" s="71" t="s">
        <v>307</v>
      </c>
      <c r="B29" s="72" t="s">
        <v>308</v>
      </c>
      <c r="C29" s="72" t="s">
        <v>309</v>
      </c>
      <c r="D29" s="72" t="s">
        <v>310</v>
      </c>
      <c r="E29" s="73" t="s">
        <v>14</v>
      </c>
      <c r="F29" s="74">
        <v>66479.89</v>
      </c>
      <c r="G29" s="74"/>
      <c r="H29" s="73" t="s">
        <v>15</v>
      </c>
      <c r="I29" s="75" t="s">
        <v>16</v>
      </c>
      <c r="J29" s="75"/>
      <c r="K29" s="76" t="s">
        <v>9</v>
      </c>
      <c r="L29" s="77">
        <v>523063.79</v>
      </c>
    </row>
    <row r="30" spans="1:12" ht="132.6" hidden="1" x14ac:dyDescent="0.3">
      <c r="A30" s="71" t="s">
        <v>307</v>
      </c>
      <c r="B30" s="72" t="s">
        <v>311</v>
      </c>
      <c r="C30" s="72" t="s">
        <v>309</v>
      </c>
      <c r="D30" s="72" t="s">
        <v>310</v>
      </c>
      <c r="E30" s="73" t="s">
        <v>14</v>
      </c>
      <c r="F30" s="74">
        <v>99719.84</v>
      </c>
      <c r="G30" s="74"/>
      <c r="H30" s="73" t="s">
        <v>15</v>
      </c>
      <c r="I30" s="75" t="s">
        <v>16</v>
      </c>
      <c r="J30" s="75"/>
      <c r="K30" s="76" t="s">
        <v>9</v>
      </c>
      <c r="L30" s="77">
        <v>622783.63</v>
      </c>
    </row>
    <row r="31" spans="1:12" ht="132.6" hidden="1" x14ac:dyDescent="0.3">
      <c r="A31" s="71" t="s">
        <v>307</v>
      </c>
      <c r="B31" s="72" t="s">
        <v>312</v>
      </c>
      <c r="C31" s="72" t="s">
        <v>313</v>
      </c>
      <c r="D31" s="72" t="s">
        <v>314</v>
      </c>
      <c r="E31" s="73" t="s">
        <v>14</v>
      </c>
      <c r="F31" s="78">
        <v>866.32</v>
      </c>
      <c r="G31" s="78"/>
      <c r="H31" s="73" t="s">
        <v>15</v>
      </c>
      <c r="I31" s="75" t="s">
        <v>16</v>
      </c>
      <c r="J31" s="75"/>
      <c r="K31" s="76" t="s">
        <v>9</v>
      </c>
      <c r="L31" s="77">
        <v>623649.94999999995</v>
      </c>
    </row>
    <row r="32" spans="1:12" ht="132.6" hidden="1" x14ac:dyDescent="0.3">
      <c r="A32" s="71" t="s">
        <v>307</v>
      </c>
      <c r="B32" s="72" t="s">
        <v>312</v>
      </c>
      <c r="C32" s="72" t="s">
        <v>315</v>
      </c>
      <c r="D32" s="72" t="s">
        <v>314</v>
      </c>
      <c r="E32" s="73" t="s">
        <v>14</v>
      </c>
      <c r="F32" s="74">
        <v>3130.4</v>
      </c>
      <c r="G32" s="74"/>
      <c r="H32" s="73" t="s">
        <v>15</v>
      </c>
      <c r="I32" s="75" t="s">
        <v>16</v>
      </c>
      <c r="J32" s="75"/>
      <c r="K32" s="76" t="s">
        <v>9</v>
      </c>
      <c r="L32" s="77">
        <v>626780.35</v>
      </c>
    </row>
    <row r="33" spans="1:12" ht="132.6" hidden="1" x14ac:dyDescent="0.3">
      <c r="A33" s="71" t="s">
        <v>307</v>
      </c>
      <c r="B33" s="72" t="s">
        <v>312</v>
      </c>
      <c r="C33" s="72" t="s">
        <v>316</v>
      </c>
      <c r="D33" s="72" t="s">
        <v>314</v>
      </c>
      <c r="E33" s="73" t="s">
        <v>14</v>
      </c>
      <c r="F33" s="74">
        <v>1160</v>
      </c>
      <c r="G33" s="74"/>
      <c r="H33" s="73" t="s">
        <v>15</v>
      </c>
      <c r="I33" s="75" t="s">
        <v>16</v>
      </c>
      <c r="J33" s="75"/>
      <c r="K33" s="76" t="s">
        <v>9</v>
      </c>
      <c r="L33" s="77">
        <v>627940.35</v>
      </c>
    </row>
    <row r="34" spans="1:12" ht="132.6" hidden="1" x14ac:dyDescent="0.3">
      <c r="A34" s="71" t="s">
        <v>201</v>
      </c>
      <c r="B34" s="72" t="s">
        <v>212</v>
      </c>
      <c r="C34" s="72" t="s">
        <v>213</v>
      </c>
      <c r="D34" s="72" t="s">
        <v>206</v>
      </c>
      <c r="E34" s="73" t="s">
        <v>14</v>
      </c>
      <c r="F34" s="74">
        <v>16094.02</v>
      </c>
      <c r="G34" s="74"/>
      <c r="H34" s="73" t="s">
        <v>14</v>
      </c>
      <c r="I34" s="75" t="s">
        <v>16</v>
      </c>
      <c r="J34" s="75"/>
      <c r="K34" s="76" t="s">
        <v>9</v>
      </c>
      <c r="L34" s="77">
        <v>644034.37</v>
      </c>
    </row>
    <row r="35" spans="1:12" ht="132.6" hidden="1" x14ac:dyDescent="0.3">
      <c r="A35" s="71" t="s">
        <v>50</v>
      </c>
      <c r="B35" s="72" t="s">
        <v>224</v>
      </c>
      <c r="C35" s="72" t="s">
        <v>225</v>
      </c>
      <c r="D35" s="72" t="s">
        <v>217</v>
      </c>
      <c r="E35" s="73" t="s">
        <v>14</v>
      </c>
      <c r="F35" s="74">
        <v>9146.57</v>
      </c>
      <c r="G35" s="74"/>
      <c r="H35" s="73" t="s">
        <v>14</v>
      </c>
      <c r="I35" s="75" t="s">
        <v>16</v>
      </c>
      <c r="J35" s="75"/>
      <c r="K35" s="76" t="s">
        <v>9</v>
      </c>
      <c r="L35" s="77">
        <v>653180.93999999994</v>
      </c>
    </row>
    <row r="36" spans="1:12" ht="122.4" hidden="1" x14ac:dyDescent="0.3">
      <c r="A36" s="71" t="s">
        <v>229</v>
      </c>
      <c r="B36" s="72" t="s">
        <v>236</v>
      </c>
      <c r="C36" s="72" t="s">
        <v>237</v>
      </c>
      <c r="D36" s="72" t="s">
        <v>231</v>
      </c>
      <c r="E36" s="73" t="s">
        <v>14</v>
      </c>
      <c r="F36" s="74">
        <v>3566.18</v>
      </c>
      <c r="G36" s="74"/>
      <c r="H36" s="73" t="s">
        <v>14</v>
      </c>
      <c r="I36" s="75" t="s">
        <v>16</v>
      </c>
      <c r="J36" s="75"/>
      <c r="K36" s="76" t="s">
        <v>9</v>
      </c>
      <c r="L36" s="77">
        <v>656747.12</v>
      </c>
    </row>
    <row r="37" spans="1:12" ht="122.4" hidden="1" x14ac:dyDescent="0.3">
      <c r="A37" s="71" t="s">
        <v>238</v>
      </c>
      <c r="B37" s="72" t="s">
        <v>245</v>
      </c>
      <c r="C37" s="72" t="s">
        <v>246</v>
      </c>
      <c r="D37" s="72" t="s">
        <v>240</v>
      </c>
      <c r="E37" s="73" t="s">
        <v>14</v>
      </c>
      <c r="F37" s="74">
        <v>5261.4</v>
      </c>
      <c r="G37" s="74"/>
      <c r="H37" s="73" t="s">
        <v>14</v>
      </c>
      <c r="I37" s="75" t="s">
        <v>16</v>
      </c>
      <c r="J37" s="75"/>
      <c r="K37" s="76" t="s">
        <v>9</v>
      </c>
      <c r="L37" s="77">
        <v>662008.52</v>
      </c>
    </row>
    <row r="38" spans="1:12" ht="132.6" hidden="1" x14ac:dyDescent="0.3">
      <c r="A38" s="71" t="s">
        <v>238</v>
      </c>
      <c r="B38" s="72" t="s">
        <v>317</v>
      </c>
      <c r="C38" s="72" t="s">
        <v>318</v>
      </c>
      <c r="D38" s="72" t="s">
        <v>237</v>
      </c>
      <c r="E38" s="73" t="s">
        <v>14</v>
      </c>
      <c r="F38" s="79" t="s">
        <v>16</v>
      </c>
      <c r="G38" s="79"/>
      <c r="H38" s="73" t="s">
        <v>14</v>
      </c>
      <c r="I38" s="81">
        <v>3566.18</v>
      </c>
      <c r="J38" s="81"/>
      <c r="K38" s="76" t="s">
        <v>9</v>
      </c>
      <c r="L38" s="77">
        <v>658442.34</v>
      </c>
    </row>
    <row r="39" spans="1:12" ht="132.6" hidden="1" x14ac:dyDescent="0.3">
      <c r="A39" s="71" t="s">
        <v>238</v>
      </c>
      <c r="B39" s="72" t="s">
        <v>317</v>
      </c>
      <c r="C39" s="72" t="s">
        <v>244</v>
      </c>
      <c r="D39" s="72" t="s">
        <v>246</v>
      </c>
      <c r="E39" s="73" t="s">
        <v>14</v>
      </c>
      <c r="F39" s="79" t="s">
        <v>16</v>
      </c>
      <c r="G39" s="79"/>
      <c r="H39" s="73" t="s">
        <v>14</v>
      </c>
      <c r="I39" s="81">
        <v>5261.4</v>
      </c>
      <c r="J39" s="81"/>
      <c r="K39" s="76" t="s">
        <v>9</v>
      </c>
      <c r="L39" s="77">
        <v>653180.93999999994</v>
      </c>
    </row>
    <row r="40" spans="1:12" ht="132.6" hidden="1" x14ac:dyDescent="0.3">
      <c r="A40" s="71" t="s">
        <v>238</v>
      </c>
      <c r="B40" s="72" t="s">
        <v>317</v>
      </c>
      <c r="C40" s="72" t="s">
        <v>319</v>
      </c>
      <c r="D40" s="72" t="s">
        <v>290</v>
      </c>
      <c r="E40" s="73" t="s">
        <v>14</v>
      </c>
      <c r="F40" s="79" t="s">
        <v>16</v>
      </c>
      <c r="G40" s="79"/>
      <c r="H40" s="73" t="s">
        <v>14</v>
      </c>
      <c r="I40" s="81">
        <v>2107.62</v>
      </c>
      <c r="J40" s="81"/>
      <c r="K40" s="76" t="s">
        <v>9</v>
      </c>
      <c r="L40" s="77">
        <v>651073.31999999995</v>
      </c>
    </row>
    <row r="41" spans="1:12" ht="142.80000000000001" hidden="1" x14ac:dyDescent="0.3">
      <c r="A41" s="71" t="s">
        <v>238</v>
      </c>
      <c r="B41" s="72" t="s">
        <v>317</v>
      </c>
      <c r="C41" s="72" t="s">
        <v>320</v>
      </c>
      <c r="D41" s="72" t="s">
        <v>170</v>
      </c>
      <c r="E41" s="73" t="s">
        <v>14</v>
      </c>
      <c r="F41" s="79" t="s">
        <v>16</v>
      </c>
      <c r="G41" s="79"/>
      <c r="H41" s="73" t="s">
        <v>14</v>
      </c>
      <c r="I41" s="81">
        <v>13826.28</v>
      </c>
      <c r="J41" s="81"/>
      <c r="K41" s="76" t="s">
        <v>9</v>
      </c>
      <c r="L41" s="77">
        <v>637247.04</v>
      </c>
    </row>
    <row r="42" spans="1:12" ht="61.2" x14ac:dyDescent="0.3">
      <c r="A42" s="71" t="s">
        <v>58</v>
      </c>
      <c r="B42" s="72" t="s">
        <v>321</v>
      </c>
      <c r="C42" s="72" t="s">
        <v>35</v>
      </c>
      <c r="D42" s="72" t="s">
        <v>322</v>
      </c>
      <c r="E42" s="73" t="s">
        <v>37</v>
      </c>
      <c r="F42" s="79" t="s">
        <v>16</v>
      </c>
      <c r="G42" s="79"/>
      <c r="H42" s="73" t="s">
        <v>14</v>
      </c>
      <c r="I42" s="81">
        <v>1535.25</v>
      </c>
      <c r="J42" s="81"/>
      <c r="K42" s="76" t="s">
        <v>9</v>
      </c>
      <c r="L42" s="77">
        <v>635711.79</v>
      </c>
    </row>
    <row r="43" spans="1:12" ht="61.2" x14ac:dyDescent="0.3">
      <c r="A43" s="71" t="s">
        <v>58</v>
      </c>
      <c r="B43" s="72" t="s">
        <v>321</v>
      </c>
      <c r="C43" s="72" t="s">
        <v>35</v>
      </c>
      <c r="D43" s="72" t="s">
        <v>323</v>
      </c>
      <c r="E43" s="73" t="s">
        <v>37</v>
      </c>
      <c r="F43" s="79" t="s">
        <v>16</v>
      </c>
      <c r="G43" s="79"/>
      <c r="H43" s="73" t="s">
        <v>14</v>
      </c>
      <c r="I43" s="80">
        <v>347.71</v>
      </c>
      <c r="J43" s="80"/>
      <c r="K43" s="76" t="s">
        <v>9</v>
      </c>
      <c r="L43" s="77">
        <v>635364.07999999996</v>
      </c>
    </row>
    <row r="44" spans="1:12" ht="71.400000000000006" x14ac:dyDescent="0.3">
      <c r="A44" s="71" t="s">
        <v>58</v>
      </c>
      <c r="B44" s="72" t="s">
        <v>321</v>
      </c>
      <c r="C44" s="72" t="s">
        <v>35</v>
      </c>
      <c r="D44" s="72" t="s">
        <v>170</v>
      </c>
      <c r="E44" s="73" t="s">
        <v>37</v>
      </c>
      <c r="F44" s="79" t="s">
        <v>16</v>
      </c>
      <c r="G44" s="79"/>
      <c r="H44" s="73" t="s">
        <v>14</v>
      </c>
      <c r="I44" s="81">
        <v>1579.05</v>
      </c>
      <c r="J44" s="81"/>
      <c r="K44" s="76" t="s">
        <v>9</v>
      </c>
      <c r="L44" s="77">
        <v>633785.03</v>
      </c>
    </row>
    <row r="45" spans="1:12" ht="71.400000000000006" x14ac:dyDescent="0.3">
      <c r="A45" s="71" t="s">
        <v>58</v>
      </c>
      <c r="B45" s="72" t="s">
        <v>321</v>
      </c>
      <c r="C45" s="72" t="s">
        <v>35</v>
      </c>
      <c r="D45" s="72" t="s">
        <v>186</v>
      </c>
      <c r="E45" s="73" t="s">
        <v>37</v>
      </c>
      <c r="F45" s="79" t="s">
        <v>16</v>
      </c>
      <c r="G45" s="79"/>
      <c r="H45" s="73" t="s">
        <v>14</v>
      </c>
      <c r="I45" s="81">
        <v>6748.55</v>
      </c>
      <c r="J45" s="81"/>
      <c r="K45" s="76" t="s">
        <v>9</v>
      </c>
      <c r="L45" s="77">
        <v>627036.48</v>
      </c>
    </row>
    <row r="46" spans="1:12" ht="71.400000000000006" x14ac:dyDescent="0.3">
      <c r="A46" s="71" t="s">
        <v>58</v>
      </c>
      <c r="B46" s="72" t="s">
        <v>321</v>
      </c>
      <c r="C46" s="72" t="s">
        <v>35</v>
      </c>
      <c r="D46" s="72" t="s">
        <v>186</v>
      </c>
      <c r="E46" s="73" t="s">
        <v>37</v>
      </c>
      <c r="F46" s="79" t="s">
        <v>16</v>
      </c>
      <c r="G46" s="79"/>
      <c r="H46" s="73" t="s">
        <v>14</v>
      </c>
      <c r="I46" s="81">
        <v>2164.63</v>
      </c>
      <c r="J46" s="81"/>
      <c r="K46" s="76" t="s">
        <v>9</v>
      </c>
      <c r="L46" s="77">
        <v>624871.85</v>
      </c>
    </row>
    <row r="47" spans="1:12" ht="71.400000000000006" x14ac:dyDescent="0.3">
      <c r="A47" s="71" t="s">
        <v>58</v>
      </c>
      <c r="B47" s="72" t="s">
        <v>321</v>
      </c>
      <c r="C47" s="72" t="s">
        <v>35</v>
      </c>
      <c r="D47" s="72" t="s">
        <v>196</v>
      </c>
      <c r="E47" s="73" t="s">
        <v>37</v>
      </c>
      <c r="F47" s="79" t="s">
        <v>16</v>
      </c>
      <c r="G47" s="79"/>
      <c r="H47" s="73" t="s">
        <v>14</v>
      </c>
      <c r="I47" s="81">
        <v>7079.57</v>
      </c>
      <c r="J47" s="81"/>
      <c r="K47" s="76" t="s">
        <v>9</v>
      </c>
      <c r="L47" s="77">
        <v>617792.28</v>
      </c>
    </row>
    <row r="48" spans="1:12" ht="71.400000000000006" x14ac:dyDescent="0.3">
      <c r="A48" s="71" t="s">
        <v>58</v>
      </c>
      <c r="B48" s="72" t="s">
        <v>321</v>
      </c>
      <c r="C48" s="72" t="s">
        <v>35</v>
      </c>
      <c r="D48" s="72" t="s">
        <v>196</v>
      </c>
      <c r="E48" s="73" t="s">
        <v>37</v>
      </c>
      <c r="F48" s="79" t="s">
        <v>16</v>
      </c>
      <c r="G48" s="79"/>
      <c r="H48" s="73" t="s">
        <v>14</v>
      </c>
      <c r="I48" s="80">
        <v>35.58</v>
      </c>
      <c r="J48" s="80"/>
      <c r="K48" s="76" t="s">
        <v>9</v>
      </c>
      <c r="L48" s="77">
        <v>617756.69999999995</v>
      </c>
    </row>
    <row r="49" spans="1:12" ht="71.400000000000006" x14ac:dyDescent="0.3">
      <c r="A49" s="71" t="s">
        <v>58</v>
      </c>
      <c r="B49" s="72" t="s">
        <v>321</v>
      </c>
      <c r="C49" s="72" t="s">
        <v>35</v>
      </c>
      <c r="D49" s="72" t="s">
        <v>213</v>
      </c>
      <c r="E49" s="73" t="s">
        <v>37</v>
      </c>
      <c r="F49" s="79" t="s">
        <v>16</v>
      </c>
      <c r="G49" s="79"/>
      <c r="H49" s="73" t="s">
        <v>14</v>
      </c>
      <c r="I49" s="81">
        <v>11649</v>
      </c>
      <c r="J49" s="81"/>
      <c r="K49" s="76" t="s">
        <v>9</v>
      </c>
      <c r="L49" s="77">
        <v>606107.69999999995</v>
      </c>
    </row>
    <row r="50" spans="1:12" ht="71.400000000000006" x14ac:dyDescent="0.3">
      <c r="A50" s="71" t="s">
        <v>58</v>
      </c>
      <c r="B50" s="72" t="s">
        <v>324</v>
      </c>
      <c r="C50" s="72" t="s">
        <v>35</v>
      </c>
      <c r="D50" s="72" t="s">
        <v>98</v>
      </c>
      <c r="E50" s="73" t="s">
        <v>37</v>
      </c>
      <c r="F50" s="79" t="s">
        <v>16</v>
      </c>
      <c r="G50" s="79"/>
      <c r="H50" s="73" t="s">
        <v>14</v>
      </c>
      <c r="I50" s="80">
        <v>97.55</v>
      </c>
      <c r="J50" s="80"/>
      <c r="K50" s="76" t="s">
        <v>9</v>
      </c>
      <c r="L50" s="77">
        <v>606010.15</v>
      </c>
    </row>
    <row r="51" spans="1:12" ht="71.400000000000006" x14ac:dyDescent="0.3">
      <c r="A51" s="71" t="s">
        <v>58</v>
      </c>
      <c r="B51" s="72" t="s">
        <v>324</v>
      </c>
      <c r="C51" s="72" t="s">
        <v>35</v>
      </c>
      <c r="D51" s="72" t="s">
        <v>293</v>
      </c>
      <c r="E51" s="73" t="s">
        <v>37</v>
      </c>
      <c r="F51" s="79" t="s">
        <v>16</v>
      </c>
      <c r="G51" s="79"/>
      <c r="H51" s="73" t="s">
        <v>14</v>
      </c>
      <c r="I51" s="80">
        <v>198.1</v>
      </c>
      <c r="J51" s="80"/>
      <c r="K51" s="76" t="s">
        <v>9</v>
      </c>
      <c r="L51" s="77">
        <v>605812.05000000005</v>
      </c>
    </row>
    <row r="52" spans="1:12" ht="61.2" x14ac:dyDescent="0.3">
      <c r="A52" s="71" t="s">
        <v>58</v>
      </c>
      <c r="B52" s="72" t="s">
        <v>324</v>
      </c>
      <c r="C52" s="72" t="s">
        <v>35</v>
      </c>
      <c r="D52" s="72" t="s">
        <v>100</v>
      </c>
      <c r="E52" s="73" t="s">
        <v>37</v>
      </c>
      <c r="F52" s="79" t="s">
        <v>16</v>
      </c>
      <c r="G52" s="79"/>
      <c r="H52" s="73" t="s">
        <v>14</v>
      </c>
      <c r="I52" s="80">
        <v>144.80000000000001</v>
      </c>
      <c r="J52" s="80"/>
      <c r="K52" s="76" t="s">
        <v>9</v>
      </c>
      <c r="L52" s="77">
        <v>605667.25</v>
      </c>
    </row>
    <row r="53" spans="1:12" ht="71.400000000000006" x14ac:dyDescent="0.3">
      <c r="A53" s="71" t="s">
        <v>58</v>
      </c>
      <c r="B53" s="72" t="s">
        <v>325</v>
      </c>
      <c r="C53" s="72" t="s">
        <v>35</v>
      </c>
      <c r="D53" s="72" t="s">
        <v>213</v>
      </c>
      <c r="E53" s="73" t="s">
        <v>37</v>
      </c>
      <c r="F53" s="79" t="s">
        <v>16</v>
      </c>
      <c r="G53" s="79"/>
      <c r="H53" s="73" t="s">
        <v>14</v>
      </c>
      <c r="I53" s="81">
        <v>4445.0200000000004</v>
      </c>
      <c r="J53" s="81"/>
      <c r="K53" s="76" t="s">
        <v>9</v>
      </c>
      <c r="L53" s="77">
        <v>601222.23</v>
      </c>
    </row>
    <row r="54" spans="1:12" ht="71.400000000000006" x14ac:dyDescent="0.3">
      <c r="A54" s="71" t="s">
        <v>58</v>
      </c>
      <c r="B54" s="72" t="s">
        <v>325</v>
      </c>
      <c r="C54" s="72" t="s">
        <v>35</v>
      </c>
      <c r="D54" s="72" t="s">
        <v>225</v>
      </c>
      <c r="E54" s="73" t="s">
        <v>37</v>
      </c>
      <c r="F54" s="79" t="s">
        <v>16</v>
      </c>
      <c r="G54" s="79"/>
      <c r="H54" s="73" t="s">
        <v>14</v>
      </c>
      <c r="I54" s="81">
        <v>9146.57</v>
      </c>
      <c r="J54" s="81"/>
      <c r="K54" s="76" t="s">
        <v>9</v>
      </c>
      <c r="L54" s="77">
        <v>592075.66</v>
      </c>
    </row>
    <row r="55" spans="1:12" ht="61.2" x14ac:dyDescent="0.3">
      <c r="A55" s="71" t="s">
        <v>58</v>
      </c>
      <c r="B55" s="72" t="s">
        <v>326</v>
      </c>
      <c r="C55" s="72" t="s">
        <v>35</v>
      </c>
      <c r="D55" s="72" t="s">
        <v>79</v>
      </c>
      <c r="E55" s="73" t="s">
        <v>37</v>
      </c>
      <c r="F55" s="79" t="s">
        <v>16</v>
      </c>
      <c r="G55" s="79"/>
      <c r="H55" s="73" t="s">
        <v>14</v>
      </c>
      <c r="I55" s="81">
        <v>3596</v>
      </c>
      <c r="J55" s="81"/>
      <c r="K55" s="76" t="s">
        <v>9</v>
      </c>
      <c r="L55" s="77">
        <v>588479.66</v>
      </c>
    </row>
    <row r="56" spans="1:12" ht="71.400000000000006" hidden="1" x14ac:dyDescent="0.3">
      <c r="A56" s="71" t="s">
        <v>58</v>
      </c>
      <c r="B56" s="72" t="s">
        <v>327</v>
      </c>
      <c r="C56" s="72" t="s">
        <v>328</v>
      </c>
      <c r="D56" s="72" t="s">
        <v>329</v>
      </c>
      <c r="E56" s="73" t="s">
        <v>14</v>
      </c>
      <c r="F56" s="79" t="s">
        <v>16</v>
      </c>
      <c r="G56" s="79"/>
      <c r="H56" s="73" t="s">
        <v>14</v>
      </c>
      <c r="I56" s="81">
        <v>8258.67</v>
      </c>
      <c r="J56" s="81"/>
      <c r="K56" s="76" t="s">
        <v>9</v>
      </c>
      <c r="L56" s="77">
        <v>580220.99</v>
      </c>
    </row>
    <row r="57" spans="1:12" ht="132.6" hidden="1" x14ac:dyDescent="0.3">
      <c r="A57" s="71" t="s">
        <v>58</v>
      </c>
      <c r="B57" s="72" t="s">
        <v>327</v>
      </c>
      <c r="C57" s="72" t="s">
        <v>330</v>
      </c>
      <c r="D57" s="72" t="s">
        <v>115</v>
      </c>
      <c r="E57" s="73" t="s">
        <v>14</v>
      </c>
      <c r="F57" s="79" t="s">
        <v>16</v>
      </c>
      <c r="G57" s="79"/>
      <c r="H57" s="73" t="s">
        <v>14</v>
      </c>
      <c r="I57" s="81">
        <v>8567.6299999999992</v>
      </c>
      <c r="J57" s="81"/>
      <c r="K57" s="76" t="s">
        <v>9</v>
      </c>
      <c r="L57" s="77">
        <v>571653.36</v>
      </c>
    </row>
    <row r="58" spans="1:12" ht="132.6" hidden="1" x14ac:dyDescent="0.3">
      <c r="A58" s="71" t="s">
        <v>58</v>
      </c>
      <c r="B58" s="72" t="s">
        <v>327</v>
      </c>
      <c r="C58" s="72" t="s">
        <v>331</v>
      </c>
      <c r="D58" s="72" t="s">
        <v>332</v>
      </c>
      <c r="E58" s="73" t="s">
        <v>14</v>
      </c>
      <c r="F58" s="79" t="s">
        <v>16</v>
      </c>
      <c r="G58" s="79"/>
      <c r="H58" s="73" t="s">
        <v>14</v>
      </c>
      <c r="I58" s="81">
        <v>8030.66</v>
      </c>
      <c r="J58" s="81"/>
      <c r="K58" s="76" t="s">
        <v>9</v>
      </c>
      <c r="L58" s="77">
        <v>563622.69999999995</v>
      </c>
    </row>
    <row r="59" spans="1:12" ht="142.80000000000001" hidden="1" x14ac:dyDescent="0.3">
      <c r="A59" s="71" t="s">
        <v>58</v>
      </c>
      <c r="B59" s="72" t="s">
        <v>333</v>
      </c>
      <c r="C59" s="72" t="s">
        <v>334</v>
      </c>
      <c r="D59" s="72" t="s">
        <v>115</v>
      </c>
      <c r="E59" s="73" t="s">
        <v>14</v>
      </c>
      <c r="F59" s="79" t="s">
        <v>16</v>
      </c>
      <c r="G59" s="79"/>
      <c r="H59" s="73" t="s">
        <v>14</v>
      </c>
      <c r="I59" s="81">
        <v>32160</v>
      </c>
      <c r="J59" s="81"/>
      <c r="K59" s="76" t="s">
        <v>9</v>
      </c>
      <c r="L59" s="77">
        <v>531462.69999999995</v>
      </c>
    </row>
    <row r="60" spans="1:12" ht="142.80000000000001" hidden="1" x14ac:dyDescent="0.3">
      <c r="A60" s="71" t="s">
        <v>58</v>
      </c>
      <c r="B60" s="72" t="s">
        <v>333</v>
      </c>
      <c r="C60" s="72" t="s">
        <v>335</v>
      </c>
      <c r="D60" s="72" t="s">
        <v>332</v>
      </c>
      <c r="E60" s="73" t="s">
        <v>14</v>
      </c>
      <c r="F60" s="79" t="s">
        <v>16</v>
      </c>
      <c r="G60" s="79"/>
      <c r="H60" s="73" t="s">
        <v>14</v>
      </c>
      <c r="I60" s="81">
        <v>5142.67</v>
      </c>
      <c r="J60" s="81"/>
      <c r="K60" s="76" t="s">
        <v>9</v>
      </c>
      <c r="L60" s="77">
        <v>526320.03</v>
      </c>
    </row>
    <row r="61" spans="1:12" ht="132.6" hidden="1" x14ac:dyDescent="0.3">
      <c r="A61" s="71" t="s">
        <v>266</v>
      </c>
      <c r="B61" s="72" t="s">
        <v>282</v>
      </c>
      <c r="C61" s="72" t="s">
        <v>283</v>
      </c>
      <c r="D61" s="72" t="s">
        <v>278</v>
      </c>
      <c r="E61" s="73" t="s">
        <v>14</v>
      </c>
      <c r="F61" s="74">
        <v>3030.5</v>
      </c>
      <c r="G61" s="74"/>
      <c r="H61" s="73" t="s">
        <v>14</v>
      </c>
      <c r="I61" s="75" t="s">
        <v>16</v>
      </c>
      <c r="J61" s="75"/>
      <c r="K61" s="76" t="s">
        <v>9</v>
      </c>
      <c r="L61" s="77">
        <v>529350.53</v>
      </c>
    </row>
    <row r="62" spans="1:12" hidden="1" x14ac:dyDescent="0.3">
      <c r="A62" s="82" t="s">
        <v>60</v>
      </c>
      <c r="B62" s="82"/>
      <c r="C62" s="82"/>
      <c r="D62" s="82"/>
      <c r="E62" s="83">
        <v>390621.31</v>
      </c>
      <c r="F62" s="83"/>
      <c r="G62" s="83"/>
      <c r="H62" s="83">
        <v>159236.53</v>
      </c>
      <c r="I62" s="83"/>
      <c r="J62" s="83"/>
      <c r="K62" s="84" t="s">
        <v>9</v>
      </c>
      <c r="L62" s="85">
        <v>529350.53</v>
      </c>
    </row>
    <row r="64" spans="1:12" x14ac:dyDescent="0.3">
      <c r="J64" s="29">
        <f>SUBTOTAL(9,I19:J55)</f>
        <v>50967.380000000012</v>
      </c>
    </row>
  </sheetData>
  <autoFilter ref="A1:L62">
    <filterColumn colId="1">
      <filters>
        <filter val="Вимога-накладна ІБ00-000033 від 30.01.2025 20:41:45_x000a_Списаны ТМЦ"/>
        <filter val="Вимога-накладна ІБ00-000038 від 30.01.2025 22:00:00_x000a_Списаны ТМЦ"/>
        <filter val="Списання товарів ІБ00-000013 від 14.01.2025 18:05:53_x000a_Списаны ТМЦ"/>
        <filter val="Списання товарів ІБ00-000025 від 30.01.2025 20:41:46_x000a_Списаны ТМЦ"/>
        <filter val="Списання товарів ІБ00-000029 від 30.01.2025 23:00:01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30">
    <mergeCell ref="F61:G61"/>
    <mergeCell ref="I61:J61"/>
    <mergeCell ref="A62:D62"/>
    <mergeCell ref="E62:G62"/>
    <mergeCell ref="H62:J62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3"/>
  <sheetViews>
    <sheetView topLeftCell="A52" workbookViewId="0">
      <selection activeCell="J53" sqref="J53"/>
    </sheetView>
  </sheetViews>
  <sheetFormatPr defaultRowHeight="14.4" x14ac:dyDescent="0.3"/>
  <cols>
    <col min="2" max="4" width="27.44140625" customWidth="1"/>
    <col min="10" max="10" width="9.88671875" bestFit="1" customWidth="1"/>
  </cols>
  <sheetData>
    <row r="1" spans="1:12" x14ac:dyDescent="0.3">
      <c r="A1" s="86" t="s">
        <v>1</v>
      </c>
      <c r="B1" s="87" t="s">
        <v>2</v>
      </c>
      <c r="C1" s="87" t="s">
        <v>3</v>
      </c>
      <c r="D1" s="88" t="s">
        <v>4</v>
      </c>
      <c r="E1" s="89" t="s">
        <v>5</v>
      </c>
      <c r="F1" s="89"/>
      <c r="G1" s="89"/>
      <c r="H1" s="90" t="s">
        <v>6</v>
      </c>
      <c r="I1" s="90"/>
      <c r="J1" s="90"/>
      <c r="K1" s="87" t="s">
        <v>7</v>
      </c>
      <c r="L1" s="87"/>
    </row>
    <row r="2" spans="1:12" hidden="1" x14ac:dyDescent="0.3">
      <c r="A2" s="91"/>
      <c r="B2" s="92"/>
      <c r="C2" s="92"/>
      <c r="D2" s="93"/>
      <c r="E2" s="94" t="s">
        <v>8</v>
      </c>
      <c r="F2" s="95"/>
      <c r="G2" s="95"/>
      <c r="H2" s="96" t="s">
        <v>8</v>
      </c>
      <c r="I2" s="97"/>
      <c r="J2" s="97"/>
      <c r="K2" s="91"/>
      <c r="L2" s="98"/>
    </row>
    <row r="3" spans="1:12" ht="61.2" hidden="1" x14ac:dyDescent="0.3">
      <c r="A3" s="99" t="s">
        <v>26</v>
      </c>
      <c r="B3" s="100" t="s">
        <v>108</v>
      </c>
      <c r="C3" s="100" t="s">
        <v>109</v>
      </c>
      <c r="D3" s="100" t="s">
        <v>102</v>
      </c>
      <c r="E3" s="101" t="s">
        <v>14</v>
      </c>
      <c r="F3" s="102">
        <v>5923.46</v>
      </c>
      <c r="G3" s="102"/>
      <c r="H3" s="101" t="s">
        <v>14</v>
      </c>
      <c r="I3" s="103" t="s">
        <v>16</v>
      </c>
      <c r="J3" s="103"/>
      <c r="K3" s="104" t="s">
        <v>9</v>
      </c>
      <c r="L3" s="105">
        <v>5923.46</v>
      </c>
    </row>
    <row r="4" spans="1:12" ht="61.2" hidden="1" x14ac:dyDescent="0.3">
      <c r="A4" s="99" t="s">
        <v>26</v>
      </c>
      <c r="B4" s="100" t="s">
        <v>108</v>
      </c>
      <c r="C4" s="100" t="s">
        <v>110</v>
      </c>
      <c r="D4" s="100" t="s">
        <v>104</v>
      </c>
      <c r="E4" s="101" t="s">
        <v>14</v>
      </c>
      <c r="F4" s="102">
        <v>32836.57</v>
      </c>
      <c r="G4" s="102"/>
      <c r="H4" s="101" t="s">
        <v>14</v>
      </c>
      <c r="I4" s="103" t="s">
        <v>16</v>
      </c>
      <c r="J4" s="103"/>
      <c r="K4" s="104" t="s">
        <v>9</v>
      </c>
      <c r="L4" s="105">
        <v>38760.03</v>
      </c>
    </row>
    <row r="5" spans="1:12" ht="61.2" hidden="1" x14ac:dyDescent="0.3">
      <c r="A5" s="99" t="s">
        <v>26</v>
      </c>
      <c r="B5" s="100" t="s">
        <v>108</v>
      </c>
      <c r="C5" s="100" t="s">
        <v>111</v>
      </c>
      <c r="D5" s="100" t="s">
        <v>105</v>
      </c>
      <c r="E5" s="101" t="s">
        <v>14</v>
      </c>
      <c r="F5" s="102">
        <v>76380</v>
      </c>
      <c r="G5" s="102"/>
      <c r="H5" s="101" t="s">
        <v>14</v>
      </c>
      <c r="I5" s="103" t="s">
        <v>16</v>
      </c>
      <c r="J5" s="103"/>
      <c r="K5" s="104" t="s">
        <v>9</v>
      </c>
      <c r="L5" s="105">
        <v>115140.03</v>
      </c>
    </row>
    <row r="6" spans="1:12" ht="61.2" hidden="1" x14ac:dyDescent="0.3">
      <c r="A6" s="99" t="s">
        <v>26</v>
      </c>
      <c r="B6" s="100" t="s">
        <v>108</v>
      </c>
      <c r="C6" s="100" t="s">
        <v>112</v>
      </c>
      <c r="D6" s="100" t="s">
        <v>106</v>
      </c>
      <c r="E6" s="101" t="s">
        <v>14</v>
      </c>
      <c r="F6" s="102">
        <v>3731.2</v>
      </c>
      <c r="G6" s="102"/>
      <c r="H6" s="101" t="s">
        <v>14</v>
      </c>
      <c r="I6" s="103" t="s">
        <v>16</v>
      </c>
      <c r="J6" s="103"/>
      <c r="K6" s="104" t="s">
        <v>9</v>
      </c>
      <c r="L6" s="105">
        <v>118871.23</v>
      </c>
    </row>
    <row r="7" spans="1:12" ht="61.2" hidden="1" x14ac:dyDescent="0.3">
      <c r="A7" s="99" t="s">
        <v>26</v>
      </c>
      <c r="B7" s="100" t="s">
        <v>108</v>
      </c>
      <c r="C7" s="100" t="s">
        <v>113</v>
      </c>
      <c r="D7" s="100" t="s">
        <v>107</v>
      </c>
      <c r="E7" s="101" t="s">
        <v>14</v>
      </c>
      <c r="F7" s="102">
        <v>2509.58</v>
      </c>
      <c r="G7" s="102"/>
      <c r="H7" s="101" t="s">
        <v>14</v>
      </c>
      <c r="I7" s="103" t="s">
        <v>16</v>
      </c>
      <c r="J7" s="103"/>
      <c r="K7" s="104" t="s">
        <v>9</v>
      </c>
      <c r="L7" s="105">
        <v>121380.81</v>
      </c>
    </row>
    <row r="8" spans="1:12" ht="61.2" hidden="1" x14ac:dyDescent="0.3">
      <c r="A8" s="99" t="s">
        <v>26</v>
      </c>
      <c r="B8" s="100" t="s">
        <v>133</v>
      </c>
      <c r="C8" s="100" t="s">
        <v>134</v>
      </c>
      <c r="D8" s="100" t="s">
        <v>117</v>
      </c>
      <c r="E8" s="101" t="s">
        <v>14</v>
      </c>
      <c r="F8" s="102">
        <v>6389.34</v>
      </c>
      <c r="G8" s="102"/>
      <c r="H8" s="101" t="s">
        <v>14</v>
      </c>
      <c r="I8" s="103" t="s">
        <v>16</v>
      </c>
      <c r="J8" s="103"/>
      <c r="K8" s="104" t="s">
        <v>9</v>
      </c>
      <c r="L8" s="105">
        <v>127770.15</v>
      </c>
    </row>
    <row r="9" spans="1:12" ht="61.2" hidden="1" x14ac:dyDescent="0.3">
      <c r="A9" s="99" t="s">
        <v>140</v>
      </c>
      <c r="B9" s="100" t="s">
        <v>146</v>
      </c>
      <c r="C9" s="100" t="s">
        <v>147</v>
      </c>
      <c r="D9" s="100" t="s">
        <v>142</v>
      </c>
      <c r="E9" s="101" t="s">
        <v>14</v>
      </c>
      <c r="F9" s="102">
        <v>21903</v>
      </c>
      <c r="G9" s="102"/>
      <c r="H9" s="101" t="s">
        <v>14</v>
      </c>
      <c r="I9" s="103" t="s">
        <v>16</v>
      </c>
      <c r="J9" s="103"/>
      <c r="K9" s="104" t="s">
        <v>9</v>
      </c>
      <c r="L9" s="105">
        <v>149673.15</v>
      </c>
    </row>
    <row r="10" spans="1:12" ht="61.2" hidden="1" x14ac:dyDescent="0.3">
      <c r="A10" s="99" t="s">
        <v>140</v>
      </c>
      <c r="B10" s="100" t="s">
        <v>152</v>
      </c>
      <c r="C10" s="100" t="s">
        <v>153</v>
      </c>
      <c r="D10" s="100" t="s">
        <v>149</v>
      </c>
      <c r="E10" s="101" t="s">
        <v>14</v>
      </c>
      <c r="F10" s="102">
        <v>303685.88</v>
      </c>
      <c r="G10" s="102"/>
      <c r="H10" s="101" t="s">
        <v>14</v>
      </c>
      <c r="I10" s="103" t="s">
        <v>16</v>
      </c>
      <c r="J10" s="103"/>
      <c r="K10" s="104" t="s">
        <v>9</v>
      </c>
      <c r="L10" s="105">
        <v>453359.03</v>
      </c>
    </row>
    <row r="11" spans="1:12" ht="61.2" hidden="1" x14ac:dyDescent="0.3">
      <c r="A11" s="99" t="s">
        <v>140</v>
      </c>
      <c r="B11" s="100" t="s">
        <v>152</v>
      </c>
      <c r="C11" s="100" t="s">
        <v>154</v>
      </c>
      <c r="D11" s="100" t="s">
        <v>150</v>
      </c>
      <c r="E11" s="101" t="s">
        <v>14</v>
      </c>
      <c r="F11" s="102">
        <v>233813.25</v>
      </c>
      <c r="G11" s="102"/>
      <c r="H11" s="101" t="s">
        <v>14</v>
      </c>
      <c r="I11" s="103" t="s">
        <v>16</v>
      </c>
      <c r="J11" s="103"/>
      <c r="K11" s="104" t="s">
        <v>9</v>
      </c>
      <c r="L11" s="105">
        <v>687172.28</v>
      </c>
    </row>
    <row r="12" spans="1:12" ht="61.2" hidden="1" x14ac:dyDescent="0.3">
      <c r="A12" s="99" t="s">
        <v>140</v>
      </c>
      <c r="B12" s="100" t="s">
        <v>152</v>
      </c>
      <c r="C12" s="100" t="s">
        <v>155</v>
      </c>
      <c r="D12" s="100" t="s">
        <v>156</v>
      </c>
      <c r="E12" s="101" t="s">
        <v>14</v>
      </c>
      <c r="F12" s="102">
        <v>6468</v>
      </c>
      <c r="G12" s="102"/>
      <c r="H12" s="101" t="s">
        <v>14</v>
      </c>
      <c r="I12" s="103" t="s">
        <v>16</v>
      </c>
      <c r="J12" s="103"/>
      <c r="K12" s="104" t="s">
        <v>9</v>
      </c>
      <c r="L12" s="105">
        <v>693640.28</v>
      </c>
    </row>
    <row r="13" spans="1:12" ht="61.2" hidden="1" x14ac:dyDescent="0.3">
      <c r="A13" s="99" t="s">
        <v>140</v>
      </c>
      <c r="B13" s="100" t="s">
        <v>152</v>
      </c>
      <c r="C13" s="100" t="s">
        <v>157</v>
      </c>
      <c r="D13" s="100" t="s">
        <v>151</v>
      </c>
      <c r="E13" s="101" t="s">
        <v>14</v>
      </c>
      <c r="F13" s="106">
        <v>64.599999999999994</v>
      </c>
      <c r="G13" s="106"/>
      <c r="H13" s="101" t="s">
        <v>14</v>
      </c>
      <c r="I13" s="103" t="s">
        <v>16</v>
      </c>
      <c r="J13" s="103"/>
      <c r="K13" s="104" t="s">
        <v>9</v>
      </c>
      <c r="L13" s="105">
        <v>693704.88</v>
      </c>
    </row>
    <row r="14" spans="1:12" ht="61.2" hidden="1" x14ac:dyDescent="0.3">
      <c r="A14" s="99" t="s">
        <v>33</v>
      </c>
      <c r="B14" s="100" t="s">
        <v>173</v>
      </c>
      <c r="C14" s="100" t="s">
        <v>174</v>
      </c>
      <c r="D14" s="100" t="s">
        <v>167</v>
      </c>
      <c r="E14" s="101" t="s">
        <v>14</v>
      </c>
      <c r="F14" s="102">
        <v>1925.67</v>
      </c>
      <c r="G14" s="102"/>
      <c r="H14" s="101" t="s">
        <v>14</v>
      </c>
      <c r="I14" s="103" t="s">
        <v>16</v>
      </c>
      <c r="J14" s="103"/>
      <c r="K14" s="104" t="s">
        <v>9</v>
      </c>
      <c r="L14" s="105">
        <v>695630.55</v>
      </c>
    </row>
    <row r="15" spans="1:12" ht="61.2" hidden="1" x14ac:dyDescent="0.3">
      <c r="A15" s="99" t="s">
        <v>336</v>
      </c>
      <c r="B15" s="100" t="s">
        <v>337</v>
      </c>
      <c r="C15" s="100" t="s">
        <v>338</v>
      </c>
      <c r="D15" s="100" t="s">
        <v>29</v>
      </c>
      <c r="E15" s="101" t="s">
        <v>14</v>
      </c>
      <c r="F15" s="102">
        <v>13737.5</v>
      </c>
      <c r="G15" s="102"/>
      <c r="H15" s="101" t="s">
        <v>15</v>
      </c>
      <c r="I15" s="103" t="s">
        <v>16</v>
      </c>
      <c r="J15" s="103"/>
      <c r="K15" s="104" t="s">
        <v>9</v>
      </c>
      <c r="L15" s="105">
        <v>709368.05</v>
      </c>
    </row>
    <row r="16" spans="1:12" ht="61.2" hidden="1" x14ac:dyDescent="0.3">
      <c r="A16" s="99" t="s">
        <v>336</v>
      </c>
      <c r="B16" s="100" t="s">
        <v>339</v>
      </c>
      <c r="C16" s="100" t="s">
        <v>338</v>
      </c>
      <c r="D16" s="100" t="s">
        <v>29</v>
      </c>
      <c r="E16" s="101" t="s">
        <v>14</v>
      </c>
      <c r="F16" s="102">
        <v>7697.5</v>
      </c>
      <c r="G16" s="102"/>
      <c r="H16" s="101" t="s">
        <v>15</v>
      </c>
      <c r="I16" s="103" t="s">
        <v>16</v>
      </c>
      <c r="J16" s="103"/>
      <c r="K16" s="104" t="s">
        <v>9</v>
      </c>
      <c r="L16" s="105">
        <v>717065.55</v>
      </c>
    </row>
    <row r="17" spans="1:12" ht="61.2" hidden="1" x14ac:dyDescent="0.3">
      <c r="A17" s="99" t="s">
        <v>175</v>
      </c>
      <c r="B17" s="100" t="s">
        <v>181</v>
      </c>
      <c r="C17" s="100" t="s">
        <v>182</v>
      </c>
      <c r="D17" s="100" t="s">
        <v>179</v>
      </c>
      <c r="E17" s="101" t="s">
        <v>14</v>
      </c>
      <c r="F17" s="102">
        <v>6496.6</v>
      </c>
      <c r="G17" s="102"/>
      <c r="H17" s="101" t="s">
        <v>14</v>
      </c>
      <c r="I17" s="103" t="s">
        <v>16</v>
      </c>
      <c r="J17" s="103"/>
      <c r="K17" s="104" t="s">
        <v>9</v>
      </c>
      <c r="L17" s="105">
        <v>723562.15</v>
      </c>
    </row>
    <row r="18" spans="1:12" ht="61.2" hidden="1" x14ac:dyDescent="0.3">
      <c r="A18" s="99" t="s">
        <v>189</v>
      </c>
      <c r="B18" s="100" t="s">
        <v>193</v>
      </c>
      <c r="C18" s="100" t="s">
        <v>194</v>
      </c>
      <c r="D18" s="100" t="s">
        <v>191</v>
      </c>
      <c r="E18" s="101" t="s">
        <v>14</v>
      </c>
      <c r="F18" s="102">
        <v>117400.04</v>
      </c>
      <c r="G18" s="102"/>
      <c r="H18" s="101" t="s">
        <v>14</v>
      </c>
      <c r="I18" s="103" t="s">
        <v>16</v>
      </c>
      <c r="J18" s="103"/>
      <c r="K18" s="104" t="s">
        <v>9</v>
      </c>
      <c r="L18" s="105">
        <v>840962.19</v>
      </c>
    </row>
    <row r="19" spans="1:12" ht="61.2" hidden="1" x14ac:dyDescent="0.3">
      <c r="A19" s="99" t="s">
        <v>307</v>
      </c>
      <c r="B19" s="100" t="s">
        <v>340</v>
      </c>
      <c r="C19" s="100" t="s">
        <v>341</v>
      </c>
      <c r="D19" s="100" t="s">
        <v>178</v>
      </c>
      <c r="E19" s="101" t="s">
        <v>14</v>
      </c>
      <c r="F19" s="102">
        <v>7850</v>
      </c>
      <c r="G19" s="102"/>
      <c r="H19" s="101" t="s">
        <v>15</v>
      </c>
      <c r="I19" s="103" t="s">
        <v>16</v>
      </c>
      <c r="J19" s="103"/>
      <c r="K19" s="104" t="s">
        <v>9</v>
      </c>
      <c r="L19" s="105">
        <v>848812.19</v>
      </c>
    </row>
    <row r="20" spans="1:12" ht="61.2" hidden="1" x14ac:dyDescent="0.3">
      <c r="A20" s="99" t="s">
        <v>307</v>
      </c>
      <c r="B20" s="100" t="s">
        <v>342</v>
      </c>
      <c r="C20" s="100" t="s">
        <v>341</v>
      </c>
      <c r="D20" s="100" t="s">
        <v>178</v>
      </c>
      <c r="E20" s="101" t="s">
        <v>14</v>
      </c>
      <c r="F20" s="102">
        <v>7035</v>
      </c>
      <c r="G20" s="102"/>
      <c r="H20" s="101" t="s">
        <v>15</v>
      </c>
      <c r="I20" s="103" t="s">
        <v>16</v>
      </c>
      <c r="J20" s="103"/>
      <c r="K20" s="104" t="s">
        <v>9</v>
      </c>
      <c r="L20" s="105">
        <v>855847.19</v>
      </c>
    </row>
    <row r="21" spans="1:12" ht="61.2" hidden="1" x14ac:dyDescent="0.3">
      <c r="A21" s="99" t="s">
        <v>201</v>
      </c>
      <c r="B21" s="100" t="s">
        <v>214</v>
      </c>
      <c r="C21" s="100" t="s">
        <v>215</v>
      </c>
      <c r="D21" s="100" t="s">
        <v>206</v>
      </c>
      <c r="E21" s="101" t="s">
        <v>14</v>
      </c>
      <c r="F21" s="102">
        <v>1915.96</v>
      </c>
      <c r="G21" s="102"/>
      <c r="H21" s="101" t="s">
        <v>14</v>
      </c>
      <c r="I21" s="103" t="s">
        <v>16</v>
      </c>
      <c r="J21" s="103"/>
      <c r="K21" s="104" t="s">
        <v>9</v>
      </c>
      <c r="L21" s="105">
        <v>857763.15</v>
      </c>
    </row>
    <row r="22" spans="1:12" ht="61.2" hidden="1" x14ac:dyDescent="0.3">
      <c r="A22" s="99" t="s">
        <v>201</v>
      </c>
      <c r="B22" s="100" t="s">
        <v>343</v>
      </c>
      <c r="C22" s="100" t="s">
        <v>344</v>
      </c>
      <c r="D22" s="100" t="s">
        <v>345</v>
      </c>
      <c r="E22" s="101" t="s">
        <v>14</v>
      </c>
      <c r="F22" s="102">
        <v>15639.33</v>
      </c>
      <c r="G22" s="102"/>
      <c r="H22" s="101" t="s">
        <v>14</v>
      </c>
      <c r="I22" s="103" t="s">
        <v>16</v>
      </c>
      <c r="J22" s="103"/>
      <c r="K22" s="104" t="s">
        <v>9</v>
      </c>
      <c r="L22" s="105">
        <v>873402.48</v>
      </c>
    </row>
    <row r="23" spans="1:12" ht="61.2" hidden="1" x14ac:dyDescent="0.3">
      <c r="A23" s="99" t="s">
        <v>50</v>
      </c>
      <c r="B23" s="100" t="s">
        <v>220</v>
      </c>
      <c r="C23" s="100" t="s">
        <v>221</v>
      </c>
      <c r="D23" s="100" t="s">
        <v>217</v>
      </c>
      <c r="E23" s="101" t="s">
        <v>14</v>
      </c>
      <c r="F23" s="102">
        <v>104270.88</v>
      </c>
      <c r="G23" s="102"/>
      <c r="H23" s="101" t="s">
        <v>14</v>
      </c>
      <c r="I23" s="103" t="s">
        <v>16</v>
      </c>
      <c r="J23" s="103"/>
      <c r="K23" s="104" t="s">
        <v>9</v>
      </c>
      <c r="L23" s="105">
        <v>977673.36</v>
      </c>
    </row>
    <row r="24" spans="1:12" ht="61.2" hidden="1" x14ac:dyDescent="0.3">
      <c r="A24" s="99" t="s">
        <v>229</v>
      </c>
      <c r="B24" s="100" t="s">
        <v>234</v>
      </c>
      <c r="C24" s="100" t="s">
        <v>235</v>
      </c>
      <c r="D24" s="100" t="s">
        <v>231</v>
      </c>
      <c r="E24" s="101" t="s">
        <v>14</v>
      </c>
      <c r="F24" s="102">
        <v>83805.320000000007</v>
      </c>
      <c r="G24" s="102"/>
      <c r="H24" s="101" t="s">
        <v>14</v>
      </c>
      <c r="I24" s="103" t="s">
        <v>16</v>
      </c>
      <c r="J24" s="103"/>
      <c r="K24" s="104" t="s">
        <v>9</v>
      </c>
      <c r="L24" s="105">
        <v>1061478.68</v>
      </c>
    </row>
    <row r="25" spans="1:12" ht="61.2" x14ac:dyDescent="0.3">
      <c r="A25" s="99" t="s">
        <v>58</v>
      </c>
      <c r="B25" s="100" t="s">
        <v>346</v>
      </c>
      <c r="C25" s="100" t="s">
        <v>35</v>
      </c>
      <c r="D25" s="100" t="s">
        <v>113</v>
      </c>
      <c r="E25" s="101" t="s">
        <v>37</v>
      </c>
      <c r="F25" s="107" t="s">
        <v>16</v>
      </c>
      <c r="G25" s="107"/>
      <c r="H25" s="101" t="s">
        <v>14</v>
      </c>
      <c r="I25" s="108">
        <v>739.67</v>
      </c>
      <c r="J25" s="108"/>
      <c r="K25" s="104" t="s">
        <v>9</v>
      </c>
      <c r="L25" s="105">
        <v>1060739.01</v>
      </c>
    </row>
    <row r="26" spans="1:12" ht="61.2" x14ac:dyDescent="0.3">
      <c r="A26" s="99" t="s">
        <v>58</v>
      </c>
      <c r="B26" s="100" t="s">
        <v>346</v>
      </c>
      <c r="C26" s="100" t="s">
        <v>35</v>
      </c>
      <c r="D26" s="100" t="s">
        <v>344</v>
      </c>
      <c r="E26" s="101" t="s">
        <v>37</v>
      </c>
      <c r="F26" s="107" t="s">
        <v>16</v>
      </c>
      <c r="G26" s="107"/>
      <c r="H26" s="101" t="s">
        <v>14</v>
      </c>
      <c r="I26" s="109">
        <v>15633.33</v>
      </c>
      <c r="J26" s="109"/>
      <c r="K26" s="104" t="s">
        <v>9</v>
      </c>
      <c r="L26" s="105">
        <v>1045105.68</v>
      </c>
    </row>
    <row r="27" spans="1:12" ht="61.2" x14ac:dyDescent="0.3">
      <c r="A27" s="99" t="s">
        <v>58</v>
      </c>
      <c r="B27" s="100" t="s">
        <v>346</v>
      </c>
      <c r="C27" s="100" t="s">
        <v>35</v>
      </c>
      <c r="D27" s="100" t="s">
        <v>147</v>
      </c>
      <c r="E27" s="101" t="s">
        <v>37</v>
      </c>
      <c r="F27" s="107" t="s">
        <v>16</v>
      </c>
      <c r="G27" s="107"/>
      <c r="H27" s="101" t="s">
        <v>14</v>
      </c>
      <c r="I27" s="109">
        <v>6302.22</v>
      </c>
      <c r="J27" s="109"/>
      <c r="K27" s="104" t="s">
        <v>9</v>
      </c>
      <c r="L27" s="105">
        <v>1038803.46</v>
      </c>
    </row>
    <row r="28" spans="1:12" ht="61.2" x14ac:dyDescent="0.3">
      <c r="A28" s="99" t="s">
        <v>58</v>
      </c>
      <c r="B28" s="100" t="s">
        <v>346</v>
      </c>
      <c r="C28" s="100" t="s">
        <v>35</v>
      </c>
      <c r="D28" s="100" t="s">
        <v>147</v>
      </c>
      <c r="E28" s="101" t="s">
        <v>37</v>
      </c>
      <c r="F28" s="107" t="s">
        <v>16</v>
      </c>
      <c r="G28" s="107"/>
      <c r="H28" s="101" t="s">
        <v>14</v>
      </c>
      <c r="I28" s="109">
        <v>6132.84</v>
      </c>
      <c r="J28" s="109"/>
      <c r="K28" s="104" t="s">
        <v>9</v>
      </c>
      <c r="L28" s="105">
        <v>1032670.62</v>
      </c>
    </row>
    <row r="29" spans="1:12" ht="61.2" x14ac:dyDescent="0.3">
      <c r="A29" s="99" t="s">
        <v>58</v>
      </c>
      <c r="B29" s="100" t="s">
        <v>346</v>
      </c>
      <c r="C29" s="100" t="s">
        <v>35</v>
      </c>
      <c r="D29" s="100" t="s">
        <v>147</v>
      </c>
      <c r="E29" s="101" t="s">
        <v>37</v>
      </c>
      <c r="F29" s="107" t="s">
        <v>16</v>
      </c>
      <c r="G29" s="107"/>
      <c r="H29" s="101" t="s">
        <v>14</v>
      </c>
      <c r="I29" s="109">
        <v>3650.5</v>
      </c>
      <c r="J29" s="109"/>
      <c r="K29" s="104" t="s">
        <v>9</v>
      </c>
      <c r="L29" s="105">
        <v>1029020.12</v>
      </c>
    </row>
    <row r="30" spans="1:12" ht="61.2" x14ac:dyDescent="0.3">
      <c r="A30" s="99" t="s">
        <v>58</v>
      </c>
      <c r="B30" s="100" t="s">
        <v>346</v>
      </c>
      <c r="C30" s="100" t="s">
        <v>35</v>
      </c>
      <c r="D30" s="100" t="s">
        <v>235</v>
      </c>
      <c r="E30" s="101" t="s">
        <v>37</v>
      </c>
      <c r="F30" s="107" t="s">
        <v>16</v>
      </c>
      <c r="G30" s="107"/>
      <c r="H30" s="101" t="s">
        <v>14</v>
      </c>
      <c r="I30" s="109">
        <v>83805.320000000007</v>
      </c>
      <c r="J30" s="109"/>
      <c r="K30" s="104" t="s">
        <v>9</v>
      </c>
      <c r="L30" s="105">
        <v>945214.8</v>
      </c>
    </row>
    <row r="31" spans="1:12" ht="61.2" x14ac:dyDescent="0.3">
      <c r="A31" s="99" t="s">
        <v>58</v>
      </c>
      <c r="B31" s="100" t="s">
        <v>346</v>
      </c>
      <c r="C31" s="100" t="s">
        <v>35</v>
      </c>
      <c r="D31" s="100" t="s">
        <v>174</v>
      </c>
      <c r="E31" s="101" t="s">
        <v>37</v>
      </c>
      <c r="F31" s="107" t="s">
        <v>16</v>
      </c>
      <c r="G31" s="107"/>
      <c r="H31" s="101" t="s">
        <v>14</v>
      </c>
      <c r="I31" s="109">
        <v>1925.67</v>
      </c>
      <c r="J31" s="109"/>
      <c r="K31" s="104" t="s">
        <v>9</v>
      </c>
      <c r="L31" s="105">
        <v>943289.13</v>
      </c>
    </row>
    <row r="32" spans="1:12" ht="61.2" x14ac:dyDescent="0.3">
      <c r="A32" s="99" t="s">
        <v>58</v>
      </c>
      <c r="B32" s="100" t="s">
        <v>346</v>
      </c>
      <c r="C32" s="100" t="s">
        <v>35</v>
      </c>
      <c r="D32" s="100" t="s">
        <v>194</v>
      </c>
      <c r="E32" s="101" t="s">
        <v>37</v>
      </c>
      <c r="F32" s="107" t="s">
        <v>16</v>
      </c>
      <c r="G32" s="107"/>
      <c r="H32" s="101" t="s">
        <v>14</v>
      </c>
      <c r="I32" s="109">
        <v>117400.04</v>
      </c>
      <c r="J32" s="109"/>
      <c r="K32" s="104" t="s">
        <v>9</v>
      </c>
      <c r="L32" s="105">
        <v>825889.09</v>
      </c>
    </row>
    <row r="33" spans="1:12" ht="61.2" x14ac:dyDescent="0.3">
      <c r="A33" s="99" t="s">
        <v>58</v>
      </c>
      <c r="B33" s="100" t="s">
        <v>346</v>
      </c>
      <c r="C33" s="100" t="s">
        <v>35</v>
      </c>
      <c r="D33" s="100" t="s">
        <v>215</v>
      </c>
      <c r="E33" s="101" t="s">
        <v>37</v>
      </c>
      <c r="F33" s="107" t="s">
        <v>16</v>
      </c>
      <c r="G33" s="107"/>
      <c r="H33" s="101" t="s">
        <v>14</v>
      </c>
      <c r="I33" s="109">
        <v>1915.96</v>
      </c>
      <c r="J33" s="109"/>
      <c r="K33" s="104" t="s">
        <v>9</v>
      </c>
      <c r="L33" s="105">
        <v>823973.13</v>
      </c>
    </row>
    <row r="34" spans="1:12" ht="61.2" x14ac:dyDescent="0.3">
      <c r="A34" s="99" t="s">
        <v>58</v>
      </c>
      <c r="B34" s="100" t="s">
        <v>346</v>
      </c>
      <c r="C34" s="100" t="s">
        <v>35</v>
      </c>
      <c r="D34" s="100" t="s">
        <v>221</v>
      </c>
      <c r="E34" s="101" t="s">
        <v>37</v>
      </c>
      <c r="F34" s="107" t="s">
        <v>16</v>
      </c>
      <c r="G34" s="107"/>
      <c r="H34" s="101" t="s">
        <v>14</v>
      </c>
      <c r="I34" s="109">
        <v>21282.240000000002</v>
      </c>
      <c r="J34" s="109"/>
      <c r="K34" s="104" t="s">
        <v>9</v>
      </c>
      <c r="L34" s="105">
        <v>802690.89</v>
      </c>
    </row>
    <row r="35" spans="1:12" ht="61.2" x14ac:dyDescent="0.3">
      <c r="A35" s="99" t="s">
        <v>58</v>
      </c>
      <c r="B35" s="100" t="s">
        <v>346</v>
      </c>
      <c r="C35" s="100" t="s">
        <v>35</v>
      </c>
      <c r="D35" s="100" t="s">
        <v>155</v>
      </c>
      <c r="E35" s="101" t="s">
        <v>37</v>
      </c>
      <c r="F35" s="107" t="s">
        <v>16</v>
      </c>
      <c r="G35" s="107"/>
      <c r="H35" s="101" t="s">
        <v>14</v>
      </c>
      <c r="I35" s="109">
        <v>6468</v>
      </c>
      <c r="J35" s="109"/>
      <c r="K35" s="104" t="s">
        <v>9</v>
      </c>
      <c r="L35" s="105">
        <v>796222.89</v>
      </c>
    </row>
    <row r="36" spans="1:12" ht="61.2" x14ac:dyDescent="0.3">
      <c r="A36" s="99" t="s">
        <v>58</v>
      </c>
      <c r="B36" s="100" t="s">
        <v>346</v>
      </c>
      <c r="C36" s="100" t="s">
        <v>35</v>
      </c>
      <c r="D36" s="100" t="s">
        <v>157</v>
      </c>
      <c r="E36" s="101" t="s">
        <v>37</v>
      </c>
      <c r="F36" s="107" t="s">
        <v>16</v>
      </c>
      <c r="G36" s="107"/>
      <c r="H36" s="101" t="s">
        <v>14</v>
      </c>
      <c r="I36" s="108">
        <v>64.599999999999994</v>
      </c>
      <c r="J36" s="108"/>
      <c r="K36" s="104" t="s">
        <v>9</v>
      </c>
      <c r="L36" s="105">
        <v>796158.29</v>
      </c>
    </row>
    <row r="37" spans="1:12" ht="61.2" hidden="1" x14ac:dyDescent="0.3">
      <c r="A37" s="99" t="s">
        <v>58</v>
      </c>
      <c r="B37" s="100" t="s">
        <v>347</v>
      </c>
      <c r="C37" s="100" t="s">
        <v>344</v>
      </c>
      <c r="D37" s="100" t="s">
        <v>345</v>
      </c>
      <c r="E37" s="101" t="s">
        <v>14</v>
      </c>
      <c r="F37" s="102">
        <v>15633.33</v>
      </c>
      <c r="G37" s="102"/>
      <c r="H37" s="101" t="s">
        <v>14</v>
      </c>
      <c r="I37" s="103" t="s">
        <v>16</v>
      </c>
      <c r="J37" s="103"/>
      <c r="K37" s="104" t="s">
        <v>9</v>
      </c>
      <c r="L37" s="105">
        <v>811791.62</v>
      </c>
    </row>
    <row r="38" spans="1:12" ht="61.2" x14ac:dyDescent="0.3">
      <c r="A38" s="99" t="s">
        <v>58</v>
      </c>
      <c r="B38" s="100" t="s">
        <v>348</v>
      </c>
      <c r="C38" s="100" t="s">
        <v>35</v>
      </c>
      <c r="D38" s="100" t="s">
        <v>109</v>
      </c>
      <c r="E38" s="101" t="s">
        <v>37</v>
      </c>
      <c r="F38" s="107" t="s">
        <v>16</v>
      </c>
      <c r="G38" s="107"/>
      <c r="H38" s="101" t="s">
        <v>14</v>
      </c>
      <c r="I38" s="109">
        <v>5923.46</v>
      </c>
      <c r="J38" s="109"/>
      <c r="K38" s="104" t="s">
        <v>9</v>
      </c>
      <c r="L38" s="105">
        <v>805868.16</v>
      </c>
    </row>
    <row r="39" spans="1:12" ht="61.2" x14ac:dyDescent="0.3">
      <c r="A39" s="99" t="s">
        <v>58</v>
      </c>
      <c r="B39" s="100" t="s">
        <v>348</v>
      </c>
      <c r="C39" s="100" t="s">
        <v>35</v>
      </c>
      <c r="D39" s="100" t="s">
        <v>110</v>
      </c>
      <c r="E39" s="101" t="s">
        <v>37</v>
      </c>
      <c r="F39" s="107" t="s">
        <v>16</v>
      </c>
      <c r="G39" s="107"/>
      <c r="H39" s="101" t="s">
        <v>14</v>
      </c>
      <c r="I39" s="109">
        <v>32836.57</v>
      </c>
      <c r="J39" s="109"/>
      <c r="K39" s="104" t="s">
        <v>9</v>
      </c>
      <c r="L39" s="105">
        <v>773031.59</v>
      </c>
    </row>
    <row r="40" spans="1:12" ht="61.2" x14ac:dyDescent="0.3">
      <c r="A40" s="99" t="s">
        <v>58</v>
      </c>
      <c r="B40" s="100" t="s">
        <v>348</v>
      </c>
      <c r="C40" s="100" t="s">
        <v>35</v>
      </c>
      <c r="D40" s="100" t="s">
        <v>111</v>
      </c>
      <c r="E40" s="101" t="s">
        <v>37</v>
      </c>
      <c r="F40" s="107" t="s">
        <v>16</v>
      </c>
      <c r="G40" s="107"/>
      <c r="H40" s="101" t="s">
        <v>14</v>
      </c>
      <c r="I40" s="109">
        <v>76128.75</v>
      </c>
      <c r="J40" s="109"/>
      <c r="K40" s="104" t="s">
        <v>9</v>
      </c>
      <c r="L40" s="105">
        <v>696902.84</v>
      </c>
    </row>
    <row r="41" spans="1:12" ht="61.2" x14ac:dyDescent="0.3">
      <c r="A41" s="99" t="s">
        <v>58</v>
      </c>
      <c r="B41" s="100" t="s">
        <v>348</v>
      </c>
      <c r="C41" s="100" t="s">
        <v>35</v>
      </c>
      <c r="D41" s="100" t="s">
        <v>153</v>
      </c>
      <c r="E41" s="101" t="s">
        <v>37</v>
      </c>
      <c r="F41" s="107" t="s">
        <v>16</v>
      </c>
      <c r="G41" s="107"/>
      <c r="H41" s="101" t="s">
        <v>14</v>
      </c>
      <c r="I41" s="109">
        <v>303685.88</v>
      </c>
      <c r="J41" s="109"/>
      <c r="K41" s="104" t="s">
        <v>9</v>
      </c>
      <c r="L41" s="105">
        <v>393216.96</v>
      </c>
    </row>
    <row r="42" spans="1:12" ht="61.2" x14ac:dyDescent="0.3">
      <c r="A42" s="99" t="s">
        <v>58</v>
      </c>
      <c r="B42" s="100" t="s">
        <v>348</v>
      </c>
      <c r="C42" s="100" t="s">
        <v>35</v>
      </c>
      <c r="D42" s="100" t="s">
        <v>154</v>
      </c>
      <c r="E42" s="101" t="s">
        <v>37</v>
      </c>
      <c r="F42" s="107" t="s">
        <v>16</v>
      </c>
      <c r="G42" s="107"/>
      <c r="H42" s="101" t="s">
        <v>14</v>
      </c>
      <c r="I42" s="109">
        <v>233813.25</v>
      </c>
      <c r="J42" s="109"/>
      <c r="K42" s="104" t="s">
        <v>9</v>
      </c>
      <c r="L42" s="105">
        <v>159403.71</v>
      </c>
    </row>
    <row r="43" spans="1:12" ht="61.2" x14ac:dyDescent="0.3">
      <c r="A43" s="99" t="s">
        <v>58</v>
      </c>
      <c r="B43" s="100" t="s">
        <v>348</v>
      </c>
      <c r="C43" s="100" t="s">
        <v>35</v>
      </c>
      <c r="D43" s="100" t="s">
        <v>344</v>
      </c>
      <c r="E43" s="101" t="s">
        <v>37</v>
      </c>
      <c r="F43" s="107" t="s">
        <v>16</v>
      </c>
      <c r="G43" s="107"/>
      <c r="H43" s="101" t="s">
        <v>14</v>
      </c>
      <c r="I43" s="109">
        <v>15639.33</v>
      </c>
      <c r="J43" s="109"/>
      <c r="K43" s="104" t="s">
        <v>9</v>
      </c>
      <c r="L43" s="105">
        <v>143764.38</v>
      </c>
    </row>
    <row r="44" spans="1:12" ht="61.2" x14ac:dyDescent="0.3">
      <c r="A44" s="99" t="s">
        <v>58</v>
      </c>
      <c r="B44" s="100" t="s">
        <v>348</v>
      </c>
      <c r="C44" s="100" t="s">
        <v>35</v>
      </c>
      <c r="D44" s="100" t="s">
        <v>147</v>
      </c>
      <c r="E44" s="101" t="s">
        <v>37</v>
      </c>
      <c r="F44" s="107" t="s">
        <v>16</v>
      </c>
      <c r="G44" s="107"/>
      <c r="H44" s="101" t="s">
        <v>14</v>
      </c>
      <c r="I44" s="109">
        <v>5817.44</v>
      </c>
      <c r="J44" s="109"/>
      <c r="K44" s="104" t="s">
        <v>9</v>
      </c>
      <c r="L44" s="105">
        <v>137946.94</v>
      </c>
    </row>
    <row r="45" spans="1:12" ht="61.2" x14ac:dyDescent="0.3">
      <c r="A45" s="99" t="s">
        <v>58</v>
      </c>
      <c r="B45" s="100" t="s">
        <v>348</v>
      </c>
      <c r="C45" s="100" t="s">
        <v>35</v>
      </c>
      <c r="D45" s="100" t="s">
        <v>338</v>
      </c>
      <c r="E45" s="101" t="s">
        <v>37</v>
      </c>
      <c r="F45" s="107" t="s">
        <v>16</v>
      </c>
      <c r="G45" s="107"/>
      <c r="H45" s="101" t="s">
        <v>14</v>
      </c>
      <c r="I45" s="109">
        <v>16866.28</v>
      </c>
      <c r="J45" s="109"/>
      <c r="K45" s="104" t="s">
        <v>9</v>
      </c>
      <c r="L45" s="105">
        <v>121080.66</v>
      </c>
    </row>
    <row r="46" spans="1:12" ht="61.2" x14ac:dyDescent="0.3">
      <c r="A46" s="99" t="s">
        <v>58</v>
      </c>
      <c r="B46" s="100" t="s">
        <v>348</v>
      </c>
      <c r="C46" s="100" t="s">
        <v>35</v>
      </c>
      <c r="D46" s="100" t="s">
        <v>338</v>
      </c>
      <c r="E46" s="101" t="s">
        <v>37</v>
      </c>
      <c r="F46" s="107" t="s">
        <v>16</v>
      </c>
      <c r="G46" s="107"/>
      <c r="H46" s="101" t="s">
        <v>14</v>
      </c>
      <c r="I46" s="109">
        <v>4568.72</v>
      </c>
      <c r="J46" s="109"/>
      <c r="K46" s="104" t="s">
        <v>9</v>
      </c>
      <c r="L46" s="105">
        <v>116511.94</v>
      </c>
    </row>
    <row r="47" spans="1:12" ht="61.2" x14ac:dyDescent="0.3">
      <c r="A47" s="99" t="s">
        <v>58</v>
      </c>
      <c r="B47" s="100" t="s">
        <v>348</v>
      </c>
      <c r="C47" s="100" t="s">
        <v>35</v>
      </c>
      <c r="D47" s="100" t="s">
        <v>182</v>
      </c>
      <c r="E47" s="101" t="s">
        <v>37</v>
      </c>
      <c r="F47" s="107" t="s">
        <v>16</v>
      </c>
      <c r="G47" s="107"/>
      <c r="H47" s="101" t="s">
        <v>14</v>
      </c>
      <c r="I47" s="109">
        <v>6496.6</v>
      </c>
      <c r="J47" s="109"/>
      <c r="K47" s="104" t="s">
        <v>9</v>
      </c>
      <c r="L47" s="105">
        <v>110015.34</v>
      </c>
    </row>
    <row r="48" spans="1:12" ht="61.2" x14ac:dyDescent="0.3">
      <c r="A48" s="99" t="s">
        <v>58</v>
      </c>
      <c r="B48" s="100" t="s">
        <v>348</v>
      </c>
      <c r="C48" s="100" t="s">
        <v>35</v>
      </c>
      <c r="D48" s="100" t="s">
        <v>341</v>
      </c>
      <c r="E48" s="101" t="s">
        <v>37</v>
      </c>
      <c r="F48" s="107" t="s">
        <v>16</v>
      </c>
      <c r="G48" s="107"/>
      <c r="H48" s="101" t="s">
        <v>14</v>
      </c>
      <c r="I48" s="109">
        <v>4651.5600000000004</v>
      </c>
      <c r="J48" s="109"/>
      <c r="K48" s="104" t="s">
        <v>9</v>
      </c>
      <c r="L48" s="105">
        <v>105363.78</v>
      </c>
    </row>
    <row r="49" spans="1:12" ht="61.2" x14ac:dyDescent="0.3">
      <c r="A49" s="99" t="s">
        <v>58</v>
      </c>
      <c r="B49" s="100" t="s">
        <v>348</v>
      </c>
      <c r="C49" s="100" t="s">
        <v>35</v>
      </c>
      <c r="D49" s="100" t="s">
        <v>134</v>
      </c>
      <c r="E49" s="101" t="s">
        <v>37</v>
      </c>
      <c r="F49" s="107" t="s">
        <v>16</v>
      </c>
      <c r="G49" s="107"/>
      <c r="H49" s="101" t="s">
        <v>14</v>
      </c>
      <c r="I49" s="109">
        <v>6389.34</v>
      </c>
      <c r="J49" s="109"/>
      <c r="K49" s="104" t="s">
        <v>9</v>
      </c>
      <c r="L49" s="105">
        <v>98974.44</v>
      </c>
    </row>
    <row r="50" spans="1:12" ht="61.2" hidden="1" x14ac:dyDescent="0.3">
      <c r="A50" s="99" t="s">
        <v>58</v>
      </c>
      <c r="B50" s="100" t="s">
        <v>260</v>
      </c>
      <c r="C50" s="100" t="s">
        <v>261</v>
      </c>
      <c r="D50" s="100" t="s">
        <v>256</v>
      </c>
      <c r="E50" s="101" t="s">
        <v>14</v>
      </c>
      <c r="F50" s="102">
        <v>83629.09</v>
      </c>
      <c r="G50" s="102"/>
      <c r="H50" s="101" t="s">
        <v>14</v>
      </c>
      <c r="I50" s="103" t="s">
        <v>16</v>
      </c>
      <c r="J50" s="103"/>
      <c r="K50" s="104" t="s">
        <v>9</v>
      </c>
      <c r="L50" s="105">
        <v>182603.53</v>
      </c>
    </row>
    <row r="51" spans="1:12" hidden="1" x14ac:dyDescent="0.3">
      <c r="A51" s="110" t="s">
        <v>60</v>
      </c>
      <c r="B51" s="110"/>
      <c r="C51" s="110"/>
      <c r="D51" s="110"/>
      <c r="E51" s="111">
        <v>1160741.1000000001</v>
      </c>
      <c r="F51" s="111"/>
      <c r="G51" s="111"/>
      <c r="H51" s="111">
        <v>978137.57</v>
      </c>
      <c r="I51" s="111"/>
      <c r="J51" s="111"/>
      <c r="K51" s="112" t="s">
        <v>9</v>
      </c>
      <c r="L51" s="113">
        <v>182603.53</v>
      </c>
    </row>
    <row r="53" spans="1:12" x14ac:dyDescent="0.3">
      <c r="J53" s="29">
        <f>SUBTOTAL(9,I25:J49)</f>
        <v>978137.57</v>
      </c>
    </row>
  </sheetData>
  <autoFilter ref="A1:L51">
    <filterColumn colId="1">
      <filters>
        <filter val="Вимога-накладна ІБ00-000025 від 30.01.2025 20:41:41_x000a_Списаны ТМЦ"/>
        <filter val="Вимога-накладна ІБ00-000031 від 30.01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8">
    <mergeCell ref="F49:G49"/>
    <mergeCell ref="I49:J49"/>
    <mergeCell ref="F50:G50"/>
    <mergeCell ref="I50:J50"/>
    <mergeCell ref="A51:D51"/>
    <mergeCell ref="E51:G51"/>
    <mergeCell ref="H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3"/>
  <sheetViews>
    <sheetView topLeftCell="A11" workbookViewId="0">
      <selection activeCell="J23" sqref="J23"/>
    </sheetView>
  </sheetViews>
  <sheetFormatPr defaultRowHeight="14.4" x14ac:dyDescent="0.3"/>
  <cols>
    <col min="2" max="4" width="33.77734375" customWidth="1"/>
    <col min="10" max="10" width="9.88671875" bestFit="1" customWidth="1"/>
  </cols>
  <sheetData>
    <row r="1" spans="1:12" x14ac:dyDescent="0.3">
      <c r="A1" s="114" t="s">
        <v>1</v>
      </c>
      <c r="B1" s="115" t="s">
        <v>2</v>
      </c>
      <c r="C1" s="115" t="s">
        <v>3</v>
      </c>
      <c r="D1" s="116" t="s">
        <v>4</v>
      </c>
      <c r="E1" s="117" t="s">
        <v>5</v>
      </c>
      <c r="F1" s="117"/>
      <c r="G1" s="117"/>
      <c r="H1" s="118" t="s">
        <v>6</v>
      </c>
      <c r="I1" s="118"/>
      <c r="J1" s="118"/>
      <c r="K1" s="115" t="s">
        <v>7</v>
      </c>
      <c r="L1" s="115"/>
    </row>
    <row r="2" spans="1:12" hidden="1" x14ac:dyDescent="0.3">
      <c r="A2" s="119"/>
      <c r="B2" s="120"/>
      <c r="C2" s="120"/>
      <c r="D2" s="121"/>
      <c r="E2" s="122" t="s">
        <v>8</v>
      </c>
      <c r="F2" s="123"/>
      <c r="G2" s="123"/>
      <c r="H2" s="124" t="s">
        <v>8</v>
      </c>
      <c r="I2" s="125"/>
      <c r="J2" s="125"/>
      <c r="K2" s="119"/>
      <c r="L2" s="126"/>
    </row>
    <row r="3" spans="1:12" ht="51" hidden="1" x14ac:dyDescent="0.3">
      <c r="A3" s="127" t="s">
        <v>349</v>
      </c>
      <c r="B3" s="128" t="s">
        <v>350</v>
      </c>
      <c r="C3" s="128" t="s">
        <v>351</v>
      </c>
      <c r="D3" s="128" t="s">
        <v>29</v>
      </c>
      <c r="E3" s="129" t="s">
        <v>14</v>
      </c>
      <c r="F3" s="130">
        <v>33187.5</v>
      </c>
      <c r="G3" s="130"/>
      <c r="H3" s="129" t="s">
        <v>15</v>
      </c>
      <c r="I3" s="131" t="s">
        <v>16</v>
      </c>
      <c r="J3" s="131"/>
      <c r="K3" s="132" t="s">
        <v>9</v>
      </c>
      <c r="L3" s="133">
        <v>104840.32000000001</v>
      </c>
    </row>
    <row r="4" spans="1:12" ht="51" hidden="1" x14ac:dyDescent="0.3">
      <c r="A4" s="127" t="s">
        <v>349</v>
      </c>
      <c r="B4" s="128" t="s">
        <v>352</v>
      </c>
      <c r="C4" s="128" t="s">
        <v>351</v>
      </c>
      <c r="D4" s="128" t="s">
        <v>29</v>
      </c>
      <c r="E4" s="129" t="s">
        <v>14</v>
      </c>
      <c r="F4" s="130">
        <v>14070</v>
      </c>
      <c r="G4" s="130"/>
      <c r="H4" s="129" t="s">
        <v>15</v>
      </c>
      <c r="I4" s="131" t="s">
        <v>16</v>
      </c>
      <c r="J4" s="131"/>
      <c r="K4" s="132" t="s">
        <v>9</v>
      </c>
      <c r="L4" s="133">
        <v>118910.32</v>
      </c>
    </row>
    <row r="5" spans="1:12" ht="51" hidden="1" x14ac:dyDescent="0.3">
      <c r="A5" s="127" t="s">
        <v>26</v>
      </c>
      <c r="B5" s="128" t="s">
        <v>31</v>
      </c>
      <c r="C5" s="128" t="s">
        <v>32</v>
      </c>
      <c r="D5" s="128" t="s">
        <v>28</v>
      </c>
      <c r="E5" s="129" t="s">
        <v>14</v>
      </c>
      <c r="F5" s="130">
        <v>31592.5</v>
      </c>
      <c r="G5" s="130"/>
      <c r="H5" s="129" t="s">
        <v>14</v>
      </c>
      <c r="I5" s="131" t="s">
        <v>16</v>
      </c>
      <c r="J5" s="131"/>
      <c r="K5" s="132" t="s">
        <v>9</v>
      </c>
      <c r="L5" s="133">
        <v>150502.82</v>
      </c>
    </row>
    <row r="6" spans="1:12" ht="51" hidden="1" x14ac:dyDescent="0.3">
      <c r="A6" s="127" t="s">
        <v>26</v>
      </c>
      <c r="B6" s="128" t="s">
        <v>284</v>
      </c>
      <c r="C6" s="128" t="s">
        <v>285</v>
      </c>
      <c r="D6" s="128" t="s">
        <v>286</v>
      </c>
      <c r="E6" s="129" t="s">
        <v>14</v>
      </c>
      <c r="F6" s="134">
        <v>130.69999999999999</v>
      </c>
      <c r="G6" s="134"/>
      <c r="H6" s="129" t="s">
        <v>14</v>
      </c>
      <c r="I6" s="131" t="s">
        <v>16</v>
      </c>
      <c r="J6" s="131"/>
      <c r="K6" s="132" t="s">
        <v>9</v>
      </c>
      <c r="L6" s="133">
        <v>150633.51999999999</v>
      </c>
    </row>
    <row r="7" spans="1:12" ht="51" hidden="1" x14ac:dyDescent="0.3">
      <c r="A7" s="127" t="s">
        <v>26</v>
      </c>
      <c r="B7" s="128" t="s">
        <v>284</v>
      </c>
      <c r="C7" s="128" t="s">
        <v>287</v>
      </c>
      <c r="D7" s="128" t="s">
        <v>288</v>
      </c>
      <c r="E7" s="129" t="s">
        <v>14</v>
      </c>
      <c r="F7" s="130">
        <v>1832.25</v>
      </c>
      <c r="G7" s="130"/>
      <c r="H7" s="129" t="s">
        <v>14</v>
      </c>
      <c r="I7" s="131" t="s">
        <v>16</v>
      </c>
      <c r="J7" s="131"/>
      <c r="K7" s="132" t="s">
        <v>9</v>
      </c>
      <c r="L7" s="133">
        <v>152465.76999999999</v>
      </c>
    </row>
    <row r="8" spans="1:12" ht="51" hidden="1" x14ac:dyDescent="0.3">
      <c r="A8" s="127" t="s">
        <v>26</v>
      </c>
      <c r="B8" s="128" t="s">
        <v>284</v>
      </c>
      <c r="C8" s="128" t="s">
        <v>289</v>
      </c>
      <c r="D8" s="128" t="s">
        <v>290</v>
      </c>
      <c r="E8" s="129" t="s">
        <v>14</v>
      </c>
      <c r="F8" s="130">
        <v>12181.3</v>
      </c>
      <c r="G8" s="130"/>
      <c r="H8" s="129" t="s">
        <v>14</v>
      </c>
      <c r="I8" s="131" t="s">
        <v>16</v>
      </c>
      <c r="J8" s="131"/>
      <c r="K8" s="132" t="s">
        <v>9</v>
      </c>
      <c r="L8" s="133">
        <v>164647.07</v>
      </c>
    </row>
    <row r="9" spans="1:12" ht="51" x14ac:dyDescent="0.3">
      <c r="A9" s="127" t="s">
        <v>291</v>
      </c>
      <c r="B9" s="128" t="s">
        <v>353</v>
      </c>
      <c r="C9" s="128" t="s">
        <v>35</v>
      </c>
      <c r="D9" s="128" t="s">
        <v>354</v>
      </c>
      <c r="E9" s="129" t="s">
        <v>37</v>
      </c>
      <c r="F9" s="135" t="s">
        <v>16</v>
      </c>
      <c r="G9" s="135"/>
      <c r="H9" s="129" t="s">
        <v>14</v>
      </c>
      <c r="I9" s="136">
        <v>1132.33</v>
      </c>
      <c r="J9" s="136"/>
      <c r="K9" s="132" t="s">
        <v>9</v>
      </c>
      <c r="L9" s="133">
        <v>163514.74</v>
      </c>
    </row>
    <row r="10" spans="1:12" ht="51" x14ac:dyDescent="0.3">
      <c r="A10" s="127" t="s">
        <v>291</v>
      </c>
      <c r="B10" s="128" t="s">
        <v>353</v>
      </c>
      <c r="C10" s="128" t="s">
        <v>35</v>
      </c>
      <c r="D10" s="128" t="s">
        <v>355</v>
      </c>
      <c r="E10" s="129" t="s">
        <v>37</v>
      </c>
      <c r="F10" s="135" t="s">
        <v>16</v>
      </c>
      <c r="G10" s="135"/>
      <c r="H10" s="129" t="s">
        <v>14</v>
      </c>
      <c r="I10" s="136">
        <v>21461.66</v>
      </c>
      <c r="J10" s="136"/>
      <c r="K10" s="132" t="s">
        <v>9</v>
      </c>
      <c r="L10" s="133">
        <v>142053.07999999999</v>
      </c>
    </row>
    <row r="11" spans="1:12" ht="51" x14ac:dyDescent="0.3">
      <c r="A11" s="127" t="s">
        <v>291</v>
      </c>
      <c r="B11" s="128" t="s">
        <v>353</v>
      </c>
      <c r="C11" s="128" t="s">
        <v>35</v>
      </c>
      <c r="D11" s="128" t="s">
        <v>356</v>
      </c>
      <c r="E11" s="129" t="s">
        <v>37</v>
      </c>
      <c r="F11" s="135" t="s">
        <v>16</v>
      </c>
      <c r="G11" s="135"/>
      <c r="H11" s="129" t="s">
        <v>14</v>
      </c>
      <c r="I11" s="136">
        <v>11729.33</v>
      </c>
      <c r="J11" s="136"/>
      <c r="K11" s="132" t="s">
        <v>9</v>
      </c>
      <c r="L11" s="133">
        <v>130323.75</v>
      </c>
    </row>
    <row r="12" spans="1:12" ht="51" x14ac:dyDescent="0.3">
      <c r="A12" s="127" t="s">
        <v>291</v>
      </c>
      <c r="B12" s="128" t="s">
        <v>353</v>
      </c>
      <c r="C12" s="128" t="s">
        <v>35</v>
      </c>
      <c r="D12" s="128" t="s">
        <v>357</v>
      </c>
      <c r="E12" s="129" t="s">
        <v>37</v>
      </c>
      <c r="F12" s="135" t="s">
        <v>16</v>
      </c>
      <c r="G12" s="135"/>
      <c r="H12" s="129" t="s">
        <v>14</v>
      </c>
      <c r="I12" s="136">
        <v>8892</v>
      </c>
      <c r="J12" s="136"/>
      <c r="K12" s="132" t="s">
        <v>9</v>
      </c>
      <c r="L12" s="133">
        <v>121431.75</v>
      </c>
    </row>
    <row r="13" spans="1:12" ht="51" x14ac:dyDescent="0.3">
      <c r="A13" s="127" t="s">
        <v>291</v>
      </c>
      <c r="B13" s="128" t="s">
        <v>353</v>
      </c>
      <c r="C13" s="128" t="s">
        <v>35</v>
      </c>
      <c r="D13" s="128" t="s">
        <v>358</v>
      </c>
      <c r="E13" s="129" t="s">
        <v>37</v>
      </c>
      <c r="F13" s="135" t="s">
        <v>16</v>
      </c>
      <c r="G13" s="135"/>
      <c r="H13" s="129" t="s">
        <v>14</v>
      </c>
      <c r="I13" s="136">
        <v>28437.5</v>
      </c>
      <c r="J13" s="136"/>
      <c r="K13" s="132" t="s">
        <v>9</v>
      </c>
      <c r="L13" s="133">
        <v>92994.25</v>
      </c>
    </row>
    <row r="14" spans="1:12" ht="51" x14ac:dyDescent="0.3">
      <c r="A14" s="127" t="s">
        <v>291</v>
      </c>
      <c r="B14" s="128" t="s">
        <v>353</v>
      </c>
      <c r="C14" s="128" t="s">
        <v>35</v>
      </c>
      <c r="D14" s="128" t="s">
        <v>351</v>
      </c>
      <c r="E14" s="129" t="s">
        <v>37</v>
      </c>
      <c r="F14" s="135" t="s">
        <v>16</v>
      </c>
      <c r="G14" s="135"/>
      <c r="H14" s="129" t="s">
        <v>14</v>
      </c>
      <c r="I14" s="136">
        <v>34025.4</v>
      </c>
      <c r="J14" s="136"/>
      <c r="K14" s="132" t="s">
        <v>9</v>
      </c>
      <c r="L14" s="133">
        <v>58968.85</v>
      </c>
    </row>
    <row r="15" spans="1:12" ht="51" x14ac:dyDescent="0.3">
      <c r="A15" s="127" t="s">
        <v>291</v>
      </c>
      <c r="B15" s="128" t="s">
        <v>353</v>
      </c>
      <c r="C15" s="128" t="s">
        <v>35</v>
      </c>
      <c r="D15" s="128" t="s">
        <v>285</v>
      </c>
      <c r="E15" s="129" t="s">
        <v>37</v>
      </c>
      <c r="F15" s="135" t="s">
        <v>16</v>
      </c>
      <c r="G15" s="135"/>
      <c r="H15" s="129" t="s">
        <v>14</v>
      </c>
      <c r="I15" s="137">
        <v>130.69999999999999</v>
      </c>
      <c r="J15" s="137"/>
      <c r="K15" s="132" t="s">
        <v>9</v>
      </c>
      <c r="L15" s="133">
        <v>58838.15</v>
      </c>
    </row>
    <row r="16" spans="1:12" ht="51" x14ac:dyDescent="0.3">
      <c r="A16" s="127" t="s">
        <v>291</v>
      </c>
      <c r="B16" s="128" t="s">
        <v>353</v>
      </c>
      <c r="C16" s="128" t="s">
        <v>35</v>
      </c>
      <c r="D16" s="128" t="s">
        <v>287</v>
      </c>
      <c r="E16" s="129" t="s">
        <v>37</v>
      </c>
      <c r="F16" s="135" t="s">
        <v>16</v>
      </c>
      <c r="G16" s="135"/>
      <c r="H16" s="129" t="s">
        <v>14</v>
      </c>
      <c r="I16" s="136">
        <v>1832.25</v>
      </c>
      <c r="J16" s="136"/>
      <c r="K16" s="132" t="s">
        <v>9</v>
      </c>
      <c r="L16" s="133">
        <v>57005.9</v>
      </c>
    </row>
    <row r="17" spans="1:12" ht="51" x14ac:dyDescent="0.3">
      <c r="A17" s="127" t="s">
        <v>291</v>
      </c>
      <c r="B17" s="128" t="s">
        <v>353</v>
      </c>
      <c r="C17" s="128" t="s">
        <v>35</v>
      </c>
      <c r="D17" s="128" t="s">
        <v>289</v>
      </c>
      <c r="E17" s="129" t="s">
        <v>37</v>
      </c>
      <c r="F17" s="135" t="s">
        <v>16</v>
      </c>
      <c r="G17" s="135"/>
      <c r="H17" s="129" t="s">
        <v>14</v>
      </c>
      <c r="I17" s="136">
        <v>10752.41</v>
      </c>
      <c r="J17" s="136"/>
      <c r="K17" s="132" t="s">
        <v>9</v>
      </c>
      <c r="L17" s="133">
        <v>46253.49</v>
      </c>
    </row>
    <row r="18" spans="1:12" ht="51" hidden="1" x14ac:dyDescent="0.3">
      <c r="A18" s="127" t="s">
        <v>58</v>
      </c>
      <c r="B18" s="128" t="s">
        <v>359</v>
      </c>
      <c r="C18" s="128" t="s">
        <v>319</v>
      </c>
      <c r="D18" s="128" t="s">
        <v>289</v>
      </c>
      <c r="E18" s="129" t="s">
        <v>14</v>
      </c>
      <c r="F18" s="135" t="s">
        <v>16</v>
      </c>
      <c r="G18" s="135"/>
      <c r="H18" s="129" t="s">
        <v>14</v>
      </c>
      <c r="I18" s="136">
        <v>1428.89</v>
      </c>
      <c r="J18" s="136"/>
      <c r="K18" s="132" t="s">
        <v>9</v>
      </c>
      <c r="L18" s="133">
        <v>44824.6</v>
      </c>
    </row>
    <row r="19" spans="1:12" ht="51" hidden="1" x14ac:dyDescent="0.3">
      <c r="A19" s="127" t="s">
        <v>58</v>
      </c>
      <c r="B19" s="128" t="s">
        <v>359</v>
      </c>
      <c r="C19" s="128" t="s">
        <v>360</v>
      </c>
      <c r="D19" s="128" t="s">
        <v>351</v>
      </c>
      <c r="E19" s="129" t="s">
        <v>14</v>
      </c>
      <c r="F19" s="135" t="s">
        <v>16</v>
      </c>
      <c r="G19" s="135"/>
      <c r="H19" s="129" t="s">
        <v>14</v>
      </c>
      <c r="I19" s="136">
        <v>13232.1</v>
      </c>
      <c r="J19" s="136"/>
      <c r="K19" s="132" t="s">
        <v>9</v>
      </c>
      <c r="L19" s="133">
        <v>31592.5</v>
      </c>
    </row>
    <row r="20" spans="1:12" ht="51" hidden="1" x14ac:dyDescent="0.3">
      <c r="A20" s="127" t="s">
        <v>58</v>
      </c>
      <c r="B20" s="128" t="s">
        <v>359</v>
      </c>
      <c r="C20" s="128" t="s">
        <v>361</v>
      </c>
      <c r="D20" s="128" t="s">
        <v>32</v>
      </c>
      <c r="E20" s="129" t="s">
        <v>14</v>
      </c>
      <c r="F20" s="135" t="s">
        <v>16</v>
      </c>
      <c r="G20" s="135"/>
      <c r="H20" s="129" t="s">
        <v>14</v>
      </c>
      <c r="I20" s="136">
        <v>31592.5</v>
      </c>
      <c r="J20" s="136"/>
      <c r="K20" s="132"/>
      <c r="L20" s="138"/>
    </row>
    <row r="21" spans="1:12" hidden="1" x14ac:dyDescent="0.3">
      <c r="A21" s="139" t="s">
        <v>60</v>
      </c>
      <c r="B21" s="139"/>
      <c r="C21" s="139"/>
      <c r="D21" s="139"/>
      <c r="E21" s="140">
        <v>92994.25</v>
      </c>
      <c r="F21" s="140"/>
      <c r="G21" s="140"/>
      <c r="H21" s="140">
        <v>164647.07</v>
      </c>
      <c r="I21" s="140"/>
      <c r="J21" s="140"/>
      <c r="K21" s="141"/>
      <c r="L21" s="142">
        <v>0</v>
      </c>
    </row>
    <row r="23" spans="1:12" x14ac:dyDescent="0.3">
      <c r="J23" s="29">
        <f>SUBTOTAL(9,I9:J17)</f>
        <v>118393.58</v>
      </c>
    </row>
  </sheetData>
  <autoFilter ref="A1:L21">
    <filterColumn colId="1">
      <filters>
        <filter val="Вимога-накладна ІБ00-000012 від 14.01.2025 18:05:49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8">
    <mergeCell ref="F19:G19"/>
    <mergeCell ref="I19:J19"/>
    <mergeCell ref="F20:G20"/>
    <mergeCell ref="I20:J20"/>
    <mergeCell ref="A21:D21"/>
    <mergeCell ref="E21:G21"/>
    <mergeCell ref="H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72"/>
  <sheetViews>
    <sheetView topLeftCell="A57" workbookViewId="0">
      <selection activeCell="J72" sqref="J72"/>
    </sheetView>
  </sheetViews>
  <sheetFormatPr defaultRowHeight="14.4" x14ac:dyDescent="0.3"/>
  <cols>
    <col min="2" max="4" width="25.88671875" customWidth="1"/>
    <col min="10" max="10" width="9.88671875" bestFit="1" customWidth="1"/>
  </cols>
  <sheetData>
    <row r="1" spans="1:12" x14ac:dyDescent="0.3">
      <c r="A1" s="143" t="s">
        <v>1</v>
      </c>
      <c r="B1" s="144" t="s">
        <v>2</v>
      </c>
      <c r="C1" s="144" t="s">
        <v>3</v>
      </c>
      <c r="D1" s="145" t="s">
        <v>4</v>
      </c>
      <c r="E1" s="146" t="s">
        <v>5</v>
      </c>
      <c r="F1" s="146"/>
      <c r="G1" s="146"/>
      <c r="H1" s="147" t="s">
        <v>6</v>
      </c>
      <c r="I1" s="147"/>
      <c r="J1" s="147"/>
      <c r="K1" s="144" t="s">
        <v>7</v>
      </c>
      <c r="L1" s="144"/>
    </row>
    <row r="2" spans="1:12" hidden="1" x14ac:dyDescent="0.3">
      <c r="A2" s="148"/>
      <c r="B2" s="149"/>
      <c r="C2" s="149"/>
      <c r="D2" s="150"/>
      <c r="E2" s="151" t="s">
        <v>8</v>
      </c>
      <c r="F2" s="152"/>
      <c r="G2" s="152"/>
      <c r="H2" s="153" t="s">
        <v>8</v>
      </c>
      <c r="I2" s="154"/>
      <c r="J2" s="154"/>
      <c r="K2" s="148"/>
      <c r="L2" s="155"/>
    </row>
    <row r="3" spans="1:12" ht="51" hidden="1" x14ac:dyDescent="0.3">
      <c r="A3" s="156" t="s">
        <v>10</v>
      </c>
      <c r="B3" s="157" t="s">
        <v>89</v>
      </c>
      <c r="C3" s="157" t="s">
        <v>90</v>
      </c>
      <c r="D3" s="157" t="s">
        <v>81</v>
      </c>
      <c r="E3" s="158" t="s">
        <v>14</v>
      </c>
      <c r="F3" s="159">
        <v>97.55</v>
      </c>
      <c r="G3" s="159"/>
      <c r="H3" s="158" t="s">
        <v>14</v>
      </c>
      <c r="I3" s="160" t="s">
        <v>16</v>
      </c>
      <c r="J3" s="160"/>
      <c r="K3" s="161" t="s">
        <v>9</v>
      </c>
      <c r="L3" s="162">
        <v>576050.03</v>
      </c>
    </row>
    <row r="4" spans="1:12" ht="51" hidden="1" x14ac:dyDescent="0.3">
      <c r="A4" s="156" t="s">
        <v>10</v>
      </c>
      <c r="B4" s="157" t="s">
        <v>89</v>
      </c>
      <c r="C4" s="157" t="s">
        <v>91</v>
      </c>
      <c r="D4" s="157" t="s">
        <v>83</v>
      </c>
      <c r="E4" s="158" t="s">
        <v>14</v>
      </c>
      <c r="F4" s="159">
        <v>91.25</v>
      </c>
      <c r="G4" s="159"/>
      <c r="H4" s="158" t="s">
        <v>14</v>
      </c>
      <c r="I4" s="160" t="s">
        <v>16</v>
      </c>
      <c r="J4" s="160"/>
      <c r="K4" s="161" t="s">
        <v>9</v>
      </c>
      <c r="L4" s="162">
        <v>576141.28</v>
      </c>
    </row>
    <row r="5" spans="1:12" ht="51" hidden="1" x14ac:dyDescent="0.3">
      <c r="A5" s="156" t="s">
        <v>10</v>
      </c>
      <c r="B5" s="157" t="s">
        <v>89</v>
      </c>
      <c r="C5" s="157" t="s">
        <v>92</v>
      </c>
      <c r="D5" s="157" t="s">
        <v>84</v>
      </c>
      <c r="E5" s="158" t="s">
        <v>14</v>
      </c>
      <c r="F5" s="159">
        <v>144.80000000000001</v>
      </c>
      <c r="G5" s="159"/>
      <c r="H5" s="158" t="s">
        <v>14</v>
      </c>
      <c r="I5" s="160" t="s">
        <v>16</v>
      </c>
      <c r="J5" s="160"/>
      <c r="K5" s="161" t="s">
        <v>9</v>
      </c>
      <c r="L5" s="162">
        <v>576286.07999999996</v>
      </c>
    </row>
    <row r="6" spans="1:12" ht="51" hidden="1" x14ac:dyDescent="0.3">
      <c r="A6" s="156" t="s">
        <v>362</v>
      </c>
      <c r="B6" s="157" t="s">
        <v>363</v>
      </c>
      <c r="C6" s="157" t="s">
        <v>364</v>
      </c>
      <c r="D6" s="157" t="s">
        <v>29</v>
      </c>
      <c r="E6" s="158" t="s">
        <v>14</v>
      </c>
      <c r="F6" s="163">
        <v>18585</v>
      </c>
      <c r="G6" s="163"/>
      <c r="H6" s="158" t="s">
        <v>15</v>
      </c>
      <c r="I6" s="160" t="s">
        <v>16</v>
      </c>
      <c r="J6" s="160"/>
      <c r="K6" s="161" t="s">
        <v>9</v>
      </c>
      <c r="L6" s="162">
        <v>594871.07999999996</v>
      </c>
    </row>
    <row r="7" spans="1:12" ht="51" hidden="1" x14ac:dyDescent="0.3">
      <c r="A7" s="156" t="s">
        <v>362</v>
      </c>
      <c r="B7" s="157" t="s">
        <v>365</v>
      </c>
      <c r="C7" s="157" t="s">
        <v>364</v>
      </c>
      <c r="D7" s="157" t="s">
        <v>29</v>
      </c>
      <c r="E7" s="158" t="s">
        <v>14</v>
      </c>
      <c r="F7" s="163">
        <v>7697.5</v>
      </c>
      <c r="G7" s="163"/>
      <c r="H7" s="158" t="s">
        <v>15</v>
      </c>
      <c r="I7" s="160" t="s">
        <v>16</v>
      </c>
      <c r="J7" s="160"/>
      <c r="K7" s="161" t="s">
        <v>9</v>
      </c>
      <c r="L7" s="162">
        <v>602568.57999999996</v>
      </c>
    </row>
    <row r="8" spans="1:12" ht="51" hidden="1" x14ac:dyDescent="0.3">
      <c r="A8" s="156" t="s">
        <v>140</v>
      </c>
      <c r="B8" s="157" t="s">
        <v>144</v>
      </c>
      <c r="C8" s="157" t="s">
        <v>145</v>
      </c>
      <c r="D8" s="157" t="s">
        <v>142</v>
      </c>
      <c r="E8" s="158" t="s">
        <v>14</v>
      </c>
      <c r="F8" s="163">
        <v>7301</v>
      </c>
      <c r="G8" s="163"/>
      <c r="H8" s="158" t="s">
        <v>14</v>
      </c>
      <c r="I8" s="160" t="s">
        <v>16</v>
      </c>
      <c r="J8" s="160"/>
      <c r="K8" s="161" t="s">
        <v>9</v>
      </c>
      <c r="L8" s="162">
        <v>609869.57999999996</v>
      </c>
    </row>
    <row r="9" spans="1:12" ht="51" hidden="1" x14ac:dyDescent="0.3">
      <c r="A9" s="156" t="s">
        <v>140</v>
      </c>
      <c r="B9" s="157" t="s">
        <v>158</v>
      </c>
      <c r="C9" s="157" t="s">
        <v>159</v>
      </c>
      <c r="D9" s="157" t="s">
        <v>151</v>
      </c>
      <c r="E9" s="158" t="s">
        <v>14</v>
      </c>
      <c r="F9" s="163">
        <v>3230</v>
      </c>
      <c r="G9" s="163"/>
      <c r="H9" s="158" t="s">
        <v>14</v>
      </c>
      <c r="I9" s="160" t="s">
        <v>16</v>
      </c>
      <c r="J9" s="160"/>
      <c r="K9" s="161" t="s">
        <v>9</v>
      </c>
      <c r="L9" s="162">
        <v>613099.57999999996</v>
      </c>
    </row>
    <row r="10" spans="1:12" ht="51" hidden="1" x14ac:dyDescent="0.3">
      <c r="A10" s="156" t="s">
        <v>175</v>
      </c>
      <c r="B10" s="157" t="s">
        <v>183</v>
      </c>
      <c r="C10" s="157" t="s">
        <v>184</v>
      </c>
      <c r="D10" s="157" t="s">
        <v>179</v>
      </c>
      <c r="E10" s="158" t="s">
        <v>14</v>
      </c>
      <c r="F10" s="163">
        <v>5877.88</v>
      </c>
      <c r="G10" s="163"/>
      <c r="H10" s="158" t="s">
        <v>14</v>
      </c>
      <c r="I10" s="160" t="s">
        <v>16</v>
      </c>
      <c r="J10" s="160"/>
      <c r="K10" s="161" t="s">
        <v>9</v>
      </c>
      <c r="L10" s="162">
        <v>618977.46</v>
      </c>
    </row>
    <row r="11" spans="1:12" ht="51" hidden="1" x14ac:dyDescent="0.3">
      <c r="A11" s="156" t="s">
        <v>189</v>
      </c>
      <c r="B11" s="157" t="s">
        <v>197</v>
      </c>
      <c r="C11" s="157" t="s">
        <v>198</v>
      </c>
      <c r="D11" s="157" t="s">
        <v>191</v>
      </c>
      <c r="E11" s="158" t="s">
        <v>14</v>
      </c>
      <c r="F11" s="163">
        <v>37354.559999999998</v>
      </c>
      <c r="G11" s="163"/>
      <c r="H11" s="158" t="s">
        <v>14</v>
      </c>
      <c r="I11" s="160" t="s">
        <v>16</v>
      </c>
      <c r="J11" s="160"/>
      <c r="K11" s="161" t="s">
        <v>9</v>
      </c>
      <c r="L11" s="162">
        <v>656332.02</v>
      </c>
    </row>
    <row r="12" spans="1:12" ht="61.2" hidden="1" x14ac:dyDescent="0.3">
      <c r="A12" s="156" t="s">
        <v>44</v>
      </c>
      <c r="B12" s="157" t="s">
        <v>366</v>
      </c>
      <c r="C12" s="157" t="s">
        <v>367</v>
      </c>
      <c r="D12" s="157" t="s">
        <v>368</v>
      </c>
      <c r="E12" s="158" t="s">
        <v>14</v>
      </c>
      <c r="F12" s="163">
        <v>16455</v>
      </c>
      <c r="G12" s="163"/>
      <c r="H12" s="158" t="s">
        <v>15</v>
      </c>
      <c r="I12" s="160" t="s">
        <v>16</v>
      </c>
      <c r="J12" s="160"/>
      <c r="K12" s="161" t="s">
        <v>9</v>
      </c>
      <c r="L12" s="162">
        <v>672787.02</v>
      </c>
    </row>
    <row r="13" spans="1:12" ht="61.2" hidden="1" x14ac:dyDescent="0.3">
      <c r="A13" s="156" t="s">
        <v>44</v>
      </c>
      <c r="B13" s="157" t="s">
        <v>369</v>
      </c>
      <c r="C13" s="157" t="s">
        <v>367</v>
      </c>
      <c r="D13" s="157" t="s">
        <v>368</v>
      </c>
      <c r="E13" s="158" t="s">
        <v>14</v>
      </c>
      <c r="F13" s="163">
        <v>38395</v>
      </c>
      <c r="G13" s="163"/>
      <c r="H13" s="158" t="s">
        <v>15</v>
      </c>
      <c r="I13" s="160" t="s">
        <v>16</v>
      </c>
      <c r="J13" s="160"/>
      <c r="K13" s="161" t="s">
        <v>9</v>
      </c>
      <c r="L13" s="162">
        <v>711182.02</v>
      </c>
    </row>
    <row r="14" spans="1:12" ht="51" hidden="1" x14ac:dyDescent="0.3">
      <c r="A14" s="156" t="s">
        <v>201</v>
      </c>
      <c r="B14" s="157" t="s">
        <v>202</v>
      </c>
      <c r="C14" s="157" t="s">
        <v>203</v>
      </c>
      <c r="D14" s="157" t="s">
        <v>204</v>
      </c>
      <c r="E14" s="158" t="s">
        <v>14</v>
      </c>
      <c r="F14" s="159">
        <v>353.7</v>
      </c>
      <c r="G14" s="159"/>
      <c r="H14" s="158" t="s">
        <v>14</v>
      </c>
      <c r="I14" s="160" t="s">
        <v>16</v>
      </c>
      <c r="J14" s="160"/>
      <c r="K14" s="161" t="s">
        <v>9</v>
      </c>
      <c r="L14" s="162">
        <v>711535.72</v>
      </c>
    </row>
    <row r="15" spans="1:12" ht="61.2" hidden="1" x14ac:dyDescent="0.3">
      <c r="A15" s="156" t="s">
        <v>201</v>
      </c>
      <c r="B15" s="157" t="s">
        <v>370</v>
      </c>
      <c r="C15" s="157" t="s">
        <v>371</v>
      </c>
      <c r="D15" s="157" t="s">
        <v>372</v>
      </c>
      <c r="E15" s="158" t="s">
        <v>14</v>
      </c>
      <c r="F15" s="163">
        <v>3264</v>
      </c>
      <c r="G15" s="163"/>
      <c r="H15" s="158" t="s">
        <v>15</v>
      </c>
      <c r="I15" s="160" t="s">
        <v>16</v>
      </c>
      <c r="J15" s="160"/>
      <c r="K15" s="161" t="s">
        <v>9</v>
      </c>
      <c r="L15" s="162">
        <v>714799.72</v>
      </c>
    </row>
    <row r="16" spans="1:12" ht="61.2" hidden="1" x14ac:dyDescent="0.3">
      <c r="A16" s="156" t="s">
        <v>201</v>
      </c>
      <c r="B16" s="157" t="s">
        <v>373</v>
      </c>
      <c r="C16" s="157" t="s">
        <v>374</v>
      </c>
      <c r="D16" s="157" t="s">
        <v>375</v>
      </c>
      <c r="E16" s="158" t="s">
        <v>14</v>
      </c>
      <c r="F16" s="163">
        <v>13762.5</v>
      </c>
      <c r="G16" s="163"/>
      <c r="H16" s="158" t="s">
        <v>15</v>
      </c>
      <c r="I16" s="160" t="s">
        <v>16</v>
      </c>
      <c r="J16" s="160"/>
      <c r="K16" s="161" t="s">
        <v>9</v>
      </c>
      <c r="L16" s="162">
        <v>728562.22</v>
      </c>
    </row>
    <row r="17" spans="1:12" ht="61.2" hidden="1" x14ac:dyDescent="0.3">
      <c r="A17" s="156" t="s">
        <v>201</v>
      </c>
      <c r="B17" s="157" t="s">
        <v>376</v>
      </c>
      <c r="C17" s="157" t="s">
        <v>374</v>
      </c>
      <c r="D17" s="157" t="s">
        <v>375</v>
      </c>
      <c r="E17" s="158" t="s">
        <v>14</v>
      </c>
      <c r="F17" s="163">
        <v>32112.5</v>
      </c>
      <c r="G17" s="163"/>
      <c r="H17" s="158" t="s">
        <v>15</v>
      </c>
      <c r="I17" s="160" t="s">
        <v>16</v>
      </c>
      <c r="J17" s="160"/>
      <c r="K17" s="161" t="s">
        <v>9</v>
      </c>
      <c r="L17" s="162">
        <v>760674.72</v>
      </c>
    </row>
    <row r="18" spans="1:12" ht="61.2" hidden="1" x14ac:dyDescent="0.3">
      <c r="A18" s="156" t="s">
        <v>377</v>
      </c>
      <c r="B18" s="157" t="s">
        <v>378</v>
      </c>
      <c r="C18" s="157" t="s">
        <v>379</v>
      </c>
      <c r="D18" s="157" t="s">
        <v>380</v>
      </c>
      <c r="E18" s="158" t="s">
        <v>14</v>
      </c>
      <c r="F18" s="163">
        <v>3199.5</v>
      </c>
      <c r="G18" s="163"/>
      <c r="H18" s="158" t="s">
        <v>15</v>
      </c>
      <c r="I18" s="160" t="s">
        <v>16</v>
      </c>
      <c r="J18" s="160"/>
      <c r="K18" s="161" t="s">
        <v>9</v>
      </c>
      <c r="L18" s="162">
        <v>763874.22</v>
      </c>
    </row>
    <row r="19" spans="1:12" ht="61.2" hidden="1" x14ac:dyDescent="0.3">
      <c r="A19" s="156" t="s">
        <v>377</v>
      </c>
      <c r="B19" s="157" t="s">
        <v>381</v>
      </c>
      <c r="C19" s="157" t="s">
        <v>382</v>
      </c>
      <c r="D19" s="157" t="s">
        <v>383</v>
      </c>
      <c r="E19" s="158" t="s">
        <v>14</v>
      </c>
      <c r="F19" s="163">
        <v>10920</v>
      </c>
      <c r="G19" s="163"/>
      <c r="H19" s="158" t="s">
        <v>15</v>
      </c>
      <c r="I19" s="160" t="s">
        <v>16</v>
      </c>
      <c r="J19" s="160"/>
      <c r="K19" s="161" t="s">
        <v>9</v>
      </c>
      <c r="L19" s="162">
        <v>774794.22</v>
      </c>
    </row>
    <row r="20" spans="1:12" ht="61.2" hidden="1" x14ac:dyDescent="0.3">
      <c r="A20" s="156" t="s">
        <v>377</v>
      </c>
      <c r="B20" s="157" t="s">
        <v>384</v>
      </c>
      <c r="C20" s="157" t="s">
        <v>382</v>
      </c>
      <c r="D20" s="157" t="s">
        <v>383</v>
      </c>
      <c r="E20" s="158" t="s">
        <v>14</v>
      </c>
      <c r="F20" s="163">
        <v>25480</v>
      </c>
      <c r="G20" s="163"/>
      <c r="H20" s="158" t="s">
        <v>15</v>
      </c>
      <c r="I20" s="160" t="s">
        <v>16</v>
      </c>
      <c r="J20" s="160"/>
      <c r="K20" s="161" t="s">
        <v>9</v>
      </c>
      <c r="L20" s="162">
        <v>800274.22</v>
      </c>
    </row>
    <row r="21" spans="1:12" ht="51" hidden="1" x14ac:dyDescent="0.3">
      <c r="A21" s="156" t="s">
        <v>50</v>
      </c>
      <c r="B21" s="157" t="s">
        <v>226</v>
      </c>
      <c r="C21" s="157" t="s">
        <v>227</v>
      </c>
      <c r="D21" s="157" t="s">
        <v>217</v>
      </c>
      <c r="E21" s="158" t="s">
        <v>14</v>
      </c>
      <c r="F21" s="163">
        <v>36586.269999999997</v>
      </c>
      <c r="G21" s="163"/>
      <c r="H21" s="158" t="s">
        <v>14</v>
      </c>
      <c r="I21" s="160" t="s">
        <v>16</v>
      </c>
      <c r="J21" s="160"/>
      <c r="K21" s="161" t="s">
        <v>9</v>
      </c>
      <c r="L21" s="162">
        <v>836860.49</v>
      </c>
    </row>
    <row r="22" spans="1:12" ht="51" hidden="1" x14ac:dyDescent="0.3">
      <c r="A22" s="156" t="s">
        <v>50</v>
      </c>
      <c r="B22" s="157" t="s">
        <v>226</v>
      </c>
      <c r="C22" s="157" t="s">
        <v>228</v>
      </c>
      <c r="D22" s="157" t="s">
        <v>218</v>
      </c>
      <c r="E22" s="158" t="s">
        <v>14</v>
      </c>
      <c r="F22" s="163">
        <v>14666.78</v>
      </c>
      <c r="G22" s="163"/>
      <c r="H22" s="158" t="s">
        <v>14</v>
      </c>
      <c r="I22" s="160" t="s">
        <v>16</v>
      </c>
      <c r="J22" s="160"/>
      <c r="K22" s="161" t="s">
        <v>9</v>
      </c>
      <c r="L22" s="162">
        <v>851527.27</v>
      </c>
    </row>
    <row r="23" spans="1:12" ht="61.2" hidden="1" x14ac:dyDescent="0.3">
      <c r="A23" s="156" t="s">
        <v>229</v>
      </c>
      <c r="B23" s="157" t="s">
        <v>385</v>
      </c>
      <c r="C23" s="157" t="s">
        <v>386</v>
      </c>
      <c r="D23" s="157" t="s">
        <v>387</v>
      </c>
      <c r="E23" s="158" t="s">
        <v>14</v>
      </c>
      <c r="F23" s="163">
        <v>13536</v>
      </c>
      <c r="G23" s="163"/>
      <c r="H23" s="158" t="s">
        <v>15</v>
      </c>
      <c r="I23" s="160" t="s">
        <v>16</v>
      </c>
      <c r="J23" s="160"/>
      <c r="K23" s="161" t="s">
        <v>9</v>
      </c>
      <c r="L23" s="162">
        <v>865063.27</v>
      </c>
    </row>
    <row r="24" spans="1:12" ht="61.2" hidden="1" x14ac:dyDescent="0.3">
      <c r="A24" s="156" t="s">
        <v>229</v>
      </c>
      <c r="B24" s="157" t="s">
        <v>388</v>
      </c>
      <c r="C24" s="157" t="s">
        <v>386</v>
      </c>
      <c r="D24" s="157" t="s">
        <v>387</v>
      </c>
      <c r="E24" s="158" t="s">
        <v>14</v>
      </c>
      <c r="F24" s="163">
        <v>31584</v>
      </c>
      <c r="G24" s="163"/>
      <c r="H24" s="158" t="s">
        <v>15</v>
      </c>
      <c r="I24" s="160" t="s">
        <v>16</v>
      </c>
      <c r="J24" s="160"/>
      <c r="K24" s="161" t="s">
        <v>9</v>
      </c>
      <c r="L24" s="162">
        <v>896647.27</v>
      </c>
    </row>
    <row r="25" spans="1:12" ht="51" hidden="1" x14ac:dyDescent="0.3">
      <c r="A25" s="156" t="s">
        <v>238</v>
      </c>
      <c r="B25" s="157" t="s">
        <v>247</v>
      </c>
      <c r="C25" s="157" t="s">
        <v>248</v>
      </c>
      <c r="D25" s="157" t="s">
        <v>241</v>
      </c>
      <c r="E25" s="158" t="s">
        <v>14</v>
      </c>
      <c r="F25" s="163">
        <v>15259.05</v>
      </c>
      <c r="G25" s="163"/>
      <c r="H25" s="158" t="s">
        <v>14</v>
      </c>
      <c r="I25" s="160" t="s">
        <v>16</v>
      </c>
      <c r="J25" s="160"/>
      <c r="K25" s="161" t="s">
        <v>9</v>
      </c>
      <c r="L25" s="162">
        <v>911906.32</v>
      </c>
    </row>
    <row r="26" spans="1:12" ht="51" x14ac:dyDescent="0.3">
      <c r="A26" s="156" t="s">
        <v>58</v>
      </c>
      <c r="B26" s="157" t="s">
        <v>389</v>
      </c>
      <c r="C26" s="157" t="s">
        <v>35</v>
      </c>
      <c r="D26" s="157" t="s">
        <v>364</v>
      </c>
      <c r="E26" s="158" t="s">
        <v>37</v>
      </c>
      <c r="F26" s="164" t="s">
        <v>16</v>
      </c>
      <c r="G26" s="164"/>
      <c r="H26" s="158" t="s">
        <v>14</v>
      </c>
      <c r="I26" s="165">
        <v>11263.93</v>
      </c>
      <c r="J26" s="165"/>
      <c r="K26" s="161" t="s">
        <v>9</v>
      </c>
      <c r="L26" s="162">
        <v>900642.39</v>
      </c>
    </row>
    <row r="27" spans="1:12" ht="51" x14ac:dyDescent="0.3">
      <c r="A27" s="156" t="s">
        <v>58</v>
      </c>
      <c r="B27" s="157" t="s">
        <v>389</v>
      </c>
      <c r="C27" s="157" t="s">
        <v>35</v>
      </c>
      <c r="D27" s="157" t="s">
        <v>364</v>
      </c>
      <c r="E27" s="158" t="s">
        <v>37</v>
      </c>
      <c r="F27" s="164" t="s">
        <v>16</v>
      </c>
      <c r="G27" s="164"/>
      <c r="H27" s="158" t="s">
        <v>14</v>
      </c>
      <c r="I27" s="165">
        <v>7208.91</v>
      </c>
      <c r="J27" s="165"/>
      <c r="K27" s="161" t="s">
        <v>9</v>
      </c>
      <c r="L27" s="162">
        <v>893433.48</v>
      </c>
    </row>
    <row r="28" spans="1:12" ht="51" x14ac:dyDescent="0.3">
      <c r="A28" s="156" t="s">
        <v>58</v>
      </c>
      <c r="B28" s="157" t="s">
        <v>389</v>
      </c>
      <c r="C28" s="157" t="s">
        <v>35</v>
      </c>
      <c r="D28" s="157" t="s">
        <v>390</v>
      </c>
      <c r="E28" s="158" t="s">
        <v>37</v>
      </c>
      <c r="F28" s="164" t="s">
        <v>16</v>
      </c>
      <c r="G28" s="164"/>
      <c r="H28" s="158" t="s">
        <v>14</v>
      </c>
      <c r="I28" s="165">
        <v>27299.53</v>
      </c>
      <c r="J28" s="165"/>
      <c r="K28" s="161" t="s">
        <v>9</v>
      </c>
      <c r="L28" s="162">
        <v>866133.95</v>
      </c>
    </row>
    <row r="29" spans="1:12" ht="51" x14ac:dyDescent="0.3">
      <c r="A29" s="156" t="s">
        <v>58</v>
      </c>
      <c r="B29" s="157" t="s">
        <v>391</v>
      </c>
      <c r="C29" s="157" t="s">
        <v>35</v>
      </c>
      <c r="D29" s="157" t="s">
        <v>203</v>
      </c>
      <c r="E29" s="158" t="s">
        <v>37</v>
      </c>
      <c r="F29" s="164" t="s">
        <v>16</v>
      </c>
      <c r="G29" s="164"/>
      <c r="H29" s="158" t="s">
        <v>14</v>
      </c>
      <c r="I29" s="166">
        <v>353.7</v>
      </c>
      <c r="J29" s="166"/>
      <c r="K29" s="161" t="s">
        <v>9</v>
      </c>
      <c r="L29" s="162">
        <v>865780.25</v>
      </c>
    </row>
    <row r="30" spans="1:12" ht="61.2" x14ac:dyDescent="0.3">
      <c r="A30" s="156" t="s">
        <v>58</v>
      </c>
      <c r="B30" s="157" t="s">
        <v>391</v>
      </c>
      <c r="C30" s="157" t="s">
        <v>35</v>
      </c>
      <c r="D30" s="157" t="s">
        <v>392</v>
      </c>
      <c r="E30" s="158" t="s">
        <v>37</v>
      </c>
      <c r="F30" s="164" t="s">
        <v>16</v>
      </c>
      <c r="G30" s="164"/>
      <c r="H30" s="158" t="s">
        <v>14</v>
      </c>
      <c r="I30" s="165">
        <v>6396</v>
      </c>
      <c r="J30" s="165"/>
      <c r="K30" s="161" t="s">
        <v>9</v>
      </c>
      <c r="L30" s="162">
        <v>859384.25</v>
      </c>
    </row>
    <row r="31" spans="1:12" ht="61.2" x14ac:dyDescent="0.3">
      <c r="A31" s="156" t="s">
        <v>58</v>
      </c>
      <c r="B31" s="157" t="s">
        <v>391</v>
      </c>
      <c r="C31" s="157" t="s">
        <v>35</v>
      </c>
      <c r="D31" s="157" t="s">
        <v>392</v>
      </c>
      <c r="E31" s="158" t="s">
        <v>37</v>
      </c>
      <c r="F31" s="164" t="s">
        <v>16</v>
      </c>
      <c r="G31" s="164"/>
      <c r="H31" s="158" t="s">
        <v>14</v>
      </c>
      <c r="I31" s="166">
        <v>75</v>
      </c>
      <c r="J31" s="166"/>
      <c r="K31" s="161" t="s">
        <v>9</v>
      </c>
      <c r="L31" s="162">
        <v>859309.25</v>
      </c>
    </row>
    <row r="32" spans="1:12" ht="61.2" x14ac:dyDescent="0.3">
      <c r="A32" s="156" t="s">
        <v>58</v>
      </c>
      <c r="B32" s="157" t="s">
        <v>391</v>
      </c>
      <c r="C32" s="157" t="s">
        <v>35</v>
      </c>
      <c r="D32" s="157" t="s">
        <v>393</v>
      </c>
      <c r="E32" s="158" t="s">
        <v>37</v>
      </c>
      <c r="F32" s="164" t="s">
        <v>16</v>
      </c>
      <c r="G32" s="164"/>
      <c r="H32" s="158" t="s">
        <v>14</v>
      </c>
      <c r="I32" s="165">
        <v>6396</v>
      </c>
      <c r="J32" s="165"/>
      <c r="K32" s="161" t="s">
        <v>9</v>
      </c>
      <c r="L32" s="162">
        <v>852913.25</v>
      </c>
    </row>
    <row r="33" spans="1:12" ht="61.2" x14ac:dyDescent="0.3">
      <c r="A33" s="156" t="s">
        <v>58</v>
      </c>
      <c r="B33" s="157" t="s">
        <v>391</v>
      </c>
      <c r="C33" s="157" t="s">
        <v>35</v>
      </c>
      <c r="D33" s="157" t="s">
        <v>394</v>
      </c>
      <c r="E33" s="158" t="s">
        <v>37</v>
      </c>
      <c r="F33" s="164" t="s">
        <v>16</v>
      </c>
      <c r="G33" s="164"/>
      <c r="H33" s="158" t="s">
        <v>14</v>
      </c>
      <c r="I33" s="165">
        <v>25279.51</v>
      </c>
      <c r="J33" s="165"/>
      <c r="K33" s="161" t="s">
        <v>9</v>
      </c>
      <c r="L33" s="162">
        <v>827633.74</v>
      </c>
    </row>
    <row r="34" spans="1:12" ht="61.2" x14ac:dyDescent="0.3">
      <c r="A34" s="156" t="s">
        <v>58</v>
      </c>
      <c r="B34" s="157" t="s">
        <v>391</v>
      </c>
      <c r="C34" s="157" t="s">
        <v>35</v>
      </c>
      <c r="D34" s="157" t="s">
        <v>395</v>
      </c>
      <c r="E34" s="158" t="s">
        <v>37</v>
      </c>
      <c r="F34" s="164" t="s">
        <v>16</v>
      </c>
      <c r="G34" s="164"/>
      <c r="H34" s="158" t="s">
        <v>14</v>
      </c>
      <c r="I34" s="165">
        <v>6349.5</v>
      </c>
      <c r="J34" s="165"/>
      <c r="K34" s="161" t="s">
        <v>9</v>
      </c>
      <c r="L34" s="162">
        <v>821284.24</v>
      </c>
    </row>
    <row r="35" spans="1:12" ht="61.2" x14ac:dyDescent="0.3">
      <c r="A35" s="156" t="s">
        <v>58</v>
      </c>
      <c r="B35" s="157" t="s">
        <v>391</v>
      </c>
      <c r="C35" s="157" t="s">
        <v>35</v>
      </c>
      <c r="D35" s="157" t="s">
        <v>396</v>
      </c>
      <c r="E35" s="158" t="s">
        <v>37</v>
      </c>
      <c r="F35" s="164" t="s">
        <v>16</v>
      </c>
      <c r="G35" s="164"/>
      <c r="H35" s="158" t="s">
        <v>14</v>
      </c>
      <c r="I35" s="165">
        <v>17910.490000000002</v>
      </c>
      <c r="J35" s="165"/>
      <c r="K35" s="161" t="s">
        <v>9</v>
      </c>
      <c r="L35" s="162">
        <v>803373.75</v>
      </c>
    </row>
    <row r="36" spans="1:12" ht="61.2" x14ac:dyDescent="0.3">
      <c r="A36" s="156" t="s">
        <v>58</v>
      </c>
      <c r="B36" s="157" t="s">
        <v>391</v>
      </c>
      <c r="C36" s="157" t="s">
        <v>35</v>
      </c>
      <c r="D36" s="157" t="s">
        <v>396</v>
      </c>
      <c r="E36" s="158" t="s">
        <v>37</v>
      </c>
      <c r="F36" s="164" t="s">
        <v>16</v>
      </c>
      <c r="G36" s="164"/>
      <c r="H36" s="158" t="s">
        <v>14</v>
      </c>
      <c r="I36" s="165">
        <v>12232.91</v>
      </c>
      <c r="J36" s="165"/>
      <c r="K36" s="161" t="s">
        <v>9</v>
      </c>
      <c r="L36" s="162">
        <v>791140.84</v>
      </c>
    </row>
    <row r="37" spans="1:12" ht="61.2" x14ac:dyDescent="0.3">
      <c r="A37" s="156" t="s">
        <v>58</v>
      </c>
      <c r="B37" s="157" t="s">
        <v>391</v>
      </c>
      <c r="C37" s="157" t="s">
        <v>35</v>
      </c>
      <c r="D37" s="157" t="s">
        <v>396</v>
      </c>
      <c r="E37" s="158" t="s">
        <v>37</v>
      </c>
      <c r="F37" s="164" t="s">
        <v>16</v>
      </c>
      <c r="G37" s="164"/>
      <c r="H37" s="158" t="s">
        <v>14</v>
      </c>
      <c r="I37" s="165">
        <v>4878.93</v>
      </c>
      <c r="J37" s="165"/>
      <c r="K37" s="161" t="s">
        <v>9</v>
      </c>
      <c r="L37" s="162">
        <v>786261.91</v>
      </c>
    </row>
    <row r="38" spans="1:12" ht="61.2" x14ac:dyDescent="0.3">
      <c r="A38" s="156" t="s">
        <v>58</v>
      </c>
      <c r="B38" s="157" t="s">
        <v>391</v>
      </c>
      <c r="C38" s="157" t="s">
        <v>35</v>
      </c>
      <c r="D38" s="157" t="s">
        <v>397</v>
      </c>
      <c r="E38" s="158" t="s">
        <v>37</v>
      </c>
      <c r="F38" s="164" t="s">
        <v>16</v>
      </c>
      <c r="G38" s="164"/>
      <c r="H38" s="158" t="s">
        <v>14</v>
      </c>
      <c r="I38" s="165">
        <v>2769</v>
      </c>
      <c r="J38" s="165"/>
      <c r="K38" s="161" t="s">
        <v>9</v>
      </c>
      <c r="L38" s="162">
        <v>783492.91</v>
      </c>
    </row>
    <row r="39" spans="1:12" ht="61.2" x14ac:dyDescent="0.3">
      <c r="A39" s="156" t="s">
        <v>58</v>
      </c>
      <c r="B39" s="157" t="s">
        <v>391</v>
      </c>
      <c r="C39" s="157" t="s">
        <v>35</v>
      </c>
      <c r="D39" s="157" t="s">
        <v>397</v>
      </c>
      <c r="E39" s="158" t="s">
        <v>37</v>
      </c>
      <c r="F39" s="164" t="s">
        <v>16</v>
      </c>
      <c r="G39" s="164"/>
      <c r="H39" s="158" t="s">
        <v>14</v>
      </c>
      <c r="I39" s="165">
        <v>3508.5</v>
      </c>
      <c r="J39" s="165"/>
      <c r="K39" s="161" t="s">
        <v>9</v>
      </c>
      <c r="L39" s="162">
        <v>779984.41</v>
      </c>
    </row>
    <row r="40" spans="1:12" ht="61.2" x14ac:dyDescent="0.3">
      <c r="A40" s="156" t="s">
        <v>58</v>
      </c>
      <c r="B40" s="157" t="s">
        <v>391</v>
      </c>
      <c r="C40" s="157" t="s">
        <v>35</v>
      </c>
      <c r="D40" s="157" t="s">
        <v>398</v>
      </c>
      <c r="E40" s="158" t="s">
        <v>37</v>
      </c>
      <c r="F40" s="164" t="s">
        <v>16</v>
      </c>
      <c r="G40" s="164"/>
      <c r="H40" s="158" t="s">
        <v>14</v>
      </c>
      <c r="I40" s="165">
        <v>9470</v>
      </c>
      <c r="J40" s="165"/>
      <c r="K40" s="161" t="s">
        <v>9</v>
      </c>
      <c r="L40" s="162">
        <v>770514.41</v>
      </c>
    </row>
    <row r="41" spans="1:12" ht="61.2" x14ac:dyDescent="0.3">
      <c r="A41" s="156" t="s">
        <v>58</v>
      </c>
      <c r="B41" s="157" t="s">
        <v>391</v>
      </c>
      <c r="C41" s="157" t="s">
        <v>35</v>
      </c>
      <c r="D41" s="157" t="s">
        <v>398</v>
      </c>
      <c r="E41" s="158" t="s">
        <v>37</v>
      </c>
      <c r="F41" s="164" t="s">
        <v>16</v>
      </c>
      <c r="G41" s="164"/>
      <c r="H41" s="158" t="s">
        <v>14</v>
      </c>
      <c r="I41" s="165">
        <v>20925</v>
      </c>
      <c r="J41" s="165"/>
      <c r="K41" s="161" t="s">
        <v>9</v>
      </c>
      <c r="L41" s="162">
        <v>749589.41</v>
      </c>
    </row>
    <row r="42" spans="1:12" ht="61.2" x14ac:dyDescent="0.3">
      <c r="A42" s="156" t="s">
        <v>58</v>
      </c>
      <c r="B42" s="157" t="s">
        <v>391</v>
      </c>
      <c r="C42" s="157" t="s">
        <v>35</v>
      </c>
      <c r="D42" s="157" t="s">
        <v>398</v>
      </c>
      <c r="E42" s="158" t="s">
        <v>37</v>
      </c>
      <c r="F42" s="164" t="s">
        <v>16</v>
      </c>
      <c r="G42" s="164"/>
      <c r="H42" s="158" t="s">
        <v>14</v>
      </c>
      <c r="I42" s="165">
        <v>22190</v>
      </c>
      <c r="J42" s="165"/>
      <c r="K42" s="161" t="s">
        <v>9</v>
      </c>
      <c r="L42" s="162">
        <v>727399.41</v>
      </c>
    </row>
    <row r="43" spans="1:12" ht="61.2" x14ac:dyDescent="0.3">
      <c r="A43" s="156" t="s">
        <v>58</v>
      </c>
      <c r="B43" s="157" t="s">
        <v>391</v>
      </c>
      <c r="C43" s="157" t="s">
        <v>35</v>
      </c>
      <c r="D43" s="157" t="s">
        <v>398</v>
      </c>
      <c r="E43" s="158" t="s">
        <v>37</v>
      </c>
      <c r="F43" s="164" t="s">
        <v>16</v>
      </c>
      <c r="G43" s="164"/>
      <c r="H43" s="158" t="s">
        <v>14</v>
      </c>
      <c r="I43" s="165">
        <v>48470</v>
      </c>
      <c r="J43" s="165"/>
      <c r="K43" s="161" t="s">
        <v>9</v>
      </c>
      <c r="L43" s="162">
        <v>678929.41</v>
      </c>
    </row>
    <row r="44" spans="1:12" ht="61.2" x14ac:dyDescent="0.3">
      <c r="A44" s="156" t="s">
        <v>58</v>
      </c>
      <c r="B44" s="157" t="s">
        <v>391</v>
      </c>
      <c r="C44" s="157" t="s">
        <v>35</v>
      </c>
      <c r="D44" s="157" t="s">
        <v>399</v>
      </c>
      <c r="E44" s="158" t="s">
        <v>37</v>
      </c>
      <c r="F44" s="164" t="s">
        <v>16</v>
      </c>
      <c r="G44" s="164"/>
      <c r="H44" s="158" t="s">
        <v>14</v>
      </c>
      <c r="I44" s="165">
        <v>4641</v>
      </c>
      <c r="J44" s="165"/>
      <c r="K44" s="161" t="s">
        <v>9</v>
      </c>
      <c r="L44" s="162">
        <v>674288.41</v>
      </c>
    </row>
    <row r="45" spans="1:12" ht="61.2" x14ac:dyDescent="0.3">
      <c r="A45" s="156" t="s">
        <v>58</v>
      </c>
      <c r="B45" s="157" t="s">
        <v>391</v>
      </c>
      <c r="C45" s="157" t="s">
        <v>35</v>
      </c>
      <c r="D45" s="157" t="s">
        <v>400</v>
      </c>
      <c r="E45" s="158" t="s">
        <v>37</v>
      </c>
      <c r="F45" s="164" t="s">
        <v>16</v>
      </c>
      <c r="G45" s="164"/>
      <c r="H45" s="158" t="s">
        <v>14</v>
      </c>
      <c r="I45" s="165">
        <v>4620</v>
      </c>
      <c r="J45" s="165"/>
      <c r="K45" s="161" t="s">
        <v>9</v>
      </c>
      <c r="L45" s="162">
        <v>669668.41</v>
      </c>
    </row>
    <row r="46" spans="1:12" ht="61.2" x14ac:dyDescent="0.3">
      <c r="A46" s="156" t="s">
        <v>58</v>
      </c>
      <c r="B46" s="157" t="s">
        <v>391</v>
      </c>
      <c r="C46" s="157" t="s">
        <v>35</v>
      </c>
      <c r="D46" s="157" t="s">
        <v>401</v>
      </c>
      <c r="E46" s="158" t="s">
        <v>37</v>
      </c>
      <c r="F46" s="164" t="s">
        <v>16</v>
      </c>
      <c r="G46" s="164"/>
      <c r="H46" s="158" t="s">
        <v>14</v>
      </c>
      <c r="I46" s="165">
        <v>6657</v>
      </c>
      <c r="J46" s="165"/>
      <c r="K46" s="161" t="s">
        <v>9</v>
      </c>
      <c r="L46" s="162">
        <v>663011.41</v>
      </c>
    </row>
    <row r="47" spans="1:12" ht="61.2" x14ac:dyDescent="0.3">
      <c r="A47" s="156" t="s">
        <v>58</v>
      </c>
      <c r="B47" s="157" t="s">
        <v>391</v>
      </c>
      <c r="C47" s="157" t="s">
        <v>35</v>
      </c>
      <c r="D47" s="157" t="s">
        <v>402</v>
      </c>
      <c r="E47" s="158" t="s">
        <v>37</v>
      </c>
      <c r="F47" s="164" t="s">
        <v>16</v>
      </c>
      <c r="G47" s="164"/>
      <c r="H47" s="158" t="s">
        <v>14</v>
      </c>
      <c r="I47" s="165">
        <v>17935</v>
      </c>
      <c r="J47" s="165"/>
      <c r="K47" s="161" t="s">
        <v>9</v>
      </c>
      <c r="L47" s="162">
        <v>645076.41</v>
      </c>
    </row>
    <row r="48" spans="1:12" ht="51" x14ac:dyDescent="0.3">
      <c r="A48" s="156" t="s">
        <v>58</v>
      </c>
      <c r="B48" s="157" t="s">
        <v>391</v>
      </c>
      <c r="C48" s="157" t="s">
        <v>35</v>
      </c>
      <c r="D48" s="157" t="s">
        <v>145</v>
      </c>
      <c r="E48" s="158" t="s">
        <v>37</v>
      </c>
      <c r="F48" s="164" t="s">
        <v>16</v>
      </c>
      <c r="G48" s="164"/>
      <c r="H48" s="158" t="s">
        <v>14</v>
      </c>
      <c r="I48" s="165">
        <v>4170.33</v>
      </c>
      <c r="J48" s="165"/>
      <c r="K48" s="161" t="s">
        <v>9</v>
      </c>
      <c r="L48" s="162">
        <v>640906.07999999996</v>
      </c>
    </row>
    <row r="49" spans="1:12" ht="51" x14ac:dyDescent="0.3">
      <c r="A49" s="156" t="s">
        <v>58</v>
      </c>
      <c r="B49" s="157" t="s">
        <v>391</v>
      </c>
      <c r="C49" s="157" t="s">
        <v>35</v>
      </c>
      <c r="D49" s="157" t="s">
        <v>198</v>
      </c>
      <c r="E49" s="158" t="s">
        <v>37</v>
      </c>
      <c r="F49" s="164" t="s">
        <v>16</v>
      </c>
      <c r="G49" s="164"/>
      <c r="H49" s="158" t="s">
        <v>14</v>
      </c>
      <c r="I49" s="165">
        <v>37354.559999999998</v>
      </c>
      <c r="J49" s="165"/>
      <c r="K49" s="161" t="s">
        <v>9</v>
      </c>
      <c r="L49" s="162">
        <v>603551.52</v>
      </c>
    </row>
    <row r="50" spans="1:12" ht="51" x14ac:dyDescent="0.3">
      <c r="A50" s="156" t="s">
        <v>58</v>
      </c>
      <c r="B50" s="157" t="s">
        <v>403</v>
      </c>
      <c r="C50" s="157" t="s">
        <v>35</v>
      </c>
      <c r="D50" s="157" t="s">
        <v>404</v>
      </c>
      <c r="E50" s="158" t="s">
        <v>37</v>
      </c>
      <c r="F50" s="164" t="s">
        <v>16</v>
      </c>
      <c r="G50" s="164"/>
      <c r="H50" s="158" t="s">
        <v>14</v>
      </c>
      <c r="I50" s="165">
        <v>1400</v>
      </c>
      <c r="J50" s="165"/>
      <c r="K50" s="161" t="s">
        <v>9</v>
      </c>
      <c r="L50" s="162">
        <v>602151.52</v>
      </c>
    </row>
    <row r="51" spans="1:12" ht="51" x14ac:dyDescent="0.3">
      <c r="A51" s="156" t="s">
        <v>58</v>
      </c>
      <c r="B51" s="157" t="s">
        <v>403</v>
      </c>
      <c r="C51" s="157" t="s">
        <v>35</v>
      </c>
      <c r="D51" s="157" t="s">
        <v>90</v>
      </c>
      <c r="E51" s="158" t="s">
        <v>37</v>
      </c>
      <c r="F51" s="164" t="s">
        <v>16</v>
      </c>
      <c r="G51" s="164"/>
      <c r="H51" s="158" t="s">
        <v>14</v>
      </c>
      <c r="I51" s="166">
        <v>97.55</v>
      </c>
      <c r="J51" s="166"/>
      <c r="K51" s="161" t="s">
        <v>9</v>
      </c>
      <c r="L51" s="162">
        <v>602053.97</v>
      </c>
    </row>
    <row r="52" spans="1:12" ht="51" x14ac:dyDescent="0.3">
      <c r="A52" s="156" t="s">
        <v>58</v>
      </c>
      <c r="B52" s="157" t="s">
        <v>403</v>
      </c>
      <c r="C52" s="157" t="s">
        <v>35</v>
      </c>
      <c r="D52" s="157" t="s">
        <v>91</v>
      </c>
      <c r="E52" s="158" t="s">
        <v>37</v>
      </c>
      <c r="F52" s="164" t="s">
        <v>16</v>
      </c>
      <c r="G52" s="164"/>
      <c r="H52" s="158" t="s">
        <v>14</v>
      </c>
      <c r="I52" s="166">
        <v>91.25</v>
      </c>
      <c r="J52" s="166"/>
      <c r="K52" s="161" t="s">
        <v>9</v>
      </c>
      <c r="L52" s="162">
        <v>601962.72</v>
      </c>
    </row>
    <row r="53" spans="1:12" ht="61.2" x14ac:dyDescent="0.3">
      <c r="A53" s="156" t="s">
        <v>58</v>
      </c>
      <c r="B53" s="157" t="s">
        <v>405</v>
      </c>
      <c r="C53" s="157" t="s">
        <v>35</v>
      </c>
      <c r="D53" s="157" t="s">
        <v>402</v>
      </c>
      <c r="E53" s="158" t="s">
        <v>37</v>
      </c>
      <c r="F53" s="164" t="s">
        <v>16</v>
      </c>
      <c r="G53" s="164"/>
      <c r="H53" s="158" t="s">
        <v>14</v>
      </c>
      <c r="I53" s="165">
        <v>37375</v>
      </c>
      <c r="J53" s="165"/>
      <c r="K53" s="161" t="s">
        <v>9</v>
      </c>
      <c r="L53" s="162">
        <v>564587.72</v>
      </c>
    </row>
    <row r="54" spans="1:12" ht="61.2" x14ac:dyDescent="0.3">
      <c r="A54" s="156" t="s">
        <v>58</v>
      </c>
      <c r="B54" s="157" t="s">
        <v>405</v>
      </c>
      <c r="C54" s="157" t="s">
        <v>35</v>
      </c>
      <c r="D54" s="157" t="s">
        <v>406</v>
      </c>
      <c r="E54" s="158" t="s">
        <v>37</v>
      </c>
      <c r="F54" s="164" t="s">
        <v>16</v>
      </c>
      <c r="G54" s="164"/>
      <c r="H54" s="158" t="s">
        <v>14</v>
      </c>
      <c r="I54" s="165">
        <v>87565</v>
      </c>
      <c r="J54" s="165"/>
      <c r="K54" s="161" t="s">
        <v>9</v>
      </c>
      <c r="L54" s="162">
        <v>477022.71999999997</v>
      </c>
    </row>
    <row r="55" spans="1:12" ht="51" x14ac:dyDescent="0.3">
      <c r="A55" s="156" t="s">
        <v>58</v>
      </c>
      <c r="B55" s="157" t="s">
        <v>405</v>
      </c>
      <c r="C55" s="157" t="s">
        <v>35</v>
      </c>
      <c r="D55" s="157" t="s">
        <v>145</v>
      </c>
      <c r="E55" s="158" t="s">
        <v>37</v>
      </c>
      <c r="F55" s="164" t="s">
        <v>16</v>
      </c>
      <c r="G55" s="164"/>
      <c r="H55" s="158" t="s">
        <v>14</v>
      </c>
      <c r="I55" s="165">
        <v>3130.67</v>
      </c>
      <c r="J55" s="165"/>
      <c r="K55" s="161" t="s">
        <v>9</v>
      </c>
      <c r="L55" s="162">
        <v>473892.05</v>
      </c>
    </row>
    <row r="56" spans="1:12" ht="51" x14ac:dyDescent="0.3">
      <c r="A56" s="156" t="s">
        <v>58</v>
      </c>
      <c r="B56" s="157" t="s">
        <v>405</v>
      </c>
      <c r="C56" s="157" t="s">
        <v>35</v>
      </c>
      <c r="D56" s="157" t="s">
        <v>184</v>
      </c>
      <c r="E56" s="158" t="s">
        <v>37</v>
      </c>
      <c r="F56" s="164" t="s">
        <v>16</v>
      </c>
      <c r="G56" s="164"/>
      <c r="H56" s="158" t="s">
        <v>14</v>
      </c>
      <c r="I56" s="165">
        <v>4881.7299999999996</v>
      </c>
      <c r="J56" s="165"/>
      <c r="K56" s="161" t="s">
        <v>9</v>
      </c>
      <c r="L56" s="162">
        <v>469010.32</v>
      </c>
    </row>
    <row r="57" spans="1:12" ht="51" x14ac:dyDescent="0.3">
      <c r="A57" s="156" t="s">
        <v>58</v>
      </c>
      <c r="B57" s="157" t="s">
        <v>405</v>
      </c>
      <c r="C57" s="157" t="s">
        <v>35</v>
      </c>
      <c r="D57" s="157" t="s">
        <v>227</v>
      </c>
      <c r="E57" s="158" t="s">
        <v>37</v>
      </c>
      <c r="F57" s="164" t="s">
        <v>16</v>
      </c>
      <c r="G57" s="164"/>
      <c r="H57" s="158" t="s">
        <v>14</v>
      </c>
      <c r="I57" s="165">
        <v>36586.269999999997</v>
      </c>
      <c r="J57" s="165"/>
      <c r="K57" s="161" t="s">
        <v>9</v>
      </c>
      <c r="L57" s="162">
        <v>432424.05</v>
      </c>
    </row>
    <row r="58" spans="1:12" ht="51" x14ac:dyDescent="0.3">
      <c r="A58" s="156" t="s">
        <v>58</v>
      </c>
      <c r="B58" s="157" t="s">
        <v>405</v>
      </c>
      <c r="C58" s="157" t="s">
        <v>35</v>
      </c>
      <c r="D58" s="157" t="s">
        <v>364</v>
      </c>
      <c r="E58" s="158" t="s">
        <v>37</v>
      </c>
      <c r="F58" s="164" t="s">
        <v>16</v>
      </c>
      <c r="G58" s="164"/>
      <c r="H58" s="158" t="s">
        <v>14</v>
      </c>
      <c r="I58" s="165">
        <v>1501.86</v>
      </c>
      <c r="J58" s="165"/>
      <c r="K58" s="161" t="s">
        <v>9</v>
      </c>
      <c r="L58" s="162">
        <v>430922.19</v>
      </c>
    </row>
    <row r="59" spans="1:12" ht="51" x14ac:dyDescent="0.3">
      <c r="A59" s="156" t="s">
        <v>58</v>
      </c>
      <c r="B59" s="157" t="s">
        <v>407</v>
      </c>
      <c r="C59" s="157" t="s">
        <v>35</v>
      </c>
      <c r="D59" s="157" t="s">
        <v>404</v>
      </c>
      <c r="E59" s="158" t="s">
        <v>37</v>
      </c>
      <c r="F59" s="164" t="s">
        <v>16</v>
      </c>
      <c r="G59" s="164"/>
      <c r="H59" s="158" t="s">
        <v>14</v>
      </c>
      <c r="I59" s="165">
        <v>1400</v>
      </c>
      <c r="J59" s="165"/>
      <c r="K59" s="161" t="s">
        <v>9</v>
      </c>
      <c r="L59" s="162">
        <v>429522.19</v>
      </c>
    </row>
    <row r="60" spans="1:12" ht="51" x14ac:dyDescent="0.3">
      <c r="A60" s="156" t="s">
        <v>58</v>
      </c>
      <c r="B60" s="157" t="s">
        <v>407</v>
      </c>
      <c r="C60" s="157" t="s">
        <v>35</v>
      </c>
      <c r="D60" s="157" t="s">
        <v>92</v>
      </c>
      <c r="E60" s="158" t="s">
        <v>37</v>
      </c>
      <c r="F60" s="164" t="s">
        <v>16</v>
      </c>
      <c r="G60" s="164"/>
      <c r="H60" s="158" t="s">
        <v>14</v>
      </c>
      <c r="I60" s="166">
        <v>144.80000000000001</v>
      </c>
      <c r="J60" s="166"/>
      <c r="K60" s="161" t="s">
        <v>9</v>
      </c>
      <c r="L60" s="162">
        <v>429377.39</v>
      </c>
    </row>
    <row r="61" spans="1:12" ht="51" hidden="1" x14ac:dyDescent="0.3">
      <c r="A61" s="156" t="s">
        <v>58</v>
      </c>
      <c r="B61" s="157" t="s">
        <v>264</v>
      </c>
      <c r="C61" s="157" t="s">
        <v>265</v>
      </c>
      <c r="D61" s="157" t="s">
        <v>256</v>
      </c>
      <c r="E61" s="158" t="s">
        <v>14</v>
      </c>
      <c r="F61" s="163">
        <v>10453.64</v>
      </c>
      <c r="G61" s="163"/>
      <c r="H61" s="158" t="s">
        <v>14</v>
      </c>
      <c r="I61" s="160" t="s">
        <v>16</v>
      </c>
      <c r="J61" s="160"/>
      <c r="K61" s="161" t="s">
        <v>9</v>
      </c>
      <c r="L61" s="162">
        <v>439831.03</v>
      </c>
    </row>
    <row r="62" spans="1:12" ht="51" hidden="1" x14ac:dyDescent="0.3">
      <c r="A62" s="156" t="s">
        <v>58</v>
      </c>
      <c r="B62" s="157" t="s">
        <v>327</v>
      </c>
      <c r="C62" s="157" t="s">
        <v>328</v>
      </c>
      <c r="D62" s="157" t="s">
        <v>329</v>
      </c>
      <c r="E62" s="158" t="s">
        <v>14</v>
      </c>
      <c r="F62" s="163">
        <v>8258.67</v>
      </c>
      <c r="G62" s="163"/>
      <c r="H62" s="158" t="s">
        <v>14</v>
      </c>
      <c r="I62" s="160" t="s">
        <v>16</v>
      </c>
      <c r="J62" s="160"/>
      <c r="K62" s="161" t="s">
        <v>9</v>
      </c>
      <c r="L62" s="162">
        <v>448089.7</v>
      </c>
    </row>
    <row r="63" spans="1:12" ht="51" hidden="1" x14ac:dyDescent="0.3">
      <c r="A63" s="156" t="s">
        <v>58</v>
      </c>
      <c r="B63" s="157" t="s">
        <v>327</v>
      </c>
      <c r="C63" s="157" t="s">
        <v>330</v>
      </c>
      <c r="D63" s="157" t="s">
        <v>115</v>
      </c>
      <c r="E63" s="158" t="s">
        <v>14</v>
      </c>
      <c r="F63" s="163">
        <v>8567.6299999999992</v>
      </c>
      <c r="G63" s="163"/>
      <c r="H63" s="158" t="s">
        <v>14</v>
      </c>
      <c r="I63" s="160" t="s">
        <v>16</v>
      </c>
      <c r="J63" s="160"/>
      <c r="K63" s="161" t="s">
        <v>9</v>
      </c>
      <c r="L63" s="162">
        <v>456657.33</v>
      </c>
    </row>
    <row r="64" spans="1:12" ht="51" hidden="1" x14ac:dyDescent="0.3">
      <c r="A64" s="156" t="s">
        <v>58</v>
      </c>
      <c r="B64" s="157" t="s">
        <v>327</v>
      </c>
      <c r="C64" s="157" t="s">
        <v>331</v>
      </c>
      <c r="D64" s="157" t="s">
        <v>332</v>
      </c>
      <c r="E64" s="158" t="s">
        <v>14</v>
      </c>
      <c r="F64" s="163">
        <v>8030.66</v>
      </c>
      <c r="G64" s="163"/>
      <c r="H64" s="158" t="s">
        <v>14</v>
      </c>
      <c r="I64" s="160" t="s">
        <v>16</v>
      </c>
      <c r="J64" s="160"/>
      <c r="K64" s="161" t="s">
        <v>9</v>
      </c>
      <c r="L64" s="162">
        <v>464687.99</v>
      </c>
    </row>
    <row r="65" spans="1:12" ht="51" x14ac:dyDescent="0.3">
      <c r="A65" s="156" t="s">
        <v>58</v>
      </c>
      <c r="B65" s="157" t="s">
        <v>408</v>
      </c>
      <c r="C65" s="157" t="s">
        <v>35</v>
      </c>
      <c r="D65" s="157" t="s">
        <v>328</v>
      </c>
      <c r="E65" s="158" t="s">
        <v>37</v>
      </c>
      <c r="F65" s="164" t="s">
        <v>16</v>
      </c>
      <c r="G65" s="164"/>
      <c r="H65" s="158" t="s">
        <v>14</v>
      </c>
      <c r="I65" s="165">
        <v>8258.67</v>
      </c>
      <c r="J65" s="165"/>
      <c r="K65" s="161" t="s">
        <v>9</v>
      </c>
      <c r="L65" s="162">
        <v>456429.32</v>
      </c>
    </row>
    <row r="66" spans="1:12" ht="51" x14ac:dyDescent="0.3">
      <c r="A66" s="156" t="s">
        <v>58</v>
      </c>
      <c r="B66" s="157" t="s">
        <v>408</v>
      </c>
      <c r="C66" s="157" t="s">
        <v>35</v>
      </c>
      <c r="D66" s="157" t="s">
        <v>330</v>
      </c>
      <c r="E66" s="158" t="s">
        <v>37</v>
      </c>
      <c r="F66" s="164" t="s">
        <v>16</v>
      </c>
      <c r="G66" s="164"/>
      <c r="H66" s="158" t="s">
        <v>14</v>
      </c>
      <c r="I66" s="165">
        <v>8567.6299999999992</v>
      </c>
      <c r="J66" s="165"/>
      <c r="K66" s="161" t="s">
        <v>9</v>
      </c>
      <c r="L66" s="162">
        <v>447861.69</v>
      </c>
    </row>
    <row r="67" spans="1:12" ht="51" x14ac:dyDescent="0.3">
      <c r="A67" s="156" t="s">
        <v>58</v>
      </c>
      <c r="B67" s="157" t="s">
        <v>408</v>
      </c>
      <c r="C67" s="157" t="s">
        <v>35</v>
      </c>
      <c r="D67" s="157" t="s">
        <v>331</v>
      </c>
      <c r="E67" s="158" t="s">
        <v>37</v>
      </c>
      <c r="F67" s="164" t="s">
        <v>16</v>
      </c>
      <c r="G67" s="164"/>
      <c r="H67" s="158" t="s">
        <v>14</v>
      </c>
      <c r="I67" s="165">
        <v>8030.66</v>
      </c>
      <c r="J67" s="165"/>
      <c r="K67" s="161" t="s">
        <v>9</v>
      </c>
      <c r="L67" s="162">
        <v>439831.03</v>
      </c>
    </row>
    <row r="68" spans="1:12" ht="51" hidden="1" x14ac:dyDescent="0.3">
      <c r="A68" s="156" t="s">
        <v>266</v>
      </c>
      <c r="B68" s="157" t="s">
        <v>272</v>
      </c>
      <c r="C68" s="157" t="s">
        <v>273</v>
      </c>
      <c r="D68" s="157" t="s">
        <v>240</v>
      </c>
      <c r="E68" s="158" t="s">
        <v>14</v>
      </c>
      <c r="F68" s="163">
        <v>1753.8</v>
      </c>
      <c r="G68" s="163"/>
      <c r="H68" s="158" t="s">
        <v>14</v>
      </c>
      <c r="I68" s="160" t="s">
        <v>16</v>
      </c>
      <c r="J68" s="160"/>
      <c r="K68" s="161" t="s">
        <v>9</v>
      </c>
      <c r="L68" s="162">
        <v>441584.83</v>
      </c>
    </row>
    <row r="69" spans="1:12" ht="51" hidden="1" x14ac:dyDescent="0.3">
      <c r="A69" s="156" t="s">
        <v>266</v>
      </c>
      <c r="B69" s="157" t="s">
        <v>272</v>
      </c>
      <c r="C69" s="157" t="s">
        <v>274</v>
      </c>
      <c r="D69" s="157" t="s">
        <v>268</v>
      </c>
      <c r="E69" s="158" t="s">
        <v>14</v>
      </c>
      <c r="F69" s="163">
        <v>59734.79</v>
      </c>
      <c r="G69" s="163"/>
      <c r="H69" s="158" t="s">
        <v>14</v>
      </c>
      <c r="I69" s="160" t="s">
        <v>16</v>
      </c>
      <c r="J69" s="160"/>
      <c r="K69" s="161" t="s">
        <v>9</v>
      </c>
      <c r="L69" s="162">
        <v>501319.62</v>
      </c>
    </row>
    <row r="70" spans="1:12" hidden="1" x14ac:dyDescent="0.3">
      <c r="A70" s="167" t="s">
        <v>60</v>
      </c>
      <c r="B70" s="167"/>
      <c r="C70" s="167"/>
      <c r="D70" s="167"/>
      <c r="E70" s="168">
        <v>432753.03</v>
      </c>
      <c r="F70" s="168"/>
      <c r="G70" s="168"/>
      <c r="H70" s="168">
        <v>507385.89</v>
      </c>
      <c r="I70" s="168"/>
      <c r="J70" s="168"/>
      <c r="K70" s="169" t="s">
        <v>9</v>
      </c>
      <c r="L70" s="170">
        <v>501319.62</v>
      </c>
    </row>
    <row r="72" spans="1:12" x14ac:dyDescent="0.3">
      <c r="J72" s="29">
        <f>SUBTOTAL(9,I26:J67)</f>
        <v>507385.88999999996</v>
      </c>
    </row>
  </sheetData>
  <autoFilter ref="A1:L70">
    <filterColumn colId="1">
      <filters>
        <filter val="Вимога-накладна ІБ00-000026 від 30.01.2025 10:12:27_x000a_Списаны ТМЦ"/>
        <filter val="Вимога-накладна ІБ00-000032 від 30.01.2025 20:00:00_x000a_Списаны ТМЦ"/>
        <filter val="Вимога-накладна ІБ00-000057 від 30.01.2025 23:20:17_x000a_Списаны ТМЦ"/>
        <filter val="Вимога-накладна ІБ00-000059 від 30.01.2025 00:00:00_x000a_Списаны ТМЦ"/>
        <filter val="Списання товарів ІБ00-000020 від 30.01.2025 10:38:38_x000a_Списаны ТМЦ"/>
        <filter val="Списання товарів ІБ00-000024 від 30.01.2025 20:41:42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6">
    <mergeCell ref="A70:D70"/>
    <mergeCell ref="E70:G70"/>
    <mergeCell ref="H70:J70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23"/>
  <sheetViews>
    <sheetView topLeftCell="A215" workbookViewId="0">
      <selection activeCell="J223" sqref="J223"/>
    </sheetView>
  </sheetViews>
  <sheetFormatPr defaultRowHeight="14.4" x14ac:dyDescent="0.3"/>
  <cols>
    <col min="2" max="4" width="35.21875" customWidth="1"/>
    <col min="10" max="10" width="11.33203125" bestFit="1" customWidth="1"/>
  </cols>
  <sheetData>
    <row r="1" spans="1:12" x14ac:dyDescent="0.3">
      <c r="A1" s="171" t="s">
        <v>1</v>
      </c>
      <c r="B1" s="172" t="s">
        <v>2</v>
      </c>
      <c r="C1" s="172" t="s">
        <v>3</v>
      </c>
      <c r="D1" s="173" t="s">
        <v>4</v>
      </c>
      <c r="E1" s="174" t="s">
        <v>5</v>
      </c>
      <c r="F1" s="174"/>
      <c r="G1" s="174"/>
      <c r="H1" s="175" t="s">
        <v>6</v>
      </c>
      <c r="I1" s="175"/>
      <c r="J1" s="175"/>
      <c r="K1" s="172" t="s">
        <v>7</v>
      </c>
      <c r="L1" s="172"/>
    </row>
    <row r="2" spans="1:12" hidden="1" x14ac:dyDescent="0.3">
      <c r="A2" s="176"/>
      <c r="B2" s="177"/>
      <c r="C2" s="177"/>
      <c r="D2" s="178"/>
      <c r="E2" s="179" t="s">
        <v>8</v>
      </c>
      <c r="F2" s="180"/>
      <c r="G2" s="180"/>
      <c r="H2" s="181" t="s">
        <v>8</v>
      </c>
      <c r="I2" s="182"/>
      <c r="J2" s="182"/>
      <c r="K2" s="176"/>
      <c r="L2" s="183"/>
    </row>
    <row r="3" spans="1:12" ht="51" hidden="1" x14ac:dyDescent="0.3">
      <c r="A3" s="184" t="s">
        <v>10</v>
      </c>
      <c r="B3" s="185" t="s">
        <v>75</v>
      </c>
      <c r="C3" s="185" t="s">
        <v>76</v>
      </c>
      <c r="D3" s="185" t="s">
        <v>70</v>
      </c>
      <c r="E3" s="186" t="s">
        <v>14</v>
      </c>
      <c r="F3" s="187">
        <v>2758</v>
      </c>
      <c r="G3" s="187"/>
      <c r="H3" s="186" t="s">
        <v>14</v>
      </c>
      <c r="I3" s="188" t="s">
        <v>16</v>
      </c>
      <c r="J3" s="188"/>
      <c r="K3" s="189" t="s">
        <v>9</v>
      </c>
      <c r="L3" s="190">
        <v>5219329.24</v>
      </c>
    </row>
    <row r="4" spans="1:12" ht="51" hidden="1" x14ac:dyDescent="0.3">
      <c r="A4" s="184" t="s">
        <v>10</v>
      </c>
      <c r="B4" s="185" t="s">
        <v>75</v>
      </c>
      <c r="C4" s="185" t="s">
        <v>77</v>
      </c>
      <c r="D4" s="185" t="s">
        <v>74</v>
      </c>
      <c r="E4" s="186" t="s">
        <v>14</v>
      </c>
      <c r="F4" s="187">
        <v>17490</v>
      </c>
      <c r="G4" s="187"/>
      <c r="H4" s="186" t="s">
        <v>14</v>
      </c>
      <c r="I4" s="188" t="s">
        <v>16</v>
      </c>
      <c r="J4" s="188"/>
      <c r="K4" s="189" t="s">
        <v>9</v>
      </c>
      <c r="L4" s="190">
        <v>5236819.24</v>
      </c>
    </row>
    <row r="5" spans="1:12" ht="51" hidden="1" x14ac:dyDescent="0.3">
      <c r="A5" s="184" t="s">
        <v>10</v>
      </c>
      <c r="B5" s="185" t="s">
        <v>85</v>
      </c>
      <c r="C5" s="185" t="s">
        <v>86</v>
      </c>
      <c r="D5" s="185" t="s">
        <v>81</v>
      </c>
      <c r="E5" s="186" t="s">
        <v>14</v>
      </c>
      <c r="F5" s="191">
        <v>97.55</v>
      </c>
      <c r="G5" s="191"/>
      <c r="H5" s="186" t="s">
        <v>14</v>
      </c>
      <c r="I5" s="188" t="s">
        <v>16</v>
      </c>
      <c r="J5" s="188"/>
      <c r="K5" s="189" t="s">
        <v>9</v>
      </c>
      <c r="L5" s="190">
        <v>5236916.79</v>
      </c>
    </row>
    <row r="6" spans="1:12" ht="51" hidden="1" x14ac:dyDescent="0.3">
      <c r="A6" s="184" t="s">
        <v>10</v>
      </c>
      <c r="B6" s="185" t="s">
        <v>85</v>
      </c>
      <c r="C6" s="185" t="s">
        <v>87</v>
      </c>
      <c r="D6" s="185" t="s">
        <v>83</v>
      </c>
      <c r="E6" s="186" t="s">
        <v>14</v>
      </c>
      <c r="F6" s="191">
        <v>91.25</v>
      </c>
      <c r="G6" s="191"/>
      <c r="H6" s="186" t="s">
        <v>14</v>
      </c>
      <c r="I6" s="188" t="s">
        <v>16</v>
      </c>
      <c r="J6" s="188"/>
      <c r="K6" s="189" t="s">
        <v>9</v>
      </c>
      <c r="L6" s="190">
        <v>5237008.04</v>
      </c>
    </row>
    <row r="7" spans="1:12" ht="51" hidden="1" x14ac:dyDescent="0.3">
      <c r="A7" s="184" t="s">
        <v>10</v>
      </c>
      <c r="B7" s="185" t="s">
        <v>85</v>
      </c>
      <c r="C7" s="185" t="s">
        <v>88</v>
      </c>
      <c r="D7" s="185" t="s">
        <v>84</v>
      </c>
      <c r="E7" s="186" t="s">
        <v>14</v>
      </c>
      <c r="F7" s="191">
        <v>144.80000000000001</v>
      </c>
      <c r="G7" s="191"/>
      <c r="H7" s="186" t="s">
        <v>14</v>
      </c>
      <c r="I7" s="188" t="s">
        <v>16</v>
      </c>
      <c r="J7" s="188"/>
      <c r="K7" s="189" t="s">
        <v>9</v>
      </c>
      <c r="L7" s="190">
        <v>5237152.84</v>
      </c>
    </row>
    <row r="8" spans="1:12" ht="51" hidden="1" x14ac:dyDescent="0.3">
      <c r="A8" s="184" t="s">
        <v>409</v>
      </c>
      <c r="B8" s="185" t="s">
        <v>410</v>
      </c>
      <c r="C8" s="185" t="s">
        <v>411</v>
      </c>
      <c r="D8" s="185" t="s">
        <v>412</v>
      </c>
      <c r="E8" s="186" t="s">
        <v>14</v>
      </c>
      <c r="F8" s="187">
        <v>31316.09</v>
      </c>
      <c r="G8" s="187"/>
      <c r="H8" s="186" t="s">
        <v>15</v>
      </c>
      <c r="I8" s="188" t="s">
        <v>16</v>
      </c>
      <c r="J8" s="188"/>
      <c r="K8" s="189" t="s">
        <v>9</v>
      </c>
      <c r="L8" s="190">
        <v>5268468.93</v>
      </c>
    </row>
    <row r="9" spans="1:12" ht="51" hidden="1" x14ac:dyDescent="0.3">
      <c r="A9" s="184" t="s">
        <v>409</v>
      </c>
      <c r="B9" s="185" t="s">
        <v>413</v>
      </c>
      <c r="C9" s="185" t="s">
        <v>411</v>
      </c>
      <c r="D9" s="185" t="s">
        <v>412</v>
      </c>
      <c r="E9" s="186" t="s">
        <v>14</v>
      </c>
      <c r="F9" s="187">
        <v>5000</v>
      </c>
      <c r="G9" s="187"/>
      <c r="H9" s="186" t="s">
        <v>15</v>
      </c>
      <c r="I9" s="188" t="s">
        <v>16</v>
      </c>
      <c r="J9" s="188"/>
      <c r="K9" s="189" t="s">
        <v>9</v>
      </c>
      <c r="L9" s="190">
        <v>5273468.93</v>
      </c>
    </row>
    <row r="10" spans="1:12" ht="51" hidden="1" x14ac:dyDescent="0.3">
      <c r="A10" s="184" t="s">
        <v>414</v>
      </c>
      <c r="B10" s="185" t="s">
        <v>415</v>
      </c>
      <c r="C10" s="185" t="s">
        <v>416</v>
      </c>
      <c r="D10" s="185" t="s">
        <v>417</v>
      </c>
      <c r="E10" s="186" t="s">
        <v>14</v>
      </c>
      <c r="F10" s="187">
        <v>28025.94</v>
      </c>
      <c r="G10" s="187"/>
      <c r="H10" s="186" t="s">
        <v>15</v>
      </c>
      <c r="I10" s="188" t="s">
        <v>16</v>
      </c>
      <c r="J10" s="188"/>
      <c r="K10" s="189" t="s">
        <v>9</v>
      </c>
      <c r="L10" s="190">
        <v>5301494.87</v>
      </c>
    </row>
    <row r="11" spans="1:12" ht="51" hidden="1" x14ac:dyDescent="0.3">
      <c r="A11" s="184" t="s">
        <v>418</v>
      </c>
      <c r="B11" s="185" t="s">
        <v>419</v>
      </c>
      <c r="C11" s="185" t="s">
        <v>420</v>
      </c>
      <c r="D11" s="185" t="s">
        <v>421</v>
      </c>
      <c r="E11" s="186" t="s">
        <v>14</v>
      </c>
      <c r="F11" s="191">
        <v>916.7</v>
      </c>
      <c r="G11" s="191"/>
      <c r="H11" s="186" t="s">
        <v>15</v>
      </c>
      <c r="I11" s="188" t="s">
        <v>16</v>
      </c>
      <c r="J11" s="188"/>
      <c r="K11" s="189" t="s">
        <v>9</v>
      </c>
      <c r="L11" s="190">
        <v>5302411.57</v>
      </c>
    </row>
    <row r="12" spans="1:12" ht="51" hidden="1" x14ac:dyDescent="0.3">
      <c r="A12" s="184" t="s">
        <v>26</v>
      </c>
      <c r="B12" s="185" t="s">
        <v>135</v>
      </c>
      <c r="C12" s="185" t="s">
        <v>136</v>
      </c>
      <c r="D12" s="185" t="s">
        <v>120</v>
      </c>
      <c r="E12" s="186" t="s">
        <v>14</v>
      </c>
      <c r="F12" s="187">
        <v>2617.3200000000002</v>
      </c>
      <c r="G12" s="187"/>
      <c r="H12" s="186" t="s">
        <v>14</v>
      </c>
      <c r="I12" s="188" t="s">
        <v>16</v>
      </c>
      <c r="J12" s="188"/>
      <c r="K12" s="189" t="s">
        <v>9</v>
      </c>
      <c r="L12" s="190">
        <v>5305028.8899999997</v>
      </c>
    </row>
    <row r="13" spans="1:12" ht="51" hidden="1" x14ac:dyDescent="0.3">
      <c r="A13" s="184" t="s">
        <v>26</v>
      </c>
      <c r="B13" s="185" t="s">
        <v>135</v>
      </c>
      <c r="C13" s="185" t="s">
        <v>137</v>
      </c>
      <c r="D13" s="185" t="s">
        <v>123</v>
      </c>
      <c r="E13" s="186" t="s">
        <v>14</v>
      </c>
      <c r="F13" s="187">
        <v>4155.3900000000003</v>
      </c>
      <c r="G13" s="187"/>
      <c r="H13" s="186" t="s">
        <v>14</v>
      </c>
      <c r="I13" s="188" t="s">
        <v>16</v>
      </c>
      <c r="J13" s="188"/>
      <c r="K13" s="189" t="s">
        <v>9</v>
      </c>
      <c r="L13" s="190">
        <v>5309184.28</v>
      </c>
    </row>
    <row r="14" spans="1:12" ht="51" hidden="1" x14ac:dyDescent="0.3">
      <c r="A14" s="184" t="s">
        <v>26</v>
      </c>
      <c r="B14" s="185" t="s">
        <v>135</v>
      </c>
      <c r="C14" s="185" t="s">
        <v>138</v>
      </c>
      <c r="D14" s="185" t="s">
        <v>125</v>
      </c>
      <c r="E14" s="186" t="s">
        <v>14</v>
      </c>
      <c r="F14" s="187">
        <v>6681.96</v>
      </c>
      <c r="G14" s="187"/>
      <c r="H14" s="186" t="s">
        <v>14</v>
      </c>
      <c r="I14" s="188" t="s">
        <v>16</v>
      </c>
      <c r="J14" s="188"/>
      <c r="K14" s="189" t="s">
        <v>9</v>
      </c>
      <c r="L14" s="190">
        <v>5315866.24</v>
      </c>
    </row>
    <row r="15" spans="1:12" ht="51" hidden="1" x14ac:dyDescent="0.3">
      <c r="A15" s="184" t="s">
        <v>26</v>
      </c>
      <c r="B15" s="185" t="s">
        <v>135</v>
      </c>
      <c r="C15" s="185" t="s">
        <v>139</v>
      </c>
      <c r="D15" s="185" t="s">
        <v>126</v>
      </c>
      <c r="E15" s="186" t="s">
        <v>14</v>
      </c>
      <c r="F15" s="191">
        <v>908.66</v>
      </c>
      <c r="G15" s="191"/>
      <c r="H15" s="186" t="s">
        <v>14</v>
      </c>
      <c r="I15" s="188" t="s">
        <v>16</v>
      </c>
      <c r="J15" s="188"/>
      <c r="K15" s="189" t="s">
        <v>9</v>
      </c>
      <c r="L15" s="190">
        <v>5316774.9000000004</v>
      </c>
    </row>
    <row r="16" spans="1:12" ht="51" hidden="1" x14ac:dyDescent="0.3">
      <c r="A16" s="184" t="s">
        <v>140</v>
      </c>
      <c r="B16" s="185" t="s">
        <v>162</v>
      </c>
      <c r="C16" s="185" t="s">
        <v>163</v>
      </c>
      <c r="D16" s="185" t="s">
        <v>151</v>
      </c>
      <c r="E16" s="186" t="s">
        <v>14</v>
      </c>
      <c r="F16" s="187">
        <v>3230</v>
      </c>
      <c r="G16" s="187"/>
      <c r="H16" s="186" t="s">
        <v>14</v>
      </c>
      <c r="I16" s="188" t="s">
        <v>16</v>
      </c>
      <c r="J16" s="188"/>
      <c r="K16" s="189" t="s">
        <v>9</v>
      </c>
      <c r="L16" s="190">
        <v>5320004.9000000004</v>
      </c>
    </row>
    <row r="17" spans="1:12" ht="51" hidden="1" x14ac:dyDescent="0.3">
      <c r="A17" s="184" t="s">
        <v>291</v>
      </c>
      <c r="B17" s="185" t="s">
        <v>422</v>
      </c>
      <c r="C17" s="185" t="s">
        <v>423</v>
      </c>
      <c r="D17" s="185" t="s">
        <v>294</v>
      </c>
      <c r="E17" s="186" t="s">
        <v>14</v>
      </c>
      <c r="F17" s="191">
        <v>198.1</v>
      </c>
      <c r="G17" s="191"/>
      <c r="H17" s="186" t="s">
        <v>15</v>
      </c>
      <c r="I17" s="188" t="s">
        <v>16</v>
      </c>
      <c r="J17" s="188"/>
      <c r="K17" s="189" t="s">
        <v>9</v>
      </c>
      <c r="L17" s="190">
        <v>5320203</v>
      </c>
    </row>
    <row r="18" spans="1:12" ht="51" hidden="1" x14ac:dyDescent="0.3">
      <c r="A18" s="184" t="s">
        <v>291</v>
      </c>
      <c r="B18" s="185" t="s">
        <v>422</v>
      </c>
      <c r="C18" s="185" t="s">
        <v>424</v>
      </c>
      <c r="D18" s="185" t="s">
        <v>294</v>
      </c>
      <c r="E18" s="186" t="s">
        <v>14</v>
      </c>
      <c r="F18" s="191">
        <v>182.5</v>
      </c>
      <c r="G18" s="191"/>
      <c r="H18" s="186" t="s">
        <v>15</v>
      </c>
      <c r="I18" s="188" t="s">
        <v>16</v>
      </c>
      <c r="J18" s="188"/>
      <c r="K18" s="189" t="s">
        <v>9</v>
      </c>
      <c r="L18" s="190">
        <v>5320385.5</v>
      </c>
    </row>
    <row r="19" spans="1:12" ht="51" hidden="1" x14ac:dyDescent="0.3">
      <c r="A19" s="184" t="s">
        <v>33</v>
      </c>
      <c r="B19" s="185" t="s">
        <v>425</v>
      </c>
      <c r="C19" s="185" t="s">
        <v>426</v>
      </c>
      <c r="D19" s="185" t="s">
        <v>427</v>
      </c>
      <c r="E19" s="186" t="s">
        <v>14</v>
      </c>
      <c r="F19" s="187">
        <v>66690</v>
      </c>
      <c r="G19" s="187"/>
      <c r="H19" s="186" t="s">
        <v>15</v>
      </c>
      <c r="I19" s="188" t="s">
        <v>16</v>
      </c>
      <c r="J19" s="188"/>
      <c r="K19" s="189" t="s">
        <v>9</v>
      </c>
      <c r="L19" s="190">
        <v>5387075.5</v>
      </c>
    </row>
    <row r="20" spans="1:12" ht="51" hidden="1" x14ac:dyDescent="0.3">
      <c r="A20" s="184" t="s">
        <v>33</v>
      </c>
      <c r="B20" s="185" t="s">
        <v>425</v>
      </c>
      <c r="C20" s="185" t="s">
        <v>428</v>
      </c>
      <c r="D20" s="185" t="s">
        <v>427</v>
      </c>
      <c r="E20" s="186" t="s">
        <v>14</v>
      </c>
      <c r="F20" s="187">
        <v>369937.75</v>
      </c>
      <c r="G20" s="187"/>
      <c r="H20" s="186" t="s">
        <v>15</v>
      </c>
      <c r="I20" s="188" t="s">
        <v>16</v>
      </c>
      <c r="J20" s="188"/>
      <c r="K20" s="189" t="s">
        <v>9</v>
      </c>
      <c r="L20" s="190">
        <v>5757013.25</v>
      </c>
    </row>
    <row r="21" spans="1:12" ht="51" hidden="1" x14ac:dyDescent="0.3">
      <c r="A21" s="184" t="s">
        <v>33</v>
      </c>
      <c r="B21" s="185" t="s">
        <v>425</v>
      </c>
      <c r="C21" s="185" t="s">
        <v>429</v>
      </c>
      <c r="D21" s="185" t="s">
        <v>427</v>
      </c>
      <c r="E21" s="186" t="s">
        <v>14</v>
      </c>
      <c r="F21" s="187">
        <v>94913</v>
      </c>
      <c r="G21" s="187"/>
      <c r="H21" s="186" t="s">
        <v>15</v>
      </c>
      <c r="I21" s="188" t="s">
        <v>16</v>
      </c>
      <c r="J21" s="188"/>
      <c r="K21" s="189" t="s">
        <v>9</v>
      </c>
      <c r="L21" s="190">
        <v>5851926.25</v>
      </c>
    </row>
    <row r="22" spans="1:12" ht="61.2" hidden="1" x14ac:dyDescent="0.3">
      <c r="A22" s="184" t="s">
        <v>33</v>
      </c>
      <c r="B22" s="185" t="s">
        <v>425</v>
      </c>
      <c r="C22" s="185" t="s">
        <v>430</v>
      </c>
      <c r="D22" s="185" t="s">
        <v>427</v>
      </c>
      <c r="E22" s="186" t="s">
        <v>14</v>
      </c>
      <c r="F22" s="187">
        <v>42600</v>
      </c>
      <c r="G22" s="187"/>
      <c r="H22" s="186" t="s">
        <v>15</v>
      </c>
      <c r="I22" s="188" t="s">
        <v>16</v>
      </c>
      <c r="J22" s="188"/>
      <c r="K22" s="189" t="s">
        <v>9</v>
      </c>
      <c r="L22" s="190">
        <v>5894526.25</v>
      </c>
    </row>
    <row r="23" spans="1:12" ht="61.2" hidden="1" x14ac:dyDescent="0.3">
      <c r="A23" s="184" t="s">
        <v>33</v>
      </c>
      <c r="B23" s="185" t="s">
        <v>431</v>
      </c>
      <c r="C23" s="185" t="s">
        <v>432</v>
      </c>
      <c r="D23" s="185" t="s">
        <v>433</v>
      </c>
      <c r="E23" s="186" t="s">
        <v>14</v>
      </c>
      <c r="F23" s="187">
        <v>23055</v>
      </c>
      <c r="G23" s="187"/>
      <c r="H23" s="186" t="s">
        <v>15</v>
      </c>
      <c r="I23" s="188" t="s">
        <v>16</v>
      </c>
      <c r="J23" s="188"/>
      <c r="K23" s="189" t="s">
        <v>9</v>
      </c>
      <c r="L23" s="190">
        <v>5917581.25</v>
      </c>
    </row>
    <row r="24" spans="1:12" ht="61.2" hidden="1" x14ac:dyDescent="0.3">
      <c r="A24" s="184" t="s">
        <v>33</v>
      </c>
      <c r="B24" s="185" t="s">
        <v>431</v>
      </c>
      <c r="C24" s="185" t="s">
        <v>434</v>
      </c>
      <c r="D24" s="185" t="s">
        <v>433</v>
      </c>
      <c r="E24" s="186" t="s">
        <v>14</v>
      </c>
      <c r="F24" s="187">
        <v>58300</v>
      </c>
      <c r="G24" s="187"/>
      <c r="H24" s="186" t="s">
        <v>15</v>
      </c>
      <c r="I24" s="188" t="s">
        <v>16</v>
      </c>
      <c r="J24" s="188"/>
      <c r="K24" s="189" t="s">
        <v>9</v>
      </c>
      <c r="L24" s="190">
        <v>5975881.25</v>
      </c>
    </row>
    <row r="25" spans="1:12" ht="51" hidden="1" x14ac:dyDescent="0.3">
      <c r="A25" s="184" t="s">
        <v>33</v>
      </c>
      <c r="B25" s="185" t="s">
        <v>431</v>
      </c>
      <c r="C25" s="185" t="s">
        <v>435</v>
      </c>
      <c r="D25" s="185" t="s">
        <v>433</v>
      </c>
      <c r="E25" s="186" t="s">
        <v>14</v>
      </c>
      <c r="F25" s="187">
        <v>21010.09</v>
      </c>
      <c r="G25" s="187"/>
      <c r="H25" s="186" t="s">
        <v>15</v>
      </c>
      <c r="I25" s="188" t="s">
        <v>16</v>
      </c>
      <c r="J25" s="188"/>
      <c r="K25" s="189" t="s">
        <v>9</v>
      </c>
      <c r="L25" s="190">
        <v>5996891.3399999999</v>
      </c>
    </row>
    <row r="26" spans="1:12" ht="51" hidden="1" x14ac:dyDescent="0.3">
      <c r="A26" s="184" t="s">
        <v>33</v>
      </c>
      <c r="B26" s="185" t="s">
        <v>431</v>
      </c>
      <c r="C26" s="185" t="s">
        <v>436</v>
      </c>
      <c r="D26" s="185" t="s">
        <v>433</v>
      </c>
      <c r="E26" s="186" t="s">
        <v>14</v>
      </c>
      <c r="F26" s="187">
        <v>52880.63</v>
      </c>
      <c r="G26" s="187"/>
      <c r="H26" s="186" t="s">
        <v>15</v>
      </c>
      <c r="I26" s="188" t="s">
        <v>16</v>
      </c>
      <c r="J26" s="188"/>
      <c r="K26" s="189" t="s">
        <v>9</v>
      </c>
      <c r="L26" s="190">
        <v>6049771.9699999997</v>
      </c>
    </row>
    <row r="27" spans="1:12" ht="51" hidden="1" x14ac:dyDescent="0.3">
      <c r="A27" s="184" t="s">
        <v>33</v>
      </c>
      <c r="B27" s="185" t="s">
        <v>431</v>
      </c>
      <c r="C27" s="185" t="s">
        <v>437</v>
      </c>
      <c r="D27" s="185" t="s">
        <v>433</v>
      </c>
      <c r="E27" s="186" t="s">
        <v>14</v>
      </c>
      <c r="F27" s="187">
        <v>332140.73</v>
      </c>
      <c r="G27" s="187"/>
      <c r="H27" s="186" t="s">
        <v>15</v>
      </c>
      <c r="I27" s="188" t="s">
        <v>16</v>
      </c>
      <c r="J27" s="188"/>
      <c r="K27" s="189" t="s">
        <v>9</v>
      </c>
      <c r="L27" s="190">
        <v>6381912.7000000002</v>
      </c>
    </row>
    <row r="28" spans="1:12" ht="51" hidden="1" x14ac:dyDescent="0.3">
      <c r="A28" s="184" t="s">
        <v>33</v>
      </c>
      <c r="B28" s="185" t="s">
        <v>431</v>
      </c>
      <c r="C28" s="185" t="s">
        <v>438</v>
      </c>
      <c r="D28" s="185" t="s">
        <v>433</v>
      </c>
      <c r="E28" s="186" t="s">
        <v>14</v>
      </c>
      <c r="F28" s="187">
        <v>55750.71</v>
      </c>
      <c r="G28" s="187"/>
      <c r="H28" s="186" t="s">
        <v>15</v>
      </c>
      <c r="I28" s="188" t="s">
        <v>16</v>
      </c>
      <c r="J28" s="188"/>
      <c r="K28" s="189" t="s">
        <v>9</v>
      </c>
      <c r="L28" s="190">
        <v>6437663.4100000001</v>
      </c>
    </row>
    <row r="29" spans="1:12" ht="51" hidden="1" x14ac:dyDescent="0.3">
      <c r="A29" s="184" t="s">
        <v>33</v>
      </c>
      <c r="B29" s="185" t="s">
        <v>431</v>
      </c>
      <c r="C29" s="185" t="s">
        <v>439</v>
      </c>
      <c r="D29" s="185" t="s">
        <v>433</v>
      </c>
      <c r="E29" s="186" t="s">
        <v>14</v>
      </c>
      <c r="F29" s="187">
        <v>71726.66</v>
      </c>
      <c r="G29" s="187"/>
      <c r="H29" s="186" t="s">
        <v>15</v>
      </c>
      <c r="I29" s="188" t="s">
        <v>16</v>
      </c>
      <c r="J29" s="188"/>
      <c r="K29" s="189" t="s">
        <v>9</v>
      </c>
      <c r="L29" s="190">
        <v>6509390.0700000003</v>
      </c>
    </row>
    <row r="30" spans="1:12" ht="61.2" x14ac:dyDescent="0.3">
      <c r="A30" s="184" t="s">
        <v>33</v>
      </c>
      <c r="B30" s="185" t="s">
        <v>440</v>
      </c>
      <c r="C30" s="185" t="s">
        <v>35</v>
      </c>
      <c r="D30" s="185" t="s">
        <v>434</v>
      </c>
      <c r="E30" s="186" t="s">
        <v>37</v>
      </c>
      <c r="F30" s="192" t="s">
        <v>16</v>
      </c>
      <c r="G30" s="192"/>
      <c r="H30" s="186" t="s">
        <v>14</v>
      </c>
      <c r="I30" s="193">
        <v>9911</v>
      </c>
      <c r="J30" s="193"/>
      <c r="K30" s="189" t="s">
        <v>9</v>
      </c>
      <c r="L30" s="190">
        <v>6499479.0700000003</v>
      </c>
    </row>
    <row r="31" spans="1:12" ht="51" hidden="1" x14ac:dyDescent="0.3">
      <c r="A31" s="184" t="s">
        <v>336</v>
      </c>
      <c r="B31" s="185" t="s">
        <v>441</v>
      </c>
      <c r="C31" s="185" t="s">
        <v>442</v>
      </c>
      <c r="D31" s="185" t="s">
        <v>443</v>
      </c>
      <c r="E31" s="186" t="s">
        <v>14</v>
      </c>
      <c r="F31" s="187">
        <v>11743.3</v>
      </c>
      <c r="G31" s="187"/>
      <c r="H31" s="186" t="s">
        <v>15</v>
      </c>
      <c r="I31" s="188" t="s">
        <v>16</v>
      </c>
      <c r="J31" s="188"/>
      <c r="K31" s="189" t="s">
        <v>9</v>
      </c>
      <c r="L31" s="190">
        <v>6511222.3700000001</v>
      </c>
    </row>
    <row r="32" spans="1:12" ht="51" hidden="1" x14ac:dyDescent="0.3">
      <c r="A32" s="184" t="s">
        <v>336</v>
      </c>
      <c r="B32" s="185" t="s">
        <v>444</v>
      </c>
      <c r="C32" s="185" t="s">
        <v>445</v>
      </c>
      <c r="D32" s="185" t="s">
        <v>433</v>
      </c>
      <c r="E32" s="186" t="s">
        <v>14</v>
      </c>
      <c r="F32" s="187">
        <v>2070.33</v>
      </c>
      <c r="G32" s="187"/>
      <c r="H32" s="186" t="s">
        <v>15</v>
      </c>
      <c r="I32" s="188" t="s">
        <v>16</v>
      </c>
      <c r="J32" s="188"/>
      <c r="K32" s="189" t="s">
        <v>9</v>
      </c>
      <c r="L32" s="190">
        <v>6513292.7000000002</v>
      </c>
    </row>
    <row r="33" spans="1:12" ht="51" hidden="1" x14ac:dyDescent="0.3">
      <c r="A33" s="184" t="s">
        <v>336</v>
      </c>
      <c r="B33" s="185" t="s">
        <v>444</v>
      </c>
      <c r="C33" s="185" t="s">
        <v>446</v>
      </c>
      <c r="D33" s="185" t="s">
        <v>433</v>
      </c>
      <c r="E33" s="186" t="s">
        <v>14</v>
      </c>
      <c r="F33" s="187">
        <v>658440.5</v>
      </c>
      <c r="G33" s="187"/>
      <c r="H33" s="186" t="s">
        <v>15</v>
      </c>
      <c r="I33" s="188" t="s">
        <v>16</v>
      </c>
      <c r="J33" s="188"/>
      <c r="K33" s="189" t="s">
        <v>9</v>
      </c>
      <c r="L33" s="190">
        <v>7171733.2000000002</v>
      </c>
    </row>
    <row r="34" spans="1:12" ht="51" hidden="1" x14ac:dyDescent="0.3">
      <c r="A34" s="184" t="s">
        <v>336</v>
      </c>
      <c r="B34" s="185" t="s">
        <v>444</v>
      </c>
      <c r="C34" s="185" t="s">
        <v>447</v>
      </c>
      <c r="D34" s="185" t="s">
        <v>433</v>
      </c>
      <c r="E34" s="186" t="s">
        <v>14</v>
      </c>
      <c r="F34" s="187">
        <v>11130</v>
      </c>
      <c r="G34" s="187"/>
      <c r="H34" s="186" t="s">
        <v>15</v>
      </c>
      <c r="I34" s="188" t="s">
        <v>16</v>
      </c>
      <c r="J34" s="188"/>
      <c r="K34" s="189" t="s">
        <v>9</v>
      </c>
      <c r="L34" s="190">
        <v>7182863.2000000002</v>
      </c>
    </row>
    <row r="35" spans="1:12" ht="51" hidden="1" x14ac:dyDescent="0.3">
      <c r="A35" s="184" t="s">
        <v>336</v>
      </c>
      <c r="B35" s="185" t="s">
        <v>444</v>
      </c>
      <c r="C35" s="185" t="s">
        <v>448</v>
      </c>
      <c r="D35" s="185" t="s">
        <v>433</v>
      </c>
      <c r="E35" s="186" t="s">
        <v>14</v>
      </c>
      <c r="F35" s="187">
        <v>215179.98</v>
      </c>
      <c r="G35" s="187"/>
      <c r="H35" s="186" t="s">
        <v>15</v>
      </c>
      <c r="I35" s="188" t="s">
        <v>16</v>
      </c>
      <c r="J35" s="188"/>
      <c r="K35" s="189" t="s">
        <v>9</v>
      </c>
      <c r="L35" s="190">
        <v>7398043.1799999997</v>
      </c>
    </row>
    <row r="36" spans="1:12" ht="51" hidden="1" x14ac:dyDescent="0.3">
      <c r="A36" s="184" t="s">
        <v>336</v>
      </c>
      <c r="B36" s="185" t="s">
        <v>449</v>
      </c>
      <c r="C36" s="185" t="s">
        <v>450</v>
      </c>
      <c r="D36" s="185" t="s">
        <v>451</v>
      </c>
      <c r="E36" s="186" t="s">
        <v>14</v>
      </c>
      <c r="F36" s="187">
        <v>413532.13</v>
      </c>
      <c r="G36" s="187"/>
      <c r="H36" s="186" t="s">
        <v>15</v>
      </c>
      <c r="I36" s="188" t="s">
        <v>16</v>
      </c>
      <c r="J36" s="188"/>
      <c r="K36" s="189" t="s">
        <v>9</v>
      </c>
      <c r="L36" s="190">
        <v>7811575.3099999996</v>
      </c>
    </row>
    <row r="37" spans="1:12" ht="51" hidden="1" x14ac:dyDescent="0.3">
      <c r="A37" s="184" t="s">
        <v>336</v>
      </c>
      <c r="B37" s="185" t="s">
        <v>449</v>
      </c>
      <c r="C37" s="185" t="s">
        <v>452</v>
      </c>
      <c r="D37" s="185" t="s">
        <v>451</v>
      </c>
      <c r="E37" s="186" t="s">
        <v>14</v>
      </c>
      <c r="F37" s="187">
        <v>199211.69</v>
      </c>
      <c r="G37" s="187"/>
      <c r="H37" s="186" t="s">
        <v>15</v>
      </c>
      <c r="I37" s="188" t="s">
        <v>16</v>
      </c>
      <c r="J37" s="188"/>
      <c r="K37" s="189" t="s">
        <v>9</v>
      </c>
      <c r="L37" s="190">
        <v>8010787</v>
      </c>
    </row>
    <row r="38" spans="1:12" ht="51" hidden="1" x14ac:dyDescent="0.3">
      <c r="A38" s="184" t="s">
        <v>175</v>
      </c>
      <c r="B38" s="185" t="s">
        <v>453</v>
      </c>
      <c r="C38" s="185" t="s">
        <v>454</v>
      </c>
      <c r="D38" s="185" t="s">
        <v>433</v>
      </c>
      <c r="E38" s="186" t="s">
        <v>14</v>
      </c>
      <c r="F38" s="187">
        <v>31927.5</v>
      </c>
      <c r="G38" s="187"/>
      <c r="H38" s="186" t="s">
        <v>15</v>
      </c>
      <c r="I38" s="188" t="s">
        <v>16</v>
      </c>
      <c r="J38" s="188"/>
      <c r="K38" s="189" t="s">
        <v>9</v>
      </c>
      <c r="L38" s="190">
        <v>8042714.5</v>
      </c>
    </row>
    <row r="39" spans="1:12" ht="51" hidden="1" x14ac:dyDescent="0.3">
      <c r="A39" s="184" t="s">
        <v>175</v>
      </c>
      <c r="B39" s="185" t="s">
        <v>455</v>
      </c>
      <c r="C39" s="185" t="s">
        <v>456</v>
      </c>
      <c r="D39" s="185" t="s">
        <v>451</v>
      </c>
      <c r="E39" s="186" t="s">
        <v>14</v>
      </c>
      <c r="F39" s="187">
        <v>596795.69999999995</v>
      </c>
      <c r="G39" s="187"/>
      <c r="H39" s="186" t="s">
        <v>15</v>
      </c>
      <c r="I39" s="188" t="s">
        <v>16</v>
      </c>
      <c r="J39" s="188"/>
      <c r="K39" s="189" t="s">
        <v>9</v>
      </c>
      <c r="L39" s="190">
        <v>8639510.1999999993</v>
      </c>
    </row>
    <row r="40" spans="1:12" ht="51" hidden="1" x14ac:dyDescent="0.3">
      <c r="A40" s="184" t="s">
        <v>201</v>
      </c>
      <c r="B40" s="185" t="s">
        <v>210</v>
      </c>
      <c r="C40" s="185" t="s">
        <v>211</v>
      </c>
      <c r="D40" s="185" t="s">
        <v>206</v>
      </c>
      <c r="E40" s="186" t="s">
        <v>14</v>
      </c>
      <c r="F40" s="187">
        <v>9579.7800000000007</v>
      </c>
      <c r="G40" s="187"/>
      <c r="H40" s="186" t="s">
        <v>14</v>
      </c>
      <c r="I40" s="188" t="s">
        <v>16</v>
      </c>
      <c r="J40" s="188"/>
      <c r="K40" s="189" t="s">
        <v>9</v>
      </c>
      <c r="L40" s="190">
        <v>8649089.9800000004</v>
      </c>
    </row>
    <row r="41" spans="1:12" ht="51" hidden="1" x14ac:dyDescent="0.3">
      <c r="A41" s="184" t="s">
        <v>201</v>
      </c>
      <c r="B41" s="185" t="s">
        <v>457</v>
      </c>
      <c r="C41" s="185" t="s">
        <v>458</v>
      </c>
      <c r="D41" s="185" t="s">
        <v>451</v>
      </c>
      <c r="E41" s="186" t="s">
        <v>14</v>
      </c>
      <c r="F41" s="187">
        <v>215719.4</v>
      </c>
      <c r="G41" s="187"/>
      <c r="H41" s="186" t="s">
        <v>15</v>
      </c>
      <c r="I41" s="188" t="s">
        <v>16</v>
      </c>
      <c r="J41" s="188"/>
      <c r="K41" s="189" t="s">
        <v>9</v>
      </c>
      <c r="L41" s="190">
        <v>8864809.3800000008</v>
      </c>
    </row>
    <row r="42" spans="1:12" ht="51" hidden="1" x14ac:dyDescent="0.3">
      <c r="A42" s="184" t="s">
        <v>201</v>
      </c>
      <c r="B42" s="185" t="s">
        <v>457</v>
      </c>
      <c r="C42" s="185" t="s">
        <v>459</v>
      </c>
      <c r="D42" s="185" t="s">
        <v>451</v>
      </c>
      <c r="E42" s="186" t="s">
        <v>14</v>
      </c>
      <c r="F42" s="187">
        <v>250133.78</v>
      </c>
      <c r="G42" s="187"/>
      <c r="H42" s="186" t="s">
        <v>15</v>
      </c>
      <c r="I42" s="188" t="s">
        <v>16</v>
      </c>
      <c r="J42" s="188"/>
      <c r="K42" s="189" t="s">
        <v>9</v>
      </c>
      <c r="L42" s="190">
        <v>9114943.1600000001</v>
      </c>
    </row>
    <row r="43" spans="1:12" ht="51" hidden="1" x14ac:dyDescent="0.3">
      <c r="A43" s="184" t="s">
        <v>201</v>
      </c>
      <c r="B43" s="185" t="s">
        <v>457</v>
      </c>
      <c r="C43" s="185" t="s">
        <v>460</v>
      </c>
      <c r="D43" s="185" t="s">
        <v>451</v>
      </c>
      <c r="E43" s="186" t="s">
        <v>14</v>
      </c>
      <c r="F43" s="187">
        <v>79460.84</v>
      </c>
      <c r="G43" s="187"/>
      <c r="H43" s="186" t="s">
        <v>15</v>
      </c>
      <c r="I43" s="188" t="s">
        <v>16</v>
      </c>
      <c r="J43" s="188"/>
      <c r="K43" s="189" t="s">
        <v>9</v>
      </c>
      <c r="L43" s="190">
        <v>9194404</v>
      </c>
    </row>
    <row r="44" spans="1:12" ht="51" hidden="1" x14ac:dyDescent="0.3">
      <c r="A44" s="184" t="s">
        <v>201</v>
      </c>
      <c r="B44" s="185" t="s">
        <v>343</v>
      </c>
      <c r="C44" s="185" t="s">
        <v>344</v>
      </c>
      <c r="D44" s="185" t="s">
        <v>345</v>
      </c>
      <c r="E44" s="186" t="s">
        <v>14</v>
      </c>
      <c r="F44" s="192" t="s">
        <v>16</v>
      </c>
      <c r="G44" s="192"/>
      <c r="H44" s="186" t="s">
        <v>14</v>
      </c>
      <c r="I44" s="193">
        <v>15639.33</v>
      </c>
      <c r="J44" s="193"/>
      <c r="K44" s="189" t="s">
        <v>9</v>
      </c>
      <c r="L44" s="190">
        <v>9178764.6699999999</v>
      </c>
    </row>
    <row r="45" spans="1:12" ht="51" hidden="1" x14ac:dyDescent="0.3">
      <c r="A45" s="184" t="s">
        <v>50</v>
      </c>
      <c r="B45" s="185" t="s">
        <v>461</v>
      </c>
      <c r="C45" s="185" t="s">
        <v>462</v>
      </c>
      <c r="D45" s="185" t="s">
        <v>463</v>
      </c>
      <c r="E45" s="186" t="s">
        <v>14</v>
      </c>
      <c r="F45" s="187">
        <v>60000</v>
      </c>
      <c r="G45" s="187"/>
      <c r="H45" s="186" t="s">
        <v>15</v>
      </c>
      <c r="I45" s="188" t="s">
        <v>16</v>
      </c>
      <c r="J45" s="188"/>
      <c r="K45" s="189" t="s">
        <v>9</v>
      </c>
      <c r="L45" s="190">
        <v>9238764.6699999999</v>
      </c>
    </row>
    <row r="46" spans="1:12" ht="51" hidden="1" x14ac:dyDescent="0.3">
      <c r="A46" s="184" t="s">
        <v>50</v>
      </c>
      <c r="B46" s="185" t="s">
        <v>461</v>
      </c>
      <c r="C46" s="185" t="s">
        <v>464</v>
      </c>
      <c r="D46" s="185" t="s">
        <v>463</v>
      </c>
      <c r="E46" s="186" t="s">
        <v>14</v>
      </c>
      <c r="F46" s="187">
        <v>25000</v>
      </c>
      <c r="G46" s="187"/>
      <c r="H46" s="186" t="s">
        <v>15</v>
      </c>
      <c r="I46" s="188" t="s">
        <v>16</v>
      </c>
      <c r="J46" s="188"/>
      <c r="K46" s="189" t="s">
        <v>9</v>
      </c>
      <c r="L46" s="190">
        <v>9263764.6699999999</v>
      </c>
    </row>
    <row r="47" spans="1:12" ht="51" hidden="1" x14ac:dyDescent="0.3">
      <c r="A47" s="184" t="s">
        <v>50</v>
      </c>
      <c r="B47" s="185" t="s">
        <v>465</v>
      </c>
      <c r="C47" s="185" t="s">
        <v>466</v>
      </c>
      <c r="D47" s="185" t="s">
        <v>463</v>
      </c>
      <c r="E47" s="186" t="s">
        <v>14</v>
      </c>
      <c r="F47" s="187">
        <v>21752</v>
      </c>
      <c r="G47" s="187"/>
      <c r="H47" s="186" t="s">
        <v>15</v>
      </c>
      <c r="I47" s="188" t="s">
        <v>16</v>
      </c>
      <c r="J47" s="188"/>
      <c r="K47" s="189" t="s">
        <v>9</v>
      </c>
      <c r="L47" s="190">
        <v>9285516.6699999999</v>
      </c>
    </row>
    <row r="48" spans="1:12" ht="51" hidden="1" x14ac:dyDescent="0.3">
      <c r="A48" s="184" t="s">
        <v>50</v>
      </c>
      <c r="B48" s="185" t="s">
        <v>461</v>
      </c>
      <c r="C48" s="185" t="s">
        <v>466</v>
      </c>
      <c r="D48" s="185" t="s">
        <v>463</v>
      </c>
      <c r="E48" s="186" t="s">
        <v>14</v>
      </c>
      <c r="F48" s="187">
        <v>12048</v>
      </c>
      <c r="G48" s="187"/>
      <c r="H48" s="186" t="s">
        <v>15</v>
      </c>
      <c r="I48" s="188" t="s">
        <v>16</v>
      </c>
      <c r="J48" s="188"/>
      <c r="K48" s="189" t="s">
        <v>9</v>
      </c>
      <c r="L48" s="190">
        <v>9297564.6699999999</v>
      </c>
    </row>
    <row r="49" spans="1:12" ht="51" hidden="1" x14ac:dyDescent="0.3">
      <c r="A49" s="184" t="s">
        <v>50</v>
      </c>
      <c r="B49" s="185" t="s">
        <v>222</v>
      </c>
      <c r="C49" s="185" t="s">
        <v>223</v>
      </c>
      <c r="D49" s="185" t="s">
        <v>217</v>
      </c>
      <c r="E49" s="186" t="s">
        <v>14</v>
      </c>
      <c r="F49" s="187">
        <v>7317.25</v>
      </c>
      <c r="G49" s="187"/>
      <c r="H49" s="186" t="s">
        <v>14</v>
      </c>
      <c r="I49" s="188" t="s">
        <v>16</v>
      </c>
      <c r="J49" s="188"/>
      <c r="K49" s="189" t="s">
        <v>9</v>
      </c>
      <c r="L49" s="190">
        <v>9304881.9199999999</v>
      </c>
    </row>
    <row r="50" spans="1:12" ht="51" hidden="1" x14ac:dyDescent="0.3">
      <c r="A50" s="184" t="s">
        <v>467</v>
      </c>
      <c r="B50" s="185" t="s">
        <v>468</v>
      </c>
      <c r="C50" s="185" t="s">
        <v>469</v>
      </c>
      <c r="D50" s="185" t="s">
        <v>470</v>
      </c>
      <c r="E50" s="186" t="s">
        <v>14</v>
      </c>
      <c r="F50" s="187">
        <v>325587.76</v>
      </c>
      <c r="G50" s="187"/>
      <c r="H50" s="186" t="s">
        <v>15</v>
      </c>
      <c r="I50" s="188" t="s">
        <v>16</v>
      </c>
      <c r="J50" s="188"/>
      <c r="K50" s="189" t="s">
        <v>9</v>
      </c>
      <c r="L50" s="190">
        <v>9630469.6799999997</v>
      </c>
    </row>
    <row r="51" spans="1:12" ht="51" hidden="1" x14ac:dyDescent="0.3">
      <c r="A51" s="184" t="s">
        <v>238</v>
      </c>
      <c r="B51" s="185" t="s">
        <v>243</v>
      </c>
      <c r="C51" s="185" t="s">
        <v>244</v>
      </c>
      <c r="D51" s="185" t="s">
        <v>240</v>
      </c>
      <c r="E51" s="186" t="s">
        <v>14</v>
      </c>
      <c r="F51" s="187">
        <v>249039.5</v>
      </c>
      <c r="G51" s="187"/>
      <c r="H51" s="186" t="s">
        <v>14</v>
      </c>
      <c r="I51" s="188" t="s">
        <v>16</v>
      </c>
      <c r="J51" s="188"/>
      <c r="K51" s="189" t="s">
        <v>9</v>
      </c>
      <c r="L51" s="190">
        <v>9879509.1799999997</v>
      </c>
    </row>
    <row r="52" spans="1:12" ht="51" hidden="1" x14ac:dyDescent="0.3">
      <c r="A52" s="184" t="s">
        <v>238</v>
      </c>
      <c r="B52" s="185" t="s">
        <v>471</v>
      </c>
      <c r="C52" s="185" t="s">
        <v>472</v>
      </c>
      <c r="D52" s="185" t="s">
        <v>470</v>
      </c>
      <c r="E52" s="186" t="s">
        <v>14</v>
      </c>
      <c r="F52" s="187">
        <v>151006.31</v>
      </c>
      <c r="G52" s="187"/>
      <c r="H52" s="186" t="s">
        <v>15</v>
      </c>
      <c r="I52" s="188" t="s">
        <v>16</v>
      </c>
      <c r="J52" s="188"/>
      <c r="K52" s="189" t="s">
        <v>9</v>
      </c>
      <c r="L52" s="190">
        <v>10030515.49</v>
      </c>
    </row>
    <row r="53" spans="1:12" ht="51" hidden="1" x14ac:dyDescent="0.3">
      <c r="A53" s="184" t="s">
        <v>238</v>
      </c>
      <c r="B53" s="185" t="s">
        <v>317</v>
      </c>
      <c r="C53" s="185" t="s">
        <v>318</v>
      </c>
      <c r="D53" s="185" t="s">
        <v>237</v>
      </c>
      <c r="E53" s="186" t="s">
        <v>14</v>
      </c>
      <c r="F53" s="187">
        <v>3566.18</v>
      </c>
      <c r="G53" s="187"/>
      <c r="H53" s="186" t="s">
        <v>14</v>
      </c>
      <c r="I53" s="188" t="s">
        <v>16</v>
      </c>
      <c r="J53" s="188"/>
      <c r="K53" s="189" t="s">
        <v>9</v>
      </c>
      <c r="L53" s="190">
        <v>10034081.67</v>
      </c>
    </row>
    <row r="54" spans="1:12" ht="51" hidden="1" x14ac:dyDescent="0.3">
      <c r="A54" s="184" t="s">
        <v>238</v>
      </c>
      <c r="B54" s="185" t="s">
        <v>317</v>
      </c>
      <c r="C54" s="185" t="s">
        <v>244</v>
      </c>
      <c r="D54" s="185" t="s">
        <v>246</v>
      </c>
      <c r="E54" s="186" t="s">
        <v>14</v>
      </c>
      <c r="F54" s="187">
        <v>5261.4</v>
      </c>
      <c r="G54" s="187"/>
      <c r="H54" s="186" t="s">
        <v>14</v>
      </c>
      <c r="I54" s="188" t="s">
        <v>16</v>
      </c>
      <c r="J54" s="188"/>
      <c r="K54" s="189" t="s">
        <v>9</v>
      </c>
      <c r="L54" s="190">
        <v>10039343.07</v>
      </c>
    </row>
    <row r="55" spans="1:12" ht="51" hidden="1" x14ac:dyDescent="0.3">
      <c r="A55" s="184" t="s">
        <v>238</v>
      </c>
      <c r="B55" s="185" t="s">
        <v>317</v>
      </c>
      <c r="C55" s="185" t="s">
        <v>319</v>
      </c>
      <c r="D55" s="185" t="s">
        <v>290</v>
      </c>
      <c r="E55" s="186" t="s">
        <v>14</v>
      </c>
      <c r="F55" s="187">
        <v>2107.62</v>
      </c>
      <c r="G55" s="187"/>
      <c r="H55" s="186" t="s">
        <v>14</v>
      </c>
      <c r="I55" s="188" t="s">
        <v>16</v>
      </c>
      <c r="J55" s="188"/>
      <c r="K55" s="189" t="s">
        <v>9</v>
      </c>
      <c r="L55" s="190">
        <v>10041450.689999999</v>
      </c>
    </row>
    <row r="56" spans="1:12" ht="51" hidden="1" x14ac:dyDescent="0.3">
      <c r="A56" s="184" t="s">
        <v>238</v>
      </c>
      <c r="B56" s="185" t="s">
        <v>317</v>
      </c>
      <c r="C56" s="185" t="s">
        <v>320</v>
      </c>
      <c r="D56" s="185" t="s">
        <v>170</v>
      </c>
      <c r="E56" s="186" t="s">
        <v>14</v>
      </c>
      <c r="F56" s="187">
        <v>13826.28</v>
      </c>
      <c r="G56" s="187"/>
      <c r="H56" s="186" t="s">
        <v>14</v>
      </c>
      <c r="I56" s="188" t="s">
        <v>16</v>
      </c>
      <c r="J56" s="188"/>
      <c r="K56" s="189" t="s">
        <v>9</v>
      </c>
      <c r="L56" s="190">
        <v>10055276.970000001</v>
      </c>
    </row>
    <row r="57" spans="1:12" ht="51" hidden="1" x14ac:dyDescent="0.3">
      <c r="A57" s="184" t="s">
        <v>58</v>
      </c>
      <c r="B57" s="185" t="s">
        <v>347</v>
      </c>
      <c r="C57" s="185" t="s">
        <v>344</v>
      </c>
      <c r="D57" s="185" t="s">
        <v>345</v>
      </c>
      <c r="E57" s="186" t="s">
        <v>14</v>
      </c>
      <c r="F57" s="192" t="s">
        <v>16</v>
      </c>
      <c r="G57" s="192"/>
      <c r="H57" s="186" t="s">
        <v>14</v>
      </c>
      <c r="I57" s="193">
        <v>15633.33</v>
      </c>
      <c r="J57" s="193"/>
      <c r="K57" s="189" t="s">
        <v>9</v>
      </c>
      <c r="L57" s="190">
        <v>10039643.640000001</v>
      </c>
    </row>
    <row r="58" spans="1:12" ht="51" x14ac:dyDescent="0.3">
      <c r="A58" s="184" t="s">
        <v>58</v>
      </c>
      <c r="B58" s="185" t="s">
        <v>473</v>
      </c>
      <c r="C58" s="185" t="s">
        <v>35</v>
      </c>
      <c r="D58" s="185" t="s">
        <v>77</v>
      </c>
      <c r="E58" s="186" t="s">
        <v>37</v>
      </c>
      <c r="F58" s="192" t="s">
        <v>16</v>
      </c>
      <c r="G58" s="192"/>
      <c r="H58" s="186" t="s">
        <v>14</v>
      </c>
      <c r="I58" s="193">
        <v>17490</v>
      </c>
      <c r="J58" s="193"/>
      <c r="K58" s="189" t="s">
        <v>9</v>
      </c>
      <c r="L58" s="190">
        <v>10022153.640000001</v>
      </c>
    </row>
    <row r="59" spans="1:12" ht="51" x14ac:dyDescent="0.3">
      <c r="A59" s="184" t="s">
        <v>58</v>
      </c>
      <c r="B59" s="185" t="s">
        <v>474</v>
      </c>
      <c r="C59" s="185" t="s">
        <v>35</v>
      </c>
      <c r="D59" s="185" t="s">
        <v>475</v>
      </c>
      <c r="E59" s="186" t="s">
        <v>37</v>
      </c>
      <c r="F59" s="192" t="s">
        <v>16</v>
      </c>
      <c r="G59" s="192"/>
      <c r="H59" s="186" t="s">
        <v>14</v>
      </c>
      <c r="I59" s="193">
        <v>42882.97</v>
      </c>
      <c r="J59" s="193"/>
      <c r="K59" s="189" t="s">
        <v>9</v>
      </c>
      <c r="L59" s="190">
        <v>9979270.6699999999</v>
      </c>
    </row>
    <row r="60" spans="1:12" ht="51" x14ac:dyDescent="0.3">
      <c r="A60" s="184" t="s">
        <v>58</v>
      </c>
      <c r="B60" s="185" t="s">
        <v>474</v>
      </c>
      <c r="C60" s="185" t="s">
        <v>35</v>
      </c>
      <c r="D60" s="185" t="s">
        <v>476</v>
      </c>
      <c r="E60" s="186" t="s">
        <v>37</v>
      </c>
      <c r="F60" s="192" t="s">
        <v>16</v>
      </c>
      <c r="G60" s="192"/>
      <c r="H60" s="186" t="s">
        <v>14</v>
      </c>
      <c r="I60" s="193">
        <v>46725.46</v>
      </c>
      <c r="J60" s="193"/>
      <c r="K60" s="189" t="s">
        <v>9</v>
      </c>
      <c r="L60" s="190">
        <v>9932545.2100000009</v>
      </c>
    </row>
    <row r="61" spans="1:12" ht="51" x14ac:dyDescent="0.3">
      <c r="A61" s="184" t="s">
        <v>58</v>
      </c>
      <c r="B61" s="185" t="s">
        <v>474</v>
      </c>
      <c r="C61" s="185" t="s">
        <v>35</v>
      </c>
      <c r="D61" s="185" t="s">
        <v>477</v>
      </c>
      <c r="E61" s="186" t="s">
        <v>37</v>
      </c>
      <c r="F61" s="192" t="s">
        <v>16</v>
      </c>
      <c r="G61" s="192"/>
      <c r="H61" s="186" t="s">
        <v>14</v>
      </c>
      <c r="I61" s="193">
        <v>21301.21</v>
      </c>
      <c r="J61" s="193"/>
      <c r="K61" s="189" t="s">
        <v>9</v>
      </c>
      <c r="L61" s="190">
        <v>9911244</v>
      </c>
    </row>
    <row r="62" spans="1:12" ht="51" x14ac:dyDescent="0.3">
      <c r="A62" s="184" t="s">
        <v>58</v>
      </c>
      <c r="B62" s="185" t="s">
        <v>474</v>
      </c>
      <c r="C62" s="185" t="s">
        <v>35</v>
      </c>
      <c r="D62" s="185" t="s">
        <v>478</v>
      </c>
      <c r="E62" s="186" t="s">
        <v>37</v>
      </c>
      <c r="F62" s="192" t="s">
        <v>16</v>
      </c>
      <c r="G62" s="192"/>
      <c r="H62" s="186" t="s">
        <v>14</v>
      </c>
      <c r="I62" s="193">
        <v>37670.99</v>
      </c>
      <c r="J62" s="193"/>
      <c r="K62" s="189" t="s">
        <v>9</v>
      </c>
      <c r="L62" s="190">
        <v>9873573.0099999998</v>
      </c>
    </row>
    <row r="63" spans="1:12" ht="51" x14ac:dyDescent="0.3">
      <c r="A63" s="184" t="s">
        <v>58</v>
      </c>
      <c r="B63" s="185" t="s">
        <v>474</v>
      </c>
      <c r="C63" s="185" t="s">
        <v>35</v>
      </c>
      <c r="D63" s="185" t="s">
        <v>446</v>
      </c>
      <c r="E63" s="186" t="s">
        <v>37</v>
      </c>
      <c r="F63" s="192" t="s">
        <v>16</v>
      </c>
      <c r="G63" s="192"/>
      <c r="H63" s="186" t="s">
        <v>14</v>
      </c>
      <c r="I63" s="193">
        <v>198886.77</v>
      </c>
      <c r="J63" s="193"/>
      <c r="K63" s="189" t="s">
        <v>9</v>
      </c>
      <c r="L63" s="190">
        <v>9674686.2400000002</v>
      </c>
    </row>
    <row r="64" spans="1:12" ht="51" x14ac:dyDescent="0.3">
      <c r="A64" s="184" t="s">
        <v>58</v>
      </c>
      <c r="B64" s="185" t="s">
        <v>474</v>
      </c>
      <c r="C64" s="185" t="s">
        <v>35</v>
      </c>
      <c r="D64" s="185" t="s">
        <v>479</v>
      </c>
      <c r="E64" s="186" t="s">
        <v>37</v>
      </c>
      <c r="F64" s="192" t="s">
        <v>16</v>
      </c>
      <c r="G64" s="192"/>
      <c r="H64" s="186" t="s">
        <v>14</v>
      </c>
      <c r="I64" s="193">
        <v>21555.7</v>
      </c>
      <c r="J64" s="193"/>
      <c r="K64" s="189" t="s">
        <v>9</v>
      </c>
      <c r="L64" s="190">
        <v>9653130.5399999991</v>
      </c>
    </row>
    <row r="65" spans="1:12" ht="51" x14ac:dyDescent="0.3">
      <c r="A65" s="184" t="s">
        <v>58</v>
      </c>
      <c r="B65" s="185" t="s">
        <v>474</v>
      </c>
      <c r="C65" s="185" t="s">
        <v>35</v>
      </c>
      <c r="D65" s="185" t="s">
        <v>480</v>
      </c>
      <c r="E65" s="186" t="s">
        <v>37</v>
      </c>
      <c r="F65" s="192" t="s">
        <v>16</v>
      </c>
      <c r="G65" s="192"/>
      <c r="H65" s="186" t="s">
        <v>14</v>
      </c>
      <c r="I65" s="193">
        <v>25125.06</v>
      </c>
      <c r="J65" s="193"/>
      <c r="K65" s="189" t="s">
        <v>9</v>
      </c>
      <c r="L65" s="190">
        <v>9628005.4800000004</v>
      </c>
    </row>
    <row r="66" spans="1:12" ht="51" x14ac:dyDescent="0.3">
      <c r="A66" s="184" t="s">
        <v>58</v>
      </c>
      <c r="B66" s="185" t="s">
        <v>474</v>
      </c>
      <c r="C66" s="185" t="s">
        <v>35</v>
      </c>
      <c r="D66" s="185" t="s">
        <v>481</v>
      </c>
      <c r="E66" s="186" t="s">
        <v>37</v>
      </c>
      <c r="F66" s="192" t="s">
        <v>16</v>
      </c>
      <c r="G66" s="192"/>
      <c r="H66" s="186" t="s">
        <v>14</v>
      </c>
      <c r="I66" s="193">
        <v>59416.800000000003</v>
      </c>
      <c r="J66" s="193"/>
      <c r="K66" s="189" t="s">
        <v>9</v>
      </c>
      <c r="L66" s="190">
        <v>9568588.6799999997</v>
      </c>
    </row>
    <row r="67" spans="1:12" ht="51" x14ac:dyDescent="0.3">
      <c r="A67" s="184" t="s">
        <v>58</v>
      </c>
      <c r="B67" s="185" t="s">
        <v>474</v>
      </c>
      <c r="C67" s="185" t="s">
        <v>35</v>
      </c>
      <c r="D67" s="185" t="s">
        <v>482</v>
      </c>
      <c r="E67" s="186" t="s">
        <v>37</v>
      </c>
      <c r="F67" s="192" t="s">
        <v>16</v>
      </c>
      <c r="G67" s="192"/>
      <c r="H67" s="186" t="s">
        <v>14</v>
      </c>
      <c r="I67" s="193">
        <v>3792.47</v>
      </c>
      <c r="J67" s="193"/>
      <c r="K67" s="189" t="s">
        <v>9</v>
      </c>
      <c r="L67" s="190">
        <v>9564796.2100000009</v>
      </c>
    </row>
    <row r="68" spans="1:12" ht="51" x14ac:dyDescent="0.3">
      <c r="A68" s="184" t="s">
        <v>58</v>
      </c>
      <c r="B68" s="185" t="s">
        <v>474</v>
      </c>
      <c r="C68" s="185" t="s">
        <v>35</v>
      </c>
      <c r="D68" s="185" t="s">
        <v>483</v>
      </c>
      <c r="E68" s="186" t="s">
        <v>37</v>
      </c>
      <c r="F68" s="192" t="s">
        <v>16</v>
      </c>
      <c r="G68" s="192"/>
      <c r="H68" s="186" t="s">
        <v>14</v>
      </c>
      <c r="I68" s="193">
        <v>15475.95</v>
      </c>
      <c r="J68" s="193"/>
      <c r="K68" s="189" t="s">
        <v>9</v>
      </c>
      <c r="L68" s="190">
        <v>9549320.2599999998</v>
      </c>
    </row>
    <row r="69" spans="1:12" ht="51" x14ac:dyDescent="0.3">
      <c r="A69" s="184" t="s">
        <v>58</v>
      </c>
      <c r="B69" s="185" t="s">
        <v>474</v>
      </c>
      <c r="C69" s="185" t="s">
        <v>35</v>
      </c>
      <c r="D69" s="185" t="s">
        <v>484</v>
      </c>
      <c r="E69" s="186" t="s">
        <v>37</v>
      </c>
      <c r="F69" s="192" t="s">
        <v>16</v>
      </c>
      <c r="G69" s="192"/>
      <c r="H69" s="186" t="s">
        <v>14</v>
      </c>
      <c r="I69" s="193">
        <v>8369.5</v>
      </c>
      <c r="J69" s="193"/>
      <c r="K69" s="189" t="s">
        <v>9</v>
      </c>
      <c r="L69" s="190">
        <v>9540950.7599999998</v>
      </c>
    </row>
    <row r="70" spans="1:12" ht="51" x14ac:dyDescent="0.3">
      <c r="A70" s="184" t="s">
        <v>58</v>
      </c>
      <c r="B70" s="185" t="s">
        <v>474</v>
      </c>
      <c r="C70" s="185" t="s">
        <v>35</v>
      </c>
      <c r="D70" s="185" t="s">
        <v>485</v>
      </c>
      <c r="E70" s="186" t="s">
        <v>37</v>
      </c>
      <c r="F70" s="192" t="s">
        <v>16</v>
      </c>
      <c r="G70" s="192"/>
      <c r="H70" s="186" t="s">
        <v>14</v>
      </c>
      <c r="I70" s="193">
        <v>5806.67</v>
      </c>
      <c r="J70" s="193"/>
      <c r="K70" s="189" t="s">
        <v>9</v>
      </c>
      <c r="L70" s="190">
        <v>9535144.0899999999</v>
      </c>
    </row>
    <row r="71" spans="1:12" ht="51" x14ac:dyDescent="0.3">
      <c r="A71" s="184" t="s">
        <v>58</v>
      </c>
      <c r="B71" s="185" t="s">
        <v>474</v>
      </c>
      <c r="C71" s="185" t="s">
        <v>35</v>
      </c>
      <c r="D71" s="185" t="s">
        <v>486</v>
      </c>
      <c r="E71" s="186" t="s">
        <v>37</v>
      </c>
      <c r="F71" s="192" t="s">
        <v>16</v>
      </c>
      <c r="G71" s="192"/>
      <c r="H71" s="186" t="s">
        <v>14</v>
      </c>
      <c r="I71" s="193">
        <v>5819.62</v>
      </c>
      <c r="J71" s="193"/>
      <c r="K71" s="189" t="s">
        <v>9</v>
      </c>
      <c r="L71" s="190">
        <v>9529324.4700000007</v>
      </c>
    </row>
    <row r="72" spans="1:12" ht="51" x14ac:dyDescent="0.3">
      <c r="A72" s="184" t="s">
        <v>58</v>
      </c>
      <c r="B72" s="185" t="s">
        <v>474</v>
      </c>
      <c r="C72" s="185" t="s">
        <v>35</v>
      </c>
      <c r="D72" s="185" t="s">
        <v>487</v>
      </c>
      <c r="E72" s="186" t="s">
        <v>37</v>
      </c>
      <c r="F72" s="192" t="s">
        <v>16</v>
      </c>
      <c r="G72" s="192"/>
      <c r="H72" s="186" t="s">
        <v>14</v>
      </c>
      <c r="I72" s="193">
        <v>8197.98</v>
      </c>
      <c r="J72" s="193"/>
      <c r="K72" s="189" t="s">
        <v>9</v>
      </c>
      <c r="L72" s="190">
        <v>9521126.4900000002</v>
      </c>
    </row>
    <row r="73" spans="1:12" ht="51" x14ac:dyDescent="0.3">
      <c r="A73" s="184" t="s">
        <v>58</v>
      </c>
      <c r="B73" s="185" t="s">
        <v>474</v>
      </c>
      <c r="C73" s="185" t="s">
        <v>35</v>
      </c>
      <c r="D73" s="185" t="s">
        <v>488</v>
      </c>
      <c r="E73" s="186" t="s">
        <v>37</v>
      </c>
      <c r="F73" s="192" t="s">
        <v>16</v>
      </c>
      <c r="G73" s="192"/>
      <c r="H73" s="186" t="s">
        <v>14</v>
      </c>
      <c r="I73" s="193">
        <v>4413.47</v>
      </c>
      <c r="J73" s="193"/>
      <c r="K73" s="189" t="s">
        <v>9</v>
      </c>
      <c r="L73" s="190">
        <v>9516713.0199999996</v>
      </c>
    </row>
    <row r="74" spans="1:12" ht="51" x14ac:dyDescent="0.3">
      <c r="A74" s="184" t="s">
        <v>58</v>
      </c>
      <c r="B74" s="185" t="s">
        <v>474</v>
      </c>
      <c r="C74" s="185" t="s">
        <v>35</v>
      </c>
      <c r="D74" s="185" t="s">
        <v>489</v>
      </c>
      <c r="E74" s="186" t="s">
        <v>37</v>
      </c>
      <c r="F74" s="192" t="s">
        <v>16</v>
      </c>
      <c r="G74" s="192"/>
      <c r="H74" s="186" t="s">
        <v>14</v>
      </c>
      <c r="I74" s="193">
        <v>14134.27</v>
      </c>
      <c r="J74" s="193"/>
      <c r="K74" s="189" t="s">
        <v>9</v>
      </c>
      <c r="L74" s="190">
        <v>9502578.75</v>
      </c>
    </row>
    <row r="75" spans="1:12" ht="51" x14ac:dyDescent="0.3">
      <c r="A75" s="184" t="s">
        <v>58</v>
      </c>
      <c r="B75" s="185" t="s">
        <v>474</v>
      </c>
      <c r="C75" s="185" t="s">
        <v>35</v>
      </c>
      <c r="D75" s="185" t="s">
        <v>490</v>
      </c>
      <c r="E75" s="186" t="s">
        <v>37</v>
      </c>
      <c r="F75" s="192" t="s">
        <v>16</v>
      </c>
      <c r="G75" s="192"/>
      <c r="H75" s="186" t="s">
        <v>14</v>
      </c>
      <c r="I75" s="194">
        <v>255.53</v>
      </c>
      <c r="J75" s="194"/>
      <c r="K75" s="189" t="s">
        <v>9</v>
      </c>
      <c r="L75" s="190">
        <v>9502323.2200000007</v>
      </c>
    </row>
    <row r="76" spans="1:12" ht="51" x14ac:dyDescent="0.3">
      <c r="A76" s="184" t="s">
        <v>58</v>
      </c>
      <c r="B76" s="185" t="s">
        <v>474</v>
      </c>
      <c r="C76" s="185" t="s">
        <v>35</v>
      </c>
      <c r="D76" s="185" t="s">
        <v>490</v>
      </c>
      <c r="E76" s="186" t="s">
        <v>37</v>
      </c>
      <c r="F76" s="192" t="s">
        <v>16</v>
      </c>
      <c r="G76" s="192"/>
      <c r="H76" s="186" t="s">
        <v>14</v>
      </c>
      <c r="I76" s="193">
        <v>8943.3700000000008</v>
      </c>
      <c r="J76" s="193"/>
      <c r="K76" s="189" t="s">
        <v>9</v>
      </c>
      <c r="L76" s="190">
        <v>9493379.8499999996</v>
      </c>
    </row>
    <row r="77" spans="1:12" ht="51" x14ac:dyDescent="0.3">
      <c r="A77" s="184" t="s">
        <v>58</v>
      </c>
      <c r="B77" s="185" t="s">
        <v>474</v>
      </c>
      <c r="C77" s="185" t="s">
        <v>35</v>
      </c>
      <c r="D77" s="185" t="s">
        <v>491</v>
      </c>
      <c r="E77" s="186" t="s">
        <v>37</v>
      </c>
      <c r="F77" s="192" t="s">
        <v>16</v>
      </c>
      <c r="G77" s="192"/>
      <c r="H77" s="186" t="s">
        <v>14</v>
      </c>
      <c r="I77" s="193">
        <v>5422.81</v>
      </c>
      <c r="J77" s="193"/>
      <c r="K77" s="189" t="s">
        <v>9</v>
      </c>
      <c r="L77" s="190">
        <v>9487957.0399999991</v>
      </c>
    </row>
    <row r="78" spans="1:12" ht="51" x14ac:dyDescent="0.3">
      <c r="A78" s="184" t="s">
        <v>58</v>
      </c>
      <c r="B78" s="185" t="s">
        <v>474</v>
      </c>
      <c r="C78" s="185" t="s">
        <v>35</v>
      </c>
      <c r="D78" s="185" t="s">
        <v>492</v>
      </c>
      <c r="E78" s="186" t="s">
        <v>37</v>
      </c>
      <c r="F78" s="192" t="s">
        <v>16</v>
      </c>
      <c r="G78" s="192"/>
      <c r="H78" s="186" t="s">
        <v>14</v>
      </c>
      <c r="I78" s="193">
        <v>42502.33</v>
      </c>
      <c r="J78" s="193"/>
      <c r="K78" s="189" t="s">
        <v>9</v>
      </c>
      <c r="L78" s="190">
        <v>9445454.7100000009</v>
      </c>
    </row>
    <row r="79" spans="1:12" ht="51" x14ac:dyDescent="0.3">
      <c r="A79" s="184" t="s">
        <v>58</v>
      </c>
      <c r="B79" s="185" t="s">
        <v>474</v>
      </c>
      <c r="C79" s="185" t="s">
        <v>35</v>
      </c>
      <c r="D79" s="185" t="s">
        <v>426</v>
      </c>
      <c r="E79" s="186" t="s">
        <v>37</v>
      </c>
      <c r="F79" s="192" t="s">
        <v>16</v>
      </c>
      <c r="G79" s="192"/>
      <c r="H79" s="186" t="s">
        <v>14</v>
      </c>
      <c r="I79" s="193">
        <v>9681.75</v>
      </c>
      <c r="J79" s="193"/>
      <c r="K79" s="189" t="s">
        <v>9</v>
      </c>
      <c r="L79" s="190">
        <v>9435772.9600000009</v>
      </c>
    </row>
    <row r="80" spans="1:12" ht="51" x14ac:dyDescent="0.3">
      <c r="A80" s="184" t="s">
        <v>58</v>
      </c>
      <c r="B80" s="185" t="s">
        <v>474</v>
      </c>
      <c r="C80" s="185" t="s">
        <v>35</v>
      </c>
      <c r="D80" s="185" t="s">
        <v>493</v>
      </c>
      <c r="E80" s="186" t="s">
        <v>37</v>
      </c>
      <c r="F80" s="192" t="s">
        <v>16</v>
      </c>
      <c r="G80" s="192"/>
      <c r="H80" s="186" t="s">
        <v>14</v>
      </c>
      <c r="I80" s="194">
        <v>596.23</v>
      </c>
      <c r="J80" s="194"/>
      <c r="K80" s="189" t="s">
        <v>9</v>
      </c>
      <c r="L80" s="190">
        <v>9435176.7300000004</v>
      </c>
    </row>
    <row r="81" spans="1:12" ht="51" x14ac:dyDescent="0.3">
      <c r="A81" s="184" t="s">
        <v>58</v>
      </c>
      <c r="B81" s="185" t="s">
        <v>474</v>
      </c>
      <c r="C81" s="185" t="s">
        <v>35</v>
      </c>
      <c r="D81" s="185" t="s">
        <v>493</v>
      </c>
      <c r="E81" s="186" t="s">
        <v>37</v>
      </c>
      <c r="F81" s="192" t="s">
        <v>16</v>
      </c>
      <c r="G81" s="192"/>
      <c r="H81" s="186" t="s">
        <v>14</v>
      </c>
      <c r="I81" s="193">
        <v>137302.10999999999</v>
      </c>
      <c r="J81" s="193"/>
      <c r="K81" s="189" t="s">
        <v>9</v>
      </c>
      <c r="L81" s="190">
        <v>9297874.6199999992</v>
      </c>
    </row>
    <row r="82" spans="1:12" ht="51" x14ac:dyDescent="0.3">
      <c r="A82" s="184" t="s">
        <v>58</v>
      </c>
      <c r="B82" s="185" t="s">
        <v>474</v>
      </c>
      <c r="C82" s="185" t="s">
        <v>35</v>
      </c>
      <c r="D82" s="185" t="s">
        <v>494</v>
      </c>
      <c r="E82" s="186" t="s">
        <v>37</v>
      </c>
      <c r="F82" s="192" t="s">
        <v>16</v>
      </c>
      <c r="G82" s="192"/>
      <c r="H82" s="186" t="s">
        <v>14</v>
      </c>
      <c r="I82" s="193">
        <v>28799.89</v>
      </c>
      <c r="J82" s="193"/>
      <c r="K82" s="189" t="s">
        <v>9</v>
      </c>
      <c r="L82" s="190">
        <v>9269074.7300000004</v>
      </c>
    </row>
    <row r="83" spans="1:12" ht="51" x14ac:dyDescent="0.3">
      <c r="A83" s="184" t="s">
        <v>58</v>
      </c>
      <c r="B83" s="185" t="s">
        <v>474</v>
      </c>
      <c r="C83" s="185" t="s">
        <v>35</v>
      </c>
      <c r="D83" s="185" t="s">
        <v>494</v>
      </c>
      <c r="E83" s="186" t="s">
        <v>37</v>
      </c>
      <c r="F83" s="192" t="s">
        <v>16</v>
      </c>
      <c r="G83" s="192"/>
      <c r="H83" s="186" t="s">
        <v>14</v>
      </c>
      <c r="I83" s="193">
        <v>6576.35</v>
      </c>
      <c r="J83" s="193"/>
      <c r="K83" s="189" t="s">
        <v>9</v>
      </c>
      <c r="L83" s="190">
        <v>9262498.3800000008</v>
      </c>
    </row>
    <row r="84" spans="1:12" ht="51" x14ac:dyDescent="0.3">
      <c r="A84" s="184" t="s">
        <v>58</v>
      </c>
      <c r="B84" s="185" t="s">
        <v>474</v>
      </c>
      <c r="C84" s="185" t="s">
        <v>35</v>
      </c>
      <c r="D84" s="185" t="s">
        <v>495</v>
      </c>
      <c r="E84" s="186" t="s">
        <v>37</v>
      </c>
      <c r="F84" s="192" t="s">
        <v>16</v>
      </c>
      <c r="G84" s="192"/>
      <c r="H84" s="186" t="s">
        <v>14</v>
      </c>
      <c r="I84" s="193">
        <v>9362.39</v>
      </c>
      <c r="J84" s="193"/>
      <c r="K84" s="189" t="s">
        <v>9</v>
      </c>
      <c r="L84" s="190">
        <v>9253135.9900000002</v>
      </c>
    </row>
    <row r="85" spans="1:12" ht="51" x14ac:dyDescent="0.3">
      <c r="A85" s="184" t="s">
        <v>58</v>
      </c>
      <c r="B85" s="185" t="s">
        <v>496</v>
      </c>
      <c r="C85" s="185" t="s">
        <v>35</v>
      </c>
      <c r="D85" s="185" t="s">
        <v>446</v>
      </c>
      <c r="E85" s="186" t="s">
        <v>37</v>
      </c>
      <c r="F85" s="192" t="s">
        <v>16</v>
      </c>
      <c r="G85" s="192"/>
      <c r="H85" s="186" t="s">
        <v>14</v>
      </c>
      <c r="I85" s="193">
        <v>13642.93</v>
      </c>
      <c r="J85" s="193"/>
      <c r="K85" s="189" t="s">
        <v>9</v>
      </c>
      <c r="L85" s="190">
        <v>9239493.0600000005</v>
      </c>
    </row>
    <row r="86" spans="1:12" ht="51" x14ac:dyDescent="0.3">
      <c r="A86" s="184" t="s">
        <v>58</v>
      </c>
      <c r="B86" s="185" t="s">
        <v>496</v>
      </c>
      <c r="C86" s="185" t="s">
        <v>35</v>
      </c>
      <c r="D86" s="185" t="s">
        <v>446</v>
      </c>
      <c r="E86" s="186" t="s">
        <v>37</v>
      </c>
      <c r="F86" s="192" t="s">
        <v>16</v>
      </c>
      <c r="G86" s="192"/>
      <c r="H86" s="186" t="s">
        <v>14</v>
      </c>
      <c r="I86" s="193">
        <v>200773.55</v>
      </c>
      <c r="J86" s="193"/>
      <c r="K86" s="189" t="s">
        <v>9</v>
      </c>
      <c r="L86" s="190">
        <v>9038719.5099999998</v>
      </c>
    </row>
    <row r="87" spans="1:12" ht="51" x14ac:dyDescent="0.3">
      <c r="A87" s="184" t="s">
        <v>58</v>
      </c>
      <c r="B87" s="185" t="s">
        <v>496</v>
      </c>
      <c r="C87" s="185" t="s">
        <v>35</v>
      </c>
      <c r="D87" s="185" t="s">
        <v>488</v>
      </c>
      <c r="E87" s="186" t="s">
        <v>37</v>
      </c>
      <c r="F87" s="192" t="s">
        <v>16</v>
      </c>
      <c r="G87" s="192"/>
      <c r="H87" s="186" t="s">
        <v>14</v>
      </c>
      <c r="I87" s="193">
        <v>4357.6000000000004</v>
      </c>
      <c r="J87" s="193"/>
      <c r="K87" s="189" t="s">
        <v>9</v>
      </c>
      <c r="L87" s="190">
        <v>9034361.9100000001</v>
      </c>
    </row>
    <row r="88" spans="1:12" ht="51" x14ac:dyDescent="0.3">
      <c r="A88" s="184" t="s">
        <v>58</v>
      </c>
      <c r="B88" s="185" t="s">
        <v>496</v>
      </c>
      <c r="C88" s="185" t="s">
        <v>35</v>
      </c>
      <c r="D88" s="185" t="s">
        <v>491</v>
      </c>
      <c r="E88" s="186" t="s">
        <v>37</v>
      </c>
      <c r="F88" s="192" t="s">
        <v>16</v>
      </c>
      <c r="G88" s="192"/>
      <c r="H88" s="186" t="s">
        <v>14</v>
      </c>
      <c r="I88" s="193">
        <v>9113.73</v>
      </c>
      <c r="J88" s="193"/>
      <c r="K88" s="189" t="s">
        <v>9</v>
      </c>
      <c r="L88" s="190">
        <v>9025248.1799999997</v>
      </c>
    </row>
    <row r="89" spans="1:12" ht="51" x14ac:dyDescent="0.3">
      <c r="A89" s="184" t="s">
        <v>58</v>
      </c>
      <c r="B89" s="185" t="s">
        <v>496</v>
      </c>
      <c r="C89" s="185" t="s">
        <v>35</v>
      </c>
      <c r="D89" s="185" t="s">
        <v>492</v>
      </c>
      <c r="E89" s="186" t="s">
        <v>37</v>
      </c>
      <c r="F89" s="192" t="s">
        <v>16</v>
      </c>
      <c r="G89" s="192"/>
      <c r="H89" s="186" t="s">
        <v>14</v>
      </c>
      <c r="I89" s="193">
        <v>38896.589999999997</v>
      </c>
      <c r="J89" s="193"/>
      <c r="K89" s="189" t="s">
        <v>9</v>
      </c>
      <c r="L89" s="190">
        <v>8986351.5899999999</v>
      </c>
    </row>
    <row r="90" spans="1:12" ht="51" x14ac:dyDescent="0.3">
      <c r="A90" s="184" t="s">
        <v>58</v>
      </c>
      <c r="B90" s="185" t="s">
        <v>496</v>
      </c>
      <c r="C90" s="185" t="s">
        <v>35</v>
      </c>
      <c r="D90" s="185" t="s">
        <v>493</v>
      </c>
      <c r="E90" s="186" t="s">
        <v>37</v>
      </c>
      <c r="F90" s="192" t="s">
        <v>16</v>
      </c>
      <c r="G90" s="192"/>
      <c r="H90" s="186" t="s">
        <v>14</v>
      </c>
      <c r="I90" s="193">
        <v>76430.38</v>
      </c>
      <c r="J90" s="193"/>
      <c r="K90" s="189" t="s">
        <v>9</v>
      </c>
      <c r="L90" s="190">
        <v>8909921.2100000009</v>
      </c>
    </row>
    <row r="91" spans="1:12" ht="51" x14ac:dyDescent="0.3">
      <c r="A91" s="184" t="s">
        <v>58</v>
      </c>
      <c r="B91" s="185" t="s">
        <v>496</v>
      </c>
      <c r="C91" s="185" t="s">
        <v>35</v>
      </c>
      <c r="D91" s="185" t="s">
        <v>494</v>
      </c>
      <c r="E91" s="186" t="s">
        <v>37</v>
      </c>
      <c r="F91" s="192" t="s">
        <v>16</v>
      </c>
      <c r="G91" s="192"/>
      <c r="H91" s="186" t="s">
        <v>14</v>
      </c>
      <c r="I91" s="193">
        <v>22353.13</v>
      </c>
      <c r="J91" s="193"/>
      <c r="K91" s="189" t="s">
        <v>9</v>
      </c>
      <c r="L91" s="190">
        <v>8887568.0800000001</v>
      </c>
    </row>
    <row r="92" spans="1:12" ht="51" x14ac:dyDescent="0.3">
      <c r="A92" s="184" t="s">
        <v>58</v>
      </c>
      <c r="B92" s="185" t="s">
        <v>496</v>
      </c>
      <c r="C92" s="185" t="s">
        <v>35</v>
      </c>
      <c r="D92" s="185" t="s">
        <v>497</v>
      </c>
      <c r="E92" s="186" t="s">
        <v>37</v>
      </c>
      <c r="F92" s="192" t="s">
        <v>16</v>
      </c>
      <c r="G92" s="192"/>
      <c r="H92" s="186" t="s">
        <v>14</v>
      </c>
      <c r="I92" s="193">
        <v>17207.89</v>
      </c>
      <c r="J92" s="193"/>
      <c r="K92" s="189" t="s">
        <v>9</v>
      </c>
      <c r="L92" s="190">
        <v>8870360.1899999995</v>
      </c>
    </row>
    <row r="93" spans="1:12" ht="51" x14ac:dyDescent="0.3">
      <c r="A93" s="184" t="s">
        <v>58</v>
      </c>
      <c r="B93" s="185" t="s">
        <v>496</v>
      </c>
      <c r="C93" s="185" t="s">
        <v>35</v>
      </c>
      <c r="D93" s="185" t="s">
        <v>498</v>
      </c>
      <c r="E93" s="186" t="s">
        <v>37</v>
      </c>
      <c r="F93" s="192" t="s">
        <v>16</v>
      </c>
      <c r="G93" s="192"/>
      <c r="H93" s="186" t="s">
        <v>14</v>
      </c>
      <c r="I93" s="193">
        <v>12345.86</v>
      </c>
      <c r="J93" s="193"/>
      <c r="K93" s="189" t="s">
        <v>9</v>
      </c>
      <c r="L93" s="190">
        <v>8858014.3300000001</v>
      </c>
    </row>
    <row r="94" spans="1:12" ht="51" x14ac:dyDescent="0.3">
      <c r="A94" s="184" t="s">
        <v>58</v>
      </c>
      <c r="B94" s="185" t="s">
        <v>496</v>
      </c>
      <c r="C94" s="185" t="s">
        <v>35</v>
      </c>
      <c r="D94" s="185" t="s">
        <v>495</v>
      </c>
      <c r="E94" s="186" t="s">
        <v>37</v>
      </c>
      <c r="F94" s="192" t="s">
        <v>16</v>
      </c>
      <c r="G94" s="192"/>
      <c r="H94" s="186" t="s">
        <v>14</v>
      </c>
      <c r="I94" s="193">
        <v>15420.42</v>
      </c>
      <c r="J94" s="193"/>
      <c r="K94" s="189" t="s">
        <v>9</v>
      </c>
      <c r="L94" s="190">
        <v>8842593.9100000001</v>
      </c>
    </row>
    <row r="95" spans="1:12" ht="51" hidden="1" x14ac:dyDescent="0.3">
      <c r="A95" s="184" t="s">
        <v>58</v>
      </c>
      <c r="B95" s="185" t="s">
        <v>359</v>
      </c>
      <c r="C95" s="185" t="s">
        <v>319</v>
      </c>
      <c r="D95" s="185" t="s">
        <v>289</v>
      </c>
      <c r="E95" s="186" t="s">
        <v>14</v>
      </c>
      <c r="F95" s="187">
        <v>1428.89</v>
      </c>
      <c r="G95" s="187"/>
      <c r="H95" s="186" t="s">
        <v>14</v>
      </c>
      <c r="I95" s="188" t="s">
        <v>16</v>
      </c>
      <c r="J95" s="188"/>
      <c r="K95" s="189" t="s">
        <v>9</v>
      </c>
      <c r="L95" s="190">
        <v>8844022.8000000007</v>
      </c>
    </row>
    <row r="96" spans="1:12" ht="51" hidden="1" x14ac:dyDescent="0.3">
      <c r="A96" s="184" t="s">
        <v>58</v>
      </c>
      <c r="B96" s="185" t="s">
        <v>359</v>
      </c>
      <c r="C96" s="185" t="s">
        <v>360</v>
      </c>
      <c r="D96" s="185" t="s">
        <v>351</v>
      </c>
      <c r="E96" s="186" t="s">
        <v>14</v>
      </c>
      <c r="F96" s="187">
        <v>13232.1</v>
      </c>
      <c r="G96" s="187"/>
      <c r="H96" s="186" t="s">
        <v>14</v>
      </c>
      <c r="I96" s="188" t="s">
        <v>16</v>
      </c>
      <c r="J96" s="188"/>
      <c r="K96" s="189" t="s">
        <v>9</v>
      </c>
      <c r="L96" s="190">
        <v>8857254.9000000004</v>
      </c>
    </row>
    <row r="97" spans="1:12" ht="51" hidden="1" x14ac:dyDescent="0.3">
      <c r="A97" s="184" t="s">
        <v>58</v>
      </c>
      <c r="B97" s="185" t="s">
        <v>359</v>
      </c>
      <c r="C97" s="185" t="s">
        <v>361</v>
      </c>
      <c r="D97" s="185" t="s">
        <v>32</v>
      </c>
      <c r="E97" s="186" t="s">
        <v>14</v>
      </c>
      <c r="F97" s="187">
        <v>31592.5</v>
      </c>
      <c r="G97" s="187"/>
      <c r="H97" s="186" t="s">
        <v>14</v>
      </c>
      <c r="I97" s="188" t="s">
        <v>16</v>
      </c>
      <c r="J97" s="188"/>
      <c r="K97" s="189" t="s">
        <v>9</v>
      </c>
      <c r="L97" s="190">
        <v>8888847.4000000004</v>
      </c>
    </row>
    <row r="98" spans="1:12" ht="51" x14ac:dyDescent="0.3">
      <c r="A98" s="184" t="s">
        <v>58</v>
      </c>
      <c r="B98" s="185" t="s">
        <v>499</v>
      </c>
      <c r="C98" s="185" t="s">
        <v>35</v>
      </c>
      <c r="D98" s="185" t="s">
        <v>420</v>
      </c>
      <c r="E98" s="186" t="s">
        <v>37</v>
      </c>
      <c r="F98" s="192" t="s">
        <v>16</v>
      </c>
      <c r="G98" s="192"/>
      <c r="H98" s="186" t="s">
        <v>14</v>
      </c>
      <c r="I98" s="194">
        <v>916.7</v>
      </c>
      <c r="J98" s="194"/>
      <c r="K98" s="189" t="s">
        <v>9</v>
      </c>
      <c r="L98" s="190">
        <v>8887930.6999999993</v>
      </c>
    </row>
    <row r="99" spans="1:12" ht="51" x14ac:dyDescent="0.3">
      <c r="A99" s="184" t="s">
        <v>58</v>
      </c>
      <c r="B99" s="185" t="s">
        <v>499</v>
      </c>
      <c r="C99" s="185" t="s">
        <v>35</v>
      </c>
      <c r="D99" s="185" t="s">
        <v>211</v>
      </c>
      <c r="E99" s="186" t="s">
        <v>37</v>
      </c>
      <c r="F99" s="192" t="s">
        <v>16</v>
      </c>
      <c r="G99" s="192"/>
      <c r="H99" s="186" t="s">
        <v>14</v>
      </c>
      <c r="I99" s="193">
        <v>7663.82</v>
      </c>
      <c r="J99" s="193"/>
      <c r="K99" s="189" t="s">
        <v>9</v>
      </c>
      <c r="L99" s="190">
        <v>8880266.8800000008</v>
      </c>
    </row>
    <row r="100" spans="1:12" ht="51" x14ac:dyDescent="0.3">
      <c r="A100" s="184" t="s">
        <v>58</v>
      </c>
      <c r="B100" s="185" t="s">
        <v>499</v>
      </c>
      <c r="C100" s="185" t="s">
        <v>35</v>
      </c>
      <c r="D100" s="185" t="s">
        <v>211</v>
      </c>
      <c r="E100" s="186" t="s">
        <v>37</v>
      </c>
      <c r="F100" s="192" t="s">
        <v>16</v>
      </c>
      <c r="G100" s="192"/>
      <c r="H100" s="186" t="s">
        <v>14</v>
      </c>
      <c r="I100" s="193">
        <v>1915.96</v>
      </c>
      <c r="J100" s="193"/>
      <c r="K100" s="189" t="s">
        <v>9</v>
      </c>
      <c r="L100" s="190">
        <v>8878350.9199999999</v>
      </c>
    </row>
    <row r="101" spans="1:12" ht="51" x14ac:dyDescent="0.3">
      <c r="A101" s="184" t="s">
        <v>58</v>
      </c>
      <c r="B101" s="185" t="s">
        <v>499</v>
      </c>
      <c r="C101" s="185" t="s">
        <v>35</v>
      </c>
      <c r="D101" s="185" t="s">
        <v>223</v>
      </c>
      <c r="E101" s="186" t="s">
        <v>37</v>
      </c>
      <c r="F101" s="192" t="s">
        <v>16</v>
      </c>
      <c r="G101" s="192"/>
      <c r="H101" s="186" t="s">
        <v>14</v>
      </c>
      <c r="I101" s="193">
        <v>7317.25</v>
      </c>
      <c r="J101" s="193"/>
      <c r="K101" s="189" t="s">
        <v>9</v>
      </c>
      <c r="L101" s="190">
        <v>8871033.6699999999</v>
      </c>
    </row>
    <row r="102" spans="1:12" ht="51" x14ac:dyDescent="0.3">
      <c r="A102" s="184" t="s">
        <v>58</v>
      </c>
      <c r="B102" s="185" t="s">
        <v>499</v>
      </c>
      <c r="C102" s="185" t="s">
        <v>35</v>
      </c>
      <c r="D102" s="185" t="s">
        <v>319</v>
      </c>
      <c r="E102" s="186" t="s">
        <v>37</v>
      </c>
      <c r="F102" s="192" t="s">
        <v>16</v>
      </c>
      <c r="G102" s="192"/>
      <c r="H102" s="186" t="s">
        <v>14</v>
      </c>
      <c r="I102" s="193">
        <v>1428.89</v>
      </c>
      <c r="J102" s="193"/>
      <c r="K102" s="189" t="s">
        <v>9</v>
      </c>
      <c r="L102" s="190">
        <v>8869604.7799999993</v>
      </c>
    </row>
    <row r="103" spans="1:12" ht="51" x14ac:dyDescent="0.3">
      <c r="A103" s="184" t="s">
        <v>58</v>
      </c>
      <c r="B103" s="185" t="s">
        <v>499</v>
      </c>
      <c r="C103" s="185" t="s">
        <v>35</v>
      </c>
      <c r="D103" s="185" t="s">
        <v>360</v>
      </c>
      <c r="E103" s="186" t="s">
        <v>37</v>
      </c>
      <c r="F103" s="192" t="s">
        <v>16</v>
      </c>
      <c r="G103" s="192"/>
      <c r="H103" s="186" t="s">
        <v>14</v>
      </c>
      <c r="I103" s="193">
        <v>13232.1</v>
      </c>
      <c r="J103" s="193"/>
      <c r="K103" s="189" t="s">
        <v>9</v>
      </c>
      <c r="L103" s="190">
        <v>8856372.6799999997</v>
      </c>
    </row>
    <row r="104" spans="1:12" ht="51" x14ac:dyDescent="0.3">
      <c r="A104" s="184" t="s">
        <v>58</v>
      </c>
      <c r="B104" s="185" t="s">
        <v>499</v>
      </c>
      <c r="C104" s="185" t="s">
        <v>35</v>
      </c>
      <c r="D104" s="185" t="s">
        <v>361</v>
      </c>
      <c r="E104" s="186" t="s">
        <v>37</v>
      </c>
      <c r="F104" s="192" t="s">
        <v>16</v>
      </c>
      <c r="G104" s="192"/>
      <c r="H104" s="186" t="s">
        <v>14</v>
      </c>
      <c r="I104" s="193">
        <v>31592.5</v>
      </c>
      <c r="J104" s="193"/>
      <c r="K104" s="189" t="s">
        <v>9</v>
      </c>
      <c r="L104" s="190">
        <v>8824780.1799999997</v>
      </c>
    </row>
    <row r="105" spans="1:12" ht="51" hidden="1" x14ac:dyDescent="0.3">
      <c r="A105" s="184" t="s">
        <v>58</v>
      </c>
      <c r="B105" s="185" t="s">
        <v>262</v>
      </c>
      <c r="C105" s="185" t="s">
        <v>263</v>
      </c>
      <c r="D105" s="185" t="s">
        <v>256</v>
      </c>
      <c r="E105" s="186" t="s">
        <v>14</v>
      </c>
      <c r="F105" s="187">
        <v>59237.27</v>
      </c>
      <c r="G105" s="187"/>
      <c r="H105" s="186" t="s">
        <v>14</v>
      </c>
      <c r="I105" s="188" t="s">
        <v>16</v>
      </c>
      <c r="J105" s="188"/>
      <c r="K105" s="189" t="s">
        <v>9</v>
      </c>
      <c r="L105" s="190">
        <v>8884017.4499999993</v>
      </c>
    </row>
    <row r="106" spans="1:12" ht="51" x14ac:dyDescent="0.3">
      <c r="A106" s="184" t="s">
        <v>58</v>
      </c>
      <c r="B106" s="185" t="s">
        <v>500</v>
      </c>
      <c r="C106" s="185" t="s">
        <v>35</v>
      </c>
      <c r="D106" s="185" t="s">
        <v>86</v>
      </c>
      <c r="E106" s="186" t="s">
        <v>37</v>
      </c>
      <c r="F106" s="192" t="s">
        <v>16</v>
      </c>
      <c r="G106" s="192"/>
      <c r="H106" s="186" t="s">
        <v>14</v>
      </c>
      <c r="I106" s="194">
        <v>97.55</v>
      </c>
      <c r="J106" s="194"/>
      <c r="K106" s="189" t="s">
        <v>9</v>
      </c>
      <c r="L106" s="190">
        <v>8883919.9000000004</v>
      </c>
    </row>
    <row r="107" spans="1:12" ht="51" x14ac:dyDescent="0.3">
      <c r="A107" s="184" t="s">
        <v>58</v>
      </c>
      <c r="B107" s="185" t="s">
        <v>500</v>
      </c>
      <c r="C107" s="185" t="s">
        <v>35</v>
      </c>
      <c r="D107" s="185" t="s">
        <v>87</v>
      </c>
      <c r="E107" s="186" t="s">
        <v>37</v>
      </c>
      <c r="F107" s="192" t="s">
        <v>16</v>
      </c>
      <c r="G107" s="192"/>
      <c r="H107" s="186" t="s">
        <v>14</v>
      </c>
      <c r="I107" s="194">
        <v>91.25</v>
      </c>
      <c r="J107" s="194"/>
      <c r="K107" s="189" t="s">
        <v>9</v>
      </c>
      <c r="L107" s="190">
        <v>8883828.6500000004</v>
      </c>
    </row>
    <row r="108" spans="1:12" ht="51" x14ac:dyDescent="0.3">
      <c r="A108" s="184" t="s">
        <v>58</v>
      </c>
      <c r="B108" s="185" t="s">
        <v>500</v>
      </c>
      <c r="C108" s="185" t="s">
        <v>35</v>
      </c>
      <c r="D108" s="185" t="s">
        <v>424</v>
      </c>
      <c r="E108" s="186" t="s">
        <v>37</v>
      </c>
      <c r="F108" s="192" t="s">
        <v>16</v>
      </c>
      <c r="G108" s="192"/>
      <c r="H108" s="186" t="s">
        <v>14</v>
      </c>
      <c r="I108" s="194">
        <v>91.25</v>
      </c>
      <c r="J108" s="194"/>
      <c r="K108" s="189" t="s">
        <v>9</v>
      </c>
      <c r="L108" s="190">
        <v>8883737.4000000004</v>
      </c>
    </row>
    <row r="109" spans="1:12" ht="51" x14ac:dyDescent="0.3">
      <c r="A109" s="184" t="s">
        <v>58</v>
      </c>
      <c r="B109" s="185" t="s">
        <v>500</v>
      </c>
      <c r="C109" s="185" t="s">
        <v>35</v>
      </c>
      <c r="D109" s="185" t="s">
        <v>76</v>
      </c>
      <c r="E109" s="186" t="s">
        <v>37</v>
      </c>
      <c r="F109" s="192" t="s">
        <v>16</v>
      </c>
      <c r="G109" s="192"/>
      <c r="H109" s="186" t="s">
        <v>14</v>
      </c>
      <c r="I109" s="193">
        <v>1182</v>
      </c>
      <c r="J109" s="193"/>
      <c r="K109" s="189" t="s">
        <v>9</v>
      </c>
      <c r="L109" s="190">
        <v>8882555.4000000004</v>
      </c>
    </row>
    <row r="110" spans="1:12" ht="51" x14ac:dyDescent="0.3">
      <c r="A110" s="184" t="s">
        <v>58</v>
      </c>
      <c r="B110" s="185" t="s">
        <v>500</v>
      </c>
      <c r="C110" s="185" t="s">
        <v>35</v>
      </c>
      <c r="D110" s="185" t="s">
        <v>88</v>
      </c>
      <c r="E110" s="186" t="s">
        <v>37</v>
      </c>
      <c r="F110" s="192" t="s">
        <v>16</v>
      </c>
      <c r="G110" s="192"/>
      <c r="H110" s="186" t="s">
        <v>14</v>
      </c>
      <c r="I110" s="194">
        <v>144.80000000000001</v>
      </c>
      <c r="J110" s="194"/>
      <c r="K110" s="189" t="s">
        <v>9</v>
      </c>
      <c r="L110" s="190">
        <v>8882410.5999999996</v>
      </c>
    </row>
    <row r="111" spans="1:12" ht="51" x14ac:dyDescent="0.3">
      <c r="A111" s="184" t="s">
        <v>58</v>
      </c>
      <c r="B111" s="185" t="s">
        <v>501</v>
      </c>
      <c r="C111" s="185" t="s">
        <v>35</v>
      </c>
      <c r="D111" s="185" t="s">
        <v>483</v>
      </c>
      <c r="E111" s="186" t="s">
        <v>37</v>
      </c>
      <c r="F111" s="192" t="s">
        <v>16</v>
      </c>
      <c r="G111" s="192"/>
      <c r="H111" s="186" t="s">
        <v>14</v>
      </c>
      <c r="I111" s="193">
        <v>15475.95</v>
      </c>
      <c r="J111" s="193"/>
      <c r="K111" s="189" t="s">
        <v>9</v>
      </c>
      <c r="L111" s="190">
        <v>8866934.6500000004</v>
      </c>
    </row>
    <row r="112" spans="1:12" ht="51" x14ac:dyDescent="0.3">
      <c r="A112" s="184" t="s">
        <v>58</v>
      </c>
      <c r="B112" s="185" t="s">
        <v>501</v>
      </c>
      <c r="C112" s="185" t="s">
        <v>35</v>
      </c>
      <c r="D112" s="185" t="s">
        <v>502</v>
      </c>
      <c r="E112" s="186" t="s">
        <v>37</v>
      </c>
      <c r="F112" s="192" t="s">
        <v>16</v>
      </c>
      <c r="G112" s="192"/>
      <c r="H112" s="186" t="s">
        <v>14</v>
      </c>
      <c r="I112" s="193">
        <v>3408.6</v>
      </c>
      <c r="J112" s="193"/>
      <c r="K112" s="189" t="s">
        <v>9</v>
      </c>
      <c r="L112" s="190">
        <v>8863526.0500000007</v>
      </c>
    </row>
    <row r="113" spans="1:12" ht="51" x14ac:dyDescent="0.3">
      <c r="A113" s="184" t="s">
        <v>58</v>
      </c>
      <c r="B113" s="185" t="s">
        <v>501</v>
      </c>
      <c r="C113" s="185" t="s">
        <v>35</v>
      </c>
      <c r="D113" s="185" t="s">
        <v>485</v>
      </c>
      <c r="E113" s="186" t="s">
        <v>37</v>
      </c>
      <c r="F113" s="192" t="s">
        <v>16</v>
      </c>
      <c r="G113" s="192"/>
      <c r="H113" s="186" t="s">
        <v>14</v>
      </c>
      <c r="I113" s="193">
        <v>2871.78</v>
      </c>
      <c r="J113" s="193"/>
      <c r="K113" s="189" t="s">
        <v>9</v>
      </c>
      <c r="L113" s="190">
        <v>8860654.2699999996</v>
      </c>
    </row>
    <row r="114" spans="1:12" ht="51" x14ac:dyDescent="0.3">
      <c r="A114" s="184" t="s">
        <v>58</v>
      </c>
      <c r="B114" s="185" t="s">
        <v>501</v>
      </c>
      <c r="C114" s="185" t="s">
        <v>35</v>
      </c>
      <c r="D114" s="185" t="s">
        <v>503</v>
      </c>
      <c r="E114" s="186" t="s">
        <v>37</v>
      </c>
      <c r="F114" s="192" t="s">
        <v>16</v>
      </c>
      <c r="G114" s="192"/>
      <c r="H114" s="186" t="s">
        <v>14</v>
      </c>
      <c r="I114" s="193">
        <v>2417.33</v>
      </c>
      <c r="J114" s="193"/>
      <c r="K114" s="189" t="s">
        <v>9</v>
      </c>
      <c r="L114" s="190">
        <v>8858236.9399999995</v>
      </c>
    </row>
    <row r="115" spans="1:12" ht="51" x14ac:dyDescent="0.3">
      <c r="A115" s="184" t="s">
        <v>58</v>
      </c>
      <c r="B115" s="185" t="s">
        <v>501</v>
      </c>
      <c r="C115" s="185" t="s">
        <v>35</v>
      </c>
      <c r="D115" s="185" t="s">
        <v>504</v>
      </c>
      <c r="E115" s="186" t="s">
        <v>37</v>
      </c>
      <c r="F115" s="192" t="s">
        <v>16</v>
      </c>
      <c r="G115" s="192"/>
      <c r="H115" s="186" t="s">
        <v>14</v>
      </c>
      <c r="I115" s="193">
        <v>4623.5</v>
      </c>
      <c r="J115" s="193"/>
      <c r="K115" s="189" t="s">
        <v>9</v>
      </c>
      <c r="L115" s="190">
        <v>8853613.4399999995</v>
      </c>
    </row>
    <row r="116" spans="1:12" ht="51" x14ac:dyDescent="0.3">
      <c r="A116" s="184" t="s">
        <v>58</v>
      </c>
      <c r="B116" s="185" t="s">
        <v>501</v>
      </c>
      <c r="C116" s="185" t="s">
        <v>35</v>
      </c>
      <c r="D116" s="185" t="s">
        <v>488</v>
      </c>
      <c r="E116" s="186" t="s">
        <v>37</v>
      </c>
      <c r="F116" s="192" t="s">
        <v>16</v>
      </c>
      <c r="G116" s="192"/>
      <c r="H116" s="186" t="s">
        <v>14</v>
      </c>
      <c r="I116" s="193">
        <v>10000.129999999999</v>
      </c>
      <c r="J116" s="193"/>
      <c r="K116" s="189" t="s">
        <v>9</v>
      </c>
      <c r="L116" s="190">
        <v>8843613.3100000005</v>
      </c>
    </row>
    <row r="117" spans="1:12" ht="61.2" x14ac:dyDescent="0.3">
      <c r="A117" s="184" t="s">
        <v>58</v>
      </c>
      <c r="B117" s="185" t="s">
        <v>501</v>
      </c>
      <c r="C117" s="185" t="s">
        <v>35</v>
      </c>
      <c r="D117" s="185" t="s">
        <v>434</v>
      </c>
      <c r="E117" s="186" t="s">
        <v>37</v>
      </c>
      <c r="F117" s="192" t="s">
        <v>16</v>
      </c>
      <c r="G117" s="192"/>
      <c r="H117" s="186" t="s">
        <v>14</v>
      </c>
      <c r="I117" s="193">
        <v>4160.5</v>
      </c>
      <c r="J117" s="193"/>
      <c r="K117" s="189" t="s">
        <v>9</v>
      </c>
      <c r="L117" s="190">
        <v>8839452.8100000005</v>
      </c>
    </row>
    <row r="118" spans="1:12" ht="51" x14ac:dyDescent="0.3">
      <c r="A118" s="184" t="s">
        <v>58</v>
      </c>
      <c r="B118" s="185" t="s">
        <v>501</v>
      </c>
      <c r="C118" s="185" t="s">
        <v>35</v>
      </c>
      <c r="D118" s="185" t="s">
        <v>490</v>
      </c>
      <c r="E118" s="186" t="s">
        <v>37</v>
      </c>
      <c r="F118" s="192" t="s">
        <v>16</v>
      </c>
      <c r="G118" s="192"/>
      <c r="H118" s="186" t="s">
        <v>14</v>
      </c>
      <c r="I118" s="193">
        <v>14139.05</v>
      </c>
      <c r="J118" s="193"/>
      <c r="K118" s="189" t="s">
        <v>9</v>
      </c>
      <c r="L118" s="190">
        <v>8825313.7599999998</v>
      </c>
    </row>
    <row r="119" spans="1:12" ht="51" x14ac:dyDescent="0.3">
      <c r="A119" s="184" t="s">
        <v>58</v>
      </c>
      <c r="B119" s="185" t="s">
        <v>501</v>
      </c>
      <c r="C119" s="185" t="s">
        <v>35</v>
      </c>
      <c r="D119" s="185" t="s">
        <v>491</v>
      </c>
      <c r="E119" s="186" t="s">
        <v>37</v>
      </c>
      <c r="F119" s="192" t="s">
        <v>16</v>
      </c>
      <c r="G119" s="192"/>
      <c r="H119" s="186" t="s">
        <v>14</v>
      </c>
      <c r="I119" s="193">
        <v>44773.66</v>
      </c>
      <c r="J119" s="193"/>
      <c r="K119" s="189" t="s">
        <v>9</v>
      </c>
      <c r="L119" s="190">
        <v>8780540.0999999996</v>
      </c>
    </row>
    <row r="120" spans="1:12" ht="51" x14ac:dyDescent="0.3">
      <c r="A120" s="184" t="s">
        <v>58</v>
      </c>
      <c r="B120" s="185" t="s">
        <v>501</v>
      </c>
      <c r="C120" s="185" t="s">
        <v>35</v>
      </c>
      <c r="D120" s="185" t="s">
        <v>505</v>
      </c>
      <c r="E120" s="186" t="s">
        <v>37</v>
      </c>
      <c r="F120" s="192" t="s">
        <v>16</v>
      </c>
      <c r="G120" s="192"/>
      <c r="H120" s="186" t="s">
        <v>14</v>
      </c>
      <c r="I120" s="193">
        <v>61515.12</v>
      </c>
      <c r="J120" s="193"/>
      <c r="K120" s="189" t="s">
        <v>9</v>
      </c>
      <c r="L120" s="190">
        <v>8719024.9800000004</v>
      </c>
    </row>
    <row r="121" spans="1:12" ht="51" x14ac:dyDescent="0.3">
      <c r="A121" s="184" t="s">
        <v>58</v>
      </c>
      <c r="B121" s="185" t="s">
        <v>501</v>
      </c>
      <c r="C121" s="185" t="s">
        <v>35</v>
      </c>
      <c r="D121" s="185" t="s">
        <v>492</v>
      </c>
      <c r="E121" s="186" t="s">
        <v>37</v>
      </c>
      <c r="F121" s="192" t="s">
        <v>16</v>
      </c>
      <c r="G121" s="192"/>
      <c r="H121" s="186" t="s">
        <v>14</v>
      </c>
      <c r="I121" s="193">
        <v>23877.39</v>
      </c>
      <c r="J121" s="193"/>
      <c r="K121" s="189" t="s">
        <v>9</v>
      </c>
      <c r="L121" s="190">
        <v>8695147.5899999999</v>
      </c>
    </row>
    <row r="122" spans="1:12" ht="51" x14ac:dyDescent="0.3">
      <c r="A122" s="184" t="s">
        <v>58</v>
      </c>
      <c r="B122" s="185" t="s">
        <v>501</v>
      </c>
      <c r="C122" s="185" t="s">
        <v>35</v>
      </c>
      <c r="D122" s="185" t="s">
        <v>426</v>
      </c>
      <c r="E122" s="186" t="s">
        <v>37</v>
      </c>
      <c r="F122" s="192" t="s">
        <v>16</v>
      </c>
      <c r="G122" s="192"/>
      <c r="H122" s="186" t="s">
        <v>14</v>
      </c>
      <c r="I122" s="193">
        <v>57008.25</v>
      </c>
      <c r="J122" s="193"/>
      <c r="K122" s="189" t="s">
        <v>9</v>
      </c>
      <c r="L122" s="190">
        <v>8638139.3399999999</v>
      </c>
    </row>
    <row r="123" spans="1:12" ht="51" x14ac:dyDescent="0.3">
      <c r="A123" s="184" t="s">
        <v>58</v>
      </c>
      <c r="B123" s="185" t="s">
        <v>501</v>
      </c>
      <c r="C123" s="185" t="s">
        <v>35</v>
      </c>
      <c r="D123" s="185" t="s">
        <v>450</v>
      </c>
      <c r="E123" s="186" t="s">
        <v>37</v>
      </c>
      <c r="F123" s="192" t="s">
        <v>16</v>
      </c>
      <c r="G123" s="192"/>
      <c r="H123" s="186" t="s">
        <v>14</v>
      </c>
      <c r="I123" s="193">
        <v>17766.77</v>
      </c>
      <c r="J123" s="193"/>
      <c r="K123" s="189" t="s">
        <v>9</v>
      </c>
      <c r="L123" s="190">
        <v>8620372.5700000003</v>
      </c>
    </row>
    <row r="124" spans="1:12" ht="51" x14ac:dyDescent="0.3">
      <c r="A124" s="184" t="s">
        <v>58</v>
      </c>
      <c r="B124" s="185" t="s">
        <v>501</v>
      </c>
      <c r="C124" s="185" t="s">
        <v>35</v>
      </c>
      <c r="D124" s="185" t="s">
        <v>460</v>
      </c>
      <c r="E124" s="186" t="s">
        <v>37</v>
      </c>
      <c r="F124" s="192" t="s">
        <v>16</v>
      </c>
      <c r="G124" s="192"/>
      <c r="H124" s="186" t="s">
        <v>14</v>
      </c>
      <c r="I124" s="193">
        <v>69891.960000000006</v>
      </c>
      <c r="J124" s="193"/>
      <c r="K124" s="189" t="s">
        <v>9</v>
      </c>
      <c r="L124" s="190">
        <v>8550480.6099999994</v>
      </c>
    </row>
    <row r="125" spans="1:12" ht="51" x14ac:dyDescent="0.3">
      <c r="A125" s="184" t="s">
        <v>58</v>
      </c>
      <c r="B125" s="185" t="s">
        <v>501</v>
      </c>
      <c r="C125" s="185" t="s">
        <v>35</v>
      </c>
      <c r="D125" s="185" t="s">
        <v>506</v>
      </c>
      <c r="E125" s="186" t="s">
        <v>37</v>
      </c>
      <c r="F125" s="192" t="s">
        <v>16</v>
      </c>
      <c r="G125" s="192"/>
      <c r="H125" s="186" t="s">
        <v>14</v>
      </c>
      <c r="I125" s="193">
        <v>111112.54</v>
      </c>
      <c r="J125" s="193"/>
      <c r="K125" s="189" t="s">
        <v>9</v>
      </c>
      <c r="L125" s="190">
        <v>8439368.0700000003</v>
      </c>
    </row>
    <row r="126" spans="1:12" ht="51" x14ac:dyDescent="0.3">
      <c r="A126" s="184" t="s">
        <v>58</v>
      </c>
      <c r="B126" s="185" t="s">
        <v>501</v>
      </c>
      <c r="C126" s="185" t="s">
        <v>35</v>
      </c>
      <c r="D126" s="185" t="s">
        <v>493</v>
      </c>
      <c r="E126" s="186" t="s">
        <v>37</v>
      </c>
      <c r="F126" s="192" t="s">
        <v>16</v>
      </c>
      <c r="G126" s="192"/>
      <c r="H126" s="186" t="s">
        <v>14</v>
      </c>
      <c r="I126" s="193">
        <v>2583.64</v>
      </c>
      <c r="J126" s="193"/>
      <c r="K126" s="189" t="s">
        <v>9</v>
      </c>
      <c r="L126" s="190">
        <v>8436784.4299999997</v>
      </c>
    </row>
    <row r="127" spans="1:12" ht="51" x14ac:dyDescent="0.3">
      <c r="A127" s="184" t="s">
        <v>58</v>
      </c>
      <c r="B127" s="185" t="s">
        <v>501</v>
      </c>
      <c r="C127" s="185" t="s">
        <v>35</v>
      </c>
      <c r="D127" s="185" t="s">
        <v>506</v>
      </c>
      <c r="E127" s="186" t="s">
        <v>37</v>
      </c>
      <c r="F127" s="192" t="s">
        <v>16</v>
      </c>
      <c r="G127" s="192"/>
      <c r="H127" s="186" t="s">
        <v>14</v>
      </c>
      <c r="I127" s="193">
        <v>4121.97</v>
      </c>
      <c r="J127" s="193"/>
      <c r="K127" s="189" t="s">
        <v>9</v>
      </c>
      <c r="L127" s="190">
        <v>8432662.4600000009</v>
      </c>
    </row>
    <row r="128" spans="1:12" ht="51" x14ac:dyDescent="0.3">
      <c r="A128" s="184" t="s">
        <v>58</v>
      </c>
      <c r="B128" s="185" t="s">
        <v>501</v>
      </c>
      <c r="C128" s="185" t="s">
        <v>35</v>
      </c>
      <c r="D128" s="185" t="s">
        <v>460</v>
      </c>
      <c r="E128" s="186" t="s">
        <v>37</v>
      </c>
      <c r="F128" s="192" t="s">
        <v>16</v>
      </c>
      <c r="G128" s="192"/>
      <c r="H128" s="186" t="s">
        <v>14</v>
      </c>
      <c r="I128" s="193">
        <v>9568.8799999999992</v>
      </c>
      <c r="J128" s="193"/>
      <c r="K128" s="189" t="s">
        <v>9</v>
      </c>
      <c r="L128" s="190">
        <v>8423093.5800000001</v>
      </c>
    </row>
    <row r="129" spans="1:12" ht="51" x14ac:dyDescent="0.3">
      <c r="A129" s="184" t="s">
        <v>58</v>
      </c>
      <c r="B129" s="185" t="s">
        <v>501</v>
      </c>
      <c r="C129" s="185" t="s">
        <v>35</v>
      </c>
      <c r="D129" s="185" t="s">
        <v>438</v>
      </c>
      <c r="E129" s="186" t="s">
        <v>37</v>
      </c>
      <c r="F129" s="192" t="s">
        <v>16</v>
      </c>
      <c r="G129" s="192"/>
      <c r="H129" s="186" t="s">
        <v>14</v>
      </c>
      <c r="I129" s="193">
        <v>55750.71</v>
      </c>
      <c r="J129" s="193"/>
      <c r="K129" s="189" t="s">
        <v>9</v>
      </c>
      <c r="L129" s="190">
        <v>8367342.8700000001</v>
      </c>
    </row>
    <row r="130" spans="1:12" ht="51" x14ac:dyDescent="0.3">
      <c r="A130" s="184" t="s">
        <v>58</v>
      </c>
      <c r="B130" s="185" t="s">
        <v>501</v>
      </c>
      <c r="C130" s="185" t="s">
        <v>35</v>
      </c>
      <c r="D130" s="185" t="s">
        <v>452</v>
      </c>
      <c r="E130" s="186" t="s">
        <v>37</v>
      </c>
      <c r="F130" s="192" t="s">
        <v>16</v>
      </c>
      <c r="G130" s="192"/>
      <c r="H130" s="186" t="s">
        <v>14</v>
      </c>
      <c r="I130" s="193">
        <v>12618.61</v>
      </c>
      <c r="J130" s="193"/>
      <c r="K130" s="189" t="s">
        <v>9</v>
      </c>
      <c r="L130" s="190">
        <v>8354724.2599999998</v>
      </c>
    </row>
    <row r="131" spans="1:12" ht="51" x14ac:dyDescent="0.3">
      <c r="A131" s="184" t="s">
        <v>58</v>
      </c>
      <c r="B131" s="185" t="s">
        <v>501</v>
      </c>
      <c r="C131" s="185" t="s">
        <v>35</v>
      </c>
      <c r="D131" s="185" t="s">
        <v>498</v>
      </c>
      <c r="E131" s="186" t="s">
        <v>37</v>
      </c>
      <c r="F131" s="192" t="s">
        <v>16</v>
      </c>
      <c r="G131" s="192"/>
      <c r="H131" s="186" t="s">
        <v>14</v>
      </c>
      <c r="I131" s="193">
        <v>26063.48</v>
      </c>
      <c r="J131" s="193"/>
      <c r="K131" s="189" t="s">
        <v>9</v>
      </c>
      <c r="L131" s="190">
        <v>8328660.7800000003</v>
      </c>
    </row>
    <row r="132" spans="1:12" ht="51" x14ac:dyDescent="0.3">
      <c r="A132" s="184" t="s">
        <v>58</v>
      </c>
      <c r="B132" s="185" t="s">
        <v>501</v>
      </c>
      <c r="C132" s="185" t="s">
        <v>35</v>
      </c>
      <c r="D132" s="185" t="s">
        <v>495</v>
      </c>
      <c r="E132" s="186" t="s">
        <v>37</v>
      </c>
      <c r="F132" s="192" t="s">
        <v>16</v>
      </c>
      <c r="G132" s="192"/>
      <c r="H132" s="186" t="s">
        <v>14</v>
      </c>
      <c r="I132" s="193">
        <v>14221.77</v>
      </c>
      <c r="J132" s="193"/>
      <c r="K132" s="189" t="s">
        <v>9</v>
      </c>
      <c r="L132" s="190">
        <v>8314439.0099999998</v>
      </c>
    </row>
    <row r="133" spans="1:12" ht="51" x14ac:dyDescent="0.3">
      <c r="A133" s="184" t="s">
        <v>58</v>
      </c>
      <c r="B133" s="185" t="s">
        <v>501</v>
      </c>
      <c r="C133" s="185" t="s">
        <v>35</v>
      </c>
      <c r="D133" s="185" t="s">
        <v>435</v>
      </c>
      <c r="E133" s="186" t="s">
        <v>37</v>
      </c>
      <c r="F133" s="192" t="s">
        <v>16</v>
      </c>
      <c r="G133" s="192"/>
      <c r="H133" s="186" t="s">
        <v>14</v>
      </c>
      <c r="I133" s="193">
        <v>2752.03</v>
      </c>
      <c r="J133" s="193"/>
      <c r="K133" s="189" t="s">
        <v>9</v>
      </c>
      <c r="L133" s="190">
        <v>8311686.9800000004</v>
      </c>
    </row>
    <row r="134" spans="1:12" ht="51" x14ac:dyDescent="0.3">
      <c r="A134" s="184" t="s">
        <v>58</v>
      </c>
      <c r="B134" s="185" t="s">
        <v>501</v>
      </c>
      <c r="C134" s="185" t="s">
        <v>35</v>
      </c>
      <c r="D134" s="185" t="s">
        <v>507</v>
      </c>
      <c r="E134" s="186" t="s">
        <v>37</v>
      </c>
      <c r="F134" s="192" t="s">
        <v>16</v>
      </c>
      <c r="G134" s="192"/>
      <c r="H134" s="186" t="s">
        <v>14</v>
      </c>
      <c r="I134" s="193">
        <v>8552.9599999999991</v>
      </c>
      <c r="J134" s="193"/>
      <c r="K134" s="189" t="s">
        <v>9</v>
      </c>
      <c r="L134" s="190">
        <v>8303134.0199999996</v>
      </c>
    </row>
    <row r="135" spans="1:12" ht="51" x14ac:dyDescent="0.3">
      <c r="A135" s="184" t="s">
        <v>58</v>
      </c>
      <c r="B135" s="185" t="s">
        <v>501</v>
      </c>
      <c r="C135" s="185" t="s">
        <v>35</v>
      </c>
      <c r="D135" s="185" t="s">
        <v>439</v>
      </c>
      <c r="E135" s="186" t="s">
        <v>37</v>
      </c>
      <c r="F135" s="192" t="s">
        <v>16</v>
      </c>
      <c r="G135" s="192"/>
      <c r="H135" s="186" t="s">
        <v>14</v>
      </c>
      <c r="I135" s="193">
        <v>27675.66</v>
      </c>
      <c r="J135" s="193"/>
      <c r="K135" s="189" t="s">
        <v>9</v>
      </c>
      <c r="L135" s="190">
        <v>8275458.3600000003</v>
      </c>
    </row>
    <row r="136" spans="1:12" ht="51" x14ac:dyDescent="0.3">
      <c r="A136" s="184" t="s">
        <v>58</v>
      </c>
      <c r="B136" s="185" t="s">
        <v>501</v>
      </c>
      <c r="C136" s="185" t="s">
        <v>35</v>
      </c>
      <c r="D136" s="185" t="s">
        <v>452</v>
      </c>
      <c r="E136" s="186" t="s">
        <v>37</v>
      </c>
      <c r="F136" s="192" t="s">
        <v>16</v>
      </c>
      <c r="G136" s="192"/>
      <c r="H136" s="186" t="s">
        <v>14</v>
      </c>
      <c r="I136" s="193">
        <v>11023.79</v>
      </c>
      <c r="J136" s="193"/>
      <c r="K136" s="189" t="s">
        <v>9</v>
      </c>
      <c r="L136" s="190">
        <v>8264434.5700000003</v>
      </c>
    </row>
    <row r="137" spans="1:12" ht="51" x14ac:dyDescent="0.3">
      <c r="A137" s="184" t="s">
        <v>58</v>
      </c>
      <c r="B137" s="185" t="s">
        <v>501</v>
      </c>
      <c r="C137" s="185" t="s">
        <v>35</v>
      </c>
      <c r="D137" s="185" t="s">
        <v>450</v>
      </c>
      <c r="E137" s="186" t="s">
        <v>37</v>
      </c>
      <c r="F137" s="192" t="s">
        <v>16</v>
      </c>
      <c r="G137" s="192"/>
      <c r="H137" s="186" t="s">
        <v>14</v>
      </c>
      <c r="I137" s="193">
        <v>1343</v>
      </c>
      <c r="J137" s="193"/>
      <c r="K137" s="189" t="s">
        <v>9</v>
      </c>
      <c r="L137" s="190">
        <v>8263091.5700000003</v>
      </c>
    </row>
    <row r="138" spans="1:12" ht="51" x14ac:dyDescent="0.3">
      <c r="A138" s="184" t="s">
        <v>58</v>
      </c>
      <c r="B138" s="185" t="s">
        <v>508</v>
      </c>
      <c r="C138" s="185" t="s">
        <v>35</v>
      </c>
      <c r="D138" s="185" t="s">
        <v>483</v>
      </c>
      <c r="E138" s="186" t="s">
        <v>37</v>
      </c>
      <c r="F138" s="192" t="s">
        <v>16</v>
      </c>
      <c r="G138" s="192"/>
      <c r="H138" s="186" t="s">
        <v>14</v>
      </c>
      <c r="I138" s="193">
        <v>15475.95</v>
      </c>
      <c r="J138" s="193"/>
      <c r="K138" s="189" t="s">
        <v>9</v>
      </c>
      <c r="L138" s="190">
        <v>8247615.6200000001</v>
      </c>
    </row>
    <row r="139" spans="1:12" ht="51" x14ac:dyDescent="0.3">
      <c r="A139" s="184" t="s">
        <v>58</v>
      </c>
      <c r="B139" s="185" t="s">
        <v>508</v>
      </c>
      <c r="C139" s="185" t="s">
        <v>35</v>
      </c>
      <c r="D139" s="185" t="s">
        <v>509</v>
      </c>
      <c r="E139" s="186" t="s">
        <v>37</v>
      </c>
      <c r="F139" s="192" t="s">
        <v>16</v>
      </c>
      <c r="G139" s="192"/>
      <c r="H139" s="186" t="s">
        <v>14</v>
      </c>
      <c r="I139" s="193">
        <v>53394</v>
      </c>
      <c r="J139" s="193"/>
      <c r="K139" s="189" t="s">
        <v>9</v>
      </c>
      <c r="L139" s="190">
        <v>8194221.6200000001</v>
      </c>
    </row>
    <row r="140" spans="1:12" ht="51" x14ac:dyDescent="0.3">
      <c r="A140" s="184" t="s">
        <v>58</v>
      </c>
      <c r="B140" s="185" t="s">
        <v>508</v>
      </c>
      <c r="C140" s="185" t="s">
        <v>35</v>
      </c>
      <c r="D140" s="185" t="s">
        <v>510</v>
      </c>
      <c r="E140" s="186" t="s">
        <v>37</v>
      </c>
      <c r="F140" s="192" t="s">
        <v>16</v>
      </c>
      <c r="G140" s="192"/>
      <c r="H140" s="186" t="s">
        <v>14</v>
      </c>
      <c r="I140" s="193">
        <v>5418.65</v>
      </c>
      <c r="J140" s="193"/>
      <c r="K140" s="189" t="s">
        <v>9</v>
      </c>
      <c r="L140" s="190">
        <v>8188802.9699999997</v>
      </c>
    </row>
    <row r="141" spans="1:12" ht="51" x14ac:dyDescent="0.3">
      <c r="A141" s="184" t="s">
        <v>58</v>
      </c>
      <c r="B141" s="185" t="s">
        <v>508</v>
      </c>
      <c r="C141" s="185" t="s">
        <v>35</v>
      </c>
      <c r="D141" s="185" t="s">
        <v>511</v>
      </c>
      <c r="E141" s="186" t="s">
        <v>37</v>
      </c>
      <c r="F141" s="192" t="s">
        <v>16</v>
      </c>
      <c r="G141" s="192"/>
      <c r="H141" s="186" t="s">
        <v>14</v>
      </c>
      <c r="I141" s="193">
        <v>18144.939999999999</v>
      </c>
      <c r="J141" s="193"/>
      <c r="K141" s="189" t="s">
        <v>9</v>
      </c>
      <c r="L141" s="190">
        <v>8170658.0300000003</v>
      </c>
    </row>
    <row r="142" spans="1:12" ht="51" x14ac:dyDescent="0.3">
      <c r="A142" s="184" t="s">
        <v>58</v>
      </c>
      <c r="B142" s="185" t="s">
        <v>508</v>
      </c>
      <c r="C142" s="185" t="s">
        <v>35</v>
      </c>
      <c r="D142" s="185" t="s">
        <v>488</v>
      </c>
      <c r="E142" s="186" t="s">
        <v>37</v>
      </c>
      <c r="F142" s="192" t="s">
        <v>16</v>
      </c>
      <c r="G142" s="192"/>
      <c r="H142" s="186" t="s">
        <v>14</v>
      </c>
      <c r="I142" s="194">
        <v>223.47</v>
      </c>
      <c r="J142" s="194"/>
      <c r="K142" s="189" t="s">
        <v>9</v>
      </c>
      <c r="L142" s="190">
        <v>8170434.5599999996</v>
      </c>
    </row>
    <row r="143" spans="1:12" ht="61.2" x14ac:dyDescent="0.3">
      <c r="A143" s="184" t="s">
        <v>58</v>
      </c>
      <c r="B143" s="185" t="s">
        <v>508</v>
      </c>
      <c r="C143" s="185" t="s">
        <v>35</v>
      </c>
      <c r="D143" s="185" t="s">
        <v>434</v>
      </c>
      <c r="E143" s="186" t="s">
        <v>37</v>
      </c>
      <c r="F143" s="192" t="s">
        <v>16</v>
      </c>
      <c r="G143" s="192"/>
      <c r="H143" s="186" t="s">
        <v>14</v>
      </c>
      <c r="I143" s="193">
        <v>5989</v>
      </c>
      <c r="J143" s="193"/>
      <c r="K143" s="189" t="s">
        <v>9</v>
      </c>
      <c r="L143" s="190">
        <v>8164445.5599999996</v>
      </c>
    </row>
    <row r="144" spans="1:12" ht="51" x14ac:dyDescent="0.3">
      <c r="A144" s="184" t="s">
        <v>58</v>
      </c>
      <c r="B144" s="185" t="s">
        <v>508</v>
      </c>
      <c r="C144" s="185" t="s">
        <v>35</v>
      </c>
      <c r="D144" s="185" t="s">
        <v>435</v>
      </c>
      <c r="E144" s="186" t="s">
        <v>37</v>
      </c>
      <c r="F144" s="192" t="s">
        <v>16</v>
      </c>
      <c r="G144" s="192"/>
      <c r="H144" s="186" t="s">
        <v>14</v>
      </c>
      <c r="I144" s="193">
        <v>18258.060000000001</v>
      </c>
      <c r="J144" s="193"/>
      <c r="K144" s="189" t="s">
        <v>9</v>
      </c>
      <c r="L144" s="190">
        <v>8146187.5</v>
      </c>
    </row>
    <row r="145" spans="1:12" ht="51" x14ac:dyDescent="0.3">
      <c r="A145" s="184" t="s">
        <v>58</v>
      </c>
      <c r="B145" s="185" t="s">
        <v>508</v>
      </c>
      <c r="C145" s="185" t="s">
        <v>35</v>
      </c>
      <c r="D145" s="185" t="s">
        <v>491</v>
      </c>
      <c r="E145" s="186" t="s">
        <v>37</v>
      </c>
      <c r="F145" s="192" t="s">
        <v>16</v>
      </c>
      <c r="G145" s="192"/>
      <c r="H145" s="186" t="s">
        <v>14</v>
      </c>
      <c r="I145" s="193">
        <v>24530.400000000001</v>
      </c>
      <c r="J145" s="193"/>
      <c r="K145" s="189" t="s">
        <v>9</v>
      </c>
      <c r="L145" s="190">
        <v>8121657.0999999996</v>
      </c>
    </row>
    <row r="146" spans="1:12" ht="51" x14ac:dyDescent="0.3">
      <c r="A146" s="184" t="s">
        <v>58</v>
      </c>
      <c r="B146" s="185" t="s">
        <v>508</v>
      </c>
      <c r="C146" s="185" t="s">
        <v>35</v>
      </c>
      <c r="D146" s="185" t="s">
        <v>492</v>
      </c>
      <c r="E146" s="186" t="s">
        <v>37</v>
      </c>
      <c r="F146" s="192" t="s">
        <v>16</v>
      </c>
      <c r="G146" s="192"/>
      <c r="H146" s="186" t="s">
        <v>14</v>
      </c>
      <c r="I146" s="193">
        <v>26489.43</v>
      </c>
      <c r="J146" s="193"/>
      <c r="K146" s="189" t="s">
        <v>9</v>
      </c>
      <c r="L146" s="190">
        <v>8095167.6699999999</v>
      </c>
    </row>
    <row r="147" spans="1:12" ht="51" x14ac:dyDescent="0.3">
      <c r="A147" s="184" t="s">
        <v>58</v>
      </c>
      <c r="B147" s="185" t="s">
        <v>508</v>
      </c>
      <c r="C147" s="185" t="s">
        <v>35</v>
      </c>
      <c r="D147" s="185" t="s">
        <v>492</v>
      </c>
      <c r="E147" s="186" t="s">
        <v>37</v>
      </c>
      <c r="F147" s="192" t="s">
        <v>16</v>
      </c>
      <c r="G147" s="192"/>
      <c r="H147" s="186" t="s">
        <v>14</v>
      </c>
      <c r="I147" s="193">
        <v>56584.6</v>
      </c>
      <c r="J147" s="193"/>
      <c r="K147" s="189" t="s">
        <v>9</v>
      </c>
      <c r="L147" s="190">
        <v>8038583.0700000003</v>
      </c>
    </row>
    <row r="148" spans="1:12" ht="51" x14ac:dyDescent="0.3">
      <c r="A148" s="184" t="s">
        <v>58</v>
      </c>
      <c r="B148" s="185" t="s">
        <v>508</v>
      </c>
      <c r="C148" s="185" t="s">
        <v>35</v>
      </c>
      <c r="D148" s="185" t="s">
        <v>450</v>
      </c>
      <c r="E148" s="186" t="s">
        <v>37</v>
      </c>
      <c r="F148" s="192" t="s">
        <v>16</v>
      </c>
      <c r="G148" s="192"/>
      <c r="H148" s="186" t="s">
        <v>14</v>
      </c>
      <c r="I148" s="193">
        <v>31000.92</v>
      </c>
      <c r="J148" s="193"/>
      <c r="K148" s="189" t="s">
        <v>9</v>
      </c>
      <c r="L148" s="190">
        <v>8007582.1500000004</v>
      </c>
    </row>
    <row r="149" spans="1:12" ht="51" x14ac:dyDescent="0.3">
      <c r="A149" s="184" t="s">
        <v>58</v>
      </c>
      <c r="B149" s="185" t="s">
        <v>508</v>
      </c>
      <c r="C149" s="185" t="s">
        <v>35</v>
      </c>
      <c r="D149" s="185" t="s">
        <v>512</v>
      </c>
      <c r="E149" s="186" t="s">
        <v>37</v>
      </c>
      <c r="F149" s="192" t="s">
        <v>16</v>
      </c>
      <c r="G149" s="192"/>
      <c r="H149" s="186" t="s">
        <v>14</v>
      </c>
      <c r="I149" s="193">
        <v>264865.89</v>
      </c>
      <c r="J149" s="193"/>
      <c r="K149" s="189" t="s">
        <v>9</v>
      </c>
      <c r="L149" s="190">
        <v>7742716.2599999998</v>
      </c>
    </row>
    <row r="150" spans="1:12" ht="51" x14ac:dyDescent="0.3">
      <c r="A150" s="184" t="s">
        <v>58</v>
      </c>
      <c r="B150" s="185" t="s">
        <v>508</v>
      </c>
      <c r="C150" s="185" t="s">
        <v>35</v>
      </c>
      <c r="D150" s="185" t="s">
        <v>428</v>
      </c>
      <c r="E150" s="186" t="s">
        <v>37</v>
      </c>
      <c r="F150" s="192" t="s">
        <v>16</v>
      </c>
      <c r="G150" s="192"/>
      <c r="H150" s="186" t="s">
        <v>14</v>
      </c>
      <c r="I150" s="193">
        <v>25448.15</v>
      </c>
      <c r="J150" s="193"/>
      <c r="K150" s="189" t="s">
        <v>9</v>
      </c>
      <c r="L150" s="190">
        <v>7717268.1100000003</v>
      </c>
    </row>
    <row r="151" spans="1:12" ht="51" x14ac:dyDescent="0.3">
      <c r="A151" s="184" t="s">
        <v>58</v>
      </c>
      <c r="B151" s="185" t="s">
        <v>508</v>
      </c>
      <c r="C151" s="185" t="s">
        <v>35</v>
      </c>
      <c r="D151" s="185" t="s">
        <v>490</v>
      </c>
      <c r="E151" s="186" t="s">
        <v>37</v>
      </c>
      <c r="F151" s="192" t="s">
        <v>16</v>
      </c>
      <c r="G151" s="192"/>
      <c r="H151" s="186" t="s">
        <v>14</v>
      </c>
      <c r="I151" s="193">
        <v>8233.58</v>
      </c>
      <c r="J151" s="193"/>
      <c r="K151" s="189" t="s">
        <v>9</v>
      </c>
      <c r="L151" s="190">
        <v>7709034.5300000003</v>
      </c>
    </row>
    <row r="152" spans="1:12" ht="51" x14ac:dyDescent="0.3">
      <c r="A152" s="184" t="s">
        <v>58</v>
      </c>
      <c r="B152" s="185" t="s">
        <v>508</v>
      </c>
      <c r="C152" s="185" t="s">
        <v>35</v>
      </c>
      <c r="D152" s="185" t="s">
        <v>452</v>
      </c>
      <c r="E152" s="186" t="s">
        <v>37</v>
      </c>
      <c r="F152" s="192" t="s">
        <v>16</v>
      </c>
      <c r="G152" s="192"/>
      <c r="H152" s="186" t="s">
        <v>14</v>
      </c>
      <c r="I152" s="193">
        <v>10380.27</v>
      </c>
      <c r="J152" s="193"/>
      <c r="K152" s="189" t="s">
        <v>9</v>
      </c>
      <c r="L152" s="190">
        <v>7698654.2599999998</v>
      </c>
    </row>
    <row r="153" spans="1:12" ht="51" x14ac:dyDescent="0.3">
      <c r="A153" s="184" t="s">
        <v>58</v>
      </c>
      <c r="B153" s="185" t="s">
        <v>508</v>
      </c>
      <c r="C153" s="185" t="s">
        <v>35</v>
      </c>
      <c r="D153" s="185" t="s">
        <v>498</v>
      </c>
      <c r="E153" s="186" t="s">
        <v>37</v>
      </c>
      <c r="F153" s="192" t="s">
        <v>16</v>
      </c>
      <c r="G153" s="192"/>
      <c r="H153" s="186" t="s">
        <v>14</v>
      </c>
      <c r="I153" s="193">
        <v>6892.26</v>
      </c>
      <c r="J153" s="193"/>
      <c r="K153" s="189" t="s">
        <v>9</v>
      </c>
      <c r="L153" s="190">
        <v>7691762</v>
      </c>
    </row>
    <row r="154" spans="1:12" ht="51" x14ac:dyDescent="0.3">
      <c r="A154" s="184" t="s">
        <v>58</v>
      </c>
      <c r="B154" s="185" t="s">
        <v>508</v>
      </c>
      <c r="C154" s="185" t="s">
        <v>35</v>
      </c>
      <c r="D154" s="185" t="s">
        <v>490</v>
      </c>
      <c r="E154" s="186" t="s">
        <v>37</v>
      </c>
      <c r="F154" s="192" t="s">
        <v>16</v>
      </c>
      <c r="G154" s="192"/>
      <c r="H154" s="186" t="s">
        <v>14</v>
      </c>
      <c r="I154" s="193">
        <v>2640.43</v>
      </c>
      <c r="J154" s="193"/>
      <c r="K154" s="189" t="s">
        <v>9</v>
      </c>
      <c r="L154" s="190">
        <v>7689121.5700000003</v>
      </c>
    </row>
    <row r="155" spans="1:12" ht="51" x14ac:dyDescent="0.3">
      <c r="A155" s="184" t="s">
        <v>58</v>
      </c>
      <c r="B155" s="185" t="s">
        <v>513</v>
      </c>
      <c r="C155" s="185" t="s">
        <v>35</v>
      </c>
      <c r="D155" s="185" t="s">
        <v>514</v>
      </c>
      <c r="E155" s="186" t="s">
        <v>37</v>
      </c>
      <c r="F155" s="192" t="s">
        <v>16</v>
      </c>
      <c r="G155" s="192"/>
      <c r="H155" s="186" t="s">
        <v>14</v>
      </c>
      <c r="I155" s="193">
        <v>5937.5</v>
      </c>
      <c r="J155" s="193"/>
      <c r="K155" s="189" t="s">
        <v>9</v>
      </c>
      <c r="L155" s="190">
        <v>7683184.0700000003</v>
      </c>
    </row>
    <row r="156" spans="1:12" ht="51" x14ac:dyDescent="0.3">
      <c r="A156" s="184" t="s">
        <v>58</v>
      </c>
      <c r="B156" s="185" t="s">
        <v>513</v>
      </c>
      <c r="C156" s="185" t="s">
        <v>35</v>
      </c>
      <c r="D156" s="185" t="s">
        <v>485</v>
      </c>
      <c r="E156" s="186" t="s">
        <v>37</v>
      </c>
      <c r="F156" s="192" t="s">
        <v>16</v>
      </c>
      <c r="G156" s="192"/>
      <c r="H156" s="186" t="s">
        <v>14</v>
      </c>
      <c r="I156" s="193">
        <v>1546.34</v>
      </c>
      <c r="J156" s="193"/>
      <c r="K156" s="189" t="s">
        <v>9</v>
      </c>
      <c r="L156" s="190">
        <v>7681637.7300000004</v>
      </c>
    </row>
    <row r="157" spans="1:12" ht="51" x14ac:dyDescent="0.3">
      <c r="A157" s="184" t="s">
        <v>58</v>
      </c>
      <c r="B157" s="185" t="s">
        <v>513</v>
      </c>
      <c r="C157" s="185" t="s">
        <v>35</v>
      </c>
      <c r="D157" s="185" t="s">
        <v>485</v>
      </c>
      <c r="E157" s="186" t="s">
        <v>37</v>
      </c>
      <c r="F157" s="192" t="s">
        <v>16</v>
      </c>
      <c r="G157" s="192"/>
      <c r="H157" s="186" t="s">
        <v>14</v>
      </c>
      <c r="I157" s="193">
        <v>2366.85</v>
      </c>
      <c r="J157" s="193"/>
      <c r="K157" s="189" t="s">
        <v>9</v>
      </c>
      <c r="L157" s="190">
        <v>7679270.8799999999</v>
      </c>
    </row>
    <row r="158" spans="1:12" ht="51" x14ac:dyDescent="0.3">
      <c r="A158" s="184" t="s">
        <v>58</v>
      </c>
      <c r="B158" s="185" t="s">
        <v>513</v>
      </c>
      <c r="C158" s="185" t="s">
        <v>35</v>
      </c>
      <c r="D158" s="185" t="s">
        <v>515</v>
      </c>
      <c r="E158" s="186" t="s">
        <v>37</v>
      </c>
      <c r="F158" s="192" t="s">
        <v>16</v>
      </c>
      <c r="G158" s="192"/>
      <c r="H158" s="186" t="s">
        <v>14</v>
      </c>
      <c r="I158" s="193">
        <v>26883.75</v>
      </c>
      <c r="J158" s="193"/>
      <c r="K158" s="189" t="s">
        <v>9</v>
      </c>
      <c r="L158" s="190">
        <v>7652387.1299999999</v>
      </c>
    </row>
    <row r="159" spans="1:12" ht="51" x14ac:dyDescent="0.3">
      <c r="A159" s="184" t="s">
        <v>58</v>
      </c>
      <c r="B159" s="185" t="s">
        <v>513</v>
      </c>
      <c r="C159" s="185" t="s">
        <v>35</v>
      </c>
      <c r="D159" s="185" t="s">
        <v>445</v>
      </c>
      <c r="E159" s="186" t="s">
        <v>37</v>
      </c>
      <c r="F159" s="192" t="s">
        <v>16</v>
      </c>
      <c r="G159" s="192"/>
      <c r="H159" s="186" t="s">
        <v>14</v>
      </c>
      <c r="I159" s="193">
        <v>2070.33</v>
      </c>
      <c r="J159" s="193"/>
      <c r="K159" s="189" t="s">
        <v>9</v>
      </c>
      <c r="L159" s="190">
        <v>7650316.7999999998</v>
      </c>
    </row>
    <row r="160" spans="1:12" ht="51" x14ac:dyDescent="0.3">
      <c r="A160" s="184" t="s">
        <v>58</v>
      </c>
      <c r="B160" s="185" t="s">
        <v>513</v>
      </c>
      <c r="C160" s="185" t="s">
        <v>35</v>
      </c>
      <c r="D160" s="185" t="s">
        <v>504</v>
      </c>
      <c r="E160" s="186" t="s">
        <v>37</v>
      </c>
      <c r="F160" s="192" t="s">
        <v>16</v>
      </c>
      <c r="G160" s="192"/>
      <c r="H160" s="186" t="s">
        <v>14</v>
      </c>
      <c r="I160" s="194">
        <v>346.76</v>
      </c>
      <c r="J160" s="194"/>
      <c r="K160" s="189" t="s">
        <v>9</v>
      </c>
      <c r="L160" s="190">
        <v>7649970.04</v>
      </c>
    </row>
    <row r="161" spans="1:12" ht="51" x14ac:dyDescent="0.3">
      <c r="A161" s="184" t="s">
        <v>58</v>
      </c>
      <c r="B161" s="185" t="s">
        <v>513</v>
      </c>
      <c r="C161" s="185" t="s">
        <v>35</v>
      </c>
      <c r="D161" s="185" t="s">
        <v>516</v>
      </c>
      <c r="E161" s="186" t="s">
        <v>37</v>
      </c>
      <c r="F161" s="192" t="s">
        <v>16</v>
      </c>
      <c r="G161" s="192"/>
      <c r="H161" s="186" t="s">
        <v>14</v>
      </c>
      <c r="I161" s="193">
        <v>7974.4</v>
      </c>
      <c r="J161" s="193"/>
      <c r="K161" s="189" t="s">
        <v>9</v>
      </c>
      <c r="L161" s="190">
        <v>7641995.6399999997</v>
      </c>
    </row>
    <row r="162" spans="1:12" ht="51" x14ac:dyDescent="0.3">
      <c r="A162" s="184" t="s">
        <v>58</v>
      </c>
      <c r="B162" s="185" t="s">
        <v>513</v>
      </c>
      <c r="C162" s="185" t="s">
        <v>35</v>
      </c>
      <c r="D162" s="185" t="s">
        <v>446</v>
      </c>
      <c r="E162" s="186" t="s">
        <v>37</v>
      </c>
      <c r="F162" s="192" t="s">
        <v>16</v>
      </c>
      <c r="G162" s="192"/>
      <c r="H162" s="186" t="s">
        <v>14</v>
      </c>
      <c r="I162" s="193">
        <v>110014.23</v>
      </c>
      <c r="J162" s="193"/>
      <c r="K162" s="189" t="s">
        <v>9</v>
      </c>
      <c r="L162" s="190">
        <v>7531981.4100000001</v>
      </c>
    </row>
    <row r="163" spans="1:12" ht="51" x14ac:dyDescent="0.3">
      <c r="A163" s="184" t="s">
        <v>58</v>
      </c>
      <c r="B163" s="185" t="s">
        <v>513</v>
      </c>
      <c r="C163" s="185" t="s">
        <v>35</v>
      </c>
      <c r="D163" s="185" t="s">
        <v>488</v>
      </c>
      <c r="E163" s="186" t="s">
        <v>37</v>
      </c>
      <c r="F163" s="192" t="s">
        <v>16</v>
      </c>
      <c r="G163" s="192"/>
      <c r="H163" s="186" t="s">
        <v>14</v>
      </c>
      <c r="I163" s="193">
        <v>3631.33</v>
      </c>
      <c r="J163" s="193"/>
      <c r="K163" s="189" t="s">
        <v>9</v>
      </c>
      <c r="L163" s="190">
        <v>7528350.0800000001</v>
      </c>
    </row>
    <row r="164" spans="1:12" ht="61.2" x14ac:dyDescent="0.3">
      <c r="A164" s="184" t="s">
        <v>58</v>
      </c>
      <c r="B164" s="185" t="s">
        <v>513</v>
      </c>
      <c r="C164" s="185" t="s">
        <v>35</v>
      </c>
      <c r="D164" s="185" t="s">
        <v>434</v>
      </c>
      <c r="E164" s="186" t="s">
        <v>37</v>
      </c>
      <c r="F164" s="192" t="s">
        <v>16</v>
      </c>
      <c r="G164" s="192"/>
      <c r="H164" s="186" t="s">
        <v>14</v>
      </c>
      <c r="I164" s="193">
        <v>1669.5</v>
      </c>
      <c r="J164" s="193"/>
      <c r="K164" s="189" t="s">
        <v>9</v>
      </c>
      <c r="L164" s="190">
        <v>7526680.5800000001</v>
      </c>
    </row>
    <row r="165" spans="1:12" ht="51" x14ac:dyDescent="0.3">
      <c r="A165" s="184" t="s">
        <v>58</v>
      </c>
      <c r="B165" s="185" t="s">
        <v>513</v>
      </c>
      <c r="C165" s="185" t="s">
        <v>35</v>
      </c>
      <c r="D165" s="185" t="s">
        <v>490</v>
      </c>
      <c r="E165" s="186" t="s">
        <v>37</v>
      </c>
      <c r="F165" s="192" t="s">
        <v>16</v>
      </c>
      <c r="G165" s="192"/>
      <c r="H165" s="186" t="s">
        <v>14</v>
      </c>
      <c r="I165" s="193">
        <v>10703.66</v>
      </c>
      <c r="J165" s="193"/>
      <c r="K165" s="189" t="s">
        <v>9</v>
      </c>
      <c r="L165" s="190">
        <v>7515976.9199999999</v>
      </c>
    </row>
    <row r="166" spans="1:12" ht="51" x14ac:dyDescent="0.3">
      <c r="A166" s="184" t="s">
        <v>58</v>
      </c>
      <c r="B166" s="185" t="s">
        <v>513</v>
      </c>
      <c r="C166" s="185" t="s">
        <v>35</v>
      </c>
      <c r="D166" s="185" t="s">
        <v>491</v>
      </c>
      <c r="E166" s="186" t="s">
        <v>37</v>
      </c>
      <c r="F166" s="192" t="s">
        <v>16</v>
      </c>
      <c r="G166" s="192"/>
      <c r="H166" s="186" t="s">
        <v>14</v>
      </c>
      <c r="I166" s="193">
        <v>12833.03</v>
      </c>
      <c r="J166" s="193"/>
      <c r="K166" s="189" t="s">
        <v>9</v>
      </c>
      <c r="L166" s="190">
        <v>7503143.8899999997</v>
      </c>
    </row>
    <row r="167" spans="1:12" ht="51" x14ac:dyDescent="0.3">
      <c r="A167" s="184" t="s">
        <v>58</v>
      </c>
      <c r="B167" s="185" t="s">
        <v>513</v>
      </c>
      <c r="C167" s="185" t="s">
        <v>35</v>
      </c>
      <c r="D167" s="185" t="s">
        <v>492</v>
      </c>
      <c r="E167" s="186" t="s">
        <v>37</v>
      </c>
      <c r="F167" s="192" t="s">
        <v>16</v>
      </c>
      <c r="G167" s="192"/>
      <c r="H167" s="186" t="s">
        <v>14</v>
      </c>
      <c r="I167" s="193">
        <v>68026.44</v>
      </c>
      <c r="J167" s="193"/>
      <c r="K167" s="189" t="s">
        <v>9</v>
      </c>
      <c r="L167" s="190">
        <v>7435117.4500000002</v>
      </c>
    </row>
    <row r="168" spans="1:12" ht="51" x14ac:dyDescent="0.3">
      <c r="A168" s="184" t="s">
        <v>58</v>
      </c>
      <c r="B168" s="185" t="s">
        <v>513</v>
      </c>
      <c r="C168" s="185" t="s">
        <v>35</v>
      </c>
      <c r="D168" s="185" t="s">
        <v>437</v>
      </c>
      <c r="E168" s="186" t="s">
        <v>37</v>
      </c>
      <c r="F168" s="192" t="s">
        <v>16</v>
      </c>
      <c r="G168" s="192"/>
      <c r="H168" s="186" t="s">
        <v>14</v>
      </c>
      <c r="I168" s="193">
        <v>27027.88</v>
      </c>
      <c r="J168" s="193"/>
      <c r="K168" s="189" t="s">
        <v>9</v>
      </c>
      <c r="L168" s="190">
        <v>7408089.5700000003</v>
      </c>
    </row>
    <row r="169" spans="1:12" ht="51" x14ac:dyDescent="0.3">
      <c r="A169" s="184" t="s">
        <v>58</v>
      </c>
      <c r="B169" s="185" t="s">
        <v>513</v>
      </c>
      <c r="C169" s="185" t="s">
        <v>35</v>
      </c>
      <c r="D169" s="185" t="s">
        <v>517</v>
      </c>
      <c r="E169" s="186" t="s">
        <v>37</v>
      </c>
      <c r="F169" s="192" t="s">
        <v>16</v>
      </c>
      <c r="G169" s="192"/>
      <c r="H169" s="186" t="s">
        <v>14</v>
      </c>
      <c r="I169" s="193">
        <v>246862.65</v>
      </c>
      <c r="J169" s="193"/>
      <c r="K169" s="189" t="s">
        <v>9</v>
      </c>
      <c r="L169" s="190">
        <v>7161226.9199999999</v>
      </c>
    </row>
    <row r="170" spans="1:12" ht="51" x14ac:dyDescent="0.3">
      <c r="A170" s="184" t="s">
        <v>58</v>
      </c>
      <c r="B170" s="185" t="s">
        <v>513</v>
      </c>
      <c r="C170" s="185" t="s">
        <v>35</v>
      </c>
      <c r="D170" s="185" t="s">
        <v>512</v>
      </c>
      <c r="E170" s="186" t="s">
        <v>37</v>
      </c>
      <c r="F170" s="192" t="s">
        <v>16</v>
      </c>
      <c r="G170" s="192"/>
      <c r="H170" s="186" t="s">
        <v>14</v>
      </c>
      <c r="I170" s="193">
        <v>60360.69</v>
      </c>
      <c r="J170" s="193"/>
      <c r="K170" s="189" t="s">
        <v>9</v>
      </c>
      <c r="L170" s="190">
        <v>7100866.2300000004</v>
      </c>
    </row>
    <row r="171" spans="1:12" ht="51" x14ac:dyDescent="0.3">
      <c r="A171" s="184" t="s">
        <v>58</v>
      </c>
      <c r="B171" s="185" t="s">
        <v>513</v>
      </c>
      <c r="C171" s="185" t="s">
        <v>35</v>
      </c>
      <c r="D171" s="185" t="s">
        <v>428</v>
      </c>
      <c r="E171" s="186" t="s">
        <v>37</v>
      </c>
      <c r="F171" s="192" t="s">
        <v>16</v>
      </c>
      <c r="G171" s="192"/>
      <c r="H171" s="186" t="s">
        <v>14</v>
      </c>
      <c r="I171" s="193">
        <v>18250.05</v>
      </c>
      <c r="J171" s="193"/>
      <c r="K171" s="189" t="s">
        <v>9</v>
      </c>
      <c r="L171" s="190">
        <v>7082616.1799999997</v>
      </c>
    </row>
    <row r="172" spans="1:12" ht="51" x14ac:dyDescent="0.3">
      <c r="A172" s="184" t="s">
        <v>58</v>
      </c>
      <c r="B172" s="185" t="s">
        <v>513</v>
      </c>
      <c r="C172" s="185" t="s">
        <v>35</v>
      </c>
      <c r="D172" s="185" t="s">
        <v>428</v>
      </c>
      <c r="E172" s="186" t="s">
        <v>37</v>
      </c>
      <c r="F172" s="192" t="s">
        <v>16</v>
      </c>
      <c r="G172" s="192"/>
      <c r="H172" s="186" t="s">
        <v>14</v>
      </c>
      <c r="I172" s="193">
        <v>11434.15</v>
      </c>
      <c r="J172" s="193"/>
      <c r="K172" s="189" t="s">
        <v>9</v>
      </c>
      <c r="L172" s="190">
        <v>7071182.0300000003</v>
      </c>
    </row>
    <row r="173" spans="1:12" ht="51" x14ac:dyDescent="0.3">
      <c r="A173" s="184" t="s">
        <v>58</v>
      </c>
      <c r="B173" s="185" t="s">
        <v>513</v>
      </c>
      <c r="C173" s="185" t="s">
        <v>35</v>
      </c>
      <c r="D173" s="185" t="s">
        <v>495</v>
      </c>
      <c r="E173" s="186" t="s">
        <v>37</v>
      </c>
      <c r="F173" s="192" t="s">
        <v>16</v>
      </c>
      <c r="G173" s="192"/>
      <c r="H173" s="186" t="s">
        <v>14</v>
      </c>
      <c r="I173" s="194">
        <v>939.48</v>
      </c>
      <c r="J173" s="194"/>
      <c r="K173" s="189" t="s">
        <v>9</v>
      </c>
      <c r="L173" s="190">
        <v>7070242.5499999998</v>
      </c>
    </row>
    <row r="174" spans="1:12" ht="51" x14ac:dyDescent="0.3">
      <c r="A174" s="184" t="s">
        <v>58</v>
      </c>
      <c r="B174" s="185" t="s">
        <v>513</v>
      </c>
      <c r="C174" s="185" t="s">
        <v>35</v>
      </c>
      <c r="D174" s="185" t="s">
        <v>436</v>
      </c>
      <c r="E174" s="186" t="s">
        <v>37</v>
      </c>
      <c r="F174" s="192" t="s">
        <v>16</v>
      </c>
      <c r="G174" s="192"/>
      <c r="H174" s="186" t="s">
        <v>14</v>
      </c>
      <c r="I174" s="193">
        <v>8169.92</v>
      </c>
      <c r="J174" s="193"/>
      <c r="K174" s="189" t="s">
        <v>9</v>
      </c>
      <c r="L174" s="190">
        <v>7062072.6299999999</v>
      </c>
    </row>
    <row r="175" spans="1:12" ht="51" x14ac:dyDescent="0.3">
      <c r="A175" s="184" t="s">
        <v>58</v>
      </c>
      <c r="B175" s="185" t="s">
        <v>513</v>
      </c>
      <c r="C175" s="185" t="s">
        <v>35</v>
      </c>
      <c r="D175" s="185" t="s">
        <v>450</v>
      </c>
      <c r="E175" s="186" t="s">
        <v>37</v>
      </c>
      <c r="F175" s="192" t="s">
        <v>16</v>
      </c>
      <c r="G175" s="192"/>
      <c r="H175" s="186" t="s">
        <v>14</v>
      </c>
      <c r="I175" s="194">
        <v>923.31</v>
      </c>
      <c r="J175" s="194"/>
      <c r="K175" s="189" t="s">
        <v>9</v>
      </c>
      <c r="L175" s="190">
        <v>7061149.3200000003</v>
      </c>
    </row>
    <row r="176" spans="1:12" ht="51" x14ac:dyDescent="0.3">
      <c r="A176" s="184" t="s">
        <v>58</v>
      </c>
      <c r="B176" s="185" t="s">
        <v>513</v>
      </c>
      <c r="C176" s="185" t="s">
        <v>35</v>
      </c>
      <c r="D176" s="185" t="s">
        <v>439</v>
      </c>
      <c r="E176" s="186" t="s">
        <v>37</v>
      </c>
      <c r="F176" s="192" t="s">
        <v>16</v>
      </c>
      <c r="G176" s="192"/>
      <c r="H176" s="186" t="s">
        <v>14</v>
      </c>
      <c r="I176" s="194">
        <v>676.67</v>
      </c>
      <c r="J176" s="194"/>
      <c r="K176" s="189" t="s">
        <v>9</v>
      </c>
      <c r="L176" s="190">
        <v>7060472.6500000004</v>
      </c>
    </row>
    <row r="177" spans="1:12" ht="51" x14ac:dyDescent="0.3">
      <c r="A177" s="184" t="s">
        <v>58</v>
      </c>
      <c r="B177" s="185" t="s">
        <v>518</v>
      </c>
      <c r="C177" s="185" t="s">
        <v>35</v>
      </c>
      <c r="D177" s="185" t="s">
        <v>483</v>
      </c>
      <c r="E177" s="186" t="s">
        <v>37</v>
      </c>
      <c r="F177" s="192" t="s">
        <v>16</v>
      </c>
      <c r="G177" s="192"/>
      <c r="H177" s="186" t="s">
        <v>14</v>
      </c>
      <c r="I177" s="193">
        <v>6541.04</v>
      </c>
      <c r="J177" s="193"/>
      <c r="K177" s="189" t="s">
        <v>9</v>
      </c>
      <c r="L177" s="190">
        <v>7053931.6100000003</v>
      </c>
    </row>
    <row r="178" spans="1:12" ht="51" x14ac:dyDescent="0.3">
      <c r="A178" s="184" t="s">
        <v>58</v>
      </c>
      <c r="B178" s="185" t="s">
        <v>518</v>
      </c>
      <c r="C178" s="185" t="s">
        <v>35</v>
      </c>
      <c r="D178" s="185" t="s">
        <v>483</v>
      </c>
      <c r="E178" s="186" t="s">
        <v>37</v>
      </c>
      <c r="F178" s="192" t="s">
        <v>16</v>
      </c>
      <c r="G178" s="192"/>
      <c r="H178" s="186" t="s">
        <v>14</v>
      </c>
      <c r="I178" s="193">
        <v>8934.92</v>
      </c>
      <c r="J178" s="193"/>
      <c r="K178" s="189" t="s">
        <v>9</v>
      </c>
      <c r="L178" s="190">
        <v>7044996.6900000004</v>
      </c>
    </row>
    <row r="179" spans="1:12" ht="51" x14ac:dyDescent="0.3">
      <c r="A179" s="184" t="s">
        <v>58</v>
      </c>
      <c r="B179" s="185" t="s">
        <v>518</v>
      </c>
      <c r="C179" s="185" t="s">
        <v>35</v>
      </c>
      <c r="D179" s="185" t="s">
        <v>504</v>
      </c>
      <c r="E179" s="186" t="s">
        <v>37</v>
      </c>
      <c r="F179" s="192" t="s">
        <v>16</v>
      </c>
      <c r="G179" s="192"/>
      <c r="H179" s="186" t="s">
        <v>14</v>
      </c>
      <c r="I179" s="193">
        <v>11751.4</v>
      </c>
      <c r="J179" s="193"/>
      <c r="K179" s="189" t="s">
        <v>9</v>
      </c>
      <c r="L179" s="190">
        <v>7033245.29</v>
      </c>
    </row>
    <row r="180" spans="1:12" ht="51" x14ac:dyDescent="0.3">
      <c r="A180" s="184" t="s">
        <v>58</v>
      </c>
      <c r="B180" s="185" t="s">
        <v>518</v>
      </c>
      <c r="C180" s="185" t="s">
        <v>35</v>
      </c>
      <c r="D180" s="185" t="s">
        <v>510</v>
      </c>
      <c r="E180" s="186" t="s">
        <v>37</v>
      </c>
      <c r="F180" s="192" t="s">
        <v>16</v>
      </c>
      <c r="G180" s="192"/>
      <c r="H180" s="186" t="s">
        <v>14</v>
      </c>
      <c r="I180" s="193">
        <v>13338.23</v>
      </c>
      <c r="J180" s="193"/>
      <c r="K180" s="189" t="s">
        <v>9</v>
      </c>
      <c r="L180" s="190">
        <v>7019907.0599999996</v>
      </c>
    </row>
    <row r="181" spans="1:12" ht="51" x14ac:dyDescent="0.3">
      <c r="A181" s="184" t="s">
        <v>58</v>
      </c>
      <c r="B181" s="185" t="s">
        <v>518</v>
      </c>
      <c r="C181" s="185" t="s">
        <v>35</v>
      </c>
      <c r="D181" s="185" t="s">
        <v>477</v>
      </c>
      <c r="E181" s="186" t="s">
        <v>37</v>
      </c>
      <c r="F181" s="192" t="s">
        <v>16</v>
      </c>
      <c r="G181" s="192"/>
      <c r="H181" s="186" t="s">
        <v>14</v>
      </c>
      <c r="I181" s="193">
        <v>260240.21</v>
      </c>
      <c r="J181" s="193"/>
      <c r="K181" s="189" t="s">
        <v>9</v>
      </c>
      <c r="L181" s="190">
        <v>6759666.8499999996</v>
      </c>
    </row>
    <row r="182" spans="1:12" ht="51" x14ac:dyDescent="0.3">
      <c r="A182" s="184" t="s">
        <v>58</v>
      </c>
      <c r="B182" s="185" t="s">
        <v>518</v>
      </c>
      <c r="C182" s="185" t="s">
        <v>35</v>
      </c>
      <c r="D182" s="185" t="s">
        <v>478</v>
      </c>
      <c r="E182" s="186" t="s">
        <v>37</v>
      </c>
      <c r="F182" s="192" t="s">
        <v>16</v>
      </c>
      <c r="G182" s="192"/>
      <c r="H182" s="186" t="s">
        <v>14</v>
      </c>
      <c r="I182" s="193">
        <v>22335.89</v>
      </c>
      <c r="J182" s="193"/>
      <c r="K182" s="189" t="s">
        <v>9</v>
      </c>
      <c r="L182" s="190">
        <v>6737330.96</v>
      </c>
    </row>
    <row r="183" spans="1:12" ht="51" x14ac:dyDescent="0.3">
      <c r="A183" s="184" t="s">
        <v>58</v>
      </c>
      <c r="B183" s="185" t="s">
        <v>518</v>
      </c>
      <c r="C183" s="185" t="s">
        <v>35</v>
      </c>
      <c r="D183" s="185" t="s">
        <v>516</v>
      </c>
      <c r="E183" s="186" t="s">
        <v>37</v>
      </c>
      <c r="F183" s="192" t="s">
        <v>16</v>
      </c>
      <c r="G183" s="192"/>
      <c r="H183" s="186" t="s">
        <v>14</v>
      </c>
      <c r="I183" s="193">
        <v>1613.87</v>
      </c>
      <c r="J183" s="193"/>
      <c r="K183" s="189" t="s">
        <v>9</v>
      </c>
      <c r="L183" s="190">
        <v>6735717.0899999999</v>
      </c>
    </row>
    <row r="184" spans="1:12" ht="51" x14ac:dyDescent="0.3">
      <c r="A184" s="184" t="s">
        <v>58</v>
      </c>
      <c r="B184" s="185" t="s">
        <v>518</v>
      </c>
      <c r="C184" s="185" t="s">
        <v>35</v>
      </c>
      <c r="D184" s="185" t="s">
        <v>519</v>
      </c>
      <c r="E184" s="186" t="s">
        <v>37</v>
      </c>
      <c r="F184" s="192" t="s">
        <v>16</v>
      </c>
      <c r="G184" s="192"/>
      <c r="H184" s="186" t="s">
        <v>14</v>
      </c>
      <c r="I184" s="193">
        <v>229094.6</v>
      </c>
      <c r="J184" s="193"/>
      <c r="K184" s="189" t="s">
        <v>9</v>
      </c>
      <c r="L184" s="190">
        <v>6506622.4900000002</v>
      </c>
    </row>
    <row r="185" spans="1:12" ht="51" x14ac:dyDescent="0.3">
      <c r="A185" s="184" t="s">
        <v>58</v>
      </c>
      <c r="B185" s="185" t="s">
        <v>518</v>
      </c>
      <c r="C185" s="185" t="s">
        <v>35</v>
      </c>
      <c r="D185" s="185" t="s">
        <v>519</v>
      </c>
      <c r="E185" s="186" t="s">
        <v>37</v>
      </c>
      <c r="F185" s="192" t="s">
        <v>16</v>
      </c>
      <c r="G185" s="192"/>
      <c r="H185" s="186" t="s">
        <v>14</v>
      </c>
      <c r="I185" s="193">
        <v>222635.8</v>
      </c>
      <c r="J185" s="193"/>
      <c r="K185" s="189" t="s">
        <v>9</v>
      </c>
      <c r="L185" s="190">
        <v>6283986.6900000004</v>
      </c>
    </row>
    <row r="186" spans="1:12" ht="51" x14ac:dyDescent="0.3">
      <c r="A186" s="184" t="s">
        <v>58</v>
      </c>
      <c r="B186" s="185" t="s">
        <v>518</v>
      </c>
      <c r="C186" s="185" t="s">
        <v>35</v>
      </c>
      <c r="D186" s="185" t="s">
        <v>484</v>
      </c>
      <c r="E186" s="186" t="s">
        <v>37</v>
      </c>
      <c r="F186" s="192" t="s">
        <v>16</v>
      </c>
      <c r="G186" s="192"/>
      <c r="H186" s="186" t="s">
        <v>14</v>
      </c>
      <c r="I186" s="193">
        <v>1715.3</v>
      </c>
      <c r="J186" s="193"/>
      <c r="K186" s="189" t="s">
        <v>9</v>
      </c>
      <c r="L186" s="190">
        <v>6282271.3899999997</v>
      </c>
    </row>
    <row r="187" spans="1:12" ht="51" x14ac:dyDescent="0.3">
      <c r="A187" s="184" t="s">
        <v>58</v>
      </c>
      <c r="B187" s="185" t="s">
        <v>518</v>
      </c>
      <c r="C187" s="185" t="s">
        <v>35</v>
      </c>
      <c r="D187" s="185" t="s">
        <v>509</v>
      </c>
      <c r="E187" s="186" t="s">
        <v>37</v>
      </c>
      <c r="F187" s="192" t="s">
        <v>16</v>
      </c>
      <c r="G187" s="192"/>
      <c r="H187" s="186" t="s">
        <v>14</v>
      </c>
      <c r="I187" s="193">
        <v>8778</v>
      </c>
      <c r="J187" s="193"/>
      <c r="K187" s="189" t="s">
        <v>9</v>
      </c>
      <c r="L187" s="190">
        <v>6273493.3899999997</v>
      </c>
    </row>
    <row r="188" spans="1:12" ht="51" x14ac:dyDescent="0.3">
      <c r="A188" s="184" t="s">
        <v>58</v>
      </c>
      <c r="B188" s="185" t="s">
        <v>518</v>
      </c>
      <c r="C188" s="185" t="s">
        <v>35</v>
      </c>
      <c r="D188" s="185" t="s">
        <v>488</v>
      </c>
      <c r="E188" s="186" t="s">
        <v>37</v>
      </c>
      <c r="F188" s="192" t="s">
        <v>16</v>
      </c>
      <c r="G188" s="192"/>
      <c r="H188" s="186" t="s">
        <v>14</v>
      </c>
      <c r="I188" s="194">
        <v>83.8</v>
      </c>
      <c r="J188" s="194"/>
      <c r="K188" s="189" t="s">
        <v>9</v>
      </c>
      <c r="L188" s="190">
        <v>6273409.5899999999</v>
      </c>
    </row>
    <row r="189" spans="1:12" ht="61.2" x14ac:dyDescent="0.3">
      <c r="A189" s="184" t="s">
        <v>58</v>
      </c>
      <c r="B189" s="185" t="s">
        <v>518</v>
      </c>
      <c r="C189" s="185" t="s">
        <v>35</v>
      </c>
      <c r="D189" s="185" t="s">
        <v>434</v>
      </c>
      <c r="E189" s="186" t="s">
        <v>37</v>
      </c>
      <c r="F189" s="192" t="s">
        <v>16</v>
      </c>
      <c r="G189" s="192"/>
      <c r="H189" s="186" t="s">
        <v>14</v>
      </c>
      <c r="I189" s="193">
        <v>4611</v>
      </c>
      <c r="J189" s="193"/>
      <c r="K189" s="189" t="s">
        <v>9</v>
      </c>
      <c r="L189" s="190">
        <v>6268798.5899999999</v>
      </c>
    </row>
    <row r="190" spans="1:12" ht="51" x14ac:dyDescent="0.3">
      <c r="A190" s="184" t="s">
        <v>58</v>
      </c>
      <c r="B190" s="185" t="s">
        <v>518</v>
      </c>
      <c r="C190" s="185" t="s">
        <v>35</v>
      </c>
      <c r="D190" s="185" t="s">
        <v>436</v>
      </c>
      <c r="E190" s="186" t="s">
        <v>37</v>
      </c>
      <c r="F190" s="192" t="s">
        <v>16</v>
      </c>
      <c r="G190" s="192"/>
      <c r="H190" s="186" t="s">
        <v>14</v>
      </c>
      <c r="I190" s="193">
        <v>15920.15</v>
      </c>
      <c r="J190" s="193"/>
      <c r="K190" s="189" t="s">
        <v>9</v>
      </c>
      <c r="L190" s="190">
        <v>6252878.4400000004</v>
      </c>
    </row>
    <row r="191" spans="1:12" ht="51" x14ac:dyDescent="0.3">
      <c r="A191" s="184" t="s">
        <v>58</v>
      </c>
      <c r="B191" s="185" t="s">
        <v>518</v>
      </c>
      <c r="C191" s="185" t="s">
        <v>35</v>
      </c>
      <c r="D191" s="185" t="s">
        <v>428</v>
      </c>
      <c r="E191" s="186" t="s">
        <v>37</v>
      </c>
      <c r="F191" s="192" t="s">
        <v>16</v>
      </c>
      <c r="G191" s="192"/>
      <c r="H191" s="186" t="s">
        <v>14</v>
      </c>
      <c r="I191" s="193">
        <v>11338.6</v>
      </c>
      <c r="J191" s="193"/>
      <c r="K191" s="189" t="s">
        <v>9</v>
      </c>
      <c r="L191" s="190">
        <v>6241539.8399999999</v>
      </c>
    </row>
    <row r="192" spans="1:12" ht="61.2" x14ac:dyDescent="0.3">
      <c r="A192" s="184" t="s">
        <v>58</v>
      </c>
      <c r="B192" s="185" t="s">
        <v>520</v>
      </c>
      <c r="C192" s="185" t="s">
        <v>35</v>
      </c>
      <c r="D192" s="185" t="s">
        <v>434</v>
      </c>
      <c r="E192" s="186" t="s">
        <v>37</v>
      </c>
      <c r="F192" s="192" t="s">
        <v>16</v>
      </c>
      <c r="G192" s="192"/>
      <c r="H192" s="186" t="s">
        <v>14</v>
      </c>
      <c r="I192" s="193">
        <v>10229</v>
      </c>
      <c r="J192" s="193"/>
      <c r="K192" s="189" t="s">
        <v>9</v>
      </c>
      <c r="L192" s="190">
        <v>6231310.8399999999</v>
      </c>
    </row>
    <row r="193" spans="1:12" ht="51" x14ac:dyDescent="0.3">
      <c r="A193" s="184" t="s">
        <v>58</v>
      </c>
      <c r="B193" s="185" t="s">
        <v>520</v>
      </c>
      <c r="C193" s="185" t="s">
        <v>35</v>
      </c>
      <c r="D193" s="185" t="s">
        <v>436</v>
      </c>
      <c r="E193" s="186" t="s">
        <v>37</v>
      </c>
      <c r="F193" s="192" t="s">
        <v>16</v>
      </c>
      <c r="G193" s="192"/>
      <c r="H193" s="186" t="s">
        <v>14</v>
      </c>
      <c r="I193" s="194">
        <v>55.96</v>
      </c>
      <c r="J193" s="194"/>
      <c r="K193" s="189" t="s">
        <v>9</v>
      </c>
      <c r="L193" s="190">
        <v>6231254.8799999999</v>
      </c>
    </row>
    <row r="194" spans="1:12" ht="51" x14ac:dyDescent="0.3">
      <c r="A194" s="184" t="s">
        <v>58</v>
      </c>
      <c r="B194" s="185" t="s">
        <v>520</v>
      </c>
      <c r="C194" s="185" t="s">
        <v>35</v>
      </c>
      <c r="D194" s="185" t="s">
        <v>491</v>
      </c>
      <c r="E194" s="186" t="s">
        <v>37</v>
      </c>
      <c r="F194" s="192" t="s">
        <v>16</v>
      </c>
      <c r="G194" s="192"/>
      <c r="H194" s="186" t="s">
        <v>14</v>
      </c>
      <c r="I194" s="194">
        <v>993.71</v>
      </c>
      <c r="J194" s="194"/>
      <c r="K194" s="189" t="s">
        <v>9</v>
      </c>
      <c r="L194" s="190">
        <v>6230261.1699999999</v>
      </c>
    </row>
    <row r="195" spans="1:12" ht="51" x14ac:dyDescent="0.3">
      <c r="A195" s="184" t="s">
        <v>58</v>
      </c>
      <c r="B195" s="185" t="s">
        <v>520</v>
      </c>
      <c r="C195" s="185" t="s">
        <v>35</v>
      </c>
      <c r="D195" s="185" t="s">
        <v>458</v>
      </c>
      <c r="E195" s="186" t="s">
        <v>37</v>
      </c>
      <c r="F195" s="192" t="s">
        <v>16</v>
      </c>
      <c r="G195" s="192"/>
      <c r="H195" s="186" t="s">
        <v>14</v>
      </c>
      <c r="I195" s="193">
        <v>7358.52</v>
      </c>
      <c r="J195" s="193"/>
      <c r="K195" s="189" t="s">
        <v>9</v>
      </c>
      <c r="L195" s="190">
        <v>6222902.6500000004</v>
      </c>
    </row>
    <row r="196" spans="1:12" ht="51" x14ac:dyDescent="0.3">
      <c r="A196" s="184" t="s">
        <v>58</v>
      </c>
      <c r="B196" s="185" t="s">
        <v>520</v>
      </c>
      <c r="C196" s="185" t="s">
        <v>35</v>
      </c>
      <c r="D196" s="185" t="s">
        <v>450</v>
      </c>
      <c r="E196" s="186" t="s">
        <v>37</v>
      </c>
      <c r="F196" s="192" t="s">
        <v>16</v>
      </c>
      <c r="G196" s="192"/>
      <c r="H196" s="186" t="s">
        <v>14</v>
      </c>
      <c r="I196" s="193">
        <v>1063.21</v>
      </c>
      <c r="J196" s="193"/>
      <c r="K196" s="189" t="s">
        <v>9</v>
      </c>
      <c r="L196" s="190">
        <v>6221839.4400000004</v>
      </c>
    </row>
    <row r="197" spans="1:12" ht="51" x14ac:dyDescent="0.3">
      <c r="A197" s="184" t="s">
        <v>58</v>
      </c>
      <c r="B197" s="185" t="s">
        <v>520</v>
      </c>
      <c r="C197" s="185" t="s">
        <v>35</v>
      </c>
      <c r="D197" s="185" t="s">
        <v>459</v>
      </c>
      <c r="E197" s="186" t="s">
        <v>37</v>
      </c>
      <c r="F197" s="192" t="s">
        <v>16</v>
      </c>
      <c r="G197" s="192"/>
      <c r="H197" s="186" t="s">
        <v>14</v>
      </c>
      <c r="I197" s="193">
        <v>158949.66</v>
      </c>
      <c r="J197" s="193"/>
      <c r="K197" s="189" t="s">
        <v>9</v>
      </c>
      <c r="L197" s="190">
        <v>6062889.7800000003</v>
      </c>
    </row>
    <row r="198" spans="1:12" ht="51" x14ac:dyDescent="0.3">
      <c r="A198" s="184" t="s">
        <v>58</v>
      </c>
      <c r="B198" s="185" t="s">
        <v>520</v>
      </c>
      <c r="C198" s="185" t="s">
        <v>35</v>
      </c>
      <c r="D198" s="185" t="s">
        <v>439</v>
      </c>
      <c r="E198" s="186" t="s">
        <v>37</v>
      </c>
      <c r="F198" s="192" t="s">
        <v>16</v>
      </c>
      <c r="G198" s="192"/>
      <c r="H198" s="186" t="s">
        <v>14</v>
      </c>
      <c r="I198" s="193">
        <v>36167.83</v>
      </c>
      <c r="J198" s="193"/>
      <c r="K198" s="189" t="s">
        <v>9</v>
      </c>
      <c r="L198" s="190">
        <v>6026721.9500000002</v>
      </c>
    </row>
    <row r="199" spans="1:12" ht="51" x14ac:dyDescent="0.3">
      <c r="A199" s="184" t="s">
        <v>58</v>
      </c>
      <c r="B199" s="185" t="s">
        <v>520</v>
      </c>
      <c r="C199" s="185" t="s">
        <v>35</v>
      </c>
      <c r="D199" s="185" t="s">
        <v>428</v>
      </c>
      <c r="E199" s="186" t="s">
        <v>37</v>
      </c>
      <c r="F199" s="192" t="s">
        <v>16</v>
      </c>
      <c r="G199" s="192"/>
      <c r="H199" s="186" t="s">
        <v>14</v>
      </c>
      <c r="I199" s="193">
        <v>265310.5</v>
      </c>
      <c r="J199" s="193"/>
      <c r="K199" s="189" t="s">
        <v>9</v>
      </c>
      <c r="L199" s="190">
        <v>5761411.4500000002</v>
      </c>
    </row>
    <row r="200" spans="1:12" ht="51" x14ac:dyDescent="0.3">
      <c r="A200" s="184" t="s">
        <v>58</v>
      </c>
      <c r="B200" s="185" t="s">
        <v>520</v>
      </c>
      <c r="C200" s="185" t="s">
        <v>35</v>
      </c>
      <c r="D200" s="185" t="s">
        <v>436</v>
      </c>
      <c r="E200" s="186" t="s">
        <v>37</v>
      </c>
      <c r="F200" s="192" t="s">
        <v>16</v>
      </c>
      <c r="G200" s="192"/>
      <c r="H200" s="186" t="s">
        <v>14</v>
      </c>
      <c r="I200" s="194">
        <v>335.75</v>
      </c>
      <c r="J200" s="194"/>
      <c r="K200" s="189" t="s">
        <v>9</v>
      </c>
      <c r="L200" s="190">
        <v>5761075.7000000002</v>
      </c>
    </row>
    <row r="201" spans="1:12" ht="51" x14ac:dyDescent="0.3">
      <c r="A201" s="184" t="s">
        <v>58</v>
      </c>
      <c r="B201" s="185" t="s">
        <v>520</v>
      </c>
      <c r="C201" s="185" t="s">
        <v>35</v>
      </c>
      <c r="D201" s="185" t="s">
        <v>498</v>
      </c>
      <c r="E201" s="186" t="s">
        <v>37</v>
      </c>
      <c r="F201" s="192" t="s">
        <v>16</v>
      </c>
      <c r="G201" s="192"/>
      <c r="H201" s="186" t="s">
        <v>14</v>
      </c>
      <c r="I201" s="193">
        <v>9535.42</v>
      </c>
      <c r="J201" s="193"/>
      <c r="K201" s="189" t="s">
        <v>9</v>
      </c>
      <c r="L201" s="190">
        <v>5751540.2800000003</v>
      </c>
    </row>
    <row r="202" spans="1:12" ht="51" x14ac:dyDescent="0.3">
      <c r="A202" s="184" t="s">
        <v>58</v>
      </c>
      <c r="B202" s="185" t="s">
        <v>520</v>
      </c>
      <c r="C202" s="185" t="s">
        <v>35</v>
      </c>
      <c r="D202" s="185" t="s">
        <v>439</v>
      </c>
      <c r="E202" s="186" t="s">
        <v>37</v>
      </c>
      <c r="F202" s="192" t="s">
        <v>16</v>
      </c>
      <c r="G202" s="192"/>
      <c r="H202" s="186" t="s">
        <v>14</v>
      </c>
      <c r="I202" s="193">
        <v>7206.5</v>
      </c>
      <c r="J202" s="193"/>
      <c r="K202" s="189" t="s">
        <v>9</v>
      </c>
      <c r="L202" s="190">
        <v>5744333.7800000003</v>
      </c>
    </row>
    <row r="203" spans="1:12" ht="51" x14ac:dyDescent="0.3">
      <c r="A203" s="184" t="s">
        <v>58</v>
      </c>
      <c r="B203" s="185" t="s">
        <v>520</v>
      </c>
      <c r="C203" s="185" t="s">
        <v>35</v>
      </c>
      <c r="D203" s="185" t="s">
        <v>428</v>
      </c>
      <c r="E203" s="186" t="s">
        <v>37</v>
      </c>
      <c r="F203" s="192" t="s">
        <v>16</v>
      </c>
      <c r="G203" s="192"/>
      <c r="H203" s="186" t="s">
        <v>14</v>
      </c>
      <c r="I203" s="193">
        <v>31435.95</v>
      </c>
      <c r="J203" s="193"/>
      <c r="K203" s="189" t="s">
        <v>9</v>
      </c>
      <c r="L203" s="190">
        <v>5712897.8300000001</v>
      </c>
    </row>
    <row r="204" spans="1:12" ht="51" x14ac:dyDescent="0.3">
      <c r="A204" s="184" t="s">
        <v>58</v>
      </c>
      <c r="B204" s="185" t="s">
        <v>521</v>
      </c>
      <c r="C204" s="185" t="s">
        <v>35</v>
      </c>
      <c r="D204" s="185" t="s">
        <v>319</v>
      </c>
      <c r="E204" s="186" t="s">
        <v>37</v>
      </c>
      <c r="F204" s="192" t="s">
        <v>16</v>
      </c>
      <c r="G204" s="192"/>
      <c r="H204" s="186" t="s">
        <v>14</v>
      </c>
      <c r="I204" s="193">
        <v>2107.62</v>
      </c>
      <c r="J204" s="193"/>
      <c r="K204" s="189" t="s">
        <v>9</v>
      </c>
      <c r="L204" s="190">
        <v>5710790.21</v>
      </c>
    </row>
    <row r="205" spans="1:12" ht="51" x14ac:dyDescent="0.3">
      <c r="A205" s="184" t="s">
        <v>58</v>
      </c>
      <c r="B205" s="185" t="s">
        <v>521</v>
      </c>
      <c r="C205" s="185" t="s">
        <v>35</v>
      </c>
      <c r="D205" s="185" t="s">
        <v>318</v>
      </c>
      <c r="E205" s="186" t="s">
        <v>37</v>
      </c>
      <c r="F205" s="192" t="s">
        <v>16</v>
      </c>
      <c r="G205" s="192"/>
      <c r="H205" s="186" t="s">
        <v>14</v>
      </c>
      <c r="I205" s="193">
        <v>3566.18</v>
      </c>
      <c r="J205" s="193"/>
      <c r="K205" s="189" t="s">
        <v>9</v>
      </c>
      <c r="L205" s="190">
        <v>5707224.0300000003</v>
      </c>
    </row>
    <row r="206" spans="1:12" ht="51" x14ac:dyDescent="0.3">
      <c r="A206" s="184" t="s">
        <v>58</v>
      </c>
      <c r="B206" s="185" t="s">
        <v>521</v>
      </c>
      <c r="C206" s="185" t="s">
        <v>35</v>
      </c>
      <c r="D206" s="185" t="s">
        <v>244</v>
      </c>
      <c r="E206" s="186" t="s">
        <v>37</v>
      </c>
      <c r="F206" s="192" t="s">
        <v>16</v>
      </c>
      <c r="G206" s="192"/>
      <c r="H206" s="186" t="s">
        <v>14</v>
      </c>
      <c r="I206" s="193">
        <v>5261.4</v>
      </c>
      <c r="J206" s="193"/>
      <c r="K206" s="189" t="s">
        <v>9</v>
      </c>
      <c r="L206" s="190">
        <v>5701962.6299999999</v>
      </c>
    </row>
    <row r="207" spans="1:12" ht="51" x14ac:dyDescent="0.3">
      <c r="A207" s="184" t="s">
        <v>58</v>
      </c>
      <c r="B207" s="185" t="s">
        <v>521</v>
      </c>
      <c r="C207" s="185" t="s">
        <v>35</v>
      </c>
      <c r="D207" s="185" t="s">
        <v>244</v>
      </c>
      <c r="E207" s="186" t="s">
        <v>37</v>
      </c>
      <c r="F207" s="192" t="s">
        <v>16</v>
      </c>
      <c r="G207" s="192"/>
      <c r="H207" s="186" t="s">
        <v>14</v>
      </c>
      <c r="I207" s="193">
        <v>42933.01</v>
      </c>
      <c r="J207" s="193"/>
      <c r="K207" s="189" t="s">
        <v>9</v>
      </c>
      <c r="L207" s="190">
        <v>5659029.6200000001</v>
      </c>
    </row>
    <row r="208" spans="1:12" ht="51" x14ac:dyDescent="0.3">
      <c r="A208" s="184" t="s">
        <v>58</v>
      </c>
      <c r="B208" s="185" t="s">
        <v>521</v>
      </c>
      <c r="C208" s="185" t="s">
        <v>35</v>
      </c>
      <c r="D208" s="185" t="s">
        <v>320</v>
      </c>
      <c r="E208" s="186" t="s">
        <v>37</v>
      </c>
      <c r="F208" s="192" t="s">
        <v>16</v>
      </c>
      <c r="G208" s="192"/>
      <c r="H208" s="186" t="s">
        <v>14</v>
      </c>
      <c r="I208" s="193">
        <v>4197.95</v>
      </c>
      <c r="J208" s="193"/>
      <c r="K208" s="189" t="s">
        <v>9</v>
      </c>
      <c r="L208" s="190">
        <v>5654831.6699999999</v>
      </c>
    </row>
    <row r="209" spans="1:12" ht="51" x14ac:dyDescent="0.3">
      <c r="A209" s="184" t="s">
        <v>58</v>
      </c>
      <c r="B209" s="185" t="s">
        <v>521</v>
      </c>
      <c r="C209" s="185" t="s">
        <v>35</v>
      </c>
      <c r="D209" s="185" t="s">
        <v>320</v>
      </c>
      <c r="E209" s="186" t="s">
        <v>37</v>
      </c>
      <c r="F209" s="192" t="s">
        <v>16</v>
      </c>
      <c r="G209" s="192"/>
      <c r="H209" s="186" t="s">
        <v>14</v>
      </c>
      <c r="I209" s="193">
        <v>9628.33</v>
      </c>
      <c r="J209" s="193"/>
      <c r="K209" s="189" t="s">
        <v>9</v>
      </c>
      <c r="L209" s="190">
        <v>5645203.3399999999</v>
      </c>
    </row>
    <row r="210" spans="1:12" ht="51" hidden="1" x14ac:dyDescent="0.3">
      <c r="A210" s="184" t="s">
        <v>58</v>
      </c>
      <c r="B210" s="185" t="s">
        <v>333</v>
      </c>
      <c r="C210" s="185" t="s">
        <v>334</v>
      </c>
      <c r="D210" s="185" t="s">
        <v>115</v>
      </c>
      <c r="E210" s="186" t="s">
        <v>14</v>
      </c>
      <c r="F210" s="187">
        <v>32160</v>
      </c>
      <c r="G210" s="187"/>
      <c r="H210" s="186" t="s">
        <v>14</v>
      </c>
      <c r="I210" s="188" t="s">
        <v>16</v>
      </c>
      <c r="J210" s="188"/>
      <c r="K210" s="189" t="s">
        <v>9</v>
      </c>
      <c r="L210" s="190">
        <v>5677363.3399999999</v>
      </c>
    </row>
    <row r="211" spans="1:12" ht="51" hidden="1" x14ac:dyDescent="0.3">
      <c r="A211" s="184" t="s">
        <v>58</v>
      </c>
      <c r="B211" s="185" t="s">
        <v>333</v>
      </c>
      <c r="C211" s="185" t="s">
        <v>335</v>
      </c>
      <c r="D211" s="185" t="s">
        <v>332</v>
      </c>
      <c r="E211" s="186" t="s">
        <v>14</v>
      </c>
      <c r="F211" s="187">
        <v>5142.67</v>
      </c>
      <c r="G211" s="187"/>
      <c r="H211" s="186" t="s">
        <v>14</v>
      </c>
      <c r="I211" s="188" t="s">
        <v>16</v>
      </c>
      <c r="J211" s="188"/>
      <c r="K211" s="189" t="s">
        <v>9</v>
      </c>
      <c r="L211" s="190">
        <v>5682506.0099999998</v>
      </c>
    </row>
    <row r="212" spans="1:12" ht="51" x14ac:dyDescent="0.3">
      <c r="A212" s="184" t="s">
        <v>58</v>
      </c>
      <c r="B212" s="185" t="s">
        <v>522</v>
      </c>
      <c r="C212" s="185" t="s">
        <v>35</v>
      </c>
      <c r="D212" s="185" t="s">
        <v>334</v>
      </c>
      <c r="E212" s="186" t="s">
        <v>37</v>
      </c>
      <c r="F212" s="192" t="s">
        <v>16</v>
      </c>
      <c r="G212" s="192"/>
      <c r="H212" s="186" t="s">
        <v>14</v>
      </c>
      <c r="I212" s="193">
        <v>29145</v>
      </c>
      <c r="J212" s="193"/>
      <c r="K212" s="189" t="s">
        <v>9</v>
      </c>
      <c r="L212" s="190">
        <v>5653361.0099999998</v>
      </c>
    </row>
    <row r="213" spans="1:12" ht="51" x14ac:dyDescent="0.3">
      <c r="A213" s="184" t="s">
        <v>58</v>
      </c>
      <c r="B213" s="185" t="s">
        <v>522</v>
      </c>
      <c r="C213" s="185" t="s">
        <v>35</v>
      </c>
      <c r="D213" s="185" t="s">
        <v>334</v>
      </c>
      <c r="E213" s="186" t="s">
        <v>37</v>
      </c>
      <c r="F213" s="192" t="s">
        <v>16</v>
      </c>
      <c r="G213" s="192"/>
      <c r="H213" s="186" t="s">
        <v>14</v>
      </c>
      <c r="I213" s="193">
        <v>3015</v>
      </c>
      <c r="J213" s="193"/>
      <c r="K213" s="189" t="s">
        <v>9</v>
      </c>
      <c r="L213" s="190">
        <v>5650346.0099999998</v>
      </c>
    </row>
    <row r="214" spans="1:12" ht="51" x14ac:dyDescent="0.3">
      <c r="A214" s="184" t="s">
        <v>58</v>
      </c>
      <c r="B214" s="185" t="s">
        <v>522</v>
      </c>
      <c r="C214" s="185" t="s">
        <v>35</v>
      </c>
      <c r="D214" s="185" t="s">
        <v>335</v>
      </c>
      <c r="E214" s="186" t="s">
        <v>37</v>
      </c>
      <c r="F214" s="192" t="s">
        <v>16</v>
      </c>
      <c r="G214" s="192"/>
      <c r="H214" s="186" t="s">
        <v>14</v>
      </c>
      <c r="I214" s="193">
        <v>5142.67</v>
      </c>
      <c r="J214" s="193"/>
      <c r="K214" s="189" t="s">
        <v>9</v>
      </c>
      <c r="L214" s="190">
        <v>5645203.3399999999</v>
      </c>
    </row>
    <row r="215" spans="1:12" ht="51" x14ac:dyDescent="0.3">
      <c r="A215" s="184" t="s">
        <v>58</v>
      </c>
      <c r="B215" s="185" t="s">
        <v>523</v>
      </c>
      <c r="C215" s="185" t="s">
        <v>35</v>
      </c>
      <c r="D215" s="185" t="s">
        <v>244</v>
      </c>
      <c r="E215" s="186" t="s">
        <v>37</v>
      </c>
      <c r="F215" s="192" t="s">
        <v>16</v>
      </c>
      <c r="G215" s="192"/>
      <c r="H215" s="186" t="s">
        <v>14</v>
      </c>
      <c r="I215" s="193">
        <v>206106.49</v>
      </c>
      <c r="J215" s="193"/>
      <c r="K215" s="189" t="s">
        <v>9</v>
      </c>
      <c r="L215" s="190">
        <v>5439096.8499999996</v>
      </c>
    </row>
    <row r="216" spans="1:12" ht="51" x14ac:dyDescent="0.3">
      <c r="A216" s="184" t="s">
        <v>58</v>
      </c>
      <c r="B216" s="185" t="s">
        <v>523</v>
      </c>
      <c r="C216" s="185" t="s">
        <v>35</v>
      </c>
      <c r="D216" s="185" t="s">
        <v>263</v>
      </c>
      <c r="E216" s="186" t="s">
        <v>37</v>
      </c>
      <c r="F216" s="192" t="s">
        <v>16</v>
      </c>
      <c r="G216" s="192"/>
      <c r="H216" s="186" t="s">
        <v>14</v>
      </c>
      <c r="I216" s="193">
        <v>42650.83</v>
      </c>
      <c r="J216" s="193"/>
      <c r="K216" s="189" t="s">
        <v>9</v>
      </c>
      <c r="L216" s="190">
        <v>5396446.0199999996</v>
      </c>
    </row>
    <row r="217" spans="1:12" ht="51" x14ac:dyDescent="0.3">
      <c r="A217" s="184" t="s">
        <v>58</v>
      </c>
      <c r="B217" s="185" t="s">
        <v>523</v>
      </c>
      <c r="C217" s="185" t="s">
        <v>35</v>
      </c>
      <c r="D217" s="185" t="s">
        <v>263</v>
      </c>
      <c r="E217" s="186" t="s">
        <v>37</v>
      </c>
      <c r="F217" s="192" t="s">
        <v>16</v>
      </c>
      <c r="G217" s="192"/>
      <c r="H217" s="186" t="s">
        <v>14</v>
      </c>
      <c r="I217" s="193">
        <v>16586.439999999999</v>
      </c>
      <c r="J217" s="193"/>
      <c r="K217" s="189" t="s">
        <v>9</v>
      </c>
      <c r="L217" s="190">
        <v>5379859.5800000001</v>
      </c>
    </row>
    <row r="218" spans="1:12" ht="51" x14ac:dyDescent="0.3">
      <c r="A218" s="184" t="s">
        <v>58</v>
      </c>
      <c r="B218" s="185" t="s">
        <v>524</v>
      </c>
      <c r="C218" s="185" t="s">
        <v>35</v>
      </c>
      <c r="D218" s="185" t="s">
        <v>411</v>
      </c>
      <c r="E218" s="186" t="s">
        <v>37</v>
      </c>
      <c r="F218" s="192" t="s">
        <v>16</v>
      </c>
      <c r="G218" s="192"/>
      <c r="H218" s="186" t="s">
        <v>14</v>
      </c>
      <c r="I218" s="193">
        <v>23734.14</v>
      </c>
      <c r="J218" s="193"/>
      <c r="K218" s="189" t="s">
        <v>9</v>
      </c>
      <c r="L218" s="190">
        <v>5356125.4400000004</v>
      </c>
    </row>
    <row r="219" spans="1:12" ht="51" hidden="1" x14ac:dyDescent="0.3">
      <c r="A219" s="184" t="s">
        <v>266</v>
      </c>
      <c r="B219" s="185" t="s">
        <v>275</v>
      </c>
      <c r="C219" s="185" t="s">
        <v>276</v>
      </c>
      <c r="D219" s="185" t="s">
        <v>268</v>
      </c>
      <c r="E219" s="186" t="s">
        <v>14</v>
      </c>
      <c r="F219" s="187">
        <v>1484.09</v>
      </c>
      <c r="G219" s="187"/>
      <c r="H219" s="186" t="s">
        <v>14</v>
      </c>
      <c r="I219" s="188" t="s">
        <v>16</v>
      </c>
      <c r="J219" s="188"/>
      <c r="K219" s="189" t="s">
        <v>9</v>
      </c>
      <c r="L219" s="190">
        <v>5357609.53</v>
      </c>
    </row>
    <row r="220" spans="1:12" ht="51" hidden="1" x14ac:dyDescent="0.3">
      <c r="A220" s="184" t="s">
        <v>266</v>
      </c>
      <c r="B220" s="185" t="s">
        <v>280</v>
      </c>
      <c r="C220" s="185" t="s">
        <v>281</v>
      </c>
      <c r="D220" s="185" t="s">
        <v>278</v>
      </c>
      <c r="E220" s="186" t="s">
        <v>14</v>
      </c>
      <c r="F220" s="187">
        <v>3239.5</v>
      </c>
      <c r="G220" s="187"/>
      <c r="H220" s="186" t="s">
        <v>14</v>
      </c>
      <c r="I220" s="188" t="s">
        <v>16</v>
      </c>
      <c r="J220" s="188"/>
      <c r="K220" s="189" t="s">
        <v>9</v>
      </c>
      <c r="L220" s="190">
        <v>5360849.03</v>
      </c>
    </row>
    <row r="221" spans="1:12" hidden="1" x14ac:dyDescent="0.3">
      <c r="A221" s="195" t="s">
        <v>60</v>
      </c>
      <c r="B221" s="195"/>
      <c r="C221" s="195"/>
      <c r="D221" s="195"/>
      <c r="E221" s="196">
        <v>5011773.08</v>
      </c>
      <c r="F221" s="196"/>
      <c r="G221" s="196"/>
      <c r="H221" s="196">
        <v>4867495.29</v>
      </c>
      <c r="I221" s="196"/>
      <c r="J221" s="196"/>
      <c r="K221" s="197" t="s">
        <v>9</v>
      </c>
      <c r="L221" s="198">
        <v>5360849.03</v>
      </c>
    </row>
    <row r="223" spans="1:12" x14ac:dyDescent="0.3">
      <c r="J223" s="29">
        <f>SUBTOTAL(9,I30:J218)</f>
        <v>4836222.629999998</v>
      </c>
    </row>
  </sheetData>
  <autoFilter ref="A1:L221">
    <filterColumn colId="1">
      <filters>
        <filter val="Вимога-накладна ІБ00-000017 від 15.01.2025 22:00:09_x000a_Списаны ТМЦ"/>
        <filter val="Вимога-накладна ІБ00-000028 від 30.01.2025 18:03:05_x000a_Списаны ТМЦ"/>
        <filter val="Вимога-накладна ІБ00-000029 від 30.01.2025 18:03:08_x000a_Списаны ТМЦ"/>
        <filter val="Вимога-накладна ІБ00-000034 від 30.01.2025 20:41:50_x000a_Списаны ТМЦ"/>
        <filter val="Вимога-накладна ІБ00-000036 від 30.01.2025 22:00:00_x000a_Списаны ТМЦ"/>
        <filter val="Вимога-накладна ІБ00-000037 від 30.01.2025 23:00:00_x000a_Списаны ТМЦ"/>
        <filter val="Вимога-накладна ІБ00-000039 від 30.01.2025 23:00:00_x000a_Списаны ТМЦ"/>
        <filter val="Вимога-накладна ІБ00-000040 від 30.01.2025 23:10:00_x000a_Списаны ТМЦ"/>
        <filter val="Вимога-накладна ІБ00-000041 від 30.01.2025 23:20:00_x000a_Списаны ТМЦ"/>
        <filter val="Вимога-накладна ІБ00-000056 від 30.01.2025 23:20:15_x000a_Списаны ТМЦ"/>
        <filter val="Вимога-накладна ІБ00-000060 від 30.01.2025 23:20:20_x000a_Списаны ТМЦ"/>
        <filter val="Вимога-накладна ІБ00-000061 від 30.01.2025 23:20:21_x000a_Списаны ТМЦ"/>
        <filter val="Вимога-накладна ІБ00-000062 від 30.01.2025 23:20:22_x000a_Списаны ТМЦ"/>
        <filter val="Списання товарів ІБ00-000021 від 30.01.2025 11:27:04_x000a_Списаны ТМЦ"/>
        <filter val="Списання товарів ІБ00-000026 від 30.01.2025 21:00:04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48">
    <mergeCell ref="F220:G220"/>
    <mergeCell ref="I220:J220"/>
    <mergeCell ref="A221:D221"/>
    <mergeCell ref="E221:G221"/>
    <mergeCell ref="H221:J221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C11"/>
  <sheetViews>
    <sheetView tabSelected="1" workbookViewId="0">
      <selection activeCell="D14" sqref="D14"/>
    </sheetView>
  </sheetViews>
  <sheetFormatPr defaultRowHeight="14.4" x14ac:dyDescent="0.3"/>
  <cols>
    <col min="1" max="1" width="3.77734375" customWidth="1"/>
    <col min="2" max="2" width="34.5546875" bestFit="1" customWidth="1"/>
    <col min="3" max="3" width="12.21875" customWidth="1"/>
  </cols>
  <sheetData>
    <row r="1" spans="2:3" x14ac:dyDescent="0.3">
      <c r="B1" s="229" t="s">
        <v>554</v>
      </c>
      <c r="C1" s="230" t="s">
        <v>555</v>
      </c>
    </row>
    <row r="2" spans="2:3" x14ac:dyDescent="0.3">
      <c r="B2" s="226" t="s">
        <v>0</v>
      </c>
      <c r="C2" s="227">
        <f>'Генплан підпірна стінка'!J26*1.2</f>
        <v>69026.100000000006</v>
      </c>
    </row>
    <row r="3" spans="2:3" x14ac:dyDescent="0.3">
      <c r="B3" s="226" t="s">
        <v>61</v>
      </c>
      <c r="C3" s="227">
        <f>'Глобине-2'!J140*1.2</f>
        <v>23683.907999999999</v>
      </c>
    </row>
    <row r="4" spans="2:3" x14ac:dyDescent="0.3">
      <c r="B4" s="226" t="s">
        <v>62</v>
      </c>
      <c r="C4" s="227">
        <f>'Котельна (Глобине)'!J64*1.2</f>
        <v>61160.856000000014</v>
      </c>
    </row>
    <row r="5" spans="2:3" x14ac:dyDescent="0.3">
      <c r="B5" s="226" t="s">
        <v>63</v>
      </c>
      <c r="C5" s="227">
        <v>0</v>
      </c>
    </row>
    <row r="6" spans="2:3" x14ac:dyDescent="0.3">
      <c r="B6" s="226" t="s">
        <v>64</v>
      </c>
      <c r="C6" s="227">
        <f>'Резервуаарний парк соєвої'!J53*1.2</f>
        <v>1173765.0839999998</v>
      </c>
    </row>
    <row r="7" spans="2:3" x14ac:dyDescent="0.3">
      <c r="B7" s="226" t="s">
        <v>65</v>
      </c>
      <c r="C7" s="227">
        <f>'Резервуар для зберігання'!J23*1.2</f>
        <v>142072.296</v>
      </c>
    </row>
    <row r="8" spans="2:3" x14ac:dyDescent="0.3">
      <c r="B8" s="226" t="s">
        <v>66</v>
      </c>
      <c r="C8" s="227">
        <f>'СПК (Глобине)'!J72*1.2</f>
        <v>608863.06799999997</v>
      </c>
    </row>
    <row r="9" spans="2:3" x14ac:dyDescent="0.3">
      <c r="B9" s="226" t="s">
        <v>67</v>
      </c>
      <c r="C9" s="227">
        <f>'Цех екстракції (Глобине)'!J223*1.2</f>
        <v>5803467.1559999976</v>
      </c>
    </row>
    <row r="10" spans="2:3" x14ac:dyDescent="0.3">
      <c r="B10" s="226" t="s">
        <v>68</v>
      </c>
      <c r="C10" s="227">
        <f>Цех_Глобино!J32*1.2</f>
        <v>242172.09599999996</v>
      </c>
    </row>
    <row r="11" spans="2:3" x14ac:dyDescent="0.3">
      <c r="C11" s="228">
        <f>SUM(C2:C10)</f>
        <v>8124210.5639999975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2"/>
  <sheetViews>
    <sheetView topLeftCell="A23" workbookViewId="0">
      <selection activeCell="J32" sqref="J32"/>
    </sheetView>
  </sheetViews>
  <sheetFormatPr defaultRowHeight="14.4" x14ac:dyDescent="0.3"/>
  <cols>
    <col min="2" max="4" width="26.5546875" customWidth="1"/>
    <col min="10" max="10" width="9.88671875" bestFit="1" customWidth="1"/>
  </cols>
  <sheetData>
    <row r="1" spans="1:12" x14ac:dyDescent="0.3">
      <c r="A1" s="199" t="s">
        <v>1</v>
      </c>
      <c r="B1" s="200" t="s">
        <v>2</v>
      </c>
      <c r="C1" s="200" t="s">
        <v>3</v>
      </c>
      <c r="D1" s="201" t="s">
        <v>4</v>
      </c>
      <c r="E1" s="202" t="s">
        <v>5</v>
      </c>
      <c r="F1" s="202"/>
      <c r="G1" s="202"/>
      <c r="H1" s="203" t="s">
        <v>6</v>
      </c>
      <c r="I1" s="203"/>
      <c r="J1" s="203"/>
      <c r="K1" s="200" t="s">
        <v>7</v>
      </c>
      <c r="L1" s="200"/>
    </row>
    <row r="2" spans="1:12" hidden="1" x14ac:dyDescent="0.3">
      <c r="A2" s="204"/>
      <c r="B2" s="205"/>
      <c r="C2" s="205"/>
      <c r="D2" s="206"/>
      <c r="E2" s="207" t="s">
        <v>8</v>
      </c>
      <c r="F2" s="208"/>
      <c r="G2" s="208"/>
      <c r="H2" s="209" t="s">
        <v>8</v>
      </c>
      <c r="I2" s="210"/>
      <c r="J2" s="210"/>
      <c r="K2" s="204"/>
      <c r="L2" s="211"/>
    </row>
    <row r="3" spans="1:12" ht="51" hidden="1" x14ac:dyDescent="0.3">
      <c r="A3" s="212" t="s">
        <v>26</v>
      </c>
      <c r="B3" s="213" t="s">
        <v>525</v>
      </c>
      <c r="C3" s="213" t="s">
        <v>526</v>
      </c>
      <c r="D3" s="213" t="s">
        <v>527</v>
      </c>
      <c r="E3" s="214" t="s">
        <v>14</v>
      </c>
      <c r="F3" s="215">
        <v>617.6</v>
      </c>
      <c r="G3" s="215"/>
      <c r="H3" s="214" t="s">
        <v>15</v>
      </c>
      <c r="I3" s="216" t="s">
        <v>16</v>
      </c>
      <c r="J3" s="216"/>
      <c r="K3" s="217" t="s">
        <v>9</v>
      </c>
      <c r="L3" s="218">
        <v>319377.01</v>
      </c>
    </row>
    <row r="4" spans="1:12" ht="51" hidden="1" x14ac:dyDescent="0.3">
      <c r="A4" s="212" t="s">
        <v>26</v>
      </c>
      <c r="B4" s="213" t="s">
        <v>525</v>
      </c>
      <c r="C4" s="213" t="s">
        <v>528</v>
      </c>
      <c r="D4" s="213" t="s">
        <v>527</v>
      </c>
      <c r="E4" s="214" t="s">
        <v>14</v>
      </c>
      <c r="F4" s="215">
        <v>56.87</v>
      </c>
      <c r="G4" s="215"/>
      <c r="H4" s="214" t="s">
        <v>15</v>
      </c>
      <c r="I4" s="216" t="s">
        <v>16</v>
      </c>
      <c r="J4" s="216"/>
      <c r="K4" s="217" t="s">
        <v>9</v>
      </c>
      <c r="L4" s="218">
        <v>319433.88</v>
      </c>
    </row>
    <row r="5" spans="1:12" ht="51" hidden="1" x14ac:dyDescent="0.3">
      <c r="A5" s="212" t="s">
        <v>26</v>
      </c>
      <c r="B5" s="213" t="s">
        <v>525</v>
      </c>
      <c r="C5" s="213" t="s">
        <v>529</v>
      </c>
      <c r="D5" s="213" t="s">
        <v>527</v>
      </c>
      <c r="E5" s="214" t="s">
        <v>14</v>
      </c>
      <c r="F5" s="215">
        <v>80.489999999999995</v>
      </c>
      <c r="G5" s="215"/>
      <c r="H5" s="214" t="s">
        <v>15</v>
      </c>
      <c r="I5" s="216" t="s">
        <v>16</v>
      </c>
      <c r="J5" s="216"/>
      <c r="K5" s="217" t="s">
        <v>9</v>
      </c>
      <c r="L5" s="218">
        <v>319514.37</v>
      </c>
    </row>
    <row r="6" spans="1:12" ht="61.2" hidden="1" x14ac:dyDescent="0.3">
      <c r="A6" s="212" t="s">
        <v>26</v>
      </c>
      <c r="B6" s="213" t="s">
        <v>525</v>
      </c>
      <c r="C6" s="213" t="s">
        <v>530</v>
      </c>
      <c r="D6" s="213" t="s">
        <v>527</v>
      </c>
      <c r="E6" s="214" t="s">
        <v>14</v>
      </c>
      <c r="F6" s="215">
        <v>39.28</v>
      </c>
      <c r="G6" s="215"/>
      <c r="H6" s="214" t="s">
        <v>15</v>
      </c>
      <c r="I6" s="216" t="s">
        <v>16</v>
      </c>
      <c r="J6" s="216"/>
      <c r="K6" s="217" t="s">
        <v>9</v>
      </c>
      <c r="L6" s="218">
        <v>319553.65000000002</v>
      </c>
    </row>
    <row r="7" spans="1:12" ht="51" hidden="1" x14ac:dyDescent="0.3">
      <c r="A7" s="212" t="s">
        <v>26</v>
      </c>
      <c r="B7" s="213" t="s">
        <v>525</v>
      </c>
      <c r="C7" s="213" t="s">
        <v>531</v>
      </c>
      <c r="D7" s="213" t="s">
        <v>527</v>
      </c>
      <c r="E7" s="214" t="s">
        <v>14</v>
      </c>
      <c r="F7" s="215">
        <v>80.989999999999995</v>
      </c>
      <c r="G7" s="215"/>
      <c r="H7" s="214" t="s">
        <v>15</v>
      </c>
      <c r="I7" s="216" t="s">
        <v>16</v>
      </c>
      <c r="J7" s="216"/>
      <c r="K7" s="217" t="s">
        <v>9</v>
      </c>
      <c r="L7" s="218">
        <v>319634.64</v>
      </c>
    </row>
    <row r="8" spans="1:12" ht="51" hidden="1" x14ac:dyDescent="0.3">
      <c r="A8" s="212" t="s">
        <v>26</v>
      </c>
      <c r="B8" s="213" t="s">
        <v>525</v>
      </c>
      <c r="C8" s="213" t="s">
        <v>532</v>
      </c>
      <c r="D8" s="213" t="s">
        <v>527</v>
      </c>
      <c r="E8" s="214" t="s">
        <v>14</v>
      </c>
      <c r="F8" s="215">
        <v>103.77</v>
      </c>
      <c r="G8" s="215"/>
      <c r="H8" s="214" t="s">
        <v>15</v>
      </c>
      <c r="I8" s="216" t="s">
        <v>16</v>
      </c>
      <c r="J8" s="216"/>
      <c r="K8" s="217" t="s">
        <v>9</v>
      </c>
      <c r="L8" s="218">
        <v>319738.40999999997</v>
      </c>
    </row>
    <row r="9" spans="1:12" ht="51" hidden="1" x14ac:dyDescent="0.3">
      <c r="A9" s="212" t="s">
        <v>26</v>
      </c>
      <c r="B9" s="213" t="s">
        <v>533</v>
      </c>
      <c r="C9" s="213" t="s">
        <v>526</v>
      </c>
      <c r="D9" s="213" t="s">
        <v>534</v>
      </c>
      <c r="E9" s="214" t="s">
        <v>14</v>
      </c>
      <c r="F9" s="219">
        <v>21961.439999999999</v>
      </c>
      <c r="G9" s="219"/>
      <c r="H9" s="214" t="s">
        <v>15</v>
      </c>
      <c r="I9" s="216" t="s">
        <v>16</v>
      </c>
      <c r="J9" s="216"/>
      <c r="K9" s="217" t="s">
        <v>9</v>
      </c>
      <c r="L9" s="218">
        <v>341699.85</v>
      </c>
    </row>
    <row r="10" spans="1:12" ht="51" hidden="1" x14ac:dyDescent="0.3">
      <c r="A10" s="212" t="s">
        <v>26</v>
      </c>
      <c r="B10" s="213" t="s">
        <v>533</v>
      </c>
      <c r="C10" s="213" t="s">
        <v>528</v>
      </c>
      <c r="D10" s="213" t="s">
        <v>534</v>
      </c>
      <c r="E10" s="214" t="s">
        <v>14</v>
      </c>
      <c r="F10" s="219">
        <v>2022.4</v>
      </c>
      <c r="G10" s="219"/>
      <c r="H10" s="214" t="s">
        <v>15</v>
      </c>
      <c r="I10" s="216" t="s">
        <v>16</v>
      </c>
      <c r="J10" s="216"/>
      <c r="K10" s="217" t="s">
        <v>9</v>
      </c>
      <c r="L10" s="218">
        <v>343722.25</v>
      </c>
    </row>
    <row r="11" spans="1:12" ht="51" hidden="1" x14ac:dyDescent="0.3">
      <c r="A11" s="212" t="s">
        <v>26</v>
      </c>
      <c r="B11" s="213" t="s">
        <v>533</v>
      </c>
      <c r="C11" s="213" t="s">
        <v>529</v>
      </c>
      <c r="D11" s="213" t="s">
        <v>534</v>
      </c>
      <c r="E11" s="214" t="s">
        <v>14</v>
      </c>
      <c r="F11" s="219">
        <v>2862</v>
      </c>
      <c r="G11" s="219"/>
      <c r="H11" s="214" t="s">
        <v>15</v>
      </c>
      <c r="I11" s="216" t="s">
        <v>16</v>
      </c>
      <c r="J11" s="216"/>
      <c r="K11" s="217" t="s">
        <v>9</v>
      </c>
      <c r="L11" s="218">
        <v>346584.25</v>
      </c>
    </row>
    <row r="12" spans="1:12" ht="61.2" hidden="1" x14ac:dyDescent="0.3">
      <c r="A12" s="212" t="s">
        <v>26</v>
      </c>
      <c r="B12" s="213" t="s">
        <v>533</v>
      </c>
      <c r="C12" s="213" t="s">
        <v>530</v>
      </c>
      <c r="D12" s="213" t="s">
        <v>534</v>
      </c>
      <c r="E12" s="214" t="s">
        <v>14</v>
      </c>
      <c r="F12" s="219">
        <v>1396.8</v>
      </c>
      <c r="G12" s="219"/>
      <c r="H12" s="214" t="s">
        <v>15</v>
      </c>
      <c r="I12" s="216" t="s">
        <v>16</v>
      </c>
      <c r="J12" s="216"/>
      <c r="K12" s="217" t="s">
        <v>9</v>
      </c>
      <c r="L12" s="218">
        <v>347981.05</v>
      </c>
    </row>
    <row r="13" spans="1:12" ht="51" hidden="1" x14ac:dyDescent="0.3">
      <c r="A13" s="212" t="s">
        <v>26</v>
      </c>
      <c r="B13" s="213" t="s">
        <v>533</v>
      </c>
      <c r="C13" s="213" t="s">
        <v>531</v>
      </c>
      <c r="D13" s="213" t="s">
        <v>534</v>
      </c>
      <c r="E13" s="214" t="s">
        <v>14</v>
      </c>
      <c r="F13" s="219">
        <v>2880</v>
      </c>
      <c r="G13" s="219"/>
      <c r="H13" s="214" t="s">
        <v>15</v>
      </c>
      <c r="I13" s="216" t="s">
        <v>16</v>
      </c>
      <c r="J13" s="216"/>
      <c r="K13" s="217" t="s">
        <v>9</v>
      </c>
      <c r="L13" s="218">
        <v>350861.05</v>
      </c>
    </row>
    <row r="14" spans="1:12" ht="51" hidden="1" x14ac:dyDescent="0.3">
      <c r="A14" s="212" t="s">
        <v>26</v>
      </c>
      <c r="B14" s="213" t="s">
        <v>533</v>
      </c>
      <c r="C14" s="213" t="s">
        <v>532</v>
      </c>
      <c r="D14" s="213" t="s">
        <v>534</v>
      </c>
      <c r="E14" s="214" t="s">
        <v>14</v>
      </c>
      <c r="F14" s="219">
        <v>3690</v>
      </c>
      <c r="G14" s="219"/>
      <c r="H14" s="214" t="s">
        <v>15</v>
      </c>
      <c r="I14" s="216" t="s">
        <v>16</v>
      </c>
      <c r="J14" s="216"/>
      <c r="K14" s="217" t="s">
        <v>9</v>
      </c>
      <c r="L14" s="218">
        <v>354551.05</v>
      </c>
    </row>
    <row r="15" spans="1:12" ht="51" hidden="1" x14ac:dyDescent="0.3">
      <c r="A15" s="212" t="s">
        <v>336</v>
      </c>
      <c r="B15" s="213" t="s">
        <v>535</v>
      </c>
      <c r="C15" s="213" t="s">
        <v>536</v>
      </c>
      <c r="D15" s="213" t="s">
        <v>537</v>
      </c>
      <c r="E15" s="214" t="s">
        <v>15</v>
      </c>
      <c r="F15" s="220" t="s">
        <v>16</v>
      </c>
      <c r="G15" s="220"/>
      <c r="H15" s="214" t="s">
        <v>14</v>
      </c>
      <c r="I15" s="221">
        <v>16174.08</v>
      </c>
      <c r="J15" s="221"/>
      <c r="K15" s="217" t="s">
        <v>9</v>
      </c>
      <c r="L15" s="218">
        <v>338376.97</v>
      </c>
    </row>
    <row r="16" spans="1:12" ht="51" hidden="1" x14ac:dyDescent="0.3">
      <c r="A16" s="212" t="s">
        <v>336</v>
      </c>
      <c r="B16" s="213" t="s">
        <v>535</v>
      </c>
      <c r="C16" s="213" t="s">
        <v>538</v>
      </c>
      <c r="D16" s="213" t="s">
        <v>537</v>
      </c>
      <c r="E16" s="214" t="s">
        <v>15</v>
      </c>
      <c r="F16" s="220" t="s">
        <v>16</v>
      </c>
      <c r="G16" s="220"/>
      <c r="H16" s="214" t="s">
        <v>14</v>
      </c>
      <c r="I16" s="221">
        <v>1057.2</v>
      </c>
      <c r="J16" s="221"/>
      <c r="K16" s="217" t="s">
        <v>9</v>
      </c>
      <c r="L16" s="218">
        <v>337319.77</v>
      </c>
    </row>
    <row r="17" spans="1:12" ht="51" hidden="1" x14ac:dyDescent="0.3">
      <c r="A17" s="212" t="s">
        <v>307</v>
      </c>
      <c r="B17" s="213" t="s">
        <v>539</v>
      </c>
      <c r="C17" s="213" t="s">
        <v>540</v>
      </c>
      <c r="D17" s="213" t="s">
        <v>541</v>
      </c>
      <c r="E17" s="214" t="s">
        <v>14</v>
      </c>
      <c r="F17" s="219">
        <v>41272</v>
      </c>
      <c r="G17" s="219"/>
      <c r="H17" s="214" t="s">
        <v>15</v>
      </c>
      <c r="I17" s="216" t="s">
        <v>16</v>
      </c>
      <c r="J17" s="216"/>
      <c r="K17" s="217" t="s">
        <v>9</v>
      </c>
      <c r="L17" s="218">
        <v>378591.77</v>
      </c>
    </row>
    <row r="18" spans="1:12" ht="51" hidden="1" x14ac:dyDescent="0.3">
      <c r="A18" s="212" t="s">
        <v>307</v>
      </c>
      <c r="B18" s="213" t="s">
        <v>542</v>
      </c>
      <c r="C18" s="213" t="s">
        <v>540</v>
      </c>
      <c r="D18" s="213" t="s">
        <v>541</v>
      </c>
      <c r="E18" s="214" t="s">
        <v>14</v>
      </c>
      <c r="F18" s="219">
        <v>7500</v>
      </c>
      <c r="G18" s="219"/>
      <c r="H18" s="214" t="s">
        <v>15</v>
      </c>
      <c r="I18" s="216" t="s">
        <v>16</v>
      </c>
      <c r="J18" s="216"/>
      <c r="K18" s="217" t="s">
        <v>9</v>
      </c>
      <c r="L18" s="218">
        <v>386091.77</v>
      </c>
    </row>
    <row r="19" spans="1:12" ht="51" x14ac:dyDescent="0.3">
      <c r="A19" s="212" t="s">
        <v>201</v>
      </c>
      <c r="B19" s="213" t="s">
        <v>543</v>
      </c>
      <c r="C19" s="213" t="s">
        <v>544</v>
      </c>
      <c r="D19" s="213" t="s">
        <v>545</v>
      </c>
      <c r="E19" s="214" t="s">
        <v>37</v>
      </c>
      <c r="F19" s="220" t="s">
        <v>16</v>
      </c>
      <c r="G19" s="220"/>
      <c r="H19" s="214" t="s">
        <v>14</v>
      </c>
      <c r="I19" s="221">
        <v>83759.210000000006</v>
      </c>
      <c r="J19" s="221"/>
      <c r="K19" s="217" t="s">
        <v>9</v>
      </c>
      <c r="L19" s="218">
        <v>302332.56</v>
      </c>
    </row>
    <row r="20" spans="1:12" ht="51" x14ac:dyDescent="0.3">
      <c r="A20" s="212" t="s">
        <v>201</v>
      </c>
      <c r="B20" s="213" t="s">
        <v>543</v>
      </c>
      <c r="C20" s="213" t="s">
        <v>544</v>
      </c>
      <c r="D20" s="213" t="s">
        <v>526</v>
      </c>
      <c r="E20" s="214" t="s">
        <v>37</v>
      </c>
      <c r="F20" s="220" t="s">
        <v>16</v>
      </c>
      <c r="G20" s="220"/>
      <c r="H20" s="214" t="s">
        <v>14</v>
      </c>
      <c r="I20" s="221">
        <v>20147.45</v>
      </c>
      <c r="J20" s="221"/>
      <c r="K20" s="217" t="s">
        <v>9</v>
      </c>
      <c r="L20" s="218">
        <v>282185.11</v>
      </c>
    </row>
    <row r="21" spans="1:12" ht="61.2" x14ac:dyDescent="0.3">
      <c r="A21" s="212" t="s">
        <v>201</v>
      </c>
      <c r="B21" s="213" t="s">
        <v>543</v>
      </c>
      <c r="C21" s="213" t="s">
        <v>544</v>
      </c>
      <c r="D21" s="213" t="s">
        <v>546</v>
      </c>
      <c r="E21" s="214" t="s">
        <v>37</v>
      </c>
      <c r="F21" s="220" t="s">
        <v>16</v>
      </c>
      <c r="G21" s="220"/>
      <c r="H21" s="214" t="s">
        <v>14</v>
      </c>
      <c r="I21" s="221">
        <v>1564.7</v>
      </c>
      <c r="J21" s="221"/>
      <c r="K21" s="217" t="s">
        <v>9</v>
      </c>
      <c r="L21" s="218">
        <v>280620.40999999997</v>
      </c>
    </row>
    <row r="22" spans="1:12" ht="51" x14ac:dyDescent="0.3">
      <c r="A22" s="212" t="s">
        <v>201</v>
      </c>
      <c r="B22" s="213" t="s">
        <v>543</v>
      </c>
      <c r="C22" s="213" t="s">
        <v>544</v>
      </c>
      <c r="D22" s="213" t="s">
        <v>529</v>
      </c>
      <c r="E22" s="214" t="s">
        <v>37</v>
      </c>
      <c r="F22" s="220" t="s">
        <v>16</v>
      </c>
      <c r="G22" s="220"/>
      <c r="H22" s="214" t="s">
        <v>14</v>
      </c>
      <c r="I22" s="221">
        <v>2942.49</v>
      </c>
      <c r="J22" s="221"/>
      <c r="K22" s="217" t="s">
        <v>9</v>
      </c>
      <c r="L22" s="218">
        <v>277677.92</v>
      </c>
    </row>
    <row r="23" spans="1:12" ht="51" x14ac:dyDescent="0.3">
      <c r="A23" s="212" t="s">
        <v>201</v>
      </c>
      <c r="B23" s="213" t="s">
        <v>543</v>
      </c>
      <c r="C23" s="213" t="s">
        <v>544</v>
      </c>
      <c r="D23" s="213" t="s">
        <v>547</v>
      </c>
      <c r="E23" s="214" t="s">
        <v>37</v>
      </c>
      <c r="F23" s="220" t="s">
        <v>16</v>
      </c>
      <c r="G23" s="220"/>
      <c r="H23" s="214" t="s">
        <v>14</v>
      </c>
      <c r="I23" s="221">
        <v>4103.67</v>
      </c>
      <c r="J23" s="221"/>
      <c r="K23" s="217" t="s">
        <v>9</v>
      </c>
      <c r="L23" s="218">
        <v>273574.25</v>
      </c>
    </row>
    <row r="24" spans="1:12" ht="51" x14ac:dyDescent="0.3">
      <c r="A24" s="212" t="s">
        <v>201</v>
      </c>
      <c r="B24" s="213" t="s">
        <v>543</v>
      </c>
      <c r="C24" s="213" t="s">
        <v>544</v>
      </c>
      <c r="D24" s="213" t="s">
        <v>548</v>
      </c>
      <c r="E24" s="214" t="s">
        <v>37</v>
      </c>
      <c r="F24" s="220" t="s">
        <v>16</v>
      </c>
      <c r="G24" s="220"/>
      <c r="H24" s="214" t="s">
        <v>14</v>
      </c>
      <c r="I24" s="221">
        <v>6747.88</v>
      </c>
      <c r="J24" s="221"/>
      <c r="K24" s="217" t="s">
        <v>9</v>
      </c>
      <c r="L24" s="218">
        <v>266826.37</v>
      </c>
    </row>
    <row r="25" spans="1:12" ht="51" x14ac:dyDescent="0.3">
      <c r="A25" s="212" t="s">
        <v>201</v>
      </c>
      <c r="B25" s="213" t="s">
        <v>543</v>
      </c>
      <c r="C25" s="213" t="s">
        <v>544</v>
      </c>
      <c r="D25" s="213" t="s">
        <v>549</v>
      </c>
      <c r="E25" s="214" t="s">
        <v>37</v>
      </c>
      <c r="F25" s="220" t="s">
        <v>16</v>
      </c>
      <c r="G25" s="220"/>
      <c r="H25" s="214" t="s">
        <v>14</v>
      </c>
      <c r="I25" s="221">
        <v>29160.29</v>
      </c>
      <c r="J25" s="221"/>
      <c r="K25" s="217" t="s">
        <v>9</v>
      </c>
      <c r="L25" s="218">
        <v>237666.08</v>
      </c>
    </row>
    <row r="26" spans="1:12" ht="61.2" x14ac:dyDescent="0.3">
      <c r="A26" s="212" t="s">
        <v>201</v>
      </c>
      <c r="B26" s="213" t="s">
        <v>543</v>
      </c>
      <c r="C26" s="213" t="s">
        <v>544</v>
      </c>
      <c r="D26" s="213" t="s">
        <v>550</v>
      </c>
      <c r="E26" s="214" t="s">
        <v>37</v>
      </c>
      <c r="F26" s="220" t="s">
        <v>16</v>
      </c>
      <c r="G26" s="220"/>
      <c r="H26" s="214" t="s">
        <v>14</v>
      </c>
      <c r="I26" s="221">
        <v>1674.66</v>
      </c>
      <c r="J26" s="221"/>
      <c r="K26" s="217" t="s">
        <v>9</v>
      </c>
      <c r="L26" s="218">
        <v>235991.42</v>
      </c>
    </row>
    <row r="27" spans="1:12" ht="51" x14ac:dyDescent="0.3">
      <c r="A27" s="212" t="s">
        <v>201</v>
      </c>
      <c r="B27" s="213" t="s">
        <v>543</v>
      </c>
      <c r="C27" s="213" t="s">
        <v>544</v>
      </c>
      <c r="D27" s="213" t="s">
        <v>551</v>
      </c>
      <c r="E27" s="214" t="s">
        <v>37</v>
      </c>
      <c r="F27" s="220" t="s">
        <v>16</v>
      </c>
      <c r="G27" s="220"/>
      <c r="H27" s="214" t="s">
        <v>14</v>
      </c>
      <c r="I27" s="221">
        <v>45242.83</v>
      </c>
      <c r="J27" s="221"/>
      <c r="K27" s="217" t="s">
        <v>9</v>
      </c>
      <c r="L27" s="218">
        <v>190748.59</v>
      </c>
    </row>
    <row r="28" spans="1:12" ht="51" x14ac:dyDescent="0.3">
      <c r="A28" s="212" t="s">
        <v>201</v>
      </c>
      <c r="B28" s="213" t="s">
        <v>543</v>
      </c>
      <c r="C28" s="213" t="s">
        <v>544</v>
      </c>
      <c r="D28" s="213" t="s">
        <v>552</v>
      </c>
      <c r="E28" s="214" t="s">
        <v>37</v>
      </c>
      <c r="F28" s="220" t="s">
        <v>16</v>
      </c>
      <c r="G28" s="220"/>
      <c r="H28" s="214" t="s">
        <v>14</v>
      </c>
      <c r="I28" s="221">
        <v>4987.9399999999996</v>
      </c>
      <c r="J28" s="221"/>
      <c r="K28" s="217" t="s">
        <v>9</v>
      </c>
      <c r="L28" s="218">
        <v>185760.65</v>
      </c>
    </row>
    <row r="29" spans="1:12" ht="51" x14ac:dyDescent="0.3">
      <c r="A29" s="212" t="s">
        <v>201</v>
      </c>
      <c r="B29" s="213" t="s">
        <v>543</v>
      </c>
      <c r="C29" s="213" t="s">
        <v>544</v>
      </c>
      <c r="D29" s="213" t="s">
        <v>553</v>
      </c>
      <c r="E29" s="214" t="s">
        <v>37</v>
      </c>
      <c r="F29" s="220" t="s">
        <v>16</v>
      </c>
      <c r="G29" s="220"/>
      <c r="H29" s="214" t="s">
        <v>14</v>
      </c>
      <c r="I29" s="221">
        <v>1478.96</v>
      </c>
      <c r="J29" s="221"/>
      <c r="K29" s="217" t="s">
        <v>9</v>
      </c>
      <c r="L29" s="218">
        <v>184281.69</v>
      </c>
    </row>
    <row r="30" spans="1:12" hidden="1" x14ac:dyDescent="0.3">
      <c r="A30" s="222" t="s">
        <v>60</v>
      </c>
      <c r="B30" s="222"/>
      <c r="C30" s="222"/>
      <c r="D30" s="222"/>
      <c r="E30" s="223">
        <v>84563.64</v>
      </c>
      <c r="F30" s="223"/>
      <c r="G30" s="223"/>
      <c r="H30" s="223">
        <v>219041.36</v>
      </c>
      <c r="I30" s="223"/>
      <c r="J30" s="223"/>
      <c r="K30" s="224" t="s">
        <v>9</v>
      </c>
      <c r="L30" s="225">
        <v>184281.69</v>
      </c>
    </row>
    <row r="32" spans="1:12" x14ac:dyDescent="0.3">
      <c r="J32" s="29">
        <f>SUBTOTAL(9,I19:J29)</f>
        <v>201810.08</v>
      </c>
    </row>
  </sheetData>
  <autoFilter ref="A1:L30">
    <filterColumn colId="1">
      <filters>
        <filter val="Вимога-накладна ІБ00-000027 від 22.01.2025 19:00:31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6">
    <mergeCell ref="F28:G28"/>
    <mergeCell ref="I28:J28"/>
    <mergeCell ref="F29:G29"/>
    <mergeCell ref="I29:J29"/>
    <mergeCell ref="A30:D30"/>
    <mergeCell ref="E30:G30"/>
    <mergeCell ref="H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Генплан підпірна стінка</vt:lpstr>
      <vt:lpstr>Глобине-2</vt:lpstr>
      <vt:lpstr>Котельна (Глобине)</vt:lpstr>
      <vt:lpstr>Насосна Градирня (Глобине)</vt:lpstr>
      <vt:lpstr>Резервуаарний парк соєвої</vt:lpstr>
      <vt:lpstr>Резервуар для зберігання</vt:lpstr>
      <vt:lpstr>СПК (Глобине)</vt:lpstr>
      <vt:lpstr>Цех екстракції (Глобине)</vt:lpstr>
      <vt:lpstr>СВОД</vt:lpstr>
      <vt:lpstr>Цех_Глобино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2025-02-24T13:52:42Z</dcterms:modified>
</cp:coreProperties>
</file>
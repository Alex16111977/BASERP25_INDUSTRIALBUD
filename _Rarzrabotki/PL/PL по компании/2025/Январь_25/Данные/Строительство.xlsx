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Лист1!$A$1:$I$47</definedName>
  </definedNames>
  <calcPr calcId="145621"/>
</workbook>
</file>

<file path=xl/calcChain.xml><?xml version="1.0" encoding="utf-8"?>
<calcChain xmlns="http://schemas.openxmlformats.org/spreadsheetml/2006/main">
  <c r="D60" i="1" l="1"/>
  <c r="D44" i="1" l="1"/>
  <c r="D43" i="1"/>
  <c r="D42" i="1"/>
  <c r="D41" i="1"/>
  <c r="D39" i="1"/>
  <c r="D45" i="1"/>
  <c r="D40" i="1" l="1"/>
</calcChain>
</file>

<file path=xl/sharedStrings.xml><?xml version="1.0" encoding="utf-8"?>
<sst xmlns="http://schemas.openxmlformats.org/spreadsheetml/2006/main" count="415" uniqueCount="142">
  <si>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</si>
  <si>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</si>
  <si>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</si>
  <si>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</si>
  <si>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</si>
  <si>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</si>
  <si>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</si>
  <si>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</si>
  <si>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</si>
  <si>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06.01.2025 00:00:00</t>
  </si>
  <si>
    <t>ІБ00-000002</t>
  </si>
  <si>
    <t xml:space="preserve">Старокостянтинівський олійноекстраційний завод ТОВ </t>
  </si>
  <si>
    <t>грн</t>
  </si>
  <si>
    <t>Виробничий (Старокостянтинів)</t>
  </si>
  <si>
    <t>ТОВ "ІНДАСТРІАЛБУД"</t>
  </si>
  <si>
    <t>Хлань Елена</t>
  </si>
  <si>
    <t>Акт 1 (копія) ДОГОВІР ПІДРЯДУ № № 3.5.2 – СтОЕЗ від 28.10.2024</t>
  </si>
  <si>
    <t>ІБ00-000001</t>
  </si>
  <si>
    <t xml:space="preserve">КОМРАД ТРЕЙД  ТОВ </t>
  </si>
  <si>
    <t>Виробничий (Путрівка КМД)</t>
  </si>
  <si>
    <t>Акт 3</t>
  </si>
  <si>
    <t>13.01.2025 00:00:00</t>
  </si>
  <si>
    <t>ІБ00-000038</t>
  </si>
  <si>
    <t>Рахунок</t>
  </si>
  <si>
    <t>13.01.2025 14:49:36</t>
  </si>
  <si>
    <t>ІБ00-000007</t>
  </si>
  <si>
    <t>НІЖИНСЬКИЙ ЖИРКОМБІНАТ ПрАТ</t>
  </si>
  <si>
    <t>Виробничий (Ніжин-3)</t>
  </si>
  <si>
    <t>Акт № 153</t>
  </si>
  <si>
    <t>14.01.2025 00:00:00</t>
  </si>
  <si>
    <t>ІБ00-000011</t>
  </si>
  <si>
    <t>АСТАРТА АГРО ПРОТЕЇН ТОВ</t>
  </si>
  <si>
    <t>Виробничий (Глобине-2)</t>
  </si>
  <si>
    <t xml:space="preserve"> Акт 1/1.25 (Демонтажні роботи)</t>
  </si>
  <si>
    <t>14.01.2025 16:28:38</t>
  </si>
  <si>
    <t>ІБ00-000003</t>
  </si>
  <si>
    <t xml:space="preserve"> Акт 8/1.14-КМ (Котельня)</t>
  </si>
  <si>
    <t>14.01.2025 16:30:31</t>
  </si>
  <si>
    <t>ІБ00-000005</t>
  </si>
  <si>
    <t>Акт 13/1.3-КМ(Цех екстракції поз. 3 ГБ)</t>
  </si>
  <si>
    <t>14.01.2025 16:32:42</t>
  </si>
  <si>
    <t>ІБ00-000006</t>
  </si>
  <si>
    <t>Акт 3/1.4-КБ (резервуар для зберігання розчинника)</t>
  </si>
  <si>
    <t>15.01.2025 16:29:36</t>
  </si>
  <si>
    <t>ІБ00-000004</t>
  </si>
  <si>
    <t xml:space="preserve"> Акт 2/1.25 (Демонтажні роботи)</t>
  </si>
  <si>
    <t>22.01.2025 00:00:00</t>
  </si>
  <si>
    <t>ІБ00-000013</t>
  </si>
  <si>
    <t xml:space="preserve"> Акт 9/1.14-КМ (Котельня)</t>
  </si>
  <si>
    <t>ІБ00-000014</t>
  </si>
  <si>
    <t>Акт 14/1.3-КМ(Цех екстракції поз. 3 ГБ)</t>
  </si>
  <si>
    <t>ІБ00-000016</t>
  </si>
  <si>
    <t xml:space="preserve"> Акт 9/1.9-КБ (СПК)</t>
  </si>
  <si>
    <t>ІБ00-000017</t>
  </si>
  <si>
    <t>Акт 15/1.3-КМ(Цех екстракції поз. 3 ГБ)</t>
  </si>
  <si>
    <t>ІБ00-000018</t>
  </si>
  <si>
    <t>Акт 16/1.3-КМ(Цех екстракції поз. 3 ГБ)</t>
  </si>
  <si>
    <t>22.01.2025 13:32:56</t>
  </si>
  <si>
    <t>ІБ00-000015</t>
  </si>
  <si>
    <t xml:space="preserve"> Акт 2/1.12-КБ (Резервуарний парк)</t>
  </si>
  <si>
    <t>27.01.2025 10:01:28</t>
  </si>
  <si>
    <t>ІБ00-000030</t>
  </si>
  <si>
    <t>Акт № 136</t>
  </si>
  <si>
    <t>27.01.2025 10:02:07</t>
  </si>
  <si>
    <t>ІБ00-000031</t>
  </si>
  <si>
    <t>Акт № 152</t>
  </si>
  <si>
    <t>27.01.2025 10:02:39</t>
  </si>
  <si>
    <t>ІБ00-000032</t>
  </si>
  <si>
    <t>Акт № 154</t>
  </si>
  <si>
    <t>27.01.2025 10:03:09</t>
  </si>
  <si>
    <t>ІБ00-000033</t>
  </si>
  <si>
    <t>Акт № 151</t>
  </si>
  <si>
    <t>27.01.2025 10:03:45</t>
  </si>
  <si>
    <t>ІБ00-000034</t>
  </si>
  <si>
    <t>Акт № 155</t>
  </si>
  <si>
    <t>27.01.2025 10:04:20</t>
  </si>
  <si>
    <t>ІБ00-000035</t>
  </si>
  <si>
    <t>Акт № 159</t>
  </si>
  <si>
    <t>27.01.2025 10:04:48</t>
  </si>
  <si>
    <t>ІБ00-000036</t>
  </si>
  <si>
    <t>Акт № 160</t>
  </si>
  <si>
    <t>28.01.2025 00:00:00</t>
  </si>
  <si>
    <t>ІБ00-000010</t>
  </si>
  <si>
    <t>Акт 2 ДОГОВІР ПІДРЯДУ № 11/11/2024-СтОЕЗ від 11.11.2024</t>
  </si>
  <si>
    <t>28.01.2025 16:55:30</t>
  </si>
  <si>
    <t>ІБ00-000037</t>
  </si>
  <si>
    <t>Акт 4</t>
  </si>
  <si>
    <t>30.01.2025 00:00:00</t>
  </si>
  <si>
    <t>ІБ00-000019</t>
  </si>
  <si>
    <t xml:space="preserve"> Акт 10/1.9-КБ (СПК)</t>
  </si>
  <si>
    <t>ІБ00-000020</t>
  </si>
  <si>
    <t xml:space="preserve"> Акт 3/1.12-КБ (Резервуарний парк)</t>
  </si>
  <si>
    <t>ІБ00-000021</t>
  </si>
  <si>
    <t>Акт 7/1.5-КБ (насосна,градирня)</t>
  </si>
  <si>
    <t>ІБ00-000022</t>
  </si>
  <si>
    <t xml:space="preserve"> Акт 10/1.14-КМ (Котельня)</t>
  </si>
  <si>
    <t>ІБ00-000023</t>
  </si>
  <si>
    <t xml:space="preserve"> Акт 15/1.14-КБ (Котельня)</t>
  </si>
  <si>
    <t>ІБ00-000024</t>
  </si>
  <si>
    <t>Акт 17/1.3-КМ(Цех екстракції поз. 3 ГБ)</t>
  </si>
  <si>
    <t>ІБ00-000025</t>
  </si>
  <si>
    <t>Акт 18/1.3-КМ(Цех екстракції поз. 3 ГБ)</t>
  </si>
  <si>
    <t>ІБ00-000026</t>
  </si>
  <si>
    <t>Акт 17/1.3-КБ(Цех екстракції поз. 3 ГБ)</t>
  </si>
  <si>
    <t>ІБ00-000027</t>
  </si>
  <si>
    <t>Акт 21/1.3-КМ(Цех екстракції поз. 3 ГБ)</t>
  </si>
  <si>
    <t>ІБ00-000028</t>
  </si>
  <si>
    <t>Акт 20/1.3-КМ(Цех екстракції поз. 3 ГБ)</t>
  </si>
  <si>
    <t>ІБ00-000029</t>
  </si>
  <si>
    <t>Акт 19/1.3-КМ(Цех екстракції поз. 3 ГБ)</t>
  </si>
  <si>
    <t>30.01.2025 15:48:23</t>
  </si>
  <si>
    <t>ІБ00-000039</t>
  </si>
  <si>
    <t>Акт 22/1.3-КМ(Цех екстракції поз. 3 ГБ)</t>
  </si>
  <si>
    <t>31.01.2025 09:37:38</t>
  </si>
  <si>
    <t>ІБ00-000012</t>
  </si>
  <si>
    <t>РЕТАЛ УКРАЇНА ТОВ</t>
  </si>
  <si>
    <t>Виробничий (Ретал ГПУ)</t>
  </si>
  <si>
    <t>Акт № 1Договір підряду №28/07/22 від 28.07.2022  Счёт под оплату</t>
  </si>
  <si>
    <t>Глобино-2</t>
  </si>
  <si>
    <t>Нежин-3</t>
  </si>
  <si>
    <t>КМД Путровка</t>
  </si>
  <si>
    <t>Ретал.ГПУ</t>
  </si>
  <si>
    <t>Староконстантинов</t>
  </si>
  <si>
    <t>Вид операції</t>
  </si>
  <si>
    <t>Склад</t>
  </si>
  <si>
    <t>09.01.2025 18:00:31</t>
  </si>
  <si>
    <t>Продаж, комісія</t>
  </si>
  <si>
    <t>МОЛОКО ВІТЧИЗНИ ТОВ</t>
  </si>
  <si>
    <t>Молоко Вітчизни</t>
  </si>
  <si>
    <t>10.01.2025 20:00:04</t>
  </si>
  <si>
    <t>13.01.2025 17:55:13</t>
  </si>
  <si>
    <t>15.01.2025 22:00:24</t>
  </si>
  <si>
    <t>16.01.2025 17:55:29</t>
  </si>
  <si>
    <t>17.01.2025 19:00:13</t>
  </si>
  <si>
    <t>21.01.2025 19:00:13</t>
  </si>
  <si>
    <t>ІБ00-000008</t>
  </si>
  <si>
    <t>22.01.2025 19:00:30</t>
  </si>
  <si>
    <t>ІБ00-000009</t>
  </si>
  <si>
    <t>24.01.2025 22:10:29</t>
  </si>
  <si>
    <t>27.01.2025 18:25:13</t>
  </si>
  <si>
    <t>29.01.2025 18:20:18</t>
  </si>
  <si>
    <t>30.01.2025 23:20:13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</si>
</sst>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4" fontId="0" fillId="0" borderId="0" xfId="0" applyNumberFormat="1"/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topLeftCell="A43" workbookViewId="0">
      <selection activeCell="D63" sqref="D63"/>
    </sheetView>
  </sheetViews>
  <sheetFormatPr defaultRowHeight="14.4" x14ac:dyDescent="0.3"/>
  <cols>
    <col min="1" max="1" width="14" bestFit="1" customWidth="1"/>
    <col min="2" max="2" width="9.21875" bestFit="1" customWidth="1"/>
    <col min="3" max="3" width="41.88671875" bestFit="1" customWidth="1"/>
    <col min="4" max="4" width="12.33203125" bestFit="1" customWidth="1"/>
    <col min="5" max="5" width="7.6640625" bestFit="1" customWidth="1"/>
    <col min="6" max="6" width="26.21875" bestFit="1" customWidth="1"/>
    <col min="7" max="7" width="16.6640625" bestFit="1" customWidth="1"/>
    <col min="8" max="8" width="14.5546875" bestFit="1" customWidth="1"/>
    <col min="9" max="9" width="47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179740.16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9</v>
      </c>
      <c r="B3" s="2" t="s">
        <v>17</v>
      </c>
      <c r="C3" s="2" t="s">
        <v>18</v>
      </c>
      <c r="D3" s="3">
        <v>798175.53</v>
      </c>
      <c r="E3" s="2" t="s">
        <v>12</v>
      </c>
      <c r="F3" s="2" t="s">
        <v>19</v>
      </c>
      <c r="G3" s="2" t="s">
        <v>14</v>
      </c>
      <c r="H3" s="2" t="s">
        <v>15</v>
      </c>
      <c r="I3" s="2" t="s">
        <v>20</v>
      </c>
    </row>
    <row r="4" spans="1:9" x14ac:dyDescent="0.3">
      <c r="A4" s="2" t="s">
        <v>21</v>
      </c>
      <c r="B4" s="2" t="s">
        <v>22</v>
      </c>
      <c r="C4" s="2" t="s">
        <v>11</v>
      </c>
      <c r="D4" s="3">
        <v>21172.91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23</v>
      </c>
    </row>
    <row r="5" spans="1:9" x14ac:dyDescent="0.3">
      <c r="A5" s="2" t="s">
        <v>24</v>
      </c>
      <c r="B5" s="2" t="s">
        <v>25</v>
      </c>
      <c r="C5" s="2" t="s">
        <v>26</v>
      </c>
      <c r="D5" s="3">
        <v>121072</v>
      </c>
      <c r="E5" s="2" t="s">
        <v>12</v>
      </c>
      <c r="F5" s="2" t="s">
        <v>27</v>
      </c>
      <c r="G5" s="2" t="s">
        <v>14</v>
      </c>
      <c r="H5" s="2" t="s">
        <v>15</v>
      </c>
      <c r="I5" s="2" t="s">
        <v>28</v>
      </c>
    </row>
    <row r="6" spans="1:9" x14ac:dyDescent="0.3">
      <c r="A6" s="2" t="s">
        <v>29</v>
      </c>
      <c r="B6" s="2" t="s">
        <v>30</v>
      </c>
      <c r="C6" s="2" t="s">
        <v>31</v>
      </c>
      <c r="D6" s="3">
        <v>253226.72</v>
      </c>
      <c r="E6" s="2" t="s">
        <v>12</v>
      </c>
      <c r="F6" s="2" t="s">
        <v>32</v>
      </c>
      <c r="G6" s="2" t="s">
        <v>14</v>
      </c>
      <c r="H6" s="2" t="s">
        <v>15</v>
      </c>
      <c r="I6" s="2" t="s">
        <v>33</v>
      </c>
    </row>
    <row r="7" spans="1:9" x14ac:dyDescent="0.3">
      <c r="A7" s="2" t="s">
        <v>34</v>
      </c>
      <c r="B7" s="2" t="s">
        <v>35</v>
      </c>
      <c r="C7" s="2" t="s">
        <v>31</v>
      </c>
      <c r="D7" s="3">
        <v>1083567.28</v>
      </c>
      <c r="E7" s="2" t="s">
        <v>12</v>
      </c>
      <c r="F7" s="2" t="s">
        <v>32</v>
      </c>
      <c r="G7" s="2" t="s">
        <v>14</v>
      </c>
      <c r="H7" s="2" t="s">
        <v>15</v>
      </c>
      <c r="I7" s="2" t="s">
        <v>36</v>
      </c>
    </row>
    <row r="8" spans="1:9" x14ac:dyDescent="0.3">
      <c r="A8" s="2" t="s">
        <v>37</v>
      </c>
      <c r="B8" s="2" t="s">
        <v>38</v>
      </c>
      <c r="C8" s="2" t="s">
        <v>31</v>
      </c>
      <c r="D8" s="3">
        <v>1236731.02</v>
      </c>
      <c r="E8" s="2" t="s">
        <v>12</v>
      </c>
      <c r="F8" s="2" t="s">
        <v>32</v>
      </c>
      <c r="G8" s="2" t="s">
        <v>14</v>
      </c>
      <c r="H8" s="2" t="s">
        <v>15</v>
      </c>
      <c r="I8" s="2" t="s">
        <v>39</v>
      </c>
    </row>
    <row r="9" spans="1:9" x14ac:dyDescent="0.3">
      <c r="A9" s="2" t="s">
        <v>40</v>
      </c>
      <c r="B9" s="2" t="s">
        <v>41</v>
      </c>
      <c r="C9" s="2" t="s">
        <v>31</v>
      </c>
      <c r="D9" s="3">
        <v>252904.27</v>
      </c>
      <c r="E9" s="2" t="s">
        <v>12</v>
      </c>
      <c r="F9" s="2" t="s">
        <v>32</v>
      </c>
      <c r="G9" s="2" t="s">
        <v>14</v>
      </c>
      <c r="H9" s="2" t="s">
        <v>15</v>
      </c>
      <c r="I9" s="2" t="s">
        <v>42</v>
      </c>
    </row>
    <row r="10" spans="1:9" x14ac:dyDescent="0.3">
      <c r="A10" s="2" t="s">
        <v>43</v>
      </c>
      <c r="B10" s="2" t="s">
        <v>44</v>
      </c>
      <c r="C10" s="2" t="s">
        <v>31</v>
      </c>
      <c r="D10" s="3">
        <v>164812.87</v>
      </c>
      <c r="E10" s="2" t="s">
        <v>12</v>
      </c>
      <c r="F10" s="2" t="s">
        <v>32</v>
      </c>
      <c r="G10" s="2" t="s">
        <v>14</v>
      </c>
      <c r="H10" s="2" t="s">
        <v>15</v>
      </c>
      <c r="I10" s="2" t="s">
        <v>45</v>
      </c>
    </row>
    <row r="11" spans="1:9" x14ac:dyDescent="0.3">
      <c r="A11" s="2" t="s">
        <v>46</v>
      </c>
      <c r="B11" s="2" t="s">
        <v>47</v>
      </c>
      <c r="C11" s="2" t="s">
        <v>31</v>
      </c>
      <c r="D11" s="3">
        <v>149068.56</v>
      </c>
      <c r="E11" s="2" t="s">
        <v>12</v>
      </c>
      <c r="F11" s="2" t="s">
        <v>32</v>
      </c>
      <c r="G11" s="2" t="s">
        <v>14</v>
      </c>
      <c r="H11" s="2" t="s">
        <v>15</v>
      </c>
      <c r="I11" s="2" t="s">
        <v>48</v>
      </c>
    </row>
    <row r="12" spans="1:9" x14ac:dyDescent="0.3">
      <c r="A12" s="2" t="s">
        <v>46</v>
      </c>
      <c r="B12" s="2" t="s">
        <v>49</v>
      </c>
      <c r="C12" s="2" t="s">
        <v>31</v>
      </c>
      <c r="D12" s="3">
        <v>1071739.54</v>
      </c>
      <c r="E12" s="2" t="s">
        <v>12</v>
      </c>
      <c r="F12" s="2" t="s">
        <v>32</v>
      </c>
      <c r="G12" s="2" t="s">
        <v>14</v>
      </c>
      <c r="H12" s="2" t="s">
        <v>15</v>
      </c>
      <c r="I12" s="2" t="s">
        <v>50</v>
      </c>
    </row>
    <row r="13" spans="1:9" x14ac:dyDescent="0.3">
      <c r="A13" s="2" t="s">
        <v>46</v>
      </c>
      <c r="B13" s="2" t="s">
        <v>51</v>
      </c>
      <c r="C13" s="2" t="s">
        <v>31</v>
      </c>
      <c r="D13" s="3">
        <v>817290.02</v>
      </c>
      <c r="E13" s="2" t="s">
        <v>12</v>
      </c>
      <c r="F13" s="2" t="s">
        <v>32</v>
      </c>
      <c r="G13" s="2" t="s">
        <v>14</v>
      </c>
      <c r="H13" s="2" t="s">
        <v>15</v>
      </c>
      <c r="I13" s="2" t="s">
        <v>52</v>
      </c>
    </row>
    <row r="14" spans="1:9" x14ac:dyDescent="0.3">
      <c r="A14" s="2" t="s">
        <v>46</v>
      </c>
      <c r="B14" s="2" t="s">
        <v>53</v>
      </c>
      <c r="C14" s="2" t="s">
        <v>31</v>
      </c>
      <c r="D14" s="3">
        <v>1795822.42</v>
      </c>
      <c r="E14" s="2" t="s">
        <v>12</v>
      </c>
      <c r="F14" s="2" t="s">
        <v>32</v>
      </c>
      <c r="G14" s="2" t="s">
        <v>14</v>
      </c>
      <c r="H14" s="2" t="s">
        <v>15</v>
      </c>
      <c r="I14" s="2" t="s">
        <v>54</v>
      </c>
    </row>
    <row r="15" spans="1:9" x14ac:dyDescent="0.3">
      <c r="A15" s="2" t="s">
        <v>46</v>
      </c>
      <c r="B15" s="2" t="s">
        <v>55</v>
      </c>
      <c r="C15" s="2" t="s">
        <v>31</v>
      </c>
      <c r="D15" s="3">
        <v>886150.07</v>
      </c>
      <c r="E15" s="2" t="s">
        <v>12</v>
      </c>
      <c r="F15" s="2" t="s">
        <v>32</v>
      </c>
      <c r="G15" s="2" t="s">
        <v>14</v>
      </c>
      <c r="H15" s="2" t="s">
        <v>15</v>
      </c>
      <c r="I15" s="2" t="s">
        <v>56</v>
      </c>
    </row>
    <row r="16" spans="1:9" x14ac:dyDescent="0.3">
      <c r="A16" s="2" t="s">
        <v>57</v>
      </c>
      <c r="B16" s="2" t="s">
        <v>58</v>
      </c>
      <c r="C16" s="2" t="s">
        <v>31</v>
      </c>
      <c r="D16" s="3">
        <v>1091993.98</v>
      </c>
      <c r="E16" s="2" t="s">
        <v>12</v>
      </c>
      <c r="F16" s="2" t="s">
        <v>32</v>
      </c>
      <c r="G16" s="2" t="s">
        <v>14</v>
      </c>
      <c r="H16" s="2" t="s">
        <v>15</v>
      </c>
      <c r="I16" s="2" t="s">
        <v>59</v>
      </c>
    </row>
    <row r="17" spans="1:9" x14ac:dyDescent="0.3">
      <c r="A17" s="2" t="s">
        <v>60</v>
      </c>
      <c r="B17" s="2" t="s">
        <v>61</v>
      </c>
      <c r="C17" s="2" t="s">
        <v>26</v>
      </c>
      <c r="D17" s="3">
        <v>75530.399999999994</v>
      </c>
      <c r="E17" s="2" t="s">
        <v>12</v>
      </c>
      <c r="F17" s="2" t="s">
        <v>27</v>
      </c>
      <c r="G17" s="2" t="s">
        <v>14</v>
      </c>
      <c r="H17" s="2" t="s">
        <v>15</v>
      </c>
      <c r="I17" s="2" t="s">
        <v>62</v>
      </c>
    </row>
    <row r="18" spans="1:9" x14ac:dyDescent="0.3">
      <c r="A18" s="2" t="s">
        <v>63</v>
      </c>
      <c r="B18" s="2" t="s">
        <v>64</v>
      </c>
      <c r="C18" s="2" t="s">
        <v>26</v>
      </c>
      <c r="D18" s="3">
        <v>3900</v>
      </c>
      <c r="E18" s="2" t="s">
        <v>12</v>
      </c>
      <c r="F18" s="2" t="s">
        <v>27</v>
      </c>
      <c r="G18" s="2" t="s">
        <v>14</v>
      </c>
      <c r="H18" s="2" t="s">
        <v>15</v>
      </c>
      <c r="I18" s="2" t="s">
        <v>65</v>
      </c>
    </row>
    <row r="19" spans="1:9" x14ac:dyDescent="0.3">
      <c r="A19" s="2" t="s">
        <v>66</v>
      </c>
      <c r="B19" s="2" t="s">
        <v>67</v>
      </c>
      <c r="C19" s="2" t="s">
        <v>26</v>
      </c>
      <c r="D19" s="3">
        <v>91149.84</v>
      </c>
      <c r="E19" s="2" t="s">
        <v>12</v>
      </c>
      <c r="F19" s="2" t="s">
        <v>27</v>
      </c>
      <c r="G19" s="2" t="s">
        <v>14</v>
      </c>
      <c r="H19" s="2" t="s">
        <v>15</v>
      </c>
      <c r="I19" s="2" t="s">
        <v>68</v>
      </c>
    </row>
    <row r="20" spans="1:9" x14ac:dyDescent="0.3">
      <c r="A20" s="2" t="s">
        <v>69</v>
      </c>
      <c r="B20" s="2" t="s">
        <v>70</v>
      </c>
      <c r="C20" s="2" t="s">
        <v>26</v>
      </c>
      <c r="D20" s="3">
        <v>9380.52</v>
      </c>
      <c r="E20" s="2" t="s">
        <v>12</v>
      </c>
      <c r="F20" s="2" t="s">
        <v>27</v>
      </c>
      <c r="G20" s="2" t="s">
        <v>14</v>
      </c>
      <c r="H20" s="2" t="s">
        <v>15</v>
      </c>
      <c r="I20" s="2" t="s">
        <v>71</v>
      </c>
    </row>
    <row r="21" spans="1:9" x14ac:dyDescent="0.3">
      <c r="A21" s="2" t="s">
        <v>72</v>
      </c>
      <c r="B21" s="2" t="s">
        <v>73</v>
      </c>
      <c r="C21" s="2" t="s">
        <v>26</v>
      </c>
      <c r="D21" s="3">
        <v>4500</v>
      </c>
      <c r="E21" s="2" t="s">
        <v>12</v>
      </c>
      <c r="F21" s="2" t="s">
        <v>27</v>
      </c>
      <c r="G21" s="2" t="s">
        <v>14</v>
      </c>
      <c r="H21" s="2" t="s">
        <v>15</v>
      </c>
      <c r="I21" s="2" t="s">
        <v>74</v>
      </c>
    </row>
    <row r="22" spans="1:9" x14ac:dyDescent="0.3">
      <c r="A22" s="2" t="s">
        <v>75</v>
      </c>
      <c r="B22" s="2" t="s">
        <v>76</v>
      </c>
      <c r="C22" s="2" t="s">
        <v>26</v>
      </c>
      <c r="D22" s="3">
        <v>45803.08</v>
      </c>
      <c r="E22" s="2" t="s">
        <v>12</v>
      </c>
      <c r="F22" s="2" t="s">
        <v>27</v>
      </c>
      <c r="G22" s="2" t="s">
        <v>14</v>
      </c>
      <c r="H22" s="2" t="s">
        <v>15</v>
      </c>
      <c r="I22" s="2" t="s">
        <v>77</v>
      </c>
    </row>
    <row r="23" spans="1:9" x14ac:dyDescent="0.3">
      <c r="A23" s="2" t="s">
        <v>78</v>
      </c>
      <c r="B23" s="2" t="s">
        <v>79</v>
      </c>
      <c r="C23" s="2" t="s">
        <v>26</v>
      </c>
      <c r="D23" s="3">
        <v>7920</v>
      </c>
      <c r="E23" s="2" t="s">
        <v>12</v>
      </c>
      <c r="F23" s="2" t="s">
        <v>27</v>
      </c>
      <c r="G23" s="2" t="s">
        <v>14</v>
      </c>
      <c r="H23" s="2" t="s">
        <v>15</v>
      </c>
      <c r="I23" s="2" t="s">
        <v>80</v>
      </c>
    </row>
    <row r="24" spans="1:9" x14ac:dyDescent="0.3">
      <c r="A24" s="2" t="s">
        <v>81</v>
      </c>
      <c r="B24" s="2" t="s">
        <v>82</v>
      </c>
      <c r="C24" s="2" t="s">
        <v>11</v>
      </c>
      <c r="D24" s="3">
        <v>481421.81</v>
      </c>
      <c r="E24" s="2" t="s">
        <v>12</v>
      </c>
      <c r="F24" s="2" t="s">
        <v>13</v>
      </c>
      <c r="G24" s="2" t="s">
        <v>14</v>
      </c>
      <c r="H24" s="2" t="s">
        <v>15</v>
      </c>
      <c r="I24" s="2" t="s">
        <v>83</v>
      </c>
    </row>
    <row r="25" spans="1:9" x14ac:dyDescent="0.3">
      <c r="A25" s="2" t="s">
        <v>84</v>
      </c>
      <c r="B25" s="2" t="s">
        <v>85</v>
      </c>
      <c r="C25" s="2" t="s">
        <v>18</v>
      </c>
      <c r="D25" s="3">
        <v>1627459.25</v>
      </c>
      <c r="E25" s="2" t="s">
        <v>12</v>
      </c>
      <c r="F25" s="2" t="s">
        <v>19</v>
      </c>
      <c r="G25" s="2" t="s">
        <v>14</v>
      </c>
      <c r="H25" s="2" t="s">
        <v>15</v>
      </c>
      <c r="I25" s="2" t="s">
        <v>86</v>
      </c>
    </row>
    <row r="26" spans="1:9" x14ac:dyDescent="0.3">
      <c r="A26" s="2" t="s">
        <v>87</v>
      </c>
      <c r="B26" s="2" t="s">
        <v>88</v>
      </c>
      <c r="C26" s="2" t="s">
        <v>31</v>
      </c>
      <c r="D26" s="3">
        <v>420061.13</v>
      </c>
      <c r="E26" s="2" t="s">
        <v>12</v>
      </c>
      <c r="F26" s="2" t="s">
        <v>32</v>
      </c>
      <c r="G26" s="2" t="s">
        <v>14</v>
      </c>
      <c r="H26" s="2" t="s">
        <v>15</v>
      </c>
      <c r="I26" s="2" t="s">
        <v>89</v>
      </c>
    </row>
    <row r="27" spans="1:9" x14ac:dyDescent="0.3">
      <c r="A27" s="2" t="s">
        <v>87</v>
      </c>
      <c r="B27" s="2" t="s">
        <v>90</v>
      </c>
      <c r="C27" s="2" t="s">
        <v>31</v>
      </c>
      <c r="D27" s="3">
        <v>951198.17</v>
      </c>
      <c r="E27" s="2" t="s">
        <v>12</v>
      </c>
      <c r="F27" s="2" t="s">
        <v>32</v>
      </c>
      <c r="G27" s="2" t="s">
        <v>14</v>
      </c>
      <c r="H27" s="2" t="s">
        <v>15</v>
      </c>
      <c r="I27" s="2" t="s">
        <v>91</v>
      </c>
    </row>
    <row r="28" spans="1:9" x14ac:dyDescent="0.3">
      <c r="A28" s="2" t="s">
        <v>87</v>
      </c>
      <c r="B28" s="2" t="s">
        <v>92</v>
      </c>
      <c r="C28" s="2" t="s">
        <v>31</v>
      </c>
      <c r="D28" s="3">
        <v>6800.99</v>
      </c>
      <c r="E28" s="2" t="s">
        <v>12</v>
      </c>
      <c r="F28" s="2" t="s">
        <v>32</v>
      </c>
      <c r="G28" s="2" t="s">
        <v>14</v>
      </c>
      <c r="H28" s="2" t="s">
        <v>15</v>
      </c>
      <c r="I28" s="2" t="s">
        <v>93</v>
      </c>
    </row>
    <row r="29" spans="1:9" x14ac:dyDescent="0.3">
      <c r="A29" s="2" t="s">
        <v>87</v>
      </c>
      <c r="B29" s="2" t="s">
        <v>94</v>
      </c>
      <c r="C29" s="2" t="s">
        <v>31</v>
      </c>
      <c r="D29" s="3">
        <v>163831.22</v>
      </c>
      <c r="E29" s="2" t="s">
        <v>12</v>
      </c>
      <c r="F29" s="2" t="s">
        <v>32</v>
      </c>
      <c r="G29" s="2" t="s">
        <v>14</v>
      </c>
      <c r="H29" s="2" t="s">
        <v>15</v>
      </c>
      <c r="I29" s="2" t="s">
        <v>95</v>
      </c>
    </row>
    <row r="30" spans="1:9" x14ac:dyDescent="0.3">
      <c r="A30" s="2" t="s">
        <v>87</v>
      </c>
      <c r="B30" s="2" t="s">
        <v>96</v>
      </c>
      <c r="C30" s="2" t="s">
        <v>31</v>
      </c>
      <c r="D30" s="3">
        <v>100446.18</v>
      </c>
      <c r="E30" s="2" t="s">
        <v>12</v>
      </c>
      <c r="F30" s="2" t="s">
        <v>32</v>
      </c>
      <c r="G30" s="2" t="s">
        <v>14</v>
      </c>
      <c r="H30" s="2" t="s">
        <v>15</v>
      </c>
      <c r="I30" s="2" t="s">
        <v>97</v>
      </c>
    </row>
    <row r="31" spans="1:9" x14ac:dyDescent="0.3">
      <c r="A31" s="2" t="s">
        <v>87</v>
      </c>
      <c r="B31" s="2" t="s">
        <v>98</v>
      </c>
      <c r="C31" s="2" t="s">
        <v>31</v>
      </c>
      <c r="D31" s="3">
        <v>1505681.76</v>
      </c>
      <c r="E31" s="2" t="s">
        <v>12</v>
      </c>
      <c r="F31" s="2" t="s">
        <v>32</v>
      </c>
      <c r="G31" s="2" t="s">
        <v>14</v>
      </c>
      <c r="H31" s="2" t="s">
        <v>15</v>
      </c>
      <c r="I31" s="2" t="s">
        <v>99</v>
      </c>
    </row>
    <row r="32" spans="1:9" x14ac:dyDescent="0.3">
      <c r="A32" s="2" t="s">
        <v>87</v>
      </c>
      <c r="B32" s="2" t="s">
        <v>100</v>
      </c>
      <c r="C32" s="2" t="s">
        <v>31</v>
      </c>
      <c r="D32" s="3">
        <v>860212</v>
      </c>
      <c r="E32" s="2" t="s">
        <v>12</v>
      </c>
      <c r="F32" s="2" t="s">
        <v>32</v>
      </c>
      <c r="G32" s="2" t="s">
        <v>14</v>
      </c>
      <c r="H32" s="2" t="s">
        <v>15</v>
      </c>
      <c r="I32" s="2" t="s">
        <v>101</v>
      </c>
    </row>
    <row r="33" spans="1:9" x14ac:dyDescent="0.3">
      <c r="A33" s="2" t="s">
        <v>87</v>
      </c>
      <c r="B33" s="2" t="s">
        <v>102</v>
      </c>
      <c r="C33" s="2" t="s">
        <v>31</v>
      </c>
      <c r="D33" s="3">
        <v>968129.2</v>
      </c>
      <c r="E33" s="2" t="s">
        <v>12</v>
      </c>
      <c r="F33" s="2" t="s">
        <v>32</v>
      </c>
      <c r="G33" s="2" t="s">
        <v>14</v>
      </c>
      <c r="H33" s="2" t="s">
        <v>15</v>
      </c>
      <c r="I33" s="2" t="s">
        <v>103</v>
      </c>
    </row>
    <row r="34" spans="1:9" x14ac:dyDescent="0.3">
      <c r="A34" s="2" t="s">
        <v>87</v>
      </c>
      <c r="B34" s="2" t="s">
        <v>104</v>
      </c>
      <c r="C34" s="2" t="s">
        <v>31</v>
      </c>
      <c r="D34" s="3">
        <v>1858038.04</v>
      </c>
      <c r="E34" s="2" t="s">
        <v>12</v>
      </c>
      <c r="F34" s="2" t="s">
        <v>32</v>
      </c>
      <c r="G34" s="2" t="s">
        <v>14</v>
      </c>
      <c r="H34" s="2" t="s">
        <v>15</v>
      </c>
      <c r="I34" s="2" t="s">
        <v>105</v>
      </c>
    </row>
    <row r="35" spans="1:9" x14ac:dyDescent="0.3">
      <c r="A35" s="2" t="s">
        <v>87</v>
      </c>
      <c r="B35" s="2" t="s">
        <v>106</v>
      </c>
      <c r="C35" s="2" t="s">
        <v>31</v>
      </c>
      <c r="D35" s="3">
        <v>1540060.34</v>
      </c>
      <c r="E35" s="2" t="s">
        <v>12</v>
      </c>
      <c r="F35" s="2" t="s">
        <v>32</v>
      </c>
      <c r="G35" s="2" t="s">
        <v>14</v>
      </c>
      <c r="H35" s="2" t="s">
        <v>15</v>
      </c>
      <c r="I35" s="2" t="s">
        <v>107</v>
      </c>
    </row>
    <row r="36" spans="1:9" x14ac:dyDescent="0.3">
      <c r="A36" s="2" t="s">
        <v>87</v>
      </c>
      <c r="B36" s="2" t="s">
        <v>108</v>
      </c>
      <c r="C36" s="2" t="s">
        <v>31</v>
      </c>
      <c r="D36" s="3">
        <v>1518451.78</v>
      </c>
      <c r="E36" s="2" t="s">
        <v>12</v>
      </c>
      <c r="F36" s="2" t="s">
        <v>32</v>
      </c>
      <c r="G36" s="2" t="s">
        <v>14</v>
      </c>
      <c r="H36" s="2" t="s">
        <v>15</v>
      </c>
      <c r="I36" s="2" t="s">
        <v>109</v>
      </c>
    </row>
    <row r="37" spans="1:9" x14ac:dyDescent="0.3">
      <c r="A37" s="2" t="s">
        <v>110</v>
      </c>
      <c r="B37" s="2" t="s">
        <v>111</v>
      </c>
      <c r="C37" s="2" t="s">
        <v>31</v>
      </c>
      <c r="D37" s="3">
        <v>1349055.62</v>
      </c>
      <c r="E37" s="2" t="s">
        <v>12</v>
      </c>
      <c r="F37" s="2" t="s">
        <v>32</v>
      </c>
      <c r="G37" s="2" t="s">
        <v>14</v>
      </c>
      <c r="H37" s="2" t="s">
        <v>15</v>
      </c>
      <c r="I37" s="2" t="s">
        <v>112</v>
      </c>
    </row>
    <row r="38" spans="1:9" x14ac:dyDescent="0.3">
      <c r="A38" s="2" t="s">
        <v>113</v>
      </c>
      <c r="B38" s="2" t="s">
        <v>114</v>
      </c>
      <c r="C38" s="2" t="s">
        <v>115</v>
      </c>
      <c r="D38" s="3">
        <v>1085997.8400000001</v>
      </c>
      <c r="E38" s="2" t="s">
        <v>12</v>
      </c>
      <c r="F38" s="2" t="s">
        <v>116</v>
      </c>
      <c r="G38" s="2" t="s">
        <v>14</v>
      </c>
      <c r="H38" s="2" t="s">
        <v>15</v>
      </c>
      <c r="I38" s="2" t="s">
        <v>117</v>
      </c>
    </row>
    <row r="39" spans="1:9" x14ac:dyDescent="0.3">
      <c r="D39" s="4">
        <f>SUM(D2:D38)</f>
        <v>24598496.520000003</v>
      </c>
    </row>
    <row r="40" spans="1:9" x14ac:dyDescent="0.3">
      <c r="D40" s="4">
        <f>D39-D41-D42-D43-D44-D45</f>
        <v>3.3760443329811096E-9</v>
      </c>
    </row>
    <row r="41" spans="1:9" x14ac:dyDescent="0.3">
      <c r="D41" s="4">
        <f>D6+D7+D8+D9+D10+D11+D12+D13+D14+D15+D26+D16+D27+D28+D29+D30+D31+D32+D33+D34+D35+D36+D37</f>
        <v>20045273.18</v>
      </c>
      <c r="F41" t="s">
        <v>118</v>
      </c>
    </row>
    <row r="42" spans="1:9" x14ac:dyDescent="0.3">
      <c r="D42" s="4">
        <f>D5+D17+D18+D19+D20+D21+D22+D23</f>
        <v>359255.84</v>
      </c>
      <c r="F42" t="s">
        <v>119</v>
      </c>
    </row>
    <row r="43" spans="1:9" x14ac:dyDescent="0.3">
      <c r="D43" s="4">
        <f>D3+D25</f>
        <v>2425634.7800000003</v>
      </c>
      <c r="F43" t="s">
        <v>120</v>
      </c>
    </row>
    <row r="44" spans="1:9" x14ac:dyDescent="0.3">
      <c r="D44" s="4">
        <f>D38</f>
        <v>1085997.8400000001</v>
      </c>
      <c r="F44" t="s">
        <v>121</v>
      </c>
    </row>
    <row r="45" spans="1:9" x14ac:dyDescent="0.3">
      <c r="D45" s="4">
        <f>D24+D4+D2</f>
        <v>682334.88</v>
      </c>
      <c r="F45" t="s">
        <v>122</v>
      </c>
    </row>
    <row r="47" spans="1:9" x14ac:dyDescent="0.3">
      <c r="A47" s="1" t="s">
        <v>0</v>
      </c>
      <c r="B47" s="1" t="s">
        <v>1</v>
      </c>
      <c r="C47" s="1" t="s">
        <v>123</v>
      </c>
      <c r="D47" s="1" t="s">
        <v>3</v>
      </c>
      <c r="E47" s="1" t="s">
        <v>4</v>
      </c>
      <c r="F47" s="1" t="s">
        <v>2</v>
      </c>
      <c r="G47" s="1" t="s">
        <v>124</v>
      </c>
      <c r="H47" s="1" t="s">
        <v>6</v>
      </c>
      <c r="I47" s="1" t="s">
        <v>7</v>
      </c>
    </row>
    <row r="48" spans="1:9" x14ac:dyDescent="0.3">
      <c r="A48" s="2" t="s">
        <v>125</v>
      </c>
      <c r="B48" s="2" t="s">
        <v>10</v>
      </c>
      <c r="C48" s="2" t="s">
        <v>126</v>
      </c>
      <c r="D48" s="3">
        <v>33011.64</v>
      </c>
      <c r="E48" s="2" t="s">
        <v>12</v>
      </c>
      <c r="F48" s="2" t="s">
        <v>127</v>
      </c>
      <c r="G48" s="2" t="s">
        <v>128</v>
      </c>
      <c r="H48" s="2" t="s">
        <v>14</v>
      </c>
      <c r="I48" s="2" t="s">
        <v>15</v>
      </c>
    </row>
    <row r="49" spans="1:9" x14ac:dyDescent="0.3">
      <c r="A49" s="2" t="s">
        <v>129</v>
      </c>
      <c r="B49" s="2" t="s">
        <v>35</v>
      </c>
      <c r="C49" s="2" t="s">
        <v>126</v>
      </c>
      <c r="D49" s="3">
        <v>50718</v>
      </c>
      <c r="E49" s="2" t="s">
        <v>12</v>
      </c>
      <c r="F49" s="2" t="s">
        <v>127</v>
      </c>
      <c r="G49" s="2" t="s">
        <v>128</v>
      </c>
      <c r="H49" s="2" t="s">
        <v>14</v>
      </c>
      <c r="I49" s="2" t="s">
        <v>15</v>
      </c>
    </row>
    <row r="50" spans="1:9" x14ac:dyDescent="0.3">
      <c r="A50" s="2" t="s">
        <v>130</v>
      </c>
      <c r="B50" s="2" t="s">
        <v>44</v>
      </c>
      <c r="C50" s="2" t="s">
        <v>126</v>
      </c>
      <c r="D50" s="3">
        <v>20287.2</v>
      </c>
      <c r="E50" s="2" t="s">
        <v>12</v>
      </c>
      <c r="F50" s="2" t="s">
        <v>127</v>
      </c>
      <c r="G50" s="2" t="s">
        <v>128</v>
      </c>
      <c r="H50" s="2" t="s">
        <v>14</v>
      </c>
      <c r="I50" s="2" t="s">
        <v>15</v>
      </c>
    </row>
    <row r="51" spans="1:9" x14ac:dyDescent="0.3">
      <c r="A51" s="2" t="s">
        <v>131</v>
      </c>
      <c r="B51" s="2" t="s">
        <v>38</v>
      </c>
      <c r="C51" s="2" t="s">
        <v>126</v>
      </c>
      <c r="D51" s="3">
        <v>22007.759999999998</v>
      </c>
      <c r="E51" s="2" t="s">
        <v>12</v>
      </c>
      <c r="F51" s="2" t="s">
        <v>127</v>
      </c>
      <c r="G51" s="2" t="s">
        <v>128</v>
      </c>
      <c r="H51" s="2" t="s">
        <v>14</v>
      </c>
      <c r="I51" s="2" t="s">
        <v>15</v>
      </c>
    </row>
    <row r="52" spans="1:9" x14ac:dyDescent="0.3">
      <c r="A52" s="2" t="s">
        <v>132</v>
      </c>
      <c r="B52" s="2" t="s">
        <v>41</v>
      </c>
      <c r="C52" s="2" t="s">
        <v>126</v>
      </c>
      <c r="D52" s="3">
        <v>65599.97</v>
      </c>
      <c r="E52" s="2" t="s">
        <v>12</v>
      </c>
      <c r="F52" s="2" t="s">
        <v>127</v>
      </c>
      <c r="G52" s="2" t="s">
        <v>128</v>
      </c>
      <c r="H52" s="2" t="s">
        <v>14</v>
      </c>
      <c r="I52" s="2" t="s">
        <v>15</v>
      </c>
    </row>
    <row r="53" spans="1:9" x14ac:dyDescent="0.3">
      <c r="A53" s="2" t="s">
        <v>133</v>
      </c>
      <c r="B53" s="2" t="s">
        <v>25</v>
      </c>
      <c r="C53" s="2" t="s">
        <v>126</v>
      </c>
      <c r="D53" s="3">
        <v>36252.620000000003</v>
      </c>
      <c r="E53" s="2" t="s">
        <v>12</v>
      </c>
      <c r="F53" s="2" t="s">
        <v>127</v>
      </c>
      <c r="G53" s="2" t="s">
        <v>128</v>
      </c>
      <c r="H53" s="2" t="s">
        <v>14</v>
      </c>
      <c r="I53" s="2" t="s">
        <v>15</v>
      </c>
    </row>
    <row r="54" spans="1:9" x14ac:dyDescent="0.3">
      <c r="A54" s="2" t="s">
        <v>134</v>
      </c>
      <c r="B54" s="2" t="s">
        <v>135</v>
      </c>
      <c r="C54" s="2" t="s">
        <v>126</v>
      </c>
      <c r="D54" s="3">
        <v>34526.300000000003</v>
      </c>
      <c r="E54" s="2" t="s">
        <v>12</v>
      </c>
      <c r="F54" s="2" t="s">
        <v>127</v>
      </c>
      <c r="G54" s="2" t="s">
        <v>128</v>
      </c>
      <c r="H54" s="2" t="s">
        <v>14</v>
      </c>
      <c r="I54" s="2" t="s">
        <v>15</v>
      </c>
    </row>
    <row r="55" spans="1:9" x14ac:dyDescent="0.3">
      <c r="A55" s="2" t="s">
        <v>136</v>
      </c>
      <c r="B55" s="2" t="s">
        <v>137</v>
      </c>
      <c r="C55" s="2" t="s">
        <v>126</v>
      </c>
      <c r="D55" s="3">
        <v>56383.37</v>
      </c>
      <c r="E55" s="2" t="s">
        <v>12</v>
      </c>
      <c r="F55" s="2" t="s">
        <v>127</v>
      </c>
      <c r="G55" s="2" t="s">
        <v>128</v>
      </c>
      <c r="H55" s="2" t="s">
        <v>14</v>
      </c>
      <c r="I55" s="2" t="s">
        <v>15</v>
      </c>
    </row>
    <row r="56" spans="1:9" x14ac:dyDescent="0.3">
      <c r="A56" s="2" t="s">
        <v>138</v>
      </c>
      <c r="B56" s="2" t="s">
        <v>82</v>
      </c>
      <c r="C56" s="2" t="s">
        <v>126</v>
      </c>
      <c r="D56" s="3">
        <v>166628.14000000001</v>
      </c>
      <c r="E56" s="2" t="s">
        <v>12</v>
      </c>
      <c r="F56" s="2" t="s">
        <v>127</v>
      </c>
      <c r="G56" s="2" t="s">
        <v>128</v>
      </c>
      <c r="H56" s="2" t="s">
        <v>14</v>
      </c>
      <c r="I56" s="2" t="s">
        <v>15</v>
      </c>
    </row>
    <row r="57" spans="1:9" x14ac:dyDescent="0.3">
      <c r="A57" s="2" t="s">
        <v>139</v>
      </c>
      <c r="B57" s="2" t="s">
        <v>30</v>
      </c>
      <c r="C57" s="2" t="s">
        <v>126</v>
      </c>
      <c r="D57" s="3">
        <v>147917.78</v>
      </c>
      <c r="E57" s="2" t="s">
        <v>12</v>
      </c>
      <c r="F57" s="2" t="s">
        <v>127</v>
      </c>
      <c r="G57" s="2" t="s">
        <v>128</v>
      </c>
      <c r="H57" s="2" t="s">
        <v>14</v>
      </c>
      <c r="I57" s="2" t="s">
        <v>15</v>
      </c>
    </row>
    <row r="58" spans="1:9" x14ac:dyDescent="0.3">
      <c r="A58" s="2" t="s">
        <v>140</v>
      </c>
      <c r="B58" s="2" t="s">
        <v>51</v>
      </c>
      <c r="C58" s="2" t="s">
        <v>126</v>
      </c>
      <c r="D58" s="3">
        <v>95232.9</v>
      </c>
      <c r="E58" s="2" t="s">
        <v>12</v>
      </c>
      <c r="F58" s="2" t="s">
        <v>127</v>
      </c>
      <c r="G58" s="2" t="s">
        <v>128</v>
      </c>
      <c r="H58" s="2" t="s">
        <v>14</v>
      </c>
      <c r="I58" s="2" t="s">
        <v>15</v>
      </c>
    </row>
    <row r="59" spans="1:9" x14ac:dyDescent="0.3">
      <c r="A59" s="2" t="s">
        <v>141</v>
      </c>
      <c r="B59" s="2" t="s">
        <v>53</v>
      </c>
      <c r="C59" s="2" t="s">
        <v>126</v>
      </c>
      <c r="D59" s="3">
        <v>56158.01</v>
      </c>
      <c r="E59" s="2" t="s">
        <v>12</v>
      </c>
      <c r="F59" s="2" t="s">
        <v>127</v>
      </c>
      <c r="G59" s="2" t="s">
        <v>128</v>
      </c>
      <c r="H59" s="2" t="s">
        <v>14</v>
      </c>
      <c r="I59" s="2" t="s">
        <v>15</v>
      </c>
    </row>
    <row r="60" spans="1:9" x14ac:dyDescent="0.3">
      <c r="D60" s="4">
        <f>SUM(D48:D59)</f>
        <v>784723.69000000006</v>
      </c>
    </row>
  </sheetData>
  <autoFilter ref="A1:I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2025-02-23T18:05:38Z</dcterms:modified>
</cp:coreProperties>
</file>
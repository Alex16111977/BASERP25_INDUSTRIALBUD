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24226"/>
  <xr:revisionPtr revIDLastSave="0" documentId="13_ncr:1_{85C365ED-85FE-4FC1-AAE8-DCA367F8EDA7}" xr6:coauthVersionLast="47" xr6:coauthVersionMax="47" xr10:uidLastSave="{00000000-0000-0000-0000-000000000000}"/>
  <bookViews>
    <workbookView xWindow="-120" yWindow="-120" windowWidth="29040" windowHeight="15720" firstSheet="6" activeTab="6" xr2:uid="{00000000-000D-0000-FFFF-FFFF00000000}"/>
  </bookViews>
  <sheets>
    <sheet name="М29 №1" sheetId="87" state="hidden" r:id="rId1"/>
    <sheet name="М29 №1 (2)" sheetId="90" state="hidden" r:id="rId2"/>
    <sheet name="М29 №1 (3)" sheetId="91" state="hidden" r:id="rId3"/>
    <sheet name="М29 №4" sheetId="92" state="hidden" r:id="rId4"/>
    <sheet name="М29 №5" sheetId="93" state="hidden" r:id="rId5"/>
    <sheet name="М29 №6" sheetId="94" state="hidden" r:id="rId6"/>
    <sheet name="М29 МАЛ №2" sheetId="105" r:id="rId7"/>
    <sheet name="М29 вел №1" sheetId="106" r:id="rId8"/>
    <sheet name="М29 №1 BIG (тільки мшп)" sheetId="96" state="hidden" r:id="rId9"/>
    <sheet name="ПЕРЕВЕСТИ НА ВИРОБНИЧИЙ" sheetId="88" state="hidden" r:id="rId10"/>
  </sheets>
  <externalReferences>
    <externalReference r:id="rId11"/>
    <externalReference r:id="rId12"/>
    <externalReference r:id="rId13"/>
  </externalReferences>
  <definedNames>
    <definedName name="_xlnm._FilterDatabase" localSheetId="0" hidden="1">'М29 №1'!$L$18:$P$233</definedName>
    <definedName name="_xlnm._FilterDatabase" localSheetId="1" hidden="1">'М29 №1 (2)'!$L$18:$P$243</definedName>
    <definedName name="_xlnm._FilterDatabase" localSheetId="2" hidden="1">'М29 №1 (3)'!$L$18:$P$220</definedName>
    <definedName name="_xlnm._FilterDatabase" localSheetId="8" hidden="1">'М29 №1 BIG (тільки мшп)'!$L$250:$O$345</definedName>
    <definedName name="_xlnm._FilterDatabase" localSheetId="3" hidden="1">'М29 №4'!$L$250:$O$347</definedName>
    <definedName name="_xlnm._FilterDatabase" localSheetId="4" hidden="1">'М29 №5'!$L$250:$O$332</definedName>
    <definedName name="_xlnm._FilterDatabase" localSheetId="5" hidden="1">'М29 №6'!$L$250:$O$331</definedName>
    <definedName name="_xlnm._FilterDatabase" localSheetId="7" hidden="1">'М29 вел №1'!$K$18:$S$466</definedName>
    <definedName name="_xlnm._FilterDatabase" localSheetId="6" hidden="1">'М29 МАЛ №2'!$K$18:$S$466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53" i="106" l="1"/>
  <c r="C453" i="106"/>
  <c r="C454" i="106" s="1"/>
  <c r="G338" i="106"/>
  <c r="P337" i="106"/>
  <c r="P336" i="106"/>
  <c r="P335" i="106"/>
  <c r="P334" i="106"/>
  <c r="P333" i="106"/>
  <c r="P332" i="106"/>
  <c r="P331" i="106"/>
  <c r="P330" i="106"/>
  <c r="P329" i="106"/>
  <c r="P328" i="106"/>
  <c r="P327" i="106"/>
  <c r="P326" i="106"/>
  <c r="P325" i="106"/>
  <c r="P324" i="106"/>
  <c r="P323" i="106"/>
  <c r="P322" i="106"/>
  <c r="P321" i="106"/>
  <c r="P320" i="106"/>
  <c r="P319" i="106"/>
  <c r="P318" i="106"/>
  <c r="P317" i="106"/>
  <c r="P316" i="106"/>
  <c r="P315" i="106"/>
  <c r="P314" i="106"/>
  <c r="P313" i="106"/>
  <c r="P312" i="106"/>
  <c r="P311" i="106"/>
  <c r="P310" i="106"/>
  <c r="P309" i="106"/>
  <c r="P308" i="106"/>
  <c r="P307" i="106"/>
  <c r="P306" i="106"/>
  <c r="P305" i="106"/>
  <c r="P304" i="106"/>
  <c r="P303" i="106"/>
  <c r="P302" i="106"/>
  <c r="P301" i="106"/>
  <c r="P300" i="106"/>
  <c r="P299" i="106"/>
  <c r="P298" i="106"/>
  <c r="P297" i="106"/>
  <c r="P296" i="106"/>
  <c r="P295" i="106"/>
  <c r="P294" i="106"/>
  <c r="P293" i="106"/>
  <c r="P292" i="106"/>
  <c r="P291" i="106"/>
  <c r="P290" i="106"/>
  <c r="P289" i="106"/>
  <c r="P288" i="106"/>
  <c r="P287" i="106"/>
  <c r="P286" i="106"/>
  <c r="P285" i="106"/>
  <c r="P284" i="106"/>
  <c r="P283" i="106"/>
  <c r="P282" i="106"/>
  <c r="P281" i="106"/>
  <c r="P280" i="106"/>
  <c r="P279" i="106"/>
  <c r="P278" i="106"/>
  <c r="P277" i="106"/>
  <c r="P276" i="106"/>
  <c r="P275" i="106"/>
  <c r="P274" i="106"/>
  <c r="P273" i="106"/>
  <c r="P272" i="106"/>
  <c r="P271" i="106"/>
  <c r="P270" i="106"/>
  <c r="P269" i="106"/>
  <c r="P268" i="106"/>
  <c r="P267" i="106"/>
  <c r="P266" i="106"/>
  <c r="P265" i="106"/>
  <c r="P264" i="106"/>
  <c r="P263" i="106"/>
  <c r="P262" i="106"/>
  <c r="P261" i="106"/>
  <c r="P260" i="106"/>
  <c r="P259" i="106"/>
  <c r="P258" i="106"/>
  <c r="P257" i="106"/>
  <c r="P256" i="106"/>
  <c r="P255" i="106"/>
  <c r="P254" i="106"/>
  <c r="P253" i="106"/>
  <c r="P252" i="106"/>
  <c r="P251" i="106"/>
  <c r="P250" i="106"/>
  <c r="P249" i="106"/>
  <c r="P248" i="106"/>
  <c r="P247" i="106"/>
  <c r="P246" i="106"/>
  <c r="P245" i="106"/>
  <c r="P244" i="106"/>
  <c r="P243" i="106"/>
  <c r="P242" i="106"/>
  <c r="P241" i="106"/>
  <c r="P240" i="106"/>
  <c r="P239" i="106"/>
  <c r="P238" i="106"/>
  <c r="P237" i="106"/>
  <c r="P236" i="106"/>
  <c r="P235" i="106"/>
  <c r="P234" i="106"/>
  <c r="P233" i="106"/>
  <c r="P232" i="106"/>
  <c r="P231" i="106"/>
  <c r="P230" i="106"/>
  <c r="P229" i="106"/>
  <c r="P228" i="106"/>
  <c r="P227" i="106"/>
  <c r="P226" i="106"/>
  <c r="P225" i="106"/>
  <c r="P224" i="106"/>
  <c r="P223" i="106"/>
  <c r="P222" i="106"/>
  <c r="P221" i="106"/>
  <c r="P220" i="106"/>
  <c r="P219" i="106"/>
  <c r="P218" i="106"/>
  <c r="P217" i="106"/>
  <c r="P216" i="106"/>
  <c r="P215" i="106"/>
  <c r="P214" i="106"/>
  <c r="P213" i="106"/>
  <c r="P212" i="106"/>
  <c r="P211" i="106"/>
  <c r="P210" i="106"/>
  <c r="P209" i="106"/>
  <c r="P208" i="106"/>
  <c r="P207" i="106"/>
  <c r="P206" i="106"/>
  <c r="P205" i="106"/>
  <c r="P204" i="106"/>
  <c r="P203" i="106"/>
  <c r="P202" i="106"/>
  <c r="P201" i="106"/>
  <c r="P200" i="106"/>
  <c r="P199" i="106"/>
  <c r="P198" i="106"/>
  <c r="P197" i="106"/>
  <c r="P196" i="106"/>
  <c r="P195" i="106"/>
  <c r="P194" i="106"/>
  <c r="P193" i="106"/>
  <c r="P192" i="106"/>
  <c r="P191" i="106"/>
  <c r="P190" i="106"/>
  <c r="P189" i="106"/>
  <c r="P188" i="106"/>
  <c r="P187" i="106"/>
  <c r="P186" i="106"/>
  <c r="P185" i="106"/>
  <c r="P184" i="106"/>
  <c r="P183" i="106"/>
  <c r="P182" i="106"/>
  <c r="P181" i="106"/>
  <c r="P180" i="106"/>
  <c r="P179" i="106"/>
  <c r="P178" i="106"/>
  <c r="P177" i="106"/>
  <c r="P176" i="106"/>
  <c r="P175" i="106"/>
  <c r="P174" i="106"/>
  <c r="P173" i="106"/>
  <c r="P172" i="106"/>
  <c r="P171" i="106"/>
  <c r="P170" i="106"/>
  <c r="P169" i="106"/>
  <c r="P168" i="106"/>
  <c r="P167" i="106"/>
  <c r="P166" i="106"/>
  <c r="P165" i="106"/>
  <c r="P164" i="106"/>
  <c r="P163" i="106"/>
  <c r="P162" i="106"/>
  <c r="P161" i="106"/>
  <c r="P160" i="106"/>
  <c r="P159" i="106"/>
  <c r="P158" i="106"/>
  <c r="P157" i="106"/>
  <c r="P156" i="106"/>
  <c r="P155" i="106"/>
  <c r="P154" i="106"/>
  <c r="P153" i="106"/>
  <c r="P152" i="106"/>
  <c r="P151" i="106"/>
  <c r="P150" i="106"/>
  <c r="P149" i="106"/>
  <c r="P148" i="106"/>
  <c r="P147" i="106"/>
  <c r="P146" i="106"/>
  <c r="P145" i="106"/>
  <c r="P144" i="106"/>
  <c r="P143" i="106"/>
  <c r="P142" i="106"/>
  <c r="P141" i="106"/>
  <c r="P140" i="106"/>
  <c r="P139" i="106"/>
  <c r="P138" i="106"/>
  <c r="P137" i="106"/>
  <c r="P136" i="106"/>
  <c r="P135" i="106"/>
  <c r="P134" i="106"/>
  <c r="P133" i="106"/>
  <c r="P132" i="106"/>
  <c r="P131" i="106"/>
  <c r="P130" i="106"/>
  <c r="P129" i="106"/>
  <c r="P128" i="106"/>
  <c r="P127" i="106"/>
  <c r="P126" i="106"/>
  <c r="P125" i="106"/>
  <c r="P124" i="106"/>
  <c r="P123" i="106"/>
  <c r="P122" i="106"/>
  <c r="P121" i="106"/>
  <c r="P120" i="106"/>
  <c r="P119" i="106"/>
  <c r="P118" i="106"/>
  <c r="P117" i="106"/>
  <c r="P116" i="106"/>
  <c r="P115" i="106"/>
  <c r="P114" i="106"/>
  <c r="P113" i="106"/>
  <c r="P112" i="106"/>
  <c r="P111" i="106"/>
  <c r="P110" i="106"/>
  <c r="P109" i="106"/>
  <c r="P108" i="106"/>
  <c r="P107" i="106"/>
  <c r="P106" i="106"/>
  <c r="P105" i="106"/>
  <c r="P104" i="106"/>
  <c r="P103" i="106"/>
  <c r="P102" i="106"/>
  <c r="P101" i="106"/>
  <c r="P100" i="106"/>
  <c r="P99" i="106"/>
  <c r="P98" i="106"/>
  <c r="P97" i="106"/>
  <c r="P96" i="106"/>
  <c r="P95" i="106"/>
  <c r="P94" i="106"/>
  <c r="P93" i="106"/>
  <c r="P92" i="106"/>
  <c r="P91" i="106"/>
  <c r="P90" i="106"/>
  <c r="P89" i="106"/>
  <c r="P88" i="106"/>
  <c r="P87" i="106"/>
  <c r="P86" i="106"/>
  <c r="P85" i="106"/>
  <c r="P84" i="106"/>
  <c r="P83" i="106"/>
  <c r="P82" i="106"/>
  <c r="P81" i="106"/>
  <c r="P80" i="106"/>
  <c r="P79" i="106"/>
  <c r="P78" i="106"/>
  <c r="P77" i="106"/>
  <c r="P76" i="106"/>
  <c r="P75" i="106"/>
  <c r="P74" i="106"/>
  <c r="P73" i="106"/>
  <c r="P72" i="106"/>
  <c r="P71" i="106"/>
  <c r="P70" i="106"/>
  <c r="P69" i="106"/>
  <c r="P68" i="106"/>
  <c r="P67" i="106"/>
  <c r="P66" i="106"/>
  <c r="P65" i="106"/>
  <c r="P64" i="106"/>
  <c r="P63" i="106"/>
  <c r="P62" i="106"/>
  <c r="P61" i="106"/>
  <c r="P60" i="106"/>
  <c r="P59" i="106"/>
  <c r="P58" i="106"/>
  <c r="P57" i="106"/>
  <c r="P56" i="106"/>
  <c r="P55" i="106"/>
  <c r="P54" i="106"/>
  <c r="P53" i="106"/>
  <c r="P52" i="106"/>
  <c r="P51" i="106"/>
  <c r="P50" i="106"/>
  <c r="P49" i="106"/>
  <c r="P48" i="106"/>
  <c r="P47" i="106"/>
  <c r="P46" i="106"/>
  <c r="P45" i="106"/>
  <c r="P44" i="106"/>
  <c r="P43" i="106"/>
  <c r="P42" i="106"/>
  <c r="P41" i="106"/>
  <c r="P40" i="106"/>
  <c r="P39" i="106"/>
  <c r="P38" i="106"/>
  <c r="P37" i="106"/>
  <c r="P36" i="106"/>
  <c r="P35" i="106"/>
  <c r="P34" i="106"/>
  <c r="P33" i="106"/>
  <c r="P32" i="106"/>
  <c r="P31" i="106"/>
  <c r="P30" i="106"/>
  <c r="P29" i="106"/>
  <c r="P28" i="106"/>
  <c r="P27" i="106"/>
  <c r="P26" i="106"/>
  <c r="P25" i="106"/>
  <c r="P24" i="106"/>
  <c r="P23" i="106"/>
  <c r="P22" i="106"/>
  <c r="P21" i="106"/>
  <c r="P20" i="106"/>
  <c r="P19" i="106"/>
  <c r="P20" i="105"/>
  <c r="P21" i="105"/>
  <c r="P22" i="105"/>
  <c r="P23" i="105"/>
  <c r="P24" i="105"/>
  <c r="P25" i="105"/>
  <c r="P26" i="105"/>
  <c r="P27" i="105"/>
  <c r="P28" i="105"/>
  <c r="P29" i="105"/>
  <c r="P30" i="105"/>
  <c r="P31" i="105"/>
  <c r="P32" i="105"/>
  <c r="P33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2" i="105"/>
  <c r="P63" i="105"/>
  <c r="P64" i="105"/>
  <c r="P65" i="105"/>
  <c r="P66" i="105"/>
  <c r="P67" i="105"/>
  <c r="P68" i="105"/>
  <c r="P69" i="105"/>
  <c r="P70" i="105"/>
  <c r="P71" i="105"/>
  <c r="P72" i="105"/>
  <c r="P73" i="105"/>
  <c r="P74" i="105"/>
  <c r="P75" i="105"/>
  <c r="P76" i="105"/>
  <c r="P77" i="105"/>
  <c r="P78" i="105"/>
  <c r="P79" i="105"/>
  <c r="P80" i="105"/>
  <c r="P81" i="105"/>
  <c r="P82" i="105"/>
  <c r="P83" i="105"/>
  <c r="P84" i="105"/>
  <c r="P85" i="105"/>
  <c r="P86" i="105"/>
  <c r="P87" i="105"/>
  <c r="P88" i="105"/>
  <c r="P89" i="105"/>
  <c r="P90" i="105"/>
  <c r="P91" i="105"/>
  <c r="P92" i="105"/>
  <c r="P93" i="105"/>
  <c r="P94" i="105"/>
  <c r="P95" i="105"/>
  <c r="P96" i="105"/>
  <c r="P97" i="105"/>
  <c r="P98" i="105"/>
  <c r="P99" i="105"/>
  <c r="P100" i="105"/>
  <c r="P101" i="105"/>
  <c r="P102" i="105"/>
  <c r="P103" i="105"/>
  <c r="P104" i="105"/>
  <c r="P105" i="105"/>
  <c r="P106" i="105"/>
  <c r="P107" i="105"/>
  <c r="P108" i="105"/>
  <c r="P109" i="105"/>
  <c r="P110" i="105"/>
  <c r="P111" i="105"/>
  <c r="P112" i="105"/>
  <c r="P113" i="105"/>
  <c r="P114" i="105"/>
  <c r="P115" i="105"/>
  <c r="P116" i="105"/>
  <c r="P117" i="105"/>
  <c r="P118" i="105"/>
  <c r="P119" i="105"/>
  <c r="P120" i="105"/>
  <c r="P121" i="105"/>
  <c r="P122" i="105"/>
  <c r="P123" i="105"/>
  <c r="P124" i="105"/>
  <c r="P125" i="105"/>
  <c r="P126" i="105"/>
  <c r="P127" i="105"/>
  <c r="P128" i="105"/>
  <c r="P129" i="105"/>
  <c r="P130" i="105"/>
  <c r="P131" i="105"/>
  <c r="P132" i="105"/>
  <c r="P133" i="105"/>
  <c r="P134" i="105"/>
  <c r="P135" i="105"/>
  <c r="P136" i="105"/>
  <c r="P137" i="105"/>
  <c r="P138" i="105"/>
  <c r="P139" i="105"/>
  <c r="P140" i="105"/>
  <c r="P141" i="105"/>
  <c r="P142" i="105"/>
  <c r="P143" i="105"/>
  <c r="P144" i="105"/>
  <c r="P145" i="105"/>
  <c r="P146" i="105"/>
  <c r="P147" i="105"/>
  <c r="P148" i="105"/>
  <c r="P149" i="105"/>
  <c r="P150" i="105"/>
  <c r="P151" i="105"/>
  <c r="P152" i="105"/>
  <c r="P153" i="105"/>
  <c r="P154" i="105"/>
  <c r="P155" i="105"/>
  <c r="P156" i="105"/>
  <c r="P157" i="105"/>
  <c r="P158" i="105"/>
  <c r="P159" i="105"/>
  <c r="P160" i="105"/>
  <c r="P161" i="105"/>
  <c r="P162" i="105"/>
  <c r="P163" i="105"/>
  <c r="P164" i="105"/>
  <c r="P165" i="105"/>
  <c r="P166" i="105"/>
  <c r="P167" i="105"/>
  <c r="P168" i="105"/>
  <c r="P169" i="105"/>
  <c r="P170" i="105"/>
  <c r="P171" i="105"/>
  <c r="P172" i="105"/>
  <c r="P173" i="105"/>
  <c r="P174" i="105"/>
  <c r="P175" i="105"/>
  <c r="P176" i="105"/>
  <c r="P177" i="105"/>
  <c r="P178" i="105"/>
  <c r="P179" i="105"/>
  <c r="P180" i="105"/>
  <c r="P181" i="105"/>
  <c r="P182" i="105"/>
  <c r="P183" i="105"/>
  <c r="P184" i="105"/>
  <c r="P185" i="105"/>
  <c r="P186" i="105"/>
  <c r="P187" i="105"/>
  <c r="P188" i="105"/>
  <c r="P189" i="105"/>
  <c r="P190" i="105"/>
  <c r="P191" i="105"/>
  <c r="P192" i="105"/>
  <c r="P193" i="105"/>
  <c r="P194" i="105"/>
  <c r="P195" i="105"/>
  <c r="P196" i="105"/>
  <c r="P197" i="105"/>
  <c r="P198" i="105"/>
  <c r="P199" i="105"/>
  <c r="P200" i="105"/>
  <c r="P201" i="105"/>
  <c r="P202" i="105"/>
  <c r="P203" i="105"/>
  <c r="P204" i="105"/>
  <c r="P205" i="105"/>
  <c r="P206" i="105"/>
  <c r="P207" i="105"/>
  <c r="P208" i="105"/>
  <c r="P209" i="105"/>
  <c r="P210" i="105"/>
  <c r="P211" i="105"/>
  <c r="P212" i="105"/>
  <c r="P213" i="105"/>
  <c r="P214" i="105"/>
  <c r="P215" i="105"/>
  <c r="P216" i="105"/>
  <c r="P217" i="105"/>
  <c r="P218" i="105"/>
  <c r="P219" i="105"/>
  <c r="P220" i="105"/>
  <c r="P221" i="105"/>
  <c r="P222" i="105"/>
  <c r="P223" i="105"/>
  <c r="P224" i="105"/>
  <c r="P225" i="105"/>
  <c r="P226" i="105"/>
  <c r="P227" i="105"/>
  <c r="P228" i="105"/>
  <c r="P229" i="105"/>
  <c r="P230" i="105"/>
  <c r="P231" i="105"/>
  <c r="P232" i="105"/>
  <c r="P233" i="105"/>
  <c r="P234" i="105"/>
  <c r="P235" i="105"/>
  <c r="P236" i="105"/>
  <c r="P237" i="105"/>
  <c r="P238" i="105"/>
  <c r="P239" i="105"/>
  <c r="P240" i="105"/>
  <c r="P241" i="105"/>
  <c r="P242" i="105"/>
  <c r="P243" i="105"/>
  <c r="P244" i="105"/>
  <c r="P245" i="105"/>
  <c r="P246" i="105"/>
  <c r="P247" i="105"/>
  <c r="P248" i="105"/>
  <c r="P249" i="105"/>
  <c r="P250" i="105"/>
  <c r="P251" i="105"/>
  <c r="P252" i="105"/>
  <c r="P253" i="105"/>
  <c r="P254" i="105"/>
  <c r="P255" i="105"/>
  <c r="P256" i="105"/>
  <c r="P257" i="105"/>
  <c r="P258" i="105"/>
  <c r="P259" i="105"/>
  <c r="P260" i="105"/>
  <c r="P261" i="105"/>
  <c r="P262" i="105"/>
  <c r="P263" i="105"/>
  <c r="P264" i="105"/>
  <c r="P265" i="105"/>
  <c r="P266" i="105"/>
  <c r="P267" i="105"/>
  <c r="P268" i="105"/>
  <c r="P269" i="105"/>
  <c r="P270" i="105"/>
  <c r="P271" i="105"/>
  <c r="P272" i="105"/>
  <c r="P273" i="105"/>
  <c r="P274" i="105"/>
  <c r="P275" i="105"/>
  <c r="P276" i="105"/>
  <c r="P277" i="105"/>
  <c r="P278" i="105"/>
  <c r="P279" i="105"/>
  <c r="P280" i="105"/>
  <c r="P281" i="105"/>
  <c r="P282" i="105"/>
  <c r="P283" i="105"/>
  <c r="P284" i="105"/>
  <c r="P285" i="105"/>
  <c r="P286" i="105"/>
  <c r="P287" i="105"/>
  <c r="P288" i="105"/>
  <c r="P289" i="105"/>
  <c r="P290" i="105"/>
  <c r="P291" i="105"/>
  <c r="P292" i="105"/>
  <c r="P293" i="105"/>
  <c r="P294" i="105"/>
  <c r="P295" i="105"/>
  <c r="P296" i="105"/>
  <c r="P297" i="105"/>
  <c r="P298" i="105"/>
  <c r="P299" i="105"/>
  <c r="P300" i="105"/>
  <c r="P301" i="105"/>
  <c r="P302" i="105"/>
  <c r="P303" i="105"/>
  <c r="P304" i="105"/>
  <c r="P305" i="105"/>
  <c r="P306" i="105"/>
  <c r="P307" i="105"/>
  <c r="P308" i="105"/>
  <c r="P309" i="105"/>
  <c r="P310" i="105"/>
  <c r="P311" i="105"/>
  <c r="P312" i="105"/>
  <c r="P313" i="105"/>
  <c r="P314" i="105"/>
  <c r="P315" i="105"/>
  <c r="P316" i="105"/>
  <c r="P317" i="105"/>
  <c r="P318" i="105"/>
  <c r="P319" i="105"/>
  <c r="P320" i="105"/>
  <c r="P321" i="105"/>
  <c r="P322" i="105"/>
  <c r="P323" i="105"/>
  <c r="P324" i="105"/>
  <c r="P325" i="105"/>
  <c r="P326" i="105"/>
  <c r="P327" i="105"/>
  <c r="P328" i="105"/>
  <c r="P329" i="105"/>
  <c r="P330" i="105"/>
  <c r="P331" i="105"/>
  <c r="P332" i="105"/>
  <c r="P333" i="105"/>
  <c r="P334" i="105"/>
  <c r="P335" i="105"/>
  <c r="P336" i="105"/>
  <c r="P337" i="105"/>
  <c r="P19" i="105"/>
  <c r="P338" i="106" l="1"/>
  <c r="P454" i="106" s="1"/>
  <c r="P338" i="105" l="1"/>
  <c r="P453" i="105"/>
  <c r="P454" i="105" l="1"/>
  <c r="C453" i="105"/>
  <c r="C454" i="105" s="1"/>
  <c r="G338" i="105"/>
  <c r="Q346" i="96"/>
  <c r="P346" i="96"/>
  <c r="P347" i="96" s="1"/>
  <c r="O346" i="96"/>
  <c r="O347" i="96" s="1"/>
  <c r="D346" i="96"/>
  <c r="D347" i="96" s="1"/>
  <c r="Q250" i="96"/>
  <c r="H250" i="96"/>
  <c r="Q333" i="94"/>
  <c r="P333" i="94"/>
  <c r="P334" i="94" s="1"/>
  <c r="O333" i="94"/>
  <c r="O334" i="94" s="1"/>
  <c r="D333" i="94"/>
  <c r="D334" i="94" s="1"/>
  <c r="Q250" i="94"/>
  <c r="H250" i="94"/>
  <c r="Q334" i="94" l="1"/>
  <c r="Q347" i="96"/>
  <c r="Q333" i="93" l="1"/>
  <c r="P333" i="93"/>
  <c r="P334" i="93" s="1"/>
  <c r="O333" i="93"/>
  <c r="O334" i="93" s="1"/>
  <c r="D333" i="93"/>
  <c r="D334" i="93" s="1"/>
  <c r="H250" i="93"/>
  <c r="Q250" i="93"/>
  <c r="Q334" i="92"/>
  <c r="O334" i="92"/>
  <c r="O335" i="92" s="1"/>
  <c r="D334" i="92"/>
  <c r="D335" i="92" s="1"/>
  <c r="H250" i="92"/>
  <c r="Q250" i="92"/>
  <c r="S248" i="91"/>
  <c r="P248" i="91"/>
  <c r="T248" i="91" s="1"/>
  <c r="R200" i="91"/>
  <c r="Q200" i="91"/>
  <c r="R201" i="91"/>
  <c r="Q201" i="91"/>
  <c r="R198" i="91"/>
  <c r="Q198" i="91"/>
  <c r="S190" i="91"/>
  <c r="P190" i="91"/>
  <c r="T190" i="91" s="1"/>
  <c r="S161" i="91"/>
  <c r="P161" i="91"/>
  <c r="T161" i="91" s="1"/>
  <c r="R148" i="91"/>
  <c r="Q148" i="91"/>
  <c r="P85" i="91"/>
  <c r="T85" i="91" s="1"/>
  <c r="P66" i="91"/>
  <c r="T66" i="91" s="1"/>
  <c r="S62" i="91"/>
  <c r="P62" i="91"/>
  <c r="T62" i="91" s="1"/>
  <c r="R123" i="91"/>
  <c r="Q123" i="91"/>
  <c r="R207" i="91"/>
  <c r="R171" i="91"/>
  <c r="R162" i="91"/>
  <c r="Q207" i="91"/>
  <c r="Q171" i="91"/>
  <c r="Q162" i="91"/>
  <c r="S51" i="91"/>
  <c r="S50" i="91"/>
  <c r="P50" i="91"/>
  <c r="T50" i="91" s="1"/>
  <c r="P51" i="91"/>
  <c r="T51" i="91" s="1"/>
  <c r="P27" i="91"/>
  <c r="S27" i="91"/>
  <c r="S20" i="91"/>
  <c r="S21" i="91"/>
  <c r="S22" i="91"/>
  <c r="S23" i="91"/>
  <c r="S24" i="91"/>
  <c r="S25" i="91"/>
  <c r="S26" i="91"/>
  <c r="S28" i="91"/>
  <c r="S29" i="91"/>
  <c r="S31" i="91"/>
  <c r="S32" i="91"/>
  <c r="S33" i="91"/>
  <c r="S34" i="91"/>
  <c r="S35" i="91"/>
  <c r="S36" i="91"/>
  <c r="S37" i="91"/>
  <c r="S38" i="91"/>
  <c r="S39" i="91"/>
  <c r="S40" i="91"/>
  <c r="S41" i="91"/>
  <c r="S42" i="91"/>
  <c r="S43" i="91"/>
  <c r="S44" i="91"/>
  <c r="S45" i="91"/>
  <c r="S46" i="91"/>
  <c r="S47" i="91"/>
  <c r="S48" i="91"/>
  <c r="S49" i="91"/>
  <c r="S52" i="91"/>
  <c r="S53" i="91"/>
  <c r="S54" i="91"/>
  <c r="S55" i="91"/>
  <c r="S56" i="91"/>
  <c r="S57" i="91"/>
  <c r="S58" i="91"/>
  <c r="S59" i="91"/>
  <c r="S60" i="91"/>
  <c r="S61" i="91"/>
  <c r="S63" i="91"/>
  <c r="S64" i="91"/>
  <c r="S65" i="91"/>
  <c r="S66" i="91"/>
  <c r="S67" i="91"/>
  <c r="S68" i="91"/>
  <c r="S69" i="91"/>
  <c r="S70" i="91"/>
  <c r="S71" i="91"/>
  <c r="S72" i="91"/>
  <c r="S73" i="91"/>
  <c r="S74" i="91"/>
  <c r="S75" i="91"/>
  <c r="S76" i="91"/>
  <c r="S77" i="91"/>
  <c r="S78" i="91"/>
  <c r="S79" i="91"/>
  <c r="S80" i="91"/>
  <c r="S81" i="91"/>
  <c r="S82" i="91"/>
  <c r="S83" i="91"/>
  <c r="S84" i="91"/>
  <c r="S86" i="91"/>
  <c r="S87" i="91"/>
  <c r="S88" i="91"/>
  <c r="S89" i="91"/>
  <c r="S90" i="91"/>
  <c r="S91" i="91"/>
  <c r="S92" i="91"/>
  <c r="S93" i="91"/>
  <c r="S94" i="91"/>
  <c r="S95" i="91"/>
  <c r="S96" i="91"/>
  <c r="S97" i="91"/>
  <c r="S98" i="91"/>
  <c r="S99" i="91"/>
  <c r="S100" i="91"/>
  <c r="S101" i="91"/>
  <c r="S102" i="91"/>
  <c r="S103" i="91"/>
  <c r="S104" i="91"/>
  <c r="S105" i="91"/>
  <c r="S106" i="91"/>
  <c r="S107" i="91"/>
  <c r="S108" i="91"/>
  <c r="S109" i="91"/>
  <c r="S110" i="91"/>
  <c r="S111" i="91"/>
  <c r="S112" i="91"/>
  <c r="S113" i="91"/>
  <c r="S114" i="91"/>
  <c r="S115" i="91"/>
  <c r="S116" i="91"/>
  <c r="S117" i="91"/>
  <c r="S118" i="91"/>
  <c r="S119" i="91"/>
  <c r="S120" i="91"/>
  <c r="S121" i="91"/>
  <c r="S122" i="91"/>
  <c r="S124" i="91"/>
  <c r="S125" i="91"/>
  <c r="S126" i="91"/>
  <c r="S127" i="91"/>
  <c r="S128" i="91"/>
  <c r="S129" i="91"/>
  <c r="S130" i="91"/>
  <c r="S131" i="91"/>
  <c r="S132" i="91"/>
  <c r="S133" i="91"/>
  <c r="S134" i="91"/>
  <c r="S135" i="91"/>
  <c r="S136" i="91"/>
  <c r="S137" i="91"/>
  <c r="S138" i="91"/>
  <c r="S139" i="91"/>
  <c r="S140" i="91"/>
  <c r="S141" i="91"/>
  <c r="S142" i="91"/>
  <c r="S143" i="91"/>
  <c r="S144" i="91"/>
  <c r="S145" i="91"/>
  <c r="S146" i="91"/>
  <c r="S147" i="91"/>
  <c r="S149" i="91"/>
  <c r="S150" i="91"/>
  <c r="S151" i="91"/>
  <c r="S152" i="91"/>
  <c r="S153" i="91"/>
  <c r="S154" i="91"/>
  <c r="S155" i="91"/>
  <c r="S156" i="91"/>
  <c r="S157" i="91"/>
  <c r="S158" i="91"/>
  <c r="S159" i="91"/>
  <c r="S160" i="91"/>
  <c r="S163" i="91"/>
  <c r="S164" i="91"/>
  <c r="S165" i="91"/>
  <c r="S166" i="91"/>
  <c r="S167" i="91"/>
  <c r="S168" i="91"/>
  <c r="S169" i="91"/>
  <c r="S170" i="91"/>
  <c r="S172" i="91"/>
  <c r="S173" i="91"/>
  <c r="S174" i="91"/>
  <c r="S175" i="91"/>
  <c r="S176" i="91"/>
  <c r="S177" i="91"/>
  <c r="S178" i="91"/>
  <c r="S179" i="91"/>
  <c r="S180" i="91"/>
  <c r="S181" i="91"/>
  <c r="S182" i="91"/>
  <c r="S183" i="91"/>
  <c r="S184" i="91"/>
  <c r="S185" i="91"/>
  <c r="S186" i="91"/>
  <c r="S187" i="91"/>
  <c r="S188" i="91"/>
  <c r="S189" i="91"/>
  <c r="S191" i="91"/>
  <c r="S192" i="91"/>
  <c r="S193" i="91"/>
  <c r="S194" i="91"/>
  <c r="S195" i="91"/>
  <c r="S196" i="91"/>
  <c r="S197" i="91"/>
  <c r="S198" i="91"/>
  <c r="S199" i="91"/>
  <c r="S200" i="91"/>
  <c r="S201" i="91"/>
  <c r="S202" i="91"/>
  <c r="S203" i="91"/>
  <c r="S204" i="91"/>
  <c r="S205" i="91"/>
  <c r="S206" i="91"/>
  <c r="S208" i="91"/>
  <c r="S209" i="91"/>
  <c r="S210" i="91"/>
  <c r="S211" i="91"/>
  <c r="S212" i="91"/>
  <c r="S213" i="91"/>
  <c r="S214" i="91"/>
  <c r="S215" i="91"/>
  <c r="S216" i="91"/>
  <c r="S217" i="91"/>
  <c r="S218" i="91"/>
  <c r="S219" i="91"/>
  <c r="S220" i="91"/>
  <c r="S221" i="91"/>
  <c r="S222" i="91"/>
  <c r="S223" i="91"/>
  <c r="S224" i="91"/>
  <c r="S225" i="91"/>
  <c r="S226" i="91"/>
  <c r="S227" i="91"/>
  <c r="S228" i="91"/>
  <c r="S229" i="91"/>
  <c r="S230" i="91"/>
  <c r="S231" i="91"/>
  <c r="S232" i="91"/>
  <c r="S233" i="91"/>
  <c r="S234" i="91"/>
  <c r="S235" i="91"/>
  <c r="S236" i="91"/>
  <c r="S237" i="91"/>
  <c r="S238" i="91"/>
  <c r="S239" i="91"/>
  <c r="S240" i="91"/>
  <c r="S241" i="91"/>
  <c r="S242" i="91"/>
  <c r="S243" i="91"/>
  <c r="S244" i="91"/>
  <c r="S245" i="91"/>
  <c r="S246" i="91"/>
  <c r="S247" i="91"/>
  <c r="S249" i="91"/>
  <c r="S19" i="91"/>
  <c r="P383" i="91"/>
  <c r="P384" i="91" s="1"/>
  <c r="P42" i="91"/>
  <c r="T42" i="91" s="1"/>
  <c r="R30" i="91"/>
  <c r="Q30" i="91"/>
  <c r="O207" i="91"/>
  <c r="O162" i="91"/>
  <c r="P20" i="91"/>
  <c r="T20" i="91" s="1"/>
  <c r="P21" i="91"/>
  <c r="T21" i="91" s="1"/>
  <c r="P22" i="91"/>
  <c r="T22" i="91" s="1"/>
  <c r="P23" i="91"/>
  <c r="T23" i="91" s="1"/>
  <c r="P24" i="91"/>
  <c r="T24" i="91" s="1"/>
  <c r="P25" i="91"/>
  <c r="T25" i="91" s="1"/>
  <c r="P26" i="91"/>
  <c r="T26" i="91" s="1"/>
  <c r="P28" i="91"/>
  <c r="T28" i="91" s="1"/>
  <c r="P29" i="91"/>
  <c r="T29" i="91" s="1"/>
  <c r="P30" i="91"/>
  <c r="P31" i="91"/>
  <c r="T31" i="91" s="1"/>
  <c r="P32" i="91"/>
  <c r="T32" i="91" s="1"/>
  <c r="P33" i="91"/>
  <c r="T33" i="91" s="1"/>
  <c r="P34" i="91"/>
  <c r="T34" i="91" s="1"/>
  <c r="P35" i="91"/>
  <c r="T35" i="91" s="1"/>
  <c r="P36" i="91"/>
  <c r="T36" i="91" s="1"/>
  <c r="P37" i="91"/>
  <c r="T37" i="91" s="1"/>
  <c r="P38" i="91"/>
  <c r="T38" i="91" s="1"/>
  <c r="P39" i="91"/>
  <c r="T39" i="91" s="1"/>
  <c r="P40" i="91"/>
  <c r="T40" i="91" s="1"/>
  <c r="P41" i="91"/>
  <c r="T41" i="91" s="1"/>
  <c r="P43" i="91"/>
  <c r="T43" i="91" s="1"/>
  <c r="P44" i="91"/>
  <c r="T44" i="91" s="1"/>
  <c r="P45" i="91"/>
  <c r="T45" i="91" s="1"/>
  <c r="P46" i="91"/>
  <c r="T46" i="91" s="1"/>
  <c r="P47" i="91"/>
  <c r="T47" i="91" s="1"/>
  <c r="P48" i="91"/>
  <c r="T48" i="91" s="1"/>
  <c r="P49" i="91"/>
  <c r="T49" i="91" s="1"/>
  <c r="P52" i="91"/>
  <c r="T52" i="91" s="1"/>
  <c r="P53" i="91"/>
  <c r="T53" i="91" s="1"/>
  <c r="P54" i="91"/>
  <c r="T54" i="91" s="1"/>
  <c r="P55" i="91"/>
  <c r="T55" i="91" s="1"/>
  <c r="P56" i="91"/>
  <c r="T56" i="91" s="1"/>
  <c r="P57" i="91"/>
  <c r="T57" i="91" s="1"/>
  <c r="P58" i="91"/>
  <c r="T58" i="91" s="1"/>
  <c r="P59" i="91"/>
  <c r="T59" i="91" s="1"/>
  <c r="P60" i="91"/>
  <c r="T60" i="91" s="1"/>
  <c r="P61" i="91"/>
  <c r="T61" i="91" s="1"/>
  <c r="P63" i="91"/>
  <c r="T63" i="91" s="1"/>
  <c r="P64" i="91"/>
  <c r="T64" i="91" s="1"/>
  <c r="P65" i="91"/>
  <c r="T65" i="91" s="1"/>
  <c r="P67" i="91"/>
  <c r="T67" i="91" s="1"/>
  <c r="P68" i="91"/>
  <c r="T68" i="91" s="1"/>
  <c r="P69" i="91"/>
  <c r="T69" i="91" s="1"/>
  <c r="P70" i="91"/>
  <c r="T70" i="91" s="1"/>
  <c r="P71" i="91"/>
  <c r="T71" i="91" s="1"/>
  <c r="P72" i="91"/>
  <c r="T72" i="91" s="1"/>
  <c r="P73" i="91"/>
  <c r="T73" i="91" s="1"/>
  <c r="P74" i="91"/>
  <c r="T74" i="91" s="1"/>
  <c r="P75" i="91"/>
  <c r="T75" i="91" s="1"/>
  <c r="P76" i="91"/>
  <c r="T76" i="91" s="1"/>
  <c r="P77" i="91"/>
  <c r="T77" i="91" s="1"/>
  <c r="P78" i="91"/>
  <c r="T78" i="91" s="1"/>
  <c r="P79" i="91"/>
  <c r="T79" i="91" s="1"/>
  <c r="P80" i="91"/>
  <c r="T80" i="91" s="1"/>
  <c r="P81" i="91"/>
  <c r="T81" i="91" s="1"/>
  <c r="P82" i="91"/>
  <c r="T82" i="91" s="1"/>
  <c r="P83" i="91"/>
  <c r="T83" i="91" s="1"/>
  <c r="P84" i="91"/>
  <c r="T84" i="91" s="1"/>
  <c r="P86" i="91"/>
  <c r="T86" i="91" s="1"/>
  <c r="P87" i="91"/>
  <c r="T87" i="91" s="1"/>
  <c r="P88" i="91"/>
  <c r="T88" i="91" s="1"/>
  <c r="P89" i="91"/>
  <c r="T89" i="91" s="1"/>
  <c r="P90" i="91"/>
  <c r="T90" i="91" s="1"/>
  <c r="P91" i="91"/>
  <c r="T91" i="91" s="1"/>
  <c r="P92" i="91"/>
  <c r="T92" i="91" s="1"/>
  <c r="P93" i="91"/>
  <c r="T93" i="91" s="1"/>
  <c r="P94" i="91"/>
  <c r="T94" i="91" s="1"/>
  <c r="P95" i="91"/>
  <c r="T95" i="91" s="1"/>
  <c r="P96" i="91"/>
  <c r="T96" i="91" s="1"/>
  <c r="P97" i="91"/>
  <c r="T97" i="91" s="1"/>
  <c r="P98" i="91"/>
  <c r="T98" i="91" s="1"/>
  <c r="P99" i="91"/>
  <c r="T99" i="91" s="1"/>
  <c r="P100" i="91"/>
  <c r="T100" i="91" s="1"/>
  <c r="P101" i="91"/>
  <c r="T101" i="91" s="1"/>
  <c r="P102" i="91"/>
  <c r="T102" i="91" s="1"/>
  <c r="P103" i="91"/>
  <c r="T103" i="91" s="1"/>
  <c r="P104" i="91"/>
  <c r="T104" i="91" s="1"/>
  <c r="P105" i="91"/>
  <c r="T105" i="91" s="1"/>
  <c r="P106" i="91"/>
  <c r="T106" i="91" s="1"/>
  <c r="P107" i="91"/>
  <c r="T107" i="91" s="1"/>
  <c r="P108" i="91"/>
  <c r="T108" i="91" s="1"/>
  <c r="P109" i="91"/>
  <c r="T109" i="91" s="1"/>
  <c r="P110" i="91"/>
  <c r="T110" i="91" s="1"/>
  <c r="P111" i="91"/>
  <c r="T111" i="91" s="1"/>
  <c r="P112" i="91"/>
  <c r="T112" i="91" s="1"/>
  <c r="P113" i="91"/>
  <c r="T113" i="91" s="1"/>
  <c r="P114" i="91"/>
  <c r="T114" i="91" s="1"/>
  <c r="P115" i="91"/>
  <c r="T115" i="91" s="1"/>
  <c r="P116" i="91"/>
  <c r="T116" i="91" s="1"/>
  <c r="P117" i="91"/>
  <c r="T117" i="91" s="1"/>
  <c r="P118" i="91"/>
  <c r="T118" i="91" s="1"/>
  <c r="P119" i="91"/>
  <c r="T119" i="91" s="1"/>
  <c r="P120" i="91"/>
  <c r="T120" i="91" s="1"/>
  <c r="P121" i="91"/>
  <c r="T121" i="91" s="1"/>
  <c r="P122" i="91"/>
  <c r="T122" i="91" s="1"/>
  <c r="P123" i="91"/>
  <c r="P124" i="91"/>
  <c r="T124" i="91" s="1"/>
  <c r="P125" i="91"/>
  <c r="T125" i="91" s="1"/>
  <c r="P126" i="91"/>
  <c r="T126" i="91" s="1"/>
  <c r="P127" i="91"/>
  <c r="T127" i="91" s="1"/>
  <c r="P128" i="91"/>
  <c r="T128" i="91" s="1"/>
  <c r="P129" i="91"/>
  <c r="T129" i="91" s="1"/>
  <c r="P130" i="91"/>
  <c r="T130" i="91" s="1"/>
  <c r="P131" i="91"/>
  <c r="T131" i="91" s="1"/>
  <c r="P132" i="91"/>
  <c r="T132" i="91" s="1"/>
  <c r="P133" i="91"/>
  <c r="T133" i="91" s="1"/>
  <c r="P134" i="91"/>
  <c r="T134" i="91" s="1"/>
  <c r="P135" i="91"/>
  <c r="T135" i="91" s="1"/>
  <c r="P136" i="91"/>
  <c r="T136" i="91" s="1"/>
  <c r="P137" i="91"/>
  <c r="T137" i="91" s="1"/>
  <c r="P138" i="91"/>
  <c r="T138" i="91" s="1"/>
  <c r="P139" i="91"/>
  <c r="T139" i="91" s="1"/>
  <c r="P140" i="91"/>
  <c r="T140" i="91" s="1"/>
  <c r="P141" i="91"/>
  <c r="T141" i="91" s="1"/>
  <c r="P142" i="91"/>
  <c r="T142" i="91" s="1"/>
  <c r="P143" i="91"/>
  <c r="T143" i="91" s="1"/>
  <c r="P144" i="91"/>
  <c r="T144" i="91" s="1"/>
  <c r="P145" i="91"/>
  <c r="T145" i="91" s="1"/>
  <c r="P146" i="91"/>
  <c r="T146" i="91" s="1"/>
  <c r="P147" i="91"/>
  <c r="T147" i="91" s="1"/>
  <c r="P148" i="91"/>
  <c r="P149" i="91"/>
  <c r="T149" i="91" s="1"/>
  <c r="P150" i="91"/>
  <c r="T150" i="91" s="1"/>
  <c r="P151" i="91"/>
  <c r="T151" i="91" s="1"/>
  <c r="P152" i="91"/>
  <c r="T152" i="91" s="1"/>
  <c r="P153" i="91"/>
  <c r="T153" i="91" s="1"/>
  <c r="P154" i="91"/>
  <c r="T154" i="91" s="1"/>
  <c r="P155" i="91"/>
  <c r="T155" i="91" s="1"/>
  <c r="P156" i="91"/>
  <c r="T156" i="91" s="1"/>
  <c r="P157" i="91"/>
  <c r="T157" i="91" s="1"/>
  <c r="P158" i="91"/>
  <c r="T158" i="91" s="1"/>
  <c r="P159" i="91"/>
  <c r="T159" i="91" s="1"/>
  <c r="P160" i="91"/>
  <c r="T160" i="91" s="1"/>
  <c r="P162" i="91"/>
  <c r="P163" i="91"/>
  <c r="T163" i="91" s="1"/>
  <c r="P164" i="91"/>
  <c r="T164" i="91" s="1"/>
  <c r="P165" i="91"/>
  <c r="T165" i="91" s="1"/>
  <c r="P166" i="91"/>
  <c r="T166" i="91" s="1"/>
  <c r="P167" i="91"/>
  <c r="T167" i="91" s="1"/>
  <c r="P168" i="91"/>
  <c r="T168" i="91" s="1"/>
  <c r="P169" i="91"/>
  <c r="T169" i="91" s="1"/>
  <c r="P170" i="91"/>
  <c r="T170" i="91" s="1"/>
  <c r="P171" i="91"/>
  <c r="T171" i="91" s="1"/>
  <c r="P172" i="91"/>
  <c r="T172" i="91" s="1"/>
  <c r="P173" i="91"/>
  <c r="T173" i="91" s="1"/>
  <c r="P174" i="91"/>
  <c r="T174" i="91" s="1"/>
  <c r="P175" i="91"/>
  <c r="T175" i="91" s="1"/>
  <c r="P176" i="91"/>
  <c r="T176" i="91" s="1"/>
  <c r="P177" i="91"/>
  <c r="T177" i="91" s="1"/>
  <c r="P178" i="91"/>
  <c r="T178" i="91" s="1"/>
  <c r="P179" i="91"/>
  <c r="T179" i="91" s="1"/>
  <c r="P180" i="91"/>
  <c r="T180" i="91" s="1"/>
  <c r="P181" i="91"/>
  <c r="T181" i="91" s="1"/>
  <c r="P182" i="91"/>
  <c r="T182" i="91" s="1"/>
  <c r="P183" i="91"/>
  <c r="T183" i="91" s="1"/>
  <c r="P184" i="91"/>
  <c r="T184" i="91" s="1"/>
  <c r="P185" i="91"/>
  <c r="T185" i="91" s="1"/>
  <c r="P186" i="91"/>
  <c r="T186" i="91" s="1"/>
  <c r="P187" i="91"/>
  <c r="T187" i="91" s="1"/>
  <c r="P188" i="91"/>
  <c r="T188" i="91" s="1"/>
  <c r="P189" i="91"/>
  <c r="T189" i="91" s="1"/>
  <c r="P191" i="91"/>
  <c r="T191" i="91" s="1"/>
  <c r="P192" i="91"/>
  <c r="T192" i="91" s="1"/>
  <c r="P193" i="91"/>
  <c r="T193" i="91" s="1"/>
  <c r="P194" i="91"/>
  <c r="T194" i="91" s="1"/>
  <c r="P195" i="91"/>
  <c r="T195" i="91" s="1"/>
  <c r="P196" i="91"/>
  <c r="T196" i="91" s="1"/>
  <c r="P197" i="91"/>
  <c r="T197" i="91" s="1"/>
  <c r="P198" i="91"/>
  <c r="P199" i="91"/>
  <c r="T199" i="91" s="1"/>
  <c r="P200" i="91"/>
  <c r="T200" i="91" s="1"/>
  <c r="P201" i="91"/>
  <c r="T201" i="91" s="1"/>
  <c r="P202" i="91"/>
  <c r="T202" i="91" s="1"/>
  <c r="P203" i="91"/>
  <c r="T203" i="91" s="1"/>
  <c r="P204" i="91"/>
  <c r="T204" i="91" s="1"/>
  <c r="P205" i="91"/>
  <c r="T205" i="91" s="1"/>
  <c r="P206" i="91"/>
  <c r="T206" i="91" s="1"/>
  <c r="P207" i="91"/>
  <c r="P208" i="91"/>
  <c r="T208" i="91" s="1"/>
  <c r="P209" i="91"/>
  <c r="T209" i="91" s="1"/>
  <c r="P210" i="91"/>
  <c r="T210" i="91" s="1"/>
  <c r="P211" i="91"/>
  <c r="T211" i="91" s="1"/>
  <c r="P212" i="91"/>
  <c r="T212" i="91" s="1"/>
  <c r="P213" i="91"/>
  <c r="T213" i="91" s="1"/>
  <c r="P214" i="91"/>
  <c r="T214" i="91" s="1"/>
  <c r="P215" i="91"/>
  <c r="T215" i="91" s="1"/>
  <c r="P216" i="91"/>
  <c r="T216" i="91" s="1"/>
  <c r="P217" i="91"/>
  <c r="T217" i="91" s="1"/>
  <c r="P218" i="91"/>
  <c r="T218" i="91" s="1"/>
  <c r="P219" i="91"/>
  <c r="T219" i="91" s="1"/>
  <c r="P220" i="91"/>
  <c r="T220" i="91" s="1"/>
  <c r="P221" i="91"/>
  <c r="T221" i="91" s="1"/>
  <c r="P222" i="91"/>
  <c r="T222" i="91" s="1"/>
  <c r="P223" i="91"/>
  <c r="T223" i="91" s="1"/>
  <c r="P224" i="91"/>
  <c r="T224" i="91" s="1"/>
  <c r="P225" i="91"/>
  <c r="T225" i="91" s="1"/>
  <c r="P226" i="91"/>
  <c r="T226" i="91" s="1"/>
  <c r="P227" i="91"/>
  <c r="T227" i="91" s="1"/>
  <c r="P228" i="91"/>
  <c r="T228" i="91" s="1"/>
  <c r="P229" i="91"/>
  <c r="T229" i="91" s="1"/>
  <c r="P230" i="91"/>
  <c r="T230" i="91" s="1"/>
  <c r="P231" i="91"/>
  <c r="T231" i="91" s="1"/>
  <c r="P232" i="91"/>
  <c r="T232" i="91" s="1"/>
  <c r="P233" i="91"/>
  <c r="T233" i="91" s="1"/>
  <c r="P234" i="91"/>
  <c r="T234" i="91" s="1"/>
  <c r="P235" i="91"/>
  <c r="T235" i="91" s="1"/>
  <c r="P236" i="91"/>
  <c r="T236" i="91" s="1"/>
  <c r="P237" i="91"/>
  <c r="T237" i="91" s="1"/>
  <c r="P238" i="91"/>
  <c r="T238" i="91" s="1"/>
  <c r="P239" i="91"/>
  <c r="T239" i="91" s="1"/>
  <c r="P240" i="91"/>
  <c r="T240" i="91" s="1"/>
  <c r="P241" i="91"/>
  <c r="T241" i="91" s="1"/>
  <c r="P242" i="91"/>
  <c r="T242" i="91" s="1"/>
  <c r="P243" i="91"/>
  <c r="T243" i="91" s="1"/>
  <c r="P244" i="91"/>
  <c r="T244" i="91" s="1"/>
  <c r="P245" i="91"/>
  <c r="T245" i="91" s="1"/>
  <c r="P246" i="91"/>
  <c r="T246" i="91" s="1"/>
  <c r="P247" i="91"/>
  <c r="T247" i="91" s="1"/>
  <c r="P249" i="91"/>
  <c r="T249" i="91" s="1"/>
  <c r="P19" i="91"/>
  <c r="T19" i="91" s="1"/>
  <c r="Q383" i="91"/>
  <c r="O383" i="91"/>
  <c r="O384" i="91" s="1"/>
  <c r="D382" i="91"/>
  <c r="D383" i="91" s="1"/>
  <c r="H250" i="91"/>
  <c r="O171" i="91"/>
  <c r="O30" i="91"/>
  <c r="P20" i="87"/>
  <c r="P21" i="87"/>
  <c r="P22" i="87"/>
  <c r="P23" i="87"/>
  <c r="P24" i="87"/>
  <c r="P25" i="87"/>
  <c r="P26" i="87"/>
  <c r="P27" i="87"/>
  <c r="P28" i="87"/>
  <c r="P29" i="87"/>
  <c r="P30" i="87"/>
  <c r="P31" i="87"/>
  <c r="P32" i="87"/>
  <c r="P33" i="87"/>
  <c r="P34" i="87"/>
  <c r="P35" i="87"/>
  <c r="P36" i="87"/>
  <c r="P37" i="87"/>
  <c r="P38" i="87"/>
  <c r="P39" i="87"/>
  <c r="P40" i="87"/>
  <c r="P41" i="87"/>
  <c r="P42" i="87"/>
  <c r="P43" i="87"/>
  <c r="P44" i="87"/>
  <c r="P45" i="87"/>
  <c r="P46" i="87"/>
  <c r="P47" i="87"/>
  <c r="P48" i="87"/>
  <c r="P49" i="87"/>
  <c r="P50" i="87"/>
  <c r="P51" i="87"/>
  <c r="P52" i="87"/>
  <c r="P53" i="87"/>
  <c r="P54" i="87"/>
  <c r="P55" i="87"/>
  <c r="P56" i="87"/>
  <c r="P57" i="87"/>
  <c r="P58" i="87"/>
  <c r="P59" i="87"/>
  <c r="P60" i="87"/>
  <c r="P61" i="87"/>
  <c r="P62" i="87"/>
  <c r="P63" i="87"/>
  <c r="P64" i="87"/>
  <c r="P65" i="87"/>
  <c r="P66" i="87"/>
  <c r="P67" i="87"/>
  <c r="P68" i="87"/>
  <c r="P69" i="87"/>
  <c r="P70" i="87"/>
  <c r="P71" i="87"/>
  <c r="P72" i="87"/>
  <c r="P73" i="87"/>
  <c r="P74" i="87"/>
  <c r="P75" i="87"/>
  <c r="P76" i="87"/>
  <c r="P77" i="87"/>
  <c r="P78" i="87"/>
  <c r="P79" i="87"/>
  <c r="P80" i="87"/>
  <c r="P81" i="87"/>
  <c r="P82" i="87"/>
  <c r="P83" i="87"/>
  <c r="P84" i="87"/>
  <c r="P85" i="87"/>
  <c r="P86" i="87"/>
  <c r="P87" i="87"/>
  <c r="P88" i="87"/>
  <c r="P89" i="87"/>
  <c r="P90" i="87"/>
  <c r="P91" i="87"/>
  <c r="P92" i="87"/>
  <c r="P93" i="87"/>
  <c r="P94" i="87"/>
  <c r="P95" i="87"/>
  <c r="P96" i="87"/>
  <c r="P97" i="87"/>
  <c r="P98" i="87"/>
  <c r="P99" i="87"/>
  <c r="P100" i="87"/>
  <c r="P101" i="87"/>
  <c r="P102" i="87"/>
  <c r="P103" i="87"/>
  <c r="P104" i="87"/>
  <c r="P105" i="87"/>
  <c r="P106" i="87"/>
  <c r="P107" i="87"/>
  <c r="P108" i="87"/>
  <c r="P109" i="87"/>
  <c r="P110" i="87"/>
  <c r="P111" i="87"/>
  <c r="P112" i="87"/>
  <c r="P113" i="87"/>
  <c r="P114" i="87"/>
  <c r="P115" i="87"/>
  <c r="P116" i="87"/>
  <c r="P117" i="87"/>
  <c r="P118" i="87"/>
  <c r="P119" i="87"/>
  <c r="P120" i="87"/>
  <c r="P121" i="87"/>
  <c r="P122" i="87"/>
  <c r="P123" i="87"/>
  <c r="P124" i="87"/>
  <c r="P125" i="87"/>
  <c r="P126" i="87"/>
  <c r="P127" i="87"/>
  <c r="P128" i="87"/>
  <c r="P129" i="87"/>
  <c r="P130" i="87"/>
  <c r="P131" i="87"/>
  <c r="P132" i="87"/>
  <c r="P133" i="87"/>
  <c r="P134" i="87"/>
  <c r="P135" i="87"/>
  <c r="P136" i="87"/>
  <c r="P137" i="87"/>
  <c r="P138" i="87"/>
  <c r="P139" i="87"/>
  <c r="P140" i="87"/>
  <c r="P141" i="87"/>
  <c r="P142" i="87"/>
  <c r="P143" i="87"/>
  <c r="P144" i="87"/>
  <c r="P145" i="87"/>
  <c r="P146" i="87"/>
  <c r="P147" i="87"/>
  <c r="P148" i="87"/>
  <c r="P149" i="87"/>
  <c r="P150" i="87"/>
  <c r="P151" i="87"/>
  <c r="P152" i="87"/>
  <c r="P153" i="87"/>
  <c r="P154" i="87"/>
  <c r="P155" i="87"/>
  <c r="P156" i="87"/>
  <c r="P157" i="87"/>
  <c r="P158" i="87"/>
  <c r="P159" i="87"/>
  <c r="P160" i="87"/>
  <c r="P161" i="87"/>
  <c r="P162" i="87"/>
  <c r="P163" i="87"/>
  <c r="P164" i="87"/>
  <c r="P165" i="87"/>
  <c r="P166" i="87"/>
  <c r="P167" i="87"/>
  <c r="P168" i="87"/>
  <c r="P169" i="87"/>
  <c r="P170" i="87"/>
  <c r="P171" i="87"/>
  <c r="P172" i="87"/>
  <c r="P173" i="87"/>
  <c r="P174" i="87"/>
  <c r="P175" i="87"/>
  <c r="P176" i="87"/>
  <c r="P177" i="87"/>
  <c r="P178" i="87"/>
  <c r="P179" i="87"/>
  <c r="P180" i="87"/>
  <c r="P181" i="87"/>
  <c r="P182" i="87"/>
  <c r="P183" i="87"/>
  <c r="P184" i="87"/>
  <c r="P185" i="87"/>
  <c r="P186" i="87"/>
  <c r="P187" i="87"/>
  <c r="P188" i="87"/>
  <c r="P189" i="87"/>
  <c r="P190" i="87"/>
  <c r="P191" i="87"/>
  <c r="P192" i="87"/>
  <c r="P193" i="87"/>
  <c r="P194" i="87"/>
  <c r="P195" i="87"/>
  <c r="P196" i="87"/>
  <c r="P197" i="87"/>
  <c r="P198" i="87"/>
  <c r="P199" i="87"/>
  <c r="P200" i="87"/>
  <c r="P201" i="87"/>
  <c r="P202" i="87"/>
  <c r="P203" i="87"/>
  <c r="P204" i="87"/>
  <c r="P205" i="87"/>
  <c r="P206" i="87"/>
  <c r="P207" i="87"/>
  <c r="P208" i="87"/>
  <c r="P209" i="87"/>
  <c r="P210" i="87"/>
  <c r="P211" i="87"/>
  <c r="P212" i="87"/>
  <c r="P213" i="87"/>
  <c r="P214" i="87"/>
  <c r="P215" i="87"/>
  <c r="P216" i="87"/>
  <c r="P217" i="87"/>
  <c r="P218" i="87"/>
  <c r="P219" i="87"/>
  <c r="P220" i="87"/>
  <c r="P221" i="87"/>
  <c r="P222" i="87"/>
  <c r="P223" i="87"/>
  <c r="P224" i="87"/>
  <c r="P225" i="87"/>
  <c r="P226" i="87"/>
  <c r="P227" i="87"/>
  <c r="P228" i="87"/>
  <c r="P229" i="87"/>
  <c r="P230" i="87"/>
  <c r="P231" i="87"/>
  <c r="P232" i="87"/>
  <c r="P233" i="87"/>
  <c r="P234" i="87"/>
  <c r="P235" i="87"/>
  <c r="P236" i="87"/>
  <c r="P237" i="87"/>
  <c r="P238" i="87"/>
  <c r="P239" i="87"/>
  <c r="P240" i="87"/>
  <c r="P241" i="87"/>
  <c r="P242" i="87"/>
  <c r="P243" i="87"/>
  <c r="P244" i="87"/>
  <c r="P245" i="87"/>
  <c r="P246" i="87"/>
  <c r="P247" i="87"/>
  <c r="P248" i="87"/>
  <c r="P249" i="87"/>
  <c r="P250" i="87"/>
  <c r="P251" i="87"/>
  <c r="P252" i="87"/>
  <c r="P253" i="87"/>
  <c r="P254" i="87"/>
  <c r="P255" i="87"/>
  <c r="P256" i="87"/>
  <c r="P257" i="87"/>
  <c r="P258" i="87"/>
  <c r="P259" i="87"/>
  <c r="P260" i="87"/>
  <c r="P261" i="87"/>
  <c r="P262" i="87"/>
  <c r="P263" i="87"/>
  <c r="P264" i="87"/>
  <c r="P265" i="87"/>
  <c r="P266" i="87"/>
  <c r="P267" i="87"/>
  <c r="P268" i="87"/>
  <c r="P269" i="87"/>
  <c r="P270" i="87"/>
  <c r="P271" i="87"/>
  <c r="P272" i="87"/>
  <c r="P273" i="87"/>
  <c r="P274" i="87"/>
  <c r="P275" i="87"/>
  <c r="P276" i="87"/>
  <c r="P277" i="87"/>
  <c r="P278" i="87"/>
  <c r="P279" i="87"/>
  <c r="P280" i="87"/>
  <c r="P281" i="87"/>
  <c r="P282" i="87"/>
  <c r="P283" i="87"/>
  <c r="P284" i="87"/>
  <c r="P285" i="87"/>
  <c r="P286" i="87"/>
  <c r="P287" i="87"/>
  <c r="P288" i="87"/>
  <c r="P289" i="87"/>
  <c r="P290" i="87"/>
  <c r="P291" i="87"/>
  <c r="P292" i="87"/>
  <c r="P293" i="87"/>
  <c r="P294" i="87"/>
  <c r="P295" i="87"/>
  <c r="P296" i="87"/>
  <c r="P297" i="87"/>
  <c r="P298" i="87"/>
  <c r="P299" i="87"/>
  <c r="P300" i="87"/>
  <c r="P301" i="87"/>
  <c r="P302" i="87"/>
  <c r="P303" i="87"/>
  <c r="P304" i="87"/>
  <c r="P305" i="87"/>
  <c r="P306" i="87"/>
  <c r="P307" i="87"/>
  <c r="P308" i="87"/>
  <c r="P309" i="87"/>
  <c r="P310" i="87"/>
  <c r="P311" i="87"/>
  <c r="P312" i="87"/>
  <c r="P313" i="87"/>
  <c r="P314" i="87"/>
  <c r="P315" i="87"/>
  <c r="P316" i="87"/>
  <c r="P317" i="87"/>
  <c r="P318" i="87"/>
  <c r="P319" i="87"/>
  <c r="P320" i="87"/>
  <c r="P321" i="87"/>
  <c r="P322" i="87"/>
  <c r="P323" i="87"/>
  <c r="P324" i="87"/>
  <c r="P325" i="87"/>
  <c r="P326" i="87"/>
  <c r="P327" i="87"/>
  <c r="P328" i="87"/>
  <c r="P329" i="87"/>
  <c r="P330" i="87"/>
  <c r="P331" i="87"/>
  <c r="P332" i="87"/>
  <c r="P333" i="87"/>
  <c r="P334" i="87"/>
  <c r="P335" i="87"/>
  <c r="P336" i="87"/>
  <c r="P337" i="87"/>
  <c r="P338" i="87"/>
  <c r="P339" i="87"/>
  <c r="P340" i="87"/>
  <c r="P341" i="87"/>
  <c r="P342" i="87"/>
  <c r="P343" i="87"/>
  <c r="P344" i="87"/>
  <c r="P345" i="87"/>
  <c r="P346" i="87"/>
  <c r="P347" i="87"/>
  <c r="P348" i="87"/>
  <c r="P349" i="87"/>
  <c r="P350" i="87"/>
  <c r="P351" i="87"/>
  <c r="P352" i="87"/>
  <c r="P353" i="87"/>
  <c r="P354" i="87"/>
  <c r="P355" i="87"/>
  <c r="P356" i="87"/>
  <c r="P357" i="87"/>
  <c r="P358" i="87"/>
  <c r="P359" i="87"/>
  <c r="P360" i="87"/>
  <c r="P361" i="87"/>
  <c r="P362" i="87"/>
  <c r="P363" i="87"/>
  <c r="P364" i="87"/>
  <c r="P365" i="87"/>
  <c r="P366" i="87"/>
  <c r="P367" i="87"/>
  <c r="P368" i="87"/>
  <c r="P369" i="87"/>
  <c r="P370" i="87"/>
  <c r="P371" i="87"/>
  <c r="P372" i="87"/>
  <c r="P373" i="87"/>
  <c r="P374" i="87"/>
  <c r="P375" i="87"/>
  <c r="P376" i="87"/>
  <c r="P377" i="87"/>
  <c r="P378" i="87"/>
  <c r="P379" i="87"/>
  <c r="P380" i="87"/>
  <c r="P381" i="87"/>
  <c r="P382" i="87"/>
  <c r="P383" i="87"/>
  <c r="P384" i="87"/>
  <c r="P385" i="87"/>
  <c r="P386" i="87"/>
  <c r="P387" i="87"/>
  <c r="P388" i="87"/>
  <c r="P389" i="87"/>
  <c r="P390" i="87"/>
  <c r="P391" i="87"/>
  <c r="P392" i="87"/>
  <c r="P393" i="87"/>
  <c r="P394" i="87"/>
  <c r="P395" i="87"/>
  <c r="P396" i="87"/>
  <c r="P397" i="87"/>
  <c r="P398" i="87"/>
  <c r="P399" i="87"/>
  <c r="P400" i="87"/>
  <c r="P401" i="87"/>
  <c r="P402" i="87"/>
  <c r="P403" i="87"/>
  <c r="P404" i="87"/>
  <c r="P405" i="87"/>
  <c r="P406" i="87"/>
  <c r="P407" i="87"/>
  <c r="P408" i="87"/>
  <c r="P409" i="87"/>
  <c r="P410" i="87"/>
  <c r="P411" i="87"/>
  <c r="P412" i="87"/>
  <c r="P413" i="87"/>
  <c r="P19" i="87"/>
  <c r="O400" i="87"/>
  <c r="Q406" i="90"/>
  <c r="O406" i="90"/>
  <c r="O407" i="90" s="1"/>
  <c r="D406" i="90"/>
  <c r="D407" i="90" s="1"/>
  <c r="H273" i="90"/>
  <c r="R269" i="90"/>
  <c r="P269" i="90"/>
  <c r="Q269" i="90" s="1"/>
  <c r="R268" i="90"/>
  <c r="P268" i="90"/>
  <c r="Q268" i="90" s="1"/>
  <c r="R267" i="90"/>
  <c r="P267" i="90"/>
  <c r="Q267" i="90" s="1"/>
  <c r="R266" i="90"/>
  <c r="P266" i="90"/>
  <c r="Q266" i="90" s="1"/>
  <c r="R265" i="90"/>
  <c r="P265" i="90"/>
  <c r="Q265" i="90" s="1"/>
  <c r="R264" i="90"/>
  <c r="P264" i="90"/>
  <c r="Q264" i="90" s="1"/>
  <c r="R263" i="90"/>
  <c r="P263" i="90"/>
  <c r="Q263" i="90" s="1"/>
  <c r="R262" i="90"/>
  <c r="P262" i="90"/>
  <c r="Q262" i="90" s="1"/>
  <c r="R261" i="90"/>
  <c r="P261" i="90"/>
  <c r="Q261" i="90" s="1"/>
  <c r="R260" i="90"/>
  <c r="P260" i="90"/>
  <c r="Q260" i="90" s="1"/>
  <c r="R259" i="90"/>
  <c r="P259" i="90"/>
  <c r="Q259" i="90" s="1"/>
  <c r="R258" i="90"/>
  <c r="P258" i="90"/>
  <c r="Q258" i="90" s="1"/>
  <c r="R257" i="90"/>
  <c r="P257" i="90"/>
  <c r="Q257" i="90" s="1"/>
  <c r="R256" i="90"/>
  <c r="P256" i="90"/>
  <c r="Q256" i="90" s="1"/>
  <c r="R255" i="90"/>
  <c r="P255" i="90"/>
  <c r="Q255" i="90" s="1"/>
  <c r="R254" i="90"/>
  <c r="P254" i="90"/>
  <c r="Q254" i="90" s="1"/>
  <c r="R253" i="90"/>
  <c r="P253" i="90"/>
  <c r="Q253" i="90" s="1"/>
  <c r="R252" i="90"/>
  <c r="P252" i="90"/>
  <c r="Q252" i="90" s="1"/>
  <c r="R251" i="90"/>
  <c r="P251" i="90"/>
  <c r="Q251" i="90" s="1"/>
  <c r="R250" i="90"/>
  <c r="P250" i="90"/>
  <c r="Q250" i="90" s="1"/>
  <c r="R249" i="90"/>
  <c r="P249" i="90"/>
  <c r="Q249" i="90" s="1"/>
  <c r="R248" i="90"/>
  <c r="P248" i="90"/>
  <c r="Q248" i="90" s="1"/>
  <c r="R247" i="90"/>
  <c r="P247" i="90"/>
  <c r="Q247" i="90" s="1"/>
  <c r="R246" i="90"/>
  <c r="P246" i="90"/>
  <c r="Q246" i="90" s="1"/>
  <c r="R245" i="90"/>
  <c r="P245" i="90"/>
  <c r="Q245" i="90" s="1"/>
  <c r="R244" i="90"/>
  <c r="P244" i="90"/>
  <c r="Q244" i="90" s="1"/>
  <c r="R243" i="90"/>
  <c r="Q243" i="90"/>
  <c r="P243" i="90"/>
  <c r="R242" i="90"/>
  <c r="P242" i="90"/>
  <c r="Q242" i="90" s="1"/>
  <c r="R241" i="90"/>
  <c r="P241" i="90"/>
  <c r="O241" i="90"/>
  <c r="R240" i="90"/>
  <c r="P240" i="90"/>
  <c r="Q240" i="90" s="1"/>
  <c r="O240" i="90"/>
  <c r="R239" i="90"/>
  <c r="P239" i="90"/>
  <c r="Q239" i="90" s="1"/>
  <c r="R238" i="90"/>
  <c r="P238" i="90"/>
  <c r="Q238" i="90" s="1"/>
  <c r="R237" i="90"/>
  <c r="P237" i="90"/>
  <c r="Q237" i="90" s="1"/>
  <c r="R236" i="90"/>
  <c r="P236" i="90"/>
  <c r="Q236" i="90" s="1"/>
  <c r="R235" i="90"/>
  <c r="P235" i="90"/>
  <c r="Q235" i="90" s="1"/>
  <c r="R234" i="90"/>
  <c r="P234" i="90"/>
  <c r="Q234" i="90" s="1"/>
  <c r="R233" i="90"/>
  <c r="Q233" i="90"/>
  <c r="P233" i="90"/>
  <c r="R232" i="90"/>
  <c r="P232" i="90"/>
  <c r="Q232" i="90" s="1"/>
  <c r="R231" i="90"/>
  <c r="P231" i="90"/>
  <c r="Q231" i="90" s="1"/>
  <c r="R230" i="90"/>
  <c r="P230" i="90"/>
  <c r="Q230" i="90" s="1"/>
  <c r="R229" i="90"/>
  <c r="P229" i="90"/>
  <c r="Q229" i="90" s="1"/>
  <c r="R228" i="90"/>
  <c r="P228" i="90"/>
  <c r="Q228" i="90" s="1"/>
  <c r="R227" i="90"/>
  <c r="P227" i="90"/>
  <c r="Q227" i="90" s="1"/>
  <c r="R226" i="90"/>
  <c r="P226" i="90"/>
  <c r="Q226" i="90" s="1"/>
  <c r="R225" i="90"/>
  <c r="P225" i="90"/>
  <c r="Q225" i="90" s="1"/>
  <c r="R224" i="90"/>
  <c r="P224" i="90"/>
  <c r="Q224" i="90" s="1"/>
  <c r="R223" i="90"/>
  <c r="P223" i="90"/>
  <c r="Q223" i="90" s="1"/>
  <c r="R222" i="90"/>
  <c r="P222" i="90"/>
  <c r="Q222" i="90" s="1"/>
  <c r="R221" i="90"/>
  <c r="P221" i="90"/>
  <c r="Q221" i="90" s="1"/>
  <c r="R220" i="90"/>
  <c r="P220" i="90"/>
  <c r="Q220" i="90" s="1"/>
  <c r="R219" i="90"/>
  <c r="P219" i="90"/>
  <c r="Q219" i="90" s="1"/>
  <c r="R218" i="90"/>
  <c r="P218" i="90"/>
  <c r="Q218" i="90" s="1"/>
  <c r="R217" i="90"/>
  <c r="P217" i="90"/>
  <c r="Q217" i="90" s="1"/>
  <c r="R216" i="90"/>
  <c r="P216" i="90"/>
  <c r="Q216" i="90" s="1"/>
  <c r="R215" i="90"/>
  <c r="P215" i="90"/>
  <c r="Q215" i="90" s="1"/>
  <c r="R214" i="90"/>
  <c r="P214" i="90"/>
  <c r="Q214" i="90" s="1"/>
  <c r="R213" i="90"/>
  <c r="P213" i="90"/>
  <c r="Q213" i="90" s="1"/>
  <c r="R212" i="90"/>
  <c r="P212" i="90"/>
  <c r="Q212" i="90" s="1"/>
  <c r="R211" i="90"/>
  <c r="P211" i="90"/>
  <c r="Q211" i="90" s="1"/>
  <c r="R210" i="90"/>
  <c r="P210" i="90"/>
  <c r="Q210" i="90" s="1"/>
  <c r="R209" i="90"/>
  <c r="P209" i="90"/>
  <c r="Q209" i="90" s="1"/>
  <c r="R208" i="90"/>
  <c r="P208" i="90"/>
  <c r="Q208" i="90" s="1"/>
  <c r="R207" i="90"/>
  <c r="P207" i="90"/>
  <c r="Q207" i="90" s="1"/>
  <c r="R206" i="90"/>
  <c r="P206" i="90"/>
  <c r="Q206" i="90" s="1"/>
  <c r="R205" i="90"/>
  <c r="P205" i="90"/>
  <c r="Q205" i="90" s="1"/>
  <c r="R204" i="90"/>
  <c r="P204" i="90"/>
  <c r="Q204" i="90" s="1"/>
  <c r="R203" i="90"/>
  <c r="P203" i="90"/>
  <c r="Q203" i="90" s="1"/>
  <c r="R202" i="90"/>
  <c r="P202" i="90"/>
  <c r="Q202" i="90" s="1"/>
  <c r="R201" i="90"/>
  <c r="P201" i="90"/>
  <c r="Q201" i="90" s="1"/>
  <c r="R200" i="90"/>
  <c r="P200" i="90"/>
  <c r="Q200" i="90" s="1"/>
  <c r="R199" i="90"/>
  <c r="P199" i="90"/>
  <c r="Q199" i="90" s="1"/>
  <c r="R198" i="90"/>
  <c r="P198" i="90"/>
  <c r="Q198" i="90" s="1"/>
  <c r="R197" i="90"/>
  <c r="P197" i="90"/>
  <c r="Q197" i="90" s="1"/>
  <c r="R196" i="90"/>
  <c r="P196" i="90"/>
  <c r="Q196" i="90" s="1"/>
  <c r="R195" i="90"/>
  <c r="P195" i="90"/>
  <c r="Q195" i="90" s="1"/>
  <c r="R194" i="90"/>
  <c r="P194" i="90"/>
  <c r="Q194" i="90" s="1"/>
  <c r="R193" i="90"/>
  <c r="P193" i="90"/>
  <c r="Q193" i="90" s="1"/>
  <c r="R192" i="90"/>
  <c r="P192" i="90"/>
  <c r="Q192" i="90" s="1"/>
  <c r="R191" i="90"/>
  <c r="P191" i="90"/>
  <c r="Q191" i="90" s="1"/>
  <c r="R190" i="90"/>
  <c r="P190" i="90"/>
  <c r="Q190" i="90" s="1"/>
  <c r="R189" i="90"/>
  <c r="P189" i="90"/>
  <c r="Q189" i="90" s="1"/>
  <c r="R188" i="90"/>
  <c r="P188" i="90"/>
  <c r="Q188" i="90" s="1"/>
  <c r="R187" i="90"/>
  <c r="P187" i="90"/>
  <c r="Q187" i="90" s="1"/>
  <c r="R186" i="90"/>
  <c r="P186" i="90"/>
  <c r="O186" i="90"/>
  <c r="R185" i="90"/>
  <c r="P185" i="90"/>
  <c r="Q185" i="90" s="1"/>
  <c r="R184" i="90"/>
  <c r="P184" i="90"/>
  <c r="Q184" i="90" s="1"/>
  <c r="R183" i="90"/>
  <c r="P183" i="90"/>
  <c r="Q183" i="90" s="1"/>
  <c r="R182" i="90"/>
  <c r="P182" i="90"/>
  <c r="Q182" i="90" s="1"/>
  <c r="R181" i="90"/>
  <c r="P181" i="90"/>
  <c r="Q181" i="90" s="1"/>
  <c r="R180" i="90"/>
  <c r="P180" i="90"/>
  <c r="Q180" i="90" s="1"/>
  <c r="R179" i="90"/>
  <c r="P179" i="90"/>
  <c r="Q179" i="90" s="1"/>
  <c r="R178" i="90"/>
  <c r="P178" i="90"/>
  <c r="Q178" i="90" s="1"/>
  <c r="R177" i="90"/>
  <c r="P177" i="90"/>
  <c r="Q177" i="90" s="1"/>
  <c r="R176" i="90"/>
  <c r="P176" i="90"/>
  <c r="Q176" i="90" s="1"/>
  <c r="R175" i="90"/>
  <c r="P175" i="90"/>
  <c r="Q175" i="90" s="1"/>
  <c r="R174" i="90"/>
  <c r="P174" i="90"/>
  <c r="Q174" i="90" s="1"/>
  <c r="R173" i="90"/>
  <c r="P173" i="90"/>
  <c r="Q173" i="90" s="1"/>
  <c r="R172" i="90"/>
  <c r="Q172" i="90"/>
  <c r="P172" i="90"/>
  <c r="R171" i="90"/>
  <c r="P171" i="90"/>
  <c r="Q171" i="90" s="1"/>
  <c r="R170" i="90"/>
  <c r="P170" i="90"/>
  <c r="Q170" i="90" s="1"/>
  <c r="R169" i="90"/>
  <c r="P169" i="90"/>
  <c r="Q169" i="90" s="1"/>
  <c r="R168" i="90"/>
  <c r="P168" i="90"/>
  <c r="Q168" i="90" s="1"/>
  <c r="R167" i="90"/>
  <c r="P167" i="90"/>
  <c r="Q167" i="90" s="1"/>
  <c r="R166" i="90"/>
  <c r="P166" i="90"/>
  <c r="Q166" i="90" s="1"/>
  <c r="R165" i="90"/>
  <c r="P165" i="90"/>
  <c r="Q165" i="90" s="1"/>
  <c r="R164" i="90"/>
  <c r="P164" i="90"/>
  <c r="Q164" i="90" s="1"/>
  <c r="R163" i="90"/>
  <c r="P163" i="90"/>
  <c r="Q163" i="90" s="1"/>
  <c r="R162" i="90"/>
  <c r="P162" i="90"/>
  <c r="Q162" i="90" s="1"/>
  <c r="R161" i="90"/>
  <c r="P161" i="90"/>
  <c r="Q161" i="90" s="1"/>
  <c r="R160" i="90"/>
  <c r="P160" i="90"/>
  <c r="Q160" i="90" s="1"/>
  <c r="R159" i="90"/>
  <c r="P159" i="90"/>
  <c r="Q159" i="90" s="1"/>
  <c r="R158" i="90"/>
  <c r="P158" i="90"/>
  <c r="Q158" i="90" s="1"/>
  <c r="R157" i="90"/>
  <c r="P157" i="90"/>
  <c r="Q157" i="90" s="1"/>
  <c r="R156" i="90"/>
  <c r="Q156" i="90"/>
  <c r="R155" i="90"/>
  <c r="P155" i="90"/>
  <c r="Q155" i="90" s="1"/>
  <c r="R154" i="90"/>
  <c r="P154" i="90"/>
  <c r="Q154" i="90" s="1"/>
  <c r="R153" i="90"/>
  <c r="P153" i="90"/>
  <c r="Q153" i="90" s="1"/>
  <c r="R152" i="90"/>
  <c r="P152" i="90"/>
  <c r="Q152" i="90" s="1"/>
  <c r="R151" i="90"/>
  <c r="P151" i="90"/>
  <c r="Q151" i="90" s="1"/>
  <c r="R150" i="90"/>
  <c r="P150" i="90"/>
  <c r="Q150" i="90" s="1"/>
  <c r="R149" i="90"/>
  <c r="P149" i="90"/>
  <c r="Q149" i="90" s="1"/>
  <c r="R148" i="90"/>
  <c r="P148" i="90"/>
  <c r="Q148" i="90" s="1"/>
  <c r="R147" i="90"/>
  <c r="P147" i="90"/>
  <c r="Q147" i="90" s="1"/>
  <c r="R146" i="90"/>
  <c r="P146" i="90"/>
  <c r="Q146" i="90" s="1"/>
  <c r="R145" i="90"/>
  <c r="P145" i="90"/>
  <c r="Q145" i="90" s="1"/>
  <c r="R144" i="90"/>
  <c r="P144" i="90"/>
  <c r="Q144" i="90" s="1"/>
  <c r="R143" i="90"/>
  <c r="P143" i="90"/>
  <c r="Q143" i="90" s="1"/>
  <c r="R142" i="90"/>
  <c r="P142" i="90"/>
  <c r="Q142" i="90" s="1"/>
  <c r="R141" i="90"/>
  <c r="P141" i="90"/>
  <c r="Q141" i="90" s="1"/>
  <c r="R140" i="90"/>
  <c r="P140" i="90"/>
  <c r="Q140" i="90" s="1"/>
  <c r="R139" i="90"/>
  <c r="P139" i="90"/>
  <c r="Q139" i="90" s="1"/>
  <c r="R138" i="90"/>
  <c r="P138" i="90"/>
  <c r="Q138" i="90" s="1"/>
  <c r="R137" i="90"/>
  <c r="P137" i="90"/>
  <c r="Q137" i="90" s="1"/>
  <c r="R136" i="90"/>
  <c r="P136" i="90"/>
  <c r="Q136" i="90" s="1"/>
  <c r="R135" i="90"/>
  <c r="P135" i="90"/>
  <c r="Q135" i="90" s="1"/>
  <c r="R134" i="90"/>
  <c r="P134" i="90"/>
  <c r="Q134" i="90" s="1"/>
  <c r="R133" i="90"/>
  <c r="P133" i="90"/>
  <c r="Q133" i="90" s="1"/>
  <c r="R132" i="90"/>
  <c r="P132" i="90"/>
  <c r="Q132" i="90" s="1"/>
  <c r="R131" i="90"/>
  <c r="P131" i="90"/>
  <c r="Q131" i="90" s="1"/>
  <c r="R130" i="90"/>
  <c r="P130" i="90"/>
  <c r="Q130" i="90" s="1"/>
  <c r="R129" i="90"/>
  <c r="P129" i="90"/>
  <c r="Q129" i="90" s="1"/>
  <c r="R128" i="90"/>
  <c r="P128" i="90"/>
  <c r="Q128" i="90" s="1"/>
  <c r="R127" i="90"/>
  <c r="P127" i="90"/>
  <c r="Q127" i="90" s="1"/>
  <c r="R126" i="90"/>
  <c r="P126" i="90"/>
  <c r="Q126" i="90" s="1"/>
  <c r="R125" i="90"/>
  <c r="P125" i="90"/>
  <c r="Q125" i="90" s="1"/>
  <c r="R124" i="90"/>
  <c r="P124" i="90"/>
  <c r="Q124" i="90" s="1"/>
  <c r="R123" i="90"/>
  <c r="P123" i="90"/>
  <c r="Q123" i="90" s="1"/>
  <c r="R122" i="90"/>
  <c r="P122" i="90"/>
  <c r="Q122" i="90" s="1"/>
  <c r="R121" i="90"/>
  <c r="P121" i="90"/>
  <c r="Q121" i="90" s="1"/>
  <c r="R120" i="90"/>
  <c r="P120" i="90"/>
  <c r="Q120" i="90" s="1"/>
  <c r="R119" i="90"/>
  <c r="P119" i="90"/>
  <c r="Q119" i="90" s="1"/>
  <c r="R118" i="90"/>
  <c r="P118" i="90"/>
  <c r="Q118" i="90" s="1"/>
  <c r="R117" i="90"/>
  <c r="P117" i="90"/>
  <c r="Q117" i="90" s="1"/>
  <c r="R116" i="90"/>
  <c r="P116" i="90"/>
  <c r="Q116" i="90" s="1"/>
  <c r="R115" i="90"/>
  <c r="P115" i="90"/>
  <c r="Q115" i="90" s="1"/>
  <c r="R114" i="90"/>
  <c r="Q114" i="90"/>
  <c r="P114" i="90"/>
  <c r="R113" i="90"/>
  <c r="P113" i="90"/>
  <c r="Q113" i="90" s="1"/>
  <c r="R112" i="90"/>
  <c r="P112" i="90"/>
  <c r="Q112" i="90" s="1"/>
  <c r="R111" i="90"/>
  <c r="P111" i="90"/>
  <c r="Q111" i="90" s="1"/>
  <c r="R110" i="90"/>
  <c r="P110" i="90"/>
  <c r="Q110" i="90" s="1"/>
  <c r="R109" i="90"/>
  <c r="P109" i="90"/>
  <c r="Q109" i="90" s="1"/>
  <c r="R108" i="90"/>
  <c r="P108" i="90"/>
  <c r="Q108" i="90" s="1"/>
  <c r="R107" i="90"/>
  <c r="P107" i="90"/>
  <c r="Q107" i="90" s="1"/>
  <c r="R106" i="90"/>
  <c r="P106" i="90"/>
  <c r="Q106" i="90" s="1"/>
  <c r="R105" i="90"/>
  <c r="P105" i="90"/>
  <c r="Q105" i="90" s="1"/>
  <c r="R104" i="90"/>
  <c r="P104" i="90"/>
  <c r="Q104" i="90" s="1"/>
  <c r="R103" i="90"/>
  <c r="P103" i="90"/>
  <c r="Q103" i="90" s="1"/>
  <c r="R102" i="90"/>
  <c r="P102" i="90"/>
  <c r="Q102" i="90" s="1"/>
  <c r="R101" i="90"/>
  <c r="P101" i="90"/>
  <c r="Q101" i="90" s="1"/>
  <c r="R100" i="90"/>
  <c r="P100" i="90"/>
  <c r="Q100" i="90" s="1"/>
  <c r="R99" i="90"/>
  <c r="P99" i="90"/>
  <c r="Q99" i="90" s="1"/>
  <c r="R98" i="90"/>
  <c r="P98" i="90"/>
  <c r="Q98" i="90" s="1"/>
  <c r="R97" i="90"/>
  <c r="P97" i="90"/>
  <c r="Q97" i="90" s="1"/>
  <c r="R96" i="90"/>
  <c r="P96" i="90"/>
  <c r="Q96" i="90" s="1"/>
  <c r="R95" i="90"/>
  <c r="P95" i="90"/>
  <c r="Q95" i="90" s="1"/>
  <c r="R94" i="90"/>
  <c r="P94" i="90"/>
  <c r="Q94" i="90" s="1"/>
  <c r="R93" i="90"/>
  <c r="P93" i="90"/>
  <c r="Q93" i="90" s="1"/>
  <c r="R92" i="90"/>
  <c r="P92" i="90"/>
  <c r="Q92" i="90" s="1"/>
  <c r="R91" i="90"/>
  <c r="P91" i="90"/>
  <c r="Q91" i="90" s="1"/>
  <c r="R90" i="90"/>
  <c r="P90" i="90"/>
  <c r="Q90" i="90" s="1"/>
  <c r="R89" i="90"/>
  <c r="P89" i="90"/>
  <c r="Q89" i="90" s="1"/>
  <c r="R88" i="90"/>
  <c r="P88" i="90"/>
  <c r="Q88" i="90" s="1"/>
  <c r="R87" i="90"/>
  <c r="P87" i="90"/>
  <c r="Q87" i="90" s="1"/>
  <c r="R86" i="90"/>
  <c r="P86" i="90"/>
  <c r="Q86" i="90" s="1"/>
  <c r="R85" i="90"/>
  <c r="P85" i="90"/>
  <c r="Q85" i="90" s="1"/>
  <c r="R84" i="90"/>
  <c r="P84" i="90"/>
  <c r="Q84" i="90" s="1"/>
  <c r="R83" i="90"/>
  <c r="P83" i="90"/>
  <c r="Q83" i="90" s="1"/>
  <c r="R82" i="90"/>
  <c r="P82" i="90"/>
  <c r="Q82" i="90" s="1"/>
  <c r="R81" i="90"/>
  <c r="P81" i="90"/>
  <c r="Q81" i="90" s="1"/>
  <c r="R80" i="90"/>
  <c r="P80" i="90"/>
  <c r="Q80" i="90" s="1"/>
  <c r="R79" i="90"/>
  <c r="P79" i="90"/>
  <c r="Q79" i="90" s="1"/>
  <c r="R78" i="90"/>
  <c r="P78" i="90"/>
  <c r="Q78" i="90" s="1"/>
  <c r="R77" i="90"/>
  <c r="P77" i="90"/>
  <c r="Q77" i="90" s="1"/>
  <c r="R76" i="90"/>
  <c r="P76" i="90"/>
  <c r="Q76" i="90" s="1"/>
  <c r="R75" i="90"/>
  <c r="P75" i="90"/>
  <c r="Q75" i="90" s="1"/>
  <c r="R74" i="90"/>
  <c r="P74" i="90"/>
  <c r="Q74" i="90" s="1"/>
  <c r="R73" i="90"/>
  <c r="P73" i="90"/>
  <c r="Q73" i="90" s="1"/>
  <c r="R72" i="90"/>
  <c r="Q72" i="90"/>
  <c r="P72" i="90"/>
  <c r="R71" i="90"/>
  <c r="P71" i="90"/>
  <c r="Q71" i="90" s="1"/>
  <c r="R70" i="90"/>
  <c r="P70" i="90"/>
  <c r="Q70" i="90" s="1"/>
  <c r="R69" i="90"/>
  <c r="P69" i="90"/>
  <c r="Q69" i="90" s="1"/>
  <c r="R68" i="90"/>
  <c r="P68" i="90"/>
  <c r="Q68" i="90" s="1"/>
  <c r="R67" i="90"/>
  <c r="P67" i="90"/>
  <c r="Q67" i="90" s="1"/>
  <c r="R66" i="90"/>
  <c r="P66" i="90"/>
  <c r="Q66" i="90" s="1"/>
  <c r="R65" i="90"/>
  <c r="P65" i="90"/>
  <c r="Q65" i="90" s="1"/>
  <c r="R64" i="90"/>
  <c r="P64" i="90"/>
  <c r="O64" i="90"/>
  <c r="R63" i="90"/>
  <c r="P63" i="90"/>
  <c r="Q63" i="90" s="1"/>
  <c r="R62" i="90"/>
  <c r="P62" i="90"/>
  <c r="Q62" i="90" s="1"/>
  <c r="R61" i="90"/>
  <c r="P61" i="90"/>
  <c r="Q61" i="90" s="1"/>
  <c r="R60" i="90"/>
  <c r="P60" i="90"/>
  <c r="Q60" i="90" s="1"/>
  <c r="R59" i="90"/>
  <c r="P59" i="90"/>
  <c r="Q59" i="90" s="1"/>
  <c r="R58" i="90"/>
  <c r="P58" i="90"/>
  <c r="Q58" i="90" s="1"/>
  <c r="R57" i="90"/>
  <c r="P57" i="90"/>
  <c r="Q57" i="90" s="1"/>
  <c r="R56" i="90"/>
  <c r="P56" i="90"/>
  <c r="Q56" i="90" s="1"/>
  <c r="R55" i="90"/>
  <c r="P55" i="90"/>
  <c r="Q55" i="90" s="1"/>
  <c r="R54" i="90"/>
  <c r="P54" i="90"/>
  <c r="Q54" i="90" s="1"/>
  <c r="R53" i="90"/>
  <c r="P53" i="90"/>
  <c r="Q53" i="90" s="1"/>
  <c r="R52" i="90"/>
  <c r="P52" i="90"/>
  <c r="Q52" i="90" s="1"/>
  <c r="R51" i="90"/>
  <c r="P51" i="90"/>
  <c r="Q51" i="90" s="1"/>
  <c r="R50" i="90"/>
  <c r="P50" i="90"/>
  <c r="Q50" i="90" s="1"/>
  <c r="R49" i="90"/>
  <c r="P49" i="90"/>
  <c r="Q49" i="90" s="1"/>
  <c r="R48" i="90"/>
  <c r="P48" i="90"/>
  <c r="Q48" i="90" s="1"/>
  <c r="R47" i="90"/>
  <c r="P47" i="90"/>
  <c r="Q47" i="90" s="1"/>
  <c r="R46" i="90"/>
  <c r="P46" i="90"/>
  <c r="Q46" i="90" s="1"/>
  <c r="R45" i="90"/>
  <c r="P45" i="90"/>
  <c r="Q45" i="90" s="1"/>
  <c r="R44" i="90"/>
  <c r="P44" i="90"/>
  <c r="Q44" i="90" s="1"/>
  <c r="R43" i="90"/>
  <c r="P43" i="90"/>
  <c r="Q43" i="90" s="1"/>
  <c r="R42" i="90"/>
  <c r="P42" i="90"/>
  <c r="Q42" i="90" s="1"/>
  <c r="R41" i="90"/>
  <c r="P41" i="90"/>
  <c r="Q41" i="90" s="1"/>
  <c r="R40" i="90"/>
  <c r="P40" i="90"/>
  <c r="Q40" i="90" s="1"/>
  <c r="R39" i="90"/>
  <c r="P39" i="90"/>
  <c r="Q39" i="90" s="1"/>
  <c r="R38" i="90"/>
  <c r="P38" i="90"/>
  <c r="Q38" i="90" s="1"/>
  <c r="R37" i="90"/>
  <c r="P37" i="90"/>
  <c r="Q37" i="90" s="1"/>
  <c r="R36" i="90"/>
  <c r="P36" i="90"/>
  <c r="Q36" i="90" s="1"/>
  <c r="R35" i="90"/>
  <c r="P35" i="90"/>
  <c r="Q35" i="90" s="1"/>
  <c r="R34" i="90"/>
  <c r="P34" i="90"/>
  <c r="Q34" i="90" s="1"/>
  <c r="R33" i="90"/>
  <c r="Q33" i="90"/>
  <c r="P33" i="90"/>
  <c r="R32" i="90"/>
  <c r="P32" i="90"/>
  <c r="Q32" i="90" s="1"/>
  <c r="R31" i="90"/>
  <c r="P31" i="90"/>
  <c r="Q31" i="90" s="1"/>
  <c r="R30" i="90"/>
  <c r="P30" i="90"/>
  <c r="Q30" i="90" s="1"/>
  <c r="R29" i="90"/>
  <c r="P29" i="90"/>
  <c r="O29" i="90"/>
  <c r="Q29" i="90" s="1"/>
  <c r="R28" i="90"/>
  <c r="P28" i="90"/>
  <c r="Q28" i="90" s="1"/>
  <c r="R27" i="90"/>
  <c r="P27" i="90"/>
  <c r="Q27" i="90" s="1"/>
  <c r="R26" i="90"/>
  <c r="P26" i="90"/>
  <c r="Q26" i="90" s="1"/>
  <c r="R25" i="90"/>
  <c r="P25" i="90"/>
  <c r="Q25" i="90" s="1"/>
  <c r="R24" i="90"/>
  <c r="P24" i="90"/>
  <c r="Q24" i="90" s="1"/>
  <c r="R23" i="90"/>
  <c r="P23" i="90"/>
  <c r="Q23" i="90" s="1"/>
  <c r="R22" i="90"/>
  <c r="P22" i="90"/>
  <c r="Q22" i="90" s="1"/>
  <c r="R21" i="90"/>
  <c r="P21" i="90"/>
  <c r="Q21" i="90" s="1"/>
  <c r="R20" i="90"/>
  <c r="P20" i="90"/>
  <c r="Q20" i="90" s="1"/>
  <c r="R19" i="90"/>
  <c r="P19" i="90"/>
  <c r="Q19" i="90" s="1"/>
  <c r="O29" i="87"/>
  <c r="O179" i="87"/>
  <c r="H267" i="87"/>
  <c r="Q64" i="90" l="1"/>
  <c r="Q186" i="90"/>
  <c r="Q241" i="90"/>
  <c r="S148" i="91"/>
  <c r="Q334" i="93"/>
  <c r="Q335" i="92"/>
  <c r="T198" i="91"/>
  <c r="T148" i="91"/>
  <c r="Q250" i="91"/>
  <c r="Q384" i="91" s="1"/>
  <c r="T123" i="91"/>
  <c r="S207" i="91"/>
  <c r="S123" i="91"/>
  <c r="T207" i="91"/>
  <c r="S162" i="91"/>
  <c r="S171" i="91"/>
  <c r="S30" i="91"/>
  <c r="T162" i="91"/>
  <c r="T30" i="91"/>
  <c r="Q273" i="90"/>
  <c r="Q407" i="90" s="1"/>
  <c r="Q267" i="87"/>
  <c r="O401" i="87"/>
  <c r="T250" i="91" l="1"/>
  <c r="Q400" i="87"/>
  <c r="D400" i="87"/>
  <c r="D401" i="87" l="1"/>
  <c r="Q401" i="8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6" authorId="0" shapeId="0" xr:uid="{8D99A3EC-6446-4090-8394-9FF917630FF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L17" authorId="0" shapeId="0" xr:uid="{E75C5387-5D95-4188-8AC8-EC71906BC0A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Червоне - немає на складі; Оранжеве - недостатньо на складі</t>
        </r>
      </text>
    </comment>
    <comment ref="M17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O17" authorId="0" shapeId="0" xr:uid="{8DE97A00-CC7F-42FE-8854-E5C567E05E7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Жовте - відхилення від калькуляції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6" authorId="0" shapeId="0" xr:uid="{FD7F221E-9809-4836-B0F1-ED6309210B3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L17" authorId="0" shapeId="0" xr:uid="{4DC8AB50-57D1-4332-B651-FBD979D278C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Червоне - немає на складі; Оранжеве - недостатньо на складі</t>
        </r>
      </text>
    </comment>
    <comment ref="M17" authorId="0" shapeId="0" xr:uid="{D9DEC9D3-625C-418C-AE72-A5581DD02CC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O17" authorId="0" shapeId="0" xr:uid="{0BC90D7C-CDDA-497F-9661-D24250EA2F8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Жовте - відхилення від калькуляції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6" authorId="0" shapeId="0" xr:uid="{054F6905-808A-40FC-9943-24BE8D00960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L17" authorId="0" shapeId="0" xr:uid="{CEF27CB1-41BA-48C8-869D-A2109CA81C9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Червоне - немає на складі; Оранжеве - недостатньо на складі</t>
        </r>
      </text>
    </comment>
    <comment ref="M17" authorId="0" shapeId="0" xr:uid="{D78DB1C5-FDA5-4587-A718-87D5AECBDC6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O17" authorId="0" shapeId="0" xr:uid="{1F2F6E56-8BC8-40B2-AC8A-B3A06ED7DF9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Жовте - відхилення від калькуляції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6" authorId="0" shapeId="0" xr:uid="{B5344DDA-5801-43D1-A937-7698371A67F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L17" authorId="0" shapeId="0" xr:uid="{8458068E-BF34-4F6F-9090-7ABEE35F27A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Червоне - немає на складі; Оранжеве - недостатньо на складі</t>
        </r>
      </text>
    </comment>
    <comment ref="M17" authorId="0" shapeId="0" xr:uid="{ED631572-2E96-4FE9-B23A-D7FC0EDB9ED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O17" authorId="0" shapeId="0" xr:uid="{277E5B5A-AC67-4F47-B43C-60E29F9A3F0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Жовте - відхилення від калькуляції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6" authorId="0" shapeId="0" xr:uid="{6988D40A-79A1-44DF-BE35-887B71897B0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L17" authorId="0" shapeId="0" xr:uid="{601B58FC-5909-495D-9214-E1CDDB1B874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Червоне - немає на складі; Оранжеве - недостатньо на складі</t>
        </r>
      </text>
    </comment>
    <comment ref="M17" authorId="0" shapeId="0" xr:uid="{E9F9DFCD-F83F-4510-A005-F796B015DE4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O17" authorId="0" shapeId="0" xr:uid="{8067D7B7-118A-45BC-B9B3-6636C610EDB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Жовте - відхилення від калькуляції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6" authorId="0" shapeId="0" xr:uid="{8881BD1B-66DB-4D86-AB95-D7990B7F3DD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L17" authorId="0" shapeId="0" xr:uid="{DD7A8806-7D1D-40AE-8FDC-C4C9D7E9E0F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Червоне - немає на складі; Оранжеве - недостатньо на складі</t>
        </r>
      </text>
    </comment>
    <comment ref="M17" authorId="0" shapeId="0" xr:uid="{8C720E47-1F8D-4333-86A3-958B34B8A99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O17" authorId="0" shapeId="0" xr:uid="{101E1A13-E813-4117-BDBA-F2AD24C621D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Жовте - відхилення від калькуляції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6" authorId="0" shapeId="0" xr:uid="{F06133E6-C9B3-49F6-9DC9-866CC6FD10C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L17" authorId="0" shapeId="0" xr:uid="{925C52D4-6ED5-4AD1-85BD-1BE7358449C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N17" authorId="0" shapeId="0" xr:uid="{973C2D56-B0B7-4CAD-B182-8C70CCB2AC9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Жовте - відхилення від калькуляції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6" authorId="0" shapeId="0" xr:uid="{B65E4D08-A051-4FC8-BB21-CA8A741A138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L17" authorId="0" shapeId="0" xr:uid="{1FC0D5D6-0A69-4471-87A9-D96B0567056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N17" authorId="0" shapeId="0" xr:uid="{DEC601D4-1774-4E13-B2DA-9F35300AB6F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Жовте - відхилення від калькуляції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6" authorId="0" shapeId="0" xr:uid="{99687846-9F81-455B-859C-6D22299FF4D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L17" authorId="0" shapeId="0" xr:uid="{100F9633-B36D-4DDD-8F70-E358724AA55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Червоне - немає на складі; Оранжеве - недостатньо на складі</t>
        </r>
      </text>
    </comment>
    <comment ref="M17" authorId="0" shapeId="0" xr:uid="{614A4D74-36F9-4D16-A0FC-F8812C1CCED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O17" authorId="0" shapeId="0" xr:uid="{23F23B21-7CF9-4CC7-87C1-7CABA0AF8B0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Жовте - відхилення від калькуляції</t>
        </r>
      </text>
    </comment>
  </commentList>
</comments>
</file>

<file path=xl/sharedStrings.xml><?xml version="1.0" encoding="utf-8"?>
<sst xmlns="http://schemas.openxmlformats.org/spreadsheetml/2006/main" count="6957" uniqueCount="1209">
  <si>
    <t>З В І Т</t>
  </si>
  <si>
    <t>про витрати основних матеріалів у будівництві</t>
  </si>
  <si>
    <t>в співставленні з виробничими нормами</t>
  </si>
  <si>
    <t>№ п/п</t>
  </si>
  <si>
    <t>Найменування робіт</t>
  </si>
  <si>
    <t>Од. вим.</t>
  </si>
  <si>
    <t>Кіл-ть</t>
  </si>
  <si>
    <t>Матеріали</t>
  </si>
  <si>
    <t>Примітка</t>
  </si>
  <si>
    <t>Найменування</t>
  </si>
  <si>
    <t>од. вим.</t>
  </si>
  <si>
    <t xml:space="preserve">                                                                                                (дата, П.І.Б., підпис)</t>
  </si>
  <si>
    <t xml:space="preserve">Опрацював  Бухгалтер ________________________  </t>
  </si>
  <si>
    <t xml:space="preserve">                                             (дата, П.І.Б., підпис)</t>
  </si>
  <si>
    <t>Витрати матеріалів перевірив:</t>
  </si>
  <si>
    <t xml:space="preserve">                                                          (дата, П.І.Б., підпис)</t>
  </si>
  <si>
    <t>Начальник ВТВ _______________________________</t>
  </si>
  <si>
    <t xml:space="preserve">                                   (дата, П.І.Б., підпис)</t>
  </si>
  <si>
    <t>Інженер ВТВ _______________________________</t>
  </si>
  <si>
    <t xml:space="preserve">Начальник будівельного-монтажного комплекса __________________________ </t>
  </si>
  <si>
    <t>Код</t>
  </si>
  <si>
    <t>Вартість од. вим.</t>
  </si>
  <si>
    <t>Вартість всього вим.</t>
  </si>
  <si>
    <t>Разом вартість матеріалів</t>
  </si>
  <si>
    <t>Інформація з АВР</t>
  </si>
  <si>
    <t>Інформація з 1С</t>
  </si>
  <si>
    <t>Додаток №3
до Наказу №_______ від _________________р.</t>
  </si>
  <si>
    <r>
      <t>Форма № М-29</t>
    </r>
    <r>
      <rPr>
        <b/>
        <sz val="18"/>
        <color indexed="12"/>
        <rFont val="Calibri"/>
        <family val="2"/>
        <charset val="204"/>
      </rPr>
      <t>/1</t>
    </r>
  </si>
  <si>
    <t>"ЗАТВЕРДЖЕНО"</t>
  </si>
  <si>
    <t>Разом вартість МШП</t>
  </si>
  <si>
    <t>ВСЬОГО списано</t>
  </si>
  <si>
    <t xml:space="preserve">                                                                                                                                     (дата, П.І.Б., підпис)</t>
  </si>
  <si>
    <t xml:space="preserve">Матеріально-відповідальна особа, що склала звіт                                           </t>
  </si>
  <si>
    <t xml:space="preserve">  ____________________ </t>
  </si>
  <si>
    <t>шт</t>
  </si>
  <si>
    <t>кг</t>
  </si>
  <si>
    <t xml:space="preserve">До Акту № </t>
  </si>
  <si>
    <t>пог.м</t>
  </si>
  <si>
    <t>00-00004806</t>
  </si>
  <si>
    <t>т</t>
  </si>
  <si>
    <t>00-00005392</t>
  </si>
  <si>
    <t>00-00004909</t>
  </si>
  <si>
    <t>00-00004907</t>
  </si>
  <si>
    <t>00-00004910</t>
  </si>
  <si>
    <t>00-00004978</t>
  </si>
  <si>
    <t>м2</t>
  </si>
  <si>
    <t>00-00000408</t>
  </si>
  <si>
    <t>00-00004980</t>
  </si>
  <si>
    <t>00-00004866</t>
  </si>
  <si>
    <t>00-00004868</t>
  </si>
  <si>
    <t>Вхідні двері металеві 1000*2010</t>
  </si>
  <si>
    <t>00-00001206</t>
  </si>
  <si>
    <t>Двері металопластикові   м кв</t>
  </si>
  <si>
    <t>00-00005152</t>
  </si>
  <si>
    <t>00-00005153</t>
  </si>
  <si>
    <t>00-00005044</t>
  </si>
  <si>
    <t>км</t>
  </si>
  <si>
    <t>м</t>
  </si>
  <si>
    <t>00-00003558</t>
  </si>
  <si>
    <t>00-00005292</t>
  </si>
  <si>
    <t>дозатор рідкого мила</t>
  </si>
  <si>
    <t xml:space="preserve">Кушетка медична </t>
  </si>
  <si>
    <t>диспенсер для туалетного паперу</t>
  </si>
  <si>
    <t xml:space="preserve"> т</t>
  </si>
  <si>
    <t>пак</t>
  </si>
  <si>
    <t>Рейка 50*50*3000</t>
  </si>
  <si>
    <t>м куб</t>
  </si>
  <si>
    <t>Автоматичний вимикач  1 п 16А  С</t>
  </si>
  <si>
    <t>м кв</t>
  </si>
  <si>
    <t>Вагонка пластикова Мармур Сірий 0,25х6м 8мм (уп.10 шт.)</t>
  </si>
  <si>
    <t>ВВГнг 3х1,5 кабель</t>
  </si>
  <si>
    <t>ВВГнг 3х2,5 кабель</t>
  </si>
  <si>
    <t>ВВГнг 3х4 кабель</t>
  </si>
  <si>
    <t>Вентилятор Домовент 100С1 (14Вт, 94 м куб/год.)</t>
  </si>
  <si>
    <t>Вогнебіозахист 1кг</t>
  </si>
  <si>
    <t>Гайка М12  DIN 934  цб</t>
  </si>
  <si>
    <t>Гвинт 4,2х19</t>
  </si>
  <si>
    <t>Гвинт 5,5х32 цб дов.св</t>
  </si>
  <si>
    <t>Гвинт 5,5х75</t>
  </si>
  <si>
    <t>Гвинт самонарізний з шестигр.гол.зі сверд,з шайб.EPDM по мет.R9T64819 4,8Х19 (ral 1015)</t>
  </si>
  <si>
    <t>Гідробар'єр (1,5х44м)</t>
  </si>
  <si>
    <t>Заклепки 4,0*10 (к-т)</t>
  </si>
  <si>
    <t>к-т</t>
  </si>
  <si>
    <t>00-00005169</t>
  </si>
  <si>
    <t>Кутик 32*32*3мм ст.3пс</t>
  </si>
  <si>
    <t>Кутник  декоративний 30х30</t>
  </si>
  <si>
    <t>Кутник  декоративний 50х50</t>
  </si>
  <si>
    <t>Лист  4*1250*2500 3 сп/пс 5</t>
  </si>
  <si>
    <t>Лист 14 С345</t>
  </si>
  <si>
    <t>Лист 3 (г.к)  (1,5х3)</t>
  </si>
  <si>
    <t>Обігрівач керамічний  TCМ 450 (беж)</t>
  </si>
  <si>
    <t>Оцинкована решітка 1000х1000</t>
  </si>
  <si>
    <t>Паробар'єр армир. 1,5*44</t>
  </si>
  <si>
    <t>Петля виточена d=20мм (для воріт)</t>
  </si>
  <si>
    <t>Пінопласт 5см (1м*0,5м)</t>
  </si>
  <si>
    <t>Розетка з кришкою з заземл.конт. з шторк. ІР44, білий, Asfora, SCHNEIDER ELECTRIC</t>
  </si>
  <si>
    <t>Самонаріз 4,2х16</t>
  </si>
  <si>
    <t>Скоба для степлера тимА10мм  1000шт/уп</t>
  </si>
  <si>
    <t>00-00005538</t>
  </si>
  <si>
    <t>Стрічка гідроізоляційна</t>
  </si>
  <si>
    <t>Труба 50х25х2</t>
  </si>
  <si>
    <t>Труба 89*3,5 г/к 3,3-11,9 10216 Р235ТР2</t>
  </si>
  <si>
    <t>Труба ПВХ гнучка гофр. д.20мм, Light (220 Н 5/см пог.), з протяжкою, сіра</t>
  </si>
  <si>
    <t>00-00005143</t>
  </si>
  <si>
    <t>Труба полиєтиленова р=12,5 бар D=25мм</t>
  </si>
  <si>
    <t>Універсальний шуруп 5,0х70 потай</t>
  </si>
  <si>
    <t>Універсальний шуруп 5,0х90 потай</t>
  </si>
  <si>
    <t>Утеплювач Кнауф 1250*610*50  12,2м кв.36шт/уп</t>
  </si>
  <si>
    <t>Цементно-стружкова плита  3200*1250*20 мм</t>
  </si>
  <si>
    <t>Шуруп 4,5х45</t>
  </si>
  <si>
    <t>Щиток пластик. 6 мод.зовн.устан.</t>
  </si>
  <si>
    <t>BOSCH витратні Круг відрізний 355*3*25,4 метал</t>
  </si>
  <si>
    <t>00-00004853</t>
  </si>
  <si>
    <t>Біта РZ 2*51 мм</t>
  </si>
  <si>
    <t>00-00005091</t>
  </si>
  <si>
    <t>Біта РН2х51</t>
  </si>
  <si>
    <t>00-00005436</t>
  </si>
  <si>
    <t>Валик</t>
  </si>
  <si>
    <t>00-00000071</t>
  </si>
  <si>
    <t>Відрізний диск Standard Inox 230x1,9мм арт.2608601514</t>
  </si>
  <si>
    <t>Вставка для масок 110*90, затемнення DIN12/C6</t>
  </si>
  <si>
    <t>Ганчір'я х/б</t>
  </si>
  <si>
    <t>Ганчірка для підлоги</t>
  </si>
  <si>
    <t>00-00000432</t>
  </si>
  <si>
    <t>Засіб д/миття посуду: рідина FAIRY 1л, лимон</t>
  </si>
  <si>
    <t>Засіб для миття скла</t>
  </si>
  <si>
    <t>Ізоляційна стрічка ПВХ велика</t>
  </si>
  <si>
    <t>00-00005488</t>
  </si>
  <si>
    <t>Коронка біметалева 67мм</t>
  </si>
  <si>
    <t>Круг відрізний по металу 125*1,6</t>
  </si>
  <si>
    <t>00-00000433</t>
  </si>
  <si>
    <t>00-00003967</t>
  </si>
  <si>
    <t>Круг пелюстковий Р80, 125х22 н/ж</t>
  </si>
  <si>
    <t>Леза сегм.відламні 18мм (10шт)</t>
  </si>
  <si>
    <t>Маркер перманентний білий</t>
  </si>
  <si>
    <t>Маска пилезахисна</t>
  </si>
  <si>
    <t>Насадка торцева 6-гр.магнітна М8х48мм 1/4"</t>
  </si>
  <si>
    <t>Окуляри захисні прозорі</t>
  </si>
  <si>
    <t>Очисник для піни  500 мл</t>
  </si>
  <si>
    <t>Пензель-макловиця 50*150</t>
  </si>
  <si>
    <t>00-00005438</t>
  </si>
  <si>
    <t>Пензель*25</t>
  </si>
  <si>
    <t>Пензель*50</t>
  </si>
  <si>
    <t>00-00005092</t>
  </si>
  <si>
    <t>Пилочка Т 118 А</t>
  </si>
  <si>
    <t>Плівка чорна, 3 м (м/пог)</t>
  </si>
  <si>
    <t>Рукавиці "Краги"зварювальні жовті</t>
  </si>
  <si>
    <t>пар</t>
  </si>
  <si>
    <t>Рукавиці з латексним покриттям</t>
  </si>
  <si>
    <t>Рукавиці нітрилові, шт</t>
  </si>
  <si>
    <t>00-00003969</t>
  </si>
  <si>
    <t>Свердло 6,0мм HSS TiN</t>
  </si>
  <si>
    <t>Свердло по металу  5,0х86мм</t>
  </si>
  <si>
    <t>00-00005432</t>
  </si>
  <si>
    <t>Скотч  500 м</t>
  </si>
  <si>
    <t>Скрайбер (чертилка) для скла, кераміки, металу</t>
  </si>
  <si>
    <t>Стрейч-плівка 500*1,6 кг (150м)</t>
  </si>
  <si>
    <t>00-00005372</t>
  </si>
  <si>
    <t>Тримач магнітний для біт</t>
  </si>
  <si>
    <t>00-00005028</t>
  </si>
  <si>
    <t>Шліфшкурка GIPEX 115мм Р-100 жовта</t>
  </si>
  <si>
    <t>Шліфшкурка GIPEX 115мм Р-120 жовта</t>
  </si>
  <si>
    <t>Автомат введення резерву  2п 100A</t>
  </si>
  <si>
    <t>Болт кріплення для бойлера, М10х100мм ( 2шт)</t>
  </si>
  <si>
    <t>00-00005573</t>
  </si>
  <si>
    <t>Вимикач  диференц струму з захистом16А С 10мА</t>
  </si>
  <si>
    <t>00-00005597</t>
  </si>
  <si>
    <t>Вогнегасник порошковий ОП2 2 кг</t>
  </si>
  <si>
    <t>00-00005462</t>
  </si>
  <si>
    <t>Гвинт 4,8х50</t>
  </si>
  <si>
    <t>00-00005571</t>
  </si>
  <si>
    <t>Герметик для швів 310мл.</t>
  </si>
  <si>
    <t>00-00005073</t>
  </si>
  <si>
    <t>Герметичний з’єднувач кабеля</t>
  </si>
  <si>
    <t>Гладкая жесть 1,25*2м РЕМА 7024*45</t>
  </si>
  <si>
    <t>00-00005682</t>
  </si>
  <si>
    <t>Гнучка труба 50/40х40/50</t>
  </si>
  <si>
    <t>Гнучкий шланг, для сифону, HB, D=32 мм х 1.1/4",L=380-865 мм 3922900000</t>
  </si>
  <si>
    <t>Дріт ПВЗ  1*6</t>
  </si>
  <si>
    <t>00-00005572</t>
  </si>
  <si>
    <t>Дюбель  6*30</t>
  </si>
  <si>
    <t>00-00005463</t>
  </si>
  <si>
    <t>Дюбель Дріва з буром 15х23</t>
  </si>
  <si>
    <t>Замок навісний</t>
  </si>
  <si>
    <t>00-00004976</t>
  </si>
  <si>
    <t>Клей для напольного покриття 12кг</t>
  </si>
  <si>
    <t>00-00005720</t>
  </si>
  <si>
    <t>Коліно каналіз. 32/45</t>
  </si>
  <si>
    <t>00-00002506</t>
  </si>
  <si>
    <t>Комплект кріплення труб 47-52мм 1 1/2"</t>
  </si>
  <si>
    <t>00-00005587</t>
  </si>
  <si>
    <t>Куточок, D=25 мм ВВ</t>
  </si>
  <si>
    <t>Лист 6 (г.к)  (1,5х6) ((1,5*6,0) 14637 3сп5)</t>
  </si>
  <si>
    <t>Лист ПВЛ 406</t>
  </si>
  <si>
    <t>00-00004975</t>
  </si>
  <si>
    <t>Мембрана дахова</t>
  </si>
  <si>
    <t>00-00005673</t>
  </si>
  <si>
    <t>Олива моторна напівсинтетична 4Т 1л</t>
  </si>
  <si>
    <t>00-00005585</t>
  </si>
  <si>
    <t>Перехідник  D=25мм*1 B</t>
  </si>
  <si>
    <t>00-00005589</t>
  </si>
  <si>
    <t>Перехідник  D=25мм*1 Н</t>
  </si>
  <si>
    <t>00-00005588</t>
  </si>
  <si>
    <t>Перехідник латунний 3В 1* 1\2</t>
  </si>
  <si>
    <t>00-00005430</t>
  </si>
  <si>
    <t>Пінополістерол (50мм)  1,0х5</t>
  </si>
  <si>
    <t>OSB 10 мм</t>
  </si>
  <si>
    <t>00-00005740</t>
  </si>
  <si>
    <t>00-00005715</t>
  </si>
  <si>
    <t>Поріжок 47,5х5</t>
  </si>
  <si>
    <t>00-00005070</t>
  </si>
  <si>
    <t>Профіль ПС-10 поліестер трапецієпод.</t>
  </si>
  <si>
    <t>00-00000477</t>
  </si>
  <si>
    <t>Рейка 30х50х3000</t>
  </si>
  <si>
    <t>куб</t>
  </si>
  <si>
    <t>Сифон для душ.</t>
  </si>
  <si>
    <t>Сифон для душ.під., бутил., D=58х40 мм, Н=78 мм, (пласт., гнучкий вих., з хром. криш. D=90 мм) 39229</t>
  </si>
  <si>
    <t>00-00005638</t>
  </si>
  <si>
    <t>Сифон для мийки бутилоч Д=1 1/2"х32мм</t>
  </si>
  <si>
    <t>00-00005671</t>
  </si>
  <si>
    <t>Стопор дверний</t>
  </si>
  <si>
    <t>Стрічка бітумна 100мм сіра 10м</t>
  </si>
  <si>
    <t>Стрічка для швів зі BudMonster 0,05м*25м</t>
  </si>
  <si>
    <t>00-00005608</t>
  </si>
  <si>
    <t>Таблички зі шрифтом Брайля</t>
  </si>
  <si>
    <t>00-00005598</t>
  </si>
  <si>
    <t>труба 100х100х3 мм; ст.1-3пс; 12 м</t>
  </si>
  <si>
    <t>00-00004736</t>
  </si>
  <si>
    <t>Труба 40х20х2 мм; ст. 1-3пс; 6 м</t>
  </si>
  <si>
    <t>00-00005601</t>
  </si>
  <si>
    <t>Труба 40х40х2 мм; ст. 1-3пс; 6 м</t>
  </si>
  <si>
    <t>00-00004994</t>
  </si>
  <si>
    <t>труба 50х50х2 мм 6 м</t>
  </si>
  <si>
    <t>Труба гнучка двошарова електротехнічна з поліетилену, зі сталевою затяжкою для зонду та муфтою, зов.</t>
  </si>
  <si>
    <t>00-00003936</t>
  </si>
  <si>
    <t>Труба каналізаційна 110х3,2х1000мм зовн</t>
  </si>
  <si>
    <t>00-00005583</t>
  </si>
  <si>
    <t>Труба каналізаційна ПВХ 110х3,2х3000</t>
  </si>
  <si>
    <t>00-00005700</t>
  </si>
  <si>
    <t>Труба ПВХ гнучка гофр. д.20мм, 220Н 5/см пог. стандартна з протяжкою, сірий колір</t>
  </si>
  <si>
    <t>00-00005582</t>
  </si>
  <si>
    <t>Труба поліпропіленова, каналізаційна, d=50 мм, l=1500 мм 3917221000</t>
  </si>
  <si>
    <t>00-00005531</t>
  </si>
  <si>
    <t>Цвях для пневмостеплера 38мм 5000шт/уп</t>
  </si>
  <si>
    <t>00-00005659</t>
  </si>
  <si>
    <t>Цвях для пневмостеплера 50мм 5000шт/уп</t>
  </si>
  <si>
    <t>00-00001209</t>
  </si>
  <si>
    <t>Цвях для степлера 32мм 5000шт/уп</t>
  </si>
  <si>
    <t>Шуруп 4х45</t>
  </si>
  <si>
    <t>Біта РН 2*25 мм з обмежувачем для г/к</t>
  </si>
  <si>
    <t>Вилка пряма з зазем.</t>
  </si>
  <si>
    <t>00-00005027</t>
  </si>
  <si>
    <t>Відро будівельне 12 л з носиком</t>
  </si>
  <si>
    <t>Віник</t>
  </si>
  <si>
    <t>00-00005373</t>
  </si>
  <si>
    <t>Диск пильний 350*30   по дереву</t>
  </si>
  <si>
    <t>Диск розпилювальний S&amp;R 190x30x2,4мм FZ/ATB 12 зуб. Sprinter Meister + кільця 20/25,4</t>
  </si>
  <si>
    <t>Киянка гумова</t>
  </si>
  <si>
    <t>Круг відрізний по металу 350*3,0*25,4</t>
  </si>
  <si>
    <t>00-00005681</t>
  </si>
  <si>
    <t>Олівець муляра</t>
  </si>
  <si>
    <t>00-00004858</t>
  </si>
  <si>
    <t>Пилка кільцева 133 мм</t>
  </si>
  <si>
    <t>00-00005642</t>
  </si>
  <si>
    <t>пильне полотно 26105</t>
  </si>
  <si>
    <t>00-00005680</t>
  </si>
  <si>
    <t>совок з мітлою</t>
  </si>
  <si>
    <t>00-00005679</t>
  </si>
  <si>
    <t>совок з щіткою</t>
  </si>
  <si>
    <t>рул</t>
  </si>
  <si>
    <t>Стрічка малярська, 50мм*50м</t>
  </si>
  <si>
    <t>00-00003557</t>
  </si>
  <si>
    <t>Автоматичний вимикач  1 п 10А</t>
  </si>
  <si>
    <t>00-00000412</t>
  </si>
  <si>
    <t>Автоматичний вимикач  1 п 25А  C e mcb stand 45 1 c25 1p 25A C 4.5KA</t>
  </si>
  <si>
    <t>00-00000210</t>
  </si>
  <si>
    <t>Аерозоль Лідер (RAL 9010) білий глянцевий 400 мл</t>
  </si>
  <si>
    <t>00-00005270</t>
  </si>
  <si>
    <t>Брезент вогнестійкий  1,5*1,8</t>
  </si>
  <si>
    <t>Вилка переносна 7023 32А 220В 2Р+Е ІР44</t>
  </si>
  <si>
    <t>00-00005532</t>
  </si>
  <si>
    <t>Вилка промислова 32А</t>
  </si>
  <si>
    <t>00-00000721</t>
  </si>
  <si>
    <t>Вимикач 1-клавішний</t>
  </si>
  <si>
    <t>Вимикач 2-клавішний</t>
  </si>
  <si>
    <t>Відвід d 110 мм 45"</t>
  </si>
  <si>
    <t>00-00005133</t>
  </si>
  <si>
    <t>Відвід D=32 мм, 87° 30 ' 3917400090</t>
  </si>
  <si>
    <t>Вішалка підлогова</t>
  </si>
  <si>
    <t>Гайка М48</t>
  </si>
  <si>
    <t>Генератор</t>
  </si>
  <si>
    <t>Герметик силіконовий санітарний Mounter (білий) 280 мл</t>
  </si>
  <si>
    <t>00-00005447</t>
  </si>
  <si>
    <t>Гідроізоляція 7кг</t>
  </si>
  <si>
    <t>Гнучкий шланг 1\2 ВВ довжина 100 см</t>
  </si>
  <si>
    <t>Гнучкий шланг 1\2 ВВ довжина 40 см</t>
  </si>
  <si>
    <t>Гнучкий шланг, 1 / 2 "ВВ, довжина 50 см 4009220000</t>
  </si>
  <si>
    <t>Гнучкий шланг, 1 / 2" ВВ, довжина 30 см</t>
  </si>
  <si>
    <t>00-00005058</t>
  </si>
  <si>
    <t>Гратка вентиляційна пластик</t>
  </si>
  <si>
    <t>00-00005062</t>
  </si>
  <si>
    <t>Грунт концентрат 1:10 NOVA 1л</t>
  </si>
  <si>
    <t>00-00001875</t>
  </si>
  <si>
    <t>Грунт-емаль ПФ-012 Р сірий (кг)</t>
  </si>
  <si>
    <t>00-00005176</t>
  </si>
  <si>
    <t>Дверцята 100*100 ревізійні пластик</t>
  </si>
  <si>
    <t>00-00005175</t>
  </si>
  <si>
    <t>Дверцята 150*150 ревізійні пластик</t>
  </si>
  <si>
    <t>00-00005341</t>
  </si>
  <si>
    <t>Держак ринви ПВХ Profil 90 білий</t>
  </si>
  <si>
    <t>00-00005342</t>
  </si>
  <si>
    <t>Держак труби металевий L-160  90 білий</t>
  </si>
  <si>
    <t>00-00005366</t>
  </si>
  <si>
    <t>Диспенсер рушників</t>
  </si>
  <si>
    <t>00-00004867</t>
  </si>
  <si>
    <t>Дошка 20*100*6000</t>
  </si>
  <si>
    <t>Дріт з легованої сталі ER70S-6 ф1,0мм 5 кг</t>
  </si>
  <si>
    <t>Дріт з легованої сталі ER70S-6 ф1,2 мм 15 кг</t>
  </si>
  <si>
    <t>00-00005104</t>
  </si>
  <si>
    <t>Душова кабіна Lidz Wawel SC90*90.SAT.LOW.FR скло 4мм без піддона</t>
  </si>
  <si>
    <t>00-00005396</t>
  </si>
  <si>
    <t>Душова система</t>
  </si>
  <si>
    <t>00-00000735</t>
  </si>
  <si>
    <t>Електричний болер O "Profi VM 080 D400-1-M, 80 л,</t>
  </si>
  <si>
    <t>00-00000094</t>
  </si>
  <si>
    <t>Електричний водонагрівач O`Pro Slim PC 30, 30л</t>
  </si>
  <si>
    <t>00-00005264</t>
  </si>
  <si>
    <t>Ємність 1500л харчова</t>
  </si>
  <si>
    <t>З'єднувач PP-R D=20 mm. х1\2 Н сірий</t>
  </si>
  <si>
    <t>00-00005344</t>
  </si>
  <si>
    <t>З'єднувач ринви Profil 90 білий</t>
  </si>
  <si>
    <t>00-00005141</t>
  </si>
  <si>
    <t>З’єднання з амереканкою РР-R D=20 ммх1/2 В</t>
  </si>
  <si>
    <t>00-00005140</t>
  </si>
  <si>
    <t>З’єднання з амереканкою РР-R D=20 ммх1/2 Н</t>
  </si>
  <si>
    <t>00-00005371</t>
  </si>
  <si>
    <t>Заглушка 40х40</t>
  </si>
  <si>
    <t>Заглушка D=110 мм 3917400090</t>
  </si>
  <si>
    <t>00-00005057</t>
  </si>
  <si>
    <t>Захист від перенапруги D50</t>
  </si>
  <si>
    <t>00-00005184</t>
  </si>
  <si>
    <t>Змішувач  для умивальника, хром</t>
  </si>
  <si>
    <t>00-00004241</t>
  </si>
  <si>
    <t>Канал Д 100/1 1010</t>
  </si>
  <si>
    <t>00-00005035</t>
  </si>
  <si>
    <t>Килимок 80х120</t>
  </si>
  <si>
    <t>Клапан зворотній 1/2*</t>
  </si>
  <si>
    <t>00-00005025</t>
  </si>
  <si>
    <t>Клей монтажний, 3 кг</t>
  </si>
  <si>
    <t>Клей-піна, 860 мл</t>
  </si>
  <si>
    <t>00-00005047</t>
  </si>
  <si>
    <t>Клема з'єднувальна WGn-2</t>
  </si>
  <si>
    <t>00-00005048</t>
  </si>
  <si>
    <t>Клема з'єднувальна WGn-3</t>
  </si>
  <si>
    <t>00-00005049</t>
  </si>
  <si>
    <t>Клема з'єднувальна WGn-5</t>
  </si>
  <si>
    <t>00-00005340</t>
  </si>
  <si>
    <t>Коліно Profil 90 біле</t>
  </si>
  <si>
    <t>Комплект (гайка+ніпель) для місткості для води, 1" 3925908000</t>
  </si>
  <si>
    <t>00-00002340</t>
  </si>
  <si>
    <t>Комплект для підключення змішувача PP-R D=20 мм х1\2 сірий</t>
  </si>
  <si>
    <t>00-00005056</t>
  </si>
  <si>
    <t>Комплект для теплої підлоги №4</t>
  </si>
  <si>
    <t>00-00005138</t>
  </si>
  <si>
    <t>Комплект кріплення труб 104-112 мм</t>
  </si>
  <si>
    <t>00-00002505</t>
  </si>
  <si>
    <t>Комплект кріплення труб 31-37мм 1"</t>
  </si>
  <si>
    <t>00-00005376</t>
  </si>
  <si>
    <t>Комплект подовжувачів підведення змішувача</t>
  </si>
  <si>
    <t>00-00000259</t>
  </si>
  <si>
    <t>Кондиціонер Wild Wind WWT-AC-07H/KC</t>
  </si>
  <si>
    <t>00-00005050</t>
  </si>
  <si>
    <t>Коробка монтажна 65*45</t>
  </si>
  <si>
    <t>00-00005046</t>
  </si>
  <si>
    <t>Коробка розподільча 100х100х45</t>
  </si>
  <si>
    <t>Кран кульовий 3В 1/2", "метелик" 8481808100</t>
  </si>
  <si>
    <t>00-00005418</t>
  </si>
  <si>
    <t>Кран кульовий ПЕ затискний d25</t>
  </si>
  <si>
    <t>00-00000365</t>
  </si>
  <si>
    <t>Кріплення умивальника до стіни (з ексцентриками і болт.8х120мм )</t>
  </si>
  <si>
    <t>00-00005036</t>
  </si>
  <si>
    <t>Крісло чорне</t>
  </si>
  <si>
    <t>Куточок 90 PP-R D=20 mm сірий</t>
  </si>
  <si>
    <t>Лампа світлодіодна LED E27 15W 220</t>
  </si>
  <si>
    <t>Лист  8*1500*6000</t>
  </si>
  <si>
    <t>00-00005336</t>
  </si>
  <si>
    <t>Лійка ліва 90 біла</t>
  </si>
  <si>
    <t>00-00005337</t>
  </si>
  <si>
    <t>Лійка права 90 біла</t>
  </si>
  <si>
    <t>00-00005441</t>
  </si>
  <si>
    <t>Люк садовий 73х5 см</t>
  </si>
  <si>
    <t>00-00005189</t>
  </si>
  <si>
    <t>Металопластикова конструкція</t>
  </si>
  <si>
    <t>Муфта, PP-R, D=20 мм, сіра 3917400090</t>
  </si>
  <si>
    <t>00-00005182</t>
  </si>
  <si>
    <t>Насосна станція</t>
  </si>
  <si>
    <t>Ніпель латунний, 1\2"</t>
  </si>
  <si>
    <t>Обвідне коліно PP-R D=20 mm сірий</t>
  </si>
  <si>
    <t>Обігрівач керамічний TeploCeramic TC395 (беж)</t>
  </si>
  <si>
    <t>Олива для чотиритактних двигунів</t>
  </si>
  <si>
    <t>00-00004998</t>
  </si>
  <si>
    <t>Опромінювач бактерицидний</t>
  </si>
  <si>
    <t>Перехід ексентричний D=50/32 мм 3917400090</t>
  </si>
  <si>
    <t>00-00000555</t>
  </si>
  <si>
    <t>Перехід ексцентричний D=110/50 мм</t>
  </si>
  <si>
    <t>00-00005142</t>
  </si>
  <si>
    <t>Перехідник  D=25мм*1/2 B</t>
  </si>
  <si>
    <t>Перехідник латунний 3В 3\4* 1\2</t>
  </si>
  <si>
    <t>00-00005452</t>
  </si>
  <si>
    <t>Підп’ятник стелажу СТ Г-подібний пластиковий</t>
  </si>
  <si>
    <t>Піна монтажна Монтажник 500 мл</t>
  </si>
  <si>
    <t>00-00005156</t>
  </si>
  <si>
    <t>Пінополістерол (100мм) XPS ПСЕ-40 1,2х6 (уп 4шт)</t>
  </si>
  <si>
    <t>Плита OSB-3 15х1250*2500 (шт)</t>
  </si>
  <si>
    <t>00-00005183</t>
  </si>
  <si>
    <t>Плінтус</t>
  </si>
  <si>
    <t>00-00005087</t>
  </si>
  <si>
    <t>Поручень настінний 02.001-01</t>
  </si>
  <si>
    <t>00-00005086</t>
  </si>
  <si>
    <t>Поручень пристінний 500мм 3.005</t>
  </si>
  <si>
    <t>00-00005155</t>
  </si>
  <si>
    <t>Провід ПВС 3*4</t>
  </si>
  <si>
    <t>00-00005137</t>
  </si>
  <si>
    <t>Прокладка для унітазу D=90/110мм</t>
  </si>
  <si>
    <t>00-00005444</t>
  </si>
  <si>
    <t>Профіль АП 005  2,7 м</t>
  </si>
  <si>
    <t>00-00005365</t>
  </si>
  <si>
    <t>Профіль ПС-10 поліестер трапецієпод. РЕ 45*9003*АМ</t>
  </si>
  <si>
    <t>Профіль ПС-20 RAL\0,45\1145\7004\РЕ\ТУР(TEZCAN)\300(виробник сировини Туреччина)</t>
  </si>
  <si>
    <t>00-00004979</t>
  </si>
  <si>
    <t>Профіль стартовий 8мм (білий)</t>
  </si>
  <si>
    <t>Профіль трапецієпод. ПС-8 поліестер RAL 9006</t>
  </si>
  <si>
    <t>00-00001032</t>
  </si>
  <si>
    <t>Рамка 1-постова</t>
  </si>
  <si>
    <t>00-00005330</t>
  </si>
  <si>
    <t>Ринва біла 90 мм L=3 м</t>
  </si>
  <si>
    <t>Розетка з з/к, Schneider Electrik Asfora, біл.</t>
  </si>
  <si>
    <t>00-00005055</t>
  </si>
  <si>
    <t>Розетка подвійна з з/к</t>
  </si>
  <si>
    <t>Розетка стаціонарна наружна 7123 32А 220В 2Р+Е ІР44</t>
  </si>
  <si>
    <t>00-00000166</t>
  </si>
  <si>
    <t>Розчинник "White Spirit"</t>
  </si>
  <si>
    <t>л</t>
  </si>
  <si>
    <t>00-00005317</t>
  </si>
  <si>
    <t>Саморіз по металу зі свердлом  4,8*19</t>
  </si>
  <si>
    <t>00-00005051</t>
  </si>
  <si>
    <t>Світильник LED 36W/6500К 595*595</t>
  </si>
  <si>
    <t>Світильник LED L-PRS-1265-18 12W 6500К .накл.</t>
  </si>
  <si>
    <t>00-00005053</t>
  </si>
  <si>
    <t>Світильник аварійний</t>
  </si>
  <si>
    <t>00-00005054</t>
  </si>
  <si>
    <t>Світильник стінний</t>
  </si>
  <si>
    <t>00-00005052</t>
  </si>
  <si>
    <t>Світлодіод акс.Рамка накладного монтажу до LED Panel</t>
  </si>
  <si>
    <t>Сендвіч</t>
  </si>
  <si>
    <t>00-00005351</t>
  </si>
  <si>
    <t>Сповіщувач пожежний димовий СПД-3,4</t>
  </si>
  <si>
    <t>00-00005060</t>
  </si>
  <si>
    <t>Стелаж СТ 920х460х1820</t>
  </si>
  <si>
    <t>00-00001594</t>
  </si>
  <si>
    <t>Стіл</t>
  </si>
  <si>
    <t>Стілець Новий Стиль Jack</t>
  </si>
  <si>
    <t>00-00005394</t>
  </si>
  <si>
    <t>Столик маніпуляційний СТ-М</t>
  </si>
  <si>
    <t>00-00005570</t>
  </si>
  <si>
    <t>Столик сповивальний СПЛ з матрацом</t>
  </si>
  <si>
    <t>00-00005428</t>
  </si>
  <si>
    <t>Стрічка малярна , 38мм*50м</t>
  </si>
  <si>
    <t>Стрічка малярна, 48мм*20м</t>
  </si>
  <si>
    <t>00-00005136</t>
  </si>
  <si>
    <t>Трійник D=32 мм, 87"30' 3917400090</t>
  </si>
  <si>
    <t>Трійник D=50 мм, 87"30' 3917400090</t>
  </si>
  <si>
    <t>Трійник PP-R D=20 mm. сірий</t>
  </si>
  <si>
    <t>Трійник PP-R D=20 mm. х1\2 Н сірий</t>
  </si>
  <si>
    <t>Трійник редукційний D=110-50 мм, 87° 30 ' 3917400090</t>
  </si>
  <si>
    <t>00-00005335</t>
  </si>
  <si>
    <t>Труба водостічна 75 мм L=3 м біла</t>
  </si>
  <si>
    <t>00-00005131</t>
  </si>
  <si>
    <t>Труба поліпропіленова каналізаційна d=32  мм І=1000 мм</t>
  </si>
  <si>
    <t>00-00005129</t>
  </si>
  <si>
    <t>Труба поліпропіленова каналізаційна d=32  мм І=2000 мм</t>
  </si>
  <si>
    <t>00-00005130</t>
  </si>
  <si>
    <t>Труба поліпропіленова каналізаційна d=32  мм І=500 мм</t>
  </si>
  <si>
    <t>Труба поліпропіленова, PP-R/F, RN 20бар, 20 мм сіра</t>
  </si>
  <si>
    <t>00-00005350</t>
  </si>
  <si>
    <t>Труба поліпропіленова, каналізаційна, d=50 мм, l=500 мм</t>
  </si>
  <si>
    <t>00-00004988</t>
  </si>
  <si>
    <t>Тумба мобільна 40,6х42,3х58,4</t>
  </si>
  <si>
    <t>00-00005145</t>
  </si>
  <si>
    <t>Умивальник</t>
  </si>
  <si>
    <t>00-00000960</t>
  </si>
  <si>
    <t>Унітаз-Компакт підлоговий</t>
  </si>
  <si>
    <t>00-00005422</t>
  </si>
  <si>
    <t>Хомут для врізки 50х1</t>
  </si>
  <si>
    <t>Хомут для труб  PP-R одинарний D=20 mm</t>
  </si>
  <si>
    <t>00-00005059</t>
  </si>
  <si>
    <t>Шафа для одягу ШО-300/1</t>
  </si>
  <si>
    <t>00-00000260</t>
  </si>
  <si>
    <t>Шафа ШМ-М</t>
  </si>
  <si>
    <t>00-00005395</t>
  </si>
  <si>
    <t>Шафа ШМ-М-М</t>
  </si>
  <si>
    <t>Шина нульова 6*9</t>
  </si>
  <si>
    <t>00-00004852</t>
  </si>
  <si>
    <t>Шпилька  М24 DIN 975 ЦБ</t>
  </si>
  <si>
    <t>00-00004851</t>
  </si>
  <si>
    <t>Шпилька  М48 DIN975</t>
  </si>
  <si>
    <t>Шуруп 3,5*25 пкр</t>
  </si>
  <si>
    <t>Шуруп г/к по дереву 3,5*35 мм</t>
  </si>
  <si>
    <t>00-00005045</t>
  </si>
  <si>
    <t>Щиток пластик. 4 мод.зовн.устан.</t>
  </si>
  <si>
    <t>00-00005440</t>
  </si>
  <si>
    <t>Суміш бетонна 25кг</t>
  </si>
  <si>
    <t>Лінолеум на стіни</t>
  </si>
  <si>
    <t>Покриття з ПВХ (підлога лінолеум)</t>
  </si>
  <si>
    <t>Онікс 4.8*195</t>
  </si>
  <si>
    <t>Заклепка біла</t>
  </si>
  <si>
    <t>Клей на стіни (13 кг)</t>
  </si>
  <si>
    <t>Грунт універсальний (10 кг)</t>
  </si>
  <si>
    <t>Лінолеум (також підлога)</t>
  </si>
  <si>
    <t>00-00005670</t>
  </si>
  <si>
    <t>Пінопласт 10см (1м*0,5м)</t>
  </si>
  <si>
    <t>00-00004059</t>
  </si>
  <si>
    <t>Труба 40х20х3 мм; ст. 1-3пс; 6 м</t>
  </si>
  <si>
    <t>00-00005567</t>
  </si>
  <si>
    <t>Стільці для відвідувачів в коридор (потрійні)</t>
  </si>
  <si>
    <t>00-00005853</t>
  </si>
  <si>
    <t>Кріплення для змішувача</t>
  </si>
  <si>
    <t>00-00005419</t>
  </si>
  <si>
    <t>Муфта ПЕ 25*1" З</t>
  </si>
  <si>
    <t>00-00005848</t>
  </si>
  <si>
    <t>Стелаж СТ -4/1 М уп</t>
  </si>
  <si>
    <t>00000019664</t>
  </si>
  <si>
    <t>00-00005871</t>
  </si>
  <si>
    <t xml:space="preserve">Біта  РZ2  50мм </t>
  </si>
  <si>
    <t>00-00000515</t>
  </si>
  <si>
    <t>Біта РZ3 25мм Bosch fhn 2608521223</t>
  </si>
  <si>
    <t>00000013977</t>
  </si>
  <si>
    <t xml:space="preserve">Біта Т25*25 мм  </t>
  </si>
  <si>
    <t>00000002475</t>
  </si>
  <si>
    <t>00000004302</t>
  </si>
  <si>
    <t>Вилка каучукова з зазем.</t>
  </si>
  <si>
    <t>00000001646</t>
  </si>
  <si>
    <t>Вилка кутова</t>
  </si>
  <si>
    <t>00000004609</t>
  </si>
  <si>
    <t>00000018054</t>
  </si>
  <si>
    <t>Вилка шт. з з/к кутова ОМЕГА ІР44 16А</t>
  </si>
  <si>
    <t>00000002140</t>
  </si>
  <si>
    <t>00000013492</t>
  </si>
  <si>
    <t>00000016236</t>
  </si>
  <si>
    <t>00000003164</t>
  </si>
  <si>
    <t>00-00000642</t>
  </si>
  <si>
    <t>Гніздо каучукове штепсельне з/з</t>
  </si>
  <si>
    <t>00-00005780</t>
  </si>
  <si>
    <t>Головка магнитна М10 65мм</t>
  </si>
  <si>
    <t>00-00005781</t>
  </si>
  <si>
    <t>Головка магнитна М8 65мм</t>
  </si>
  <si>
    <t>00000011025</t>
  </si>
  <si>
    <t>Головка шестигранна 24мм,1/2</t>
  </si>
  <si>
    <t xml:space="preserve">Губка абразивна шліфувальна Р120 100*68*27мм </t>
  </si>
  <si>
    <t>00000016608</t>
  </si>
  <si>
    <t xml:space="preserve">Губка кухонка </t>
  </si>
  <si>
    <t>00-00005825</t>
  </si>
  <si>
    <t>Диск пиляльний 185/30/2,2мм</t>
  </si>
  <si>
    <t>00000017444</t>
  </si>
  <si>
    <t>00-00005858</t>
  </si>
  <si>
    <t>Дріт зварюв.обміднений 1 мм, 5 кг</t>
  </si>
  <si>
    <t>00000013992</t>
  </si>
  <si>
    <t>Дріт зварюв.обміднений 1,2 мм, 15 кг</t>
  </si>
  <si>
    <t>00000005874</t>
  </si>
  <si>
    <t xml:space="preserve">Дріт стал.н/в терм/обр д.1 мм </t>
  </si>
  <si>
    <t>00000019293</t>
  </si>
  <si>
    <t>З'єднувач</t>
  </si>
  <si>
    <t>00-00005824</t>
  </si>
  <si>
    <t>З’єднання швидкознімне для шланга 6мм</t>
  </si>
  <si>
    <t>00-00002001</t>
  </si>
  <si>
    <t xml:space="preserve">Заклепка 4,0*10 відривна плоска гол </t>
  </si>
  <si>
    <t>00000014264</t>
  </si>
  <si>
    <t>Заклепник мет.зі змінними головками</t>
  </si>
  <si>
    <t>00000003426</t>
  </si>
  <si>
    <t>00000017187</t>
  </si>
  <si>
    <t>00000003161</t>
  </si>
  <si>
    <t>00-00005777</t>
  </si>
  <si>
    <t xml:space="preserve">Зєднання швидкознімне латунне 1/4" </t>
  </si>
  <si>
    <t>00000001427</t>
  </si>
  <si>
    <t>00000008018</t>
  </si>
  <si>
    <t xml:space="preserve">Кельма </t>
  </si>
  <si>
    <t>00000007110</t>
  </si>
  <si>
    <t>00-00005859</t>
  </si>
  <si>
    <t>Коронка біметалева  ф105 мм</t>
  </si>
  <si>
    <t>00-00005860</t>
  </si>
  <si>
    <t>Коронка біметалева  ф54 мм</t>
  </si>
  <si>
    <t>00-00005861</t>
  </si>
  <si>
    <t>Коронка біметалева  ф83 мм</t>
  </si>
  <si>
    <t>00-00005529</t>
  </si>
  <si>
    <t>Коронка біметалева 50мм</t>
  </si>
  <si>
    <t>00-00000517</t>
  </si>
  <si>
    <t>Коронка біметалева HSS 152мм</t>
  </si>
  <si>
    <t>00-00001613</t>
  </si>
  <si>
    <t>Круг відрізний  355*3,5*25,4</t>
  </si>
  <si>
    <t>00000002748</t>
  </si>
  <si>
    <t>00000007010</t>
  </si>
  <si>
    <t>00-00005089</t>
  </si>
  <si>
    <t>Круг відрізний Титан Абразив 180*1,0*22</t>
  </si>
  <si>
    <t xml:space="preserve">Круг пелюстковий 125х22,2 Р60 Т27 </t>
  </si>
  <si>
    <t>00-00004799</t>
  </si>
  <si>
    <t>Леза до ножів, 25 мм, 10 шт</t>
  </si>
  <si>
    <t>00000017925</t>
  </si>
  <si>
    <t>00000006552</t>
  </si>
  <si>
    <t>Маркер</t>
  </si>
  <si>
    <t>00000006533</t>
  </si>
  <si>
    <t>00000016478</t>
  </si>
  <si>
    <t>Маркер промисловий, білий</t>
  </si>
  <si>
    <t>00000003937</t>
  </si>
  <si>
    <t>00000005195</t>
  </si>
  <si>
    <t xml:space="preserve">Мітла </t>
  </si>
  <si>
    <t>00000002495</t>
  </si>
  <si>
    <t>Мішок білий</t>
  </si>
  <si>
    <t>00000014329</t>
  </si>
  <si>
    <t>Молоток гумовий</t>
  </si>
  <si>
    <t>00-00005778</t>
  </si>
  <si>
    <t>Накінечник 3/8</t>
  </si>
  <si>
    <t>00000011005</t>
  </si>
  <si>
    <t>Наколінники захисні</t>
  </si>
  <si>
    <t>00-00005774</t>
  </si>
  <si>
    <t>Насадка торцева 6-гр.магнітна М10х48мм 1/4"</t>
  </si>
  <si>
    <t>00000021325</t>
  </si>
  <si>
    <t>00000014532</t>
  </si>
  <si>
    <t>00-00005374</t>
  </si>
  <si>
    <t>Олівці столярні</t>
  </si>
  <si>
    <t>00000001947</t>
  </si>
  <si>
    <t>00000003165</t>
  </si>
  <si>
    <t>пакети для сміття</t>
  </si>
  <si>
    <t>00-00005534</t>
  </si>
  <si>
    <t>Пальник МВ EVO PRO 36_5,00 м_КZ-2</t>
  </si>
  <si>
    <t>00000002496</t>
  </si>
  <si>
    <t>00000002678</t>
  </si>
  <si>
    <t>00-00005779</t>
  </si>
  <si>
    <t>Перехідник   1/4" на штирьову частину швидкоз. з’єднання</t>
  </si>
  <si>
    <t>00-00005883</t>
  </si>
  <si>
    <t>Пилка для реноватора 3 шт</t>
  </si>
  <si>
    <t>00-00004857</t>
  </si>
  <si>
    <t>Пилка кільцева 67 мм</t>
  </si>
  <si>
    <t>00-00005776</t>
  </si>
  <si>
    <t>Пилка по дереву 450 мм</t>
  </si>
  <si>
    <t>00-00005641</t>
  </si>
  <si>
    <t>пильне полотно 26120</t>
  </si>
  <si>
    <t>00000002302</t>
  </si>
  <si>
    <t>Пістолет для піни монтажної</t>
  </si>
  <si>
    <t>00000004972</t>
  </si>
  <si>
    <t>00000004534</t>
  </si>
  <si>
    <t>Полотно для е/лобзика</t>
  </si>
  <si>
    <t>00-00005882</t>
  </si>
  <si>
    <t>Полотно для реноватора</t>
  </si>
  <si>
    <t>00000010479</t>
  </si>
  <si>
    <t>00000010881</t>
  </si>
  <si>
    <t>00000014271</t>
  </si>
  <si>
    <t>00000003662</t>
  </si>
  <si>
    <t xml:space="preserve">Рукавиці трикотажні </t>
  </si>
  <si>
    <t>00000013138</t>
  </si>
  <si>
    <t>Рукавиці трикотажні  ХБ/ПЕ з ПВХ візерунком, шт</t>
  </si>
  <si>
    <t>00000002450</t>
  </si>
  <si>
    <t xml:space="preserve">Рукавиці, пар. </t>
  </si>
  <si>
    <t xml:space="preserve">Свердло  пір"єве пор дереву  22х152мм </t>
  </si>
  <si>
    <t>00000017922</t>
  </si>
  <si>
    <t>00-00001985</t>
  </si>
  <si>
    <t>Свердло к/х 32,3мм</t>
  </si>
  <si>
    <t>00-00005431</t>
  </si>
  <si>
    <t>Свердло конічне 6-38 L=105 мм</t>
  </si>
  <si>
    <t>00-00005068</t>
  </si>
  <si>
    <t>Свердло по бетону 65 мм</t>
  </si>
  <si>
    <t>00-00003540</t>
  </si>
  <si>
    <t xml:space="preserve">Свердло по металу  </t>
  </si>
  <si>
    <t>00000020709</t>
  </si>
  <si>
    <t>Свердло по металу  3,5х70мм</t>
  </si>
  <si>
    <t>00000013182</t>
  </si>
  <si>
    <t>Свердло по металу  4,0х75мм</t>
  </si>
  <si>
    <t>00000013183</t>
  </si>
  <si>
    <t>00000022391</t>
  </si>
  <si>
    <t xml:space="preserve">Свердло по металу 10,0мм титан </t>
  </si>
  <si>
    <t>00-00005766</t>
  </si>
  <si>
    <t xml:space="preserve">Свердло по металу 3,0мм </t>
  </si>
  <si>
    <t xml:space="preserve">Свердло по металу 4,0мм </t>
  </si>
  <si>
    <t>00-00000463</t>
  </si>
  <si>
    <t>Свердло по металу 5,0 HSS Cobalt</t>
  </si>
  <si>
    <t>00-00003197</t>
  </si>
  <si>
    <t>Свердло по металу 8,5х117 мм</t>
  </si>
  <si>
    <t>00-00005873</t>
  </si>
  <si>
    <t>Свердло по металу 8х117 мм</t>
  </si>
  <si>
    <t>00-00000510</t>
  </si>
  <si>
    <t>Свердло по металу Р9 кл В 14мм</t>
  </si>
  <si>
    <t>00000019897</t>
  </si>
  <si>
    <t>Свердло ступінчате по металу Werk 4-32мм</t>
  </si>
  <si>
    <t>00000017482</t>
  </si>
  <si>
    <t>Свердло ступневе 4-32 мм</t>
  </si>
  <si>
    <t>00-00005864</t>
  </si>
  <si>
    <t xml:space="preserve">Сверло по металу 40,0 мм </t>
  </si>
  <si>
    <t>00000006388</t>
  </si>
  <si>
    <t>Скло для маски зварювальника 110*90</t>
  </si>
  <si>
    <t>00000021892</t>
  </si>
  <si>
    <t>00-00005543</t>
  </si>
  <si>
    <t>Скоба до степлера 25мм 5000шт</t>
  </si>
  <si>
    <t>00-00005542</t>
  </si>
  <si>
    <t>Скоба стоярна -25х3 (3 тис шт)</t>
  </si>
  <si>
    <t>00000004219</t>
  </si>
  <si>
    <t>Скотч  300 м</t>
  </si>
  <si>
    <t>00000004211</t>
  </si>
  <si>
    <t>00000013244</t>
  </si>
  <si>
    <t>00-00005669</t>
  </si>
  <si>
    <t>Спіраль подаюча (жовта) 2,0/4,5/540</t>
  </si>
  <si>
    <t>00000004117</t>
  </si>
  <si>
    <t>00-00005874</t>
  </si>
  <si>
    <t>Стрічка малярна , 48мм*40м</t>
  </si>
  <si>
    <t>00-00005877</t>
  </si>
  <si>
    <t>Стрічка малярна , 50мм*20м</t>
  </si>
  <si>
    <t>00000005542</t>
  </si>
  <si>
    <t>00000019586</t>
  </si>
  <si>
    <t>Стяжний ремінь 3т 6м з замком</t>
  </si>
  <si>
    <t>00-00005032</t>
  </si>
  <si>
    <t xml:space="preserve">Шліфувальна губка </t>
  </si>
  <si>
    <t>00000018283</t>
  </si>
  <si>
    <t>Виготовлення  " Модульна лікарня "ВООЗ мала"  (основне списання згідно калькуляції) №3</t>
  </si>
  <si>
    <t>Виготовлення  " Модульна лікарня "ВООЗ мала" №3</t>
  </si>
  <si>
    <t>00-00005945</t>
  </si>
  <si>
    <t>Кільце бетонне з днищем КЦД-15-9</t>
  </si>
  <si>
    <t>00000017652</t>
  </si>
  <si>
    <t>Плита перекриття 1ПП 15-1</t>
  </si>
  <si>
    <t>00-00005944</t>
  </si>
  <si>
    <t>Кільце бетонне КС-15-9</t>
  </si>
  <si>
    <t>00-00000371</t>
  </si>
  <si>
    <t>Двері металопластикові</t>
  </si>
  <si>
    <t>00-00005969</t>
  </si>
  <si>
    <t>Коліно Profil 75 біле</t>
  </si>
  <si>
    <t>00-00003602</t>
  </si>
  <si>
    <t xml:space="preserve">Кондиціонер </t>
  </si>
  <si>
    <t>00000022343</t>
  </si>
  <si>
    <t xml:space="preserve">Пінополістерол (50мм)  1,0х5 </t>
  </si>
  <si>
    <t>00-00005973</t>
  </si>
  <si>
    <t>00000021537</t>
  </si>
  <si>
    <t>00000006683</t>
  </si>
  <si>
    <t>00-00000273</t>
  </si>
  <si>
    <t>00-00005838</t>
  </si>
  <si>
    <t>Профіль трапецієпод. ПС-8 поліестер RAL 9003</t>
  </si>
  <si>
    <t>Плівка гідроізоляційна підпокрів 75кв м</t>
  </si>
  <si>
    <t>Плівка пароізоляційна срібна, 75 м2</t>
  </si>
  <si>
    <t>Столик сповивальний СП-П</t>
  </si>
  <si>
    <t>Щебінь 5-20</t>
  </si>
  <si>
    <t>00-00005072</t>
  </si>
  <si>
    <t>Клей для ковроліну та ліноліум(13 кг)</t>
  </si>
  <si>
    <t>00-00005972</t>
  </si>
  <si>
    <t>00-00005019</t>
  </si>
  <si>
    <t>00-00005579</t>
  </si>
  <si>
    <t>00-00005939</t>
  </si>
  <si>
    <t>№4</t>
  </si>
  <si>
    <t>№5</t>
  </si>
  <si>
    <t>00-00002217</t>
  </si>
  <si>
    <t xml:space="preserve">Грунт </t>
  </si>
  <si>
    <t>00-00005769</t>
  </si>
  <si>
    <t>Профіль трапецієпод. ПС-8</t>
  </si>
  <si>
    <t>00-00005710</t>
  </si>
  <si>
    <t>Душовий бокс 90х90х215</t>
  </si>
  <si>
    <t>Вогнегасник порошковий ОП3 3 кг</t>
  </si>
  <si>
    <t>00-00006013</t>
  </si>
  <si>
    <t>Панель ПВХ 250ммх7ммх6000мм</t>
  </si>
  <si>
    <t>00-00004908</t>
  </si>
  <si>
    <t>Гвинт 3,9*25</t>
  </si>
  <si>
    <t>Гвинт 4,8*19 покрівельний</t>
  </si>
  <si>
    <t>Труба ПВХ гнучка гофр. д.32 мм, стандартна з протяжкою, сірий колір</t>
  </si>
  <si>
    <t>Клей-піна монтажна , 860 мл</t>
  </si>
  <si>
    <t>00-00006077</t>
  </si>
  <si>
    <t>Заглушка для профільної труби 20*40</t>
  </si>
  <si>
    <t>00-00005847</t>
  </si>
  <si>
    <t>Заглушка для профільної труби 40*40</t>
  </si>
  <si>
    <t>00-00004766</t>
  </si>
  <si>
    <t>Стартова смуга ПВХ біла 8мм</t>
  </si>
  <si>
    <t>Стрічка бутил-каучукова К2</t>
  </si>
  <si>
    <t>Виготовлення  " Модульна лікарня "ВООЗ мала"  (основне списання згідно калькуляції) №5</t>
  </si>
  <si>
    <t>Виготовлення  " Модульна лікарня "ВООЗ мала" №5</t>
  </si>
  <si>
    <t>Виготовлення  " Модульна лікарня "ВООЗ мала"  (основне списання згідно калькуляції) №4</t>
  </si>
  <si>
    <t>Адаптер 1 1/4 * 1/2 GAS</t>
  </si>
  <si>
    <t>00-00006022</t>
  </si>
  <si>
    <t>Біта РZ 2*50 мм</t>
  </si>
  <si>
    <t>Біта РН 2*50 мм</t>
  </si>
  <si>
    <t>Валік 25 см</t>
  </si>
  <si>
    <t>Ванночка для валика</t>
  </si>
  <si>
    <t>Вилка каучук В16-004</t>
  </si>
  <si>
    <t>00-00005862</t>
  </si>
  <si>
    <t>Вилка каучук з/ кутова  16А</t>
  </si>
  <si>
    <t>Губка кухонка</t>
  </si>
  <si>
    <t>00-00006118</t>
  </si>
  <si>
    <t>З’єднання кабельне тато  35-50мм(2 шт)</t>
  </si>
  <si>
    <t>пач</t>
  </si>
  <si>
    <t>00-00000091</t>
  </si>
  <si>
    <t>Завихрювач 105А</t>
  </si>
  <si>
    <t>00-00005546</t>
  </si>
  <si>
    <t>Колодка 3 гнізда з кришкою</t>
  </si>
  <si>
    <t>00-00005545</t>
  </si>
  <si>
    <t>Колодка каучук 2Р+РЕ з зах. кришками 16А</t>
  </si>
  <si>
    <t>00-00000177</t>
  </si>
  <si>
    <t>Крейда маркувальна воскова, біла, 2 шт.</t>
  </si>
  <si>
    <t>Круг відрізний  125*1,0*22,23</t>
  </si>
  <si>
    <t>Круг відрізний по металу 355*3,1*25,4</t>
  </si>
  <si>
    <t>00-00005993</t>
  </si>
  <si>
    <t>Круг пелюст 125*22</t>
  </si>
  <si>
    <t>Кутник столярний 300 мм алюм.</t>
  </si>
  <si>
    <t>Кюветка для розкочування валика 310х340мм</t>
  </si>
  <si>
    <t>00-00005872</t>
  </si>
  <si>
    <t>Ланцюг 3/8" 1,3мм 57зв</t>
  </si>
  <si>
    <t>Леза 18 мм</t>
  </si>
  <si>
    <t>Леза 25 мм</t>
  </si>
  <si>
    <t>00-00000244</t>
  </si>
  <si>
    <t>Леза змінні 18 мм Hardy 0550-201018 уп 10шт.</t>
  </si>
  <si>
    <t>Лопата штикова</t>
  </si>
  <si>
    <t>00-00005786</t>
  </si>
  <si>
    <t>Магніт для сварки трапеції</t>
  </si>
  <si>
    <t>Міксер</t>
  </si>
  <si>
    <t>Ніж 18мм</t>
  </si>
  <si>
    <t>Ніж сегментний 25 мм</t>
  </si>
  <si>
    <t>Ніж, 18мм, висувне лезо, металева направляюча, гвинтовий фіксатор леза МТХ</t>
  </si>
  <si>
    <t>00-00003170</t>
  </si>
  <si>
    <t>Олівець будівельний 180 мм</t>
  </si>
  <si>
    <t>Пензель Англійський 2"</t>
  </si>
  <si>
    <t>00-00003694</t>
  </si>
  <si>
    <t>Пензель плоский "37" 30мм</t>
  </si>
  <si>
    <t>Пензель-макловиця</t>
  </si>
  <si>
    <t>00-00000584</t>
  </si>
  <si>
    <t>Пензель-макловиця 30*90мм</t>
  </si>
  <si>
    <t>00-00006026</t>
  </si>
  <si>
    <t>Пензель-макловиця 50*180</t>
  </si>
  <si>
    <t>Пензель-макловиця 50х150 мм Vago 199-150</t>
  </si>
  <si>
    <t>Пензлик 1,5 тип "Англійська"</t>
  </si>
  <si>
    <t>Пістолет для силікону</t>
  </si>
  <si>
    <t>Правило трапец.200 см</t>
  </si>
  <si>
    <t>00-00005962</t>
  </si>
  <si>
    <t>Ракля 150* 40</t>
  </si>
  <si>
    <t>Рівень спирт. 1000 мм капс 45°90°180°</t>
  </si>
  <si>
    <t>Рукавиці зварювальника "Крага"</t>
  </si>
  <si>
    <t>Рукавиці латексні</t>
  </si>
  <si>
    <t>Рукавиці нітрилові, пар</t>
  </si>
  <si>
    <t>Рукавиці трикотажні</t>
  </si>
  <si>
    <t>Рукавиці, пар.</t>
  </si>
  <si>
    <t>Рукавички синтетичні чорні з зеленим спіненим латексним покриттям 3/4 69529 "б"</t>
  </si>
  <si>
    <t>Рукавички чорн.з синьою точкою</t>
  </si>
  <si>
    <t>00-00001004</t>
  </si>
  <si>
    <t>Рулетка  3 м*19 мм</t>
  </si>
  <si>
    <t>Рулетка  5 м*19 мм</t>
  </si>
  <si>
    <t>Рулетка  5 м*25 мм</t>
  </si>
  <si>
    <t>00-00005863</t>
  </si>
  <si>
    <t>Рулетка  8*25 гумовий корпус</t>
  </si>
  <si>
    <t>Рулетка 8м*25мм магнітна</t>
  </si>
  <si>
    <t>00-00000636</t>
  </si>
  <si>
    <t>Рулетка нейлон прогумовий корпус 7,5*25мм</t>
  </si>
  <si>
    <t>Ручка для валика, d8 мм, 250 мм</t>
  </si>
  <si>
    <t>Свердло  пір"єве пор дереву  22х152мм</t>
  </si>
  <si>
    <t>00-00005773</t>
  </si>
  <si>
    <t>Свердло для дерева перьевое 12 х160</t>
  </si>
  <si>
    <t>00-00005782</t>
  </si>
  <si>
    <t>Свердло для дерева перьевое 14 х160</t>
  </si>
  <si>
    <t>00-00005784</t>
  </si>
  <si>
    <t>Свердло для дерева перьевое 22 х160</t>
  </si>
  <si>
    <t>00-00005370</t>
  </si>
  <si>
    <t>Свердло для дерева перьевое 25 х152</t>
  </si>
  <si>
    <t>00-00005783</t>
  </si>
  <si>
    <t>Свердло для дерева перьевое 25 х160</t>
  </si>
  <si>
    <t>00-00005487</t>
  </si>
  <si>
    <t>Свердло для дерева перьевое 35 х152</t>
  </si>
  <si>
    <t>00-00005523</t>
  </si>
  <si>
    <t>Свердло к/х 3,2мм</t>
  </si>
  <si>
    <t>Свердло по дереву плоскофрезерне 22*152 WERK</t>
  </si>
  <si>
    <t>00-00005951</t>
  </si>
  <si>
    <t>Свердло по металу  2,0мм</t>
  </si>
  <si>
    <t>00-00005397</t>
  </si>
  <si>
    <t>Свердло спіральне по дереву YATO 10х191мм</t>
  </si>
  <si>
    <t>00-00000545</t>
  </si>
  <si>
    <t>Свердло спіральне по дереву YATO 12х191мм</t>
  </si>
  <si>
    <t>00-00000543</t>
  </si>
  <si>
    <t>Свердло спіральне по дереву YATO 12х400мм</t>
  </si>
  <si>
    <t>Сверло HSS  5 мм подовж.</t>
  </si>
  <si>
    <t>Сверло HSS  6*139 подовж.</t>
  </si>
  <si>
    <t>00-00006006</t>
  </si>
  <si>
    <t>Сверло по металу HSS 10,0 мм*182</t>
  </si>
  <si>
    <t>Силікон універс.прозорий  280 мл</t>
  </si>
  <si>
    <t>Сопло 105 А</t>
  </si>
  <si>
    <t>00-00005991</t>
  </si>
  <si>
    <t>Сопло конічне D12</t>
  </si>
  <si>
    <t>Сопло конічне D16</t>
  </si>
  <si>
    <t>Сопло конічне D16,0/84,0 мм</t>
  </si>
  <si>
    <t>Степлер STANLEY 6-TR150L</t>
  </si>
  <si>
    <t>Стрічка паперова клеюча 48 мм</t>
  </si>
  <si>
    <t>00-00005541</t>
  </si>
  <si>
    <t>Фал поліпропіленовий</t>
  </si>
  <si>
    <t>Швабра</t>
  </si>
  <si>
    <t>Шпатель 100 мм</t>
  </si>
  <si>
    <t>Шпатель малярний</t>
  </si>
  <si>
    <t>Шпатель нерж. пласт. ручка 450 мм</t>
  </si>
  <si>
    <t>Шпахля нерж.сталь 100</t>
  </si>
  <si>
    <t>00-00000836</t>
  </si>
  <si>
    <t>Шпахля пластикова</t>
  </si>
  <si>
    <t>Виготовлення  " Модульна лікарня "ВООЗ мала" №6</t>
  </si>
  <si>
    <t>Виготовлення  " Модульна лікарня "ВООЗ мала"  (основне списання згідно калькуляції) №6</t>
  </si>
  <si>
    <t>Олива моторна</t>
  </si>
  <si>
    <t>00-00005561</t>
  </si>
  <si>
    <t>Диспенсер рідкого мила</t>
  </si>
  <si>
    <t>Болт М16*90  DIN 933 з шест.голівкою цб</t>
  </si>
  <si>
    <t>00-00004993</t>
  </si>
  <si>
    <t>Гвинт 4,8х60</t>
  </si>
  <si>
    <t>00-00005423</t>
  </si>
  <si>
    <t>З'єднувач труби Profil 90 білий</t>
  </si>
  <si>
    <t>00-00005924</t>
  </si>
  <si>
    <t>Дошка обрізна 20*100 (6 м)</t>
  </si>
  <si>
    <t>Заклепка 4,0*10 п=50 (10000) RAL9010</t>
  </si>
  <si>
    <t>Клей для ковроліну та лінолеум 13кг</t>
  </si>
  <si>
    <t>00-00006147</t>
  </si>
  <si>
    <t>Коліно каналізаційне зовнішнє  110х87 Valrom</t>
  </si>
  <si>
    <t>Труба ПЕ ф25</t>
  </si>
  <si>
    <t>00-00006990</t>
  </si>
  <si>
    <t>EKOBOARD 100*610*1250 мм 12.2 м2 1/36</t>
  </si>
  <si>
    <t>00-00006469</t>
  </si>
  <si>
    <t>EKOBOARD 50*610*1250 мм 12.2 м2 1/36</t>
  </si>
  <si>
    <t>Болт М24*200</t>
  </si>
  <si>
    <t>00-00007152</t>
  </si>
  <si>
    <t>Вилка портативна 32А</t>
  </si>
  <si>
    <t>00-00007022</t>
  </si>
  <si>
    <t>Відро з кришкою 20л</t>
  </si>
  <si>
    <t>Гайка М16</t>
  </si>
  <si>
    <t>Гайка М24  DIN 934</t>
  </si>
  <si>
    <t>Гайка М48 DIN934</t>
  </si>
  <si>
    <t>00-00007163</t>
  </si>
  <si>
    <t>Гнучка труба 1 1/2х40/50</t>
  </si>
  <si>
    <t>00-00000959</t>
  </si>
  <si>
    <t>00-00007298</t>
  </si>
  <si>
    <t>Диван 1200х630х700 мм</t>
  </si>
  <si>
    <t>00-00006165</t>
  </si>
  <si>
    <t>Електрична поверхня</t>
  </si>
  <si>
    <t>00-00006166</t>
  </si>
  <si>
    <t>00-00007190</t>
  </si>
  <si>
    <t>Коробка під автомат накл.36 SU FAR(F96)(10)</t>
  </si>
  <si>
    <t>Кран вентильний для сантехприладів 1/2 х3/4 ALBERTONI</t>
  </si>
  <si>
    <t>00-00006464</t>
  </si>
  <si>
    <t>Кухня</t>
  </si>
  <si>
    <t>00-00007135</t>
  </si>
  <si>
    <t>Лінолеум</t>
  </si>
  <si>
    <t>00-00006019</t>
  </si>
  <si>
    <t>Люк 73*5</t>
  </si>
  <si>
    <t>00-00007177</t>
  </si>
  <si>
    <t>Матрац 800*2000*200</t>
  </si>
  <si>
    <t>00-00007161</t>
  </si>
  <si>
    <t>00-00006116</t>
  </si>
  <si>
    <t>Пральна машина</t>
  </si>
  <si>
    <t>00-00006470</t>
  </si>
  <si>
    <t>00-00007136</t>
  </si>
  <si>
    <t>Стіл обідній</t>
  </si>
  <si>
    <t>00-00006175</t>
  </si>
  <si>
    <t>Стілець обідній</t>
  </si>
  <si>
    <t>Суміш бетонна 25 кг</t>
  </si>
  <si>
    <t>00-00006164</t>
  </si>
  <si>
    <t>Шайба М16  DIN125 цб</t>
  </si>
  <si>
    <t>00-00006810</t>
  </si>
  <si>
    <t>Шайба пруж М16  DIN127 цб</t>
  </si>
  <si>
    <t>00-00007239</t>
  </si>
  <si>
    <t>Шафа для одягу ШО-300/1 -2</t>
  </si>
  <si>
    <t>00-00007299</t>
  </si>
  <si>
    <t>Шафа розпашна 900х2045х500</t>
  </si>
  <si>
    <t>Диспенсер туалетного папіру</t>
  </si>
  <si>
    <t>00-00007405</t>
  </si>
  <si>
    <t>Лавка зі спинкою</t>
  </si>
  <si>
    <t>00-00007459</t>
  </si>
  <si>
    <t>00-00007460</t>
  </si>
  <si>
    <t>00-00007461</t>
  </si>
  <si>
    <t>00-00007462</t>
  </si>
  <si>
    <t>00-00007463</t>
  </si>
  <si>
    <t>00-00007464</t>
  </si>
  <si>
    <t>00-00007465</t>
  </si>
  <si>
    <t>00-00006167</t>
  </si>
  <si>
    <t>Фланець пластиковий ВЕНТС ФК 125 з квадратною поастиною</t>
  </si>
  <si>
    <t>Коліно з’єднувальне 90 ВЕНТС 204х60/d150 823</t>
  </si>
  <si>
    <t>Коліно горизонтальне 90 ВЕНТС 204х60</t>
  </si>
  <si>
    <t>Канал плоский ВЕНТС 204х60/2</t>
  </si>
  <si>
    <t>З’єднувач ВЕНТС 812 204х60/d125</t>
  </si>
  <si>
    <t>Тримач плоских каналів ВЕНТС 204х60</t>
  </si>
  <si>
    <t>Пластина настінна ВЕНТС 204х60 для плоских каналів</t>
  </si>
  <si>
    <t>Витяжка купольна</t>
  </si>
  <si>
    <t>00-00009915</t>
  </si>
  <si>
    <t>Виготовлення  "EMS "ВООЗ мал" №2</t>
  </si>
  <si>
    <t>00-00009969</t>
  </si>
  <si>
    <t>Автомат введення резерву  2п 63A</t>
  </si>
  <si>
    <t>00-00009040</t>
  </si>
  <si>
    <t>Автоматичний вимикач  3 п 50А</t>
  </si>
  <si>
    <t>Болт М12*60  DIN 933 з шест.голівкою цб</t>
  </si>
  <si>
    <t>00-00010035</t>
  </si>
  <si>
    <t>Болт М12*90  DIN 933 оц</t>
  </si>
  <si>
    <t>Болт М16*60  DIN 933 оц. 5,8</t>
  </si>
  <si>
    <t>Болт М16*90</t>
  </si>
  <si>
    <t>00-00008440</t>
  </si>
  <si>
    <t>Болт М20*200</t>
  </si>
  <si>
    <t>Брус 20*100*6000</t>
  </si>
  <si>
    <t>00-00010450</t>
  </si>
  <si>
    <t>Брус 50*25*3</t>
  </si>
  <si>
    <t>Брус 50*50*3,0</t>
  </si>
  <si>
    <t>Вагонка ПВХ Біла матова 0,25х6 м (8мм)</t>
  </si>
  <si>
    <t>00-00010160</t>
  </si>
  <si>
    <t>ВВГнг 3х6 кабель</t>
  </si>
  <si>
    <t>Вилка пряма 16 А</t>
  </si>
  <si>
    <t>Відвід d 50 мм 87*30"</t>
  </si>
  <si>
    <t>00-00005816</t>
  </si>
  <si>
    <t>Відвід D=110 мм, 87 30</t>
  </si>
  <si>
    <t>00-00000561</t>
  </si>
  <si>
    <t>Відвід D=50 mm 45</t>
  </si>
  <si>
    <t>00-00001774</t>
  </si>
  <si>
    <t>Вікно металопластикове</t>
  </si>
  <si>
    <t>00-00005818</t>
  </si>
  <si>
    <t>Водонагрівач Atlantic GC 1004424D B14 TBR, 100л</t>
  </si>
  <si>
    <t>Гайка М20  DIN 934</t>
  </si>
  <si>
    <t>00-00000857</t>
  </si>
  <si>
    <t>Геотекстиль 200г/м2</t>
  </si>
  <si>
    <t>00-00000254</t>
  </si>
  <si>
    <t>Гнучка труба для унітаза 500мм</t>
  </si>
  <si>
    <t>Гнучка труба для унітаза 600мм</t>
  </si>
  <si>
    <t>00-00009988</t>
  </si>
  <si>
    <t>Гнучкий шланг 1/8 х1\2 НВ довжина 50 см</t>
  </si>
  <si>
    <t>00-00007974</t>
  </si>
  <si>
    <t>Грунт 10кг</t>
  </si>
  <si>
    <t>Грунт ГФ-021 сірий</t>
  </si>
  <si>
    <t>Двері вхідні металеві</t>
  </si>
  <si>
    <t>00-00010214</t>
  </si>
  <si>
    <t>Дзеркало з поличкою</t>
  </si>
  <si>
    <t>Дріт ПВС  2* 2,5</t>
  </si>
  <si>
    <t>Дріт ПВС  3* 2,5</t>
  </si>
  <si>
    <t>Електрочайник</t>
  </si>
  <si>
    <t>З'єднувач PP-R D=20 mm. х1\2  В  сірий</t>
  </si>
  <si>
    <t>Заглушка D=110 мм</t>
  </si>
  <si>
    <t>00-00009981</t>
  </si>
  <si>
    <t>Заглушка на плінтус</t>
  </si>
  <si>
    <t>00-00009970</t>
  </si>
  <si>
    <t>Захист від перенапруги D63</t>
  </si>
  <si>
    <t>00-00006296</t>
  </si>
  <si>
    <t>Змазка 10W 40, 1л чотирьохтактне</t>
  </si>
  <si>
    <t>00-00000375</t>
  </si>
  <si>
    <t>Змащувач для труб GEBEX LUB 200ml GEB SAS</t>
  </si>
  <si>
    <t>00-00010207</t>
  </si>
  <si>
    <t>Камінь бетонний прямий рядовий БР 100.20.8</t>
  </si>
  <si>
    <t>00-00005421</t>
  </si>
  <si>
    <t>Коліно ПЕ 25х90 затискне</t>
  </si>
  <si>
    <t>Комплект для фіксації хомутів (шуруп, гайка, дюбель), М8х90 мм</t>
  </si>
  <si>
    <t>00-00005555</t>
  </si>
  <si>
    <t>Коробка під автомат накл.9 SU FAR(F88)(30)</t>
  </si>
  <si>
    <t>Коробка установча (гіпсокартон) 68 Кова-Електро синя/зелена</t>
  </si>
  <si>
    <t>00-00009291</t>
  </si>
  <si>
    <t>Кран кульовий(вода) з дренажем 1 ВВ</t>
  </si>
  <si>
    <t>Кріплення унітазу до підлоги (з декор.ковпачками і шурупами 6х100мм)</t>
  </si>
  <si>
    <t>Круг 18 мм</t>
  </si>
  <si>
    <t>00-00005965</t>
  </si>
  <si>
    <t>Кут  для плінтуса вн</t>
  </si>
  <si>
    <t>00-00005615</t>
  </si>
  <si>
    <t>Кутник</t>
  </si>
  <si>
    <t>Кутник 32х32х3 ст.3пс 6м</t>
  </si>
  <si>
    <t>00-00002026</t>
  </si>
  <si>
    <t>Лист 14 (г.к.) (1,5х6) imp ((1,5*6,0) S235JR)</t>
  </si>
  <si>
    <t>Лист 3 (г.к)  (1,5х6) ((1,5*6,0) 1-3 сп/пс)</t>
  </si>
  <si>
    <t>Лист 4 (г.к)  (1,5х6) ((1,5*6,0) 14637 3сп5)</t>
  </si>
  <si>
    <t>00-00003051</t>
  </si>
  <si>
    <t>Лист 5 мм</t>
  </si>
  <si>
    <t>Лист 8 (г.к)  (1,5х6) ((1,5*6,0) 14637 3сп5)</t>
  </si>
  <si>
    <t>00-00001556</t>
  </si>
  <si>
    <t>лист ПВЛ 406х1250х2500 мм</t>
  </si>
  <si>
    <t>Лист ПВЛ 506</t>
  </si>
  <si>
    <t>00-00007186</t>
  </si>
  <si>
    <t>Лист рівний</t>
  </si>
  <si>
    <t>Ліжко 800х2000</t>
  </si>
  <si>
    <t>00-00009914</t>
  </si>
  <si>
    <t>мембрана пароізоляційна 75 кв.м</t>
  </si>
  <si>
    <t>Мікрохвильова піч</t>
  </si>
  <si>
    <t>00-00006152</t>
  </si>
  <si>
    <t>Муфта ПЕ 25 затискна</t>
  </si>
  <si>
    <t>ОСП  Кроно Україна 10*1250*2500 мм</t>
  </si>
  <si>
    <t>00-00009993</t>
  </si>
  <si>
    <t>Перехідник гумовий О50/32</t>
  </si>
  <si>
    <t>00-00000402</t>
  </si>
  <si>
    <t>Петля виточена d=16мм (для хвіртки)</t>
  </si>
  <si>
    <t>Пісок</t>
  </si>
  <si>
    <t>Плита OSB-3 10х1250*2500 (шт)</t>
  </si>
  <si>
    <t>00-00010205</t>
  </si>
  <si>
    <t>Плитка тротуарна</t>
  </si>
  <si>
    <t>00-00009980</t>
  </si>
  <si>
    <t>Плінтус на стільницю 3м</t>
  </si>
  <si>
    <t>ПН 15 плита днища</t>
  </si>
  <si>
    <t>00-00010342</t>
  </si>
  <si>
    <t>Покривало протипожежне</t>
  </si>
  <si>
    <t>Покрівельно-ущільнювальна алюминиевая стрічка 100мм x 10м</t>
  </si>
  <si>
    <t>Портландемент СЕМ І 42,5R</t>
  </si>
  <si>
    <t>00-00010208</t>
  </si>
  <si>
    <t>ПП-15 кришка колодязя</t>
  </si>
  <si>
    <t>00-00008143</t>
  </si>
  <si>
    <t>Профіль з гумовой вставкой срібло</t>
  </si>
  <si>
    <t>00-00007955</t>
  </si>
  <si>
    <t>Профнастил ПК-18</t>
  </si>
  <si>
    <t>Профнастил ПС-10</t>
  </si>
  <si>
    <t>00-00006602</t>
  </si>
  <si>
    <t>Рамка 2-постова</t>
  </si>
  <si>
    <t>00-00007881</t>
  </si>
  <si>
    <t>Редукція каналізаційна 50х25</t>
  </si>
  <si>
    <t>00-00010347</t>
  </si>
  <si>
    <t>Рейка 20х100х6000</t>
  </si>
  <si>
    <t>Рейка 25х50 мм 3м обрізна</t>
  </si>
  <si>
    <t>00-00010348</t>
  </si>
  <si>
    <t>Рейка 40*50*3000</t>
  </si>
  <si>
    <t>00-00007872</t>
  </si>
  <si>
    <t>00-00010113</t>
  </si>
  <si>
    <t>Саморіз  4,2*25</t>
  </si>
  <si>
    <t>00-00005927</t>
  </si>
  <si>
    <t>Саморіз  5,5*70</t>
  </si>
  <si>
    <t>00-00010291</t>
  </si>
  <si>
    <t>Саморіз 3,5х25 для гіпсокартону по дереву фосф 250шт</t>
  </si>
  <si>
    <t>00-00008489</t>
  </si>
  <si>
    <t>Саморіз 4,8*19</t>
  </si>
  <si>
    <t>Саморіз 4,8х35 по дереву</t>
  </si>
  <si>
    <t>00-00007883</t>
  </si>
  <si>
    <t>Саморіз покрівельний по металу 4,8x19 мм 100 шт RAL 7024</t>
  </si>
  <si>
    <t>00-00005134</t>
  </si>
  <si>
    <t>Сантехнічна редукція 50х32</t>
  </si>
  <si>
    <t>00-00009913</t>
  </si>
  <si>
    <t>Світильник LED Luxray 12 Вт</t>
  </si>
  <si>
    <t>Світильник накладний з вимикачем(бра)</t>
  </si>
  <si>
    <t>00-00010161</t>
  </si>
  <si>
    <t>Світильник НПП  1101 коло 100W-E27 ІР65</t>
  </si>
  <si>
    <t>00-00003551</t>
  </si>
  <si>
    <t>Силова розетка стаціонарна  380В 32А</t>
  </si>
  <si>
    <t>00-00005957</t>
  </si>
  <si>
    <t>Сифон для д/піддону</t>
  </si>
  <si>
    <t>00-00009822</t>
  </si>
  <si>
    <t>Сифон для мийки бутилоч Д=1 1/4"х32мм</t>
  </si>
  <si>
    <t>Сифон для умив."Waterstal" 1 1/2 з гнуч.трубкою</t>
  </si>
  <si>
    <t>00-00006134</t>
  </si>
  <si>
    <t>Стрічка бутилкаучукова 150мм (5м)</t>
  </si>
  <si>
    <t>00-00007266</t>
  </si>
  <si>
    <t>Терморегулятор terneo rtp</t>
  </si>
  <si>
    <t>00-00000556</t>
  </si>
  <si>
    <t>Трійник D=110 mm 87 30</t>
  </si>
  <si>
    <t>00-00002381</t>
  </si>
  <si>
    <t>Трійник D=110 мм, 45°</t>
  </si>
  <si>
    <t>Трійник D=50 mm 45*</t>
  </si>
  <si>
    <t>Трійник D=50 mm 87* 30</t>
  </si>
  <si>
    <t>Трійник, PP-R, D = 20 мм x 1/2", В, сірий 3917400090</t>
  </si>
  <si>
    <t>труба 100х100х3 мм; ст. 1-3 пс; 12 м</t>
  </si>
  <si>
    <t>00-00009727</t>
  </si>
  <si>
    <t>Труба 40х20х1,8</t>
  </si>
  <si>
    <t>00-00009920</t>
  </si>
  <si>
    <t>Труба 40х25х2</t>
  </si>
  <si>
    <t>00-00009731</t>
  </si>
  <si>
    <t>Труба 40х40х1,8</t>
  </si>
  <si>
    <t>Труба 40х40х3 (6,05-S235/S275)</t>
  </si>
  <si>
    <t>00-00009067</t>
  </si>
  <si>
    <t>00-00009725</t>
  </si>
  <si>
    <t>00-00007935</t>
  </si>
  <si>
    <t>Труба 50х25х3</t>
  </si>
  <si>
    <t>00-00009729</t>
  </si>
  <si>
    <t>Труба 50х30х2</t>
  </si>
  <si>
    <t>труба 50х50х2 мм; ст. 1-3пс/S235JR; 6 м</t>
  </si>
  <si>
    <t>00-00009726</t>
  </si>
  <si>
    <t>труба 50х50х3 мм 6 м</t>
  </si>
  <si>
    <t>Труба 50х50х4 (6,05- 8940:2019 08кп/1-3пс)</t>
  </si>
  <si>
    <t>00-00005600</t>
  </si>
  <si>
    <t>труба 50х50х4 мм 6 м</t>
  </si>
  <si>
    <t>00-00009730</t>
  </si>
  <si>
    <t>Труба 60х60х2</t>
  </si>
  <si>
    <t>Труба ДУ 40*3,0 ст.1-3 пс; 6 м</t>
  </si>
  <si>
    <t>00-00009820</t>
  </si>
  <si>
    <t>Труба каналізаційна 110х3,2х2000мм</t>
  </si>
  <si>
    <t>00-00009821</t>
  </si>
  <si>
    <t>Труба каналізаційна 110х3,2х3000мм</t>
  </si>
  <si>
    <t>00-00009994</t>
  </si>
  <si>
    <t>Труба поліетиленова РЕHD PE100, SDR13,6 р=12,5, d 25 мм</t>
  </si>
  <si>
    <t>00-00009839</t>
  </si>
  <si>
    <t>Труба поліетиленова РЕHD PE100, SDR17, PN10, d 32 мм, 391721100</t>
  </si>
  <si>
    <t>Труба поліпропіленова каналізаційна d=110  мм І=1000 мм</t>
  </si>
  <si>
    <t>Труба поліпропіленова каналізаційна d=50  мм І=1000 мм</t>
  </si>
  <si>
    <t>Труба поліпропіленова каналізаційна d=50  мм І=2000 мм</t>
  </si>
  <si>
    <t>Труба поліпропіленова каналізаційна d=50  мм І=500 мм</t>
  </si>
  <si>
    <t>00-00009728</t>
  </si>
  <si>
    <t>Труба профільна 30х20х2</t>
  </si>
  <si>
    <t>00-00010017</t>
  </si>
  <si>
    <t>Фітинги із пластмаси</t>
  </si>
  <si>
    <t>Фум стрічка "Стандартна", рулон 19 мм * 0,075 мм - 10 метров</t>
  </si>
  <si>
    <t>Холодильник</t>
  </si>
  <si>
    <t>Хрестовина одноплощинна D=110 мм, 87° 30 ', фітинг 3917400090</t>
  </si>
  <si>
    <t>Цемент М500 25 кг</t>
  </si>
  <si>
    <t>Шайба М12  DIN125 цб</t>
  </si>
  <si>
    <t>00-00010036</t>
  </si>
  <si>
    <t>Шайба пружин.М12 DIN127</t>
  </si>
  <si>
    <t>00-00007710</t>
  </si>
  <si>
    <t>Шафа- пенал для вітальні КШ-26</t>
  </si>
  <si>
    <t>00-00000754</t>
  </si>
  <si>
    <t>Шина нульова на DIN рейку 10 отв</t>
  </si>
  <si>
    <t>00-00009648</t>
  </si>
  <si>
    <t>Шнур зварювальний 1121 CN 4мм</t>
  </si>
  <si>
    <t>00-00009751</t>
  </si>
  <si>
    <t>Шнур зварювальний 1133 CN 4мм</t>
  </si>
  <si>
    <t>00-00005768</t>
  </si>
  <si>
    <t>Шпаклівка по дереву 1,5 кг</t>
  </si>
  <si>
    <t>Штаба 40х4 (6м)</t>
  </si>
  <si>
    <t>00-00010379</t>
  </si>
  <si>
    <t>Шуруп 4,2х19</t>
  </si>
  <si>
    <t>00-00003525</t>
  </si>
  <si>
    <t>Шуруп 4,5х70</t>
  </si>
  <si>
    <t>00-00007884</t>
  </si>
  <si>
    <t>Шуруп універсальний, потайна головка, 4,0х50 (уп. 200 шт)</t>
  </si>
  <si>
    <t>00-00010206</t>
  </si>
  <si>
    <t>Щебінь гранітний 5-20</t>
  </si>
  <si>
    <t>м3</t>
  </si>
  <si>
    <t>Виготовлення  "EMS "ВООЗ вел"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</si>
</sst>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₽_-;\-* #,##0.00\ _₽_-;_-* &quot;-&quot;??\ _₽_-;_-@_-"/>
    <numFmt numFmtId="165" formatCode="_-* #,##0.00_р_._-;\-* #,##0.00_р_._-;_-* &quot;-&quot;??_р_._-;_-@_-"/>
    <numFmt numFmtId="166" formatCode="_-* #,##0.00_₴_-;\-* #,##0.00_₴_-;_-* &quot;-&quot;??_₴_-;_-@_-"/>
    <numFmt numFmtId="167" formatCode="0.000"/>
    <numFmt numFmtId="168" formatCode="00000000000"/>
    <numFmt numFmtId="169" formatCode="#,##0.000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2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4"/>
      <name val="Arial Cyr"/>
      <charset val="204"/>
    </font>
    <font>
      <b/>
      <sz val="12"/>
      <name val="Arial Cyr"/>
      <charset val="204"/>
    </font>
    <font>
      <sz val="10"/>
      <name val="Arial"/>
      <family val="2"/>
      <charset val="204"/>
    </font>
    <font>
      <sz val="10"/>
      <name val="Tahoma"/>
      <family val="2"/>
      <charset val="204"/>
    </font>
    <font>
      <sz val="10"/>
      <name val="Arial Cyr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name val="Arial"/>
      <family val="2"/>
    </font>
    <font>
      <sz val="11"/>
      <color theme="1"/>
      <name val="Times New Roman"/>
      <family val="2"/>
      <charset val="1"/>
    </font>
    <font>
      <sz val="8"/>
      <name val="Arial"/>
      <family val="2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Arial Cyr"/>
      <charset val="204"/>
    </font>
    <font>
      <sz val="12"/>
      <color indexed="8"/>
      <name val="Verdana"/>
      <family val="2"/>
      <charset val="204"/>
    </font>
    <font>
      <sz val="14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18"/>
      <color indexed="12"/>
      <name val="Calibri"/>
      <family val="2"/>
      <charset val="204"/>
    </font>
    <font>
      <b/>
      <sz val="10"/>
      <color rgb="FFFF0000"/>
      <name val="Arial Cyr"/>
      <charset val="204"/>
    </font>
    <font>
      <b/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color theme="1"/>
      <name val="Calibri"/>
      <family val="2"/>
      <scheme val="minor"/>
    </font>
    <font>
      <b/>
      <sz val="14"/>
      <color rgb="FFFF0000"/>
      <name val="Arial Cyr"/>
      <charset val="204"/>
    </font>
    <font>
      <sz val="12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8"/>
      <name val="Calibri"/>
      <family val="2"/>
      <scheme val="minor"/>
    </font>
    <font>
      <b/>
      <sz val="12"/>
      <name val="Times New Roman"/>
      <family val="1"/>
      <charset val="204"/>
    </font>
    <font>
      <sz val="11"/>
      <name val="Cambria"/>
      <family val="2"/>
      <charset val="204"/>
      <scheme val="major"/>
    </font>
    <font>
      <sz val="11"/>
      <color theme="1"/>
      <name val="Cambria"/>
      <family val="2"/>
      <charset val="204"/>
      <scheme val="major"/>
    </font>
    <font>
      <sz val="12"/>
      <name val="Arial"/>
      <family val="2"/>
      <charset val="204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00">
    <xf numFmtId="0" fontId="0" fillId="0" borderId="0"/>
    <xf numFmtId="165" fontId="9" fillId="0" borderId="0" applyFont="0" applyFill="0" applyBorder="0" applyAlignment="0" applyProtection="0"/>
    <xf numFmtId="0" fontId="7" fillId="0" borderId="0"/>
    <xf numFmtId="0" fontId="16" fillId="0" borderId="0"/>
    <xf numFmtId="0" fontId="17" fillId="0" borderId="0">
      <alignment vertical="top"/>
    </xf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17" fillId="0" borderId="0">
      <alignment vertical="top"/>
    </xf>
    <xf numFmtId="0" fontId="22" fillId="0" borderId="0"/>
    <xf numFmtId="0" fontId="7" fillId="0" borderId="0"/>
    <xf numFmtId="0" fontId="4" fillId="0" borderId="0"/>
    <xf numFmtId="0" fontId="23" fillId="0" borderId="0"/>
    <xf numFmtId="0" fontId="3" fillId="0" borderId="0"/>
    <xf numFmtId="167" fontId="26" fillId="0" borderId="0"/>
    <xf numFmtId="0" fontId="24" fillId="0" borderId="0">
      <alignment horizontal="left" vertical="center"/>
    </xf>
    <xf numFmtId="0" fontId="24" fillId="0" borderId="2">
      <alignment horizontal="right" vertical="center"/>
    </xf>
    <xf numFmtId="0" fontId="24" fillId="0" borderId="2">
      <alignment horizontal="right" vertical="center" wrapText="1"/>
    </xf>
    <xf numFmtId="0" fontId="24" fillId="0" borderId="3">
      <alignment horizontal="center" vertical="center" wrapText="1"/>
    </xf>
    <xf numFmtId="0" fontId="24" fillId="0" borderId="4">
      <alignment horizontal="center" vertical="center" wrapText="1"/>
    </xf>
    <xf numFmtId="0" fontId="24" fillId="0" borderId="5">
      <alignment horizontal="center" vertical="center" wrapText="1"/>
    </xf>
    <xf numFmtId="0" fontId="25" fillId="0" borderId="0">
      <alignment horizontal="left" vertical="center"/>
    </xf>
    <xf numFmtId="0" fontId="24" fillId="0" borderId="3">
      <alignment horizontal="left" vertical="center" wrapText="1"/>
    </xf>
    <xf numFmtId="0" fontId="24" fillId="0" borderId="6">
      <alignment horizontal="left" vertical="center" wrapText="1"/>
    </xf>
    <xf numFmtId="0" fontId="24" fillId="0" borderId="6">
      <alignment horizontal="center" vertical="center" wrapText="1"/>
    </xf>
    <xf numFmtId="0" fontId="24" fillId="0" borderId="6">
      <alignment horizontal="center" vertical="center" wrapText="1"/>
    </xf>
    <xf numFmtId="0" fontId="24" fillId="0" borderId="7">
      <alignment horizontal="left" vertical="center" wrapText="1"/>
    </xf>
    <xf numFmtId="0" fontId="24" fillId="0" borderId="7">
      <alignment horizontal="center" vertical="center" wrapText="1"/>
    </xf>
    <xf numFmtId="0" fontId="24" fillId="0" borderId="7">
      <alignment horizontal="center" vertical="center" wrapText="1"/>
    </xf>
    <xf numFmtId="0" fontId="25" fillId="0" borderId="8">
      <alignment horizontal="left" vertical="center" wrapText="1"/>
    </xf>
    <xf numFmtId="0" fontId="25" fillId="0" borderId="8">
      <alignment horizontal="center" vertical="center" wrapText="1"/>
    </xf>
    <xf numFmtId="0" fontId="25" fillId="0" borderId="8">
      <alignment horizontal="center" vertical="center" wrapText="1"/>
    </xf>
    <xf numFmtId="0" fontId="25" fillId="0" borderId="0">
      <alignment horizontal="right" vertical="center"/>
    </xf>
    <xf numFmtId="0" fontId="24" fillId="0" borderId="9">
      <alignment horizontal="left" vertical="center" wrapText="1"/>
    </xf>
    <xf numFmtId="0" fontId="24" fillId="0" borderId="9">
      <alignment horizontal="center" vertical="center" wrapText="1"/>
    </xf>
    <xf numFmtId="0" fontId="24" fillId="0" borderId="9">
      <alignment horizontal="center" vertical="center" wrapText="1"/>
    </xf>
    <xf numFmtId="0" fontId="24" fillId="0" borderId="10">
      <alignment horizontal="left" vertical="center" wrapText="1"/>
    </xf>
    <xf numFmtId="0" fontId="24" fillId="0" borderId="10">
      <alignment horizontal="center" vertical="center" wrapText="1"/>
    </xf>
    <xf numFmtId="0" fontId="24" fillId="0" borderId="10">
      <alignment horizontal="center" vertical="center" wrapText="1"/>
    </xf>
    <xf numFmtId="0" fontId="24" fillId="0" borderId="11">
      <alignment horizontal="left" vertical="center" wrapText="1"/>
    </xf>
    <xf numFmtId="0" fontId="24" fillId="0" borderId="0">
      <alignment horizontal="left" vertical="center"/>
    </xf>
    <xf numFmtId="0" fontId="24" fillId="0" borderId="0">
      <alignment horizontal="left" vertical="center" wrapText="1"/>
    </xf>
    <xf numFmtId="0" fontId="25" fillId="0" borderId="0">
      <alignment horizontal="left" vertical="center"/>
    </xf>
    <xf numFmtId="0" fontId="24" fillId="0" borderId="0">
      <alignment horizontal="left" vertical="center" wrapText="1"/>
    </xf>
    <xf numFmtId="0" fontId="25" fillId="0" borderId="0">
      <alignment horizontal="center" vertical="center" wrapText="1"/>
    </xf>
    <xf numFmtId="0" fontId="24" fillId="0" borderId="2">
      <alignment horizontal="left" vertical="center"/>
    </xf>
    <xf numFmtId="0" fontId="27" fillId="0" borderId="0"/>
    <xf numFmtId="0" fontId="18" fillId="0" borderId="0"/>
    <xf numFmtId="0" fontId="18" fillId="0" borderId="0"/>
    <xf numFmtId="0" fontId="9" fillId="0" borderId="0"/>
    <xf numFmtId="0" fontId="21" fillId="0" borderId="0"/>
    <xf numFmtId="0" fontId="21" fillId="0" borderId="0"/>
    <xf numFmtId="0" fontId="3" fillId="0" borderId="0"/>
    <xf numFmtId="0" fontId="9" fillId="0" borderId="0"/>
    <xf numFmtId="0" fontId="28" fillId="0" borderId="0" applyNumberFormat="0" applyFill="0" applyBorder="0" applyProtection="0">
      <alignment vertical="top" wrapText="1"/>
    </xf>
    <xf numFmtId="165" fontId="28" fillId="0" borderId="0" applyFont="0" applyFill="0" applyBorder="0" applyAlignment="0" applyProtection="0"/>
    <xf numFmtId="0" fontId="28" fillId="0" borderId="0" applyNumberFormat="0" applyFill="0" applyBorder="0" applyProtection="0">
      <alignment vertical="top" wrapText="1"/>
    </xf>
    <xf numFmtId="0" fontId="28" fillId="0" borderId="0" applyNumberFormat="0" applyFill="0" applyBorder="0" applyProtection="0">
      <alignment vertical="top" wrapText="1"/>
    </xf>
    <xf numFmtId="0" fontId="16" fillId="0" borderId="0"/>
    <xf numFmtId="0" fontId="18" fillId="0" borderId="0"/>
    <xf numFmtId="0" fontId="7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3" fillId="0" borderId="0"/>
    <xf numFmtId="0" fontId="16" fillId="0" borderId="0"/>
    <xf numFmtId="0" fontId="16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17" fillId="0" borderId="0">
      <alignment vertical="top"/>
    </xf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17" fillId="0" borderId="0">
      <alignment vertical="top"/>
    </xf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7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0" fontId="23" fillId="0" borderId="0"/>
    <xf numFmtId="0" fontId="23" fillId="0" borderId="0"/>
  </cellStyleXfs>
  <cellXfs count="269">
    <xf numFmtId="0" fontId="0" fillId="0" borderId="0" xfId="0"/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166" fontId="8" fillId="0" borderId="0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left"/>
    </xf>
    <xf numFmtId="4" fontId="10" fillId="0" borderId="1" xfId="0" applyNumberFormat="1" applyFont="1" applyBorder="1" applyAlignment="1">
      <alignment horizontal="center" vertical="top" wrapText="1"/>
    </xf>
    <xf numFmtId="0" fontId="33" fillId="3" borderId="12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4" fontId="8" fillId="0" borderId="0" xfId="0" applyNumberFormat="1" applyFont="1"/>
    <xf numFmtId="4" fontId="8" fillId="0" borderId="0" xfId="0" applyNumberFormat="1" applyFont="1" applyAlignment="1">
      <alignment horizontal="center"/>
    </xf>
    <xf numFmtId="4" fontId="8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top" wrapText="1"/>
    </xf>
    <xf numFmtId="0" fontId="0" fillId="3" borderId="12" xfId="0" applyFill="1" applyBorder="1" applyAlignment="1">
      <alignment horizontal="center" vertical="center"/>
    </xf>
    <xf numFmtId="49" fontId="29" fillId="3" borderId="18" xfId="96" applyNumberFormat="1" applyFont="1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30" fillId="3" borderId="19" xfId="0" applyFont="1" applyFill="1" applyBorder="1" applyAlignment="1">
      <alignment horizontal="center" vertical="center"/>
    </xf>
    <xf numFmtId="0" fontId="33" fillId="3" borderId="14" xfId="0" applyFont="1" applyFill="1" applyBorder="1" applyAlignment="1">
      <alignment vertical="center" wrapText="1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49" fontId="29" fillId="3" borderId="34" xfId="96" applyNumberFormat="1" applyFont="1" applyFill="1" applyBorder="1" applyAlignment="1">
      <alignment horizontal="center" vertical="center"/>
    </xf>
    <xf numFmtId="0" fontId="34" fillId="3" borderId="35" xfId="0" applyFont="1" applyFill="1" applyBorder="1" applyAlignment="1">
      <alignment vertical="center" wrapText="1"/>
    </xf>
    <xf numFmtId="4" fontId="34" fillId="3" borderId="35" xfId="0" applyNumberFormat="1" applyFont="1" applyFill="1" applyBorder="1" applyAlignment="1">
      <alignment horizontal="center" vertical="center" wrapText="1"/>
    </xf>
    <xf numFmtId="49" fontId="31" fillId="3" borderId="35" xfId="0" applyNumberFormat="1" applyFont="1" applyFill="1" applyBorder="1" applyAlignment="1">
      <alignment horizontal="left" vertical="center" wrapText="1"/>
    </xf>
    <xf numFmtId="49" fontId="37" fillId="4" borderId="31" xfId="96" applyNumberFormat="1" applyFont="1" applyFill="1" applyBorder="1" applyAlignment="1">
      <alignment horizontal="center" vertical="center"/>
    </xf>
    <xf numFmtId="49" fontId="38" fillId="4" borderId="32" xfId="0" applyNumberFormat="1" applyFont="1" applyFill="1" applyBorder="1" applyAlignment="1">
      <alignment horizontal="left" vertical="center" wrapText="1"/>
    </xf>
    <xf numFmtId="4" fontId="38" fillId="4" borderId="32" xfId="0" applyNumberFormat="1" applyFont="1" applyFill="1" applyBorder="1" applyAlignment="1">
      <alignment horizontal="center" vertical="center" wrapText="1"/>
    </xf>
    <xf numFmtId="4" fontId="38" fillId="4" borderId="32" xfId="0" applyNumberFormat="1" applyFont="1" applyFill="1" applyBorder="1" applyAlignment="1">
      <alignment horizontal="center" vertical="center"/>
    </xf>
    <xf numFmtId="168" fontId="39" fillId="4" borderId="31" xfId="0" applyNumberFormat="1" applyFont="1" applyFill="1" applyBorder="1" applyAlignment="1">
      <alignment horizontal="left" vertical="top" wrapText="1"/>
    </xf>
    <xf numFmtId="0" fontId="39" fillId="4" borderId="32" xfId="0" applyFont="1" applyFill="1" applyBorder="1" applyAlignment="1">
      <alignment horizontal="left" vertical="top" wrapText="1"/>
    </xf>
    <xf numFmtId="4" fontId="39" fillId="4" borderId="32" xfId="0" applyNumberFormat="1" applyFont="1" applyFill="1" applyBorder="1" applyAlignment="1">
      <alignment horizontal="center" vertical="center" wrapText="1"/>
    </xf>
    <xf numFmtId="0" fontId="30" fillId="4" borderId="33" xfId="0" applyFont="1" applyFill="1" applyBorder="1" applyAlignment="1">
      <alignment horizontal="center" vertical="center"/>
    </xf>
    <xf numFmtId="49" fontId="37" fillId="5" borderId="31" xfId="96" applyNumberFormat="1" applyFont="1" applyFill="1" applyBorder="1" applyAlignment="1">
      <alignment horizontal="center" vertical="center"/>
    </xf>
    <xf numFmtId="49" fontId="38" fillId="5" borderId="32" xfId="0" applyNumberFormat="1" applyFont="1" applyFill="1" applyBorder="1" applyAlignment="1">
      <alignment horizontal="left" vertical="center" wrapText="1"/>
    </xf>
    <xf numFmtId="4" fontId="38" fillId="5" borderId="32" xfId="0" applyNumberFormat="1" applyFont="1" applyFill="1" applyBorder="1" applyAlignment="1">
      <alignment horizontal="center" vertical="center" wrapText="1"/>
    </xf>
    <xf numFmtId="4" fontId="38" fillId="5" borderId="32" xfId="0" applyNumberFormat="1" applyFont="1" applyFill="1" applyBorder="1" applyAlignment="1">
      <alignment horizontal="center" vertical="center"/>
    </xf>
    <xf numFmtId="168" fontId="39" fillId="5" borderId="31" xfId="0" applyNumberFormat="1" applyFont="1" applyFill="1" applyBorder="1" applyAlignment="1">
      <alignment horizontal="left" vertical="top" wrapText="1"/>
    </xf>
    <xf numFmtId="0" fontId="39" fillId="5" borderId="32" xfId="0" applyFont="1" applyFill="1" applyBorder="1" applyAlignment="1">
      <alignment horizontal="left" vertical="top" wrapText="1"/>
    </xf>
    <xf numFmtId="4" fontId="39" fillId="5" borderId="32" xfId="0" applyNumberFormat="1" applyFont="1" applyFill="1" applyBorder="1" applyAlignment="1">
      <alignment horizontal="center" vertical="center" wrapText="1"/>
    </xf>
    <xf numFmtId="0" fontId="30" fillId="5" borderId="33" xfId="0" applyFont="1" applyFill="1" applyBorder="1" applyAlignment="1">
      <alignment horizontal="center" vertical="center"/>
    </xf>
    <xf numFmtId="4" fontId="33" fillId="3" borderId="12" xfId="0" applyNumberFormat="1" applyFont="1" applyFill="1" applyBorder="1" applyAlignment="1">
      <alignment horizontal="center" vertical="center" wrapText="1"/>
    </xf>
    <xf numFmtId="4" fontId="16" fillId="3" borderId="12" xfId="0" applyNumberFormat="1" applyFont="1" applyFill="1" applyBorder="1" applyAlignment="1">
      <alignment horizontal="center" vertical="center" wrapText="1"/>
    </xf>
    <xf numFmtId="4" fontId="16" fillId="3" borderId="35" xfId="0" applyNumberFormat="1" applyFont="1" applyFill="1" applyBorder="1" applyAlignment="1">
      <alignment horizontal="center" vertical="center" wrapText="1"/>
    </xf>
    <xf numFmtId="2" fontId="42" fillId="3" borderId="12" xfId="0" applyNumberFormat="1" applyFont="1" applyFill="1" applyBorder="1" applyAlignment="1">
      <alignment horizontal="center" vertical="center" wrapText="1"/>
    </xf>
    <xf numFmtId="4" fontId="41" fillId="3" borderId="36" xfId="0" applyNumberFormat="1" applyFont="1" applyFill="1" applyBorder="1" applyAlignment="1">
      <alignment horizontal="center" vertical="center" wrapText="1"/>
    </xf>
    <xf numFmtId="4" fontId="33" fillId="3" borderId="36" xfId="0" applyNumberFormat="1" applyFont="1" applyFill="1" applyBorder="1" applyAlignment="1">
      <alignment horizontal="center" vertical="center" wrapText="1"/>
    </xf>
    <xf numFmtId="0" fontId="41" fillId="0" borderId="12" xfId="0" applyFont="1" applyBorder="1" applyAlignment="1">
      <alignment horizontal="center" vertical="center" wrapText="1"/>
    </xf>
    <xf numFmtId="49" fontId="41" fillId="3" borderId="12" xfId="0" applyNumberFormat="1" applyFont="1" applyFill="1" applyBorder="1" applyAlignment="1">
      <alignment horizontal="center" vertical="center" wrapText="1"/>
    </xf>
    <xf numFmtId="0" fontId="41" fillId="3" borderId="38" xfId="0" applyFont="1" applyFill="1" applyBorder="1" applyAlignment="1">
      <alignment horizontal="left" vertical="center"/>
    </xf>
    <xf numFmtId="49" fontId="43" fillId="3" borderId="12" xfId="0" applyNumberFormat="1" applyFont="1" applyFill="1" applyBorder="1" applyAlignment="1">
      <alignment horizontal="left" vertical="center" wrapText="1"/>
    </xf>
    <xf numFmtId="0" fontId="43" fillId="3" borderId="12" xfId="0" applyFont="1" applyFill="1" applyBorder="1" applyAlignment="1">
      <alignment horizontal="left" vertical="center" wrapText="1"/>
    </xf>
    <xf numFmtId="2" fontId="44" fillId="3" borderId="12" xfId="0" applyNumberFormat="1" applyFont="1" applyFill="1" applyBorder="1" applyAlignment="1">
      <alignment horizontal="left" vertical="center" wrapText="1"/>
    </xf>
    <xf numFmtId="0" fontId="41" fillId="3" borderId="12" xfId="0" applyFont="1" applyFill="1" applyBorder="1" applyAlignment="1">
      <alignment horizontal="left" vertical="center"/>
    </xf>
    <xf numFmtId="0" fontId="41" fillId="3" borderId="12" xfId="0" applyFont="1" applyFill="1" applyBorder="1" applyAlignment="1">
      <alignment horizontal="center" vertical="center"/>
    </xf>
    <xf numFmtId="0" fontId="41" fillId="3" borderId="18" xfId="0" applyFont="1" applyFill="1" applyBorder="1" applyAlignment="1">
      <alignment horizontal="left" vertical="center"/>
    </xf>
    <xf numFmtId="0" fontId="41" fillId="3" borderId="12" xfId="0" applyFont="1" applyFill="1" applyBorder="1" applyAlignment="1">
      <alignment vertical="center" wrapText="1"/>
    </xf>
    <xf numFmtId="49" fontId="43" fillId="3" borderId="18" xfId="0" applyNumberFormat="1" applyFont="1" applyFill="1" applyBorder="1" applyAlignment="1">
      <alignment horizontal="center" vertical="center" wrapText="1"/>
    </xf>
    <xf numFmtId="169" fontId="41" fillId="0" borderId="12" xfId="0" applyNumberFormat="1" applyFont="1" applyBorder="1" applyAlignment="1">
      <alignment horizontal="center" vertical="center" wrapText="1"/>
    </xf>
    <xf numFmtId="4" fontId="41" fillId="3" borderId="12" xfId="0" applyNumberFormat="1" applyFont="1" applyFill="1" applyBorder="1" applyAlignment="1">
      <alignment horizontal="center" vertical="center" wrapText="1"/>
    </xf>
    <xf numFmtId="0" fontId="41" fillId="3" borderId="37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41" fillId="3" borderId="38" xfId="0" applyFont="1" applyFill="1" applyBorder="1" applyAlignment="1">
      <alignment horizontal="center" vertical="center"/>
    </xf>
    <xf numFmtId="168" fontId="0" fillId="0" borderId="34" xfId="0" applyNumberFormat="1" applyBorder="1" applyAlignment="1">
      <alignment horizontal="center" vertical="center" wrapText="1"/>
    </xf>
    <xf numFmtId="168" fontId="0" fillId="0" borderId="16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46" fillId="3" borderId="36" xfId="0" applyFont="1" applyFill="1" applyBorder="1" applyAlignment="1">
      <alignment horizontal="left" vertical="center" wrapText="1"/>
    </xf>
    <xf numFmtId="2" fontId="44" fillId="3" borderId="36" xfId="0" applyNumberFormat="1" applyFont="1" applyFill="1" applyBorder="1" applyAlignment="1">
      <alignment horizontal="left" vertical="center" wrapText="1"/>
    </xf>
    <xf numFmtId="4" fontId="38" fillId="4" borderId="39" xfId="0" applyNumberFormat="1" applyFont="1" applyFill="1" applyBorder="1" applyAlignment="1">
      <alignment horizontal="center" vertical="center"/>
    </xf>
    <xf numFmtId="4" fontId="34" fillId="3" borderId="40" xfId="0" applyNumberFormat="1" applyFont="1" applyFill="1" applyBorder="1" applyAlignment="1">
      <alignment horizontal="center" vertical="center" wrapText="1"/>
    </xf>
    <xf numFmtId="4" fontId="38" fillId="5" borderId="39" xfId="0" applyNumberFormat="1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47" fillId="0" borderId="15" xfId="8" applyFont="1" applyBorder="1" applyAlignment="1">
      <alignment horizontal="left" vertical="center" wrapText="1"/>
    </xf>
    <xf numFmtId="0" fontId="47" fillId="0" borderId="14" xfId="8" applyFont="1" applyBorder="1" applyAlignment="1">
      <alignment horizontal="center" vertical="center" wrapText="1"/>
    </xf>
    <xf numFmtId="0" fontId="48" fillId="0" borderId="15" xfId="2" applyFont="1" applyBorder="1" applyAlignment="1">
      <alignment wrapText="1"/>
    </xf>
    <xf numFmtId="0" fontId="48" fillId="0" borderId="14" xfId="2" applyFont="1" applyBorder="1" applyAlignment="1">
      <alignment horizontal="center" vertical="center"/>
    </xf>
    <xf numFmtId="0" fontId="48" fillId="0" borderId="14" xfId="2" applyFont="1" applyBorder="1" applyAlignment="1">
      <alignment horizontal="center"/>
    </xf>
    <xf numFmtId="0" fontId="46" fillId="3" borderId="12" xfId="0" applyFont="1" applyFill="1" applyBorder="1" applyAlignment="1">
      <alignment vertical="center" wrapText="1"/>
    </xf>
    <xf numFmtId="168" fontId="41" fillId="3" borderId="18" xfId="0" applyNumberFormat="1" applyFont="1" applyFill="1" applyBorder="1" applyAlignment="1">
      <alignment horizontal="center" vertical="center" wrapText="1"/>
    </xf>
    <xf numFmtId="0" fontId="41" fillId="3" borderId="12" xfId="0" applyFont="1" applyFill="1" applyBorder="1" applyAlignment="1">
      <alignment horizontal="left" vertical="center" wrapText="1"/>
    </xf>
    <xf numFmtId="0" fontId="0" fillId="3" borderId="41" xfId="0" applyFill="1" applyBorder="1" applyAlignment="1">
      <alignment horizontal="center" vertical="center"/>
    </xf>
    <xf numFmtId="167" fontId="41" fillId="3" borderId="12" xfId="0" applyNumberFormat="1" applyFont="1" applyFill="1" applyBorder="1" applyAlignment="1">
      <alignment horizontal="center" vertical="center"/>
    </xf>
    <xf numFmtId="49" fontId="43" fillId="3" borderId="42" xfId="0" applyNumberFormat="1" applyFont="1" applyFill="1" applyBorder="1" applyAlignment="1">
      <alignment horizontal="left" vertical="center" wrapText="1"/>
    </xf>
    <xf numFmtId="0" fontId="47" fillId="0" borderId="1" xfId="8" applyFont="1" applyBorder="1" applyAlignment="1">
      <alignment horizontal="left" vertical="center" wrapText="1"/>
    </xf>
    <xf numFmtId="0" fontId="47" fillId="0" borderId="26" xfId="8" applyFont="1" applyBorder="1" applyAlignment="1">
      <alignment horizontal="center" vertical="center" wrapText="1"/>
    </xf>
    <xf numFmtId="0" fontId="41" fillId="3" borderId="41" xfId="0" applyFont="1" applyFill="1" applyBorder="1" applyAlignment="1">
      <alignment horizontal="left" vertical="center"/>
    </xf>
    <xf numFmtId="0" fontId="41" fillId="3" borderId="13" xfId="0" applyFont="1" applyFill="1" applyBorder="1" applyAlignment="1">
      <alignment horizontal="left" vertical="center"/>
    </xf>
    <xf numFmtId="0" fontId="41" fillId="0" borderId="13" xfId="0" applyFont="1" applyBorder="1" applyAlignment="1">
      <alignment horizontal="center" vertical="center" wrapText="1"/>
    </xf>
    <xf numFmtId="0" fontId="41" fillId="4" borderId="12" xfId="0" applyFont="1" applyFill="1" applyBorder="1" applyAlignment="1">
      <alignment horizontal="left" vertical="center"/>
    </xf>
    <xf numFmtId="0" fontId="41" fillId="3" borderId="14" xfId="0" applyFont="1" applyFill="1" applyBorder="1" applyAlignment="1">
      <alignment horizontal="left" vertical="center"/>
    </xf>
    <xf numFmtId="0" fontId="41" fillId="8" borderId="18" xfId="0" applyFont="1" applyFill="1" applyBorder="1" applyAlignment="1">
      <alignment horizontal="left" vertical="center"/>
    </xf>
    <xf numFmtId="0" fontId="41" fillId="9" borderId="18" xfId="0" applyFont="1" applyFill="1" applyBorder="1" applyAlignment="1">
      <alignment horizontal="left" vertical="center"/>
    </xf>
    <xf numFmtId="0" fontId="41" fillId="8" borderId="41" xfId="0" applyFont="1" applyFill="1" applyBorder="1" applyAlignment="1">
      <alignment horizontal="left" vertical="center"/>
    </xf>
    <xf numFmtId="0" fontId="41" fillId="3" borderId="17" xfId="0" applyFont="1" applyFill="1" applyBorder="1" applyAlignment="1">
      <alignment horizontal="left" vertical="center"/>
    </xf>
    <xf numFmtId="0" fontId="0" fillId="3" borderId="19" xfId="0" applyFill="1" applyBorder="1" applyAlignment="1">
      <alignment horizontal="center" vertical="center"/>
    </xf>
    <xf numFmtId="0" fontId="41" fillId="5" borderId="18" xfId="0" applyFont="1" applyFill="1" applyBorder="1" applyAlignment="1">
      <alignment horizontal="left" vertical="center"/>
    </xf>
    <xf numFmtId="0" fontId="41" fillId="5" borderId="12" xfId="0" applyFont="1" applyFill="1" applyBorder="1" applyAlignment="1">
      <alignment horizontal="left" vertical="center"/>
    </xf>
    <xf numFmtId="0" fontId="41" fillId="5" borderId="12" xfId="0" applyFont="1" applyFill="1" applyBorder="1" applyAlignment="1">
      <alignment horizontal="center" vertical="center" wrapText="1"/>
    </xf>
    <xf numFmtId="0" fontId="41" fillId="5" borderId="14" xfId="0" applyFont="1" applyFill="1" applyBorder="1" applyAlignment="1">
      <alignment horizontal="left" vertical="center"/>
    </xf>
    <xf numFmtId="0" fontId="41" fillId="5" borderId="17" xfId="0" applyFont="1" applyFill="1" applyBorder="1" applyAlignment="1">
      <alignment horizontal="left" vertical="center"/>
    </xf>
    <xf numFmtId="0" fontId="41" fillId="5" borderId="41" xfId="0" applyFont="1" applyFill="1" applyBorder="1" applyAlignment="1">
      <alignment horizontal="left" vertical="center"/>
    </xf>
    <xf numFmtId="0" fontId="41" fillId="5" borderId="13" xfId="0" applyFont="1" applyFill="1" applyBorder="1" applyAlignment="1">
      <alignment horizontal="left" vertical="center"/>
    </xf>
    <xf numFmtId="0" fontId="41" fillId="5" borderId="13" xfId="0" applyFont="1" applyFill="1" applyBorder="1" applyAlignment="1">
      <alignment horizontal="center" vertical="center" wrapText="1"/>
    </xf>
    <xf numFmtId="0" fontId="41" fillId="0" borderId="41" xfId="0" applyFont="1" applyBorder="1" applyAlignment="1">
      <alignment horizontal="left" vertical="center"/>
    </xf>
    <xf numFmtId="0" fontId="41" fillId="0" borderId="13" xfId="0" applyFont="1" applyBorder="1" applyAlignment="1">
      <alignment horizontal="left" vertical="center"/>
    </xf>
    <xf numFmtId="0" fontId="41" fillId="3" borderId="12" xfId="0" applyFont="1" applyFill="1" applyBorder="1" applyAlignment="1">
      <alignment horizontal="center" vertical="center" wrapText="1"/>
    </xf>
    <xf numFmtId="0" fontId="41" fillId="0" borderId="18" xfId="0" applyFont="1" applyBorder="1" applyAlignment="1">
      <alignment horizontal="left" vertical="center"/>
    </xf>
    <xf numFmtId="0" fontId="41" fillId="0" borderId="12" xfId="0" applyFont="1" applyBorder="1" applyAlignment="1">
      <alignment horizontal="left" vertical="center"/>
    </xf>
    <xf numFmtId="0" fontId="41" fillId="0" borderId="14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3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12" fillId="0" borderId="0" xfId="0" applyFont="1" applyAlignment="1">
      <alignment horizontal="left"/>
    </xf>
    <xf numFmtId="0" fontId="36" fillId="0" borderId="0" xfId="0" applyFont="1" applyAlignment="1">
      <alignment horizontal="center" vertical="center" wrapText="1"/>
    </xf>
    <xf numFmtId="4" fontId="10" fillId="0" borderId="0" xfId="0" applyNumberFormat="1" applyFont="1" applyAlignment="1">
      <alignment horizontal="center" vertical="top" wrapText="1"/>
    </xf>
    <xf numFmtId="4" fontId="10" fillId="0" borderId="1" xfId="0" applyNumberFormat="1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/>
    </xf>
    <xf numFmtId="49" fontId="43" fillId="3" borderId="43" xfId="0" applyNumberFormat="1" applyFont="1" applyFill="1" applyBorder="1" applyAlignment="1">
      <alignment horizontal="left" vertical="center" wrapText="1"/>
    </xf>
    <xf numFmtId="0" fontId="43" fillId="3" borderId="24" xfId="0" applyFont="1" applyFill="1" applyBorder="1" applyAlignment="1">
      <alignment horizontal="left" vertical="center" wrapText="1"/>
    </xf>
    <xf numFmtId="2" fontId="44" fillId="3" borderId="24" xfId="0" applyNumberFormat="1" applyFont="1" applyFill="1" applyBorder="1" applyAlignment="1">
      <alignment horizontal="left" vertical="center" wrapText="1"/>
    </xf>
    <xf numFmtId="0" fontId="47" fillId="0" borderId="0" xfId="8" applyFont="1" applyBorder="1" applyAlignment="1">
      <alignment horizontal="left" vertical="center" wrapText="1"/>
    </xf>
    <xf numFmtId="0" fontId="47" fillId="0" borderId="44" xfId="8" applyFont="1" applyBorder="1" applyAlignment="1">
      <alignment horizontal="center" vertical="center" wrapText="1"/>
    </xf>
    <xf numFmtId="4" fontId="41" fillId="3" borderId="44" xfId="0" applyNumberFormat="1" applyFont="1" applyFill="1" applyBorder="1" applyAlignment="1">
      <alignment horizontal="center" vertical="center" wrapText="1"/>
    </xf>
    <xf numFmtId="2" fontId="44" fillId="3" borderId="44" xfId="0" applyNumberFormat="1" applyFont="1" applyFill="1" applyBorder="1" applyAlignment="1">
      <alignment horizontal="left" vertical="center" wrapText="1"/>
    </xf>
    <xf numFmtId="0" fontId="23" fillId="0" borderId="45" xfId="98" applyNumberFormat="1" applyFont="1" applyBorder="1" applyAlignment="1">
      <alignment vertical="top" wrapText="1"/>
    </xf>
    <xf numFmtId="167" fontId="23" fillId="0" borderId="45" xfId="98" applyNumberFormat="1" applyFont="1" applyBorder="1" applyAlignment="1">
      <alignment vertical="top"/>
    </xf>
    <xf numFmtId="1" fontId="23" fillId="0" borderId="45" xfId="98" applyNumberFormat="1" applyFont="1" applyBorder="1" applyAlignment="1">
      <alignment vertical="top"/>
    </xf>
    <xf numFmtId="2" fontId="41" fillId="3" borderId="12" xfId="0" applyNumberFormat="1" applyFont="1" applyFill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41" fillId="3" borderId="13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41" fillId="0" borderId="18" xfId="0" applyFont="1" applyFill="1" applyBorder="1" applyAlignment="1">
      <alignment horizontal="left" vertical="center"/>
    </xf>
    <xf numFmtId="0" fontId="41" fillId="0" borderId="12" xfId="0" applyFont="1" applyFill="1" applyBorder="1" applyAlignment="1">
      <alignment horizontal="left" vertical="center"/>
    </xf>
    <xf numFmtId="0" fontId="41" fillId="0" borderId="4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left"/>
    </xf>
    <xf numFmtId="0" fontId="36" fillId="0" borderId="0" xfId="0" applyFont="1" applyAlignment="1">
      <alignment horizontal="center" vertical="center" wrapText="1"/>
    </xf>
    <xf numFmtId="4" fontId="10" fillId="0" borderId="0" xfId="0" applyNumberFormat="1" applyFont="1" applyAlignment="1">
      <alignment horizontal="center" vertical="top" wrapText="1"/>
    </xf>
    <xf numFmtId="4" fontId="10" fillId="0" borderId="1" xfId="0" applyNumberFormat="1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/>
    </xf>
    <xf numFmtId="0" fontId="3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41" fillId="0" borderId="41" xfId="0" applyNumberFormat="1" applyFont="1" applyBorder="1" applyAlignment="1">
      <alignment horizontal="left" vertical="center"/>
    </xf>
    <xf numFmtId="0" fontId="32" fillId="0" borderId="46" xfId="0" applyFont="1" applyBorder="1" applyAlignment="1">
      <alignment horizontal="left" vertical="top" wrapText="1"/>
    </xf>
    <xf numFmtId="4" fontId="10" fillId="0" borderId="0" xfId="0" applyNumberFormat="1" applyFont="1" applyBorder="1" applyAlignment="1">
      <alignment horizontal="center" vertical="top" wrapText="1"/>
    </xf>
    <xf numFmtId="0" fontId="11" fillId="2" borderId="0" xfId="0" applyFont="1" applyFill="1" applyBorder="1" applyAlignment="1">
      <alignment horizontal="center"/>
    </xf>
    <xf numFmtId="0" fontId="15" fillId="6" borderId="0" xfId="0" applyFont="1" applyFill="1" applyBorder="1" applyAlignment="1">
      <alignment horizontal="center" vertical="top" wrapText="1"/>
    </xf>
    <xf numFmtId="0" fontId="0" fillId="3" borderId="0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0" fontId="41" fillId="3" borderId="0" xfId="0" applyFont="1" applyFill="1" applyBorder="1" applyAlignment="1">
      <alignment horizontal="left" vertical="center"/>
    </xf>
    <xf numFmtId="0" fontId="30" fillId="4" borderId="0" xfId="0" applyFont="1" applyFill="1" applyBorder="1" applyAlignment="1">
      <alignment horizontal="center" vertical="center"/>
    </xf>
    <xf numFmtId="0" fontId="30" fillId="3" borderId="0" xfId="0" applyFont="1" applyFill="1" applyBorder="1" applyAlignment="1">
      <alignment horizontal="center" vertical="center"/>
    </xf>
    <xf numFmtId="0" fontId="30" fillId="5" borderId="0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12" fillId="0" borderId="0" xfId="0" applyFont="1" applyAlignment="1">
      <alignment horizontal="left"/>
    </xf>
    <xf numFmtId="0" fontId="36" fillId="0" borderId="0" xfId="0" applyFont="1" applyAlignment="1">
      <alignment horizontal="center" vertical="center" wrapText="1"/>
    </xf>
    <xf numFmtId="4" fontId="10" fillId="0" borderId="0" xfId="0" applyNumberFormat="1" applyFont="1" applyAlignment="1">
      <alignment horizontal="center" vertical="top" wrapText="1"/>
    </xf>
    <xf numFmtId="4" fontId="10" fillId="0" borderId="1" xfId="0" applyNumberFormat="1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/>
    </xf>
    <xf numFmtId="4" fontId="10" fillId="3" borderId="1" xfId="0" applyNumberFormat="1" applyFont="1" applyFill="1" applyBorder="1" applyAlignment="1">
      <alignment horizontal="center" vertical="top" wrapText="1"/>
    </xf>
    <xf numFmtId="4" fontId="8" fillId="3" borderId="0" xfId="0" applyNumberFormat="1" applyFont="1" applyFill="1" applyAlignment="1">
      <alignment horizontal="center"/>
    </xf>
    <xf numFmtId="4" fontId="8" fillId="3" borderId="0" xfId="0" applyNumberFormat="1" applyFont="1" applyFill="1" applyAlignment="1">
      <alignment vertical="center"/>
    </xf>
    <xf numFmtId="166" fontId="8" fillId="3" borderId="0" xfId="1" applyNumberFormat="1" applyFont="1" applyFill="1" applyBorder="1" applyAlignment="1">
      <alignment horizontal="center" vertical="center" wrapText="1"/>
    </xf>
    <xf numFmtId="0" fontId="0" fillId="3" borderId="0" xfId="0" applyFill="1"/>
    <xf numFmtId="4" fontId="39" fillId="3" borderId="32" xfId="0" applyNumberFormat="1" applyFont="1" applyFill="1" applyBorder="1" applyAlignment="1">
      <alignment horizontal="center" vertical="center" wrapText="1"/>
    </xf>
    <xf numFmtId="0" fontId="30" fillId="3" borderId="33" xfId="0" applyFont="1" applyFill="1" applyBorder="1" applyAlignment="1">
      <alignment horizontal="center" vertical="center"/>
    </xf>
    <xf numFmtId="0" fontId="32" fillId="3" borderId="0" xfId="0" applyFont="1" applyFill="1" applyAlignment="1">
      <alignment horizontal="left" vertical="top" wrapText="1"/>
    </xf>
    <xf numFmtId="0" fontId="32" fillId="3" borderId="0" xfId="0" applyFont="1" applyFill="1"/>
    <xf numFmtId="0" fontId="12" fillId="3" borderId="0" xfId="0" applyFont="1" applyFill="1" applyAlignment="1">
      <alignment horizontal="left" vertical="top" wrapText="1"/>
    </xf>
    <xf numFmtId="0" fontId="12" fillId="3" borderId="0" xfId="0" applyFont="1" applyFill="1" applyAlignment="1">
      <alignment horizontal="left"/>
    </xf>
    <xf numFmtId="0" fontId="0" fillId="3" borderId="0" xfId="0" applyFill="1" applyAlignment="1">
      <alignment horizontal="center" vertical="center"/>
    </xf>
    <xf numFmtId="49" fontId="43" fillId="3" borderId="0" xfId="0" applyNumberFormat="1" applyFont="1" applyFill="1" applyBorder="1" applyAlignment="1">
      <alignment horizontal="left" vertical="center" wrapText="1"/>
    </xf>
    <xf numFmtId="0" fontId="43" fillId="3" borderId="0" xfId="0" applyFont="1" applyFill="1" applyBorder="1" applyAlignment="1">
      <alignment horizontal="left" vertical="center" wrapText="1"/>
    </xf>
    <xf numFmtId="2" fontId="44" fillId="3" borderId="0" xfId="0" applyNumberFormat="1" applyFont="1" applyFill="1" applyBorder="1" applyAlignment="1">
      <alignment horizontal="left" vertical="center" wrapText="1"/>
    </xf>
    <xf numFmtId="0" fontId="47" fillId="0" borderId="0" xfId="8" applyFont="1" applyBorder="1" applyAlignment="1">
      <alignment horizontal="center" vertical="center" wrapText="1"/>
    </xf>
    <xf numFmtId="4" fontId="41" fillId="3" borderId="0" xfId="0" applyNumberFormat="1" applyFont="1" applyFill="1" applyBorder="1" applyAlignment="1">
      <alignment horizontal="center" vertical="center" wrapText="1"/>
    </xf>
    <xf numFmtId="0" fontId="23" fillId="0" borderId="0" xfId="98" applyNumberFormat="1" applyFont="1" applyBorder="1" applyAlignment="1">
      <alignment vertical="top" wrapText="1"/>
    </xf>
    <xf numFmtId="0" fontId="0" fillId="0" borderId="0" xfId="0" applyFill="1" applyBorder="1"/>
    <xf numFmtId="4" fontId="8" fillId="3" borderId="0" xfId="0" applyNumberFormat="1" applyFont="1" applyFill="1"/>
    <xf numFmtId="0" fontId="32" fillId="3" borderId="0" xfId="0" applyFont="1" applyFill="1" applyAlignment="1">
      <alignment horizontal="center" vertical="top" wrapText="1"/>
    </xf>
    <xf numFmtId="0" fontId="0" fillId="3" borderId="47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left"/>
    </xf>
    <xf numFmtId="4" fontId="10" fillId="0" borderId="1" xfId="0" applyNumberFormat="1" applyFont="1" applyBorder="1" applyAlignment="1">
      <alignment horizontal="center" vertical="top" wrapText="1"/>
    </xf>
    <xf numFmtId="0" fontId="12" fillId="0" borderId="0" xfId="0" applyFont="1" applyAlignment="1">
      <alignment horizontal="center"/>
    </xf>
    <xf numFmtId="0" fontId="3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49" fillId="0" borderId="12" xfId="99" applyNumberFormat="1" applyFont="1" applyBorder="1" applyAlignment="1">
      <alignment horizontal="center" vertical="top" wrapText="1"/>
    </xf>
    <xf numFmtId="0" fontId="50" fillId="0" borderId="12" xfId="99" applyNumberFormat="1" applyFont="1" applyBorder="1" applyAlignment="1">
      <alignment vertical="top" wrapText="1"/>
    </xf>
    <xf numFmtId="167" fontId="49" fillId="0" borderId="12" xfId="99" applyNumberFormat="1" applyFont="1" applyBorder="1" applyAlignment="1">
      <alignment horizontal="right" vertical="top" wrapText="1"/>
    </xf>
    <xf numFmtId="2" fontId="50" fillId="0" borderId="12" xfId="99" applyNumberFormat="1" applyFont="1" applyBorder="1" applyAlignment="1">
      <alignment horizontal="right" vertical="top" wrapText="1"/>
    </xf>
    <xf numFmtId="4" fontId="50" fillId="0" borderId="12" xfId="99" applyNumberFormat="1" applyFont="1" applyBorder="1" applyAlignment="1">
      <alignment horizontal="right" vertical="top" wrapText="1"/>
    </xf>
    <xf numFmtId="169" fontId="49" fillId="0" borderId="12" xfId="99" applyNumberFormat="1" applyFont="1" applyBorder="1" applyAlignment="1">
      <alignment horizontal="right" vertical="top" wrapText="1"/>
    </xf>
    <xf numFmtId="168" fontId="51" fillId="4" borderId="31" xfId="0" applyNumberFormat="1" applyFont="1" applyFill="1" applyBorder="1" applyAlignment="1">
      <alignment horizontal="left" vertical="top" wrapText="1"/>
    </xf>
    <xf numFmtId="0" fontId="51" fillId="4" borderId="32" xfId="0" applyFont="1" applyFill="1" applyBorder="1" applyAlignment="1">
      <alignment horizontal="left" vertical="top" wrapText="1"/>
    </xf>
    <xf numFmtId="4" fontId="51" fillId="4" borderId="32" xfId="0" applyNumberFormat="1" applyFont="1" applyFill="1" applyBorder="1" applyAlignment="1">
      <alignment horizontal="center" vertical="center" wrapText="1"/>
    </xf>
    <xf numFmtId="168" fontId="52" fillId="0" borderId="16" xfId="0" applyNumberFormat="1" applyFont="1" applyBorder="1" applyAlignment="1">
      <alignment horizontal="center" vertical="center" wrapText="1"/>
    </xf>
    <xf numFmtId="0" fontId="52" fillId="0" borderId="12" xfId="0" applyFont="1" applyBorder="1" applyAlignment="1">
      <alignment horizontal="center" vertical="center" wrapText="1"/>
    </xf>
    <xf numFmtId="4" fontId="49" fillId="3" borderId="12" xfId="0" applyNumberFormat="1" applyFont="1" applyFill="1" applyBorder="1" applyAlignment="1">
      <alignment horizontal="right" vertical="center" wrapText="1"/>
    </xf>
    <xf numFmtId="0" fontId="41" fillId="3" borderId="14" xfId="0" applyFont="1" applyFill="1" applyBorder="1" applyAlignment="1">
      <alignment horizontal="right" vertical="center"/>
    </xf>
    <xf numFmtId="0" fontId="52" fillId="0" borderId="12" xfId="0" applyFont="1" applyBorder="1" applyAlignment="1">
      <alignment horizontal="left" vertical="center" wrapText="1"/>
    </xf>
    <xf numFmtId="167" fontId="53" fillId="0" borderId="12" xfId="99" applyNumberFormat="1" applyFont="1" applyBorder="1" applyAlignment="1">
      <alignment horizontal="right" vertical="top" wrapText="1"/>
    </xf>
    <xf numFmtId="2" fontId="53" fillId="0" borderId="12" xfId="99" applyNumberFormat="1" applyFont="1" applyBorder="1" applyAlignment="1">
      <alignment horizontal="right" vertical="top" wrapText="1"/>
    </xf>
    <xf numFmtId="0" fontId="53" fillId="0" borderId="12" xfId="99" applyNumberFormat="1" applyFont="1" applyBorder="1" applyAlignment="1">
      <alignment horizontal="center" vertical="top" wrapText="1"/>
    </xf>
    <xf numFmtId="0" fontId="53" fillId="0" borderId="12" xfId="99" applyNumberFormat="1" applyFont="1" applyBorder="1" applyAlignment="1">
      <alignment vertical="top" wrapText="1"/>
    </xf>
    <xf numFmtId="4" fontId="53" fillId="0" borderId="12" xfId="99" applyNumberFormat="1" applyFont="1" applyBorder="1" applyAlignment="1">
      <alignment horizontal="right" vertical="top" wrapText="1"/>
    </xf>
    <xf numFmtId="4" fontId="51" fillId="4" borderId="33" xfId="0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12" fillId="0" borderId="0" xfId="0" applyFont="1" applyAlignment="1">
      <alignment horizontal="left"/>
    </xf>
    <xf numFmtId="4" fontId="10" fillId="0" borderId="1" xfId="0" applyNumberFormat="1" applyFont="1" applyBorder="1" applyAlignment="1">
      <alignment horizontal="center" vertical="top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left"/>
    </xf>
    <xf numFmtId="0" fontId="40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4" fontId="10" fillId="0" borderId="0" xfId="0" applyNumberFormat="1" applyFont="1" applyAlignment="1">
      <alignment horizontal="center" vertical="top" wrapText="1"/>
    </xf>
    <xf numFmtId="4" fontId="10" fillId="0" borderId="1" xfId="0" applyNumberFormat="1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 vertical="top" wrapText="1"/>
    </xf>
    <xf numFmtId="0" fontId="11" fillId="2" borderId="12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 vertical="top" wrapText="1"/>
    </xf>
    <xf numFmtId="0" fontId="15" fillId="7" borderId="27" xfId="0" applyFont="1" applyFill="1" applyBorder="1" applyAlignment="1">
      <alignment horizontal="center" vertical="top" wrapText="1"/>
    </xf>
    <xf numFmtId="0" fontId="15" fillId="7" borderId="28" xfId="0" applyFont="1" applyFill="1" applyBorder="1" applyAlignment="1">
      <alignment horizontal="center" vertical="top" wrapText="1"/>
    </xf>
    <xf numFmtId="0" fontId="15" fillId="6" borderId="27" xfId="0" applyFont="1" applyFill="1" applyBorder="1" applyAlignment="1">
      <alignment horizontal="center" vertical="top" wrapText="1"/>
    </xf>
    <xf numFmtId="0" fontId="15" fillId="6" borderId="28" xfId="0" applyFont="1" applyFill="1" applyBorder="1" applyAlignment="1">
      <alignment horizontal="center" vertical="top" wrapText="1"/>
    </xf>
    <xf numFmtId="0" fontId="15" fillId="6" borderId="29" xfId="0" applyFont="1" applyFill="1" applyBorder="1" applyAlignment="1">
      <alignment horizontal="center" vertical="top" wrapText="1"/>
    </xf>
    <xf numFmtId="0" fontId="0" fillId="3" borderId="24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1" fillId="3" borderId="24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12" fillId="0" borderId="0" xfId="0" applyFont="1" applyAlignment="1">
      <alignment horizontal="left" vertical="top" wrapText="1"/>
    </xf>
    <xf numFmtId="0" fontId="0" fillId="3" borderId="2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 wrapText="1"/>
    </xf>
    <xf numFmtId="0" fontId="0" fillId="3" borderId="40" xfId="0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 wrapText="1"/>
    </xf>
    <xf numFmtId="0" fontId="0" fillId="3" borderId="44" xfId="0" applyFill="1" applyBorder="1" applyAlignment="1">
      <alignment horizontal="center" vertical="center"/>
    </xf>
  </cellXfs>
  <cellStyles count="100">
    <cellStyle name="Comma 2" xfId="57" xr:uid="{00000000-0005-0000-0000-000000000000}"/>
    <cellStyle name="Excel Built-in Normal" xfId="16" xr:uid="{00000000-0005-0000-0000-000001000000}"/>
    <cellStyle name="IvkDocStyle 1" xfId="17" xr:uid="{00000000-0005-0000-0000-000002000000}"/>
    <cellStyle name="IvkDocStyle 10" xfId="18" xr:uid="{00000000-0005-0000-0000-000003000000}"/>
    <cellStyle name="IvkDocStyle 11" xfId="19" xr:uid="{00000000-0005-0000-0000-000004000000}"/>
    <cellStyle name="IvkDocStyle 12" xfId="20" xr:uid="{00000000-0005-0000-0000-000005000000}"/>
    <cellStyle name="IvkDocStyle 13" xfId="21" xr:uid="{00000000-0005-0000-0000-000006000000}"/>
    <cellStyle name="IvkDocStyle 19" xfId="22" xr:uid="{00000000-0005-0000-0000-000007000000}"/>
    <cellStyle name="IvkDocStyle 2" xfId="23" xr:uid="{00000000-0005-0000-0000-000008000000}"/>
    <cellStyle name="IvkDocStyle 20" xfId="24" xr:uid="{00000000-0005-0000-0000-000009000000}"/>
    <cellStyle name="IvkDocStyle 21" xfId="25" xr:uid="{00000000-0005-0000-0000-00000A000000}"/>
    <cellStyle name="IvkDocStyle 22" xfId="26" xr:uid="{00000000-0005-0000-0000-00000B000000}"/>
    <cellStyle name="IvkDocStyle 23" xfId="27" xr:uid="{00000000-0005-0000-0000-00000C000000}"/>
    <cellStyle name="IvkDocStyle 24" xfId="28" xr:uid="{00000000-0005-0000-0000-00000D000000}"/>
    <cellStyle name="IvkDocStyle 25" xfId="29" xr:uid="{00000000-0005-0000-0000-00000E000000}"/>
    <cellStyle name="IvkDocStyle 26" xfId="30" xr:uid="{00000000-0005-0000-0000-00000F000000}"/>
    <cellStyle name="IvkDocStyle 27" xfId="31" xr:uid="{00000000-0005-0000-0000-000010000000}"/>
    <cellStyle name="IvkDocStyle 28" xfId="32" xr:uid="{00000000-0005-0000-0000-000011000000}"/>
    <cellStyle name="IvkDocStyle 29" xfId="33" xr:uid="{00000000-0005-0000-0000-000012000000}"/>
    <cellStyle name="IvkDocStyle 3" xfId="34" xr:uid="{00000000-0005-0000-0000-000013000000}"/>
    <cellStyle name="IvkDocStyle 30" xfId="35" xr:uid="{00000000-0005-0000-0000-000014000000}"/>
    <cellStyle name="IvkDocStyle 31" xfId="36" xr:uid="{00000000-0005-0000-0000-000015000000}"/>
    <cellStyle name="IvkDocStyle 32" xfId="37" xr:uid="{00000000-0005-0000-0000-000016000000}"/>
    <cellStyle name="IvkDocStyle 33" xfId="38" xr:uid="{00000000-0005-0000-0000-000017000000}"/>
    <cellStyle name="IvkDocStyle 34" xfId="39" xr:uid="{00000000-0005-0000-0000-000018000000}"/>
    <cellStyle name="IvkDocStyle 35" xfId="40" xr:uid="{00000000-0005-0000-0000-000019000000}"/>
    <cellStyle name="IvkDocStyle 36" xfId="41" xr:uid="{00000000-0005-0000-0000-00001A000000}"/>
    <cellStyle name="IvkDocStyle 39" xfId="42" xr:uid="{00000000-0005-0000-0000-00001B000000}"/>
    <cellStyle name="IvkDocStyle 4" xfId="43" xr:uid="{00000000-0005-0000-0000-00001C000000}"/>
    <cellStyle name="IvkDocStyle 5" xfId="44" xr:uid="{00000000-0005-0000-0000-00001D000000}"/>
    <cellStyle name="IvkDocStyle 6" xfId="45" xr:uid="{00000000-0005-0000-0000-00001E000000}"/>
    <cellStyle name="IvkDocStyle 7" xfId="46" xr:uid="{00000000-0005-0000-0000-00001F000000}"/>
    <cellStyle name="IvkDocStyle 9" xfId="47" xr:uid="{00000000-0005-0000-0000-000020000000}"/>
    <cellStyle name="Normal 2" xfId="50" xr:uid="{00000000-0005-0000-0000-000021000000}"/>
    <cellStyle name="Normal 3" xfId="56" xr:uid="{00000000-0005-0000-0000-000022000000}"/>
    <cellStyle name="Normal_Cost Plan Alupka -- Notes -- Issue 1" xfId="64" xr:uid="{00000000-0005-0000-0000-000023000000}"/>
    <cellStyle name="TableStyleLight1_первоначальные работы" xfId="51" xr:uid="{00000000-0005-0000-0000-000024000000}"/>
    <cellStyle name="Обычный" xfId="0" builtinId="0"/>
    <cellStyle name="Обычный 10" xfId="4" xr:uid="{00000000-0005-0000-0000-000026000000}"/>
    <cellStyle name="Обычный 10 2" xfId="76" xr:uid="{00000000-0005-0000-0000-000027000000}"/>
    <cellStyle name="Обычный 11" xfId="2" xr:uid="{00000000-0005-0000-0000-000028000000}"/>
    <cellStyle name="Обычный 11 10" xfId="90" xr:uid="{00000000-0005-0000-0000-000029000000}"/>
    <cellStyle name="Обычный 11 11" xfId="92" xr:uid="{00000000-0005-0000-0000-00002A000000}"/>
    <cellStyle name="Обычный 11 12" xfId="94" xr:uid="{00000000-0005-0000-0000-00002B000000}"/>
    <cellStyle name="Обычный 11 2" xfId="12" xr:uid="{00000000-0005-0000-0000-00002C000000}"/>
    <cellStyle name="Обычный 11 3" xfId="73" xr:uid="{00000000-0005-0000-0000-00002D000000}"/>
    <cellStyle name="Обычный 11 4" xfId="79" xr:uid="{00000000-0005-0000-0000-00002E000000}"/>
    <cellStyle name="Обычный 11 5" xfId="81" xr:uid="{00000000-0005-0000-0000-00002F000000}"/>
    <cellStyle name="Обычный 11 6" xfId="83" xr:uid="{00000000-0005-0000-0000-000030000000}"/>
    <cellStyle name="Обычный 11 7" xfId="85" xr:uid="{00000000-0005-0000-0000-000031000000}"/>
    <cellStyle name="Обычный 11 8" xfId="6" xr:uid="{00000000-0005-0000-0000-000032000000}"/>
    <cellStyle name="Обычный 11 9" xfId="5" xr:uid="{00000000-0005-0000-0000-000033000000}"/>
    <cellStyle name="Обычный 12" xfId="13" xr:uid="{00000000-0005-0000-0000-000034000000}"/>
    <cellStyle name="Обычный 12 2" xfId="69" xr:uid="{00000000-0005-0000-0000-000035000000}"/>
    <cellStyle name="Обычный 13" xfId="72" xr:uid="{00000000-0005-0000-0000-000036000000}"/>
    <cellStyle name="Обычный 13 3" xfId="97" xr:uid="{00000000-0005-0000-0000-000037000000}"/>
    <cellStyle name="Обычный 14" xfId="74" xr:uid="{00000000-0005-0000-0000-000038000000}"/>
    <cellStyle name="Обычный 15" xfId="75" xr:uid="{00000000-0005-0000-0000-000039000000}"/>
    <cellStyle name="Обычный 16" xfId="77" xr:uid="{00000000-0005-0000-0000-00003A000000}"/>
    <cellStyle name="Обычный 17" xfId="11" xr:uid="{00000000-0005-0000-0000-00003B000000}"/>
    <cellStyle name="Обычный 18" xfId="78" xr:uid="{00000000-0005-0000-0000-00003C000000}"/>
    <cellStyle name="Обычный 19" xfId="80" xr:uid="{00000000-0005-0000-0000-00003D000000}"/>
    <cellStyle name="Обычный 2" xfId="14" xr:uid="{00000000-0005-0000-0000-00003E000000}"/>
    <cellStyle name="Обычный 2 2" xfId="49" xr:uid="{00000000-0005-0000-0000-00003F000000}"/>
    <cellStyle name="Обычный 2 2 2" xfId="53" xr:uid="{00000000-0005-0000-0000-000040000000}"/>
    <cellStyle name="Обычный 2 2 3" xfId="70" xr:uid="{00000000-0005-0000-0000-000041000000}"/>
    <cellStyle name="Обычный 2 3" xfId="8" xr:uid="{00000000-0005-0000-0000-000042000000}"/>
    <cellStyle name="Обычный 2 3 2" xfId="54" xr:uid="{00000000-0005-0000-0000-000043000000}"/>
    <cellStyle name="Обычный 2 4" xfId="52" xr:uid="{00000000-0005-0000-0000-000044000000}"/>
    <cellStyle name="Обычный 2 5" xfId="58" xr:uid="{00000000-0005-0000-0000-000045000000}"/>
    <cellStyle name="Обычный 2 6" xfId="61" xr:uid="{00000000-0005-0000-0000-000046000000}"/>
    <cellStyle name="Обычный 2 7" xfId="71" xr:uid="{00000000-0005-0000-0000-000047000000}"/>
    <cellStyle name="Обычный 2 8" xfId="48" xr:uid="{00000000-0005-0000-0000-000048000000}"/>
    <cellStyle name="Обычный 2_kes ua-propoz" xfId="55" xr:uid="{00000000-0005-0000-0000-000049000000}"/>
    <cellStyle name="Обычный 20" xfId="82" xr:uid="{00000000-0005-0000-0000-00004A000000}"/>
    <cellStyle name="Обычный 21" xfId="84" xr:uid="{00000000-0005-0000-0000-00004B000000}"/>
    <cellStyle name="Обычный 22" xfId="7" xr:uid="{00000000-0005-0000-0000-00004C000000}"/>
    <cellStyle name="Обычный 22 2" xfId="87" xr:uid="{00000000-0005-0000-0000-00004D000000}"/>
    <cellStyle name="Обычный 23" xfId="9" xr:uid="{00000000-0005-0000-0000-00004E000000}"/>
    <cellStyle name="Обычный 23 2" xfId="88" xr:uid="{00000000-0005-0000-0000-00004F000000}"/>
    <cellStyle name="Обычный 24" xfId="89" xr:uid="{00000000-0005-0000-0000-000050000000}"/>
    <cellStyle name="Обычный 25" xfId="91" xr:uid="{00000000-0005-0000-0000-000051000000}"/>
    <cellStyle name="Обычный 26" xfId="93" xr:uid="{00000000-0005-0000-0000-000052000000}"/>
    <cellStyle name="Обычный 27" xfId="15" xr:uid="{00000000-0005-0000-0000-000053000000}"/>
    <cellStyle name="Обычный 3" xfId="62" xr:uid="{00000000-0005-0000-0000-000054000000}"/>
    <cellStyle name="Обычный 4" xfId="3" xr:uid="{00000000-0005-0000-0000-000055000000}"/>
    <cellStyle name="Обычный 4 2" xfId="63" xr:uid="{00000000-0005-0000-0000-000056000000}"/>
    <cellStyle name="Обычный 5" xfId="10" xr:uid="{00000000-0005-0000-0000-000057000000}"/>
    <cellStyle name="Обычный 5 3" xfId="60" xr:uid="{00000000-0005-0000-0000-000058000000}"/>
    <cellStyle name="Обычный 6" xfId="65" xr:uid="{00000000-0005-0000-0000-000059000000}"/>
    <cellStyle name="Обычный 7" xfId="66" xr:uid="{00000000-0005-0000-0000-00005A000000}"/>
    <cellStyle name="Обычный 8" xfId="67" xr:uid="{00000000-0005-0000-0000-00005B000000}"/>
    <cellStyle name="Обычный 9" xfId="68" xr:uid="{00000000-0005-0000-0000-00005C000000}"/>
    <cellStyle name="Обычный 9 2" xfId="59" xr:uid="{00000000-0005-0000-0000-00005D000000}"/>
    <cellStyle name="Обычный 9 3" xfId="86" xr:uid="{00000000-0005-0000-0000-00005E000000}"/>
    <cellStyle name="Обычный_М29 №1" xfId="98" xr:uid="{614370AE-AB79-436C-8B2F-CAA5A18B8151}"/>
    <cellStyle name="Обычный_М29 МАЛ №1" xfId="99" xr:uid="{74B3A73F-5D0C-474E-8FD7-0B5560CDE300}"/>
    <cellStyle name="Финансовый 2" xfId="1" xr:uid="{00000000-0005-0000-0000-00005F000000}"/>
    <cellStyle name="Финансовый 3" xfId="96" xr:uid="{00000000-0005-0000-0000-000060000000}"/>
    <cellStyle name="Финансовый 4" xfId="95" xr:uid="{00000000-0005-0000-0000-000061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Microsoft/Olk/Attachments/ooa-5b8e18da-b6b2-49eb-9807-8c8412291b18/6f688f23362c490f3b8bbd2c411d82dd7187630ac08bb62cbcd1e07246fec741/&#1042;&#1054;&#1054;&#1047;%2002.0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Microsoft/Olk/Attachments/ooa-5b8e18da-b6b2-49eb-9807-8c8412291b18/6f688f23362c490f3b8bbd2c411d82dd7187630ac08bb62cbcd1e07246fec741/&#1052;&#1072;&#1090;&#1077;&#1088;&#1110;&#1072;&#1083;&#1080;%20&#1042;&#1054;&#1054;&#1047;%203/&#1086;&#1089;&#1085;&#1086;&#1074;&#1085;&#1110;%20&#1084;&#1072;&#1090;&#1077;&#1088;&#1110;&#1072;&#1083;&#1080;%20&#1042;&#1054;&#1054;&#104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Microsoft/Olk/Attachments/ooa-5b8e18da-b6b2-49eb-9807-8c8412291b18/6f688f23362c490f3b8bbd2c411d82dd7187630ac08bb62cbcd1e07246fec741/&#1047;&#1072;&#1083;&#1080;&#1096;&#1082;&#1080;%20&#1086;&#1089;&#1085;&#1086;&#1074;&#1085;&#1080;&#1093;%20&#1084;&#1072;&#1090;&#1077;&#1088;&#1110;&#1072;&#1083;&#1110;&#107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2">
          <cell r="A12" t="str">
            <v>00-00005670</v>
          </cell>
          <cell r="B12" t="str">
            <v>Автомат введення резерву  2п 100A</v>
          </cell>
          <cell r="C12" t="str">
            <v>шт</v>
          </cell>
          <cell r="D12">
            <v>3</v>
          </cell>
        </row>
        <row r="13">
          <cell r="A13" t="str">
            <v>00-00005166</v>
          </cell>
          <cell r="B13" t="str">
            <v>Автомат введення резерву АВР ATS 2P 63A 220 перемикач BTOQ3-63</v>
          </cell>
          <cell r="C13" t="str">
            <v>шт</v>
          </cell>
          <cell r="D13">
            <v>4</v>
          </cell>
        </row>
        <row r="14">
          <cell r="A14" t="str">
            <v>00-00003557</v>
          </cell>
          <cell r="B14" t="str">
            <v>Автоматичний вимикач  1 п 10А</v>
          </cell>
          <cell r="C14" t="str">
            <v>шт</v>
          </cell>
          <cell r="D14">
            <v>42</v>
          </cell>
        </row>
        <row r="15">
          <cell r="A15" t="str">
            <v>00-00003558</v>
          </cell>
          <cell r="B15" t="str">
            <v>Автоматичний вимикач  1 п 16А  С</v>
          </cell>
          <cell r="C15" t="str">
            <v>шт</v>
          </cell>
          <cell r="D15">
            <v>103</v>
          </cell>
        </row>
        <row r="16">
          <cell r="A16" t="str">
            <v>00-00000412</v>
          </cell>
          <cell r="B16" t="str">
            <v>Автоматичний вимикач  1 п 25А  C e mcb stand 45 1 c25 1p 25A C 4.5KA</v>
          </cell>
          <cell r="C16" t="str">
            <v>шт</v>
          </cell>
          <cell r="D16">
            <v>21</v>
          </cell>
        </row>
        <row r="17">
          <cell r="A17" t="str">
            <v>00-00000210</v>
          </cell>
          <cell r="B17" t="str">
            <v>Аерозоль Лідер (RAL 9010) білий глянцевий 400 мл</v>
          </cell>
          <cell r="C17" t="str">
            <v>шт</v>
          </cell>
          <cell r="D17">
            <v>6</v>
          </cell>
        </row>
        <row r="18">
          <cell r="A18" t="str">
            <v>00-00004981</v>
          </cell>
          <cell r="B18" t="str">
            <v>Аквапанель 2000х1200х12,5</v>
          </cell>
          <cell r="C18" t="str">
            <v>м кв</v>
          </cell>
          <cell r="D18">
            <v>14</v>
          </cell>
        </row>
        <row r="19">
          <cell r="A19" t="str">
            <v>00-00005088</v>
          </cell>
          <cell r="B19" t="str">
            <v>Акумулятор 12V, 2,0Аh</v>
          </cell>
          <cell r="C19" t="str">
            <v>шт</v>
          </cell>
          <cell r="D19">
            <v>13</v>
          </cell>
        </row>
        <row r="20">
          <cell r="A20">
            <v>355</v>
          </cell>
          <cell r="B20" t="str">
            <v>Болт кріплення для бойлера, М10х100мм ( 2шт)</v>
          </cell>
          <cell r="C20" t="str">
            <v>шт</v>
          </cell>
          <cell r="D20">
            <v>2</v>
          </cell>
        </row>
        <row r="21">
          <cell r="A21">
            <v>5355</v>
          </cell>
          <cell r="B21" t="str">
            <v>Болт М16*90  DIN 933 з шест.голівкою цб</v>
          </cell>
          <cell r="C21" t="str">
            <v>шт</v>
          </cell>
          <cell r="D21">
            <v>200</v>
          </cell>
        </row>
        <row r="22">
          <cell r="A22" t="str">
            <v>00-00005270</v>
          </cell>
          <cell r="B22" t="str">
            <v>Брезент вогнестійкий  1,5*1,8</v>
          </cell>
          <cell r="C22" t="str">
            <v>шт</v>
          </cell>
          <cell r="D22">
            <v>4</v>
          </cell>
        </row>
        <row r="23">
          <cell r="A23" t="str">
            <v>00-00005770</v>
          </cell>
          <cell r="B23" t="str">
            <v>Брус 50х50х4500</v>
          </cell>
          <cell r="C23" t="str">
            <v>шт</v>
          </cell>
          <cell r="D23">
            <v>30</v>
          </cell>
        </row>
        <row r="24">
          <cell r="A24">
            <v>601</v>
          </cell>
          <cell r="B24" t="str">
            <v>Вагонка пластикова Мармур Сірий 0,25х6м 8мм (уп.10 шт.)</v>
          </cell>
          <cell r="C24" t="str">
            <v>м2</v>
          </cell>
          <cell r="D24">
            <v>2</v>
          </cell>
        </row>
        <row r="25">
          <cell r="A25">
            <v>18520</v>
          </cell>
          <cell r="B25" t="str">
            <v>ВВГнг 3х1,5 кабель</v>
          </cell>
          <cell r="C25" t="str">
            <v>км</v>
          </cell>
          <cell r="D25">
            <v>1.07</v>
          </cell>
        </row>
        <row r="26">
          <cell r="A26">
            <v>18382</v>
          </cell>
          <cell r="B26" t="str">
            <v>ВВГнг 3х2,5 кабель</v>
          </cell>
          <cell r="C26" t="str">
            <v>км</v>
          </cell>
          <cell r="D26">
            <v>1.9750000000000001</v>
          </cell>
        </row>
        <row r="27">
          <cell r="A27">
            <v>18518</v>
          </cell>
          <cell r="B27" t="str">
            <v>ВВГнг 3х4 кабель</v>
          </cell>
          <cell r="C27" t="str">
            <v>км</v>
          </cell>
          <cell r="D27">
            <v>0.621</v>
          </cell>
        </row>
        <row r="28">
          <cell r="A28">
            <v>599</v>
          </cell>
          <cell r="B28" t="str">
            <v>Вентилятор Домовент 100С1 (14Вт, 94 м куб/год.)</v>
          </cell>
          <cell r="C28" t="str">
            <v>шт</v>
          </cell>
          <cell r="D28">
            <v>63</v>
          </cell>
        </row>
        <row r="29">
          <cell r="A29">
            <v>4302</v>
          </cell>
          <cell r="B29" t="str">
            <v>Вилка каучукова з зазем.</v>
          </cell>
          <cell r="C29" t="str">
            <v>шт</v>
          </cell>
          <cell r="D29">
            <v>5</v>
          </cell>
        </row>
        <row r="30">
          <cell r="A30">
            <v>616</v>
          </cell>
          <cell r="B30" t="str">
            <v>Вилка переносна 7023 32А 220В 2Р+Е ІР44</v>
          </cell>
          <cell r="C30" t="str">
            <v>шт</v>
          </cell>
          <cell r="D30">
            <v>60</v>
          </cell>
        </row>
        <row r="31">
          <cell r="A31" t="str">
            <v>00-00005532</v>
          </cell>
          <cell r="B31" t="str">
            <v>Вилка промислова 32А</v>
          </cell>
          <cell r="C31" t="str">
            <v>шт</v>
          </cell>
          <cell r="D31">
            <v>3</v>
          </cell>
        </row>
        <row r="32">
          <cell r="A32" t="str">
            <v>00-00005573</v>
          </cell>
          <cell r="B32" t="str">
            <v>Вимикач  диференц струму з захистом16А С 10мА</v>
          </cell>
          <cell r="C32" t="str">
            <v>шт</v>
          </cell>
          <cell r="D32">
            <v>7</v>
          </cell>
        </row>
        <row r="33">
          <cell r="A33" t="str">
            <v>00-00000721</v>
          </cell>
          <cell r="B33" t="str">
            <v>Вимикач 1-клавішний</v>
          </cell>
          <cell r="C33" t="str">
            <v>шт</v>
          </cell>
          <cell r="D33">
            <v>58</v>
          </cell>
        </row>
        <row r="34">
          <cell r="A34">
            <v>486</v>
          </cell>
          <cell r="B34" t="str">
            <v>Вимикач 2-клавішний</v>
          </cell>
          <cell r="C34" t="str">
            <v>шт</v>
          </cell>
          <cell r="D34">
            <v>28</v>
          </cell>
        </row>
        <row r="35">
          <cell r="A35">
            <v>17002</v>
          </cell>
          <cell r="B35" t="str">
            <v>Відвід d 110 мм 45"</v>
          </cell>
          <cell r="C35" t="str">
            <v>шт</v>
          </cell>
          <cell r="D35">
            <v>12</v>
          </cell>
        </row>
        <row r="36">
          <cell r="A36" t="str">
            <v>00-00005133</v>
          </cell>
          <cell r="B36" t="str">
            <v>Відвід D=32 мм, 87° 30 ' 3917400090</v>
          </cell>
          <cell r="C36" t="str">
            <v>шт</v>
          </cell>
          <cell r="D36">
            <v>9</v>
          </cell>
        </row>
        <row r="37">
          <cell r="A37">
            <v>10911</v>
          </cell>
          <cell r="B37" t="str">
            <v>Вішалка підлогова</v>
          </cell>
          <cell r="C37" t="str">
            <v>шт</v>
          </cell>
          <cell r="D37">
            <v>9</v>
          </cell>
        </row>
        <row r="38">
          <cell r="A38" t="str">
            <v>00-00004868</v>
          </cell>
          <cell r="B38" t="str">
            <v>Вогнебіозахист 1кг</v>
          </cell>
          <cell r="C38" t="str">
            <v>шт</v>
          </cell>
          <cell r="D38">
            <v>96</v>
          </cell>
        </row>
        <row r="39">
          <cell r="A39" t="str">
            <v>00-00005597</v>
          </cell>
          <cell r="B39" t="str">
            <v>Вогнегасник порошковий ОП2 2 кг</v>
          </cell>
          <cell r="C39" t="str">
            <v>шт</v>
          </cell>
          <cell r="D39">
            <v>1</v>
          </cell>
        </row>
        <row r="40">
          <cell r="A40">
            <v>11950</v>
          </cell>
          <cell r="B40" t="str">
            <v>Вогнегасник порошковий ОП3 3 кг</v>
          </cell>
          <cell r="C40" t="str">
            <v>шт</v>
          </cell>
          <cell r="D40">
            <v>14</v>
          </cell>
        </row>
        <row r="41">
          <cell r="A41">
            <v>5990</v>
          </cell>
          <cell r="B41" t="str">
            <v>Гайка М12  DIN 934  цб</v>
          </cell>
          <cell r="C41" t="str">
            <v>шт</v>
          </cell>
          <cell r="D41">
            <v>96</v>
          </cell>
        </row>
        <row r="42">
          <cell r="A42">
            <v>14431</v>
          </cell>
          <cell r="B42" t="str">
            <v>Гайка М16  DIN 934</v>
          </cell>
          <cell r="C42" t="str">
            <v>100 шт</v>
          </cell>
          <cell r="D42">
            <v>400</v>
          </cell>
        </row>
        <row r="43">
          <cell r="A43">
            <v>11093</v>
          </cell>
          <cell r="B43" t="str">
            <v>Гайка М48</v>
          </cell>
          <cell r="C43" t="str">
            <v>кг</v>
          </cell>
          <cell r="D43">
            <v>9.5</v>
          </cell>
        </row>
        <row r="44">
          <cell r="A44">
            <v>16555</v>
          </cell>
          <cell r="B44" t="str">
            <v>ГайкаDIN 934   М16 клас 8  оцинк</v>
          </cell>
          <cell r="C44" t="str">
            <v>шт</v>
          </cell>
          <cell r="D44">
            <v>50</v>
          </cell>
        </row>
        <row r="45">
          <cell r="A45" t="str">
            <v>00-00004908</v>
          </cell>
          <cell r="B45" t="str">
            <v>Гвинт 3,9*25</v>
          </cell>
          <cell r="C45" t="str">
            <v>шт</v>
          </cell>
          <cell r="D45">
            <v>10000</v>
          </cell>
        </row>
        <row r="46">
          <cell r="A46" t="str">
            <v>00-00004907</v>
          </cell>
          <cell r="B46" t="str">
            <v>Гвинт 4,2х19</v>
          </cell>
          <cell r="C46" t="str">
            <v>шт</v>
          </cell>
          <cell r="D46">
            <v>2500</v>
          </cell>
        </row>
        <row r="47">
          <cell r="A47">
            <v>9513</v>
          </cell>
          <cell r="B47" t="str">
            <v>Гвинт 4,8*19 покрівельний</v>
          </cell>
          <cell r="C47" t="str">
            <v>шт</v>
          </cell>
          <cell r="D47">
            <v>5000</v>
          </cell>
        </row>
        <row r="48">
          <cell r="A48" t="str">
            <v>00-00005462</v>
          </cell>
          <cell r="B48" t="str">
            <v>Гвинт 4,8х50</v>
          </cell>
          <cell r="C48" t="str">
            <v>шт</v>
          </cell>
          <cell r="D48">
            <v>12400</v>
          </cell>
        </row>
        <row r="49">
          <cell r="A49" t="str">
            <v>00-00004993</v>
          </cell>
          <cell r="B49" t="str">
            <v>Гвинт 4,8х60</v>
          </cell>
          <cell r="C49" t="str">
            <v>шт</v>
          </cell>
          <cell r="D49">
            <v>20000</v>
          </cell>
        </row>
        <row r="50">
          <cell r="A50">
            <v>5936</v>
          </cell>
          <cell r="B50" t="str">
            <v>Гвинт 5,5х32 цб дов.св</v>
          </cell>
          <cell r="C50" t="str">
            <v>шт</v>
          </cell>
          <cell r="D50">
            <v>8300</v>
          </cell>
        </row>
        <row r="51">
          <cell r="A51" t="str">
            <v>00-00004909</v>
          </cell>
          <cell r="B51" t="str">
            <v>Гвинт 5,5х75</v>
          </cell>
          <cell r="C51" t="str">
            <v>шт</v>
          </cell>
          <cell r="D51">
            <v>9800</v>
          </cell>
        </row>
        <row r="52">
          <cell r="A52">
            <v>17039</v>
          </cell>
          <cell r="B52" t="str">
            <v>Генератор</v>
          </cell>
          <cell r="C52" t="str">
            <v>шт</v>
          </cell>
          <cell r="D52">
            <v>8</v>
          </cell>
        </row>
        <row r="53">
          <cell r="A53">
            <v>3862</v>
          </cell>
          <cell r="B53" t="str">
            <v>Герметик  акриловий 280 мл.</v>
          </cell>
          <cell r="C53" t="str">
            <v>шт</v>
          </cell>
          <cell r="D53">
            <v>8</v>
          </cell>
        </row>
        <row r="54">
          <cell r="A54">
            <v>20657</v>
          </cell>
          <cell r="B54" t="str">
            <v>Герметик акрил SOUDAL 280 мл.</v>
          </cell>
          <cell r="C54" t="str">
            <v>шт</v>
          </cell>
          <cell r="D54">
            <v>13</v>
          </cell>
        </row>
        <row r="55">
          <cell r="A55" t="str">
            <v>00-00005571</v>
          </cell>
          <cell r="B55" t="str">
            <v>Герметик для швів 310мл.</v>
          </cell>
          <cell r="C55" t="str">
            <v>шт</v>
          </cell>
          <cell r="D55">
            <v>11</v>
          </cell>
        </row>
        <row r="56">
          <cell r="A56">
            <v>597</v>
          </cell>
          <cell r="B56" t="str">
            <v>Герметик силіконовий санітарний Mounter (білий) 280 мл</v>
          </cell>
          <cell r="C56" t="str">
            <v>шт</v>
          </cell>
          <cell r="D56">
            <v>37</v>
          </cell>
        </row>
        <row r="57">
          <cell r="A57">
            <v>19520</v>
          </cell>
          <cell r="B57" t="str">
            <v>ГК Профіль CD 60, 3,0 м (0,50) 1/12/270</v>
          </cell>
          <cell r="C57" t="str">
            <v>шт</v>
          </cell>
          <cell r="D57">
            <v>40</v>
          </cell>
        </row>
        <row r="58">
          <cell r="A58" t="str">
            <v>00-00005072</v>
          </cell>
          <cell r="B58" t="str">
            <v>Гладкая жесть 1,25*2м РЕМА 9003*45</v>
          </cell>
          <cell r="C58" t="str">
            <v>шт</v>
          </cell>
          <cell r="D58">
            <v>17</v>
          </cell>
        </row>
        <row r="59">
          <cell r="A59" t="str">
            <v>00-00005682</v>
          </cell>
          <cell r="B59" t="str">
            <v>Гнучка труба 50/40х40/50</v>
          </cell>
          <cell r="C59" t="str">
            <v>шт</v>
          </cell>
          <cell r="D59">
            <v>2</v>
          </cell>
        </row>
        <row r="60">
          <cell r="A60">
            <v>89</v>
          </cell>
          <cell r="B60" t="str">
            <v>Гнучкий шланг 1\2 ВВ довжина 100 см</v>
          </cell>
          <cell r="C60" t="str">
            <v>шт</v>
          </cell>
          <cell r="D60">
            <v>6</v>
          </cell>
        </row>
        <row r="61">
          <cell r="A61">
            <v>87</v>
          </cell>
          <cell r="B61" t="str">
            <v>Гнучкий шланг 1\2 ВВ довжина 40 см</v>
          </cell>
          <cell r="C61" t="str">
            <v>шт</v>
          </cell>
          <cell r="D61">
            <v>9</v>
          </cell>
        </row>
        <row r="62">
          <cell r="A62">
            <v>19322</v>
          </cell>
          <cell r="B62" t="str">
            <v>Гнучкий шланг, 1 / 2 "ВВ, довжина 50 см 4009220000</v>
          </cell>
          <cell r="C62" t="str">
            <v>шт</v>
          </cell>
          <cell r="D62">
            <v>21</v>
          </cell>
        </row>
        <row r="63">
          <cell r="A63">
            <v>341</v>
          </cell>
          <cell r="B63" t="str">
            <v>Гнучкий шланг, 1 / 2" ВВ, довжина 30 см</v>
          </cell>
          <cell r="C63" t="str">
            <v>шт</v>
          </cell>
          <cell r="D63">
            <v>38</v>
          </cell>
        </row>
        <row r="64">
          <cell r="A64">
            <v>19317</v>
          </cell>
          <cell r="B64" t="str">
            <v>Гнучкий шланг, для сифону, HB, D=32 мм х 1.1/4",L=380-865 мм 3922900000</v>
          </cell>
          <cell r="C64" t="str">
            <v>шт</v>
          </cell>
          <cell r="D64">
            <v>1</v>
          </cell>
        </row>
        <row r="65">
          <cell r="A65" t="str">
            <v>00-00005058</v>
          </cell>
          <cell r="B65" t="str">
            <v>Гратка вентиляційна пластик</v>
          </cell>
          <cell r="C65" t="str">
            <v>шт</v>
          </cell>
          <cell r="D65">
            <v>51</v>
          </cell>
        </row>
        <row r="66">
          <cell r="A66" t="str">
            <v>00-00001875</v>
          </cell>
          <cell r="B66" t="str">
            <v>Грунт-емаль ПФ-012 Р сірий (кг)</v>
          </cell>
          <cell r="C66" t="str">
            <v>кг</v>
          </cell>
          <cell r="D66">
            <v>973</v>
          </cell>
        </row>
        <row r="67">
          <cell r="A67" t="str">
            <v>00-00002217</v>
          </cell>
          <cell r="B67" t="str">
            <v>Грунтовка універс 10л</v>
          </cell>
          <cell r="C67" t="str">
            <v>шт</v>
          </cell>
          <cell r="D67">
            <v>19</v>
          </cell>
        </row>
        <row r="68">
          <cell r="A68" t="str">
            <v>00-00005176</v>
          </cell>
          <cell r="B68" t="str">
            <v>Дверцята 100*100 ревізійні пластик</v>
          </cell>
          <cell r="C68" t="str">
            <v>шт</v>
          </cell>
          <cell r="D68">
            <v>382</v>
          </cell>
        </row>
        <row r="69">
          <cell r="A69" t="str">
            <v>00-00005175</v>
          </cell>
          <cell r="B69" t="str">
            <v>Дверцята 150*150 ревізійні пластик</v>
          </cell>
          <cell r="C69" t="str">
            <v>шт</v>
          </cell>
          <cell r="D69">
            <v>16</v>
          </cell>
        </row>
        <row r="70">
          <cell r="A70" t="str">
            <v>00-00005341</v>
          </cell>
          <cell r="B70" t="str">
            <v>Держак ринви ПВХ Profil 90 білий</v>
          </cell>
          <cell r="C70" t="str">
            <v>шт</v>
          </cell>
          <cell r="D70">
            <v>160</v>
          </cell>
        </row>
        <row r="71">
          <cell r="A71" t="str">
            <v>00-00005342</v>
          </cell>
          <cell r="B71" t="str">
            <v>Держак труби металевий L-160  90 білий</v>
          </cell>
          <cell r="C71" t="str">
            <v>шт</v>
          </cell>
          <cell r="D71">
            <v>40</v>
          </cell>
        </row>
        <row r="72">
          <cell r="A72" t="str">
            <v>00-00005366</v>
          </cell>
          <cell r="B72" t="str">
            <v>Диспенсер рушників</v>
          </cell>
          <cell r="C72" t="str">
            <v>шт</v>
          </cell>
          <cell r="D72">
            <v>16</v>
          </cell>
        </row>
        <row r="73">
          <cell r="A73" t="str">
            <v>00-00005567</v>
          </cell>
          <cell r="B73" t="str">
            <v>Диспенсер туалетного папіру</v>
          </cell>
          <cell r="C73" t="str">
            <v>шт</v>
          </cell>
          <cell r="D73">
            <v>6</v>
          </cell>
        </row>
        <row r="74">
          <cell r="A74" t="str">
            <v>00-00004867</v>
          </cell>
          <cell r="B74" t="str">
            <v>Дошка 20*100*6000</v>
          </cell>
          <cell r="C74" t="str">
            <v>м куб</v>
          </cell>
          <cell r="D74">
            <v>3.1080000000000001</v>
          </cell>
        </row>
        <row r="75">
          <cell r="A75" t="str">
            <v>00-00005924</v>
          </cell>
          <cell r="B75" t="str">
            <v>Дошка обрізна 20*100 (6 м)</v>
          </cell>
          <cell r="C75" t="str">
            <v>м куб</v>
          </cell>
          <cell r="D75">
            <v>1.1759999999999999</v>
          </cell>
        </row>
        <row r="76">
          <cell r="A76">
            <v>7114</v>
          </cell>
          <cell r="B76" t="str">
            <v>Дріт з легованої сталі ER70S-6 ф1,0мм 5 кг</v>
          </cell>
          <cell r="C76" t="str">
            <v>шт</v>
          </cell>
          <cell r="D76">
            <v>3</v>
          </cell>
        </row>
        <row r="77">
          <cell r="A77">
            <v>9858</v>
          </cell>
          <cell r="B77" t="str">
            <v>Дріт ПВЗ  1*6</v>
          </cell>
          <cell r="C77" t="str">
            <v>км</v>
          </cell>
          <cell r="D77">
            <v>3.5999999999999997E-2</v>
          </cell>
        </row>
        <row r="78">
          <cell r="A78" t="str">
            <v>00-00005157</v>
          </cell>
          <cell r="B78" t="str">
            <v>Душ літн.в збарі металевий</v>
          </cell>
          <cell r="C78" t="str">
            <v>шт</v>
          </cell>
          <cell r="D78">
            <v>3</v>
          </cell>
        </row>
        <row r="79">
          <cell r="A79" t="str">
            <v>00-00005710</v>
          </cell>
          <cell r="B79" t="str">
            <v>Душовий бокс 90х90х215</v>
          </cell>
          <cell r="C79" t="str">
            <v>шт</v>
          </cell>
          <cell r="D79">
            <v>10</v>
          </cell>
        </row>
        <row r="80">
          <cell r="A80">
            <v>21949</v>
          </cell>
          <cell r="B80" t="str">
            <v>Душовий піддон сталевий, 90*90 квадратний</v>
          </cell>
          <cell r="C80" t="str">
            <v>шт</v>
          </cell>
          <cell r="D80">
            <v>1</v>
          </cell>
        </row>
        <row r="81">
          <cell r="A81" t="str">
            <v>00-00005572</v>
          </cell>
          <cell r="B81" t="str">
            <v>Дюбель  6*30</v>
          </cell>
          <cell r="C81" t="str">
            <v>шт</v>
          </cell>
          <cell r="D81">
            <v>200</v>
          </cell>
        </row>
        <row r="82">
          <cell r="A82" t="str">
            <v>00-00005463</v>
          </cell>
          <cell r="B82" t="str">
            <v>Дюбель Дріва з буром 15х23</v>
          </cell>
          <cell r="C82" t="str">
            <v>шт</v>
          </cell>
          <cell r="D82">
            <v>400</v>
          </cell>
        </row>
        <row r="83">
          <cell r="A83" t="str">
            <v>00-00000735</v>
          </cell>
          <cell r="B83" t="str">
            <v>Електричний болер O "Profi VM 080 D400-1-M, 80 л,</v>
          </cell>
          <cell r="C83" t="str">
            <v>шт</v>
          </cell>
          <cell r="D83">
            <v>3</v>
          </cell>
        </row>
        <row r="84">
          <cell r="A84" t="str">
            <v>00-00000094</v>
          </cell>
          <cell r="B84" t="str">
            <v>Електричний водонагрівач O`Pro Slim PC 30, 30л</v>
          </cell>
          <cell r="C84" t="str">
            <v>шт</v>
          </cell>
          <cell r="D84">
            <v>3</v>
          </cell>
        </row>
        <row r="85">
          <cell r="A85" t="str">
            <v>00-00005264</v>
          </cell>
          <cell r="B85" t="str">
            <v>Ємність 1500л харчова</v>
          </cell>
          <cell r="C85" t="str">
            <v>шт</v>
          </cell>
          <cell r="D85">
            <v>1</v>
          </cell>
        </row>
        <row r="86">
          <cell r="A86">
            <v>102</v>
          </cell>
          <cell r="B86" t="str">
            <v>З'єднувач PP-R D=20 mm. х1\2 Н сірий</v>
          </cell>
          <cell r="C86" t="str">
            <v>шт</v>
          </cell>
          <cell r="D86">
            <v>57</v>
          </cell>
        </row>
        <row r="87">
          <cell r="A87" t="str">
            <v>00-00005344</v>
          </cell>
          <cell r="B87" t="str">
            <v>З'єднувач ринви Profil 90 білий</v>
          </cell>
          <cell r="C87" t="str">
            <v>шт</v>
          </cell>
          <cell r="D87">
            <v>34</v>
          </cell>
        </row>
        <row r="88">
          <cell r="A88" t="str">
            <v>00-00005423</v>
          </cell>
          <cell r="B88" t="str">
            <v>З'єднувач труби Profil 90 білий</v>
          </cell>
          <cell r="C88" t="str">
            <v>шт</v>
          </cell>
          <cell r="D88">
            <v>28</v>
          </cell>
        </row>
        <row r="89">
          <cell r="A89" t="str">
            <v>00-00005141</v>
          </cell>
          <cell r="B89" t="str">
            <v>З’єднання з амереканкою РР-R D=20 ммх1/2 В</v>
          </cell>
          <cell r="C89" t="str">
            <v>шт</v>
          </cell>
          <cell r="D89">
            <v>9</v>
          </cell>
        </row>
        <row r="90">
          <cell r="A90" t="str">
            <v>00-00005140</v>
          </cell>
          <cell r="B90" t="str">
            <v>З’єднання з амереканкою РР-R D=20 ммх1/2 Н</v>
          </cell>
          <cell r="C90" t="str">
            <v>шт</v>
          </cell>
          <cell r="D90">
            <v>9</v>
          </cell>
        </row>
        <row r="91">
          <cell r="A91" t="str">
            <v>00-00005371</v>
          </cell>
          <cell r="B91" t="str">
            <v>Заглушка 40х40</v>
          </cell>
          <cell r="C91" t="str">
            <v>шт</v>
          </cell>
          <cell r="D91">
            <v>28</v>
          </cell>
        </row>
        <row r="92">
          <cell r="A92">
            <v>21688</v>
          </cell>
          <cell r="B92" t="str">
            <v>Заглушка D=110 мм 3917400090</v>
          </cell>
          <cell r="C92" t="str">
            <v>шт</v>
          </cell>
          <cell r="D92">
            <v>6</v>
          </cell>
        </row>
        <row r="93">
          <cell r="A93" t="str">
            <v>00-00006077</v>
          </cell>
          <cell r="B93" t="str">
            <v>Заглушка для профільної труби 20*40</v>
          </cell>
          <cell r="C93" t="str">
            <v>шт</v>
          </cell>
          <cell r="D93">
            <v>760</v>
          </cell>
        </row>
        <row r="94">
          <cell r="A94" t="str">
            <v>00-00005847</v>
          </cell>
          <cell r="B94" t="str">
            <v>Заглушка для профільної труби 40*40</v>
          </cell>
          <cell r="C94" t="str">
            <v>шт</v>
          </cell>
          <cell r="D94">
            <v>600</v>
          </cell>
        </row>
        <row r="95">
          <cell r="A95">
            <v>20679</v>
          </cell>
          <cell r="B95" t="str">
            <v>Заклепка 4,0*10 п=50 (10000) RAL9010</v>
          </cell>
          <cell r="C95" t="str">
            <v>шт</v>
          </cell>
          <cell r="D95">
            <v>507</v>
          </cell>
        </row>
        <row r="96">
          <cell r="A96" t="str">
            <v>00-00005057</v>
          </cell>
          <cell r="B96" t="str">
            <v>Захист від перенапруги D50</v>
          </cell>
          <cell r="C96" t="str">
            <v>шт</v>
          </cell>
          <cell r="D96">
            <v>3</v>
          </cell>
        </row>
        <row r="97">
          <cell r="A97" t="str">
            <v>00-00005184</v>
          </cell>
          <cell r="B97" t="str">
            <v>Змішувач  для умивальника, хром</v>
          </cell>
          <cell r="C97" t="str">
            <v>шт</v>
          </cell>
          <cell r="D97">
            <v>10</v>
          </cell>
        </row>
        <row r="98">
          <cell r="A98" t="str">
            <v>00-00004241</v>
          </cell>
          <cell r="B98" t="str">
            <v>Канал Д 100/1 1010</v>
          </cell>
          <cell r="C98" t="str">
            <v>шт</v>
          </cell>
          <cell r="D98">
            <v>42.5</v>
          </cell>
        </row>
        <row r="99">
          <cell r="A99" t="str">
            <v>00-00005035</v>
          </cell>
          <cell r="B99" t="str">
            <v>Килимок 80х120</v>
          </cell>
          <cell r="C99" t="str">
            <v>шт</v>
          </cell>
          <cell r="D99">
            <v>8</v>
          </cell>
        </row>
        <row r="100">
          <cell r="A100" t="str">
            <v>00-00005945</v>
          </cell>
          <cell r="B100" t="str">
            <v>Кільце бетонне з днищем КЦД-15-9</v>
          </cell>
          <cell r="C100" t="str">
            <v>шт</v>
          </cell>
          <cell r="D100">
            <v>5</v>
          </cell>
        </row>
        <row r="101">
          <cell r="A101" t="str">
            <v>00-00005944</v>
          </cell>
          <cell r="B101" t="str">
            <v>Кільце бетонне КС-15-9</v>
          </cell>
          <cell r="C101" t="str">
            <v>шт</v>
          </cell>
          <cell r="D101">
            <v>3</v>
          </cell>
        </row>
        <row r="102">
          <cell r="A102">
            <v>21201</v>
          </cell>
          <cell r="B102" t="str">
            <v>Клапан зворотній 1/2*</v>
          </cell>
          <cell r="C102" t="str">
            <v>шт</v>
          </cell>
          <cell r="D102">
            <v>3</v>
          </cell>
        </row>
        <row r="103">
          <cell r="A103">
            <v>21333</v>
          </cell>
          <cell r="B103" t="str">
            <v>Клей для ковроліну та лінолеум 13кг</v>
          </cell>
          <cell r="C103" t="str">
            <v>шт</v>
          </cell>
          <cell r="D103">
            <v>61</v>
          </cell>
        </row>
        <row r="104">
          <cell r="A104" t="str">
            <v>00-00004976</v>
          </cell>
          <cell r="B104" t="str">
            <v>Клей для напольного покриття 12кг</v>
          </cell>
          <cell r="C104" t="str">
            <v>шт</v>
          </cell>
          <cell r="D104">
            <v>1</v>
          </cell>
        </row>
        <row r="105">
          <cell r="A105" t="str">
            <v>00-00004644</v>
          </cell>
          <cell r="B105" t="str">
            <v>Клей монтаж 400г</v>
          </cell>
          <cell r="C105" t="str">
            <v>шт</v>
          </cell>
          <cell r="D105">
            <v>13</v>
          </cell>
        </row>
        <row r="106">
          <cell r="A106" t="str">
            <v>00-00000594</v>
          </cell>
          <cell r="B106" t="str">
            <v>клей монтажний Lacrysil 280мл</v>
          </cell>
          <cell r="C106" t="str">
            <v>шт</v>
          </cell>
          <cell r="D106">
            <v>13</v>
          </cell>
        </row>
        <row r="107">
          <cell r="A107" t="str">
            <v>00-00005769</v>
          </cell>
          <cell r="B107" t="str">
            <v>Клей монтажний, 440 г</v>
          </cell>
          <cell r="C107" t="str">
            <v>шт</v>
          </cell>
          <cell r="D107">
            <v>15</v>
          </cell>
        </row>
        <row r="108">
          <cell r="A108" t="str">
            <v>00-00006024</v>
          </cell>
          <cell r="B108" t="str">
            <v>Клей-герметик білий 125мл</v>
          </cell>
          <cell r="C108" t="str">
            <v>шт</v>
          </cell>
          <cell r="D108">
            <v>1</v>
          </cell>
        </row>
        <row r="109">
          <cell r="A109">
            <v>14244</v>
          </cell>
          <cell r="B109" t="str">
            <v>Клей-піна монтажна , 860 мл</v>
          </cell>
          <cell r="C109" t="str">
            <v>шт</v>
          </cell>
          <cell r="D109">
            <v>20</v>
          </cell>
        </row>
        <row r="110">
          <cell r="A110" t="str">
            <v>00-00001263</v>
          </cell>
          <cell r="B110" t="str">
            <v>Клей-піна, 800 мл</v>
          </cell>
          <cell r="C110" t="str">
            <v>шт</v>
          </cell>
          <cell r="D110">
            <v>12</v>
          </cell>
        </row>
        <row r="111">
          <cell r="A111">
            <v>13658</v>
          </cell>
          <cell r="B111" t="str">
            <v>Клей-піна, 860 мл</v>
          </cell>
          <cell r="C111" t="str">
            <v>шт</v>
          </cell>
          <cell r="D111">
            <v>4</v>
          </cell>
        </row>
        <row r="112">
          <cell r="A112" t="str">
            <v>00-00005047</v>
          </cell>
          <cell r="B112" t="str">
            <v>Клема з'єднувальна WGn-2</v>
          </cell>
          <cell r="C112" t="str">
            <v>шт</v>
          </cell>
          <cell r="D112">
            <v>718</v>
          </cell>
        </row>
        <row r="113">
          <cell r="A113" t="str">
            <v>00-00005048</v>
          </cell>
          <cell r="B113" t="str">
            <v>Клема з'єднувальна WGn-3</v>
          </cell>
          <cell r="C113" t="str">
            <v>шт</v>
          </cell>
          <cell r="D113">
            <v>374</v>
          </cell>
        </row>
        <row r="114">
          <cell r="A114" t="str">
            <v>00-00005049</v>
          </cell>
          <cell r="B114" t="str">
            <v>Клема з'єднувальна WGn-5</v>
          </cell>
          <cell r="C114" t="str">
            <v>шт</v>
          </cell>
          <cell r="D114">
            <v>261</v>
          </cell>
        </row>
        <row r="115">
          <cell r="A115" t="str">
            <v>00-00005969</v>
          </cell>
          <cell r="B115" t="str">
            <v>Коліно Profil 75 біле</v>
          </cell>
          <cell r="C115" t="str">
            <v>шт</v>
          </cell>
          <cell r="D115">
            <v>20</v>
          </cell>
        </row>
        <row r="116">
          <cell r="A116">
            <v>19376</v>
          </cell>
          <cell r="B116" t="str">
            <v>Комплект (гайка+ніпель) для місткості для води, 1" 3925908000</v>
          </cell>
          <cell r="C116" t="str">
            <v>шт</v>
          </cell>
          <cell r="D116">
            <v>3</v>
          </cell>
        </row>
        <row r="117">
          <cell r="A117" t="str">
            <v>00-00002340</v>
          </cell>
          <cell r="B117" t="str">
            <v>Комплект для підключення змішувача PP-R D=20 мм х1\2 сірий</v>
          </cell>
          <cell r="C117" t="str">
            <v>шт</v>
          </cell>
          <cell r="D117">
            <v>4</v>
          </cell>
        </row>
        <row r="118">
          <cell r="A118" t="str">
            <v>00-00005056</v>
          </cell>
          <cell r="B118" t="str">
            <v>Комплект для теплої підлоги №4</v>
          </cell>
          <cell r="C118" t="str">
            <v>шт</v>
          </cell>
          <cell r="D118">
            <v>7</v>
          </cell>
        </row>
        <row r="119">
          <cell r="A119" t="str">
            <v>00-00005138</v>
          </cell>
          <cell r="B119" t="str">
            <v>Комплект кріплення труб 104-112 мм</v>
          </cell>
          <cell r="C119" t="str">
            <v>шт</v>
          </cell>
          <cell r="D119">
            <v>12</v>
          </cell>
        </row>
        <row r="120">
          <cell r="A120" t="str">
            <v>00-00002505</v>
          </cell>
          <cell r="B120" t="str">
            <v>Комплект кріплення труб 31-37мм 1"</v>
          </cell>
          <cell r="C120" t="str">
            <v>шт</v>
          </cell>
          <cell r="D120">
            <v>66</v>
          </cell>
        </row>
        <row r="121">
          <cell r="A121" t="str">
            <v>00-00002506</v>
          </cell>
          <cell r="B121" t="str">
            <v>Комплект кріплення труб 47-52мм 1 1/2"</v>
          </cell>
          <cell r="C121" t="str">
            <v>шт</v>
          </cell>
          <cell r="D121">
            <v>4</v>
          </cell>
        </row>
        <row r="122">
          <cell r="A122" t="str">
            <v>00-00005376</v>
          </cell>
          <cell r="B122" t="str">
            <v>Комплект подовжувачів підведення змішувача</v>
          </cell>
          <cell r="C122" t="str">
            <v>шт</v>
          </cell>
          <cell r="D122">
            <v>5</v>
          </cell>
        </row>
        <row r="123">
          <cell r="A123" t="str">
            <v>00-00003602</v>
          </cell>
          <cell r="B123" t="str">
            <v>Кондиціонер</v>
          </cell>
          <cell r="C123" t="str">
            <v>шт</v>
          </cell>
        </row>
        <row r="124">
          <cell r="A124" t="str">
            <v>00-00000259</v>
          </cell>
          <cell r="B124" t="str">
            <v>Кондиціонер Wild Wind WWT-AC-07H/KC</v>
          </cell>
          <cell r="C124" t="str">
            <v>шт</v>
          </cell>
          <cell r="D124">
            <v>23</v>
          </cell>
        </row>
        <row r="125">
          <cell r="A125" t="str">
            <v>00-00005050</v>
          </cell>
          <cell r="B125" t="str">
            <v>Коробка монтажна 65*45</v>
          </cell>
          <cell r="C125" t="str">
            <v>шт</v>
          </cell>
          <cell r="D125">
            <v>288</v>
          </cell>
        </row>
        <row r="126">
          <cell r="A126" t="str">
            <v>00-00005046</v>
          </cell>
          <cell r="B126" t="str">
            <v>Коробка розподільча 100х100х45</v>
          </cell>
          <cell r="C126" t="str">
            <v>шт</v>
          </cell>
          <cell r="D126">
            <v>84</v>
          </cell>
        </row>
        <row r="127">
          <cell r="A127">
            <v>21881</v>
          </cell>
          <cell r="B127" t="str">
            <v>Коробка установча гіпсокартон д=68 синя/зелена</v>
          </cell>
          <cell r="C127" t="str">
            <v>шт</v>
          </cell>
          <cell r="D127">
            <v>15</v>
          </cell>
        </row>
        <row r="128">
          <cell r="A128">
            <v>21939</v>
          </cell>
          <cell r="B128" t="str">
            <v>Кран кульовий 3В 1/2", "метелик" 8481808100</v>
          </cell>
          <cell r="C128" t="str">
            <v>шт</v>
          </cell>
          <cell r="D128">
            <v>38</v>
          </cell>
        </row>
        <row r="129">
          <cell r="A129" t="str">
            <v>00-00005418</v>
          </cell>
          <cell r="B129" t="str">
            <v>Кран кульовий ПЕ затискний d25</v>
          </cell>
          <cell r="C129" t="str">
            <v>шт</v>
          </cell>
          <cell r="D129">
            <v>3</v>
          </cell>
        </row>
        <row r="130">
          <cell r="A130" t="str">
            <v>00-00005853</v>
          </cell>
          <cell r="B130" t="str">
            <v>Кріплення для змішувача</v>
          </cell>
          <cell r="C130" t="str">
            <v>шт</v>
          </cell>
          <cell r="D130">
            <v>20</v>
          </cell>
        </row>
        <row r="131">
          <cell r="A131" t="str">
            <v>00-00000365</v>
          </cell>
          <cell r="B131" t="str">
            <v>Кріплення умивальника до стіни (з ексцентриками і болт.8х120мм )</v>
          </cell>
          <cell r="C131" t="str">
            <v>шт</v>
          </cell>
          <cell r="D131">
            <v>20</v>
          </cell>
        </row>
        <row r="132">
          <cell r="A132">
            <v>16077</v>
          </cell>
          <cell r="B132" t="str">
            <v>Крісло Новий Стиль Slim HB TILT ECO-30 (SLIM HB TILT CHR68 P ECO-30)</v>
          </cell>
          <cell r="C132" t="str">
            <v>шт</v>
          </cell>
        </row>
        <row r="133">
          <cell r="A133" t="str">
            <v>00-00005036</v>
          </cell>
          <cell r="B133" t="str">
            <v>Крісло чорне</v>
          </cell>
          <cell r="C133" t="str">
            <v>шт</v>
          </cell>
          <cell r="D133">
            <v>33</v>
          </cell>
        </row>
        <row r="134">
          <cell r="A134" t="str">
            <v>00-00005169</v>
          </cell>
          <cell r="B134" t="str">
            <v>Кутик 32*32*3мм ст.3пс</v>
          </cell>
          <cell r="C134" t="str">
            <v>пог.м</v>
          </cell>
          <cell r="D134">
            <v>40.07</v>
          </cell>
        </row>
        <row r="135">
          <cell r="A135" t="str">
            <v>00-00005975</v>
          </cell>
          <cell r="B135" t="str">
            <v>Кутики ВООЗ</v>
          </cell>
          <cell r="C135" t="str">
            <v>шт</v>
          </cell>
          <cell r="D135">
            <v>1</v>
          </cell>
        </row>
        <row r="136">
          <cell r="A136" t="str">
            <v>00-00005152</v>
          </cell>
          <cell r="B136" t="str">
            <v>Кутник  декоративний 30х30</v>
          </cell>
          <cell r="C136" t="str">
            <v>шт</v>
          </cell>
          <cell r="D136">
            <v>80</v>
          </cell>
        </row>
        <row r="137">
          <cell r="A137" t="str">
            <v>00-00005153</v>
          </cell>
          <cell r="B137" t="str">
            <v>Кутник  декоративний 50х50</v>
          </cell>
          <cell r="C137" t="str">
            <v>шт</v>
          </cell>
          <cell r="D137">
            <v>207</v>
          </cell>
        </row>
        <row r="138">
          <cell r="A138">
            <v>3519</v>
          </cell>
          <cell r="B138" t="str">
            <v>Кутник 32х32х3</v>
          </cell>
          <cell r="C138" t="str">
            <v>т</v>
          </cell>
          <cell r="D138">
            <v>0.08</v>
          </cell>
        </row>
        <row r="139">
          <cell r="A139">
            <v>374</v>
          </cell>
          <cell r="B139" t="str">
            <v>Кутник декоративний 30х30 (білий) (2,7) Л</v>
          </cell>
          <cell r="C139" t="str">
            <v>шт</v>
          </cell>
          <cell r="D139">
            <v>220</v>
          </cell>
        </row>
        <row r="140">
          <cell r="A140">
            <v>106</v>
          </cell>
          <cell r="B140" t="str">
            <v>Куточок 90 PP-R D=20 mm сірий</v>
          </cell>
          <cell r="C140" t="str">
            <v>шт</v>
          </cell>
          <cell r="D140">
            <v>112</v>
          </cell>
        </row>
        <row r="141">
          <cell r="A141">
            <v>9893</v>
          </cell>
          <cell r="B141" t="str">
            <v>Лампа світлодіодна LED E27 15W 220</v>
          </cell>
          <cell r="C141" t="str">
            <v>шт</v>
          </cell>
          <cell r="D141">
            <v>7</v>
          </cell>
        </row>
        <row r="142">
          <cell r="A142">
            <v>6813</v>
          </cell>
          <cell r="B142" t="str">
            <v>Лист  4 мм</v>
          </cell>
          <cell r="C142" t="str">
            <v xml:space="preserve"> т</v>
          </cell>
          <cell r="D142">
            <v>0.28799999999999998</v>
          </cell>
        </row>
        <row r="143">
          <cell r="A143">
            <v>3893</v>
          </cell>
          <cell r="B143" t="str">
            <v>Лист  4*1250*2500 3 сп/пс 5</v>
          </cell>
          <cell r="C143" t="str">
            <v xml:space="preserve"> т</v>
          </cell>
          <cell r="D143">
            <v>0.69899999999999995</v>
          </cell>
        </row>
        <row r="144">
          <cell r="A144">
            <v>4469</v>
          </cell>
          <cell r="B144" t="str">
            <v xml:space="preserve"> Лист 8</v>
          </cell>
          <cell r="C144" t="str">
            <v xml:space="preserve"> т</v>
          </cell>
          <cell r="D144">
            <v>0.2</v>
          </cell>
        </row>
        <row r="145">
          <cell r="A145">
            <v>6597</v>
          </cell>
          <cell r="B145" t="str">
            <v>Лист  8*1500*6000</v>
          </cell>
          <cell r="C145" t="str">
            <v xml:space="preserve"> т</v>
          </cell>
          <cell r="D145">
            <v>2.8570000000000002</v>
          </cell>
        </row>
        <row r="146">
          <cell r="A146">
            <v>17298</v>
          </cell>
          <cell r="B146" t="str">
            <v>Лист 14 (г.к)(1,5х6)imp ((1,5*6,0) S235JR)</v>
          </cell>
          <cell r="C146" t="str">
            <v xml:space="preserve"> т</v>
          </cell>
          <cell r="D146">
            <v>0.1</v>
          </cell>
        </row>
        <row r="147">
          <cell r="A147" t="str">
            <v>00-00005392</v>
          </cell>
          <cell r="B147" t="str">
            <v>Лист 3 (г.к)  (1,5х3)</v>
          </cell>
          <cell r="C147" t="str">
            <v xml:space="preserve"> т</v>
          </cell>
          <cell r="D147">
            <v>0.253</v>
          </cell>
        </row>
        <row r="148">
          <cell r="A148">
            <v>17403</v>
          </cell>
          <cell r="B148" t="str">
            <v>Лист 6 (г.к)  (1,5х6) ((1,5*6,0) 14637 3сп5)</v>
          </cell>
          <cell r="C148" t="str">
            <v xml:space="preserve"> т</v>
          </cell>
          <cell r="D148">
            <v>1.4670000000000001</v>
          </cell>
        </row>
        <row r="149">
          <cell r="A149">
            <v>4057</v>
          </cell>
          <cell r="B149" t="str">
            <v>Лист ПВЛ 406</v>
          </cell>
          <cell r="C149" t="str">
            <v xml:space="preserve"> т</v>
          </cell>
          <cell r="D149">
            <v>0.28000000000000003</v>
          </cell>
        </row>
        <row r="150">
          <cell r="A150" t="str">
            <v>00-00005336</v>
          </cell>
          <cell r="B150" t="str">
            <v>Лійка ліва 90 біла</v>
          </cell>
          <cell r="C150" t="str">
            <v>шт</v>
          </cell>
          <cell r="D150">
            <v>10</v>
          </cell>
        </row>
        <row r="151">
          <cell r="A151" t="str">
            <v>00-00005337</v>
          </cell>
          <cell r="B151" t="str">
            <v>Лійка права 90 біла</v>
          </cell>
          <cell r="C151" t="str">
            <v>шт</v>
          </cell>
          <cell r="D151">
            <v>10</v>
          </cell>
        </row>
        <row r="152">
          <cell r="A152">
            <v>614</v>
          </cell>
          <cell r="B152" t="str">
            <v>Лінолеум</v>
          </cell>
          <cell r="C152" t="str">
            <v>м2</v>
          </cell>
          <cell r="D152">
            <v>1935.34</v>
          </cell>
        </row>
        <row r="153">
          <cell r="A153" t="str">
            <v>00-00005441</v>
          </cell>
          <cell r="B153" t="str">
            <v>Люк садовий 73х5 см</v>
          </cell>
          <cell r="C153" t="str">
            <v>шт</v>
          </cell>
          <cell r="D153">
            <v>1</v>
          </cell>
        </row>
        <row r="154">
          <cell r="A154" t="str">
            <v>00-00005189</v>
          </cell>
          <cell r="B154" t="str">
            <v>Металопластикова конструкція</v>
          </cell>
          <cell r="C154" t="str">
            <v>м кв</v>
          </cell>
          <cell r="D154">
            <v>3.6280000000000001</v>
          </cell>
        </row>
        <row r="155">
          <cell r="A155">
            <v>19338</v>
          </cell>
          <cell r="B155" t="str">
            <v>Муфта, PP-R, D=20 мм, сіра 3917400090</v>
          </cell>
          <cell r="C155" t="str">
            <v>шт</v>
          </cell>
          <cell r="D155">
            <v>40</v>
          </cell>
        </row>
        <row r="156">
          <cell r="A156" t="str">
            <v>00-00005182</v>
          </cell>
          <cell r="B156" t="str">
            <v>Насосна станція</v>
          </cell>
          <cell r="C156" t="str">
            <v>шт</v>
          </cell>
          <cell r="D156">
            <v>6</v>
          </cell>
        </row>
        <row r="157">
          <cell r="A157">
            <v>345</v>
          </cell>
          <cell r="B157" t="str">
            <v>Ніпель латунний, 1\2"</v>
          </cell>
          <cell r="C157" t="str">
            <v>шт</v>
          </cell>
          <cell r="D157">
            <v>56</v>
          </cell>
        </row>
        <row r="158">
          <cell r="A158">
            <v>107</v>
          </cell>
          <cell r="B158" t="str">
            <v>Обвідне коліно PP-R D=20 mm сірий</v>
          </cell>
          <cell r="C158" t="str">
            <v>шт</v>
          </cell>
          <cell r="D158">
            <v>3</v>
          </cell>
        </row>
        <row r="159">
          <cell r="A159" t="str">
            <v>00-00005292</v>
          </cell>
          <cell r="B159" t="str">
            <v>Обігрівач керамічний  TCМ 450 (беж)</v>
          </cell>
          <cell r="C159" t="str">
            <v>шт</v>
          </cell>
          <cell r="D159">
            <v>6</v>
          </cell>
        </row>
        <row r="160">
          <cell r="A160" t="str">
            <v>00-00005291</v>
          </cell>
          <cell r="B160" t="str">
            <v>Обігрівач керамічний  TCМ 800 (беж)</v>
          </cell>
          <cell r="C160" t="str">
            <v>шт</v>
          </cell>
          <cell r="D160">
            <v>6</v>
          </cell>
        </row>
        <row r="161">
          <cell r="A161">
            <v>21807</v>
          </cell>
          <cell r="B161" t="str">
            <v>Обігрівач керамічний TeploCeramic TC395 (беж)</v>
          </cell>
          <cell r="C161" t="str">
            <v>шт</v>
          </cell>
          <cell r="D161">
            <v>26</v>
          </cell>
        </row>
        <row r="162">
          <cell r="A162">
            <v>16131</v>
          </cell>
          <cell r="B162" t="str">
            <v>Олива моторна</v>
          </cell>
          <cell r="C162" t="str">
            <v>шт</v>
          </cell>
          <cell r="D162">
            <v>25</v>
          </cell>
        </row>
        <row r="163">
          <cell r="A163" t="str">
            <v>00-00005673</v>
          </cell>
          <cell r="B163" t="str">
            <v>Олива моторна напівсинтетична 4Т 1л</v>
          </cell>
          <cell r="C163" t="str">
            <v>шт</v>
          </cell>
          <cell r="D163">
            <v>7</v>
          </cell>
        </row>
        <row r="164">
          <cell r="A164" t="str">
            <v>00-00004998</v>
          </cell>
          <cell r="B164" t="str">
            <v>Опромінювач бактерицидний</v>
          </cell>
          <cell r="C164" t="str">
            <v>шт</v>
          </cell>
          <cell r="D164">
            <v>5</v>
          </cell>
        </row>
        <row r="165">
          <cell r="A165" t="str">
            <v>00-00005019</v>
          </cell>
          <cell r="B165" t="str">
            <v>Оцинкована решітка 1000х1000</v>
          </cell>
          <cell r="C165" t="str">
            <v>шт</v>
          </cell>
          <cell r="D165">
            <v>6</v>
          </cell>
        </row>
        <row r="166">
          <cell r="A166">
            <v>1947</v>
          </cell>
          <cell r="B166" t="str">
            <v>Очисник для піни  500 мл</v>
          </cell>
          <cell r="C166" t="str">
            <v>шт</v>
          </cell>
          <cell r="D166">
            <v>2</v>
          </cell>
        </row>
        <row r="167">
          <cell r="A167" t="str">
            <v>00-00006023</v>
          </cell>
          <cell r="B167" t="str">
            <v>Панель врізна SMD LED 45W 6400K</v>
          </cell>
          <cell r="C167" t="str">
            <v>шт</v>
          </cell>
          <cell r="D167">
            <v>44</v>
          </cell>
        </row>
        <row r="168">
          <cell r="A168" t="str">
            <v>00-00006013</v>
          </cell>
          <cell r="B168" t="str">
            <v>Панель ПВХ 250ммх7ммх6000мм</v>
          </cell>
          <cell r="C168" t="str">
            <v>м кв</v>
          </cell>
          <cell r="D168">
            <v>600</v>
          </cell>
        </row>
        <row r="169">
          <cell r="A169" t="str">
            <v>00-00004769</v>
          </cell>
          <cell r="B169" t="str">
            <v>Панель ПВХ 250ммх8ммх6000мм</v>
          </cell>
          <cell r="C169" t="str">
            <v>м кв</v>
          </cell>
          <cell r="D169">
            <v>183</v>
          </cell>
        </row>
        <row r="170">
          <cell r="A170">
            <v>19330</v>
          </cell>
          <cell r="B170" t="str">
            <v>Перехід ексентричний D=50/32 мм 3917400090</v>
          </cell>
          <cell r="C170" t="str">
            <v>шт</v>
          </cell>
          <cell r="D170">
            <v>6</v>
          </cell>
        </row>
        <row r="171">
          <cell r="A171" t="str">
            <v>00-00000555</v>
          </cell>
          <cell r="B171" t="str">
            <v>Перехід ексцентричний D=110/50 мм</v>
          </cell>
          <cell r="C171" t="str">
            <v>шт</v>
          </cell>
          <cell r="D171">
            <v>6</v>
          </cell>
        </row>
        <row r="172">
          <cell r="A172" t="str">
            <v>00-00005585</v>
          </cell>
          <cell r="B172" t="str">
            <v>Перехідник  D=25мм*1 B</v>
          </cell>
          <cell r="C172" t="str">
            <v>шт</v>
          </cell>
          <cell r="D172">
            <v>1</v>
          </cell>
        </row>
        <row r="173">
          <cell r="A173" t="str">
            <v>00-00005589</v>
          </cell>
          <cell r="B173" t="str">
            <v>Перехідник  D=25мм*1 Н</v>
          </cell>
          <cell r="C173" t="str">
            <v>шт</v>
          </cell>
          <cell r="D173">
            <v>1</v>
          </cell>
        </row>
        <row r="174">
          <cell r="A174" t="str">
            <v>00-00005142</v>
          </cell>
          <cell r="B174" t="str">
            <v>Перехідник  D=25мм*1/2 B</v>
          </cell>
          <cell r="C174" t="str">
            <v>шт</v>
          </cell>
          <cell r="D174">
            <v>6</v>
          </cell>
        </row>
        <row r="175">
          <cell r="A175" t="str">
            <v>00-00005588</v>
          </cell>
          <cell r="B175" t="str">
            <v>Перехідник латунний 3В 1* 1\2</v>
          </cell>
          <cell r="C175" t="str">
            <v>шт</v>
          </cell>
          <cell r="D175">
            <v>4</v>
          </cell>
        </row>
        <row r="176">
          <cell r="A176">
            <v>85</v>
          </cell>
          <cell r="B176" t="str">
            <v>Перехідник латунний 3В 3\4* 1\2</v>
          </cell>
          <cell r="C176" t="str">
            <v>шт</v>
          </cell>
          <cell r="D176">
            <v>6</v>
          </cell>
        </row>
        <row r="177">
          <cell r="A177">
            <v>477</v>
          </cell>
          <cell r="B177" t="str">
            <v>Петля виточена d=20мм (для воріт)</v>
          </cell>
          <cell r="C177" t="str">
            <v>шт</v>
          </cell>
          <cell r="D177">
            <v>12</v>
          </cell>
        </row>
        <row r="178">
          <cell r="A178" t="str">
            <v>00-00005452</v>
          </cell>
          <cell r="B178" t="str">
            <v>Підп’ятник стелажу СТ Г-подібний пластиковий</v>
          </cell>
          <cell r="C178" t="str">
            <v>шт</v>
          </cell>
          <cell r="D178">
            <v>28</v>
          </cell>
        </row>
        <row r="179">
          <cell r="A179">
            <v>6591</v>
          </cell>
          <cell r="B179" t="str">
            <v>Піна монтажна  880 мл</v>
          </cell>
          <cell r="C179" t="str">
            <v>шт</v>
          </cell>
          <cell r="D179">
            <v>10</v>
          </cell>
        </row>
        <row r="180">
          <cell r="A180">
            <v>10992</v>
          </cell>
          <cell r="B180" t="str">
            <v>Піна монтажна Монтажник 500 мл</v>
          </cell>
          <cell r="C180" t="str">
            <v>шт</v>
          </cell>
          <cell r="D180">
            <v>2</v>
          </cell>
        </row>
        <row r="181">
          <cell r="A181" t="str">
            <v>00-00005156</v>
          </cell>
          <cell r="B181" t="str">
            <v>Пінополістерол (100мм) XPS ПСЕ-40 1,2х6 (уп 4шт)</v>
          </cell>
          <cell r="C181" t="str">
            <v>шт</v>
          </cell>
          <cell r="D181">
            <v>724</v>
          </cell>
        </row>
        <row r="182">
          <cell r="A182" t="str">
            <v>00-00005430</v>
          </cell>
          <cell r="B182" t="str">
            <v>Пінополістерол (50мм)  1,0х5</v>
          </cell>
          <cell r="C182" t="str">
            <v>шт</v>
          </cell>
          <cell r="D182">
            <v>550</v>
          </cell>
        </row>
        <row r="183">
          <cell r="A183" t="str">
            <v>00-00006015</v>
          </cell>
          <cell r="B183" t="str">
            <v>Пінополістерол (50мм)  1,0х5</v>
          </cell>
          <cell r="C183" t="str">
            <v>м куб</v>
          </cell>
          <cell r="D183">
            <v>21.6</v>
          </cell>
        </row>
        <row r="184">
          <cell r="A184" t="str">
            <v>00-00004050</v>
          </cell>
          <cell r="B184" t="str">
            <v>Пінополістирол 100мм</v>
          </cell>
          <cell r="C184" t="str">
            <v>м куб</v>
          </cell>
          <cell r="D184">
            <v>43.2</v>
          </cell>
        </row>
        <row r="185">
          <cell r="A185">
            <v>3979</v>
          </cell>
          <cell r="B185" t="str">
            <v>Плита OSB-3 10х1250*2500 (шт)</v>
          </cell>
          <cell r="C185" t="str">
            <v>шт</v>
          </cell>
          <cell r="D185">
            <v>291</v>
          </cell>
        </row>
        <row r="186">
          <cell r="A186">
            <v>17652</v>
          </cell>
          <cell r="B186" t="str">
            <v>Плита перекриття 1ПП 15-1</v>
          </cell>
          <cell r="C186" t="str">
            <v>шт</v>
          </cell>
          <cell r="D186">
            <v>4</v>
          </cell>
        </row>
        <row r="187">
          <cell r="A187" t="str">
            <v>00-00000708</v>
          </cell>
          <cell r="B187" t="str">
            <v>Плита типу OSB/3 10,0/2500*1250/1</v>
          </cell>
          <cell r="C187" t="str">
            <v>шт</v>
          </cell>
          <cell r="D187">
            <v>75</v>
          </cell>
        </row>
        <row r="188">
          <cell r="A188">
            <v>21537</v>
          </cell>
          <cell r="B188" t="str">
            <v>Плівка гідроізоляційна підпокрів 75кв м</v>
          </cell>
          <cell r="C188" t="str">
            <v>рул</v>
          </cell>
          <cell r="D188">
            <v>15</v>
          </cell>
        </row>
        <row r="189">
          <cell r="A189">
            <v>6683</v>
          </cell>
          <cell r="B189" t="str">
            <v>Плівка пароізоляційна срібна, 75 м2</v>
          </cell>
          <cell r="C189" t="str">
            <v>рул</v>
          </cell>
          <cell r="D189">
            <v>19</v>
          </cell>
        </row>
        <row r="190">
          <cell r="A190" t="str">
            <v>00-00005183</v>
          </cell>
          <cell r="B190" t="str">
            <v>Плінтус</v>
          </cell>
          <cell r="C190" t="str">
            <v>пог.м</v>
          </cell>
          <cell r="D190">
            <v>47.5</v>
          </cell>
        </row>
        <row r="191">
          <cell r="A191" t="str">
            <v>00-00005740</v>
          </cell>
          <cell r="B191" t="str">
            <v>Покриття з ПВХ</v>
          </cell>
          <cell r="C191" t="str">
            <v>м кв</v>
          </cell>
          <cell r="D191">
            <v>70</v>
          </cell>
        </row>
        <row r="192">
          <cell r="A192" t="str">
            <v>00-00005715</v>
          </cell>
          <cell r="B192" t="str">
            <v>Поріжок 47,5х5</v>
          </cell>
          <cell r="C192" t="str">
            <v>шт</v>
          </cell>
          <cell r="D192">
            <v>7</v>
          </cell>
        </row>
        <row r="193">
          <cell r="A193" t="str">
            <v>00-00005087</v>
          </cell>
          <cell r="B193" t="str">
            <v>Поручень настінний 02.001-01</v>
          </cell>
          <cell r="C193" t="str">
            <v>шт</v>
          </cell>
          <cell r="D193">
            <v>4</v>
          </cell>
        </row>
        <row r="194">
          <cell r="A194" t="str">
            <v>00-00005086</v>
          </cell>
          <cell r="B194" t="str">
            <v>Поручень пристінний 500мм 3.005</v>
          </cell>
          <cell r="C194" t="str">
            <v>шт</v>
          </cell>
          <cell r="D194">
            <v>4</v>
          </cell>
        </row>
        <row r="195">
          <cell r="A195" t="str">
            <v>00-00001473</v>
          </cell>
          <cell r="B195" t="str">
            <v>Провід ПВС 3*2,5  км</v>
          </cell>
          <cell r="C195" t="str">
            <v>км</v>
          </cell>
          <cell r="D195">
            <v>0.2</v>
          </cell>
        </row>
        <row r="196">
          <cell r="A196" t="str">
            <v>00-00005155</v>
          </cell>
          <cell r="B196" t="str">
            <v>Провід ПВС 3*4</v>
          </cell>
          <cell r="C196" t="str">
            <v>пог.м</v>
          </cell>
          <cell r="D196">
            <v>60.018999999999998</v>
          </cell>
        </row>
        <row r="197">
          <cell r="A197" t="str">
            <v>00-00005137</v>
          </cell>
          <cell r="B197" t="str">
            <v>Прокладка для унітазу D=90/110мм</v>
          </cell>
          <cell r="C197" t="str">
            <v>шт</v>
          </cell>
          <cell r="D197">
            <v>6</v>
          </cell>
        </row>
        <row r="198">
          <cell r="A198" t="str">
            <v>00-00005444</v>
          </cell>
          <cell r="B198" t="str">
            <v>Профіль АП 005  2,7 м</v>
          </cell>
          <cell r="C198" t="str">
            <v>шт</v>
          </cell>
          <cell r="D198">
            <v>30</v>
          </cell>
        </row>
        <row r="199">
          <cell r="A199" t="str">
            <v>00-00005070</v>
          </cell>
          <cell r="B199" t="str">
            <v>Профіль ПС-10 поліестер трапецієпод.</v>
          </cell>
          <cell r="C199" t="str">
            <v>шт</v>
          </cell>
          <cell r="D199">
            <v>23.6</v>
          </cell>
        </row>
        <row r="200">
          <cell r="A200" t="str">
            <v>00-00005365</v>
          </cell>
          <cell r="B200" t="str">
            <v>Профіль ПС-10 поліестер трапецієпод. РЕ 45*9003*АМ</v>
          </cell>
          <cell r="C200" t="str">
            <v>м кв</v>
          </cell>
          <cell r="D200">
            <v>354.06</v>
          </cell>
        </row>
        <row r="201">
          <cell r="A201" t="str">
            <v>00-00005071</v>
          </cell>
          <cell r="B201" t="str">
            <v>Профіль ПС-20 поліестер трапецієпод.</v>
          </cell>
          <cell r="C201" t="str">
            <v>шт</v>
          </cell>
          <cell r="D201">
            <v>34</v>
          </cell>
        </row>
        <row r="202">
          <cell r="A202" t="str">
            <v>00-00004979</v>
          </cell>
          <cell r="B202" t="str">
            <v>Профіль стартовий 8мм (білий)</v>
          </cell>
          <cell r="C202" t="str">
            <v>пог.м</v>
          </cell>
          <cell r="D202">
            <v>84</v>
          </cell>
        </row>
        <row r="203">
          <cell r="A203" t="str">
            <v>00-00005972</v>
          </cell>
          <cell r="B203" t="str">
            <v>Профіль трапецеподібний ПС-20 RAL\0,45\9003</v>
          </cell>
          <cell r="C203" t="str">
            <v>м кв</v>
          </cell>
          <cell r="D203">
            <v>223.21199999999999</v>
          </cell>
        </row>
        <row r="204">
          <cell r="A204" t="str">
            <v>00-00005973</v>
          </cell>
          <cell r="B204" t="str">
            <v>Профіль трапецієпод. ПС-8 поліестер RAL 9003</v>
          </cell>
          <cell r="C204" t="str">
            <v>м кв</v>
          </cell>
          <cell r="D204">
            <v>304.87799999999999</v>
          </cell>
        </row>
        <row r="205">
          <cell r="A205" t="str">
            <v>00-00001032</v>
          </cell>
          <cell r="B205" t="str">
            <v>Рамка 1-постова</v>
          </cell>
          <cell r="C205" t="str">
            <v>шт</v>
          </cell>
          <cell r="D205">
            <v>28</v>
          </cell>
        </row>
        <row r="206">
          <cell r="A206" t="str">
            <v>00-00004866</v>
          </cell>
          <cell r="B206" t="str">
            <v>Рейка 50*50*3000</v>
          </cell>
          <cell r="C206" t="str">
            <v>м куб</v>
          </cell>
          <cell r="D206">
            <v>14.343999999999999</v>
          </cell>
        </row>
        <row r="207">
          <cell r="A207" t="str">
            <v>00-00005925</v>
          </cell>
          <cell r="B207" t="str">
            <v>Рейка суха стругана 50*50 мм (3м)</v>
          </cell>
          <cell r="C207" t="str">
            <v>м</v>
          </cell>
          <cell r="D207">
            <v>7362</v>
          </cell>
        </row>
        <row r="208">
          <cell r="A208" t="str">
            <v>00-00005330</v>
          </cell>
          <cell r="B208" t="str">
            <v>Ринва біла 90 мм L=3 м</v>
          </cell>
          <cell r="C208" t="str">
            <v>шт</v>
          </cell>
          <cell r="D208">
            <v>37</v>
          </cell>
        </row>
        <row r="209">
          <cell r="A209">
            <v>1871</v>
          </cell>
          <cell r="B209" t="str">
            <v>Розетка 1-на зовн. 3/3 білий</v>
          </cell>
          <cell r="C209" t="str">
            <v>шт</v>
          </cell>
          <cell r="D209">
            <v>5</v>
          </cell>
        </row>
        <row r="210">
          <cell r="A210">
            <v>22062</v>
          </cell>
          <cell r="B210" t="str">
            <v>Розетка з з/к, Schneider Electrik Asfora, біл.</v>
          </cell>
          <cell r="C210" t="str">
            <v>шт</v>
          </cell>
          <cell r="D210">
            <v>70</v>
          </cell>
        </row>
        <row r="211">
          <cell r="A211">
            <v>19254</v>
          </cell>
          <cell r="B211" t="str">
            <v>Розетка з кришкою з заземл.конт. з шторк. ІР44, білий, Asfora, SCHNEIDER ELECTRIC</v>
          </cell>
          <cell r="C211" t="str">
            <v>шт</v>
          </cell>
          <cell r="D211">
            <v>16</v>
          </cell>
        </row>
        <row r="212">
          <cell r="A212" t="str">
            <v>00-00005055</v>
          </cell>
          <cell r="B212" t="str">
            <v>Розетка подвійна з з/к</v>
          </cell>
          <cell r="C212" t="str">
            <v>шт</v>
          </cell>
          <cell r="D212">
            <v>320</v>
          </cell>
        </row>
        <row r="213">
          <cell r="A213">
            <v>615</v>
          </cell>
          <cell r="B213" t="str">
            <v>Розетка стаціонарна наружна 7123 32А 220В 2Р+Е ІР44</v>
          </cell>
          <cell r="C213" t="str">
            <v>шт</v>
          </cell>
          <cell r="D213">
            <v>64</v>
          </cell>
        </row>
        <row r="214">
          <cell r="A214" t="str">
            <v>00-00000166</v>
          </cell>
          <cell r="B214" t="str">
            <v>Розчинник "White Spirit"</v>
          </cell>
          <cell r="C214" t="str">
            <v>л</v>
          </cell>
          <cell r="D214">
            <v>140</v>
          </cell>
        </row>
        <row r="215">
          <cell r="A215" t="str">
            <v>00-00004910</v>
          </cell>
          <cell r="B215" t="str">
            <v>Самонаріз 4,2х16</v>
          </cell>
          <cell r="C215" t="str">
            <v>шт</v>
          </cell>
          <cell r="D215">
            <v>1670</v>
          </cell>
        </row>
        <row r="216">
          <cell r="A216">
            <v>404</v>
          </cell>
          <cell r="B216" t="str">
            <v>Самонаріз по металу з прес шайбою ЦБ 4,2*19</v>
          </cell>
          <cell r="C216" t="str">
            <v>100шт</v>
          </cell>
          <cell r="D216">
            <v>2750</v>
          </cell>
        </row>
        <row r="217">
          <cell r="A217">
            <v>4660</v>
          </cell>
          <cell r="B217" t="str">
            <v>Саморіз  3,5*35</v>
          </cell>
          <cell r="C217" t="str">
            <v>шт</v>
          </cell>
          <cell r="D217">
            <v>22000</v>
          </cell>
        </row>
        <row r="218">
          <cell r="A218" t="str">
            <v>00-00001836</v>
          </cell>
          <cell r="B218" t="str">
            <v>Саморіз  4,8*60</v>
          </cell>
          <cell r="C218" t="str">
            <v>шт</v>
          </cell>
          <cell r="D218">
            <v>9250</v>
          </cell>
        </row>
        <row r="219">
          <cell r="A219" t="str">
            <v>00-00005317</v>
          </cell>
          <cell r="B219" t="str">
            <v>Саморіз по металу зі свердлом  4,8*19</v>
          </cell>
          <cell r="C219" t="str">
            <v>шт</v>
          </cell>
          <cell r="D219">
            <v>3250</v>
          </cell>
        </row>
        <row r="220">
          <cell r="A220" t="str">
            <v>00-00006063</v>
          </cell>
          <cell r="B220" t="str">
            <v>Саморіз покрівельний 5,5*70</v>
          </cell>
          <cell r="C220" t="str">
            <v>шт</v>
          </cell>
          <cell r="D220">
            <v>3000</v>
          </cell>
        </row>
        <row r="221">
          <cell r="A221">
            <v>4152</v>
          </cell>
          <cell r="B221" t="str">
            <v>Сверло перо по дер. 12*160</v>
          </cell>
          <cell r="C221" t="str">
            <v>шт</v>
          </cell>
          <cell r="D221">
            <v>4</v>
          </cell>
        </row>
        <row r="222">
          <cell r="A222">
            <v>4149</v>
          </cell>
          <cell r="B222" t="str">
            <v>Сверло перо по дер. 14*150</v>
          </cell>
          <cell r="C222" t="str">
            <v>шт</v>
          </cell>
          <cell r="D222">
            <v>2</v>
          </cell>
        </row>
        <row r="223">
          <cell r="A223">
            <v>8800</v>
          </cell>
          <cell r="B223" t="str">
            <v>Сверло перо по дер. 14*160</v>
          </cell>
          <cell r="C223" t="str">
            <v>шт</v>
          </cell>
          <cell r="D223">
            <v>3</v>
          </cell>
        </row>
        <row r="224">
          <cell r="A224" t="str">
            <v>00-00005051</v>
          </cell>
          <cell r="B224" t="str">
            <v>Світильник LED 36W/6500К 595*595</v>
          </cell>
          <cell r="C224" t="str">
            <v>шт</v>
          </cell>
          <cell r="D224">
            <v>33</v>
          </cell>
        </row>
        <row r="225">
          <cell r="A225">
            <v>22350</v>
          </cell>
          <cell r="B225" t="str">
            <v>Світильник LED L-PRS-1265-18 12W 6500К .накл.</v>
          </cell>
          <cell r="C225" t="str">
            <v>шт</v>
          </cell>
          <cell r="D225">
            <v>70</v>
          </cell>
        </row>
        <row r="226">
          <cell r="A226" t="str">
            <v>00-00005053</v>
          </cell>
          <cell r="B226" t="str">
            <v>Світильник аварійний</v>
          </cell>
          <cell r="C226" t="str">
            <v>шт</v>
          </cell>
          <cell r="D226">
            <v>11</v>
          </cell>
        </row>
        <row r="227">
          <cell r="A227" t="str">
            <v>00-00005054</v>
          </cell>
          <cell r="B227" t="str">
            <v>Світильник стінний</v>
          </cell>
          <cell r="C227" t="str">
            <v>шт</v>
          </cell>
          <cell r="D227">
            <v>7</v>
          </cell>
        </row>
        <row r="228">
          <cell r="A228" t="str">
            <v>00-00005052</v>
          </cell>
          <cell r="B228" t="str">
            <v>Світлодіод акс.Рамка накладного монтажу до LED Panel</v>
          </cell>
          <cell r="C228" t="str">
            <v>шт</v>
          </cell>
          <cell r="D228">
            <v>77</v>
          </cell>
        </row>
        <row r="229">
          <cell r="A229">
            <v>19295</v>
          </cell>
          <cell r="B229" t="str">
            <v>Сендвіч</v>
          </cell>
          <cell r="C229" t="str">
            <v>шт</v>
          </cell>
          <cell r="D229">
            <v>24</v>
          </cell>
        </row>
        <row r="230">
          <cell r="A230" t="str">
            <v>00-00005638</v>
          </cell>
          <cell r="B230" t="str">
            <v>Сифон для мийки бутилоч Д=1 1/2"х32мм</v>
          </cell>
          <cell r="C230" t="str">
            <v>шт</v>
          </cell>
          <cell r="D230">
            <v>21</v>
          </cell>
        </row>
        <row r="231">
          <cell r="A231" t="str">
            <v>00-00005775</v>
          </cell>
          <cell r="B231" t="str">
            <v>Сітка штукатурна оцинкована 12,0*12,0*1,3 мм (1*15м)</v>
          </cell>
          <cell r="C231" t="str">
            <v>пог.м</v>
          </cell>
          <cell r="D231">
            <v>13</v>
          </cell>
        </row>
        <row r="232">
          <cell r="A232">
            <v>21892</v>
          </cell>
          <cell r="B232" t="str">
            <v>Скоба для степлера тимА10мм  1000шт/уп</v>
          </cell>
          <cell r="C232" t="str">
            <v>шт</v>
          </cell>
          <cell r="D232">
            <v>28</v>
          </cell>
        </row>
        <row r="233">
          <cell r="A233" t="str">
            <v>00-00005351</v>
          </cell>
          <cell r="B233" t="str">
            <v>Сповіщувач пожежний димовий СПД-3,4</v>
          </cell>
          <cell r="C233" t="str">
            <v>шт</v>
          </cell>
          <cell r="D233">
            <v>12</v>
          </cell>
        </row>
        <row r="234">
          <cell r="A234" t="str">
            <v>00-00004766</v>
          </cell>
          <cell r="B234" t="str">
            <v>Стартова смуга ПВХ біла 8мм</v>
          </cell>
          <cell r="C234" t="str">
            <v>пог.м</v>
          </cell>
          <cell r="D234">
            <v>204</v>
          </cell>
        </row>
        <row r="235">
          <cell r="A235" t="str">
            <v>00-00005848</v>
          </cell>
          <cell r="B235" t="str">
            <v>Стелаж СТ -4/1 М уп</v>
          </cell>
          <cell r="C235" t="str">
            <v>шт</v>
          </cell>
          <cell r="D235">
            <v>10</v>
          </cell>
        </row>
        <row r="236">
          <cell r="A236" t="str">
            <v>00-00005060</v>
          </cell>
          <cell r="B236" t="str">
            <v>Стелаж СТ 920х460х1820</v>
          </cell>
          <cell r="C236" t="str">
            <v>шт</v>
          </cell>
          <cell r="D236">
            <v>1</v>
          </cell>
        </row>
        <row r="237">
          <cell r="A237" t="str">
            <v>00-00001594</v>
          </cell>
          <cell r="B237" t="str">
            <v>Стіл</v>
          </cell>
          <cell r="C237" t="str">
            <v>шт</v>
          </cell>
          <cell r="D237">
            <v>15</v>
          </cell>
        </row>
        <row r="238">
          <cell r="A238">
            <v>423</v>
          </cell>
          <cell r="B238" t="str">
            <v>Стілець Новий Стиль Jack</v>
          </cell>
          <cell r="C238" t="str">
            <v>шт</v>
          </cell>
          <cell r="D238">
            <v>21</v>
          </cell>
        </row>
        <row r="239">
          <cell r="A239" t="str">
            <v>00-00005394</v>
          </cell>
          <cell r="B239" t="str">
            <v>Столик маніпуляційний СТ-М</v>
          </cell>
          <cell r="C239" t="str">
            <v>шт</v>
          </cell>
          <cell r="D239">
            <v>4</v>
          </cell>
        </row>
        <row r="240">
          <cell r="A240" t="str">
            <v>00-00000273</v>
          </cell>
          <cell r="B240" t="str">
            <v>Столик сповивальний СП-П</v>
          </cell>
          <cell r="C240" t="str">
            <v>шт</v>
          </cell>
          <cell r="D240">
            <v>2</v>
          </cell>
        </row>
        <row r="241">
          <cell r="A241" t="str">
            <v>00-00005671</v>
          </cell>
          <cell r="B241" t="str">
            <v>Стопор дверний</v>
          </cell>
          <cell r="C241" t="str">
            <v>шт</v>
          </cell>
          <cell r="D241">
            <v>60</v>
          </cell>
        </row>
        <row r="242">
          <cell r="A242">
            <v>21829</v>
          </cell>
          <cell r="B242" t="str">
            <v>Стрічка бітумна 100мм сіра 10м</v>
          </cell>
          <cell r="C242" t="str">
            <v>шт</v>
          </cell>
          <cell r="D242">
            <v>6</v>
          </cell>
        </row>
        <row r="243">
          <cell r="A243">
            <v>11813</v>
          </cell>
          <cell r="B243" t="str">
            <v>Стрічка бутил-каучукова К2</v>
          </cell>
          <cell r="C243" t="str">
            <v>пог.м</v>
          </cell>
          <cell r="D243">
            <v>135</v>
          </cell>
        </row>
        <row r="244">
          <cell r="A244">
            <v>14686</v>
          </cell>
          <cell r="B244" t="str">
            <v>Стрічка малярна, 48мм*20м</v>
          </cell>
          <cell r="C244" t="str">
            <v>шт</v>
          </cell>
          <cell r="D244">
            <v>10</v>
          </cell>
        </row>
        <row r="245">
          <cell r="A245" t="str">
            <v>00-00005608</v>
          </cell>
          <cell r="B245" t="str">
            <v>Таблички зі шрифтом Брайля</v>
          </cell>
          <cell r="C245" t="str">
            <v>шт</v>
          </cell>
          <cell r="D245">
            <v>55</v>
          </cell>
        </row>
        <row r="246">
          <cell r="A246">
            <v>19328</v>
          </cell>
          <cell r="B246" t="str">
            <v>Трійник D=50 мм, 87"30' 3917400090</v>
          </cell>
          <cell r="C246" t="str">
            <v>шт</v>
          </cell>
          <cell r="D246">
            <v>4</v>
          </cell>
        </row>
        <row r="247">
          <cell r="A247">
            <v>100</v>
          </cell>
          <cell r="B247" t="str">
            <v>Трійник PP-R D=20 mm. сірий</v>
          </cell>
          <cell r="C247" t="str">
            <v>шт</v>
          </cell>
          <cell r="D247">
            <v>22</v>
          </cell>
        </row>
        <row r="248">
          <cell r="A248">
            <v>101</v>
          </cell>
          <cell r="B248" t="str">
            <v>Трійник PP-R D=20 mm. х1\2 Н сірий</v>
          </cell>
          <cell r="C248" t="str">
            <v>шт</v>
          </cell>
          <cell r="D248">
            <v>29</v>
          </cell>
        </row>
        <row r="249">
          <cell r="A249">
            <v>21706</v>
          </cell>
          <cell r="B249" t="str">
            <v>Трійник редукційний D=110-50 мм, 87° 30 ' 3917400090</v>
          </cell>
          <cell r="C249" t="str">
            <v>шт</v>
          </cell>
          <cell r="D249">
            <v>12</v>
          </cell>
        </row>
        <row r="250">
          <cell r="A250" t="str">
            <v>00-00005856</v>
          </cell>
          <cell r="B250" t="str">
            <v>Труба  50*25*2</v>
          </cell>
          <cell r="C250" t="str">
            <v>пог.м</v>
          </cell>
          <cell r="D250">
            <v>1644</v>
          </cell>
        </row>
        <row r="251">
          <cell r="A251">
            <v>8851</v>
          </cell>
          <cell r="B251" t="str">
            <v>Труба  50*50*2</v>
          </cell>
          <cell r="C251" t="str">
            <v>пог.м</v>
          </cell>
          <cell r="D251">
            <v>2904</v>
          </cell>
        </row>
        <row r="252">
          <cell r="A252" t="str">
            <v>00-00005598</v>
          </cell>
          <cell r="B252" t="str">
            <v>труба 100х100х3 мм; ст.1-3пс; 12 м</v>
          </cell>
          <cell r="C252" t="str">
            <v>пог.м</v>
          </cell>
          <cell r="D252">
            <v>2461</v>
          </cell>
        </row>
        <row r="253">
          <cell r="A253" t="str">
            <v>00-00004813</v>
          </cell>
          <cell r="B253" t="str">
            <v>Труба 40*20*1,2</v>
          </cell>
          <cell r="C253" t="str">
            <v>т</v>
          </cell>
          <cell r="D253">
            <v>0.23499999999999999</v>
          </cell>
        </row>
        <row r="254">
          <cell r="A254" t="str">
            <v>00-00004736</v>
          </cell>
          <cell r="B254" t="str">
            <v>Труба 40х20х2 мм; ст. 1-3пс; 6 м</v>
          </cell>
          <cell r="C254" t="str">
            <v>пог.м</v>
          </cell>
          <cell r="D254">
            <v>249</v>
          </cell>
        </row>
        <row r="255">
          <cell r="A255" t="str">
            <v>00-00004059</v>
          </cell>
          <cell r="B255" t="str">
            <v>Труба 40х20х3 мм; ст. 1-3пс; 6 м</v>
          </cell>
          <cell r="C255" t="str">
            <v>т</v>
          </cell>
          <cell r="D255">
            <v>9.7000000000000003E-2</v>
          </cell>
        </row>
        <row r="256">
          <cell r="A256" t="str">
            <v>00-00005601</v>
          </cell>
          <cell r="B256" t="str">
            <v>Труба 40х40х2 мм; ст. 1-3пс; 6 м</v>
          </cell>
          <cell r="C256" t="str">
            <v>пог.м</v>
          </cell>
          <cell r="D256">
            <v>231.4</v>
          </cell>
        </row>
        <row r="257">
          <cell r="A257" t="str">
            <v>00-00004806</v>
          </cell>
          <cell r="B257" t="str">
            <v>Труба 50х25х2</v>
          </cell>
          <cell r="C257" t="str">
            <v>пог.м</v>
          </cell>
          <cell r="D257">
            <v>132</v>
          </cell>
        </row>
        <row r="258">
          <cell r="A258" t="str">
            <v>00-00004994</v>
          </cell>
          <cell r="B258" t="str">
            <v>труба 50х50х2 мм 6 м</v>
          </cell>
          <cell r="C258" t="str">
            <v>пог.м</v>
          </cell>
          <cell r="D258">
            <v>2922</v>
          </cell>
        </row>
        <row r="259">
          <cell r="A259" t="str">
            <v>00-00005335</v>
          </cell>
          <cell r="B259" t="str">
            <v>Труба водостічна 75 мм L=3 м біла</v>
          </cell>
          <cell r="C259" t="str">
            <v>шт</v>
          </cell>
          <cell r="D259">
            <v>20</v>
          </cell>
        </row>
        <row r="260">
          <cell r="A260">
            <v>18042</v>
          </cell>
          <cell r="B260" t="str">
            <v>Труба гнучка двошарова електротехнічна з поліетилену, зі сталевою затяжкою для зонду та муфтою, зов.</v>
          </cell>
          <cell r="C260" t="str">
            <v>м</v>
          </cell>
          <cell r="D260">
            <v>40</v>
          </cell>
        </row>
        <row r="261">
          <cell r="A261" t="str">
            <v>00-00003936</v>
          </cell>
          <cell r="B261" t="str">
            <v>Труба каналізаційна 110х3,2х1000мм зовн</v>
          </cell>
          <cell r="C261" t="str">
            <v>шт</v>
          </cell>
          <cell r="D261">
            <v>6</v>
          </cell>
        </row>
        <row r="262">
          <cell r="A262" t="str">
            <v>00-00005583</v>
          </cell>
          <cell r="B262" t="str">
            <v>Труба каналізаційна ПВХ 110х3,2х3000</v>
          </cell>
          <cell r="C262" t="str">
            <v>шт</v>
          </cell>
          <cell r="D262">
            <v>12</v>
          </cell>
        </row>
        <row r="263">
          <cell r="A263" t="str">
            <v>00-00005700</v>
          </cell>
          <cell r="B263" t="str">
            <v>Труба ПВХ гнучка гофр. д.20мм, 220Н 5/см пог. стандартна з протяжкою, сірий колір</v>
          </cell>
          <cell r="C263" t="str">
            <v>м</v>
          </cell>
          <cell r="D263">
            <v>3940</v>
          </cell>
        </row>
        <row r="264">
          <cell r="A264">
            <v>18688</v>
          </cell>
          <cell r="B264" t="str">
            <v>Труба ПВХ гнучка гофр. д.32 мм, стандартна з протяжкою, сірий колір</v>
          </cell>
          <cell r="C264" t="str">
            <v>м</v>
          </cell>
          <cell r="D264">
            <v>250</v>
          </cell>
        </row>
        <row r="265">
          <cell r="A265" t="str">
            <v>00-00005143</v>
          </cell>
          <cell r="B265" t="str">
            <v>Труба полиєтиленова р=12,5 бар D=25мм</v>
          </cell>
          <cell r="C265" t="str">
            <v>м</v>
          </cell>
          <cell r="D265">
            <v>75</v>
          </cell>
        </row>
        <row r="266">
          <cell r="A266" t="str">
            <v>00-00005131</v>
          </cell>
          <cell r="B266" t="str">
            <v>Труба поліпропіленова каналізаційна d=32  мм І=1000 мм</v>
          </cell>
          <cell r="C266" t="str">
            <v>шт</v>
          </cell>
          <cell r="D266">
            <v>3</v>
          </cell>
        </row>
        <row r="267">
          <cell r="A267" t="str">
            <v>00-00005129</v>
          </cell>
          <cell r="B267" t="str">
            <v>Труба поліпропіленова каналізаційна d=32  мм І=2000 мм</v>
          </cell>
          <cell r="C267" t="str">
            <v>шт</v>
          </cell>
          <cell r="D267">
            <v>15</v>
          </cell>
        </row>
        <row r="268">
          <cell r="A268" t="str">
            <v>00-00005130</v>
          </cell>
          <cell r="B268" t="str">
            <v>Труба поліпропіленова каналізаційна d=32  мм І=500 мм</v>
          </cell>
          <cell r="C268" t="str">
            <v>шт</v>
          </cell>
          <cell r="D268">
            <v>15</v>
          </cell>
        </row>
        <row r="269">
          <cell r="A269">
            <v>589</v>
          </cell>
          <cell r="B269" t="str">
            <v>Труба поліпропіленова, PP-R/F, RN 20бар, 20 мм сіра</v>
          </cell>
          <cell r="C269" t="str">
            <v>м</v>
          </cell>
          <cell r="D269">
            <v>114</v>
          </cell>
        </row>
        <row r="270">
          <cell r="A270" t="str">
            <v>00-00005582</v>
          </cell>
          <cell r="B270" t="str">
            <v>Труба поліпропіленова, каналізаційна, d=50 мм, l=1500 мм 3917221000</v>
          </cell>
          <cell r="C270" t="str">
            <v>шт</v>
          </cell>
          <cell r="D270">
            <v>3</v>
          </cell>
        </row>
        <row r="271">
          <cell r="A271" t="str">
            <v>00-00005350</v>
          </cell>
          <cell r="B271" t="str">
            <v>Труба поліпропіленова, каналізаційна, d=50 мм, l=500 мм</v>
          </cell>
          <cell r="C271" t="str">
            <v>шт</v>
          </cell>
          <cell r="D271">
            <v>3</v>
          </cell>
        </row>
        <row r="272">
          <cell r="A272">
            <v>7615</v>
          </cell>
          <cell r="B272" t="str">
            <v>Труба профільна 100*100*3</v>
          </cell>
          <cell r="C272" t="str">
            <v>т</v>
          </cell>
          <cell r="D272">
            <v>2.6349999999999998</v>
          </cell>
        </row>
        <row r="273">
          <cell r="A273" t="str">
            <v>00-00005393</v>
          </cell>
          <cell r="B273" t="str">
            <v>Труба профільна 40*25*2</v>
          </cell>
          <cell r="C273" t="str">
            <v xml:space="preserve"> т</v>
          </cell>
          <cell r="D273">
            <v>0.61</v>
          </cell>
        </row>
        <row r="274">
          <cell r="A274" t="str">
            <v>00-00000803</v>
          </cell>
          <cell r="B274" t="str">
            <v>Труба профільна 50*25*2  L=6000 мм ст1-3 сп/пс</v>
          </cell>
          <cell r="C274" t="str">
            <v>т</v>
          </cell>
          <cell r="D274">
            <v>2.0499999999999998</v>
          </cell>
        </row>
        <row r="275">
          <cell r="A275">
            <v>9882</v>
          </cell>
          <cell r="B275" t="str">
            <v>Труба профільна 50*50*4  L=6000 мм стS235JRH</v>
          </cell>
          <cell r="C275" t="str">
            <v>т</v>
          </cell>
          <cell r="D275">
            <v>3.5000000000000003E-2</v>
          </cell>
        </row>
        <row r="276">
          <cell r="A276" t="str">
            <v>00-00004988</v>
          </cell>
          <cell r="B276" t="str">
            <v>Тумба мобільна 40,6х42,3х58,4</v>
          </cell>
          <cell r="C276" t="str">
            <v>шт</v>
          </cell>
          <cell r="D276">
            <v>6</v>
          </cell>
        </row>
        <row r="277">
          <cell r="A277" t="str">
            <v>00-00005145</v>
          </cell>
          <cell r="B277" t="str">
            <v>Умивальник</v>
          </cell>
          <cell r="C277" t="str">
            <v>шт</v>
          </cell>
          <cell r="D277">
            <v>15</v>
          </cell>
        </row>
        <row r="278">
          <cell r="A278">
            <v>396</v>
          </cell>
          <cell r="B278" t="str">
            <v>Універсальний шуруп 5,0х70 потай</v>
          </cell>
          <cell r="C278" t="str">
            <v>шт</v>
          </cell>
          <cell r="D278">
            <v>41000</v>
          </cell>
        </row>
        <row r="279">
          <cell r="A279">
            <v>395</v>
          </cell>
          <cell r="B279" t="str">
            <v>Універсальний шуруп 5,0х90 потай</v>
          </cell>
          <cell r="C279" t="str">
            <v>шт</v>
          </cell>
          <cell r="D279">
            <v>5460</v>
          </cell>
        </row>
        <row r="280">
          <cell r="A280" t="str">
            <v>00-00000960</v>
          </cell>
          <cell r="B280" t="str">
            <v>Унітаз-Компакт підлоговий</v>
          </cell>
          <cell r="C280" t="str">
            <v>шт</v>
          </cell>
          <cell r="D280">
            <v>6</v>
          </cell>
        </row>
        <row r="281">
          <cell r="A281" t="str">
            <v>00-00000408</v>
          </cell>
          <cell r="B281" t="str">
            <v>Утеплювач Кнауф 1250*610*50  12,2м кв.36шт/уп</v>
          </cell>
          <cell r="C281" t="str">
            <v>пак</v>
          </cell>
          <cell r="D281">
            <v>475</v>
          </cell>
        </row>
        <row r="282">
          <cell r="A282" t="str">
            <v>00-00005422</v>
          </cell>
          <cell r="B282" t="str">
            <v>Хомут для врізки 50х1</v>
          </cell>
          <cell r="C282" t="str">
            <v>шт</v>
          </cell>
          <cell r="D282">
            <v>3</v>
          </cell>
        </row>
        <row r="283">
          <cell r="A283">
            <v>104</v>
          </cell>
          <cell r="B283" t="str">
            <v>Хомут для труб  PP-R одинарний D=20 mm</v>
          </cell>
          <cell r="C283" t="str">
            <v>шт</v>
          </cell>
          <cell r="D283">
            <v>163</v>
          </cell>
        </row>
        <row r="284">
          <cell r="A284" t="str">
            <v>00-00005531</v>
          </cell>
          <cell r="B284" t="str">
            <v>Цвях для пневмостеплера 38мм 5000шт/уп</v>
          </cell>
          <cell r="C284" t="str">
            <v>шт</v>
          </cell>
          <cell r="D284">
            <v>1</v>
          </cell>
        </row>
        <row r="285">
          <cell r="A285" t="str">
            <v>00-00005037</v>
          </cell>
          <cell r="B285" t="str">
            <v>Цементно-стружкова плита  3200*1250*10 мм</v>
          </cell>
          <cell r="C285" t="str">
            <v>шт</v>
          </cell>
          <cell r="D285">
            <v>51</v>
          </cell>
        </row>
        <row r="286">
          <cell r="A286" t="str">
            <v>00-00004980</v>
          </cell>
          <cell r="B286" t="str">
            <v>Цементно-стружкова плита  3200*1250*20 мм</v>
          </cell>
          <cell r="C286" t="str">
            <v>шт</v>
          </cell>
          <cell r="D286">
            <v>194</v>
          </cell>
        </row>
        <row r="287">
          <cell r="A287" t="str">
            <v>00-00005059</v>
          </cell>
          <cell r="B287" t="str">
            <v>Шафа для одягу ШО-300/1</v>
          </cell>
          <cell r="C287" t="str">
            <v>шт</v>
          </cell>
          <cell r="D287">
            <v>3</v>
          </cell>
        </row>
        <row r="288">
          <cell r="A288" t="str">
            <v>00-00006117</v>
          </cell>
          <cell r="B288" t="str">
            <v>Шафа для одягу ШО-300/2</v>
          </cell>
          <cell r="C288" t="str">
            <v>шт</v>
          </cell>
          <cell r="D288">
            <v>2</v>
          </cell>
        </row>
        <row r="289">
          <cell r="A289" t="str">
            <v>00-00000260</v>
          </cell>
          <cell r="B289" t="str">
            <v>Шафа ШМ-М</v>
          </cell>
          <cell r="C289" t="str">
            <v>шт</v>
          </cell>
          <cell r="D289">
            <v>12</v>
          </cell>
        </row>
        <row r="290">
          <cell r="A290">
            <v>15090</v>
          </cell>
          <cell r="B290" t="str">
            <v>Шина нульова 6*9</v>
          </cell>
          <cell r="C290" t="str">
            <v>шт</v>
          </cell>
          <cell r="D290">
            <v>56</v>
          </cell>
        </row>
        <row r="291">
          <cell r="A291" t="str">
            <v>00-00005420</v>
          </cell>
          <cell r="B291" t="str">
            <v>Шланг водяний 1/2"* 0,3 м</v>
          </cell>
          <cell r="C291" t="str">
            <v>шт</v>
          </cell>
          <cell r="D291">
            <v>1</v>
          </cell>
        </row>
        <row r="292">
          <cell r="A292" t="str">
            <v>00-00005768</v>
          </cell>
          <cell r="B292" t="str">
            <v>Шпаклівка по дереву 1,5 кг</v>
          </cell>
          <cell r="C292" t="str">
            <v>шт</v>
          </cell>
          <cell r="D292">
            <v>1</v>
          </cell>
        </row>
        <row r="293">
          <cell r="A293" t="str">
            <v>00-00004852</v>
          </cell>
          <cell r="B293" t="str">
            <v>Шпилька  М24 DIN 975 ЦБ</v>
          </cell>
          <cell r="C293" t="str">
            <v>шт</v>
          </cell>
          <cell r="D293">
            <v>6</v>
          </cell>
        </row>
        <row r="294">
          <cell r="A294" t="str">
            <v>00-00004851</v>
          </cell>
          <cell r="B294" t="str">
            <v>Шпилька  М48 DIN975</v>
          </cell>
          <cell r="C294" t="str">
            <v>шт</v>
          </cell>
          <cell r="D294">
            <v>42</v>
          </cell>
        </row>
        <row r="295">
          <cell r="A295">
            <v>4659</v>
          </cell>
          <cell r="B295" t="str">
            <v>Шуруп 4,5х45</v>
          </cell>
          <cell r="C295" t="str">
            <v>шт</v>
          </cell>
          <cell r="D295">
            <v>24000</v>
          </cell>
        </row>
        <row r="296">
          <cell r="A296">
            <v>4453</v>
          </cell>
          <cell r="B296" t="str">
            <v>Шуруп 4х45</v>
          </cell>
          <cell r="C296" t="str">
            <v>шт</v>
          </cell>
          <cell r="D296">
            <v>5500</v>
          </cell>
        </row>
        <row r="297">
          <cell r="A297" t="str">
            <v>00-00005765</v>
          </cell>
          <cell r="B297" t="str">
            <v>Шуруп 4х70</v>
          </cell>
          <cell r="C297" t="str">
            <v>шт</v>
          </cell>
          <cell r="D297">
            <v>500</v>
          </cell>
        </row>
        <row r="298">
          <cell r="A298">
            <v>2054</v>
          </cell>
          <cell r="B298" t="str">
            <v>Шуруп г/к по дереву 3,5*35 мм</v>
          </cell>
          <cell r="C298" t="str">
            <v>шт</v>
          </cell>
          <cell r="D298">
            <v>7600</v>
          </cell>
        </row>
        <row r="299">
          <cell r="A299" t="str">
            <v>00-00005045</v>
          </cell>
          <cell r="B299" t="str">
            <v>Щиток пластик. 4 мод.зовн.устан.</v>
          </cell>
          <cell r="C299" t="str">
            <v>шт</v>
          </cell>
          <cell r="D299">
            <v>16</v>
          </cell>
        </row>
        <row r="300">
          <cell r="A300" t="str">
            <v>00-00005044</v>
          </cell>
          <cell r="B300" t="str">
            <v>Щиток пластик. 6 мод.зовн.устан.</v>
          </cell>
          <cell r="C300" t="str">
            <v>шт</v>
          </cell>
          <cell r="D300">
            <v>34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0">
          <cell r="B10" t="str">
            <v>00-00005670</v>
          </cell>
          <cell r="C10" t="str">
            <v xml:space="preserve">Автомат введення резерву  2п 100A </v>
          </cell>
          <cell r="D10" t="str">
            <v>шт</v>
          </cell>
          <cell r="E10">
            <v>3</v>
          </cell>
        </row>
        <row r="11">
          <cell r="B11" t="str">
            <v>00-00005670</v>
          </cell>
          <cell r="C11" t="str">
            <v xml:space="preserve">Автомат введення резерву  2п 100A </v>
          </cell>
          <cell r="D11" t="str">
            <v>шт</v>
          </cell>
          <cell r="E11">
            <v>1</v>
          </cell>
        </row>
        <row r="12">
          <cell r="B12" t="str">
            <v>00-00003557</v>
          </cell>
          <cell r="C12" t="str">
            <v xml:space="preserve">Автоматичний вимикач  1 п 10А  </v>
          </cell>
          <cell r="D12" t="str">
            <v>шт</v>
          </cell>
          <cell r="E12">
            <v>24</v>
          </cell>
        </row>
        <row r="13">
          <cell r="B13" t="str">
            <v>00-00003558</v>
          </cell>
          <cell r="C13" t="str">
            <v>Автоматичний вимикач  1 п 16А  С</v>
          </cell>
          <cell r="D13" t="str">
            <v>шт</v>
          </cell>
          <cell r="E13">
            <v>59</v>
          </cell>
        </row>
        <row r="14">
          <cell r="B14" t="str">
            <v>00-00000412</v>
          </cell>
          <cell r="C14" t="str">
            <v>Автоматичний вимикач  1 п 25А  C e mcb stand 45 1 c25 1p 25A C 4.5KA</v>
          </cell>
          <cell r="D14" t="str">
            <v>шт</v>
          </cell>
          <cell r="E14">
            <v>12</v>
          </cell>
        </row>
        <row r="15">
          <cell r="B15" t="str">
            <v>00-00000210</v>
          </cell>
          <cell r="C15" t="str">
            <v>Аерозоль Лідер (RAL 9010) білий глянцевий 400 мл</v>
          </cell>
          <cell r="D15" t="str">
            <v>шт</v>
          </cell>
          <cell r="E15">
            <v>4</v>
          </cell>
        </row>
        <row r="16">
          <cell r="B16" t="str">
            <v>00-00000210</v>
          </cell>
          <cell r="C16" t="str">
            <v>Аерозоль Лідер (RAL 9010) білий глянцевий 400 мл</v>
          </cell>
          <cell r="D16" t="str">
            <v>шт</v>
          </cell>
          <cell r="E16">
            <v>3</v>
          </cell>
        </row>
        <row r="17">
          <cell r="B17" t="str">
            <v>00-00004981</v>
          </cell>
          <cell r="C17" t="str">
            <v>Аквапанель 2000х1200х12,5</v>
          </cell>
          <cell r="D17" t="str">
            <v>м кв</v>
          </cell>
          <cell r="E17">
            <v>14</v>
          </cell>
        </row>
        <row r="18">
          <cell r="B18" t="str">
            <v>00-00005088</v>
          </cell>
          <cell r="C18" t="str">
            <v>Акумулятор 12V, 2,0Аh</v>
          </cell>
          <cell r="D18" t="str">
            <v>шт</v>
          </cell>
          <cell r="E18">
            <v>6</v>
          </cell>
        </row>
        <row r="19">
          <cell r="B19" t="str">
            <v>00-00005088</v>
          </cell>
          <cell r="C19" t="str">
            <v>Акумулятор 12V, 2,0Аh</v>
          </cell>
          <cell r="D19" t="str">
            <v>шт</v>
          </cell>
          <cell r="E19">
            <v>7</v>
          </cell>
        </row>
        <row r="20">
          <cell r="B20">
            <v>355</v>
          </cell>
          <cell r="C20" t="str">
            <v>Болт кріплення для бойлера, М10х100мм ( 2шт)</v>
          </cell>
          <cell r="D20" t="str">
            <v>шт</v>
          </cell>
          <cell r="E20">
            <v>3</v>
          </cell>
        </row>
        <row r="21">
          <cell r="B21" t="str">
            <v>00-00005270</v>
          </cell>
          <cell r="C21" t="str">
            <v>Брезент вогнестійкий  1,5*1,8</v>
          </cell>
          <cell r="D21" t="str">
            <v>шт</v>
          </cell>
          <cell r="E21">
            <v>4</v>
          </cell>
        </row>
        <row r="22">
          <cell r="B22" t="str">
            <v>00-00005270</v>
          </cell>
          <cell r="C22" t="str">
            <v>Брезент вогнестійкий  1,5*1,8</v>
          </cell>
          <cell r="D22" t="str">
            <v>шт</v>
          </cell>
          <cell r="E22">
            <v>2</v>
          </cell>
        </row>
        <row r="23">
          <cell r="B23" t="str">
            <v>00-00005770</v>
          </cell>
          <cell r="C23" t="str">
            <v>Брус 50х50х4500</v>
          </cell>
          <cell r="D23" t="str">
            <v>шт</v>
          </cell>
          <cell r="E23">
            <v>30</v>
          </cell>
        </row>
        <row r="24">
          <cell r="B24">
            <v>601</v>
          </cell>
          <cell r="C24" t="str">
            <v>Вагонка пластикова Мармур Сірий 0,25х6м 8мм (уп.10 шт.)</v>
          </cell>
          <cell r="D24" t="str">
            <v>м2</v>
          </cell>
          <cell r="E24">
            <v>112</v>
          </cell>
        </row>
        <row r="25">
          <cell r="B25">
            <v>18520</v>
          </cell>
          <cell r="C25" t="str">
            <v>ВВГнг 3х1,5 кабель</v>
          </cell>
          <cell r="D25" t="str">
            <v>км</v>
          </cell>
          <cell r="E25">
            <v>1.085</v>
          </cell>
        </row>
        <row r="26">
          <cell r="B26">
            <v>18382</v>
          </cell>
          <cell r="C26" t="str">
            <v>ВВГнг 3х2,5 кабель</v>
          </cell>
          <cell r="D26" t="str">
            <v>км</v>
          </cell>
          <cell r="E26">
            <v>2.1709999999999998</v>
          </cell>
        </row>
        <row r="27">
          <cell r="B27">
            <v>18518</v>
          </cell>
          <cell r="C27" t="str">
            <v>ВВГнг 3х4 кабель</v>
          </cell>
          <cell r="D27" t="str">
            <v>км</v>
          </cell>
          <cell r="E27">
            <v>0.17499999999999999</v>
          </cell>
        </row>
        <row r="28">
          <cell r="B28">
            <v>599</v>
          </cell>
          <cell r="C28" t="str">
            <v>Вентилятор Домовент 100С1 (14Вт, 94 м куб/год.)</v>
          </cell>
          <cell r="D28" t="str">
            <v>шт</v>
          </cell>
          <cell r="E28">
            <v>35</v>
          </cell>
        </row>
        <row r="29">
          <cell r="B29">
            <v>599</v>
          </cell>
          <cell r="C29" t="str">
            <v>Вентилятор Домовент 100С1 (14Вт, 94 м куб/год.)</v>
          </cell>
          <cell r="D29" t="str">
            <v>шт</v>
          </cell>
          <cell r="E29">
            <v>4</v>
          </cell>
        </row>
        <row r="30">
          <cell r="B30">
            <v>616</v>
          </cell>
          <cell r="C30" t="str">
            <v>Вилка переносна 7023 32А 220В 2Р+Е ІР44</v>
          </cell>
          <cell r="D30" t="str">
            <v>шт</v>
          </cell>
          <cell r="E30">
            <v>8</v>
          </cell>
        </row>
        <row r="31">
          <cell r="B31">
            <v>616</v>
          </cell>
          <cell r="C31" t="str">
            <v>Вилка переносна 7023 32А 220В 2Р+Е ІР44</v>
          </cell>
          <cell r="D31" t="str">
            <v>шт</v>
          </cell>
          <cell r="E31">
            <v>28</v>
          </cell>
        </row>
        <row r="32">
          <cell r="B32">
            <v>616</v>
          </cell>
          <cell r="C32" t="str">
            <v>Вилка переносна 7023 32А 220В 2Р+Е ІР44</v>
          </cell>
          <cell r="D32" t="str">
            <v>шт</v>
          </cell>
          <cell r="E32">
            <v>14</v>
          </cell>
        </row>
        <row r="33">
          <cell r="B33" t="str">
            <v>00-00005532</v>
          </cell>
          <cell r="C33" t="str">
            <v>Вилка промислова 32А</v>
          </cell>
          <cell r="D33" t="str">
            <v>шт</v>
          </cell>
          <cell r="E33">
            <v>4</v>
          </cell>
        </row>
        <row r="34">
          <cell r="B34" t="str">
            <v>00-00005573</v>
          </cell>
          <cell r="C34" t="str">
            <v>Вимикач  диференц струму з захистом16А С 10мА</v>
          </cell>
          <cell r="D34" t="str">
            <v>шт</v>
          </cell>
          <cell r="E34">
            <v>4</v>
          </cell>
        </row>
        <row r="35">
          <cell r="B35" t="str">
            <v>00-00000721</v>
          </cell>
          <cell r="C35" t="str">
            <v>Вимикач 1-клавішний</v>
          </cell>
          <cell r="D35" t="str">
            <v>шт</v>
          </cell>
          <cell r="E35">
            <v>33</v>
          </cell>
        </row>
        <row r="36">
          <cell r="B36">
            <v>486</v>
          </cell>
          <cell r="C36" t="str">
            <v>Вимикач 2-клавішний</v>
          </cell>
          <cell r="D36" t="str">
            <v>шт</v>
          </cell>
          <cell r="E36">
            <v>16</v>
          </cell>
        </row>
        <row r="37">
          <cell r="B37">
            <v>17002</v>
          </cell>
          <cell r="C37" t="str">
            <v>Відвід d 110 мм 45"</v>
          </cell>
          <cell r="D37" t="str">
            <v>шт</v>
          </cell>
          <cell r="E37">
            <v>16</v>
          </cell>
        </row>
        <row r="38">
          <cell r="B38" t="str">
            <v>00-00005133</v>
          </cell>
          <cell r="C38" t="str">
            <v>Відвід D=32 мм, 87° 30 ' 3917400090</v>
          </cell>
          <cell r="D38" t="str">
            <v>шт</v>
          </cell>
          <cell r="E38">
            <v>12</v>
          </cell>
        </row>
        <row r="39">
          <cell r="B39">
            <v>10911</v>
          </cell>
          <cell r="C39" t="str">
            <v>Вішалка підлогова</v>
          </cell>
          <cell r="D39" t="str">
            <v>шт</v>
          </cell>
          <cell r="E39">
            <v>1</v>
          </cell>
        </row>
        <row r="40">
          <cell r="B40">
            <v>10911</v>
          </cell>
          <cell r="C40" t="str">
            <v>Вішалка підлогова</v>
          </cell>
          <cell r="D40" t="str">
            <v>шт</v>
          </cell>
          <cell r="E40">
            <v>2</v>
          </cell>
        </row>
        <row r="41">
          <cell r="B41" t="str">
            <v>00-00004868</v>
          </cell>
          <cell r="C41" t="str">
            <v>Вогнебіозахист 1кг</v>
          </cell>
          <cell r="D41" t="str">
            <v>шт</v>
          </cell>
          <cell r="E41">
            <v>10</v>
          </cell>
        </row>
        <row r="42">
          <cell r="B42" t="str">
            <v>00-00004868</v>
          </cell>
          <cell r="C42" t="str">
            <v>Вогнебіозахист 1кг</v>
          </cell>
          <cell r="D42" t="str">
            <v>шт</v>
          </cell>
          <cell r="E42">
            <v>7</v>
          </cell>
        </row>
        <row r="43">
          <cell r="B43" t="str">
            <v>00-00004868</v>
          </cell>
          <cell r="C43" t="str">
            <v>Вогнебіозахист 1кг</v>
          </cell>
          <cell r="D43" t="str">
            <v>шт</v>
          </cell>
          <cell r="E43">
            <v>15</v>
          </cell>
        </row>
        <row r="44">
          <cell r="B44" t="str">
            <v>00-00004868</v>
          </cell>
          <cell r="C44" t="str">
            <v>Вогнебіозахист 1кг</v>
          </cell>
          <cell r="D44" t="str">
            <v>шт</v>
          </cell>
          <cell r="E44">
            <v>10</v>
          </cell>
        </row>
        <row r="45">
          <cell r="B45" t="str">
            <v>00-00004868</v>
          </cell>
          <cell r="C45" t="str">
            <v>Вогнебіозахист 1кг</v>
          </cell>
          <cell r="D45" t="str">
            <v>шт</v>
          </cell>
          <cell r="E45">
            <v>10</v>
          </cell>
        </row>
        <row r="46">
          <cell r="B46" t="str">
            <v>00-00005597</v>
          </cell>
          <cell r="C46" t="str">
            <v>Вогнегасник порошковий ОП2 2 кг</v>
          </cell>
          <cell r="D46" t="str">
            <v>шт</v>
          </cell>
          <cell r="E46">
            <v>3</v>
          </cell>
        </row>
        <row r="47">
          <cell r="B47">
            <v>5990</v>
          </cell>
          <cell r="C47" t="str">
            <v>Гайка М12  DIN 934  цб</v>
          </cell>
          <cell r="D47" t="str">
            <v>шт</v>
          </cell>
          <cell r="E47">
            <v>100</v>
          </cell>
        </row>
        <row r="48">
          <cell r="B48">
            <v>11093</v>
          </cell>
          <cell r="C48" t="str">
            <v>Гайка М48</v>
          </cell>
          <cell r="D48" t="str">
            <v>кг</v>
          </cell>
          <cell r="E48">
            <v>28.5</v>
          </cell>
        </row>
        <row r="49">
          <cell r="B49" t="str">
            <v>00-00004908</v>
          </cell>
          <cell r="C49" t="str">
            <v>Гвинт 3,9*25</v>
          </cell>
          <cell r="D49" t="str">
            <v>шт</v>
          </cell>
          <cell r="E49">
            <v>10000</v>
          </cell>
        </row>
        <row r="50">
          <cell r="B50" t="str">
            <v>00-00004907</v>
          </cell>
          <cell r="C50" t="str">
            <v>Гвинт 4,2х19</v>
          </cell>
          <cell r="D50" t="str">
            <v>шт</v>
          </cell>
          <cell r="E50">
            <v>1200</v>
          </cell>
        </row>
        <row r="51">
          <cell r="B51" t="str">
            <v>00-00004907</v>
          </cell>
          <cell r="C51" t="str">
            <v>Гвинт 4,2х19</v>
          </cell>
          <cell r="D51" t="str">
            <v>шт</v>
          </cell>
          <cell r="E51">
            <v>1200</v>
          </cell>
        </row>
        <row r="52">
          <cell r="B52" t="str">
            <v>00-00004907</v>
          </cell>
          <cell r="C52" t="str">
            <v>Гвинт 4,2х19</v>
          </cell>
          <cell r="D52" t="str">
            <v>шт</v>
          </cell>
          <cell r="E52">
            <v>1150</v>
          </cell>
        </row>
        <row r="53">
          <cell r="B53" t="str">
            <v>00-00004907</v>
          </cell>
          <cell r="C53" t="str">
            <v>Гвинт 4,2х19</v>
          </cell>
          <cell r="D53" t="str">
            <v>шт</v>
          </cell>
          <cell r="E53">
            <v>1200</v>
          </cell>
        </row>
        <row r="54">
          <cell r="B54" t="str">
            <v>00-00005462</v>
          </cell>
          <cell r="C54" t="str">
            <v>Гвинт 4,8х50</v>
          </cell>
          <cell r="D54" t="str">
            <v>шт</v>
          </cell>
          <cell r="E54">
            <v>2600</v>
          </cell>
        </row>
        <row r="55">
          <cell r="B55" t="str">
            <v>00-00005462</v>
          </cell>
          <cell r="C55" t="str">
            <v>Гвинт 4,8х50</v>
          </cell>
          <cell r="D55" t="str">
            <v>шт</v>
          </cell>
          <cell r="E55">
            <v>1900</v>
          </cell>
        </row>
        <row r="56">
          <cell r="B56" t="str">
            <v>00-00005462</v>
          </cell>
          <cell r="C56" t="str">
            <v>Гвинт 4,8х50</v>
          </cell>
          <cell r="D56" t="str">
            <v>шт</v>
          </cell>
          <cell r="E56">
            <v>500</v>
          </cell>
        </row>
        <row r="57">
          <cell r="B57" t="str">
            <v>00-00005462</v>
          </cell>
          <cell r="C57" t="str">
            <v>Гвинт 4,8х50</v>
          </cell>
          <cell r="D57" t="str">
            <v>шт</v>
          </cell>
          <cell r="E57">
            <v>1100</v>
          </cell>
        </row>
        <row r="58">
          <cell r="B58" t="str">
            <v>00-00005462</v>
          </cell>
          <cell r="C58" t="str">
            <v>Гвинт 4,8х50</v>
          </cell>
          <cell r="D58" t="str">
            <v>шт</v>
          </cell>
          <cell r="E58">
            <v>1500</v>
          </cell>
        </row>
        <row r="59">
          <cell r="B59" t="str">
            <v>00-00005462</v>
          </cell>
          <cell r="C59" t="str">
            <v>Гвинт 4,8х50</v>
          </cell>
          <cell r="D59" t="str">
            <v>шт</v>
          </cell>
          <cell r="E59">
            <v>1500</v>
          </cell>
        </row>
        <row r="60">
          <cell r="B60" t="str">
            <v>00-00005462</v>
          </cell>
          <cell r="C60" t="str">
            <v>Гвинт 4,8х50</v>
          </cell>
          <cell r="D60" t="str">
            <v>шт</v>
          </cell>
          <cell r="E60">
            <v>1500</v>
          </cell>
        </row>
        <row r="61">
          <cell r="B61" t="str">
            <v>00-00005462</v>
          </cell>
          <cell r="C61" t="str">
            <v>Гвинт 4,8х50</v>
          </cell>
          <cell r="D61" t="str">
            <v>шт</v>
          </cell>
          <cell r="E61">
            <v>1100</v>
          </cell>
        </row>
        <row r="62">
          <cell r="B62" t="str">
            <v>00-00005462</v>
          </cell>
          <cell r="C62" t="str">
            <v>Гвинт 4,8х50</v>
          </cell>
          <cell r="D62" t="str">
            <v>шт</v>
          </cell>
          <cell r="E62">
            <v>1100</v>
          </cell>
        </row>
        <row r="63">
          <cell r="B63" t="str">
            <v>00-00005462</v>
          </cell>
          <cell r="C63" t="str">
            <v>Гвинт 4,8х50</v>
          </cell>
          <cell r="D63" t="str">
            <v>шт</v>
          </cell>
          <cell r="E63">
            <v>1100</v>
          </cell>
        </row>
        <row r="64">
          <cell r="B64" t="str">
            <v>00-00005462</v>
          </cell>
          <cell r="C64" t="str">
            <v>Гвинт 4,8х50</v>
          </cell>
          <cell r="D64" t="str">
            <v>шт</v>
          </cell>
          <cell r="E64">
            <v>1100</v>
          </cell>
        </row>
        <row r="65">
          <cell r="B65">
            <v>5936</v>
          </cell>
          <cell r="C65" t="str">
            <v>Гвинт 5,5х32 цб дов.св</v>
          </cell>
          <cell r="D65" t="str">
            <v>шт</v>
          </cell>
          <cell r="E65">
            <v>2750</v>
          </cell>
        </row>
        <row r="66">
          <cell r="B66">
            <v>5936</v>
          </cell>
          <cell r="C66" t="str">
            <v>Гвинт 5,5х32 цб дов.св</v>
          </cell>
          <cell r="D66" t="str">
            <v>шт</v>
          </cell>
          <cell r="E66">
            <v>250</v>
          </cell>
        </row>
        <row r="67">
          <cell r="B67">
            <v>5936</v>
          </cell>
          <cell r="C67" t="str">
            <v>Гвинт 5,5х32 цб дов.св</v>
          </cell>
          <cell r="D67" t="str">
            <v>шт</v>
          </cell>
          <cell r="E67">
            <v>2800</v>
          </cell>
        </row>
        <row r="68">
          <cell r="B68">
            <v>5936</v>
          </cell>
          <cell r="C68" t="str">
            <v>Гвинт 5,5х32 цб дов.св</v>
          </cell>
          <cell r="D68" t="str">
            <v>шт</v>
          </cell>
          <cell r="E68">
            <v>3000</v>
          </cell>
        </row>
        <row r="69">
          <cell r="B69">
            <v>5936</v>
          </cell>
          <cell r="C69" t="str">
            <v>Гвинт 5,5х32 цб дов.св</v>
          </cell>
          <cell r="D69" t="str">
            <v>шт</v>
          </cell>
          <cell r="E69">
            <v>3000</v>
          </cell>
        </row>
        <row r="70">
          <cell r="B70" t="str">
            <v>00-00004909</v>
          </cell>
          <cell r="C70" t="str">
            <v>Гвинт 5,5х75</v>
          </cell>
          <cell r="D70" t="str">
            <v>шт</v>
          </cell>
          <cell r="E70">
            <v>2900</v>
          </cell>
        </row>
        <row r="71">
          <cell r="B71" t="str">
            <v>00-00004909</v>
          </cell>
          <cell r="C71" t="str">
            <v>Гвинт 5,5х75</v>
          </cell>
          <cell r="D71" t="str">
            <v>шт</v>
          </cell>
          <cell r="E71">
            <v>4000</v>
          </cell>
        </row>
        <row r="72">
          <cell r="B72" t="str">
            <v>00-00004909</v>
          </cell>
          <cell r="C72" t="str">
            <v>Гвинт 5,5х75</v>
          </cell>
          <cell r="D72" t="str">
            <v>шт</v>
          </cell>
          <cell r="E72">
            <v>4000</v>
          </cell>
        </row>
        <row r="73">
          <cell r="B73" t="str">
            <v>00-00004909</v>
          </cell>
          <cell r="C73" t="str">
            <v>Гвинт 5,5х75</v>
          </cell>
          <cell r="D73" t="str">
            <v>шт</v>
          </cell>
          <cell r="E73">
            <v>4000</v>
          </cell>
        </row>
        <row r="74">
          <cell r="B74">
            <v>17039</v>
          </cell>
          <cell r="C74" t="str">
            <v xml:space="preserve">Генератор </v>
          </cell>
          <cell r="D74" t="str">
            <v>шт</v>
          </cell>
          <cell r="E74">
            <v>5</v>
          </cell>
        </row>
        <row r="75">
          <cell r="B75" t="str">
            <v>00-00005571</v>
          </cell>
          <cell r="C75" t="str">
            <v>Герметик для швів 310мл.</v>
          </cell>
          <cell r="D75" t="str">
            <v>шт</v>
          </cell>
          <cell r="E75">
            <v>8</v>
          </cell>
        </row>
        <row r="76">
          <cell r="B76">
            <v>597</v>
          </cell>
          <cell r="C76" t="str">
            <v>Герметик силіконовий санітарний Mounter (білий) 280 мл</v>
          </cell>
          <cell r="D76" t="str">
            <v>шт</v>
          </cell>
          <cell r="E76">
            <v>4</v>
          </cell>
        </row>
        <row r="77">
          <cell r="B77">
            <v>597</v>
          </cell>
          <cell r="C77" t="str">
            <v>Герметик силіконовий санітарний Mounter (білий) 280 мл</v>
          </cell>
          <cell r="D77" t="str">
            <v>шт</v>
          </cell>
          <cell r="E77">
            <v>10</v>
          </cell>
        </row>
        <row r="78">
          <cell r="B78">
            <v>597</v>
          </cell>
          <cell r="C78" t="str">
            <v>Герметик силіконовий санітарний Mounter (білий) 280 мл</v>
          </cell>
          <cell r="D78" t="str">
            <v>шт</v>
          </cell>
          <cell r="E78">
            <v>8</v>
          </cell>
        </row>
        <row r="79">
          <cell r="B79">
            <v>597</v>
          </cell>
          <cell r="C79" t="str">
            <v>Герметик силіконовий санітарний Mounter (білий) 280 мл</v>
          </cell>
          <cell r="D79" t="str">
            <v>шт</v>
          </cell>
          <cell r="E79">
            <v>7</v>
          </cell>
        </row>
        <row r="80">
          <cell r="B80">
            <v>597</v>
          </cell>
          <cell r="C80" t="str">
            <v>Герметик силіконовий санітарний Mounter (білий) 280 мл</v>
          </cell>
          <cell r="D80" t="str">
            <v>шт</v>
          </cell>
          <cell r="E80">
            <v>4</v>
          </cell>
        </row>
        <row r="81">
          <cell r="B81">
            <v>597</v>
          </cell>
          <cell r="C81" t="str">
            <v>Герметик силіконовий санітарний Mounter (білий) 280 мл</v>
          </cell>
          <cell r="D81" t="str">
            <v>шт</v>
          </cell>
          <cell r="E81">
            <v>8</v>
          </cell>
        </row>
        <row r="82">
          <cell r="B82" t="str">
            <v>00-00005073</v>
          </cell>
          <cell r="C82" t="str">
            <v>Герметичний з’єднувач кабеля</v>
          </cell>
          <cell r="D82" t="str">
            <v>шт</v>
          </cell>
          <cell r="E82">
            <v>5</v>
          </cell>
        </row>
        <row r="83">
          <cell r="B83">
            <v>643</v>
          </cell>
          <cell r="C83" t="str">
            <v>Гідробар'єр (1,5х44м)</v>
          </cell>
          <cell r="D83" t="str">
            <v>м2</v>
          </cell>
          <cell r="E83">
            <v>1320</v>
          </cell>
        </row>
        <row r="84">
          <cell r="B84">
            <v>643</v>
          </cell>
          <cell r="C84" t="str">
            <v>Гідробар'єр (1,5х44м)</v>
          </cell>
          <cell r="D84" t="str">
            <v>м2</v>
          </cell>
          <cell r="E84">
            <v>211</v>
          </cell>
        </row>
        <row r="85">
          <cell r="B85" t="str">
            <v>00-00005447</v>
          </cell>
          <cell r="C85" t="str">
            <v>Гідроізоляція 7кг</v>
          </cell>
          <cell r="D85" t="str">
            <v>шт</v>
          </cell>
          <cell r="E85">
            <v>1</v>
          </cell>
        </row>
        <row r="86">
          <cell r="B86">
            <v>336</v>
          </cell>
          <cell r="C86" t="str">
            <v>Гладкая жесть 1,25*2м РЕМА 7024*45</v>
          </cell>
          <cell r="D86" t="str">
            <v>м2</v>
          </cell>
          <cell r="E86">
            <v>182</v>
          </cell>
        </row>
        <row r="87">
          <cell r="B87" t="str">
            <v>00-00005682</v>
          </cell>
          <cell r="C87" t="str">
            <v>Гнучка труба 50/40х40/50</v>
          </cell>
          <cell r="D87" t="str">
            <v>шт</v>
          </cell>
          <cell r="E87">
            <v>1</v>
          </cell>
        </row>
        <row r="88">
          <cell r="B88">
            <v>89</v>
          </cell>
          <cell r="C88" t="str">
            <v>Гнучкий шланг 1\2 ВВ довжина 100 см</v>
          </cell>
          <cell r="D88" t="str">
            <v>шт</v>
          </cell>
          <cell r="E88">
            <v>8</v>
          </cell>
        </row>
        <row r="89">
          <cell r="B89">
            <v>87</v>
          </cell>
          <cell r="C89" t="str">
            <v>Гнучкий шланг 1\2 ВВ довжина 40 см</v>
          </cell>
          <cell r="D89" t="str">
            <v>шт</v>
          </cell>
          <cell r="E89">
            <v>12</v>
          </cell>
        </row>
        <row r="90">
          <cell r="B90">
            <v>19322</v>
          </cell>
          <cell r="C90" t="str">
            <v>Гнучкий шланг, 1 / 2 "ВВ, довжина 50 см 4009220000</v>
          </cell>
          <cell r="D90" t="str">
            <v>шт</v>
          </cell>
          <cell r="E90">
            <v>27</v>
          </cell>
        </row>
        <row r="91">
          <cell r="B91">
            <v>341</v>
          </cell>
          <cell r="C91" t="str">
            <v>Гнучкий шланг, 1 / 2" ВВ, довжина 30 см</v>
          </cell>
          <cell r="D91" t="str">
            <v>шт</v>
          </cell>
          <cell r="E91">
            <v>44</v>
          </cell>
        </row>
        <row r="92">
          <cell r="B92">
            <v>19317</v>
          </cell>
          <cell r="C92" t="str">
            <v>Гнучкий шланг, для сифону, HB, D=32 мм х 1.1/4",L=380-865 мм 3922900000</v>
          </cell>
          <cell r="D92" t="str">
            <v>шт</v>
          </cell>
          <cell r="E92">
            <v>13</v>
          </cell>
        </row>
        <row r="93">
          <cell r="B93" t="str">
            <v>00-00005058</v>
          </cell>
          <cell r="C93" t="str">
            <v>Гратка вентиляційна пластик</v>
          </cell>
          <cell r="D93" t="str">
            <v>шт</v>
          </cell>
          <cell r="E93">
            <v>31</v>
          </cell>
        </row>
        <row r="94">
          <cell r="B94" t="str">
            <v>00-00005062</v>
          </cell>
          <cell r="C94" t="str">
            <v>Грунт концентрат 1:10 NOVA 1л</v>
          </cell>
          <cell r="D94" t="str">
            <v>шт</v>
          </cell>
          <cell r="E94">
            <v>1</v>
          </cell>
        </row>
        <row r="95">
          <cell r="B95" t="str">
            <v>00-00001875</v>
          </cell>
          <cell r="C95" t="str">
            <v>Грунт-емаль ПФ-012 Р сірий (кг)</v>
          </cell>
          <cell r="D95" t="str">
            <v>кг</v>
          </cell>
          <cell r="E95">
            <v>150</v>
          </cell>
        </row>
        <row r="96">
          <cell r="B96" t="str">
            <v>00-00001875</v>
          </cell>
          <cell r="C96" t="str">
            <v>Грунт-емаль ПФ-012 Р сірий (кг)</v>
          </cell>
          <cell r="D96" t="str">
            <v>кг</v>
          </cell>
          <cell r="E96">
            <v>126</v>
          </cell>
        </row>
        <row r="97">
          <cell r="B97" t="str">
            <v>00-00005176</v>
          </cell>
          <cell r="C97" t="str">
            <v>Дверцята 100*100 ревізійні пластик</v>
          </cell>
          <cell r="D97" t="str">
            <v>шт</v>
          </cell>
          <cell r="E97">
            <v>72</v>
          </cell>
        </row>
        <row r="98">
          <cell r="B98" t="str">
            <v>00-00005175</v>
          </cell>
          <cell r="C98" t="str">
            <v>Дверцята 150*150 ревізійні пластик</v>
          </cell>
          <cell r="D98" t="str">
            <v>шт</v>
          </cell>
          <cell r="E98">
            <v>32</v>
          </cell>
        </row>
        <row r="99">
          <cell r="B99" t="str">
            <v>00-00005366</v>
          </cell>
          <cell r="C99" t="str">
            <v>Диспенсер рушників</v>
          </cell>
          <cell r="D99" t="str">
            <v>шт</v>
          </cell>
          <cell r="E99">
            <v>20</v>
          </cell>
        </row>
        <row r="100">
          <cell r="B100" t="str">
            <v>00-00005567</v>
          </cell>
          <cell r="C100" t="str">
            <v>Диспенсер туалетного папіру</v>
          </cell>
          <cell r="D100" t="str">
            <v>шт</v>
          </cell>
          <cell r="E100">
            <v>10</v>
          </cell>
        </row>
        <row r="101">
          <cell r="B101" t="str">
            <v>00-00004867</v>
          </cell>
          <cell r="C101" t="str">
            <v>Дошка 20*100*6000</v>
          </cell>
          <cell r="D101" t="str">
            <v>м куб</v>
          </cell>
          <cell r="E101">
            <v>1.1040000000000001</v>
          </cell>
        </row>
        <row r="102">
          <cell r="B102" t="str">
            <v>00-00004867</v>
          </cell>
          <cell r="C102" t="str">
            <v>Дошка 20*100*6000</v>
          </cell>
          <cell r="D102" t="str">
            <v>м куб</v>
          </cell>
          <cell r="E102">
            <v>2.004</v>
          </cell>
        </row>
        <row r="103">
          <cell r="B103">
            <v>7114</v>
          </cell>
          <cell r="C103" t="str">
            <v>Дріт з легованої сталі ER70S-6 ф1,0мм 5 кг</v>
          </cell>
          <cell r="D103" t="str">
            <v>шт</v>
          </cell>
          <cell r="E103">
            <v>1</v>
          </cell>
        </row>
        <row r="104">
          <cell r="B104">
            <v>12923</v>
          </cell>
          <cell r="C104" t="str">
            <v>Дріт з легованої сталі ER70S-6 ф1,2 мм 15 кг</v>
          </cell>
          <cell r="D104" t="str">
            <v>шт</v>
          </cell>
          <cell r="E104">
            <v>2</v>
          </cell>
        </row>
        <row r="105">
          <cell r="B105">
            <v>9858</v>
          </cell>
          <cell r="C105" t="str">
            <v xml:space="preserve">Дріт ПВЗ  1*6 </v>
          </cell>
          <cell r="D105" t="str">
            <v>км</v>
          </cell>
          <cell r="E105">
            <v>0.03</v>
          </cell>
        </row>
        <row r="106">
          <cell r="B106" t="str">
            <v>00-00005157</v>
          </cell>
          <cell r="C106" t="str">
            <v>Душ літн.в збарі металевий</v>
          </cell>
          <cell r="D106" t="str">
            <v>шт</v>
          </cell>
          <cell r="E106">
            <v>3</v>
          </cell>
        </row>
        <row r="107">
          <cell r="B107" t="str">
            <v>00-00005104</v>
          </cell>
          <cell r="C107" t="str">
            <v>Душова кабіна Lidz Wawel SC90*90.SAT.LOW.FR скло 4мм без піддона</v>
          </cell>
          <cell r="D107" t="str">
            <v>шт</v>
          </cell>
          <cell r="E107">
            <v>1</v>
          </cell>
        </row>
        <row r="108">
          <cell r="B108" t="str">
            <v>00-00005396</v>
          </cell>
          <cell r="C108" t="str">
            <v>Душова система</v>
          </cell>
          <cell r="D108" t="str">
            <v>шт</v>
          </cell>
          <cell r="E108">
            <v>1</v>
          </cell>
        </row>
        <row r="109">
          <cell r="B109" t="str">
            <v>00-00005710</v>
          </cell>
          <cell r="C109" t="str">
            <v>Душовий бокс 90х90х215</v>
          </cell>
          <cell r="D109" t="str">
            <v>шт</v>
          </cell>
          <cell r="E109">
            <v>1</v>
          </cell>
        </row>
        <row r="110">
          <cell r="B110" t="str">
            <v>00-00005710</v>
          </cell>
          <cell r="C110" t="str">
            <v>Душовий бокс 90х90х215</v>
          </cell>
          <cell r="D110" t="str">
            <v>шт</v>
          </cell>
          <cell r="E110">
            <v>1</v>
          </cell>
        </row>
        <row r="111">
          <cell r="B111" t="str">
            <v>00-00005710</v>
          </cell>
          <cell r="C111" t="str">
            <v>Душовий бокс 90х90х215</v>
          </cell>
          <cell r="D111" t="str">
            <v>шт</v>
          </cell>
          <cell r="E111">
            <v>1</v>
          </cell>
        </row>
        <row r="112">
          <cell r="B112" t="str">
            <v>00-00005710</v>
          </cell>
          <cell r="C112" t="str">
            <v>Душовий бокс 90х90х215</v>
          </cell>
          <cell r="D112" t="str">
            <v>шт</v>
          </cell>
          <cell r="E112">
            <v>1</v>
          </cell>
        </row>
        <row r="113">
          <cell r="B113">
            <v>21949</v>
          </cell>
          <cell r="C113" t="str">
            <v>Душовий піддон сталевий, 90*90 квадратний</v>
          </cell>
          <cell r="D113" t="str">
            <v>шт</v>
          </cell>
          <cell r="E113">
            <v>2</v>
          </cell>
        </row>
        <row r="114">
          <cell r="B114" t="str">
            <v>00-00005572</v>
          </cell>
          <cell r="C114" t="str">
            <v>Дюбель  6*30</v>
          </cell>
          <cell r="D114" t="str">
            <v>шт</v>
          </cell>
          <cell r="E114">
            <v>300</v>
          </cell>
        </row>
        <row r="115">
          <cell r="B115" t="str">
            <v>00-00005463</v>
          </cell>
          <cell r="C115" t="str">
            <v>Дюбель Дріва з буром 15х23</v>
          </cell>
          <cell r="D115" t="str">
            <v>шт</v>
          </cell>
          <cell r="E115">
            <v>450</v>
          </cell>
        </row>
        <row r="116">
          <cell r="B116" t="str">
            <v>00-00000735</v>
          </cell>
          <cell r="C116" t="str">
            <v>Електричний болер O "Profi VM 080 D400-1-M, 80 л,</v>
          </cell>
          <cell r="D116" t="str">
            <v>шт</v>
          </cell>
          <cell r="E116">
            <v>4</v>
          </cell>
        </row>
        <row r="117">
          <cell r="B117" t="str">
            <v>00-00000094</v>
          </cell>
          <cell r="C117" t="str">
            <v>Електричний водонагрівач O`Pro Slim PC 30, 30л</v>
          </cell>
          <cell r="D117" t="str">
            <v>шт</v>
          </cell>
          <cell r="E117">
            <v>4</v>
          </cell>
        </row>
        <row r="118">
          <cell r="B118" t="str">
            <v>00-00005264</v>
          </cell>
          <cell r="C118" t="str">
            <v>Ємність 1500л харчова</v>
          </cell>
          <cell r="D118" t="str">
            <v>шт</v>
          </cell>
          <cell r="E118">
            <v>1</v>
          </cell>
        </row>
        <row r="119">
          <cell r="B119" t="str">
            <v>00-00005264</v>
          </cell>
          <cell r="C119" t="str">
            <v>Ємність 1500л харчова</v>
          </cell>
          <cell r="D119" t="str">
            <v>шт</v>
          </cell>
          <cell r="E119">
            <v>1</v>
          </cell>
        </row>
        <row r="120">
          <cell r="B120">
            <v>102</v>
          </cell>
          <cell r="C120" t="str">
            <v>З'єднувач PP-R D=20 mm. х1\2 Н сірий</v>
          </cell>
          <cell r="D120" t="str">
            <v>шт</v>
          </cell>
          <cell r="E120">
            <v>81</v>
          </cell>
        </row>
        <row r="121">
          <cell r="B121" t="str">
            <v>00-00005344</v>
          </cell>
          <cell r="C121" t="str">
            <v>З'єднувач ринви Profil 90 білий</v>
          </cell>
          <cell r="D121" t="str">
            <v>шт</v>
          </cell>
          <cell r="E121">
            <v>2</v>
          </cell>
        </row>
        <row r="122">
          <cell r="B122" t="str">
            <v>00-00005423</v>
          </cell>
          <cell r="C122" t="str">
            <v>З'єднувач труби Profil 90 білий</v>
          </cell>
          <cell r="D122" t="str">
            <v>шт</v>
          </cell>
          <cell r="E122">
            <v>4</v>
          </cell>
        </row>
        <row r="123">
          <cell r="B123" t="str">
            <v>00-00005141</v>
          </cell>
          <cell r="C123" t="str">
            <v>З’єднання з амереканкою РР-R D=20 ммх1/2 В</v>
          </cell>
          <cell r="D123" t="str">
            <v>шт</v>
          </cell>
          <cell r="E123">
            <v>12</v>
          </cell>
        </row>
        <row r="124">
          <cell r="B124" t="str">
            <v>00-00005140</v>
          </cell>
          <cell r="C124" t="str">
            <v>З’єднання з амереканкою РР-R D=20 ммх1/2 Н</v>
          </cell>
          <cell r="D124" t="str">
            <v>шт</v>
          </cell>
          <cell r="E124">
            <v>12</v>
          </cell>
        </row>
        <row r="125">
          <cell r="B125" t="str">
            <v>00-00005371</v>
          </cell>
          <cell r="C125" t="str">
            <v xml:space="preserve">Заглушка 40х40 </v>
          </cell>
          <cell r="D125" t="str">
            <v>шт</v>
          </cell>
          <cell r="E125">
            <v>64</v>
          </cell>
        </row>
        <row r="126">
          <cell r="B126">
            <v>21688</v>
          </cell>
          <cell r="C126" t="str">
            <v>Заглушка D=110 мм 3917400090</v>
          </cell>
          <cell r="D126" t="str">
            <v>шт</v>
          </cell>
          <cell r="E126">
            <v>8</v>
          </cell>
        </row>
        <row r="127">
          <cell r="B127" t="str">
            <v>00-00005847</v>
          </cell>
          <cell r="C127" t="str">
            <v>Заглушка для профільної труби 40*40</v>
          </cell>
          <cell r="D127" t="str">
            <v>шт</v>
          </cell>
          <cell r="E127">
            <v>600</v>
          </cell>
        </row>
        <row r="128">
          <cell r="B128" t="str">
            <v>00-00005057</v>
          </cell>
          <cell r="C128" t="str">
            <v>Захист від перенапруги D50</v>
          </cell>
          <cell r="D128" t="str">
            <v>шт</v>
          </cell>
          <cell r="E128">
            <v>4</v>
          </cell>
        </row>
        <row r="129">
          <cell r="B129" t="str">
            <v>00-00005184</v>
          </cell>
          <cell r="C129" t="str">
            <v>Змішувач  для умивальника, хром</v>
          </cell>
          <cell r="D129" t="str">
            <v>шт</v>
          </cell>
          <cell r="E129">
            <v>15</v>
          </cell>
        </row>
        <row r="130">
          <cell r="B130" t="str">
            <v>00-00004241</v>
          </cell>
          <cell r="C130" t="str">
            <v>Канал Д 100/1 1010</v>
          </cell>
          <cell r="D130" t="str">
            <v>шт</v>
          </cell>
          <cell r="E130">
            <v>24</v>
          </cell>
        </row>
        <row r="131">
          <cell r="B131" t="str">
            <v>00-00005035</v>
          </cell>
          <cell r="C131" t="str">
            <v>Килимок 80х120</v>
          </cell>
          <cell r="D131" t="str">
            <v>шт</v>
          </cell>
          <cell r="E131">
            <v>1</v>
          </cell>
        </row>
        <row r="132">
          <cell r="B132" t="str">
            <v>00-00005035</v>
          </cell>
          <cell r="C132" t="str">
            <v>Килимок 80х120</v>
          </cell>
          <cell r="D132" t="str">
            <v>шт</v>
          </cell>
          <cell r="E132">
            <v>4</v>
          </cell>
        </row>
        <row r="133">
          <cell r="B133">
            <v>21201</v>
          </cell>
          <cell r="C133" t="str">
            <v>Клапан зворотній 1/2*</v>
          </cell>
          <cell r="D133" t="str">
            <v>шт</v>
          </cell>
          <cell r="E133">
            <v>4</v>
          </cell>
        </row>
        <row r="134">
          <cell r="B134" t="str">
            <v>00-00004976</v>
          </cell>
          <cell r="C134" t="str">
            <v>Клей для напольного покриття 12кг</v>
          </cell>
          <cell r="D134" t="str">
            <v>шт</v>
          </cell>
          <cell r="E134">
            <v>3</v>
          </cell>
        </row>
        <row r="135">
          <cell r="B135" t="str">
            <v>00-00005025</v>
          </cell>
          <cell r="C135" t="str">
            <v>Клей монтажний, 3 кг</v>
          </cell>
          <cell r="D135" t="str">
            <v>шт</v>
          </cell>
          <cell r="E135">
            <v>1</v>
          </cell>
        </row>
        <row r="136">
          <cell r="B136" t="str">
            <v>00-00005769</v>
          </cell>
          <cell r="C136" t="str">
            <v>Клей монтажний, 440 г</v>
          </cell>
          <cell r="D136" t="str">
            <v>шт</v>
          </cell>
          <cell r="E136">
            <v>15</v>
          </cell>
        </row>
        <row r="137">
          <cell r="B137">
            <v>13658</v>
          </cell>
          <cell r="C137" t="str">
            <v>Клей-піна, 860 мл</v>
          </cell>
          <cell r="D137" t="str">
            <v>шт</v>
          </cell>
          <cell r="E137">
            <v>5</v>
          </cell>
        </row>
        <row r="138">
          <cell r="B138">
            <v>13658</v>
          </cell>
          <cell r="C138" t="str">
            <v>Клей-піна, 860 мл</v>
          </cell>
          <cell r="D138" t="str">
            <v>шт</v>
          </cell>
          <cell r="E138">
            <v>4</v>
          </cell>
        </row>
        <row r="139">
          <cell r="B139" t="str">
            <v>00-00005047</v>
          </cell>
          <cell r="C139" t="str">
            <v>Клема з'єднувальна WGn-2</v>
          </cell>
          <cell r="D139" t="str">
            <v>шт</v>
          </cell>
          <cell r="E139">
            <v>272</v>
          </cell>
        </row>
        <row r="140">
          <cell r="B140" t="str">
            <v>00-00005048</v>
          </cell>
          <cell r="C140" t="str">
            <v>Клема з'єднувальна WGn-3</v>
          </cell>
          <cell r="D140" t="str">
            <v>шт</v>
          </cell>
          <cell r="E140">
            <v>136</v>
          </cell>
        </row>
        <row r="141">
          <cell r="B141" t="str">
            <v>00-00005049</v>
          </cell>
          <cell r="C141" t="str">
            <v>Клема з'єднувальна WGn-5</v>
          </cell>
          <cell r="D141" t="str">
            <v>шт</v>
          </cell>
          <cell r="E141">
            <v>99</v>
          </cell>
        </row>
        <row r="142">
          <cell r="B142">
            <v>19376</v>
          </cell>
          <cell r="C142" t="str">
            <v>Комплект (гайка+ніпель) для місткості для води, 1" 3925908000</v>
          </cell>
          <cell r="D142" t="str">
            <v>шт</v>
          </cell>
          <cell r="E142">
            <v>4</v>
          </cell>
        </row>
        <row r="143">
          <cell r="B143" t="str">
            <v>00-00002340</v>
          </cell>
          <cell r="C143" t="str">
            <v>Комплект для підключення змішувача PP-R D=20 мм х1\2 сірий</v>
          </cell>
          <cell r="D143" t="str">
            <v>шт</v>
          </cell>
          <cell r="E143">
            <v>5</v>
          </cell>
        </row>
        <row r="144">
          <cell r="B144" t="str">
            <v>00-00005056</v>
          </cell>
          <cell r="C144" t="str">
            <v>Комплект для теплої підлоги №4</v>
          </cell>
          <cell r="D144" t="str">
            <v>шт</v>
          </cell>
          <cell r="E144">
            <v>4</v>
          </cell>
        </row>
        <row r="145">
          <cell r="B145" t="str">
            <v>00-00005138</v>
          </cell>
          <cell r="C145" t="str">
            <v>Комплект кріплення труб 104-112 мм</v>
          </cell>
          <cell r="D145" t="str">
            <v>шт</v>
          </cell>
          <cell r="E145">
            <v>16</v>
          </cell>
        </row>
        <row r="146">
          <cell r="B146" t="str">
            <v>00-00002505</v>
          </cell>
          <cell r="C146" t="str">
            <v>Комплект кріплення труб 31-37мм 1"</v>
          </cell>
          <cell r="D146" t="str">
            <v>шт</v>
          </cell>
          <cell r="E146">
            <v>86</v>
          </cell>
        </row>
        <row r="147">
          <cell r="B147" t="str">
            <v>00-00002506</v>
          </cell>
          <cell r="C147" t="str">
            <v>Комплект кріплення труб 47-52мм 1 1/2"</v>
          </cell>
          <cell r="D147" t="str">
            <v>шт</v>
          </cell>
          <cell r="E147">
            <v>7</v>
          </cell>
        </row>
        <row r="148">
          <cell r="B148" t="str">
            <v>00-00003602</v>
          </cell>
          <cell r="C148" t="str">
            <v xml:space="preserve">Кондиціонер </v>
          </cell>
          <cell r="D148" t="str">
            <v>шт</v>
          </cell>
          <cell r="E148">
            <v>2</v>
          </cell>
        </row>
        <row r="149">
          <cell r="B149" t="str">
            <v>00-00003602</v>
          </cell>
          <cell r="C149" t="str">
            <v xml:space="preserve">Кондиціонер </v>
          </cell>
          <cell r="D149" t="str">
            <v>шт</v>
          </cell>
          <cell r="E149">
            <v>1</v>
          </cell>
        </row>
        <row r="150">
          <cell r="B150" t="str">
            <v>00-00005050</v>
          </cell>
          <cell r="C150" t="str">
            <v>Коробка монтажна 65*45</v>
          </cell>
          <cell r="D150" t="str">
            <v>шт</v>
          </cell>
          <cell r="E150">
            <v>166</v>
          </cell>
        </row>
        <row r="151">
          <cell r="B151" t="str">
            <v>00-00005046</v>
          </cell>
          <cell r="C151" t="str">
            <v>Коробка розподільча 100х100х45</v>
          </cell>
          <cell r="D151" t="str">
            <v>шт</v>
          </cell>
          <cell r="E151">
            <v>48</v>
          </cell>
        </row>
        <row r="152">
          <cell r="B152">
            <v>21881</v>
          </cell>
          <cell r="C152" t="str">
            <v>Коробка установча гіпсокартон д=68 синя/зелена</v>
          </cell>
          <cell r="D152" t="str">
            <v>шт</v>
          </cell>
          <cell r="E152">
            <v>15</v>
          </cell>
        </row>
        <row r="153">
          <cell r="B153">
            <v>21939</v>
          </cell>
          <cell r="C153" t="str">
            <v>Кран кульовий 3В 1/2", "метелик" 8481808100</v>
          </cell>
          <cell r="D153" t="str">
            <v>шт</v>
          </cell>
          <cell r="E153">
            <v>56</v>
          </cell>
        </row>
        <row r="154">
          <cell r="B154" t="str">
            <v>00-00005418</v>
          </cell>
          <cell r="C154" t="str">
            <v>Кран кульовий ПЕ затискний d25</v>
          </cell>
          <cell r="D154" t="str">
            <v>шт</v>
          </cell>
          <cell r="E154">
            <v>4</v>
          </cell>
        </row>
        <row r="155">
          <cell r="B155" t="str">
            <v>00-00005853</v>
          </cell>
          <cell r="C155" t="str">
            <v>Кріплення для змішувача</v>
          </cell>
          <cell r="D155" t="str">
            <v>шт</v>
          </cell>
          <cell r="E155">
            <v>25</v>
          </cell>
        </row>
        <row r="156">
          <cell r="B156" t="str">
            <v>00-00000365</v>
          </cell>
          <cell r="C156" t="str">
            <v>Кріплення умивальника до стіни (з ексцентриками і болт.8х120мм )</v>
          </cell>
          <cell r="D156" t="str">
            <v>шт</v>
          </cell>
          <cell r="E156">
            <v>25</v>
          </cell>
        </row>
        <row r="157">
          <cell r="B157" t="str">
            <v>00-00005169</v>
          </cell>
          <cell r="C157" t="str">
            <v>Кутик 32*32*3мм ст.3пс</v>
          </cell>
          <cell r="D157" t="str">
            <v>пог.м</v>
          </cell>
          <cell r="E157">
            <v>4.25</v>
          </cell>
        </row>
        <row r="158">
          <cell r="B158" t="str">
            <v>00-00005169</v>
          </cell>
          <cell r="C158" t="str">
            <v>Кутик 32*32*3мм ст.3пс</v>
          </cell>
          <cell r="D158" t="str">
            <v>пог.м</v>
          </cell>
          <cell r="E158">
            <v>16</v>
          </cell>
        </row>
        <row r="159">
          <cell r="B159" t="str">
            <v>00-00005169</v>
          </cell>
          <cell r="C159" t="str">
            <v>Кутик 32*32*3мм ст.3пс</v>
          </cell>
          <cell r="D159" t="str">
            <v>пог.м</v>
          </cell>
          <cell r="E159">
            <v>35.82</v>
          </cell>
        </row>
        <row r="160">
          <cell r="B160" t="str">
            <v>00-00005152</v>
          </cell>
          <cell r="C160" t="str">
            <v>Кутник  декоративний 30х30</v>
          </cell>
          <cell r="D160" t="str">
            <v>шт</v>
          </cell>
          <cell r="E160">
            <v>50</v>
          </cell>
        </row>
        <row r="161">
          <cell r="B161" t="str">
            <v>00-00005152</v>
          </cell>
          <cell r="C161" t="str">
            <v>Кутник  декоративний 30х30</v>
          </cell>
          <cell r="D161" t="str">
            <v>шт</v>
          </cell>
          <cell r="E161">
            <v>40</v>
          </cell>
        </row>
        <row r="162">
          <cell r="B162" t="str">
            <v>00-00005153</v>
          </cell>
          <cell r="C162" t="str">
            <v>Кутник  декоративний 50х50</v>
          </cell>
          <cell r="D162" t="str">
            <v>шт</v>
          </cell>
          <cell r="E162">
            <v>49</v>
          </cell>
        </row>
        <row r="163">
          <cell r="B163" t="str">
            <v>00-00005153</v>
          </cell>
          <cell r="C163" t="str">
            <v>Кутник  декоративний 50х50</v>
          </cell>
          <cell r="D163" t="str">
            <v>шт</v>
          </cell>
          <cell r="E163">
            <v>8</v>
          </cell>
        </row>
        <row r="164">
          <cell r="B164">
            <v>3519</v>
          </cell>
          <cell r="C164" t="str">
            <v>Кутник 32х32х3</v>
          </cell>
          <cell r="D164" t="str">
            <v>т</v>
          </cell>
          <cell r="E164">
            <v>0.08</v>
          </cell>
        </row>
        <row r="165">
          <cell r="B165">
            <v>106</v>
          </cell>
          <cell r="C165" t="str">
            <v>Куточок 90 PP-R D=20 mm сірий</v>
          </cell>
          <cell r="D165" t="str">
            <v>шт</v>
          </cell>
          <cell r="E165">
            <v>126</v>
          </cell>
        </row>
        <row r="166">
          <cell r="B166" t="str">
            <v>00-00005587</v>
          </cell>
          <cell r="C166" t="str">
            <v>Куточок, D=25 мм ВВ</v>
          </cell>
          <cell r="D166" t="str">
            <v>шт</v>
          </cell>
          <cell r="E166">
            <v>5</v>
          </cell>
        </row>
        <row r="167">
          <cell r="B167">
            <v>9893</v>
          </cell>
          <cell r="C167" t="str">
            <v>Лампа світлодіодна LED E27 15W 220</v>
          </cell>
          <cell r="D167" t="str">
            <v>шт</v>
          </cell>
          <cell r="E167">
            <v>4</v>
          </cell>
        </row>
        <row r="168">
          <cell r="B168">
            <v>6813</v>
          </cell>
          <cell r="C168" t="str">
            <v>Лист  4 мм</v>
          </cell>
          <cell r="D168" t="str">
            <v xml:space="preserve"> т</v>
          </cell>
          <cell r="E168">
            <v>0.14399999999999999</v>
          </cell>
        </row>
        <row r="169">
          <cell r="B169">
            <v>3893</v>
          </cell>
          <cell r="C169" t="str">
            <v>Лист  4*1250*2500 3 сп/пс 5</v>
          </cell>
          <cell r="D169" t="str">
            <v xml:space="preserve"> т</v>
          </cell>
          <cell r="E169">
            <v>0.48</v>
          </cell>
        </row>
        <row r="170">
          <cell r="B170">
            <v>3893</v>
          </cell>
          <cell r="C170" t="str">
            <v>Лист  4*1250*2500 3 сп/пс 5</v>
          </cell>
          <cell r="D170" t="str">
            <v xml:space="preserve"> т</v>
          </cell>
          <cell r="E170">
            <v>3.2000000000000001E-2</v>
          </cell>
        </row>
        <row r="171">
          <cell r="B171">
            <v>3893</v>
          </cell>
          <cell r="C171" t="str">
            <v>Лист  4*1250*2500 3 сп/пс 5</v>
          </cell>
          <cell r="D171" t="str">
            <v xml:space="preserve"> т</v>
          </cell>
          <cell r="E171">
            <v>0.3</v>
          </cell>
        </row>
        <row r="172">
          <cell r="B172">
            <v>4469</v>
          </cell>
          <cell r="C172" t="str">
            <v>Лист  8</v>
          </cell>
          <cell r="D172" t="str">
            <v xml:space="preserve"> т</v>
          </cell>
          <cell r="E172">
            <v>0.2</v>
          </cell>
        </row>
        <row r="173">
          <cell r="B173">
            <v>6597</v>
          </cell>
          <cell r="C173" t="str">
            <v xml:space="preserve">Лист  8*1500*6000 </v>
          </cell>
          <cell r="D173" t="str">
            <v xml:space="preserve"> т</v>
          </cell>
          <cell r="E173">
            <v>1.7749999999999999</v>
          </cell>
        </row>
        <row r="174">
          <cell r="B174">
            <v>6597</v>
          </cell>
          <cell r="C174" t="str">
            <v xml:space="preserve">Лист  8*1500*6000 </v>
          </cell>
          <cell r="D174" t="str">
            <v xml:space="preserve"> т</v>
          </cell>
          <cell r="E174">
            <v>1.1319999999999999</v>
          </cell>
        </row>
        <row r="175">
          <cell r="B175">
            <v>17298</v>
          </cell>
          <cell r="C175" t="str">
            <v>Лист 14 (г.к)(1,5х6)imp ((1,5*6,0) S235JR)</v>
          </cell>
          <cell r="D175" t="str">
            <v xml:space="preserve"> т</v>
          </cell>
          <cell r="E175">
            <v>0.1</v>
          </cell>
        </row>
        <row r="176">
          <cell r="B176" t="str">
            <v>00-00005392</v>
          </cell>
          <cell r="C176" t="str">
            <v xml:space="preserve">Лист 3 (г.к)  (1,5х3) </v>
          </cell>
          <cell r="D176" t="str">
            <v xml:space="preserve"> т</v>
          </cell>
          <cell r="E176">
            <v>0.158</v>
          </cell>
        </row>
        <row r="177">
          <cell r="B177" t="str">
            <v>00-00005392</v>
          </cell>
          <cell r="C177" t="str">
            <v xml:space="preserve">Лист 3 (г.к)  (1,5х3) </v>
          </cell>
          <cell r="D177" t="str">
            <v xml:space="preserve"> т</v>
          </cell>
          <cell r="E177">
            <v>0.22500000000000001</v>
          </cell>
        </row>
        <row r="178">
          <cell r="B178">
            <v>17403</v>
          </cell>
          <cell r="C178" t="str">
            <v>Лист 6 (г.к)  (1,5х6) ((1,5*6,0) 14637 3сп5)</v>
          </cell>
          <cell r="D178" t="str">
            <v xml:space="preserve"> т</v>
          </cell>
          <cell r="E178">
            <v>1.512</v>
          </cell>
        </row>
        <row r="179">
          <cell r="B179">
            <v>17403</v>
          </cell>
          <cell r="C179" t="str">
            <v>Лист 6 (г.к)  (1,5х6) ((1,5*6,0) 14637 3сп5)</v>
          </cell>
          <cell r="D179" t="str">
            <v xml:space="preserve"> т</v>
          </cell>
          <cell r="E179">
            <v>1.4999999999999999E-2</v>
          </cell>
        </row>
        <row r="180">
          <cell r="B180">
            <v>4057</v>
          </cell>
          <cell r="C180" t="str">
            <v>Лист ПВЛ 406</v>
          </cell>
          <cell r="D180" t="str">
            <v xml:space="preserve"> т</v>
          </cell>
          <cell r="E180">
            <v>0.255</v>
          </cell>
        </row>
        <row r="181">
          <cell r="B181">
            <v>4057</v>
          </cell>
          <cell r="C181" t="str">
            <v>Лист ПВЛ 406</v>
          </cell>
          <cell r="D181" t="str">
            <v xml:space="preserve"> т</v>
          </cell>
          <cell r="E181">
            <v>0.20499999999999999</v>
          </cell>
        </row>
        <row r="182">
          <cell r="B182" t="str">
            <v>00-00005441</v>
          </cell>
          <cell r="C182" t="str">
            <v>Люк садовий 73х5 см</v>
          </cell>
          <cell r="D182" t="str">
            <v>шт</v>
          </cell>
          <cell r="E182">
            <v>2</v>
          </cell>
        </row>
        <row r="183">
          <cell r="B183" t="str">
            <v>00-00004975</v>
          </cell>
          <cell r="C183" t="str">
            <v>Мембрана дахова</v>
          </cell>
          <cell r="D183" t="str">
            <v>шт</v>
          </cell>
          <cell r="E183">
            <v>3</v>
          </cell>
        </row>
        <row r="184">
          <cell r="B184" t="str">
            <v>00-00005189</v>
          </cell>
          <cell r="C184" t="str">
            <v>Металопластикова конструкція</v>
          </cell>
          <cell r="D184" t="str">
            <v>м кв</v>
          </cell>
          <cell r="E184">
            <v>9.202</v>
          </cell>
        </row>
        <row r="185">
          <cell r="B185" t="str">
            <v>00-00005419</v>
          </cell>
          <cell r="C185" t="str">
            <v>Муфта ПЕ 25*1" З</v>
          </cell>
          <cell r="D185" t="str">
            <v>шт</v>
          </cell>
          <cell r="E185">
            <v>4</v>
          </cell>
        </row>
        <row r="186">
          <cell r="B186">
            <v>19338</v>
          </cell>
          <cell r="C186" t="str">
            <v>Муфта, PP-R, D=20 мм, сіра 3917400090</v>
          </cell>
          <cell r="D186" t="str">
            <v>шт</v>
          </cell>
          <cell r="E186">
            <v>45</v>
          </cell>
        </row>
        <row r="187">
          <cell r="B187" t="str">
            <v>00-00005182</v>
          </cell>
          <cell r="C187" t="str">
            <v>Насосна станція</v>
          </cell>
          <cell r="D187" t="str">
            <v>шт</v>
          </cell>
          <cell r="E187">
            <v>1</v>
          </cell>
        </row>
        <row r="188">
          <cell r="B188">
            <v>345</v>
          </cell>
          <cell r="C188" t="str">
            <v>Ніпель латунний, 1\2"</v>
          </cell>
          <cell r="D188" t="str">
            <v>шт</v>
          </cell>
          <cell r="E188">
            <v>58</v>
          </cell>
        </row>
        <row r="189">
          <cell r="B189">
            <v>107</v>
          </cell>
          <cell r="C189" t="str">
            <v>Обвідне коліно PP-R D=20 mm сірий</v>
          </cell>
          <cell r="D189" t="str">
            <v>шт</v>
          </cell>
          <cell r="E189">
            <v>5</v>
          </cell>
        </row>
        <row r="190">
          <cell r="B190">
            <v>16131</v>
          </cell>
          <cell r="C190" t="str">
            <v xml:space="preserve">Олива моторна  </v>
          </cell>
          <cell r="D190" t="str">
            <v>шт</v>
          </cell>
          <cell r="E190">
            <v>12</v>
          </cell>
        </row>
        <row r="191">
          <cell r="B191" t="str">
            <v>00-00005673</v>
          </cell>
          <cell r="C191" t="str">
            <v>Олива моторна напівсинтетична 4Т 1л</v>
          </cell>
          <cell r="D191" t="str">
            <v>шт</v>
          </cell>
          <cell r="E191">
            <v>11</v>
          </cell>
        </row>
        <row r="192">
          <cell r="B192" t="str">
            <v>00-00004998</v>
          </cell>
          <cell r="C192" t="str">
            <v>Опромінювач бактерицидний</v>
          </cell>
          <cell r="D192" t="str">
            <v>шт</v>
          </cell>
          <cell r="E192">
            <v>4</v>
          </cell>
        </row>
        <row r="193">
          <cell r="B193">
            <v>22343</v>
          </cell>
          <cell r="C193" t="str">
            <v>Паробар'єр армир. 1,5*44</v>
          </cell>
          <cell r="D193" t="str">
            <v>м кв</v>
          </cell>
          <cell r="E193">
            <v>49</v>
          </cell>
        </row>
        <row r="194">
          <cell r="B194">
            <v>22343</v>
          </cell>
          <cell r="C194" t="str">
            <v>Паробар'єр армир. 1,5*44</v>
          </cell>
          <cell r="D194" t="str">
            <v>м кв</v>
          </cell>
          <cell r="E194">
            <v>1452</v>
          </cell>
        </row>
        <row r="195">
          <cell r="B195">
            <v>22343</v>
          </cell>
          <cell r="C195" t="str">
            <v>Паробар'єр армир. 1,5*44</v>
          </cell>
          <cell r="D195" t="str">
            <v>м кв</v>
          </cell>
          <cell r="E195">
            <v>2640</v>
          </cell>
        </row>
        <row r="196">
          <cell r="B196">
            <v>19330</v>
          </cell>
          <cell r="C196" t="str">
            <v>Перехід ексентричний D=50/32 мм 3917400090</v>
          </cell>
          <cell r="D196" t="str">
            <v>шт</v>
          </cell>
          <cell r="E196">
            <v>8</v>
          </cell>
        </row>
        <row r="197">
          <cell r="B197" t="str">
            <v>00-00000555</v>
          </cell>
          <cell r="C197" t="str">
            <v xml:space="preserve">Перехід ексцентричний D=110/50 мм </v>
          </cell>
          <cell r="D197" t="str">
            <v>шт</v>
          </cell>
          <cell r="E197">
            <v>8</v>
          </cell>
        </row>
        <row r="198">
          <cell r="B198" t="str">
            <v>00-00005585</v>
          </cell>
          <cell r="C198" t="str">
            <v>Перехідник  D=25мм*1 B</v>
          </cell>
          <cell r="D198" t="str">
            <v>шт</v>
          </cell>
          <cell r="E198">
            <v>3</v>
          </cell>
        </row>
        <row r="199">
          <cell r="B199" t="str">
            <v>00-00005589</v>
          </cell>
          <cell r="C199" t="str">
            <v>Перехідник  D=25мм*1 Н</v>
          </cell>
          <cell r="D199" t="str">
            <v>шт</v>
          </cell>
          <cell r="E199">
            <v>3</v>
          </cell>
        </row>
        <row r="200">
          <cell r="B200" t="str">
            <v>00-00005142</v>
          </cell>
          <cell r="C200" t="str">
            <v>Перехідник  D=25мм*1/2 B</v>
          </cell>
          <cell r="D200" t="str">
            <v>шт</v>
          </cell>
          <cell r="E200">
            <v>8</v>
          </cell>
        </row>
        <row r="201">
          <cell r="B201" t="str">
            <v>00-00005588</v>
          </cell>
          <cell r="C201" t="str">
            <v>Перехідник латунний 3В 1* 1\2</v>
          </cell>
          <cell r="D201" t="str">
            <v>шт</v>
          </cell>
          <cell r="E201">
            <v>7</v>
          </cell>
        </row>
        <row r="202">
          <cell r="B202">
            <v>85</v>
          </cell>
          <cell r="C202" t="str">
            <v>Перехідник латунний 3В 3\4* 1\2</v>
          </cell>
          <cell r="D202" t="str">
            <v>шт</v>
          </cell>
          <cell r="E202">
            <v>8</v>
          </cell>
        </row>
        <row r="203">
          <cell r="B203">
            <v>477</v>
          </cell>
          <cell r="C203" t="str">
            <v>Петля виточена d=20мм (для воріт)</v>
          </cell>
          <cell r="D203" t="str">
            <v>шт</v>
          </cell>
          <cell r="E203">
            <v>20</v>
          </cell>
        </row>
        <row r="204">
          <cell r="B204" t="str">
            <v>00-00005452</v>
          </cell>
          <cell r="C204" t="str">
            <v>Підп’ятник стелажу СТ Г-подібний пластиковий</v>
          </cell>
          <cell r="D204" t="str">
            <v>шт</v>
          </cell>
          <cell r="E204">
            <v>8</v>
          </cell>
        </row>
        <row r="205">
          <cell r="B205" t="str">
            <v>00-00005452</v>
          </cell>
          <cell r="C205" t="str">
            <v>Підп’ятник стелажу СТ Г-подібний пластиковий</v>
          </cell>
          <cell r="D205" t="str">
            <v>шт</v>
          </cell>
          <cell r="E205">
            <v>32</v>
          </cell>
        </row>
        <row r="206">
          <cell r="B206">
            <v>10992</v>
          </cell>
          <cell r="C206" t="str">
            <v xml:space="preserve">Піна монтажна Монтажник 500 мл </v>
          </cell>
          <cell r="D206" t="str">
            <v>шт</v>
          </cell>
          <cell r="E206">
            <v>14</v>
          </cell>
        </row>
        <row r="207">
          <cell r="B207" t="str">
            <v>00-00005156</v>
          </cell>
          <cell r="C207" t="str">
            <v>Пінополістерол (100мм) XPS ПСЕ-40 1,2х6 (уп 4шт)</v>
          </cell>
          <cell r="D207" t="str">
            <v>шт</v>
          </cell>
          <cell r="E207">
            <v>4</v>
          </cell>
        </row>
        <row r="208">
          <cell r="B208" t="str">
            <v>00-00005156</v>
          </cell>
          <cell r="C208" t="str">
            <v>Пінополістерол (100мм) XPS ПСЕ-40 1,2х6 (уп 4шт)</v>
          </cell>
          <cell r="D208" t="str">
            <v>шт</v>
          </cell>
          <cell r="E208">
            <v>6</v>
          </cell>
        </row>
        <row r="209">
          <cell r="B209" t="str">
            <v>00-00005430</v>
          </cell>
          <cell r="C209" t="str">
            <v xml:space="preserve">Пінополістерол (50мм)  1,0х5 </v>
          </cell>
          <cell r="D209" t="str">
            <v>шт</v>
          </cell>
          <cell r="E209">
            <v>24</v>
          </cell>
        </row>
        <row r="210">
          <cell r="B210" t="str">
            <v>00-00005183</v>
          </cell>
          <cell r="C210" t="str">
            <v>Плінтус</v>
          </cell>
          <cell r="D210" t="str">
            <v>пог.м</v>
          </cell>
          <cell r="E210">
            <v>95</v>
          </cell>
        </row>
        <row r="211">
          <cell r="B211" t="str">
            <v>00-00005183</v>
          </cell>
          <cell r="C211" t="str">
            <v>Плінтус</v>
          </cell>
          <cell r="D211" t="str">
            <v>пог.м</v>
          </cell>
          <cell r="E211">
            <v>5</v>
          </cell>
        </row>
        <row r="212">
          <cell r="B212" t="str">
            <v>00-00005183</v>
          </cell>
          <cell r="C212" t="str">
            <v>Плінтус</v>
          </cell>
          <cell r="D212" t="str">
            <v>пог.м</v>
          </cell>
          <cell r="E212">
            <v>-95</v>
          </cell>
        </row>
        <row r="213">
          <cell r="B213" t="str">
            <v>00-00005740</v>
          </cell>
          <cell r="C213" t="str">
            <v>Покриття з ПВХ</v>
          </cell>
          <cell r="D213" t="str">
            <v>м кв</v>
          </cell>
          <cell r="E213">
            <v>-110</v>
          </cell>
        </row>
        <row r="214">
          <cell r="B214" t="str">
            <v>00-00005740</v>
          </cell>
          <cell r="C214" t="str">
            <v>Покриття з ПВХ</v>
          </cell>
          <cell r="D214" t="str">
            <v>м кв</v>
          </cell>
          <cell r="E214">
            <v>120</v>
          </cell>
        </row>
        <row r="215">
          <cell r="B215" t="str">
            <v>00-00005715</v>
          </cell>
          <cell r="C215" t="str">
            <v>Поріжок 47,5х5</v>
          </cell>
          <cell r="D215" t="str">
            <v>шт</v>
          </cell>
          <cell r="E215">
            <v>16</v>
          </cell>
        </row>
        <row r="216">
          <cell r="B216" t="str">
            <v>00-00005087</v>
          </cell>
          <cell r="C216" t="str">
            <v>Поручень настінний 02.001-01</v>
          </cell>
          <cell r="D216" t="str">
            <v>шт</v>
          </cell>
          <cell r="E216">
            <v>1</v>
          </cell>
        </row>
        <row r="217">
          <cell r="B217" t="str">
            <v>00-00005087</v>
          </cell>
          <cell r="C217" t="str">
            <v>Поручень настінний 02.001-01</v>
          </cell>
          <cell r="D217" t="str">
            <v>шт</v>
          </cell>
          <cell r="E217">
            <v>2</v>
          </cell>
        </row>
        <row r="218">
          <cell r="B218" t="str">
            <v>00-00005086</v>
          </cell>
          <cell r="C218" t="str">
            <v>Поручень пристінний 500мм 3.005</v>
          </cell>
          <cell r="D218" t="str">
            <v>шт</v>
          </cell>
          <cell r="E218">
            <v>1</v>
          </cell>
        </row>
        <row r="219">
          <cell r="B219" t="str">
            <v>00-00005086</v>
          </cell>
          <cell r="C219" t="str">
            <v>Поручень пристінний 500мм 3.005</v>
          </cell>
          <cell r="D219" t="str">
            <v>шт</v>
          </cell>
          <cell r="E219">
            <v>2</v>
          </cell>
        </row>
        <row r="220">
          <cell r="B220" t="str">
            <v>00-00005155</v>
          </cell>
          <cell r="C220" t="str">
            <v>Провід ПВС 3*4</v>
          </cell>
          <cell r="D220" t="str">
            <v>пог.м</v>
          </cell>
          <cell r="E220">
            <v>80</v>
          </cell>
        </row>
        <row r="221">
          <cell r="B221" t="str">
            <v>00-00005137</v>
          </cell>
          <cell r="C221" t="str">
            <v>Прокладка для унітазу D=90/110мм</v>
          </cell>
          <cell r="D221" t="str">
            <v>шт</v>
          </cell>
          <cell r="E221">
            <v>8</v>
          </cell>
        </row>
        <row r="222">
          <cell r="B222" t="str">
            <v>00-00005444</v>
          </cell>
          <cell r="C222" t="str">
            <v>Профіль АП 005  2,7 м</v>
          </cell>
          <cell r="D222" t="str">
            <v>шт</v>
          </cell>
          <cell r="E222">
            <v>2</v>
          </cell>
        </row>
        <row r="223">
          <cell r="B223" t="str">
            <v>00-00005070</v>
          </cell>
          <cell r="C223" t="str">
            <v xml:space="preserve">Профіль ПС-10 поліестер трапецієпод. </v>
          </cell>
          <cell r="D223" t="str">
            <v>шт</v>
          </cell>
          <cell r="E223">
            <v>30.8</v>
          </cell>
        </row>
        <row r="224">
          <cell r="B224" t="str">
            <v>00-00005365</v>
          </cell>
          <cell r="C224" t="str">
            <v>Профіль ПС-10 поліестер трапецієпод. РЕ 45*9003*АМ</v>
          </cell>
          <cell r="D224" t="str">
            <v>м кв</v>
          </cell>
          <cell r="E224">
            <v>502.71600000000001</v>
          </cell>
        </row>
        <row r="225">
          <cell r="B225">
            <v>17304</v>
          </cell>
          <cell r="C225" t="str">
            <v>Профіль ПС-20 RAL\0,45\1145\7004\РЕ\ТУР(TEZCAN)\300(виробник сировини Туреччина)</v>
          </cell>
          <cell r="D225" t="str">
            <v>м кв</v>
          </cell>
          <cell r="E225">
            <v>334.81799999999998</v>
          </cell>
        </row>
        <row r="226">
          <cell r="B226" t="str">
            <v>00-00005071</v>
          </cell>
          <cell r="C226" t="str">
            <v xml:space="preserve">Профіль ПС-20 поліестер трапецієпод. </v>
          </cell>
          <cell r="D226" t="str">
            <v>шт</v>
          </cell>
          <cell r="E226">
            <v>6</v>
          </cell>
        </row>
        <row r="227">
          <cell r="B227" t="str">
            <v>00-00005071</v>
          </cell>
          <cell r="C227" t="str">
            <v xml:space="preserve">Профіль ПС-20 поліестер трапецієпод. </v>
          </cell>
          <cell r="D227" t="str">
            <v>шт</v>
          </cell>
          <cell r="E227">
            <v>28</v>
          </cell>
        </row>
        <row r="228">
          <cell r="B228" t="str">
            <v>00-00004979</v>
          </cell>
          <cell r="C228" t="str">
            <v>Профіль стартовий 8мм (білий)</v>
          </cell>
          <cell r="D228" t="str">
            <v>пог.м</v>
          </cell>
          <cell r="E228">
            <v>195</v>
          </cell>
        </row>
        <row r="229">
          <cell r="B229">
            <v>21862</v>
          </cell>
          <cell r="C229" t="str">
            <v>Профіль трапецієпод. ПС-8 поліестер RAL 9006</v>
          </cell>
          <cell r="D229" t="str">
            <v>м кв</v>
          </cell>
          <cell r="E229">
            <v>409.49299999999999</v>
          </cell>
        </row>
        <row r="230">
          <cell r="B230" t="str">
            <v>00-00001032</v>
          </cell>
          <cell r="C230" t="str">
            <v>Рамка 1-постова</v>
          </cell>
          <cell r="D230" t="str">
            <v>шт</v>
          </cell>
          <cell r="E230">
            <v>16</v>
          </cell>
        </row>
        <row r="231">
          <cell r="B231" t="str">
            <v>00-00004866</v>
          </cell>
          <cell r="C231" t="str">
            <v>Рейка 50*50*3000</v>
          </cell>
          <cell r="D231" t="str">
            <v>м куб</v>
          </cell>
          <cell r="E231">
            <v>2.5459999999999998</v>
          </cell>
        </row>
        <row r="232">
          <cell r="B232" t="str">
            <v>00-00004866</v>
          </cell>
          <cell r="C232" t="str">
            <v>Рейка 50*50*3000</v>
          </cell>
          <cell r="D232" t="str">
            <v>м куб</v>
          </cell>
          <cell r="E232">
            <v>13.8</v>
          </cell>
        </row>
        <row r="233">
          <cell r="B233" t="str">
            <v>00-00005330</v>
          </cell>
          <cell r="C233" t="str">
            <v>Ринва біла 90 мм L=3 м</v>
          </cell>
          <cell r="D233" t="str">
            <v>шт</v>
          </cell>
          <cell r="E233">
            <v>1</v>
          </cell>
        </row>
        <row r="234">
          <cell r="B234">
            <v>22062</v>
          </cell>
          <cell r="C234" t="str">
            <v>Розетка з з/к, Schneider Electrik Asfora, біл.</v>
          </cell>
          <cell r="D234" t="str">
            <v>шт</v>
          </cell>
          <cell r="E234">
            <v>40</v>
          </cell>
        </row>
        <row r="235">
          <cell r="B235">
            <v>19254</v>
          </cell>
          <cell r="C235" t="str">
            <v>Розетка з кришкою з заземл.конт. з шторк. ІР44, білий, Asfora, SCHNEIDER ELECTRIC</v>
          </cell>
          <cell r="D235" t="str">
            <v>шт</v>
          </cell>
          <cell r="E235">
            <v>10</v>
          </cell>
        </row>
        <row r="236">
          <cell r="B236" t="str">
            <v>00-00005055</v>
          </cell>
          <cell r="C236" t="str">
            <v>Розетка подвійна з з/к</v>
          </cell>
          <cell r="D236" t="str">
            <v>шт</v>
          </cell>
          <cell r="E236">
            <v>180</v>
          </cell>
        </row>
        <row r="237">
          <cell r="B237">
            <v>615</v>
          </cell>
          <cell r="C237" t="str">
            <v>Розетка стаціонарна наружна 7123 32А 220В 2Р+Е ІР44</v>
          </cell>
          <cell r="D237" t="str">
            <v>шт</v>
          </cell>
          <cell r="E237">
            <v>13</v>
          </cell>
        </row>
        <row r="238">
          <cell r="B238">
            <v>615</v>
          </cell>
          <cell r="C238" t="str">
            <v>Розетка стаціонарна наружна 7123 32А 220В 2Р+Е ІР44</v>
          </cell>
          <cell r="D238" t="str">
            <v>шт</v>
          </cell>
          <cell r="E238">
            <v>14</v>
          </cell>
        </row>
        <row r="239">
          <cell r="B239">
            <v>615</v>
          </cell>
          <cell r="C239" t="str">
            <v>Розетка стаціонарна наружна 7123 32А 220В 2Р+Е ІР44</v>
          </cell>
          <cell r="D239" t="str">
            <v>шт</v>
          </cell>
          <cell r="E239">
            <v>28</v>
          </cell>
        </row>
        <row r="240">
          <cell r="B240" t="str">
            <v>00-00000166</v>
          </cell>
          <cell r="C240" t="str">
            <v>Розчинник "White Spirit"</v>
          </cell>
          <cell r="D240" t="str">
            <v>л</v>
          </cell>
          <cell r="E240">
            <v>30</v>
          </cell>
        </row>
        <row r="241">
          <cell r="B241" t="str">
            <v>00-00000166</v>
          </cell>
          <cell r="C241" t="str">
            <v>Розчинник "White Spirit"</v>
          </cell>
          <cell r="D241" t="str">
            <v>л</v>
          </cell>
          <cell r="E241">
            <v>30</v>
          </cell>
        </row>
        <row r="242">
          <cell r="B242" t="str">
            <v>00-00004910</v>
          </cell>
          <cell r="C242" t="str">
            <v>Самонаріз 4,2х16</v>
          </cell>
          <cell r="D242" t="str">
            <v>шт</v>
          </cell>
          <cell r="E242">
            <v>100</v>
          </cell>
        </row>
        <row r="243">
          <cell r="B243" t="str">
            <v>00-00004910</v>
          </cell>
          <cell r="C243" t="str">
            <v>Самонаріз 4,2х16</v>
          </cell>
          <cell r="D243" t="str">
            <v>шт</v>
          </cell>
          <cell r="E243">
            <v>500</v>
          </cell>
        </row>
        <row r="244">
          <cell r="B244" t="str">
            <v>00-00004910</v>
          </cell>
          <cell r="C244" t="str">
            <v>Самонаріз 4,2х16</v>
          </cell>
          <cell r="D244" t="str">
            <v>шт</v>
          </cell>
          <cell r="E244">
            <v>500</v>
          </cell>
        </row>
        <row r="245">
          <cell r="B245" t="str">
            <v>00-00004910</v>
          </cell>
          <cell r="C245" t="str">
            <v>Самонаріз 4,2х16</v>
          </cell>
          <cell r="D245" t="str">
            <v>шт</v>
          </cell>
          <cell r="E245">
            <v>500</v>
          </cell>
        </row>
        <row r="246">
          <cell r="B246" t="str">
            <v>00-00004910</v>
          </cell>
          <cell r="C246" t="str">
            <v>Самонаріз 4,2х16</v>
          </cell>
          <cell r="D246" t="str">
            <v>шт</v>
          </cell>
          <cell r="E246">
            <v>500</v>
          </cell>
        </row>
        <row r="247">
          <cell r="B247" t="str">
            <v>00-00001836</v>
          </cell>
          <cell r="C247" t="str">
            <v>Саморіз  4,8*60</v>
          </cell>
          <cell r="D247" t="str">
            <v>шт</v>
          </cell>
          <cell r="E247">
            <v>500</v>
          </cell>
        </row>
        <row r="248">
          <cell r="B248" t="str">
            <v>00-00005317</v>
          </cell>
          <cell r="C248" t="str">
            <v>Саморіз по металу зі свердлом  4,8*19</v>
          </cell>
          <cell r="D248" t="str">
            <v>шт</v>
          </cell>
          <cell r="E248">
            <v>4750</v>
          </cell>
        </row>
        <row r="249">
          <cell r="B249" t="str">
            <v>00-00005051</v>
          </cell>
          <cell r="C249" t="str">
            <v>Світильник LED 36W/6500К 595*595</v>
          </cell>
          <cell r="D249" t="str">
            <v>шт</v>
          </cell>
          <cell r="E249">
            <v>30</v>
          </cell>
        </row>
        <row r="250">
          <cell r="B250" t="str">
            <v>00-00005051</v>
          </cell>
          <cell r="C250" t="str">
            <v>Світильник LED 36W/6500К 595*595</v>
          </cell>
          <cell r="D250" t="str">
            <v>шт</v>
          </cell>
          <cell r="E250">
            <v>14</v>
          </cell>
        </row>
        <row r="251">
          <cell r="B251">
            <v>22350</v>
          </cell>
          <cell r="C251" t="str">
            <v>Світильник LED L-PRS-1265-18 12W 6500К .накл.</v>
          </cell>
          <cell r="D251" t="str">
            <v>шт</v>
          </cell>
          <cell r="E251">
            <v>40</v>
          </cell>
        </row>
        <row r="252">
          <cell r="B252" t="str">
            <v>00-00005053</v>
          </cell>
          <cell r="C252" t="str">
            <v>Світильник аварійний</v>
          </cell>
          <cell r="D252" t="str">
            <v>шт</v>
          </cell>
          <cell r="E252">
            <v>4</v>
          </cell>
        </row>
        <row r="253">
          <cell r="B253" t="str">
            <v>00-00005054</v>
          </cell>
          <cell r="C253" t="str">
            <v>Світильник стінний</v>
          </cell>
          <cell r="D253" t="str">
            <v>шт</v>
          </cell>
          <cell r="E253">
            <v>4</v>
          </cell>
        </row>
        <row r="254">
          <cell r="B254" t="str">
            <v>00-00005052</v>
          </cell>
          <cell r="C254" t="str">
            <v>Світлодіод акс.Рамка накладного монтажу до LED Panel</v>
          </cell>
          <cell r="D254" t="str">
            <v>шт</v>
          </cell>
          <cell r="E254">
            <v>44</v>
          </cell>
        </row>
        <row r="255">
          <cell r="B255">
            <v>19295</v>
          </cell>
          <cell r="C255" t="str">
            <v>Сендвіч</v>
          </cell>
          <cell r="D255" t="str">
            <v>шт</v>
          </cell>
          <cell r="E255">
            <v>2</v>
          </cell>
        </row>
        <row r="256">
          <cell r="B256">
            <v>19295</v>
          </cell>
          <cell r="C256" t="str">
            <v>Сендвіч</v>
          </cell>
          <cell r="D256" t="str">
            <v>шт</v>
          </cell>
          <cell r="E256">
            <v>2</v>
          </cell>
        </row>
        <row r="257">
          <cell r="B257">
            <v>19295</v>
          </cell>
          <cell r="C257" t="str">
            <v>Сендвіч</v>
          </cell>
          <cell r="D257" t="str">
            <v>шт</v>
          </cell>
          <cell r="E257">
            <v>2</v>
          </cell>
        </row>
        <row r="258">
          <cell r="B258">
            <v>19295</v>
          </cell>
          <cell r="C258" t="str">
            <v>Сендвіч</v>
          </cell>
          <cell r="D258" t="str">
            <v>шт</v>
          </cell>
          <cell r="E258">
            <v>2</v>
          </cell>
        </row>
        <row r="259">
          <cell r="B259">
            <v>19295</v>
          </cell>
          <cell r="C259" t="str">
            <v>Сендвіч</v>
          </cell>
          <cell r="D259" t="str">
            <v>шт</v>
          </cell>
          <cell r="E259">
            <v>2</v>
          </cell>
        </row>
        <row r="260">
          <cell r="B260">
            <v>11561</v>
          </cell>
          <cell r="C260" t="str">
            <v>Сифон для душ.</v>
          </cell>
          <cell r="D260" t="str">
            <v>шт</v>
          </cell>
          <cell r="E260">
            <v>1</v>
          </cell>
        </row>
        <row r="261">
          <cell r="B261">
            <v>19314</v>
          </cell>
          <cell r="C261" t="str">
            <v>Сифон для душ.під., бутил., D=58х40 мм, Н=78 мм, (пласт., гнучкий вих., з хром. криш. D=90 мм) 39229</v>
          </cell>
          <cell r="D261" t="str">
            <v>шт</v>
          </cell>
          <cell r="E261">
            <v>4</v>
          </cell>
        </row>
        <row r="262">
          <cell r="B262" t="str">
            <v>00-00005638</v>
          </cell>
          <cell r="C262" t="str">
            <v xml:space="preserve">Сифон для мийки бутилоч Д=1 1/2"х32мм </v>
          </cell>
          <cell r="D262" t="str">
            <v>шт</v>
          </cell>
          <cell r="E262">
            <v>1</v>
          </cell>
        </row>
        <row r="263">
          <cell r="B263" t="str">
            <v>00-00005638</v>
          </cell>
          <cell r="C263" t="str">
            <v xml:space="preserve">Сифон для мийки бутилоч Д=1 1/2"х32мм </v>
          </cell>
          <cell r="D263" t="str">
            <v>шт</v>
          </cell>
          <cell r="E263">
            <v>21</v>
          </cell>
        </row>
        <row r="264">
          <cell r="B264" t="str">
            <v>00-00005775</v>
          </cell>
          <cell r="C264" t="str">
            <v>Сітка штукатурна оцинкована 12,0*12,0*1,3 мм (1*15м)</v>
          </cell>
          <cell r="D264" t="str">
            <v>пог.м</v>
          </cell>
          <cell r="E264">
            <v>13</v>
          </cell>
        </row>
        <row r="265">
          <cell r="B265">
            <v>21892</v>
          </cell>
          <cell r="C265" t="str">
            <v>Скоба для степлера тимА10мм  1000шт/уп</v>
          </cell>
          <cell r="D265" t="str">
            <v>шт</v>
          </cell>
          <cell r="E265">
            <v>30</v>
          </cell>
        </row>
        <row r="266">
          <cell r="B266">
            <v>21892</v>
          </cell>
          <cell r="C266" t="str">
            <v>Скоба для степлера тимА10мм  1000шт/уп</v>
          </cell>
          <cell r="D266" t="str">
            <v>шт</v>
          </cell>
          <cell r="E266">
            <v>10</v>
          </cell>
        </row>
        <row r="267">
          <cell r="B267" t="str">
            <v>00-00005351</v>
          </cell>
          <cell r="C267" t="str">
            <v>Сповіщувач пожежний димовий СПД-3,4</v>
          </cell>
          <cell r="D267" t="str">
            <v>шт</v>
          </cell>
          <cell r="E267">
            <v>16</v>
          </cell>
        </row>
        <row r="268">
          <cell r="B268" t="str">
            <v>00-00005848</v>
          </cell>
          <cell r="C268" t="str">
            <v>Стелаж СТ -4/1 М уп</v>
          </cell>
          <cell r="D268" t="str">
            <v>шт</v>
          </cell>
          <cell r="E268">
            <v>3</v>
          </cell>
        </row>
        <row r="269">
          <cell r="B269" t="str">
            <v>00-00005060</v>
          </cell>
          <cell r="C269" t="str">
            <v>Стелаж СТ 920х460х1820</v>
          </cell>
          <cell r="D269" t="str">
            <v>шт</v>
          </cell>
          <cell r="E269">
            <v>1</v>
          </cell>
        </row>
        <row r="270">
          <cell r="B270" t="str">
            <v>00-00005060</v>
          </cell>
          <cell r="C270" t="str">
            <v>Стелаж СТ 920х460х1820</v>
          </cell>
          <cell r="D270" t="str">
            <v>шт</v>
          </cell>
          <cell r="E270">
            <v>1</v>
          </cell>
        </row>
        <row r="271">
          <cell r="B271" t="str">
            <v>00-00001594</v>
          </cell>
          <cell r="C271" t="str">
            <v>Стіл</v>
          </cell>
          <cell r="D271" t="str">
            <v>шт</v>
          </cell>
          <cell r="E271">
            <v>2</v>
          </cell>
        </row>
        <row r="272">
          <cell r="B272" t="str">
            <v>00-00001594</v>
          </cell>
          <cell r="C272" t="str">
            <v>Стіл</v>
          </cell>
          <cell r="D272" t="str">
            <v>шт</v>
          </cell>
          <cell r="E272">
            <v>4</v>
          </cell>
        </row>
        <row r="273">
          <cell r="B273" t="str">
            <v>00-00001594</v>
          </cell>
          <cell r="C273" t="str">
            <v>Стіл</v>
          </cell>
          <cell r="D273" t="str">
            <v>шт</v>
          </cell>
          <cell r="E273">
            <v>4</v>
          </cell>
        </row>
        <row r="274">
          <cell r="B274">
            <v>423</v>
          </cell>
          <cell r="C274" t="str">
            <v>Стілець Новий Стиль Jack</v>
          </cell>
          <cell r="D274" t="str">
            <v>шт</v>
          </cell>
          <cell r="E274">
            <v>8</v>
          </cell>
        </row>
        <row r="275">
          <cell r="B275" t="str">
            <v>00-00005394</v>
          </cell>
          <cell r="C275" t="str">
            <v>Столик маніпуляційний СТ-М</v>
          </cell>
          <cell r="D275" t="str">
            <v>шт</v>
          </cell>
          <cell r="E275">
            <v>1</v>
          </cell>
        </row>
        <row r="276">
          <cell r="B276" t="str">
            <v>00-00005671</v>
          </cell>
          <cell r="C276" t="str">
            <v>Стопор дверний</v>
          </cell>
          <cell r="D276" t="str">
            <v>шт</v>
          </cell>
          <cell r="E276">
            <v>40</v>
          </cell>
        </row>
        <row r="277">
          <cell r="B277">
            <v>21829</v>
          </cell>
          <cell r="C277" t="str">
            <v>Стрічка бітумна 100мм сіра 10м</v>
          </cell>
          <cell r="D277" t="str">
            <v>шт</v>
          </cell>
          <cell r="E277">
            <v>5</v>
          </cell>
        </row>
        <row r="278">
          <cell r="B278" t="str">
            <v>00-00005538</v>
          </cell>
          <cell r="C278" t="str">
            <v>Стрічка гідроізоляційна</v>
          </cell>
          <cell r="D278" t="str">
            <v>пог.м</v>
          </cell>
          <cell r="E278">
            <v>12</v>
          </cell>
        </row>
        <row r="279">
          <cell r="B279">
            <v>17739</v>
          </cell>
          <cell r="C279" t="str">
            <v>Стрічка для швів зі BudMonster 0,05м*25м</v>
          </cell>
          <cell r="D279" t="str">
            <v>шт</v>
          </cell>
          <cell r="E279">
            <v>11</v>
          </cell>
        </row>
        <row r="280">
          <cell r="B280" t="str">
            <v>00-00005428</v>
          </cell>
          <cell r="C280" t="str">
            <v>Стрічка малярна , 38мм*50м</v>
          </cell>
          <cell r="D280" t="str">
            <v>шт</v>
          </cell>
          <cell r="E280">
            <v>2</v>
          </cell>
        </row>
        <row r="281">
          <cell r="B281">
            <v>14686</v>
          </cell>
          <cell r="C281" t="str">
            <v>Стрічка малярна, 48мм*20м</v>
          </cell>
          <cell r="D281" t="str">
            <v>шт</v>
          </cell>
          <cell r="E281">
            <v>10</v>
          </cell>
        </row>
        <row r="282">
          <cell r="B282">
            <v>14686</v>
          </cell>
          <cell r="C282" t="str">
            <v>Стрічка малярна, 48мм*20м</v>
          </cell>
          <cell r="D282" t="str">
            <v>шт</v>
          </cell>
          <cell r="E282">
            <v>4</v>
          </cell>
        </row>
        <row r="283">
          <cell r="B283" t="str">
            <v>00-00005440</v>
          </cell>
          <cell r="C283" t="str">
            <v>Суміш бетонна 25 кг</v>
          </cell>
          <cell r="D283" t="str">
            <v>шт</v>
          </cell>
          <cell r="E283">
            <v>6</v>
          </cell>
        </row>
        <row r="284">
          <cell r="B284" t="str">
            <v>00-00005608</v>
          </cell>
          <cell r="C284" t="str">
            <v>Таблички зі шрифтом Брайля</v>
          </cell>
          <cell r="D284" t="str">
            <v>шт</v>
          </cell>
          <cell r="E284">
            <v>22</v>
          </cell>
        </row>
        <row r="285">
          <cell r="B285" t="str">
            <v>00-00005608</v>
          </cell>
          <cell r="C285" t="str">
            <v>Таблички зі шрифтом Брайля</v>
          </cell>
          <cell r="D285" t="str">
            <v>шт</v>
          </cell>
          <cell r="E285">
            <v>30</v>
          </cell>
        </row>
        <row r="286">
          <cell r="B286" t="str">
            <v>00-00005608</v>
          </cell>
          <cell r="C286" t="str">
            <v>Таблички зі шрифтом Брайля</v>
          </cell>
          <cell r="D286" t="str">
            <v>шт</v>
          </cell>
          <cell r="E286">
            <v>12</v>
          </cell>
        </row>
        <row r="287">
          <cell r="B287" t="str">
            <v>00-00005136</v>
          </cell>
          <cell r="C287" t="str">
            <v>Трійник D=32 мм, 87"30' 3917400090</v>
          </cell>
          <cell r="D287" t="str">
            <v>шт</v>
          </cell>
          <cell r="E287">
            <v>3</v>
          </cell>
        </row>
        <row r="288">
          <cell r="B288">
            <v>19328</v>
          </cell>
          <cell r="C288" t="str">
            <v>Трійник D=50 мм, 87"30' 3917400090</v>
          </cell>
          <cell r="D288" t="str">
            <v>шт</v>
          </cell>
          <cell r="E288">
            <v>5</v>
          </cell>
        </row>
        <row r="289">
          <cell r="B289">
            <v>100</v>
          </cell>
          <cell r="C289" t="str">
            <v>Трійник PP-R D=20 mm. сірий</v>
          </cell>
          <cell r="D289" t="str">
            <v>шт</v>
          </cell>
          <cell r="E289">
            <v>28</v>
          </cell>
        </row>
        <row r="290">
          <cell r="B290">
            <v>101</v>
          </cell>
          <cell r="C290" t="str">
            <v>Трійник PP-R D=20 mm. х1\2 Н сірий</v>
          </cell>
          <cell r="D290" t="str">
            <v>шт</v>
          </cell>
          <cell r="E290">
            <v>37</v>
          </cell>
        </row>
        <row r="291">
          <cell r="B291">
            <v>21706</v>
          </cell>
          <cell r="C291" t="str">
            <v>Трійник редукційний D=110-50 мм, 87° 30 ' 3917400090</v>
          </cell>
          <cell r="D291" t="str">
            <v>шт</v>
          </cell>
          <cell r="E291">
            <v>16</v>
          </cell>
        </row>
        <row r="292">
          <cell r="B292" t="str">
            <v>00-00005856</v>
          </cell>
          <cell r="C292" t="str">
            <v xml:space="preserve">Труба  50*25*2 </v>
          </cell>
          <cell r="D292" t="str">
            <v>пог.м</v>
          </cell>
          <cell r="E292">
            <v>822</v>
          </cell>
        </row>
        <row r="293">
          <cell r="B293">
            <v>8851</v>
          </cell>
          <cell r="C293" t="str">
            <v xml:space="preserve">Труба  50*50*2 </v>
          </cell>
          <cell r="D293" t="str">
            <v>пог.м</v>
          </cell>
          <cell r="E293">
            <v>1452</v>
          </cell>
        </row>
        <row r="294">
          <cell r="B294" t="str">
            <v>00-00005598</v>
          </cell>
          <cell r="C294" t="str">
            <v>труба 100х100х3 мм; ст.1-3пс; 12 м</v>
          </cell>
          <cell r="D294" t="str">
            <v>пог.м</v>
          </cell>
          <cell r="E294">
            <v>677</v>
          </cell>
        </row>
        <row r="295">
          <cell r="B295" t="str">
            <v>00-00005598</v>
          </cell>
          <cell r="C295" t="str">
            <v>труба 100х100х3 мм; ст.1-3пс; 12 м</v>
          </cell>
          <cell r="D295" t="str">
            <v>пог.м</v>
          </cell>
          <cell r="E295">
            <v>598</v>
          </cell>
        </row>
        <row r="296">
          <cell r="B296" t="str">
            <v>00-00005598</v>
          </cell>
          <cell r="C296" t="str">
            <v>труба 100х100х3 мм; ст.1-3пс; 12 м</v>
          </cell>
          <cell r="D296" t="str">
            <v>пог.м</v>
          </cell>
          <cell r="E296">
            <v>704</v>
          </cell>
        </row>
        <row r="297">
          <cell r="B297" t="str">
            <v>00-00004813</v>
          </cell>
          <cell r="C297" t="str">
            <v>Труба 40*20*1,2</v>
          </cell>
          <cell r="D297" t="str">
            <v>т</v>
          </cell>
          <cell r="E297">
            <v>0.23499999999999999</v>
          </cell>
        </row>
        <row r="298">
          <cell r="B298" t="str">
            <v>00-00004736</v>
          </cell>
          <cell r="C298" t="str">
            <v>Труба 40х20х2 мм; ст. 1-3пс; 6 м</v>
          </cell>
          <cell r="D298" t="str">
            <v>пог.м</v>
          </cell>
          <cell r="E298">
            <v>166</v>
          </cell>
        </row>
        <row r="299">
          <cell r="B299" t="str">
            <v>00-00004736</v>
          </cell>
          <cell r="C299" t="str">
            <v>Труба 40х20х2 мм; ст. 1-3пс; 6 м</v>
          </cell>
          <cell r="D299" t="str">
            <v>пог.м</v>
          </cell>
          <cell r="E299">
            <v>166</v>
          </cell>
        </row>
        <row r="300">
          <cell r="B300" t="str">
            <v>00-00004059</v>
          </cell>
          <cell r="C300" t="str">
            <v>Труба 40х20х3 мм; ст. 1-3пс; 6 м</v>
          </cell>
          <cell r="D300" t="str">
            <v>т</v>
          </cell>
          <cell r="E300">
            <v>0.155</v>
          </cell>
        </row>
        <row r="301">
          <cell r="B301" t="str">
            <v>00-00005601</v>
          </cell>
          <cell r="C301" t="str">
            <v>Труба 40х40х2 мм; ст. 1-3пс; 6 м</v>
          </cell>
          <cell r="D301" t="str">
            <v>пог.м</v>
          </cell>
          <cell r="E301">
            <v>399.2</v>
          </cell>
        </row>
        <row r="302">
          <cell r="B302" t="str">
            <v>00-00004806</v>
          </cell>
          <cell r="C302" t="str">
            <v>Труба 50х25х2</v>
          </cell>
          <cell r="D302" t="str">
            <v>пог.м</v>
          </cell>
          <cell r="E302">
            <v>381</v>
          </cell>
        </row>
        <row r="303">
          <cell r="B303" t="str">
            <v>00-00004994</v>
          </cell>
          <cell r="C303" t="str">
            <v>труба 50х50х2 мм 6 м</v>
          </cell>
          <cell r="D303" t="str">
            <v>пог.м</v>
          </cell>
          <cell r="E303">
            <v>1614</v>
          </cell>
        </row>
        <row r="304">
          <cell r="B304" t="str">
            <v>00-00004994</v>
          </cell>
          <cell r="C304" t="str">
            <v>труба 50х50х2 мм 6 м</v>
          </cell>
          <cell r="D304" t="str">
            <v>пог.м</v>
          </cell>
          <cell r="E304">
            <v>1454</v>
          </cell>
        </row>
        <row r="305">
          <cell r="B305" t="str">
            <v>00-00004994</v>
          </cell>
          <cell r="C305" t="str">
            <v>труба 50х50х2 мм 6 м</v>
          </cell>
          <cell r="D305" t="str">
            <v>пог.м</v>
          </cell>
          <cell r="E305">
            <v>244</v>
          </cell>
        </row>
        <row r="306">
          <cell r="B306">
            <v>18042</v>
          </cell>
          <cell r="C306" t="str">
            <v>Труба гнучка двошарова електротехнічна з поліетилену, зі сталевою затяжкою для зонду та муфтою, зов.</v>
          </cell>
          <cell r="D306" t="str">
            <v>м</v>
          </cell>
          <cell r="E306">
            <v>70</v>
          </cell>
        </row>
        <row r="307">
          <cell r="B307" t="str">
            <v>00-00003936</v>
          </cell>
          <cell r="C307" t="str">
            <v>Труба каналізаційна 110х3,2х1000мм зовн</v>
          </cell>
          <cell r="D307" t="str">
            <v>шт</v>
          </cell>
          <cell r="E307">
            <v>8</v>
          </cell>
        </row>
        <row r="308">
          <cell r="B308" t="str">
            <v>00-00005583</v>
          </cell>
          <cell r="C308" t="str">
            <v>Труба каналізаційна ПВХ 110х3,2х3000</v>
          </cell>
          <cell r="D308" t="str">
            <v>шт</v>
          </cell>
          <cell r="E308">
            <v>16</v>
          </cell>
        </row>
        <row r="309">
          <cell r="B309" t="str">
            <v>00-00005700</v>
          </cell>
          <cell r="C309" t="str">
            <v>Труба ПВХ гнучка гофр. д.20мм, 220Н 5/см пог. стандартна з протяжкою, сірий колір</v>
          </cell>
          <cell r="D309" t="str">
            <v>м</v>
          </cell>
          <cell r="E309">
            <v>1920</v>
          </cell>
        </row>
        <row r="310">
          <cell r="B310">
            <v>9068</v>
          </cell>
          <cell r="C310" t="str">
            <v>Труба ПВХ гнучка гофр. д.20мм, Light (220 Н 5/см пог.), з протяжкою, сіра</v>
          </cell>
          <cell r="D310" t="str">
            <v>м</v>
          </cell>
          <cell r="E310">
            <v>375</v>
          </cell>
        </row>
        <row r="311">
          <cell r="B311" t="str">
            <v>00-00005143</v>
          </cell>
          <cell r="C311" t="str">
            <v>Труба полиєтиленова р=12,5 бар D=25мм</v>
          </cell>
          <cell r="D311" t="str">
            <v>м</v>
          </cell>
          <cell r="E311">
            <v>100</v>
          </cell>
        </row>
        <row r="312">
          <cell r="B312" t="str">
            <v>00-00005131</v>
          </cell>
          <cell r="C312" t="str">
            <v>Труба поліпропіленова каналізаційна d=32  мм І=1000 мм</v>
          </cell>
          <cell r="D312" t="str">
            <v>шт</v>
          </cell>
          <cell r="E312">
            <v>4</v>
          </cell>
        </row>
        <row r="313">
          <cell r="B313" t="str">
            <v>00-00005129</v>
          </cell>
          <cell r="C313" t="str">
            <v>Труба поліпропіленова каналізаційна d=32  мм І=2000 мм</v>
          </cell>
          <cell r="D313" t="str">
            <v>шт</v>
          </cell>
          <cell r="E313">
            <v>20</v>
          </cell>
        </row>
        <row r="314">
          <cell r="B314" t="str">
            <v>00-00005130</v>
          </cell>
          <cell r="C314" t="str">
            <v>Труба поліпропіленова каналізаційна d=32  мм І=500 мм</v>
          </cell>
          <cell r="D314" t="str">
            <v>шт</v>
          </cell>
          <cell r="E314">
            <v>20</v>
          </cell>
        </row>
        <row r="315">
          <cell r="B315">
            <v>589</v>
          </cell>
          <cell r="C315" t="str">
            <v>Труба поліпропіленова, PP-R/F, RN 20бар, 20 мм сіра</v>
          </cell>
          <cell r="D315" t="str">
            <v>м</v>
          </cell>
          <cell r="E315">
            <v>148</v>
          </cell>
        </row>
        <row r="316">
          <cell r="B316" t="str">
            <v>00-00005582</v>
          </cell>
          <cell r="C316" t="str">
            <v>Труба поліпропіленова, каналізаційна, d=50 мм, l=1500 мм 3917221000</v>
          </cell>
          <cell r="D316" t="str">
            <v>шт</v>
          </cell>
          <cell r="E316">
            <v>4</v>
          </cell>
        </row>
        <row r="317">
          <cell r="B317" t="str">
            <v>00-00005350</v>
          </cell>
          <cell r="C317" t="str">
            <v xml:space="preserve">Труба поліпропіленова, каналізаційна, d=50 мм, l=500 мм </v>
          </cell>
          <cell r="D317" t="str">
            <v>шт</v>
          </cell>
          <cell r="E317">
            <v>4</v>
          </cell>
        </row>
        <row r="318">
          <cell r="B318">
            <v>7615</v>
          </cell>
          <cell r="C318" t="str">
            <v>Труба профільна 100*100*3</v>
          </cell>
          <cell r="D318" t="str">
            <v>т</v>
          </cell>
          <cell r="E318">
            <v>2.6349999999999998</v>
          </cell>
        </row>
        <row r="319">
          <cell r="B319" t="str">
            <v>00-00005393</v>
          </cell>
          <cell r="C319" t="str">
            <v>Труба профільна 40*25*2</v>
          </cell>
          <cell r="D319" t="str">
            <v xml:space="preserve"> т</v>
          </cell>
          <cell r="E319">
            <v>0.61</v>
          </cell>
        </row>
        <row r="320">
          <cell r="B320" t="str">
            <v>00-00000803</v>
          </cell>
          <cell r="C320" t="str">
            <v>Труба профільна 50*25*2  L=6000 мм ст1-3 сп/пс</v>
          </cell>
          <cell r="D320" t="str">
            <v>т</v>
          </cell>
          <cell r="E320">
            <v>2.0499999999999998</v>
          </cell>
        </row>
        <row r="321">
          <cell r="B321">
            <v>9882</v>
          </cell>
          <cell r="C321" t="str">
            <v>Труба профільна 50*50*4  L=6000 мм стS235JRH</v>
          </cell>
          <cell r="D321" t="str">
            <v>т</v>
          </cell>
          <cell r="E321">
            <v>3.5000000000000003E-2</v>
          </cell>
        </row>
        <row r="322">
          <cell r="B322" t="str">
            <v>00-00004988</v>
          </cell>
          <cell r="C322" t="str">
            <v>Тумба мобільна 40,6х42,3х58,4</v>
          </cell>
          <cell r="D322" t="str">
            <v>шт</v>
          </cell>
          <cell r="E322">
            <v>8</v>
          </cell>
        </row>
        <row r="323">
          <cell r="B323" t="str">
            <v>00-00005145</v>
          </cell>
          <cell r="C323" t="str">
            <v xml:space="preserve">Умивальник </v>
          </cell>
          <cell r="D323" t="str">
            <v>шт</v>
          </cell>
          <cell r="E323">
            <v>20</v>
          </cell>
        </row>
        <row r="324">
          <cell r="B324">
            <v>396</v>
          </cell>
          <cell r="C324" t="str">
            <v>Універсальний шуруп 5,0х70 потай</v>
          </cell>
          <cell r="D324" t="str">
            <v>шт</v>
          </cell>
          <cell r="E324">
            <v>5000</v>
          </cell>
        </row>
        <row r="325">
          <cell r="B325">
            <v>396</v>
          </cell>
          <cell r="C325" t="str">
            <v>Універсальний шуруп 5,0х70 потай</v>
          </cell>
          <cell r="D325" t="str">
            <v>шт</v>
          </cell>
          <cell r="E325">
            <v>5000</v>
          </cell>
        </row>
        <row r="326">
          <cell r="B326">
            <v>396</v>
          </cell>
          <cell r="C326" t="str">
            <v>Універсальний шуруп 5,0х70 потай</v>
          </cell>
          <cell r="D326" t="str">
            <v>шт</v>
          </cell>
          <cell r="E326">
            <v>5000</v>
          </cell>
        </row>
        <row r="327">
          <cell r="B327">
            <v>396</v>
          </cell>
          <cell r="C327" t="str">
            <v>Універсальний шуруп 5,0х70 потай</v>
          </cell>
          <cell r="D327" t="str">
            <v>шт</v>
          </cell>
          <cell r="E327">
            <v>5000</v>
          </cell>
        </row>
        <row r="328">
          <cell r="B328">
            <v>395</v>
          </cell>
          <cell r="C328" t="str">
            <v>Універсальний шуруп 5,0х90 потай</v>
          </cell>
          <cell r="D328" t="str">
            <v>шт</v>
          </cell>
          <cell r="E328">
            <v>360</v>
          </cell>
        </row>
        <row r="329">
          <cell r="B329">
            <v>395</v>
          </cell>
          <cell r="C329" t="str">
            <v>Універсальний шуруп 5,0х90 потай</v>
          </cell>
          <cell r="D329" t="str">
            <v>шт</v>
          </cell>
          <cell r="E329">
            <v>300</v>
          </cell>
        </row>
        <row r="330">
          <cell r="B330" t="str">
            <v>00-00000960</v>
          </cell>
          <cell r="C330" t="str">
            <v>Унітаз-Компакт підлоговий</v>
          </cell>
          <cell r="D330" t="str">
            <v>шт</v>
          </cell>
          <cell r="E330">
            <v>8</v>
          </cell>
        </row>
        <row r="331">
          <cell r="B331" t="str">
            <v>00-00000408</v>
          </cell>
          <cell r="C331" t="str">
            <v>Утеплювач Кнауф 1250*610*50  12,2м кв.36шт/уп</v>
          </cell>
          <cell r="D331" t="str">
            <v>пак</v>
          </cell>
          <cell r="E331">
            <v>26</v>
          </cell>
        </row>
        <row r="332">
          <cell r="B332" t="str">
            <v>00-00005422</v>
          </cell>
          <cell r="C332" t="str">
            <v>Хомут для врізки 50х1</v>
          </cell>
          <cell r="D332" t="str">
            <v>шт</v>
          </cell>
          <cell r="E332">
            <v>4</v>
          </cell>
        </row>
        <row r="333">
          <cell r="B333">
            <v>104</v>
          </cell>
          <cell r="C333" t="str">
            <v>Хомут для труб  PP-R одинарний D=20 mm</v>
          </cell>
          <cell r="D333" t="str">
            <v>шт</v>
          </cell>
          <cell r="E333">
            <v>211</v>
          </cell>
        </row>
        <row r="334">
          <cell r="B334" t="str">
            <v>00-00005767</v>
          </cell>
          <cell r="C334" t="str">
            <v>Цвях для пневмостеплера 3,1мм 4200шт/уп</v>
          </cell>
          <cell r="D334" t="str">
            <v>шт</v>
          </cell>
          <cell r="E334">
            <v>1</v>
          </cell>
        </row>
        <row r="335">
          <cell r="B335" t="str">
            <v>00-00005531</v>
          </cell>
          <cell r="C335" t="str">
            <v>Цвях для пневмостеплера 38мм 5000шт/уп</v>
          </cell>
          <cell r="D335" t="str">
            <v>шт</v>
          </cell>
          <cell r="E335">
            <v>2</v>
          </cell>
        </row>
        <row r="336">
          <cell r="B336" t="str">
            <v>00-00005659</v>
          </cell>
          <cell r="C336" t="str">
            <v>Цвях для пневмостеплера 50мм 5000шт/уп</v>
          </cell>
          <cell r="D336" t="str">
            <v>шт</v>
          </cell>
          <cell r="E336">
            <v>1</v>
          </cell>
        </row>
        <row r="337">
          <cell r="B337" t="str">
            <v>00-00001209</v>
          </cell>
          <cell r="C337" t="str">
            <v>Цвях для степлера 32мм 5000шт/уп</v>
          </cell>
          <cell r="D337" t="str">
            <v>шт</v>
          </cell>
          <cell r="E337">
            <v>1</v>
          </cell>
        </row>
        <row r="338">
          <cell r="B338" t="str">
            <v>00-00004980</v>
          </cell>
          <cell r="C338" t="str">
            <v>Цементно-стружкова плита  3200*1250*20 мм</v>
          </cell>
          <cell r="D338" t="str">
            <v>шт</v>
          </cell>
          <cell r="E338">
            <v>2</v>
          </cell>
        </row>
        <row r="339">
          <cell r="B339" t="str">
            <v>00-00004980</v>
          </cell>
          <cell r="C339" t="str">
            <v>Цементно-стружкова плита  3200*1250*20 мм</v>
          </cell>
          <cell r="D339" t="str">
            <v>шт</v>
          </cell>
          <cell r="E339">
            <v>88</v>
          </cell>
        </row>
        <row r="340">
          <cell r="B340" t="str">
            <v>00-00004980</v>
          </cell>
          <cell r="C340" t="str">
            <v>Цементно-стружкова плита  3200*1250*20 мм</v>
          </cell>
          <cell r="D340" t="str">
            <v>шт</v>
          </cell>
          <cell r="E340">
            <v>50</v>
          </cell>
        </row>
        <row r="341">
          <cell r="B341" t="str">
            <v>00-00005059</v>
          </cell>
          <cell r="C341" t="str">
            <v xml:space="preserve">Шафа для одягу ШО-300/1 </v>
          </cell>
          <cell r="D341" t="str">
            <v>шт</v>
          </cell>
          <cell r="E341">
            <v>3</v>
          </cell>
        </row>
        <row r="342">
          <cell r="B342" t="str">
            <v>00-00005059</v>
          </cell>
          <cell r="C342" t="str">
            <v xml:space="preserve">Шафа для одягу ШО-300/1 </v>
          </cell>
          <cell r="D342" t="str">
            <v>шт</v>
          </cell>
          <cell r="E342">
            <v>3</v>
          </cell>
        </row>
        <row r="343">
          <cell r="B343" t="str">
            <v>00-00000260</v>
          </cell>
          <cell r="C343" t="str">
            <v>Шафа ШМ-М</v>
          </cell>
          <cell r="D343" t="str">
            <v>шт</v>
          </cell>
          <cell r="E343">
            <v>1</v>
          </cell>
        </row>
        <row r="344">
          <cell r="B344" t="str">
            <v>00-00000260</v>
          </cell>
          <cell r="C344" t="str">
            <v>Шафа ШМ-М</v>
          </cell>
          <cell r="D344" t="str">
            <v>шт</v>
          </cell>
          <cell r="E344">
            <v>2</v>
          </cell>
        </row>
        <row r="345">
          <cell r="B345" t="str">
            <v>00-00005395</v>
          </cell>
          <cell r="C345" t="str">
            <v>Шафа ШМ-М-М</v>
          </cell>
          <cell r="D345" t="str">
            <v>шт</v>
          </cell>
          <cell r="E345">
            <v>2</v>
          </cell>
        </row>
        <row r="346">
          <cell r="B346">
            <v>15090</v>
          </cell>
          <cell r="C346" t="str">
            <v>Шина нульова 6*9</v>
          </cell>
          <cell r="D346" t="str">
            <v>шт</v>
          </cell>
          <cell r="E346">
            <v>32</v>
          </cell>
        </row>
        <row r="347">
          <cell r="B347" t="str">
            <v>00-00005768</v>
          </cell>
          <cell r="C347" t="str">
            <v>Шпаклівка по дереву 1,5 кг</v>
          </cell>
          <cell r="D347" t="str">
            <v>шт</v>
          </cell>
          <cell r="E347">
            <v>1</v>
          </cell>
        </row>
        <row r="348">
          <cell r="B348" t="str">
            <v>00-00004852</v>
          </cell>
          <cell r="C348" t="str">
            <v>Шпилька  М24 DIN 975 ЦБ</v>
          </cell>
          <cell r="D348" t="str">
            <v>шт</v>
          </cell>
          <cell r="E348">
            <v>8</v>
          </cell>
        </row>
        <row r="349">
          <cell r="B349" t="str">
            <v>00-00004851</v>
          </cell>
          <cell r="C349" t="str">
            <v>Шпилька  М48 DIN975</v>
          </cell>
          <cell r="D349" t="str">
            <v>шт</v>
          </cell>
          <cell r="E349">
            <v>4</v>
          </cell>
        </row>
        <row r="350">
          <cell r="B350">
            <v>12126</v>
          </cell>
          <cell r="C350" t="str">
            <v>Шуруп 3,5*25 пкр</v>
          </cell>
          <cell r="D350" t="str">
            <v>шт</v>
          </cell>
          <cell r="E350">
            <v>2000</v>
          </cell>
        </row>
        <row r="351">
          <cell r="B351">
            <v>4659</v>
          </cell>
          <cell r="C351" t="str">
            <v>Шуруп 4,5х45</v>
          </cell>
          <cell r="D351" t="str">
            <v>шт</v>
          </cell>
          <cell r="E351">
            <v>5000</v>
          </cell>
        </row>
        <row r="352">
          <cell r="B352">
            <v>4659</v>
          </cell>
          <cell r="C352" t="str">
            <v>Шуруп 4,5х45</v>
          </cell>
          <cell r="D352" t="str">
            <v>шт</v>
          </cell>
          <cell r="E352">
            <v>2000</v>
          </cell>
        </row>
        <row r="353">
          <cell r="B353">
            <v>4659</v>
          </cell>
          <cell r="C353" t="str">
            <v>Шуруп 4,5х45</v>
          </cell>
          <cell r="D353" t="str">
            <v>шт</v>
          </cell>
          <cell r="E353">
            <v>5000</v>
          </cell>
        </row>
        <row r="354">
          <cell r="B354">
            <v>4659</v>
          </cell>
          <cell r="C354" t="str">
            <v>Шуруп 4,5х45</v>
          </cell>
          <cell r="D354" t="str">
            <v>шт</v>
          </cell>
          <cell r="E354">
            <v>5000</v>
          </cell>
        </row>
        <row r="355">
          <cell r="B355">
            <v>4453</v>
          </cell>
          <cell r="C355" t="str">
            <v>Шуруп 4х45</v>
          </cell>
          <cell r="D355" t="str">
            <v>шт</v>
          </cell>
          <cell r="E355">
            <v>900</v>
          </cell>
        </row>
        <row r="356">
          <cell r="B356">
            <v>4453</v>
          </cell>
          <cell r="C356" t="str">
            <v>Шуруп 4х45</v>
          </cell>
          <cell r="D356" t="str">
            <v>шт</v>
          </cell>
          <cell r="E356">
            <v>500</v>
          </cell>
        </row>
        <row r="357">
          <cell r="B357">
            <v>4453</v>
          </cell>
          <cell r="C357" t="str">
            <v>Шуруп 4х45</v>
          </cell>
          <cell r="D357" t="str">
            <v>шт</v>
          </cell>
          <cell r="E357">
            <v>5000</v>
          </cell>
        </row>
        <row r="358">
          <cell r="B358" t="str">
            <v>00-00005765</v>
          </cell>
          <cell r="C358" t="str">
            <v>Шуруп 4х70</v>
          </cell>
          <cell r="D358" t="str">
            <v>шт</v>
          </cell>
          <cell r="E358">
            <v>500</v>
          </cell>
        </row>
        <row r="359">
          <cell r="B359">
            <v>2054</v>
          </cell>
          <cell r="C359" t="str">
            <v>Шуруп г/к по дереву 3,5*35 мм</v>
          </cell>
          <cell r="D359" t="str">
            <v>шт</v>
          </cell>
          <cell r="E359">
            <v>700</v>
          </cell>
        </row>
        <row r="360">
          <cell r="B360">
            <v>2054</v>
          </cell>
          <cell r="C360" t="str">
            <v>Шуруп г/к по дереву 3,5*35 мм</v>
          </cell>
          <cell r="D360" t="str">
            <v>шт</v>
          </cell>
          <cell r="E360">
            <v>1300</v>
          </cell>
        </row>
        <row r="361">
          <cell r="B361">
            <v>2054</v>
          </cell>
          <cell r="C361" t="str">
            <v>Шуруп г/к по дереву 3,5*35 мм</v>
          </cell>
          <cell r="D361" t="str">
            <v>шт</v>
          </cell>
          <cell r="E361">
            <v>1300</v>
          </cell>
        </row>
        <row r="362">
          <cell r="B362">
            <v>2054</v>
          </cell>
          <cell r="C362" t="str">
            <v>Шуруп г/к по дереву 3,5*35 мм</v>
          </cell>
          <cell r="D362" t="str">
            <v>шт</v>
          </cell>
          <cell r="E362">
            <v>5000</v>
          </cell>
        </row>
        <row r="363">
          <cell r="B363" t="str">
            <v>00-00005838</v>
          </cell>
          <cell r="C363" t="str">
            <v>Щебінь 5-20</v>
          </cell>
          <cell r="D363" t="str">
            <v>м куб</v>
          </cell>
          <cell r="E363">
            <v>2</v>
          </cell>
        </row>
        <row r="364">
          <cell r="B364" t="str">
            <v>00-00005045</v>
          </cell>
          <cell r="C364" t="str">
            <v>Щиток пластик. 4 мод.зовн.устан.</v>
          </cell>
          <cell r="D364" t="str">
            <v>шт</v>
          </cell>
          <cell r="E364">
            <v>21</v>
          </cell>
        </row>
        <row r="365">
          <cell r="B365" t="str">
            <v>00-00005044</v>
          </cell>
          <cell r="C365" t="str">
            <v>Щиток пластик. 6 мод.зовн.устан.</v>
          </cell>
          <cell r="D365" t="str">
            <v>шт</v>
          </cell>
          <cell r="E365">
            <v>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0">
          <cell r="B10" t="str">
            <v>00-00005670</v>
          </cell>
          <cell r="C10" t="str">
            <v xml:space="preserve">Автомат введення резерву  2п 100A </v>
          </cell>
          <cell r="D10" t="str">
            <v>шт</v>
          </cell>
          <cell r="E10">
            <v>1</v>
          </cell>
        </row>
        <row r="11">
          <cell r="B11" t="str">
            <v>00-00005670</v>
          </cell>
          <cell r="C11" t="str">
            <v xml:space="preserve">Автомат введення резерву  2п 100A </v>
          </cell>
          <cell r="D11" t="str">
            <v>шт</v>
          </cell>
          <cell r="E11">
            <v>3</v>
          </cell>
        </row>
        <row r="12">
          <cell r="B12" t="str">
            <v>00-00003557</v>
          </cell>
          <cell r="C12" t="str">
            <v xml:space="preserve">Автоматичний вимикач  1 п 10А  </v>
          </cell>
          <cell r="D12" t="str">
            <v>шт</v>
          </cell>
          <cell r="E12">
            <v>24</v>
          </cell>
        </row>
        <row r="13">
          <cell r="B13" t="str">
            <v>00-00003558</v>
          </cell>
          <cell r="C13" t="str">
            <v>Автоматичний вимикач  1 п 16А  С</v>
          </cell>
          <cell r="D13" t="str">
            <v>шт</v>
          </cell>
          <cell r="E13">
            <v>59</v>
          </cell>
        </row>
        <row r="14">
          <cell r="B14" t="str">
            <v>00-00000412</v>
          </cell>
          <cell r="C14" t="str">
            <v>Автоматичний вимикач  1 п 25А  C e mcb stand 45 1 c25 1p 25A C 4.5KA</v>
          </cell>
          <cell r="D14" t="str">
            <v>шт</v>
          </cell>
          <cell r="E14">
            <v>12</v>
          </cell>
        </row>
        <row r="15">
          <cell r="B15" t="str">
            <v>00-00000210</v>
          </cell>
          <cell r="C15" t="str">
            <v>Аерозоль Лідер (RAL 9010) білий глянцевий 400 мл</v>
          </cell>
          <cell r="D15" t="str">
            <v>шт</v>
          </cell>
          <cell r="E15">
            <v>3</v>
          </cell>
        </row>
        <row r="16">
          <cell r="B16" t="str">
            <v>00-00000210</v>
          </cell>
          <cell r="C16" t="str">
            <v>Аерозоль Лідер (RAL 9010) білий глянцевий 400 мл</v>
          </cell>
          <cell r="D16" t="str">
            <v>шт</v>
          </cell>
          <cell r="E16">
            <v>4</v>
          </cell>
        </row>
        <row r="17">
          <cell r="B17" t="str">
            <v>00-00004981</v>
          </cell>
          <cell r="C17" t="str">
            <v>Аквапанель 2000х1200х12,5</v>
          </cell>
          <cell r="D17" t="str">
            <v>м кв</v>
          </cell>
          <cell r="E17">
            <v>14</v>
          </cell>
        </row>
        <row r="18">
          <cell r="B18" t="str">
            <v>00-00005088</v>
          </cell>
          <cell r="C18" t="str">
            <v>Акумулятор 12V, 2,0Аh</v>
          </cell>
          <cell r="D18" t="str">
            <v>шт</v>
          </cell>
          <cell r="E18">
            <v>6</v>
          </cell>
        </row>
        <row r="19">
          <cell r="B19" t="str">
            <v>00-00005088</v>
          </cell>
          <cell r="C19" t="str">
            <v>Акумулятор 12V, 2,0Аh</v>
          </cell>
          <cell r="D19" t="str">
            <v>шт</v>
          </cell>
          <cell r="E19">
            <v>7</v>
          </cell>
        </row>
        <row r="20">
          <cell r="B20" t="str">
            <v>00000000355</v>
          </cell>
          <cell r="C20" t="str">
            <v>Болт кріплення для бойлера, М10х100мм ( 2шт)</v>
          </cell>
          <cell r="D20" t="str">
            <v>шт</v>
          </cell>
          <cell r="E20">
            <v>3</v>
          </cell>
        </row>
        <row r="21">
          <cell r="B21" t="str">
            <v>00-00005270</v>
          </cell>
          <cell r="C21" t="str">
            <v>Брезент вогнестійкий  1,5*1,8</v>
          </cell>
          <cell r="D21" t="str">
            <v>шт</v>
          </cell>
          <cell r="E21">
            <v>2</v>
          </cell>
        </row>
        <row r="22">
          <cell r="B22" t="str">
            <v>00-00005270</v>
          </cell>
          <cell r="C22" t="str">
            <v>Брезент вогнестійкий  1,5*1,8</v>
          </cell>
          <cell r="D22" t="str">
            <v>шт</v>
          </cell>
          <cell r="E22">
            <v>4</v>
          </cell>
        </row>
        <row r="23">
          <cell r="B23" t="str">
            <v>00-00005770</v>
          </cell>
          <cell r="C23" t="str">
            <v>Брус 50х50х4500</v>
          </cell>
          <cell r="D23" t="str">
            <v>шт</v>
          </cell>
          <cell r="E23">
            <v>30</v>
          </cell>
        </row>
        <row r="24">
          <cell r="B24" t="str">
            <v>00000000601</v>
          </cell>
          <cell r="C24" t="str">
            <v>Вагонка пластикова Мармур Сірий 0,25х6м 8мм (уп.10 шт.)</v>
          </cell>
          <cell r="D24" t="str">
            <v>м2</v>
          </cell>
          <cell r="E24">
            <v>112</v>
          </cell>
        </row>
        <row r="25">
          <cell r="B25" t="str">
            <v>00000018520</v>
          </cell>
          <cell r="C25" t="str">
            <v>ВВГнг 3х1,5 кабель</v>
          </cell>
          <cell r="D25" t="str">
            <v>км</v>
          </cell>
          <cell r="E25">
            <v>1.085</v>
          </cell>
        </row>
        <row r="26">
          <cell r="B26" t="str">
            <v>00000018382</v>
          </cell>
          <cell r="C26" t="str">
            <v>ВВГнг 3х2,5 кабель</v>
          </cell>
          <cell r="D26" t="str">
            <v>км</v>
          </cell>
          <cell r="E26">
            <v>2.1709999999999998</v>
          </cell>
        </row>
        <row r="27">
          <cell r="B27" t="str">
            <v>00000018518</v>
          </cell>
          <cell r="C27" t="str">
            <v>ВВГнг 3х4 кабель</v>
          </cell>
          <cell r="D27" t="str">
            <v>км</v>
          </cell>
          <cell r="E27">
            <v>0.17499999999999999</v>
          </cell>
        </row>
        <row r="28">
          <cell r="B28" t="str">
            <v>00000000599</v>
          </cell>
          <cell r="C28" t="str">
            <v>Вентилятор Домовент 100С1 (14Вт, 94 м куб/год.)</v>
          </cell>
          <cell r="D28" t="str">
            <v>шт</v>
          </cell>
          <cell r="E28">
            <v>35</v>
          </cell>
        </row>
        <row r="29">
          <cell r="B29" t="str">
            <v>00000000599</v>
          </cell>
          <cell r="C29" t="str">
            <v>Вентилятор Домовент 100С1 (14Вт, 94 м куб/год.)</v>
          </cell>
          <cell r="D29" t="str">
            <v>шт</v>
          </cell>
          <cell r="E29">
            <v>4</v>
          </cell>
        </row>
        <row r="30">
          <cell r="B30" t="str">
            <v>00000000616</v>
          </cell>
          <cell r="C30" t="str">
            <v>Вилка переносна 7023 32А 220В 2Р+Е ІР44</v>
          </cell>
          <cell r="D30" t="str">
            <v>шт</v>
          </cell>
          <cell r="E30">
            <v>8</v>
          </cell>
        </row>
        <row r="31">
          <cell r="B31" t="str">
            <v>00000000616</v>
          </cell>
          <cell r="C31" t="str">
            <v>Вилка переносна 7023 32А 220В 2Р+Е ІР44</v>
          </cell>
          <cell r="D31" t="str">
            <v>шт</v>
          </cell>
          <cell r="E31">
            <v>28</v>
          </cell>
        </row>
        <row r="32">
          <cell r="B32" t="str">
            <v>00000000616</v>
          </cell>
          <cell r="C32" t="str">
            <v>Вилка переносна 7023 32А 220В 2Р+Е ІР44</v>
          </cell>
          <cell r="D32" t="str">
            <v>шт</v>
          </cell>
          <cell r="E32">
            <v>14</v>
          </cell>
        </row>
        <row r="33">
          <cell r="B33" t="str">
            <v>00-00005532</v>
          </cell>
          <cell r="C33" t="str">
            <v>Вилка промислова 32А</v>
          </cell>
          <cell r="D33" t="str">
            <v>шт</v>
          </cell>
          <cell r="E33">
            <v>4</v>
          </cell>
        </row>
        <row r="34">
          <cell r="B34" t="str">
            <v>00-00005573</v>
          </cell>
          <cell r="C34" t="str">
            <v>Вимикач  диференц струму з захистом16А С 10мА</v>
          </cell>
          <cell r="D34" t="str">
            <v>шт</v>
          </cell>
          <cell r="E34">
            <v>4</v>
          </cell>
        </row>
        <row r="35">
          <cell r="B35" t="str">
            <v>00-00000721</v>
          </cell>
          <cell r="C35" t="str">
            <v>Вимикач 1-клавішний</v>
          </cell>
          <cell r="D35" t="str">
            <v>шт</v>
          </cell>
          <cell r="E35">
            <v>33</v>
          </cell>
        </row>
        <row r="36">
          <cell r="B36" t="str">
            <v>00000000486</v>
          </cell>
          <cell r="C36" t="str">
            <v>Вимикач 2-клавішний</v>
          </cell>
          <cell r="D36" t="str">
            <v>шт</v>
          </cell>
          <cell r="E36">
            <v>16</v>
          </cell>
        </row>
        <row r="37">
          <cell r="B37" t="str">
            <v>00000017002</v>
          </cell>
          <cell r="C37" t="str">
            <v>Відвід d 110 мм 45"</v>
          </cell>
          <cell r="D37" t="str">
            <v>шт</v>
          </cell>
          <cell r="E37">
            <v>16</v>
          </cell>
        </row>
        <row r="38">
          <cell r="B38" t="str">
            <v>00-00005133</v>
          </cell>
          <cell r="C38" t="str">
            <v>Відвід D=32 мм, 87° 30 ' 3917400090</v>
          </cell>
          <cell r="D38" t="str">
            <v>шт</v>
          </cell>
          <cell r="E38">
            <v>12</v>
          </cell>
        </row>
        <row r="39">
          <cell r="B39" t="str">
            <v>00000010911</v>
          </cell>
          <cell r="C39" t="str">
            <v>Вішалка підлогова</v>
          </cell>
          <cell r="D39" t="str">
            <v>шт</v>
          </cell>
          <cell r="E39">
            <v>3</v>
          </cell>
        </row>
        <row r="40">
          <cell r="B40" t="str">
            <v>00000010911</v>
          </cell>
          <cell r="C40" t="str">
            <v>Вішалка підлогова</v>
          </cell>
          <cell r="D40" t="str">
            <v>шт</v>
          </cell>
          <cell r="E40">
            <v>2</v>
          </cell>
        </row>
        <row r="41">
          <cell r="B41" t="str">
            <v>00000010911</v>
          </cell>
          <cell r="C41" t="str">
            <v>Вішалка підлогова</v>
          </cell>
          <cell r="D41" t="str">
            <v>шт</v>
          </cell>
          <cell r="E41">
            <v>1</v>
          </cell>
        </row>
        <row r="42">
          <cell r="B42" t="str">
            <v>00-00004868</v>
          </cell>
          <cell r="C42" t="str">
            <v>Вогнебіозахист 1кг</v>
          </cell>
          <cell r="D42" t="str">
            <v>шт</v>
          </cell>
          <cell r="E42">
            <v>10</v>
          </cell>
        </row>
        <row r="43">
          <cell r="B43" t="str">
            <v>00-00004868</v>
          </cell>
          <cell r="C43" t="str">
            <v>Вогнебіозахист 1кг</v>
          </cell>
          <cell r="D43" t="str">
            <v>шт</v>
          </cell>
          <cell r="E43">
            <v>50</v>
          </cell>
        </row>
        <row r="44">
          <cell r="B44" t="str">
            <v>00-00004868</v>
          </cell>
          <cell r="C44" t="str">
            <v>Вогнебіозахист 1кг</v>
          </cell>
          <cell r="D44" t="str">
            <v>шт</v>
          </cell>
          <cell r="E44">
            <v>10</v>
          </cell>
        </row>
        <row r="45">
          <cell r="B45" t="str">
            <v>00-00004868</v>
          </cell>
          <cell r="C45" t="str">
            <v>Вогнебіозахист 1кг</v>
          </cell>
          <cell r="D45" t="str">
            <v>шт</v>
          </cell>
          <cell r="E45">
            <v>10</v>
          </cell>
        </row>
        <row r="46">
          <cell r="B46" t="str">
            <v>00-00004868</v>
          </cell>
          <cell r="C46" t="str">
            <v>Вогнебіозахист 1кг</v>
          </cell>
          <cell r="D46" t="str">
            <v>шт</v>
          </cell>
          <cell r="E46">
            <v>7</v>
          </cell>
        </row>
        <row r="47">
          <cell r="B47" t="str">
            <v>00-00004868</v>
          </cell>
          <cell r="C47" t="str">
            <v>Вогнебіозахист 1кг</v>
          </cell>
          <cell r="D47" t="str">
            <v>шт</v>
          </cell>
          <cell r="E47">
            <v>15</v>
          </cell>
        </row>
        <row r="48">
          <cell r="B48" t="str">
            <v>00-00005597</v>
          </cell>
          <cell r="C48" t="str">
            <v>Вогнегасник порошковий ОП2 2 кг</v>
          </cell>
          <cell r="D48" t="str">
            <v>шт</v>
          </cell>
          <cell r="E48">
            <v>3</v>
          </cell>
        </row>
        <row r="49">
          <cell r="B49" t="str">
            <v>00000005990</v>
          </cell>
          <cell r="C49" t="str">
            <v>Гайка М12  DIN 934  цб</v>
          </cell>
          <cell r="D49" t="str">
            <v>шт</v>
          </cell>
          <cell r="E49">
            <v>100</v>
          </cell>
        </row>
        <row r="50">
          <cell r="B50" t="str">
            <v>00000011093</v>
          </cell>
          <cell r="C50" t="str">
            <v>Гайка М48</v>
          </cell>
          <cell r="D50" t="str">
            <v>кг</v>
          </cell>
          <cell r="E50">
            <v>28.5</v>
          </cell>
        </row>
        <row r="51">
          <cell r="B51" t="str">
            <v>00-00004908</v>
          </cell>
          <cell r="C51" t="str">
            <v>Гвинт 3,9*25</v>
          </cell>
          <cell r="D51" t="str">
            <v>шт</v>
          </cell>
          <cell r="E51">
            <v>10000</v>
          </cell>
        </row>
        <row r="52">
          <cell r="B52" t="str">
            <v>00-00004907</v>
          </cell>
          <cell r="C52" t="str">
            <v>Гвинт 4,2х19</v>
          </cell>
          <cell r="D52" t="str">
            <v>шт</v>
          </cell>
          <cell r="E52">
            <v>1150</v>
          </cell>
        </row>
        <row r="53">
          <cell r="B53" t="str">
            <v>00-00004907</v>
          </cell>
          <cell r="C53" t="str">
            <v>Гвинт 4,2х19</v>
          </cell>
          <cell r="D53" t="str">
            <v>шт</v>
          </cell>
          <cell r="E53">
            <v>1200</v>
          </cell>
        </row>
        <row r="54">
          <cell r="B54" t="str">
            <v>00-00004907</v>
          </cell>
          <cell r="C54" t="str">
            <v>Гвинт 4,2х19</v>
          </cell>
          <cell r="D54" t="str">
            <v>шт</v>
          </cell>
          <cell r="E54">
            <v>1200</v>
          </cell>
        </row>
        <row r="55">
          <cell r="B55" t="str">
            <v>00-00004907</v>
          </cell>
          <cell r="C55" t="str">
            <v>Гвинт 4,2х19</v>
          </cell>
          <cell r="D55" t="str">
            <v>шт</v>
          </cell>
          <cell r="E55">
            <v>1200</v>
          </cell>
        </row>
        <row r="56">
          <cell r="B56" t="str">
            <v>00000009513</v>
          </cell>
          <cell r="C56" t="str">
            <v>Гвинт 4,8*19 покрівельний</v>
          </cell>
          <cell r="D56" t="str">
            <v>шт</v>
          </cell>
          <cell r="E56">
            <v>5000</v>
          </cell>
        </row>
        <row r="57">
          <cell r="B57" t="str">
            <v>00-00005462</v>
          </cell>
          <cell r="C57" t="str">
            <v>Гвинт 4,8х50</v>
          </cell>
          <cell r="D57" t="str">
            <v>шт</v>
          </cell>
          <cell r="E57">
            <v>1100</v>
          </cell>
        </row>
        <row r="58">
          <cell r="B58" t="str">
            <v>00-00005462</v>
          </cell>
          <cell r="C58" t="str">
            <v>Гвинт 4,8х50</v>
          </cell>
          <cell r="D58" t="str">
            <v>шт</v>
          </cell>
          <cell r="E58">
            <v>1100</v>
          </cell>
        </row>
        <row r="59">
          <cell r="B59" t="str">
            <v>00-00005462</v>
          </cell>
          <cell r="C59" t="str">
            <v>Гвинт 4,8х50</v>
          </cell>
          <cell r="D59" t="str">
            <v>шт</v>
          </cell>
          <cell r="E59">
            <v>500</v>
          </cell>
        </row>
        <row r="60">
          <cell r="B60" t="str">
            <v>00-00005462</v>
          </cell>
          <cell r="C60" t="str">
            <v>Гвинт 4,8х50</v>
          </cell>
          <cell r="D60" t="str">
            <v>шт</v>
          </cell>
          <cell r="E60">
            <v>2600</v>
          </cell>
        </row>
        <row r="61">
          <cell r="B61" t="str">
            <v>00-00005462</v>
          </cell>
          <cell r="C61" t="str">
            <v>Гвинт 4,8х50</v>
          </cell>
          <cell r="D61" t="str">
            <v>шт</v>
          </cell>
          <cell r="E61">
            <v>1100</v>
          </cell>
        </row>
        <row r="62">
          <cell r="B62" t="str">
            <v>00-00005462</v>
          </cell>
          <cell r="C62" t="str">
            <v>Гвинт 4,8х50</v>
          </cell>
          <cell r="D62" t="str">
            <v>шт</v>
          </cell>
          <cell r="E62">
            <v>1100</v>
          </cell>
        </row>
        <row r="63">
          <cell r="B63" t="str">
            <v>00-00005462</v>
          </cell>
          <cell r="C63" t="str">
            <v>Гвинт 4,8х50</v>
          </cell>
          <cell r="D63" t="str">
            <v>шт</v>
          </cell>
          <cell r="E63">
            <v>1900</v>
          </cell>
        </row>
        <row r="64">
          <cell r="B64" t="str">
            <v>00-00005462</v>
          </cell>
          <cell r="C64" t="str">
            <v>Гвинт 4,8х50</v>
          </cell>
          <cell r="D64" t="str">
            <v>шт</v>
          </cell>
          <cell r="E64">
            <v>1500</v>
          </cell>
        </row>
        <row r="65">
          <cell r="B65" t="str">
            <v>00-00005462</v>
          </cell>
          <cell r="C65" t="str">
            <v>Гвинт 4,8х50</v>
          </cell>
          <cell r="D65" t="str">
            <v>шт</v>
          </cell>
          <cell r="E65">
            <v>1100</v>
          </cell>
        </row>
        <row r="66">
          <cell r="B66" t="str">
            <v>00-00005462</v>
          </cell>
          <cell r="C66" t="str">
            <v>Гвинт 4,8х50</v>
          </cell>
          <cell r="D66" t="str">
            <v>шт</v>
          </cell>
          <cell r="E66">
            <v>1500</v>
          </cell>
        </row>
        <row r="67">
          <cell r="B67" t="str">
            <v>00-00005462</v>
          </cell>
          <cell r="C67" t="str">
            <v>Гвинт 4,8х50</v>
          </cell>
          <cell r="D67" t="str">
            <v>шт</v>
          </cell>
          <cell r="E67">
            <v>1500</v>
          </cell>
        </row>
        <row r="68">
          <cell r="B68" t="str">
            <v>00000005936</v>
          </cell>
          <cell r="C68" t="str">
            <v>Гвинт 5,5х32 цб дов.св</v>
          </cell>
          <cell r="D68" t="str">
            <v>шт</v>
          </cell>
          <cell r="E68">
            <v>250</v>
          </cell>
        </row>
        <row r="69">
          <cell r="B69" t="str">
            <v>00000005936</v>
          </cell>
          <cell r="C69" t="str">
            <v>Гвинт 5,5х32 цб дов.св</v>
          </cell>
          <cell r="D69" t="str">
            <v>шт</v>
          </cell>
          <cell r="E69">
            <v>2750</v>
          </cell>
        </row>
        <row r="70">
          <cell r="B70" t="str">
            <v>00000005936</v>
          </cell>
          <cell r="C70" t="str">
            <v>Гвинт 5,5х32 цб дов.св</v>
          </cell>
          <cell r="D70" t="str">
            <v>шт</v>
          </cell>
          <cell r="E70">
            <v>3000</v>
          </cell>
        </row>
        <row r="71">
          <cell r="B71" t="str">
            <v>00000005936</v>
          </cell>
          <cell r="C71" t="str">
            <v>Гвинт 5,5х32 цб дов.св</v>
          </cell>
          <cell r="D71" t="str">
            <v>шт</v>
          </cell>
          <cell r="E71">
            <v>2800</v>
          </cell>
        </row>
        <row r="72">
          <cell r="B72" t="str">
            <v>00000005936</v>
          </cell>
          <cell r="C72" t="str">
            <v>Гвинт 5,5х32 цб дов.св</v>
          </cell>
          <cell r="D72" t="str">
            <v>шт</v>
          </cell>
          <cell r="E72">
            <v>3000</v>
          </cell>
        </row>
        <row r="73">
          <cell r="B73" t="str">
            <v>00-00004909</v>
          </cell>
          <cell r="C73" t="str">
            <v>Гвинт 5,5х75</v>
          </cell>
          <cell r="D73" t="str">
            <v>шт</v>
          </cell>
          <cell r="E73">
            <v>4000</v>
          </cell>
        </row>
        <row r="74">
          <cell r="B74" t="str">
            <v>00-00004909</v>
          </cell>
          <cell r="C74" t="str">
            <v>Гвинт 5,5х75</v>
          </cell>
          <cell r="D74" t="str">
            <v>шт</v>
          </cell>
          <cell r="E74">
            <v>4000</v>
          </cell>
        </row>
        <row r="75">
          <cell r="B75" t="str">
            <v>00-00004909</v>
          </cell>
          <cell r="C75" t="str">
            <v>Гвинт 5,5х75</v>
          </cell>
          <cell r="D75" t="str">
            <v>шт</v>
          </cell>
          <cell r="E75">
            <v>4000</v>
          </cell>
        </row>
        <row r="76">
          <cell r="B76" t="str">
            <v>00-00004909</v>
          </cell>
          <cell r="C76" t="str">
            <v>Гвинт 5,5х75</v>
          </cell>
          <cell r="D76" t="str">
            <v>шт</v>
          </cell>
          <cell r="E76">
            <v>2900</v>
          </cell>
        </row>
        <row r="77">
          <cell r="B77" t="str">
            <v>00000017039</v>
          </cell>
          <cell r="C77" t="str">
            <v xml:space="preserve">Генератор </v>
          </cell>
          <cell r="D77" t="str">
            <v>шт</v>
          </cell>
          <cell r="E77">
            <v>5</v>
          </cell>
        </row>
        <row r="78">
          <cell r="B78" t="str">
            <v>00000003862</v>
          </cell>
          <cell r="C78" t="str">
            <v>Герметик  акриловий 280 мл.</v>
          </cell>
          <cell r="D78" t="str">
            <v>шт</v>
          </cell>
          <cell r="E78">
            <v>8</v>
          </cell>
        </row>
        <row r="79">
          <cell r="B79" t="str">
            <v>00-00005571</v>
          </cell>
          <cell r="C79" t="str">
            <v>Герметик для швів 310мл.</v>
          </cell>
          <cell r="D79" t="str">
            <v>шт</v>
          </cell>
          <cell r="E79">
            <v>8</v>
          </cell>
        </row>
        <row r="80">
          <cell r="B80" t="str">
            <v>00000000597</v>
          </cell>
          <cell r="C80" t="str">
            <v>Герметик силіконовий санітарний Mounter (білий) 280 мл</v>
          </cell>
          <cell r="D80" t="str">
            <v>шт</v>
          </cell>
          <cell r="E80">
            <v>4</v>
          </cell>
        </row>
        <row r="81">
          <cell r="B81" t="str">
            <v>00000000597</v>
          </cell>
          <cell r="C81" t="str">
            <v>Герметик силіконовий санітарний Mounter (білий) 280 мл</v>
          </cell>
          <cell r="D81" t="str">
            <v>шт</v>
          </cell>
          <cell r="E81">
            <v>4</v>
          </cell>
        </row>
        <row r="82">
          <cell r="B82" t="str">
            <v>00000000597</v>
          </cell>
          <cell r="C82" t="str">
            <v>Герметик силіконовий санітарний Mounter (білий) 280 мл</v>
          </cell>
          <cell r="D82" t="str">
            <v>шт</v>
          </cell>
          <cell r="E82">
            <v>7</v>
          </cell>
        </row>
        <row r="83">
          <cell r="B83" t="str">
            <v>00000000597</v>
          </cell>
          <cell r="C83" t="str">
            <v>Герметик силіконовий санітарний Mounter (білий) 280 мл</v>
          </cell>
          <cell r="D83" t="str">
            <v>шт</v>
          </cell>
          <cell r="E83">
            <v>8</v>
          </cell>
        </row>
        <row r="84">
          <cell r="B84" t="str">
            <v>00000000597</v>
          </cell>
          <cell r="C84" t="str">
            <v>Герметик силіконовий санітарний Mounter (білий) 280 мл</v>
          </cell>
          <cell r="D84" t="str">
            <v>шт</v>
          </cell>
          <cell r="E84">
            <v>8</v>
          </cell>
        </row>
        <row r="85">
          <cell r="B85" t="str">
            <v>00000000597</v>
          </cell>
          <cell r="C85" t="str">
            <v>Герметик силіконовий санітарний Mounter (білий) 280 мл</v>
          </cell>
          <cell r="D85" t="str">
            <v>шт</v>
          </cell>
          <cell r="E85">
            <v>10</v>
          </cell>
        </row>
        <row r="86">
          <cell r="B86" t="str">
            <v>00-00005073</v>
          </cell>
          <cell r="C86" t="str">
            <v>Герметичний з’єднувач кабеля</v>
          </cell>
          <cell r="D86" t="str">
            <v>шт</v>
          </cell>
          <cell r="E86">
            <v>5</v>
          </cell>
        </row>
        <row r="87">
          <cell r="B87" t="str">
            <v>00000000643</v>
          </cell>
          <cell r="C87" t="str">
            <v>Гідробар'єр (1,5х44м)</v>
          </cell>
          <cell r="D87" t="str">
            <v>м2</v>
          </cell>
          <cell r="E87">
            <v>211</v>
          </cell>
        </row>
        <row r="88">
          <cell r="B88" t="str">
            <v>00-00005447</v>
          </cell>
          <cell r="C88" t="str">
            <v>Гідроізоляція 7кг</v>
          </cell>
          <cell r="D88" t="str">
            <v>шт</v>
          </cell>
          <cell r="E88">
            <v>1</v>
          </cell>
        </row>
        <row r="89">
          <cell r="B89" t="str">
            <v>00000019520</v>
          </cell>
          <cell r="C89" t="str">
            <v>ГК Профіль CD 60, 3,0 м (0,50) 1/12/270</v>
          </cell>
          <cell r="D89" t="str">
            <v>шт</v>
          </cell>
          <cell r="E89">
            <v>40</v>
          </cell>
        </row>
        <row r="90">
          <cell r="B90" t="str">
            <v>00000000336</v>
          </cell>
          <cell r="C90" t="str">
            <v>Гладкая жесть 1,25*2м РЕМА 7024*45</v>
          </cell>
          <cell r="D90" t="str">
            <v>м2</v>
          </cell>
          <cell r="E90">
            <v>182</v>
          </cell>
        </row>
        <row r="91">
          <cell r="B91" t="str">
            <v>00-00005682</v>
          </cell>
          <cell r="C91" t="str">
            <v>Гнучка труба 50/40х40/50</v>
          </cell>
          <cell r="D91" t="str">
            <v>шт</v>
          </cell>
          <cell r="E91">
            <v>1</v>
          </cell>
        </row>
        <row r="92">
          <cell r="B92" t="str">
            <v>00000000089</v>
          </cell>
          <cell r="C92" t="str">
            <v>Гнучкий шланг 1\2 ВВ довжина 100 см</v>
          </cell>
          <cell r="D92" t="str">
            <v>шт</v>
          </cell>
          <cell r="E92">
            <v>8</v>
          </cell>
        </row>
        <row r="93">
          <cell r="B93" t="str">
            <v>00000000087</v>
          </cell>
          <cell r="C93" t="str">
            <v>Гнучкий шланг 1\2 ВВ довжина 40 см</v>
          </cell>
          <cell r="D93" t="str">
            <v>шт</v>
          </cell>
          <cell r="E93">
            <v>12</v>
          </cell>
        </row>
        <row r="94">
          <cell r="B94" t="str">
            <v>00000019322</v>
          </cell>
          <cell r="C94" t="str">
            <v>Гнучкий шланг, 1 / 2 "ВВ, довжина 50 см 4009220000</v>
          </cell>
          <cell r="D94" t="str">
            <v>шт</v>
          </cell>
          <cell r="E94">
            <v>27</v>
          </cell>
        </row>
        <row r="95">
          <cell r="B95" t="str">
            <v>00000000341</v>
          </cell>
          <cell r="C95" t="str">
            <v>Гнучкий шланг, 1 / 2" ВВ, довжина 30 см</v>
          </cell>
          <cell r="D95" t="str">
            <v>шт</v>
          </cell>
          <cell r="E95">
            <v>44</v>
          </cell>
        </row>
        <row r="96">
          <cell r="B96" t="str">
            <v>00000019317</v>
          </cell>
          <cell r="C96" t="str">
            <v>Гнучкий шланг, для сифону, HB, D=32 мм х 1.1/4",L=380-865 мм 3922900000</v>
          </cell>
          <cell r="D96" t="str">
            <v>шт</v>
          </cell>
          <cell r="E96">
            <v>13</v>
          </cell>
        </row>
        <row r="97">
          <cell r="B97" t="str">
            <v>00-00005058</v>
          </cell>
          <cell r="C97" t="str">
            <v>Гратка вентиляційна пластик</v>
          </cell>
          <cell r="D97" t="str">
            <v>шт</v>
          </cell>
          <cell r="E97">
            <v>31</v>
          </cell>
        </row>
        <row r="98">
          <cell r="B98" t="str">
            <v>00-00005062</v>
          </cell>
          <cell r="C98" t="str">
            <v>Грунт концентрат 1:10 NOVA 1л</v>
          </cell>
          <cell r="D98" t="str">
            <v>шт</v>
          </cell>
          <cell r="E98">
            <v>1</v>
          </cell>
        </row>
        <row r="99">
          <cell r="B99" t="str">
            <v>00-00001875</v>
          </cell>
          <cell r="C99" t="str">
            <v>Грунт-емаль ПФ-012 Р сірий (кг)</v>
          </cell>
          <cell r="D99" t="str">
            <v>кг</v>
          </cell>
          <cell r="E99">
            <v>150</v>
          </cell>
        </row>
        <row r="100">
          <cell r="B100" t="str">
            <v>00-00001875</v>
          </cell>
          <cell r="C100" t="str">
            <v>Грунт-емаль ПФ-012 Р сірий (кг)</v>
          </cell>
          <cell r="D100" t="str">
            <v>кг</v>
          </cell>
          <cell r="E100">
            <v>126</v>
          </cell>
        </row>
        <row r="101">
          <cell r="B101" t="str">
            <v>00-00005579</v>
          </cell>
          <cell r="C101" t="str">
            <v>Двері металеві 1120*2070</v>
          </cell>
          <cell r="D101" t="str">
            <v>шт</v>
          </cell>
        </row>
        <row r="102">
          <cell r="B102" t="str">
            <v>00-00000371</v>
          </cell>
          <cell r="C102" t="str">
            <v>Двері металопластикові</v>
          </cell>
          <cell r="D102" t="str">
            <v>шт</v>
          </cell>
          <cell r="E102">
            <v>0.2280000000000002</v>
          </cell>
        </row>
        <row r="103">
          <cell r="B103" t="str">
            <v>00-00000371</v>
          </cell>
          <cell r="C103" t="str">
            <v>Двері металопластикові</v>
          </cell>
          <cell r="D103" t="str">
            <v>шт</v>
          </cell>
          <cell r="E103">
            <v>2.5469999999999997</v>
          </cell>
        </row>
        <row r="104">
          <cell r="B104" t="str">
            <v>00-00005176</v>
          </cell>
          <cell r="C104" t="str">
            <v>Дверцята 100*100 ревізійні пластик</v>
          </cell>
          <cell r="D104" t="str">
            <v>шт</v>
          </cell>
          <cell r="E104">
            <v>72</v>
          </cell>
        </row>
        <row r="105">
          <cell r="B105" t="str">
            <v>00-00005175</v>
          </cell>
          <cell r="C105" t="str">
            <v>Дверцята 150*150 ревізійні пластик</v>
          </cell>
          <cell r="D105" t="str">
            <v>шт</v>
          </cell>
          <cell r="E105">
            <v>32</v>
          </cell>
        </row>
        <row r="106">
          <cell r="B106" t="str">
            <v>00-00005341</v>
          </cell>
          <cell r="C106" t="str">
            <v>Держак ринви ПВХ Profil 90 білий</v>
          </cell>
          <cell r="D106" t="str">
            <v>шт</v>
          </cell>
          <cell r="E106">
            <v>54</v>
          </cell>
        </row>
        <row r="107">
          <cell r="B107" t="str">
            <v>00-00005341</v>
          </cell>
          <cell r="C107" t="str">
            <v>Держак ринви ПВХ Profil 90 білий</v>
          </cell>
          <cell r="D107" t="str">
            <v>шт</v>
          </cell>
          <cell r="E107">
            <v>53</v>
          </cell>
        </row>
        <row r="108">
          <cell r="B108" t="str">
            <v>00-00005341</v>
          </cell>
          <cell r="C108" t="str">
            <v>Держак ринви ПВХ Profil 90 білий</v>
          </cell>
          <cell r="D108" t="str">
            <v>шт</v>
          </cell>
          <cell r="E108">
            <v>53</v>
          </cell>
        </row>
        <row r="109">
          <cell r="B109" t="str">
            <v>00-00005341</v>
          </cell>
          <cell r="C109" t="str">
            <v>Держак ринви ПВХ Profil 90 білий</v>
          </cell>
          <cell r="D109" t="str">
            <v>шт</v>
          </cell>
          <cell r="E109">
            <v>32</v>
          </cell>
        </row>
        <row r="110">
          <cell r="B110" t="str">
            <v>00-00005342</v>
          </cell>
          <cell r="C110" t="str">
            <v>Держак труби металевий L-160  90 білий</v>
          </cell>
          <cell r="D110" t="str">
            <v>шт</v>
          </cell>
          <cell r="E110">
            <v>14</v>
          </cell>
        </row>
        <row r="111">
          <cell r="B111" t="str">
            <v>00-00005342</v>
          </cell>
          <cell r="C111" t="str">
            <v>Держак труби металевий L-160  90 білий</v>
          </cell>
          <cell r="D111" t="str">
            <v>шт</v>
          </cell>
          <cell r="E111">
            <v>13</v>
          </cell>
        </row>
        <row r="112">
          <cell r="B112" t="str">
            <v>00-00005342</v>
          </cell>
          <cell r="C112" t="str">
            <v>Держак труби металевий L-160  90 білий</v>
          </cell>
          <cell r="D112" t="str">
            <v>шт</v>
          </cell>
          <cell r="E112">
            <v>13</v>
          </cell>
        </row>
        <row r="113">
          <cell r="B113" t="str">
            <v>00-00005342</v>
          </cell>
          <cell r="C113" t="str">
            <v>Держак труби металевий L-160  90 білий</v>
          </cell>
          <cell r="D113" t="str">
            <v>шт</v>
          </cell>
          <cell r="E113">
            <v>8</v>
          </cell>
        </row>
        <row r="114">
          <cell r="B114" t="str">
            <v>00-00005366</v>
          </cell>
          <cell r="C114" t="str">
            <v>Диспенсер рушників</v>
          </cell>
          <cell r="D114" t="str">
            <v>шт</v>
          </cell>
          <cell r="E114">
            <v>20</v>
          </cell>
        </row>
        <row r="115">
          <cell r="B115" t="str">
            <v>00-00005567</v>
          </cell>
          <cell r="C115" t="str">
            <v>Диспенсер туалетного папіру</v>
          </cell>
          <cell r="D115" t="str">
            <v>шт</v>
          </cell>
          <cell r="E115">
            <v>10</v>
          </cell>
        </row>
        <row r="116">
          <cell r="B116" t="str">
            <v>00-00004867</v>
          </cell>
          <cell r="C116" t="str">
            <v>Дошка 20*100*6000</v>
          </cell>
          <cell r="D116" t="str">
            <v>м куб</v>
          </cell>
          <cell r="E116">
            <v>1.1040000000000001</v>
          </cell>
        </row>
        <row r="117">
          <cell r="B117" t="str">
            <v>00-00004867</v>
          </cell>
          <cell r="C117" t="str">
            <v>Дошка 20*100*6000</v>
          </cell>
          <cell r="D117" t="str">
            <v>м куб</v>
          </cell>
          <cell r="E117">
            <v>2.004</v>
          </cell>
        </row>
        <row r="118">
          <cell r="B118" t="str">
            <v>00-00005924</v>
          </cell>
          <cell r="C118" t="str">
            <v>Дошка обрізна 20*100 (6 м)</v>
          </cell>
          <cell r="D118" t="str">
            <v>м куб</v>
          </cell>
          <cell r="E118">
            <v>1.68</v>
          </cell>
        </row>
        <row r="119">
          <cell r="B119" t="str">
            <v>00000007114</v>
          </cell>
          <cell r="C119" t="str">
            <v>Дріт з легованої сталі ER70S-6 ф1,0мм 5 кг</v>
          </cell>
          <cell r="D119" t="str">
            <v>шт</v>
          </cell>
          <cell r="E119">
            <v>1</v>
          </cell>
        </row>
        <row r="120">
          <cell r="B120" t="str">
            <v>00000012923</v>
          </cell>
          <cell r="C120" t="str">
            <v>Дріт з легованої сталі ER70S-6 ф1,2 мм 15 кг</v>
          </cell>
          <cell r="D120" t="str">
            <v>шт</v>
          </cell>
          <cell r="E120">
            <v>2</v>
          </cell>
        </row>
        <row r="121">
          <cell r="B121" t="str">
            <v>00000009858</v>
          </cell>
          <cell r="C121" t="str">
            <v xml:space="preserve">Дріт ПВЗ  1*6 </v>
          </cell>
          <cell r="D121" t="str">
            <v>км</v>
          </cell>
          <cell r="E121">
            <v>0.03</v>
          </cell>
        </row>
        <row r="122">
          <cell r="B122" t="str">
            <v>00-00005157</v>
          </cell>
          <cell r="C122" t="str">
            <v>Душ літн.в збарі металевий</v>
          </cell>
          <cell r="D122" t="str">
            <v>шт</v>
          </cell>
          <cell r="E122">
            <v>3</v>
          </cell>
        </row>
        <row r="123">
          <cell r="B123" t="str">
            <v>00-00005104</v>
          </cell>
          <cell r="C123" t="str">
            <v>Душова кабіна Lidz Wawel SC90*90.SAT.LOW.FR скло 4мм без піддона</v>
          </cell>
          <cell r="D123" t="str">
            <v>шт</v>
          </cell>
          <cell r="E123">
            <v>1</v>
          </cell>
        </row>
        <row r="124">
          <cell r="B124" t="str">
            <v>00-00005396</v>
          </cell>
          <cell r="C124" t="str">
            <v>Душова система</v>
          </cell>
          <cell r="D124" t="str">
            <v>шт</v>
          </cell>
          <cell r="E124">
            <v>1</v>
          </cell>
        </row>
        <row r="125">
          <cell r="B125" t="str">
            <v>00-00005710</v>
          </cell>
          <cell r="C125" t="str">
            <v>Душовий бокс 90х90х215</v>
          </cell>
          <cell r="D125" t="str">
            <v>шт</v>
          </cell>
          <cell r="E125">
            <v>1</v>
          </cell>
        </row>
        <row r="126">
          <cell r="B126" t="str">
            <v>00-00005710</v>
          </cell>
          <cell r="C126" t="str">
            <v>Душовий бокс 90х90х215</v>
          </cell>
          <cell r="D126" t="str">
            <v>шт</v>
          </cell>
          <cell r="E126">
            <v>1</v>
          </cell>
        </row>
        <row r="127">
          <cell r="B127" t="str">
            <v>00-00005710</v>
          </cell>
          <cell r="C127" t="str">
            <v>Душовий бокс 90х90х215</v>
          </cell>
          <cell r="D127" t="str">
            <v>шт</v>
          </cell>
          <cell r="E127">
            <v>1</v>
          </cell>
        </row>
        <row r="128">
          <cell r="B128" t="str">
            <v>00-00005710</v>
          </cell>
          <cell r="C128" t="str">
            <v>Душовий бокс 90х90х215</v>
          </cell>
          <cell r="D128" t="str">
            <v>шт</v>
          </cell>
          <cell r="E128">
            <v>1</v>
          </cell>
        </row>
        <row r="129">
          <cell r="B129" t="str">
            <v>00000021949</v>
          </cell>
          <cell r="C129" t="str">
            <v>Душовий піддон сталевий, 90*90 квадратний</v>
          </cell>
          <cell r="D129" t="str">
            <v>шт</v>
          </cell>
          <cell r="E129">
            <v>2</v>
          </cell>
        </row>
        <row r="130">
          <cell r="B130" t="str">
            <v>00-00005572</v>
          </cell>
          <cell r="C130" t="str">
            <v>Дюбель  6*30</v>
          </cell>
          <cell r="D130" t="str">
            <v>шт</v>
          </cell>
          <cell r="E130">
            <v>300</v>
          </cell>
        </row>
        <row r="131">
          <cell r="B131" t="str">
            <v>00-00005463</v>
          </cell>
          <cell r="C131" t="str">
            <v>Дюбель Дріва з буром 15х23</v>
          </cell>
          <cell r="D131" t="str">
            <v>шт</v>
          </cell>
          <cell r="E131">
            <v>450</v>
          </cell>
        </row>
        <row r="132">
          <cell r="B132" t="str">
            <v>00-00000735</v>
          </cell>
          <cell r="C132" t="str">
            <v>Електричний болер O "Profi VM 080 D400-1-M, 80 л,</v>
          </cell>
          <cell r="D132" t="str">
            <v>шт</v>
          </cell>
          <cell r="E132">
            <v>4</v>
          </cell>
        </row>
        <row r="133">
          <cell r="B133" t="str">
            <v>00-00000094</v>
          </cell>
          <cell r="C133" t="str">
            <v>Електричний водонагрівач O`Pro Slim PC 30, 30л</v>
          </cell>
          <cell r="D133" t="str">
            <v>шт</v>
          </cell>
          <cell r="E133">
            <v>4</v>
          </cell>
        </row>
        <row r="134">
          <cell r="B134" t="str">
            <v>00-00005264</v>
          </cell>
          <cell r="C134" t="str">
            <v>Ємність 1500л харчова</v>
          </cell>
          <cell r="D134" t="str">
            <v>шт</v>
          </cell>
          <cell r="E134">
            <v>1</v>
          </cell>
        </row>
        <row r="135">
          <cell r="B135" t="str">
            <v>00-00005264</v>
          </cell>
          <cell r="C135" t="str">
            <v>Ємність 1500л харчова</v>
          </cell>
          <cell r="D135" t="str">
            <v>шт</v>
          </cell>
          <cell r="E135">
            <v>1</v>
          </cell>
        </row>
        <row r="136">
          <cell r="B136" t="str">
            <v>00000000102</v>
          </cell>
          <cell r="C136" t="str">
            <v>З'єднувач PP-R D=20 mm. х1\2 Н сірий</v>
          </cell>
          <cell r="D136" t="str">
            <v>шт</v>
          </cell>
          <cell r="E136">
            <v>81</v>
          </cell>
        </row>
        <row r="137">
          <cell r="B137" t="str">
            <v>00-00005344</v>
          </cell>
          <cell r="C137" t="str">
            <v>З'єднувач ринви Profil 90 білий</v>
          </cell>
          <cell r="D137" t="str">
            <v>шт</v>
          </cell>
          <cell r="E137">
            <v>10</v>
          </cell>
        </row>
        <row r="138">
          <cell r="B138" t="str">
            <v>00-00005344</v>
          </cell>
          <cell r="C138" t="str">
            <v>З'єднувач ринви Profil 90 білий</v>
          </cell>
          <cell r="D138" t="str">
            <v>шт</v>
          </cell>
          <cell r="E138">
            <v>10</v>
          </cell>
        </row>
        <row r="139">
          <cell r="B139" t="str">
            <v>00-00005344</v>
          </cell>
          <cell r="C139" t="str">
            <v>З'єднувач ринви Profil 90 білий</v>
          </cell>
          <cell r="D139" t="str">
            <v>шт</v>
          </cell>
          <cell r="E139">
            <v>10</v>
          </cell>
        </row>
        <row r="140">
          <cell r="B140" t="str">
            <v>00-00005344</v>
          </cell>
          <cell r="C140" t="str">
            <v>З'єднувач ринви Profil 90 білий</v>
          </cell>
          <cell r="D140" t="str">
            <v>шт</v>
          </cell>
          <cell r="E140">
            <v>2</v>
          </cell>
        </row>
        <row r="141">
          <cell r="B141" t="str">
            <v>00-00005344</v>
          </cell>
          <cell r="C141" t="str">
            <v>З'єднувач ринви Profil 90 білий</v>
          </cell>
          <cell r="D141" t="str">
            <v>шт</v>
          </cell>
          <cell r="E141">
            <v>6</v>
          </cell>
        </row>
        <row r="142">
          <cell r="B142" t="str">
            <v>00-00005423</v>
          </cell>
          <cell r="C142" t="str">
            <v>З'єднувач труби Profil 90 білий</v>
          </cell>
          <cell r="D142" t="str">
            <v>шт</v>
          </cell>
          <cell r="E142">
            <v>4</v>
          </cell>
        </row>
        <row r="143">
          <cell r="B143" t="str">
            <v>00-00005423</v>
          </cell>
          <cell r="C143" t="str">
            <v>З'єднувач труби Profil 90 білий</v>
          </cell>
          <cell r="D143" t="str">
            <v>шт</v>
          </cell>
          <cell r="E143">
            <v>6</v>
          </cell>
        </row>
        <row r="144">
          <cell r="B144" t="str">
            <v>00-00005423</v>
          </cell>
          <cell r="C144" t="str">
            <v>З'єднувач труби Profil 90 білий</v>
          </cell>
          <cell r="D144" t="str">
            <v>шт</v>
          </cell>
          <cell r="E144">
            <v>7</v>
          </cell>
        </row>
        <row r="145">
          <cell r="B145" t="str">
            <v>00-00005423</v>
          </cell>
          <cell r="C145" t="str">
            <v>З'єднувач труби Profil 90 білий</v>
          </cell>
          <cell r="D145" t="str">
            <v>шт</v>
          </cell>
          <cell r="E145">
            <v>7</v>
          </cell>
        </row>
        <row r="146">
          <cell r="B146" t="str">
            <v>00-00005423</v>
          </cell>
          <cell r="C146" t="str">
            <v>З'єднувач труби Profil 90 білий</v>
          </cell>
          <cell r="D146" t="str">
            <v>шт</v>
          </cell>
          <cell r="E146">
            <v>4</v>
          </cell>
        </row>
        <row r="147">
          <cell r="B147" t="str">
            <v>00-00005141</v>
          </cell>
          <cell r="C147" t="str">
            <v>З’єднання з амереканкою РР-R D=20 ммх1/2 В</v>
          </cell>
          <cell r="D147" t="str">
            <v>шт</v>
          </cell>
          <cell r="E147">
            <v>12</v>
          </cell>
        </row>
        <row r="148">
          <cell r="B148" t="str">
            <v>00-00005140</v>
          </cell>
          <cell r="C148" t="str">
            <v>З’єднання з амереканкою РР-R D=20 ммх1/2 Н</v>
          </cell>
          <cell r="D148" t="str">
            <v>шт</v>
          </cell>
          <cell r="E148">
            <v>12</v>
          </cell>
        </row>
        <row r="149">
          <cell r="B149" t="str">
            <v>00-00005371</v>
          </cell>
          <cell r="C149" t="str">
            <v xml:space="preserve">Заглушка 40х40 </v>
          </cell>
          <cell r="D149" t="str">
            <v>шт</v>
          </cell>
          <cell r="E149">
            <v>64</v>
          </cell>
        </row>
        <row r="150">
          <cell r="B150" t="str">
            <v>00000021688</v>
          </cell>
          <cell r="C150" t="str">
            <v>Заглушка D=110 мм 3917400090</v>
          </cell>
          <cell r="D150" t="str">
            <v>шт</v>
          </cell>
          <cell r="E150">
            <v>8</v>
          </cell>
        </row>
        <row r="151">
          <cell r="B151" t="str">
            <v>00-00005847</v>
          </cell>
          <cell r="C151" t="str">
            <v>Заглушка для профільної труби 40*40</v>
          </cell>
          <cell r="D151" t="str">
            <v>шт</v>
          </cell>
          <cell r="E151">
            <v>600</v>
          </cell>
        </row>
        <row r="152">
          <cell r="B152" t="str">
            <v>00-00005057</v>
          </cell>
          <cell r="C152" t="str">
            <v>Захист від перенапруги D50</v>
          </cell>
          <cell r="D152" t="str">
            <v>шт</v>
          </cell>
          <cell r="E152">
            <v>4</v>
          </cell>
        </row>
        <row r="153">
          <cell r="B153" t="str">
            <v>00-00005184</v>
          </cell>
          <cell r="C153" t="str">
            <v>Змішувач  для умивальника, хром</v>
          </cell>
          <cell r="D153" t="str">
            <v>шт</v>
          </cell>
          <cell r="E153">
            <v>15</v>
          </cell>
        </row>
        <row r="154">
          <cell r="B154" t="str">
            <v>00-00004241</v>
          </cell>
          <cell r="C154" t="str">
            <v>Канал Д 100/1 1010</v>
          </cell>
          <cell r="D154" t="str">
            <v>шт</v>
          </cell>
          <cell r="E154">
            <v>24</v>
          </cell>
        </row>
        <row r="155">
          <cell r="B155" t="str">
            <v>00-00005035</v>
          </cell>
          <cell r="C155" t="str">
            <v>Килимок 80х120</v>
          </cell>
          <cell r="D155" t="str">
            <v>шт</v>
          </cell>
          <cell r="E155">
            <v>1</v>
          </cell>
        </row>
        <row r="156">
          <cell r="B156" t="str">
            <v>00-00005035</v>
          </cell>
          <cell r="C156" t="str">
            <v>Килимок 80х120</v>
          </cell>
          <cell r="D156" t="str">
            <v>шт</v>
          </cell>
          <cell r="E156">
            <v>4</v>
          </cell>
        </row>
        <row r="157">
          <cell r="B157" t="str">
            <v>00-00005945</v>
          </cell>
          <cell r="C157" t="str">
            <v>Кільце бетонне з днищем КЦД-15-9</v>
          </cell>
          <cell r="D157" t="str">
            <v>шт</v>
          </cell>
          <cell r="E157">
            <v>2</v>
          </cell>
        </row>
        <row r="158">
          <cell r="B158" t="str">
            <v>00-00005945</v>
          </cell>
          <cell r="C158" t="str">
            <v>Кільце бетонне з днищем КЦД-15-9</v>
          </cell>
          <cell r="D158" t="str">
            <v>шт</v>
          </cell>
          <cell r="E158">
            <v>2</v>
          </cell>
        </row>
        <row r="159">
          <cell r="B159" t="str">
            <v>00-00005945</v>
          </cell>
          <cell r="C159" t="str">
            <v>Кільце бетонне з днищем КЦД-15-9</v>
          </cell>
          <cell r="D159" t="str">
            <v>шт</v>
          </cell>
          <cell r="E159">
            <v>1</v>
          </cell>
        </row>
        <row r="160">
          <cell r="B160" t="str">
            <v>00-00005944</v>
          </cell>
          <cell r="C160" t="str">
            <v>Кільце бетонне КС-15-9</v>
          </cell>
          <cell r="D160" t="str">
            <v>шт</v>
          </cell>
          <cell r="E160">
            <v>1</v>
          </cell>
        </row>
        <row r="161">
          <cell r="B161" t="str">
            <v>00-00005944</v>
          </cell>
          <cell r="C161" t="str">
            <v>Кільце бетонне КС-15-9</v>
          </cell>
          <cell r="D161" t="str">
            <v>шт</v>
          </cell>
          <cell r="E161">
            <v>1</v>
          </cell>
        </row>
        <row r="162">
          <cell r="B162" t="str">
            <v>00-00005944</v>
          </cell>
          <cell r="C162" t="str">
            <v>Кільце бетонне КС-15-9</v>
          </cell>
          <cell r="D162" t="str">
            <v>шт</v>
          </cell>
          <cell r="E162">
            <v>1</v>
          </cell>
        </row>
        <row r="163">
          <cell r="B163" t="str">
            <v>00000021201</v>
          </cell>
          <cell r="C163" t="str">
            <v>Клапан зворотній 1/2*</v>
          </cell>
          <cell r="D163" t="str">
            <v>шт</v>
          </cell>
          <cell r="E163">
            <v>4</v>
          </cell>
        </row>
        <row r="164">
          <cell r="B164" t="str">
            <v>00-00004976</v>
          </cell>
          <cell r="C164" t="str">
            <v>Клей для напольного покриття 12кг</v>
          </cell>
          <cell r="D164" t="str">
            <v>шт</v>
          </cell>
          <cell r="E164">
            <v>3</v>
          </cell>
        </row>
        <row r="165">
          <cell r="B165" t="str">
            <v>00-00004644</v>
          </cell>
          <cell r="C165" t="str">
            <v>Клей монтаж 400г</v>
          </cell>
          <cell r="D165" t="str">
            <v>шт</v>
          </cell>
          <cell r="E165">
            <v>13</v>
          </cell>
        </row>
        <row r="166">
          <cell r="B166" t="str">
            <v>00-00005025</v>
          </cell>
          <cell r="C166" t="str">
            <v>Клей монтажний, 3 кг</v>
          </cell>
          <cell r="D166" t="str">
            <v>шт</v>
          </cell>
          <cell r="E166">
            <v>1</v>
          </cell>
        </row>
        <row r="167">
          <cell r="B167" t="str">
            <v>00-00005769</v>
          </cell>
          <cell r="C167" t="str">
            <v>Клей монтажний, 440 г</v>
          </cell>
          <cell r="D167" t="str">
            <v>шт</v>
          </cell>
          <cell r="E167">
            <v>15</v>
          </cell>
        </row>
        <row r="168">
          <cell r="B168" t="str">
            <v>00000014244</v>
          </cell>
          <cell r="C168" t="str">
            <v>Клей-піна монтажна , 860 мл</v>
          </cell>
          <cell r="D168" t="str">
            <v>шт</v>
          </cell>
          <cell r="E168">
            <v>20</v>
          </cell>
        </row>
        <row r="169">
          <cell r="B169" t="str">
            <v>00000013658</v>
          </cell>
          <cell r="C169" t="str">
            <v>Клей-піна, 860 мл</v>
          </cell>
          <cell r="D169" t="str">
            <v>шт</v>
          </cell>
          <cell r="E169">
            <v>5</v>
          </cell>
        </row>
        <row r="170">
          <cell r="B170" t="str">
            <v>00000013658</v>
          </cell>
          <cell r="C170" t="str">
            <v>Клей-піна, 860 мл</v>
          </cell>
          <cell r="D170" t="str">
            <v>шт</v>
          </cell>
          <cell r="E170">
            <v>4</v>
          </cell>
        </row>
        <row r="171">
          <cell r="B171" t="str">
            <v>00-00005047</v>
          </cell>
          <cell r="C171" t="str">
            <v>Клема з'єднувальна WGn-2</v>
          </cell>
          <cell r="D171" t="str">
            <v>шт</v>
          </cell>
          <cell r="E171">
            <v>272</v>
          </cell>
        </row>
        <row r="172">
          <cell r="B172" t="str">
            <v>00-00005048</v>
          </cell>
          <cell r="C172" t="str">
            <v>Клема з'єднувальна WGn-3</v>
          </cell>
          <cell r="D172" t="str">
            <v>шт</v>
          </cell>
          <cell r="E172">
            <v>136</v>
          </cell>
        </row>
        <row r="173">
          <cell r="B173" t="str">
            <v>00-00005049</v>
          </cell>
          <cell r="C173" t="str">
            <v>Клема з'єднувальна WGn-5</v>
          </cell>
          <cell r="D173" t="str">
            <v>шт</v>
          </cell>
          <cell r="E173">
            <v>99</v>
          </cell>
        </row>
        <row r="174">
          <cell r="B174" t="str">
            <v>00-00005969</v>
          </cell>
          <cell r="C174" t="str">
            <v>Коліно Profil 75 біле</v>
          </cell>
          <cell r="D174" t="str">
            <v>шт</v>
          </cell>
          <cell r="E174">
            <v>6</v>
          </cell>
        </row>
        <row r="175">
          <cell r="B175" t="str">
            <v>00-00005969</v>
          </cell>
          <cell r="C175" t="str">
            <v>Коліно Profil 75 біле</v>
          </cell>
          <cell r="D175" t="str">
            <v>шт</v>
          </cell>
          <cell r="E175">
            <v>4</v>
          </cell>
        </row>
        <row r="176">
          <cell r="B176" t="str">
            <v>00-00005969</v>
          </cell>
          <cell r="C176" t="str">
            <v>Коліно Profil 75 біле</v>
          </cell>
          <cell r="D176" t="str">
            <v>шт</v>
          </cell>
          <cell r="E176">
            <v>7</v>
          </cell>
        </row>
        <row r="177">
          <cell r="B177" t="str">
            <v>00-00005969</v>
          </cell>
          <cell r="C177" t="str">
            <v>Коліно Profil 75 біле</v>
          </cell>
          <cell r="D177" t="str">
            <v>шт</v>
          </cell>
          <cell r="E177">
            <v>7</v>
          </cell>
        </row>
        <row r="178">
          <cell r="B178" t="str">
            <v>00000019376</v>
          </cell>
          <cell r="C178" t="str">
            <v>Комплект (гайка+ніпель) для місткості для води, 1" 3925908000</v>
          </cell>
          <cell r="D178" t="str">
            <v>шт</v>
          </cell>
          <cell r="E178">
            <v>4</v>
          </cell>
        </row>
        <row r="179">
          <cell r="B179" t="str">
            <v>00-00002340</v>
          </cell>
          <cell r="C179" t="str">
            <v>Комплект для підключення змішувача PP-R D=20 мм х1\2 сірий</v>
          </cell>
          <cell r="D179" t="str">
            <v>шт</v>
          </cell>
          <cell r="E179">
            <v>5</v>
          </cell>
        </row>
        <row r="180">
          <cell r="B180" t="str">
            <v>00-00005056</v>
          </cell>
          <cell r="C180" t="str">
            <v>Комплект для теплої підлоги №4</v>
          </cell>
          <cell r="D180" t="str">
            <v>шт</v>
          </cell>
          <cell r="E180">
            <v>4</v>
          </cell>
        </row>
        <row r="181">
          <cell r="B181" t="str">
            <v>00-00005138</v>
          </cell>
          <cell r="C181" t="str">
            <v>Комплект кріплення труб 104-112 мм</v>
          </cell>
          <cell r="D181" t="str">
            <v>шт</v>
          </cell>
          <cell r="E181">
            <v>16</v>
          </cell>
        </row>
        <row r="182">
          <cell r="B182" t="str">
            <v>00-00002505</v>
          </cell>
          <cell r="C182" t="str">
            <v>Комплект кріплення труб 31-37мм 1"</v>
          </cell>
          <cell r="D182" t="str">
            <v>шт</v>
          </cell>
          <cell r="E182">
            <v>86</v>
          </cell>
        </row>
        <row r="183">
          <cell r="B183" t="str">
            <v>00-00002506</v>
          </cell>
          <cell r="C183" t="str">
            <v>Комплект кріплення труб 47-52мм 1 1/2"</v>
          </cell>
          <cell r="D183" t="str">
            <v>шт</v>
          </cell>
          <cell r="E183">
            <v>7</v>
          </cell>
        </row>
        <row r="184">
          <cell r="B184" t="str">
            <v>00-00003602</v>
          </cell>
          <cell r="C184" t="str">
            <v xml:space="preserve">Кондиціонер </v>
          </cell>
          <cell r="D184" t="str">
            <v>шт</v>
          </cell>
          <cell r="E184">
            <v>1</v>
          </cell>
        </row>
        <row r="185">
          <cell r="B185" t="str">
            <v>00-00003602</v>
          </cell>
          <cell r="C185" t="str">
            <v xml:space="preserve">Кондиціонер </v>
          </cell>
          <cell r="D185" t="str">
            <v>шт</v>
          </cell>
          <cell r="E185">
            <v>1</v>
          </cell>
        </row>
        <row r="186">
          <cell r="B186" t="str">
            <v>00-00003602</v>
          </cell>
          <cell r="C186" t="str">
            <v xml:space="preserve">Кондиціонер </v>
          </cell>
          <cell r="D186" t="str">
            <v>шт</v>
          </cell>
          <cell r="E186">
            <v>2</v>
          </cell>
        </row>
        <row r="187">
          <cell r="B187" t="str">
            <v>00-00003602</v>
          </cell>
          <cell r="C187" t="str">
            <v xml:space="preserve">Кондиціонер </v>
          </cell>
          <cell r="D187" t="str">
            <v>шт</v>
          </cell>
          <cell r="E187">
            <v>2</v>
          </cell>
        </row>
        <row r="188">
          <cell r="B188" t="str">
            <v>00-00005050</v>
          </cell>
          <cell r="C188" t="str">
            <v>Коробка монтажна 65*45</v>
          </cell>
          <cell r="D188" t="str">
            <v>шт</v>
          </cell>
          <cell r="E188">
            <v>166</v>
          </cell>
        </row>
        <row r="189">
          <cell r="B189" t="str">
            <v>00-00005046</v>
          </cell>
          <cell r="C189" t="str">
            <v>Коробка розподільча 100х100х45</v>
          </cell>
          <cell r="D189" t="str">
            <v>шт</v>
          </cell>
          <cell r="E189">
            <v>48</v>
          </cell>
        </row>
        <row r="190">
          <cell r="B190" t="str">
            <v>00000021881</v>
          </cell>
          <cell r="C190" t="str">
            <v>Коробка установча гіпсокартон д=68 синя/зелена</v>
          </cell>
          <cell r="D190" t="str">
            <v>шт</v>
          </cell>
          <cell r="E190">
            <v>15</v>
          </cell>
        </row>
        <row r="191">
          <cell r="B191" t="str">
            <v>00000021939</v>
          </cell>
          <cell r="C191" t="str">
            <v>Кран кульовий 3В 1/2", "метелик" 8481808100</v>
          </cell>
          <cell r="D191" t="str">
            <v>шт</v>
          </cell>
          <cell r="E191">
            <v>56</v>
          </cell>
        </row>
        <row r="192">
          <cell r="B192" t="str">
            <v>00-00005418</v>
          </cell>
          <cell r="C192" t="str">
            <v>Кран кульовий ПЕ затискний d25</v>
          </cell>
          <cell r="D192" t="str">
            <v>шт</v>
          </cell>
          <cell r="E192">
            <v>4</v>
          </cell>
        </row>
        <row r="193">
          <cell r="B193" t="str">
            <v>00-00005853</v>
          </cell>
          <cell r="C193" t="str">
            <v>Кріплення для змішувача</v>
          </cell>
          <cell r="D193" t="str">
            <v>шт</v>
          </cell>
          <cell r="E193">
            <v>25</v>
          </cell>
        </row>
        <row r="194">
          <cell r="B194" t="str">
            <v>00-00000365</v>
          </cell>
          <cell r="C194" t="str">
            <v>Кріплення умивальника до стіни (з ексцентриками і болт.8х120мм )</v>
          </cell>
          <cell r="D194" t="str">
            <v>шт</v>
          </cell>
          <cell r="E194">
            <v>25</v>
          </cell>
        </row>
        <row r="195">
          <cell r="B195" t="str">
            <v>00-00005169</v>
          </cell>
          <cell r="C195" t="str">
            <v>Кутик 32*32*3мм ст.3пс</v>
          </cell>
          <cell r="D195" t="str">
            <v>пог.м</v>
          </cell>
          <cell r="E195">
            <v>16</v>
          </cell>
        </row>
        <row r="196">
          <cell r="B196" t="str">
            <v>00-00005169</v>
          </cell>
          <cell r="C196" t="str">
            <v>Кутик 32*32*3мм ст.3пс</v>
          </cell>
          <cell r="D196" t="str">
            <v>пог.м</v>
          </cell>
          <cell r="E196">
            <v>35.82</v>
          </cell>
        </row>
        <row r="197">
          <cell r="B197" t="str">
            <v>00-00005169</v>
          </cell>
          <cell r="C197" t="str">
            <v>Кутик 32*32*3мм ст.3пс</v>
          </cell>
          <cell r="D197" t="str">
            <v>пог.м</v>
          </cell>
          <cell r="E197">
            <v>4.25</v>
          </cell>
        </row>
        <row r="198">
          <cell r="B198" t="str">
            <v>00-00005152</v>
          </cell>
          <cell r="C198" t="str">
            <v>Кутник  декоративний 30х30</v>
          </cell>
          <cell r="D198" t="str">
            <v>шт</v>
          </cell>
          <cell r="E198">
            <v>50</v>
          </cell>
        </row>
        <row r="199">
          <cell r="B199" t="str">
            <v>00-00005152</v>
          </cell>
          <cell r="C199" t="str">
            <v>Кутник  декоративний 30х30</v>
          </cell>
          <cell r="D199" t="str">
            <v>шт</v>
          </cell>
          <cell r="E199">
            <v>40</v>
          </cell>
        </row>
        <row r="200">
          <cell r="B200" t="str">
            <v>00-00005153</v>
          </cell>
          <cell r="C200" t="str">
            <v>Кутник  декоративний 50х50</v>
          </cell>
          <cell r="D200" t="str">
            <v>шт</v>
          </cell>
          <cell r="E200">
            <v>49</v>
          </cell>
        </row>
        <row r="201">
          <cell r="B201" t="str">
            <v>00-00005153</v>
          </cell>
          <cell r="C201" t="str">
            <v>Кутник  декоративний 50х50</v>
          </cell>
          <cell r="D201" t="str">
            <v>шт</v>
          </cell>
          <cell r="E201">
            <v>8</v>
          </cell>
        </row>
        <row r="202">
          <cell r="B202" t="str">
            <v>00000003519</v>
          </cell>
          <cell r="C202" t="str">
            <v>Кутник 32х32х3</v>
          </cell>
          <cell r="D202" t="str">
            <v>т</v>
          </cell>
          <cell r="E202">
            <v>0.08</v>
          </cell>
        </row>
        <row r="203">
          <cell r="B203" t="str">
            <v>00000000106</v>
          </cell>
          <cell r="C203" t="str">
            <v>Куточок 90 PP-R D=20 mm сірий</v>
          </cell>
          <cell r="D203" t="str">
            <v>шт</v>
          </cell>
          <cell r="E203">
            <v>126</v>
          </cell>
        </row>
        <row r="204">
          <cell r="B204" t="str">
            <v>00-00005587</v>
          </cell>
          <cell r="C204" t="str">
            <v>Куточок, D=25 мм ВВ</v>
          </cell>
          <cell r="D204" t="str">
            <v>шт</v>
          </cell>
          <cell r="E204">
            <v>5</v>
          </cell>
        </row>
        <row r="205">
          <cell r="B205" t="str">
            <v>00000009893</v>
          </cell>
          <cell r="C205" t="str">
            <v>Лампа світлодіодна LED E27 15W 220</v>
          </cell>
          <cell r="D205" t="str">
            <v>шт</v>
          </cell>
          <cell r="E205">
            <v>4</v>
          </cell>
        </row>
        <row r="206">
          <cell r="B206" t="str">
            <v>00000006813</v>
          </cell>
          <cell r="C206" t="str">
            <v>Лист  4 мм</v>
          </cell>
          <cell r="D206" t="str">
            <v xml:space="preserve"> т</v>
          </cell>
          <cell r="E206">
            <v>0.14399999999999999</v>
          </cell>
        </row>
        <row r="207">
          <cell r="B207" t="str">
            <v>00000003893</v>
          </cell>
          <cell r="C207" t="str">
            <v>Лист  4*1250*2500 3 сп/пс 5</v>
          </cell>
          <cell r="D207" t="str">
            <v xml:space="preserve"> т</v>
          </cell>
          <cell r="E207">
            <v>0.3</v>
          </cell>
        </row>
        <row r="208">
          <cell r="B208" t="str">
            <v>00000003893</v>
          </cell>
          <cell r="C208" t="str">
            <v>Лист  4*1250*2500 3 сп/пс 5</v>
          </cell>
          <cell r="D208" t="str">
            <v xml:space="preserve"> т</v>
          </cell>
          <cell r="E208">
            <v>0.48</v>
          </cell>
        </row>
        <row r="209">
          <cell r="B209" t="str">
            <v>00000003893</v>
          </cell>
          <cell r="C209" t="str">
            <v>Лист  4*1250*2500 3 сп/пс 5</v>
          </cell>
          <cell r="D209" t="str">
            <v xml:space="preserve"> т</v>
          </cell>
          <cell r="E209">
            <v>3.2000000000000001E-2</v>
          </cell>
        </row>
        <row r="210">
          <cell r="B210" t="str">
            <v>00000004469</v>
          </cell>
          <cell r="C210" t="str">
            <v>Лист  8</v>
          </cell>
          <cell r="D210" t="str">
            <v xml:space="preserve"> т</v>
          </cell>
          <cell r="E210">
            <v>0.2</v>
          </cell>
        </row>
        <row r="211">
          <cell r="B211" t="str">
            <v>00000006597</v>
          </cell>
          <cell r="C211" t="str">
            <v xml:space="preserve">Лист  8*1500*6000 </v>
          </cell>
          <cell r="D211" t="str">
            <v xml:space="preserve"> т</v>
          </cell>
          <cell r="E211">
            <v>1.7749999999999999</v>
          </cell>
        </row>
        <row r="212">
          <cell r="B212" t="str">
            <v>00000006597</v>
          </cell>
          <cell r="C212" t="str">
            <v xml:space="preserve">Лист  8*1500*6000 </v>
          </cell>
          <cell r="D212" t="str">
            <v xml:space="preserve"> т</v>
          </cell>
          <cell r="E212">
            <v>1.1319999999999999</v>
          </cell>
        </row>
        <row r="213">
          <cell r="B213" t="str">
            <v>00000017298</v>
          </cell>
          <cell r="C213" t="str">
            <v>Лист 14 (г.к)(1,5х6)imp ((1,5*6,0) S235JR)</v>
          </cell>
          <cell r="D213" t="str">
            <v xml:space="preserve"> т</v>
          </cell>
          <cell r="E213">
            <v>0.1</v>
          </cell>
        </row>
        <row r="214">
          <cell r="B214" t="str">
            <v>00-00005392</v>
          </cell>
          <cell r="C214" t="str">
            <v xml:space="preserve">Лист 3 (г.к)  (1,5х3) </v>
          </cell>
          <cell r="D214" t="str">
            <v xml:space="preserve"> т</v>
          </cell>
          <cell r="E214">
            <v>0.22500000000000001</v>
          </cell>
        </row>
        <row r="215">
          <cell r="B215" t="str">
            <v>00-00005392</v>
          </cell>
          <cell r="C215" t="str">
            <v xml:space="preserve">Лист 3 (г.к)  (1,5х3) </v>
          </cell>
          <cell r="D215" t="str">
            <v xml:space="preserve"> т</v>
          </cell>
          <cell r="E215">
            <v>0.158</v>
          </cell>
        </row>
        <row r="216">
          <cell r="B216" t="str">
            <v>00000017403</v>
          </cell>
          <cell r="C216" t="str">
            <v>Лист 6 (г.к)  (1,5х6) ((1,5*6,0) 14637 3сп5)</v>
          </cell>
          <cell r="D216" t="str">
            <v xml:space="preserve"> т</v>
          </cell>
          <cell r="E216">
            <v>1.4999999999999999E-2</v>
          </cell>
        </row>
        <row r="217">
          <cell r="B217" t="str">
            <v>00000017403</v>
          </cell>
          <cell r="C217" t="str">
            <v>Лист 6 (г.к)  (1,5х6) ((1,5*6,0) 14637 3сп5)</v>
          </cell>
          <cell r="D217" t="str">
            <v xml:space="preserve"> т</v>
          </cell>
          <cell r="E217">
            <v>1.512</v>
          </cell>
        </row>
        <row r="218">
          <cell r="B218" t="str">
            <v>00000004057</v>
          </cell>
          <cell r="C218" t="str">
            <v>Лист ПВЛ 406</v>
          </cell>
          <cell r="D218" t="str">
            <v xml:space="preserve"> т</v>
          </cell>
          <cell r="E218">
            <v>0.255</v>
          </cell>
        </row>
        <row r="219">
          <cell r="B219" t="str">
            <v>00000004057</v>
          </cell>
          <cell r="C219" t="str">
            <v>Лист ПВЛ 406</v>
          </cell>
          <cell r="D219" t="str">
            <v xml:space="preserve"> т</v>
          </cell>
          <cell r="E219">
            <v>0.20499999999999999</v>
          </cell>
        </row>
        <row r="220">
          <cell r="B220" t="str">
            <v>00-00005336</v>
          </cell>
          <cell r="C220" t="str">
            <v>Лійка ліва 90 біла</v>
          </cell>
          <cell r="D220" t="str">
            <v>шт</v>
          </cell>
          <cell r="E220">
            <v>2</v>
          </cell>
        </row>
        <row r="221">
          <cell r="B221" t="str">
            <v>00-00005336</v>
          </cell>
          <cell r="C221" t="str">
            <v>Лійка ліва 90 біла</v>
          </cell>
          <cell r="D221" t="str">
            <v>шт</v>
          </cell>
          <cell r="E221">
            <v>3</v>
          </cell>
        </row>
        <row r="222">
          <cell r="B222" t="str">
            <v>00-00005336</v>
          </cell>
          <cell r="C222" t="str">
            <v>Лійка ліва 90 біла</v>
          </cell>
          <cell r="D222" t="str">
            <v>шт</v>
          </cell>
          <cell r="E222">
            <v>3</v>
          </cell>
        </row>
        <row r="223">
          <cell r="B223" t="str">
            <v>00-00005336</v>
          </cell>
          <cell r="C223" t="str">
            <v>Лійка ліва 90 біла</v>
          </cell>
          <cell r="D223" t="str">
            <v>шт</v>
          </cell>
          <cell r="E223">
            <v>4</v>
          </cell>
        </row>
        <row r="224">
          <cell r="B224" t="str">
            <v>00-00005337</v>
          </cell>
          <cell r="C224" t="str">
            <v>Лійка права 90 біла</v>
          </cell>
          <cell r="D224" t="str">
            <v>шт</v>
          </cell>
          <cell r="E224">
            <v>4</v>
          </cell>
        </row>
        <row r="225">
          <cell r="B225" t="str">
            <v>00-00005337</v>
          </cell>
          <cell r="C225" t="str">
            <v>Лійка права 90 біла</v>
          </cell>
          <cell r="D225" t="str">
            <v>шт</v>
          </cell>
          <cell r="E225">
            <v>3</v>
          </cell>
        </row>
        <row r="226">
          <cell r="B226" t="str">
            <v>00-00005337</v>
          </cell>
          <cell r="C226" t="str">
            <v>Лійка права 90 біла</v>
          </cell>
          <cell r="D226" t="str">
            <v>шт</v>
          </cell>
          <cell r="E226">
            <v>3</v>
          </cell>
        </row>
        <row r="227">
          <cell r="B227" t="str">
            <v>00-00005337</v>
          </cell>
          <cell r="C227" t="str">
            <v>Лійка права 90 біла</v>
          </cell>
          <cell r="D227" t="str">
            <v>шт</v>
          </cell>
          <cell r="E227">
            <v>2</v>
          </cell>
        </row>
        <row r="228">
          <cell r="B228" t="str">
            <v>00-00005441</v>
          </cell>
          <cell r="C228" t="str">
            <v>Люк садовий 73х5 см</v>
          </cell>
          <cell r="D228" t="str">
            <v>шт</v>
          </cell>
          <cell r="E228">
            <v>2</v>
          </cell>
        </row>
        <row r="229">
          <cell r="B229" t="str">
            <v>00-00004975</v>
          </cell>
          <cell r="C229" t="str">
            <v>Мембрана дахова</v>
          </cell>
          <cell r="D229" t="str">
            <v>шт</v>
          </cell>
          <cell r="E229">
            <v>3</v>
          </cell>
        </row>
        <row r="230">
          <cell r="B230" t="str">
            <v>00-00005189</v>
          </cell>
          <cell r="C230" t="str">
            <v>Металопластикова конструкція</v>
          </cell>
          <cell r="D230" t="str">
            <v>м кв</v>
          </cell>
          <cell r="E230">
            <v>9.202</v>
          </cell>
        </row>
        <row r="231">
          <cell r="B231" t="str">
            <v>00-00005419</v>
          </cell>
          <cell r="C231" t="str">
            <v>Муфта ПЕ 25*1" З</v>
          </cell>
          <cell r="D231" t="str">
            <v>шт</v>
          </cell>
          <cell r="E231">
            <v>4</v>
          </cell>
        </row>
        <row r="232">
          <cell r="B232" t="str">
            <v>00000019338</v>
          </cell>
          <cell r="C232" t="str">
            <v>Муфта, PP-R, D=20 мм, сіра 3917400090</v>
          </cell>
          <cell r="D232" t="str">
            <v>шт</v>
          </cell>
          <cell r="E232">
            <v>45</v>
          </cell>
        </row>
        <row r="233">
          <cell r="B233" t="str">
            <v>00-00005182</v>
          </cell>
          <cell r="C233" t="str">
            <v>Насосна станція</v>
          </cell>
          <cell r="D233" t="str">
            <v>шт</v>
          </cell>
          <cell r="E233">
            <v>1</v>
          </cell>
        </row>
        <row r="234">
          <cell r="B234" t="str">
            <v>00000000345</v>
          </cell>
          <cell r="C234" t="str">
            <v>Ніпель латунний, 1\2"</v>
          </cell>
          <cell r="D234" t="str">
            <v>шт</v>
          </cell>
          <cell r="E234">
            <v>58</v>
          </cell>
        </row>
        <row r="235">
          <cell r="B235" t="str">
            <v>00000000107</v>
          </cell>
          <cell r="C235" t="str">
            <v>Обвідне коліно PP-R D=20 mm сірий</v>
          </cell>
          <cell r="D235" t="str">
            <v>шт</v>
          </cell>
          <cell r="E235">
            <v>5</v>
          </cell>
        </row>
        <row r="236">
          <cell r="B236" t="str">
            <v>00000016131</v>
          </cell>
          <cell r="C236" t="str">
            <v xml:space="preserve">Олива моторна  </v>
          </cell>
          <cell r="D236" t="str">
            <v>шт</v>
          </cell>
          <cell r="E236">
            <v>12</v>
          </cell>
        </row>
        <row r="237">
          <cell r="B237" t="str">
            <v>00-00005673</v>
          </cell>
          <cell r="C237" t="str">
            <v>Олива моторна напівсинтетична 4Т 1л</v>
          </cell>
          <cell r="D237" t="str">
            <v>шт</v>
          </cell>
          <cell r="E237">
            <v>11</v>
          </cell>
        </row>
        <row r="238">
          <cell r="B238" t="str">
            <v>00-00004998</v>
          </cell>
          <cell r="C238" t="str">
            <v>Опромінювач бактерицидний</v>
          </cell>
          <cell r="D238" t="str">
            <v>шт</v>
          </cell>
          <cell r="E238">
            <v>4</v>
          </cell>
        </row>
        <row r="239">
          <cell r="B239" t="str">
            <v>00-00004769</v>
          </cell>
          <cell r="C239" t="str">
            <v>Панель ПВХ 250ммх8ммх6000мм</v>
          </cell>
          <cell r="D239" t="str">
            <v>м кв</v>
          </cell>
          <cell r="E239">
            <v>183</v>
          </cell>
        </row>
        <row r="240">
          <cell r="B240" t="str">
            <v>00000022343</v>
          </cell>
          <cell r="C240" t="str">
            <v>Паробар'єр армир. 1,5*44</v>
          </cell>
          <cell r="D240" t="str">
            <v>м кв</v>
          </cell>
          <cell r="E240">
            <v>49</v>
          </cell>
        </row>
        <row r="241">
          <cell r="B241" t="str">
            <v>00000019330</v>
          </cell>
          <cell r="C241" t="str">
            <v>Перехід ексентричний D=50/32 мм 3917400090</v>
          </cell>
          <cell r="D241" t="str">
            <v>шт</v>
          </cell>
          <cell r="E241">
            <v>8</v>
          </cell>
        </row>
        <row r="242">
          <cell r="B242" t="str">
            <v>00-00000555</v>
          </cell>
          <cell r="C242" t="str">
            <v xml:space="preserve">Перехід ексцентричний D=110/50 мм </v>
          </cell>
          <cell r="D242" t="str">
            <v>шт</v>
          </cell>
          <cell r="E242">
            <v>8</v>
          </cell>
        </row>
        <row r="243">
          <cell r="B243" t="str">
            <v>00-00005585</v>
          </cell>
          <cell r="C243" t="str">
            <v>Перехідник  D=25мм*1 B</v>
          </cell>
          <cell r="D243" t="str">
            <v>шт</v>
          </cell>
          <cell r="E243">
            <v>3</v>
          </cell>
        </row>
        <row r="244">
          <cell r="B244" t="str">
            <v>00-00005589</v>
          </cell>
          <cell r="C244" t="str">
            <v>Перехідник  D=25мм*1 Н</v>
          </cell>
          <cell r="D244" t="str">
            <v>шт</v>
          </cell>
          <cell r="E244">
            <v>3</v>
          </cell>
        </row>
        <row r="245">
          <cell r="B245" t="str">
            <v>00-00005142</v>
          </cell>
          <cell r="C245" t="str">
            <v>Перехідник  D=25мм*1/2 B</v>
          </cell>
          <cell r="D245" t="str">
            <v>шт</v>
          </cell>
          <cell r="E245">
            <v>8</v>
          </cell>
        </row>
        <row r="246">
          <cell r="B246" t="str">
            <v>00-00005588</v>
          </cell>
          <cell r="C246" t="str">
            <v>Перехідник латунний 3В 1* 1\2</v>
          </cell>
          <cell r="D246" t="str">
            <v>шт</v>
          </cell>
          <cell r="E246">
            <v>7</v>
          </cell>
        </row>
        <row r="247">
          <cell r="B247" t="str">
            <v>00000000085</v>
          </cell>
          <cell r="C247" t="str">
            <v>Перехідник латунний 3В 3\4* 1\2</v>
          </cell>
          <cell r="D247" t="str">
            <v>шт</v>
          </cell>
          <cell r="E247">
            <v>8</v>
          </cell>
        </row>
        <row r="248">
          <cell r="B248" t="str">
            <v>00000000477</v>
          </cell>
          <cell r="C248" t="str">
            <v>Петля виточена d=20мм (для воріт)</v>
          </cell>
          <cell r="D248" t="str">
            <v>шт</v>
          </cell>
          <cell r="E248">
            <v>10</v>
          </cell>
        </row>
        <row r="249">
          <cell r="B249" t="str">
            <v>00000000477</v>
          </cell>
          <cell r="C249" t="str">
            <v>Петля виточена d=20мм (для воріт)</v>
          </cell>
          <cell r="D249" t="str">
            <v>шт</v>
          </cell>
          <cell r="E249">
            <v>20</v>
          </cell>
        </row>
        <row r="250">
          <cell r="B250" t="str">
            <v>00-00005452</v>
          </cell>
          <cell r="C250" t="str">
            <v>Підп’ятник стелажу СТ Г-подібний пластиковий</v>
          </cell>
          <cell r="D250" t="str">
            <v>шт</v>
          </cell>
          <cell r="E250">
            <v>8</v>
          </cell>
        </row>
        <row r="251">
          <cell r="B251" t="str">
            <v>00-00005452</v>
          </cell>
          <cell r="C251" t="str">
            <v>Підп’ятник стелажу СТ Г-подібний пластиковий</v>
          </cell>
          <cell r="D251" t="str">
            <v>шт</v>
          </cell>
          <cell r="E251">
            <v>32</v>
          </cell>
        </row>
        <row r="252">
          <cell r="B252" t="str">
            <v>00000006591</v>
          </cell>
          <cell r="C252" t="str">
            <v xml:space="preserve">Піна монтажна  880 мл </v>
          </cell>
          <cell r="D252" t="str">
            <v>шт</v>
          </cell>
          <cell r="E252">
            <v>10</v>
          </cell>
        </row>
        <row r="253">
          <cell r="B253" t="str">
            <v>00000010992</v>
          </cell>
          <cell r="C253" t="str">
            <v xml:space="preserve">Піна монтажна Монтажник 500 мл </v>
          </cell>
          <cell r="D253" t="str">
            <v>шт</v>
          </cell>
          <cell r="E253">
            <v>14</v>
          </cell>
        </row>
        <row r="254">
          <cell r="B254" t="str">
            <v>00-00005156</v>
          </cell>
          <cell r="C254" t="str">
            <v>Пінополістерол (100мм) XPS ПСЕ-40 1,2х6 (уп 4шт)</v>
          </cell>
          <cell r="D254" t="str">
            <v>шт</v>
          </cell>
          <cell r="E254">
            <v>850</v>
          </cell>
        </row>
        <row r="255">
          <cell r="B255" t="str">
            <v>00-00005156</v>
          </cell>
          <cell r="C255" t="str">
            <v>Пінополістерол (100мм) XPS ПСЕ-40 1,2х6 (уп 4шт)</v>
          </cell>
          <cell r="D255" t="str">
            <v>шт</v>
          </cell>
          <cell r="E255">
            <v>4</v>
          </cell>
        </row>
        <row r="256">
          <cell r="B256" t="str">
            <v>00-00005156</v>
          </cell>
          <cell r="C256" t="str">
            <v>Пінополістерол (100мм) XPS ПСЕ-40 1,2х6 (уп 4шт)</v>
          </cell>
          <cell r="D256" t="str">
            <v>шт</v>
          </cell>
          <cell r="E256">
            <v>6</v>
          </cell>
        </row>
        <row r="257">
          <cell r="B257" t="str">
            <v>00-00005430</v>
          </cell>
          <cell r="C257" t="str">
            <v xml:space="preserve">Пінополістерол (50мм)  1,0х5 </v>
          </cell>
          <cell r="D257" t="str">
            <v>шт</v>
          </cell>
          <cell r="E257">
            <v>24</v>
          </cell>
        </row>
        <row r="258">
          <cell r="B258" t="str">
            <v>00-00005430</v>
          </cell>
          <cell r="C258" t="str">
            <v xml:space="preserve">Пінополістерол (50мм)  1,0х5 </v>
          </cell>
          <cell r="D258" t="str">
            <v>шт</v>
          </cell>
          <cell r="E258">
            <v>864</v>
          </cell>
        </row>
        <row r="259">
          <cell r="B259" t="str">
            <v>00000003979</v>
          </cell>
          <cell r="C259" t="str">
            <v>Плита OSB-3 10х1250*2500 (шт)</v>
          </cell>
          <cell r="D259" t="str">
            <v>шт</v>
          </cell>
          <cell r="E259">
            <v>152</v>
          </cell>
        </row>
        <row r="260">
          <cell r="B260" t="str">
            <v>00000017652</v>
          </cell>
          <cell r="C260" t="str">
            <v>Плита перекриття 1ПП 15-1</v>
          </cell>
          <cell r="D260" t="str">
            <v>шт</v>
          </cell>
          <cell r="E260">
            <v>1</v>
          </cell>
        </row>
        <row r="261">
          <cell r="B261" t="str">
            <v>00000017652</v>
          </cell>
          <cell r="C261" t="str">
            <v>Плита перекриття 1ПП 15-1</v>
          </cell>
          <cell r="D261" t="str">
            <v>шт</v>
          </cell>
          <cell r="E261">
            <v>1</v>
          </cell>
        </row>
        <row r="262">
          <cell r="B262" t="str">
            <v>00000017652</v>
          </cell>
          <cell r="C262" t="str">
            <v>Плита перекриття 1ПП 15-1</v>
          </cell>
          <cell r="D262" t="str">
            <v>шт</v>
          </cell>
          <cell r="E262">
            <v>2</v>
          </cell>
        </row>
        <row r="263">
          <cell r="B263" t="str">
            <v>00-00000708</v>
          </cell>
          <cell r="C263" t="str">
            <v>Плита типу OSB/3 10,0/2500*1250/1</v>
          </cell>
          <cell r="D263" t="str">
            <v>шт</v>
          </cell>
          <cell r="E263">
            <v>75</v>
          </cell>
        </row>
        <row r="264">
          <cell r="B264" t="str">
            <v>00000021537</v>
          </cell>
          <cell r="C264" t="str">
            <v>Плівка гідроізоляційна підпокрів 75кв м</v>
          </cell>
          <cell r="D264" t="str">
            <v>рул</v>
          </cell>
          <cell r="E264">
            <v>20</v>
          </cell>
        </row>
        <row r="265">
          <cell r="B265" t="str">
            <v>00000006683</v>
          </cell>
          <cell r="C265" t="str">
            <v>Плівка пароізоляційна срібна, 75 м2</v>
          </cell>
          <cell r="D265" t="str">
            <v>рул</v>
          </cell>
          <cell r="E265">
            <v>22</v>
          </cell>
        </row>
        <row r="266">
          <cell r="B266" t="str">
            <v>00-00005183</v>
          </cell>
          <cell r="C266" t="str">
            <v>Плінтус</v>
          </cell>
          <cell r="D266" t="str">
            <v>пог.м</v>
          </cell>
          <cell r="E266">
            <v>95</v>
          </cell>
        </row>
        <row r="267">
          <cell r="B267" t="str">
            <v>00-00005183</v>
          </cell>
          <cell r="C267" t="str">
            <v>Плінтус</v>
          </cell>
          <cell r="D267" t="str">
            <v>пог.м</v>
          </cell>
          <cell r="E267">
            <v>5</v>
          </cell>
        </row>
        <row r="268">
          <cell r="B268" t="str">
            <v>00-00005183</v>
          </cell>
          <cell r="C268" t="str">
            <v>Плінтус</v>
          </cell>
          <cell r="D268" t="str">
            <v>пог.м</v>
          </cell>
          <cell r="E268">
            <v>-95</v>
          </cell>
        </row>
        <row r="269">
          <cell r="B269" t="str">
            <v>00-00005740</v>
          </cell>
          <cell r="C269" t="str">
            <v>Покриття з ПВХ</v>
          </cell>
          <cell r="D269" t="str">
            <v>м кв</v>
          </cell>
          <cell r="E269">
            <v>120</v>
          </cell>
        </row>
        <row r="270">
          <cell r="B270" t="str">
            <v>00-00005740</v>
          </cell>
          <cell r="C270" t="str">
            <v>Покриття з ПВХ</v>
          </cell>
          <cell r="D270" t="str">
            <v>м кв</v>
          </cell>
          <cell r="E270">
            <v>-110</v>
          </cell>
        </row>
        <row r="271">
          <cell r="B271" t="str">
            <v>00-00005715</v>
          </cell>
          <cell r="C271" t="str">
            <v>Поріжок 47,5х5</v>
          </cell>
          <cell r="D271" t="str">
            <v>шт</v>
          </cell>
          <cell r="E271">
            <v>16</v>
          </cell>
        </row>
        <row r="272">
          <cell r="B272" t="str">
            <v>00-00005087</v>
          </cell>
          <cell r="C272" t="str">
            <v>Поручень настінний 02.001-01</v>
          </cell>
          <cell r="D272" t="str">
            <v>шт</v>
          </cell>
          <cell r="E272">
            <v>1</v>
          </cell>
        </row>
        <row r="273">
          <cell r="B273" t="str">
            <v>00-00005087</v>
          </cell>
          <cell r="C273" t="str">
            <v>Поручень настінний 02.001-01</v>
          </cell>
          <cell r="D273" t="str">
            <v>шт</v>
          </cell>
          <cell r="E273">
            <v>2</v>
          </cell>
        </row>
        <row r="274">
          <cell r="B274" t="str">
            <v>00-00005086</v>
          </cell>
          <cell r="C274" t="str">
            <v>Поручень пристінний 500мм 3.005</v>
          </cell>
          <cell r="D274" t="str">
            <v>шт</v>
          </cell>
          <cell r="E274">
            <v>1</v>
          </cell>
        </row>
        <row r="275">
          <cell r="B275" t="str">
            <v>00-00005086</v>
          </cell>
          <cell r="C275" t="str">
            <v>Поручень пристінний 500мм 3.005</v>
          </cell>
          <cell r="D275" t="str">
            <v>шт</v>
          </cell>
          <cell r="E275">
            <v>2</v>
          </cell>
        </row>
        <row r="276">
          <cell r="B276" t="str">
            <v>00-00005155</v>
          </cell>
          <cell r="C276" t="str">
            <v>Провід ПВС 3*4</v>
          </cell>
          <cell r="D276" t="str">
            <v>пог.м</v>
          </cell>
          <cell r="E276">
            <v>80</v>
          </cell>
        </row>
        <row r="277">
          <cell r="B277" t="str">
            <v>00-00005137</v>
          </cell>
          <cell r="C277" t="str">
            <v>Прокладка для унітазу D=90/110мм</v>
          </cell>
          <cell r="D277" t="str">
            <v>шт</v>
          </cell>
          <cell r="E277">
            <v>8</v>
          </cell>
        </row>
        <row r="278">
          <cell r="B278" t="str">
            <v>00-00005444</v>
          </cell>
          <cell r="C278" t="str">
            <v>Профіль АП 005  2,7 м</v>
          </cell>
          <cell r="D278" t="str">
            <v>шт</v>
          </cell>
          <cell r="E278">
            <v>2</v>
          </cell>
        </row>
        <row r="279">
          <cell r="B279" t="str">
            <v>00-00005070</v>
          </cell>
          <cell r="C279" t="str">
            <v xml:space="preserve">Профіль ПС-10 поліестер трапецієпод. </v>
          </cell>
          <cell r="D279" t="str">
            <v>шт</v>
          </cell>
          <cell r="E279">
            <v>30.8</v>
          </cell>
        </row>
        <row r="280">
          <cell r="B280" t="str">
            <v>00-00005365</v>
          </cell>
          <cell r="C280" t="str">
            <v>Профіль ПС-10 поліестер трапецієпод. РЕ 45*9003*АМ</v>
          </cell>
          <cell r="D280" t="str">
            <v>м кв</v>
          </cell>
          <cell r="E280">
            <v>502.71600000000001</v>
          </cell>
        </row>
        <row r="281">
          <cell r="B281" t="str">
            <v>00000017304</v>
          </cell>
          <cell r="C281" t="str">
            <v>Профіль ПС-20 RAL\0,45\1145\7004\РЕ\ТУР(TEZCAN)\300(виробник сировини Туреччина)</v>
          </cell>
          <cell r="D281" t="str">
            <v>м кв</v>
          </cell>
          <cell r="E281">
            <v>334.81799999999998</v>
          </cell>
        </row>
        <row r="282">
          <cell r="B282" t="str">
            <v>00-00005071</v>
          </cell>
          <cell r="C282" t="str">
            <v xml:space="preserve">Профіль ПС-20 поліестер трапецієпод. </v>
          </cell>
          <cell r="D282" t="str">
            <v>шт</v>
          </cell>
          <cell r="E282">
            <v>6</v>
          </cell>
        </row>
        <row r="283">
          <cell r="B283" t="str">
            <v>00-00005071</v>
          </cell>
          <cell r="C283" t="str">
            <v xml:space="preserve">Профіль ПС-20 поліестер трапецієпод. </v>
          </cell>
          <cell r="D283" t="str">
            <v>шт</v>
          </cell>
          <cell r="E283">
            <v>28</v>
          </cell>
        </row>
        <row r="284">
          <cell r="B284" t="str">
            <v>00-00004979</v>
          </cell>
          <cell r="C284" t="str">
            <v>Профіль стартовий 8мм (білий)</v>
          </cell>
          <cell r="D284" t="str">
            <v>пог.м</v>
          </cell>
          <cell r="E284">
            <v>195</v>
          </cell>
        </row>
        <row r="285">
          <cell r="B285" t="str">
            <v>00000021862</v>
          </cell>
          <cell r="C285" t="str">
            <v>Профіль трапецієпод. ПС-8 поліестер RAL 9006</v>
          </cell>
          <cell r="D285" t="str">
            <v>м кв</v>
          </cell>
          <cell r="E285">
            <v>409.49299999999999</v>
          </cell>
        </row>
        <row r="286">
          <cell r="B286" t="str">
            <v>00-00001032</v>
          </cell>
          <cell r="C286" t="str">
            <v>Рамка 1-постова</v>
          </cell>
          <cell r="D286" t="str">
            <v>шт</v>
          </cell>
          <cell r="E286">
            <v>16</v>
          </cell>
        </row>
        <row r="287">
          <cell r="B287" t="str">
            <v>00-00004866</v>
          </cell>
          <cell r="C287" t="str">
            <v>Рейка 50*50*3000</v>
          </cell>
          <cell r="D287" t="str">
            <v>м куб</v>
          </cell>
          <cell r="E287">
            <v>2.5459999999999998</v>
          </cell>
        </row>
        <row r="288">
          <cell r="B288" t="str">
            <v>00-00004866</v>
          </cell>
          <cell r="C288" t="str">
            <v>Рейка 50*50*3000</v>
          </cell>
          <cell r="D288" t="str">
            <v>м куб</v>
          </cell>
          <cell r="E288">
            <v>13.8</v>
          </cell>
        </row>
        <row r="289">
          <cell r="B289" t="str">
            <v>00-00004866</v>
          </cell>
          <cell r="C289" t="str">
            <v>Рейка 50*50*3000</v>
          </cell>
          <cell r="D289" t="str">
            <v>м куб</v>
          </cell>
          <cell r="E289">
            <v>0.69799999999999995</v>
          </cell>
        </row>
        <row r="290">
          <cell r="B290" t="str">
            <v>00-00005925</v>
          </cell>
          <cell r="C290" t="str">
            <v>Рейка суха стругана 50*50 мм (3м)</v>
          </cell>
          <cell r="D290" t="str">
            <v>м</v>
          </cell>
          <cell r="E290">
            <v>819</v>
          </cell>
        </row>
        <row r="291">
          <cell r="B291" t="str">
            <v>00-00005330</v>
          </cell>
          <cell r="C291" t="str">
            <v>Ринва біла 90 мм L=3 м</v>
          </cell>
          <cell r="D291" t="str">
            <v>шт</v>
          </cell>
          <cell r="E291">
            <v>7</v>
          </cell>
        </row>
        <row r="292">
          <cell r="B292" t="str">
            <v>00-00005330</v>
          </cell>
          <cell r="C292" t="str">
            <v>Ринва біла 90 мм L=3 м</v>
          </cell>
          <cell r="D292" t="str">
            <v>шт</v>
          </cell>
          <cell r="E292">
            <v>12</v>
          </cell>
        </row>
        <row r="293">
          <cell r="B293" t="str">
            <v>00-00005330</v>
          </cell>
          <cell r="C293" t="str">
            <v>Ринва біла 90 мм L=3 м</v>
          </cell>
          <cell r="D293" t="str">
            <v>шт</v>
          </cell>
          <cell r="E293">
            <v>1</v>
          </cell>
        </row>
        <row r="294">
          <cell r="B294" t="str">
            <v>00-00005330</v>
          </cell>
          <cell r="C294" t="str">
            <v>Ринва біла 90 мм L=3 м</v>
          </cell>
          <cell r="D294" t="str">
            <v>шт</v>
          </cell>
          <cell r="E294">
            <v>12</v>
          </cell>
        </row>
        <row r="295">
          <cell r="B295" t="str">
            <v>00-00005330</v>
          </cell>
          <cell r="C295" t="str">
            <v>Ринва біла 90 мм L=3 м</v>
          </cell>
          <cell r="D295" t="str">
            <v>шт</v>
          </cell>
          <cell r="E295">
            <v>11</v>
          </cell>
        </row>
        <row r="296">
          <cell r="B296" t="str">
            <v>00000022062</v>
          </cell>
          <cell r="C296" t="str">
            <v>Розетка з з/к, Schneider Electrik Asfora, біл.</v>
          </cell>
          <cell r="D296" t="str">
            <v>шт</v>
          </cell>
          <cell r="E296">
            <v>40</v>
          </cell>
        </row>
        <row r="297">
          <cell r="B297" t="str">
            <v>00000019254</v>
          </cell>
          <cell r="C297" t="str">
            <v>Розетка з кришкою з заземл.конт. з шторк. ІР44, білий, Asfora, SCHNEIDER ELECTRIC</v>
          </cell>
          <cell r="D297" t="str">
            <v>шт</v>
          </cell>
          <cell r="E297">
            <v>10</v>
          </cell>
        </row>
        <row r="298">
          <cell r="B298" t="str">
            <v>00-00005055</v>
          </cell>
          <cell r="C298" t="str">
            <v>Розетка подвійна з з/к</v>
          </cell>
          <cell r="D298" t="str">
            <v>шт</v>
          </cell>
          <cell r="E298">
            <v>180</v>
          </cell>
        </row>
        <row r="299">
          <cell r="B299" t="str">
            <v>00000000615</v>
          </cell>
          <cell r="C299" t="str">
            <v>Розетка стаціонарна наружна 7123 32А 220В 2Р+Е ІР44</v>
          </cell>
          <cell r="D299" t="str">
            <v>шт</v>
          </cell>
          <cell r="E299">
            <v>14</v>
          </cell>
        </row>
        <row r="300">
          <cell r="B300" t="str">
            <v>00000000615</v>
          </cell>
          <cell r="C300" t="str">
            <v>Розетка стаціонарна наружна 7123 32А 220В 2Р+Е ІР44</v>
          </cell>
          <cell r="D300" t="str">
            <v>шт</v>
          </cell>
          <cell r="E300">
            <v>13</v>
          </cell>
        </row>
        <row r="301">
          <cell r="B301" t="str">
            <v>00000000615</v>
          </cell>
          <cell r="C301" t="str">
            <v>Розетка стаціонарна наружна 7123 32А 220В 2Р+Е ІР44</v>
          </cell>
          <cell r="D301" t="str">
            <v>шт</v>
          </cell>
          <cell r="E301">
            <v>28</v>
          </cell>
        </row>
        <row r="302">
          <cell r="B302" t="str">
            <v>00-00000166</v>
          </cell>
          <cell r="C302" t="str">
            <v>Розчинник "White Spirit"</v>
          </cell>
          <cell r="D302" t="str">
            <v>л</v>
          </cell>
          <cell r="E302">
            <v>30</v>
          </cell>
        </row>
        <row r="303">
          <cell r="B303" t="str">
            <v>00-00000166</v>
          </cell>
          <cell r="C303" t="str">
            <v>Розчинник "White Spirit"</v>
          </cell>
          <cell r="D303" t="str">
            <v>л</v>
          </cell>
          <cell r="E303">
            <v>30</v>
          </cell>
        </row>
        <row r="304">
          <cell r="B304" t="str">
            <v>00-00004910</v>
          </cell>
          <cell r="C304" t="str">
            <v>Самонаріз 4,2х16</v>
          </cell>
          <cell r="D304" t="str">
            <v>шт</v>
          </cell>
          <cell r="E304">
            <v>500</v>
          </cell>
        </row>
        <row r="305">
          <cell r="B305" t="str">
            <v>00-00004910</v>
          </cell>
          <cell r="C305" t="str">
            <v>Самонаріз 4,2х16</v>
          </cell>
          <cell r="D305" t="str">
            <v>шт</v>
          </cell>
          <cell r="E305">
            <v>100</v>
          </cell>
        </row>
        <row r="306">
          <cell r="B306" t="str">
            <v>00-00004910</v>
          </cell>
          <cell r="C306" t="str">
            <v>Самонаріз 4,2х16</v>
          </cell>
          <cell r="D306" t="str">
            <v>шт</v>
          </cell>
          <cell r="E306">
            <v>500</v>
          </cell>
        </row>
        <row r="307">
          <cell r="B307" t="str">
            <v>00-00004910</v>
          </cell>
          <cell r="C307" t="str">
            <v>Самонаріз 4,2х16</v>
          </cell>
          <cell r="D307" t="str">
            <v>шт</v>
          </cell>
          <cell r="E307">
            <v>500</v>
          </cell>
        </row>
        <row r="308">
          <cell r="B308" t="str">
            <v>00-00004910</v>
          </cell>
          <cell r="C308" t="str">
            <v>Самонаріз 4,2х16</v>
          </cell>
          <cell r="D308" t="str">
            <v>шт</v>
          </cell>
          <cell r="E308">
            <v>500</v>
          </cell>
        </row>
        <row r="309">
          <cell r="B309" t="str">
            <v>00-00001836</v>
          </cell>
          <cell r="C309" t="str">
            <v>Саморіз  4,8*60</v>
          </cell>
          <cell r="D309" t="str">
            <v>шт</v>
          </cell>
          <cell r="E309">
            <v>500</v>
          </cell>
        </row>
        <row r="310">
          <cell r="B310" t="str">
            <v>00-00005927</v>
          </cell>
          <cell r="C310" t="str">
            <v>Саморіз  5,5*70</v>
          </cell>
          <cell r="D310" t="str">
            <v>шт</v>
          </cell>
          <cell r="E310">
            <v>3000</v>
          </cell>
        </row>
        <row r="311">
          <cell r="B311" t="str">
            <v>00-00005317</v>
          </cell>
          <cell r="C311" t="str">
            <v>Саморіз по металу зі свердлом  4,8*19</v>
          </cell>
          <cell r="D311" t="str">
            <v>шт</v>
          </cell>
          <cell r="E311">
            <v>4750</v>
          </cell>
        </row>
        <row r="312">
          <cell r="B312" t="str">
            <v>00-00005051</v>
          </cell>
          <cell r="C312" t="str">
            <v>Світильник LED 36W/6500К 595*595</v>
          </cell>
          <cell r="D312" t="str">
            <v>шт</v>
          </cell>
          <cell r="E312">
            <v>14</v>
          </cell>
        </row>
        <row r="313">
          <cell r="B313" t="str">
            <v>00-00005051</v>
          </cell>
          <cell r="C313" t="str">
            <v>Світильник LED 36W/6500К 595*595</v>
          </cell>
          <cell r="D313" t="str">
            <v>шт</v>
          </cell>
          <cell r="E313">
            <v>30</v>
          </cell>
        </row>
        <row r="314">
          <cell r="B314" t="str">
            <v>00000022350</v>
          </cell>
          <cell r="C314" t="str">
            <v>Світильник LED L-PRS-1265-18 12W 6500К .накл.</v>
          </cell>
          <cell r="D314" t="str">
            <v>шт</v>
          </cell>
          <cell r="E314">
            <v>40</v>
          </cell>
        </row>
        <row r="315">
          <cell r="B315" t="str">
            <v>00-00005053</v>
          </cell>
          <cell r="C315" t="str">
            <v>Світильник аварійний</v>
          </cell>
          <cell r="D315" t="str">
            <v>шт</v>
          </cell>
          <cell r="E315">
            <v>4</v>
          </cell>
        </row>
        <row r="316">
          <cell r="B316" t="str">
            <v>00-00005054</v>
          </cell>
          <cell r="C316" t="str">
            <v>Світильник стінний</v>
          </cell>
          <cell r="D316" t="str">
            <v>шт</v>
          </cell>
          <cell r="E316">
            <v>4</v>
          </cell>
        </row>
        <row r="317">
          <cell r="B317" t="str">
            <v>00-00005052</v>
          </cell>
          <cell r="C317" t="str">
            <v>Світлодіод акс.Рамка накладного монтажу до LED Panel</v>
          </cell>
          <cell r="D317" t="str">
            <v>шт</v>
          </cell>
          <cell r="E317">
            <v>44</v>
          </cell>
        </row>
        <row r="318">
          <cell r="B318" t="str">
            <v>00000019295</v>
          </cell>
          <cell r="C318" t="str">
            <v>Сендвіч</v>
          </cell>
          <cell r="D318" t="str">
            <v>шт</v>
          </cell>
          <cell r="E318">
            <v>2</v>
          </cell>
        </row>
        <row r="319">
          <cell r="B319" t="str">
            <v>00000019295</v>
          </cell>
          <cell r="C319" t="str">
            <v>Сендвіч</v>
          </cell>
          <cell r="D319" t="str">
            <v>шт</v>
          </cell>
          <cell r="E319">
            <v>2</v>
          </cell>
        </row>
        <row r="320">
          <cell r="B320" t="str">
            <v>00000019295</v>
          </cell>
          <cell r="C320" t="str">
            <v>Сендвіч</v>
          </cell>
          <cell r="D320" t="str">
            <v>шт</v>
          </cell>
          <cell r="E320">
            <v>2</v>
          </cell>
        </row>
        <row r="321">
          <cell r="B321" t="str">
            <v>00000019295</v>
          </cell>
          <cell r="C321" t="str">
            <v>Сендвіч</v>
          </cell>
          <cell r="D321" t="str">
            <v>шт</v>
          </cell>
          <cell r="E321">
            <v>2</v>
          </cell>
        </row>
        <row r="322">
          <cell r="B322" t="str">
            <v>00000019295</v>
          </cell>
          <cell r="C322" t="str">
            <v>Сендвіч</v>
          </cell>
          <cell r="D322" t="str">
            <v>шт</v>
          </cell>
          <cell r="E322">
            <v>2</v>
          </cell>
        </row>
        <row r="323">
          <cell r="B323" t="str">
            <v>00000011561</v>
          </cell>
          <cell r="C323" t="str">
            <v>Сифон для душ.</v>
          </cell>
          <cell r="D323" t="str">
            <v>шт</v>
          </cell>
          <cell r="E323">
            <v>1</v>
          </cell>
        </row>
        <row r="324">
          <cell r="B324" t="str">
            <v>00000019314</v>
          </cell>
          <cell r="C324" t="str">
            <v>Сифон для душ.під., бутил., D=58х40 мм, Н=78 мм, (пласт., гнучкий вих., з хром. криш. D=90 мм) 39229</v>
          </cell>
          <cell r="D324" t="str">
            <v>шт</v>
          </cell>
          <cell r="E324">
            <v>4</v>
          </cell>
        </row>
        <row r="325">
          <cell r="B325" t="str">
            <v>00-00005638</v>
          </cell>
          <cell r="C325" t="str">
            <v xml:space="preserve">Сифон для мийки бутилоч Д=1 1/2"х32мм </v>
          </cell>
          <cell r="D325" t="str">
            <v>шт</v>
          </cell>
          <cell r="E325">
            <v>1</v>
          </cell>
        </row>
        <row r="326">
          <cell r="B326" t="str">
            <v>00-00005638</v>
          </cell>
          <cell r="C326" t="str">
            <v xml:space="preserve">Сифон для мийки бутилоч Д=1 1/2"х32мм </v>
          </cell>
          <cell r="D326" t="str">
            <v>шт</v>
          </cell>
          <cell r="E326">
            <v>21</v>
          </cell>
        </row>
        <row r="327">
          <cell r="B327" t="str">
            <v>00-00005775</v>
          </cell>
          <cell r="C327" t="str">
            <v>Сітка штукатурна оцинкована 12,0*12,0*1,3 мм (1*15м)</v>
          </cell>
          <cell r="D327" t="str">
            <v>пог.м</v>
          </cell>
          <cell r="E327">
            <v>13</v>
          </cell>
        </row>
        <row r="328">
          <cell r="B328" t="str">
            <v>00000021892</v>
          </cell>
          <cell r="C328" t="str">
            <v>Скоба для степлера тимА10мм  1000шт/уп</v>
          </cell>
          <cell r="D328" t="str">
            <v>шт</v>
          </cell>
          <cell r="E328">
            <v>30</v>
          </cell>
        </row>
        <row r="329">
          <cell r="B329" t="str">
            <v>00000021892</v>
          </cell>
          <cell r="C329" t="str">
            <v>Скоба для степлера тимА10мм  1000шт/уп</v>
          </cell>
          <cell r="D329" t="str">
            <v>шт</v>
          </cell>
          <cell r="E329">
            <v>10</v>
          </cell>
        </row>
        <row r="330">
          <cell r="B330" t="str">
            <v>00-00005351</v>
          </cell>
          <cell r="C330" t="str">
            <v>Сповіщувач пожежний димовий СПД-3,4</v>
          </cell>
          <cell r="D330" t="str">
            <v>шт</v>
          </cell>
          <cell r="E330">
            <v>16</v>
          </cell>
        </row>
        <row r="331">
          <cell r="B331" t="str">
            <v>00-00004766</v>
          </cell>
          <cell r="C331" t="str">
            <v>Стартова смуга ПВХ біла 8мм</v>
          </cell>
          <cell r="D331" t="str">
            <v>пог.м</v>
          </cell>
          <cell r="E331">
            <v>204</v>
          </cell>
        </row>
        <row r="332">
          <cell r="B332" t="str">
            <v>00-00005848</v>
          </cell>
          <cell r="C332" t="str">
            <v>Стелаж СТ -4/1 М уп</v>
          </cell>
          <cell r="D332" t="str">
            <v>шт</v>
          </cell>
          <cell r="E332">
            <v>3</v>
          </cell>
        </row>
        <row r="333">
          <cell r="B333" t="str">
            <v>00-00005060</v>
          </cell>
          <cell r="C333" t="str">
            <v>Стелаж СТ 920х460х1820</v>
          </cell>
          <cell r="D333" t="str">
            <v>шт</v>
          </cell>
          <cell r="E333">
            <v>1</v>
          </cell>
        </row>
        <row r="334">
          <cell r="B334" t="str">
            <v>00-00005060</v>
          </cell>
          <cell r="C334" t="str">
            <v>Стелаж СТ 920х460х1820</v>
          </cell>
          <cell r="D334" t="str">
            <v>шт</v>
          </cell>
          <cell r="E334">
            <v>1</v>
          </cell>
        </row>
        <row r="335">
          <cell r="B335" t="str">
            <v>00-00001594</v>
          </cell>
          <cell r="C335" t="str">
            <v>Стіл</v>
          </cell>
          <cell r="D335" t="str">
            <v>шт</v>
          </cell>
          <cell r="E335">
            <v>4</v>
          </cell>
        </row>
        <row r="336">
          <cell r="B336" t="str">
            <v>00-00001594</v>
          </cell>
          <cell r="C336" t="str">
            <v>Стіл</v>
          </cell>
          <cell r="D336" t="str">
            <v>шт</v>
          </cell>
          <cell r="E336">
            <v>4</v>
          </cell>
        </row>
        <row r="337">
          <cell r="B337" t="str">
            <v>00-00001594</v>
          </cell>
          <cell r="C337" t="str">
            <v>Стіл</v>
          </cell>
          <cell r="D337" t="str">
            <v>шт</v>
          </cell>
          <cell r="E337">
            <v>2</v>
          </cell>
        </row>
        <row r="338">
          <cell r="B338" t="str">
            <v>00000000423</v>
          </cell>
          <cell r="C338" t="str">
            <v>Стілець Новий Стиль Jack</v>
          </cell>
          <cell r="D338" t="str">
            <v>шт</v>
          </cell>
          <cell r="E338">
            <v>6</v>
          </cell>
        </row>
        <row r="339">
          <cell r="B339" t="str">
            <v>00000000423</v>
          </cell>
          <cell r="C339" t="str">
            <v>Стілець Новий Стиль Jack</v>
          </cell>
          <cell r="D339" t="str">
            <v>шт</v>
          </cell>
          <cell r="E339">
            <v>8</v>
          </cell>
        </row>
        <row r="340">
          <cell r="B340" t="str">
            <v>00-00005394</v>
          </cell>
          <cell r="C340" t="str">
            <v>Столик маніпуляційний СТ-М</v>
          </cell>
          <cell r="D340" t="str">
            <v>шт</v>
          </cell>
          <cell r="E340">
            <v>1</v>
          </cell>
        </row>
        <row r="341">
          <cell r="B341" t="str">
            <v>00-00005671</v>
          </cell>
          <cell r="C341" t="str">
            <v>Стопор дверний</v>
          </cell>
          <cell r="D341" t="str">
            <v>шт</v>
          </cell>
          <cell r="E341">
            <v>40</v>
          </cell>
        </row>
        <row r="342">
          <cell r="B342" t="str">
            <v>00000021829</v>
          </cell>
          <cell r="C342" t="str">
            <v>Стрічка бітумна 100мм сіра 10м</v>
          </cell>
          <cell r="D342" t="str">
            <v>шт</v>
          </cell>
          <cell r="E342">
            <v>5</v>
          </cell>
        </row>
        <row r="343">
          <cell r="B343" t="str">
            <v>00-00005538</v>
          </cell>
          <cell r="C343" t="str">
            <v>Стрічка гідроізоляційна</v>
          </cell>
          <cell r="D343" t="str">
            <v>пог.м</v>
          </cell>
          <cell r="E343">
            <v>12</v>
          </cell>
        </row>
        <row r="344">
          <cell r="B344" t="str">
            <v>00000017739</v>
          </cell>
          <cell r="C344" t="str">
            <v>Стрічка для швів зі BudMonster 0,05м*25м</v>
          </cell>
          <cell r="D344" t="str">
            <v>шт</v>
          </cell>
          <cell r="E344">
            <v>11</v>
          </cell>
        </row>
        <row r="345">
          <cell r="B345" t="str">
            <v>00-00005428</v>
          </cell>
          <cell r="C345" t="str">
            <v>Стрічка малярна , 38мм*50м</v>
          </cell>
          <cell r="D345" t="str">
            <v>шт</v>
          </cell>
          <cell r="E345">
            <v>2</v>
          </cell>
        </row>
        <row r="346">
          <cell r="B346" t="str">
            <v>00000014686</v>
          </cell>
          <cell r="C346" t="str">
            <v>Стрічка малярна, 48мм*20м</v>
          </cell>
          <cell r="D346" t="str">
            <v>шт</v>
          </cell>
          <cell r="E346">
            <v>4</v>
          </cell>
        </row>
        <row r="347">
          <cell r="B347" t="str">
            <v>00000014686</v>
          </cell>
          <cell r="C347" t="str">
            <v>Стрічка малярна, 48мм*20м</v>
          </cell>
          <cell r="D347" t="str">
            <v>шт</v>
          </cell>
          <cell r="E347">
            <v>10</v>
          </cell>
        </row>
        <row r="348">
          <cell r="B348" t="str">
            <v>00-00005939</v>
          </cell>
          <cell r="C348" t="str">
            <v>Стул Ізо алюм А-01 (потрійні для відвідувачів)</v>
          </cell>
          <cell r="D348" t="str">
            <v>шт</v>
          </cell>
          <cell r="E348">
            <v>4</v>
          </cell>
        </row>
        <row r="349">
          <cell r="B349" t="str">
            <v>00-00005440</v>
          </cell>
          <cell r="C349" t="str">
            <v>Суміш бетонна 25 кг</v>
          </cell>
          <cell r="D349" t="str">
            <v>шт</v>
          </cell>
          <cell r="E349">
            <v>6</v>
          </cell>
        </row>
        <row r="350">
          <cell r="B350" t="str">
            <v>00-00005608</v>
          </cell>
          <cell r="C350" t="str">
            <v>Таблички зі шрифтом Брайля</v>
          </cell>
          <cell r="D350" t="str">
            <v>шт</v>
          </cell>
          <cell r="E350">
            <v>12</v>
          </cell>
        </row>
        <row r="351">
          <cell r="B351" t="str">
            <v>00-00005608</v>
          </cell>
          <cell r="C351" t="str">
            <v>Таблички зі шрифтом Брайля</v>
          </cell>
          <cell r="D351" t="str">
            <v>шт</v>
          </cell>
          <cell r="E351">
            <v>30</v>
          </cell>
        </row>
        <row r="352">
          <cell r="B352" t="str">
            <v>00-00005608</v>
          </cell>
          <cell r="C352" t="str">
            <v>Таблички зі шрифтом Брайля</v>
          </cell>
          <cell r="D352" t="str">
            <v>шт</v>
          </cell>
          <cell r="E352">
            <v>22</v>
          </cell>
        </row>
        <row r="353">
          <cell r="B353" t="str">
            <v>00-00005136</v>
          </cell>
          <cell r="C353" t="str">
            <v>Трійник D=32 мм, 87"30' 3917400090</v>
          </cell>
          <cell r="D353" t="str">
            <v>шт</v>
          </cell>
          <cell r="E353">
            <v>3</v>
          </cell>
        </row>
        <row r="354">
          <cell r="B354" t="str">
            <v>00000019328</v>
          </cell>
          <cell r="C354" t="str">
            <v>Трійник D=50 мм, 87"30' 3917400090</v>
          </cell>
          <cell r="D354" t="str">
            <v>шт</v>
          </cell>
          <cell r="E354">
            <v>5</v>
          </cell>
        </row>
        <row r="355">
          <cell r="B355" t="str">
            <v>00000000100</v>
          </cell>
          <cell r="C355" t="str">
            <v>Трійник PP-R D=20 mm. сірий</v>
          </cell>
          <cell r="D355" t="str">
            <v>шт</v>
          </cell>
          <cell r="E355">
            <v>28</v>
          </cell>
        </row>
        <row r="356">
          <cell r="B356" t="str">
            <v>00000000101</v>
          </cell>
          <cell r="C356" t="str">
            <v>Трійник PP-R D=20 mm. х1\2 Н сірий</v>
          </cell>
          <cell r="D356" t="str">
            <v>шт</v>
          </cell>
          <cell r="E356">
            <v>37</v>
          </cell>
        </row>
        <row r="357">
          <cell r="B357" t="str">
            <v>00000021706</v>
          </cell>
          <cell r="C357" t="str">
            <v>Трійник редукційний D=110-50 мм, 87° 30 ' 3917400090</v>
          </cell>
          <cell r="D357" t="str">
            <v>шт</v>
          </cell>
          <cell r="E357">
            <v>16</v>
          </cell>
        </row>
        <row r="358">
          <cell r="B358" t="str">
            <v>00-00005856</v>
          </cell>
          <cell r="C358" t="str">
            <v xml:space="preserve">Труба  50*25*2 </v>
          </cell>
          <cell r="D358" t="str">
            <v>пог.м</v>
          </cell>
          <cell r="E358">
            <v>822</v>
          </cell>
        </row>
        <row r="359">
          <cell r="B359" t="str">
            <v>00000008851</v>
          </cell>
          <cell r="C359" t="str">
            <v xml:space="preserve">Труба  50*50*2 </v>
          </cell>
          <cell r="D359" t="str">
            <v>пог.м</v>
          </cell>
          <cell r="E359">
            <v>1452</v>
          </cell>
        </row>
        <row r="360">
          <cell r="B360" t="str">
            <v>00-00005598</v>
          </cell>
          <cell r="C360" t="str">
            <v>труба 100х100х3 мм; ст.1-3пс; 12 м</v>
          </cell>
          <cell r="D360" t="str">
            <v>пог.м</v>
          </cell>
          <cell r="E360">
            <v>598</v>
          </cell>
        </row>
        <row r="361">
          <cell r="B361" t="str">
            <v>00-00005598</v>
          </cell>
          <cell r="C361" t="str">
            <v>труба 100х100х3 мм; ст.1-3пс; 12 м</v>
          </cell>
          <cell r="D361" t="str">
            <v>пог.м</v>
          </cell>
          <cell r="E361">
            <v>704</v>
          </cell>
        </row>
        <row r="362">
          <cell r="B362" t="str">
            <v>00-00005598</v>
          </cell>
          <cell r="C362" t="str">
            <v>труба 100х100х3 мм; ст.1-3пс; 12 м</v>
          </cell>
          <cell r="D362" t="str">
            <v>пог.м</v>
          </cell>
          <cell r="E362">
            <v>677</v>
          </cell>
        </row>
        <row r="363">
          <cell r="B363" t="str">
            <v>00-00004813</v>
          </cell>
          <cell r="C363" t="str">
            <v>Труба 40*20*1,2</v>
          </cell>
          <cell r="D363" t="str">
            <v>т</v>
          </cell>
          <cell r="E363">
            <v>0.23499999999999999</v>
          </cell>
        </row>
        <row r="364">
          <cell r="B364" t="str">
            <v>00-00004736</v>
          </cell>
          <cell r="C364" t="str">
            <v>Труба 40х20х2 мм; ст. 1-3пс; 6 м</v>
          </cell>
          <cell r="D364" t="str">
            <v>пог.м</v>
          </cell>
          <cell r="E364">
            <v>166</v>
          </cell>
        </row>
        <row r="365">
          <cell r="B365" t="str">
            <v>00-00004736</v>
          </cell>
          <cell r="C365" t="str">
            <v>Труба 40х20х2 мм; ст. 1-3пс; 6 м</v>
          </cell>
          <cell r="D365" t="str">
            <v>пог.м</v>
          </cell>
          <cell r="E365">
            <v>166</v>
          </cell>
        </row>
        <row r="366">
          <cell r="B366" t="str">
            <v>00-00004059</v>
          </cell>
          <cell r="C366" t="str">
            <v>Труба 40х20х3 мм; ст. 1-3пс; 6 м</v>
          </cell>
          <cell r="D366" t="str">
            <v>т</v>
          </cell>
          <cell r="E366">
            <v>0.155</v>
          </cell>
        </row>
        <row r="367">
          <cell r="B367" t="str">
            <v>00-00005601</v>
          </cell>
          <cell r="C367" t="str">
            <v>Труба 40х40х2 мм; ст. 1-3пс; 6 м</v>
          </cell>
          <cell r="D367" t="str">
            <v>пог.м</v>
          </cell>
          <cell r="E367">
            <v>399.2</v>
          </cell>
        </row>
        <row r="368">
          <cell r="B368" t="str">
            <v>00-00004806</v>
          </cell>
          <cell r="C368" t="str">
            <v>Труба 50х25х2</v>
          </cell>
          <cell r="D368" t="str">
            <v>пог.м</v>
          </cell>
          <cell r="E368">
            <v>381</v>
          </cell>
        </row>
        <row r="369">
          <cell r="B369" t="str">
            <v>00-00004994</v>
          </cell>
          <cell r="C369" t="str">
            <v>труба 50х50х2 мм 6 м</v>
          </cell>
          <cell r="D369" t="str">
            <v>пог.м</v>
          </cell>
          <cell r="E369">
            <v>244</v>
          </cell>
        </row>
        <row r="370">
          <cell r="B370" t="str">
            <v>00-00004994</v>
          </cell>
          <cell r="C370" t="str">
            <v>труба 50х50х2 мм 6 м</v>
          </cell>
          <cell r="D370" t="str">
            <v>пог.м</v>
          </cell>
          <cell r="E370">
            <v>1454</v>
          </cell>
        </row>
        <row r="371">
          <cell r="B371" t="str">
            <v>00-00004994</v>
          </cell>
          <cell r="C371" t="str">
            <v>труба 50х50х2 мм 6 м</v>
          </cell>
          <cell r="D371" t="str">
            <v>пог.м</v>
          </cell>
          <cell r="E371">
            <v>1614</v>
          </cell>
        </row>
        <row r="372">
          <cell r="B372" t="str">
            <v>00-00005335</v>
          </cell>
          <cell r="C372" t="str">
            <v>Труба водостічна 75 мм L=3 м біла</v>
          </cell>
          <cell r="D372" t="str">
            <v>шт</v>
          </cell>
          <cell r="E372">
            <v>4</v>
          </cell>
        </row>
        <row r="373">
          <cell r="B373" t="str">
            <v>00-00005335</v>
          </cell>
          <cell r="C373" t="str">
            <v>Труба водостічна 75 мм L=3 м біла</v>
          </cell>
          <cell r="D373" t="str">
            <v>шт</v>
          </cell>
          <cell r="E373">
            <v>7</v>
          </cell>
        </row>
        <row r="374">
          <cell r="B374" t="str">
            <v>00-00005335</v>
          </cell>
          <cell r="C374" t="str">
            <v>Труба водостічна 75 мм L=3 м біла</v>
          </cell>
          <cell r="D374" t="str">
            <v>шт</v>
          </cell>
          <cell r="E374">
            <v>6</v>
          </cell>
        </row>
        <row r="375">
          <cell r="B375" t="str">
            <v>00-00005335</v>
          </cell>
          <cell r="C375" t="str">
            <v>Труба водостічна 75 мм L=3 м біла</v>
          </cell>
          <cell r="D375" t="str">
            <v>шт</v>
          </cell>
          <cell r="E375">
            <v>7</v>
          </cell>
        </row>
        <row r="376">
          <cell r="B376" t="str">
            <v>00000018042</v>
          </cell>
          <cell r="C376" t="str">
            <v>Труба гнучка двошарова електротехнічна з поліетилену, зі сталевою затяжкою для зонду та муфтою, зов.</v>
          </cell>
          <cell r="D376" t="str">
            <v>м</v>
          </cell>
          <cell r="E376">
            <v>70</v>
          </cell>
        </row>
        <row r="377">
          <cell r="B377" t="str">
            <v>00-00003936</v>
          </cell>
          <cell r="C377" t="str">
            <v>Труба каналізаційна 110х3,2х1000мм зовн</v>
          </cell>
          <cell r="D377" t="str">
            <v>шт</v>
          </cell>
          <cell r="E377">
            <v>8</v>
          </cell>
        </row>
        <row r="378">
          <cell r="B378" t="str">
            <v>00-00005583</v>
          </cell>
          <cell r="C378" t="str">
            <v>Труба каналізаційна ПВХ 110х3,2х3000</v>
          </cell>
          <cell r="D378" t="str">
            <v>шт</v>
          </cell>
          <cell r="E378">
            <v>16</v>
          </cell>
        </row>
        <row r="379">
          <cell r="B379" t="str">
            <v>00-00005700</v>
          </cell>
          <cell r="C379" t="str">
            <v>Труба ПВХ гнучка гофр. д.20мм, 220Н 5/см пог. стандартна з протяжкою, сірий колір</v>
          </cell>
          <cell r="D379" t="str">
            <v>м</v>
          </cell>
          <cell r="E379">
            <v>1920</v>
          </cell>
        </row>
        <row r="380">
          <cell r="B380" t="str">
            <v>00000009068</v>
          </cell>
          <cell r="C380" t="str">
            <v>Труба ПВХ гнучка гофр. д.20мм, Light (220 Н 5/см пог.), з протяжкою, сіра</v>
          </cell>
          <cell r="D380" t="str">
            <v>м</v>
          </cell>
          <cell r="E380">
            <v>375</v>
          </cell>
        </row>
        <row r="381">
          <cell r="B381" t="str">
            <v>00-00005143</v>
          </cell>
          <cell r="C381" t="str">
            <v>Труба полиєтиленова р=12,5 бар D=25мм</v>
          </cell>
          <cell r="D381" t="str">
            <v>м</v>
          </cell>
          <cell r="E381">
            <v>100</v>
          </cell>
        </row>
        <row r="382">
          <cell r="B382" t="str">
            <v>00-00005131</v>
          </cell>
          <cell r="C382" t="str">
            <v>Труба поліпропіленова каналізаційна d=32  мм І=1000 мм</v>
          </cell>
          <cell r="D382" t="str">
            <v>шт</v>
          </cell>
          <cell r="E382">
            <v>4</v>
          </cell>
        </row>
        <row r="383">
          <cell r="B383" t="str">
            <v>00-00005129</v>
          </cell>
          <cell r="C383" t="str">
            <v>Труба поліпропіленова каналізаційна d=32  мм І=2000 мм</v>
          </cell>
          <cell r="D383" t="str">
            <v>шт</v>
          </cell>
          <cell r="E383">
            <v>20</v>
          </cell>
        </row>
        <row r="384">
          <cell r="B384" t="str">
            <v>00-00005130</v>
          </cell>
          <cell r="C384" t="str">
            <v>Труба поліпропіленова каналізаційна d=32  мм І=500 мм</v>
          </cell>
          <cell r="D384" t="str">
            <v>шт</v>
          </cell>
          <cell r="E384">
            <v>20</v>
          </cell>
        </row>
        <row r="385">
          <cell r="B385" t="str">
            <v>00000000589</v>
          </cell>
          <cell r="C385" t="str">
            <v>Труба поліпропіленова, PP-R/F, RN 20бар, 20 мм сіра</v>
          </cell>
          <cell r="D385" t="str">
            <v>м</v>
          </cell>
          <cell r="E385">
            <v>148</v>
          </cell>
        </row>
        <row r="386">
          <cell r="B386" t="str">
            <v>00-00005582</v>
          </cell>
          <cell r="C386" t="str">
            <v>Труба поліпропіленова, каналізаційна, d=50 мм, l=1500 мм 3917221000</v>
          </cell>
          <cell r="D386" t="str">
            <v>шт</v>
          </cell>
          <cell r="E386">
            <v>4</v>
          </cell>
        </row>
        <row r="387">
          <cell r="B387" t="str">
            <v>00-00005350</v>
          </cell>
          <cell r="C387" t="str">
            <v xml:space="preserve">Труба поліпропіленова, каналізаційна, d=50 мм, l=500 мм </v>
          </cell>
          <cell r="D387" t="str">
            <v>шт</v>
          </cell>
          <cell r="E387">
            <v>4</v>
          </cell>
        </row>
        <row r="388">
          <cell r="B388" t="str">
            <v>00000007615</v>
          </cell>
          <cell r="C388" t="str">
            <v>Труба профільна 100*100*3</v>
          </cell>
          <cell r="D388" t="str">
            <v>т</v>
          </cell>
          <cell r="E388">
            <v>2.6349999999999998</v>
          </cell>
        </row>
        <row r="389">
          <cell r="B389" t="str">
            <v>00-00005393</v>
          </cell>
          <cell r="C389" t="str">
            <v>Труба профільна 40*25*2</v>
          </cell>
          <cell r="D389" t="str">
            <v xml:space="preserve"> т</v>
          </cell>
          <cell r="E389">
            <v>0.61</v>
          </cell>
        </row>
        <row r="390">
          <cell r="B390" t="str">
            <v>00-00000803</v>
          </cell>
          <cell r="C390" t="str">
            <v>Труба профільна 50*25*2  L=6000 мм ст1-3 сп/пс</v>
          </cell>
          <cell r="D390" t="str">
            <v>т</v>
          </cell>
          <cell r="E390">
            <v>2.0499999999999998</v>
          </cell>
        </row>
        <row r="391">
          <cell r="B391" t="str">
            <v>00000009882</v>
          </cell>
          <cell r="C391" t="str">
            <v>Труба профільна 50*50*4  L=6000 мм стS235JRH</v>
          </cell>
          <cell r="D391" t="str">
            <v>т</v>
          </cell>
          <cell r="E391">
            <v>3.5000000000000003E-2</v>
          </cell>
        </row>
        <row r="392">
          <cell r="B392" t="str">
            <v>00-00004988</v>
          </cell>
          <cell r="C392" t="str">
            <v>Тумба мобільна 40,6х42,3х58,4</v>
          </cell>
          <cell r="D392" t="str">
            <v>шт</v>
          </cell>
          <cell r="E392">
            <v>8</v>
          </cell>
        </row>
        <row r="393">
          <cell r="B393" t="str">
            <v>00-00005145</v>
          </cell>
          <cell r="C393" t="str">
            <v xml:space="preserve">Умивальник </v>
          </cell>
          <cell r="D393" t="str">
            <v>шт</v>
          </cell>
          <cell r="E393">
            <v>20</v>
          </cell>
        </row>
        <row r="394">
          <cell r="B394" t="str">
            <v>00000000396</v>
          </cell>
          <cell r="C394" t="str">
            <v>Універсальний шуруп 5,0х70 потай</v>
          </cell>
          <cell r="D394" t="str">
            <v>шт</v>
          </cell>
          <cell r="E394">
            <v>5000</v>
          </cell>
        </row>
        <row r="395">
          <cell r="B395" t="str">
            <v>00000000396</v>
          </cell>
          <cell r="C395" t="str">
            <v>Універсальний шуруп 5,0х70 потай</v>
          </cell>
          <cell r="D395" t="str">
            <v>шт</v>
          </cell>
          <cell r="E395">
            <v>5000</v>
          </cell>
        </row>
        <row r="396">
          <cell r="B396" t="str">
            <v>00000000396</v>
          </cell>
          <cell r="C396" t="str">
            <v>Універсальний шуруп 5,0х70 потай</v>
          </cell>
          <cell r="D396" t="str">
            <v>шт</v>
          </cell>
          <cell r="E396">
            <v>5000</v>
          </cell>
        </row>
        <row r="397">
          <cell r="B397" t="str">
            <v>00000000396</v>
          </cell>
          <cell r="C397" t="str">
            <v>Універсальний шуруп 5,0х70 потай</v>
          </cell>
          <cell r="D397" t="str">
            <v>шт</v>
          </cell>
          <cell r="E397">
            <v>5000</v>
          </cell>
        </row>
        <row r="398">
          <cell r="B398" t="str">
            <v>00000000395</v>
          </cell>
          <cell r="C398" t="str">
            <v>Універсальний шуруп 5,0х90 потай</v>
          </cell>
          <cell r="D398" t="str">
            <v>шт</v>
          </cell>
          <cell r="E398">
            <v>300</v>
          </cell>
        </row>
        <row r="399">
          <cell r="B399" t="str">
            <v>00000000395</v>
          </cell>
          <cell r="C399" t="str">
            <v>Універсальний шуруп 5,0х90 потай</v>
          </cell>
          <cell r="D399" t="str">
            <v>шт</v>
          </cell>
          <cell r="E399">
            <v>360</v>
          </cell>
        </row>
        <row r="400">
          <cell r="B400" t="str">
            <v>00-00000960</v>
          </cell>
          <cell r="C400" t="str">
            <v>Унітаз-Компакт підлоговий</v>
          </cell>
          <cell r="D400" t="str">
            <v>шт</v>
          </cell>
          <cell r="E400">
            <v>8</v>
          </cell>
        </row>
        <row r="401">
          <cell r="B401" t="str">
            <v>00-00000408</v>
          </cell>
          <cell r="C401" t="str">
            <v>Утеплювач Кнауф 1250*610*50  12,2м кв.36шт/уп</v>
          </cell>
          <cell r="D401" t="str">
            <v>пак</v>
          </cell>
          <cell r="E401">
            <v>26</v>
          </cell>
        </row>
        <row r="402">
          <cell r="B402" t="str">
            <v>00-00000408</v>
          </cell>
          <cell r="C402" t="str">
            <v>Утеплювач Кнауф 1250*610*50  12,2м кв.36шт/уп</v>
          </cell>
          <cell r="D402" t="str">
            <v>пак</v>
          </cell>
          <cell r="E402">
            <v>250</v>
          </cell>
        </row>
        <row r="403">
          <cell r="B403" t="str">
            <v>00-00005422</v>
          </cell>
          <cell r="C403" t="str">
            <v>Хомут для врізки 50х1</v>
          </cell>
          <cell r="D403" t="str">
            <v>шт</v>
          </cell>
          <cell r="E403">
            <v>4</v>
          </cell>
        </row>
        <row r="404">
          <cell r="B404" t="str">
            <v>00000000104</v>
          </cell>
          <cell r="C404" t="str">
            <v>Хомут для труб  PP-R одинарний D=20 mm</v>
          </cell>
          <cell r="D404" t="str">
            <v>шт</v>
          </cell>
          <cell r="E404">
            <v>211</v>
          </cell>
        </row>
        <row r="405">
          <cell r="B405" t="str">
            <v>00-00005531</v>
          </cell>
          <cell r="C405" t="str">
            <v>Цвях для пневмостеплера 38мм 5000шт/уп</v>
          </cell>
          <cell r="D405" t="str">
            <v>шт</v>
          </cell>
          <cell r="E405">
            <v>2</v>
          </cell>
        </row>
        <row r="406">
          <cell r="B406" t="str">
            <v>00-00005659</v>
          </cell>
          <cell r="C406" t="str">
            <v>Цвях для пневмостеплера 50мм 5000шт/уп</v>
          </cell>
          <cell r="D406" t="str">
            <v>шт</v>
          </cell>
          <cell r="E406">
            <v>1</v>
          </cell>
        </row>
        <row r="407">
          <cell r="B407" t="str">
            <v>00-00001209</v>
          </cell>
          <cell r="C407" t="str">
            <v>Цвях для степлера 32мм 5000шт/уп</v>
          </cell>
          <cell r="D407" t="str">
            <v>шт</v>
          </cell>
          <cell r="E407">
            <v>1</v>
          </cell>
        </row>
        <row r="408">
          <cell r="B408" t="str">
            <v>00-00004980</v>
          </cell>
          <cell r="C408" t="str">
            <v>Цементно-стружкова плита  3200*1250*20 мм</v>
          </cell>
          <cell r="D408" t="str">
            <v>шт</v>
          </cell>
          <cell r="E408">
            <v>88</v>
          </cell>
        </row>
        <row r="409">
          <cell r="B409" t="str">
            <v>00-00004980</v>
          </cell>
          <cell r="C409" t="str">
            <v>Цементно-стружкова плита  3200*1250*20 мм</v>
          </cell>
          <cell r="D409" t="str">
            <v>шт</v>
          </cell>
          <cell r="E409">
            <v>50</v>
          </cell>
        </row>
        <row r="410">
          <cell r="B410" t="str">
            <v>00-00004980</v>
          </cell>
          <cell r="C410" t="str">
            <v>Цементно-стружкова плита  3200*1250*20 мм</v>
          </cell>
          <cell r="D410" t="str">
            <v>шт</v>
          </cell>
          <cell r="E410">
            <v>2</v>
          </cell>
        </row>
        <row r="411">
          <cell r="B411" t="str">
            <v>00-00004980</v>
          </cell>
          <cell r="C411" t="str">
            <v>Цементно-стружкова плита  3200*1250*20 мм</v>
          </cell>
          <cell r="D411" t="str">
            <v>шт</v>
          </cell>
          <cell r="E411">
            <v>77</v>
          </cell>
        </row>
        <row r="412">
          <cell r="B412" t="str">
            <v>00-00005059</v>
          </cell>
          <cell r="C412" t="str">
            <v xml:space="preserve">Шафа для одягу ШО-300/1 </v>
          </cell>
          <cell r="D412" t="str">
            <v>шт</v>
          </cell>
          <cell r="E412">
            <v>3</v>
          </cell>
        </row>
        <row r="413">
          <cell r="B413" t="str">
            <v>00-00005059</v>
          </cell>
          <cell r="C413" t="str">
            <v xml:space="preserve">Шафа для одягу ШО-300/1 </v>
          </cell>
          <cell r="D413" t="str">
            <v>шт</v>
          </cell>
          <cell r="E413">
            <v>3</v>
          </cell>
        </row>
        <row r="414">
          <cell r="B414" t="str">
            <v>00-00000260</v>
          </cell>
          <cell r="C414" t="str">
            <v>Шафа ШМ-М</v>
          </cell>
          <cell r="D414" t="str">
            <v>шт</v>
          </cell>
          <cell r="E414">
            <v>2</v>
          </cell>
        </row>
        <row r="415">
          <cell r="B415" t="str">
            <v>00-00000260</v>
          </cell>
          <cell r="C415" t="str">
            <v>Шафа ШМ-М</v>
          </cell>
          <cell r="D415" t="str">
            <v>шт</v>
          </cell>
          <cell r="E415">
            <v>1</v>
          </cell>
        </row>
        <row r="416">
          <cell r="B416" t="str">
            <v>00-00005395</v>
          </cell>
          <cell r="C416" t="str">
            <v>Шафа ШМ-М-М</v>
          </cell>
          <cell r="D416" t="str">
            <v>шт</v>
          </cell>
          <cell r="E416">
            <v>2</v>
          </cell>
        </row>
        <row r="417">
          <cell r="B417" t="str">
            <v>00000015090</v>
          </cell>
          <cell r="C417" t="str">
            <v>Шина нульова 6*9</v>
          </cell>
          <cell r="D417" t="str">
            <v>шт</v>
          </cell>
          <cell r="E417">
            <v>32</v>
          </cell>
        </row>
        <row r="418">
          <cell r="B418" t="str">
            <v>00-00005768</v>
          </cell>
          <cell r="C418" t="str">
            <v>Шпаклівка по дереву 1,5 кг</v>
          </cell>
          <cell r="D418" t="str">
            <v>шт</v>
          </cell>
          <cell r="E418">
            <v>1</v>
          </cell>
        </row>
        <row r="419">
          <cell r="B419" t="str">
            <v>00-00004852</v>
          </cell>
          <cell r="C419" t="str">
            <v>Шпилька  М24 DIN 975 ЦБ</v>
          </cell>
          <cell r="D419" t="str">
            <v>шт</v>
          </cell>
          <cell r="E419">
            <v>8</v>
          </cell>
        </row>
        <row r="420">
          <cell r="B420" t="str">
            <v>00-00004851</v>
          </cell>
          <cell r="C420" t="str">
            <v>Шпилька  М48 DIN975</v>
          </cell>
          <cell r="D420" t="str">
            <v>шт</v>
          </cell>
          <cell r="E420">
            <v>4</v>
          </cell>
        </row>
        <row r="421">
          <cell r="B421" t="str">
            <v>00000012126</v>
          </cell>
          <cell r="C421" t="str">
            <v>Шуруп 3,5*25 пкр</v>
          </cell>
          <cell r="D421" t="str">
            <v>шт</v>
          </cell>
          <cell r="E421">
            <v>2000</v>
          </cell>
        </row>
        <row r="422">
          <cell r="B422" t="str">
            <v>00000004659</v>
          </cell>
          <cell r="C422" t="str">
            <v>Шуруп 4,5х45</v>
          </cell>
          <cell r="D422" t="str">
            <v>шт</v>
          </cell>
          <cell r="E422">
            <v>5000</v>
          </cell>
        </row>
        <row r="423">
          <cell r="B423" t="str">
            <v>00000004659</v>
          </cell>
          <cell r="C423" t="str">
            <v>Шуруп 4,5х45</v>
          </cell>
          <cell r="D423" t="str">
            <v>шт</v>
          </cell>
          <cell r="E423">
            <v>5000</v>
          </cell>
        </row>
        <row r="424">
          <cell r="B424" t="str">
            <v>00000004659</v>
          </cell>
          <cell r="C424" t="str">
            <v>Шуруп 4,5х45</v>
          </cell>
          <cell r="D424" t="str">
            <v>шт</v>
          </cell>
          <cell r="E424">
            <v>5000</v>
          </cell>
        </row>
        <row r="425">
          <cell r="B425" t="str">
            <v>00000004659</v>
          </cell>
          <cell r="C425" t="str">
            <v>Шуруп 4,5х45</v>
          </cell>
          <cell r="D425" t="str">
            <v>шт</v>
          </cell>
          <cell r="E425">
            <v>2000</v>
          </cell>
        </row>
        <row r="426">
          <cell r="B426" t="str">
            <v>00000004453</v>
          </cell>
          <cell r="C426" t="str">
            <v>Шуруп 4х45</v>
          </cell>
          <cell r="D426" t="str">
            <v>шт</v>
          </cell>
          <cell r="E426">
            <v>900</v>
          </cell>
        </row>
        <row r="427">
          <cell r="B427" t="str">
            <v>00000004453</v>
          </cell>
          <cell r="C427" t="str">
            <v>Шуруп 4х45</v>
          </cell>
          <cell r="D427" t="str">
            <v>шт</v>
          </cell>
          <cell r="E427">
            <v>500</v>
          </cell>
        </row>
        <row r="428">
          <cell r="B428" t="str">
            <v>00000004453</v>
          </cell>
          <cell r="C428" t="str">
            <v>Шуруп 4х45</v>
          </cell>
          <cell r="D428" t="str">
            <v>шт</v>
          </cell>
          <cell r="E428">
            <v>5000</v>
          </cell>
        </row>
        <row r="429">
          <cell r="B429" t="str">
            <v>00-00005765</v>
          </cell>
          <cell r="C429" t="str">
            <v>Шуруп 4х70</v>
          </cell>
          <cell r="D429" t="str">
            <v>шт</v>
          </cell>
          <cell r="E429">
            <v>500</v>
          </cell>
        </row>
        <row r="430">
          <cell r="B430" t="str">
            <v>00000002054</v>
          </cell>
          <cell r="C430" t="str">
            <v>Шуруп г/к по дереву 3,5*35 мм</v>
          </cell>
          <cell r="D430" t="str">
            <v>шт</v>
          </cell>
          <cell r="E430">
            <v>700</v>
          </cell>
        </row>
        <row r="431">
          <cell r="B431" t="str">
            <v>00000002054</v>
          </cell>
          <cell r="C431" t="str">
            <v>Шуруп г/к по дереву 3,5*35 мм</v>
          </cell>
          <cell r="D431" t="str">
            <v>шт</v>
          </cell>
          <cell r="E431">
            <v>1300</v>
          </cell>
        </row>
        <row r="432">
          <cell r="B432" t="str">
            <v>00000002054</v>
          </cell>
          <cell r="C432" t="str">
            <v>Шуруп г/к по дереву 3,5*35 мм</v>
          </cell>
          <cell r="D432" t="str">
            <v>шт</v>
          </cell>
          <cell r="E432">
            <v>1300</v>
          </cell>
        </row>
        <row r="433">
          <cell r="B433" t="str">
            <v>00000002054</v>
          </cell>
          <cell r="C433" t="str">
            <v>Шуруп г/к по дереву 3,5*35 мм</v>
          </cell>
          <cell r="D433" t="str">
            <v>шт</v>
          </cell>
          <cell r="E433">
            <v>5000</v>
          </cell>
        </row>
        <row r="434">
          <cell r="B434" t="str">
            <v>00-00005838</v>
          </cell>
          <cell r="C434" t="str">
            <v>Щебінь 5-20</v>
          </cell>
          <cell r="D434" t="str">
            <v>м куб</v>
          </cell>
          <cell r="E434">
            <v>2</v>
          </cell>
        </row>
        <row r="435">
          <cell r="B435" t="str">
            <v>00-00005045</v>
          </cell>
          <cell r="C435" t="str">
            <v>Щиток пластик. 4 мод.зовн.устан.</v>
          </cell>
          <cell r="D435" t="str">
            <v>шт</v>
          </cell>
          <cell r="E435">
            <v>21</v>
          </cell>
        </row>
        <row r="436">
          <cell r="B436" t="str">
            <v>00-00005044</v>
          </cell>
          <cell r="C436" t="str">
            <v>Щиток пластик. 6 мод.зовн.устан.</v>
          </cell>
          <cell r="D436" t="str">
            <v>шт</v>
          </cell>
          <cell r="E436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AH414"/>
  <sheetViews>
    <sheetView topLeftCell="G238" zoomScale="70" zoomScaleNormal="70" workbookViewId="0">
      <selection activeCell="L45" sqref="L45:O45"/>
    </sheetView>
  </sheetViews>
  <sheetFormatPr defaultRowHeight="15" x14ac:dyDescent="0.25"/>
  <cols>
    <col min="1" max="1" width="6.7109375" style="4" customWidth="1"/>
    <col min="2" max="2" width="63.140625" customWidth="1"/>
    <col min="3" max="3" width="10.42578125" style="4" customWidth="1"/>
    <col min="4" max="4" width="11.140625" style="4" customWidth="1"/>
    <col min="5" max="5" width="13.140625" style="4" customWidth="1"/>
    <col min="6" max="6" width="20.140625" style="4" customWidth="1"/>
    <col min="7" max="11" width="13.140625" style="4" customWidth="1"/>
    <col min="12" max="12" width="17.28515625" style="4" customWidth="1"/>
    <col min="13" max="13" width="61" customWidth="1"/>
    <col min="14" max="14" width="11.7109375" style="5" customWidth="1"/>
    <col min="15" max="15" width="14" style="5" customWidth="1"/>
    <col min="16" max="16" width="11.7109375" style="5" customWidth="1"/>
    <col min="17" max="17" width="15.42578125" style="5" bestFit="1" customWidth="1"/>
    <col min="18" max="18" width="35.42578125" customWidth="1"/>
    <col min="19" max="19" width="12.140625" bestFit="1" customWidth="1"/>
    <col min="21" max="21" width="9.85546875" bestFit="1" customWidth="1"/>
  </cols>
  <sheetData>
    <row r="1" spans="1:20" ht="15.75" customHeight="1" x14ac:dyDescent="0.25">
      <c r="A1" s="2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236" t="s">
        <v>26</v>
      </c>
      <c r="N1" s="236"/>
      <c r="O1" s="236"/>
      <c r="P1" s="236"/>
      <c r="Q1" s="236"/>
      <c r="R1" s="236"/>
      <c r="S1" s="18"/>
      <c r="T1" s="18"/>
    </row>
    <row r="2" spans="1:20" ht="15" customHeight="1" x14ac:dyDescent="0.25">
      <c r="A2" s="2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237"/>
      <c r="N2" s="237"/>
      <c r="O2" s="237"/>
      <c r="P2" s="237"/>
      <c r="Q2" s="237"/>
      <c r="R2" s="237"/>
      <c r="S2" s="18"/>
      <c r="T2" s="18"/>
    </row>
    <row r="3" spans="1:20" ht="15.75" x14ac:dyDescent="0.25">
      <c r="A3" s="2"/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10"/>
      <c r="N3" s="10"/>
      <c r="O3" s="10"/>
      <c r="P3" s="10"/>
      <c r="Q3" s="10"/>
      <c r="R3" s="10"/>
      <c r="S3" s="18"/>
      <c r="T3" s="18"/>
    </row>
    <row r="4" spans="1:20" ht="23.25" x14ac:dyDescent="0.35">
      <c r="A4" s="2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240" t="s">
        <v>27</v>
      </c>
      <c r="N4" s="240"/>
      <c r="O4" s="240"/>
      <c r="P4" s="240"/>
      <c r="Q4" s="240"/>
      <c r="R4" s="240"/>
      <c r="S4" s="18"/>
      <c r="T4" s="18"/>
    </row>
    <row r="5" spans="1:20" ht="21" x14ac:dyDescent="0.35">
      <c r="A5" s="2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241" t="s">
        <v>28</v>
      </c>
      <c r="N5" s="241"/>
      <c r="O5" s="241"/>
      <c r="P5" s="241"/>
      <c r="Q5" s="241"/>
      <c r="R5" s="241"/>
      <c r="S5" s="18"/>
      <c r="T5" s="18"/>
    </row>
    <row r="6" spans="1:20" ht="15.75" x14ac:dyDescent="0.25">
      <c r="A6" s="2"/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2"/>
      <c r="N6" s="14"/>
      <c r="O6" s="14"/>
      <c r="P6" s="15"/>
      <c r="Q6" s="16"/>
      <c r="R6" s="17"/>
      <c r="S6" s="18"/>
      <c r="T6" s="18"/>
    </row>
    <row r="7" spans="1:20" ht="18.75" x14ac:dyDescent="0.3">
      <c r="A7" s="2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238" t="s">
        <v>33</v>
      </c>
      <c r="N7" s="238"/>
      <c r="O7" s="238"/>
      <c r="P7" s="238"/>
      <c r="Q7" s="238"/>
      <c r="R7" s="238"/>
      <c r="S7" s="18"/>
      <c r="T7" s="18"/>
    </row>
    <row r="8" spans="1:20" ht="15.75" x14ac:dyDescent="0.25">
      <c r="A8" s="2"/>
      <c r="B8" s="1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S8" s="18"/>
      <c r="T8" s="18"/>
    </row>
    <row r="9" spans="1:20" ht="15.75" x14ac:dyDescent="0.25">
      <c r="A9" s="2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S9" s="18"/>
      <c r="T9" s="18"/>
    </row>
    <row r="10" spans="1:20" ht="18" customHeight="1" x14ac:dyDescent="0.25">
      <c r="A10" s="239" t="s">
        <v>0</v>
      </c>
      <c r="B10" s="239"/>
      <c r="C10" s="239"/>
      <c r="D10" s="239"/>
      <c r="E10" s="239"/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18"/>
      <c r="T10" s="18"/>
    </row>
    <row r="11" spans="1:20" ht="18" customHeight="1" x14ac:dyDescent="0.25">
      <c r="A11" s="239" t="s">
        <v>1</v>
      </c>
      <c r="B11" s="239"/>
      <c r="C11" s="239"/>
      <c r="D11" s="239"/>
      <c r="E11" s="239"/>
      <c r="F11" s="239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39"/>
      <c r="R11" s="239"/>
      <c r="S11" s="18"/>
      <c r="T11" s="18"/>
    </row>
    <row r="12" spans="1:20" ht="18" customHeight="1" x14ac:dyDescent="0.25">
      <c r="A12" s="239" t="s">
        <v>2</v>
      </c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18"/>
      <c r="T12" s="18"/>
    </row>
    <row r="13" spans="1:20" ht="63.6" customHeight="1" x14ac:dyDescent="0.25">
      <c r="A13" s="234" t="s">
        <v>720</v>
      </c>
      <c r="B13" s="235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</row>
    <row r="14" spans="1:20" ht="27" customHeight="1" thickBot="1" x14ac:dyDescent="0.3">
      <c r="A14" s="242" t="s">
        <v>36</v>
      </c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2"/>
      <c r="Q14" s="242"/>
    </row>
    <row r="15" spans="1:20" ht="30.6" customHeight="1" thickBot="1" x14ac:dyDescent="0.3">
      <c r="A15" s="243" t="s">
        <v>24</v>
      </c>
      <c r="B15" s="244"/>
      <c r="C15" s="244"/>
      <c r="D15" s="244"/>
      <c r="E15" s="244"/>
      <c r="F15" s="244"/>
      <c r="G15" s="244"/>
      <c r="H15" s="244"/>
      <c r="I15" s="244"/>
      <c r="J15" s="244"/>
      <c r="K15" s="244"/>
      <c r="L15" s="245" t="s">
        <v>25</v>
      </c>
      <c r="M15" s="246"/>
      <c r="N15" s="246"/>
      <c r="O15" s="246"/>
      <c r="P15" s="246"/>
      <c r="Q15" s="246"/>
      <c r="R15" s="247"/>
    </row>
    <row r="16" spans="1:20" ht="15" customHeight="1" x14ac:dyDescent="0.25">
      <c r="A16" s="259" t="s">
        <v>3</v>
      </c>
      <c r="B16" s="261" t="s">
        <v>4</v>
      </c>
      <c r="C16" s="261"/>
      <c r="D16" s="248" t="s">
        <v>5</v>
      </c>
      <c r="E16" s="261" t="s">
        <v>6</v>
      </c>
      <c r="F16" s="263"/>
      <c r="G16" s="248"/>
      <c r="H16" s="248"/>
      <c r="I16" s="251"/>
      <c r="J16" s="248" t="s">
        <v>21</v>
      </c>
      <c r="K16" s="253" t="s">
        <v>22</v>
      </c>
      <c r="L16" s="21"/>
      <c r="M16" s="256" t="s">
        <v>7</v>
      </c>
      <c r="N16" s="257"/>
      <c r="O16" s="257"/>
      <c r="P16" s="257"/>
      <c r="Q16" s="258"/>
      <c r="R16" s="253" t="s">
        <v>8</v>
      </c>
    </row>
    <row r="17" spans="1:18" ht="34.15" customHeight="1" x14ac:dyDescent="0.25">
      <c r="A17" s="260"/>
      <c r="B17" s="262"/>
      <c r="C17" s="262"/>
      <c r="D17" s="249"/>
      <c r="E17" s="262"/>
      <c r="F17" s="249"/>
      <c r="G17" s="249"/>
      <c r="H17" s="249"/>
      <c r="I17" s="252"/>
      <c r="J17" s="249"/>
      <c r="K17" s="254"/>
      <c r="L17" s="22" t="s">
        <v>20</v>
      </c>
      <c r="M17" s="19" t="s">
        <v>9</v>
      </c>
      <c r="N17" s="23" t="s">
        <v>10</v>
      </c>
      <c r="O17" s="12" t="s">
        <v>6</v>
      </c>
      <c r="P17" s="13" t="s">
        <v>21</v>
      </c>
      <c r="Q17" s="13" t="s">
        <v>22</v>
      </c>
      <c r="R17" s="254"/>
    </row>
    <row r="18" spans="1:18" ht="15.75" thickBot="1" x14ac:dyDescent="0.3">
      <c r="A18" s="26">
        <v>1</v>
      </c>
      <c r="B18" s="27">
        <v>2</v>
      </c>
      <c r="C18" s="27"/>
      <c r="D18" s="27">
        <v>3</v>
      </c>
      <c r="E18" s="27">
        <v>4</v>
      </c>
      <c r="F18" s="27"/>
      <c r="G18" s="27"/>
      <c r="H18" s="27"/>
      <c r="I18" s="79"/>
      <c r="J18" s="27">
        <v>5</v>
      </c>
      <c r="K18" s="28">
        <v>6</v>
      </c>
      <c r="L18" s="88">
        <v>7</v>
      </c>
      <c r="M18" s="12">
        <v>8</v>
      </c>
      <c r="N18" s="12">
        <v>9</v>
      </c>
      <c r="O18" s="12">
        <v>10</v>
      </c>
      <c r="P18" s="19">
        <v>11</v>
      </c>
      <c r="Q18" s="19">
        <v>12</v>
      </c>
      <c r="R18" s="102">
        <v>13</v>
      </c>
    </row>
    <row r="19" spans="1:18" ht="33.6" customHeight="1" x14ac:dyDescent="0.25">
      <c r="A19" s="65"/>
      <c r="B19" s="85" t="s">
        <v>721</v>
      </c>
      <c r="C19" s="85"/>
      <c r="D19" s="85" t="s">
        <v>34</v>
      </c>
      <c r="E19" s="85">
        <v>1</v>
      </c>
      <c r="F19" s="74"/>
      <c r="G19" s="74"/>
      <c r="H19" s="74"/>
      <c r="I19" s="74"/>
      <c r="J19" s="74"/>
      <c r="K19" s="74"/>
      <c r="L19" s="68" t="s">
        <v>519</v>
      </c>
      <c r="M19" s="57" t="s">
        <v>162</v>
      </c>
      <c r="N19" s="70" t="s">
        <v>34</v>
      </c>
      <c r="O19" s="70">
        <v>1</v>
      </c>
      <c r="P19" s="97">
        <f>VLOOKUP(L19,[1]TDSheet!A$12:D$300,4,FALSE)</f>
        <v>3</v>
      </c>
      <c r="Q19" s="97"/>
      <c r="R19" s="101"/>
    </row>
    <row r="20" spans="1:18" ht="15.75" x14ac:dyDescent="0.25">
      <c r="A20" s="56"/>
      <c r="B20" s="64"/>
      <c r="C20" s="52"/>
      <c r="D20" s="66"/>
      <c r="E20" s="67"/>
      <c r="F20" s="80"/>
      <c r="G20" s="81"/>
      <c r="H20" s="81"/>
      <c r="I20" s="53"/>
      <c r="J20" s="53"/>
      <c r="K20" s="53"/>
      <c r="L20" s="86" t="s">
        <v>271</v>
      </c>
      <c r="M20" s="87" t="s">
        <v>272</v>
      </c>
      <c r="N20" s="55" t="s">
        <v>34</v>
      </c>
      <c r="O20" s="89">
        <v>6</v>
      </c>
      <c r="P20" s="97">
        <f>VLOOKUP(L20,[1]TDSheet!A$12:D$300,4,FALSE)</f>
        <v>42</v>
      </c>
      <c r="Q20" s="97"/>
      <c r="R20" s="101"/>
    </row>
    <row r="21" spans="1:18" ht="15.75" x14ac:dyDescent="0.25">
      <c r="A21" s="56"/>
      <c r="B21" s="64"/>
      <c r="C21" s="52"/>
      <c r="D21" s="66"/>
      <c r="E21" s="67"/>
      <c r="F21" s="80"/>
      <c r="G21" s="81"/>
      <c r="H21" s="81"/>
      <c r="I21" s="53"/>
      <c r="J21" s="53"/>
      <c r="K21" s="53"/>
      <c r="L21" s="86" t="s">
        <v>58</v>
      </c>
      <c r="M21" s="87" t="s">
        <v>67</v>
      </c>
      <c r="N21" s="55" t="s">
        <v>34</v>
      </c>
      <c r="O21" s="89">
        <v>16</v>
      </c>
      <c r="P21" s="97">
        <f>VLOOKUP(L21,[1]TDSheet!A$12:D$300,4,FALSE)</f>
        <v>103</v>
      </c>
      <c r="Q21" s="97"/>
      <c r="R21" s="101"/>
    </row>
    <row r="22" spans="1:18" ht="31.5" x14ac:dyDescent="0.25">
      <c r="A22" s="56"/>
      <c r="B22" s="64"/>
      <c r="C22" s="52"/>
      <c r="D22" s="66"/>
      <c r="E22" s="67"/>
      <c r="F22" s="80"/>
      <c r="G22" s="81"/>
      <c r="H22" s="81"/>
      <c r="I22" s="53"/>
      <c r="J22" s="53"/>
      <c r="K22" s="53"/>
      <c r="L22" s="86" t="s">
        <v>273</v>
      </c>
      <c r="M22" s="87" t="s">
        <v>274</v>
      </c>
      <c r="N22" s="113" t="s">
        <v>34</v>
      </c>
      <c r="O22" s="89">
        <v>3</v>
      </c>
      <c r="P22" s="97">
        <f>VLOOKUP(L22,[1]TDSheet!A$12:D$300,4,FALSE)</f>
        <v>21</v>
      </c>
      <c r="Q22" s="97"/>
      <c r="R22" s="101"/>
    </row>
    <row r="23" spans="1:18" ht="15.75" x14ac:dyDescent="0.25">
      <c r="A23" s="58"/>
      <c r="B23" s="59"/>
      <c r="C23" s="59"/>
      <c r="D23" s="59"/>
      <c r="E23" s="60"/>
      <c r="F23" s="80"/>
      <c r="G23" s="81"/>
      <c r="H23" s="81"/>
      <c r="I23" s="53"/>
      <c r="J23" s="75"/>
      <c r="K23" s="75"/>
      <c r="L23" s="86" t="s">
        <v>275</v>
      </c>
      <c r="M23" s="61" t="s">
        <v>276</v>
      </c>
      <c r="N23" s="113" t="s">
        <v>34</v>
      </c>
      <c r="O23" s="62">
        <v>1</v>
      </c>
      <c r="P23" s="97">
        <f>VLOOKUP(L23,[1]TDSheet!A$12:D$300,4,FALSE)</f>
        <v>6</v>
      </c>
      <c r="Q23" s="97"/>
      <c r="R23" s="101"/>
    </row>
    <row r="24" spans="1:18" ht="15.75" x14ac:dyDescent="0.25">
      <c r="A24" s="58"/>
      <c r="B24" s="59"/>
      <c r="C24" s="59"/>
      <c r="D24" s="59"/>
      <c r="E24" s="60"/>
      <c r="F24" s="80"/>
      <c r="G24" s="81"/>
      <c r="H24" s="81"/>
      <c r="I24" s="53"/>
      <c r="J24" s="75"/>
      <c r="K24" s="75"/>
      <c r="L24" s="63">
        <v>355</v>
      </c>
      <c r="M24" s="61" t="s">
        <v>163</v>
      </c>
      <c r="N24" s="113" t="s">
        <v>34</v>
      </c>
      <c r="O24" s="62">
        <v>1</v>
      </c>
      <c r="P24" s="97">
        <f>VLOOKUP(L24,[1]TDSheet!A$12:D$300,4,FALSE)</f>
        <v>2</v>
      </c>
      <c r="Q24" s="97"/>
      <c r="R24" s="101"/>
    </row>
    <row r="25" spans="1:18" ht="15.75" x14ac:dyDescent="0.25">
      <c r="A25" s="58"/>
      <c r="B25" s="59"/>
      <c r="C25" s="59"/>
      <c r="D25" s="59"/>
      <c r="E25" s="60"/>
      <c r="F25" s="80"/>
      <c r="G25" s="81"/>
      <c r="H25" s="81"/>
      <c r="I25" s="53"/>
      <c r="J25" s="75"/>
      <c r="K25" s="75"/>
      <c r="L25" s="63" t="s">
        <v>277</v>
      </c>
      <c r="M25" s="61" t="s">
        <v>278</v>
      </c>
      <c r="N25" s="113" t="s">
        <v>34</v>
      </c>
      <c r="O25" s="62">
        <v>2</v>
      </c>
      <c r="P25" s="97">
        <f>VLOOKUP(L25,[1]TDSheet!A$12:D$300,4,FALSE)</f>
        <v>4</v>
      </c>
      <c r="Q25" s="97"/>
      <c r="R25" s="101"/>
    </row>
    <row r="26" spans="1:18" ht="15.75" x14ac:dyDescent="0.25">
      <c r="A26" s="58"/>
      <c r="B26" s="59"/>
      <c r="C26" s="59"/>
      <c r="D26" s="59"/>
      <c r="E26" s="60"/>
      <c r="F26" s="80"/>
      <c r="G26" s="81"/>
      <c r="H26" s="81"/>
      <c r="I26" s="53"/>
      <c r="J26" s="75"/>
      <c r="K26" s="75"/>
      <c r="L26" s="63">
        <v>601</v>
      </c>
      <c r="M26" s="61" t="s">
        <v>69</v>
      </c>
      <c r="N26" s="113" t="s">
        <v>45</v>
      </c>
      <c r="O26" s="62">
        <v>110</v>
      </c>
      <c r="P26" s="97">
        <f>VLOOKUP(L26,[1]TDSheet!A$12:D$300,4,FALSE)</f>
        <v>2</v>
      </c>
      <c r="Q26" s="97"/>
      <c r="R26" s="101"/>
    </row>
    <row r="27" spans="1:18" ht="15.75" x14ac:dyDescent="0.25">
      <c r="A27" s="58"/>
      <c r="B27" s="59"/>
      <c r="C27" s="59"/>
      <c r="D27" s="59"/>
      <c r="E27" s="60"/>
      <c r="F27" s="80"/>
      <c r="G27" s="81"/>
      <c r="H27" s="81"/>
      <c r="I27" s="53"/>
      <c r="J27" s="75"/>
      <c r="K27" s="75"/>
      <c r="L27" s="63">
        <v>18520</v>
      </c>
      <c r="M27" s="61" t="s">
        <v>70</v>
      </c>
      <c r="N27" s="113" t="s">
        <v>56</v>
      </c>
      <c r="O27" s="62">
        <v>0.26500000000000001</v>
      </c>
      <c r="P27" s="97">
        <f>VLOOKUP(L27,[1]TDSheet!A$12:D$300,4,FALSE)</f>
        <v>1.07</v>
      </c>
      <c r="Q27" s="97"/>
      <c r="R27" s="101"/>
    </row>
    <row r="28" spans="1:18" ht="15.75" x14ac:dyDescent="0.25">
      <c r="A28" s="58"/>
      <c r="B28" s="59"/>
      <c r="C28" s="59"/>
      <c r="D28" s="59"/>
      <c r="E28" s="60"/>
      <c r="F28" s="80"/>
      <c r="G28" s="81"/>
      <c r="H28" s="81"/>
      <c r="I28" s="53"/>
      <c r="J28" s="75"/>
      <c r="K28" s="75"/>
      <c r="L28" s="63">
        <v>18382</v>
      </c>
      <c r="M28" s="61" t="s">
        <v>71</v>
      </c>
      <c r="N28" s="113" t="s">
        <v>56</v>
      </c>
      <c r="O28" s="62">
        <v>0.5</v>
      </c>
      <c r="P28" s="97">
        <f>VLOOKUP(L28,[1]TDSheet!A$12:D$300,4,FALSE)</f>
        <v>1.9750000000000001</v>
      </c>
      <c r="Q28" s="97"/>
      <c r="R28" s="101"/>
    </row>
    <row r="29" spans="1:18" ht="15.75" x14ac:dyDescent="0.25">
      <c r="A29" s="58"/>
      <c r="B29" s="59"/>
      <c r="C29" s="59"/>
      <c r="D29" s="59"/>
      <c r="E29" s="60"/>
      <c r="F29" s="80"/>
      <c r="G29" s="81"/>
      <c r="H29" s="81"/>
      <c r="I29" s="53"/>
      <c r="J29" s="75"/>
      <c r="K29" s="75"/>
      <c r="L29" s="63">
        <v>18518</v>
      </c>
      <c r="M29" s="61" t="s">
        <v>72</v>
      </c>
      <c r="N29" s="113" t="s">
        <v>56</v>
      </c>
      <c r="O29" s="62">
        <f>0.012+0.012+0.009+0.034</f>
        <v>6.7000000000000004E-2</v>
      </c>
      <c r="P29" s="97">
        <f>VLOOKUP(L29,[1]TDSheet!A$12:D$300,4,FALSE)</f>
        <v>0.621</v>
      </c>
      <c r="Q29" s="97"/>
      <c r="R29" s="101"/>
    </row>
    <row r="30" spans="1:18" ht="15.75" x14ac:dyDescent="0.25">
      <c r="A30" s="58"/>
      <c r="B30" s="59"/>
      <c r="C30" s="59"/>
      <c r="D30" s="59"/>
      <c r="E30" s="60"/>
      <c r="F30" s="80"/>
      <c r="G30" s="81"/>
      <c r="H30" s="81"/>
      <c r="I30" s="53"/>
      <c r="J30" s="75"/>
      <c r="K30" s="75"/>
      <c r="L30" s="63">
        <v>599</v>
      </c>
      <c r="M30" s="61" t="s">
        <v>73</v>
      </c>
      <c r="N30" s="113" t="s">
        <v>34</v>
      </c>
      <c r="O30" s="62">
        <v>10</v>
      </c>
      <c r="P30" s="97">
        <f>VLOOKUP(L30,[1]TDSheet!A$12:D$300,4,FALSE)</f>
        <v>63</v>
      </c>
      <c r="Q30" s="97"/>
      <c r="R30" s="101"/>
    </row>
    <row r="31" spans="1:18" ht="15.75" x14ac:dyDescent="0.25">
      <c r="A31" s="58"/>
      <c r="B31" s="59"/>
      <c r="C31" s="59"/>
      <c r="D31" s="59"/>
      <c r="E31" s="60"/>
      <c r="F31" s="80"/>
      <c r="G31" s="81"/>
      <c r="H31" s="81"/>
      <c r="I31" s="53"/>
      <c r="J31" s="75"/>
      <c r="K31" s="75"/>
      <c r="L31" s="63">
        <v>616</v>
      </c>
      <c r="M31" s="61" t="s">
        <v>279</v>
      </c>
      <c r="N31" s="113" t="s">
        <v>34</v>
      </c>
      <c r="O31" s="62">
        <v>2</v>
      </c>
      <c r="P31" s="97">
        <f>VLOOKUP(L31,[1]TDSheet!A$12:D$300,4,FALSE)</f>
        <v>60</v>
      </c>
      <c r="Q31" s="97"/>
      <c r="R31" s="101"/>
    </row>
    <row r="32" spans="1:18" ht="15.75" x14ac:dyDescent="0.25">
      <c r="A32" s="58"/>
      <c r="B32" s="59"/>
      <c r="C32" s="59"/>
      <c r="D32" s="59"/>
      <c r="E32" s="60"/>
      <c r="F32" s="80"/>
      <c r="G32" s="81"/>
      <c r="H32" s="81"/>
      <c r="I32" s="53"/>
      <c r="J32" s="75"/>
      <c r="K32" s="75"/>
      <c r="L32" s="63" t="s">
        <v>280</v>
      </c>
      <c r="M32" s="61" t="s">
        <v>281</v>
      </c>
      <c r="N32" s="113" t="s">
        <v>34</v>
      </c>
      <c r="O32" s="62">
        <v>1</v>
      </c>
      <c r="P32" s="97">
        <f>VLOOKUP(L32,[1]TDSheet!A$12:D$300,4,FALSE)</f>
        <v>3</v>
      </c>
      <c r="Q32" s="97"/>
      <c r="R32" s="101"/>
    </row>
    <row r="33" spans="1:18" ht="15.75" x14ac:dyDescent="0.25">
      <c r="A33" s="58"/>
      <c r="B33" s="59"/>
      <c r="C33" s="59"/>
      <c r="D33" s="59"/>
      <c r="E33" s="60"/>
      <c r="F33" s="80"/>
      <c r="G33" s="81"/>
      <c r="H33" s="81"/>
      <c r="I33" s="53"/>
      <c r="J33" s="75"/>
      <c r="K33" s="75"/>
      <c r="L33" s="63" t="s">
        <v>164</v>
      </c>
      <c r="M33" s="61" t="s">
        <v>165</v>
      </c>
      <c r="N33" s="113" t="s">
        <v>34</v>
      </c>
      <c r="O33" s="62">
        <v>1</v>
      </c>
      <c r="P33" s="97">
        <f>VLOOKUP(L33,[1]TDSheet!A$12:D$300,4,FALSE)</f>
        <v>7</v>
      </c>
      <c r="Q33" s="97"/>
      <c r="R33" s="101"/>
    </row>
    <row r="34" spans="1:18" ht="15.75" x14ac:dyDescent="0.25">
      <c r="A34" s="58"/>
      <c r="B34" s="59"/>
      <c r="C34" s="59"/>
      <c r="D34" s="59"/>
      <c r="E34" s="60"/>
      <c r="F34" s="80"/>
      <c r="G34" s="81"/>
      <c r="H34" s="81"/>
      <c r="I34" s="53"/>
      <c r="J34" s="75"/>
      <c r="K34" s="75"/>
      <c r="L34" s="63" t="s">
        <v>282</v>
      </c>
      <c r="M34" s="61" t="s">
        <v>283</v>
      </c>
      <c r="N34" s="113" t="s">
        <v>34</v>
      </c>
      <c r="O34" s="62">
        <v>7</v>
      </c>
      <c r="P34" s="97">
        <f>VLOOKUP(L34,[1]TDSheet!A$12:D$300,4,FALSE)</f>
        <v>58</v>
      </c>
      <c r="Q34" s="97"/>
      <c r="R34" s="101"/>
    </row>
    <row r="35" spans="1:18" ht="15.75" x14ac:dyDescent="0.25">
      <c r="A35" s="58"/>
      <c r="B35" s="59"/>
      <c r="C35" s="59"/>
      <c r="D35" s="59"/>
      <c r="E35" s="60"/>
      <c r="F35" s="80"/>
      <c r="G35" s="81"/>
      <c r="H35" s="81"/>
      <c r="I35" s="53"/>
      <c r="J35" s="75"/>
      <c r="K35" s="75"/>
      <c r="L35" s="63">
        <v>486</v>
      </c>
      <c r="M35" s="61" t="s">
        <v>284</v>
      </c>
      <c r="N35" s="113" t="s">
        <v>34</v>
      </c>
      <c r="O35" s="62">
        <v>4</v>
      </c>
      <c r="P35" s="97">
        <f>VLOOKUP(L35,[1]TDSheet!A$12:D$300,4,FALSE)</f>
        <v>28</v>
      </c>
      <c r="Q35" s="97"/>
      <c r="R35" s="101"/>
    </row>
    <row r="36" spans="1:18" ht="15.75" x14ac:dyDescent="0.25">
      <c r="A36" s="58"/>
      <c r="B36" s="59"/>
      <c r="C36" s="59"/>
      <c r="D36" s="59"/>
      <c r="E36" s="60"/>
      <c r="F36" s="80"/>
      <c r="G36" s="81"/>
      <c r="H36" s="81"/>
      <c r="I36" s="53"/>
      <c r="J36" s="75"/>
      <c r="K36" s="75"/>
      <c r="L36" s="63">
        <v>17002</v>
      </c>
      <c r="M36" s="61" t="s">
        <v>285</v>
      </c>
      <c r="N36" s="113" t="s">
        <v>34</v>
      </c>
      <c r="O36" s="62">
        <v>4</v>
      </c>
      <c r="P36" s="97">
        <f>VLOOKUP(L36,[1]TDSheet!A$12:D$300,4,FALSE)</f>
        <v>12</v>
      </c>
      <c r="Q36" s="97"/>
      <c r="R36" s="101"/>
    </row>
    <row r="37" spans="1:18" ht="15.75" x14ac:dyDescent="0.25">
      <c r="A37" s="58"/>
      <c r="B37" s="59"/>
      <c r="C37" s="59"/>
      <c r="D37" s="59"/>
      <c r="E37" s="60"/>
      <c r="F37" s="80"/>
      <c r="G37" s="81"/>
      <c r="H37" s="81"/>
      <c r="I37" s="53"/>
      <c r="J37" s="75"/>
      <c r="K37" s="75"/>
      <c r="L37" s="63" t="s">
        <v>286</v>
      </c>
      <c r="M37" s="61" t="s">
        <v>287</v>
      </c>
      <c r="N37" s="113" t="s">
        <v>34</v>
      </c>
      <c r="O37" s="62">
        <v>3</v>
      </c>
      <c r="P37" s="97">
        <f>VLOOKUP(L37,[1]TDSheet!A$12:D$300,4,FALSE)</f>
        <v>9</v>
      </c>
      <c r="Q37" s="97"/>
      <c r="R37" s="101"/>
    </row>
    <row r="38" spans="1:18" ht="15.75" x14ac:dyDescent="0.25">
      <c r="A38" s="58"/>
      <c r="B38" s="59"/>
      <c r="C38" s="59"/>
      <c r="D38" s="59"/>
      <c r="E38" s="60"/>
      <c r="F38" s="80"/>
      <c r="G38" s="81"/>
      <c r="H38" s="81"/>
      <c r="I38" s="53"/>
      <c r="J38" s="75"/>
      <c r="K38" s="75"/>
      <c r="L38" s="63">
        <v>10911</v>
      </c>
      <c r="M38" s="61" t="s">
        <v>288</v>
      </c>
      <c r="N38" s="113" t="s">
        <v>34</v>
      </c>
      <c r="O38" s="62">
        <v>3</v>
      </c>
      <c r="P38" s="97">
        <f>VLOOKUP(L38,[1]TDSheet!A$12:D$300,4,FALSE)</f>
        <v>9</v>
      </c>
      <c r="Q38" s="97"/>
      <c r="R38" s="101"/>
    </row>
    <row r="39" spans="1:18" ht="15.75" x14ac:dyDescent="0.25">
      <c r="A39" s="58"/>
      <c r="B39" s="59"/>
      <c r="C39" s="59"/>
      <c r="D39" s="59"/>
      <c r="E39" s="60"/>
      <c r="F39" s="80"/>
      <c r="G39" s="81"/>
      <c r="H39" s="81"/>
      <c r="I39" s="53"/>
      <c r="J39" s="75"/>
      <c r="K39" s="75"/>
      <c r="L39" s="63" t="s">
        <v>49</v>
      </c>
      <c r="M39" s="61" t="s">
        <v>74</v>
      </c>
      <c r="N39" s="113" t="s">
        <v>34</v>
      </c>
      <c r="O39" s="62">
        <v>6</v>
      </c>
      <c r="P39" s="97">
        <f>VLOOKUP(L39,[1]TDSheet!A$12:D$300,4,FALSE)</f>
        <v>96</v>
      </c>
      <c r="Q39" s="97"/>
      <c r="R39" s="101"/>
    </row>
    <row r="40" spans="1:18" ht="15.75" x14ac:dyDescent="0.25">
      <c r="A40" s="58"/>
      <c r="B40" s="59"/>
      <c r="C40" s="59"/>
      <c r="D40" s="59"/>
      <c r="E40" s="60"/>
      <c r="F40" s="80"/>
      <c r="G40" s="81"/>
      <c r="H40" s="81"/>
      <c r="I40" s="53"/>
      <c r="J40" s="75"/>
      <c r="K40" s="75"/>
      <c r="L40" s="63" t="s">
        <v>166</v>
      </c>
      <c r="M40" s="61" t="s">
        <v>167</v>
      </c>
      <c r="N40" s="113" t="s">
        <v>34</v>
      </c>
      <c r="O40" s="62">
        <v>2</v>
      </c>
      <c r="P40" s="97">
        <f>VLOOKUP(L40,[1]TDSheet!A$12:D$300,4,FALSE)</f>
        <v>1</v>
      </c>
      <c r="Q40" s="97"/>
      <c r="R40" s="101"/>
    </row>
    <row r="41" spans="1:18" ht="15.75" x14ac:dyDescent="0.25">
      <c r="A41" s="58"/>
      <c r="B41" s="59"/>
      <c r="C41" s="59"/>
      <c r="D41" s="59"/>
      <c r="E41" s="60"/>
      <c r="F41" s="80"/>
      <c r="G41" s="81"/>
      <c r="H41" s="81"/>
      <c r="I41" s="53"/>
      <c r="J41" s="75"/>
      <c r="K41" s="75"/>
      <c r="L41" s="63">
        <v>5990</v>
      </c>
      <c r="M41" s="61" t="s">
        <v>75</v>
      </c>
      <c r="N41" s="113" t="s">
        <v>34</v>
      </c>
      <c r="O41" s="62">
        <v>4</v>
      </c>
      <c r="P41" s="97">
        <f>VLOOKUP(L41,[1]TDSheet!A$12:D$300,4,FALSE)</f>
        <v>96</v>
      </c>
      <c r="Q41" s="97"/>
      <c r="R41" s="101"/>
    </row>
    <row r="42" spans="1:18" ht="15.75" x14ac:dyDescent="0.25">
      <c r="A42" s="58"/>
      <c r="B42" s="59"/>
      <c r="C42" s="59"/>
      <c r="D42" s="59"/>
      <c r="E42" s="60"/>
      <c r="F42" s="80"/>
      <c r="G42" s="81"/>
      <c r="H42" s="81"/>
      <c r="I42" s="53"/>
      <c r="J42" s="75"/>
      <c r="K42" s="75"/>
      <c r="L42" s="63">
        <v>11093</v>
      </c>
      <c r="M42" s="61" t="s">
        <v>289</v>
      </c>
      <c r="N42" s="113" t="s">
        <v>35</v>
      </c>
      <c r="O42" s="62">
        <v>19</v>
      </c>
      <c r="P42" s="97">
        <f>VLOOKUP(L42,[1]TDSheet!A$12:D$300,4,FALSE)</f>
        <v>9.5</v>
      </c>
      <c r="Q42" s="97"/>
      <c r="R42" s="101"/>
    </row>
    <row r="43" spans="1:18" ht="15.75" x14ac:dyDescent="0.25">
      <c r="A43" s="58"/>
      <c r="B43" s="59"/>
      <c r="C43" s="59"/>
      <c r="D43" s="59"/>
      <c r="E43" s="60"/>
      <c r="F43" s="80"/>
      <c r="G43" s="81"/>
      <c r="H43" s="81"/>
      <c r="I43" s="53"/>
      <c r="J43" s="75"/>
      <c r="K43" s="75"/>
      <c r="L43" s="63" t="s">
        <v>42</v>
      </c>
      <c r="M43" s="61" t="s">
        <v>76</v>
      </c>
      <c r="N43" s="113" t="s">
        <v>34</v>
      </c>
      <c r="O43" s="62">
        <v>2250</v>
      </c>
      <c r="P43" s="97">
        <f>VLOOKUP(L43,[1]TDSheet!A$12:D$300,4,FALSE)</f>
        <v>2500</v>
      </c>
      <c r="Q43" s="97"/>
      <c r="R43" s="101"/>
    </row>
    <row r="44" spans="1:18" ht="15.75" x14ac:dyDescent="0.25">
      <c r="A44" s="58"/>
      <c r="B44" s="59"/>
      <c r="C44" s="59"/>
      <c r="D44" s="59"/>
      <c r="E44" s="60"/>
      <c r="F44" s="80"/>
      <c r="G44" s="81"/>
      <c r="H44" s="81"/>
      <c r="I44" s="53"/>
      <c r="J44" s="75"/>
      <c r="K44" s="75"/>
      <c r="L44" s="63" t="s">
        <v>168</v>
      </c>
      <c r="M44" s="61" t="s">
        <v>169</v>
      </c>
      <c r="N44" s="113" t="s">
        <v>34</v>
      </c>
      <c r="O44" s="62">
        <v>2600</v>
      </c>
      <c r="P44" s="97">
        <f>VLOOKUP(L44,[1]TDSheet!A$12:D$300,4,FALSE)</f>
        <v>12400</v>
      </c>
      <c r="Q44" s="97"/>
      <c r="R44" s="101"/>
    </row>
    <row r="45" spans="1:18" ht="15.75" x14ac:dyDescent="0.25">
      <c r="A45" s="58"/>
      <c r="B45" s="59"/>
      <c r="C45" s="59"/>
      <c r="D45" s="59"/>
      <c r="E45" s="60"/>
      <c r="F45" s="80"/>
      <c r="G45" s="81"/>
      <c r="H45" s="81"/>
      <c r="I45" s="53"/>
      <c r="J45" s="75"/>
      <c r="K45" s="75"/>
      <c r="L45" s="63">
        <v>5936</v>
      </c>
      <c r="M45" s="61" t="s">
        <v>77</v>
      </c>
      <c r="N45" s="113" t="s">
        <v>34</v>
      </c>
      <c r="O45" s="62">
        <v>3500</v>
      </c>
      <c r="P45" s="97">
        <f>VLOOKUP(L45,[1]TDSheet!A$12:D$300,4,FALSE)</f>
        <v>8300</v>
      </c>
      <c r="Q45" s="97"/>
      <c r="R45" s="101"/>
    </row>
    <row r="46" spans="1:18" ht="15.75" x14ac:dyDescent="0.25">
      <c r="A46" s="58"/>
      <c r="B46" s="59"/>
      <c r="C46" s="59"/>
      <c r="D46" s="59"/>
      <c r="E46" s="60"/>
      <c r="F46" s="80"/>
      <c r="G46" s="81"/>
      <c r="H46" s="81"/>
      <c r="I46" s="53"/>
      <c r="J46" s="75"/>
      <c r="K46" s="75"/>
      <c r="L46" s="63" t="s">
        <v>41</v>
      </c>
      <c r="M46" s="61" t="s">
        <v>78</v>
      </c>
      <c r="N46" s="113" t="s">
        <v>34</v>
      </c>
      <c r="O46" s="62">
        <v>5100</v>
      </c>
      <c r="P46" s="97">
        <f>VLOOKUP(L46,[1]TDSheet!A$12:D$300,4,FALSE)</f>
        <v>9800</v>
      </c>
      <c r="Q46" s="97"/>
      <c r="R46" s="101"/>
    </row>
    <row r="47" spans="1:18" ht="15.75" x14ac:dyDescent="0.25">
      <c r="A47" s="58"/>
      <c r="B47" s="59"/>
      <c r="C47" s="59"/>
      <c r="D47" s="59"/>
      <c r="E47" s="60"/>
      <c r="F47" s="80"/>
      <c r="G47" s="81"/>
      <c r="H47" s="81"/>
      <c r="I47" s="53"/>
      <c r="J47" s="75"/>
      <c r="K47" s="75"/>
      <c r="L47" s="63" t="s">
        <v>443</v>
      </c>
      <c r="M47" s="61" t="s">
        <v>79</v>
      </c>
      <c r="N47" s="113" t="s">
        <v>34</v>
      </c>
      <c r="O47" s="62">
        <v>1500</v>
      </c>
      <c r="P47" s="97">
        <f>VLOOKUP(L47,[1]TDSheet!A$12:D$300,4,FALSE)</f>
        <v>3250</v>
      </c>
      <c r="Q47" s="97"/>
      <c r="R47" s="101"/>
    </row>
    <row r="48" spans="1:18" ht="15.75" x14ac:dyDescent="0.25">
      <c r="A48" s="58"/>
      <c r="B48" s="59"/>
      <c r="C48" s="59"/>
      <c r="D48" s="59"/>
      <c r="E48" s="60"/>
      <c r="F48" s="80"/>
      <c r="G48" s="81"/>
      <c r="H48" s="81"/>
      <c r="I48" s="53"/>
      <c r="J48" s="75"/>
      <c r="K48" s="75"/>
      <c r="L48" s="63">
        <v>17039</v>
      </c>
      <c r="M48" s="61" t="s">
        <v>290</v>
      </c>
      <c r="N48" s="113" t="s">
        <v>34</v>
      </c>
      <c r="O48" s="62">
        <v>1</v>
      </c>
      <c r="P48" s="97">
        <f>VLOOKUP(L48,[1]TDSheet!A$12:D$300,4,FALSE)</f>
        <v>8</v>
      </c>
      <c r="Q48" s="97"/>
      <c r="R48" s="101"/>
    </row>
    <row r="49" spans="1:18" ht="15.75" x14ac:dyDescent="0.25">
      <c r="A49" s="58"/>
      <c r="B49" s="59"/>
      <c r="C49" s="59"/>
      <c r="D49" s="59"/>
      <c r="E49" s="60"/>
      <c r="F49" s="80"/>
      <c r="G49" s="81"/>
      <c r="H49" s="81"/>
      <c r="I49" s="53"/>
      <c r="J49" s="75"/>
      <c r="K49" s="75"/>
      <c r="L49" s="63" t="s">
        <v>170</v>
      </c>
      <c r="M49" s="61" t="s">
        <v>171</v>
      </c>
      <c r="N49" s="113" t="s">
        <v>34</v>
      </c>
      <c r="O49" s="62">
        <v>2</v>
      </c>
      <c r="P49" s="97">
        <f>VLOOKUP(L49,[1]TDSheet!A$12:D$300,4,FALSE)</f>
        <v>11</v>
      </c>
      <c r="Q49" s="97"/>
      <c r="R49" s="101"/>
    </row>
    <row r="50" spans="1:18" ht="15.75" x14ac:dyDescent="0.25">
      <c r="A50" s="58"/>
      <c r="B50" s="59"/>
      <c r="C50" s="59"/>
      <c r="D50" s="59"/>
      <c r="E50" s="60"/>
      <c r="F50" s="80"/>
      <c r="G50" s="81"/>
      <c r="H50" s="81"/>
      <c r="I50" s="53"/>
      <c r="J50" s="75"/>
      <c r="K50" s="75"/>
      <c r="L50" s="63">
        <v>597</v>
      </c>
      <c r="M50" s="61" t="s">
        <v>291</v>
      </c>
      <c r="N50" s="113" t="s">
        <v>34</v>
      </c>
      <c r="O50" s="62">
        <v>4</v>
      </c>
      <c r="P50" s="97">
        <f>VLOOKUP(L50,[1]TDSheet!A$12:D$300,4,FALSE)</f>
        <v>37</v>
      </c>
      <c r="Q50" s="97"/>
      <c r="R50" s="101"/>
    </row>
    <row r="51" spans="1:18" ht="15.75" x14ac:dyDescent="0.25">
      <c r="A51" s="58"/>
      <c r="B51" s="59"/>
      <c r="C51" s="59"/>
      <c r="D51" s="59"/>
      <c r="E51" s="60"/>
      <c r="F51" s="80"/>
      <c r="G51" s="81"/>
      <c r="H51" s="81"/>
      <c r="I51" s="53"/>
      <c r="J51" s="75"/>
      <c r="K51" s="75"/>
      <c r="L51" s="63" t="s">
        <v>172</v>
      </c>
      <c r="M51" s="61" t="s">
        <v>173</v>
      </c>
      <c r="N51" s="55" t="s">
        <v>34</v>
      </c>
      <c r="O51" s="62">
        <v>5</v>
      </c>
      <c r="P51" s="97" t="e">
        <f>VLOOKUP(L51,[1]TDSheet!A$12:D$300,4,FALSE)</f>
        <v>#N/A</v>
      </c>
      <c r="Q51" s="97"/>
      <c r="R51" s="101"/>
    </row>
    <row r="52" spans="1:18" ht="15.75" x14ac:dyDescent="0.25">
      <c r="A52" s="58"/>
      <c r="B52" s="59"/>
      <c r="C52" s="59"/>
      <c r="D52" s="59"/>
      <c r="E52" s="60"/>
      <c r="F52" s="80"/>
      <c r="G52" s="81"/>
      <c r="H52" s="81"/>
      <c r="I52" s="53"/>
      <c r="J52" s="75"/>
      <c r="K52" s="75"/>
      <c r="L52" s="63">
        <v>643</v>
      </c>
      <c r="M52" s="61" t="s">
        <v>80</v>
      </c>
      <c r="N52" s="55" t="s">
        <v>45</v>
      </c>
      <c r="O52" s="62">
        <v>211</v>
      </c>
      <c r="P52" s="97" t="e">
        <f>VLOOKUP(L52,[1]TDSheet!A$12:D$300,4,FALSE)</f>
        <v>#N/A</v>
      </c>
      <c r="Q52" s="97"/>
      <c r="R52" s="101"/>
    </row>
    <row r="53" spans="1:18" ht="15.75" x14ac:dyDescent="0.25">
      <c r="A53" s="58"/>
      <c r="B53" s="59"/>
      <c r="C53" s="59"/>
      <c r="D53" s="59"/>
      <c r="E53" s="60"/>
      <c r="F53" s="80"/>
      <c r="G53" s="81"/>
      <c r="H53" s="81"/>
      <c r="I53" s="53"/>
      <c r="J53" s="75"/>
      <c r="K53" s="75"/>
      <c r="L53" s="63" t="s">
        <v>292</v>
      </c>
      <c r="M53" s="61" t="s">
        <v>293</v>
      </c>
      <c r="N53" s="55" t="s">
        <v>34</v>
      </c>
      <c r="O53" s="62">
        <v>1</v>
      </c>
      <c r="P53" s="97" t="e">
        <f>VLOOKUP(L53,[1]TDSheet!A$12:D$300,4,FALSE)</f>
        <v>#N/A</v>
      </c>
      <c r="Q53" s="97"/>
      <c r="R53" s="101"/>
    </row>
    <row r="54" spans="1:18" ht="15.75" x14ac:dyDescent="0.25">
      <c r="A54" s="58"/>
      <c r="B54" s="59"/>
      <c r="C54" s="59"/>
      <c r="D54" s="59"/>
      <c r="E54" s="60"/>
      <c r="F54" s="80"/>
      <c r="G54" s="81"/>
      <c r="H54" s="81"/>
      <c r="I54" s="53"/>
      <c r="J54" s="75"/>
      <c r="K54" s="75"/>
      <c r="L54" s="63" t="s">
        <v>746</v>
      </c>
      <c r="M54" s="61" t="s">
        <v>174</v>
      </c>
      <c r="N54" s="55" t="s">
        <v>34</v>
      </c>
      <c r="O54" s="62">
        <v>16</v>
      </c>
      <c r="P54" s="97">
        <f>VLOOKUP(L54,[1]TDSheet!A$12:D$300,4,FALSE)</f>
        <v>17</v>
      </c>
      <c r="Q54" s="97"/>
      <c r="R54" s="101"/>
    </row>
    <row r="55" spans="1:18" ht="15.75" x14ac:dyDescent="0.25">
      <c r="A55" s="58"/>
      <c r="B55" s="59"/>
      <c r="C55" s="59"/>
      <c r="D55" s="59"/>
      <c r="E55" s="60"/>
      <c r="F55" s="80"/>
      <c r="G55" s="81"/>
      <c r="H55" s="81"/>
      <c r="I55" s="53"/>
      <c r="J55" s="75"/>
      <c r="K55" s="75"/>
      <c r="L55" s="63" t="s">
        <v>175</v>
      </c>
      <c r="M55" s="61" t="s">
        <v>176</v>
      </c>
      <c r="N55" s="55" t="s">
        <v>34</v>
      </c>
      <c r="O55" s="62">
        <v>1</v>
      </c>
      <c r="P55" s="97">
        <f>VLOOKUP(L55,[1]TDSheet!A$12:D$300,4,FALSE)</f>
        <v>2</v>
      </c>
      <c r="Q55" s="97"/>
      <c r="R55" s="101"/>
    </row>
    <row r="56" spans="1:18" ht="15.75" x14ac:dyDescent="0.25">
      <c r="A56" s="58"/>
      <c r="B56" s="59"/>
      <c r="C56" s="59"/>
      <c r="D56" s="59"/>
      <c r="E56" s="60"/>
      <c r="F56" s="80"/>
      <c r="G56" s="81"/>
      <c r="H56" s="81"/>
      <c r="I56" s="53"/>
      <c r="J56" s="75"/>
      <c r="K56" s="75"/>
      <c r="L56" s="63">
        <v>89</v>
      </c>
      <c r="M56" s="61" t="s">
        <v>294</v>
      </c>
      <c r="N56" s="55" t="s">
        <v>34</v>
      </c>
      <c r="O56" s="62">
        <v>2</v>
      </c>
      <c r="P56" s="97">
        <f>VLOOKUP(L56,[1]TDSheet!A$12:D$300,4,FALSE)</f>
        <v>6</v>
      </c>
      <c r="Q56" s="97"/>
      <c r="R56" s="101"/>
    </row>
    <row r="57" spans="1:18" ht="15.75" x14ac:dyDescent="0.25">
      <c r="A57" s="58"/>
      <c r="B57" s="59"/>
      <c r="C57" s="59"/>
      <c r="D57" s="59"/>
      <c r="E57" s="60"/>
      <c r="F57" s="80"/>
      <c r="G57" s="81"/>
      <c r="H57" s="81"/>
      <c r="I57" s="53"/>
      <c r="J57" s="75"/>
      <c r="K57" s="75"/>
      <c r="L57" s="63">
        <v>87</v>
      </c>
      <c r="M57" s="61" t="s">
        <v>295</v>
      </c>
      <c r="N57" s="55" t="s">
        <v>34</v>
      </c>
      <c r="O57" s="62">
        <v>3</v>
      </c>
      <c r="P57" s="97">
        <f>VLOOKUP(L57,[1]TDSheet!A$12:D$300,4,FALSE)</f>
        <v>9</v>
      </c>
      <c r="Q57" s="97"/>
      <c r="R57" s="101"/>
    </row>
    <row r="58" spans="1:18" ht="15.75" x14ac:dyDescent="0.25">
      <c r="A58" s="58"/>
      <c r="B58" s="59"/>
      <c r="C58" s="59"/>
      <c r="D58" s="59"/>
      <c r="E58" s="60"/>
      <c r="F58" s="80"/>
      <c r="G58" s="81"/>
      <c r="H58" s="81"/>
      <c r="I58" s="53"/>
      <c r="J58" s="75"/>
      <c r="K58" s="75"/>
      <c r="L58" s="63">
        <v>19322</v>
      </c>
      <c r="M58" s="61" t="s">
        <v>296</v>
      </c>
      <c r="N58" s="113" t="s">
        <v>34</v>
      </c>
      <c r="O58" s="62">
        <v>6</v>
      </c>
      <c r="P58" s="97">
        <f>VLOOKUP(L58,[1]TDSheet!A$12:D$300,4,FALSE)</f>
        <v>21</v>
      </c>
      <c r="Q58" s="97"/>
      <c r="R58" s="101"/>
    </row>
    <row r="59" spans="1:18" ht="15.75" x14ac:dyDescent="0.25">
      <c r="A59" s="58"/>
      <c r="B59" s="59"/>
      <c r="C59" s="59"/>
      <c r="D59" s="59"/>
      <c r="E59" s="60"/>
      <c r="F59" s="80"/>
      <c r="G59" s="81"/>
      <c r="H59" s="81"/>
      <c r="I59" s="53"/>
      <c r="J59" s="75"/>
      <c r="K59" s="75"/>
      <c r="L59" s="63">
        <v>341</v>
      </c>
      <c r="M59" s="61" t="s">
        <v>297</v>
      </c>
      <c r="N59" s="113" t="s">
        <v>34</v>
      </c>
      <c r="O59" s="62">
        <v>6</v>
      </c>
      <c r="P59" s="97">
        <f>VLOOKUP(L59,[1]TDSheet!A$12:D$300,4,FALSE)</f>
        <v>38</v>
      </c>
      <c r="Q59" s="97"/>
      <c r="R59" s="101"/>
    </row>
    <row r="60" spans="1:18" ht="15.75" x14ac:dyDescent="0.25">
      <c r="A60" s="58"/>
      <c r="B60" s="59"/>
      <c r="C60" s="59"/>
      <c r="D60" s="59"/>
      <c r="E60" s="60"/>
      <c r="F60" s="80"/>
      <c r="G60" s="81"/>
      <c r="H60" s="81"/>
      <c r="I60" s="53"/>
      <c r="J60" s="75"/>
      <c r="K60" s="75"/>
      <c r="L60" s="63">
        <v>19317</v>
      </c>
      <c r="M60" s="61" t="s">
        <v>177</v>
      </c>
      <c r="N60" s="113" t="s">
        <v>34</v>
      </c>
      <c r="O60" s="62">
        <v>12</v>
      </c>
      <c r="P60" s="97">
        <f>VLOOKUP(L60,[1]TDSheet!A$12:D$300,4,FALSE)</f>
        <v>1</v>
      </c>
      <c r="Q60" s="97"/>
      <c r="R60" s="101"/>
    </row>
    <row r="61" spans="1:18" ht="15.75" x14ac:dyDescent="0.25">
      <c r="A61" s="58"/>
      <c r="B61" s="59"/>
      <c r="C61" s="59"/>
      <c r="D61" s="59"/>
      <c r="E61" s="60"/>
      <c r="F61" s="80"/>
      <c r="G61" s="81"/>
      <c r="H61" s="81"/>
      <c r="I61" s="53"/>
      <c r="J61" s="75"/>
      <c r="K61" s="75"/>
      <c r="L61" s="63" t="s">
        <v>298</v>
      </c>
      <c r="M61" s="61" t="s">
        <v>299</v>
      </c>
      <c r="N61" s="113" t="s">
        <v>34</v>
      </c>
      <c r="O61" s="62">
        <v>8</v>
      </c>
      <c r="P61" s="97">
        <f>VLOOKUP(L61,[1]TDSheet!A$12:D$300,4,FALSE)</f>
        <v>51</v>
      </c>
      <c r="Q61" s="97"/>
      <c r="R61" s="101"/>
    </row>
    <row r="62" spans="1:18" ht="15.75" x14ac:dyDescent="0.25">
      <c r="A62" s="58"/>
      <c r="B62" s="59"/>
      <c r="C62" s="59"/>
      <c r="D62" s="59"/>
      <c r="E62" s="60"/>
      <c r="F62" s="80"/>
      <c r="G62" s="81"/>
      <c r="H62" s="81"/>
      <c r="I62" s="53"/>
      <c r="J62" s="75"/>
      <c r="K62" s="75"/>
      <c r="L62" s="63" t="s">
        <v>300</v>
      </c>
      <c r="M62" s="61" t="s">
        <v>301</v>
      </c>
      <c r="N62" s="113" t="s">
        <v>34</v>
      </c>
      <c r="O62" s="62">
        <v>1</v>
      </c>
      <c r="P62" s="97" t="e">
        <f>VLOOKUP(L62,[1]TDSheet!A$12:D$300,4,FALSE)</f>
        <v>#N/A</v>
      </c>
      <c r="Q62" s="97"/>
      <c r="R62" s="101"/>
    </row>
    <row r="63" spans="1:18" ht="15.75" x14ac:dyDescent="0.25">
      <c r="A63" s="58"/>
      <c r="B63" s="59"/>
      <c r="C63" s="59"/>
      <c r="D63" s="59"/>
      <c r="E63" s="60"/>
      <c r="F63" s="80"/>
      <c r="G63" s="81"/>
      <c r="H63" s="81"/>
      <c r="I63" s="53"/>
      <c r="J63" s="75"/>
      <c r="K63" s="75"/>
      <c r="L63" s="63" t="s">
        <v>302</v>
      </c>
      <c r="M63" s="61" t="s">
        <v>303</v>
      </c>
      <c r="N63" s="55" t="s">
        <v>35</v>
      </c>
      <c r="O63" s="62">
        <v>153</v>
      </c>
      <c r="P63" s="97">
        <f>VLOOKUP(L63,[1]TDSheet!A$12:D$300,4,FALSE)</f>
        <v>973</v>
      </c>
      <c r="Q63" s="97"/>
      <c r="R63" s="101"/>
    </row>
    <row r="64" spans="1:18" ht="15.75" x14ac:dyDescent="0.25">
      <c r="A64" s="58"/>
      <c r="B64" s="59"/>
      <c r="C64" s="59"/>
      <c r="D64" s="59"/>
      <c r="E64" s="60"/>
      <c r="F64" s="80"/>
      <c r="G64" s="81"/>
      <c r="H64" s="81"/>
      <c r="I64" s="53"/>
      <c r="J64" s="75"/>
      <c r="K64" s="75"/>
      <c r="L64" s="144" t="s">
        <v>51</v>
      </c>
      <c r="M64" s="61" t="s">
        <v>52</v>
      </c>
      <c r="N64" s="55" t="s">
        <v>68</v>
      </c>
      <c r="O64" s="138">
        <v>17.725000000000001</v>
      </c>
      <c r="P64" s="97" t="e">
        <f>VLOOKUP(L64,[1]TDSheet!A$12:D$300,4,FALSE)</f>
        <v>#N/A</v>
      </c>
      <c r="Q64" s="97"/>
      <c r="R64" s="101"/>
    </row>
    <row r="65" spans="1:18" ht="15.75" x14ac:dyDescent="0.25">
      <c r="A65" s="58"/>
      <c r="B65" s="59"/>
      <c r="C65" s="59"/>
      <c r="D65" s="59"/>
      <c r="E65" s="60"/>
      <c r="F65" s="80"/>
      <c r="G65" s="81"/>
      <c r="H65" s="81"/>
      <c r="I65" s="53"/>
      <c r="J65" s="75"/>
      <c r="K65" s="75"/>
      <c r="L65" s="63" t="s">
        <v>304</v>
      </c>
      <c r="M65" s="61" t="s">
        <v>305</v>
      </c>
      <c r="N65" s="113" t="s">
        <v>34</v>
      </c>
      <c r="O65" s="62">
        <v>40</v>
      </c>
      <c r="P65" s="97">
        <f>VLOOKUP(L65,[1]TDSheet!A$12:D$300,4,FALSE)</f>
        <v>382</v>
      </c>
      <c r="Q65" s="97"/>
      <c r="R65" s="101"/>
    </row>
    <row r="66" spans="1:18" ht="15.75" x14ac:dyDescent="0.25">
      <c r="A66" s="58"/>
      <c r="B66" s="59"/>
      <c r="C66" s="59"/>
      <c r="D66" s="59"/>
      <c r="E66" s="60"/>
      <c r="F66" s="80"/>
      <c r="G66" s="81"/>
      <c r="H66" s="81"/>
      <c r="I66" s="53"/>
      <c r="J66" s="75"/>
      <c r="K66" s="75"/>
      <c r="L66" s="63" t="s">
        <v>306</v>
      </c>
      <c r="M66" s="61" t="s">
        <v>307</v>
      </c>
      <c r="N66" s="113" t="s">
        <v>34</v>
      </c>
      <c r="O66" s="62">
        <v>16</v>
      </c>
      <c r="P66" s="97">
        <f>VLOOKUP(L66,[1]TDSheet!A$12:D$300,4,FALSE)</f>
        <v>16</v>
      </c>
      <c r="Q66" s="97"/>
      <c r="R66" s="101"/>
    </row>
    <row r="67" spans="1:18" ht="15.75" x14ac:dyDescent="0.25">
      <c r="A67" s="58"/>
      <c r="B67" s="59"/>
      <c r="C67" s="59"/>
      <c r="D67" s="59"/>
      <c r="E67" s="60"/>
      <c r="F67" s="80"/>
      <c r="G67" s="81"/>
      <c r="H67" s="81"/>
      <c r="I67" s="53"/>
      <c r="J67" s="75"/>
      <c r="K67" s="75"/>
      <c r="L67" s="63" t="s">
        <v>308</v>
      </c>
      <c r="M67" s="61" t="s">
        <v>309</v>
      </c>
      <c r="N67" s="113" t="s">
        <v>34</v>
      </c>
      <c r="O67" s="62">
        <v>32</v>
      </c>
      <c r="P67" s="97">
        <f>VLOOKUP(L67,[1]TDSheet!A$12:D$300,4,FALSE)</f>
        <v>160</v>
      </c>
      <c r="Q67" s="97"/>
      <c r="R67" s="101"/>
    </row>
    <row r="68" spans="1:18" ht="15.75" x14ac:dyDescent="0.25">
      <c r="A68" s="58"/>
      <c r="B68" s="59"/>
      <c r="C68" s="59"/>
      <c r="D68" s="59"/>
      <c r="E68" s="60"/>
      <c r="F68" s="80"/>
      <c r="G68" s="81"/>
      <c r="H68" s="81"/>
      <c r="I68" s="53"/>
      <c r="J68" s="75"/>
      <c r="K68" s="75"/>
      <c r="L68" s="63" t="s">
        <v>310</v>
      </c>
      <c r="M68" s="61" t="s">
        <v>311</v>
      </c>
      <c r="N68" s="113" t="s">
        <v>34</v>
      </c>
      <c r="O68" s="62">
        <v>8</v>
      </c>
      <c r="P68" s="97">
        <f>VLOOKUP(L68,[1]TDSheet!A$12:D$300,4,FALSE)</f>
        <v>40</v>
      </c>
      <c r="Q68" s="97"/>
      <c r="R68" s="101"/>
    </row>
    <row r="69" spans="1:18" ht="15.75" x14ac:dyDescent="0.25">
      <c r="A69" s="58"/>
      <c r="B69" s="59"/>
      <c r="C69" s="59"/>
      <c r="D69" s="59"/>
      <c r="E69" s="60"/>
      <c r="F69" s="80"/>
      <c r="G69" s="81"/>
      <c r="H69" s="81"/>
      <c r="I69" s="53"/>
      <c r="J69" s="75"/>
      <c r="K69" s="75"/>
      <c r="L69" s="63" t="s">
        <v>312</v>
      </c>
      <c r="M69" s="61" t="s">
        <v>313</v>
      </c>
      <c r="N69" s="113" t="s">
        <v>34</v>
      </c>
      <c r="O69" s="62">
        <v>4</v>
      </c>
      <c r="P69" s="97">
        <f>VLOOKUP(L69,[1]TDSheet!A$12:D$300,4,FALSE)</f>
        <v>16</v>
      </c>
      <c r="Q69" s="97"/>
      <c r="R69" s="101"/>
    </row>
    <row r="70" spans="1:18" ht="15.75" x14ac:dyDescent="0.25">
      <c r="A70" s="58"/>
      <c r="B70" s="59"/>
      <c r="C70" s="59"/>
      <c r="D70" s="59"/>
      <c r="E70" s="60"/>
      <c r="F70" s="80"/>
      <c r="G70" s="81"/>
      <c r="H70" s="81"/>
      <c r="I70" s="53"/>
      <c r="J70" s="75"/>
      <c r="K70" s="75"/>
      <c r="L70" s="63" t="s">
        <v>314</v>
      </c>
      <c r="M70" s="61" t="s">
        <v>315</v>
      </c>
      <c r="N70" s="113" t="s">
        <v>66</v>
      </c>
      <c r="O70" s="62">
        <v>0.504</v>
      </c>
      <c r="P70" s="97">
        <f>VLOOKUP(L70,[1]TDSheet!A$12:D$300,4,FALSE)</f>
        <v>3.1080000000000001</v>
      </c>
      <c r="Q70" s="97"/>
      <c r="R70" s="101"/>
    </row>
    <row r="71" spans="1:18" ht="15.75" x14ac:dyDescent="0.25">
      <c r="A71" s="58"/>
      <c r="B71" s="59"/>
      <c r="C71" s="59"/>
      <c r="D71" s="59"/>
      <c r="E71" s="60"/>
      <c r="F71" s="80"/>
      <c r="G71" s="81"/>
      <c r="H71" s="81"/>
      <c r="I71" s="53"/>
      <c r="J71" s="75"/>
      <c r="K71" s="75"/>
      <c r="L71" s="63">
        <v>7114</v>
      </c>
      <c r="M71" s="61" t="s">
        <v>316</v>
      </c>
      <c r="N71" s="113" t="s">
        <v>34</v>
      </c>
      <c r="O71" s="62">
        <v>1</v>
      </c>
      <c r="P71" s="97">
        <f>VLOOKUP(L71,[1]TDSheet!A$12:D$300,4,FALSE)</f>
        <v>3</v>
      </c>
      <c r="Q71" s="97"/>
      <c r="R71" s="101"/>
    </row>
    <row r="72" spans="1:18" ht="15.75" x14ac:dyDescent="0.25">
      <c r="A72" s="58"/>
      <c r="B72" s="59"/>
      <c r="C72" s="59"/>
      <c r="D72" s="59"/>
      <c r="E72" s="60"/>
      <c r="F72" s="80"/>
      <c r="G72" s="81"/>
      <c r="H72" s="81"/>
      <c r="I72" s="53"/>
      <c r="J72" s="75"/>
      <c r="K72" s="75"/>
      <c r="L72" s="63">
        <v>12923</v>
      </c>
      <c r="M72" s="61" t="s">
        <v>317</v>
      </c>
      <c r="N72" s="113" t="s">
        <v>34</v>
      </c>
      <c r="O72" s="62">
        <v>2</v>
      </c>
      <c r="P72" s="97" t="e">
        <f>VLOOKUP(L72,[1]TDSheet!A$12:D$300,4,FALSE)</f>
        <v>#N/A</v>
      </c>
      <c r="Q72" s="97"/>
      <c r="R72" s="101"/>
    </row>
    <row r="73" spans="1:18" ht="15.75" x14ac:dyDescent="0.25">
      <c r="A73" s="58"/>
      <c r="B73" s="59"/>
      <c r="C73" s="59"/>
      <c r="D73" s="59"/>
      <c r="E73" s="60"/>
      <c r="F73" s="80"/>
      <c r="G73" s="81"/>
      <c r="H73" s="81"/>
      <c r="I73" s="53"/>
      <c r="J73" s="75"/>
      <c r="K73" s="75"/>
      <c r="L73" s="63">
        <v>9858</v>
      </c>
      <c r="M73" s="61" t="s">
        <v>178</v>
      </c>
      <c r="N73" s="113" t="s">
        <v>56</v>
      </c>
      <c r="O73" s="62">
        <v>0.01</v>
      </c>
      <c r="P73" s="97">
        <f>VLOOKUP(L73,[1]TDSheet!A$12:D$300,4,FALSE)</f>
        <v>3.5999999999999997E-2</v>
      </c>
      <c r="Q73" s="97"/>
      <c r="R73" s="101"/>
    </row>
    <row r="74" spans="1:18" ht="15.75" x14ac:dyDescent="0.25">
      <c r="A74" s="58"/>
      <c r="B74" s="59"/>
      <c r="C74" s="59"/>
      <c r="D74" s="59"/>
      <c r="E74" s="60"/>
      <c r="F74" s="80"/>
      <c r="G74" s="81"/>
      <c r="H74" s="81"/>
      <c r="I74" s="53"/>
      <c r="J74" s="75"/>
      <c r="K74" s="75"/>
      <c r="L74" s="63" t="s">
        <v>318</v>
      </c>
      <c r="M74" s="61" t="s">
        <v>319</v>
      </c>
      <c r="N74" s="55" t="s">
        <v>34</v>
      </c>
      <c r="O74" s="62">
        <v>1</v>
      </c>
      <c r="P74" s="97" t="e">
        <f>VLOOKUP(L74,[1]TDSheet!A$12:D$300,4,FALSE)</f>
        <v>#N/A</v>
      </c>
      <c r="Q74" s="97"/>
      <c r="R74" s="101"/>
    </row>
    <row r="75" spans="1:18" ht="15.75" x14ac:dyDescent="0.25">
      <c r="A75" s="58"/>
      <c r="B75" s="59"/>
      <c r="C75" s="59"/>
      <c r="D75" s="59"/>
      <c r="E75" s="60"/>
      <c r="F75" s="80"/>
      <c r="G75" s="81"/>
      <c r="H75" s="81"/>
      <c r="I75" s="53"/>
      <c r="J75" s="75"/>
      <c r="K75" s="75"/>
      <c r="L75" s="63" t="s">
        <v>320</v>
      </c>
      <c r="M75" s="61" t="s">
        <v>321</v>
      </c>
      <c r="N75" s="55" t="s">
        <v>34</v>
      </c>
      <c r="O75" s="62">
        <v>1</v>
      </c>
      <c r="P75" s="97" t="e">
        <f>VLOOKUP(L75,[1]TDSheet!A$12:D$300,4,FALSE)</f>
        <v>#N/A</v>
      </c>
      <c r="Q75" s="97"/>
      <c r="R75" s="101"/>
    </row>
    <row r="76" spans="1:18" ht="15.75" x14ac:dyDescent="0.25">
      <c r="A76" s="58"/>
      <c r="B76" s="59"/>
      <c r="C76" s="59"/>
      <c r="D76" s="59"/>
      <c r="E76" s="60"/>
      <c r="F76" s="80"/>
      <c r="G76" s="81"/>
      <c r="H76" s="81"/>
      <c r="I76" s="53"/>
      <c r="J76" s="75"/>
      <c r="K76" s="75"/>
      <c r="L76" s="63" t="s">
        <v>179</v>
      </c>
      <c r="M76" s="61" t="s">
        <v>180</v>
      </c>
      <c r="N76" s="55" t="s">
        <v>34</v>
      </c>
      <c r="O76" s="62">
        <v>300</v>
      </c>
      <c r="P76" s="97">
        <f>VLOOKUP(L76,[1]TDSheet!A$12:D$300,4,FALSE)</f>
        <v>200</v>
      </c>
      <c r="Q76" s="97"/>
      <c r="R76" s="101"/>
    </row>
    <row r="77" spans="1:18" ht="15.75" x14ac:dyDescent="0.25">
      <c r="A77" s="58"/>
      <c r="B77" s="59"/>
      <c r="C77" s="59"/>
      <c r="D77" s="59"/>
      <c r="E77" s="60"/>
      <c r="F77" s="80"/>
      <c r="G77" s="81"/>
      <c r="H77" s="81"/>
      <c r="I77" s="53"/>
      <c r="J77" s="75"/>
      <c r="K77" s="75"/>
      <c r="L77" s="63" t="s">
        <v>181</v>
      </c>
      <c r="M77" s="61" t="s">
        <v>182</v>
      </c>
      <c r="N77" s="113" t="s">
        <v>34</v>
      </c>
      <c r="O77" s="62">
        <v>50</v>
      </c>
      <c r="P77" s="97">
        <f>VLOOKUP(L77,[1]TDSheet!A$12:D$300,4,FALSE)</f>
        <v>400</v>
      </c>
      <c r="Q77" s="97"/>
      <c r="R77" s="101"/>
    </row>
    <row r="78" spans="1:18" ht="15.75" x14ac:dyDescent="0.25">
      <c r="A78" s="58"/>
      <c r="B78" s="59"/>
      <c r="C78" s="59"/>
      <c r="D78" s="59"/>
      <c r="E78" s="60"/>
      <c r="F78" s="80"/>
      <c r="G78" s="81"/>
      <c r="H78" s="81"/>
      <c r="I78" s="53"/>
      <c r="J78" s="75"/>
      <c r="K78" s="75"/>
      <c r="L78" s="63" t="s">
        <v>322</v>
      </c>
      <c r="M78" s="61" t="s">
        <v>323</v>
      </c>
      <c r="N78" s="113" t="s">
        <v>34</v>
      </c>
      <c r="O78" s="62">
        <v>1</v>
      </c>
      <c r="P78" s="97">
        <f>VLOOKUP(L78,[1]TDSheet!A$12:D$300,4,FALSE)</f>
        <v>3</v>
      </c>
      <c r="Q78" s="97"/>
      <c r="R78" s="101"/>
    </row>
    <row r="79" spans="1:18" ht="15.75" x14ac:dyDescent="0.25">
      <c r="A79" s="58"/>
      <c r="B79" s="59"/>
      <c r="C79" s="59"/>
      <c r="D79" s="59"/>
      <c r="E79" s="60"/>
      <c r="F79" s="80"/>
      <c r="G79" s="81"/>
      <c r="H79" s="81"/>
      <c r="I79" s="53"/>
      <c r="J79" s="75"/>
      <c r="K79" s="75"/>
      <c r="L79" s="63" t="s">
        <v>324</v>
      </c>
      <c r="M79" s="61" t="s">
        <v>325</v>
      </c>
      <c r="N79" s="113" t="s">
        <v>34</v>
      </c>
      <c r="O79" s="62">
        <v>1</v>
      </c>
      <c r="P79" s="97">
        <f>VLOOKUP(L79,[1]TDSheet!A$12:D$300,4,FALSE)</f>
        <v>3</v>
      </c>
      <c r="Q79" s="97"/>
      <c r="R79" s="101"/>
    </row>
    <row r="80" spans="1:18" ht="15.75" x14ac:dyDescent="0.25">
      <c r="A80" s="58"/>
      <c r="B80" s="59"/>
      <c r="C80" s="59"/>
      <c r="D80" s="59"/>
      <c r="E80" s="60"/>
      <c r="F80" s="80"/>
      <c r="G80" s="81"/>
      <c r="H80" s="81"/>
      <c r="I80" s="53"/>
      <c r="J80" s="75"/>
      <c r="K80" s="75"/>
      <c r="L80" s="63" t="s">
        <v>326</v>
      </c>
      <c r="M80" s="61" t="s">
        <v>327</v>
      </c>
      <c r="N80" s="113" t="s">
        <v>34</v>
      </c>
      <c r="O80" s="62">
        <v>1</v>
      </c>
      <c r="P80" s="97">
        <f>VLOOKUP(L80,[1]TDSheet!A$12:D$300,4,FALSE)</f>
        <v>1</v>
      </c>
      <c r="Q80" s="97"/>
      <c r="R80" s="101"/>
    </row>
    <row r="81" spans="1:18" ht="15.75" x14ac:dyDescent="0.25">
      <c r="A81" s="58"/>
      <c r="B81" s="59"/>
      <c r="C81" s="59"/>
      <c r="D81" s="59"/>
      <c r="E81" s="60"/>
      <c r="F81" s="80"/>
      <c r="G81" s="81"/>
      <c r="H81" s="81"/>
      <c r="I81" s="53"/>
      <c r="J81" s="75"/>
      <c r="K81" s="75"/>
      <c r="L81" s="63">
        <v>102</v>
      </c>
      <c r="M81" s="61" t="s">
        <v>328</v>
      </c>
      <c r="N81" s="113" t="s">
        <v>34</v>
      </c>
      <c r="O81" s="62">
        <v>24</v>
      </c>
      <c r="P81" s="97">
        <f>VLOOKUP(L81,[1]TDSheet!A$12:D$300,4,FALSE)</f>
        <v>57</v>
      </c>
      <c r="Q81" s="97"/>
      <c r="R81" s="101"/>
    </row>
    <row r="82" spans="1:18" ht="15.75" x14ac:dyDescent="0.25">
      <c r="A82" s="58"/>
      <c r="B82" s="59"/>
      <c r="C82" s="59"/>
      <c r="D82" s="59"/>
      <c r="E82" s="60"/>
      <c r="F82" s="80"/>
      <c r="G82" s="81"/>
      <c r="H82" s="81"/>
      <c r="I82" s="53"/>
      <c r="J82" s="75"/>
      <c r="K82" s="75"/>
      <c r="L82" s="63" t="s">
        <v>329</v>
      </c>
      <c r="M82" s="61" t="s">
        <v>330</v>
      </c>
      <c r="N82" s="113" t="s">
        <v>34</v>
      </c>
      <c r="O82" s="62">
        <v>4</v>
      </c>
      <c r="P82" s="97">
        <f>VLOOKUP(L82,[1]TDSheet!A$12:D$300,4,FALSE)</f>
        <v>34</v>
      </c>
      <c r="Q82" s="97"/>
      <c r="R82" s="101"/>
    </row>
    <row r="83" spans="1:18" ht="15.75" x14ac:dyDescent="0.25">
      <c r="A83" s="58"/>
      <c r="B83" s="59"/>
      <c r="C83" s="59"/>
      <c r="D83" s="59"/>
      <c r="E83" s="60"/>
      <c r="F83" s="80"/>
      <c r="G83" s="81"/>
      <c r="H83" s="81"/>
      <c r="I83" s="53"/>
      <c r="J83" s="75"/>
      <c r="K83" s="75"/>
      <c r="L83" s="63" t="s">
        <v>331</v>
      </c>
      <c r="M83" s="61" t="s">
        <v>332</v>
      </c>
      <c r="N83" s="113" t="s">
        <v>34</v>
      </c>
      <c r="O83" s="62">
        <v>3</v>
      </c>
      <c r="P83" s="97">
        <f>VLOOKUP(L83,[1]TDSheet!A$12:D$300,4,FALSE)</f>
        <v>9</v>
      </c>
      <c r="Q83" s="97"/>
      <c r="R83" s="101"/>
    </row>
    <row r="84" spans="1:18" ht="15.75" x14ac:dyDescent="0.25">
      <c r="A84" s="58"/>
      <c r="B84" s="59"/>
      <c r="C84" s="59"/>
      <c r="D84" s="59"/>
      <c r="E84" s="60"/>
      <c r="F84" s="80"/>
      <c r="G84" s="81"/>
      <c r="H84" s="81"/>
      <c r="I84" s="53"/>
      <c r="J84" s="75"/>
      <c r="K84" s="75"/>
      <c r="L84" s="63" t="s">
        <v>333</v>
      </c>
      <c r="M84" s="61" t="s">
        <v>334</v>
      </c>
      <c r="N84" s="113" t="s">
        <v>34</v>
      </c>
      <c r="O84" s="62">
        <v>3</v>
      </c>
      <c r="P84" s="97">
        <f>VLOOKUP(L84,[1]TDSheet!A$12:D$300,4,FALSE)</f>
        <v>9</v>
      </c>
      <c r="Q84" s="97"/>
      <c r="R84" s="101"/>
    </row>
    <row r="85" spans="1:18" ht="15.75" x14ac:dyDescent="0.25">
      <c r="A85" s="58"/>
      <c r="B85" s="59"/>
      <c r="C85" s="59"/>
      <c r="D85" s="59"/>
      <c r="E85" s="60"/>
      <c r="F85" s="80"/>
      <c r="G85" s="81"/>
      <c r="H85" s="81"/>
      <c r="I85" s="53"/>
      <c r="J85" s="75"/>
      <c r="K85" s="75"/>
      <c r="L85" s="63" t="s">
        <v>335</v>
      </c>
      <c r="M85" s="61" t="s">
        <v>336</v>
      </c>
      <c r="N85" s="113" t="s">
        <v>34</v>
      </c>
      <c r="O85" s="62">
        <v>36</v>
      </c>
      <c r="P85" s="97">
        <f>VLOOKUP(L85,[1]TDSheet!A$12:D$300,4,FALSE)</f>
        <v>28</v>
      </c>
      <c r="Q85" s="97"/>
      <c r="R85" s="101"/>
    </row>
    <row r="86" spans="1:18" ht="15.75" x14ac:dyDescent="0.25">
      <c r="A86" s="58"/>
      <c r="B86" s="59"/>
      <c r="C86" s="59"/>
      <c r="D86" s="59"/>
      <c r="E86" s="60"/>
      <c r="F86" s="80"/>
      <c r="G86" s="81"/>
      <c r="H86" s="81"/>
      <c r="I86" s="53"/>
      <c r="J86" s="75"/>
      <c r="K86" s="75"/>
      <c r="L86" s="63">
        <v>21688</v>
      </c>
      <c r="M86" s="61" t="s">
        <v>337</v>
      </c>
      <c r="N86" s="113" t="s">
        <v>34</v>
      </c>
      <c r="O86" s="62">
        <v>2</v>
      </c>
      <c r="P86" s="97">
        <f>VLOOKUP(L86,[1]TDSheet!A$12:D$300,4,FALSE)</f>
        <v>6</v>
      </c>
      <c r="Q86" s="97"/>
      <c r="R86" s="101"/>
    </row>
    <row r="87" spans="1:18" ht="15.75" x14ac:dyDescent="0.25">
      <c r="A87" s="58"/>
      <c r="B87" s="59"/>
      <c r="C87" s="59"/>
      <c r="D87" s="59"/>
      <c r="E87" s="60"/>
      <c r="F87" s="80"/>
      <c r="G87" s="81"/>
      <c r="H87" s="81"/>
      <c r="I87" s="53"/>
      <c r="J87" s="75"/>
      <c r="K87" s="75"/>
      <c r="L87" s="63">
        <v>20679</v>
      </c>
      <c r="M87" s="61" t="s">
        <v>81</v>
      </c>
      <c r="N87" s="113" t="s">
        <v>34</v>
      </c>
      <c r="O87" s="62">
        <v>1500</v>
      </c>
      <c r="P87" s="97">
        <f>VLOOKUP(L87,[1]TDSheet!A$12:D$300,4,FALSE)</f>
        <v>507</v>
      </c>
      <c r="Q87" s="97"/>
      <c r="R87" s="101"/>
    </row>
    <row r="88" spans="1:18" ht="15.75" x14ac:dyDescent="0.25">
      <c r="A88" s="58"/>
      <c r="B88" s="59"/>
      <c r="C88" s="59"/>
      <c r="D88" s="59"/>
      <c r="E88" s="60"/>
      <c r="F88" s="80"/>
      <c r="G88" s="81"/>
      <c r="H88" s="81"/>
      <c r="I88" s="53"/>
      <c r="J88" s="75"/>
      <c r="K88" s="75"/>
      <c r="L88" s="63" t="s">
        <v>338</v>
      </c>
      <c r="M88" s="61" t="s">
        <v>339</v>
      </c>
      <c r="N88" s="113" t="s">
        <v>34</v>
      </c>
      <c r="O88" s="62">
        <v>1</v>
      </c>
      <c r="P88" s="97">
        <f>VLOOKUP(L88,[1]TDSheet!A$12:D$300,4,FALSE)</f>
        <v>3</v>
      </c>
      <c r="Q88" s="97"/>
      <c r="R88" s="101"/>
    </row>
    <row r="89" spans="1:18" ht="15.75" x14ac:dyDescent="0.25">
      <c r="A89" s="58"/>
      <c r="B89" s="59"/>
      <c r="C89" s="59"/>
      <c r="D89" s="59"/>
      <c r="E89" s="60"/>
      <c r="F89" s="80"/>
      <c r="G89" s="81"/>
      <c r="H89" s="81"/>
      <c r="I89" s="53"/>
      <c r="J89" s="75"/>
      <c r="K89" s="75"/>
      <c r="L89" s="63" t="s">
        <v>340</v>
      </c>
      <c r="M89" s="61" t="s">
        <v>341</v>
      </c>
      <c r="N89" s="113" t="s">
        <v>34</v>
      </c>
      <c r="O89" s="62">
        <v>5</v>
      </c>
      <c r="P89" s="97">
        <f>VLOOKUP(L89,[1]TDSheet!A$12:D$300,4,FALSE)</f>
        <v>10</v>
      </c>
      <c r="Q89" s="97"/>
      <c r="R89" s="101"/>
    </row>
    <row r="90" spans="1:18" ht="15.75" x14ac:dyDescent="0.25">
      <c r="A90" s="58"/>
      <c r="B90" s="59"/>
      <c r="C90" s="59"/>
      <c r="D90" s="59"/>
      <c r="E90" s="60"/>
      <c r="F90" s="80"/>
      <c r="G90" s="81"/>
      <c r="H90" s="81"/>
      <c r="I90" s="53"/>
      <c r="J90" s="75"/>
      <c r="K90" s="75"/>
      <c r="L90" s="63" t="s">
        <v>525</v>
      </c>
      <c r="M90" s="61" t="s">
        <v>526</v>
      </c>
      <c r="N90" s="113" t="s">
        <v>34</v>
      </c>
      <c r="O90" s="62">
        <v>5</v>
      </c>
      <c r="P90" s="97">
        <f>VLOOKUP(L90,[1]TDSheet!A$12:D$300,4,FALSE)</f>
        <v>20</v>
      </c>
      <c r="Q90" s="97"/>
      <c r="R90" s="101"/>
    </row>
    <row r="91" spans="1:18" ht="15.75" x14ac:dyDescent="0.25">
      <c r="A91" s="58"/>
      <c r="B91" s="59"/>
      <c r="C91" s="59"/>
      <c r="D91" s="59"/>
      <c r="E91" s="60"/>
      <c r="F91" s="80"/>
      <c r="G91" s="81"/>
      <c r="H91" s="81"/>
      <c r="I91" s="53"/>
      <c r="J91" s="75"/>
      <c r="K91" s="75"/>
      <c r="L91" s="63" t="s">
        <v>342</v>
      </c>
      <c r="M91" s="61" t="s">
        <v>343</v>
      </c>
      <c r="N91" s="113" t="s">
        <v>34</v>
      </c>
      <c r="O91" s="62">
        <v>1.5</v>
      </c>
      <c r="P91" s="97">
        <f>VLOOKUP(L91,[1]TDSheet!A$12:D$300,4,FALSE)</f>
        <v>42.5</v>
      </c>
      <c r="Q91" s="97"/>
      <c r="R91" s="101"/>
    </row>
    <row r="92" spans="1:18" ht="15.75" x14ac:dyDescent="0.25">
      <c r="A92" s="58"/>
      <c r="B92" s="59"/>
      <c r="C92" s="59"/>
      <c r="D92" s="59"/>
      <c r="E92" s="60"/>
      <c r="F92" s="80"/>
      <c r="G92" s="81"/>
      <c r="H92" s="81"/>
      <c r="I92" s="53"/>
      <c r="J92" s="75"/>
      <c r="K92" s="75"/>
      <c r="L92" s="63" t="s">
        <v>344</v>
      </c>
      <c r="M92" s="61" t="s">
        <v>345</v>
      </c>
      <c r="N92" s="113" t="s">
        <v>34</v>
      </c>
      <c r="O92" s="62">
        <v>1</v>
      </c>
      <c r="P92" s="97">
        <f>VLOOKUP(L92,[1]TDSheet!A$12:D$300,4,FALSE)</f>
        <v>8</v>
      </c>
      <c r="Q92" s="97"/>
      <c r="R92" s="101"/>
    </row>
    <row r="93" spans="1:18" ht="15.75" x14ac:dyDescent="0.25">
      <c r="A93" s="58"/>
      <c r="B93" s="59"/>
      <c r="C93" s="59"/>
      <c r="D93" s="59"/>
      <c r="E93" s="60"/>
      <c r="F93" s="80"/>
      <c r="G93" s="81"/>
      <c r="H93" s="81"/>
      <c r="I93" s="53"/>
      <c r="J93" s="75"/>
      <c r="K93" s="75"/>
      <c r="L93" s="63">
        <v>21201</v>
      </c>
      <c r="M93" s="61" t="s">
        <v>346</v>
      </c>
      <c r="N93" s="113" t="s">
        <v>34</v>
      </c>
      <c r="O93" s="62">
        <v>1</v>
      </c>
      <c r="P93" s="97">
        <f>VLOOKUP(L93,[1]TDSheet!A$12:D$300,4,FALSE)</f>
        <v>3</v>
      </c>
      <c r="Q93" s="97"/>
      <c r="R93" s="101"/>
    </row>
    <row r="94" spans="1:18" ht="15.75" x14ac:dyDescent="0.25">
      <c r="A94" s="58"/>
      <c r="B94" s="59"/>
      <c r="C94" s="59"/>
      <c r="D94" s="59"/>
      <c r="E94" s="60"/>
      <c r="F94" s="80"/>
      <c r="G94" s="81"/>
      <c r="H94" s="81"/>
      <c r="I94" s="53"/>
      <c r="J94" s="75"/>
      <c r="K94" s="75"/>
      <c r="L94" s="63" t="s">
        <v>184</v>
      </c>
      <c r="M94" s="61" t="s">
        <v>185</v>
      </c>
      <c r="N94" s="113" t="s">
        <v>34</v>
      </c>
      <c r="O94" s="62">
        <v>2</v>
      </c>
      <c r="P94" s="97">
        <f>VLOOKUP(L94,[1]TDSheet!A$12:D$300,4,FALSE)</f>
        <v>1</v>
      </c>
      <c r="Q94" s="97"/>
      <c r="R94" s="101"/>
    </row>
    <row r="95" spans="1:18" ht="15.75" x14ac:dyDescent="0.25">
      <c r="A95" s="58"/>
      <c r="B95" s="59"/>
      <c r="C95" s="59"/>
      <c r="D95" s="59"/>
      <c r="E95" s="60"/>
      <c r="F95" s="80"/>
      <c r="G95" s="81"/>
      <c r="H95" s="81"/>
      <c r="I95" s="53"/>
      <c r="J95" s="75"/>
      <c r="K95" s="75"/>
      <c r="L95" s="63" t="s">
        <v>347</v>
      </c>
      <c r="M95" s="61" t="s">
        <v>348</v>
      </c>
      <c r="N95" s="113" t="s">
        <v>34</v>
      </c>
      <c r="O95" s="62">
        <v>1</v>
      </c>
      <c r="P95" s="97" t="e">
        <f>VLOOKUP(L95,[1]TDSheet!A$12:D$300,4,FALSE)</f>
        <v>#N/A</v>
      </c>
      <c r="Q95" s="97"/>
      <c r="R95" s="101"/>
    </row>
    <row r="96" spans="1:18" ht="15.75" x14ac:dyDescent="0.25">
      <c r="A96" s="58"/>
      <c r="B96" s="59"/>
      <c r="C96" s="59"/>
      <c r="D96" s="59"/>
      <c r="E96" s="60"/>
      <c r="F96" s="80"/>
      <c r="G96" s="81"/>
      <c r="H96" s="81"/>
      <c r="I96" s="53"/>
      <c r="J96" s="75"/>
      <c r="K96" s="75"/>
      <c r="L96" s="63">
        <v>13658</v>
      </c>
      <c r="M96" s="61" t="s">
        <v>349</v>
      </c>
      <c r="N96" s="113" t="s">
        <v>34</v>
      </c>
      <c r="O96" s="62">
        <v>5</v>
      </c>
      <c r="P96" s="97">
        <f>VLOOKUP(L96,[1]TDSheet!A$12:D$300,4,FALSE)</f>
        <v>4</v>
      </c>
      <c r="Q96" s="97"/>
      <c r="R96" s="101"/>
    </row>
    <row r="97" spans="1:18" ht="15.75" x14ac:dyDescent="0.25">
      <c r="A97" s="58"/>
      <c r="B97" s="59"/>
      <c r="C97" s="59"/>
      <c r="D97" s="59"/>
      <c r="E97" s="60"/>
      <c r="F97" s="80"/>
      <c r="G97" s="81"/>
      <c r="H97" s="81"/>
      <c r="I97" s="53"/>
      <c r="J97" s="75"/>
      <c r="K97" s="75"/>
      <c r="L97" s="63" t="s">
        <v>350</v>
      </c>
      <c r="M97" s="61" t="s">
        <v>351</v>
      </c>
      <c r="N97" s="113" t="s">
        <v>34</v>
      </c>
      <c r="O97" s="62">
        <v>18</v>
      </c>
      <c r="P97" s="97">
        <f>VLOOKUP(L97,[1]TDSheet!A$12:D$300,4,FALSE)</f>
        <v>718</v>
      </c>
      <c r="Q97" s="97"/>
      <c r="R97" s="101"/>
    </row>
    <row r="98" spans="1:18" ht="15.75" x14ac:dyDescent="0.25">
      <c r="A98" s="58"/>
      <c r="B98" s="59"/>
      <c r="C98" s="59"/>
      <c r="D98" s="59"/>
      <c r="E98" s="60"/>
      <c r="F98" s="80"/>
      <c r="G98" s="81"/>
      <c r="H98" s="81"/>
      <c r="I98" s="53"/>
      <c r="J98" s="75"/>
      <c r="K98" s="75"/>
      <c r="L98" s="63" t="s">
        <v>352</v>
      </c>
      <c r="M98" s="61" t="s">
        <v>353</v>
      </c>
      <c r="N98" s="113" t="s">
        <v>34</v>
      </c>
      <c r="O98" s="62">
        <v>34</v>
      </c>
      <c r="P98" s="97">
        <f>VLOOKUP(L98,[1]TDSheet!A$12:D$300,4,FALSE)</f>
        <v>374</v>
      </c>
      <c r="Q98" s="97"/>
      <c r="R98" s="101"/>
    </row>
    <row r="99" spans="1:18" ht="15.75" x14ac:dyDescent="0.25">
      <c r="A99" s="58"/>
      <c r="B99" s="59"/>
      <c r="C99" s="59"/>
      <c r="D99" s="59"/>
      <c r="E99" s="60"/>
      <c r="F99" s="80"/>
      <c r="G99" s="81"/>
      <c r="H99" s="81"/>
      <c r="I99" s="53"/>
      <c r="J99" s="75"/>
      <c r="K99" s="75"/>
      <c r="L99" s="63" t="s">
        <v>354</v>
      </c>
      <c r="M99" s="61" t="s">
        <v>355</v>
      </c>
      <c r="N99" s="113" t="s">
        <v>34</v>
      </c>
      <c r="O99" s="62">
        <v>6</v>
      </c>
      <c r="P99" s="97">
        <f>VLOOKUP(L99,[1]TDSheet!A$12:D$300,4,FALSE)</f>
        <v>261</v>
      </c>
      <c r="Q99" s="97"/>
      <c r="R99" s="101"/>
    </row>
    <row r="100" spans="1:18" ht="15.75" x14ac:dyDescent="0.25">
      <c r="A100" s="58"/>
      <c r="B100" s="59"/>
      <c r="C100" s="59"/>
      <c r="D100" s="59"/>
      <c r="E100" s="60"/>
      <c r="F100" s="80"/>
      <c r="G100" s="81"/>
      <c r="H100" s="81"/>
      <c r="I100" s="53"/>
      <c r="J100" s="75"/>
      <c r="K100" s="75"/>
      <c r="L100" s="63" t="s">
        <v>730</v>
      </c>
      <c r="M100" s="61" t="s">
        <v>731</v>
      </c>
      <c r="N100" s="113" t="s">
        <v>34</v>
      </c>
      <c r="O100" s="62">
        <v>4</v>
      </c>
      <c r="P100" s="97">
        <f>VLOOKUP(L100,[1]TDSheet!A$12:D$300,4,FALSE)</f>
        <v>20</v>
      </c>
      <c r="Q100" s="97"/>
      <c r="R100" s="101"/>
    </row>
    <row r="101" spans="1:18" ht="15.75" x14ac:dyDescent="0.25">
      <c r="A101" s="58"/>
      <c r="B101" s="59"/>
      <c r="C101" s="59"/>
      <c r="D101" s="59"/>
      <c r="E101" s="60"/>
      <c r="F101" s="80"/>
      <c r="G101" s="81"/>
      <c r="H101" s="81"/>
      <c r="I101" s="53"/>
      <c r="J101" s="75"/>
      <c r="K101" s="75"/>
      <c r="L101" s="63">
        <v>19376</v>
      </c>
      <c r="M101" s="61" t="s">
        <v>358</v>
      </c>
      <c r="N101" s="55" t="s">
        <v>34</v>
      </c>
      <c r="O101" s="62">
        <v>1</v>
      </c>
      <c r="P101" s="97">
        <f>VLOOKUP(L101,[1]TDSheet!A$12:D$300,4,FALSE)</f>
        <v>3</v>
      </c>
      <c r="Q101" s="97"/>
      <c r="R101" s="101"/>
    </row>
    <row r="102" spans="1:18" ht="15.75" x14ac:dyDescent="0.25">
      <c r="A102" s="58"/>
      <c r="B102" s="59"/>
      <c r="C102" s="59"/>
      <c r="D102" s="59"/>
      <c r="E102" s="60"/>
      <c r="F102" s="80"/>
      <c r="G102" s="81"/>
      <c r="H102" s="81"/>
      <c r="I102" s="53"/>
      <c r="J102" s="75"/>
      <c r="K102" s="75"/>
      <c r="L102" s="63" t="s">
        <v>359</v>
      </c>
      <c r="M102" s="61" t="s">
        <v>360</v>
      </c>
      <c r="N102" s="55" t="s">
        <v>34</v>
      </c>
      <c r="O102" s="62">
        <v>1</v>
      </c>
      <c r="P102" s="97">
        <f>VLOOKUP(L102,[1]TDSheet!A$12:D$300,4,FALSE)</f>
        <v>4</v>
      </c>
      <c r="Q102" s="97"/>
      <c r="R102" s="101"/>
    </row>
    <row r="103" spans="1:18" ht="15.75" x14ac:dyDescent="0.25">
      <c r="A103" s="58"/>
      <c r="B103" s="59"/>
      <c r="C103" s="59"/>
      <c r="D103" s="59"/>
      <c r="E103" s="60"/>
      <c r="F103" s="80"/>
      <c r="G103" s="81"/>
      <c r="H103" s="81"/>
      <c r="I103" s="53"/>
      <c r="J103" s="75"/>
      <c r="K103" s="75"/>
      <c r="L103" s="63" t="s">
        <v>361</v>
      </c>
      <c r="M103" s="61" t="s">
        <v>362</v>
      </c>
      <c r="N103" s="55" t="s">
        <v>34</v>
      </c>
      <c r="O103" s="62">
        <v>1</v>
      </c>
      <c r="P103" s="97">
        <f>VLOOKUP(L103,[1]TDSheet!A$12:D$300,4,FALSE)</f>
        <v>7</v>
      </c>
      <c r="Q103" s="97"/>
      <c r="R103" s="101"/>
    </row>
    <row r="104" spans="1:18" ht="15.75" x14ac:dyDescent="0.25">
      <c r="A104" s="58"/>
      <c r="B104" s="59"/>
      <c r="C104" s="59"/>
      <c r="D104" s="59"/>
      <c r="E104" s="60"/>
      <c r="F104" s="80"/>
      <c r="G104" s="81"/>
      <c r="H104" s="81"/>
      <c r="I104" s="53"/>
      <c r="J104" s="75"/>
      <c r="K104" s="75"/>
      <c r="L104" s="63" t="s">
        <v>363</v>
      </c>
      <c r="M104" s="61" t="s">
        <v>364</v>
      </c>
      <c r="N104" s="55" t="s">
        <v>34</v>
      </c>
      <c r="O104" s="62">
        <v>4</v>
      </c>
      <c r="P104" s="97">
        <f>VLOOKUP(L104,[1]TDSheet!A$12:D$300,4,FALSE)</f>
        <v>12</v>
      </c>
      <c r="Q104" s="97"/>
      <c r="R104" s="101"/>
    </row>
    <row r="105" spans="1:18" ht="15.75" x14ac:dyDescent="0.25">
      <c r="A105" s="58"/>
      <c r="B105" s="59"/>
      <c r="C105" s="59"/>
      <c r="D105" s="59"/>
      <c r="E105" s="60"/>
      <c r="F105" s="80"/>
      <c r="G105" s="81"/>
      <c r="H105" s="81"/>
      <c r="I105" s="53"/>
      <c r="J105" s="75"/>
      <c r="K105" s="75"/>
      <c r="L105" s="63" t="s">
        <v>365</v>
      </c>
      <c r="M105" s="61" t="s">
        <v>366</v>
      </c>
      <c r="N105" s="55" t="s">
        <v>34</v>
      </c>
      <c r="O105" s="62">
        <v>20</v>
      </c>
      <c r="P105" s="97">
        <f>VLOOKUP(L105,[1]TDSheet!A$12:D$300,4,FALSE)</f>
        <v>66</v>
      </c>
      <c r="Q105" s="97"/>
      <c r="R105" s="101"/>
    </row>
    <row r="106" spans="1:18" ht="15.75" x14ac:dyDescent="0.25">
      <c r="A106" s="58"/>
      <c r="B106" s="59"/>
      <c r="C106" s="59"/>
      <c r="D106" s="59"/>
      <c r="E106" s="60"/>
      <c r="F106" s="80"/>
      <c r="G106" s="81"/>
      <c r="H106" s="81"/>
      <c r="I106" s="53"/>
      <c r="J106" s="75"/>
      <c r="K106" s="75"/>
      <c r="L106" s="63" t="s">
        <v>188</v>
      </c>
      <c r="M106" s="61" t="s">
        <v>189</v>
      </c>
      <c r="N106" s="55" t="s">
        <v>34</v>
      </c>
      <c r="O106" s="62">
        <v>3</v>
      </c>
      <c r="P106" s="97">
        <f>VLOOKUP(L106,[1]TDSheet!A$12:D$300,4,FALSE)</f>
        <v>4</v>
      </c>
      <c r="Q106" s="97"/>
      <c r="R106" s="101"/>
    </row>
    <row r="107" spans="1:18" ht="15.75" x14ac:dyDescent="0.25">
      <c r="A107" s="58"/>
      <c r="B107" s="59"/>
      <c r="C107" s="59"/>
      <c r="D107" s="59"/>
      <c r="E107" s="60"/>
      <c r="F107" s="80"/>
      <c r="G107" s="81"/>
      <c r="H107" s="81"/>
      <c r="I107" s="53"/>
      <c r="J107" s="75"/>
      <c r="K107" s="75"/>
      <c r="L107" s="144" t="s">
        <v>367</v>
      </c>
      <c r="M107" s="61" t="s">
        <v>368</v>
      </c>
      <c r="N107" s="55" t="s">
        <v>34</v>
      </c>
      <c r="O107" s="62">
        <v>5</v>
      </c>
      <c r="P107" s="97">
        <f>VLOOKUP(L107,[1]TDSheet!A$12:D$300,4,FALSE)</f>
        <v>5</v>
      </c>
      <c r="Q107" s="97"/>
      <c r="R107" s="101"/>
    </row>
    <row r="108" spans="1:18" ht="15.75" x14ac:dyDescent="0.25">
      <c r="A108" s="58"/>
      <c r="B108" s="59"/>
      <c r="C108" s="59"/>
      <c r="D108" s="59"/>
      <c r="E108" s="60"/>
      <c r="F108" s="80"/>
      <c r="G108" s="81"/>
      <c r="H108" s="81"/>
      <c r="I108" s="53"/>
      <c r="J108" s="75"/>
      <c r="K108" s="75"/>
      <c r="L108" s="63" t="s">
        <v>369</v>
      </c>
      <c r="M108" s="61" t="s">
        <v>733</v>
      </c>
      <c r="N108" s="113" t="s">
        <v>34</v>
      </c>
      <c r="O108" s="62">
        <v>3</v>
      </c>
      <c r="P108" s="97">
        <f>VLOOKUP(L108,[1]TDSheet!A$12:D$300,4,FALSE)</f>
        <v>23</v>
      </c>
      <c r="Q108" s="97"/>
      <c r="R108" s="101"/>
    </row>
    <row r="109" spans="1:18" ht="15.75" x14ac:dyDescent="0.25">
      <c r="A109" s="58"/>
      <c r="B109" s="59"/>
      <c r="C109" s="59"/>
      <c r="D109" s="59"/>
      <c r="E109" s="60"/>
      <c r="F109" s="80"/>
      <c r="G109" s="81"/>
      <c r="H109" s="81"/>
      <c r="I109" s="53"/>
      <c r="J109" s="75"/>
      <c r="K109" s="75"/>
      <c r="L109" s="63" t="s">
        <v>371</v>
      </c>
      <c r="M109" s="61" t="s">
        <v>372</v>
      </c>
      <c r="N109" s="113" t="s">
        <v>34</v>
      </c>
      <c r="O109" s="62">
        <v>54</v>
      </c>
      <c r="P109" s="97">
        <f>VLOOKUP(L109,[1]TDSheet!A$12:D$300,4,FALSE)</f>
        <v>288</v>
      </c>
      <c r="Q109" s="97"/>
      <c r="R109" s="101"/>
    </row>
    <row r="110" spans="1:18" ht="15.75" x14ac:dyDescent="0.25">
      <c r="A110" s="58"/>
      <c r="B110" s="59"/>
      <c r="C110" s="59"/>
      <c r="D110" s="59"/>
      <c r="E110" s="60"/>
      <c r="F110" s="80"/>
      <c r="G110" s="81"/>
      <c r="H110" s="81"/>
      <c r="I110" s="53"/>
      <c r="J110" s="75"/>
      <c r="K110" s="75"/>
      <c r="L110" s="63" t="s">
        <v>373</v>
      </c>
      <c r="M110" s="61" t="s">
        <v>374</v>
      </c>
      <c r="N110" s="113" t="s">
        <v>34</v>
      </c>
      <c r="O110" s="62">
        <v>12</v>
      </c>
      <c r="P110" s="97">
        <f>VLOOKUP(L110,[1]TDSheet!A$12:D$300,4,FALSE)</f>
        <v>84</v>
      </c>
      <c r="Q110" s="97"/>
      <c r="R110" s="101"/>
    </row>
    <row r="111" spans="1:18" ht="15.75" x14ac:dyDescent="0.25">
      <c r="A111" s="58"/>
      <c r="B111" s="59"/>
      <c r="C111" s="59"/>
      <c r="D111" s="59"/>
      <c r="E111" s="60"/>
      <c r="F111" s="80"/>
      <c r="G111" s="81"/>
      <c r="H111" s="81"/>
      <c r="I111" s="53"/>
      <c r="J111" s="75"/>
      <c r="K111" s="75"/>
      <c r="L111" s="63">
        <v>21939</v>
      </c>
      <c r="M111" s="61" t="s">
        <v>375</v>
      </c>
      <c r="N111" s="113" t="s">
        <v>34</v>
      </c>
      <c r="O111" s="62">
        <v>18</v>
      </c>
      <c r="P111" s="97">
        <f>VLOOKUP(L111,[1]TDSheet!A$12:D$300,4,FALSE)</f>
        <v>38</v>
      </c>
      <c r="Q111" s="97"/>
      <c r="R111" s="101"/>
    </row>
    <row r="112" spans="1:18" ht="15.75" x14ac:dyDescent="0.25">
      <c r="A112" s="58"/>
      <c r="B112" s="59"/>
      <c r="C112" s="59"/>
      <c r="D112" s="59"/>
      <c r="E112" s="60"/>
      <c r="F112" s="80"/>
      <c r="G112" s="81"/>
      <c r="H112" s="81"/>
      <c r="I112" s="53"/>
      <c r="J112" s="75"/>
      <c r="K112" s="75"/>
      <c r="L112" s="63" t="s">
        <v>376</v>
      </c>
      <c r="M112" s="61" t="s">
        <v>377</v>
      </c>
      <c r="N112" s="55" t="s">
        <v>34</v>
      </c>
      <c r="O112" s="62">
        <v>1</v>
      </c>
      <c r="P112" s="97">
        <f>VLOOKUP(L112,[1]TDSheet!A$12:D$300,4,FALSE)</f>
        <v>3</v>
      </c>
      <c r="Q112" s="97"/>
      <c r="R112" s="101"/>
    </row>
    <row r="113" spans="1:18" ht="15.75" x14ac:dyDescent="0.25">
      <c r="A113" s="58"/>
      <c r="B113" s="59"/>
      <c r="C113" s="59"/>
      <c r="D113" s="59"/>
      <c r="E113" s="60"/>
      <c r="F113" s="80"/>
      <c r="G113" s="81"/>
      <c r="H113" s="81"/>
      <c r="I113" s="53"/>
      <c r="J113" s="75"/>
      <c r="K113" s="75"/>
      <c r="L113" s="63" t="s">
        <v>378</v>
      </c>
      <c r="M113" s="61" t="s">
        <v>379</v>
      </c>
      <c r="N113" s="55" t="s">
        <v>34</v>
      </c>
      <c r="O113" s="62">
        <v>5</v>
      </c>
      <c r="P113" s="97">
        <f>VLOOKUP(L113,[1]TDSheet!A$12:D$300,4,FALSE)</f>
        <v>20</v>
      </c>
      <c r="Q113" s="97"/>
      <c r="R113" s="101"/>
    </row>
    <row r="114" spans="1:18" ht="15.75" x14ac:dyDescent="0.25">
      <c r="A114" s="58"/>
      <c r="B114" s="59"/>
      <c r="C114" s="59"/>
      <c r="D114" s="59"/>
      <c r="E114" s="60"/>
      <c r="F114" s="80"/>
      <c r="G114" s="81"/>
      <c r="H114" s="81"/>
      <c r="I114" s="53"/>
      <c r="J114" s="75"/>
      <c r="K114" s="75"/>
      <c r="L114" s="144" t="s">
        <v>380</v>
      </c>
      <c r="M114" s="61" t="s">
        <v>381</v>
      </c>
      <c r="N114" s="55" t="s">
        <v>34</v>
      </c>
      <c r="O114" s="62">
        <v>5</v>
      </c>
      <c r="P114" s="97">
        <f>VLOOKUP(L114,[1]TDSheet!A$12:D$300,4,FALSE)</f>
        <v>33</v>
      </c>
      <c r="Q114" s="97"/>
      <c r="R114" s="101"/>
    </row>
    <row r="115" spans="1:18" ht="15.75" x14ac:dyDescent="0.25">
      <c r="A115" s="58"/>
      <c r="B115" s="59"/>
      <c r="C115" s="59"/>
      <c r="D115" s="59"/>
      <c r="E115" s="60"/>
      <c r="F115" s="80"/>
      <c r="G115" s="81"/>
      <c r="H115" s="81"/>
      <c r="I115" s="53"/>
      <c r="J115" s="75"/>
      <c r="K115" s="75"/>
      <c r="L115" s="63" t="s">
        <v>83</v>
      </c>
      <c r="M115" s="61" t="s">
        <v>84</v>
      </c>
      <c r="N115" s="55" t="s">
        <v>37</v>
      </c>
      <c r="O115" s="62">
        <v>16</v>
      </c>
      <c r="P115" s="97">
        <f>VLOOKUP(L115,[1]TDSheet!A$12:D$300,4,FALSE)</f>
        <v>40.07</v>
      </c>
      <c r="Q115" s="97"/>
      <c r="R115" s="101"/>
    </row>
    <row r="116" spans="1:18" ht="15.75" x14ac:dyDescent="0.25">
      <c r="A116" s="58"/>
      <c r="B116" s="59"/>
      <c r="C116" s="59"/>
      <c r="D116" s="59"/>
      <c r="E116" s="60"/>
      <c r="F116" s="80"/>
      <c r="G116" s="81"/>
      <c r="H116" s="81"/>
      <c r="I116" s="53"/>
      <c r="J116" s="75"/>
      <c r="K116" s="75"/>
      <c r="L116" s="63" t="s">
        <v>53</v>
      </c>
      <c r="M116" s="61" t="s">
        <v>85</v>
      </c>
      <c r="N116" s="55" t="s">
        <v>34</v>
      </c>
      <c r="O116" s="62">
        <v>10</v>
      </c>
      <c r="P116" s="97">
        <f>VLOOKUP(L116,[1]TDSheet!A$12:D$300,4,FALSE)</f>
        <v>80</v>
      </c>
      <c r="Q116" s="97"/>
      <c r="R116" s="101"/>
    </row>
    <row r="117" spans="1:18" ht="15.75" x14ac:dyDescent="0.25">
      <c r="A117" s="58"/>
      <c r="B117" s="59"/>
      <c r="C117" s="59"/>
      <c r="D117" s="59"/>
      <c r="E117" s="60"/>
      <c r="F117" s="80"/>
      <c r="G117" s="81"/>
      <c r="H117" s="81"/>
      <c r="I117" s="53"/>
      <c r="J117" s="75"/>
      <c r="K117" s="75"/>
      <c r="L117" s="63" t="s">
        <v>54</v>
      </c>
      <c r="M117" s="61" t="s">
        <v>86</v>
      </c>
      <c r="N117" s="55" t="s">
        <v>34</v>
      </c>
      <c r="O117" s="62">
        <v>40</v>
      </c>
      <c r="P117" s="97">
        <f>VLOOKUP(L117,[1]TDSheet!A$12:D$300,4,FALSE)</f>
        <v>207</v>
      </c>
      <c r="Q117" s="97"/>
      <c r="R117" s="101"/>
    </row>
    <row r="118" spans="1:18" ht="15.75" x14ac:dyDescent="0.25">
      <c r="A118" s="58"/>
      <c r="B118" s="59"/>
      <c r="C118" s="59"/>
      <c r="D118" s="59"/>
      <c r="E118" s="60"/>
      <c r="F118" s="80"/>
      <c r="G118" s="81"/>
      <c r="H118" s="81"/>
      <c r="I118" s="53"/>
      <c r="J118" s="75"/>
      <c r="K118" s="75"/>
      <c r="L118" s="63">
        <v>106</v>
      </c>
      <c r="M118" s="61" t="s">
        <v>382</v>
      </c>
      <c r="N118" s="55" t="s">
        <v>34</v>
      </c>
      <c r="O118" s="62">
        <v>14</v>
      </c>
      <c r="P118" s="97">
        <f>VLOOKUP(L118,[1]TDSheet!A$12:D$300,4,FALSE)</f>
        <v>112</v>
      </c>
      <c r="Q118" s="97"/>
      <c r="R118" s="101"/>
    </row>
    <row r="119" spans="1:18" ht="15.75" x14ac:dyDescent="0.25">
      <c r="A119" s="58"/>
      <c r="B119" s="59"/>
      <c r="C119" s="59"/>
      <c r="D119" s="59"/>
      <c r="E119" s="60"/>
      <c r="F119" s="80"/>
      <c r="G119" s="81"/>
      <c r="H119" s="81"/>
      <c r="I119" s="53"/>
      <c r="J119" s="75"/>
      <c r="K119" s="75"/>
      <c r="L119" s="63" t="s">
        <v>190</v>
      </c>
      <c r="M119" s="61" t="s">
        <v>191</v>
      </c>
      <c r="N119" s="55" t="s">
        <v>34</v>
      </c>
      <c r="O119" s="62">
        <v>5</v>
      </c>
      <c r="P119" s="97" t="e">
        <f>VLOOKUP(L119,[1]TDSheet!A$12:D$300,4,FALSE)</f>
        <v>#N/A</v>
      </c>
      <c r="Q119" s="97"/>
      <c r="R119" s="101"/>
    </row>
    <row r="120" spans="1:18" ht="15.75" x14ac:dyDescent="0.25">
      <c r="A120" s="58"/>
      <c r="B120" s="59"/>
      <c r="C120" s="59"/>
      <c r="D120" s="59"/>
      <c r="E120" s="60"/>
      <c r="F120" s="80"/>
      <c r="G120" s="81"/>
      <c r="H120" s="81"/>
      <c r="I120" s="53"/>
      <c r="J120" s="75"/>
      <c r="K120" s="75"/>
      <c r="L120" s="63">
        <v>9893</v>
      </c>
      <c r="M120" s="61" t="s">
        <v>383</v>
      </c>
      <c r="N120" s="55" t="s">
        <v>34</v>
      </c>
      <c r="O120" s="62">
        <v>1</v>
      </c>
      <c r="P120" s="97">
        <f>VLOOKUP(L120,[1]TDSheet!A$12:D$300,4,FALSE)</f>
        <v>7</v>
      </c>
      <c r="Q120" s="97"/>
      <c r="R120" s="101"/>
    </row>
    <row r="121" spans="1:18" ht="15.75" x14ac:dyDescent="0.25">
      <c r="A121" s="58"/>
      <c r="B121" s="59"/>
      <c r="C121" s="59"/>
      <c r="D121" s="59"/>
      <c r="E121" s="60"/>
      <c r="F121" s="80"/>
      <c r="G121" s="81"/>
      <c r="H121" s="81"/>
      <c r="I121" s="53"/>
      <c r="J121" s="75"/>
      <c r="K121" s="75"/>
      <c r="L121" s="63">
        <v>3893</v>
      </c>
      <c r="M121" s="61" t="s">
        <v>87</v>
      </c>
      <c r="N121" s="55" t="s">
        <v>63</v>
      </c>
      <c r="O121" s="62">
        <v>0.113</v>
      </c>
      <c r="P121" s="97">
        <f>VLOOKUP(L121,[1]TDSheet!A$12:D$300,4,FALSE)</f>
        <v>0.69899999999999995</v>
      </c>
      <c r="Q121" s="97"/>
      <c r="R121" s="101"/>
    </row>
    <row r="122" spans="1:18" ht="15.75" x14ac:dyDescent="0.25">
      <c r="A122" s="58"/>
      <c r="B122" s="59"/>
      <c r="C122" s="59"/>
      <c r="D122" s="59"/>
      <c r="E122" s="60"/>
      <c r="F122" s="80"/>
      <c r="G122" s="81"/>
      <c r="H122" s="81"/>
      <c r="I122" s="53"/>
      <c r="J122" s="75"/>
      <c r="K122" s="75"/>
      <c r="L122" s="63">
        <v>6597</v>
      </c>
      <c r="M122" s="61" t="s">
        <v>384</v>
      </c>
      <c r="N122" s="55" t="s">
        <v>63</v>
      </c>
      <c r="O122" s="62">
        <v>0.25</v>
      </c>
      <c r="P122" s="97">
        <f>VLOOKUP(L122,[1]TDSheet!A$12:D$300,4,FALSE)</f>
        <v>2.8570000000000002</v>
      </c>
      <c r="Q122" s="97"/>
      <c r="R122" s="101"/>
    </row>
    <row r="123" spans="1:18" ht="15.75" x14ac:dyDescent="0.25">
      <c r="A123" s="58"/>
      <c r="B123" s="59"/>
      <c r="C123" s="59"/>
      <c r="D123" s="59"/>
      <c r="E123" s="60"/>
      <c r="F123" s="80"/>
      <c r="G123" s="81"/>
      <c r="H123" s="81"/>
      <c r="I123" s="53"/>
      <c r="J123" s="75"/>
      <c r="K123" s="75"/>
      <c r="L123" s="63">
        <v>17298</v>
      </c>
      <c r="M123" s="61" t="s">
        <v>88</v>
      </c>
      <c r="N123" s="113" t="s">
        <v>63</v>
      </c>
      <c r="O123" s="62">
        <v>0.1</v>
      </c>
      <c r="P123" s="97">
        <f>VLOOKUP(L123,[1]TDSheet!A$12:D$300,4,FALSE)</f>
        <v>0.1</v>
      </c>
      <c r="Q123" s="97"/>
      <c r="R123" s="101"/>
    </row>
    <row r="124" spans="1:18" ht="15.75" x14ac:dyDescent="0.25">
      <c r="A124" s="58"/>
      <c r="B124" s="59"/>
      <c r="C124" s="59"/>
      <c r="D124" s="59"/>
      <c r="E124" s="60"/>
      <c r="F124" s="80"/>
      <c r="G124" s="81"/>
      <c r="H124" s="81"/>
      <c r="I124" s="53"/>
      <c r="J124" s="75"/>
      <c r="K124" s="75"/>
      <c r="L124" s="63" t="s">
        <v>40</v>
      </c>
      <c r="M124" s="61" t="s">
        <v>89</v>
      </c>
      <c r="N124" s="113" t="s">
        <v>63</v>
      </c>
      <c r="O124" s="62">
        <v>0.13</v>
      </c>
      <c r="P124" s="97">
        <f>VLOOKUP(L124,[1]TDSheet!A$12:D$300,4,FALSE)</f>
        <v>0.253</v>
      </c>
      <c r="Q124" s="97"/>
      <c r="R124" s="101"/>
    </row>
    <row r="125" spans="1:18" ht="15.75" x14ac:dyDescent="0.25">
      <c r="A125" s="58"/>
      <c r="B125" s="59"/>
      <c r="C125" s="59"/>
      <c r="D125" s="59"/>
      <c r="E125" s="60"/>
      <c r="F125" s="80"/>
      <c r="G125" s="81"/>
      <c r="H125" s="81"/>
      <c r="I125" s="53"/>
      <c r="J125" s="75"/>
      <c r="K125" s="75"/>
      <c r="L125" s="63">
        <v>17403</v>
      </c>
      <c r="M125" s="61" t="s">
        <v>192</v>
      </c>
      <c r="N125" s="113" t="s">
        <v>63</v>
      </c>
      <c r="O125" s="62">
        <v>0.06</v>
      </c>
      <c r="P125" s="97">
        <f>VLOOKUP(L125,[1]TDSheet!A$12:D$300,4,FALSE)</f>
        <v>1.4670000000000001</v>
      </c>
      <c r="Q125" s="97"/>
      <c r="R125" s="101"/>
    </row>
    <row r="126" spans="1:18" ht="15.75" x14ac:dyDescent="0.25">
      <c r="A126" s="58"/>
      <c r="B126" s="59"/>
      <c r="C126" s="59"/>
      <c r="D126" s="59"/>
      <c r="E126" s="60"/>
      <c r="F126" s="80"/>
      <c r="G126" s="81"/>
      <c r="H126" s="81"/>
      <c r="I126" s="53"/>
      <c r="J126" s="75"/>
      <c r="K126" s="75"/>
      <c r="L126" s="63">
        <v>4057</v>
      </c>
      <c r="M126" s="61" t="s">
        <v>193</v>
      </c>
      <c r="N126" s="113" t="s">
        <v>63</v>
      </c>
      <c r="O126" s="62">
        <v>0.18</v>
      </c>
      <c r="P126" s="97">
        <f>VLOOKUP(L126,[1]TDSheet!A$12:D$300,4,FALSE)</f>
        <v>0.28000000000000003</v>
      </c>
      <c r="Q126" s="97"/>
      <c r="R126" s="101"/>
    </row>
    <row r="127" spans="1:18" ht="15.75" x14ac:dyDescent="0.25">
      <c r="A127" s="58"/>
      <c r="B127" s="59"/>
      <c r="C127" s="59"/>
      <c r="D127" s="59"/>
      <c r="E127" s="60"/>
      <c r="F127" s="80"/>
      <c r="G127" s="81"/>
      <c r="H127" s="81"/>
      <c r="I127" s="53"/>
      <c r="J127" s="75"/>
      <c r="K127" s="75"/>
      <c r="L127" s="63" t="s">
        <v>385</v>
      </c>
      <c r="M127" s="61" t="s">
        <v>386</v>
      </c>
      <c r="N127" s="113" t="s">
        <v>34</v>
      </c>
      <c r="O127" s="62">
        <v>2</v>
      </c>
      <c r="P127" s="97">
        <f>VLOOKUP(L127,[1]TDSheet!A$12:D$300,4,FALSE)</f>
        <v>10</v>
      </c>
      <c r="Q127" s="97"/>
      <c r="R127" s="101"/>
    </row>
    <row r="128" spans="1:18" ht="15.75" x14ac:dyDescent="0.25">
      <c r="A128" s="58"/>
      <c r="B128" s="59"/>
      <c r="C128" s="59"/>
      <c r="D128" s="59"/>
      <c r="E128" s="60"/>
      <c r="F128" s="80"/>
      <c r="G128" s="81"/>
      <c r="H128" s="81"/>
      <c r="I128" s="53"/>
      <c r="J128" s="75"/>
      <c r="K128" s="75"/>
      <c r="L128" s="63" t="s">
        <v>387</v>
      </c>
      <c r="M128" s="61" t="s">
        <v>388</v>
      </c>
      <c r="N128" s="113" t="s">
        <v>34</v>
      </c>
      <c r="O128" s="62">
        <v>2</v>
      </c>
      <c r="P128" s="97">
        <f>VLOOKUP(L128,[1]TDSheet!A$12:D$300,4,FALSE)</f>
        <v>10</v>
      </c>
      <c r="Q128" s="97"/>
      <c r="R128" s="101"/>
    </row>
    <row r="129" spans="1:18" ht="15.75" x14ac:dyDescent="0.25">
      <c r="A129" s="58"/>
      <c r="B129" s="59"/>
      <c r="C129" s="59"/>
      <c r="D129" s="59"/>
      <c r="E129" s="60"/>
      <c r="F129" s="80"/>
      <c r="G129" s="81"/>
      <c r="H129" s="81"/>
      <c r="I129" s="53"/>
      <c r="J129" s="75"/>
      <c r="K129" s="75"/>
      <c r="L129" s="63" t="s">
        <v>389</v>
      </c>
      <c r="M129" s="61" t="s">
        <v>390</v>
      </c>
      <c r="N129" s="113" t="s">
        <v>34</v>
      </c>
      <c r="O129" s="62">
        <v>1</v>
      </c>
      <c r="P129" s="97">
        <f>VLOOKUP(L129,[1]TDSheet!A$12:D$300,4,FALSE)</f>
        <v>1</v>
      </c>
      <c r="Q129" s="97"/>
      <c r="R129" s="101"/>
    </row>
    <row r="130" spans="1:18" ht="15.75" x14ac:dyDescent="0.25">
      <c r="A130" s="58"/>
      <c r="B130" s="59"/>
      <c r="C130" s="59"/>
      <c r="D130" s="59"/>
      <c r="E130" s="60"/>
      <c r="F130" s="80"/>
      <c r="G130" s="81"/>
      <c r="H130" s="81"/>
      <c r="I130" s="53"/>
      <c r="J130" s="75"/>
      <c r="K130" s="75"/>
      <c r="L130" s="63" t="s">
        <v>194</v>
      </c>
      <c r="M130" s="61" t="s">
        <v>195</v>
      </c>
      <c r="N130" s="55" t="s">
        <v>34</v>
      </c>
      <c r="O130" s="62">
        <v>3</v>
      </c>
      <c r="P130" s="97" t="e">
        <f>VLOOKUP(L130,[1]TDSheet!A$12:D$300,4,FALSE)</f>
        <v>#N/A</v>
      </c>
      <c r="Q130" s="97"/>
      <c r="R130" s="101"/>
    </row>
    <row r="131" spans="1:18" ht="15.75" x14ac:dyDescent="0.25">
      <c r="A131" s="58"/>
      <c r="B131" s="59"/>
      <c r="C131" s="59"/>
      <c r="D131" s="59"/>
      <c r="E131" s="60"/>
      <c r="F131" s="80"/>
      <c r="G131" s="81"/>
      <c r="H131" s="81"/>
      <c r="I131" s="53"/>
      <c r="J131" s="75"/>
      <c r="K131" s="75"/>
      <c r="L131" s="63" t="s">
        <v>391</v>
      </c>
      <c r="M131" s="61" t="s">
        <v>392</v>
      </c>
      <c r="N131" s="55" t="s">
        <v>68</v>
      </c>
      <c r="O131" s="62">
        <v>5.5739999999999998</v>
      </c>
      <c r="P131" s="97">
        <f>VLOOKUP(L131,[1]TDSheet!A$12:D$300,4,FALSE)</f>
        <v>3.6280000000000001</v>
      </c>
      <c r="Q131" s="97"/>
      <c r="R131" s="101"/>
    </row>
    <row r="132" spans="1:18" ht="15.75" x14ac:dyDescent="0.25">
      <c r="A132" s="58"/>
      <c r="B132" s="59"/>
      <c r="C132" s="59"/>
      <c r="D132" s="59"/>
      <c r="E132" s="60"/>
      <c r="F132" s="80"/>
      <c r="G132" s="81"/>
      <c r="H132" s="81"/>
      <c r="I132" s="53"/>
      <c r="J132" s="75"/>
      <c r="K132" s="75"/>
      <c r="L132" s="63">
        <v>19338</v>
      </c>
      <c r="M132" s="61" t="s">
        <v>393</v>
      </c>
      <c r="N132" s="55" t="s">
        <v>34</v>
      </c>
      <c r="O132" s="62">
        <v>5</v>
      </c>
      <c r="P132" s="97">
        <f>VLOOKUP(L132,[1]TDSheet!A$12:D$300,4,FALSE)</f>
        <v>40</v>
      </c>
      <c r="Q132" s="97"/>
      <c r="R132" s="101"/>
    </row>
    <row r="133" spans="1:18" ht="15.75" x14ac:dyDescent="0.25">
      <c r="A133" s="58"/>
      <c r="B133" s="59"/>
      <c r="C133" s="59"/>
      <c r="D133" s="59"/>
      <c r="E133" s="60"/>
      <c r="F133" s="80"/>
      <c r="G133" s="81"/>
      <c r="H133" s="81"/>
      <c r="I133" s="53"/>
      <c r="J133" s="75"/>
      <c r="K133" s="75"/>
      <c r="L133" s="63" t="s">
        <v>527</v>
      </c>
      <c r="M133" s="61" t="s">
        <v>528</v>
      </c>
      <c r="N133" s="55" t="s">
        <v>34</v>
      </c>
      <c r="O133" s="62">
        <v>4</v>
      </c>
      <c r="P133" s="97" t="e">
        <f>VLOOKUP(L133,[1]TDSheet!A$12:D$300,4,FALSE)</f>
        <v>#N/A</v>
      </c>
      <c r="Q133" s="97"/>
      <c r="R133" s="101"/>
    </row>
    <row r="134" spans="1:18" ht="15.75" x14ac:dyDescent="0.25">
      <c r="A134" s="58"/>
      <c r="B134" s="59"/>
      <c r="C134" s="59"/>
      <c r="D134" s="59"/>
      <c r="E134" s="60"/>
      <c r="F134" s="80"/>
      <c r="G134" s="81"/>
      <c r="H134" s="81"/>
      <c r="I134" s="53"/>
      <c r="J134" s="75"/>
      <c r="K134" s="75"/>
      <c r="L134" s="63" t="s">
        <v>394</v>
      </c>
      <c r="M134" s="61" t="s">
        <v>395</v>
      </c>
      <c r="N134" s="55" t="s">
        <v>34</v>
      </c>
      <c r="O134" s="62">
        <v>1</v>
      </c>
      <c r="P134" s="97">
        <f>VLOOKUP(L134,[1]TDSheet!A$12:D$300,4,FALSE)</f>
        <v>6</v>
      </c>
      <c r="Q134" s="97"/>
      <c r="R134" s="101"/>
    </row>
    <row r="135" spans="1:18" ht="15.75" x14ac:dyDescent="0.25">
      <c r="A135" s="58"/>
      <c r="B135" s="59"/>
      <c r="C135" s="59"/>
      <c r="D135" s="59"/>
      <c r="E135" s="60"/>
      <c r="F135" s="80"/>
      <c r="G135" s="81"/>
      <c r="H135" s="81"/>
      <c r="I135" s="53"/>
      <c r="J135" s="75"/>
      <c r="K135" s="75"/>
      <c r="L135" s="63">
        <v>345</v>
      </c>
      <c r="M135" s="61" t="s">
        <v>396</v>
      </c>
      <c r="N135" s="55" t="s">
        <v>34</v>
      </c>
      <c r="O135" s="62">
        <v>2</v>
      </c>
      <c r="P135" s="97">
        <f>VLOOKUP(L135,[1]TDSheet!A$12:D$300,4,FALSE)</f>
        <v>56</v>
      </c>
      <c r="Q135" s="97"/>
      <c r="R135" s="101"/>
    </row>
    <row r="136" spans="1:18" ht="15.75" x14ac:dyDescent="0.25">
      <c r="A136" s="58"/>
      <c r="B136" s="59"/>
      <c r="C136" s="59"/>
      <c r="D136" s="59"/>
      <c r="E136" s="60"/>
      <c r="F136" s="80"/>
      <c r="G136" s="81"/>
      <c r="H136" s="81"/>
      <c r="I136" s="53"/>
      <c r="J136" s="75"/>
      <c r="K136" s="75"/>
      <c r="L136" s="63">
        <v>107</v>
      </c>
      <c r="M136" s="61" t="s">
        <v>397</v>
      </c>
      <c r="N136" s="55" t="s">
        <v>34</v>
      </c>
      <c r="O136" s="62">
        <v>2</v>
      </c>
      <c r="P136" s="97">
        <f>VLOOKUP(L136,[1]TDSheet!A$12:D$300,4,FALSE)</f>
        <v>3</v>
      </c>
      <c r="Q136" s="97"/>
      <c r="R136" s="101"/>
    </row>
    <row r="137" spans="1:18" ht="15.75" x14ac:dyDescent="0.25">
      <c r="A137" s="58"/>
      <c r="B137" s="59"/>
      <c r="C137" s="59"/>
      <c r="D137" s="59"/>
      <c r="E137" s="60"/>
      <c r="F137" s="80"/>
      <c r="G137" s="81"/>
      <c r="H137" s="81"/>
      <c r="I137" s="53"/>
      <c r="J137" s="75"/>
      <c r="K137" s="75"/>
      <c r="L137" s="144" t="s">
        <v>59</v>
      </c>
      <c r="M137" s="61" t="s">
        <v>90</v>
      </c>
      <c r="N137" s="55" t="s">
        <v>34</v>
      </c>
      <c r="O137" s="62">
        <v>3</v>
      </c>
      <c r="P137" s="97">
        <f>VLOOKUP(L137,[1]TDSheet!A$12:D$300,4,FALSE)</f>
        <v>6</v>
      </c>
      <c r="Q137" s="97"/>
      <c r="R137" s="101"/>
    </row>
    <row r="138" spans="1:18" ht="15.75" x14ac:dyDescent="0.25">
      <c r="A138" s="58"/>
      <c r="B138" s="59"/>
      <c r="C138" s="59"/>
      <c r="D138" s="59"/>
      <c r="E138" s="60"/>
      <c r="F138" s="80"/>
      <c r="G138" s="81"/>
      <c r="H138" s="81"/>
      <c r="I138" s="53"/>
      <c r="J138" s="75"/>
      <c r="K138" s="75"/>
      <c r="L138" s="144">
        <v>21807</v>
      </c>
      <c r="M138" s="61" t="s">
        <v>398</v>
      </c>
      <c r="N138" s="55" t="s">
        <v>34</v>
      </c>
      <c r="O138" s="62">
        <v>5</v>
      </c>
      <c r="P138" s="97">
        <f>VLOOKUP(L138,[1]TDSheet!A$12:D$300,4,FALSE)</f>
        <v>26</v>
      </c>
      <c r="Q138" s="97"/>
      <c r="R138" s="101"/>
    </row>
    <row r="139" spans="1:18" ht="15.75" x14ac:dyDescent="0.25">
      <c r="A139" s="58"/>
      <c r="B139" s="59"/>
      <c r="C139" s="59"/>
      <c r="D139" s="59"/>
      <c r="E139" s="60"/>
      <c r="F139" s="80"/>
      <c r="G139" s="81"/>
      <c r="H139" s="81"/>
      <c r="I139" s="53"/>
      <c r="J139" s="75"/>
      <c r="K139" s="75"/>
      <c r="L139" s="63">
        <v>16131</v>
      </c>
      <c r="M139" s="61" t="s">
        <v>399</v>
      </c>
      <c r="N139" s="55" t="s">
        <v>34</v>
      </c>
      <c r="O139" s="62">
        <v>3</v>
      </c>
      <c r="P139" s="97">
        <f>VLOOKUP(L139,[1]TDSheet!A$12:D$300,4,FALSE)</f>
        <v>25</v>
      </c>
      <c r="Q139" s="97"/>
      <c r="R139" s="101"/>
    </row>
    <row r="140" spans="1:18" ht="15.75" x14ac:dyDescent="0.25">
      <c r="A140" s="58"/>
      <c r="B140" s="59"/>
      <c r="C140" s="59"/>
      <c r="D140" s="59"/>
      <c r="E140" s="60"/>
      <c r="F140" s="80"/>
      <c r="G140" s="81"/>
      <c r="H140" s="81"/>
      <c r="I140" s="53"/>
      <c r="J140" s="75"/>
      <c r="K140" s="75"/>
      <c r="L140" s="63" t="s">
        <v>196</v>
      </c>
      <c r="M140" s="61" t="s">
        <v>197</v>
      </c>
      <c r="N140" s="55" t="s">
        <v>34</v>
      </c>
      <c r="O140" s="62">
        <v>4</v>
      </c>
      <c r="P140" s="97">
        <f>VLOOKUP(L140,[1]TDSheet!A$12:D$300,4,FALSE)</f>
        <v>7</v>
      </c>
      <c r="Q140" s="97"/>
      <c r="R140" s="101"/>
    </row>
    <row r="141" spans="1:18" ht="15.75" x14ac:dyDescent="0.25">
      <c r="A141" s="58"/>
      <c r="B141" s="59"/>
      <c r="C141" s="59"/>
      <c r="D141" s="59"/>
      <c r="E141" s="60"/>
      <c r="F141" s="80"/>
      <c r="G141" s="81"/>
      <c r="H141" s="81"/>
      <c r="I141" s="53"/>
      <c r="J141" s="75"/>
      <c r="K141" s="75"/>
      <c r="L141" s="63" t="s">
        <v>400</v>
      </c>
      <c r="M141" s="61" t="s">
        <v>401</v>
      </c>
      <c r="N141" s="55" t="s">
        <v>34</v>
      </c>
      <c r="O141" s="62">
        <v>1</v>
      </c>
      <c r="P141" s="97">
        <f>VLOOKUP(L141,[1]TDSheet!A$12:D$300,4,FALSE)</f>
        <v>5</v>
      </c>
      <c r="Q141" s="97"/>
      <c r="R141" s="101"/>
    </row>
    <row r="142" spans="1:18" ht="15.75" x14ac:dyDescent="0.25">
      <c r="A142" s="58"/>
      <c r="B142" s="59"/>
      <c r="C142" s="59"/>
      <c r="D142" s="59"/>
      <c r="E142" s="60"/>
      <c r="F142" s="80"/>
      <c r="G142" s="81"/>
      <c r="H142" s="81"/>
      <c r="I142" s="53"/>
      <c r="J142" s="75"/>
      <c r="K142" s="75"/>
      <c r="L142" s="144">
        <v>22343</v>
      </c>
      <c r="M142" s="61" t="s">
        <v>92</v>
      </c>
      <c r="N142" s="55" t="s">
        <v>68</v>
      </c>
      <c r="O142" s="62">
        <v>49</v>
      </c>
      <c r="P142" s="97" t="e">
        <f>VLOOKUP(L142,[1]TDSheet!A$12:D$300,4,FALSE)</f>
        <v>#N/A</v>
      </c>
      <c r="Q142" s="97"/>
      <c r="R142" s="101"/>
    </row>
    <row r="143" spans="1:18" ht="15.75" x14ac:dyDescent="0.25">
      <c r="A143" s="58"/>
      <c r="B143" s="59"/>
      <c r="C143" s="59"/>
      <c r="D143" s="59"/>
      <c r="E143" s="60"/>
      <c r="F143" s="80"/>
      <c r="G143" s="81"/>
      <c r="H143" s="81"/>
      <c r="I143" s="53"/>
      <c r="J143" s="75"/>
      <c r="K143" s="75"/>
      <c r="L143" s="63">
        <v>19330</v>
      </c>
      <c r="M143" s="61" t="s">
        <v>402</v>
      </c>
      <c r="N143" s="55" t="s">
        <v>34</v>
      </c>
      <c r="O143" s="62">
        <v>2</v>
      </c>
      <c r="P143" s="97">
        <f>VLOOKUP(L143,[1]TDSheet!A$12:D$300,4,FALSE)</f>
        <v>6</v>
      </c>
      <c r="Q143" s="97"/>
      <c r="R143" s="101"/>
    </row>
    <row r="144" spans="1:18" ht="15.75" x14ac:dyDescent="0.25">
      <c r="A144" s="58"/>
      <c r="B144" s="59"/>
      <c r="C144" s="59"/>
      <c r="D144" s="59"/>
      <c r="E144" s="60"/>
      <c r="F144" s="80"/>
      <c r="G144" s="81"/>
      <c r="H144" s="81"/>
      <c r="I144" s="53"/>
      <c r="J144" s="75"/>
      <c r="K144" s="75"/>
      <c r="L144" s="63" t="s">
        <v>403</v>
      </c>
      <c r="M144" s="61" t="s">
        <v>404</v>
      </c>
      <c r="N144" s="55" t="s">
        <v>34</v>
      </c>
      <c r="O144" s="62">
        <v>2</v>
      </c>
      <c r="P144" s="97">
        <f>VLOOKUP(L144,[1]TDSheet!A$12:D$300,4,FALSE)</f>
        <v>6</v>
      </c>
      <c r="Q144" s="97"/>
      <c r="R144" s="101"/>
    </row>
    <row r="145" spans="1:18" ht="15.75" x14ac:dyDescent="0.25">
      <c r="A145" s="58"/>
      <c r="B145" s="59"/>
      <c r="C145" s="59"/>
      <c r="D145" s="59"/>
      <c r="E145" s="60"/>
      <c r="F145" s="80"/>
      <c r="G145" s="81"/>
      <c r="H145" s="81"/>
      <c r="I145" s="53"/>
      <c r="J145" s="75"/>
      <c r="K145" s="75"/>
      <c r="L145" s="63" t="s">
        <v>198</v>
      </c>
      <c r="M145" s="61" t="s">
        <v>199</v>
      </c>
      <c r="N145" s="55" t="s">
        <v>34</v>
      </c>
      <c r="O145" s="62">
        <v>2</v>
      </c>
      <c r="P145" s="97">
        <f>VLOOKUP(L145,[1]TDSheet!A$12:D$300,4,FALSE)</f>
        <v>1</v>
      </c>
      <c r="Q145" s="97"/>
      <c r="R145" s="101"/>
    </row>
    <row r="146" spans="1:18" ht="15.75" x14ac:dyDescent="0.25">
      <c r="A146" s="58"/>
      <c r="B146" s="59"/>
      <c r="C146" s="59"/>
      <c r="D146" s="59"/>
      <c r="E146" s="60"/>
      <c r="F146" s="80"/>
      <c r="G146" s="81"/>
      <c r="H146" s="81"/>
      <c r="I146" s="53"/>
      <c r="J146" s="75"/>
      <c r="K146" s="75"/>
      <c r="L146" s="63" t="s">
        <v>200</v>
      </c>
      <c r="M146" s="61" t="s">
        <v>201</v>
      </c>
      <c r="N146" s="113" t="s">
        <v>34</v>
      </c>
      <c r="O146" s="62">
        <v>2</v>
      </c>
      <c r="P146" s="97">
        <f>VLOOKUP(L146,[1]TDSheet!A$12:D$300,4,FALSE)</f>
        <v>1</v>
      </c>
      <c r="Q146" s="97"/>
      <c r="R146" s="101"/>
    </row>
    <row r="147" spans="1:18" ht="15.75" x14ac:dyDescent="0.25">
      <c r="A147" s="58"/>
      <c r="B147" s="59"/>
      <c r="C147" s="59"/>
      <c r="D147" s="59"/>
      <c r="E147" s="60"/>
      <c r="F147" s="80"/>
      <c r="G147" s="81"/>
      <c r="H147" s="81"/>
      <c r="I147" s="53"/>
      <c r="J147" s="75"/>
      <c r="K147" s="75"/>
      <c r="L147" s="63" t="s">
        <v>405</v>
      </c>
      <c r="M147" s="61" t="s">
        <v>406</v>
      </c>
      <c r="N147" s="113" t="s">
        <v>34</v>
      </c>
      <c r="O147" s="62">
        <v>2</v>
      </c>
      <c r="P147" s="97">
        <f>VLOOKUP(L147,[1]TDSheet!A$12:D$300,4,FALSE)</f>
        <v>6</v>
      </c>
      <c r="Q147" s="97"/>
      <c r="R147" s="101"/>
    </row>
    <row r="148" spans="1:18" ht="15.75" x14ac:dyDescent="0.25">
      <c r="A148" s="58"/>
      <c r="B148" s="59"/>
      <c r="C148" s="59"/>
      <c r="D148" s="59"/>
      <c r="E148" s="60"/>
      <c r="F148" s="80"/>
      <c r="G148" s="81"/>
      <c r="H148" s="81"/>
      <c r="I148" s="53"/>
      <c r="J148" s="75"/>
      <c r="K148" s="75"/>
      <c r="L148" s="63" t="s">
        <v>202</v>
      </c>
      <c r="M148" s="61" t="s">
        <v>203</v>
      </c>
      <c r="N148" s="113" t="s">
        <v>34</v>
      </c>
      <c r="O148" s="62">
        <v>3</v>
      </c>
      <c r="P148" s="97">
        <f>VLOOKUP(L148,[1]TDSheet!A$12:D$300,4,FALSE)</f>
        <v>4</v>
      </c>
      <c r="Q148" s="97"/>
      <c r="R148" s="101"/>
    </row>
    <row r="149" spans="1:18" ht="15.75" x14ac:dyDescent="0.25">
      <c r="A149" s="58"/>
      <c r="B149" s="59"/>
      <c r="C149" s="59"/>
      <c r="D149" s="59"/>
      <c r="E149" s="60"/>
      <c r="F149" s="80"/>
      <c r="G149" s="81"/>
      <c r="H149" s="81"/>
      <c r="I149" s="53"/>
      <c r="J149" s="75"/>
      <c r="K149" s="75"/>
      <c r="L149" s="63">
        <v>85</v>
      </c>
      <c r="M149" s="61" t="s">
        <v>407</v>
      </c>
      <c r="N149" s="113" t="s">
        <v>34</v>
      </c>
      <c r="O149" s="62">
        <v>2</v>
      </c>
      <c r="P149" s="97">
        <f>VLOOKUP(L149,[1]TDSheet!A$12:D$300,4,FALSE)</f>
        <v>6</v>
      </c>
      <c r="Q149" s="97"/>
      <c r="R149" s="101"/>
    </row>
    <row r="150" spans="1:18" ht="15.75" x14ac:dyDescent="0.25">
      <c r="A150" s="58"/>
      <c r="B150" s="59"/>
      <c r="C150" s="59"/>
      <c r="D150" s="59"/>
      <c r="E150" s="60"/>
      <c r="F150" s="80"/>
      <c r="G150" s="81"/>
      <c r="H150" s="81"/>
      <c r="I150" s="53"/>
      <c r="J150" s="75"/>
      <c r="K150" s="75"/>
      <c r="L150" s="63">
        <v>477</v>
      </c>
      <c r="M150" s="61" t="s">
        <v>93</v>
      </c>
      <c r="N150" s="113" t="s">
        <v>34</v>
      </c>
      <c r="O150" s="62">
        <v>18</v>
      </c>
      <c r="P150" s="97">
        <f>VLOOKUP(L150,[1]TDSheet!A$12:D$300,4,FALSE)</f>
        <v>12</v>
      </c>
      <c r="Q150" s="97"/>
      <c r="R150" s="101"/>
    </row>
    <row r="151" spans="1:18" ht="15.75" x14ac:dyDescent="0.25">
      <c r="A151" s="58"/>
      <c r="B151" s="59"/>
      <c r="C151" s="59"/>
      <c r="D151" s="59"/>
      <c r="E151" s="60"/>
      <c r="F151" s="80"/>
      <c r="G151" s="81"/>
      <c r="H151" s="81"/>
      <c r="I151" s="53"/>
      <c r="J151" s="75"/>
      <c r="K151" s="75"/>
      <c r="L151" s="63" t="s">
        <v>408</v>
      </c>
      <c r="M151" s="61" t="s">
        <v>409</v>
      </c>
      <c r="N151" s="113" t="s">
        <v>34</v>
      </c>
      <c r="O151" s="62">
        <v>12</v>
      </c>
      <c r="P151" s="97">
        <f>VLOOKUP(L151,[1]TDSheet!A$12:D$300,4,FALSE)</f>
        <v>28</v>
      </c>
      <c r="Q151" s="97"/>
      <c r="R151" s="101"/>
    </row>
    <row r="152" spans="1:18" ht="15.75" x14ac:dyDescent="0.25">
      <c r="A152" s="58"/>
      <c r="B152" s="59"/>
      <c r="C152" s="59"/>
      <c r="D152" s="59"/>
      <c r="E152" s="60"/>
      <c r="F152" s="80"/>
      <c r="G152" s="81"/>
      <c r="H152" s="81"/>
      <c r="I152" s="53"/>
      <c r="J152" s="75"/>
      <c r="K152" s="75"/>
      <c r="L152" s="63">
        <v>10992</v>
      </c>
      <c r="M152" s="61" t="s">
        <v>410</v>
      </c>
      <c r="N152" s="113" t="s">
        <v>34</v>
      </c>
      <c r="O152" s="62">
        <v>12</v>
      </c>
      <c r="P152" s="97">
        <f>VLOOKUP(L152,[1]TDSheet!A$12:D$300,4,FALSE)</f>
        <v>2</v>
      </c>
      <c r="Q152" s="97"/>
      <c r="R152" s="101"/>
    </row>
    <row r="153" spans="1:18" ht="15.75" x14ac:dyDescent="0.25">
      <c r="A153" s="58"/>
      <c r="B153" s="59"/>
      <c r="C153" s="59"/>
      <c r="D153" s="59"/>
      <c r="E153" s="60"/>
      <c r="F153" s="80"/>
      <c r="G153" s="81"/>
      <c r="H153" s="81"/>
      <c r="I153" s="53"/>
      <c r="J153" s="75"/>
      <c r="K153" s="75"/>
      <c r="L153" s="63" t="s">
        <v>411</v>
      </c>
      <c r="M153" s="61" t="s">
        <v>412</v>
      </c>
      <c r="N153" s="113" t="s">
        <v>34</v>
      </c>
      <c r="O153" s="62">
        <v>136</v>
      </c>
      <c r="P153" s="97">
        <f>VLOOKUP(L153,[1]TDSheet!A$12:D$300,4,FALSE)</f>
        <v>724</v>
      </c>
      <c r="Q153" s="97"/>
      <c r="R153" s="101"/>
    </row>
    <row r="154" spans="1:18" ht="15.75" x14ac:dyDescent="0.25">
      <c r="A154" s="58"/>
      <c r="B154" s="59"/>
      <c r="C154" s="59"/>
      <c r="D154" s="59"/>
      <c r="E154" s="60"/>
      <c r="F154" s="80"/>
      <c r="G154" s="81"/>
      <c r="H154" s="81"/>
      <c r="I154" s="53"/>
      <c r="J154" s="75"/>
      <c r="K154" s="75"/>
      <c r="L154" s="63" t="s">
        <v>204</v>
      </c>
      <c r="M154" s="61" t="s">
        <v>735</v>
      </c>
      <c r="N154" s="113" t="s">
        <v>34</v>
      </c>
      <c r="O154" s="62">
        <v>158</v>
      </c>
      <c r="P154" s="97">
        <f>VLOOKUP(L154,[1]TDSheet!A$12:D$300,4,FALSE)</f>
        <v>550</v>
      </c>
      <c r="Q154" s="97"/>
      <c r="R154" s="101"/>
    </row>
    <row r="155" spans="1:18" ht="15.75" x14ac:dyDescent="0.25">
      <c r="A155" s="58"/>
      <c r="B155" s="59"/>
      <c r="C155" s="59"/>
      <c r="D155" s="59"/>
      <c r="E155" s="60"/>
      <c r="F155" s="80"/>
      <c r="G155" s="81"/>
      <c r="H155" s="81"/>
      <c r="I155" s="53"/>
      <c r="J155" s="75"/>
      <c r="K155" s="75"/>
      <c r="L155" s="63">
        <v>3979</v>
      </c>
      <c r="M155" s="61" t="s">
        <v>206</v>
      </c>
      <c r="N155" s="113" t="s">
        <v>34</v>
      </c>
      <c r="O155" s="62">
        <v>72</v>
      </c>
      <c r="P155" s="97">
        <f>VLOOKUP(L155,[1]TDSheet!A$12:D$300,4,FALSE)</f>
        <v>291</v>
      </c>
      <c r="Q155" s="97"/>
      <c r="R155" s="101"/>
    </row>
    <row r="156" spans="1:18" ht="15.75" x14ac:dyDescent="0.25">
      <c r="A156" s="58"/>
      <c r="B156" s="59"/>
      <c r="C156" s="59"/>
      <c r="D156" s="59"/>
      <c r="E156" s="60"/>
      <c r="F156" s="80"/>
      <c r="G156" s="81"/>
      <c r="H156" s="81"/>
      <c r="I156" s="53"/>
      <c r="J156" s="75"/>
      <c r="K156" s="75"/>
      <c r="L156" s="63">
        <v>21333</v>
      </c>
      <c r="M156" s="61" t="s">
        <v>747</v>
      </c>
      <c r="N156" s="113" t="s">
        <v>34</v>
      </c>
      <c r="O156" s="62">
        <v>4</v>
      </c>
      <c r="P156" s="97">
        <f>VLOOKUP(L156,[1]TDSheet!A$12:D$300,4,FALSE)</f>
        <v>61</v>
      </c>
      <c r="Q156" s="97"/>
      <c r="R156" s="101"/>
    </row>
    <row r="157" spans="1:18" ht="15.75" x14ac:dyDescent="0.25">
      <c r="A157" s="58"/>
      <c r="B157" s="59"/>
      <c r="C157" s="59"/>
      <c r="D157" s="59"/>
      <c r="E157" s="60"/>
      <c r="F157" s="80"/>
      <c r="G157" s="81"/>
      <c r="H157" s="81"/>
      <c r="I157" s="53"/>
      <c r="J157" s="75"/>
      <c r="K157" s="75"/>
      <c r="L157" s="144">
        <v>614</v>
      </c>
      <c r="M157" s="61" t="s">
        <v>512</v>
      </c>
      <c r="N157" s="55" t="s">
        <v>45</v>
      </c>
      <c r="O157" s="62">
        <v>270</v>
      </c>
      <c r="P157" s="97">
        <f>VLOOKUP(L157,[1]TDSheet!A$12:D$300,4,FALSE)</f>
        <v>1935.34</v>
      </c>
      <c r="Q157" s="97"/>
      <c r="R157" s="101"/>
    </row>
    <row r="158" spans="1:18" ht="15.75" x14ac:dyDescent="0.25">
      <c r="A158" s="58"/>
      <c r="B158" s="59"/>
      <c r="C158" s="59"/>
      <c r="D158" s="59"/>
      <c r="E158" s="60"/>
      <c r="F158" s="80"/>
      <c r="G158" s="81"/>
      <c r="H158" s="81"/>
      <c r="I158" s="53"/>
      <c r="J158" s="75"/>
      <c r="K158" s="75"/>
      <c r="L158" s="63" t="s">
        <v>414</v>
      </c>
      <c r="M158" s="61" t="s">
        <v>415</v>
      </c>
      <c r="N158" s="55" t="s">
        <v>37</v>
      </c>
      <c r="O158" s="62">
        <v>95</v>
      </c>
      <c r="P158" s="97">
        <f>VLOOKUP(L158,[1]TDSheet!A$12:D$300,4,FALSE)</f>
        <v>47.5</v>
      </c>
      <c r="Q158" s="97"/>
      <c r="R158" s="101"/>
    </row>
    <row r="159" spans="1:18" ht="15.75" x14ac:dyDescent="0.25">
      <c r="A159" s="58"/>
      <c r="B159" s="59"/>
      <c r="C159" s="59"/>
      <c r="D159" s="59"/>
      <c r="E159" s="60"/>
      <c r="F159" s="80"/>
      <c r="G159" s="81"/>
      <c r="H159" s="81"/>
      <c r="I159" s="53"/>
      <c r="J159" s="75"/>
      <c r="K159" s="75"/>
      <c r="L159" s="63" t="s">
        <v>207</v>
      </c>
      <c r="M159" s="61" t="s">
        <v>513</v>
      </c>
      <c r="N159" s="113" t="s">
        <v>68</v>
      </c>
      <c r="O159" s="62">
        <v>120</v>
      </c>
      <c r="P159" s="97">
        <f>VLOOKUP(L159,[1]TDSheet!A$12:D$300,4,FALSE)</f>
        <v>70</v>
      </c>
      <c r="Q159" s="97"/>
      <c r="R159" s="101"/>
    </row>
    <row r="160" spans="1:18" ht="15.75" x14ac:dyDescent="0.25">
      <c r="A160" s="58"/>
      <c r="B160" s="59"/>
      <c r="C160" s="59"/>
      <c r="D160" s="59"/>
      <c r="E160" s="60"/>
      <c r="F160" s="80"/>
      <c r="G160" s="81"/>
      <c r="H160" s="81"/>
      <c r="I160" s="53"/>
      <c r="J160" s="75"/>
      <c r="K160" s="75"/>
      <c r="L160" s="63" t="s">
        <v>208</v>
      </c>
      <c r="M160" s="61" t="s">
        <v>209</v>
      </c>
      <c r="N160" s="113" t="s">
        <v>34</v>
      </c>
      <c r="O160" s="62">
        <v>9</v>
      </c>
      <c r="P160" s="97">
        <f>VLOOKUP(L160,[1]TDSheet!A$12:D$300,4,FALSE)</f>
        <v>7</v>
      </c>
      <c r="Q160" s="97"/>
      <c r="R160" s="101"/>
    </row>
    <row r="161" spans="1:18" ht="15.75" x14ac:dyDescent="0.25">
      <c r="A161" s="58"/>
      <c r="B161" s="59"/>
      <c r="C161" s="59"/>
      <c r="D161" s="59"/>
      <c r="E161" s="60"/>
      <c r="F161" s="80"/>
      <c r="G161" s="81"/>
      <c r="H161" s="81"/>
      <c r="I161" s="53"/>
      <c r="J161" s="75"/>
      <c r="K161" s="75"/>
      <c r="L161" s="63" t="s">
        <v>416</v>
      </c>
      <c r="M161" s="61" t="s">
        <v>417</v>
      </c>
      <c r="N161" s="113" t="s">
        <v>34</v>
      </c>
      <c r="O161" s="62">
        <v>1</v>
      </c>
      <c r="P161" s="97">
        <f>VLOOKUP(L161,[1]TDSheet!A$12:D$300,4,FALSE)</f>
        <v>4</v>
      </c>
      <c r="Q161" s="97"/>
      <c r="R161" s="101"/>
    </row>
    <row r="162" spans="1:18" ht="15.75" x14ac:dyDescent="0.25">
      <c r="A162" s="58"/>
      <c r="B162" s="59"/>
      <c r="C162" s="59"/>
      <c r="D162" s="59"/>
      <c r="E162" s="60"/>
      <c r="F162" s="80"/>
      <c r="G162" s="81"/>
      <c r="H162" s="81"/>
      <c r="I162" s="53"/>
      <c r="J162" s="75"/>
      <c r="K162" s="75"/>
      <c r="L162" s="63" t="s">
        <v>418</v>
      </c>
      <c r="M162" s="61" t="s">
        <v>419</v>
      </c>
      <c r="N162" s="113" t="s">
        <v>34</v>
      </c>
      <c r="O162" s="62">
        <v>1</v>
      </c>
      <c r="P162" s="97">
        <f>VLOOKUP(L162,[1]TDSheet!A$12:D$300,4,FALSE)</f>
        <v>4</v>
      </c>
      <c r="Q162" s="97"/>
      <c r="R162" s="101"/>
    </row>
    <row r="163" spans="1:18" ht="15.75" x14ac:dyDescent="0.25">
      <c r="A163" s="58"/>
      <c r="B163" s="59"/>
      <c r="C163" s="59"/>
      <c r="D163" s="59"/>
      <c r="E163" s="60"/>
      <c r="F163" s="80"/>
      <c r="G163" s="81"/>
      <c r="H163" s="81"/>
      <c r="I163" s="53"/>
      <c r="J163" s="75"/>
      <c r="K163" s="75"/>
      <c r="L163" s="63" t="s">
        <v>420</v>
      </c>
      <c r="M163" s="61" t="s">
        <v>421</v>
      </c>
      <c r="N163" s="55" t="s">
        <v>37</v>
      </c>
      <c r="O163" s="62">
        <v>20</v>
      </c>
      <c r="P163" s="97">
        <f>VLOOKUP(L163,[1]TDSheet!A$12:D$300,4,FALSE)</f>
        <v>60.018999999999998</v>
      </c>
      <c r="Q163" s="97"/>
      <c r="R163" s="101"/>
    </row>
    <row r="164" spans="1:18" ht="15.75" x14ac:dyDescent="0.25">
      <c r="A164" s="58"/>
      <c r="B164" s="59"/>
      <c r="C164" s="59"/>
      <c r="D164" s="59"/>
      <c r="E164" s="60"/>
      <c r="F164" s="80"/>
      <c r="G164" s="81"/>
      <c r="H164" s="81"/>
      <c r="I164" s="53"/>
      <c r="J164" s="75"/>
      <c r="K164" s="75"/>
      <c r="L164" s="63" t="s">
        <v>422</v>
      </c>
      <c r="M164" s="61" t="s">
        <v>423</v>
      </c>
      <c r="N164" s="55" t="s">
        <v>34</v>
      </c>
      <c r="O164" s="62">
        <v>2</v>
      </c>
      <c r="P164" s="97">
        <f>VLOOKUP(L164,[1]TDSheet!A$12:D$300,4,FALSE)</f>
        <v>6</v>
      </c>
      <c r="Q164" s="97"/>
      <c r="R164" s="101"/>
    </row>
    <row r="165" spans="1:18" ht="15.75" x14ac:dyDescent="0.25">
      <c r="A165" s="58"/>
      <c r="B165" s="59"/>
      <c r="C165" s="59"/>
      <c r="D165" s="59"/>
      <c r="E165" s="60"/>
      <c r="F165" s="80"/>
      <c r="G165" s="81"/>
      <c r="H165" s="81"/>
      <c r="I165" s="53"/>
      <c r="J165" s="75"/>
      <c r="K165" s="75"/>
      <c r="L165" s="63" t="s">
        <v>424</v>
      </c>
      <c r="M165" s="61" t="s">
        <v>425</v>
      </c>
      <c r="N165" s="55" t="s">
        <v>34</v>
      </c>
      <c r="O165" s="62">
        <v>2</v>
      </c>
      <c r="P165" s="97">
        <f>VLOOKUP(L165,[1]TDSheet!A$12:D$300,4,FALSE)</f>
        <v>30</v>
      </c>
      <c r="Q165" s="97"/>
      <c r="R165" s="101"/>
    </row>
    <row r="166" spans="1:18" ht="15.75" x14ac:dyDescent="0.25">
      <c r="A166" s="58"/>
      <c r="B166" s="59"/>
      <c r="C166" s="59"/>
      <c r="D166" s="59"/>
      <c r="E166" s="60"/>
      <c r="F166" s="80"/>
      <c r="G166" s="81"/>
      <c r="H166" s="81"/>
      <c r="I166" s="53"/>
      <c r="J166" s="75"/>
      <c r="K166" s="75"/>
      <c r="L166" s="63" t="s">
        <v>210</v>
      </c>
      <c r="M166" s="61" t="s">
        <v>211</v>
      </c>
      <c r="N166" s="55" t="s">
        <v>34</v>
      </c>
      <c r="O166" s="62">
        <v>7.2</v>
      </c>
      <c r="P166" s="97">
        <f>VLOOKUP(L166,[1]TDSheet!A$12:D$300,4,FALSE)</f>
        <v>23.6</v>
      </c>
      <c r="Q166" s="97"/>
      <c r="R166" s="101"/>
    </row>
    <row r="167" spans="1:18" ht="15.75" x14ac:dyDescent="0.25">
      <c r="A167" s="58"/>
      <c r="B167" s="59"/>
      <c r="C167" s="59"/>
      <c r="D167" s="59"/>
      <c r="E167" s="60"/>
      <c r="F167" s="80"/>
      <c r="G167" s="81"/>
      <c r="H167" s="81"/>
      <c r="I167" s="53"/>
      <c r="J167" s="75"/>
      <c r="K167" s="75"/>
      <c r="L167" s="63" t="s">
        <v>426</v>
      </c>
      <c r="M167" s="61" t="s">
        <v>427</v>
      </c>
      <c r="N167" s="55" t="s">
        <v>68</v>
      </c>
      <c r="O167" s="62">
        <v>148.65600000000001</v>
      </c>
      <c r="P167" s="97">
        <f>VLOOKUP(L167,[1]TDSheet!A$12:D$300,4,FALSE)</f>
        <v>354.06</v>
      </c>
      <c r="Q167" s="97"/>
      <c r="R167" s="101"/>
    </row>
    <row r="168" spans="1:18" ht="15.75" x14ac:dyDescent="0.25">
      <c r="A168" s="58"/>
      <c r="B168" s="59"/>
      <c r="C168" s="59"/>
      <c r="D168" s="59"/>
      <c r="E168" s="60"/>
      <c r="F168" s="80"/>
      <c r="G168" s="81"/>
      <c r="H168" s="81"/>
      <c r="I168" s="53"/>
      <c r="J168" s="75"/>
      <c r="K168" s="75"/>
      <c r="L168" s="63" t="s">
        <v>748</v>
      </c>
      <c r="M168" s="61" t="s">
        <v>428</v>
      </c>
      <c r="N168" s="55" t="s">
        <v>68</v>
      </c>
      <c r="O168" s="62">
        <v>111.60599999999999</v>
      </c>
      <c r="P168" s="97">
        <f>VLOOKUP(L168,[1]TDSheet!A$12:D$300,4,FALSE)</f>
        <v>223.21199999999999</v>
      </c>
      <c r="Q168" s="97"/>
      <c r="R168" s="101"/>
    </row>
    <row r="169" spans="1:18" ht="15.75" x14ac:dyDescent="0.25">
      <c r="A169" s="58"/>
      <c r="B169" s="59"/>
      <c r="C169" s="59"/>
      <c r="D169" s="59"/>
      <c r="E169" s="60"/>
      <c r="F169" s="80"/>
      <c r="G169" s="81"/>
      <c r="H169" s="81"/>
      <c r="I169" s="53"/>
      <c r="J169" s="75"/>
      <c r="K169" s="75"/>
      <c r="L169" s="63" t="s">
        <v>429</v>
      </c>
      <c r="M169" s="61" t="s">
        <v>430</v>
      </c>
      <c r="N169" s="55" t="s">
        <v>37</v>
      </c>
      <c r="O169" s="62">
        <v>111</v>
      </c>
      <c r="P169" s="97">
        <f>VLOOKUP(L169,[1]TDSheet!A$12:D$300,4,FALSE)</f>
        <v>84</v>
      </c>
      <c r="Q169" s="97"/>
      <c r="R169" s="101"/>
    </row>
    <row r="170" spans="1:18" ht="15.75" x14ac:dyDescent="0.25">
      <c r="A170" s="58"/>
      <c r="B170" s="59"/>
      <c r="C170" s="59"/>
      <c r="D170" s="59"/>
      <c r="E170" s="60"/>
      <c r="F170" s="80"/>
      <c r="G170" s="81"/>
      <c r="H170" s="81"/>
      <c r="I170" s="53"/>
      <c r="J170" s="75"/>
      <c r="K170" s="75"/>
      <c r="L170" s="63">
        <v>21862</v>
      </c>
      <c r="M170" s="61" t="s">
        <v>431</v>
      </c>
      <c r="N170" s="55" t="s">
        <v>68</v>
      </c>
      <c r="O170" s="62">
        <v>95.647999999999996</v>
      </c>
      <c r="P170" s="97" t="e">
        <f>VLOOKUP(L170,[1]TDSheet!A$12:D$300,4,FALSE)</f>
        <v>#N/A</v>
      </c>
      <c r="Q170" s="97"/>
      <c r="R170" s="101"/>
    </row>
    <row r="171" spans="1:18" ht="15.75" x14ac:dyDescent="0.25">
      <c r="A171" s="58"/>
      <c r="B171" s="59"/>
      <c r="C171" s="59"/>
      <c r="D171" s="59"/>
      <c r="E171" s="60"/>
      <c r="F171" s="80"/>
      <c r="G171" s="81"/>
      <c r="H171" s="81"/>
      <c r="I171" s="53"/>
      <c r="J171" s="75"/>
      <c r="K171" s="75"/>
      <c r="L171" s="63" t="s">
        <v>432</v>
      </c>
      <c r="M171" s="61" t="s">
        <v>433</v>
      </c>
      <c r="N171" s="55" t="s">
        <v>34</v>
      </c>
      <c r="O171" s="62">
        <v>4</v>
      </c>
      <c r="P171" s="97">
        <f>VLOOKUP(L171,[1]TDSheet!A$12:D$300,4,FALSE)</f>
        <v>28</v>
      </c>
      <c r="Q171" s="97"/>
      <c r="R171" s="101"/>
    </row>
    <row r="172" spans="1:18" ht="15.75" x14ac:dyDescent="0.25">
      <c r="A172" s="58"/>
      <c r="B172" s="59"/>
      <c r="C172" s="59"/>
      <c r="D172" s="59"/>
      <c r="E172" s="60"/>
      <c r="F172" s="80"/>
      <c r="G172" s="81"/>
      <c r="H172" s="81"/>
      <c r="I172" s="53"/>
      <c r="J172" s="75"/>
      <c r="K172" s="75"/>
      <c r="L172" s="63" t="s">
        <v>48</v>
      </c>
      <c r="M172" s="61" t="s">
        <v>65</v>
      </c>
      <c r="N172" s="55" t="s">
        <v>66</v>
      </c>
      <c r="O172" s="62">
        <v>2.7</v>
      </c>
      <c r="P172" s="97">
        <f>VLOOKUP(L172,[1]TDSheet!A$12:D$300,4,FALSE)</f>
        <v>14.343999999999999</v>
      </c>
      <c r="Q172" s="97"/>
      <c r="R172" s="101"/>
    </row>
    <row r="173" spans="1:18" ht="15.75" x14ac:dyDescent="0.25">
      <c r="A173" s="58"/>
      <c r="B173" s="59"/>
      <c r="C173" s="59"/>
      <c r="D173" s="59"/>
      <c r="E173" s="60"/>
      <c r="F173" s="80"/>
      <c r="G173" s="81"/>
      <c r="H173" s="81"/>
      <c r="I173" s="53"/>
      <c r="J173" s="75"/>
      <c r="K173" s="75"/>
      <c r="L173" s="114" t="s">
        <v>434</v>
      </c>
      <c r="M173" s="115" t="s">
        <v>435</v>
      </c>
      <c r="N173" s="55" t="s">
        <v>34</v>
      </c>
      <c r="O173" s="139">
        <v>6</v>
      </c>
      <c r="P173" s="97">
        <f>VLOOKUP(L173,[1]TDSheet!A$12:D$300,4,FALSE)</f>
        <v>37</v>
      </c>
      <c r="Q173" s="97"/>
      <c r="R173" s="101"/>
    </row>
    <row r="174" spans="1:18" ht="15.75" x14ac:dyDescent="0.25">
      <c r="A174" s="58"/>
      <c r="B174" s="59"/>
      <c r="C174" s="59"/>
      <c r="D174" s="59"/>
      <c r="E174" s="60"/>
      <c r="F174" s="80"/>
      <c r="G174" s="81"/>
      <c r="H174" s="81"/>
      <c r="I174" s="53"/>
      <c r="J174" s="75"/>
      <c r="K174" s="75"/>
      <c r="L174" s="63">
        <v>22062</v>
      </c>
      <c r="M174" s="61" t="s">
        <v>436</v>
      </c>
      <c r="N174" s="55" t="s">
        <v>34</v>
      </c>
      <c r="O174" s="62">
        <v>10</v>
      </c>
      <c r="P174" s="97">
        <f>VLOOKUP(L174,[1]TDSheet!A$12:D$300,4,FALSE)</f>
        <v>70</v>
      </c>
      <c r="Q174" s="97"/>
      <c r="R174" s="101"/>
    </row>
    <row r="175" spans="1:18" ht="15.75" x14ac:dyDescent="0.25">
      <c r="A175" s="58"/>
      <c r="B175" s="59"/>
      <c r="C175" s="59"/>
      <c r="D175" s="59"/>
      <c r="E175" s="60"/>
      <c r="F175" s="80"/>
      <c r="G175" s="81"/>
      <c r="H175" s="81"/>
      <c r="I175" s="53"/>
      <c r="J175" s="75"/>
      <c r="K175" s="75"/>
      <c r="L175" s="63">
        <v>19254</v>
      </c>
      <c r="M175" s="61" t="s">
        <v>95</v>
      </c>
      <c r="N175" s="55" t="s">
        <v>34</v>
      </c>
      <c r="O175" s="62">
        <v>10</v>
      </c>
      <c r="P175" s="97">
        <f>VLOOKUP(L175,[1]TDSheet!A$12:D$300,4,FALSE)</f>
        <v>16</v>
      </c>
      <c r="Q175" s="97"/>
      <c r="R175" s="101"/>
    </row>
    <row r="176" spans="1:18" ht="15.75" x14ac:dyDescent="0.25">
      <c r="A176" s="58"/>
      <c r="B176" s="59"/>
      <c r="C176" s="59"/>
      <c r="D176" s="59"/>
      <c r="E176" s="60"/>
      <c r="F176" s="80"/>
      <c r="G176" s="81"/>
      <c r="H176" s="81"/>
      <c r="I176" s="53"/>
      <c r="J176" s="75"/>
      <c r="K176" s="75"/>
      <c r="L176" s="63" t="s">
        <v>437</v>
      </c>
      <c r="M176" s="61" t="s">
        <v>438</v>
      </c>
      <c r="N176" s="55" t="s">
        <v>34</v>
      </c>
      <c r="O176" s="62">
        <v>20</v>
      </c>
      <c r="P176" s="97">
        <f>VLOOKUP(L176,[1]TDSheet!A$12:D$300,4,FALSE)</f>
        <v>320</v>
      </c>
      <c r="Q176" s="97"/>
      <c r="R176" s="101"/>
    </row>
    <row r="177" spans="1:18" ht="15.75" x14ac:dyDescent="0.25">
      <c r="A177" s="58"/>
      <c r="B177" s="59"/>
      <c r="C177" s="59"/>
      <c r="D177" s="59"/>
      <c r="E177" s="60"/>
      <c r="F177" s="80"/>
      <c r="G177" s="81"/>
      <c r="H177" s="81"/>
      <c r="I177" s="53"/>
      <c r="J177" s="75"/>
      <c r="K177" s="75"/>
      <c r="L177" s="63">
        <v>615</v>
      </c>
      <c r="M177" s="61" t="s">
        <v>439</v>
      </c>
      <c r="N177" s="113" t="s">
        <v>34</v>
      </c>
      <c r="O177" s="62">
        <v>3</v>
      </c>
      <c r="P177" s="97">
        <f>VLOOKUP(L177,[1]TDSheet!A$12:D$300,4,FALSE)</f>
        <v>64</v>
      </c>
      <c r="Q177" s="97"/>
      <c r="R177" s="101"/>
    </row>
    <row r="178" spans="1:18" ht="15.75" x14ac:dyDescent="0.25">
      <c r="A178" s="58"/>
      <c r="B178" s="59"/>
      <c r="C178" s="59"/>
      <c r="D178" s="59"/>
      <c r="E178" s="60"/>
      <c r="F178" s="80"/>
      <c r="G178" s="81"/>
      <c r="H178" s="81"/>
      <c r="I178" s="53"/>
      <c r="J178" s="75"/>
      <c r="K178" s="75"/>
      <c r="L178" s="63" t="s">
        <v>440</v>
      </c>
      <c r="M178" s="61" t="s">
        <v>441</v>
      </c>
      <c r="N178" s="113" t="s">
        <v>442</v>
      </c>
      <c r="O178" s="62">
        <v>20</v>
      </c>
      <c r="P178" s="97">
        <f>VLOOKUP(L178,[1]TDSheet!A$12:D$300,4,FALSE)</f>
        <v>140</v>
      </c>
      <c r="Q178" s="97"/>
      <c r="R178" s="101"/>
    </row>
    <row r="179" spans="1:18" ht="15.75" x14ac:dyDescent="0.25">
      <c r="A179" s="58"/>
      <c r="B179" s="59"/>
      <c r="C179" s="59"/>
      <c r="D179" s="59"/>
      <c r="E179" s="60"/>
      <c r="F179" s="80"/>
      <c r="G179" s="81"/>
      <c r="H179" s="81"/>
      <c r="I179" s="53"/>
      <c r="J179" s="75"/>
      <c r="K179" s="75"/>
      <c r="L179" s="63" t="s">
        <v>43</v>
      </c>
      <c r="M179" s="61" t="s">
        <v>96</v>
      </c>
      <c r="N179" s="113" t="s">
        <v>34</v>
      </c>
      <c r="O179" s="62">
        <f>180+250</f>
        <v>430</v>
      </c>
      <c r="P179" s="97">
        <f>VLOOKUP(L179,[1]TDSheet!A$12:D$300,4,FALSE)</f>
        <v>1670</v>
      </c>
      <c r="Q179" s="97"/>
      <c r="R179" s="101"/>
    </row>
    <row r="180" spans="1:18" ht="15.75" x14ac:dyDescent="0.25">
      <c r="A180" s="58"/>
      <c r="B180" s="59"/>
      <c r="C180" s="59"/>
      <c r="D180" s="59"/>
      <c r="E180" s="60"/>
      <c r="F180" s="80"/>
      <c r="G180" s="81"/>
      <c r="H180" s="81"/>
      <c r="I180" s="53"/>
      <c r="J180" s="75"/>
      <c r="K180" s="75"/>
      <c r="L180" s="63" t="s">
        <v>443</v>
      </c>
      <c r="M180" s="145" t="s">
        <v>444</v>
      </c>
      <c r="N180" s="113" t="s">
        <v>34</v>
      </c>
      <c r="O180" s="62">
        <v>1500</v>
      </c>
      <c r="P180" s="97">
        <f>VLOOKUP(L180,[1]TDSheet!A$12:D$300,4,FALSE)</f>
        <v>3250</v>
      </c>
      <c r="Q180" s="97"/>
      <c r="R180" s="101"/>
    </row>
    <row r="181" spans="1:18" ht="15.75" x14ac:dyDescent="0.25">
      <c r="A181" s="58"/>
      <c r="B181" s="59"/>
      <c r="C181" s="59"/>
      <c r="D181" s="59"/>
      <c r="E181" s="60"/>
      <c r="F181" s="80"/>
      <c r="G181" s="81"/>
      <c r="H181" s="81"/>
      <c r="I181" s="53"/>
      <c r="J181" s="75"/>
      <c r="K181" s="75"/>
      <c r="L181" s="63" t="s">
        <v>445</v>
      </c>
      <c r="M181" s="61" t="s">
        <v>446</v>
      </c>
      <c r="N181" s="113" t="s">
        <v>34</v>
      </c>
      <c r="O181" s="62">
        <v>11</v>
      </c>
      <c r="P181" s="97">
        <f>VLOOKUP(L181,[1]TDSheet!A$12:D$300,4,FALSE)</f>
        <v>33</v>
      </c>
      <c r="Q181" s="97"/>
      <c r="R181" s="101"/>
    </row>
    <row r="182" spans="1:18" ht="15.75" x14ac:dyDescent="0.25">
      <c r="A182" s="58"/>
      <c r="B182" s="59"/>
      <c r="C182" s="59"/>
      <c r="D182" s="59"/>
      <c r="E182" s="60"/>
      <c r="F182" s="80"/>
      <c r="G182" s="81"/>
      <c r="H182" s="81"/>
      <c r="I182" s="53"/>
      <c r="J182" s="75"/>
      <c r="K182" s="75"/>
      <c r="L182" s="63">
        <v>22350</v>
      </c>
      <c r="M182" s="61" t="s">
        <v>447</v>
      </c>
      <c r="N182" s="113" t="s">
        <v>34</v>
      </c>
      <c r="O182" s="62">
        <v>10</v>
      </c>
      <c r="P182" s="97">
        <f>VLOOKUP(L182,[1]TDSheet!A$12:D$300,4,FALSE)</f>
        <v>70</v>
      </c>
      <c r="Q182" s="97"/>
      <c r="R182" s="101"/>
    </row>
    <row r="183" spans="1:18" ht="15.75" x14ac:dyDescent="0.25">
      <c r="A183" s="58"/>
      <c r="B183" s="59"/>
      <c r="C183" s="59"/>
      <c r="D183" s="59"/>
      <c r="E183" s="60"/>
      <c r="F183" s="80"/>
      <c r="G183" s="81"/>
      <c r="H183" s="81"/>
      <c r="I183" s="53"/>
      <c r="J183" s="75"/>
      <c r="K183" s="75"/>
      <c r="L183" s="63" t="s">
        <v>448</v>
      </c>
      <c r="M183" s="61" t="s">
        <v>449</v>
      </c>
      <c r="N183" s="55" t="s">
        <v>34</v>
      </c>
      <c r="O183" s="62">
        <v>1</v>
      </c>
      <c r="P183" s="97">
        <f>VLOOKUP(L183,[1]TDSheet!A$12:D$300,4,FALSE)</f>
        <v>11</v>
      </c>
      <c r="Q183" s="97"/>
      <c r="R183" s="101"/>
    </row>
    <row r="184" spans="1:18" ht="15.75" x14ac:dyDescent="0.25">
      <c r="A184" s="58"/>
      <c r="B184" s="59"/>
      <c r="C184" s="59"/>
      <c r="D184" s="59"/>
      <c r="E184" s="60"/>
      <c r="F184" s="80"/>
      <c r="G184" s="81"/>
      <c r="H184" s="81"/>
      <c r="I184" s="53"/>
      <c r="J184" s="75"/>
      <c r="K184" s="75"/>
      <c r="L184" s="63" t="s">
        <v>450</v>
      </c>
      <c r="M184" s="61" t="s">
        <v>451</v>
      </c>
      <c r="N184" s="55" t="s">
        <v>34</v>
      </c>
      <c r="O184" s="62">
        <v>1</v>
      </c>
      <c r="P184" s="97">
        <f>VLOOKUP(L184,[1]TDSheet!A$12:D$300,4,FALSE)</f>
        <v>7</v>
      </c>
      <c r="Q184" s="97"/>
      <c r="R184" s="101"/>
    </row>
    <row r="185" spans="1:18" ht="15.75" x14ac:dyDescent="0.25">
      <c r="A185" s="58"/>
      <c r="B185" s="59"/>
      <c r="C185" s="59"/>
      <c r="D185" s="59"/>
      <c r="E185" s="60"/>
      <c r="F185" s="80"/>
      <c r="G185" s="81"/>
      <c r="H185" s="81"/>
      <c r="I185" s="53"/>
      <c r="J185" s="75"/>
      <c r="K185" s="75"/>
      <c r="L185" s="63" t="s">
        <v>452</v>
      </c>
      <c r="M185" s="61" t="s">
        <v>453</v>
      </c>
      <c r="N185" s="55" t="s">
        <v>34</v>
      </c>
      <c r="O185" s="62">
        <v>11</v>
      </c>
      <c r="P185" s="97">
        <f>VLOOKUP(L185,[1]TDSheet!A$12:D$300,4,FALSE)</f>
        <v>77</v>
      </c>
      <c r="Q185" s="97"/>
      <c r="R185" s="101"/>
    </row>
    <row r="186" spans="1:18" ht="15.75" x14ac:dyDescent="0.25">
      <c r="A186" s="58"/>
      <c r="B186" s="59"/>
      <c r="C186" s="59"/>
      <c r="D186" s="59"/>
      <c r="E186" s="60"/>
      <c r="F186" s="80"/>
      <c r="G186" s="81"/>
      <c r="H186" s="81"/>
      <c r="I186" s="53"/>
      <c r="J186" s="75"/>
      <c r="K186" s="75"/>
      <c r="L186" s="63">
        <v>19295</v>
      </c>
      <c r="M186" s="61" t="s">
        <v>454</v>
      </c>
      <c r="N186" s="55" t="s">
        <v>34</v>
      </c>
      <c r="O186" s="62">
        <v>2</v>
      </c>
      <c r="P186" s="97">
        <f>VLOOKUP(L186,[1]TDSheet!A$12:D$300,4,FALSE)</f>
        <v>24</v>
      </c>
      <c r="Q186" s="97"/>
      <c r="R186" s="101"/>
    </row>
    <row r="187" spans="1:18" ht="15.75" x14ac:dyDescent="0.25">
      <c r="A187" s="58"/>
      <c r="B187" s="59"/>
      <c r="C187" s="59"/>
      <c r="D187" s="59"/>
      <c r="E187" s="60"/>
      <c r="F187" s="80"/>
      <c r="G187" s="81"/>
      <c r="H187" s="81"/>
      <c r="I187" s="53"/>
      <c r="J187" s="75"/>
      <c r="K187" s="75"/>
      <c r="L187" s="63">
        <v>11561</v>
      </c>
      <c r="M187" s="61" t="s">
        <v>215</v>
      </c>
      <c r="N187" s="55" t="s">
        <v>34</v>
      </c>
      <c r="O187" s="62">
        <v>1</v>
      </c>
      <c r="P187" s="97" t="e">
        <f>VLOOKUP(L187,[1]TDSheet!A$12:D$300,4,FALSE)</f>
        <v>#N/A</v>
      </c>
      <c r="Q187" s="97"/>
      <c r="R187" s="101"/>
    </row>
    <row r="188" spans="1:18" ht="15.75" x14ac:dyDescent="0.25">
      <c r="A188" s="58"/>
      <c r="B188" s="59"/>
      <c r="C188" s="59"/>
      <c r="D188" s="59"/>
      <c r="E188" s="60"/>
      <c r="F188" s="80"/>
      <c r="G188" s="81"/>
      <c r="H188" s="81"/>
      <c r="I188" s="53"/>
      <c r="J188" s="75"/>
      <c r="K188" s="75"/>
      <c r="L188" s="63">
        <v>19314</v>
      </c>
      <c r="M188" s="61" t="s">
        <v>216</v>
      </c>
      <c r="N188" s="55" t="s">
        <v>34</v>
      </c>
      <c r="O188" s="62">
        <v>4</v>
      </c>
      <c r="P188" s="97" t="e">
        <f>VLOOKUP(L188,[1]TDSheet!A$12:D$300,4,FALSE)</f>
        <v>#N/A</v>
      </c>
      <c r="Q188" s="97"/>
      <c r="R188" s="101"/>
    </row>
    <row r="189" spans="1:18" ht="15.75" x14ac:dyDescent="0.25">
      <c r="A189" s="58"/>
      <c r="B189" s="59"/>
      <c r="C189" s="59"/>
      <c r="D189" s="59"/>
      <c r="E189" s="60"/>
      <c r="F189" s="80"/>
      <c r="G189" s="81"/>
      <c r="H189" s="81"/>
      <c r="I189" s="53"/>
      <c r="J189" s="75"/>
      <c r="K189" s="75"/>
      <c r="L189" s="63" t="s">
        <v>217</v>
      </c>
      <c r="M189" s="61" t="s">
        <v>218</v>
      </c>
      <c r="N189" s="55" t="s">
        <v>34</v>
      </c>
      <c r="O189" s="62">
        <v>1</v>
      </c>
      <c r="P189" s="97">
        <f>VLOOKUP(L189,[1]TDSheet!A$12:D$300,4,FALSE)</f>
        <v>21</v>
      </c>
      <c r="Q189" s="97"/>
      <c r="R189" s="101"/>
    </row>
    <row r="190" spans="1:18" ht="15.75" x14ac:dyDescent="0.25">
      <c r="A190" s="58"/>
      <c r="B190" s="59"/>
      <c r="C190" s="59"/>
      <c r="D190" s="59"/>
      <c r="E190" s="60"/>
      <c r="F190" s="80"/>
      <c r="G190" s="81"/>
      <c r="H190" s="81"/>
      <c r="I190" s="53"/>
      <c r="J190" s="75"/>
      <c r="K190" s="75"/>
      <c r="L190" s="114">
        <v>21892</v>
      </c>
      <c r="M190" s="115" t="s">
        <v>97</v>
      </c>
      <c r="N190" s="55" t="s">
        <v>34</v>
      </c>
      <c r="O190" s="139">
        <v>12</v>
      </c>
      <c r="P190" s="97">
        <f>VLOOKUP(L190,[1]TDSheet!A$12:D$300,4,FALSE)</f>
        <v>28</v>
      </c>
      <c r="Q190" s="97"/>
      <c r="R190" s="101"/>
    </row>
    <row r="191" spans="1:18" ht="15.75" x14ac:dyDescent="0.25">
      <c r="A191" s="58"/>
      <c r="B191" s="59"/>
      <c r="C191" s="59"/>
      <c r="D191" s="59"/>
      <c r="E191" s="60"/>
      <c r="F191" s="80"/>
      <c r="G191" s="81"/>
      <c r="H191" s="81"/>
      <c r="I191" s="53"/>
      <c r="J191" s="75"/>
      <c r="K191" s="75"/>
      <c r="L191" s="114" t="s">
        <v>455</v>
      </c>
      <c r="M191" s="115" t="s">
        <v>456</v>
      </c>
      <c r="N191" s="55" t="s">
        <v>34</v>
      </c>
      <c r="O191" s="139">
        <v>4</v>
      </c>
      <c r="P191" s="97">
        <f>VLOOKUP(L191,[1]TDSheet!A$12:D$300,4,FALSE)</f>
        <v>12</v>
      </c>
      <c r="Q191" s="97"/>
      <c r="R191" s="101"/>
    </row>
    <row r="192" spans="1:18" ht="15.75" x14ac:dyDescent="0.25">
      <c r="A192" s="58"/>
      <c r="B192" s="59"/>
      <c r="C192" s="59"/>
      <c r="D192" s="59"/>
      <c r="E192" s="60"/>
      <c r="F192" s="80"/>
      <c r="G192" s="81"/>
      <c r="H192" s="81"/>
      <c r="I192" s="53"/>
      <c r="J192" s="75"/>
      <c r="K192" s="75"/>
      <c r="L192" s="114" t="s">
        <v>457</v>
      </c>
      <c r="M192" s="115" t="s">
        <v>458</v>
      </c>
      <c r="N192" s="55" t="s">
        <v>34</v>
      </c>
      <c r="O192" s="139">
        <v>1</v>
      </c>
      <c r="P192" s="97">
        <f>VLOOKUP(L192,[1]TDSheet!A$12:D$300,4,FALSE)</f>
        <v>1</v>
      </c>
      <c r="Q192" s="97"/>
      <c r="R192" s="101"/>
    </row>
    <row r="193" spans="1:18" ht="15.75" x14ac:dyDescent="0.25">
      <c r="A193" s="58"/>
      <c r="B193" s="59"/>
      <c r="C193" s="59"/>
      <c r="D193" s="59"/>
      <c r="E193" s="60"/>
      <c r="F193" s="80"/>
      <c r="G193" s="81"/>
      <c r="H193" s="81"/>
      <c r="I193" s="53"/>
      <c r="J193" s="75"/>
      <c r="K193" s="75"/>
      <c r="L193" s="114" t="s">
        <v>529</v>
      </c>
      <c r="M193" s="115" t="s">
        <v>530</v>
      </c>
      <c r="N193" s="55" t="s">
        <v>34</v>
      </c>
      <c r="O193" s="139">
        <v>2</v>
      </c>
      <c r="P193" s="97">
        <f>VLOOKUP(L193,[1]TDSheet!A$12:D$300,4,FALSE)</f>
        <v>10</v>
      </c>
      <c r="Q193" s="97"/>
      <c r="R193" s="101"/>
    </row>
    <row r="194" spans="1:18" ht="15.75" x14ac:dyDescent="0.25">
      <c r="A194" s="58"/>
      <c r="B194" s="59"/>
      <c r="C194" s="59"/>
      <c r="D194" s="59"/>
      <c r="E194" s="60"/>
      <c r="F194" s="80"/>
      <c r="G194" s="81"/>
      <c r="H194" s="81"/>
      <c r="I194" s="53"/>
      <c r="J194" s="75"/>
      <c r="K194" s="75"/>
      <c r="L194" s="114" t="s">
        <v>459</v>
      </c>
      <c r="M194" s="115" t="s">
        <v>460</v>
      </c>
      <c r="N194" s="55" t="s">
        <v>34</v>
      </c>
      <c r="O194" s="139">
        <v>5</v>
      </c>
      <c r="P194" s="97">
        <f>VLOOKUP(L194,[1]TDSheet!A$12:D$300,4,FALSE)</f>
        <v>15</v>
      </c>
      <c r="Q194" s="97"/>
      <c r="R194" s="101"/>
    </row>
    <row r="195" spans="1:18" ht="15.75" x14ac:dyDescent="0.25">
      <c r="A195" s="58"/>
      <c r="B195" s="59"/>
      <c r="C195" s="59"/>
      <c r="D195" s="59"/>
      <c r="E195" s="60"/>
      <c r="F195" s="80"/>
      <c r="G195" s="81"/>
      <c r="H195" s="81"/>
      <c r="I195" s="53"/>
      <c r="J195" s="75"/>
      <c r="K195" s="75"/>
      <c r="L195" s="63">
        <v>423</v>
      </c>
      <c r="M195" s="61" t="s">
        <v>461</v>
      </c>
      <c r="N195" s="55" t="s">
        <v>34</v>
      </c>
      <c r="O195" s="62">
        <v>4</v>
      </c>
      <c r="P195" s="97">
        <f>VLOOKUP(L195,[1]TDSheet!A$12:D$300,4,FALSE)</f>
        <v>21</v>
      </c>
      <c r="Q195" s="97"/>
      <c r="R195" s="101"/>
    </row>
    <row r="196" spans="1:18" ht="15.75" x14ac:dyDescent="0.25">
      <c r="A196" s="58"/>
      <c r="B196" s="59"/>
      <c r="C196" s="59"/>
      <c r="D196" s="59"/>
      <c r="E196" s="60"/>
      <c r="F196" s="80"/>
      <c r="G196" s="81"/>
      <c r="H196" s="81"/>
      <c r="I196" s="53"/>
      <c r="J196" s="75"/>
      <c r="K196" s="75"/>
      <c r="L196" s="63" t="s">
        <v>462</v>
      </c>
      <c r="M196" s="61" t="s">
        <v>463</v>
      </c>
      <c r="N196" s="55" t="s">
        <v>34</v>
      </c>
      <c r="O196" s="62">
        <v>1</v>
      </c>
      <c r="P196" s="97">
        <f>VLOOKUP(L196,[1]TDSheet!A$12:D$300,4,FALSE)</f>
        <v>4</v>
      </c>
      <c r="Q196" s="97"/>
      <c r="R196" s="101"/>
    </row>
    <row r="197" spans="1:18" ht="15.75" x14ac:dyDescent="0.25">
      <c r="A197" s="58"/>
      <c r="B197" s="59"/>
      <c r="C197" s="59"/>
      <c r="D197" s="59"/>
      <c r="E197" s="60"/>
      <c r="F197" s="80"/>
      <c r="G197" s="81"/>
      <c r="H197" s="81"/>
      <c r="I197" s="53"/>
      <c r="J197" s="75"/>
      <c r="K197" s="75"/>
      <c r="L197" s="63" t="s">
        <v>219</v>
      </c>
      <c r="M197" s="61" t="s">
        <v>220</v>
      </c>
      <c r="N197" s="55" t="s">
        <v>34</v>
      </c>
      <c r="O197" s="62">
        <v>10</v>
      </c>
      <c r="P197" s="97">
        <f>VLOOKUP(L197,[1]TDSheet!A$12:D$300,4,FALSE)</f>
        <v>60</v>
      </c>
      <c r="Q197" s="97"/>
      <c r="R197" s="101"/>
    </row>
    <row r="198" spans="1:18" ht="15.75" x14ac:dyDescent="0.25">
      <c r="A198" s="58"/>
      <c r="B198" s="59"/>
      <c r="C198" s="59"/>
      <c r="D198" s="59"/>
      <c r="E198" s="60"/>
      <c r="F198" s="80"/>
      <c r="G198" s="81"/>
      <c r="H198" s="81"/>
      <c r="I198" s="53"/>
      <c r="J198" s="75"/>
      <c r="K198" s="75"/>
      <c r="L198" s="63">
        <v>21829</v>
      </c>
      <c r="M198" s="61" t="s">
        <v>221</v>
      </c>
      <c r="N198" s="55" t="s">
        <v>34</v>
      </c>
      <c r="O198" s="62">
        <v>9</v>
      </c>
      <c r="P198" s="97">
        <f>VLOOKUP(L198,[1]TDSheet!A$12:D$300,4,FALSE)</f>
        <v>6</v>
      </c>
      <c r="Q198" s="97"/>
      <c r="R198" s="101"/>
    </row>
    <row r="199" spans="1:18" ht="15.75" x14ac:dyDescent="0.25">
      <c r="A199" s="58"/>
      <c r="B199" s="59"/>
      <c r="C199" s="59"/>
      <c r="D199" s="59"/>
      <c r="E199" s="60"/>
      <c r="F199" s="80"/>
      <c r="G199" s="81"/>
      <c r="H199" s="81"/>
      <c r="I199" s="53"/>
      <c r="J199" s="75"/>
      <c r="K199" s="75"/>
      <c r="L199" s="63" t="s">
        <v>98</v>
      </c>
      <c r="M199" s="61" t="s">
        <v>99</v>
      </c>
      <c r="N199" s="55" t="s">
        <v>37</v>
      </c>
      <c r="O199" s="62">
        <v>12</v>
      </c>
      <c r="P199" s="97" t="e">
        <f>VLOOKUP(L199,[1]TDSheet!A$12:D$300,4,FALSE)</f>
        <v>#N/A</v>
      </c>
      <c r="Q199" s="97"/>
      <c r="R199" s="101"/>
    </row>
    <row r="200" spans="1:18" ht="15.75" x14ac:dyDescent="0.25">
      <c r="A200" s="58"/>
      <c r="B200" s="59"/>
      <c r="C200" s="59"/>
      <c r="D200" s="59"/>
      <c r="E200" s="60"/>
      <c r="F200" s="80"/>
      <c r="G200" s="81"/>
      <c r="H200" s="81"/>
      <c r="I200" s="53"/>
      <c r="J200" s="75"/>
      <c r="K200" s="75"/>
      <c r="L200" s="63">
        <v>17739</v>
      </c>
      <c r="M200" s="61" t="s">
        <v>222</v>
      </c>
      <c r="N200" s="55" t="s">
        <v>34</v>
      </c>
      <c r="O200" s="62">
        <v>11</v>
      </c>
      <c r="P200" s="97" t="e">
        <f>VLOOKUP(L200,[1]TDSheet!A$12:D$300,4,FALSE)</f>
        <v>#N/A</v>
      </c>
      <c r="Q200" s="97"/>
      <c r="R200" s="101"/>
    </row>
    <row r="201" spans="1:18" ht="15.75" x14ac:dyDescent="0.25">
      <c r="A201" s="58"/>
      <c r="B201" s="59"/>
      <c r="C201" s="59"/>
      <c r="D201" s="59"/>
      <c r="E201" s="60"/>
      <c r="F201" s="80"/>
      <c r="G201" s="81"/>
      <c r="H201" s="81"/>
      <c r="I201" s="53"/>
      <c r="J201" s="75"/>
      <c r="K201" s="75"/>
      <c r="L201" s="63" t="s">
        <v>466</v>
      </c>
      <c r="M201" s="61" t="s">
        <v>467</v>
      </c>
      <c r="N201" s="55" t="s">
        <v>34</v>
      </c>
      <c r="O201" s="62">
        <v>2</v>
      </c>
      <c r="P201" s="97" t="e">
        <f>VLOOKUP(L201,[1]TDSheet!A$12:D$300,4,FALSE)</f>
        <v>#N/A</v>
      </c>
      <c r="Q201" s="97"/>
      <c r="R201" s="101"/>
    </row>
    <row r="202" spans="1:18" ht="15.75" x14ac:dyDescent="0.25">
      <c r="A202" s="58"/>
      <c r="B202" s="59"/>
      <c r="C202" s="59"/>
      <c r="D202" s="59"/>
      <c r="E202" s="60"/>
      <c r="F202" s="80"/>
      <c r="G202" s="81"/>
      <c r="H202" s="81"/>
      <c r="I202" s="53"/>
      <c r="J202" s="75"/>
      <c r="K202" s="75"/>
      <c r="L202" s="63">
        <v>14686</v>
      </c>
      <c r="M202" s="61" t="s">
        <v>468</v>
      </c>
      <c r="N202" s="55" t="s">
        <v>34</v>
      </c>
      <c r="O202" s="62">
        <v>4</v>
      </c>
      <c r="P202" s="97">
        <f>VLOOKUP(L202,[1]TDSheet!A$12:D$300,4,FALSE)</f>
        <v>10</v>
      </c>
      <c r="Q202" s="97"/>
      <c r="R202" s="101"/>
    </row>
    <row r="203" spans="1:18" ht="15.75" x14ac:dyDescent="0.25">
      <c r="A203" s="58"/>
      <c r="B203" s="59"/>
      <c r="C203" s="59"/>
      <c r="D203" s="59"/>
      <c r="E203" s="60"/>
      <c r="F203" s="80"/>
      <c r="G203" s="81"/>
      <c r="H203" s="81"/>
      <c r="I203" s="53"/>
      <c r="J203" s="75"/>
      <c r="K203" s="75"/>
      <c r="L203" s="63" t="s">
        <v>223</v>
      </c>
      <c r="M203" s="61" t="s">
        <v>224</v>
      </c>
      <c r="N203" s="55" t="s">
        <v>34</v>
      </c>
      <c r="O203" s="62">
        <v>9</v>
      </c>
      <c r="P203" s="97">
        <f>VLOOKUP(L203,[1]TDSheet!A$12:D$300,4,FALSE)</f>
        <v>55</v>
      </c>
      <c r="Q203" s="97"/>
      <c r="R203" s="101"/>
    </row>
    <row r="204" spans="1:18" ht="15.75" x14ac:dyDescent="0.25">
      <c r="A204" s="58"/>
      <c r="B204" s="59"/>
      <c r="C204" s="59"/>
      <c r="D204" s="59"/>
      <c r="E204" s="60"/>
      <c r="F204" s="80"/>
      <c r="G204" s="81"/>
      <c r="H204" s="81"/>
      <c r="I204" s="53"/>
      <c r="J204" s="75"/>
      <c r="K204" s="75"/>
      <c r="L204" s="63" t="s">
        <v>469</v>
      </c>
      <c r="M204" s="61" t="s">
        <v>470</v>
      </c>
      <c r="N204" s="55" t="s">
        <v>34</v>
      </c>
      <c r="O204" s="62">
        <v>3</v>
      </c>
      <c r="P204" s="97" t="e">
        <f>VLOOKUP(L204,[1]TDSheet!A$12:D$300,4,FALSE)</f>
        <v>#N/A</v>
      </c>
      <c r="Q204" s="97"/>
      <c r="R204" s="101"/>
    </row>
    <row r="205" spans="1:18" ht="15.75" x14ac:dyDescent="0.25">
      <c r="A205" s="58"/>
      <c r="B205" s="59"/>
      <c r="C205" s="59"/>
      <c r="D205" s="59"/>
      <c r="E205" s="60"/>
      <c r="F205" s="80"/>
      <c r="G205" s="81"/>
      <c r="H205" s="81"/>
      <c r="I205" s="53"/>
      <c r="J205" s="75"/>
      <c r="K205" s="75"/>
      <c r="L205" s="63">
        <v>19328</v>
      </c>
      <c r="M205" s="61" t="s">
        <v>471</v>
      </c>
      <c r="N205" s="55" t="s">
        <v>34</v>
      </c>
      <c r="O205" s="62">
        <v>1</v>
      </c>
      <c r="P205" s="97">
        <f>VLOOKUP(L205,[1]TDSheet!A$12:D$300,4,FALSE)</f>
        <v>4</v>
      </c>
      <c r="Q205" s="97"/>
      <c r="R205" s="101"/>
    </row>
    <row r="206" spans="1:18" ht="15.75" x14ac:dyDescent="0.25">
      <c r="A206" s="58"/>
      <c r="B206" s="59"/>
      <c r="C206" s="59"/>
      <c r="D206" s="59"/>
      <c r="E206" s="60"/>
      <c r="F206" s="80"/>
      <c r="G206" s="81"/>
      <c r="H206" s="81"/>
      <c r="I206" s="53"/>
      <c r="J206" s="75"/>
      <c r="K206" s="75"/>
      <c r="L206" s="63">
        <v>100</v>
      </c>
      <c r="M206" s="61" t="s">
        <v>472</v>
      </c>
      <c r="N206" s="55" t="s">
        <v>34</v>
      </c>
      <c r="O206" s="62">
        <v>6</v>
      </c>
      <c r="P206" s="97">
        <f>VLOOKUP(L206,[1]TDSheet!A$12:D$300,4,FALSE)</f>
        <v>22</v>
      </c>
      <c r="Q206" s="97"/>
      <c r="R206" s="101"/>
    </row>
    <row r="207" spans="1:18" ht="15.75" x14ac:dyDescent="0.25">
      <c r="A207" s="58"/>
      <c r="B207" s="59"/>
      <c r="C207" s="59"/>
      <c r="D207" s="59"/>
      <c r="E207" s="60"/>
      <c r="F207" s="80"/>
      <c r="G207" s="81"/>
      <c r="H207" s="81"/>
      <c r="I207" s="53"/>
      <c r="J207" s="75"/>
      <c r="K207" s="75"/>
      <c r="L207" s="63">
        <v>101</v>
      </c>
      <c r="M207" s="61" t="s">
        <v>473</v>
      </c>
      <c r="N207" s="55" t="s">
        <v>34</v>
      </c>
      <c r="O207" s="62">
        <v>8</v>
      </c>
      <c r="P207" s="97">
        <f>VLOOKUP(L207,[1]TDSheet!A$12:D$300,4,FALSE)</f>
        <v>29</v>
      </c>
      <c r="Q207" s="97"/>
      <c r="R207" s="101"/>
    </row>
    <row r="208" spans="1:18" ht="15.75" x14ac:dyDescent="0.25">
      <c r="A208" s="58"/>
      <c r="B208" s="59"/>
      <c r="C208" s="59"/>
      <c r="D208" s="59"/>
      <c r="E208" s="60"/>
      <c r="F208" s="80"/>
      <c r="G208" s="81"/>
      <c r="H208" s="81"/>
      <c r="I208" s="53"/>
      <c r="J208" s="75"/>
      <c r="K208" s="75"/>
      <c r="L208" s="63">
        <v>21706</v>
      </c>
      <c r="M208" s="61" t="s">
        <v>474</v>
      </c>
      <c r="N208" s="55" t="s">
        <v>34</v>
      </c>
      <c r="O208" s="62">
        <v>4</v>
      </c>
      <c r="P208" s="97">
        <f>VLOOKUP(L208,[1]TDSheet!A$12:D$300,4,FALSE)</f>
        <v>12</v>
      </c>
      <c r="Q208" s="97"/>
      <c r="R208" s="101"/>
    </row>
    <row r="209" spans="1:18" ht="15.75" x14ac:dyDescent="0.25">
      <c r="A209" s="58"/>
      <c r="B209" s="59"/>
      <c r="C209" s="59"/>
      <c r="D209" s="59"/>
      <c r="E209" s="60"/>
      <c r="F209" s="80"/>
      <c r="G209" s="81"/>
      <c r="H209" s="81"/>
      <c r="I209" s="53"/>
      <c r="J209" s="75"/>
      <c r="K209" s="75"/>
      <c r="L209" s="114" t="s">
        <v>225</v>
      </c>
      <c r="M209" s="115" t="s">
        <v>226</v>
      </c>
      <c r="N209" s="55" t="s">
        <v>37</v>
      </c>
      <c r="O209" s="139">
        <v>220</v>
      </c>
      <c r="P209" s="97">
        <f>VLOOKUP(L209,[1]TDSheet!A$12:D$300,4,FALSE)</f>
        <v>2461</v>
      </c>
      <c r="Q209" s="97"/>
      <c r="R209" s="101"/>
    </row>
    <row r="210" spans="1:18" ht="15.75" x14ac:dyDescent="0.25">
      <c r="A210" s="58"/>
      <c r="B210" s="59"/>
      <c r="C210" s="59"/>
      <c r="D210" s="59"/>
      <c r="E210" s="60"/>
      <c r="F210" s="80"/>
      <c r="G210" s="81"/>
      <c r="H210" s="81"/>
      <c r="I210" s="53"/>
      <c r="J210" s="75"/>
      <c r="K210" s="75"/>
      <c r="L210" s="114" t="s">
        <v>227</v>
      </c>
      <c r="M210" s="115" t="s">
        <v>228</v>
      </c>
      <c r="N210" s="55" t="s">
        <v>37</v>
      </c>
      <c r="O210" s="139">
        <v>83</v>
      </c>
      <c r="P210" s="97">
        <f>VLOOKUP(L210,[1]TDSheet!A$12:D$300,4,FALSE)</f>
        <v>249</v>
      </c>
      <c r="Q210" s="97"/>
      <c r="R210" s="101"/>
    </row>
    <row r="211" spans="1:18" ht="15.75" x14ac:dyDescent="0.25">
      <c r="A211" s="58"/>
      <c r="B211" s="59"/>
      <c r="C211" s="59"/>
      <c r="D211" s="59"/>
      <c r="E211" s="60"/>
      <c r="F211" s="80"/>
      <c r="G211" s="81"/>
      <c r="H211" s="81"/>
      <c r="I211" s="53"/>
      <c r="J211" s="75"/>
      <c r="K211" s="75"/>
      <c r="L211" s="114" t="s">
        <v>229</v>
      </c>
      <c r="M211" s="115" t="s">
        <v>230</v>
      </c>
      <c r="N211" s="55" t="s">
        <v>37</v>
      </c>
      <c r="O211" s="139">
        <v>167.79999999999998</v>
      </c>
      <c r="P211" s="97">
        <f>VLOOKUP(L211,[1]TDSheet!A$12:D$300,4,FALSE)</f>
        <v>231.4</v>
      </c>
      <c r="Q211" s="97"/>
      <c r="R211" s="101"/>
    </row>
    <row r="212" spans="1:18" ht="15.75" x14ac:dyDescent="0.25">
      <c r="A212" s="58"/>
      <c r="B212" s="59"/>
      <c r="C212" s="59"/>
      <c r="D212" s="59"/>
      <c r="E212" s="60"/>
      <c r="F212" s="80"/>
      <c r="G212" s="81"/>
      <c r="H212" s="81"/>
      <c r="I212" s="53"/>
      <c r="J212" s="75"/>
      <c r="K212" s="75"/>
      <c r="L212" s="114" t="s">
        <v>38</v>
      </c>
      <c r="M212" s="115" t="s">
        <v>100</v>
      </c>
      <c r="N212" s="55" t="s">
        <v>37</v>
      </c>
      <c r="O212" s="139">
        <v>249</v>
      </c>
      <c r="P212" s="97">
        <f>VLOOKUP(L212,[1]TDSheet!A$12:D$300,4,FALSE)</f>
        <v>132</v>
      </c>
      <c r="Q212" s="97"/>
      <c r="R212" s="101"/>
    </row>
    <row r="213" spans="1:18" ht="15.75" x14ac:dyDescent="0.25">
      <c r="A213" s="58"/>
      <c r="B213" s="59"/>
      <c r="C213" s="59"/>
      <c r="D213" s="59"/>
      <c r="E213" s="60"/>
      <c r="F213" s="80"/>
      <c r="G213" s="81"/>
      <c r="H213" s="81"/>
      <c r="I213" s="53"/>
      <c r="J213" s="75"/>
      <c r="K213" s="75"/>
      <c r="L213" s="114" t="s">
        <v>231</v>
      </c>
      <c r="M213" s="115" t="s">
        <v>232</v>
      </c>
      <c r="N213" s="55" t="s">
        <v>37</v>
      </c>
      <c r="O213" s="139">
        <v>390</v>
      </c>
      <c r="P213" s="97">
        <f>VLOOKUP(L213,[1]TDSheet!A$12:D$300,4,FALSE)</f>
        <v>2922</v>
      </c>
      <c r="Q213" s="97"/>
      <c r="R213" s="101"/>
    </row>
    <row r="214" spans="1:18" ht="15.75" x14ac:dyDescent="0.25">
      <c r="A214" s="58"/>
      <c r="B214" s="59"/>
      <c r="C214" s="59"/>
      <c r="D214" s="59"/>
      <c r="E214" s="60"/>
      <c r="F214" s="80"/>
      <c r="G214" s="81"/>
      <c r="H214" s="81"/>
      <c r="I214" s="53"/>
      <c r="J214" s="75"/>
      <c r="K214" s="75"/>
      <c r="L214" s="114" t="s">
        <v>475</v>
      </c>
      <c r="M214" s="115" t="s">
        <v>476</v>
      </c>
      <c r="N214" s="55" t="s">
        <v>34</v>
      </c>
      <c r="O214" s="139">
        <v>4</v>
      </c>
      <c r="P214" s="97">
        <f>VLOOKUP(L214,[1]TDSheet!A$12:D$300,4,FALSE)</f>
        <v>20</v>
      </c>
      <c r="Q214" s="97"/>
      <c r="R214" s="101"/>
    </row>
    <row r="215" spans="1:18" ht="15.75" x14ac:dyDescent="0.25">
      <c r="A215" s="58"/>
      <c r="B215" s="59"/>
      <c r="C215" s="59"/>
      <c r="D215" s="59"/>
      <c r="E215" s="60"/>
      <c r="F215" s="80"/>
      <c r="G215" s="81"/>
      <c r="H215" s="81"/>
      <c r="I215" s="53"/>
      <c r="J215" s="75"/>
      <c r="K215" s="75"/>
      <c r="L215" s="114">
        <v>18042</v>
      </c>
      <c r="M215" s="115" t="s">
        <v>233</v>
      </c>
      <c r="N215" s="55" t="s">
        <v>57</v>
      </c>
      <c r="O215" s="139">
        <v>30</v>
      </c>
      <c r="P215" s="97">
        <f>VLOOKUP(L215,[1]TDSheet!A$12:D$300,4,FALSE)</f>
        <v>40</v>
      </c>
      <c r="Q215" s="97"/>
      <c r="R215" s="101"/>
    </row>
    <row r="216" spans="1:18" ht="15.75" x14ac:dyDescent="0.25">
      <c r="A216" s="58"/>
      <c r="B216" s="59"/>
      <c r="C216" s="59"/>
      <c r="D216" s="59"/>
      <c r="E216" s="60"/>
      <c r="F216" s="80"/>
      <c r="G216" s="81"/>
      <c r="H216" s="81"/>
      <c r="I216" s="53"/>
      <c r="J216" s="75"/>
      <c r="K216" s="75"/>
      <c r="L216" s="114" t="s">
        <v>521</v>
      </c>
      <c r="M216" s="115" t="s">
        <v>522</v>
      </c>
      <c r="N216" s="55" t="s">
        <v>39</v>
      </c>
      <c r="O216" s="139">
        <v>5.8000000000000003E-2</v>
      </c>
      <c r="P216" s="97">
        <f>VLOOKUP(L216,[1]TDSheet!A$12:D$300,4,FALSE)</f>
        <v>9.7000000000000003E-2</v>
      </c>
      <c r="Q216" s="97"/>
      <c r="R216" s="101"/>
    </row>
    <row r="217" spans="1:18" ht="15.75" x14ac:dyDescent="0.25">
      <c r="A217" s="58"/>
      <c r="B217" s="59"/>
      <c r="C217" s="59"/>
      <c r="D217" s="59"/>
      <c r="E217" s="60"/>
      <c r="F217" s="80"/>
      <c r="G217" s="81"/>
      <c r="H217" s="81"/>
      <c r="I217" s="53"/>
      <c r="J217" s="75"/>
      <c r="K217" s="75"/>
      <c r="L217" s="63" t="s">
        <v>234</v>
      </c>
      <c r="M217" s="61" t="s">
        <v>235</v>
      </c>
      <c r="N217" s="55" t="s">
        <v>34</v>
      </c>
      <c r="O217" s="62">
        <v>2</v>
      </c>
      <c r="P217" s="97">
        <f>VLOOKUP(L217,[1]TDSheet!A$12:D$300,4,FALSE)</f>
        <v>6</v>
      </c>
      <c r="Q217" s="97"/>
      <c r="R217" s="101"/>
    </row>
    <row r="218" spans="1:18" ht="15.75" x14ac:dyDescent="0.25">
      <c r="A218" s="58"/>
      <c r="B218" s="59"/>
      <c r="C218" s="59"/>
      <c r="D218" s="59"/>
      <c r="E218" s="60"/>
      <c r="F218" s="80"/>
      <c r="G218" s="81"/>
      <c r="H218" s="81"/>
      <c r="I218" s="53"/>
      <c r="J218" s="75"/>
      <c r="K218" s="75"/>
      <c r="L218" s="63" t="s">
        <v>236</v>
      </c>
      <c r="M218" s="61" t="s">
        <v>237</v>
      </c>
      <c r="N218" s="55" t="s">
        <v>34</v>
      </c>
      <c r="O218" s="62">
        <v>4</v>
      </c>
      <c r="P218" s="97">
        <f>VLOOKUP(L218,[1]TDSheet!A$12:D$300,4,FALSE)</f>
        <v>12</v>
      </c>
      <c r="Q218" s="97"/>
      <c r="R218" s="101"/>
    </row>
    <row r="219" spans="1:18" ht="15.75" x14ac:dyDescent="0.25">
      <c r="A219" s="58"/>
      <c r="B219" s="59"/>
      <c r="C219" s="59"/>
      <c r="D219" s="59"/>
      <c r="E219" s="60"/>
      <c r="F219" s="80"/>
      <c r="G219" s="81"/>
      <c r="H219" s="81"/>
      <c r="I219" s="53"/>
      <c r="J219" s="75"/>
      <c r="K219" s="75"/>
      <c r="L219" s="63" t="s">
        <v>238</v>
      </c>
      <c r="M219" s="61" t="s">
        <v>239</v>
      </c>
      <c r="N219" s="55" t="s">
        <v>57</v>
      </c>
      <c r="O219" s="62">
        <v>80</v>
      </c>
      <c r="P219" s="97">
        <f>VLOOKUP(L219,[1]TDSheet!A$12:D$300,4,FALSE)</f>
        <v>3940</v>
      </c>
      <c r="Q219" s="97"/>
      <c r="R219" s="101"/>
    </row>
    <row r="220" spans="1:18" ht="15.75" x14ac:dyDescent="0.25">
      <c r="A220" s="58"/>
      <c r="B220" s="59"/>
      <c r="C220" s="59"/>
      <c r="D220" s="59"/>
      <c r="E220" s="60"/>
      <c r="F220" s="80"/>
      <c r="G220" s="81"/>
      <c r="H220" s="81"/>
      <c r="I220" s="53"/>
      <c r="J220" s="75"/>
      <c r="K220" s="75"/>
      <c r="L220" s="63">
        <v>9068</v>
      </c>
      <c r="M220" s="61" t="s">
        <v>102</v>
      </c>
      <c r="N220" s="55" t="s">
        <v>57</v>
      </c>
      <c r="O220" s="62">
        <v>375</v>
      </c>
      <c r="P220" s="97" t="e">
        <f>VLOOKUP(L220,[1]TDSheet!A$12:D$300,4,FALSE)</f>
        <v>#N/A</v>
      </c>
      <c r="Q220" s="97"/>
      <c r="R220" s="101"/>
    </row>
    <row r="221" spans="1:18" ht="15.75" x14ac:dyDescent="0.25">
      <c r="A221" s="58"/>
      <c r="B221" s="59"/>
      <c r="C221" s="59"/>
      <c r="D221" s="59"/>
      <c r="E221" s="60"/>
      <c r="F221" s="80"/>
      <c r="G221" s="81"/>
      <c r="H221" s="81"/>
      <c r="I221" s="53"/>
      <c r="J221" s="75"/>
      <c r="K221" s="75"/>
      <c r="L221" s="63" t="s">
        <v>103</v>
      </c>
      <c r="M221" s="61" t="s">
        <v>104</v>
      </c>
      <c r="N221" s="55" t="s">
        <v>57</v>
      </c>
      <c r="O221" s="62">
        <v>25</v>
      </c>
      <c r="P221" s="97">
        <f>VLOOKUP(L221,[1]TDSheet!A$12:D$300,4,FALSE)</f>
        <v>75</v>
      </c>
      <c r="Q221" s="97"/>
      <c r="R221" s="101"/>
    </row>
    <row r="222" spans="1:18" ht="15.75" x14ac:dyDescent="0.25">
      <c r="A222" s="58"/>
      <c r="B222" s="59"/>
      <c r="C222" s="59"/>
      <c r="D222" s="59"/>
      <c r="E222" s="60"/>
      <c r="F222" s="80"/>
      <c r="G222" s="81"/>
      <c r="H222" s="81"/>
      <c r="I222" s="53"/>
      <c r="J222" s="75"/>
      <c r="K222" s="75"/>
      <c r="L222" s="63" t="s">
        <v>477</v>
      </c>
      <c r="M222" s="61" t="s">
        <v>478</v>
      </c>
      <c r="N222" s="55" t="s">
        <v>34</v>
      </c>
      <c r="O222" s="62">
        <v>1</v>
      </c>
      <c r="P222" s="97">
        <f>VLOOKUP(L222,[1]TDSheet!A$12:D$300,4,FALSE)</f>
        <v>3</v>
      </c>
      <c r="Q222" s="97"/>
      <c r="R222" s="101"/>
    </row>
    <row r="223" spans="1:18" ht="15.75" x14ac:dyDescent="0.25">
      <c r="A223" s="58"/>
      <c r="B223" s="59"/>
      <c r="C223" s="59"/>
      <c r="D223" s="59"/>
      <c r="E223" s="60"/>
      <c r="F223" s="80"/>
      <c r="G223" s="81"/>
      <c r="H223" s="81"/>
      <c r="I223" s="53"/>
      <c r="J223" s="75"/>
      <c r="K223" s="75"/>
      <c r="L223" s="63" t="s">
        <v>479</v>
      </c>
      <c r="M223" s="61" t="s">
        <v>480</v>
      </c>
      <c r="N223" s="55" t="s">
        <v>34</v>
      </c>
      <c r="O223" s="62">
        <v>5</v>
      </c>
      <c r="P223" s="97">
        <f>VLOOKUP(L223,[1]TDSheet!A$12:D$300,4,FALSE)</f>
        <v>15</v>
      </c>
      <c r="Q223" s="97"/>
      <c r="R223" s="101"/>
    </row>
    <row r="224" spans="1:18" ht="15.75" x14ac:dyDescent="0.25">
      <c r="A224" s="58"/>
      <c r="B224" s="59"/>
      <c r="C224" s="59"/>
      <c r="D224" s="59"/>
      <c r="E224" s="60"/>
      <c r="F224" s="80"/>
      <c r="G224" s="81"/>
      <c r="H224" s="81"/>
      <c r="I224" s="53"/>
      <c r="J224" s="75"/>
      <c r="K224" s="75"/>
      <c r="L224" s="63" t="s">
        <v>481</v>
      </c>
      <c r="M224" s="61" t="s">
        <v>482</v>
      </c>
      <c r="N224" s="55" t="s">
        <v>34</v>
      </c>
      <c r="O224" s="62">
        <v>5</v>
      </c>
      <c r="P224" s="97">
        <f>VLOOKUP(L224,[1]TDSheet!A$12:D$300,4,FALSE)</f>
        <v>15</v>
      </c>
      <c r="Q224" s="97"/>
      <c r="R224" s="101"/>
    </row>
    <row r="225" spans="1:18" ht="15.75" x14ac:dyDescent="0.25">
      <c r="A225" s="58"/>
      <c r="B225" s="59"/>
      <c r="C225" s="59"/>
      <c r="D225" s="59"/>
      <c r="E225" s="60"/>
      <c r="F225" s="80"/>
      <c r="G225" s="81"/>
      <c r="H225" s="81"/>
      <c r="I225" s="53"/>
      <c r="J225" s="75"/>
      <c r="K225" s="75"/>
      <c r="L225" s="63">
        <v>589</v>
      </c>
      <c r="M225" s="61" t="s">
        <v>483</v>
      </c>
      <c r="N225" s="55" t="s">
        <v>57</v>
      </c>
      <c r="O225" s="139">
        <v>34</v>
      </c>
      <c r="P225" s="97">
        <f>VLOOKUP(L225,[1]TDSheet!A$12:D$300,4,FALSE)</f>
        <v>114</v>
      </c>
      <c r="Q225" s="97"/>
      <c r="R225" s="101"/>
    </row>
    <row r="226" spans="1:18" ht="15.75" x14ac:dyDescent="0.25">
      <c r="A226" s="58"/>
      <c r="B226" s="59"/>
      <c r="C226" s="59"/>
      <c r="D226" s="59"/>
      <c r="E226" s="60"/>
      <c r="F226" s="80"/>
      <c r="G226" s="81"/>
      <c r="H226" s="81"/>
      <c r="I226" s="53"/>
      <c r="J226" s="75"/>
      <c r="K226" s="75"/>
      <c r="L226" s="63" t="s">
        <v>240</v>
      </c>
      <c r="M226" s="61" t="s">
        <v>241</v>
      </c>
      <c r="N226" s="55" t="s">
        <v>34</v>
      </c>
      <c r="O226" s="139">
        <v>1</v>
      </c>
      <c r="P226" s="97">
        <f>VLOOKUP(L226,[1]TDSheet!A$12:D$300,4,FALSE)</f>
        <v>3</v>
      </c>
      <c r="Q226" s="97"/>
      <c r="R226" s="101"/>
    </row>
    <row r="227" spans="1:18" ht="15.75" x14ac:dyDescent="0.25">
      <c r="A227" s="58"/>
      <c r="B227" s="59"/>
      <c r="C227" s="59"/>
      <c r="D227" s="59"/>
      <c r="E227" s="60"/>
      <c r="F227" s="80"/>
      <c r="G227" s="81"/>
      <c r="H227" s="81"/>
      <c r="I227" s="53"/>
      <c r="J227" s="75"/>
      <c r="K227" s="75"/>
      <c r="L227" s="63" t="s">
        <v>484</v>
      </c>
      <c r="M227" s="61" t="s">
        <v>485</v>
      </c>
      <c r="N227" s="55" t="s">
        <v>34</v>
      </c>
      <c r="O227" s="139">
        <v>1</v>
      </c>
      <c r="P227" s="97">
        <f>VLOOKUP(L227,[1]TDSheet!A$12:D$300,4,FALSE)</f>
        <v>3</v>
      </c>
      <c r="Q227" s="97"/>
      <c r="R227" s="101"/>
    </row>
    <row r="228" spans="1:18" ht="15.75" x14ac:dyDescent="0.25">
      <c r="A228" s="58"/>
      <c r="B228" s="59"/>
      <c r="C228" s="59"/>
      <c r="D228" s="59"/>
      <c r="E228" s="60"/>
      <c r="F228" s="80"/>
      <c r="G228" s="81"/>
      <c r="H228" s="81"/>
      <c r="I228" s="53"/>
      <c r="J228" s="75"/>
      <c r="K228" s="75"/>
      <c r="L228" s="63" t="s">
        <v>486</v>
      </c>
      <c r="M228" s="61" t="s">
        <v>487</v>
      </c>
      <c r="N228" s="55" t="s">
        <v>34</v>
      </c>
      <c r="O228" s="139">
        <v>2</v>
      </c>
      <c r="P228" s="97">
        <f>VLOOKUP(L228,[1]TDSheet!A$12:D$300,4,FALSE)</f>
        <v>6</v>
      </c>
      <c r="Q228" s="97"/>
      <c r="R228" s="101"/>
    </row>
    <row r="229" spans="1:18" ht="15.75" x14ac:dyDescent="0.25">
      <c r="A229" s="58"/>
      <c r="B229" s="59"/>
      <c r="C229" s="59"/>
      <c r="D229" s="59"/>
      <c r="E229" s="60"/>
      <c r="F229" s="80"/>
      <c r="G229" s="81"/>
      <c r="H229" s="81"/>
      <c r="I229" s="53"/>
      <c r="J229" s="75"/>
      <c r="K229" s="75"/>
      <c r="L229" s="63" t="s">
        <v>488</v>
      </c>
      <c r="M229" s="61" t="s">
        <v>489</v>
      </c>
      <c r="N229" s="55" t="s">
        <v>34</v>
      </c>
      <c r="O229" s="139">
        <v>5</v>
      </c>
      <c r="P229" s="97">
        <f>VLOOKUP(L229,[1]TDSheet!A$12:D$300,4,FALSE)</f>
        <v>15</v>
      </c>
      <c r="Q229" s="97"/>
      <c r="R229" s="101"/>
    </row>
    <row r="230" spans="1:18" ht="15.75" x14ac:dyDescent="0.25">
      <c r="A230" s="58"/>
      <c r="B230" s="59"/>
      <c r="C230" s="59"/>
      <c r="D230" s="59"/>
      <c r="E230" s="60"/>
      <c r="F230" s="80"/>
      <c r="G230" s="81"/>
      <c r="H230" s="81"/>
      <c r="I230" s="53"/>
      <c r="J230" s="75"/>
      <c r="K230" s="75"/>
      <c r="L230" s="63">
        <v>396</v>
      </c>
      <c r="M230" s="61" t="s">
        <v>105</v>
      </c>
      <c r="N230" s="55" t="s">
        <v>34</v>
      </c>
      <c r="O230" s="139">
        <v>3000</v>
      </c>
      <c r="P230" s="97">
        <f>VLOOKUP(L230,[1]TDSheet!A$12:D$300,4,FALSE)</f>
        <v>41000</v>
      </c>
      <c r="Q230" s="97"/>
      <c r="R230" s="101"/>
    </row>
    <row r="231" spans="1:18" ht="15.75" x14ac:dyDescent="0.25">
      <c r="A231" s="58"/>
      <c r="B231" s="59"/>
      <c r="C231" s="59"/>
      <c r="D231" s="59"/>
      <c r="E231" s="60"/>
      <c r="F231" s="80"/>
      <c r="G231" s="81"/>
      <c r="H231" s="81"/>
      <c r="I231" s="53"/>
      <c r="J231" s="75"/>
      <c r="K231" s="75"/>
      <c r="L231" s="63">
        <v>395</v>
      </c>
      <c r="M231" s="61" t="s">
        <v>106</v>
      </c>
      <c r="N231" s="55" t="s">
        <v>34</v>
      </c>
      <c r="O231" s="139">
        <v>150</v>
      </c>
      <c r="P231" s="97">
        <f>VLOOKUP(L231,[1]TDSheet!A$12:D$300,4,FALSE)</f>
        <v>5460</v>
      </c>
      <c r="Q231" s="97"/>
      <c r="R231" s="101"/>
    </row>
    <row r="232" spans="1:18" ht="15.75" x14ac:dyDescent="0.25">
      <c r="A232" s="58"/>
      <c r="B232" s="59"/>
      <c r="C232" s="59"/>
      <c r="D232" s="59"/>
      <c r="E232" s="60"/>
      <c r="F232" s="80"/>
      <c r="G232" s="81"/>
      <c r="H232" s="81"/>
      <c r="I232" s="53"/>
      <c r="J232" s="75"/>
      <c r="K232" s="75"/>
      <c r="L232" s="63" t="s">
        <v>490</v>
      </c>
      <c r="M232" s="61" t="s">
        <v>491</v>
      </c>
      <c r="N232" s="55" t="s">
        <v>34</v>
      </c>
      <c r="O232" s="139">
        <v>2</v>
      </c>
      <c r="P232" s="97">
        <f>VLOOKUP(L232,[1]TDSheet!A$12:D$300,4,FALSE)</f>
        <v>6</v>
      </c>
      <c r="Q232" s="97"/>
      <c r="R232" s="101"/>
    </row>
    <row r="233" spans="1:18" ht="15.75" x14ac:dyDescent="0.25">
      <c r="A233" s="58"/>
      <c r="B233" s="59"/>
      <c r="C233" s="59"/>
      <c r="D233" s="59"/>
      <c r="E233" s="60"/>
      <c r="F233" s="80"/>
      <c r="G233" s="81"/>
      <c r="H233" s="81"/>
      <c r="I233" s="53"/>
      <c r="J233" s="75"/>
      <c r="K233" s="75"/>
      <c r="L233" s="114" t="s">
        <v>46</v>
      </c>
      <c r="M233" s="115" t="s">
        <v>107</v>
      </c>
      <c r="N233" s="55" t="s">
        <v>64</v>
      </c>
      <c r="O233" s="139">
        <v>51</v>
      </c>
      <c r="P233" s="97">
        <f>VLOOKUP(L233,[1]TDSheet!A$12:D$300,4,FALSE)</f>
        <v>475</v>
      </c>
      <c r="Q233" s="116"/>
      <c r="R233" s="101"/>
    </row>
    <row r="234" spans="1:18" ht="15.75" x14ac:dyDescent="0.25">
      <c r="A234" s="90"/>
      <c r="B234" s="59"/>
      <c r="C234" s="59"/>
      <c r="D234" s="59"/>
      <c r="E234" s="60"/>
      <c r="F234" s="91"/>
      <c r="G234" s="92"/>
      <c r="H234" s="92"/>
      <c r="I234" s="53"/>
      <c r="J234" s="75"/>
      <c r="K234" s="75"/>
      <c r="L234" s="111" t="s">
        <v>492</v>
      </c>
      <c r="M234" s="112" t="s">
        <v>493</v>
      </c>
      <c r="N234" s="95" t="s">
        <v>34</v>
      </c>
      <c r="O234" s="140">
        <v>1</v>
      </c>
      <c r="P234" s="97">
        <f>VLOOKUP(L234,[1]TDSheet!A$12:D$300,4,FALSE)</f>
        <v>3</v>
      </c>
      <c r="Q234" s="116"/>
      <c r="R234" s="101"/>
    </row>
    <row r="235" spans="1:18" ht="15.75" x14ac:dyDescent="0.25">
      <c r="A235" s="90"/>
      <c r="B235" s="59"/>
      <c r="C235" s="59"/>
      <c r="D235" s="59"/>
      <c r="E235" s="60"/>
      <c r="F235" s="91"/>
      <c r="G235" s="92"/>
      <c r="H235" s="92"/>
      <c r="I235" s="53"/>
      <c r="J235" s="75"/>
      <c r="K235" s="75"/>
      <c r="L235" s="111">
        <v>104</v>
      </c>
      <c r="M235" s="112" t="s">
        <v>494</v>
      </c>
      <c r="N235" s="95" t="s">
        <v>34</v>
      </c>
      <c r="O235" s="140">
        <v>48</v>
      </c>
      <c r="P235" s="97">
        <f>VLOOKUP(L235,[1]TDSheet!A$12:D$300,4,FALSE)</f>
        <v>163</v>
      </c>
      <c r="Q235" s="116"/>
      <c r="R235" s="101"/>
    </row>
    <row r="236" spans="1:18" ht="15.75" x14ac:dyDescent="0.25">
      <c r="A236" s="90"/>
      <c r="B236" s="59"/>
      <c r="C236" s="59"/>
      <c r="D236" s="59"/>
      <c r="E236" s="60"/>
      <c r="F236" s="91"/>
      <c r="G236" s="92"/>
      <c r="H236" s="92"/>
      <c r="I236" s="53"/>
      <c r="J236" s="75"/>
      <c r="K236" s="75"/>
      <c r="L236" s="93" t="s">
        <v>242</v>
      </c>
      <c r="M236" s="94" t="s">
        <v>243</v>
      </c>
      <c r="N236" s="95" t="s">
        <v>34</v>
      </c>
      <c r="O236" s="140">
        <v>1</v>
      </c>
      <c r="P236" s="97">
        <f>VLOOKUP(L236,[1]TDSheet!A$12:D$300,4,FALSE)</f>
        <v>1</v>
      </c>
      <c r="Q236" s="97"/>
      <c r="R236" s="101"/>
    </row>
    <row r="237" spans="1:18" ht="15.75" x14ac:dyDescent="0.25">
      <c r="A237" s="90"/>
      <c r="B237" s="59"/>
      <c r="C237" s="59"/>
      <c r="D237" s="59"/>
      <c r="E237" s="60"/>
      <c r="F237" s="91"/>
      <c r="G237" s="92"/>
      <c r="H237" s="92"/>
      <c r="I237" s="53"/>
      <c r="J237" s="75"/>
      <c r="K237" s="75"/>
      <c r="L237" s="111" t="s">
        <v>244</v>
      </c>
      <c r="M237" s="112" t="s">
        <v>245</v>
      </c>
      <c r="N237" s="95" t="s">
        <v>34</v>
      </c>
      <c r="O237" s="140">
        <v>1</v>
      </c>
      <c r="P237" s="97" t="e">
        <f>VLOOKUP(L237,[1]TDSheet!A$12:D$300,4,FALSE)</f>
        <v>#N/A</v>
      </c>
      <c r="Q237" s="116"/>
      <c r="R237" s="101"/>
    </row>
    <row r="238" spans="1:18" ht="15.75" x14ac:dyDescent="0.25">
      <c r="A238" s="90"/>
      <c r="B238" s="59"/>
      <c r="C238" s="59"/>
      <c r="D238" s="59"/>
      <c r="E238" s="60"/>
      <c r="F238" s="91"/>
      <c r="G238" s="92"/>
      <c r="H238" s="92"/>
      <c r="I238" s="53"/>
      <c r="J238" s="75"/>
      <c r="K238" s="75"/>
      <c r="L238" s="111" t="s">
        <v>246</v>
      </c>
      <c r="M238" s="112" t="s">
        <v>247</v>
      </c>
      <c r="N238" s="95" t="s">
        <v>34</v>
      </c>
      <c r="O238" s="140">
        <v>1</v>
      </c>
      <c r="P238" s="97" t="e">
        <f>VLOOKUP(L238,[1]TDSheet!A$12:D$300,4,FALSE)</f>
        <v>#N/A</v>
      </c>
      <c r="Q238" s="116"/>
      <c r="R238" s="101"/>
    </row>
    <row r="239" spans="1:18" ht="15.75" x14ac:dyDescent="0.25">
      <c r="A239" s="90"/>
      <c r="B239" s="59"/>
      <c r="C239" s="59"/>
      <c r="D239" s="59"/>
      <c r="E239" s="60"/>
      <c r="F239" s="91"/>
      <c r="G239" s="92"/>
      <c r="H239" s="92"/>
      <c r="I239" s="53"/>
      <c r="J239" s="75"/>
      <c r="K239" s="75"/>
      <c r="L239" s="111" t="s">
        <v>47</v>
      </c>
      <c r="M239" s="112" t="s">
        <v>108</v>
      </c>
      <c r="N239" s="95" t="s">
        <v>34</v>
      </c>
      <c r="O239" s="140">
        <v>23</v>
      </c>
      <c r="P239" s="97">
        <f>VLOOKUP(L239,[1]TDSheet!A$12:D$300,4,FALSE)</f>
        <v>194</v>
      </c>
      <c r="Q239" s="116"/>
      <c r="R239" s="101"/>
    </row>
    <row r="240" spans="1:18" ht="15.75" x14ac:dyDescent="0.25">
      <c r="A240" s="90"/>
      <c r="B240" s="59"/>
      <c r="C240" s="59"/>
      <c r="D240" s="59"/>
      <c r="E240" s="60"/>
      <c r="F240" s="91"/>
      <c r="G240" s="92"/>
      <c r="H240" s="92"/>
      <c r="I240" s="53"/>
      <c r="J240" s="75"/>
      <c r="K240" s="75"/>
      <c r="L240" s="111" t="s">
        <v>495</v>
      </c>
      <c r="M240" s="112" t="s">
        <v>496</v>
      </c>
      <c r="N240" s="95" t="s">
        <v>34</v>
      </c>
      <c r="O240" s="140">
        <v>6</v>
      </c>
      <c r="P240" s="97">
        <f>VLOOKUP(L240,[1]TDSheet!A$12:D$300,4,FALSE)</f>
        <v>3</v>
      </c>
      <c r="Q240" s="116"/>
      <c r="R240" s="101"/>
    </row>
    <row r="241" spans="1:18" ht="15.75" x14ac:dyDescent="0.25">
      <c r="A241" s="90"/>
      <c r="B241" s="59"/>
      <c r="C241" s="59"/>
      <c r="D241" s="59"/>
      <c r="E241" s="60"/>
      <c r="F241" s="91"/>
      <c r="G241" s="92"/>
      <c r="H241" s="92"/>
      <c r="I241" s="53"/>
      <c r="J241" s="75"/>
      <c r="K241" s="75"/>
      <c r="L241" s="111" t="s">
        <v>497</v>
      </c>
      <c r="M241" s="112" t="s">
        <v>498</v>
      </c>
      <c r="N241" s="95" t="s">
        <v>34</v>
      </c>
      <c r="O241" s="140">
        <v>3</v>
      </c>
      <c r="P241" s="97">
        <f>VLOOKUP(L241,[1]TDSheet!A$12:D$300,4,FALSE)</f>
        <v>12</v>
      </c>
      <c r="Q241" s="116"/>
      <c r="R241" s="101"/>
    </row>
    <row r="242" spans="1:18" ht="15.75" x14ac:dyDescent="0.25">
      <c r="A242" s="90"/>
      <c r="B242" s="59"/>
      <c r="C242" s="59"/>
      <c r="D242" s="59"/>
      <c r="E242" s="60"/>
      <c r="F242" s="91"/>
      <c r="G242" s="92"/>
      <c r="H242" s="92"/>
      <c r="I242" s="53"/>
      <c r="J242" s="75"/>
      <c r="K242" s="75"/>
      <c r="L242" s="111" t="s">
        <v>499</v>
      </c>
      <c r="M242" s="112" t="s">
        <v>500</v>
      </c>
      <c r="N242" s="95" t="s">
        <v>34</v>
      </c>
      <c r="O242" s="140">
        <v>2</v>
      </c>
      <c r="P242" s="97" t="e">
        <f>VLOOKUP(L242,[1]TDSheet!A$12:D$300,4,FALSE)</f>
        <v>#N/A</v>
      </c>
      <c r="Q242" s="116"/>
      <c r="R242" s="101"/>
    </row>
    <row r="243" spans="1:18" ht="15.75" x14ac:dyDescent="0.25">
      <c r="A243" s="90"/>
      <c r="B243" s="59"/>
      <c r="C243" s="59"/>
      <c r="D243" s="59"/>
      <c r="E243" s="60"/>
      <c r="F243" s="91"/>
      <c r="G243" s="92"/>
      <c r="H243" s="92"/>
      <c r="I243" s="53"/>
      <c r="J243" s="75"/>
      <c r="K243" s="75"/>
      <c r="L243" s="111">
        <v>15090</v>
      </c>
      <c r="M243" s="112" t="s">
        <v>501</v>
      </c>
      <c r="N243" s="95" t="s">
        <v>34</v>
      </c>
      <c r="O243" s="140">
        <v>8</v>
      </c>
      <c r="P243" s="97">
        <f>VLOOKUP(L243,[1]TDSheet!A$12:D$300,4,FALSE)</f>
        <v>56</v>
      </c>
      <c r="Q243" s="116"/>
      <c r="R243" s="101"/>
    </row>
    <row r="244" spans="1:18" ht="15.75" x14ac:dyDescent="0.25">
      <c r="A244" s="90"/>
      <c r="B244" s="59"/>
      <c r="C244" s="59"/>
      <c r="D244" s="59"/>
      <c r="E244" s="60"/>
      <c r="F244" s="91"/>
      <c r="G244" s="92"/>
      <c r="H244" s="92"/>
      <c r="I244" s="53"/>
      <c r="J244" s="75"/>
      <c r="K244" s="75"/>
      <c r="L244" s="111" t="s">
        <v>502</v>
      </c>
      <c r="M244" s="112" t="s">
        <v>503</v>
      </c>
      <c r="N244" s="95" t="s">
        <v>34</v>
      </c>
      <c r="O244" s="140">
        <v>2</v>
      </c>
      <c r="P244" s="97">
        <f>VLOOKUP(L244,[1]TDSheet!A$12:D$300,4,FALSE)</f>
        <v>6</v>
      </c>
      <c r="Q244" s="116"/>
      <c r="R244" s="101"/>
    </row>
    <row r="245" spans="1:18" ht="15.75" x14ac:dyDescent="0.25">
      <c r="A245" s="90"/>
      <c r="B245" s="59"/>
      <c r="C245" s="59"/>
      <c r="D245" s="59"/>
      <c r="E245" s="60"/>
      <c r="F245" s="91"/>
      <c r="G245" s="92"/>
      <c r="H245" s="92"/>
      <c r="I245" s="53"/>
      <c r="J245" s="75"/>
      <c r="K245" s="75"/>
      <c r="L245" s="111" t="s">
        <v>504</v>
      </c>
      <c r="M245" s="112" t="s">
        <v>505</v>
      </c>
      <c r="N245" s="95" t="s">
        <v>34</v>
      </c>
      <c r="O245" s="140">
        <v>10</v>
      </c>
      <c r="P245" s="97">
        <f>VLOOKUP(L245,[1]TDSheet!A$12:D$300,4,FALSE)</f>
        <v>42</v>
      </c>
      <c r="Q245" s="116"/>
      <c r="R245" s="101"/>
    </row>
    <row r="246" spans="1:18" ht="15.75" x14ac:dyDescent="0.25">
      <c r="A246" s="90"/>
      <c r="B246" s="59"/>
      <c r="C246" s="59"/>
      <c r="D246" s="59"/>
      <c r="E246" s="60"/>
      <c r="F246" s="91"/>
      <c r="G246" s="92"/>
      <c r="H246" s="92"/>
      <c r="I246" s="53"/>
      <c r="J246" s="75"/>
      <c r="K246" s="75"/>
      <c r="L246" s="111">
        <v>12126</v>
      </c>
      <c r="M246" s="112" t="s">
        <v>506</v>
      </c>
      <c r="N246" s="95" t="s">
        <v>34</v>
      </c>
      <c r="O246" s="140">
        <v>2000</v>
      </c>
      <c r="P246" s="97" t="e">
        <f>VLOOKUP(L246,[1]TDSheet!A$12:D$300,4,FALSE)</f>
        <v>#N/A</v>
      </c>
      <c r="Q246" s="116"/>
      <c r="R246" s="101"/>
    </row>
    <row r="247" spans="1:18" ht="15.75" x14ac:dyDescent="0.25">
      <c r="A247" s="90"/>
      <c r="B247" s="59"/>
      <c r="C247" s="59"/>
      <c r="D247" s="59"/>
      <c r="E247" s="60"/>
      <c r="F247" s="91"/>
      <c r="G247" s="92"/>
      <c r="H247" s="92"/>
      <c r="I247" s="53"/>
      <c r="J247" s="75"/>
      <c r="K247" s="75"/>
      <c r="L247" s="93">
        <v>4659</v>
      </c>
      <c r="M247" s="94" t="s">
        <v>109</v>
      </c>
      <c r="N247" s="95" t="s">
        <v>34</v>
      </c>
      <c r="O247" s="141">
        <v>5000</v>
      </c>
      <c r="P247" s="97">
        <f>VLOOKUP(L247,[1]TDSheet!A$12:D$300,4,FALSE)</f>
        <v>24000</v>
      </c>
      <c r="Q247" s="97"/>
      <c r="R247" s="101"/>
    </row>
    <row r="248" spans="1:18" ht="15.75" x14ac:dyDescent="0.25">
      <c r="A248" s="90"/>
      <c r="B248" s="59"/>
      <c r="C248" s="59"/>
      <c r="D248" s="59"/>
      <c r="E248" s="60"/>
      <c r="F248" s="91"/>
      <c r="G248" s="92"/>
      <c r="H248" s="92"/>
      <c r="I248" s="53"/>
      <c r="J248" s="75"/>
      <c r="K248" s="75"/>
      <c r="L248" s="93">
        <v>4453</v>
      </c>
      <c r="M248" s="94" t="s">
        <v>248</v>
      </c>
      <c r="N248" s="95" t="s">
        <v>34</v>
      </c>
      <c r="O248" s="141">
        <v>900</v>
      </c>
      <c r="P248" s="97">
        <f>VLOOKUP(L248,[1]TDSheet!A$12:D$300,4,FALSE)</f>
        <v>5500</v>
      </c>
      <c r="Q248" s="97"/>
      <c r="R248" s="101"/>
    </row>
    <row r="249" spans="1:18" ht="15.75" x14ac:dyDescent="0.25">
      <c r="A249" s="90"/>
      <c r="B249" s="59"/>
      <c r="C249" s="59"/>
      <c r="D249" s="59"/>
      <c r="E249" s="60"/>
      <c r="F249" s="91"/>
      <c r="G249" s="92"/>
      <c r="H249" s="92"/>
      <c r="I249" s="53"/>
      <c r="J249" s="75"/>
      <c r="K249" s="75"/>
      <c r="L249" s="93">
        <v>2054</v>
      </c>
      <c r="M249" s="94" t="s">
        <v>507</v>
      </c>
      <c r="N249" s="95" t="s">
        <v>34</v>
      </c>
      <c r="O249" s="141">
        <v>700</v>
      </c>
      <c r="P249" s="97">
        <f>VLOOKUP(L249,[1]TDSheet!A$12:D$300,4,FALSE)</f>
        <v>7600</v>
      </c>
      <c r="Q249" s="97"/>
      <c r="R249" s="101"/>
    </row>
    <row r="250" spans="1:18" ht="15.75" x14ac:dyDescent="0.25">
      <c r="A250" s="90"/>
      <c r="B250" s="59"/>
      <c r="C250" s="59"/>
      <c r="D250" s="59"/>
      <c r="E250" s="60"/>
      <c r="F250" s="91"/>
      <c r="G250" s="92"/>
      <c r="H250" s="92"/>
      <c r="I250" s="53"/>
      <c r="J250" s="75"/>
      <c r="K250" s="75"/>
      <c r="L250" s="93" t="s">
        <v>508</v>
      </c>
      <c r="M250" s="94" t="s">
        <v>509</v>
      </c>
      <c r="N250" s="95" t="s">
        <v>34</v>
      </c>
      <c r="O250" s="141">
        <v>5</v>
      </c>
      <c r="P250" s="97">
        <f>VLOOKUP(L250,[1]TDSheet!A$12:D$300,4,FALSE)</f>
        <v>16</v>
      </c>
      <c r="Q250" s="97"/>
      <c r="R250" s="101"/>
    </row>
    <row r="251" spans="1:18" ht="15.75" x14ac:dyDescent="0.25">
      <c r="A251" s="90"/>
      <c r="B251" s="59"/>
      <c r="C251" s="59"/>
      <c r="D251" s="59"/>
      <c r="E251" s="60"/>
      <c r="F251" s="91"/>
      <c r="G251" s="92"/>
      <c r="H251" s="92"/>
      <c r="I251" s="53"/>
      <c r="J251" s="75"/>
      <c r="K251" s="75"/>
      <c r="L251" s="93" t="s">
        <v>55</v>
      </c>
      <c r="M251" s="94" t="s">
        <v>110</v>
      </c>
      <c r="N251" s="95" t="s">
        <v>34</v>
      </c>
      <c r="O251" s="141">
        <v>2</v>
      </c>
      <c r="P251" s="97">
        <f>VLOOKUP(L251,[1]TDSheet!A$12:D$300,4,FALSE)</f>
        <v>34</v>
      </c>
      <c r="Q251" s="97"/>
      <c r="R251" s="101"/>
    </row>
    <row r="252" spans="1:18" ht="15.75" x14ac:dyDescent="0.25">
      <c r="A252" s="90"/>
      <c r="B252" s="59"/>
      <c r="C252" s="59"/>
      <c r="D252" s="59"/>
      <c r="E252" s="60"/>
      <c r="F252" s="91"/>
      <c r="G252" s="92"/>
      <c r="H252" s="92"/>
      <c r="I252" s="53"/>
      <c r="J252" s="75"/>
      <c r="K252" s="75"/>
      <c r="L252" s="93" t="s">
        <v>523</v>
      </c>
      <c r="M252" s="94" t="s">
        <v>62</v>
      </c>
      <c r="N252" s="95" t="s">
        <v>34</v>
      </c>
      <c r="O252" s="141">
        <v>2</v>
      </c>
      <c r="P252" s="97">
        <f>VLOOKUP(L252,[1]TDSheet!A$12:D$300,4,FALSE)</f>
        <v>6</v>
      </c>
      <c r="Q252" s="97"/>
      <c r="R252" s="101"/>
    </row>
    <row r="253" spans="1:18" ht="15.75" x14ac:dyDescent="0.25">
      <c r="A253" s="90"/>
      <c r="B253" s="59"/>
      <c r="C253" s="59"/>
      <c r="D253" s="59"/>
      <c r="E253" s="60"/>
      <c r="F253" s="91"/>
      <c r="G253" s="92"/>
      <c r="H253" s="92"/>
      <c r="I253" s="53"/>
      <c r="J253" s="75"/>
      <c r="K253" s="75"/>
      <c r="L253" s="146" t="s">
        <v>749</v>
      </c>
      <c r="M253" s="94" t="s">
        <v>91</v>
      </c>
      <c r="N253" s="95" t="s">
        <v>34</v>
      </c>
      <c r="O253" s="141">
        <v>1</v>
      </c>
      <c r="P253" s="97">
        <f>VLOOKUP(L253,[1]TDSheet!A$12:D$300,4,FALSE)</f>
        <v>6</v>
      </c>
      <c r="Q253" s="97"/>
      <c r="R253" s="101"/>
    </row>
    <row r="254" spans="1:18" ht="15.75" x14ac:dyDescent="0.25">
      <c r="A254" s="90"/>
      <c r="B254" s="59"/>
      <c r="C254" s="59"/>
      <c r="D254" s="59"/>
      <c r="E254" s="60"/>
      <c r="F254" s="91"/>
      <c r="G254" s="92"/>
      <c r="H254" s="92"/>
      <c r="I254" s="53"/>
      <c r="J254" s="75"/>
      <c r="K254" s="75"/>
      <c r="L254" s="146"/>
      <c r="M254" s="94" t="s">
        <v>60</v>
      </c>
      <c r="N254" s="95" t="s">
        <v>34</v>
      </c>
      <c r="O254" s="141">
        <v>4</v>
      </c>
      <c r="P254" s="97" t="e">
        <f>VLOOKUP(L254,[1]TDSheet!A$12:D$300,4,FALSE)</f>
        <v>#N/A</v>
      </c>
      <c r="Q254" s="97"/>
      <c r="R254" s="101"/>
    </row>
    <row r="255" spans="1:18" ht="15.75" x14ac:dyDescent="0.25">
      <c r="A255" s="90"/>
      <c r="B255" s="59"/>
      <c r="C255" s="59"/>
      <c r="D255" s="59"/>
      <c r="E255" s="60"/>
      <c r="F255" s="91"/>
      <c r="G255" s="92"/>
      <c r="H255" s="92"/>
      <c r="I255" s="53"/>
      <c r="J255" s="75"/>
      <c r="K255" s="75"/>
      <c r="L255" s="146" t="s">
        <v>750</v>
      </c>
      <c r="M255" s="94" t="s">
        <v>50</v>
      </c>
      <c r="N255" s="95" t="s">
        <v>34</v>
      </c>
      <c r="O255" s="141">
        <v>1</v>
      </c>
      <c r="P255" s="97" t="e">
        <f>VLOOKUP(L255,[1]TDSheet!A$12:D$300,4,FALSE)</f>
        <v>#N/A</v>
      </c>
      <c r="Q255" s="97"/>
      <c r="R255" s="101"/>
    </row>
    <row r="256" spans="1:18" ht="15.75" x14ac:dyDescent="0.25">
      <c r="A256" s="90"/>
      <c r="B256" s="59"/>
      <c r="C256" s="59"/>
      <c r="D256" s="59"/>
      <c r="E256" s="60"/>
      <c r="F256" s="91"/>
      <c r="G256" s="92"/>
      <c r="H256" s="92"/>
      <c r="I256" s="53"/>
      <c r="J256" s="75"/>
      <c r="K256" s="75"/>
      <c r="L256" s="146" t="s">
        <v>751</v>
      </c>
      <c r="M256" s="94" t="s">
        <v>524</v>
      </c>
      <c r="N256" s="95" t="s">
        <v>34</v>
      </c>
      <c r="O256" s="141">
        <v>2</v>
      </c>
      <c r="P256" s="97" t="e">
        <f>VLOOKUP(L256,[1]TDSheet!A$12:D$300,4,FALSE)</f>
        <v>#N/A</v>
      </c>
      <c r="Q256" s="97"/>
      <c r="R256" s="101"/>
    </row>
    <row r="257" spans="1:34" ht="15.75" x14ac:dyDescent="0.25">
      <c r="A257" s="90"/>
      <c r="B257" s="59"/>
      <c r="C257" s="59"/>
      <c r="D257" s="59"/>
      <c r="E257" s="60"/>
      <c r="F257" s="91"/>
      <c r="G257" s="92"/>
      <c r="H257" s="92"/>
      <c r="I257" s="53"/>
      <c r="J257" s="75"/>
      <c r="K257" s="75"/>
      <c r="L257" s="146"/>
      <c r="M257" s="94" t="s">
        <v>61</v>
      </c>
      <c r="N257" s="95" t="s">
        <v>34</v>
      </c>
      <c r="O257" s="141">
        <v>3</v>
      </c>
      <c r="P257" s="97" t="e">
        <f>VLOOKUP(L257,[1]TDSheet!A$12:D$300,4,FALSE)</f>
        <v>#N/A</v>
      </c>
      <c r="Q257" s="97"/>
      <c r="R257" s="101"/>
    </row>
    <row r="258" spans="1:34" ht="15.75" x14ac:dyDescent="0.25">
      <c r="A258" s="90"/>
      <c r="B258" s="59"/>
      <c r="C258" s="59"/>
      <c r="D258" s="59"/>
      <c r="E258" s="60"/>
      <c r="F258" s="91"/>
      <c r="G258" s="92"/>
      <c r="H258" s="92"/>
      <c r="I258" s="53"/>
      <c r="J258" s="75"/>
      <c r="K258" s="75"/>
      <c r="L258" s="146" t="s">
        <v>510</v>
      </c>
      <c r="M258" s="112" t="s">
        <v>511</v>
      </c>
      <c r="N258" s="95" t="s">
        <v>34</v>
      </c>
      <c r="O258" s="140">
        <v>3</v>
      </c>
      <c r="P258" s="97" t="e">
        <f>VLOOKUP(L258,[1]TDSheet!A$12:D$300,4,FALSE)</f>
        <v>#N/A</v>
      </c>
      <c r="Q258" s="97"/>
      <c r="R258" s="101"/>
    </row>
    <row r="259" spans="1:34" ht="15.75" x14ac:dyDescent="0.25">
      <c r="A259" s="90"/>
      <c r="B259" s="59"/>
      <c r="C259" s="59"/>
      <c r="D259" s="59"/>
      <c r="E259" s="60"/>
      <c r="F259" s="91"/>
      <c r="G259" s="92"/>
      <c r="H259" s="92"/>
      <c r="I259" s="53"/>
      <c r="J259" s="75"/>
      <c r="K259" s="75"/>
      <c r="L259" s="111" t="s">
        <v>722</v>
      </c>
      <c r="M259" s="112" t="s">
        <v>723</v>
      </c>
      <c r="N259" s="95" t="s">
        <v>34</v>
      </c>
      <c r="O259" s="140">
        <v>1</v>
      </c>
      <c r="P259" s="97">
        <f>VLOOKUP(L259,[1]TDSheet!A$12:D$300,4,FALSE)</f>
        <v>5</v>
      </c>
      <c r="Q259" s="97"/>
      <c r="R259" s="101"/>
    </row>
    <row r="260" spans="1:34" ht="15.75" x14ac:dyDescent="0.25">
      <c r="A260" s="90"/>
      <c r="B260" s="59"/>
      <c r="C260" s="59"/>
      <c r="D260" s="59"/>
      <c r="E260" s="60"/>
      <c r="F260" s="91"/>
      <c r="G260" s="92"/>
      <c r="H260" s="92"/>
      <c r="I260" s="53"/>
      <c r="J260" s="75"/>
      <c r="K260" s="75"/>
      <c r="L260" s="111" t="s">
        <v>724</v>
      </c>
      <c r="M260" s="112" t="s">
        <v>725</v>
      </c>
      <c r="N260" s="95" t="s">
        <v>34</v>
      </c>
      <c r="O260" s="140">
        <v>1</v>
      </c>
      <c r="P260" s="97" t="e">
        <f>VLOOKUP(L260,[1]TDSheet!A$12:D$300,4,FALSE)</f>
        <v>#N/A</v>
      </c>
      <c r="Q260" s="97"/>
      <c r="R260" s="101"/>
    </row>
    <row r="261" spans="1:34" ht="15.75" x14ac:dyDescent="0.25">
      <c r="A261" s="90"/>
      <c r="B261" s="59"/>
      <c r="C261" s="59"/>
      <c r="D261" s="59"/>
      <c r="E261" s="60"/>
      <c r="F261" s="91"/>
      <c r="G261" s="92"/>
      <c r="H261" s="92"/>
      <c r="I261" s="53"/>
      <c r="J261" s="75"/>
      <c r="K261" s="75"/>
      <c r="L261" s="111" t="s">
        <v>726</v>
      </c>
      <c r="M261" s="112" t="s">
        <v>727</v>
      </c>
      <c r="N261" s="95" t="s">
        <v>34</v>
      </c>
      <c r="O261" s="140">
        <v>1</v>
      </c>
      <c r="P261" s="97">
        <f>VLOOKUP(L261,[1]TDSheet!A$12:D$300,4,FALSE)</f>
        <v>3</v>
      </c>
      <c r="Q261" s="97"/>
      <c r="R261" s="101"/>
    </row>
    <row r="262" spans="1:34" ht="15.75" x14ac:dyDescent="0.25">
      <c r="A262" s="128"/>
      <c r="B262" s="129"/>
      <c r="C262" s="129"/>
      <c r="D262" s="129"/>
      <c r="E262" s="130"/>
      <c r="F262" s="131"/>
      <c r="G262" s="132"/>
      <c r="H262" s="132"/>
      <c r="I262" s="133"/>
      <c r="J262" s="134"/>
      <c r="K262" s="134"/>
      <c r="L262" s="111" t="s">
        <v>736</v>
      </c>
      <c r="M262" s="112" t="s">
        <v>741</v>
      </c>
      <c r="N262" s="95" t="s">
        <v>68</v>
      </c>
      <c r="O262" s="140">
        <v>8.9670000000000005</v>
      </c>
      <c r="P262" s="97">
        <f>VLOOKUP(L262,[1]TDSheet!A$12:D$300,4,FALSE)</f>
        <v>304.87799999999999</v>
      </c>
      <c r="Q262" s="136"/>
      <c r="R262" s="135"/>
      <c r="S262" s="135"/>
      <c r="T262" s="135"/>
      <c r="U262" s="135"/>
      <c r="V262" s="135"/>
      <c r="W262" s="135"/>
      <c r="X262" s="135"/>
      <c r="Y262" s="135"/>
      <c r="Z262" s="135"/>
      <c r="AA262" s="135"/>
      <c r="AB262" s="135"/>
      <c r="AC262" s="135"/>
      <c r="AD262" s="135"/>
      <c r="AE262" s="135"/>
      <c r="AF262" s="135"/>
      <c r="AG262" s="135"/>
      <c r="AH262" s="135"/>
    </row>
    <row r="263" spans="1:34" ht="15.75" x14ac:dyDescent="0.25">
      <c r="A263" s="128"/>
      <c r="B263" s="129"/>
      <c r="C263" s="129"/>
      <c r="D263" s="129"/>
      <c r="E263" s="130"/>
      <c r="F263" s="131"/>
      <c r="G263" s="132"/>
      <c r="H263" s="132"/>
      <c r="I263" s="133"/>
      <c r="J263" s="134"/>
      <c r="K263" s="134"/>
      <c r="L263" s="111" t="s">
        <v>737</v>
      </c>
      <c r="M263" s="112" t="s">
        <v>742</v>
      </c>
      <c r="N263" s="95" t="s">
        <v>269</v>
      </c>
      <c r="O263" s="140">
        <v>5</v>
      </c>
      <c r="P263" s="97" t="e">
        <f>VLOOKUP(L263,[1]TDSheet!A$12:D$300,4,FALSE)</f>
        <v>#N/A</v>
      </c>
      <c r="Q263" s="137"/>
      <c r="R263" s="135"/>
      <c r="S263" s="135"/>
      <c r="T263" s="135"/>
      <c r="U263" s="135"/>
      <c r="V263" s="135"/>
      <c r="W263" s="135"/>
      <c r="X263" s="135"/>
      <c r="Y263" s="135"/>
      <c r="Z263" s="135"/>
      <c r="AA263" s="135"/>
      <c r="AB263" s="135"/>
      <c r="AC263" s="135"/>
      <c r="AD263" s="135"/>
      <c r="AE263" s="135"/>
      <c r="AF263" s="135"/>
      <c r="AG263" s="135"/>
      <c r="AH263" s="135"/>
    </row>
    <row r="264" spans="1:34" ht="15.75" x14ac:dyDescent="0.25">
      <c r="A264" s="128"/>
      <c r="B264" s="129"/>
      <c r="C264" s="129"/>
      <c r="D264" s="129"/>
      <c r="E264" s="130"/>
      <c r="F264" s="131"/>
      <c r="G264" s="132"/>
      <c r="H264" s="132"/>
      <c r="I264" s="133"/>
      <c r="J264" s="134"/>
      <c r="K264" s="134"/>
      <c r="L264" s="111" t="s">
        <v>738</v>
      </c>
      <c r="M264" s="112" t="s">
        <v>743</v>
      </c>
      <c r="N264" s="95" t="s">
        <v>269</v>
      </c>
      <c r="O264" s="140">
        <v>3</v>
      </c>
      <c r="P264" s="97" t="e">
        <f>VLOOKUP(L264,[1]TDSheet!A$12:D$300,4,FALSE)</f>
        <v>#N/A</v>
      </c>
      <c r="Q264" s="137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5"/>
      <c r="AH264" s="135"/>
    </row>
    <row r="265" spans="1:34" ht="15.75" x14ac:dyDescent="0.25">
      <c r="A265" s="128"/>
      <c r="B265" s="129"/>
      <c r="C265" s="129"/>
      <c r="D265" s="129"/>
      <c r="E265" s="130"/>
      <c r="F265" s="131"/>
      <c r="G265" s="132"/>
      <c r="H265" s="132"/>
      <c r="I265" s="133"/>
      <c r="J265" s="134"/>
      <c r="K265" s="134"/>
      <c r="L265" s="111" t="s">
        <v>739</v>
      </c>
      <c r="M265" s="112" t="s">
        <v>744</v>
      </c>
      <c r="N265" s="95" t="s">
        <v>34</v>
      </c>
      <c r="O265" s="140">
        <v>2</v>
      </c>
      <c r="P265" s="97">
        <f>VLOOKUP(L265,[1]TDSheet!A$12:D$300,4,FALSE)</f>
        <v>2</v>
      </c>
      <c r="Q265" s="137"/>
      <c r="R265" s="135"/>
      <c r="S265" s="135"/>
      <c r="T265" s="135"/>
      <c r="U265" s="135"/>
      <c r="V265" s="135"/>
      <c r="W265" s="135"/>
      <c r="X265" s="135"/>
      <c r="Y265" s="135"/>
      <c r="Z265" s="135"/>
      <c r="AA265" s="135"/>
      <c r="AB265" s="135"/>
      <c r="AC265" s="135"/>
      <c r="AD265" s="135"/>
      <c r="AE265" s="135"/>
      <c r="AF265" s="135"/>
      <c r="AG265" s="135"/>
      <c r="AH265" s="135"/>
    </row>
    <row r="266" spans="1:34" ht="16.5" thickBot="1" x14ac:dyDescent="0.3">
      <c r="A266" s="128"/>
      <c r="B266" s="129"/>
      <c r="C266" s="129"/>
      <c r="D266" s="129"/>
      <c r="E266" s="130"/>
      <c r="F266" s="131"/>
      <c r="G266" s="132"/>
      <c r="H266" s="132"/>
      <c r="I266" s="133"/>
      <c r="J266" s="134"/>
      <c r="K266" s="134"/>
      <c r="L266" s="111" t="s">
        <v>740</v>
      </c>
      <c r="M266" s="112" t="s">
        <v>745</v>
      </c>
      <c r="N266" s="95" t="s">
        <v>66</v>
      </c>
      <c r="O266" s="140">
        <v>2</v>
      </c>
      <c r="P266" s="97" t="e">
        <f>VLOOKUP(L266,[1]TDSheet!A$12:D$300,4,FALSE)</f>
        <v>#N/A</v>
      </c>
      <c r="Q266" s="137"/>
      <c r="R266" s="135"/>
      <c r="S266" s="135"/>
      <c r="T266" s="135"/>
      <c r="U266" s="135"/>
      <c r="V266" s="135"/>
      <c r="W266" s="135"/>
      <c r="X266" s="135"/>
      <c r="Y266" s="135"/>
      <c r="Z266" s="135"/>
      <c r="AA266" s="135"/>
      <c r="AB266" s="135"/>
      <c r="AC266" s="135"/>
      <c r="AD266" s="135"/>
      <c r="AE266" s="135"/>
      <c r="AF266" s="135"/>
      <c r="AG266" s="135"/>
      <c r="AH266" s="135"/>
    </row>
    <row r="267" spans="1:34" ht="21.75" thickBot="1" x14ac:dyDescent="0.3">
      <c r="A267" s="33"/>
      <c r="B267" s="34" t="s">
        <v>23</v>
      </c>
      <c r="C267" s="35"/>
      <c r="D267" s="36"/>
      <c r="E267" s="36"/>
      <c r="F267" s="36"/>
      <c r="G267" s="36"/>
      <c r="H267" s="36">
        <f>SUM(H20:H233)</f>
        <v>0</v>
      </c>
      <c r="I267" s="76"/>
      <c r="J267" s="76"/>
      <c r="K267" s="76"/>
      <c r="L267" s="37"/>
      <c r="M267" s="38"/>
      <c r="N267" s="38"/>
      <c r="O267" s="39"/>
      <c r="P267" s="97" t="e">
        <f>VLOOKUP(L267,[1]TDSheet!A$12:D$300,4,FALSE)</f>
        <v>#N/A</v>
      </c>
      <c r="Q267" s="39">
        <f>SUM(Q19:Q261)</f>
        <v>0</v>
      </c>
      <c r="R267" s="40"/>
    </row>
    <row r="268" spans="1:34" ht="20.25" x14ac:dyDescent="0.25">
      <c r="A268" s="29"/>
      <c r="B268" s="32"/>
      <c r="C268" s="30"/>
      <c r="D268" s="31"/>
      <c r="E268" s="31"/>
      <c r="F268" s="82"/>
      <c r="G268" s="83"/>
      <c r="H268" s="84"/>
      <c r="I268" s="77"/>
      <c r="J268" s="77"/>
      <c r="K268" s="77"/>
      <c r="L268" s="71" t="s">
        <v>531</v>
      </c>
      <c r="M268" s="69" t="s">
        <v>111</v>
      </c>
      <c r="N268" s="69" t="s">
        <v>34</v>
      </c>
      <c r="O268" s="51">
        <v>14</v>
      </c>
      <c r="P268" s="97" t="e">
        <f>VLOOKUP(L268,[1]TDSheet!A$12:D$300,4,FALSE)</f>
        <v>#N/A</v>
      </c>
      <c r="Q268" s="51"/>
      <c r="R268" s="24"/>
      <c r="T268" s="232"/>
      <c r="U268" s="232"/>
    </row>
    <row r="269" spans="1:34" ht="18.75" x14ac:dyDescent="0.25">
      <c r="A269" s="20"/>
      <c r="B269" s="25"/>
      <c r="C269" s="11"/>
      <c r="D269" s="49"/>
      <c r="E269" s="49"/>
      <c r="F269" s="80"/>
      <c r="G269" s="81"/>
      <c r="H269" s="81"/>
      <c r="I269" s="54"/>
      <c r="J269" s="54"/>
      <c r="K269" s="54"/>
      <c r="L269" s="72" t="s">
        <v>532</v>
      </c>
      <c r="M269" s="73" t="s">
        <v>533</v>
      </c>
      <c r="N269" s="73" t="s">
        <v>34</v>
      </c>
      <c r="O269" s="50">
        <v>2</v>
      </c>
      <c r="P269" s="97" t="e">
        <f>VLOOKUP(L269,[1]TDSheet!A$12:D$300,4,FALSE)</f>
        <v>#N/A</v>
      </c>
      <c r="Q269" s="50"/>
      <c r="R269" s="24"/>
      <c r="T269" s="5"/>
      <c r="U269" s="5"/>
    </row>
    <row r="270" spans="1:34" ht="18.75" x14ac:dyDescent="0.25">
      <c r="A270" s="20"/>
      <c r="B270" s="25"/>
      <c r="C270" s="11"/>
      <c r="D270" s="49"/>
      <c r="E270" s="49"/>
      <c r="F270" s="80"/>
      <c r="G270" s="81"/>
      <c r="H270" s="81"/>
      <c r="I270" s="54"/>
      <c r="J270" s="54"/>
      <c r="K270" s="54"/>
      <c r="L270" s="72" t="s">
        <v>112</v>
      </c>
      <c r="M270" s="73" t="s">
        <v>113</v>
      </c>
      <c r="N270" s="73" t="s">
        <v>34</v>
      </c>
      <c r="O270" s="50">
        <v>26</v>
      </c>
      <c r="P270" s="97" t="e">
        <f>VLOOKUP(L270,[1]TDSheet!A$12:D$300,4,FALSE)</f>
        <v>#N/A</v>
      </c>
      <c r="Q270" s="50"/>
      <c r="R270" s="24"/>
      <c r="T270" s="5"/>
      <c r="U270" s="5"/>
    </row>
    <row r="271" spans="1:34" ht="18.75" x14ac:dyDescent="0.25">
      <c r="A271" s="20"/>
      <c r="B271" s="25"/>
      <c r="C271" s="11"/>
      <c r="D271" s="49"/>
      <c r="E271" s="49"/>
      <c r="F271" s="80"/>
      <c r="G271" s="81"/>
      <c r="H271" s="81"/>
      <c r="I271" s="54"/>
      <c r="J271" s="54"/>
      <c r="K271" s="54"/>
      <c r="L271" s="72" t="s">
        <v>534</v>
      </c>
      <c r="M271" s="73" t="s">
        <v>535</v>
      </c>
      <c r="N271" s="73" t="s">
        <v>34</v>
      </c>
      <c r="O271" s="50">
        <v>3</v>
      </c>
      <c r="P271" s="97" t="e">
        <f>VLOOKUP(L271,[1]TDSheet!A$12:D$300,4,FALSE)</f>
        <v>#N/A</v>
      </c>
      <c r="Q271" s="50"/>
      <c r="R271" s="24"/>
      <c r="T271" s="5"/>
      <c r="U271" s="5"/>
    </row>
    <row r="272" spans="1:34" ht="18.75" x14ac:dyDescent="0.25">
      <c r="A272" s="20"/>
      <c r="B272" s="25"/>
      <c r="C272" s="11"/>
      <c r="D272" s="49"/>
      <c r="E272" s="49"/>
      <c r="F272" s="80"/>
      <c r="G272" s="81"/>
      <c r="H272" s="81"/>
      <c r="I272" s="54"/>
      <c r="J272" s="54"/>
      <c r="K272" s="54"/>
      <c r="L272" s="72" t="s">
        <v>536</v>
      </c>
      <c r="M272" s="73" t="s">
        <v>249</v>
      </c>
      <c r="N272" s="73" t="s">
        <v>34</v>
      </c>
      <c r="O272" s="50">
        <v>5</v>
      </c>
      <c r="P272" s="97" t="e">
        <f>VLOOKUP(L272,[1]TDSheet!A$12:D$300,4,FALSE)</f>
        <v>#N/A</v>
      </c>
      <c r="Q272" s="50"/>
      <c r="R272" s="24"/>
      <c r="T272" s="5"/>
      <c r="U272" s="5"/>
    </row>
    <row r="273" spans="1:21" ht="18.75" x14ac:dyDescent="0.25">
      <c r="A273" s="20"/>
      <c r="B273" s="25"/>
      <c r="C273" s="11"/>
      <c r="D273" s="49"/>
      <c r="E273" s="49"/>
      <c r="F273" s="80"/>
      <c r="G273" s="81"/>
      <c r="H273" s="81"/>
      <c r="I273" s="54"/>
      <c r="J273" s="54"/>
      <c r="K273" s="54"/>
      <c r="L273" s="72" t="s">
        <v>114</v>
      </c>
      <c r="M273" s="73" t="s">
        <v>115</v>
      </c>
      <c r="N273" s="73" t="s">
        <v>34</v>
      </c>
      <c r="O273" s="50">
        <v>19</v>
      </c>
      <c r="P273" s="97" t="e">
        <f>VLOOKUP(L273,[1]TDSheet!A$12:D$300,4,FALSE)</f>
        <v>#N/A</v>
      </c>
      <c r="Q273" s="50"/>
      <c r="R273" s="24"/>
      <c r="T273" s="5"/>
      <c r="U273" s="5"/>
    </row>
    <row r="274" spans="1:21" ht="18.75" x14ac:dyDescent="0.25">
      <c r="A274" s="20"/>
      <c r="B274" s="25"/>
      <c r="C274" s="11"/>
      <c r="D274" s="49"/>
      <c r="E274" s="49"/>
      <c r="F274" s="80"/>
      <c r="G274" s="81"/>
      <c r="H274" s="81"/>
      <c r="I274" s="54"/>
      <c r="J274" s="54"/>
      <c r="K274" s="54"/>
      <c r="L274" s="72" t="s">
        <v>116</v>
      </c>
      <c r="M274" s="73" t="s">
        <v>537</v>
      </c>
      <c r="N274" s="73" t="s">
        <v>34</v>
      </c>
      <c r="O274" s="50">
        <v>8</v>
      </c>
      <c r="P274" s="97" t="e">
        <f>VLOOKUP(L274,[1]TDSheet!A$12:D$300,4,FALSE)</f>
        <v>#N/A</v>
      </c>
      <c r="Q274" s="50"/>
      <c r="R274" s="24"/>
      <c r="T274" s="5"/>
      <c r="U274" s="5"/>
    </row>
    <row r="275" spans="1:21" ht="18.75" x14ac:dyDescent="0.25">
      <c r="A275" s="20"/>
      <c r="B275" s="25"/>
      <c r="C275" s="11"/>
      <c r="D275" s="49"/>
      <c r="E275" s="49"/>
      <c r="F275" s="80"/>
      <c r="G275" s="81"/>
      <c r="H275" s="81"/>
      <c r="I275" s="54"/>
      <c r="J275" s="54"/>
      <c r="K275" s="54"/>
      <c r="L275" s="72" t="s">
        <v>538</v>
      </c>
      <c r="M275" s="73" t="s">
        <v>117</v>
      </c>
      <c r="N275" s="73" t="s">
        <v>34</v>
      </c>
      <c r="O275" s="50">
        <v>9</v>
      </c>
      <c r="P275" s="97" t="e">
        <f>VLOOKUP(L275,[1]TDSheet!A$12:D$300,4,FALSE)</f>
        <v>#N/A</v>
      </c>
      <c r="Q275" s="50"/>
      <c r="R275" s="24"/>
      <c r="T275" s="5"/>
      <c r="U275" s="5"/>
    </row>
    <row r="276" spans="1:21" ht="18.75" x14ac:dyDescent="0.25">
      <c r="A276" s="20"/>
      <c r="B276" s="25"/>
      <c r="C276" s="11"/>
      <c r="D276" s="49"/>
      <c r="E276" s="49"/>
      <c r="F276" s="80"/>
      <c r="G276" s="81"/>
      <c r="H276" s="81"/>
      <c r="I276" s="54"/>
      <c r="J276" s="54"/>
      <c r="K276" s="54"/>
      <c r="L276" s="72" t="s">
        <v>539</v>
      </c>
      <c r="M276" s="73" t="s">
        <v>540</v>
      </c>
      <c r="N276" s="73" t="s">
        <v>34</v>
      </c>
      <c r="O276" s="50">
        <v>1</v>
      </c>
      <c r="P276" s="97" t="e">
        <f>VLOOKUP(L276,[1]TDSheet!A$12:D$300,4,FALSE)</f>
        <v>#N/A</v>
      </c>
      <c r="Q276" s="50"/>
      <c r="R276" s="24"/>
      <c r="T276" s="5"/>
      <c r="U276" s="5"/>
    </row>
    <row r="277" spans="1:21" ht="18.75" x14ac:dyDescent="0.25">
      <c r="A277" s="20"/>
      <c r="B277" s="25"/>
      <c r="C277" s="11"/>
      <c r="D277" s="49"/>
      <c r="E277" s="49"/>
      <c r="F277" s="80"/>
      <c r="G277" s="81"/>
      <c r="H277" s="81"/>
      <c r="I277" s="54"/>
      <c r="J277" s="54"/>
      <c r="K277" s="54"/>
      <c r="L277" s="72" t="s">
        <v>541</v>
      </c>
      <c r="M277" s="73" t="s">
        <v>542</v>
      </c>
      <c r="N277" s="73" t="s">
        <v>34</v>
      </c>
      <c r="O277" s="50">
        <v>1</v>
      </c>
      <c r="P277" s="97" t="e">
        <f>VLOOKUP(L277,[1]TDSheet!A$12:D$300,4,FALSE)</f>
        <v>#N/A</v>
      </c>
      <c r="Q277" s="50"/>
      <c r="R277" s="24"/>
      <c r="T277" s="5"/>
      <c r="U277" s="5"/>
    </row>
    <row r="278" spans="1:21" ht="18.75" x14ac:dyDescent="0.25">
      <c r="A278" s="20"/>
      <c r="B278" s="25"/>
      <c r="C278" s="11"/>
      <c r="D278" s="49"/>
      <c r="E278" s="49"/>
      <c r="F278" s="80"/>
      <c r="G278" s="81"/>
      <c r="H278" s="81"/>
      <c r="I278" s="54"/>
      <c r="J278" s="54"/>
      <c r="K278" s="54"/>
      <c r="L278" s="72" t="s">
        <v>543</v>
      </c>
      <c r="M278" s="73" t="s">
        <v>250</v>
      </c>
      <c r="N278" s="73" t="s">
        <v>34</v>
      </c>
      <c r="O278" s="50">
        <v>29</v>
      </c>
      <c r="P278" s="97" t="e">
        <f>VLOOKUP(L278,[1]TDSheet!A$12:D$300,4,FALSE)</f>
        <v>#N/A</v>
      </c>
      <c r="Q278" s="50"/>
      <c r="R278" s="24"/>
      <c r="T278" s="5"/>
      <c r="U278" s="5"/>
    </row>
    <row r="279" spans="1:21" ht="18.75" x14ac:dyDescent="0.25">
      <c r="A279" s="20"/>
      <c r="B279" s="25"/>
      <c r="C279" s="11"/>
      <c r="D279" s="49"/>
      <c r="E279" s="49"/>
      <c r="F279" s="80"/>
      <c r="G279" s="81"/>
      <c r="H279" s="81"/>
      <c r="I279" s="54"/>
      <c r="J279" s="54"/>
      <c r="K279" s="54"/>
      <c r="L279" s="72" t="s">
        <v>544</v>
      </c>
      <c r="M279" s="73" t="s">
        <v>545</v>
      </c>
      <c r="N279" s="73" t="s">
        <v>34</v>
      </c>
      <c r="O279" s="50">
        <v>3</v>
      </c>
      <c r="P279" s="97" t="e">
        <f>VLOOKUP(L279,[1]TDSheet!A$12:D$300,4,FALSE)</f>
        <v>#N/A</v>
      </c>
      <c r="Q279" s="50"/>
      <c r="R279" s="24"/>
      <c r="T279" s="5"/>
      <c r="U279" s="5"/>
    </row>
    <row r="280" spans="1:21" ht="18.75" x14ac:dyDescent="0.25">
      <c r="A280" s="20"/>
      <c r="B280" s="25"/>
      <c r="C280" s="11"/>
      <c r="D280" s="49"/>
      <c r="E280" s="49"/>
      <c r="F280" s="80"/>
      <c r="G280" s="81"/>
      <c r="H280" s="81"/>
      <c r="I280" s="54"/>
      <c r="J280" s="54"/>
      <c r="K280" s="54"/>
      <c r="L280" s="72" t="s">
        <v>118</v>
      </c>
      <c r="M280" s="73" t="s">
        <v>119</v>
      </c>
      <c r="N280" s="73" t="s">
        <v>34</v>
      </c>
      <c r="O280" s="50">
        <v>14</v>
      </c>
      <c r="P280" s="97" t="e">
        <f>VLOOKUP(L280,[1]TDSheet!A$12:D$300,4,FALSE)</f>
        <v>#N/A</v>
      </c>
      <c r="Q280" s="50"/>
      <c r="R280" s="24"/>
      <c r="T280" s="5"/>
      <c r="U280" s="5"/>
    </row>
    <row r="281" spans="1:21" ht="18.75" x14ac:dyDescent="0.25">
      <c r="A281" s="20"/>
      <c r="B281" s="25"/>
      <c r="C281" s="11"/>
      <c r="D281" s="49"/>
      <c r="E281" s="49"/>
      <c r="F281" s="80"/>
      <c r="G281" s="81"/>
      <c r="H281" s="81"/>
      <c r="I281" s="54"/>
      <c r="J281" s="54"/>
      <c r="K281" s="54"/>
      <c r="L281" s="72" t="s">
        <v>251</v>
      </c>
      <c r="M281" s="73" t="s">
        <v>252</v>
      </c>
      <c r="N281" s="73" t="s">
        <v>34</v>
      </c>
      <c r="O281" s="50">
        <v>1</v>
      </c>
      <c r="P281" s="97" t="e">
        <f>VLOOKUP(L281,[1]TDSheet!A$12:D$300,4,FALSE)</f>
        <v>#N/A</v>
      </c>
      <c r="Q281" s="50"/>
      <c r="R281" s="24"/>
      <c r="T281" s="5"/>
      <c r="U281" s="5"/>
    </row>
    <row r="282" spans="1:21" ht="18.75" x14ac:dyDescent="0.25">
      <c r="A282" s="20"/>
      <c r="B282" s="25"/>
      <c r="C282" s="11"/>
      <c r="D282" s="49"/>
      <c r="E282" s="49"/>
      <c r="F282" s="80"/>
      <c r="G282" s="81"/>
      <c r="H282" s="81"/>
      <c r="I282" s="54"/>
      <c r="J282" s="54"/>
      <c r="K282" s="54"/>
      <c r="L282" s="72" t="s">
        <v>546</v>
      </c>
      <c r="M282" s="73" t="s">
        <v>253</v>
      </c>
      <c r="N282" s="73" t="s">
        <v>34</v>
      </c>
      <c r="O282" s="50">
        <v>3</v>
      </c>
      <c r="P282" s="97" t="e">
        <f>VLOOKUP(L282,[1]TDSheet!A$12:D$300,4,FALSE)</f>
        <v>#N/A</v>
      </c>
      <c r="Q282" s="50"/>
      <c r="R282" s="24"/>
      <c r="T282" s="5"/>
      <c r="U282" s="5"/>
    </row>
    <row r="283" spans="1:21" ht="18.75" x14ac:dyDescent="0.25">
      <c r="A283" s="20"/>
      <c r="B283" s="25"/>
      <c r="C283" s="11"/>
      <c r="D283" s="49"/>
      <c r="E283" s="49"/>
      <c r="F283" s="80"/>
      <c r="G283" s="81"/>
      <c r="H283" s="81"/>
      <c r="I283" s="54"/>
      <c r="J283" s="54"/>
      <c r="K283" s="54"/>
      <c r="L283" s="72" t="s">
        <v>547</v>
      </c>
      <c r="M283" s="73" t="s">
        <v>120</v>
      </c>
      <c r="N283" s="73" t="s">
        <v>34</v>
      </c>
      <c r="O283" s="50">
        <v>20</v>
      </c>
      <c r="P283" s="97" t="e">
        <f>VLOOKUP(L283,[1]TDSheet!A$12:D$300,4,FALSE)</f>
        <v>#N/A</v>
      </c>
      <c r="Q283" s="50"/>
      <c r="R283" s="24"/>
      <c r="T283" s="5"/>
      <c r="U283" s="5"/>
    </row>
    <row r="284" spans="1:21" ht="18.75" x14ac:dyDescent="0.25">
      <c r="A284" s="20"/>
      <c r="B284" s="25"/>
      <c r="C284" s="11"/>
      <c r="D284" s="49"/>
      <c r="E284" s="49"/>
      <c r="F284" s="80"/>
      <c r="G284" s="81"/>
      <c r="H284" s="81"/>
      <c r="I284" s="54"/>
      <c r="J284" s="54"/>
      <c r="K284" s="54"/>
      <c r="L284" s="72" t="s">
        <v>548</v>
      </c>
      <c r="M284" s="73" t="s">
        <v>121</v>
      </c>
      <c r="N284" s="73" t="s">
        <v>64</v>
      </c>
      <c r="O284" s="50">
        <v>1</v>
      </c>
      <c r="P284" s="97" t="e">
        <f>VLOOKUP(L284,[1]TDSheet!A$12:D$300,4,FALSE)</f>
        <v>#N/A</v>
      </c>
      <c r="Q284" s="50"/>
      <c r="R284" s="24"/>
      <c r="T284" s="5"/>
      <c r="U284" s="5"/>
    </row>
    <row r="285" spans="1:21" ht="18.75" x14ac:dyDescent="0.25">
      <c r="A285" s="20"/>
      <c r="B285" s="25"/>
      <c r="C285" s="11"/>
      <c r="D285" s="49"/>
      <c r="E285" s="49"/>
      <c r="F285" s="80"/>
      <c r="G285" s="81"/>
      <c r="H285" s="81"/>
      <c r="I285" s="54"/>
      <c r="J285" s="54"/>
      <c r="K285" s="54"/>
      <c r="L285" s="72" t="s">
        <v>549</v>
      </c>
      <c r="M285" s="73" t="s">
        <v>122</v>
      </c>
      <c r="N285" s="73" t="s">
        <v>34</v>
      </c>
      <c r="O285" s="50">
        <v>4</v>
      </c>
      <c r="P285" s="97" t="e">
        <f>VLOOKUP(L285,[1]TDSheet!A$12:D$300,4,FALSE)</f>
        <v>#N/A</v>
      </c>
      <c r="Q285" s="50"/>
      <c r="R285" s="24"/>
      <c r="T285" s="5"/>
      <c r="U285" s="5"/>
    </row>
    <row r="286" spans="1:21" ht="18.75" x14ac:dyDescent="0.25">
      <c r="A286" s="20"/>
      <c r="B286" s="25"/>
      <c r="C286" s="11"/>
      <c r="D286" s="49"/>
      <c r="E286" s="49"/>
      <c r="F286" s="80"/>
      <c r="G286" s="81"/>
      <c r="H286" s="81"/>
      <c r="I286" s="54"/>
      <c r="J286" s="54"/>
      <c r="K286" s="54"/>
      <c r="L286" s="72" t="s">
        <v>550</v>
      </c>
      <c r="M286" s="73" t="s">
        <v>551</v>
      </c>
      <c r="N286" s="73" t="s">
        <v>34</v>
      </c>
      <c r="O286" s="50">
        <v>1</v>
      </c>
      <c r="P286" s="97" t="e">
        <f>VLOOKUP(L286,[1]TDSheet!A$12:D$300,4,FALSE)</f>
        <v>#N/A</v>
      </c>
      <c r="Q286" s="50"/>
      <c r="R286" s="24"/>
      <c r="T286" s="5"/>
      <c r="U286" s="5"/>
    </row>
    <row r="287" spans="1:21" ht="18.75" x14ac:dyDescent="0.25">
      <c r="A287" s="20"/>
      <c r="B287" s="25"/>
      <c r="C287" s="11"/>
      <c r="D287" s="49"/>
      <c r="E287" s="49"/>
      <c r="F287" s="80"/>
      <c r="G287" s="81"/>
      <c r="H287" s="81"/>
      <c r="I287" s="54"/>
      <c r="J287" s="54"/>
      <c r="K287" s="54"/>
      <c r="L287" s="72" t="s">
        <v>552</v>
      </c>
      <c r="M287" s="73" t="s">
        <v>553</v>
      </c>
      <c r="N287" s="73" t="s">
        <v>34</v>
      </c>
      <c r="O287" s="50">
        <v>10</v>
      </c>
      <c r="P287" s="97" t="e">
        <f>VLOOKUP(L287,[1]TDSheet!A$12:D$300,4,FALSE)</f>
        <v>#N/A</v>
      </c>
      <c r="Q287" s="50"/>
      <c r="R287" s="24"/>
      <c r="T287" s="5"/>
      <c r="U287" s="5"/>
    </row>
    <row r="288" spans="1:21" ht="18.75" x14ac:dyDescent="0.25">
      <c r="A288" s="20"/>
      <c r="B288" s="25"/>
      <c r="C288" s="11"/>
      <c r="D288" s="49"/>
      <c r="E288" s="49"/>
      <c r="F288" s="80"/>
      <c r="G288" s="81"/>
      <c r="H288" s="81"/>
      <c r="I288" s="54"/>
      <c r="J288" s="54"/>
      <c r="K288" s="54"/>
      <c r="L288" s="72" t="s">
        <v>554</v>
      </c>
      <c r="M288" s="73" t="s">
        <v>555</v>
      </c>
      <c r="N288" s="73" t="s">
        <v>34</v>
      </c>
      <c r="O288" s="50">
        <v>10</v>
      </c>
      <c r="P288" s="97" t="e">
        <f>VLOOKUP(L288,[1]TDSheet!A$12:D$300,4,FALSE)</f>
        <v>#N/A</v>
      </c>
      <c r="Q288" s="50"/>
      <c r="R288" s="24"/>
      <c r="T288" s="5"/>
      <c r="U288" s="5"/>
    </row>
    <row r="289" spans="1:21" ht="18.75" x14ac:dyDescent="0.25">
      <c r="A289" s="20"/>
      <c r="B289" s="25"/>
      <c r="C289" s="11"/>
      <c r="D289" s="49"/>
      <c r="E289" s="49"/>
      <c r="F289" s="80"/>
      <c r="G289" s="81"/>
      <c r="H289" s="81"/>
      <c r="I289" s="54"/>
      <c r="J289" s="54"/>
      <c r="K289" s="54"/>
      <c r="L289" s="72" t="s">
        <v>556</v>
      </c>
      <c r="M289" s="73" t="s">
        <v>557</v>
      </c>
      <c r="N289" s="73" t="s">
        <v>34</v>
      </c>
      <c r="O289" s="50">
        <v>4</v>
      </c>
      <c r="P289" s="97" t="e">
        <f>VLOOKUP(L289,[1]TDSheet!A$12:D$300,4,FALSE)</f>
        <v>#N/A</v>
      </c>
      <c r="Q289" s="50"/>
      <c r="R289" s="24"/>
      <c r="T289" s="5"/>
      <c r="U289" s="5"/>
    </row>
    <row r="290" spans="1:21" ht="18.75" x14ac:dyDescent="0.25">
      <c r="A290" s="20"/>
      <c r="B290" s="25"/>
      <c r="C290" s="11"/>
      <c r="D290" s="49"/>
      <c r="E290" s="49"/>
      <c r="F290" s="80"/>
      <c r="G290" s="81"/>
      <c r="H290" s="81"/>
      <c r="I290" s="54"/>
      <c r="J290" s="54"/>
      <c r="K290" s="54"/>
      <c r="L290" s="72" t="s">
        <v>123</v>
      </c>
      <c r="M290" s="73" t="s">
        <v>558</v>
      </c>
      <c r="N290" s="73" t="s">
        <v>34</v>
      </c>
      <c r="O290" s="50">
        <v>20</v>
      </c>
      <c r="P290" s="97" t="e">
        <f>VLOOKUP(L290,[1]TDSheet!A$12:D$300,4,FALSE)</f>
        <v>#N/A</v>
      </c>
      <c r="Q290" s="50"/>
      <c r="R290" s="24"/>
      <c r="T290" s="5"/>
      <c r="U290" s="5"/>
    </row>
    <row r="291" spans="1:21" ht="18.75" x14ac:dyDescent="0.25">
      <c r="A291" s="20"/>
      <c r="B291" s="25"/>
      <c r="C291" s="11"/>
      <c r="D291" s="49"/>
      <c r="E291" s="49"/>
      <c r="F291" s="80"/>
      <c r="G291" s="81"/>
      <c r="H291" s="81"/>
      <c r="I291" s="54"/>
      <c r="J291" s="54"/>
      <c r="K291" s="54"/>
      <c r="L291" s="72" t="s">
        <v>559</v>
      </c>
      <c r="M291" s="73" t="s">
        <v>560</v>
      </c>
      <c r="N291" s="73" t="s">
        <v>34</v>
      </c>
      <c r="O291" s="50">
        <v>11</v>
      </c>
      <c r="P291" s="97" t="e">
        <f>VLOOKUP(L291,[1]TDSheet!A$12:D$300,4,FALSE)</f>
        <v>#N/A</v>
      </c>
      <c r="Q291" s="50"/>
      <c r="R291" s="24"/>
      <c r="T291" s="5"/>
      <c r="U291" s="5"/>
    </row>
    <row r="292" spans="1:21" ht="18.75" x14ac:dyDescent="0.25">
      <c r="A292" s="20"/>
      <c r="B292" s="25"/>
      <c r="C292" s="11"/>
      <c r="D292" s="49"/>
      <c r="E292" s="49"/>
      <c r="F292" s="80"/>
      <c r="G292" s="81"/>
      <c r="H292" s="81"/>
      <c r="I292" s="54"/>
      <c r="J292" s="54"/>
      <c r="K292" s="54"/>
      <c r="L292" s="72" t="s">
        <v>254</v>
      </c>
      <c r="M292" s="73" t="s">
        <v>255</v>
      </c>
      <c r="N292" s="73" t="s">
        <v>34</v>
      </c>
      <c r="O292" s="50">
        <v>1</v>
      </c>
      <c r="P292" s="97" t="e">
        <f>VLOOKUP(L292,[1]TDSheet!A$12:D$300,4,FALSE)</f>
        <v>#N/A</v>
      </c>
      <c r="Q292" s="50"/>
      <c r="R292" s="24"/>
      <c r="T292" s="5"/>
      <c r="U292" s="5"/>
    </row>
    <row r="293" spans="1:21" ht="18.75" x14ac:dyDescent="0.25">
      <c r="A293" s="20"/>
      <c r="B293" s="25"/>
      <c r="C293" s="11"/>
      <c r="D293" s="49"/>
      <c r="E293" s="49"/>
      <c r="F293" s="80"/>
      <c r="G293" s="81"/>
      <c r="H293" s="81"/>
      <c r="I293" s="54"/>
      <c r="J293" s="54"/>
      <c r="K293" s="54"/>
      <c r="L293" s="72" t="s">
        <v>561</v>
      </c>
      <c r="M293" s="73" t="s">
        <v>562</v>
      </c>
      <c r="N293" s="73" t="s">
        <v>34</v>
      </c>
      <c r="O293" s="50">
        <v>1</v>
      </c>
      <c r="P293" s="97" t="e">
        <f>VLOOKUP(L293,[1]TDSheet!A$12:D$300,4,FALSE)</f>
        <v>#N/A</v>
      </c>
      <c r="Q293" s="50"/>
      <c r="R293" s="24"/>
      <c r="T293" s="5"/>
      <c r="U293" s="5"/>
    </row>
    <row r="294" spans="1:21" ht="30" x14ac:dyDescent="0.25">
      <c r="A294" s="20"/>
      <c r="B294" s="25"/>
      <c r="C294" s="11"/>
      <c r="D294" s="49"/>
      <c r="E294" s="49"/>
      <c r="F294" s="80"/>
      <c r="G294" s="81"/>
      <c r="H294" s="81"/>
      <c r="I294" s="54"/>
      <c r="J294" s="54"/>
      <c r="K294" s="54"/>
      <c r="L294" s="72" t="s">
        <v>563</v>
      </c>
      <c r="M294" s="73" t="s">
        <v>256</v>
      </c>
      <c r="N294" s="73" t="s">
        <v>34</v>
      </c>
      <c r="O294" s="50">
        <v>8</v>
      </c>
      <c r="P294" s="97" t="e">
        <f>VLOOKUP(L294,[1]TDSheet!A$12:D$300,4,FALSE)</f>
        <v>#N/A</v>
      </c>
      <c r="Q294" s="50"/>
      <c r="R294" s="24"/>
      <c r="T294" s="5"/>
      <c r="U294" s="5"/>
    </row>
    <row r="295" spans="1:21" ht="18.75" x14ac:dyDescent="0.25">
      <c r="A295" s="20"/>
      <c r="B295" s="25"/>
      <c r="C295" s="11"/>
      <c r="D295" s="49"/>
      <c r="E295" s="49"/>
      <c r="F295" s="80"/>
      <c r="G295" s="81"/>
      <c r="H295" s="81"/>
      <c r="I295" s="54"/>
      <c r="J295" s="54"/>
      <c r="K295" s="54"/>
      <c r="L295" s="72" t="s">
        <v>564</v>
      </c>
      <c r="M295" s="73" t="s">
        <v>565</v>
      </c>
      <c r="N295" s="73" t="s">
        <v>34</v>
      </c>
      <c r="O295" s="50">
        <v>10</v>
      </c>
      <c r="P295" s="97" t="e">
        <f>VLOOKUP(L295,[1]TDSheet!A$12:D$300,4,FALSE)</f>
        <v>#N/A</v>
      </c>
      <c r="Q295" s="50"/>
      <c r="R295" s="24"/>
      <c r="T295" s="5"/>
      <c r="U295" s="5"/>
    </row>
    <row r="296" spans="1:21" ht="18.75" x14ac:dyDescent="0.25">
      <c r="A296" s="20"/>
      <c r="B296" s="25"/>
      <c r="C296" s="11"/>
      <c r="D296" s="49"/>
      <c r="E296" s="49"/>
      <c r="F296" s="80"/>
      <c r="G296" s="81"/>
      <c r="H296" s="81"/>
      <c r="I296" s="54"/>
      <c r="J296" s="54"/>
      <c r="K296" s="54"/>
      <c r="L296" s="72" t="s">
        <v>566</v>
      </c>
      <c r="M296" s="73" t="s">
        <v>567</v>
      </c>
      <c r="N296" s="73" t="s">
        <v>34</v>
      </c>
      <c r="O296" s="50">
        <v>10</v>
      </c>
      <c r="P296" s="97" t="e">
        <f>VLOOKUP(L296,[1]TDSheet!A$12:D$300,4,FALSE)</f>
        <v>#N/A</v>
      </c>
      <c r="Q296" s="50"/>
      <c r="R296" s="24"/>
      <c r="T296" s="5"/>
      <c r="U296" s="5"/>
    </row>
    <row r="297" spans="1:21" ht="18.75" x14ac:dyDescent="0.25">
      <c r="A297" s="20"/>
      <c r="B297" s="25"/>
      <c r="C297" s="11"/>
      <c r="D297" s="49"/>
      <c r="E297" s="49"/>
      <c r="F297" s="80"/>
      <c r="G297" s="81"/>
      <c r="H297" s="81"/>
      <c r="I297" s="54"/>
      <c r="J297" s="54"/>
      <c r="K297" s="54"/>
      <c r="L297" s="72" t="s">
        <v>568</v>
      </c>
      <c r="M297" s="73" t="s">
        <v>569</v>
      </c>
      <c r="N297" s="73" t="s">
        <v>35</v>
      </c>
      <c r="O297" s="50">
        <v>17</v>
      </c>
      <c r="P297" s="97" t="e">
        <f>VLOOKUP(L297,[1]TDSheet!A$12:D$300,4,FALSE)</f>
        <v>#N/A</v>
      </c>
      <c r="Q297" s="50"/>
      <c r="R297" s="24"/>
      <c r="T297" s="5"/>
      <c r="U297" s="5"/>
    </row>
    <row r="298" spans="1:21" ht="18.75" x14ac:dyDescent="0.25">
      <c r="A298" s="20"/>
      <c r="B298" s="25"/>
      <c r="C298" s="11"/>
      <c r="D298" s="49"/>
      <c r="E298" s="49"/>
      <c r="F298" s="80"/>
      <c r="G298" s="81"/>
      <c r="H298" s="81"/>
      <c r="I298" s="54"/>
      <c r="J298" s="54"/>
      <c r="K298" s="54"/>
      <c r="L298" s="72" t="s">
        <v>570</v>
      </c>
      <c r="M298" s="73" t="s">
        <v>571</v>
      </c>
      <c r="N298" s="73" t="s">
        <v>34</v>
      </c>
      <c r="O298" s="50">
        <v>3</v>
      </c>
      <c r="P298" s="97" t="e">
        <f>VLOOKUP(L298,[1]TDSheet!A$12:D$300,4,FALSE)</f>
        <v>#N/A</v>
      </c>
      <c r="Q298" s="50"/>
      <c r="R298" s="24"/>
      <c r="T298" s="5"/>
      <c r="U298" s="5"/>
    </row>
    <row r="299" spans="1:21" ht="18.75" x14ac:dyDescent="0.25">
      <c r="A299" s="20"/>
      <c r="B299" s="25"/>
      <c r="C299" s="11"/>
      <c r="D299" s="49"/>
      <c r="E299" s="49"/>
      <c r="F299" s="80"/>
      <c r="G299" s="81"/>
      <c r="H299" s="81"/>
      <c r="I299" s="54"/>
      <c r="J299" s="54"/>
      <c r="K299" s="54"/>
      <c r="L299" s="72" t="s">
        <v>572</v>
      </c>
      <c r="M299" s="73" t="s">
        <v>573</v>
      </c>
      <c r="N299" s="73" t="s">
        <v>34</v>
      </c>
      <c r="O299" s="50">
        <v>1</v>
      </c>
      <c r="P299" s="97" t="e">
        <f>VLOOKUP(L299,[1]TDSheet!A$12:D$300,4,FALSE)</f>
        <v>#N/A</v>
      </c>
      <c r="Q299" s="50"/>
      <c r="R299" s="24"/>
      <c r="T299" s="5"/>
      <c r="U299" s="5"/>
    </row>
    <row r="300" spans="1:21" ht="18.75" x14ac:dyDescent="0.25">
      <c r="A300" s="20"/>
      <c r="B300" s="25"/>
      <c r="C300" s="11"/>
      <c r="D300" s="49"/>
      <c r="E300" s="49"/>
      <c r="F300" s="80"/>
      <c r="G300" s="81"/>
      <c r="H300" s="81"/>
      <c r="I300" s="54"/>
      <c r="J300" s="54"/>
      <c r="K300" s="54"/>
      <c r="L300" s="72" t="s">
        <v>574</v>
      </c>
      <c r="M300" s="73" t="s">
        <v>575</v>
      </c>
      <c r="N300" s="73" t="s">
        <v>34</v>
      </c>
      <c r="O300" s="50">
        <v>20</v>
      </c>
      <c r="P300" s="97" t="e">
        <f>VLOOKUP(L300,[1]TDSheet!A$12:D$300,4,FALSE)</f>
        <v>#N/A</v>
      </c>
      <c r="Q300" s="50"/>
      <c r="R300" s="24"/>
      <c r="T300" s="5"/>
      <c r="U300" s="5"/>
    </row>
    <row r="301" spans="1:21" ht="18.75" x14ac:dyDescent="0.25">
      <c r="A301" s="20"/>
      <c r="B301" s="25"/>
      <c r="C301" s="11"/>
      <c r="D301" s="49"/>
      <c r="E301" s="49"/>
      <c r="F301" s="80"/>
      <c r="G301" s="81"/>
      <c r="H301" s="81"/>
      <c r="I301" s="54"/>
      <c r="J301" s="54"/>
      <c r="K301" s="54"/>
      <c r="L301" s="72" t="s">
        <v>576</v>
      </c>
      <c r="M301" s="73" t="s">
        <v>577</v>
      </c>
      <c r="N301" s="73" t="s">
        <v>34</v>
      </c>
      <c r="O301" s="50">
        <v>1</v>
      </c>
      <c r="P301" s="97" t="e">
        <f>VLOOKUP(L301,[1]TDSheet!A$12:D$300,4,FALSE)</f>
        <v>#N/A</v>
      </c>
      <c r="Q301" s="50"/>
      <c r="R301" s="24"/>
      <c r="T301" s="5"/>
      <c r="U301" s="5"/>
    </row>
    <row r="302" spans="1:21" ht="18.75" x14ac:dyDescent="0.25">
      <c r="A302" s="20"/>
      <c r="B302" s="25"/>
      <c r="C302" s="11"/>
      <c r="D302" s="49"/>
      <c r="E302" s="49"/>
      <c r="F302" s="80"/>
      <c r="G302" s="81"/>
      <c r="H302" s="81"/>
      <c r="I302" s="54"/>
      <c r="J302" s="54"/>
      <c r="K302" s="54"/>
      <c r="L302" s="72" t="s">
        <v>578</v>
      </c>
      <c r="M302" s="73" t="s">
        <v>183</v>
      </c>
      <c r="N302" s="73" t="s">
        <v>34</v>
      </c>
      <c r="O302" s="50">
        <v>3</v>
      </c>
      <c r="P302" s="97" t="e">
        <f>VLOOKUP(L302,[1]TDSheet!A$12:D$300,4,FALSE)</f>
        <v>#N/A</v>
      </c>
      <c r="Q302" s="50"/>
      <c r="R302" s="24"/>
      <c r="T302" s="5"/>
      <c r="U302" s="5"/>
    </row>
    <row r="303" spans="1:21" ht="18.75" x14ac:dyDescent="0.25">
      <c r="A303" s="20"/>
      <c r="B303" s="25"/>
      <c r="C303" s="11"/>
      <c r="D303" s="49"/>
      <c r="E303" s="49"/>
      <c r="F303" s="80"/>
      <c r="G303" s="81"/>
      <c r="H303" s="81"/>
      <c r="I303" s="54"/>
      <c r="J303" s="54"/>
      <c r="K303" s="54"/>
      <c r="L303" s="72" t="s">
        <v>579</v>
      </c>
      <c r="M303" s="73" t="s">
        <v>124</v>
      </c>
      <c r="N303" s="73" t="s">
        <v>34</v>
      </c>
      <c r="O303" s="50">
        <v>4</v>
      </c>
      <c r="P303" s="97" t="e">
        <f>VLOOKUP(L303,[1]TDSheet!A$12:D$300,4,FALSE)</f>
        <v>#N/A</v>
      </c>
      <c r="Q303" s="50"/>
      <c r="R303" s="24"/>
      <c r="T303" s="5"/>
      <c r="U303" s="5"/>
    </row>
    <row r="304" spans="1:21" ht="18.75" x14ac:dyDescent="0.25">
      <c r="A304" s="20"/>
      <c r="B304" s="25"/>
      <c r="C304" s="11"/>
      <c r="D304" s="49"/>
      <c r="E304" s="49"/>
      <c r="F304" s="80"/>
      <c r="G304" s="81"/>
      <c r="H304" s="81"/>
      <c r="I304" s="54"/>
      <c r="J304" s="54"/>
      <c r="K304" s="54"/>
      <c r="L304" s="72" t="s">
        <v>580</v>
      </c>
      <c r="M304" s="73" t="s">
        <v>125</v>
      </c>
      <c r="N304" s="73" t="s">
        <v>34</v>
      </c>
      <c r="O304" s="50">
        <v>7</v>
      </c>
      <c r="P304" s="97" t="e">
        <f>VLOOKUP(L304,[1]TDSheet!A$12:D$300,4,FALSE)</f>
        <v>#N/A</v>
      </c>
      <c r="Q304" s="50"/>
      <c r="R304" s="24"/>
      <c r="T304" s="5"/>
      <c r="U304" s="5"/>
    </row>
    <row r="305" spans="1:21" ht="18.75" x14ac:dyDescent="0.25">
      <c r="A305" s="20"/>
      <c r="B305" s="25"/>
      <c r="C305" s="11"/>
      <c r="D305" s="49"/>
      <c r="E305" s="49"/>
      <c r="F305" s="80"/>
      <c r="G305" s="81"/>
      <c r="H305" s="81"/>
      <c r="I305" s="54"/>
      <c r="J305" s="54"/>
      <c r="K305" s="54"/>
      <c r="L305" s="72" t="s">
        <v>581</v>
      </c>
      <c r="M305" s="73" t="s">
        <v>582</v>
      </c>
      <c r="N305" s="73" t="s">
        <v>34</v>
      </c>
      <c r="O305" s="50">
        <v>1</v>
      </c>
      <c r="P305" s="97" t="e">
        <f>VLOOKUP(L305,[1]TDSheet!A$12:D$300,4,FALSE)</f>
        <v>#N/A</v>
      </c>
      <c r="Q305" s="50"/>
      <c r="R305" s="24"/>
      <c r="T305" s="5"/>
      <c r="U305" s="5"/>
    </row>
    <row r="306" spans="1:21" ht="18.75" x14ac:dyDescent="0.25">
      <c r="A306" s="20"/>
      <c r="B306" s="25"/>
      <c r="C306" s="11"/>
      <c r="D306" s="49"/>
      <c r="E306" s="49"/>
      <c r="F306" s="80"/>
      <c r="G306" s="81"/>
      <c r="H306" s="81"/>
      <c r="I306" s="54"/>
      <c r="J306" s="54"/>
      <c r="K306" s="54"/>
      <c r="L306" s="72" t="s">
        <v>583</v>
      </c>
      <c r="M306" s="73" t="s">
        <v>126</v>
      </c>
      <c r="N306" s="73" t="s">
        <v>34</v>
      </c>
      <c r="O306" s="50">
        <v>53</v>
      </c>
      <c r="P306" s="97" t="e">
        <f>VLOOKUP(L306,[1]TDSheet!A$12:D$300,4,FALSE)</f>
        <v>#N/A</v>
      </c>
      <c r="Q306" s="50"/>
      <c r="R306" s="24"/>
      <c r="T306" s="5"/>
      <c r="U306" s="5"/>
    </row>
    <row r="307" spans="1:21" ht="18.75" x14ac:dyDescent="0.25">
      <c r="A307" s="20"/>
      <c r="B307" s="25"/>
      <c r="C307" s="11"/>
      <c r="D307" s="49"/>
      <c r="E307" s="49"/>
      <c r="F307" s="80"/>
      <c r="G307" s="81"/>
      <c r="H307" s="81"/>
      <c r="I307" s="54"/>
      <c r="J307" s="54"/>
      <c r="K307" s="54"/>
      <c r="L307" s="72" t="s">
        <v>584</v>
      </c>
      <c r="M307" s="73" t="s">
        <v>585</v>
      </c>
      <c r="N307" s="73" t="s">
        <v>34</v>
      </c>
      <c r="O307" s="50">
        <v>1</v>
      </c>
      <c r="P307" s="97" t="e">
        <f>VLOOKUP(L307,[1]TDSheet!A$12:D$300,4,FALSE)</f>
        <v>#N/A</v>
      </c>
      <c r="Q307" s="50"/>
      <c r="R307" s="24"/>
      <c r="T307" s="5"/>
      <c r="U307" s="5"/>
    </row>
    <row r="308" spans="1:21" ht="18.75" x14ac:dyDescent="0.25">
      <c r="A308" s="20"/>
      <c r="B308" s="25"/>
      <c r="C308" s="11"/>
      <c r="D308" s="49"/>
      <c r="E308" s="49"/>
      <c r="F308" s="80"/>
      <c r="G308" s="81"/>
      <c r="H308" s="81"/>
      <c r="I308" s="54"/>
      <c r="J308" s="54"/>
      <c r="K308" s="54"/>
      <c r="L308" s="72" t="s">
        <v>586</v>
      </c>
      <c r="M308" s="73" t="s">
        <v>257</v>
      </c>
      <c r="N308" s="73" t="s">
        <v>34</v>
      </c>
      <c r="O308" s="50">
        <v>3</v>
      </c>
      <c r="P308" s="97" t="e">
        <f>VLOOKUP(L308,[1]TDSheet!A$12:D$300,4,FALSE)</f>
        <v>#N/A</v>
      </c>
      <c r="Q308" s="50"/>
      <c r="R308" s="24"/>
      <c r="T308" s="5"/>
      <c r="U308" s="5"/>
    </row>
    <row r="309" spans="1:21" ht="18.75" x14ac:dyDescent="0.25">
      <c r="A309" s="20"/>
      <c r="B309" s="25"/>
      <c r="C309" s="11"/>
      <c r="D309" s="49"/>
      <c r="E309" s="49"/>
      <c r="F309" s="80"/>
      <c r="G309" s="81"/>
      <c r="H309" s="81"/>
      <c r="I309" s="54"/>
      <c r="J309" s="54"/>
      <c r="K309" s="54"/>
      <c r="L309" s="72" t="s">
        <v>587</v>
      </c>
      <c r="M309" s="73" t="s">
        <v>588</v>
      </c>
      <c r="N309" s="73" t="s">
        <v>34</v>
      </c>
      <c r="O309" s="50">
        <v>1</v>
      </c>
      <c r="P309" s="97" t="e">
        <f>VLOOKUP(L309,[1]TDSheet!A$12:D$300,4,FALSE)</f>
        <v>#N/A</v>
      </c>
      <c r="Q309" s="50"/>
      <c r="R309" s="24"/>
      <c r="T309" s="5"/>
      <c r="U309" s="5"/>
    </row>
    <row r="310" spans="1:21" ht="18.75" x14ac:dyDescent="0.25">
      <c r="A310" s="20"/>
      <c r="B310" s="25"/>
      <c r="C310" s="11"/>
      <c r="D310" s="49"/>
      <c r="E310" s="49"/>
      <c r="F310" s="80"/>
      <c r="G310" s="81"/>
      <c r="H310" s="81"/>
      <c r="I310" s="54"/>
      <c r="J310" s="54"/>
      <c r="K310" s="54"/>
      <c r="L310" s="72" t="s">
        <v>589</v>
      </c>
      <c r="M310" s="73" t="s">
        <v>590</v>
      </c>
      <c r="N310" s="73" t="s">
        <v>34</v>
      </c>
      <c r="O310" s="50">
        <v>1</v>
      </c>
      <c r="P310" s="97" t="e">
        <f>VLOOKUP(L310,[1]TDSheet!A$12:D$300,4,FALSE)</f>
        <v>#N/A</v>
      </c>
      <c r="Q310" s="50"/>
      <c r="R310" s="24"/>
      <c r="T310" s="5"/>
      <c r="U310" s="5"/>
    </row>
    <row r="311" spans="1:21" ht="18.75" x14ac:dyDescent="0.25">
      <c r="A311" s="20"/>
      <c r="B311" s="25"/>
      <c r="C311" s="11"/>
      <c r="D311" s="49"/>
      <c r="E311" s="49"/>
      <c r="F311" s="80"/>
      <c r="G311" s="81"/>
      <c r="H311" s="81"/>
      <c r="I311" s="54"/>
      <c r="J311" s="54"/>
      <c r="K311" s="54"/>
      <c r="L311" s="72" t="s">
        <v>591</v>
      </c>
      <c r="M311" s="73" t="s">
        <v>592</v>
      </c>
      <c r="N311" s="73" t="s">
        <v>34</v>
      </c>
      <c r="O311" s="50">
        <v>1</v>
      </c>
      <c r="P311" s="97" t="e">
        <f>VLOOKUP(L311,[1]TDSheet!A$12:D$300,4,FALSE)</f>
        <v>#N/A</v>
      </c>
      <c r="Q311" s="50"/>
      <c r="R311" s="24"/>
      <c r="T311" s="5"/>
      <c r="U311" s="5"/>
    </row>
    <row r="312" spans="1:21" ht="18.75" x14ac:dyDescent="0.25">
      <c r="A312" s="20"/>
      <c r="B312" s="25"/>
      <c r="C312" s="11"/>
      <c r="D312" s="49"/>
      <c r="E312" s="49"/>
      <c r="F312" s="80"/>
      <c r="G312" s="81"/>
      <c r="H312" s="81"/>
      <c r="I312" s="54"/>
      <c r="J312" s="54"/>
      <c r="K312" s="54"/>
      <c r="L312" s="72" t="s">
        <v>593</v>
      </c>
      <c r="M312" s="73" t="s">
        <v>594</v>
      </c>
      <c r="N312" s="73" t="s">
        <v>34</v>
      </c>
      <c r="O312" s="50">
        <v>1</v>
      </c>
      <c r="P312" s="97" t="e">
        <f>VLOOKUP(L312,[1]TDSheet!A$12:D$300,4,FALSE)</f>
        <v>#N/A</v>
      </c>
      <c r="Q312" s="50"/>
      <c r="R312" s="24"/>
      <c r="T312" s="5"/>
      <c r="U312" s="5"/>
    </row>
    <row r="313" spans="1:21" ht="18.75" x14ac:dyDescent="0.25">
      <c r="A313" s="20"/>
      <c r="B313" s="25"/>
      <c r="C313" s="11"/>
      <c r="D313" s="49"/>
      <c r="E313" s="49"/>
      <c r="F313" s="80"/>
      <c r="G313" s="81"/>
      <c r="H313" s="81"/>
      <c r="I313" s="54"/>
      <c r="J313" s="54"/>
      <c r="K313" s="54"/>
      <c r="L313" s="72" t="s">
        <v>127</v>
      </c>
      <c r="M313" s="73" t="s">
        <v>128</v>
      </c>
      <c r="N313" s="73" t="s">
        <v>34</v>
      </c>
      <c r="O313" s="50">
        <v>2</v>
      </c>
      <c r="P313" s="97" t="e">
        <f>VLOOKUP(L313,[1]TDSheet!A$12:D$300,4,FALSE)</f>
        <v>#N/A</v>
      </c>
      <c r="Q313" s="50"/>
      <c r="R313" s="24"/>
      <c r="T313" s="5"/>
      <c r="U313" s="5"/>
    </row>
    <row r="314" spans="1:21" ht="18.75" x14ac:dyDescent="0.25">
      <c r="A314" s="20"/>
      <c r="B314" s="25"/>
      <c r="C314" s="11"/>
      <c r="D314" s="49"/>
      <c r="E314" s="49"/>
      <c r="F314" s="80"/>
      <c r="G314" s="81"/>
      <c r="H314" s="81"/>
      <c r="I314" s="54"/>
      <c r="J314" s="54"/>
      <c r="K314" s="54"/>
      <c r="L314" s="72" t="s">
        <v>595</v>
      </c>
      <c r="M314" s="73" t="s">
        <v>596</v>
      </c>
      <c r="N314" s="73" t="s">
        <v>34</v>
      </c>
      <c r="O314" s="50">
        <v>3</v>
      </c>
      <c r="P314" s="97" t="e">
        <f>VLOOKUP(L314,[1]TDSheet!A$12:D$300,4,FALSE)</f>
        <v>#N/A</v>
      </c>
      <c r="Q314" s="50"/>
      <c r="R314" s="24"/>
      <c r="T314" s="5"/>
      <c r="U314" s="5"/>
    </row>
    <row r="315" spans="1:21" ht="18.75" x14ac:dyDescent="0.25">
      <c r="A315" s="20"/>
      <c r="B315" s="25"/>
      <c r="C315" s="11"/>
      <c r="D315" s="49"/>
      <c r="E315" s="49"/>
      <c r="F315" s="80"/>
      <c r="G315" s="81"/>
      <c r="H315" s="81"/>
      <c r="I315" s="54"/>
      <c r="J315" s="54"/>
      <c r="K315" s="54"/>
      <c r="L315" s="72" t="s">
        <v>597</v>
      </c>
      <c r="M315" s="73" t="s">
        <v>598</v>
      </c>
      <c r="N315" s="73" t="s">
        <v>34</v>
      </c>
      <c r="O315" s="50">
        <v>6</v>
      </c>
      <c r="P315" s="97" t="e">
        <f>VLOOKUP(L315,[1]TDSheet!A$12:D$300,4,FALSE)</f>
        <v>#N/A</v>
      </c>
      <c r="Q315" s="50"/>
      <c r="R315" s="24"/>
      <c r="T315" s="5"/>
      <c r="U315" s="5"/>
    </row>
    <row r="316" spans="1:21" ht="18.75" x14ac:dyDescent="0.25">
      <c r="A316" s="20"/>
      <c r="B316" s="25"/>
      <c r="C316" s="11"/>
      <c r="D316" s="49"/>
      <c r="E316" s="49"/>
      <c r="F316" s="80"/>
      <c r="G316" s="81"/>
      <c r="H316" s="81"/>
      <c r="I316" s="54"/>
      <c r="J316" s="54"/>
      <c r="K316" s="54"/>
      <c r="L316" s="72" t="s">
        <v>599</v>
      </c>
      <c r="M316" s="73" t="s">
        <v>129</v>
      </c>
      <c r="N316" s="73" t="s">
        <v>34</v>
      </c>
      <c r="O316" s="50">
        <v>137</v>
      </c>
      <c r="P316" s="97" t="e">
        <f>VLOOKUP(L316,[1]TDSheet!A$12:D$300,4,FALSE)</f>
        <v>#N/A</v>
      </c>
      <c r="Q316" s="50"/>
      <c r="R316" s="24"/>
      <c r="T316" s="5"/>
      <c r="U316" s="5"/>
    </row>
    <row r="317" spans="1:21" ht="18.75" x14ac:dyDescent="0.25">
      <c r="A317" s="20"/>
      <c r="B317" s="25"/>
      <c r="C317" s="11"/>
      <c r="D317" s="49"/>
      <c r="E317" s="49"/>
      <c r="F317" s="80"/>
      <c r="G317" s="81"/>
      <c r="H317" s="81"/>
      <c r="I317" s="54"/>
      <c r="J317" s="54"/>
      <c r="K317" s="54"/>
      <c r="L317" s="72" t="s">
        <v>600</v>
      </c>
      <c r="M317" s="73" t="s">
        <v>258</v>
      </c>
      <c r="N317" s="73" t="s">
        <v>34</v>
      </c>
      <c r="O317" s="50">
        <v>33</v>
      </c>
      <c r="P317" s="97" t="e">
        <f>VLOOKUP(L317,[1]TDSheet!A$12:D$300,4,FALSE)</f>
        <v>#N/A</v>
      </c>
      <c r="Q317" s="50"/>
      <c r="R317" s="24"/>
      <c r="T317" s="5"/>
      <c r="U317" s="5"/>
    </row>
    <row r="318" spans="1:21" ht="18.75" x14ac:dyDescent="0.25">
      <c r="A318" s="20"/>
      <c r="B318" s="25"/>
      <c r="C318" s="11"/>
      <c r="D318" s="49"/>
      <c r="E318" s="49"/>
      <c r="F318" s="80"/>
      <c r="G318" s="81"/>
      <c r="H318" s="81"/>
      <c r="I318" s="54"/>
      <c r="J318" s="54"/>
      <c r="K318" s="54"/>
      <c r="L318" s="72" t="s">
        <v>601</v>
      </c>
      <c r="M318" s="73" t="s">
        <v>602</v>
      </c>
      <c r="N318" s="73" t="s">
        <v>34</v>
      </c>
      <c r="O318" s="50">
        <v>6</v>
      </c>
      <c r="P318" s="97" t="e">
        <f>VLOOKUP(L318,[1]TDSheet!A$12:D$300,4,FALSE)</f>
        <v>#N/A</v>
      </c>
      <c r="Q318" s="50"/>
      <c r="R318" s="24"/>
      <c r="T318" s="5"/>
      <c r="U318" s="5"/>
    </row>
    <row r="319" spans="1:21" ht="18.75" x14ac:dyDescent="0.25">
      <c r="A319" s="20"/>
      <c r="B319" s="25"/>
      <c r="C319" s="11"/>
      <c r="D319" s="49"/>
      <c r="E319" s="49"/>
      <c r="F319" s="80"/>
      <c r="G319" s="81"/>
      <c r="H319" s="81"/>
      <c r="I319" s="54"/>
      <c r="J319" s="54"/>
      <c r="K319" s="54"/>
      <c r="L319" s="72" t="s">
        <v>130</v>
      </c>
      <c r="M319" s="73" t="s">
        <v>603</v>
      </c>
      <c r="N319" s="73" t="s">
        <v>34</v>
      </c>
      <c r="O319" s="50">
        <v>10</v>
      </c>
      <c r="P319" s="97" t="e">
        <f>VLOOKUP(L319,[1]TDSheet!A$12:D$300,4,FALSE)</f>
        <v>#N/A</v>
      </c>
      <c r="Q319" s="50"/>
      <c r="R319" s="24"/>
      <c r="T319" s="5"/>
      <c r="U319" s="5"/>
    </row>
    <row r="320" spans="1:21" ht="18.75" x14ac:dyDescent="0.25">
      <c r="A320" s="20"/>
      <c r="B320" s="25"/>
      <c r="C320" s="11"/>
      <c r="D320" s="49"/>
      <c r="E320" s="49"/>
      <c r="F320" s="80"/>
      <c r="G320" s="81"/>
      <c r="H320" s="81"/>
      <c r="I320" s="54"/>
      <c r="J320" s="54"/>
      <c r="K320" s="54"/>
      <c r="L320" s="72" t="s">
        <v>131</v>
      </c>
      <c r="M320" s="73" t="s">
        <v>132</v>
      </c>
      <c r="N320" s="73" t="s">
        <v>34</v>
      </c>
      <c r="O320" s="50">
        <v>5</v>
      </c>
      <c r="P320" s="97" t="e">
        <f>VLOOKUP(L320,[1]TDSheet!A$12:D$300,4,FALSE)</f>
        <v>#N/A</v>
      </c>
      <c r="Q320" s="50"/>
      <c r="R320" s="24"/>
      <c r="T320" s="5"/>
      <c r="U320" s="5"/>
    </row>
    <row r="321" spans="1:21" ht="18.75" x14ac:dyDescent="0.25">
      <c r="A321" s="20"/>
      <c r="B321" s="25"/>
      <c r="C321" s="11"/>
      <c r="D321" s="49"/>
      <c r="E321" s="49"/>
      <c r="F321" s="80"/>
      <c r="G321" s="81"/>
      <c r="H321" s="81"/>
      <c r="I321" s="54"/>
      <c r="J321" s="54"/>
      <c r="K321" s="54"/>
      <c r="L321" s="72" t="s">
        <v>604</v>
      </c>
      <c r="M321" s="73" t="s">
        <v>605</v>
      </c>
      <c r="N321" s="73" t="s">
        <v>64</v>
      </c>
      <c r="O321" s="50">
        <v>2</v>
      </c>
      <c r="P321" s="97" t="e">
        <f>VLOOKUP(L321,[1]TDSheet!A$12:D$300,4,FALSE)</f>
        <v>#N/A</v>
      </c>
      <c r="Q321" s="50"/>
      <c r="R321" s="24"/>
      <c r="T321" s="5"/>
      <c r="U321" s="5"/>
    </row>
    <row r="322" spans="1:21" ht="18.75" x14ac:dyDescent="0.25">
      <c r="A322" s="20"/>
      <c r="B322" s="25"/>
      <c r="C322" s="11"/>
      <c r="D322" s="49"/>
      <c r="E322" s="49"/>
      <c r="F322" s="80"/>
      <c r="G322" s="81"/>
      <c r="H322" s="81"/>
      <c r="I322" s="54"/>
      <c r="J322" s="54"/>
      <c r="K322" s="54"/>
      <c r="L322" s="72" t="s">
        <v>606</v>
      </c>
      <c r="M322" s="73" t="s">
        <v>133</v>
      </c>
      <c r="N322" s="73" t="s">
        <v>64</v>
      </c>
      <c r="O322" s="50">
        <v>36</v>
      </c>
      <c r="P322" s="97" t="e">
        <f>VLOOKUP(L322,[1]TDSheet!A$12:D$300,4,FALSE)</f>
        <v>#N/A</v>
      </c>
      <c r="Q322" s="50"/>
      <c r="R322" s="24"/>
      <c r="T322" s="5"/>
      <c r="U322" s="5"/>
    </row>
    <row r="323" spans="1:21" ht="18.75" x14ac:dyDescent="0.25">
      <c r="A323" s="20"/>
      <c r="B323" s="25"/>
      <c r="C323" s="11"/>
      <c r="D323" s="49"/>
      <c r="E323" s="49"/>
      <c r="F323" s="80"/>
      <c r="G323" s="81"/>
      <c r="H323" s="81"/>
      <c r="I323" s="54"/>
      <c r="J323" s="54"/>
      <c r="K323" s="54"/>
      <c r="L323" s="72" t="s">
        <v>607</v>
      </c>
      <c r="M323" s="73" t="s">
        <v>608</v>
      </c>
      <c r="N323" s="73" t="s">
        <v>34</v>
      </c>
      <c r="O323" s="50">
        <v>10</v>
      </c>
      <c r="P323" s="97" t="e">
        <f>VLOOKUP(L323,[1]TDSheet!A$12:D$300,4,FALSE)</f>
        <v>#N/A</v>
      </c>
      <c r="Q323" s="50"/>
      <c r="R323" s="24"/>
      <c r="T323" s="5"/>
      <c r="U323" s="5"/>
    </row>
    <row r="324" spans="1:21" ht="18.75" x14ac:dyDescent="0.25">
      <c r="A324" s="20"/>
      <c r="B324" s="25"/>
      <c r="C324" s="11"/>
      <c r="D324" s="49"/>
      <c r="E324" s="49"/>
      <c r="F324" s="80"/>
      <c r="G324" s="81"/>
      <c r="H324" s="81"/>
      <c r="I324" s="54"/>
      <c r="J324" s="54"/>
      <c r="K324" s="54"/>
      <c r="L324" s="72" t="s">
        <v>609</v>
      </c>
      <c r="M324" s="73" t="s">
        <v>134</v>
      </c>
      <c r="N324" s="73" t="s">
        <v>34</v>
      </c>
      <c r="O324" s="50">
        <v>20</v>
      </c>
      <c r="P324" s="97" t="e">
        <f>VLOOKUP(L324,[1]TDSheet!A$12:D$300,4,FALSE)</f>
        <v>#N/A</v>
      </c>
      <c r="Q324" s="50"/>
      <c r="R324" s="24"/>
      <c r="T324" s="5"/>
      <c r="U324" s="5"/>
    </row>
    <row r="325" spans="1:21" ht="18.75" x14ac:dyDescent="0.25">
      <c r="A325" s="20"/>
      <c r="B325" s="25"/>
      <c r="C325" s="11"/>
      <c r="D325" s="49"/>
      <c r="E325" s="49"/>
      <c r="F325" s="80"/>
      <c r="G325" s="81"/>
      <c r="H325" s="81"/>
      <c r="I325" s="54"/>
      <c r="J325" s="54"/>
      <c r="K325" s="54"/>
      <c r="L325" s="72" t="s">
        <v>610</v>
      </c>
      <c r="M325" s="73" t="s">
        <v>611</v>
      </c>
      <c r="N325" s="73" t="s">
        <v>34</v>
      </c>
      <c r="O325" s="50">
        <v>35</v>
      </c>
      <c r="P325" s="97" t="e">
        <f>VLOOKUP(L325,[1]TDSheet!A$12:D$300,4,FALSE)</f>
        <v>#N/A</v>
      </c>
      <c r="Q325" s="50"/>
      <c r="R325" s="24"/>
      <c r="T325" s="5"/>
      <c r="U325" s="5"/>
    </row>
    <row r="326" spans="1:21" ht="18.75" x14ac:dyDescent="0.25">
      <c r="A326" s="20"/>
      <c r="B326" s="25"/>
      <c r="C326" s="11"/>
      <c r="D326" s="49"/>
      <c r="E326" s="49"/>
      <c r="F326" s="80"/>
      <c r="G326" s="81"/>
      <c r="H326" s="81"/>
      <c r="I326" s="54"/>
      <c r="J326" s="54"/>
      <c r="K326" s="54"/>
      <c r="L326" s="72" t="s">
        <v>612</v>
      </c>
      <c r="M326" s="73" t="s">
        <v>135</v>
      </c>
      <c r="N326" s="73" t="s">
        <v>34</v>
      </c>
      <c r="O326" s="50">
        <v>60</v>
      </c>
      <c r="P326" s="97" t="e">
        <f>VLOOKUP(L326,[1]TDSheet!A$12:D$300,4,FALSE)</f>
        <v>#N/A</v>
      </c>
      <c r="Q326" s="50"/>
      <c r="R326" s="24"/>
      <c r="T326" s="5"/>
      <c r="U326" s="5"/>
    </row>
    <row r="327" spans="1:21" ht="18.75" x14ac:dyDescent="0.25">
      <c r="A327" s="20"/>
      <c r="B327" s="25"/>
      <c r="C327" s="11"/>
      <c r="D327" s="49"/>
      <c r="E327" s="49"/>
      <c r="F327" s="80"/>
      <c r="G327" s="81"/>
      <c r="H327" s="81"/>
      <c r="I327" s="54"/>
      <c r="J327" s="54"/>
      <c r="K327" s="54"/>
      <c r="L327" s="72" t="s">
        <v>613</v>
      </c>
      <c r="M327" s="73" t="s">
        <v>614</v>
      </c>
      <c r="N327" s="73" t="s">
        <v>34</v>
      </c>
      <c r="O327" s="50">
        <v>2</v>
      </c>
      <c r="P327" s="97" t="e">
        <f>VLOOKUP(L327,[1]TDSheet!A$12:D$300,4,FALSE)</f>
        <v>#N/A</v>
      </c>
      <c r="Q327" s="50"/>
      <c r="R327" s="24"/>
      <c r="T327" s="5"/>
      <c r="U327" s="5"/>
    </row>
    <row r="328" spans="1:21" ht="18.75" x14ac:dyDescent="0.25">
      <c r="A328" s="20"/>
      <c r="B328" s="25"/>
      <c r="C328" s="11"/>
      <c r="D328" s="49"/>
      <c r="E328" s="49"/>
      <c r="F328" s="80"/>
      <c r="G328" s="81"/>
      <c r="H328" s="81"/>
      <c r="I328" s="54"/>
      <c r="J328" s="54"/>
      <c r="K328" s="54"/>
      <c r="L328" s="72" t="s">
        <v>615</v>
      </c>
      <c r="M328" s="73" t="s">
        <v>616</v>
      </c>
      <c r="N328" s="73" t="s">
        <v>34</v>
      </c>
      <c r="O328" s="50">
        <v>3</v>
      </c>
      <c r="P328" s="97" t="e">
        <f>VLOOKUP(L328,[1]TDSheet!A$12:D$300,4,FALSE)</f>
        <v>#N/A</v>
      </c>
      <c r="Q328" s="50"/>
      <c r="R328" s="24"/>
      <c r="T328" s="5"/>
      <c r="U328" s="5"/>
    </row>
    <row r="329" spans="1:21" ht="18.75" x14ac:dyDescent="0.25">
      <c r="A329" s="20"/>
      <c r="B329" s="25"/>
      <c r="C329" s="11"/>
      <c r="D329" s="49"/>
      <c r="E329" s="49"/>
      <c r="F329" s="80"/>
      <c r="G329" s="81"/>
      <c r="H329" s="81"/>
      <c r="I329" s="54"/>
      <c r="J329" s="54"/>
      <c r="K329" s="54"/>
      <c r="L329" s="72" t="s">
        <v>617</v>
      </c>
      <c r="M329" s="73" t="s">
        <v>618</v>
      </c>
      <c r="N329" s="73" t="s">
        <v>34</v>
      </c>
      <c r="O329" s="50">
        <v>1</v>
      </c>
      <c r="P329" s="97" t="e">
        <f>VLOOKUP(L329,[1]TDSheet!A$12:D$300,4,FALSE)</f>
        <v>#N/A</v>
      </c>
      <c r="Q329" s="50"/>
      <c r="R329" s="24"/>
      <c r="T329" s="5"/>
      <c r="U329" s="5"/>
    </row>
    <row r="330" spans="1:21" ht="18.75" x14ac:dyDescent="0.25">
      <c r="A330" s="20"/>
      <c r="B330" s="25"/>
      <c r="C330" s="11"/>
      <c r="D330" s="49"/>
      <c r="E330" s="49"/>
      <c r="F330" s="80"/>
      <c r="G330" s="81"/>
      <c r="H330" s="81"/>
      <c r="I330" s="54"/>
      <c r="J330" s="54"/>
      <c r="K330" s="54"/>
      <c r="L330" s="72" t="s">
        <v>619</v>
      </c>
      <c r="M330" s="73" t="s">
        <v>620</v>
      </c>
      <c r="N330" s="73" t="s">
        <v>34</v>
      </c>
      <c r="O330" s="50">
        <v>1</v>
      </c>
      <c r="P330" s="97" t="e">
        <f>VLOOKUP(L330,[1]TDSheet!A$12:D$300,4,FALSE)</f>
        <v>#N/A</v>
      </c>
      <c r="Q330" s="50"/>
      <c r="R330" s="24"/>
      <c r="T330" s="5"/>
      <c r="U330" s="5"/>
    </row>
    <row r="331" spans="1:21" ht="18.75" x14ac:dyDescent="0.25">
      <c r="A331" s="20"/>
      <c r="B331" s="25"/>
      <c r="C331" s="11"/>
      <c r="D331" s="49"/>
      <c r="E331" s="49"/>
      <c r="F331" s="80"/>
      <c r="G331" s="81"/>
      <c r="H331" s="81"/>
      <c r="I331" s="54"/>
      <c r="J331" s="54"/>
      <c r="K331" s="54"/>
      <c r="L331" s="72" t="s">
        <v>621</v>
      </c>
      <c r="M331" s="73" t="s">
        <v>622</v>
      </c>
      <c r="N331" s="73" t="s">
        <v>34</v>
      </c>
      <c r="O331" s="50">
        <v>1</v>
      </c>
      <c r="P331" s="97" t="e">
        <f>VLOOKUP(L331,[1]TDSheet!A$12:D$300,4,FALSE)</f>
        <v>#N/A</v>
      </c>
      <c r="Q331" s="50"/>
      <c r="R331" s="24"/>
      <c r="T331" s="5"/>
      <c r="U331" s="5"/>
    </row>
    <row r="332" spans="1:21" ht="18.75" x14ac:dyDescent="0.25">
      <c r="A332" s="20"/>
      <c r="B332" s="25"/>
      <c r="C332" s="11"/>
      <c r="D332" s="49"/>
      <c r="E332" s="49"/>
      <c r="F332" s="80"/>
      <c r="G332" s="81"/>
      <c r="H332" s="81"/>
      <c r="I332" s="54"/>
      <c r="J332" s="54"/>
      <c r="K332" s="54"/>
      <c r="L332" s="72" t="s">
        <v>623</v>
      </c>
      <c r="M332" s="73" t="s">
        <v>624</v>
      </c>
      <c r="N332" s="73" t="s">
        <v>34</v>
      </c>
      <c r="O332" s="50">
        <v>5</v>
      </c>
      <c r="P332" s="97" t="e">
        <f>VLOOKUP(L332,[1]TDSheet!A$12:D$300,4,FALSE)</f>
        <v>#N/A</v>
      </c>
      <c r="Q332" s="50"/>
      <c r="R332" s="24"/>
      <c r="T332" s="5"/>
      <c r="U332" s="5"/>
    </row>
    <row r="333" spans="1:21" ht="18.75" x14ac:dyDescent="0.25">
      <c r="A333" s="20"/>
      <c r="B333" s="25"/>
      <c r="C333" s="11"/>
      <c r="D333" s="49"/>
      <c r="E333" s="49"/>
      <c r="F333" s="80"/>
      <c r="G333" s="81"/>
      <c r="H333" s="81"/>
      <c r="I333" s="54"/>
      <c r="J333" s="54"/>
      <c r="K333" s="54"/>
      <c r="L333" s="72" t="s">
        <v>625</v>
      </c>
      <c r="M333" s="73" t="s">
        <v>136</v>
      </c>
      <c r="N333" s="73" t="s">
        <v>34</v>
      </c>
      <c r="O333" s="50">
        <v>35</v>
      </c>
      <c r="P333" s="97" t="e">
        <f>VLOOKUP(L333,[1]TDSheet!A$12:D$300,4,FALSE)</f>
        <v>#N/A</v>
      </c>
      <c r="Q333" s="50"/>
      <c r="R333" s="24"/>
      <c r="T333" s="5"/>
      <c r="U333" s="5"/>
    </row>
    <row r="334" spans="1:21" ht="18.75" x14ac:dyDescent="0.25">
      <c r="A334" s="20"/>
      <c r="B334" s="25"/>
      <c r="C334" s="11"/>
      <c r="D334" s="49"/>
      <c r="E334" s="49"/>
      <c r="F334" s="80"/>
      <c r="G334" s="81"/>
      <c r="H334" s="81"/>
      <c r="I334" s="54"/>
      <c r="J334" s="54"/>
      <c r="K334" s="54"/>
      <c r="L334" s="72" t="s">
        <v>626</v>
      </c>
      <c r="M334" s="73" t="s">
        <v>137</v>
      </c>
      <c r="N334" s="73" t="s">
        <v>34</v>
      </c>
      <c r="O334" s="50">
        <v>41</v>
      </c>
      <c r="P334" s="97" t="e">
        <f>VLOOKUP(L334,[1]TDSheet!A$12:D$300,4,FALSE)</f>
        <v>#N/A</v>
      </c>
      <c r="Q334" s="50"/>
      <c r="R334" s="24"/>
      <c r="T334" s="5"/>
      <c r="U334" s="5"/>
    </row>
    <row r="335" spans="1:21" ht="18.75" x14ac:dyDescent="0.25">
      <c r="A335" s="20"/>
      <c r="B335" s="25"/>
      <c r="C335" s="11"/>
      <c r="D335" s="49"/>
      <c r="E335" s="49"/>
      <c r="F335" s="80"/>
      <c r="G335" s="81"/>
      <c r="H335" s="81"/>
      <c r="I335" s="54"/>
      <c r="J335" s="54"/>
      <c r="K335" s="54"/>
      <c r="L335" s="72" t="s">
        <v>259</v>
      </c>
      <c r="M335" s="73" t="s">
        <v>260</v>
      </c>
      <c r="N335" s="73" t="s">
        <v>34</v>
      </c>
      <c r="O335" s="50">
        <v>8</v>
      </c>
      <c r="P335" s="97" t="e">
        <f>VLOOKUP(L335,[1]TDSheet!A$12:D$300,4,FALSE)</f>
        <v>#N/A</v>
      </c>
      <c r="Q335" s="50"/>
      <c r="R335" s="24"/>
      <c r="T335" s="5"/>
      <c r="U335" s="5"/>
    </row>
    <row r="336" spans="1:21" ht="18.75" x14ac:dyDescent="0.25">
      <c r="A336" s="20"/>
      <c r="B336" s="25"/>
      <c r="C336" s="11"/>
      <c r="D336" s="49"/>
      <c r="E336" s="49"/>
      <c r="F336" s="80"/>
      <c r="G336" s="81"/>
      <c r="H336" s="81"/>
      <c r="I336" s="54"/>
      <c r="J336" s="54"/>
      <c r="K336" s="54"/>
      <c r="L336" s="72" t="s">
        <v>627</v>
      </c>
      <c r="M336" s="73" t="s">
        <v>628</v>
      </c>
      <c r="N336" s="73" t="s">
        <v>34</v>
      </c>
      <c r="O336" s="50">
        <v>36</v>
      </c>
      <c r="P336" s="97" t="e">
        <f>VLOOKUP(L336,[1]TDSheet!A$12:D$300,4,FALSE)</f>
        <v>#N/A</v>
      </c>
      <c r="Q336" s="50"/>
      <c r="R336" s="24"/>
      <c r="T336" s="5"/>
      <c r="U336" s="5"/>
    </row>
    <row r="337" spans="1:21" ht="18.75" x14ac:dyDescent="0.25">
      <c r="A337" s="20"/>
      <c r="B337" s="25"/>
      <c r="C337" s="11"/>
      <c r="D337" s="49"/>
      <c r="E337" s="49"/>
      <c r="F337" s="80"/>
      <c r="G337" s="81"/>
      <c r="H337" s="81"/>
      <c r="I337" s="54"/>
      <c r="J337" s="54"/>
      <c r="K337" s="54"/>
      <c r="L337" s="72" t="s">
        <v>629</v>
      </c>
      <c r="M337" s="73" t="s">
        <v>138</v>
      </c>
      <c r="N337" s="73" t="s">
        <v>34</v>
      </c>
      <c r="O337" s="50">
        <v>3</v>
      </c>
      <c r="P337" s="97" t="e">
        <f>VLOOKUP(L337,[1]TDSheet!A$12:D$300,4,FALSE)</f>
        <v>#N/A</v>
      </c>
      <c r="Q337" s="50"/>
      <c r="R337" s="24"/>
      <c r="T337" s="5"/>
      <c r="U337" s="5"/>
    </row>
    <row r="338" spans="1:21" ht="18.75" x14ac:dyDescent="0.25">
      <c r="A338" s="20"/>
      <c r="B338" s="25"/>
      <c r="C338" s="11"/>
      <c r="D338" s="49"/>
      <c r="E338" s="49"/>
      <c r="F338" s="80"/>
      <c r="G338" s="81"/>
      <c r="H338" s="81"/>
      <c r="I338" s="54"/>
      <c r="J338" s="54"/>
      <c r="K338" s="54"/>
      <c r="L338" s="72" t="s">
        <v>630</v>
      </c>
      <c r="M338" s="73" t="s">
        <v>631</v>
      </c>
      <c r="N338" s="73" t="s">
        <v>34</v>
      </c>
      <c r="O338" s="50">
        <v>4</v>
      </c>
      <c r="P338" s="97" t="e">
        <f>VLOOKUP(L338,[1]TDSheet!A$12:D$300,4,FALSE)</f>
        <v>#N/A</v>
      </c>
      <c r="Q338" s="50"/>
      <c r="R338" s="24"/>
      <c r="T338" s="5"/>
      <c r="U338" s="5"/>
    </row>
    <row r="339" spans="1:21" ht="18.75" x14ac:dyDescent="0.25">
      <c r="A339" s="20"/>
      <c r="B339" s="25"/>
      <c r="C339" s="11"/>
      <c r="D339" s="49"/>
      <c r="E339" s="49"/>
      <c r="F339" s="80"/>
      <c r="G339" s="81"/>
      <c r="H339" s="81"/>
      <c r="I339" s="54"/>
      <c r="J339" s="54"/>
      <c r="K339" s="54"/>
      <c r="L339" s="72" t="s">
        <v>632</v>
      </c>
      <c r="M339" s="73" t="s">
        <v>633</v>
      </c>
      <c r="N339" s="73" t="s">
        <v>34</v>
      </c>
      <c r="O339" s="50">
        <v>2</v>
      </c>
      <c r="P339" s="97" t="e">
        <f>VLOOKUP(L339,[1]TDSheet!A$12:D$300,4,FALSE)</f>
        <v>#N/A</v>
      </c>
      <c r="Q339" s="50"/>
      <c r="R339" s="24"/>
      <c r="T339" s="5"/>
      <c r="U339" s="5"/>
    </row>
    <row r="340" spans="1:21" ht="18.75" x14ac:dyDescent="0.25">
      <c r="A340" s="20"/>
      <c r="B340" s="25"/>
      <c r="C340" s="11"/>
      <c r="D340" s="49"/>
      <c r="E340" s="49"/>
      <c r="F340" s="80"/>
      <c r="G340" s="81"/>
      <c r="H340" s="81"/>
      <c r="I340" s="54"/>
      <c r="J340" s="54"/>
      <c r="K340" s="54"/>
      <c r="L340" s="72" t="s">
        <v>634</v>
      </c>
      <c r="M340" s="73" t="s">
        <v>139</v>
      </c>
      <c r="N340" s="73" t="s">
        <v>34</v>
      </c>
      <c r="O340" s="50">
        <v>8</v>
      </c>
      <c r="P340" s="97" t="e">
        <f>VLOOKUP(L340,[1]TDSheet!A$12:D$300,4,FALSE)</f>
        <v>#N/A</v>
      </c>
      <c r="Q340" s="50"/>
      <c r="R340" s="24"/>
      <c r="T340" s="5"/>
      <c r="U340" s="5"/>
    </row>
    <row r="341" spans="1:21" ht="18.75" x14ac:dyDescent="0.25">
      <c r="A341" s="20"/>
      <c r="B341" s="25"/>
      <c r="C341" s="11"/>
      <c r="D341" s="49"/>
      <c r="E341" s="49"/>
      <c r="F341" s="80"/>
      <c r="G341" s="81"/>
      <c r="H341" s="81"/>
      <c r="I341" s="54"/>
      <c r="J341" s="54"/>
      <c r="K341" s="54"/>
      <c r="L341" s="72" t="s">
        <v>140</v>
      </c>
      <c r="M341" s="73" t="s">
        <v>141</v>
      </c>
      <c r="N341" s="73" t="s">
        <v>34</v>
      </c>
      <c r="O341" s="50">
        <v>5</v>
      </c>
      <c r="P341" s="97" t="e">
        <f>VLOOKUP(L341,[1]TDSheet!A$12:D$300,4,FALSE)</f>
        <v>#N/A</v>
      </c>
      <c r="Q341" s="50"/>
      <c r="R341" s="24"/>
      <c r="T341" s="5"/>
      <c r="U341" s="5"/>
    </row>
    <row r="342" spans="1:21" ht="18.75" x14ac:dyDescent="0.25">
      <c r="A342" s="20"/>
      <c r="B342" s="25"/>
      <c r="C342" s="11"/>
      <c r="D342" s="49"/>
      <c r="E342" s="49"/>
      <c r="F342" s="80"/>
      <c r="G342" s="81"/>
      <c r="H342" s="81"/>
      <c r="I342" s="54"/>
      <c r="J342" s="54"/>
      <c r="K342" s="54"/>
      <c r="L342" s="72" t="s">
        <v>635</v>
      </c>
      <c r="M342" s="73" t="s">
        <v>142</v>
      </c>
      <c r="N342" s="73" t="s">
        <v>34</v>
      </c>
      <c r="O342" s="50">
        <v>8</v>
      </c>
      <c r="P342" s="97" t="e">
        <f>VLOOKUP(L342,[1]TDSheet!A$12:D$300,4,FALSE)</f>
        <v>#N/A</v>
      </c>
      <c r="Q342" s="50"/>
      <c r="R342" s="24"/>
      <c r="T342" s="5"/>
      <c r="U342" s="5"/>
    </row>
    <row r="343" spans="1:21" ht="18.75" x14ac:dyDescent="0.25">
      <c r="A343" s="20"/>
      <c r="B343" s="25"/>
      <c r="C343" s="11"/>
      <c r="D343" s="49"/>
      <c r="E343" s="49"/>
      <c r="F343" s="80"/>
      <c r="G343" s="81"/>
      <c r="H343" s="81"/>
      <c r="I343" s="54"/>
      <c r="J343" s="54"/>
      <c r="K343" s="54"/>
      <c r="L343" s="72" t="s">
        <v>636</v>
      </c>
      <c r="M343" s="73" t="s">
        <v>637</v>
      </c>
      <c r="N343" s="73" t="s">
        <v>34</v>
      </c>
      <c r="O343" s="50">
        <v>2</v>
      </c>
      <c r="P343" s="97" t="e">
        <f>VLOOKUP(L343,[1]TDSheet!A$12:D$300,4,FALSE)</f>
        <v>#N/A</v>
      </c>
      <c r="Q343" s="50"/>
      <c r="R343" s="24"/>
      <c r="T343" s="5"/>
      <c r="U343" s="5"/>
    </row>
    <row r="344" spans="1:21" ht="18.75" x14ac:dyDescent="0.25">
      <c r="A344" s="20"/>
      <c r="B344" s="25"/>
      <c r="C344" s="11"/>
      <c r="D344" s="49"/>
      <c r="E344" s="49"/>
      <c r="F344" s="80"/>
      <c r="G344" s="81"/>
      <c r="H344" s="81"/>
      <c r="I344" s="54"/>
      <c r="J344" s="54"/>
      <c r="K344" s="54"/>
      <c r="L344" s="72" t="s">
        <v>638</v>
      </c>
      <c r="M344" s="73" t="s">
        <v>639</v>
      </c>
      <c r="N344" s="73" t="s">
        <v>64</v>
      </c>
      <c r="O344" s="50">
        <v>3</v>
      </c>
      <c r="P344" s="97" t="e">
        <f>VLOOKUP(L344,[1]TDSheet!A$12:D$300,4,FALSE)</f>
        <v>#N/A</v>
      </c>
      <c r="Q344" s="50"/>
      <c r="R344" s="24"/>
      <c r="T344" s="5"/>
      <c r="U344" s="5"/>
    </row>
    <row r="345" spans="1:21" ht="18.75" x14ac:dyDescent="0.25">
      <c r="A345" s="20"/>
      <c r="B345" s="25"/>
      <c r="C345" s="11"/>
      <c r="D345" s="49"/>
      <c r="E345" s="49"/>
      <c r="F345" s="80"/>
      <c r="G345" s="81"/>
      <c r="H345" s="81"/>
      <c r="I345" s="54"/>
      <c r="J345" s="54"/>
      <c r="K345" s="54"/>
      <c r="L345" s="72" t="s">
        <v>261</v>
      </c>
      <c r="M345" s="73" t="s">
        <v>262</v>
      </c>
      <c r="N345" s="73" t="s">
        <v>34</v>
      </c>
      <c r="O345" s="50">
        <v>1</v>
      </c>
      <c r="P345" s="97" t="e">
        <f>VLOOKUP(L345,[1]TDSheet!A$12:D$300,4,FALSE)</f>
        <v>#N/A</v>
      </c>
      <c r="Q345" s="50"/>
      <c r="R345" s="24"/>
      <c r="T345" s="5"/>
      <c r="U345" s="5"/>
    </row>
    <row r="346" spans="1:21" ht="18.75" x14ac:dyDescent="0.25">
      <c r="A346" s="20"/>
      <c r="B346" s="25"/>
      <c r="C346" s="11"/>
      <c r="D346" s="49"/>
      <c r="E346" s="49"/>
      <c r="F346" s="80"/>
      <c r="G346" s="81"/>
      <c r="H346" s="81"/>
      <c r="I346" s="54"/>
      <c r="J346" s="54"/>
      <c r="K346" s="54"/>
      <c r="L346" s="72" t="s">
        <v>640</v>
      </c>
      <c r="M346" s="73" t="s">
        <v>641</v>
      </c>
      <c r="N346" s="73" t="s">
        <v>34</v>
      </c>
      <c r="O346" s="50">
        <v>2</v>
      </c>
      <c r="P346" s="97" t="e">
        <f>VLOOKUP(L346,[1]TDSheet!A$12:D$300,4,FALSE)</f>
        <v>#N/A</v>
      </c>
      <c r="Q346" s="50"/>
      <c r="R346" s="24"/>
      <c r="T346" s="5"/>
      <c r="U346" s="5"/>
    </row>
    <row r="347" spans="1:21" ht="18.75" x14ac:dyDescent="0.25">
      <c r="A347" s="20"/>
      <c r="B347" s="25"/>
      <c r="C347" s="11"/>
      <c r="D347" s="49"/>
      <c r="E347" s="49"/>
      <c r="F347" s="80"/>
      <c r="G347" s="81"/>
      <c r="H347" s="81"/>
      <c r="I347" s="54"/>
      <c r="J347" s="54"/>
      <c r="K347" s="54"/>
      <c r="L347" s="72" t="s">
        <v>642</v>
      </c>
      <c r="M347" s="73" t="s">
        <v>643</v>
      </c>
      <c r="N347" s="73" t="s">
        <v>34</v>
      </c>
      <c r="O347" s="50">
        <v>1</v>
      </c>
      <c r="P347" s="97" t="e">
        <f>VLOOKUP(L347,[1]TDSheet!A$12:D$300,4,FALSE)</f>
        <v>#N/A</v>
      </c>
      <c r="Q347" s="50"/>
      <c r="R347" s="24"/>
      <c r="T347" s="5"/>
      <c r="U347" s="5"/>
    </row>
    <row r="348" spans="1:21" ht="18.75" x14ac:dyDescent="0.25">
      <c r="A348" s="20"/>
      <c r="B348" s="25"/>
      <c r="C348" s="11"/>
      <c r="D348" s="49"/>
      <c r="E348" s="49"/>
      <c r="F348" s="80"/>
      <c r="G348" s="81"/>
      <c r="H348" s="81"/>
      <c r="I348" s="54"/>
      <c r="J348" s="54"/>
      <c r="K348" s="54"/>
      <c r="L348" s="72" t="s">
        <v>143</v>
      </c>
      <c r="M348" s="73" t="s">
        <v>144</v>
      </c>
      <c r="N348" s="73" t="s">
        <v>34</v>
      </c>
      <c r="O348" s="50">
        <v>4</v>
      </c>
      <c r="P348" s="97" t="e">
        <f>VLOOKUP(L348,[1]TDSheet!A$12:D$300,4,FALSE)</f>
        <v>#N/A</v>
      </c>
      <c r="Q348" s="50"/>
      <c r="R348" s="24"/>
      <c r="T348" s="5"/>
      <c r="U348" s="5"/>
    </row>
    <row r="349" spans="1:21" ht="18.75" x14ac:dyDescent="0.25">
      <c r="A349" s="20"/>
      <c r="B349" s="25"/>
      <c r="C349" s="11"/>
      <c r="D349" s="49"/>
      <c r="E349" s="49"/>
      <c r="F349" s="80"/>
      <c r="G349" s="81"/>
      <c r="H349" s="81"/>
      <c r="I349" s="54"/>
      <c r="J349" s="54"/>
      <c r="K349" s="54"/>
      <c r="L349" s="72" t="s">
        <v>263</v>
      </c>
      <c r="M349" s="73" t="s">
        <v>264</v>
      </c>
      <c r="N349" s="73" t="s">
        <v>34</v>
      </c>
      <c r="O349" s="50">
        <v>7</v>
      </c>
      <c r="P349" s="97" t="e">
        <f>VLOOKUP(L349,[1]TDSheet!A$12:D$300,4,FALSE)</f>
        <v>#N/A</v>
      </c>
      <c r="Q349" s="50"/>
      <c r="R349" s="24"/>
      <c r="T349" s="5"/>
      <c r="U349" s="5"/>
    </row>
    <row r="350" spans="1:21" ht="18.75" x14ac:dyDescent="0.25">
      <c r="A350" s="20"/>
      <c r="B350" s="25"/>
      <c r="C350" s="11"/>
      <c r="D350" s="49"/>
      <c r="E350" s="49"/>
      <c r="F350" s="80"/>
      <c r="G350" s="81"/>
      <c r="H350" s="81"/>
      <c r="I350" s="54"/>
      <c r="J350" s="54"/>
      <c r="K350" s="54"/>
      <c r="L350" s="72" t="s">
        <v>644</v>
      </c>
      <c r="M350" s="73" t="s">
        <v>645</v>
      </c>
      <c r="N350" s="73" t="s">
        <v>34</v>
      </c>
      <c r="O350" s="50">
        <v>2</v>
      </c>
      <c r="P350" s="97" t="e">
        <f>VLOOKUP(L350,[1]TDSheet!A$12:D$300,4,FALSE)</f>
        <v>#N/A</v>
      </c>
      <c r="Q350" s="50"/>
      <c r="R350" s="24"/>
      <c r="T350" s="5"/>
      <c r="U350" s="5"/>
    </row>
    <row r="351" spans="1:21" ht="18.75" x14ac:dyDescent="0.25">
      <c r="A351" s="20"/>
      <c r="B351" s="25"/>
      <c r="C351" s="11"/>
      <c r="D351" s="49"/>
      <c r="E351" s="49"/>
      <c r="F351" s="80"/>
      <c r="G351" s="81"/>
      <c r="H351" s="81"/>
      <c r="I351" s="54"/>
      <c r="J351" s="54"/>
      <c r="K351" s="54"/>
      <c r="L351" s="72" t="s">
        <v>646</v>
      </c>
      <c r="M351" s="73" t="s">
        <v>647</v>
      </c>
      <c r="N351" s="73" t="s">
        <v>34</v>
      </c>
      <c r="O351" s="50">
        <v>4</v>
      </c>
      <c r="P351" s="97" t="e">
        <f>VLOOKUP(L351,[1]TDSheet!A$12:D$300,4,FALSE)</f>
        <v>#N/A</v>
      </c>
      <c r="Q351" s="50"/>
      <c r="R351" s="24"/>
      <c r="T351" s="5"/>
      <c r="U351" s="5"/>
    </row>
    <row r="352" spans="1:21" ht="18.75" x14ac:dyDescent="0.25">
      <c r="A352" s="20"/>
      <c r="B352" s="25"/>
      <c r="C352" s="11"/>
      <c r="D352" s="49"/>
      <c r="E352" s="49"/>
      <c r="F352" s="80"/>
      <c r="G352" s="81"/>
      <c r="H352" s="81"/>
      <c r="I352" s="54"/>
      <c r="J352" s="54"/>
      <c r="K352" s="54"/>
      <c r="L352" s="72" t="s">
        <v>648</v>
      </c>
      <c r="M352" s="73" t="s">
        <v>145</v>
      </c>
      <c r="N352" s="73" t="s">
        <v>37</v>
      </c>
      <c r="O352" s="50">
        <v>400</v>
      </c>
      <c r="P352" s="97" t="e">
        <f>VLOOKUP(L352,[1]TDSheet!A$12:D$300,4,FALSE)</f>
        <v>#N/A</v>
      </c>
      <c r="Q352" s="50"/>
      <c r="R352" s="24"/>
      <c r="T352" s="5"/>
      <c r="U352" s="5"/>
    </row>
    <row r="353" spans="1:21" ht="18.75" x14ac:dyDescent="0.25">
      <c r="A353" s="20"/>
      <c r="B353" s="25"/>
      <c r="C353" s="11"/>
      <c r="D353" s="49"/>
      <c r="E353" s="49"/>
      <c r="F353" s="80"/>
      <c r="G353" s="81"/>
      <c r="H353" s="81"/>
      <c r="I353" s="54"/>
      <c r="J353" s="54"/>
      <c r="K353" s="54"/>
      <c r="L353" s="72" t="s">
        <v>649</v>
      </c>
      <c r="M353" s="73" t="s">
        <v>650</v>
      </c>
      <c r="N353" s="73" t="s">
        <v>34</v>
      </c>
      <c r="O353" s="50">
        <v>10</v>
      </c>
      <c r="P353" s="97" t="e">
        <f>VLOOKUP(L353,[1]TDSheet!A$12:D$300,4,FALSE)</f>
        <v>#N/A</v>
      </c>
      <c r="Q353" s="50"/>
      <c r="R353" s="24"/>
      <c r="T353" s="5"/>
      <c r="U353" s="5"/>
    </row>
    <row r="354" spans="1:21" ht="18.75" x14ac:dyDescent="0.25">
      <c r="A354" s="20"/>
      <c r="B354" s="25"/>
      <c r="C354" s="11"/>
      <c r="D354" s="49"/>
      <c r="E354" s="49"/>
      <c r="F354" s="80"/>
      <c r="G354" s="81"/>
      <c r="H354" s="81"/>
      <c r="I354" s="54"/>
      <c r="J354" s="54"/>
      <c r="K354" s="54"/>
      <c r="L354" s="72" t="s">
        <v>651</v>
      </c>
      <c r="M354" s="73" t="s">
        <v>652</v>
      </c>
      <c r="N354" s="73" t="s">
        <v>34</v>
      </c>
      <c r="O354" s="50">
        <v>10</v>
      </c>
      <c r="P354" s="97" t="e">
        <f>VLOOKUP(L354,[1]TDSheet!A$12:D$300,4,FALSE)</f>
        <v>#N/A</v>
      </c>
      <c r="Q354" s="50"/>
      <c r="R354" s="24"/>
      <c r="T354" s="5"/>
      <c r="U354" s="5"/>
    </row>
    <row r="355" spans="1:21" ht="18.75" x14ac:dyDescent="0.25">
      <c r="A355" s="20"/>
      <c r="B355" s="25"/>
      <c r="C355" s="11"/>
      <c r="D355" s="49"/>
      <c r="E355" s="49"/>
      <c r="F355" s="80"/>
      <c r="G355" s="81"/>
      <c r="H355" s="81"/>
      <c r="I355" s="54"/>
      <c r="J355" s="54"/>
      <c r="K355" s="54"/>
      <c r="L355" s="72" t="s">
        <v>653</v>
      </c>
      <c r="M355" s="73" t="s">
        <v>146</v>
      </c>
      <c r="N355" s="73" t="s">
        <v>147</v>
      </c>
      <c r="O355" s="50">
        <v>17</v>
      </c>
      <c r="P355" s="97" t="e">
        <f>VLOOKUP(L355,[1]TDSheet!A$12:D$300,4,FALSE)</f>
        <v>#N/A</v>
      </c>
      <c r="Q355" s="50"/>
      <c r="R355" s="24"/>
      <c r="T355" s="5"/>
      <c r="U355" s="5"/>
    </row>
    <row r="356" spans="1:21" ht="18.75" x14ac:dyDescent="0.25">
      <c r="A356" s="20"/>
      <c r="B356" s="25"/>
      <c r="C356" s="11"/>
      <c r="D356" s="49"/>
      <c r="E356" s="49"/>
      <c r="F356" s="80"/>
      <c r="G356" s="81"/>
      <c r="H356" s="81"/>
      <c r="I356" s="54"/>
      <c r="J356" s="54"/>
      <c r="K356" s="54"/>
      <c r="L356" s="72" t="s">
        <v>654</v>
      </c>
      <c r="M356" s="73" t="s">
        <v>148</v>
      </c>
      <c r="N356" s="73" t="s">
        <v>147</v>
      </c>
      <c r="O356" s="50">
        <v>99</v>
      </c>
      <c r="P356" s="97" t="e">
        <f>VLOOKUP(L356,[1]TDSheet!A$12:D$300,4,FALSE)</f>
        <v>#N/A</v>
      </c>
      <c r="Q356" s="50"/>
      <c r="R356" s="24"/>
      <c r="T356" s="5"/>
      <c r="U356" s="5"/>
    </row>
    <row r="357" spans="1:21" ht="18.75" x14ac:dyDescent="0.25">
      <c r="A357" s="20"/>
      <c r="B357" s="25"/>
      <c r="C357" s="11"/>
      <c r="D357" s="49"/>
      <c r="E357" s="49"/>
      <c r="F357" s="80"/>
      <c r="G357" s="81"/>
      <c r="H357" s="81"/>
      <c r="I357" s="54"/>
      <c r="J357" s="54"/>
      <c r="K357" s="54"/>
      <c r="L357" s="72" t="s">
        <v>655</v>
      </c>
      <c r="M357" s="73" t="s">
        <v>149</v>
      </c>
      <c r="N357" s="73" t="s">
        <v>34</v>
      </c>
      <c r="O357" s="50">
        <v>29</v>
      </c>
      <c r="P357" s="97" t="e">
        <f>VLOOKUP(L357,[1]TDSheet!A$12:D$300,4,FALSE)</f>
        <v>#N/A</v>
      </c>
      <c r="Q357" s="50"/>
      <c r="R357" s="24"/>
      <c r="T357" s="5"/>
      <c r="U357" s="5"/>
    </row>
    <row r="358" spans="1:21" ht="18.75" x14ac:dyDescent="0.25">
      <c r="A358" s="20"/>
      <c r="B358" s="25"/>
      <c r="C358" s="11"/>
      <c r="D358" s="49"/>
      <c r="E358" s="49"/>
      <c r="F358" s="80"/>
      <c r="G358" s="81"/>
      <c r="H358" s="81"/>
      <c r="I358" s="54"/>
      <c r="J358" s="54"/>
      <c r="K358" s="54"/>
      <c r="L358" s="72" t="s">
        <v>656</v>
      </c>
      <c r="M358" s="73" t="s">
        <v>657</v>
      </c>
      <c r="N358" s="73" t="s">
        <v>34</v>
      </c>
      <c r="O358" s="50">
        <v>8</v>
      </c>
      <c r="P358" s="97" t="e">
        <f>VLOOKUP(L358,[1]TDSheet!A$12:D$300,4,FALSE)</f>
        <v>#N/A</v>
      </c>
      <c r="Q358" s="50"/>
      <c r="R358" s="24"/>
      <c r="T358" s="5"/>
      <c r="U358" s="5"/>
    </row>
    <row r="359" spans="1:21" ht="18.75" x14ac:dyDescent="0.25">
      <c r="A359" s="20"/>
      <c r="B359" s="25"/>
      <c r="C359" s="11"/>
      <c r="D359" s="49"/>
      <c r="E359" s="49"/>
      <c r="F359" s="80"/>
      <c r="G359" s="81"/>
      <c r="H359" s="81"/>
      <c r="I359" s="54"/>
      <c r="J359" s="54"/>
      <c r="K359" s="54"/>
      <c r="L359" s="72" t="s">
        <v>658</v>
      </c>
      <c r="M359" s="73" t="s">
        <v>659</v>
      </c>
      <c r="N359" s="73" t="s">
        <v>34</v>
      </c>
      <c r="O359" s="50">
        <v>10</v>
      </c>
      <c r="P359" s="97" t="e">
        <f>VLOOKUP(L359,[1]TDSheet!A$12:D$300,4,FALSE)</f>
        <v>#N/A</v>
      </c>
      <c r="Q359" s="50"/>
      <c r="R359" s="24"/>
      <c r="T359" s="5"/>
      <c r="U359" s="5"/>
    </row>
    <row r="360" spans="1:21" ht="18.75" x14ac:dyDescent="0.25">
      <c r="A360" s="20"/>
      <c r="B360" s="25"/>
      <c r="C360" s="11"/>
      <c r="D360" s="49"/>
      <c r="E360" s="49"/>
      <c r="F360" s="80"/>
      <c r="G360" s="81"/>
      <c r="H360" s="81"/>
      <c r="I360" s="54"/>
      <c r="J360" s="54"/>
      <c r="K360" s="54"/>
      <c r="L360" s="72" t="s">
        <v>660</v>
      </c>
      <c r="M360" s="73" t="s">
        <v>661</v>
      </c>
      <c r="N360" s="73" t="s">
        <v>147</v>
      </c>
      <c r="O360" s="50">
        <v>2</v>
      </c>
      <c r="P360" s="97" t="e">
        <f>VLOOKUP(L360,[1]TDSheet!A$12:D$300,4,FALSE)</f>
        <v>#N/A</v>
      </c>
      <c r="Q360" s="50"/>
      <c r="R360" s="24"/>
      <c r="T360" s="5"/>
      <c r="U360" s="5"/>
    </row>
    <row r="361" spans="1:21" ht="18.75" x14ac:dyDescent="0.25">
      <c r="A361" s="20"/>
      <c r="B361" s="25"/>
      <c r="C361" s="11"/>
      <c r="D361" s="49"/>
      <c r="E361" s="49"/>
      <c r="F361" s="80"/>
      <c r="G361" s="81"/>
      <c r="H361" s="81"/>
      <c r="I361" s="54"/>
      <c r="J361" s="54"/>
      <c r="K361" s="54"/>
      <c r="L361" s="72" t="s">
        <v>150</v>
      </c>
      <c r="M361" s="73" t="s">
        <v>662</v>
      </c>
      <c r="N361" s="73" t="s">
        <v>34</v>
      </c>
      <c r="O361" s="50">
        <v>5</v>
      </c>
      <c r="P361" s="97" t="e">
        <f>VLOOKUP(L361,[1]TDSheet!A$12:D$300,4,FALSE)</f>
        <v>#N/A</v>
      </c>
      <c r="Q361" s="50"/>
      <c r="R361" s="24"/>
      <c r="T361" s="5"/>
      <c r="U361" s="5"/>
    </row>
    <row r="362" spans="1:21" ht="18.75" x14ac:dyDescent="0.25">
      <c r="A362" s="20"/>
      <c r="B362" s="25"/>
      <c r="C362" s="11"/>
      <c r="D362" s="49"/>
      <c r="E362" s="49"/>
      <c r="F362" s="80"/>
      <c r="G362" s="81"/>
      <c r="H362" s="81"/>
      <c r="I362" s="54"/>
      <c r="J362" s="54"/>
      <c r="K362" s="54"/>
      <c r="L362" s="72" t="s">
        <v>663</v>
      </c>
      <c r="M362" s="73" t="s">
        <v>151</v>
      </c>
      <c r="N362" s="73" t="s">
        <v>34</v>
      </c>
      <c r="O362" s="50">
        <v>9</v>
      </c>
      <c r="P362" s="97" t="e">
        <f>VLOOKUP(L362,[1]TDSheet!A$12:D$300,4,FALSE)</f>
        <v>#N/A</v>
      </c>
      <c r="Q362" s="50"/>
      <c r="R362" s="24"/>
      <c r="T362" s="5"/>
      <c r="U362" s="5"/>
    </row>
    <row r="363" spans="1:21" ht="18.75" x14ac:dyDescent="0.25">
      <c r="A363" s="20"/>
      <c r="B363" s="25"/>
      <c r="C363" s="11"/>
      <c r="D363" s="49"/>
      <c r="E363" s="49"/>
      <c r="F363" s="80"/>
      <c r="G363" s="81"/>
      <c r="H363" s="81"/>
      <c r="I363" s="54"/>
      <c r="J363" s="54"/>
      <c r="K363" s="54"/>
      <c r="L363" s="72" t="s">
        <v>664</v>
      </c>
      <c r="M363" s="73" t="s">
        <v>665</v>
      </c>
      <c r="N363" s="73" t="s">
        <v>34</v>
      </c>
      <c r="O363" s="50">
        <v>1</v>
      </c>
      <c r="P363" s="97" t="e">
        <f>VLOOKUP(L363,[1]TDSheet!A$12:D$300,4,FALSE)</f>
        <v>#N/A</v>
      </c>
      <c r="Q363" s="50"/>
      <c r="R363" s="24"/>
      <c r="T363" s="5"/>
      <c r="U363" s="5"/>
    </row>
    <row r="364" spans="1:21" ht="18.75" x14ac:dyDescent="0.25">
      <c r="A364" s="20"/>
      <c r="B364" s="25"/>
      <c r="C364" s="11"/>
      <c r="D364" s="49"/>
      <c r="E364" s="49"/>
      <c r="F364" s="80"/>
      <c r="G364" s="81"/>
      <c r="H364" s="81"/>
      <c r="I364" s="54"/>
      <c r="J364" s="54"/>
      <c r="K364" s="54"/>
      <c r="L364" s="72" t="s">
        <v>666</v>
      </c>
      <c r="M364" s="73" t="s">
        <v>667</v>
      </c>
      <c r="N364" s="73" t="s">
        <v>34</v>
      </c>
      <c r="O364" s="50">
        <v>1</v>
      </c>
      <c r="P364" s="97" t="e">
        <f>VLOOKUP(L364,[1]TDSheet!A$12:D$300,4,FALSE)</f>
        <v>#N/A</v>
      </c>
      <c r="Q364" s="50"/>
      <c r="R364" s="24"/>
      <c r="T364" s="5"/>
      <c r="U364" s="5"/>
    </row>
    <row r="365" spans="1:21" ht="18.75" x14ac:dyDescent="0.25">
      <c r="A365" s="20"/>
      <c r="B365" s="25"/>
      <c r="C365" s="11"/>
      <c r="D365" s="49"/>
      <c r="E365" s="49"/>
      <c r="F365" s="80"/>
      <c r="G365" s="81"/>
      <c r="H365" s="81"/>
      <c r="I365" s="54"/>
      <c r="J365" s="54"/>
      <c r="K365" s="54"/>
      <c r="L365" s="72" t="s">
        <v>668</v>
      </c>
      <c r="M365" s="73" t="s">
        <v>669</v>
      </c>
      <c r="N365" s="73" t="s">
        <v>34</v>
      </c>
      <c r="O365" s="50">
        <v>1</v>
      </c>
      <c r="P365" s="97" t="e">
        <f>VLOOKUP(L365,[1]TDSheet!A$12:D$300,4,FALSE)</f>
        <v>#N/A</v>
      </c>
      <c r="Q365" s="50"/>
      <c r="R365" s="24"/>
      <c r="T365" s="5"/>
      <c r="U365" s="5"/>
    </row>
    <row r="366" spans="1:21" ht="18.75" x14ac:dyDescent="0.25">
      <c r="A366" s="20"/>
      <c r="B366" s="25"/>
      <c r="C366" s="11"/>
      <c r="D366" s="49"/>
      <c r="E366" s="49"/>
      <c r="F366" s="80"/>
      <c r="G366" s="81"/>
      <c r="H366" s="81"/>
      <c r="I366" s="54"/>
      <c r="J366" s="54"/>
      <c r="K366" s="54"/>
      <c r="L366" s="72" t="s">
        <v>670</v>
      </c>
      <c r="M366" s="73" t="s">
        <v>671</v>
      </c>
      <c r="N366" s="73" t="s">
        <v>34</v>
      </c>
      <c r="O366" s="50">
        <v>10</v>
      </c>
      <c r="P366" s="97" t="e">
        <f>VLOOKUP(L366,[1]TDSheet!A$12:D$300,4,FALSE)</f>
        <v>#N/A</v>
      </c>
      <c r="Q366" s="50"/>
      <c r="R366" s="24"/>
      <c r="T366" s="5"/>
      <c r="U366" s="5"/>
    </row>
    <row r="367" spans="1:21" ht="18.75" x14ac:dyDescent="0.25">
      <c r="A367" s="20"/>
      <c r="B367" s="25"/>
      <c r="C367" s="11"/>
      <c r="D367" s="49"/>
      <c r="E367" s="49"/>
      <c r="F367" s="80"/>
      <c r="G367" s="81"/>
      <c r="H367" s="81"/>
      <c r="I367" s="54"/>
      <c r="J367" s="54"/>
      <c r="K367" s="54"/>
      <c r="L367" s="72" t="s">
        <v>672</v>
      </c>
      <c r="M367" s="73" t="s">
        <v>673</v>
      </c>
      <c r="N367" s="73" t="s">
        <v>34</v>
      </c>
      <c r="O367" s="50">
        <v>24</v>
      </c>
      <c r="P367" s="97" t="e">
        <f>VLOOKUP(L367,[1]TDSheet!A$12:D$300,4,FALSE)</f>
        <v>#N/A</v>
      </c>
      <c r="Q367" s="50"/>
      <c r="R367" s="24"/>
      <c r="T367" s="5"/>
      <c r="U367" s="5"/>
    </row>
    <row r="368" spans="1:21" ht="18.75" x14ac:dyDescent="0.25">
      <c r="A368" s="20"/>
      <c r="B368" s="25"/>
      <c r="C368" s="11"/>
      <c r="D368" s="49"/>
      <c r="E368" s="49"/>
      <c r="F368" s="80"/>
      <c r="G368" s="81"/>
      <c r="H368" s="81"/>
      <c r="I368" s="54"/>
      <c r="J368" s="54"/>
      <c r="K368" s="54"/>
      <c r="L368" s="72" t="s">
        <v>674</v>
      </c>
      <c r="M368" s="73" t="s">
        <v>675</v>
      </c>
      <c r="N368" s="73" t="s">
        <v>34</v>
      </c>
      <c r="O368" s="50">
        <v>10</v>
      </c>
      <c r="P368" s="97" t="e">
        <f>VLOOKUP(L368,[1]TDSheet!A$12:D$300,4,FALSE)</f>
        <v>#N/A</v>
      </c>
      <c r="Q368" s="50"/>
      <c r="R368" s="24"/>
      <c r="T368" s="5"/>
      <c r="U368" s="5"/>
    </row>
    <row r="369" spans="1:21" ht="18.75" x14ac:dyDescent="0.25">
      <c r="A369" s="20"/>
      <c r="B369" s="25"/>
      <c r="C369" s="11"/>
      <c r="D369" s="49"/>
      <c r="E369" s="49"/>
      <c r="F369" s="80"/>
      <c r="G369" s="81"/>
      <c r="H369" s="81"/>
      <c r="I369" s="54"/>
      <c r="J369" s="54"/>
      <c r="K369" s="54"/>
      <c r="L369" s="72" t="s">
        <v>676</v>
      </c>
      <c r="M369" s="73" t="s">
        <v>152</v>
      </c>
      <c r="N369" s="73" t="s">
        <v>34</v>
      </c>
      <c r="O369" s="50">
        <v>20</v>
      </c>
      <c r="P369" s="97" t="e">
        <f>VLOOKUP(L369,[1]TDSheet!A$12:D$300,4,FALSE)</f>
        <v>#N/A</v>
      </c>
      <c r="Q369" s="50"/>
      <c r="R369" s="24"/>
      <c r="T369" s="5"/>
      <c r="U369" s="5"/>
    </row>
    <row r="370" spans="1:21" ht="18.75" x14ac:dyDescent="0.25">
      <c r="A370" s="20"/>
      <c r="B370" s="25"/>
      <c r="C370" s="11"/>
      <c r="D370" s="49"/>
      <c r="E370" s="49"/>
      <c r="F370" s="80"/>
      <c r="G370" s="81"/>
      <c r="H370" s="81"/>
      <c r="I370" s="54"/>
      <c r="J370" s="54"/>
      <c r="K370" s="54"/>
      <c r="L370" s="72" t="s">
        <v>677</v>
      </c>
      <c r="M370" s="73" t="s">
        <v>678</v>
      </c>
      <c r="N370" s="73" t="s">
        <v>34</v>
      </c>
      <c r="O370" s="50">
        <v>19</v>
      </c>
      <c r="P370" s="97" t="e">
        <f>VLOOKUP(L370,[1]TDSheet!A$12:D$300,4,FALSE)</f>
        <v>#N/A</v>
      </c>
      <c r="Q370" s="50"/>
      <c r="R370" s="24"/>
      <c r="T370" s="5"/>
      <c r="U370" s="5"/>
    </row>
    <row r="371" spans="1:21" ht="18.75" x14ac:dyDescent="0.25">
      <c r="A371" s="20"/>
      <c r="B371" s="25"/>
      <c r="C371" s="11"/>
      <c r="D371" s="49"/>
      <c r="E371" s="49"/>
      <c r="F371" s="80"/>
      <c r="G371" s="81"/>
      <c r="H371" s="81"/>
      <c r="I371" s="54"/>
      <c r="J371" s="54"/>
      <c r="K371" s="54"/>
      <c r="L371" s="72" t="s">
        <v>679</v>
      </c>
      <c r="M371" s="73" t="s">
        <v>680</v>
      </c>
      <c r="N371" s="73" t="s">
        <v>34</v>
      </c>
      <c r="O371" s="50">
        <v>5</v>
      </c>
      <c r="P371" s="97" t="e">
        <f>VLOOKUP(L371,[1]TDSheet!A$12:D$300,4,FALSE)</f>
        <v>#N/A</v>
      </c>
      <c r="Q371" s="50"/>
      <c r="R371" s="24"/>
      <c r="T371" s="5"/>
      <c r="U371" s="5"/>
    </row>
    <row r="372" spans="1:21" ht="18.75" x14ac:dyDescent="0.25">
      <c r="A372" s="20"/>
      <c r="B372" s="25"/>
      <c r="C372" s="11"/>
      <c r="D372" s="49"/>
      <c r="E372" s="49"/>
      <c r="F372" s="80"/>
      <c r="G372" s="81"/>
      <c r="H372" s="81"/>
      <c r="I372" s="54"/>
      <c r="J372" s="54"/>
      <c r="K372" s="54"/>
      <c r="L372" s="72" t="s">
        <v>153</v>
      </c>
      <c r="M372" s="73" t="s">
        <v>681</v>
      </c>
      <c r="N372" s="73" t="s">
        <v>34</v>
      </c>
      <c r="O372" s="50">
        <v>28</v>
      </c>
      <c r="P372" s="97" t="e">
        <f>VLOOKUP(L372,[1]TDSheet!A$12:D$300,4,FALSE)</f>
        <v>#N/A</v>
      </c>
      <c r="Q372" s="50"/>
      <c r="R372" s="24"/>
      <c r="T372" s="5"/>
      <c r="U372" s="5"/>
    </row>
    <row r="373" spans="1:21" ht="18.75" x14ac:dyDescent="0.25">
      <c r="A373" s="20"/>
      <c r="B373" s="25"/>
      <c r="C373" s="11"/>
      <c r="D373" s="49"/>
      <c r="E373" s="49"/>
      <c r="F373" s="80"/>
      <c r="G373" s="81"/>
      <c r="H373" s="81"/>
      <c r="I373" s="54"/>
      <c r="J373" s="54"/>
      <c r="K373" s="54"/>
      <c r="L373" s="72" t="s">
        <v>682</v>
      </c>
      <c r="M373" s="73" t="s">
        <v>683</v>
      </c>
      <c r="N373" s="73" t="s">
        <v>34</v>
      </c>
      <c r="O373" s="50">
        <v>10</v>
      </c>
      <c r="P373" s="97" t="e">
        <f>VLOOKUP(L373,[1]TDSheet!A$12:D$300,4,FALSE)</f>
        <v>#N/A</v>
      </c>
      <c r="Q373" s="50"/>
      <c r="R373" s="24"/>
      <c r="T373" s="5"/>
      <c r="U373" s="5"/>
    </row>
    <row r="374" spans="1:21" ht="18.75" x14ac:dyDescent="0.25">
      <c r="A374" s="20"/>
      <c r="B374" s="25"/>
      <c r="C374" s="11"/>
      <c r="D374" s="49"/>
      <c r="E374" s="49"/>
      <c r="F374" s="80"/>
      <c r="G374" s="81"/>
      <c r="H374" s="81"/>
      <c r="I374" s="54"/>
      <c r="J374" s="54"/>
      <c r="K374" s="54"/>
      <c r="L374" s="72" t="s">
        <v>684</v>
      </c>
      <c r="M374" s="73" t="s">
        <v>685</v>
      </c>
      <c r="N374" s="73" t="s">
        <v>34</v>
      </c>
      <c r="O374" s="50">
        <v>9</v>
      </c>
      <c r="P374" s="97" t="e">
        <f>VLOOKUP(L374,[1]TDSheet!A$12:D$300,4,FALSE)</f>
        <v>#N/A</v>
      </c>
      <c r="Q374" s="50"/>
      <c r="R374" s="24"/>
      <c r="T374" s="5"/>
      <c r="U374" s="5"/>
    </row>
    <row r="375" spans="1:21" ht="18.75" x14ac:dyDescent="0.25">
      <c r="A375" s="20"/>
      <c r="B375" s="25"/>
      <c r="C375" s="11"/>
      <c r="D375" s="49"/>
      <c r="E375" s="49"/>
      <c r="F375" s="80"/>
      <c r="G375" s="81"/>
      <c r="H375" s="81"/>
      <c r="I375" s="54"/>
      <c r="J375" s="54"/>
      <c r="K375" s="54"/>
      <c r="L375" s="72" t="s">
        <v>686</v>
      </c>
      <c r="M375" s="73" t="s">
        <v>687</v>
      </c>
      <c r="N375" s="73" t="s">
        <v>34</v>
      </c>
      <c r="O375" s="50">
        <v>1</v>
      </c>
      <c r="P375" s="97" t="e">
        <f>VLOOKUP(L375,[1]TDSheet!A$12:D$300,4,FALSE)</f>
        <v>#N/A</v>
      </c>
      <c r="Q375" s="50"/>
      <c r="R375" s="24"/>
      <c r="T375" s="5"/>
      <c r="U375" s="5"/>
    </row>
    <row r="376" spans="1:21" ht="18.75" x14ac:dyDescent="0.25">
      <c r="A376" s="20"/>
      <c r="B376" s="25"/>
      <c r="C376" s="11"/>
      <c r="D376" s="49"/>
      <c r="E376" s="49"/>
      <c r="F376" s="80"/>
      <c r="G376" s="81"/>
      <c r="H376" s="81"/>
      <c r="I376" s="54"/>
      <c r="J376" s="54"/>
      <c r="K376" s="54"/>
      <c r="L376" s="72" t="s">
        <v>688</v>
      </c>
      <c r="M376" s="73" t="s">
        <v>689</v>
      </c>
      <c r="N376" s="73" t="s">
        <v>34</v>
      </c>
      <c r="O376" s="50">
        <v>2</v>
      </c>
      <c r="P376" s="97" t="e">
        <f>VLOOKUP(L376,[1]TDSheet!A$12:D$300,4,FALSE)</f>
        <v>#N/A</v>
      </c>
      <c r="Q376" s="50"/>
      <c r="R376" s="24"/>
      <c r="T376" s="5"/>
      <c r="U376" s="5"/>
    </row>
    <row r="377" spans="1:21" ht="18.75" x14ac:dyDescent="0.25">
      <c r="A377" s="20"/>
      <c r="B377" s="25"/>
      <c r="C377" s="11"/>
      <c r="D377" s="49"/>
      <c r="E377" s="49"/>
      <c r="F377" s="80"/>
      <c r="G377" s="81"/>
      <c r="H377" s="81"/>
      <c r="I377" s="54"/>
      <c r="J377" s="54"/>
      <c r="K377" s="54"/>
      <c r="L377" s="72" t="s">
        <v>690</v>
      </c>
      <c r="M377" s="73" t="s">
        <v>691</v>
      </c>
      <c r="N377" s="73" t="s">
        <v>34</v>
      </c>
      <c r="O377" s="50">
        <v>2</v>
      </c>
      <c r="P377" s="97" t="e">
        <f>VLOOKUP(L377,[1]TDSheet!A$12:D$300,4,FALSE)</f>
        <v>#N/A</v>
      </c>
      <c r="Q377" s="50"/>
      <c r="R377" s="24"/>
      <c r="T377" s="5"/>
      <c r="U377" s="5"/>
    </row>
    <row r="378" spans="1:21" ht="18.75" x14ac:dyDescent="0.25">
      <c r="A378" s="20"/>
      <c r="B378" s="25"/>
      <c r="C378" s="11"/>
      <c r="D378" s="49"/>
      <c r="E378" s="49"/>
      <c r="F378" s="80"/>
      <c r="G378" s="81"/>
      <c r="H378" s="81"/>
      <c r="I378" s="54"/>
      <c r="J378" s="54"/>
      <c r="K378" s="54"/>
      <c r="L378" s="72" t="s">
        <v>692</v>
      </c>
      <c r="M378" s="73" t="s">
        <v>693</v>
      </c>
      <c r="N378" s="73" t="s">
        <v>34</v>
      </c>
      <c r="O378" s="50">
        <v>1</v>
      </c>
      <c r="P378" s="97" t="e">
        <f>VLOOKUP(L378,[1]TDSheet!A$12:D$300,4,FALSE)</f>
        <v>#N/A</v>
      </c>
      <c r="Q378" s="50"/>
      <c r="R378" s="24"/>
      <c r="T378" s="5"/>
      <c r="U378" s="5"/>
    </row>
    <row r="379" spans="1:21" ht="18.75" x14ac:dyDescent="0.25">
      <c r="A379" s="20"/>
      <c r="B379" s="25"/>
      <c r="C379" s="11"/>
      <c r="D379" s="49"/>
      <c r="E379" s="49"/>
      <c r="F379" s="80"/>
      <c r="G379" s="81"/>
      <c r="H379" s="81"/>
      <c r="I379" s="54"/>
      <c r="J379" s="54"/>
      <c r="K379" s="54"/>
      <c r="L379" s="72" t="s">
        <v>694</v>
      </c>
      <c r="M379" s="73" t="s">
        <v>695</v>
      </c>
      <c r="N379" s="73" t="s">
        <v>34</v>
      </c>
      <c r="O379" s="50">
        <v>2</v>
      </c>
      <c r="P379" s="97" t="e">
        <f>VLOOKUP(L379,[1]TDSheet!A$12:D$300,4,FALSE)</f>
        <v>#N/A</v>
      </c>
      <c r="Q379" s="50"/>
      <c r="R379" s="24"/>
      <c r="T379" s="5"/>
      <c r="U379" s="5"/>
    </row>
    <row r="380" spans="1:21" ht="18.75" x14ac:dyDescent="0.25">
      <c r="A380" s="20"/>
      <c r="B380" s="25"/>
      <c r="C380" s="11"/>
      <c r="D380" s="49"/>
      <c r="E380" s="49"/>
      <c r="F380" s="80"/>
      <c r="G380" s="81"/>
      <c r="H380" s="81"/>
      <c r="I380" s="54"/>
      <c r="J380" s="54"/>
      <c r="K380" s="54"/>
      <c r="L380" s="72" t="s">
        <v>696</v>
      </c>
      <c r="M380" s="73" t="s">
        <v>697</v>
      </c>
      <c r="N380" s="73" t="s">
        <v>34</v>
      </c>
      <c r="O380" s="50">
        <v>2</v>
      </c>
      <c r="P380" s="97" t="e">
        <f>VLOOKUP(L380,[1]TDSheet!A$12:D$300,4,FALSE)</f>
        <v>#N/A</v>
      </c>
      <c r="Q380" s="50"/>
      <c r="R380" s="24"/>
      <c r="T380" s="5"/>
      <c r="U380" s="5"/>
    </row>
    <row r="381" spans="1:21" ht="18.75" x14ac:dyDescent="0.25">
      <c r="A381" s="20"/>
      <c r="B381" s="25"/>
      <c r="C381" s="11"/>
      <c r="D381" s="49"/>
      <c r="E381" s="49"/>
      <c r="F381" s="80"/>
      <c r="G381" s="81"/>
      <c r="H381" s="81"/>
      <c r="I381" s="54"/>
      <c r="J381" s="54"/>
      <c r="K381" s="54"/>
      <c r="L381" s="72" t="s">
        <v>698</v>
      </c>
      <c r="M381" s="73" t="s">
        <v>97</v>
      </c>
      <c r="N381" s="73" t="s">
        <v>34</v>
      </c>
      <c r="O381" s="50">
        <v>43</v>
      </c>
      <c r="P381" s="97" t="e">
        <f>VLOOKUP(L381,[1]TDSheet!A$12:D$300,4,FALSE)</f>
        <v>#N/A</v>
      </c>
      <c r="Q381" s="50"/>
      <c r="R381" s="24"/>
      <c r="T381" s="5"/>
      <c r="U381" s="5"/>
    </row>
    <row r="382" spans="1:21" ht="18.75" x14ac:dyDescent="0.25">
      <c r="A382" s="20"/>
      <c r="B382" s="25"/>
      <c r="C382" s="11"/>
      <c r="D382" s="49"/>
      <c r="E382" s="49"/>
      <c r="F382" s="80"/>
      <c r="G382" s="81"/>
      <c r="H382" s="81"/>
      <c r="I382" s="54"/>
      <c r="J382" s="54"/>
      <c r="K382" s="54"/>
      <c r="L382" s="72" t="s">
        <v>699</v>
      </c>
      <c r="M382" s="73" t="s">
        <v>700</v>
      </c>
      <c r="N382" s="73" t="s">
        <v>34</v>
      </c>
      <c r="O382" s="50">
        <v>3</v>
      </c>
      <c r="P382" s="97" t="e">
        <f>VLOOKUP(L382,[1]TDSheet!A$12:D$300,4,FALSE)</f>
        <v>#N/A</v>
      </c>
      <c r="Q382" s="50"/>
      <c r="R382" s="24"/>
      <c r="T382" s="5"/>
      <c r="U382" s="5"/>
    </row>
    <row r="383" spans="1:21" ht="18.75" x14ac:dyDescent="0.25">
      <c r="A383" s="20"/>
      <c r="B383" s="25"/>
      <c r="C383" s="11"/>
      <c r="D383" s="49"/>
      <c r="E383" s="49"/>
      <c r="F383" s="80"/>
      <c r="G383" s="81"/>
      <c r="H383" s="81"/>
      <c r="I383" s="54"/>
      <c r="J383" s="54"/>
      <c r="K383" s="54"/>
      <c r="L383" s="72" t="s">
        <v>701</v>
      </c>
      <c r="M383" s="73" t="s">
        <v>702</v>
      </c>
      <c r="N383" s="73" t="s">
        <v>34</v>
      </c>
      <c r="O383" s="50">
        <v>2</v>
      </c>
      <c r="P383" s="97" t="e">
        <f>VLOOKUP(L383,[1]TDSheet!A$12:D$300,4,FALSE)</f>
        <v>#N/A</v>
      </c>
      <c r="Q383" s="50"/>
      <c r="R383" s="24"/>
      <c r="T383" s="5"/>
      <c r="U383" s="5"/>
    </row>
    <row r="384" spans="1:21" ht="18.75" x14ac:dyDescent="0.25">
      <c r="A384" s="20"/>
      <c r="B384" s="25"/>
      <c r="C384" s="11"/>
      <c r="D384" s="49"/>
      <c r="E384" s="49"/>
      <c r="F384" s="80"/>
      <c r="G384" s="81"/>
      <c r="H384" s="81"/>
      <c r="I384" s="54"/>
      <c r="J384" s="54"/>
      <c r="K384" s="54"/>
      <c r="L384" s="72" t="s">
        <v>703</v>
      </c>
      <c r="M384" s="73" t="s">
        <v>704</v>
      </c>
      <c r="N384" s="73" t="s">
        <v>34</v>
      </c>
      <c r="O384" s="50">
        <v>2</v>
      </c>
      <c r="P384" s="97" t="e">
        <f>VLOOKUP(L384,[1]TDSheet!A$12:D$300,4,FALSE)</f>
        <v>#N/A</v>
      </c>
      <c r="Q384" s="50"/>
      <c r="R384" s="24"/>
      <c r="T384" s="5"/>
      <c r="U384" s="5"/>
    </row>
    <row r="385" spans="1:21" ht="18.75" x14ac:dyDescent="0.25">
      <c r="A385" s="20"/>
      <c r="B385" s="25"/>
      <c r="C385" s="11"/>
      <c r="D385" s="49"/>
      <c r="E385" s="49"/>
      <c r="F385" s="80"/>
      <c r="G385" s="81"/>
      <c r="H385" s="81"/>
      <c r="I385" s="54"/>
      <c r="J385" s="54"/>
      <c r="K385" s="54"/>
      <c r="L385" s="72" t="s">
        <v>705</v>
      </c>
      <c r="M385" s="73" t="s">
        <v>154</v>
      </c>
      <c r="N385" s="73" t="s">
        <v>34</v>
      </c>
      <c r="O385" s="50">
        <v>1</v>
      </c>
      <c r="P385" s="97" t="e">
        <f>VLOOKUP(L385,[1]TDSheet!A$12:D$300,4,FALSE)</f>
        <v>#N/A</v>
      </c>
      <c r="Q385" s="50"/>
      <c r="R385" s="24"/>
      <c r="T385" s="5"/>
      <c r="U385" s="5"/>
    </row>
    <row r="386" spans="1:21" ht="18.75" x14ac:dyDescent="0.25">
      <c r="A386" s="20"/>
      <c r="B386" s="25"/>
      <c r="C386" s="11"/>
      <c r="D386" s="49"/>
      <c r="E386" s="49"/>
      <c r="F386" s="80"/>
      <c r="G386" s="81"/>
      <c r="H386" s="81"/>
      <c r="I386" s="54"/>
      <c r="J386" s="54"/>
      <c r="K386" s="54"/>
      <c r="L386" s="72" t="s">
        <v>706</v>
      </c>
      <c r="M386" s="73" t="s">
        <v>155</v>
      </c>
      <c r="N386" s="73" t="s">
        <v>34</v>
      </c>
      <c r="O386" s="50">
        <v>15</v>
      </c>
      <c r="P386" s="97" t="e">
        <f>VLOOKUP(L386,[1]TDSheet!A$12:D$300,4,FALSE)</f>
        <v>#N/A</v>
      </c>
      <c r="Q386" s="50"/>
      <c r="R386" s="24"/>
      <c r="T386" s="5"/>
      <c r="U386" s="5"/>
    </row>
    <row r="387" spans="1:21" ht="18.75" x14ac:dyDescent="0.25">
      <c r="A387" s="20"/>
      <c r="B387" s="25"/>
      <c r="C387" s="11"/>
      <c r="D387" s="49"/>
      <c r="E387" s="49"/>
      <c r="F387" s="80"/>
      <c r="G387" s="81"/>
      <c r="H387" s="81"/>
      <c r="I387" s="54"/>
      <c r="J387" s="54"/>
      <c r="K387" s="54"/>
      <c r="L387" s="72" t="s">
        <v>265</v>
      </c>
      <c r="M387" s="73" t="s">
        <v>266</v>
      </c>
      <c r="N387" s="73" t="s">
        <v>34</v>
      </c>
      <c r="O387" s="50">
        <v>1</v>
      </c>
      <c r="P387" s="97" t="e">
        <f>VLOOKUP(L387,[1]TDSheet!A$12:D$300,4,FALSE)</f>
        <v>#N/A</v>
      </c>
      <c r="Q387" s="50"/>
      <c r="R387" s="24"/>
      <c r="T387" s="5"/>
      <c r="U387" s="5"/>
    </row>
    <row r="388" spans="1:21" ht="18.75" x14ac:dyDescent="0.25">
      <c r="A388" s="20"/>
      <c r="B388" s="25"/>
      <c r="C388" s="11"/>
      <c r="D388" s="49"/>
      <c r="E388" s="49"/>
      <c r="F388" s="80"/>
      <c r="G388" s="81"/>
      <c r="H388" s="81"/>
      <c r="I388" s="54"/>
      <c r="J388" s="54"/>
      <c r="K388" s="54"/>
      <c r="L388" s="72" t="s">
        <v>267</v>
      </c>
      <c r="M388" s="73" t="s">
        <v>268</v>
      </c>
      <c r="N388" s="73" t="s">
        <v>34</v>
      </c>
      <c r="O388" s="50">
        <v>1</v>
      </c>
      <c r="P388" s="97" t="e">
        <f>VLOOKUP(L388,[1]TDSheet!A$12:D$300,4,FALSE)</f>
        <v>#N/A</v>
      </c>
      <c r="Q388" s="50"/>
      <c r="R388" s="24"/>
      <c r="T388" s="5"/>
      <c r="U388" s="5"/>
    </row>
    <row r="389" spans="1:21" ht="18.75" x14ac:dyDescent="0.25">
      <c r="A389" s="20"/>
      <c r="B389" s="25"/>
      <c r="C389" s="11"/>
      <c r="D389" s="49"/>
      <c r="E389" s="49"/>
      <c r="F389" s="80"/>
      <c r="G389" s="81"/>
      <c r="H389" s="81"/>
      <c r="I389" s="54"/>
      <c r="J389" s="54"/>
      <c r="K389" s="54"/>
      <c r="L389" s="72" t="s">
        <v>707</v>
      </c>
      <c r="M389" s="73" t="s">
        <v>708</v>
      </c>
      <c r="N389" s="73" t="s">
        <v>34</v>
      </c>
      <c r="O389" s="50">
        <v>2</v>
      </c>
      <c r="P389" s="97" t="e">
        <f>VLOOKUP(L389,[1]TDSheet!A$12:D$300,4,FALSE)</f>
        <v>#N/A</v>
      </c>
      <c r="Q389" s="50"/>
      <c r="R389" s="24"/>
      <c r="T389" s="5"/>
      <c r="U389" s="5"/>
    </row>
    <row r="390" spans="1:21" ht="18.75" x14ac:dyDescent="0.25">
      <c r="A390" s="20"/>
      <c r="B390" s="25"/>
      <c r="C390" s="11"/>
      <c r="D390" s="49"/>
      <c r="E390" s="49"/>
      <c r="F390" s="80"/>
      <c r="G390" s="81"/>
      <c r="H390" s="81"/>
      <c r="I390" s="54"/>
      <c r="J390" s="54"/>
      <c r="K390" s="54"/>
      <c r="L390" s="72" t="s">
        <v>709</v>
      </c>
      <c r="M390" s="73" t="s">
        <v>156</v>
      </c>
      <c r="N390" s="73" t="s">
        <v>34</v>
      </c>
      <c r="O390" s="50">
        <v>12</v>
      </c>
      <c r="P390" s="97" t="e">
        <f>VLOOKUP(L390,[1]TDSheet!A$12:D$300,4,FALSE)</f>
        <v>#N/A</v>
      </c>
      <c r="Q390" s="50"/>
      <c r="R390" s="24"/>
      <c r="T390" s="5"/>
      <c r="U390" s="5"/>
    </row>
    <row r="391" spans="1:21" ht="18.75" x14ac:dyDescent="0.25">
      <c r="A391" s="20"/>
      <c r="B391" s="25"/>
      <c r="C391" s="11"/>
      <c r="D391" s="49"/>
      <c r="E391" s="49"/>
      <c r="F391" s="80"/>
      <c r="G391" s="81"/>
      <c r="H391" s="81"/>
      <c r="I391" s="54"/>
      <c r="J391" s="54"/>
      <c r="K391" s="54"/>
      <c r="L391" s="72" t="s">
        <v>710</v>
      </c>
      <c r="M391" s="73" t="s">
        <v>711</v>
      </c>
      <c r="N391" s="73" t="s">
        <v>34</v>
      </c>
      <c r="O391" s="50">
        <v>2</v>
      </c>
      <c r="P391" s="97" t="e">
        <f>VLOOKUP(L391,[1]TDSheet!A$12:D$300,4,FALSE)</f>
        <v>#N/A</v>
      </c>
      <c r="Q391" s="50"/>
      <c r="R391" s="24"/>
      <c r="T391" s="5"/>
      <c r="U391" s="5"/>
    </row>
    <row r="392" spans="1:21" ht="18.75" x14ac:dyDescent="0.25">
      <c r="A392" s="20"/>
      <c r="B392" s="25"/>
      <c r="C392" s="11"/>
      <c r="D392" s="49"/>
      <c r="E392" s="49"/>
      <c r="F392" s="80"/>
      <c r="G392" s="81"/>
      <c r="H392" s="81"/>
      <c r="I392" s="54"/>
      <c r="J392" s="54"/>
      <c r="K392" s="54"/>
      <c r="L392" s="72" t="s">
        <v>712</v>
      </c>
      <c r="M392" s="73" t="s">
        <v>713</v>
      </c>
      <c r="N392" s="73" t="s">
        <v>34</v>
      </c>
      <c r="O392" s="50">
        <v>1</v>
      </c>
      <c r="P392" s="97" t="e">
        <f>VLOOKUP(L392,[1]TDSheet!A$12:D$300,4,FALSE)</f>
        <v>#N/A</v>
      </c>
      <c r="Q392" s="50"/>
      <c r="R392" s="24"/>
      <c r="T392" s="5"/>
      <c r="U392" s="5"/>
    </row>
    <row r="393" spans="1:21" ht="18.75" x14ac:dyDescent="0.25">
      <c r="A393" s="20"/>
      <c r="B393" s="25"/>
      <c r="C393" s="11"/>
      <c r="D393" s="49"/>
      <c r="E393" s="49"/>
      <c r="F393" s="80"/>
      <c r="G393" s="81"/>
      <c r="H393" s="81"/>
      <c r="I393" s="54"/>
      <c r="J393" s="54"/>
      <c r="K393" s="54"/>
      <c r="L393" s="72" t="s">
        <v>714</v>
      </c>
      <c r="M393" s="73" t="s">
        <v>270</v>
      </c>
      <c r="N393" s="73" t="s">
        <v>269</v>
      </c>
      <c r="O393" s="50">
        <v>2</v>
      </c>
      <c r="P393" s="97" t="e">
        <f>VLOOKUP(L393,[1]TDSheet!A$12:D$300,4,FALSE)</f>
        <v>#N/A</v>
      </c>
      <c r="Q393" s="50"/>
      <c r="R393" s="24"/>
      <c r="T393" s="5"/>
      <c r="U393" s="5"/>
    </row>
    <row r="394" spans="1:21" ht="18.75" x14ac:dyDescent="0.25">
      <c r="A394" s="20"/>
      <c r="B394" s="25"/>
      <c r="C394" s="11"/>
      <c r="D394" s="49"/>
      <c r="E394" s="49"/>
      <c r="F394" s="80"/>
      <c r="G394" s="81"/>
      <c r="H394" s="81"/>
      <c r="I394" s="54"/>
      <c r="J394" s="54"/>
      <c r="K394" s="54"/>
      <c r="L394" s="72" t="s">
        <v>715</v>
      </c>
      <c r="M394" s="73" t="s">
        <v>716</v>
      </c>
      <c r="N394" s="73" t="s">
        <v>34</v>
      </c>
      <c r="O394" s="50">
        <v>2</v>
      </c>
      <c r="P394" s="97" t="e">
        <f>VLOOKUP(L394,[1]TDSheet!A$12:D$300,4,FALSE)</f>
        <v>#N/A</v>
      </c>
      <c r="Q394" s="50"/>
      <c r="R394" s="24"/>
      <c r="T394" s="5"/>
      <c r="U394" s="5"/>
    </row>
    <row r="395" spans="1:21" ht="18.75" x14ac:dyDescent="0.25">
      <c r="A395" s="20"/>
      <c r="B395" s="25"/>
      <c r="C395" s="11"/>
      <c r="D395" s="49"/>
      <c r="E395" s="49"/>
      <c r="F395" s="80"/>
      <c r="G395" s="81"/>
      <c r="H395" s="81"/>
      <c r="I395" s="54"/>
      <c r="J395" s="54"/>
      <c r="K395" s="54"/>
      <c r="L395" s="72" t="s">
        <v>157</v>
      </c>
      <c r="M395" s="73" t="s">
        <v>158</v>
      </c>
      <c r="N395" s="73" t="s">
        <v>34</v>
      </c>
      <c r="O395" s="50">
        <v>21</v>
      </c>
      <c r="P395" s="97" t="e">
        <f>VLOOKUP(L395,[1]TDSheet!A$12:D$300,4,FALSE)</f>
        <v>#N/A</v>
      </c>
      <c r="Q395" s="50"/>
      <c r="R395" s="24"/>
      <c r="T395" s="5"/>
      <c r="U395" s="5"/>
    </row>
    <row r="396" spans="1:21" ht="18.75" x14ac:dyDescent="0.25">
      <c r="A396" s="20"/>
      <c r="B396" s="25"/>
      <c r="C396" s="11"/>
      <c r="D396" s="49"/>
      <c r="E396" s="49"/>
      <c r="F396" s="80"/>
      <c r="G396" s="81"/>
      <c r="H396" s="81"/>
      <c r="I396" s="54"/>
      <c r="J396" s="54"/>
      <c r="K396" s="54"/>
      <c r="L396" s="72" t="s">
        <v>246</v>
      </c>
      <c r="M396" s="73" t="s">
        <v>247</v>
      </c>
      <c r="N396" s="73" t="s">
        <v>34</v>
      </c>
      <c r="O396" s="50">
        <v>10</v>
      </c>
      <c r="P396" s="97" t="e">
        <f>VLOOKUP(L396,[1]TDSheet!A$12:D$300,4,FALSE)</f>
        <v>#N/A</v>
      </c>
      <c r="Q396" s="50"/>
      <c r="R396" s="24"/>
      <c r="T396" s="5"/>
      <c r="U396" s="5"/>
    </row>
    <row r="397" spans="1:21" ht="18.75" x14ac:dyDescent="0.25">
      <c r="A397" s="20"/>
      <c r="B397" s="25"/>
      <c r="C397" s="11"/>
      <c r="D397" s="49"/>
      <c r="E397" s="49"/>
      <c r="F397" s="80"/>
      <c r="G397" s="81"/>
      <c r="H397" s="81"/>
      <c r="I397" s="54"/>
      <c r="J397" s="54"/>
      <c r="K397" s="54"/>
      <c r="L397" s="72" t="s">
        <v>717</v>
      </c>
      <c r="M397" s="73" t="s">
        <v>718</v>
      </c>
      <c r="N397" s="73" t="s">
        <v>34</v>
      </c>
      <c r="O397" s="50">
        <v>2</v>
      </c>
      <c r="P397" s="97" t="e">
        <f>VLOOKUP(L397,[1]TDSheet!A$12:D$300,4,FALSE)</f>
        <v>#N/A</v>
      </c>
      <c r="Q397" s="50"/>
      <c r="R397" s="24"/>
      <c r="T397" s="5"/>
      <c r="U397" s="5"/>
    </row>
    <row r="398" spans="1:21" ht="18.75" x14ac:dyDescent="0.25">
      <c r="A398" s="20"/>
      <c r="B398" s="25"/>
      <c r="C398" s="11"/>
      <c r="D398" s="49"/>
      <c r="E398" s="49"/>
      <c r="F398" s="80"/>
      <c r="G398" s="81"/>
      <c r="H398" s="81"/>
      <c r="I398" s="54"/>
      <c r="J398" s="54"/>
      <c r="K398" s="54"/>
      <c r="L398" s="72" t="s">
        <v>159</v>
      </c>
      <c r="M398" s="73" t="s">
        <v>160</v>
      </c>
      <c r="N398" s="73" t="s">
        <v>37</v>
      </c>
      <c r="O398" s="50">
        <v>30</v>
      </c>
      <c r="P398" s="97" t="e">
        <f>VLOOKUP(L398,[1]TDSheet!A$12:D$300,4,FALSE)</f>
        <v>#N/A</v>
      </c>
      <c r="Q398" s="50"/>
      <c r="R398" s="24"/>
      <c r="T398" s="5"/>
      <c r="U398" s="5"/>
    </row>
    <row r="399" spans="1:21" ht="19.5" thickBot="1" x14ac:dyDescent="0.3">
      <c r="A399" s="20"/>
      <c r="B399" s="25"/>
      <c r="C399" s="11"/>
      <c r="D399" s="49"/>
      <c r="E399" s="49"/>
      <c r="F399" s="80"/>
      <c r="G399" s="81"/>
      <c r="H399" s="81"/>
      <c r="I399" s="54"/>
      <c r="J399" s="54"/>
      <c r="K399" s="54"/>
      <c r="L399" s="72" t="s">
        <v>719</v>
      </c>
      <c r="M399" s="73" t="s">
        <v>161</v>
      </c>
      <c r="N399" s="73" t="s">
        <v>37</v>
      </c>
      <c r="O399" s="50">
        <v>9</v>
      </c>
      <c r="P399" s="97" t="e">
        <f>VLOOKUP(L399,[1]TDSheet!A$12:D$300,4,FALSE)</f>
        <v>#N/A</v>
      </c>
      <c r="Q399" s="50"/>
      <c r="R399" s="24"/>
      <c r="T399" s="5"/>
      <c r="U399" s="5"/>
    </row>
    <row r="400" spans="1:21" ht="21.75" thickBot="1" x14ac:dyDescent="0.3">
      <c r="A400" s="33"/>
      <c r="B400" s="34" t="s">
        <v>29</v>
      </c>
      <c r="C400" s="35"/>
      <c r="D400" s="36">
        <f>SUM(D268:D399)</f>
        <v>0</v>
      </c>
      <c r="E400" s="36"/>
      <c r="F400" s="76"/>
      <c r="G400" s="76"/>
      <c r="H400" s="76"/>
      <c r="I400" s="76"/>
      <c r="J400" s="76"/>
      <c r="K400" s="76"/>
      <c r="L400" s="37"/>
      <c r="M400" s="38"/>
      <c r="N400" s="38"/>
      <c r="O400" s="39">
        <f>SUM(O268:O399)</f>
        <v>1829</v>
      </c>
      <c r="P400" s="97" t="e">
        <f>VLOOKUP(L400,[1]TDSheet!A$12:D$300,4,FALSE)</f>
        <v>#N/A</v>
      </c>
      <c r="Q400" s="39">
        <f>SUM(Q268:Q399)</f>
        <v>0</v>
      </c>
      <c r="R400" s="40"/>
    </row>
    <row r="401" spans="1:18" ht="21.75" thickBot="1" x14ac:dyDescent="0.3">
      <c r="A401" s="41"/>
      <c r="B401" s="42" t="s">
        <v>30</v>
      </c>
      <c r="C401" s="43"/>
      <c r="D401" s="44">
        <f>D267+D400</f>
        <v>0</v>
      </c>
      <c r="E401" s="44"/>
      <c r="F401" s="78"/>
      <c r="G401" s="78"/>
      <c r="H401" s="78"/>
      <c r="I401" s="78"/>
      <c r="J401" s="78"/>
      <c r="K401" s="78"/>
      <c r="L401" s="45"/>
      <c r="M401" s="46"/>
      <c r="N401" s="46"/>
      <c r="O401" s="47">
        <f>O267+O400</f>
        <v>1829</v>
      </c>
      <c r="P401" s="97" t="e">
        <f>VLOOKUP(L401,[1]TDSheet!A$12:D$300,4,FALSE)</f>
        <v>#N/A</v>
      </c>
      <c r="Q401" s="47">
        <f>Q267+Q400</f>
        <v>0</v>
      </c>
      <c r="R401" s="48"/>
    </row>
    <row r="402" spans="1:18" ht="25.15" customHeight="1" x14ac:dyDescent="0.35">
      <c r="A402" s="250" t="s">
        <v>12</v>
      </c>
      <c r="B402" s="250"/>
      <c r="C402" s="250"/>
      <c r="D402" s="250"/>
      <c r="E402" s="250"/>
      <c r="F402" s="250"/>
      <c r="G402" s="250"/>
      <c r="H402" s="250"/>
      <c r="I402" s="250"/>
      <c r="J402" s="250"/>
      <c r="K402" s="250"/>
      <c r="L402" s="250"/>
      <c r="M402" s="250"/>
      <c r="N402" s="250"/>
      <c r="O402" s="142"/>
      <c r="P402" s="97" t="e">
        <f>VLOOKUP(L402,[1]TDSheet!A$12:D$300,4,FALSE)</f>
        <v>#N/A</v>
      </c>
      <c r="Q402" s="7"/>
      <c r="R402" s="6"/>
    </row>
    <row r="403" spans="1:18" ht="25.15" customHeight="1" x14ac:dyDescent="0.35">
      <c r="A403" s="250" t="s">
        <v>13</v>
      </c>
      <c r="B403" s="250"/>
      <c r="C403" s="250"/>
      <c r="D403" s="250"/>
      <c r="E403" s="250"/>
      <c r="F403" s="250"/>
      <c r="G403" s="250"/>
      <c r="H403" s="250"/>
      <c r="I403" s="250"/>
      <c r="J403" s="250"/>
      <c r="K403" s="250"/>
      <c r="L403" s="250"/>
      <c r="M403" s="250"/>
      <c r="N403" s="250"/>
      <c r="O403" s="142"/>
      <c r="P403" s="97" t="e">
        <f>VLOOKUP(L403,[1]TDSheet!A$12:D$300,4,FALSE)</f>
        <v>#N/A</v>
      </c>
      <c r="Q403" s="7"/>
      <c r="R403" s="6"/>
    </row>
    <row r="404" spans="1:18" ht="25.15" customHeight="1" x14ac:dyDescent="0.35">
      <c r="A404" s="255" t="s">
        <v>14</v>
      </c>
      <c r="B404" s="255"/>
      <c r="C404" s="255"/>
      <c r="D404" s="255"/>
      <c r="E404" s="255"/>
      <c r="F404" s="255"/>
      <c r="G404" s="255"/>
      <c r="H404" s="255"/>
      <c r="I404" s="255"/>
      <c r="J404" s="255"/>
      <c r="K404" s="255"/>
      <c r="L404" s="255"/>
      <c r="M404" s="255"/>
      <c r="N404" s="255"/>
      <c r="O404" s="143"/>
      <c r="P404" s="97" t="e">
        <f>VLOOKUP(L404,[1]TDSheet!A$12:D$300,4,FALSE)</f>
        <v>#N/A</v>
      </c>
      <c r="Q404" s="8"/>
      <c r="R404" s="6"/>
    </row>
    <row r="405" spans="1:18" ht="25.15" customHeight="1" x14ac:dyDescent="0.35">
      <c r="A405" s="250" t="s">
        <v>15</v>
      </c>
      <c r="B405" s="250"/>
      <c r="C405" s="250"/>
      <c r="D405" s="250"/>
      <c r="E405" s="250"/>
      <c r="F405" s="250"/>
      <c r="G405" s="250"/>
      <c r="H405" s="250"/>
      <c r="I405" s="250"/>
      <c r="J405" s="250"/>
      <c r="K405" s="250"/>
      <c r="L405" s="250"/>
      <c r="M405" s="250"/>
      <c r="N405" s="250"/>
      <c r="O405" s="142"/>
      <c r="P405" s="97" t="e">
        <f>VLOOKUP(L405,[1]TDSheet!A$12:D$300,4,FALSE)</f>
        <v>#N/A</v>
      </c>
      <c r="Q405" s="7"/>
      <c r="R405" s="6"/>
    </row>
    <row r="406" spans="1:18" ht="25.15" customHeight="1" x14ac:dyDescent="0.35">
      <c r="A406" s="250" t="s">
        <v>16</v>
      </c>
      <c r="B406" s="250"/>
      <c r="C406" s="250"/>
      <c r="D406" s="250"/>
      <c r="E406" s="250"/>
      <c r="F406" s="250"/>
      <c r="G406" s="250"/>
      <c r="H406" s="250"/>
      <c r="I406" s="250"/>
      <c r="J406" s="250"/>
      <c r="K406" s="250"/>
      <c r="L406" s="250"/>
      <c r="M406" s="250"/>
      <c r="N406" s="250"/>
      <c r="O406" s="142"/>
      <c r="P406" s="97" t="e">
        <f>VLOOKUP(L406,[1]TDSheet!A$12:D$300,4,FALSE)</f>
        <v>#N/A</v>
      </c>
      <c r="Q406" s="7"/>
      <c r="R406" s="6"/>
    </row>
    <row r="407" spans="1:18" ht="25.15" customHeight="1" x14ac:dyDescent="0.35">
      <c r="A407" s="250" t="s">
        <v>17</v>
      </c>
      <c r="B407" s="250"/>
      <c r="C407" s="250"/>
      <c r="D407" s="250"/>
      <c r="E407" s="250"/>
      <c r="F407" s="250"/>
      <c r="G407" s="250"/>
      <c r="H407" s="250"/>
      <c r="I407" s="250"/>
      <c r="J407" s="250"/>
      <c r="K407" s="250"/>
      <c r="L407" s="250"/>
      <c r="M407" s="250"/>
      <c r="N407" s="250"/>
      <c r="O407" s="142"/>
      <c r="P407" s="97" t="e">
        <f>VLOOKUP(L407,[1]TDSheet!A$12:D$300,4,FALSE)</f>
        <v>#N/A</v>
      </c>
      <c r="Q407" s="7"/>
      <c r="R407" s="6"/>
    </row>
    <row r="408" spans="1:18" ht="25.15" customHeight="1" x14ac:dyDescent="0.35">
      <c r="A408" s="250" t="s">
        <v>18</v>
      </c>
      <c r="B408" s="250"/>
      <c r="C408" s="250"/>
      <c r="D408" s="250"/>
      <c r="E408" s="250"/>
      <c r="F408" s="250"/>
      <c r="G408" s="250"/>
      <c r="H408" s="250"/>
      <c r="I408" s="250"/>
      <c r="J408" s="250"/>
      <c r="K408" s="250"/>
      <c r="L408" s="250"/>
      <c r="M408" s="250"/>
      <c r="N408" s="250"/>
      <c r="O408" s="142"/>
      <c r="P408" s="97" t="e">
        <f>VLOOKUP(L408,[1]TDSheet!A$12:D$300,4,FALSE)</f>
        <v>#N/A</v>
      </c>
      <c r="Q408" s="7"/>
      <c r="R408" s="6"/>
    </row>
    <row r="409" spans="1:18" ht="25.15" customHeight="1" x14ac:dyDescent="0.35">
      <c r="A409" s="250" t="s">
        <v>17</v>
      </c>
      <c r="B409" s="250"/>
      <c r="C409" s="250"/>
      <c r="D409" s="250"/>
      <c r="E409" s="250"/>
      <c r="F409" s="250"/>
      <c r="G409" s="250"/>
      <c r="H409" s="250"/>
      <c r="I409" s="250"/>
      <c r="J409" s="250"/>
      <c r="K409" s="250"/>
      <c r="L409" s="250"/>
      <c r="M409" s="250"/>
      <c r="N409" s="250"/>
      <c r="O409" s="142"/>
      <c r="P409" s="97" t="e">
        <f>VLOOKUP(L409,[1]TDSheet!A$12:D$300,4,FALSE)</f>
        <v>#N/A</v>
      </c>
      <c r="Q409" s="7"/>
      <c r="R409" s="6"/>
    </row>
    <row r="410" spans="1:18" ht="25.15" customHeight="1" x14ac:dyDescent="0.35">
      <c r="A410" s="250" t="s">
        <v>19</v>
      </c>
      <c r="B410" s="250"/>
      <c r="C410" s="250"/>
      <c r="D410" s="250"/>
      <c r="E410" s="250"/>
      <c r="F410" s="250"/>
      <c r="G410" s="250"/>
      <c r="H410" s="250"/>
      <c r="I410" s="250"/>
      <c r="J410" s="250"/>
      <c r="K410" s="250"/>
      <c r="L410" s="250"/>
      <c r="M410" s="250"/>
      <c r="N410" s="250"/>
      <c r="O410" s="142"/>
      <c r="P410" s="97" t="e">
        <f>VLOOKUP(L410,[1]TDSheet!A$12:D$300,4,FALSE)</f>
        <v>#N/A</v>
      </c>
      <c r="Q410" s="7"/>
      <c r="R410" s="6"/>
    </row>
    <row r="411" spans="1:18" ht="25.15" customHeight="1" x14ac:dyDescent="0.35">
      <c r="A411" s="250" t="s">
        <v>11</v>
      </c>
      <c r="B411" s="250"/>
      <c r="C411" s="250"/>
      <c r="D411" s="250"/>
      <c r="E411" s="250"/>
      <c r="F411" s="250"/>
      <c r="G411" s="250"/>
      <c r="H411" s="250"/>
      <c r="I411" s="250"/>
      <c r="J411" s="250"/>
      <c r="K411" s="250"/>
      <c r="L411" s="250"/>
      <c r="M411" s="250"/>
      <c r="N411" s="250"/>
      <c r="O411" s="142"/>
      <c r="P411" s="97" t="e">
        <f>VLOOKUP(L411,[1]TDSheet!A$12:D$300,4,FALSE)</f>
        <v>#N/A</v>
      </c>
      <c r="Q411" s="7"/>
      <c r="R411" s="6"/>
    </row>
    <row r="412" spans="1:18" ht="25.15" customHeight="1" x14ac:dyDescent="0.35">
      <c r="A412" s="250" t="s">
        <v>32</v>
      </c>
      <c r="B412" s="250"/>
      <c r="C412" s="250"/>
      <c r="D412" s="250"/>
      <c r="E412" s="250"/>
      <c r="F412" s="250"/>
      <c r="G412" s="250"/>
      <c r="H412" s="250"/>
      <c r="I412" s="250"/>
      <c r="J412" s="250"/>
      <c r="K412" s="250"/>
      <c r="L412" s="250"/>
      <c r="M412" s="250"/>
      <c r="N412" s="250"/>
      <c r="O412" s="142"/>
      <c r="P412" s="97" t="e">
        <f>VLOOKUP(L412,[1]TDSheet!A$12:D$300,4,FALSE)</f>
        <v>#N/A</v>
      </c>
      <c r="Q412" s="7"/>
      <c r="R412" s="6"/>
    </row>
    <row r="413" spans="1:18" ht="25.15" customHeight="1" x14ac:dyDescent="0.35">
      <c r="A413" s="233" t="s">
        <v>31</v>
      </c>
      <c r="B413" s="233"/>
      <c r="C413" s="233"/>
      <c r="D413" s="233"/>
      <c r="E413" s="233"/>
      <c r="F413" s="233"/>
      <c r="G413" s="233"/>
      <c r="H413" s="233"/>
      <c r="I413" s="233"/>
      <c r="J413" s="233"/>
      <c r="K413" s="233"/>
      <c r="L413" s="233"/>
      <c r="M413" s="233"/>
      <c r="N413" s="233"/>
      <c r="O413" s="117"/>
      <c r="P413" s="97" t="e">
        <f>VLOOKUP(L413,[1]TDSheet!A$12:D$300,4,FALSE)</f>
        <v>#N/A</v>
      </c>
      <c r="Q413" s="9"/>
      <c r="R413" s="6"/>
    </row>
    <row r="414" spans="1:18" ht="36" customHeight="1" x14ac:dyDescent="0.25"/>
  </sheetData>
  <autoFilter ref="L18:P233" xr:uid="{00000000-0001-0000-0000-000000000000}"/>
  <mergeCells count="37">
    <mergeCell ref="R16:R17"/>
    <mergeCell ref="A402:N402"/>
    <mergeCell ref="A403:N403"/>
    <mergeCell ref="A404:N404"/>
    <mergeCell ref="A405:N405"/>
    <mergeCell ref="M16:Q16"/>
    <mergeCell ref="A16:A17"/>
    <mergeCell ref="B16:B17"/>
    <mergeCell ref="C16:C17"/>
    <mergeCell ref="D16:D17"/>
    <mergeCell ref="E16:E17"/>
    <mergeCell ref="F16:F17"/>
    <mergeCell ref="A410:N410"/>
    <mergeCell ref="A411:N411"/>
    <mergeCell ref="A412:N412"/>
    <mergeCell ref="I16:I17"/>
    <mergeCell ref="J16:J17"/>
    <mergeCell ref="K16:K17"/>
    <mergeCell ref="A408:N408"/>
    <mergeCell ref="A406:N406"/>
    <mergeCell ref="A407:N407"/>
    <mergeCell ref="T268:U268"/>
    <mergeCell ref="A413:N413"/>
    <mergeCell ref="A13:R13"/>
    <mergeCell ref="M1:R2"/>
    <mergeCell ref="M7:R7"/>
    <mergeCell ref="A11:R11"/>
    <mergeCell ref="A10:R10"/>
    <mergeCell ref="A12:R12"/>
    <mergeCell ref="M4:R4"/>
    <mergeCell ref="M5:R5"/>
    <mergeCell ref="A14:Q14"/>
    <mergeCell ref="A15:K15"/>
    <mergeCell ref="L15:R15"/>
    <mergeCell ref="G16:G17"/>
    <mergeCell ref="H16:H17"/>
    <mergeCell ref="A409:N409"/>
  </mergeCells>
  <phoneticPr fontId="45" type="noConversion"/>
  <pageMargins left="0.25" right="0.25" top="0.75" bottom="0.75" header="0.3" footer="0.3"/>
  <pageSetup paperSize="9" scale="28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A69F-FE93-4D00-ADD0-008E875B0549}">
  <sheetPr>
    <tabColor rgb="FFFFFF00"/>
    <pageSetUpPr fitToPage="1"/>
  </sheetPr>
  <dimension ref="A1:U420"/>
  <sheetViews>
    <sheetView topLeftCell="L145" zoomScale="70" zoomScaleNormal="70" workbookViewId="0">
      <selection activeCell="L45" sqref="L45:O45"/>
    </sheetView>
  </sheetViews>
  <sheetFormatPr defaultRowHeight="15" x14ac:dyDescent="0.25"/>
  <cols>
    <col min="1" max="1" width="6.7109375" style="4" customWidth="1"/>
    <col min="2" max="2" width="63.140625" customWidth="1"/>
    <col min="3" max="3" width="10.42578125" style="4" customWidth="1"/>
    <col min="4" max="4" width="11.140625" style="4" customWidth="1"/>
    <col min="5" max="5" width="13.140625" style="4" customWidth="1"/>
    <col min="6" max="6" width="20.140625" style="4" customWidth="1"/>
    <col min="7" max="11" width="13.140625" style="4" customWidth="1"/>
    <col min="12" max="12" width="17.28515625" style="4" customWidth="1"/>
    <col min="13" max="13" width="61" customWidth="1"/>
    <col min="14" max="16" width="11.7109375" style="5" customWidth="1"/>
    <col min="17" max="17" width="15.42578125" style="5" bestFit="1" customWidth="1"/>
    <col min="18" max="18" width="35.42578125" customWidth="1"/>
    <col min="19" max="19" width="12.140625" bestFit="1" customWidth="1"/>
    <col min="21" max="21" width="9.85546875" bestFit="1" customWidth="1"/>
  </cols>
  <sheetData>
    <row r="1" spans="1:20" ht="15.75" customHeight="1" x14ac:dyDescent="0.25">
      <c r="A1" s="2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236" t="s">
        <v>26</v>
      </c>
      <c r="N1" s="236"/>
      <c r="O1" s="236"/>
      <c r="P1" s="236"/>
      <c r="Q1" s="236"/>
      <c r="R1" s="236"/>
      <c r="S1" s="18"/>
      <c r="T1" s="18"/>
    </row>
    <row r="2" spans="1:20" ht="15" customHeight="1" x14ac:dyDescent="0.25">
      <c r="A2" s="2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237"/>
      <c r="N2" s="237"/>
      <c r="O2" s="237"/>
      <c r="P2" s="237"/>
      <c r="Q2" s="237"/>
      <c r="R2" s="237"/>
      <c r="S2" s="18"/>
      <c r="T2" s="18"/>
    </row>
    <row r="3" spans="1:20" ht="15.75" x14ac:dyDescent="0.25">
      <c r="A3" s="2"/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10"/>
      <c r="N3" s="10"/>
      <c r="O3" s="10"/>
      <c r="P3" s="10"/>
      <c r="Q3" s="10"/>
      <c r="R3" s="10"/>
      <c r="S3" s="18"/>
      <c r="T3" s="18"/>
    </row>
    <row r="4" spans="1:20" ht="23.25" x14ac:dyDescent="0.35">
      <c r="A4" s="2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240" t="s">
        <v>27</v>
      </c>
      <c r="N4" s="240"/>
      <c r="O4" s="240"/>
      <c r="P4" s="240"/>
      <c r="Q4" s="240"/>
      <c r="R4" s="240"/>
      <c r="S4" s="18"/>
      <c r="T4" s="18"/>
    </row>
    <row r="5" spans="1:20" ht="21" x14ac:dyDescent="0.35">
      <c r="A5" s="2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241" t="s">
        <v>28</v>
      </c>
      <c r="N5" s="241"/>
      <c r="O5" s="241"/>
      <c r="P5" s="241"/>
      <c r="Q5" s="241"/>
      <c r="R5" s="241"/>
      <c r="S5" s="18"/>
      <c r="T5" s="18"/>
    </row>
    <row r="6" spans="1:20" ht="15.75" x14ac:dyDescent="0.25">
      <c r="A6" s="2"/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2"/>
      <c r="N6" s="14"/>
      <c r="O6" s="14"/>
      <c r="P6" s="15"/>
      <c r="Q6" s="16"/>
      <c r="R6" s="17"/>
      <c r="S6" s="18"/>
      <c r="T6" s="18"/>
    </row>
    <row r="7" spans="1:20" ht="18.75" x14ac:dyDescent="0.3">
      <c r="A7" s="2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238" t="s">
        <v>33</v>
      </c>
      <c r="N7" s="238"/>
      <c r="O7" s="238"/>
      <c r="P7" s="238"/>
      <c r="Q7" s="238"/>
      <c r="R7" s="238"/>
      <c r="S7" s="18"/>
      <c r="T7" s="18"/>
    </row>
    <row r="8" spans="1:20" ht="15.75" x14ac:dyDescent="0.25">
      <c r="A8" s="2"/>
      <c r="B8" s="1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S8" s="18"/>
      <c r="T8" s="18"/>
    </row>
    <row r="9" spans="1:20" ht="15.75" x14ac:dyDescent="0.25">
      <c r="A9" s="2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S9" s="18"/>
      <c r="T9" s="18"/>
    </row>
    <row r="10" spans="1:20" ht="18" customHeight="1" x14ac:dyDescent="0.25">
      <c r="A10" s="239" t="s">
        <v>0</v>
      </c>
      <c r="B10" s="239"/>
      <c r="C10" s="239"/>
      <c r="D10" s="239"/>
      <c r="E10" s="239"/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18"/>
      <c r="T10" s="18"/>
    </row>
    <row r="11" spans="1:20" ht="18" customHeight="1" x14ac:dyDescent="0.25">
      <c r="A11" s="239" t="s">
        <v>1</v>
      </c>
      <c r="B11" s="239"/>
      <c r="C11" s="239"/>
      <c r="D11" s="239"/>
      <c r="E11" s="239"/>
      <c r="F11" s="239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39"/>
      <c r="R11" s="239"/>
      <c r="S11" s="18"/>
      <c r="T11" s="18"/>
    </row>
    <row r="12" spans="1:20" ht="18" customHeight="1" x14ac:dyDescent="0.25">
      <c r="A12" s="239" t="s">
        <v>2</v>
      </c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18"/>
      <c r="T12" s="18"/>
    </row>
    <row r="13" spans="1:20" ht="63.6" customHeight="1" x14ac:dyDescent="0.25">
      <c r="A13" s="234" t="s">
        <v>720</v>
      </c>
      <c r="B13" s="235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</row>
    <row r="14" spans="1:20" ht="27" customHeight="1" thickBot="1" x14ac:dyDescent="0.3">
      <c r="A14" s="242" t="s">
        <v>36</v>
      </c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2"/>
      <c r="Q14" s="242"/>
    </row>
    <row r="15" spans="1:20" ht="30.6" customHeight="1" thickBot="1" x14ac:dyDescent="0.3">
      <c r="A15" s="243" t="s">
        <v>24</v>
      </c>
      <c r="B15" s="244"/>
      <c r="C15" s="244"/>
      <c r="D15" s="244"/>
      <c r="E15" s="244"/>
      <c r="F15" s="244"/>
      <c r="G15" s="244"/>
      <c r="H15" s="244"/>
      <c r="I15" s="244"/>
      <c r="J15" s="244"/>
      <c r="K15" s="244"/>
      <c r="L15" s="245" t="s">
        <v>25</v>
      </c>
      <c r="M15" s="246"/>
      <c r="N15" s="246"/>
      <c r="O15" s="246"/>
      <c r="P15" s="246"/>
      <c r="Q15" s="246"/>
      <c r="R15" s="247"/>
    </row>
    <row r="16" spans="1:20" ht="15" customHeight="1" x14ac:dyDescent="0.25">
      <c r="A16" s="259" t="s">
        <v>3</v>
      </c>
      <c r="B16" s="261" t="s">
        <v>4</v>
      </c>
      <c r="C16" s="261"/>
      <c r="D16" s="248" t="s">
        <v>5</v>
      </c>
      <c r="E16" s="261" t="s">
        <v>6</v>
      </c>
      <c r="F16" s="263"/>
      <c r="G16" s="248"/>
      <c r="H16" s="248"/>
      <c r="I16" s="251"/>
      <c r="J16" s="248" t="s">
        <v>21</v>
      </c>
      <c r="K16" s="253" t="s">
        <v>22</v>
      </c>
      <c r="L16" s="21"/>
      <c r="M16" s="256" t="s">
        <v>7</v>
      </c>
      <c r="N16" s="257"/>
      <c r="O16" s="257"/>
      <c r="P16" s="257"/>
      <c r="Q16" s="258"/>
      <c r="R16" s="253" t="s">
        <v>8</v>
      </c>
    </row>
    <row r="17" spans="1:18" ht="34.15" customHeight="1" x14ac:dyDescent="0.25">
      <c r="A17" s="260"/>
      <c r="B17" s="262"/>
      <c r="C17" s="262"/>
      <c r="D17" s="249"/>
      <c r="E17" s="262"/>
      <c r="F17" s="249"/>
      <c r="G17" s="249"/>
      <c r="H17" s="249"/>
      <c r="I17" s="252"/>
      <c r="J17" s="249"/>
      <c r="K17" s="254"/>
      <c r="L17" s="22" t="s">
        <v>20</v>
      </c>
      <c r="M17" s="19" t="s">
        <v>9</v>
      </c>
      <c r="N17" s="23" t="s">
        <v>10</v>
      </c>
      <c r="O17" s="12" t="s">
        <v>6</v>
      </c>
      <c r="P17" s="13" t="s">
        <v>21</v>
      </c>
      <c r="Q17" s="13" t="s">
        <v>22</v>
      </c>
      <c r="R17" s="254"/>
    </row>
    <row r="18" spans="1:18" ht="15.75" thickBot="1" x14ac:dyDescent="0.3">
      <c r="A18" s="26">
        <v>1</v>
      </c>
      <c r="B18" s="27">
        <v>2</v>
      </c>
      <c r="C18" s="27"/>
      <c r="D18" s="27">
        <v>3</v>
      </c>
      <c r="E18" s="27">
        <v>4</v>
      </c>
      <c r="F18" s="27"/>
      <c r="G18" s="27"/>
      <c r="H18" s="27"/>
      <c r="I18" s="79"/>
      <c r="J18" s="27">
        <v>5</v>
      </c>
      <c r="K18" s="28">
        <v>6</v>
      </c>
      <c r="L18" s="88">
        <v>7</v>
      </c>
      <c r="M18" s="12">
        <v>8</v>
      </c>
      <c r="N18" s="12">
        <v>9</v>
      </c>
      <c r="O18" s="12">
        <v>10</v>
      </c>
      <c r="P18" s="19">
        <v>11</v>
      </c>
      <c r="Q18" s="19">
        <v>12</v>
      </c>
      <c r="R18" s="102">
        <v>13</v>
      </c>
    </row>
    <row r="19" spans="1:18" ht="33.6" customHeight="1" x14ac:dyDescent="0.25">
      <c r="A19" s="65"/>
      <c r="B19" s="85" t="s">
        <v>721</v>
      </c>
      <c r="C19" s="85"/>
      <c r="D19" s="85" t="s">
        <v>34</v>
      </c>
      <c r="E19" s="85">
        <v>1</v>
      </c>
      <c r="F19" s="74"/>
      <c r="G19" s="74"/>
      <c r="H19" s="74"/>
      <c r="I19" s="74"/>
      <c r="J19" s="74"/>
      <c r="K19" s="74"/>
      <c r="L19" s="68" t="s">
        <v>519</v>
      </c>
      <c r="M19" s="57" t="s">
        <v>162</v>
      </c>
      <c r="N19" s="70" t="s">
        <v>34</v>
      </c>
      <c r="O19" s="70">
        <v>1</v>
      </c>
      <c r="P19" s="97">
        <f>VLOOKUP(L19,[2]TDSheet!B$10:E$365,4,FALSE)</f>
        <v>3</v>
      </c>
      <c r="Q19" s="97">
        <f>P19-O19</f>
        <v>2</v>
      </c>
      <c r="R19" s="101">
        <f>VLOOKUP(L19,[3]TDSheet!B$10:E$436,4,FALSE)</f>
        <v>1</v>
      </c>
    </row>
    <row r="20" spans="1:18" ht="15.75" x14ac:dyDescent="0.25">
      <c r="A20" s="56"/>
      <c r="B20" s="64"/>
      <c r="C20" s="52"/>
      <c r="D20" s="66"/>
      <c r="E20" s="67"/>
      <c r="F20" s="80"/>
      <c r="G20" s="81"/>
      <c r="H20" s="81"/>
      <c r="I20" s="53"/>
      <c r="J20" s="53"/>
      <c r="K20" s="53"/>
      <c r="L20" s="86" t="s">
        <v>271</v>
      </c>
      <c r="M20" s="87" t="s">
        <v>272</v>
      </c>
      <c r="N20" s="55" t="s">
        <v>34</v>
      </c>
      <c r="O20" s="89">
        <v>6</v>
      </c>
      <c r="P20" s="97">
        <f>VLOOKUP(L20,[2]TDSheet!B$10:E$365,4,FALSE)</f>
        <v>24</v>
      </c>
      <c r="Q20" s="97">
        <f t="shared" ref="Q20:Q83" si="0">P20-O20</f>
        <v>18</v>
      </c>
      <c r="R20" s="101">
        <f>VLOOKUP(L20,[3]TDSheet!B$10:E$436,4,FALSE)</f>
        <v>24</v>
      </c>
    </row>
    <row r="21" spans="1:18" ht="15.75" x14ac:dyDescent="0.25">
      <c r="A21" s="56"/>
      <c r="B21" s="64"/>
      <c r="C21" s="52"/>
      <c r="D21" s="66"/>
      <c r="E21" s="67"/>
      <c r="F21" s="80"/>
      <c r="G21" s="81"/>
      <c r="H21" s="81"/>
      <c r="I21" s="53"/>
      <c r="J21" s="53"/>
      <c r="K21" s="53"/>
      <c r="L21" s="86" t="s">
        <v>58</v>
      </c>
      <c r="M21" s="87" t="s">
        <v>67</v>
      </c>
      <c r="N21" s="55" t="s">
        <v>34</v>
      </c>
      <c r="O21" s="89">
        <v>16</v>
      </c>
      <c r="P21" s="97">
        <f>VLOOKUP(L21,[2]TDSheet!B$10:E$365,4,FALSE)</f>
        <v>59</v>
      </c>
      <c r="Q21" s="97">
        <f t="shared" si="0"/>
        <v>43</v>
      </c>
      <c r="R21" s="101">
        <f>VLOOKUP(L21,[3]TDSheet!B$10:E$436,4,FALSE)</f>
        <v>59</v>
      </c>
    </row>
    <row r="22" spans="1:18" ht="31.5" x14ac:dyDescent="0.25">
      <c r="A22" s="56"/>
      <c r="B22" s="64"/>
      <c r="C22" s="52"/>
      <c r="D22" s="66"/>
      <c r="E22" s="67"/>
      <c r="F22" s="80"/>
      <c r="G22" s="81"/>
      <c r="H22" s="81"/>
      <c r="I22" s="53"/>
      <c r="J22" s="53"/>
      <c r="K22" s="53"/>
      <c r="L22" s="86" t="s">
        <v>273</v>
      </c>
      <c r="M22" s="87" t="s">
        <v>274</v>
      </c>
      <c r="N22" s="55" t="s">
        <v>34</v>
      </c>
      <c r="O22" s="89">
        <v>3</v>
      </c>
      <c r="P22" s="97">
        <f>VLOOKUP(L22,[2]TDSheet!B$10:E$365,4,FALSE)</f>
        <v>12</v>
      </c>
      <c r="Q22" s="97">
        <f t="shared" si="0"/>
        <v>9</v>
      </c>
      <c r="R22" s="101">
        <f>VLOOKUP(L22,[3]TDSheet!B$10:E$436,4,FALSE)</f>
        <v>12</v>
      </c>
    </row>
    <row r="23" spans="1:18" ht="15.75" x14ac:dyDescent="0.25">
      <c r="A23" s="58"/>
      <c r="B23" s="59"/>
      <c r="C23" s="59"/>
      <c r="D23" s="59"/>
      <c r="E23" s="60"/>
      <c r="F23" s="80"/>
      <c r="G23" s="81"/>
      <c r="H23" s="81"/>
      <c r="I23" s="53"/>
      <c r="J23" s="75"/>
      <c r="K23" s="75"/>
      <c r="L23" s="86" t="s">
        <v>275</v>
      </c>
      <c r="M23" s="61" t="s">
        <v>276</v>
      </c>
      <c r="N23" s="55" t="s">
        <v>34</v>
      </c>
      <c r="O23" s="62">
        <v>1</v>
      </c>
      <c r="P23" s="97">
        <f>VLOOKUP(L23,[2]TDSheet!B$10:E$365,4,FALSE)</f>
        <v>4</v>
      </c>
      <c r="Q23" s="97">
        <f t="shared" si="0"/>
        <v>3</v>
      </c>
      <c r="R23" s="101">
        <f>VLOOKUP(L23,[3]TDSheet!B$10:E$436,4,FALSE)</f>
        <v>3</v>
      </c>
    </row>
    <row r="24" spans="1:18" ht="15.75" x14ac:dyDescent="0.25">
      <c r="A24" s="58"/>
      <c r="B24" s="59"/>
      <c r="C24" s="59"/>
      <c r="D24" s="59"/>
      <c r="E24" s="60"/>
      <c r="F24" s="80"/>
      <c r="G24" s="81"/>
      <c r="H24" s="81"/>
      <c r="I24" s="53"/>
      <c r="J24" s="75"/>
      <c r="K24" s="75"/>
      <c r="L24" s="63">
        <v>355</v>
      </c>
      <c r="M24" s="61" t="s">
        <v>163</v>
      </c>
      <c r="N24" s="55" t="s">
        <v>34</v>
      </c>
      <c r="O24" s="61">
        <v>2</v>
      </c>
      <c r="P24" s="97">
        <f>VLOOKUP(L24,[2]TDSheet!B$10:E$365,4,FALSE)</f>
        <v>3</v>
      </c>
      <c r="Q24" s="97">
        <f t="shared" si="0"/>
        <v>1</v>
      </c>
      <c r="R24" s="101" t="e">
        <f>VLOOKUP(L24,[3]TDSheet!B$10:E$436,4,FALSE)</f>
        <v>#N/A</v>
      </c>
    </row>
    <row r="25" spans="1:18" ht="15.75" x14ac:dyDescent="0.25">
      <c r="A25" s="58"/>
      <c r="B25" s="59"/>
      <c r="C25" s="59"/>
      <c r="D25" s="59"/>
      <c r="E25" s="60"/>
      <c r="F25" s="80"/>
      <c r="G25" s="81"/>
      <c r="H25" s="81"/>
      <c r="I25" s="53"/>
      <c r="J25" s="75"/>
      <c r="K25" s="75"/>
      <c r="L25" s="63" t="s">
        <v>277</v>
      </c>
      <c r="M25" s="61" t="s">
        <v>278</v>
      </c>
      <c r="N25" s="55" t="s">
        <v>34</v>
      </c>
      <c r="O25" s="61">
        <v>2</v>
      </c>
      <c r="P25" s="97">
        <f>VLOOKUP(L25,[2]TDSheet!B$10:E$365,4,FALSE)</f>
        <v>4</v>
      </c>
      <c r="Q25" s="97">
        <f t="shared" si="0"/>
        <v>2</v>
      </c>
      <c r="R25" s="101">
        <f>VLOOKUP(L25,[3]TDSheet!B$10:E$436,4,FALSE)</f>
        <v>2</v>
      </c>
    </row>
    <row r="26" spans="1:18" ht="15.75" x14ac:dyDescent="0.25">
      <c r="A26" s="58"/>
      <c r="B26" s="59"/>
      <c r="C26" s="59"/>
      <c r="D26" s="59"/>
      <c r="E26" s="60"/>
      <c r="F26" s="80"/>
      <c r="G26" s="81"/>
      <c r="H26" s="81"/>
      <c r="I26" s="53"/>
      <c r="J26" s="75"/>
      <c r="K26" s="75"/>
      <c r="L26" s="63">
        <v>601</v>
      </c>
      <c r="M26" s="61" t="s">
        <v>69</v>
      </c>
      <c r="N26" s="55" t="s">
        <v>45</v>
      </c>
      <c r="O26" s="61">
        <v>110</v>
      </c>
      <c r="P26" s="97">
        <f>VLOOKUP(L26,[2]TDSheet!B$10:E$365,4,FALSE)</f>
        <v>112</v>
      </c>
      <c r="Q26" s="97">
        <f t="shared" si="0"/>
        <v>2</v>
      </c>
      <c r="R26" s="101" t="e">
        <f>VLOOKUP(L26,[3]TDSheet!B$10:E$436,4,FALSE)</f>
        <v>#N/A</v>
      </c>
    </row>
    <row r="27" spans="1:18" ht="15.75" x14ac:dyDescent="0.25">
      <c r="A27" s="58"/>
      <c r="B27" s="59"/>
      <c r="C27" s="59"/>
      <c r="D27" s="59"/>
      <c r="E27" s="60"/>
      <c r="F27" s="80"/>
      <c r="G27" s="81"/>
      <c r="H27" s="81"/>
      <c r="I27" s="53"/>
      <c r="J27" s="75"/>
      <c r="K27" s="75"/>
      <c r="L27" s="63">
        <v>18520</v>
      </c>
      <c r="M27" s="61" t="s">
        <v>70</v>
      </c>
      <c r="N27" s="55" t="s">
        <v>56</v>
      </c>
      <c r="O27" s="61">
        <v>0.26500000000000001</v>
      </c>
      <c r="P27" s="97">
        <f>VLOOKUP(L27,[2]TDSheet!B$10:E$365,4,FALSE)</f>
        <v>1.085</v>
      </c>
      <c r="Q27" s="97">
        <f t="shared" si="0"/>
        <v>0.82</v>
      </c>
      <c r="R27" s="101" t="e">
        <f>VLOOKUP(L27,[3]TDSheet!B$10:E$436,4,FALSE)</f>
        <v>#N/A</v>
      </c>
    </row>
    <row r="28" spans="1:18" ht="15.75" x14ac:dyDescent="0.25">
      <c r="A28" s="58"/>
      <c r="B28" s="59"/>
      <c r="C28" s="59"/>
      <c r="D28" s="59"/>
      <c r="E28" s="60"/>
      <c r="F28" s="80"/>
      <c r="G28" s="81"/>
      <c r="H28" s="81"/>
      <c r="I28" s="53"/>
      <c r="J28" s="75"/>
      <c r="K28" s="75"/>
      <c r="L28" s="63">
        <v>18382</v>
      </c>
      <c r="M28" s="61" t="s">
        <v>71</v>
      </c>
      <c r="N28" s="55" t="s">
        <v>56</v>
      </c>
      <c r="O28" s="61">
        <v>0.5</v>
      </c>
      <c r="P28" s="97">
        <f>VLOOKUP(L28,[2]TDSheet!B$10:E$365,4,FALSE)</f>
        <v>2.1709999999999998</v>
      </c>
      <c r="Q28" s="97">
        <f t="shared" si="0"/>
        <v>1.6709999999999998</v>
      </c>
      <c r="R28" s="101" t="e">
        <f>VLOOKUP(L28,[3]TDSheet!B$10:E$436,4,FALSE)</f>
        <v>#N/A</v>
      </c>
    </row>
    <row r="29" spans="1:18" ht="15.75" x14ac:dyDescent="0.25">
      <c r="A29" s="58"/>
      <c r="B29" s="59"/>
      <c r="C29" s="59"/>
      <c r="D29" s="59"/>
      <c r="E29" s="60"/>
      <c r="F29" s="80"/>
      <c r="G29" s="81"/>
      <c r="H29" s="81"/>
      <c r="I29" s="53"/>
      <c r="J29" s="75"/>
      <c r="K29" s="75"/>
      <c r="L29" s="63">
        <v>18518</v>
      </c>
      <c r="M29" s="61" t="s">
        <v>72</v>
      </c>
      <c r="N29" s="55" t="s">
        <v>56</v>
      </c>
      <c r="O29" s="96">
        <f>0.012+0.012+0.009+0.034</f>
        <v>6.7000000000000004E-2</v>
      </c>
      <c r="P29" s="97">
        <f>VLOOKUP(L29,[2]TDSheet!B$10:E$365,4,FALSE)</f>
        <v>0.17499999999999999</v>
      </c>
      <c r="Q29" s="97">
        <f t="shared" si="0"/>
        <v>0.10799999999999998</v>
      </c>
      <c r="R29" s="101" t="e">
        <f>VLOOKUP(L29,[3]TDSheet!B$10:E$436,4,FALSE)</f>
        <v>#N/A</v>
      </c>
    </row>
    <row r="30" spans="1:18" ht="15.75" x14ac:dyDescent="0.25">
      <c r="A30" s="58"/>
      <c r="B30" s="59"/>
      <c r="C30" s="59"/>
      <c r="D30" s="59"/>
      <c r="E30" s="60"/>
      <c r="F30" s="80"/>
      <c r="G30" s="81"/>
      <c r="H30" s="81"/>
      <c r="I30" s="53"/>
      <c r="J30" s="75"/>
      <c r="K30" s="75"/>
      <c r="L30" s="63">
        <v>599</v>
      </c>
      <c r="M30" s="61" t="s">
        <v>73</v>
      </c>
      <c r="N30" s="55" t="s">
        <v>34</v>
      </c>
      <c r="O30" s="61">
        <v>10</v>
      </c>
      <c r="P30" s="97">
        <f>VLOOKUP(L30,[2]TDSheet!B$10:E$365,4,FALSE)</f>
        <v>35</v>
      </c>
      <c r="Q30" s="97">
        <f t="shared" si="0"/>
        <v>25</v>
      </c>
      <c r="R30" s="101" t="e">
        <f>VLOOKUP(L30,[3]TDSheet!B$10:E$436,4,FALSE)</f>
        <v>#N/A</v>
      </c>
    </row>
    <row r="31" spans="1:18" ht="15.75" x14ac:dyDescent="0.25">
      <c r="A31" s="58"/>
      <c r="B31" s="59"/>
      <c r="C31" s="59"/>
      <c r="D31" s="59"/>
      <c r="E31" s="60"/>
      <c r="F31" s="80"/>
      <c r="G31" s="81"/>
      <c r="H31" s="81"/>
      <c r="I31" s="53"/>
      <c r="J31" s="75"/>
      <c r="K31" s="75"/>
      <c r="L31" s="63">
        <v>616</v>
      </c>
      <c r="M31" s="61" t="s">
        <v>279</v>
      </c>
      <c r="N31" s="55" t="s">
        <v>34</v>
      </c>
      <c r="O31" s="61">
        <v>2</v>
      </c>
      <c r="P31" s="97">
        <f>VLOOKUP(L31,[2]TDSheet!B$10:E$365,4,FALSE)</f>
        <v>8</v>
      </c>
      <c r="Q31" s="97">
        <f t="shared" si="0"/>
        <v>6</v>
      </c>
      <c r="R31" s="101" t="e">
        <f>VLOOKUP(L31,[3]TDSheet!B$10:E$436,4,FALSE)</f>
        <v>#N/A</v>
      </c>
    </row>
    <row r="32" spans="1:18" ht="15.75" x14ac:dyDescent="0.25">
      <c r="A32" s="58"/>
      <c r="B32" s="59"/>
      <c r="C32" s="59"/>
      <c r="D32" s="59"/>
      <c r="E32" s="60"/>
      <c r="F32" s="80"/>
      <c r="G32" s="81"/>
      <c r="H32" s="81"/>
      <c r="I32" s="53"/>
      <c r="J32" s="75"/>
      <c r="K32" s="75"/>
      <c r="L32" s="63" t="s">
        <v>280</v>
      </c>
      <c r="M32" s="61" t="s">
        <v>281</v>
      </c>
      <c r="N32" s="55" t="s">
        <v>34</v>
      </c>
      <c r="O32" s="61">
        <v>1</v>
      </c>
      <c r="P32" s="97">
        <f>VLOOKUP(L32,[2]TDSheet!B$10:E$365,4,FALSE)</f>
        <v>4</v>
      </c>
      <c r="Q32" s="97">
        <f t="shared" si="0"/>
        <v>3</v>
      </c>
      <c r="R32" s="101">
        <f>VLOOKUP(L32,[3]TDSheet!B$10:E$436,4,FALSE)</f>
        <v>4</v>
      </c>
    </row>
    <row r="33" spans="1:18" ht="15.75" x14ac:dyDescent="0.25">
      <c r="A33" s="58"/>
      <c r="B33" s="59"/>
      <c r="C33" s="59"/>
      <c r="D33" s="59"/>
      <c r="E33" s="60"/>
      <c r="F33" s="80"/>
      <c r="G33" s="81"/>
      <c r="H33" s="81"/>
      <c r="I33" s="53"/>
      <c r="J33" s="75"/>
      <c r="K33" s="75"/>
      <c r="L33" s="63" t="s">
        <v>164</v>
      </c>
      <c r="M33" s="61" t="s">
        <v>165</v>
      </c>
      <c r="N33" s="55" t="s">
        <v>34</v>
      </c>
      <c r="O33" s="61">
        <v>1</v>
      </c>
      <c r="P33" s="97">
        <f>VLOOKUP(L33,[2]TDSheet!B$10:E$365,4,FALSE)</f>
        <v>4</v>
      </c>
      <c r="Q33" s="97">
        <f t="shared" si="0"/>
        <v>3</v>
      </c>
      <c r="R33" s="101">
        <f>VLOOKUP(L33,[3]TDSheet!B$10:E$436,4,FALSE)</f>
        <v>4</v>
      </c>
    </row>
    <row r="34" spans="1:18" ht="15.75" x14ac:dyDescent="0.25">
      <c r="A34" s="58"/>
      <c r="B34" s="59"/>
      <c r="C34" s="59"/>
      <c r="D34" s="59"/>
      <c r="E34" s="60"/>
      <c r="F34" s="80"/>
      <c r="G34" s="81"/>
      <c r="H34" s="81"/>
      <c r="I34" s="53"/>
      <c r="J34" s="75"/>
      <c r="K34" s="75"/>
      <c r="L34" s="63" t="s">
        <v>282</v>
      </c>
      <c r="M34" s="61" t="s">
        <v>283</v>
      </c>
      <c r="N34" s="55" t="s">
        <v>34</v>
      </c>
      <c r="O34" s="61">
        <v>7</v>
      </c>
      <c r="P34" s="97">
        <f>VLOOKUP(L34,[2]TDSheet!B$10:E$365,4,FALSE)</f>
        <v>33</v>
      </c>
      <c r="Q34" s="97">
        <f t="shared" si="0"/>
        <v>26</v>
      </c>
      <c r="R34" s="101">
        <f>VLOOKUP(L34,[3]TDSheet!B$10:E$436,4,FALSE)</f>
        <v>33</v>
      </c>
    </row>
    <row r="35" spans="1:18" ht="15.75" x14ac:dyDescent="0.25">
      <c r="A35" s="58"/>
      <c r="B35" s="59"/>
      <c r="C35" s="59"/>
      <c r="D35" s="59"/>
      <c r="E35" s="60"/>
      <c r="F35" s="80"/>
      <c r="G35" s="81"/>
      <c r="H35" s="81"/>
      <c r="I35" s="53"/>
      <c r="J35" s="75"/>
      <c r="K35" s="75"/>
      <c r="L35" s="63">
        <v>486</v>
      </c>
      <c r="M35" s="61" t="s">
        <v>284</v>
      </c>
      <c r="N35" s="55" t="s">
        <v>34</v>
      </c>
      <c r="O35" s="61">
        <v>4</v>
      </c>
      <c r="P35" s="97">
        <f>VLOOKUP(L35,[2]TDSheet!B$10:E$365,4,FALSE)</f>
        <v>16</v>
      </c>
      <c r="Q35" s="97">
        <f t="shared" si="0"/>
        <v>12</v>
      </c>
      <c r="R35" s="101" t="e">
        <f>VLOOKUP(L35,[3]TDSheet!B$10:E$436,4,FALSE)</f>
        <v>#N/A</v>
      </c>
    </row>
    <row r="36" spans="1:18" ht="15.75" x14ac:dyDescent="0.25">
      <c r="A36" s="58"/>
      <c r="B36" s="59"/>
      <c r="C36" s="59"/>
      <c r="D36" s="59"/>
      <c r="E36" s="60"/>
      <c r="F36" s="80"/>
      <c r="G36" s="81"/>
      <c r="H36" s="81"/>
      <c r="I36" s="53"/>
      <c r="J36" s="75"/>
      <c r="K36" s="75"/>
      <c r="L36" s="63">
        <v>17002</v>
      </c>
      <c r="M36" s="61" t="s">
        <v>285</v>
      </c>
      <c r="N36" s="55" t="s">
        <v>34</v>
      </c>
      <c r="O36" s="61">
        <v>4</v>
      </c>
      <c r="P36" s="97">
        <f>VLOOKUP(L36,[2]TDSheet!B$10:E$365,4,FALSE)</f>
        <v>16</v>
      </c>
      <c r="Q36" s="97">
        <f t="shared" si="0"/>
        <v>12</v>
      </c>
      <c r="R36" s="101" t="e">
        <f>VLOOKUP(L36,[3]TDSheet!B$10:E$436,4,FALSE)</f>
        <v>#N/A</v>
      </c>
    </row>
    <row r="37" spans="1:18" ht="15.75" x14ac:dyDescent="0.25">
      <c r="A37" s="58"/>
      <c r="B37" s="59"/>
      <c r="C37" s="59"/>
      <c r="D37" s="59"/>
      <c r="E37" s="60"/>
      <c r="F37" s="80"/>
      <c r="G37" s="81"/>
      <c r="H37" s="81"/>
      <c r="I37" s="53"/>
      <c r="J37" s="75"/>
      <c r="K37" s="75"/>
      <c r="L37" s="63" t="s">
        <v>286</v>
      </c>
      <c r="M37" s="61" t="s">
        <v>287</v>
      </c>
      <c r="N37" s="55" t="s">
        <v>34</v>
      </c>
      <c r="O37" s="61">
        <v>3</v>
      </c>
      <c r="P37" s="97">
        <f>VLOOKUP(L37,[2]TDSheet!B$10:E$365,4,FALSE)</f>
        <v>12</v>
      </c>
      <c r="Q37" s="97">
        <f t="shared" si="0"/>
        <v>9</v>
      </c>
      <c r="R37" s="101">
        <f>VLOOKUP(L37,[3]TDSheet!B$10:E$436,4,FALSE)</f>
        <v>12</v>
      </c>
    </row>
    <row r="38" spans="1:18" ht="15.75" x14ac:dyDescent="0.25">
      <c r="A38" s="58"/>
      <c r="B38" s="59"/>
      <c r="C38" s="59"/>
      <c r="D38" s="59"/>
      <c r="E38" s="60"/>
      <c r="F38" s="80"/>
      <c r="G38" s="81"/>
      <c r="H38" s="81"/>
      <c r="I38" s="53"/>
      <c r="J38" s="75"/>
      <c r="K38" s="75"/>
      <c r="L38" s="63">
        <v>10911</v>
      </c>
      <c r="M38" s="61" t="s">
        <v>288</v>
      </c>
      <c r="N38" s="55" t="s">
        <v>34</v>
      </c>
      <c r="O38" s="61">
        <v>3</v>
      </c>
      <c r="P38" s="97">
        <f>VLOOKUP(L38,[2]TDSheet!B$10:E$365,4,FALSE)</f>
        <v>1</v>
      </c>
      <c r="Q38" s="97">
        <f t="shared" si="0"/>
        <v>-2</v>
      </c>
      <c r="R38" s="101" t="e">
        <f>VLOOKUP(L38,[3]TDSheet!B$10:E$436,4,FALSE)</f>
        <v>#N/A</v>
      </c>
    </row>
    <row r="39" spans="1:18" ht="15.75" x14ac:dyDescent="0.25">
      <c r="A39" s="58"/>
      <c r="B39" s="59"/>
      <c r="C39" s="59"/>
      <c r="D39" s="59"/>
      <c r="E39" s="60"/>
      <c r="F39" s="80"/>
      <c r="G39" s="81"/>
      <c r="H39" s="81"/>
      <c r="I39" s="53"/>
      <c r="J39" s="75"/>
      <c r="K39" s="75"/>
      <c r="L39" s="63" t="s">
        <v>49</v>
      </c>
      <c r="M39" s="61" t="s">
        <v>74</v>
      </c>
      <c r="N39" s="55" t="s">
        <v>34</v>
      </c>
      <c r="O39" s="61">
        <v>6</v>
      </c>
      <c r="P39" s="97">
        <f>VLOOKUP(L39,[2]TDSheet!B$10:E$365,4,FALSE)</f>
        <v>10</v>
      </c>
      <c r="Q39" s="97">
        <f t="shared" si="0"/>
        <v>4</v>
      </c>
      <c r="R39" s="101">
        <f>VLOOKUP(L39,[3]TDSheet!B$10:E$436,4,FALSE)</f>
        <v>10</v>
      </c>
    </row>
    <row r="40" spans="1:18" ht="15.75" x14ac:dyDescent="0.25">
      <c r="A40" s="58"/>
      <c r="B40" s="59"/>
      <c r="C40" s="59"/>
      <c r="D40" s="59"/>
      <c r="E40" s="60"/>
      <c r="F40" s="80"/>
      <c r="G40" s="81"/>
      <c r="H40" s="81"/>
      <c r="I40" s="53"/>
      <c r="J40" s="75"/>
      <c r="K40" s="75"/>
      <c r="L40" s="63" t="s">
        <v>166</v>
      </c>
      <c r="M40" s="61" t="s">
        <v>167</v>
      </c>
      <c r="N40" s="55" t="s">
        <v>34</v>
      </c>
      <c r="O40" s="61">
        <v>2</v>
      </c>
      <c r="P40" s="97">
        <f>VLOOKUP(L40,[2]TDSheet!B$10:E$365,4,FALSE)</f>
        <v>3</v>
      </c>
      <c r="Q40" s="97">
        <f t="shared" si="0"/>
        <v>1</v>
      </c>
      <c r="R40" s="101">
        <f>VLOOKUP(L40,[3]TDSheet!B$10:E$436,4,FALSE)</f>
        <v>3</v>
      </c>
    </row>
    <row r="41" spans="1:18" ht="15.75" x14ac:dyDescent="0.25">
      <c r="A41" s="58"/>
      <c r="B41" s="59"/>
      <c r="C41" s="59"/>
      <c r="D41" s="59"/>
      <c r="E41" s="60"/>
      <c r="F41" s="80"/>
      <c r="G41" s="81"/>
      <c r="H41" s="81"/>
      <c r="I41" s="53"/>
      <c r="J41" s="75"/>
      <c r="K41" s="75"/>
      <c r="L41" s="63">
        <v>5990</v>
      </c>
      <c r="M41" s="61" t="s">
        <v>75</v>
      </c>
      <c r="N41" s="55" t="s">
        <v>34</v>
      </c>
      <c r="O41" s="61">
        <v>4</v>
      </c>
      <c r="P41" s="97">
        <f>VLOOKUP(L41,[2]TDSheet!B$10:E$365,4,FALSE)</f>
        <v>100</v>
      </c>
      <c r="Q41" s="97">
        <f t="shared" si="0"/>
        <v>96</v>
      </c>
      <c r="R41" s="101" t="e">
        <f>VLOOKUP(L41,[3]TDSheet!B$10:E$436,4,FALSE)</f>
        <v>#N/A</v>
      </c>
    </row>
    <row r="42" spans="1:18" ht="15.75" x14ac:dyDescent="0.25">
      <c r="A42" s="58"/>
      <c r="B42" s="59"/>
      <c r="C42" s="59"/>
      <c r="D42" s="59"/>
      <c r="E42" s="60"/>
      <c r="F42" s="80"/>
      <c r="G42" s="81"/>
      <c r="H42" s="81"/>
      <c r="I42" s="53"/>
      <c r="J42" s="75"/>
      <c r="K42" s="75"/>
      <c r="L42" s="63">
        <v>11093</v>
      </c>
      <c r="M42" s="61" t="s">
        <v>289</v>
      </c>
      <c r="N42" s="55" t="s">
        <v>35</v>
      </c>
      <c r="O42" s="96">
        <v>19</v>
      </c>
      <c r="P42" s="97">
        <f>VLOOKUP(L42,[2]TDSheet!B$10:E$365,4,FALSE)</f>
        <v>28.5</v>
      </c>
      <c r="Q42" s="97">
        <f t="shared" si="0"/>
        <v>9.5</v>
      </c>
      <c r="R42" s="101" t="e">
        <f>VLOOKUP(L42,[3]TDSheet!B$10:E$436,4,FALSE)</f>
        <v>#N/A</v>
      </c>
    </row>
    <row r="43" spans="1:18" ht="15.75" x14ac:dyDescent="0.25">
      <c r="A43" s="58"/>
      <c r="B43" s="59"/>
      <c r="C43" s="59"/>
      <c r="D43" s="59"/>
      <c r="E43" s="60"/>
      <c r="F43" s="80"/>
      <c r="G43" s="81"/>
      <c r="H43" s="81"/>
      <c r="I43" s="53"/>
      <c r="J43" s="75"/>
      <c r="K43" s="75"/>
      <c r="L43" s="99" t="s">
        <v>42</v>
      </c>
      <c r="M43" s="61" t="s">
        <v>76</v>
      </c>
      <c r="N43" s="55" t="s">
        <v>34</v>
      </c>
      <c r="O43" s="96">
        <v>2250</v>
      </c>
      <c r="P43" s="97">
        <f>VLOOKUP(L43,[2]TDSheet!B$10:E$365,4,FALSE)</f>
        <v>1200</v>
      </c>
      <c r="Q43" s="97">
        <f t="shared" si="0"/>
        <v>-1050</v>
      </c>
      <c r="R43" s="101">
        <f>VLOOKUP(L43,[3]TDSheet!B$10:E$436,4,FALSE)</f>
        <v>1150</v>
      </c>
    </row>
    <row r="44" spans="1:18" ht="15.75" x14ac:dyDescent="0.25">
      <c r="A44" s="58"/>
      <c r="B44" s="59"/>
      <c r="C44" s="59"/>
      <c r="D44" s="59"/>
      <c r="E44" s="60"/>
      <c r="F44" s="80"/>
      <c r="G44" s="81"/>
      <c r="H44" s="81"/>
      <c r="I44" s="53"/>
      <c r="J44" s="75"/>
      <c r="K44" s="75"/>
      <c r="L44" s="63" t="s">
        <v>168</v>
      </c>
      <c r="M44" s="61" t="s">
        <v>169</v>
      </c>
      <c r="N44" s="55" t="s">
        <v>34</v>
      </c>
      <c r="O44" s="61">
        <v>2600</v>
      </c>
      <c r="P44" s="97">
        <f>VLOOKUP(L44,[2]TDSheet!B$10:E$365,4,FALSE)</f>
        <v>2600</v>
      </c>
      <c r="Q44" s="97">
        <f t="shared" si="0"/>
        <v>0</v>
      </c>
      <c r="R44" s="101">
        <f>VLOOKUP(L44,[3]TDSheet!B$10:E$436,4,FALSE)</f>
        <v>1100</v>
      </c>
    </row>
    <row r="45" spans="1:18" ht="15.75" x14ac:dyDescent="0.25">
      <c r="A45" s="58"/>
      <c r="B45" s="59"/>
      <c r="C45" s="59"/>
      <c r="D45" s="59"/>
      <c r="E45" s="60"/>
      <c r="F45" s="80"/>
      <c r="G45" s="81"/>
      <c r="H45" s="81"/>
      <c r="I45" s="53"/>
      <c r="J45" s="75"/>
      <c r="K45" s="75"/>
      <c r="L45" s="99">
        <v>5936</v>
      </c>
      <c r="M45" s="61" t="s">
        <v>77</v>
      </c>
      <c r="N45" s="55" t="s">
        <v>34</v>
      </c>
      <c r="O45" s="96">
        <v>3500</v>
      </c>
      <c r="P45" s="97">
        <f>VLOOKUP(L45,[2]TDSheet!B$10:E$365,4,FALSE)</f>
        <v>2750</v>
      </c>
      <c r="Q45" s="97">
        <f t="shared" si="0"/>
        <v>-750</v>
      </c>
      <c r="R45" s="101" t="e">
        <f>VLOOKUP(L45,[3]TDSheet!B$10:E$436,4,FALSE)</f>
        <v>#N/A</v>
      </c>
    </row>
    <row r="46" spans="1:18" ht="15.75" x14ac:dyDescent="0.25">
      <c r="A46" s="58"/>
      <c r="B46" s="59"/>
      <c r="C46" s="59"/>
      <c r="D46" s="59"/>
      <c r="E46" s="60"/>
      <c r="F46" s="80"/>
      <c r="G46" s="81"/>
      <c r="H46" s="81"/>
      <c r="I46" s="53"/>
      <c r="J46" s="75"/>
      <c r="K46" s="75"/>
      <c r="L46" s="63" t="s">
        <v>41</v>
      </c>
      <c r="M46" s="61" t="s">
        <v>78</v>
      </c>
      <c r="N46" s="55" t="s">
        <v>34</v>
      </c>
      <c r="O46" s="61">
        <v>5100</v>
      </c>
      <c r="P46" s="97">
        <f>VLOOKUP(L46,[2]TDSheet!B$10:E$365,4,FALSE)</f>
        <v>2900</v>
      </c>
      <c r="Q46" s="97">
        <f t="shared" si="0"/>
        <v>-2200</v>
      </c>
      <c r="R46" s="101">
        <f>VLOOKUP(L46,[3]TDSheet!B$10:E$436,4,FALSE)</f>
        <v>4000</v>
      </c>
    </row>
    <row r="47" spans="1:18" ht="15.75" x14ac:dyDescent="0.25">
      <c r="A47" s="58"/>
      <c r="B47" s="59"/>
      <c r="C47" s="59"/>
      <c r="D47" s="59"/>
      <c r="E47" s="60"/>
      <c r="F47" s="80"/>
      <c r="G47" s="81"/>
      <c r="H47" s="81"/>
      <c r="I47" s="53"/>
      <c r="J47" s="75"/>
      <c r="K47" s="75"/>
      <c r="L47" s="63" t="s">
        <v>443</v>
      </c>
      <c r="M47" s="61" t="s">
        <v>79</v>
      </c>
      <c r="N47" s="55" t="s">
        <v>34</v>
      </c>
      <c r="O47" s="61">
        <v>1250</v>
      </c>
      <c r="P47" s="97">
        <f>VLOOKUP(L47,[2]TDSheet!B$10:E$365,4,FALSE)</f>
        <v>4750</v>
      </c>
      <c r="Q47" s="97">
        <f t="shared" si="0"/>
        <v>3500</v>
      </c>
      <c r="R47" s="101">
        <f>VLOOKUP(L47,[3]TDSheet!B$10:E$436,4,FALSE)</f>
        <v>4750</v>
      </c>
    </row>
    <row r="48" spans="1:18" ht="15.75" x14ac:dyDescent="0.25">
      <c r="A48" s="58"/>
      <c r="B48" s="59"/>
      <c r="C48" s="59"/>
      <c r="D48" s="59"/>
      <c r="E48" s="60"/>
      <c r="F48" s="80"/>
      <c r="G48" s="81"/>
      <c r="H48" s="81"/>
      <c r="I48" s="53"/>
      <c r="J48" s="75"/>
      <c r="K48" s="75"/>
      <c r="L48" s="63">
        <v>17039</v>
      </c>
      <c r="M48" s="61" t="s">
        <v>290</v>
      </c>
      <c r="N48" s="55" t="s">
        <v>34</v>
      </c>
      <c r="O48" s="61">
        <v>1</v>
      </c>
      <c r="P48" s="97">
        <f>VLOOKUP(L48,[2]TDSheet!B$10:E$365,4,FALSE)</f>
        <v>5</v>
      </c>
      <c r="Q48" s="97">
        <f t="shared" si="0"/>
        <v>4</v>
      </c>
      <c r="R48" s="101" t="e">
        <f>VLOOKUP(L48,[3]TDSheet!B$10:E$436,4,FALSE)</f>
        <v>#N/A</v>
      </c>
    </row>
    <row r="49" spans="1:18" ht="15.75" x14ac:dyDescent="0.25">
      <c r="A49" s="58"/>
      <c r="B49" s="59"/>
      <c r="C49" s="59"/>
      <c r="D49" s="59"/>
      <c r="E49" s="60"/>
      <c r="F49" s="80"/>
      <c r="G49" s="81"/>
      <c r="H49" s="81"/>
      <c r="I49" s="53"/>
      <c r="J49" s="75"/>
      <c r="K49" s="75"/>
      <c r="L49" s="63" t="s">
        <v>170</v>
      </c>
      <c r="M49" s="61" t="s">
        <v>171</v>
      </c>
      <c r="N49" s="55" t="s">
        <v>34</v>
      </c>
      <c r="O49" s="61">
        <v>2</v>
      </c>
      <c r="P49" s="97">
        <f>VLOOKUP(L49,[2]TDSheet!B$10:E$365,4,FALSE)</f>
        <v>8</v>
      </c>
      <c r="Q49" s="97">
        <f t="shared" si="0"/>
        <v>6</v>
      </c>
      <c r="R49" s="101">
        <f>VLOOKUP(L49,[3]TDSheet!B$10:E$436,4,FALSE)</f>
        <v>8</v>
      </c>
    </row>
    <row r="50" spans="1:18" ht="15.75" x14ac:dyDescent="0.25">
      <c r="A50" s="58"/>
      <c r="B50" s="59"/>
      <c r="C50" s="59"/>
      <c r="D50" s="59"/>
      <c r="E50" s="60"/>
      <c r="F50" s="80"/>
      <c r="G50" s="81"/>
      <c r="H50" s="81"/>
      <c r="I50" s="53"/>
      <c r="J50" s="75"/>
      <c r="K50" s="75"/>
      <c r="L50" s="63">
        <v>597</v>
      </c>
      <c r="M50" s="61" t="s">
        <v>291</v>
      </c>
      <c r="N50" s="55" t="s">
        <v>34</v>
      </c>
      <c r="O50" s="61">
        <v>4</v>
      </c>
      <c r="P50" s="97">
        <f>VLOOKUP(L50,[2]TDSheet!B$10:E$365,4,FALSE)</f>
        <v>4</v>
      </c>
      <c r="Q50" s="97">
        <f t="shared" si="0"/>
        <v>0</v>
      </c>
      <c r="R50" s="101" t="e">
        <f>VLOOKUP(L50,[3]TDSheet!B$10:E$436,4,FALSE)</f>
        <v>#N/A</v>
      </c>
    </row>
    <row r="51" spans="1:18" ht="15.75" x14ac:dyDescent="0.25">
      <c r="A51" s="58"/>
      <c r="B51" s="59"/>
      <c r="C51" s="59"/>
      <c r="D51" s="59"/>
      <c r="E51" s="60"/>
      <c r="F51" s="80"/>
      <c r="G51" s="81"/>
      <c r="H51" s="81"/>
      <c r="I51" s="53"/>
      <c r="J51" s="75"/>
      <c r="K51" s="75"/>
      <c r="L51" s="63" t="s">
        <v>172</v>
      </c>
      <c r="M51" s="61" t="s">
        <v>173</v>
      </c>
      <c r="N51" s="55" t="s">
        <v>34</v>
      </c>
      <c r="O51" s="61">
        <v>5</v>
      </c>
      <c r="P51" s="97">
        <f>VLOOKUP(L51,[2]TDSheet!B$10:E$365,4,FALSE)</f>
        <v>5</v>
      </c>
      <c r="Q51" s="97">
        <f t="shared" si="0"/>
        <v>0</v>
      </c>
      <c r="R51" s="101">
        <f>VLOOKUP(L51,[3]TDSheet!B$10:E$436,4,FALSE)</f>
        <v>5</v>
      </c>
    </row>
    <row r="52" spans="1:18" ht="15.75" x14ac:dyDescent="0.25">
      <c r="A52" s="58"/>
      <c r="B52" s="59"/>
      <c r="C52" s="59"/>
      <c r="D52" s="59"/>
      <c r="E52" s="60"/>
      <c r="F52" s="80"/>
      <c r="G52" s="81"/>
      <c r="H52" s="81"/>
      <c r="I52" s="53"/>
      <c r="J52" s="75"/>
      <c r="K52" s="75"/>
      <c r="L52" s="63">
        <v>643</v>
      </c>
      <c r="M52" s="61" t="s">
        <v>80</v>
      </c>
      <c r="N52" s="55" t="s">
        <v>45</v>
      </c>
      <c r="O52" s="61">
        <v>560</v>
      </c>
      <c r="P52" s="97">
        <f>VLOOKUP(L52,[2]TDSheet!B$10:E$365,4,FALSE)</f>
        <v>1320</v>
      </c>
      <c r="Q52" s="97">
        <f t="shared" si="0"/>
        <v>760</v>
      </c>
      <c r="R52" s="101" t="e">
        <f>VLOOKUP(L52,[3]TDSheet!B$10:E$436,4,FALSE)</f>
        <v>#N/A</v>
      </c>
    </row>
    <row r="53" spans="1:18" ht="15.75" x14ac:dyDescent="0.25">
      <c r="A53" s="58"/>
      <c r="B53" s="59"/>
      <c r="C53" s="59"/>
      <c r="D53" s="59"/>
      <c r="E53" s="60"/>
      <c r="F53" s="80"/>
      <c r="G53" s="81"/>
      <c r="H53" s="81"/>
      <c r="I53" s="53"/>
      <c r="J53" s="75"/>
      <c r="K53" s="75"/>
      <c r="L53" s="63" t="s">
        <v>292</v>
      </c>
      <c r="M53" s="61" t="s">
        <v>293</v>
      </c>
      <c r="N53" s="55" t="s">
        <v>34</v>
      </c>
      <c r="O53" s="61">
        <v>1</v>
      </c>
      <c r="P53" s="97">
        <f>VLOOKUP(L53,[2]TDSheet!B$10:E$365,4,FALSE)</f>
        <v>1</v>
      </c>
      <c r="Q53" s="97">
        <f t="shared" si="0"/>
        <v>0</v>
      </c>
      <c r="R53" s="101">
        <f>VLOOKUP(L53,[3]TDSheet!B$10:E$436,4,FALSE)</f>
        <v>1</v>
      </c>
    </row>
    <row r="54" spans="1:18" ht="15.75" x14ac:dyDescent="0.25">
      <c r="A54" s="58"/>
      <c r="B54" s="59"/>
      <c r="C54" s="59"/>
      <c r="D54" s="59"/>
      <c r="E54" s="60"/>
      <c r="F54" s="80"/>
      <c r="G54" s="81"/>
      <c r="H54" s="81"/>
      <c r="I54" s="53"/>
      <c r="J54" s="75"/>
      <c r="K54" s="75"/>
      <c r="L54" s="63">
        <v>336</v>
      </c>
      <c r="M54" s="61" t="s">
        <v>174</v>
      </c>
      <c r="N54" s="55" t="s">
        <v>45</v>
      </c>
      <c r="O54" s="61">
        <v>45.5</v>
      </c>
      <c r="P54" s="97">
        <f>VLOOKUP(L54,[2]TDSheet!B$10:E$365,4,FALSE)</f>
        <v>182</v>
      </c>
      <c r="Q54" s="97">
        <f t="shared" si="0"/>
        <v>136.5</v>
      </c>
      <c r="R54" s="101" t="e">
        <f>VLOOKUP(L54,[3]TDSheet!B$10:E$436,4,FALSE)</f>
        <v>#N/A</v>
      </c>
    </row>
    <row r="55" spans="1:18" ht="15.75" x14ac:dyDescent="0.25">
      <c r="A55" s="58"/>
      <c r="B55" s="59"/>
      <c r="C55" s="59"/>
      <c r="D55" s="59"/>
      <c r="E55" s="60"/>
      <c r="F55" s="80"/>
      <c r="G55" s="81"/>
      <c r="H55" s="81"/>
      <c r="I55" s="53"/>
      <c r="J55" s="75"/>
      <c r="K55" s="75"/>
      <c r="L55" s="63" t="s">
        <v>175</v>
      </c>
      <c r="M55" s="61" t="s">
        <v>176</v>
      </c>
      <c r="N55" s="55" t="s">
        <v>34</v>
      </c>
      <c r="O55" s="61">
        <v>1</v>
      </c>
      <c r="P55" s="97">
        <f>VLOOKUP(L55,[2]TDSheet!B$10:E$365,4,FALSE)</f>
        <v>1</v>
      </c>
      <c r="Q55" s="97">
        <f t="shared" si="0"/>
        <v>0</v>
      </c>
      <c r="R55" s="101">
        <f>VLOOKUP(L55,[3]TDSheet!B$10:E$436,4,FALSE)</f>
        <v>1</v>
      </c>
    </row>
    <row r="56" spans="1:18" ht="15.75" x14ac:dyDescent="0.25">
      <c r="A56" s="58"/>
      <c r="B56" s="59"/>
      <c r="C56" s="59"/>
      <c r="D56" s="59"/>
      <c r="E56" s="60"/>
      <c r="F56" s="80"/>
      <c r="G56" s="81"/>
      <c r="H56" s="81"/>
      <c r="I56" s="53"/>
      <c r="J56" s="75"/>
      <c r="K56" s="75"/>
      <c r="L56" s="63">
        <v>89</v>
      </c>
      <c r="M56" s="61" t="s">
        <v>294</v>
      </c>
      <c r="N56" s="55" t="s">
        <v>34</v>
      </c>
      <c r="O56" s="61">
        <v>2</v>
      </c>
      <c r="P56" s="97">
        <f>VLOOKUP(L56,[2]TDSheet!B$10:E$365,4,FALSE)</f>
        <v>8</v>
      </c>
      <c r="Q56" s="97">
        <f t="shared" si="0"/>
        <v>6</v>
      </c>
      <c r="R56" s="101" t="e">
        <f>VLOOKUP(L56,[3]TDSheet!B$10:E$436,4,FALSE)</f>
        <v>#N/A</v>
      </c>
    </row>
    <row r="57" spans="1:18" ht="15.75" x14ac:dyDescent="0.25">
      <c r="A57" s="58"/>
      <c r="B57" s="59"/>
      <c r="C57" s="59"/>
      <c r="D57" s="59"/>
      <c r="E57" s="60"/>
      <c r="F57" s="80"/>
      <c r="G57" s="81"/>
      <c r="H57" s="81"/>
      <c r="I57" s="53"/>
      <c r="J57" s="75"/>
      <c r="K57" s="75"/>
      <c r="L57" s="63">
        <v>87</v>
      </c>
      <c r="M57" s="61" t="s">
        <v>295</v>
      </c>
      <c r="N57" s="55" t="s">
        <v>34</v>
      </c>
      <c r="O57" s="61">
        <v>3</v>
      </c>
      <c r="P57" s="97">
        <f>VLOOKUP(L57,[2]TDSheet!B$10:E$365,4,FALSE)</f>
        <v>12</v>
      </c>
      <c r="Q57" s="97">
        <f t="shared" si="0"/>
        <v>9</v>
      </c>
      <c r="R57" s="101" t="e">
        <f>VLOOKUP(L57,[3]TDSheet!B$10:E$436,4,FALSE)</f>
        <v>#N/A</v>
      </c>
    </row>
    <row r="58" spans="1:18" ht="15.75" x14ac:dyDescent="0.25">
      <c r="A58" s="58"/>
      <c r="B58" s="59"/>
      <c r="C58" s="59"/>
      <c r="D58" s="59"/>
      <c r="E58" s="60"/>
      <c r="F58" s="80"/>
      <c r="G58" s="81"/>
      <c r="H58" s="81"/>
      <c r="I58" s="53"/>
      <c r="J58" s="75"/>
      <c r="K58" s="75"/>
      <c r="L58" s="63">
        <v>19322</v>
      </c>
      <c r="M58" s="61" t="s">
        <v>296</v>
      </c>
      <c r="N58" s="55" t="s">
        <v>34</v>
      </c>
      <c r="O58" s="61">
        <v>6</v>
      </c>
      <c r="P58" s="97">
        <f>VLOOKUP(L58,[2]TDSheet!B$10:E$365,4,FALSE)</f>
        <v>27</v>
      </c>
      <c r="Q58" s="97">
        <f t="shared" si="0"/>
        <v>21</v>
      </c>
      <c r="R58" s="101" t="e">
        <f>VLOOKUP(L58,[3]TDSheet!B$10:E$436,4,FALSE)</f>
        <v>#N/A</v>
      </c>
    </row>
    <row r="59" spans="1:18" ht="15.75" x14ac:dyDescent="0.25">
      <c r="A59" s="58"/>
      <c r="B59" s="59"/>
      <c r="C59" s="59"/>
      <c r="D59" s="59"/>
      <c r="E59" s="60"/>
      <c r="F59" s="80"/>
      <c r="G59" s="81"/>
      <c r="H59" s="81"/>
      <c r="I59" s="53"/>
      <c r="J59" s="75"/>
      <c r="K59" s="75"/>
      <c r="L59" s="63">
        <v>341</v>
      </c>
      <c r="M59" s="61" t="s">
        <v>297</v>
      </c>
      <c r="N59" s="55" t="s">
        <v>34</v>
      </c>
      <c r="O59" s="61">
        <v>6</v>
      </c>
      <c r="P59" s="97">
        <f>VLOOKUP(L59,[2]TDSheet!B$10:E$365,4,FALSE)</f>
        <v>44</v>
      </c>
      <c r="Q59" s="97">
        <f t="shared" si="0"/>
        <v>38</v>
      </c>
      <c r="R59" s="101" t="e">
        <f>VLOOKUP(L59,[3]TDSheet!B$10:E$436,4,FALSE)</f>
        <v>#N/A</v>
      </c>
    </row>
    <row r="60" spans="1:18" ht="15.75" x14ac:dyDescent="0.25">
      <c r="A60" s="58"/>
      <c r="B60" s="59"/>
      <c r="C60" s="59"/>
      <c r="D60" s="59"/>
      <c r="E60" s="60"/>
      <c r="F60" s="80"/>
      <c r="G60" s="81"/>
      <c r="H60" s="81"/>
      <c r="I60" s="53"/>
      <c r="J60" s="75"/>
      <c r="K60" s="75"/>
      <c r="L60" s="63">
        <v>19317</v>
      </c>
      <c r="M60" s="61" t="s">
        <v>177</v>
      </c>
      <c r="N60" s="55" t="s">
        <v>34</v>
      </c>
      <c r="O60" s="61">
        <v>12</v>
      </c>
      <c r="P60" s="97">
        <f>VLOOKUP(L60,[2]TDSheet!B$10:E$365,4,FALSE)</f>
        <v>13</v>
      </c>
      <c r="Q60" s="97">
        <f t="shared" si="0"/>
        <v>1</v>
      </c>
      <c r="R60" s="101" t="e">
        <f>VLOOKUP(L60,[3]TDSheet!B$10:E$436,4,FALSE)</f>
        <v>#N/A</v>
      </c>
    </row>
    <row r="61" spans="1:18" ht="15.75" x14ac:dyDescent="0.25">
      <c r="A61" s="58"/>
      <c r="B61" s="59"/>
      <c r="C61" s="59"/>
      <c r="D61" s="59"/>
      <c r="E61" s="60"/>
      <c r="F61" s="80"/>
      <c r="G61" s="81"/>
      <c r="H61" s="81"/>
      <c r="I61" s="53"/>
      <c r="J61" s="75"/>
      <c r="K61" s="75"/>
      <c r="L61" s="63" t="s">
        <v>298</v>
      </c>
      <c r="M61" s="61" t="s">
        <v>299</v>
      </c>
      <c r="N61" s="55" t="s">
        <v>34</v>
      </c>
      <c r="O61" s="96">
        <v>8</v>
      </c>
      <c r="P61" s="97">
        <f>VLOOKUP(L61,[2]TDSheet!B$10:E$365,4,FALSE)</f>
        <v>31</v>
      </c>
      <c r="Q61" s="97">
        <f t="shared" si="0"/>
        <v>23</v>
      </c>
      <c r="R61" s="101">
        <f>VLOOKUP(L61,[3]TDSheet!B$10:E$436,4,FALSE)</f>
        <v>31</v>
      </c>
    </row>
    <row r="62" spans="1:18" ht="15.75" x14ac:dyDescent="0.25">
      <c r="A62" s="58"/>
      <c r="B62" s="59"/>
      <c r="C62" s="59"/>
      <c r="D62" s="59"/>
      <c r="E62" s="60"/>
      <c r="F62" s="80"/>
      <c r="G62" s="81"/>
      <c r="H62" s="81"/>
      <c r="I62" s="53"/>
      <c r="J62" s="75"/>
      <c r="K62" s="75"/>
      <c r="L62" s="63" t="s">
        <v>300</v>
      </c>
      <c r="M62" s="61" t="s">
        <v>301</v>
      </c>
      <c r="N62" s="55" t="s">
        <v>34</v>
      </c>
      <c r="O62" s="61">
        <v>1</v>
      </c>
      <c r="P62" s="97">
        <f>VLOOKUP(L62,[2]TDSheet!B$10:E$365,4,FALSE)</f>
        <v>1</v>
      </c>
      <c r="Q62" s="97">
        <f t="shared" si="0"/>
        <v>0</v>
      </c>
      <c r="R62" s="101">
        <f>VLOOKUP(L62,[3]TDSheet!B$10:E$436,4,FALSE)</f>
        <v>1</v>
      </c>
    </row>
    <row r="63" spans="1:18" ht="15.75" x14ac:dyDescent="0.25">
      <c r="A63" s="58"/>
      <c r="B63" s="59"/>
      <c r="C63" s="59"/>
      <c r="D63" s="59"/>
      <c r="E63" s="60"/>
      <c r="F63" s="80"/>
      <c r="G63" s="81"/>
      <c r="H63" s="81"/>
      <c r="I63" s="53"/>
      <c r="J63" s="75"/>
      <c r="K63" s="75"/>
      <c r="L63" s="63" t="s">
        <v>302</v>
      </c>
      <c r="M63" s="61" t="s">
        <v>303</v>
      </c>
      <c r="N63" s="55" t="s">
        <v>35</v>
      </c>
      <c r="O63" s="61">
        <v>150</v>
      </c>
      <c r="P63" s="97">
        <f>VLOOKUP(L63,[2]TDSheet!B$10:E$365,4,FALSE)</f>
        <v>150</v>
      </c>
      <c r="Q63" s="97">
        <f t="shared" si="0"/>
        <v>0</v>
      </c>
      <c r="R63" s="101">
        <f>VLOOKUP(L63,[3]TDSheet!B$10:E$436,4,FALSE)</f>
        <v>150</v>
      </c>
    </row>
    <row r="64" spans="1:18" ht="15.75" x14ac:dyDescent="0.25">
      <c r="A64" s="58"/>
      <c r="B64" s="59"/>
      <c r="C64" s="59"/>
      <c r="D64" s="59"/>
      <c r="E64" s="60"/>
      <c r="F64" s="80"/>
      <c r="G64" s="81"/>
      <c r="H64" s="81"/>
      <c r="I64" s="53"/>
      <c r="J64" s="75"/>
      <c r="K64" s="75"/>
      <c r="L64" s="98" t="s">
        <v>51</v>
      </c>
      <c r="M64" s="61" t="s">
        <v>52</v>
      </c>
      <c r="N64" s="55" t="s">
        <v>68</v>
      </c>
      <c r="O64" s="96">
        <f>15.63+1.012*2.07</f>
        <v>17.72484</v>
      </c>
      <c r="P64" s="97" t="e">
        <f>VLOOKUP(L64,[2]TDSheet!B$10:E$365,4,FALSE)</f>
        <v>#N/A</v>
      </c>
      <c r="Q64" s="97" t="e">
        <f t="shared" si="0"/>
        <v>#N/A</v>
      </c>
      <c r="R64" s="101" t="e">
        <f>VLOOKUP(L64,[3]TDSheet!B$10:E$436,4,FALSE)</f>
        <v>#N/A</v>
      </c>
    </row>
    <row r="65" spans="1:18" ht="15.75" x14ac:dyDescent="0.25">
      <c r="A65" s="58"/>
      <c r="B65" s="59"/>
      <c r="C65" s="59"/>
      <c r="D65" s="59"/>
      <c r="E65" s="60"/>
      <c r="F65" s="80"/>
      <c r="G65" s="81"/>
      <c r="H65" s="81"/>
      <c r="I65" s="53"/>
      <c r="J65" s="75"/>
      <c r="K65" s="75"/>
      <c r="L65" s="63" t="s">
        <v>304</v>
      </c>
      <c r="M65" s="61" t="s">
        <v>305</v>
      </c>
      <c r="N65" s="55" t="s">
        <v>34</v>
      </c>
      <c r="O65" s="96">
        <v>40</v>
      </c>
      <c r="P65" s="97">
        <f>VLOOKUP(L65,[2]TDSheet!B$10:E$365,4,FALSE)</f>
        <v>72</v>
      </c>
      <c r="Q65" s="97">
        <f t="shared" si="0"/>
        <v>32</v>
      </c>
      <c r="R65" s="101">
        <f>VLOOKUP(L65,[3]TDSheet!B$10:E$436,4,FALSE)</f>
        <v>72</v>
      </c>
    </row>
    <row r="66" spans="1:18" ht="15.75" x14ac:dyDescent="0.25">
      <c r="A66" s="58"/>
      <c r="B66" s="59"/>
      <c r="C66" s="59"/>
      <c r="D66" s="59"/>
      <c r="E66" s="60"/>
      <c r="F66" s="80"/>
      <c r="G66" s="81"/>
      <c r="H66" s="81"/>
      <c r="I66" s="53"/>
      <c r="J66" s="75"/>
      <c r="K66" s="75"/>
      <c r="L66" s="63" t="s">
        <v>306</v>
      </c>
      <c r="M66" s="61" t="s">
        <v>307</v>
      </c>
      <c r="N66" s="55" t="s">
        <v>34</v>
      </c>
      <c r="O66" s="61">
        <v>16</v>
      </c>
      <c r="P66" s="97">
        <f>VLOOKUP(L66,[2]TDSheet!B$10:E$365,4,FALSE)</f>
        <v>32</v>
      </c>
      <c r="Q66" s="97">
        <f t="shared" si="0"/>
        <v>16</v>
      </c>
      <c r="R66" s="101">
        <f>VLOOKUP(L66,[3]TDSheet!B$10:E$436,4,FALSE)</f>
        <v>32</v>
      </c>
    </row>
    <row r="67" spans="1:18" ht="15.75" x14ac:dyDescent="0.25">
      <c r="A67" s="58"/>
      <c r="B67" s="59"/>
      <c r="C67" s="59"/>
      <c r="D67" s="59"/>
      <c r="E67" s="60"/>
      <c r="F67" s="80"/>
      <c r="G67" s="81"/>
      <c r="H67" s="81"/>
      <c r="I67" s="53"/>
      <c r="J67" s="75"/>
      <c r="K67" s="75"/>
      <c r="L67" s="98" t="s">
        <v>308</v>
      </c>
      <c r="M67" s="61" t="s">
        <v>309</v>
      </c>
      <c r="N67" s="55" t="s">
        <v>34</v>
      </c>
      <c r="O67" s="61">
        <v>32</v>
      </c>
      <c r="P67" s="97" t="e">
        <f>VLOOKUP(L67,[2]TDSheet!B$10:E$365,4,FALSE)</f>
        <v>#N/A</v>
      </c>
      <c r="Q67" s="97" t="e">
        <f t="shared" si="0"/>
        <v>#N/A</v>
      </c>
      <c r="R67" s="101">
        <f>VLOOKUP(L67,[3]TDSheet!B$10:E$436,4,FALSE)</f>
        <v>54</v>
      </c>
    </row>
    <row r="68" spans="1:18" ht="15.75" x14ac:dyDescent="0.25">
      <c r="A68" s="58"/>
      <c r="B68" s="59"/>
      <c r="C68" s="59"/>
      <c r="D68" s="59"/>
      <c r="E68" s="60"/>
      <c r="F68" s="80"/>
      <c r="G68" s="81"/>
      <c r="H68" s="81"/>
      <c r="I68" s="53"/>
      <c r="J68" s="75"/>
      <c r="K68" s="75"/>
      <c r="L68" s="98" t="s">
        <v>310</v>
      </c>
      <c r="M68" s="61" t="s">
        <v>311</v>
      </c>
      <c r="N68" s="55" t="s">
        <v>34</v>
      </c>
      <c r="O68" s="61">
        <v>8</v>
      </c>
      <c r="P68" s="97" t="e">
        <f>VLOOKUP(L68,[2]TDSheet!B$10:E$365,4,FALSE)</f>
        <v>#N/A</v>
      </c>
      <c r="Q68" s="97" t="e">
        <f t="shared" si="0"/>
        <v>#N/A</v>
      </c>
      <c r="R68" s="101">
        <f>VLOOKUP(L68,[3]TDSheet!B$10:E$436,4,FALSE)</f>
        <v>14</v>
      </c>
    </row>
    <row r="69" spans="1:18" ht="15.75" x14ac:dyDescent="0.25">
      <c r="A69" s="58"/>
      <c r="B69" s="59"/>
      <c r="C69" s="59"/>
      <c r="D69" s="59"/>
      <c r="E69" s="60"/>
      <c r="F69" s="80"/>
      <c r="G69" s="81"/>
      <c r="H69" s="81"/>
      <c r="I69" s="53"/>
      <c r="J69" s="75"/>
      <c r="K69" s="75"/>
      <c r="L69" s="63" t="s">
        <v>312</v>
      </c>
      <c r="M69" s="61" t="s">
        <v>313</v>
      </c>
      <c r="N69" s="55" t="s">
        <v>34</v>
      </c>
      <c r="O69" s="61">
        <v>4</v>
      </c>
      <c r="P69" s="97">
        <f>VLOOKUP(L69,[2]TDSheet!B$10:E$365,4,FALSE)</f>
        <v>20</v>
      </c>
      <c r="Q69" s="97">
        <f t="shared" si="0"/>
        <v>16</v>
      </c>
      <c r="R69" s="101">
        <f>VLOOKUP(L69,[3]TDSheet!B$10:E$436,4,FALSE)</f>
        <v>20</v>
      </c>
    </row>
    <row r="70" spans="1:18" ht="15.75" x14ac:dyDescent="0.25">
      <c r="A70" s="58"/>
      <c r="B70" s="59"/>
      <c r="C70" s="59"/>
      <c r="D70" s="59"/>
      <c r="E70" s="60"/>
      <c r="F70" s="80"/>
      <c r="G70" s="81"/>
      <c r="H70" s="81"/>
      <c r="I70" s="53"/>
      <c r="J70" s="75"/>
      <c r="K70" s="75"/>
      <c r="L70" s="63" t="s">
        <v>314</v>
      </c>
      <c r="M70" s="61" t="s">
        <v>315</v>
      </c>
      <c r="N70" s="55" t="s">
        <v>66</v>
      </c>
      <c r="O70" s="61">
        <v>0.504</v>
      </c>
      <c r="P70" s="97">
        <f>VLOOKUP(L70,[2]TDSheet!B$10:E$365,4,FALSE)</f>
        <v>1.1040000000000001</v>
      </c>
      <c r="Q70" s="97">
        <f t="shared" si="0"/>
        <v>0.60000000000000009</v>
      </c>
      <c r="R70" s="101">
        <f>VLOOKUP(L70,[3]TDSheet!B$10:E$436,4,FALSE)</f>
        <v>1.1040000000000001</v>
      </c>
    </row>
    <row r="71" spans="1:18" ht="15.75" x14ac:dyDescent="0.25">
      <c r="A71" s="58"/>
      <c r="B71" s="59"/>
      <c r="C71" s="59"/>
      <c r="D71" s="59"/>
      <c r="E71" s="60"/>
      <c r="F71" s="80"/>
      <c r="G71" s="81"/>
      <c r="H71" s="81"/>
      <c r="I71" s="53"/>
      <c r="J71" s="75"/>
      <c r="K71" s="75"/>
      <c r="L71" s="63">
        <v>7114</v>
      </c>
      <c r="M71" s="61" t="s">
        <v>316</v>
      </c>
      <c r="N71" s="55" t="s">
        <v>34</v>
      </c>
      <c r="O71" s="61">
        <v>1</v>
      </c>
      <c r="P71" s="97">
        <f>VLOOKUP(L71,[2]TDSheet!B$10:E$365,4,FALSE)</f>
        <v>1</v>
      </c>
      <c r="Q71" s="97">
        <f t="shared" si="0"/>
        <v>0</v>
      </c>
      <c r="R71" s="101" t="e">
        <f>VLOOKUP(L71,[3]TDSheet!B$10:E$436,4,FALSE)</f>
        <v>#N/A</v>
      </c>
    </row>
    <row r="72" spans="1:18" ht="15.75" x14ac:dyDescent="0.25">
      <c r="A72" s="58"/>
      <c r="B72" s="59"/>
      <c r="C72" s="59"/>
      <c r="D72" s="59"/>
      <c r="E72" s="60"/>
      <c r="F72" s="80"/>
      <c r="G72" s="81"/>
      <c r="H72" s="81"/>
      <c r="I72" s="53"/>
      <c r="J72" s="75"/>
      <c r="K72" s="75"/>
      <c r="L72" s="63">
        <v>12923</v>
      </c>
      <c r="M72" s="61" t="s">
        <v>317</v>
      </c>
      <c r="N72" s="55" t="s">
        <v>34</v>
      </c>
      <c r="O72" s="61">
        <v>2</v>
      </c>
      <c r="P72" s="97">
        <f>VLOOKUP(L72,[2]TDSheet!B$10:E$365,4,FALSE)</f>
        <v>2</v>
      </c>
      <c r="Q72" s="97">
        <f t="shared" si="0"/>
        <v>0</v>
      </c>
      <c r="R72" s="101" t="e">
        <f>VLOOKUP(L72,[3]TDSheet!B$10:E$436,4,FALSE)</f>
        <v>#N/A</v>
      </c>
    </row>
    <row r="73" spans="1:18" ht="15.75" x14ac:dyDescent="0.25">
      <c r="A73" s="58"/>
      <c r="B73" s="59"/>
      <c r="C73" s="59"/>
      <c r="D73" s="59"/>
      <c r="E73" s="60"/>
      <c r="F73" s="80"/>
      <c r="G73" s="81"/>
      <c r="H73" s="81"/>
      <c r="I73" s="53"/>
      <c r="J73" s="75"/>
      <c r="K73" s="75"/>
      <c r="L73" s="63">
        <v>9858</v>
      </c>
      <c r="M73" s="61" t="s">
        <v>178</v>
      </c>
      <c r="N73" s="55" t="s">
        <v>56</v>
      </c>
      <c r="O73" s="61">
        <v>0.01</v>
      </c>
      <c r="P73" s="97">
        <f>VLOOKUP(L73,[2]TDSheet!B$10:E$365,4,FALSE)</f>
        <v>0.03</v>
      </c>
      <c r="Q73" s="97">
        <f t="shared" si="0"/>
        <v>1.9999999999999997E-2</v>
      </c>
      <c r="R73" s="101" t="e">
        <f>VLOOKUP(L73,[3]TDSheet!B$10:E$436,4,FALSE)</f>
        <v>#N/A</v>
      </c>
    </row>
    <row r="74" spans="1:18" ht="15.75" x14ac:dyDescent="0.25">
      <c r="A74" s="58"/>
      <c r="B74" s="59"/>
      <c r="C74" s="59"/>
      <c r="D74" s="59"/>
      <c r="E74" s="60"/>
      <c r="F74" s="80"/>
      <c r="G74" s="81"/>
      <c r="H74" s="81"/>
      <c r="I74" s="53"/>
      <c r="J74" s="75"/>
      <c r="K74" s="75"/>
      <c r="L74" s="63" t="s">
        <v>318</v>
      </c>
      <c r="M74" s="61" t="s">
        <v>319</v>
      </c>
      <c r="N74" s="55" t="s">
        <v>34</v>
      </c>
      <c r="O74" s="61">
        <v>1</v>
      </c>
      <c r="P74" s="97">
        <f>VLOOKUP(L74,[2]TDSheet!B$10:E$365,4,FALSE)</f>
        <v>1</v>
      </c>
      <c r="Q74" s="97">
        <f t="shared" si="0"/>
        <v>0</v>
      </c>
      <c r="R74" s="101">
        <f>VLOOKUP(L74,[3]TDSheet!B$10:E$436,4,FALSE)</f>
        <v>1</v>
      </c>
    </row>
    <row r="75" spans="1:18" ht="15.75" x14ac:dyDescent="0.25">
      <c r="A75" s="58"/>
      <c r="B75" s="59"/>
      <c r="C75" s="59"/>
      <c r="D75" s="59"/>
      <c r="E75" s="60"/>
      <c r="F75" s="80"/>
      <c r="G75" s="81"/>
      <c r="H75" s="81"/>
      <c r="I75" s="53"/>
      <c r="J75" s="75"/>
      <c r="K75" s="75"/>
      <c r="L75" s="63" t="s">
        <v>320</v>
      </c>
      <c r="M75" s="61" t="s">
        <v>321</v>
      </c>
      <c r="N75" s="55" t="s">
        <v>34</v>
      </c>
      <c r="O75" s="61">
        <v>1</v>
      </c>
      <c r="P75" s="97">
        <f>VLOOKUP(L75,[2]TDSheet!B$10:E$365,4,FALSE)</f>
        <v>1</v>
      </c>
      <c r="Q75" s="97">
        <f t="shared" si="0"/>
        <v>0</v>
      </c>
      <c r="R75" s="101">
        <f>VLOOKUP(L75,[3]TDSheet!B$10:E$436,4,FALSE)</f>
        <v>1</v>
      </c>
    </row>
    <row r="76" spans="1:18" ht="15.75" x14ac:dyDescent="0.25">
      <c r="A76" s="58"/>
      <c r="B76" s="59"/>
      <c r="C76" s="59"/>
      <c r="D76" s="59"/>
      <c r="E76" s="60"/>
      <c r="F76" s="80"/>
      <c r="G76" s="81"/>
      <c r="H76" s="81"/>
      <c r="I76" s="53"/>
      <c r="J76" s="75"/>
      <c r="K76" s="75"/>
      <c r="L76" s="63" t="s">
        <v>179</v>
      </c>
      <c r="M76" s="61" t="s">
        <v>180</v>
      </c>
      <c r="N76" s="55" t="s">
        <v>34</v>
      </c>
      <c r="O76" s="61">
        <v>300</v>
      </c>
      <c r="P76" s="97">
        <f>VLOOKUP(L76,[2]TDSheet!B$10:E$365,4,FALSE)</f>
        <v>300</v>
      </c>
      <c r="Q76" s="97">
        <f t="shared" si="0"/>
        <v>0</v>
      </c>
      <c r="R76" s="101">
        <f>VLOOKUP(L76,[3]TDSheet!B$10:E$436,4,FALSE)</f>
        <v>300</v>
      </c>
    </row>
    <row r="77" spans="1:18" ht="15.75" x14ac:dyDescent="0.25">
      <c r="A77" s="58"/>
      <c r="B77" s="59"/>
      <c r="C77" s="59"/>
      <c r="D77" s="59"/>
      <c r="E77" s="60"/>
      <c r="F77" s="80"/>
      <c r="G77" s="81"/>
      <c r="H77" s="81"/>
      <c r="I77" s="53"/>
      <c r="J77" s="75"/>
      <c r="K77" s="75"/>
      <c r="L77" s="63" t="s">
        <v>181</v>
      </c>
      <c r="M77" s="61" t="s">
        <v>182</v>
      </c>
      <c r="N77" s="55" t="s">
        <v>34</v>
      </c>
      <c r="O77" s="61">
        <v>50</v>
      </c>
      <c r="P77" s="97">
        <f>VLOOKUP(L77,[2]TDSheet!B$10:E$365,4,FALSE)</f>
        <v>450</v>
      </c>
      <c r="Q77" s="97">
        <f t="shared" si="0"/>
        <v>400</v>
      </c>
      <c r="R77" s="101">
        <f>VLOOKUP(L77,[3]TDSheet!B$10:E$436,4,FALSE)</f>
        <v>450</v>
      </c>
    </row>
    <row r="78" spans="1:18" ht="15.75" x14ac:dyDescent="0.25">
      <c r="A78" s="58"/>
      <c r="B78" s="59"/>
      <c r="C78" s="59"/>
      <c r="D78" s="59"/>
      <c r="E78" s="60"/>
      <c r="F78" s="80"/>
      <c r="G78" s="81"/>
      <c r="H78" s="81"/>
      <c r="I78" s="53"/>
      <c r="J78" s="75"/>
      <c r="K78" s="75"/>
      <c r="L78" s="63" t="s">
        <v>322</v>
      </c>
      <c r="M78" s="61" t="s">
        <v>323</v>
      </c>
      <c r="N78" s="55" t="s">
        <v>34</v>
      </c>
      <c r="O78" s="61">
        <v>1</v>
      </c>
      <c r="P78" s="97">
        <f>VLOOKUP(L78,[2]TDSheet!B$10:E$365,4,FALSE)</f>
        <v>4</v>
      </c>
      <c r="Q78" s="97">
        <f t="shared" si="0"/>
        <v>3</v>
      </c>
      <c r="R78" s="101">
        <f>VLOOKUP(L78,[3]TDSheet!B$10:E$436,4,FALSE)</f>
        <v>4</v>
      </c>
    </row>
    <row r="79" spans="1:18" ht="15.75" x14ac:dyDescent="0.25">
      <c r="A79" s="58"/>
      <c r="B79" s="59"/>
      <c r="C79" s="59"/>
      <c r="D79" s="59"/>
      <c r="E79" s="60"/>
      <c r="F79" s="80"/>
      <c r="G79" s="81"/>
      <c r="H79" s="81"/>
      <c r="I79" s="53"/>
      <c r="J79" s="75"/>
      <c r="K79" s="75"/>
      <c r="L79" s="63" t="s">
        <v>324</v>
      </c>
      <c r="M79" s="61" t="s">
        <v>325</v>
      </c>
      <c r="N79" s="55" t="s">
        <v>34</v>
      </c>
      <c r="O79" s="61">
        <v>1</v>
      </c>
      <c r="P79" s="97">
        <f>VLOOKUP(L79,[2]TDSheet!B$10:E$365,4,FALSE)</f>
        <v>4</v>
      </c>
      <c r="Q79" s="97">
        <f t="shared" si="0"/>
        <v>3</v>
      </c>
      <c r="R79" s="101">
        <f>VLOOKUP(L79,[3]TDSheet!B$10:E$436,4,FALSE)</f>
        <v>4</v>
      </c>
    </row>
    <row r="80" spans="1:18" ht="15.75" x14ac:dyDescent="0.25">
      <c r="A80" s="58"/>
      <c r="B80" s="59"/>
      <c r="C80" s="59"/>
      <c r="D80" s="59"/>
      <c r="E80" s="60"/>
      <c r="F80" s="80"/>
      <c r="G80" s="81"/>
      <c r="H80" s="81"/>
      <c r="I80" s="53"/>
      <c r="J80" s="75"/>
      <c r="K80" s="75"/>
      <c r="L80" s="63" t="s">
        <v>326</v>
      </c>
      <c r="M80" s="61" t="s">
        <v>327</v>
      </c>
      <c r="N80" s="55" t="s">
        <v>34</v>
      </c>
      <c r="O80" s="61">
        <v>1</v>
      </c>
      <c r="P80" s="97">
        <f>VLOOKUP(L80,[2]TDSheet!B$10:E$365,4,FALSE)</f>
        <v>1</v>
      </c>
      <c r="Q80" s="97">
        <f t="shared" si="0"/>
        <v>0</v>
      </c>
      <c r="R80" s="101">
        <f>VLOOKUP(L80,[3]TDSheet!B$10:E$436,4,FALSE)</f>
        <v>1</v>
      </c>
    </row>
    <row r="81" spans="1:18" ht="15.75" x14ac:dyDescent="0.25">
      <c r="A81" s="58"/>
      <c r="B81" s="59"/>
      <c r="C81" s="59"/>
      <c r="D81" s="59"/>
      <c r="E81" s="60"/>
      <c r="F81" s="80"/>
      <c r="G81" s="81"/>
      <c r="H81" s="81"/>
      <c r="I81" s="53"/>
      <c r="J81" s="75"/>
      <c r="K81" s="75"/>
      <c r="L81" s="63">
        <v>102</v>
      </c>
      <c r="M81" s="61" t="s">
        <v>328</v>
      </c>
      <c r="N81" s="55" t="s">
        <v>34</v>
      </c>
      <c r="O81" s="61">
        <v>24</v>
      </c>
      <c r="P81" s="97">
        <f>VLOOKUP(L81,[2]TDSheet!B$10:E$365,4,FALSE)</f>
        <v>81</v>
      </c>
      <c r="Q81" s="97">
        <f t="shared" si="0"/>
        <v>57</v>
      </c>
      <c r="R81" s="101" t="e">
        <f>VLOOKUP(L81,[3]TDSheet!B$10:E$436,4,FALSE)</f>
        <v>#N/A</v>
      </c>
    </row>
    <row r="82" spans="1:18" ht="15.75" x14ac:dyDescent="0.25">
      <c r="A82" s="58"/>
      <c r="B82" s="59"/>
      <c r="C82" s="59"/>
      <c r="D82" s="59"/>
      <c r="E82" s="60"/>
      <c r="F82" s="80"/>
      <c r="G82" s="81"/>
      <c r="H82" s="81"/>
      <c r="I82" s="53"/>
      <c r="J82" s="75"/>
      <c r="K82" s="75"/>
      <c r="L82" s="99" t="s">
        <v>329</v>
      </c>
      <c r="M82" s="61" t="s">
        <v>330</v>
      </c>
      <c r="N82" s="55" t="s">
        <v>34</v>
      </c>
      <c r="O82" s="61">
        <v>4</v>
      </c>
      <c r="P82" s="97">
        <f>VLOOKUP(L82,[2]TDSheet!B$10:E$365,4,FALSE)</f>
        <v>2</v>
      </c>
      <c r="Q82" s="97">
        <f t="shared" si="0"/>
        <v>-2</v>
      </c>
      <c r="R82" s="101">
        <f>VLOOKUP(L82,[3]TDSheet!B$10:E$436,4,FALSE)</f>
        <v>10</v>
      </c>
    </row>
    <row r="83" spans="1:18" ht="15.75" x14ac:dyDescent="0.25">
      <c r="A83" s="58"/>
      <c r="B83" s="59"/>
      <c r="C83" s="59"/>
      <c r="D83" s="59"/>
      <c r="E83" s="60"/>
      <c r="F83" s="80"/>
      <c r="G83" s="81"/>
      <c r="H83" s="81"/>
      <c r="I83" s="53"/>
      <c r="J83" s="75"/>
      <c r="K83" s="75"/>
      <c r="L83" s="63" t="s">
        <v>331</v>
      </c>
      <c r="M83" s="61" t="s">
        <v>332</v>
      </c>
      <c r="N83" s="55" t="s">
        <v>34</v>
      </c>
      <c r="O83" s="61">
        <v>3</v>
      </c>
      <c r="P83" s="97">
        <f>VLOOKUP(L83,[2]TDSheet!B$10:E$365,4,FALSE)</f>
        <v>12</v>
      </c>
      <c r="Q83" s="97">
        <f t="shared" si="0"/>
        <v>9</v>
      </c>
      <c r="R83" s="101">
        <f>VLOOKUP(L83,[3]TDSheet!B$10:E$436,4,FALSE)</f>
        <v>12</v>
      </c>
    </row>
    <row r="84" spans="1:18" ht="15.75" x14ac:dyDescent="0.25">
      <c r="A84" s="58"/>
      <c r="B84" s="59"/>
      <c r="C84" s="59"/>
      <c r="D84" s="59"/>
      <c r="E84" s="60"/>
      <c r="F84" s="80"/>
      <c r="G84" s="81"/>
      <c r="H84" s="81"/>
      <c r="I84" s="53"/>
      <c r="J84" s="75"/>
      <c r="K84" s="75"/>
      <c r="L84" s="63" t="s">
        <v>333</v>
      </c>
      <c r="M84" s="61" t="s">
        <v>334</v>
      </c>
      <c r="N84" s="55" t="s">
        <v>34</v>
      </c>
      <c r="O84" s="61">
        <v>3</v>
      </c>
      <c r="P84" s="97">
        <f>VLOOKUP(L84,[2]TDSheet!B$10:E$365,4,FALSE)</f>
        <v>12</v>
      </c>
      <c r="Q84" s="97">
        <f t="shared" ref="Q84:Q147" si="1">P84-O84</f>
        <v>9</v>
      </c>
      <c r="R84" s="101">
        <f>VLOOKUP(L84,[3]TDSheet!B$10:E$436,4,FALSE)</f>
        <v>12</v>
      </c>
    </row>
    <row r="85" spans="1:18" ht="15.75" x14ac:dyDescent="0.25">
      <c r="A85" s="58"/>
      <c r="B85" s="59"/>
      <c r="C85" s="59"/>
      <c r="D85" s="59"/>
      <c r="E85" s="60"/>
      <c r="F85" s="80"/>
      <c r="G85" s="81"/>
      <c r="H85" s="81"/>
      <c r="I85" s="53"/>
      <c r="J85" s="75"/>
      <c r="K85" s="75"/>
      <c r="L85" s="63" t="s">
        <v>335</v>
      </c>
      <c r="M85" s="61" t="s">
        <v>336</v>
      </c>
      <c r="N85" s="55" t="s">
        <v>34</v>
      </c>
      <c r="O85" s="61">
        <v>36</v>
      </c>
      <c r="P85" s="97">
        <f>VLOOKUP(L85,[2]TDSheet!B$10:E$365,4,FALSE)</f>
        <v>64</v>
      </c>
      <c r="Q85" s="97">
        <f t="shared" si="1"/>
        <v>28</v>
      </c>
      <c r="R85" s="101">
        <f>VLOOKUP(L85,[3]TDSheet!B$10:E$436,4,FALSE)</f>
        <v>64</v>
      </c>
    </row>
    <row r="86" spans="1:18" ht="15.75" x14ac:dyDescent="0.25">
      <c r="A86" s="58"/>
      <c r="B86" s="59"/>
      <c r="C86" s="59"/>
      <c r="D86" s="59"/>
      <c r="E86" s="60"/>
      <c r="F86" s="80"/>
      <c r="G86" s="81"/>
      <c r="H86" s="81"/>
      <c r="I86" s="53"/>
      <c r="J86" s="75"/>
      <c r="K86" s="75"/>
      <c r="L86" s="63">
        <v>21688</v>
      </c>
      <c r="M86" s="61" t="s">
        <v>337</v>
      </c>
      <c r="N86" s="55" t="s">
        <v>34</v>
      </c>
      <c r="O86" s="61">
        <v>2</v>
      </c>
      <c r="P86" s="97">
        <f>VLOOKUP(L86,[2]TDSheet!B$10:E$365,4,FALSE)</f>
        <v>8</v>
      </c>
      <c r="Q86" s="97">
        <f t="shared" si="1"/>
        <v>6</v>
      </c>
      <c r="R86" s="101" t="e">
        <f>VLOOKUP(L86,[3]TDSheet!B$10:E$436,4,FALSE)</f>
        <v>#N/A</v>
      </c>
    </row>
    <row r="87" spans="1:18" ht="15.75" x14ac:dyDescent="0.25">
      <c r="A87" s="58"/>
      <c r="B87" s="59"/>
      <c r="C87" s="59"/>
      <c r="D87" s="59"/>
      <c r="E87" s="60"/>
      <c r="F87" s="80"/>
      <c r="G87" s="81"/>
      <c r="H87" s="81"/>
      <c r="I87" s="53"/>
      <c r="J87" s="75"/>
      <c r="K87" s="75"/>
      <c r="L87" s="63">
        <v>4120</v>
      </c>
      <c r="M87" s="61" t="s">
        <v>81</v>
      </c>
      <c r="N87" s="55" t="s">
        <v>82</v>
      </c>
      <c r="O87" s="61">
        <v>15</v>
      </c>
      <c r="P87" s="97" t="e">
        <f>VLOOKUP(L87,[2]TDSheet!B$10:E$365,4,FALSE)</f>
        <v>#N/A</v>
      </c>
      <c r="Q87" s="97" t="e">
        <f t="shared" si="1"/>
        <v>#N/A</v>
      </c>
      <c r="R87" s="101" t="e">
        <f>VLOOKUP(L87,[3]TDSheet!B$10:E$436,4,FALSE)</f>
        <v>#N/A</v>
      </c>
    </row>
    <row r="88" spans="1:18" ht="15.75" x14ac:dyDescent="0.25">
      <c r="A88" s="58"/>
      <c r="B88" s="59"/>
      <c r="C88" s="59"/>
      <c r="D88" s="59"/>
      <c r="E88" s="60"/>
      <c r="F88" s="80"/>
      <c r="G88" s="81"/>
      <c r="H88" s="81"/>
      <c r="I88" s="53"/>
      <c r="J88" s="75"/>
      <c r="K88" s="75"/>
      <c r="L88" s="63" t="s">
        <v>338</v>
      </c>
      <c r="M88" s="61" t="s">
        <v>339</v>
      </c>
      <c r="N88" s="55" t="s">
        <v>34</v>
      </c>
      <c r="O88" s="61">
        <v>1</v>
      </c>
      <c r="P88" s="97">
        <f>VLOOKUP(L88,[2]TDSheet!B$10:E$365,4,FALSE)</f>
        <v>4</v>
      </c>
      <c r="Q88" s="97">
        <f t="shared" si="1"/>
        <v>3</v>
      </c>
      <c r="R88" s="101">
        <f>VLOOKUP(L88,[3]TDSheet!B$10:E$436,4,FALSE)</f>
        <v>4</v>
      </c>
    </row>
    <row r="89" spans="1:18" ht="15.75" x14ac:dyDescent="0.25">
      <c r="A89" s="58"/>
      <c r="B89" s="59"/>
      <c r="C89" s="59"/>
      <c r="D89" s="59"/>
      <c r="E89" s="60"/>
      <c r="F89" s="80"/>
      <c r="G89" s="81"/>
      <c r="H89" s="81"/>
      <c r="I89" s="53"/>
      <c r="J89" s="75"/>
      <c r="K89" s="75"/>
      <c r="L89" s="63" t="s">
        <v>340</v>
      </c>
      <c r="M89" s="61" t="s">
        <v>341</v>
      </c>
      <c r="N89" s="55" t="s">
        <v>34</v>
      </c>
      <c r="O89" s="61">
        <v>5</v>
      </c>
      <c r="P89" s="97">
        <f>VLOOKUP(L89,[2]TDSheet!B$10:E$365,4,FALSE)</f>
        <v>15</v>
      </c>
      <c r="Q89" s="97">
        <f t="shared" si="1"/>
        <v>10</v>
      </c>
      <c r="R89" s="101">
        <f>VLOOKUP(L89,[3]TDSheet!B$10:E$436,4,FALSE)</f>
        <v>15</v>
      </c>
    </row>
    <row r="90" spans="1:18" ht="15.75" x14ac:dyDescent="0.25">
      <c r="A90" s="58"/>
      <c r="B90" s="59"/>
      <c r="C90" s="59"/>
      <c r="D90" s="59"/>
      <c r="E90" s="60"/>
      <c r="F90" s="80"/>
      <c r="G90" s="81"/>
      <c r="H90" s="81"/>
      <c r="I90" s="53"/>
      <c r="J90" s="75"/>
      <c r="K90" s="75"/>
      <c r="L90" s="63" t="s">
        <v>525</v>
      </c>
      <c r="M90" s="61" t="s">
        <v>526</v>
      </c>
      <c r="N90" s="55" t="s">
        <v>34</v>
      </c>
      <c r="O90" s="61">
        <v>5</v>
      </c>
      <c r="P90" s="97">
        <f>VLOOKUP(L90,[2]TDSheet!B$10:E$365,4,FALSE)</f>
        <v>25</v>
      </c>
      <c r="Q90" s="97">
        <f t="shared" si="1"/>
        <v>20</v>
      </c>
      <c r="R90" s="101">
        <f>VLOOKUP(L90,[3]TDSheet!B$10:E$436,4,FALSE)</f>
        <v>25</v>
      </c>
    </row>
    <row r="91" spans="1:18" ht="15.75" x14ac:dyDescent="0.25">
      <c r="A91" s="58"/>
      <c r="B91" s="59"/>
      <c r="C91" s="59"/>
      <c r="D91" s="59"/>
      <c r="E91" s="60"/>
      <c r="F91" s="80"/>
      <c r="G91" s="81"/>
      <c r="H91" s="81"/>
      <c r="I91" s="53"/>
      <c r="J91" s="75"/>
      <c r="K91" s="75"/>
      <c r="L91" s="63" t="s">
        <v>342</v>
      </c>
      <c r="M91" s="61" t="s">
        <v>343</v>
      </c>
      <c r="N91" s="55" t="s">
        <v>34</v>
      </c>
      <c r="O91" s="61">
        <v>1.5</v>
      </c>
      <c r="P91" s="97">
        <f>VLOOKUP(L91,[2]TDSheet!B$10:E$365,4,FALSE)</f>
        <v>24</v>
      </c>
      <c r="Q91" s="97">
        <f t="shared" si="1"/>
        <v>22.5</v>
      </c>
      <c r="R91" s="101">
        <f>VLOOKUP(L91,[3]TDSheet!B$10:E$436,4,FALSE)</f>
        <v>24</v>
      </c>
    </row>
    <row r="92" spans="1:18" ht="15.75" x14ac:dyDescent="0.25">
      <c r="A92" s="58"/>
      <c r="B92" s="59"/>
      <c r="C92" s="59"/>
      <c r="D92" s="59"/>
      <c r="E92" s="60"/>
      <c r="F92" s="80"/>
      <c r="G92" s="81"/>
      <c r="H92" s="81"/>
      <c r="I92" s="53"/>
      <c r="J92" s="75"/>
      <c r="K92" s="75"/>
      <c r="L92" s="63" t="s">
        <v>344</v>
      </c>
      <c r="M92" s="61" t="s">
        <v>345</v>
      </c>
      <c r="N92" s="55" t="s">
        <v>34</v>
      </c>
      <c r="O92" s="61">
        <v>1</v>
      </c>
      <c r="P92" s="97">
        <f>VLOOKUP(L92,[2]TDSheet!B$10:E$365,4,FALSE)</f>
        <v>1</v>
      </c>
      <c r="Q92" s="97">
        <f t="shared" si="1"/>
        <v>0</v>
      </c>
      <c r="R92" s="101">
        <f>VLOOKUP(L92,[3]TDSheet!B$10:E$436,4,FALSE)</f>
        <v>1</v>
      </c>
    </row>
    <row r="93" spans="1:18" ht="15.75" x14ac:dyDescent="0.25">
      <c r="A93" s="58"/>
      <c r="B93" s="59"/>
      <c r="C93" s="59"/>
      <c r="D93" s="59"/>
      <c r="E93" s="60"/>
      <c r="F93" s="80"/>
      <c r="G93" s="81"/>
      <c r="H93" s="81"/>
      <c r="I93" s="53"/>
      <c r="J93" s="75"/>
      <c r="K93" s="75"/>
      <c r="L93" s="63">
        <v>21201</v>
      </c>
      <c r="M93" s="61" t="s">
        <v>346</v>
      </c>
      <c r="N93" s="55" t="s">
        <v>34</v>
      </c>
      <c r="O93" s="61">
        <v>1</v>
      </c>
      <c r="P93" s="97">
        <f>VLOOKUP(L93,[2]TDSheet!B$10:E$365,4,FALSE)</f>
        <v>4</v>
      </c>
      <c r="Q93" s="97">
        <f t="shared" si="1"/>
        <v>3</v>
      </c>
      <c r="R93" s="101" t="e">
        <f>VLOOKUP(L93,[3]TDSheet!B$10:E$436,4,FALSE)</f>
        <v>#N/A</v>
      </c>
    </row>
    <row r="94" spans="1:18" ht="15.75" x14ac:dyDescent="0.25">
      <c r="A94" s="58"/>
      <c r="B94" s="59"/>
      <c r="C94" s="59"/>
      <c r="D94" s="59"/>
      <c r="E94" s="60"/>
      <c r="F94" s="80"/>
      <c r="G94" s="81"/>
      <c r="H94" s="81"/>
      <c r="I94" s="53"/>
      <c r="J94" s="75"/>
      <c r="K94" s="75"/>
      <c r="L94" s="63" t="s">
        <v>184</v>
      </c>
      <c r="M94" s="61" t="s">
        <v>185</v>
      </c>
      <c r="N94" s="55" t="s">
        <v>34</v>
      </c>
      <c r="O94" s="61">
        <v>2</v>
      </c>
      <c r="P94" s="97">
        <f>VLOOKUP(L94,[2]TDSheet!B$10:E$365,4,FALSE)</f>
        <v>3</v>
      </c>
      <c r="Q94" s="97">
        <f t="shared" si="1"/>
        <v>1</v>
      </c>
      <c r="R94" s="101">
        <f>VLOOKUP(L94,[3]TDSheet!B$10:E$436,4,FALSE)</f>
        <v>3</v>
      </c>
    </row>
    <row r="95" spans="1:18" ht="15.75" x14ac:dyDescent="0.25">
      <c r="A95" s="58"/>
      <c r="B95" s="59"/>
      <c r="C95" s="59"/>
      <c r="D95" s="59"/>
      <c r="E95" s="60"/>
      <c r="F95" s="80"/>
      <c r="G95" s="81"/>
      <c r="H95" s="81"/>
      <c r="I95" s="53"/>
      <c r="J95" s="75"/>
      <c r="K95" s="75"/>
      <c r="L95" s="63" t="s">
        <v>347</v>
      </c>
      <c r="M95" s="61" t="s">
        <v>348</v>
      </c>
      <c r="N95" s="55" t="s">
        <v>34</v>
      </c>
      <c r="O95" s="61">
        <v>1</v>
      </c>
      <c r="P95" s="97">
        <f>VLOOKUP(L95,[2]TDSheet!B$10:E$365,4,FALSE)</f>
        <v>1</v>
      </c>
      <c r="Q95" s="97">
        <f t="shared" si="1"/>
        <v>0</v>
      </c>
      <c r="R95" s="101">
        <f>VLOOKUP(L95,[3]TDSheet!B$10:E$436,4,FALSE)</f>
        <v>1</v>
      </c>
    </row>
    <row r="96" spans="1:18" ht="15.75" x14ac:dyDescent="0.25">
      <c r="A96" s="58"/>
      <c r="B96" s="59"/>
      <c r="C96" s="59"/>
      <c r="D96" s="59"/>
      <c r="E96" s="60"/>
      <c r="F96" s="80"/>
      <c r="G96" s="81"/>
      <c r="H96" s="81"/>
      <c r="I96" s="53"/>
      <c r="J96" s="75"/>
      <c r="K96" s="75"/>
      <c r="L96" s="63">
        <v>13658</v>
      </c>
      <c r="M96" s="61" t="s">
        <v>349</v>
      </c>
      <c r="N96" s="55" t="s">
        <v>34</v>
      </c>
      <c r="O96" s="61">
        <v>5</v>
      </c>
      <c r="P96" s="97">
        <f>VLOOKUP(L96,[2]TDSheet!B$10:E$365,4,FALSE)</f>
        <v>5</v>
      </c>
      <c r="Q96" s="97">
        <f t="shared" si="1"/>
        <v>0</v>
      </c>
      <c r="R96" s="101" t="e">
        <f>VLOOKUP(L96,[3]TDSheet!B$10:E$436,4,FALSE)</f>
        <v>#N/A</v>
      </c>
    </row>
    <row r="97" spans="1:18" ht="15.75" x14ac:dyDescent="0.25">
      <c r="A97" s="58"/>
      <c r="B97" s="59"/>
      <c r="C97" s="59"/>
      <c r="D97" s="59"/>
      <c r="E97" s="60"/>
      <c r="F97" s="80"/>
      <c r="G97" s="81"/>
      <c r="H97" s="81"/>
      <c r="I97" s="53"/>
      <c r="J97" s="75"/>
      <c r="K97" s="75"/>
      <c r="L97" s="63" t="s">
        <v>350</v>
      </c>
      <c r="M97" s="61" t="s">
        <v>351</v>
      </c>
      <c r="N97" s="55" t="s">
        <v>34</v>
      </c>
      <c r="O97" s="61">
        <v>18</v>
      </c>
      <c r="P97" s="97">
        <f>VLOOKUP(L97,[2]TDSheet!B$10:E$365,4,FALSE)</f>
        <v>272</v>
      </c>
      <c r="Q97" s="97">
        <f t="shared" si="1"/>
        <v>254</v>
      </c>
      <c r="R97" s="101">
        <f>VLOOKUP(L97,[3]TDSheet!B$10:E$436,4,FALSE)</f>
        <v>272</v>
      </c>
    </row>
    <row r="98" spans="1:18" ht="15.75" x14ac:dyDescent="0.25">
      <c r="A98" s="58"/>
      <c r="B98" s="59"/>
      <c r="C98" s="59"/>
      <c r="D98" s="59"/>
      <c r="E98" s="60"/>
      <c r="F98" s="80"/>
      <c r="G98" s="81"/>
      <c r="H98" s="81"/>
      <c r="I98" s="53"/>
      <c r="J98" s="75"/>
      <c r="K98" s="75"/>
      <c r="L98" s="63" t="s">
        <v>352</v>
      </c>
      <c r="M98" s="61" t="s">
        <v>353</v>
      </c>
      <c r="N98" s="55" t="s">
        <v>34</v>
      </c>
      <c r="O98" s="61">
        <v>34</v>
      </c>
      <c r="P98" s="97">
        <f>VLOOKUP(L98,[2]TDSheet!B$10:E$365,4,FALSE)</f>
        <v>136</v>
      </c>
      <c r="Q98" s="97">
        <f t="shared" si="1"/>
        <v>102</v>
      </c>
      <c r="R98" s="101">
        <f>VLOOKUP(L98,[3]TDSheet!B$10:E$436,4,FALSE)</f>
        <v>136</v>
      </c>
    </row>
    <row r="99" spans="1:18" ht="15.75" x14ac:dyDescent="0.25">
      <c r="A99" s="58"/>
      <c r="B99" s="59"/>
      <c r="C99" s="59"/>
      <c r="D99" s="59"/>
      <c r="E99" s="60"/>
      <c r="F99" s="80"/>
      <c r="G99" s="81"/>
      <c r="H99" s="81"/>
      <c r="I99" s="53"/>
      <c r="J99" s="75"/>
      <c r="K99" s="75"/>
      <c r="L99" s="63" t="s">
        <v>354</v>
      </c>
      <c r="M99" s="61" t="s">
        <v>355</v>
      </c>
      <c r="N99" s="55" t="s">
        <v>34</v>
      </c>
      <c r="O99" s="61">
        <v>6</v>
      </c>
      <c r="P99" s="97">
        <f>VLOOKUP(L99,[2]TDSheet!B$10:E$365,4,FALSE)</f>
        <v>99</v>
      </c>
      <c r="Q99" s="97">
        <f t="shared" si="1"/>
        <v>93</v>
      </c>
      <c r="R99" s="101">
        <f>VLOOKUP(L99,[3]TDSheet!B$10:E$436,4,FALSE)</f>
        <v>99</v>
      </c>
    </row>
    <row r="100" spans="1:18" ht="15.75" x14ac:dyDescent="0.25">
      <c r="A100" s="58"/>
      <c r="B100" s="59"/>
      <c r="C100" s="59"/>
      <c r="D100" s="59"/>
      <c r="E100" s="60"/>
      <c r="F100" s="80"/>
      <c r="G100" s="81"/>
      <c r="H100" s="81"/>
      <c r="I100" s="53"/>
      <c r="J100" s="75"/>
      <c r="K100" s="75"/>
      <c r="L100" s="98" t="s">
        <v>356</v>
      </c>
      <c r="M100" s="61" t="s">
        <v>357</v>
      </c>
      <c r="N100" s="55" t="s">
        <v>34</v>
      </c>
      <c r="O100" s="61">
        <v>4</v>
      </c>
      <c r="P100" s="97" t="e">
        <f>VLOOKUP(L100,[2]TDSheet!B$10:E$365,4,FALSE)</f>
        <v>#N/A</v>
      </c>
      <c r="Q100" s="97" t="e">
        <f t="shared" si="1"/>
        <v>#N/A</v>
      </c>
      <c r="R100" s="101" t="e">
        <f>VLOOKUP(L100,[3]TDSheet!B$10:E$436,4,FALSE)</f>
        <v>#N/A</v>
      </c>
    </row>
    <row r="101" spans="1:18" ht="15.75" x14ac:dyDescent="0.25">
      <c r="A101" s="58"/>
      <c r="B101" s="59"/>
      <c r="C101" s="59"/>
      <c r="D101" s="59"/>
      <c r="E101" s="60"/>
      <c r="F101" s="80"/>
      <c r="G101" s="81"/>
      <c r="H101" s="81"/>
      <c r="I101" s="53"/>
      <c r="J101" s="75"/>
      <c r="K101" s="75"/>
      <c r="L101" s="98" t="s">
        <v>186</v>
      </c>
      <c r="M101" s="61" t="s">
        <v>187</v>
      </c>
      <c r="N101" s="55" t="s">
        <v>34</v>
      </c>
      <c r="O101" s="61">
        <v>2</v>
      </c>
      <c r="P101" s="97" t="e">
        <f>VLOOKUP(L101,[2]TDSheet!B$10:E$365,4,FALSE)</f>
        <v>#N/A</v>
      </c>
      <c r="Q101" s="97" t="e">
        <f t="shared" si="1"/>
        <v>#N/A</v>
      </c>
      <c r="R101" s="101" t="e">
        <f>VLOOKUP(L101,[3]TDSheet!B$10:E$436,4,FALSE)</f>
        <v>#N/A</v>
      </c>
    </row>
    <row r="102" spans="1:18" ht="15.75" x14ac:dyDescent="0.25">
      <c r="A102" s="58"/>
      <c r="B102" s="59"/>
      <c r="C102" s="59"/>
      <c r="D102" s="59"/>
      <c r="E102" s="60"/>
      <c r="F102" s="80"/>
      <c r="G102" s="81"/>
      <c r="H102" s="81"/>
      <c r="I102" s="53"/>
      <c r="J102" s="75"/>
      <c r="K102" s="75"/>
      <c r="L102" s="63">
        <v>19376</v>
      </c>
      <c r="M102" s="61" t="s">
        <v>358</v>
      </c>
      <c r="N102" s="55" t="s">
        <v>34</v>
      </c>
      <c r="O102" s="61">
        <v>1</v>
      </c>
      <c r="P102" s="97">
        <f>VLOOKUP(L102,[2]TDSheet!B$10:E$365,4,FALSE)</f>
        <v>4</v>
      </c>
      <c r="Q102" s="97">
        <f t="shared" si="1"/>
        <v>3</v>
      </c>
      <c r="R102" s="101" t="e">
        <f>VLOOKUP(L102,[3]TDSheet!B$10:E$436,4,FALSE)</f>
        <v>#N/A</v>
      </c>
    </row>
    <row r="103" spans="1:18" ht="15.75" x14ac:dyDescent="0.25">
      <c r="A103" s="58"/>
      <c r="B103" s="59"/>
      <c r="C103" s="59"/>
      <c r="D103" s="59"/>
      <c r="E103" s="60"/>
      <c r="F103" s="80"/>
      <c r="G103" s="81"/>
      <c r="H103" s="81"/>
      <c r="I103" s="53"/>
      <c r="J103" s="75"/>
      <c r="K103" s="75"/>
      <c r="L103" s="63" t="s">
        <v>359</v>
      </c>
      <c r="M103" s="61" t="s">
        <v>360</v>
      </c>
      <c r="N103" s="55" t="s">
        <v>34</v>
      </c>
      <c r="O103" s="61">
        <v>1</v>
      </c>
      <c r="P103" s="97">
        <f>VLOOKUP(L103,[2]TDSheet!B$10:E$365,4,FALSE)</f>
        <v>5</v>
      </c>
      <c r="Q103" s="97">
        <f t="shared" si="1"/>
        <v>4</v>
      </c>
      <c r="R103" s="101">
        <f>VLOOKUP(L103,[3]TDSheet!B$10:E$436,4,FALSE)</f>
        <v>5</v>
      </c>
    </row>
    <row r="104" spans="1:18" ht="15.75" x14ac:dyDescent="0.25">
      <c r="A104" s="58"/>
      <c r="B104" s="59"/>
      <c r="C104" s="59"/>
      <c r="D104" s="59"/>
      <c r="E104" s="60"/>
      <c r="F104" s="80"/>
      <c r="G104" s="81"/>
      <c r="H104" s="81"/>
      <c r="I104" s="53"/>
      <c r="J104" s="75"/>
      <c r="K104" s="75"/>
      <c r="L104" s="63" t="s">
        <v>361</v>
      </c>
      <c r="M104" s="61" t="s">
        <v>362</v>
      </c>
      <c r="N104" s="55" t="s">
        <v>34</v>
      </c>
      <c r="O104" s="61">
        <v>1</v>
      </c>
      <c r="P104" s="97">
        <f>VLOOKUP(L104,[2]TDSheet!B$10:E$365,4,FALSE)</f>
        <v>4</v>
      </c>
      <c r="Q104" s="97">
        <f t="shared" si="1"/>
        <v>3</v>
      </c>
      <c r="R104" s="101">
        <f>VLOOKUP(L104,[3]TDSheet!B$10:E$436,4,FALSE)</f>
        <v>4</v>
      </c>
    </row>
    <row r="105" spans="1:18" ht="15.75" x14ac:dyDescent="0.25">
      <c r="A105" s="58"/>
      <c r="B105" s="59"/>
      <c r="C105" s="59"/>
      <c r="D105" s="59"/>
      <c r="E105" s="60"/>
      <c r="F105" s="80"/>
      <c r="G105" s="81"/>
      <c r="H105" s="81"/>
      <c r="I105" s="53"/>
      <c r="J105" s="75"/>
      <c r="K105" s="75"/>
      <c r="L105" s="63" t="s">
        <v>363</v>
      </c>
      <c r="M105" s="61" t="s">
        <v>364</v>
      </c>
      <c r="N105" s="55" t="s">
        <v>34</v>
      </c>
      <c r="O105" s="61">
        <v>4</v>
      </c>
      <c r="P105" s="97">
        <f>VLOOKUP(L105,[2]TDSheet!B$10:E$365,4,FALSE)</f>
        <v>16</v>
      </c>
      <c r="Q105" s="97">
        <f t="shared" si="1"/>
        <v>12</v>
      </c>
      <c r="R105" s="101">
        <f>VLOOKUP(L105,[3]TDSheet!B$10:E$436,4,FALSE)</f>
        <v>16</v>
      </c>
    </row>
    <row r="106" spans="1:18" ht="15.75" x14ac:dyDescent="0.25">
      <c r="A106" s="58"/>
      <c r="B106" s="59"/>
      <c r="C106" s="59"/>
      <c r="D106" s="59"/>
      <c r="E106" s="60"/>
      <c r="F106" s="80"/>
      <c r="G106" s="81"/>
      <c r="H106" s="81"/>
      <c r="I106" s="53"/>
      <c r="J106" s="75"/>
      <c r="K106" s="75"/>
      <c r="L106" s="63" t="s">
        <v>365</v>
      </c>
      <c r="M106" s="61" t="s">
        <v>366</v>
      </c>
      <c r="N106" s="55" t="s">
        <v>34</v>
      </c>
      <c r="O106" s="61">
        <v>20</v>
      </c>
      <c r="P106" s="97">
        <f>VLOOKUP(L106,[2]TDSheet!B$10:E$365,4,FALSE)</f>
        <v>86</v>
      </c>
      <c r="Q106" s="97">
        <f t="shared" si="1"/>
        <v>66</v>
      </c>
      <c r="R106" s="101">
        <f>VLOOKUP(L106,[3]TDSheet!B$10:E$436,4,FALSE)</f>
        <v>86</v>
      </c>
    </row>
    <row r="107" spans="1:18" ht="15.75" x14ac:dyDescent="0.25">
      <c r="A107" s="58"/>
      <c r="B107" s="59"/>
      <c r="C107" s="59"/>
      <c r="D107" s="59"/>
      <c r="E107" s="60"/>
      <c r="F107" s="80"/>
      <c r="G107" s="81"/>
      <c r="H107" s="81"/>
      <c r="I107" s="53"/>
      <c r="J107" s="75"/>
      <c r="K107" s="75"/>
      <c r="L107" s="63" t="s">
        <v>188</v>
      </c>
      <c r="M107" s="61" t="s">
        <v>189</v>
      </c>
      <c r="N107" s="55" t="s">
        <v>34</v>
      </c>
      <c r="O107" s="61">
        <v>3</v>
      </c>
      <c r="P107" s="97">
        <f>VLOOKUP(L107,[2]TDSheet!B$10:E$365,4,FALSE)</f>
        <v>7</v>
      </c>
      <c r="Q107" s="97">
        <f t="shared" si="1"/>
        <v>4</v>
      </c>
      <c r="R107" s="101">
        <f>VLOOKUP(L107,[3]TDSheet!B$10:E$436,4,FALSE)</f>
        <v>7</v>
      </c>
    </row>
    <row r="108" spans="1:18" ht="15.75" x14ac:dyDescent="0.25">
      <c r="A108" s="58"/>
      <c r="B108" s="59"/>
      <c r="C108" s="59"/>
      <c r="D108" s="59"/>
      <c r="E108" s="60"/>
      <c r="F108" s="80"/>
      <c r="G108" s="81"/>
      <c r="H108" s="81"/>
      <c r="I108" s="53"/>
      <c r="J108" s="75"/>
      <c r="K108" s="75"/>
      <c r="L108" s="98" t="s">
        <v>367</v>
      </c>
      <c r="M108" s="61" t="s">
        <v>368</v>
      </c>
      <c r="N108" s="55" t="s">
        <v>34</v>
      </c>
      <c r="O108" s="61">
        <v>5</v>
      </c>
      <c r="P108" s="97" t="e">
        <f>VLOOKUP(L108,[2]TDSheet!B$10:E$365,4,FALSE)</f>
        <v>#N/A</v>
      </c>
      <c r="Q108" s="97" t="e">
        <f t="shared" si="1"/>
        <v>#N/A</v>
      </c>
      <c r="R108" s="101" t="e">
        <f>VLOOKUP(L108,[3]TDSheet!B$10:E$436,4,FALSE)</f>
        <v>#N/A</v>
      </c>
    </row>
    <row r="109" spans="1:18" ht="15.75" x14ac:dyDescent="0.25">
      <c r="A109" s="58"/>
      <c r="B109" s="59"/>
      <c r="C109" s="59"/>
      <c r="D109" s="59"/>
      <c r="E109" s="60"/>
      <c r="F109" s="80"/>
      <c r="G109" s="81"/>
      <c r="H109" s="81"/>
      <c r="I109" s="53"/>
      <c r="J109" s="75"/>
      <c r="K109" s="75"/>
      <c r="L109" s="98" t="s">
        <v>369</v>
      </c>
      <c r="M109" s="61" t="s">
        <v>370</v>
      </c>
      <c r="N109" s="55" t="s">
        <v>34</v>
      </c>
      <c r="O109" s="96">
        <v>3</v>
      </c>
      <c r="P109" s="97" t="e">
        <f>VLOOKUP(L109,[2]TDSheet!B$10:E$365,4,FALSE)</f>
        <v>#N/A</v>
      </c>
      <c r="Q109" s="97" t="e">
        <f t="shared" si="1"/>
        <v>#N/A</v>
      </c>
      <c r="R109" s="101" t="e">
        <f>VLOOKUP(L109,[3]TDSheet!B$10:E$436,4,FALSE)</f>
        <v>#N/A</v>
      </c>
    </row>
    <row r="110" spans="1:18" ht="15.75" x14ac:dyDescent="0.25">
      <c r="A110" s="58"/>
      <c r="B110" s="59"/>
      <c r="C110" s="59"/>
      <c r="D110" s="59"/>
      <c r="E110" s="60"/>
      <c r="F110" s="80"/>
      <c r="G110" s="81"/>
      <c r="H110" s="81"/>
      <c r="I110" s="53"/>
      <c r="J110" s="75"/>
      <c r="K110" s="75"/>
      <c r="L110" s="63" t="s">
        <v>371</v>
      </c>
      <c r="M110" s="61" t="s">
        <v>372</v>
      </c>
      <c r="N110" s="55" t="s">
        <v>34</v>
      </c>
      <c r="O110" s="61">
        <v>54</v>
      </c>
      <c r="P110" s="97">
        <f>VLOOKUP(L110,[2]TDSheet!B$10:E$365,4,FALSE)</f>
        <v>166</v>
      </c>
      <c r="Q110" s="97">
        <f t="shared" si="1"/>
        <v>112</v>
      </c>
      <c r="R110" s="101">
        <f>VLOOKUP(L110,[3]TDSheet!B$10:E$436,4,FALSE)</f>
        <v>166</v>
      </c>
    </row>
    <row r="111" spans="1:18" ht="15.75" x14ac:dyDescent="0.25">
      <c r="A111" s="58"/>
      <c r="B111" s="59"/>
      <c r="C111" s="59"/>
      <c r="D111" s="59"/>
      <c r="E111" s="60"/>
      <c r="F111" s="80"/>
      <c r="G111" s="81"/>
      <c r="H111" s="81"/>
      <c r="I111" s="53"/>
      <c r="J111" s="75"/>
      <c r="K111" s="75"/>
      <c r="L111" s="63" t="s">
        <v>373</v>
      </c>
      <c r="M111" s="61" t="s">
        <v>374</v>
      </c>
      <c r="N111" s="55" t="s">
        <v>34</v>
      </c>
      <c r="O111" s="61">
        <v>12</v>
      </c>
      <c r="P111" s="97">
        <f>VLOOKUP(L111,[2]TDSheet!B$10:E$365,4,FALSE)</f>
        <v>48</v>
      </c>
      <c r="Q111" s="97">
        <f t="shared" si="1"/>
        <v>36</v>
      </c>
      <c r="R111" s="101">
        <f>VLOOKUP(L111,[3]TDSheet!B$10:E$436,4,FALSE)</f>
        <v>48</v>
      </c>
    </row>
    <row r="112" spans="1:18" ht="15.75" x14ac:dyDescent="0.25">
      <c r="A112" s="58"/>
      <c r="B112" s="59"/>
      <c r="C112" s="59"/>
      <c r="D112" s="59"/>
      <c r="E112" s="60"/>
      <c r="F112" s="80"/>
      <c r="G112" s="81"/>
      <c r="H112" s="81"/>
      <c r="I112" s="53"/>
      <c r="J112" s="75"/>
      <c r="K112" s="75"/>
      <c r="L112" s="63">
        <v>21939</v>
      </c>
      <c r="M112" s="61" t="s">
        <v>375</v>
      </c>
      <c r="N112" s="55" t="s">
        <v>34</v>
      </c>
      <c r="O112" s="61">
        <v>18</v>
      </c>
      <c r="P112" s="97">
        <f>VLOOKUP(L112,[2]TDSheet!B$10:E$365,4,FALSE)</f>
        <v>56</v>
      </c>
      <c r="Q112" s="97">
        <f t="shared" si="1"/>
        <v>38</v>
      </c>
      <c r="R112" s="101" t="e">
        <f>VLOOKUP(L112,[3]TDSheet!B$10:E$436,4,FALSE)</f>
        <v>#N/A</v>
      </c>
    </row>
    <row r="113" spans="1:18" ht="15.75" x14ac:dyDescent="0.25">
      <c r="A113" s="58"/>
      <c r="B113" s="59"/>
      <c r="C113" s="59"/>
      <c r="D113" s="59"/>
      <c r="E113" s="60"/>
      <c r="F113" s="80"/>
      <c r="G113" s="81"/>
      <c r="H113" s="81"/>
      <c r="I113" s="53"/>
      <c r="J113" s="75"/>
      <c r="K113" s="75"/>
      <c r="L113" s="63" t="s">
        <v>376</v>
      </c>
      <c r="M113" s="61" t="s">
        <v>377</v>
      </c>
      <c r="N113" s="55" t="s">
        <v>34</v>
      </c>
      <c r="O113" s="61">
        <v>1</v>
      </c>
      <c r="P113" s="97">
        <f>VLOOKUP(L113,[2]TDSheet!B$10:E$365,4,FALSE)</f>
        <v>4</v>
      </c>
      <c r="Q113" s="97">
        <f t="shared" si="1"/>
        <v>3</v>
      </c>
      <c r="R113" s="101">
        <f>VLOOKUP(L113,[3]TDSheet!B$10:E$436,4,FALSE)</f>
        <v>4</v>
      </c>
    </row>
    <row r="114" spans="1:18" ht="15.75" x14ac:dyDescent="0.25">
      <c r="A114" s="58"/>
      <c r="B114" s="59"/>
      <c r="C114" s="59"/>
      <c r="D114" s="59"/>
      <c r="E114" s="60"/>
      <c r="F114" s="80"/>
      <c r="G114" s="81"/>
      <c r="H114" s="81"/>
      <c r="I114" s="53"/>
      <c r="J114" s="75"/>
      <c r="K114" s="75"/>
      <c r="L114" s="63" t="s">
        <v>378</v>
      </c>
      <c r="M114" s="61" t="s">
        <v>379</v>
      </c>
      <c r="N114" s="55" t="s">
        <v>34</v>
      </c>
      <c r="O114" s="61">
        <v>5</v>
      </c>
      <c r="P114" s="97">
        <f>VLOOKUP(L114,[2]TDSheet!B$10:E$365,4,FALSE)</f>
        <v>25</v>
      </c>
      <c r="Q114" s="97">
        <f t="shared" si="1"/>
        <v>20</v>
      </c>
      <c r="R114" s="101">
        <f>VLOOKUP(L114,[3]TDSheet!B$10:E$436,4,FALSE)</f>
        <v>25</v>
      </c>
    </row>
    <row r="115" spans="1:18" ht="15.75" x14ac:dyDescent="0.25">
      <c r="A115" s="58"/>
      <c r="B115" s="59"/>
      <c r="C115" s="59"/>
      <c r="D115" s="59"/>
      <c r="E115" s="60"/>
      <c r="F115" s="80"/>
      <c r="G115" s="81"/>
      <c r="H115" s="81"/>
      <c r="I115" s="53"/>
      <c r="J115" s="75"/>
      <c r="K115" s="75"/>
      <c r="L115" s="98" t="s">
        <v>380</v>
      </c>
      <c r="M115" s="61" t="s">
        <v>381</v>
      </c>
      <c r="N115" s="55" t="s">
        <v>34</v>
      </c>
      <c r="O115" s="61">
        <v>5</v>
      </c>
      <c r="P115" s="97" t="e">
        <f>VLOOKUP(L115,[2]TDSheet!B$10:E$365,4,FALSE)</f>
        <v>#N/A</v>
      </c>
      <c r="Q115" s="97" t="e">
        <f t="shared" si="1"/>
        <v>#N/A</v>
      </c>
      <c r="R115" s="101" t="e">
        <f>VLOOKUP(L115,[3]TDSheet!B$10:E$436,4,FALSE)</f>
        <v>#N/A</v>
      </c>
    </row>
    <row r="116" spans="1:18" ht="15.75" x14ac:dyDescent="0.25">
      <c r="A116" s="58"/>
      <c r="B116" s="59"/>
      <c r="C116" s="59"/>
      <c r="D116" s="59"/>
      <c r="E116" s="60"/>
      <c r="F116" s="80"/>
      <c r="G116" s="81"/>
      <c r="H116" s="81"/>
      <c r="I116" s="53"/>
      <c r="J116" s="75"/>
      <c r="K116" s="75"/>
      <c r="L116" s="63" t="s">
        <v>83</v>
      </c>
      <c r="M116" s="61" t="s">
        <v>84</v>
      </c>
      <c r="N116" s="55" t="s">
        <v>37</v>
      </c>
      <c r="O116" s="61">
        <v>16</v>
      </c>
      <c r="P116" s="97">
        <f>VLOOKUP(L116,[2]TDSheet!B$10:E$365,4,FALSE)</f>
        <v>4.25</v>
      </c>
      <c r="Q116" s="97">
        <f t="shared" si="1"/>
        <v>-11.75</v>
      </c>
      <c r="R116" s="101">
        <f>VLOOKUP(L116,[3]TDSheet!B$10:E$436,4,FALSE)</f>
        <v>16</v>
      </c>
    </row>
    <row r="117" spans="1:18" ht="15.75" x14ac:dyDescent="0.25">
      <c r="A117" s="58"/>
      <c r="B117" s="59"/>
      <c r="C117" s="59"/>
      <c r="D117" s="59"/>
      <c r="E117" s="60"/>
      <c r="F117" s="80"/>
      <c r="G117" s="81"/>
      <c r="H117" s="81"/>
      <c r="I117" s="53"/>
      <c r="J117" s="75"/>
      <c r="K117" s="75"/>
      <c r="L117" s="63" t="s">
        <v>53</v>
      </c>
      <c r="M117" s="61" t="s">
        <v>85</v>
      </c>
      <c r="N117" s="55" t="s">
        <v>34</v>
      </c>
      <c r="O117" s="61">
        <v>10</v>
      </c>
      <c r="P117" s="97">
        <f>VLOOKUP(L117,[2]TDSheet!B$10:E$365,4,FALSE)</f>
        <v>50</v>
      </c>
      <c r="Q117" s="97">
        <f t="shared" si="1"/>
        <v>40</v>
      </c>
      <c r="R117" s="101">
        <f>VLOOKUP(L117,[3]TDSheet!B$10:E$436,4,FALSE)</f>
        <v>50</v>
      </c>
    </row>
    <row r="118" spans="1:18" ht="15.75" x14ac:dyDescent="0.25">
      <c r="A118" s="58"/>
      <c r="B118" s="59"/>
      <c r="C118" s="59"/>
      <c r="D118" s="59"/>
      <c r="E118" s="60"/>
      <c r="F118" s="80"/>
      <c r="G118" s="81"/>
      <c r="H118" s="81"/>
      <c r="I118" s="53"/>
      <c r="J118" s="75"/>
      <c r="K118" s="75"/>
      <c r="L118" s="63" t="s">
        <v>54</v>
      </c>
      <c r="M118" s="61" t="s">
        <v>86</v>
      </c>
      <c r="N118" s="55" t="s">
        <v>34</v>
      </c>
      <c r="O118" s="61">
        <v>40</v>
      </c>
      <c r="P118" s="97">
        <f>VLOOKUP(L118,[2]TDSheet!B$10:E$365,4,FALSE)</f>
        <v>49</v>
      </c>
      <c r="Q118" s="97">
        <f t="shared" si="1"/>
        <v>9</v>
      </c>
      <c r="R118" s="101">
        <f>VLOOKUP(L118,[3]TDSheet!B$10:E$436,4,FALSE)</f>
        <v>49</v>
      </c>
    </row>
    <row r="119" spans="1:18" ht="15.75" x14ac:dyDescent="0.25">
      <c r="A119" s="58"/>
      <c r="B119" s="59"/>
      <c r="C119" s="59"/>
      <c r="D119" s="59"/>
      <c r="E119" s="60"/>
      <c r="F119" s="80"/>
      <c r="G119" s="81"/>
      <c r="H119" s="81"/>
      <c r="I119" s="53"/>
      <c r="J119" s="75"/>
      <c r="K119" s="75"/>
      <c r="L119" s="63">
        <v>106</v>
      </c>
      <c r="M119" s="61" t="s">
        <v>382</v>
      </c>
      <c r="N119" s="55" t="s">
        <v>34</v>
      </c>
      <c r="O119" s="61">
        <v>14</v>
      </c>
      <c r="P119" s="97">
        <f>VLOOKUP(L119,[2]TDSheet!B$10:E$365,4,FALSE)</f>
        <v>126</v>
      </c>
      <c r="Q119" s="97">
        <f t="shared" si="1"/>
        <v>112</v>
      </c>
      <c r="R119" s="101" t="e">
        <f>VLOOKUP(L119,[3]TDSheet!B$10:E$436,4,FALSE)</f>
        <v>#N/A</v>
      </c>
    </row>
    <row r="120" spans="1:18" ht="15.75" x14ac:dyDescent="0.25">
      <c r="A120" s="58"/>
      <c r="B120" s="59"/>
      <c r="C120" s="59"/>
      <c r="D120" s="59"/>
      <c r="E120" s="60"/>
      <c r="F120" s="80"/>
      <c r="G120" s="81"/>
      <c r="H120" s="81"/>
      <c r="I120" s="53"/>
      <c r="J120" s="75"/>
      <c r="K120" s="75"/>
      <c r="L120" s="63" t="s">
        <v>190</v>
      </c>
      <c r="M120" s="61" t="s">
        <v>191</v>
      </c>
      <c r="N120" s="55" t="s">
        <v>34</v>
      </c>
      <c r="O120" s="61">
        <v>5</v>
      </c>
      <c r="P120" s="97">
        <f>VLOOKUP(L120,[2]TDSheet!B$10:E$365,4,FALSE)</f>
        <v>5</v>
      </c>
      <c r="Q120" s="97">
        <f t="shared" si="1"/>
        <v>0</v>
      </c>
      <c r="R120" s="101">
        <f>VLOOKUP(L120,[3]TDSheet!B$10:E$436,4,FALSE)</f>
        <v>5</v>
      </c>
    </row>
    <row r="121" spans="1:18" ht="15.75" x14ac:dyDescent="0.25">
      <c r="A121" s="58"/>
      <c r="B121" s="59"/>
      <c r="C121" s="59"/>
      <c r="D121" s="59"/>
      <c r="E121" s="60"/>
      <c r="F121" s="80"/>
      <c r="G121" s="81"/>
      <c r="H121" s="81"/>
      <c r="I121" s="53"/>
      <c r="J121" s="75"/>
      <c r="K121" s="75"/>
      <c r="L121" s="63">
        <v>9893</v>
      </c>
      <c r="M121" s="61" t="s">
        <v>383</v>
      </c>
      <c r="N121" s="55" t="s">
        <v>34</v>
      </c>
      <c r="O121" s="61">
        <v>1</v>
      </c>
      <c r="P121" s="97">
        <f>VLOOKUP(L121,[2]TDSheet!B$10:E$365,4,FALSE)</f>
        <v>4</v>
      </c>
      <c r="Q121" s="97">
        <f t="shared" si="1"/>
        <v>3</v>
      </c>
      <c r="R121" s="101" t="e">
        <f>VLOOKUP(L121,[3]TDSheet!B$10:E$436,4,FALSE)</f>
        <v>#N/A</v>
      </c>
    </row>
    <row r="122" spans="1:18" ht="15.75" x14ac:dyDescent="0.25">
      <c r="A122" s="58"/>
      <c r="B122" s="59"/>
      <c r="C122" s="59"/>
      <c r="D122" s="59"/>
      <c r="E122" s="60"/>
      <c r="F122" s="80"/>
      <c r="G122" s="81"/>
      <c r="H122" s="81"/>
      <c r="I122" s="53"/>
      <c r="J122" s="75"/>
      <c r="K122" s="75"/>
      <c r="L122" s="63">
        <v>3893</v>
      </c>
      <c r="M122" s="61" t="s">
        <v>87</v>
      </c>
      <c r="N122" s="55" t="s">
        <v>63</v>
      </c>
      <c r="O122" s="61">
        <v>0.113</v>
      </c>
      <c r="P122" s="97">
        <f>VLOOKUP(L122,[2]TDSheet!B$10:E$365,4,FALSE)</f>
        <v>0.48</v>
      </c>
      <c r="Q122" s="97">
        <f t="shared" si="1"/>
        <v>0.36699999999999999</v>
      </c>
      <c r="R122" s="101" t="e">
        <f>VLOOKUP(L122,[3]TDSheet!B$10:E$436,4,FALSE)</f>
        <v>#N/A</v>
      </c>
    </row>
    <row r="123" spans="1:18" ht="15.75" x14ac:dyDescent="0.25">
      <c r="A123" s="58"/>
      <c r="B123" s="59"/>
      <c r="C123" s="59"/>
      <c r="D123" s="59"/>
      <c r="E123" s="60"/>
      <c r="F123" s="80"/>
      <c r="G123" s="81"/>
      <c r="H123" s="81"/>
      <c r="I123" s="53"/>
      <c r="J123" s="75"/>
      <c r="K123" s="75"/>
      <c r="L123" s="63">
        <v>6597</v>
      </c>
      <c r="M123" s="61" t="s">
        <v>384</v>
      </c>
      <c r="N123" s="55" t="s">
        <v>63</v>
      </c>
      <c r="O123" s="61">
        <v>0.25</v>
      </c>
      <c r="P123" s="97">
        <f>VLOOKUP(L123,[2]TDSheet!B$10:E$365,4,FALSE)</f>
        <v>1.7749999999999999</v>
      </c>
      <c r="Q123" s="97">
        <f t="shared" si="1"/>
        <v>1.5249999999999999</v>
      </c>
      <c r="R123" s="101" t="e">
        <f>VLOOKUP(L123,[3]TDSheet!B$10:E$436,4,FALSE)</f>
        <v>#N/A</v>
      </c>
    </row>
    <row r="124" spans="1:18" ht="15.75" x14ac:dyDescent="0.25">
      <c r="A124" s="58"/>
      <c r="B124" s="59"/>
      <c r="C124" s="59"/>
      <c r="D124" s="59"/>
      <c r="E124" s="60"/>
      <c r="F124" s="80"/>
      <c r="G124" s="81"/>
      <c r="H124" s="81"/>
      <c r="I124" s="53"/>
      <c r="J124" s="75"/>
      <c r="K124" s="75"/>
      <c r="L124" s="63">
        <v>17298</v>
      </c>
      <c r="M124" s="61" t="s">
        <v>88</v>
      </c>
      <c r="N124" s="55" t="s">
        <v>63</v>
      </c>
      <c r="O124" s="61">
        <v>0.1</v>
      </c>
      <c r="P124" s="97">
        <f>VLOOKUP(L124,[2]TDSheet!B$10:E$365,4,FALSE)</f>
        <v>0.1</v>
      </c>
      <c r="Q124" s="97">
        <f t="shared" si="1"/>
        <v>0</v>
      </c>
      <c r="R124" s="101" t="e">
        <f>VLOOKUP(L124,[3]TDSheet!B$10:E$436,4,FALSE)</f>
        <v>#N/A</v>
      </c>
    </row>
    <row r="125" spans="1:18" ht="15.75" x14ac:dyDescent="0.25">
      <c r="A125" s="58"/>
      <c r="B125" s="59"/>
      <c r="C125" s="59"/>
      <c r="D125" s="59"/>
      <c r="E125" s="60"/>
      <c r="F125" s="80"/>
      <c r="G125" s="81"/>
      <c r="H125" s="81"/>
      <c r="I125" s="53"/>
      <c r="J125" s="75"/>
      <c r="K125" s="75"/>
      <c r="L125" s="63" t="s">
        <v>40</v>
      </c>
      <c r="M125" s="61" t="s">
        <v>89</v>
      </c>
      <c r="N125" s="55" t="s">
        <v>63</v>
      </c>
      <c r="O125" s="61">
        <v>0.13</v>
      </c>
      <c r="P125" s="97">
        <f>VLOOKUP(L125,[2]TDSheet!B$10:E$365,4,FALSE)</f>
        <v>0.158</v>
      </c>
      <c r="Q125" s="97">
        <f t="shared" si="1"/>
        <v>2.7999999999999997E-2</v>
      </c>
      <c r="R125" s="101">
        <f>VLOOKUP(L125,[3]TDSheet!B$10:E$436,4,FALSE)</f>
        <v>0.22500000000000001</v>
      </c>
    </row>
    <row r="126" spans="1:18" ht="15.75" x14ac:dyDescent="0.25">
      <c r="A126" s="58"/>
      <c r="B126" s="59"/>
      <c r="C126" s="59"/>
      <c r="D126" s="59"/>
      <c r="E126" s="60"/>
      <c r="F126" s="80"/>
      <c r="G126" s="81"/>
      <c r="H126" s="81"/>
      <c r="I126" s="53"/>
      <c r="J126" s="75"/>
      <c r="K126" s="75"/>
      <c r="L126" s="63">
        <v>17403</v>
      </c>
      <c r="M126" s="61" t="s">
        <v>192</v>
      </c>
      <c r="N126" s="55" t="s">
        <v>63</v>
      </c>
      <c r="O126" s="61">
        <v>0.06</v>
      </c>
      <c r="P126" s="97">
        <f>VLOOKUP(L126,[2]TDSheet!B$10:E$365,4,FALSE)</f>
        <v>1.512</v>
      </c>
      <c r="Q126" s="97">
        <f t="shared" si="1"/>
        <v>1.452</v>
      </c>
      <c r="R126" s="101" t="e">
        <f>VLOOKUP(L126,[3]TDSheet!B$10:E$436,4,FALSE)</f>
        <v>#N/A</v>
      </c>
    </row>
    <row r="127" spans="1:18" ht="15.75" x14ac:dyDescent="0.25">
      <c r="A127" s="58"/>
      <c r="B127" s="59"/>
      <c r="C127" s="59"/>
      <c r="D127" s="59"/>
      <c r="E127" s="60"/>
      <c r="F127" s="80"/>
      <c r="G127" s="81"/>
      <c r="H127" s="81"/>
      <c r="I127" s="53"/>
      <c r="J127" s="75"/>
      <c r="K127" s="75"/>
      <c r="L127" s="63">
        <v>4057</v>
      </c>
      <c r="M127" s="61" t="s">
        <v>193</v>
      </c>
      <c r="N127" s="55" t="s">
        <v>63</v>
      </c>
      <c r="O127" s="61">
        <v>0.18</v>
      </c>
      <c r="P127" s="97">
        <f>VLOOKUP(L127,[2]TDSheet!B$10:E$365,4,FALSE)</f>
        <v>0.255</v>
      </c>
      <c r="Q127" s="97">
        <f t="shared" si="1"/>
        <v>7.5000000000000011E-2</v>
      </c>
      <c r="R127" s="101" t="e">
        <f>VLOOKUP(L127,[3]TDSheet!B$10:E$436,4,FALSE)</f>
        <v>#N/A</v>
      </c>
    </row>
    <row r="128" spans="1:18" ht="15.75" x14ac:dyDescent="0.25">
      <c r="A128" s="58"/>
      <c r="B128" s="59"/>
      <c r="C128" s="59"/>
      <c r="D128" s="59"/>
      <c r="E128" s="60"/>
      <c r="F128" s="80"/>
      <c r="G128" s="81"/>
      <c r="H128" s="81"/>
      <c r="I128" s="53"/>
      <c r="J128" s="75"/>
      <c r="K128" s="75"/>
      <c r="L128" s="98" t="s">
        <v>385</v>
      </c>
      <c r="M128" s="61" t="s">
        <v>386</v>
      </c>
      <c r="N128" s="55" t="s">
        <v>34</v>
      </c>
      <c r="O128" s="61">
        <v>2</v>
      </c>
      <c r="P128" s="97" t="e">
        <f>VLOOKUP(L128,[2]TDSheet!B$10:E$365,4,FALSE)</f>
        <v>#N/A</v>
      </c>
      <c r="Q128" s="97" t="e">
        <f t="shared" si="1"/>
        <v>#N/A</v>
      </c>
      <c r="R128" s="101">
        <f>VLOOKUP(L128,[3]TDSheet!B$10:E$436,4,FALSE)</f>
        <v>2</v>
      </c>
    </row>
    <row r="129" spans="1:18" ht="15.75" x14ac:dyDescent="0.25">
      <c r="A129" s="58"/>
      <c r="B129" s="59"/>
      <c r="C129" s="59"/>
      <c r="D129" s="59"/>
      <c r="E129" s="60"/>
      <c r="F129" s="80"/>
      <c r="G129" s="81"/>
      <c r="H129" s="81"/>
      <c r="I129" s="53"/>
      <c r="J129" s="75"/>
      <c r="K129" s="75"/>
      <c r="L129" s="98" t="s">
        <v>387</v>
      </c>
      <c r="M129" s="61" t="s">
        <v>388</v>
      </c>
      <c r="N129" s="55" t="s">
        <v>34</v>
      </c>
      <c r="O129" s="61">
        <v>2</v>
      </c>
      <c r="P129" s="97" t="e">
        <f>VLOOKUP(L129,[2]TDSheet!B$10:E$365,4,FALSE)</f>
        <v>#N/A</v>
      </c>
      <c r="Q129" s="97" t="e">
        <f t="shared" si="1"/>
        <v>#N/A</v>
      </c>
      <c r="R129" s="101">
        <f>VLOOKUP(L129,[3]TDSheet!B$10:E$436,4,FALSE)</f>
        <v>4</v>
      </c>
    </row>
    <row r="130" spans="1:18" ht="15.75" x14ac:dyDescent="0.25">
      <c r="A130" s="58"/>
      <c r="B130" s="59"/>
      <c r="C130" s="59"/>
      <c r="D130" s="59"/>
      <c r="E130" s="60"/>
      <c r="F130" s="80"/>
      <c r="G130" s="81"/>
      <c r="H130" s="81"/>
      <c r="I130" s="53"/>
      <c r="J130" s="75"/>
      <c r="K130" s="75"/>
      <c r="L130" s="98">
        <v>614</v>
      </c>
      <c r="M130" s="61" t="s">
        <v>518</v>
      </c>
      <c r="N130" s="55" t="s">
        <v>45</v>
      </c>
      <c r="O130" s="61">
        <v>10</v>
      </c>
      <c r="P130" s="97" t="e">
        <f>VLOOKUP(L130,[2]TDSheet!B$10:E$365,4,FALSE)</f>
        <v>#N/A</v>
      </c>
      <c r="Q130" s="97" t="e">
        <f t="shared" si="1"/>
        <v>#N/A</v>
      </c>
      <c r="R130" s="101" t="e">
        <f>VLOOKUP(L130,[3]TDSheet!B$10:E$436,4,FALSE)</f>
        <v>#N/A</v>
      </c>
    </row>
    <row r="131" spans="1:18" ht="15.75" x14ac:dyDescent="0.25">
      <c r="A131" s="58"/>
      <c r="B131" s="59"/>
      <c r="C131" s="59"/>
      <c r="D131" s="59"/>
      <c r="E131" s="60"/>
      <c r="F131" s="80"/>
      <c r="G131" s="81"/>
      <c r="H131" s="81"/>
      <c r="I131" s="53"/>
      <c r="J131" s="75"/>
      <c r="K131" s="75"/>
      <c r="L131" s="63" t="s">
        <v>389</v>
      </c>
      <c r="M131" s="61" t="s">
        <v>390</v>
      </c>
      <c r="N131" s="55" t="s">
        <v>34</v>
      </c>
      <c r="O131" s="61">
        <v>1</v>
      </c>
      <c r="P131" s="97">
        <f>VLOOKUP(L131,[2]TDSheet!B$10:E$365,4,FALSE)</f>
        <v>2</v>
      </c>
      <c r="Q131" s="97">
        <f t="shared" si="1"/>
        <v>1</v>
      </c>
      <c r="R131" s="101">
        <f>VLOOKUP(L131,[3]TDSheet!B$10:E$436,4,FALSE)</f>
        <v>2</v>
      </c>
    </row>
    <row r="132" spans="1:18" ht="15.75" x14ac:dyDescent="0.25">
      <c r="A132" s="58"/>
      <c r="B132" s="59"/>
      <c r="C132" s="59"/>
      <c r="D132" s="59"/>
      <c r="E132" s="60"/>
      <c r="F132" s="80"/>
      <c r="G132" s="81"/>
      <c r="H132" s="81"/>
      <c r="I132" s="53"/>
      <c r="J132" s="75"/>
      <c r="K132" s="75"/>
      <c r="L132" s="63" t="s">
        <v>194</v>
      </c>
      <c r="M132" s="61" t="s">
        <v>195</v>
      </c>
      <c r="N132" s="55" t="s">
        <v>34</v>
      </c>
      <c r="O132" s="61">
        <v>3</v>
      </c>
      <c r="P132" s="97">
        <f>VLOOKUP(L132,[2]TDSheet!B$10:E$365,4,FALSE)</f>
        <v>3</v>
      </c>
      <c r="Q132" s="97">
        <f t="shared" si="1"/>
        <v>0</v>
      </c>
      <c r="R132" s="101">
        <f>VLOOKUP(L132,[3]TDSheet!B$10:E$436,4,FALSE)</f>
        <v>3</v>
      </c>
    </row>
    <row r="133" spans="1:18" ht="15.75" x14ac:dyDescent="0.25">
      <c r="A133" s="58"/>
      <c r="B133" s="59"/>
      <c r="C133" s="59"/>
      <c r="D133" s="59"/>
      <c r="E133" s="60"/>
      <c r="F133" s="80"/>
      <c r="G133" s="81"/>
      <c r="H133" s="81"/>
      <c r="I133" s="53"/>
      <c r="J133" s="75"/>
      <c r="K133" s="75"/>
      <c r="L133" s="63" t="s">
        <v>391</v>
      </c>
      <c r="M133" s="61" t="s">
        <v>392</v>
      </c>
      <c r="N133" s="55" t="s">
        <v>68</v>
      </c>
      <c r="O133" s="61">
        <v>5.5739999999999998</v>
      </c>
      <c r="P133" s="97">
        <f>VLOOKUP(L133,[2]TDSheet!B$10:E$365,4,FALSE)</f>
        <v>9.202</v>
      </c>
      <c r="Q133" s="97">
        <f t="shared" si="1"/>
        <v>3.6280000000000001</v>
      </c>
      <c r="R133" s="101">
        <f>VLOOKUP(L133,[3]TDSheet!B$10:E$436,4,FALSE)</f>
        <v>9.202</v>
      </c>
    </row>
    <row r="134" spans="1:18" ht="15.75" x14ac:dyDescent="0.25">
      <c r="A134" s="58"/>
      <c r="B134" s="59"/>
      <c r="C134" s="59"/>
      <c r="D134" s="59"/>
      <c r="E134" s="60"/>
      <c r="F134" s="80"/>
      <c r="G134" s="81"/>
      <c r="H134" s="81"/>
      <c r="I134" s="53"/>
      <c r="J134" s="75"/>
      <c r="K134" s="75"/>
      <c r="L134" s="63">
        <v>19338</v>
      </c>
      <c r="M134" s="61" t="s">
        <v>393</v>
      </c>
      <c r="N134" s="55" t="s">
        <v>34</v>
      </c>
      <c r="O134" s="61">
        <v>5</v>
      </c>
      <c r="P134" s="97">
        <f>VLOOKUP(L134,[2]TDSheet!B$10:E$365,4,FALSE)</f>
        <v>45</v>
      </c>
      <c r="Q134" s="97">
        <f t="shared" si="1"/>
        <v>40</v>
      </c>
      <c r="R134" s="101" t="e">
        <f>VLOOKUP(L134,[3]TDSheet!B$10:E$436,4,FALSE)</f>
        <v>#N/A</v>
      </c>
    </row>
    <row r="135" spans="1:18" ht="15.75" x14ac:dyDescent="0.25">
      <c r="A135" s="58"/>
      <c r="B135" s="59"/>
      <c r="C135" s="59"/>
      <c r="D135" s="59"/>
      <c r="E135" s="60"/>
      <c r="F135" s="80"/>
      <c r="G135" s="81"/>
      <c r="H135" s="81"/>
      <c r="I135" s="53"/>
      <c r="J135" s="75"/>
      <c r="K135" s="75"/>
      <c r="L135" s="63" t="s">
        <v>527</v>
      </c>
      <c r="M135" s="61" t="s">
        <v>528</v>
      </c>
      <c r="N135" s="55" t="s">
        <v>34</v>
      </c>
      <c r="O135" s="61">
        <v>4</v>
      </c>
      <c r="P135" s="97">
        <f>VLOOKUP(L135,[2]TDSheet!B$10:E$365,4,FALSE)</f>
        <v>4</v>
      </c>
      <c r="Q135" s="97">
        <f t="shared" si="1"/>
        <v>0</v>
      </c>
      <c r="R135" s="101">
        <f>VLOOKUP(L135,[3]TDSheet!B$10:E$436,4,FALSE)</f>
        <v>4</v>
      </c>
    </row>
    <row r="136" spans="1:18" ht="15.75" x14ac:dyDescent="0.25">
      <c r="A136" s="58"/>
      <c r="B136" s="59"/>
      <c r="C136" s="59"/>
      <c r="D136" s="59"/>
      <c r="E136" s="60"/>
      <c r="F136" s="80"/>
      <c r="G136" s="81"/>
      <c r="H136" s="81"/>
      <c r="I136" s="53"/>
      <c r="J136" s="75"/>
      <c r="K136" s="75"/>
      <c r="L136" s="63" t="s">
        <v>394</v>
      </c>
      <c r="M136" s="61" t="s">
        <v>395</v>
      </c>
      <c r="N136" s="55" t="s">
        <v>34</v>
      </c>
      <c r="O136" s="61">
        <v>1</v>
      </c>
      <c r="P136" s="97">
        <f>VLOOKUP(L136,[2]TDSheet!B$10:E$365,4,FALSE)</f>
        <v>1</v>
      </c>
      <c r="Q136" s="97">
        <f t="shared" si="1"/>
        <v>0</v>
      </c>
      <c r="R136" s="101">
        <f>VLOOKUP(L136,[3]TDSheet!B$10:E$436,4,FALSE)</f>
        <v>1</v>
      </c>
    </row>
    <row r="137" spans="1:18" ht="15.75" x14ac:dyDescent="0.25">
      <c r="A137" s="58"/>
      <c r="B137" s="59"/>
      <c r="C137" s="59"/>
      <c r="D137" s="59"/>
      <c r="E137" s="60"/>
      <c r="F137" s="80"/>
      <c r="G137" s="81"/>
      <c r="H137" s="81"/>
      <c r="I137" s="53"/>
      <c r="J137" s="75"/>
      <c r="K137" s="75"/>
      <c r="L137" s="63">
        <v>345</v>
      </c>
      <c r="M137" s="61" t="s">
        <v>396</v>
      </c>
      <c r="N137" s="55" t="s">
        <v>34</v>
      </c>
      <c r="O137" s="61">
        <v>2</v>
      </c>
      <c r="P137" s="97">
        <f>VLOOKUP(L137,[2]TDSheet!B$10:E$365,4,FALSE)</f>
        <v>58</v>
      </c>
      <c r="Q137" s="97">
        <f t="shared" si="1"/>
        <v>56</v>
      </c>
      <c r="R137" s="101" t="e">
        <f>VLOOKUP(L137,[3]TDSheet!B$10:E$436,4,FALSE)</f>
        <v>#N/A</v>
      </c>
    </row>
    <row r="138" spans="1:18" ht="15.75" x14ac:dyDescent="0.25">
      <c r="A138" s="58"/>
      <c r="B138" s="59"/>
      <c r="C138" s="59"/>
      <c r="D138" s="59"/>
      <c r="E138" s="60"/>
      <c r="F138" s="80"/>
      <c r="G138" s="81"/>
      <c r="H138" s="81"/>
      <c r="I138" s="53"/>
      <c r="J138" s="75"/>
      <c r="K138" s="75"/>
      <c r="L138" s="63">
        <v>107</v>
      </c>
      <c r="M138" s="61" t="s">
        <v>397</v>
      </c>
      <c r="N138" s="55" t="s">
        <v>34</v>
      </c>
      <c r="O138" s="61">
        <v>2</v>
      </c>
      <c r="P138" s="97">
        <f>VLOOKUP(L138,[2]TDSheet!B$10:E$365,4,FALSE)</f>
        <v>5</v>
      </c>
      <c r="Q138" s="97">
        <f t="shared" si="1"/>
        <v>3</v>
      </c>
      <c r="R138" s="101" t="e">
        <f>VLOOKUP(L138,[3]TDSheet!B$10:E$436,4,FALSE)</f>
        <v>#N/A</v>
      </c>
    </row>
    <row r="139" spans="1:18" ht="15.75" x14ac:dyDescent="0.25">
      <c r="A139" s="58"/>
      <c r="B139" s="59"/>
      <c r="C139" s="59"/>
      <c r="D139" s="59"/>
      <c r="E139" s="60"/>
      <c r="F139" s="80"/>
      <c r="G139" s="81"/>
      <c r="H139" s="81"/>
      <c r="I139" s="53"/>
      <c r="J139" s="75"/>
      <c r="K139" s="75"/>
      <c r="L139" s="98" t="s">
        <v>59</v>
      </c>
      <c r="M139" s="61" t="s">
        <v>90</v>
      </c>
      <c r="N139" s="55" t="s">
        <v>34</v>
      </c>
      <c r="O139" s="61">
        <v>3</v>
      </c>
      <c r="P139" s="97" t="e">
        <f>VLOOKUP(L139,[2]TDSheet!B$10:E$365,4,FALSE)</f>
        <v>#N/A</v>
      </c>
      <c r="Q139" s="97" t="e">
        <f t="shared" si="1"/>
        <v>#N/A</v>
      </c>
      <c r="R139" s="101" t="e">
        <f>VLOOKUP(L139,[3]TDSheet!B$10:E$436,4,FALSE)</f>
        <v>#N/A</v>
      </c>
    </row>
    <row r="140" spans="1:18" ht="15.75" x14ac:dyDescent="0.25">
      <c r="A140" s="58"/>
      <c r="B140" s="59"/>
      <c r="C140" s="59"/>
      <c r="D140" s="59"/>
      <c r="E140" s="60"/>
      <c r="F140" s="80"/>
      <c r="G140" s="81"/>
      <c r="H140" s="81"/>
      <c r="I140" s="53"/>
      <c r="J140" s="75"/>
      <c r="K140" s="75"/>
      <c r="L140" s="98">
        <v>21807</v>
      </c>
      <c r="M140" s="61" t="s">
        <v>398</v>
      </c>
      <c r="N140" s="55" t="s">
        <v>34</v>
      </c>
      <c r="O140" s="61">
        <v>5</v>
      </c>
      <c r="P140" s="97" t="e">
        <f>VLOOKUP(L140,[2]TDSheet!B$10:E$365,4,FALSE)</f>
        <v>#N/A</v>
      </c>
      <c r="Q140" s="97" t="e">
        <f t="shared" si="1"/>
        <v>#N/A</v>
      </c>
      <c r="R140" s="101" t="e">
        <f>VLOOKUP(L140,[3]TDSheet!B$10:E$436,4,FALSE)</f>
        <v>#N/A</v>
      </c>
    </row>
    <row r="141" spans="1:18" ht="15.75" x14ac:dyDescent="0.25">
      <c r="A141" s="58"/>
      <c r="B141" s="59"/>
      <c r="C141" s="59"/>
      <c r="D141" s="59"/>
      <c r="E141" s="60"/>
      <c r="F141" s="80"/>
      <c r="G141" s="81"/>
      <c r="H141" s="81"/>
      <c r="I141" s="53"/>
      <c r="J141" s="75"/>
      <c r="K141" s="75"/>
      <c r="L141" s="63">
        <v>16131</v>
      </c>
      <c r="M141" s="61" t="s">
        <v>399</v>
      </c>
      <c r="N141" s="55" t="s">
        <v>34</v>
      </c>
      <c r="O141" s="61">
        <v>3</v>
      </c>
      <c r="P141" s="97">
        <f>VLOOKUP(L141,[2]TDSheet!B$10:E$365,4,FALSE)</f>
        <v>12</v>
      </c>
      <c r="Q141" s="97">
        <f t="shared" si="1"/>
        <v>9</v>
      </c>
      <c r="R141" s="101" t="e">
        <f>VLOOKUP(L141,[3]TDSheet!B$10:E$436,4,FALSE)</f>
        <v>#N/A</v>
      </c>
    </row>
    <row r="142" spans="1:18" ht="15.75" x14ac:dyDescent="0.25">
      <c r="A142" s="58"/>
      <c r="B142" s="59"/>
      <c r="C142" s="59"/>
      <c r="D142" s="59"/>
      <c r="E142" s="60"/>
      <c r="F142" s="80"/>
      <c r="G142" s="81"/>
      <c r="H142" s="81"/>
      <c r="I142" s="53"/>
      <c r="J142" s="75"/>
      <c r="K142" s="75"/>
      <c r="L142" s="63" t="s">
        <v>196</v>
      </c>
      <c r="M142" s="61" t="s">
        <v>197</v>
      </c>
      <c r="N142" s="55" t="s">
        <v>34</v>
      </c>
      <c r="O142" s="61">
        <v>4</v>
      </c>
      <c r="P142" s="97">
        <f>VLOOKUP(L142,[2]TDSheet!B$10:E$365,4,FALSE)</f>
        <v>11</v>
      </c>
      <c r="Q142" s="97">
        <f t="shared" si="1"/>
        <v>7</v>
      </c>
      <c r="R142" s="101">
        <f>VLOOKUP(L142,[3]TDSheet!B$10:E$436,4,FALSE)</f>
        <v>11</v>
      </c>
    </row>
    <row r="143" spans="1:18" ht="15.75" x14ac:dyDescent="0.25">
      <c r="A143" s="58"/>
      <c r="B143" s="59"/>
      <c r="C143" s="59"/>
      <c r="D143" s="59"/>
      <c r="E143" s="60"/>
      <c r="F143" s="80"/>
      <c r="G143" s="81"/>
      <c r="H143" s="81"/>
      <c r="I143" s="53"/>
      <c r="J143" s="75"/>
      <c r="K143" s="75"/>
      <c r="L143" s="63" t="s">
        <v>400</v>
      </c>
      <c r="M143" s="61" t="s">
        <v>401</v>
      </c>
      <c r="N143" s="55" t="s">
        <v>34</v>
      </c>
      <c r="O143" s="61">
        <v>1</v>
      </c>
      <c r="P143" s="97">
        <f>VLOOKUP(L143,[2]TDSheet!B$10:E$365,4,FALSE)</f>
        <v>4</v>
      </c>
      <c r="Q143" s="97">
        <f t="shared" si="1"/>
        <v>3</v>
      </c>
      <c r="R143" s="101">
        <f>VLOOKUP(L143,[3]TDSheet!B$10:E$436,4,FALSE)</f>
        <v>4</v>
      </c>
    </row>
    <row r="144" spans="1:18" ht="15.75" x14ac:dyDescent="0.25">
      <c r="A144" s="58"/>
      <c r="B144" s="59"/>
      <c r="C144" s="59"/>
      <c r="D144" s="59"/>
      <c r="E144" s="60"/>
      <c r="F144" s="80"/>
      <c r="G144" s="81"/>
      <c r="H144" s="81"/>
      <c r="I144" s="53"/>
      <c r="J144" s="75"/>
      <c r="K144" s="75"/>
      <c r="L144" s="99">
        <v>22343</v>
      </c>
      <c r="M144" s="61" t="s">
        <v>92</v>
      </c>
      <c r="N144" s="55" t="s">
        <v>68</v>
      </c>
      <c r="O144" s="61">
        <v>255</v>
      </c>
      <c r="P144" s="97">
        <f>VLOOKUP(L144,[2]TDSheet!B$10:E$365,4,FALSE)</f>
        <v>49</v>
      </c>
      <c r="Q144" s="97">
        <f t="shared" si="1"/>
        <v>-206</v>
      </c>
      <c r="R144" s="101" t="e">
        <f>VLOOKUP(L144,[3]TDSheet!B$10:E$436,4,FALSE)</f>
        <v>#N/A</v>
      </c>
    </row>
    <row r="145" spans="1:18" ht="15.75" x14ac:dyDescent="0.25">
      <c r="A145" s="58"/>
      <c r="B145" s="59"/>
      <c r="C145" s="59"/>
      <c r="D145" s="59"/>
      <c r="E145" s="60"/>
      <c r="F145" s="80"/>
      <c r="G145" s="81"/>
      <c r="H145" s="81"/>
      <c r="I145" s="53"/>
      <c r="J145" s="75"/>
      <c r="K145" s="75"/>
      <c r="L145" s="63">
        <v>19330</v>
      </c>
      <c r="M145" s="61" t="s">
        <v>402</v>
      </c>
      <c r="N145" s="55" t="s">
        <v>34</v>
      </c>
      <c r="O145" s="61">
        <v>2</v>
      </c>
      <c r="P145" s="97">
        <f>VLOOKUP(L145,[2]TDSheet!B$10:E$365,4,FALSE)</f>
        <v>8</v>
      </c>
      <c r="Q145" s="97">
        <f t="shared" si="1"/>
        <v>6</v>
      </c>
      <c r="R145" s="101" t="e">
        <f>VLOOKUP(L145,[3]TDSheet!B$10:E$436,4,FALSE)</f>
        <v>#N/A</v>
      </c>
    </row>
    <row r="146" spans="1:18" ht="15.75" x14ac:dyDescent="0.25">
      <c r="A146" s="58"/>
      <c r="B146" s="59"/>
      <c r="C146" s="59"/>
      <c r="D146" s="59"/>
      <c r="E146" s="60"/>
      <c r="F146" s="80"/>
      <c r="G146" s="81"/>
      <c r="H146" s="81"/>
      <c r="I146" s="53"/>
      <c r="J146" s="75"/>
      <c r="K146" s="75"/>
      <c r="L146" s="63" t="s">
        <v>403</v>
      </c>
      <c r="M146" s="61" t="s">
        <v>404</v>
      </c>
      <c r="N146" s="55" t="s">
        <v>34</v>
      </c>
      <c r="O146" s="61">
        <v>2</v>
      </c>
      <c r="P146" s="97">
        <f>VLOOKUP(L146,[2]TDSheet!B$10:E$365,4,FALSE)</f>
        <v>8</v>
      </c>
      <c r="Q146" s="97">
        <f t="shared" si="1"/>
        <v>6</v>
      </c>
      <c r="R146" s="101">
        <f>VLOOKUP(L146,[3]TDSheet!B$10:E$436,4,FALSE)</f>
        <v>8</v>
      </c>
    </row>
    <row r="147" spans="1:18" ht="15.75" x14ac:dyDescent="0.25">
      <c r="A147" s="58"/>
      <c r="B147" s="59"/>
      <c r="C147" s="59"/>
      <c r="D147" s="59"/>
      <c r="E147" s="60"/>
      <c r="F147" s="80"/>
      <c r="G147" s="81"/>
      <c r="H147" s="81"/>
      <c r="I147" s="53"/>
      <c r="J147" s="75"/>
      <c r="K147" s="75"/>
      <c r="L147" s="63" t="s">
        <v>198</v>
      </c>
      <c r="M147" s="61" t="s">
        <v>199</v>
      </c>
      <c r="N147" s="55" t="s">
        <v>34</v>
      </c>
      <c r="O147" s="61">
        <v>2</v>
      </c>
      <c r="P147" s="97">
        <f>VLOOKUP(L147,[2]TDSheet!B$10:E$365,4,FALSE)</f>
        <v>3</v>
      </c>
      <c r="Q147" s="97">
        <f t="shared" si="1"/>
        <v>1</v>
      </c>
      <c r="R147" s="101">
        <f>VLOOKUP(L147,[3]TDSheet!B$10:E$436,4,FALSE)</f>
        <v>3</v>
      </c>
    </row>
    <row r="148" spans="1:18" ht="15.75" x14ac:dyDescent="0.25">
      <c r="A148" s="58"/>
      <c r="B148" s="59"/>
      <c r="C148" s="59"/>
      <c r="D148" s="59"/>
      <c r="E148" s="60"/>
      <c r="F148" s="80"/>
      <c r="G148" s="81"/>
      <c r="H148" s="81"/>
      <c r="I148" s="53"/>
      <c r="J148" s="75"/>
      <c r="K148" s="75"/>
      <c r="L148" s="63" t="s">
        <v>200</v>
      </c>
      <c r="M148" s="61" t="s">
        <v>201</v>
      </c>
      <c r="N148" s="55" t="s">
        <v>34</v>
      </c>
      <c r="O148" s="61">
        <v>2</v>
      </c>
      <c r="P148" s="97">
        <f>VLOOKUP(L148,[2]TDSheet!B$10:E$365,4,FALSE)</f>
        <v>3</v>
      </c>
      <c r="Q148" s="97">
        <f t="shared" ref="Q148:Q212" si="2">P148-O148</f>
        <v>1</v>
      </c>
      <c r="R148" s="101">
        <f>VLOOKUP(L148,[3]TDSheet!B$10:E$436,4,FALSE)</f>
        <v>3</v>
      </c>
    </row>
    <row r="149" spans="1:18" ht="15.75" x14ac:dyDescent="0.25">
      <c r="A149" s="58"/>
      <c r="B149" s="59"/>
      <c r="C149" s="59"/>
      <c r="D149" s="59"/>
      <c r="E149" s="60"/>
      <c r="F149" s="80"/>
      <c r="G149" s="81"/>
      <c r="H149" s="81"/>
      <c r="I149" s="53"/>
      <c r="J149" s="75"/>
      <c r="K149" s="75"/>
      <c r="L149" s="63" t="s">
        <v>405</v>
      </c>
      <c r="M149" s="61" t="s">
        <v>406</v>
      </c>
      <c r="N149" s="55" t="s">
        <v>34</v>
      </c>
      <c r="O149" s="61">
        <v>2</v>
      </c>
      <c r="P149" s="97">
        <f>VLOOKUP(L149,[2]TDSheet!B$10:E$365,4,FALSE)</f>
        <v>8</v>
      </c>
      <c r="Q149" s="97">
        <f t="shared" si="2"/>
        <v>6</v>
      </c>
      <c r="R149" s="101">
        <f>VLOOKUP(L149,[3]TDSheet!B$10:E$436,4,FALSE)</f>
        <v>8</v>
      </c>
    </row>
    <row r="150" spans="1:18" ht="15.75" x14ac:dyDescent="0.25">
      <c r="A150" s="58"/>
      <c r="B150" s="59"/>
      <c r="C150" s="59"/>
      <c r="D150" s="59"/>
      <c r="E150" s="60"/>
      <c r="F150" s="80"/>
      <c r="G150" s="81"/>
      <c r="H150" s="81"/>
      <c r="I150" s="53"/>
      <c r="J150" s="75"/>
      <c r="K150" s="75"/>
      <c r="L150" s="63" t="s">
        <v>202</v>
      </c>
      <c r="M150" s="61" t="s">
        <v>203</v>
      </c>
      <c r="N150" s="55" t="s">
        <v>34</v>
      </c>
      <c r="O150" s="61">
        <v>3</v>
      </c>
      <c r="P150" s="97">
        <f>VLOOKUP(L150,[2]TDSheet!B$10:E$365,4,FALSE)</f>
        <v>7</v>
      </c>
      <c r="Q150" s="97">
        <f t="shared" si="2"/>
        <v>4</v>
      </c>
      <c r="R150" s="101">
        <f>VLOOKUP(L150,[3]TDSheet!B$10:E$436,4,FALSE)</f>
        <v>7</v>
      </c>
    </row>
    <row r="151" spans="1:18" ht="15.75" x14ac:dyDescent="0.25">
      <c r="A151" s="58"/>
      <c r="B151" s="59"/>
      <c r="C151" s="59"/>
      <c r="D151" s="59"/>
      <c r="E151" s="60"/>
      <c r="F151" s="80"/>
      <c r="G151" s="81"/>
      <c r="H151" s="81"/>
      <c r="I151" s="53"/>
      <c r="J151" s="75"/>
      <c r="K151" s="75"/>
      <c r="L151" s="63">
        <v>85</v>
      </c>
      <c r="M151" s="61" t="s">
        <v>407</v>
      </c>
      <c r="N151" s="55" t="s">
        <v>34</v>
      </c>
      <c r="O151" s="61">
        <v>2</v>
      </c>
      <c r="P151" s="97">
        <f>VLOOKUP(L151,[2]TDSheet!B$10:E$365,4,FALSE)</f>
        <v>8</v>
      </c>
      <c r="Q151" s="97">
        <f t="shared" si="2"/>
        <v>6</v>
      </c>
      <c r="R151" s="101" t="e">
        <f>VLOOKUP(L151,[3]TDSheet!B$10:E$436,4,FALSE)</f>
        <v>#N/A</v>
      </c>
    </row>
    <row r="152" spans="1:18" ht="15.75" x14ac:dyDescent="0.25">
      <c r="A152" s="58"/>
      <c r="B152" s="59"/>
      <c r="C152" s="59"/>
      <c r="D152" s="59"/>
      <c r="E152" s="60"/>
      <c r="F152" s="80"/>
      <c r="G152" s="81"/>
      <c r="H152" s="81"/>
      <c r="I152" s="53"/>
      <c r="J152" s="75"/>
      <c r="K152" s="75"/>
      <c r="L152" s="63">
        <v>477</v>
      </c>
      <c r="M152" s="61" t="s">
        <v>93</v>
      </c>
      <c r="N152" s="55" t="s">
        <v>34</v>
      </c>
      <c r="O152" s="61">
        <v>18</v>
      </c>
      <c r="P152" s="97">
        <f>VLOOKUP(L152,[2]TDSheet!B$10:E$365,4,FALSE)</f>
        <v>20</v>
      </c>
      <c r="Q152" s="97">
        <f t="shared" si="2"/>
        <v>2</v>
      </c>
      <c r="R152" s="101" t="e">
        <f>VLOOKUP(L152,[3]TDSheet!B$10:E$436,4,FALSE)</f>
        <v>#N/A</v>
      </c>
    </row>
    <row r="153" spans="1:18" ht="15.75" x14ac:dyDescent="0.25">
      <c r="A153" s="58"/>
      <c r="B153" s="59"/>
      <c r="C153" s="59"/>
      <c r="D153" s="59"/>
      <c r="E153" s="60"/>
      <c r="F153" s="80"/>
      <c r="G153" s="81"/>
      <c r="H153" s="81"/>
      <c r="I153" s="53"/>
      <c r="J153" s="75"/>
      <c r="K153" s="75"/>
      <c r="L153" s="63" t="s">
        <v>408</v>
      </c>
      <c r="M153" s="61" t="s">
        <v>409</v>
      </c>
      <c r="N153" s="55" t="s">
        <v>34</v>
      </c>
      <c r="O153" s="61">
        <v>12</v>
      </c>
      <c r="P153" s="97">
        <f>VLOOKUP(L153,[2]TDSheet!B$10:E$365,4,FALSE)</f>
        <v>8</v>
      </c>
      <c r="Q153" s="97">
        <f t="shared" si="2"/>
        <v>-4</v>
      </c>
      <c r="R153" s="101">
        <f>VLOOKUP(L153,[3]TDSheet!B$10:E$436,4,FALSE)</f>
        <v>8</v>
      </c>
    </row>
    <row r="154" spans="1:18" ht="15.75" x14ac:dyDescent="0.25">
      <c r="A154" s="58"/>
      <c r="B154" s="59"/>
      <c r="C154" s="59"/>
      <c r="D154" s="59"/>
      <c r="E154" s="60"/>
      <c r="F154" s="80"/>
      <c r="G154" s="81"/>
      <c r="H154" s="81"/>
      <c r="I154" s="53"/>
      <c r="J154" s="75"/>
      <c r="K154" s="75"/>
      <c r="L154" s="63">
        <v>10992</v>
      </c>
      <c r="M154" s="61" t="s">
        <v>410</v>
      </c>
      <c r="N154" s="55" t="s">
        <v>34</v>
      </c>
      <c r="O154" s="61">
        <v>12</v>
      </c>
      <c r="P154" s="97">
        <f>VLOOKUP(L154,[2]TDSheet!B$10:E$365,4,FALSE)</f>
        <v>14</v>
      </c>
      <c r="Q154" s="97">
        <f t="shared" si="2"/>
        <v>2</v>
      </c>
      <c r="R154" s="101" t="e">
        <f>VLOOKUP(L154,[3]TDSheet!B$10:E$436,4,FALSE)</f>
        <v>#N/A</v>
      </c>
    </row>
    <row r="155" spans="1:18" ht="15.75" x14ac:dyDescent="0.25">
      <c r="A155" s="58"/>
      <c r="B155" s="59"/>
      <c r="C155" s="59"/>
      <c r="D155" s="59"/>
      <c r="E155" s="60"/>
      <c r="F155" s="80"/>
      <c r="G155" s="81"/>
      <c r="H155" s="81"/>
      <c r="I155" s="53"/>
      <c r="J155" s="75"/>
      <c r="K155" s="75"/>
      <c r="L155" s="98" t="s">
        <v>44</v>
      </c>
      <c r="M155" s="61" t="s">
        <v>94</v>
      </c>
      <c r="N155" s="55" t="s">
        <v>34</v>
      </c>
      <c r="O155" s="61">
        <v>134</v>
      </c>
      <c r="P155" s="97" t="e">
        <f>VLOOKUP(L155,[2]TDSheet!B$10:E$365,4,FALSE)</f>
        <v>#N/A</v>
      </c>
      <c r="Q155" s="97" t="e">
        <f t="shared" si="2"/>
        <v>#N/A</v>
      </c>
      <c r="R155" s="101" t="e">
        <f>VLOOKUP(L155,[3]TDSheet!B$10:E$436,4,FALSE)</f>
        <v>#N/A</v>
      </c>
    </row>
    <row r="156" spans="1:18" ht="15.75" x14ac:dyDescent="0.25">
      <c r="A156" s="58"/>
      <c r="B156" s="59"/>
      <c r="C156" s="59"/>
      <c r="D156" s="59"/>
      <c r="E156" s="60"/>
      <c r="F156" s="80"/>
      <c r="G156" s="81"/>
      <c r="H156" s="81"/>
      <c r="I156" s="53"/>
      <c r="J156" s="75"/>
      <c r="K156" s="75"/>
      <c r="L156" s="98"/>
      <c r="M156" s="61" t="s">
        <v>520</v>
      </c>
      <c r="N156" s="55" t="s">
        <v>34</v>
      </c>
      <c r="O156" s="61">
        <v>146</v>
      </c>
      <c r="P156" s="97"/>
      <c r="Q156" s="97">
        <f t="shared" si="2"/>
        <v>-146</v>
      </c>
      <c r="R156" s="101" t="e">
        <f>VLOOKUP(L156,[3]TDSheet!B$10:E$436,4,FALSE)</f>
        <v>#N/A</v>
      </c>
    </row>
    <row r="157" spans="1:18" ht="15.75" x14ac:dyDescent="0.25">
      <c r="A157" s="58"/>
      <c r="B157" s="59"/>
      <c r="C157" s="59"/>
      <c r="D157" s="59"/>
      <c r="E157" s="60"/>
      <c r="F157" s="80"/>
      <c r="G157" s="81"/>
      <c r="H157" s="81"/>
      <c r="I157" s="53"/>
      <c r="J157" s="75"/>
      <c r="K157" s="75"/>
      <c r="L157" s="63" t="s">
        <v>411</v>
      </c>
      <c r="M157" s="61" t="s">
        <v>412</v>
      </c>
      <c r="N157" s="55" t="s">
        <v>34</v>
      </c>
      <c r="O157" s="61">
        <v>2</v>
      </c>
      <c r="P157" s="97">
        <f>VLOOKUP(L157,[2]TDSheet!B$10:E$365,4,FALSE)</f>
        <v>4</v>
      </c>
      <c r="Q157" s="97">
        <f t="shared" si="2"/>
        <v>2</v>
      </c>
      <c r="R157" s="101">
        <f>VLOOKUP(L157,[3]TDSheet!B$10:E$436,4,FALSE)</f>
        <v>850</v>
      </c>
    </row>
    <row r="158" spans="1:18" ht="15.75" x14ac:dyDescent="0.25">
      <c r="A158" s="58"/>
      <c r="B158" s="59"/>
      <c r="C158" s="59"/>
      <c r="D158" s="59"/>
      <c r="E158" s="60"/>
      <c r="F158" s="80"/>
      <c r="G158" s="81"/>
      <c r="H158" s="81"/>
      <c r="I158" s="53"/>
      <c r="J158" s="75"/>
      <c r="K158" s="75"/>
      <c r="L158" s="63" t="s">
        <v>204</v>
      </c>
      <c r="M158" s="61" t="s">
        <v>205</v>
      </c>
      <c r="N158" s="55" t="s">
        <v>34</v>
      </c>
      <c r="O158" s="61">
        <v>12</v>
      </c>
      <c r="P158" s="97">
        <f>VLOOKUP(L158,[2]TDSheet!B$10:E$365,4,FALSE)</f>
        <v>24</v>
      </c>
      <c r="Q158" s="97">
        <f t="shared" si="2"/>
        <v>12</v>
      </c>
      <c r="R158" s="101">
        <f>VLOOKUP(L158,[3]TDSheet!B$10:E$436,4,FALSE)</f>
        <v>24</v>
      </c>
    </row>
    <row r="159" spans="1:18" ht="15.75" x14ac:dyDescent="0.25">
      <c r="A159" s="58"/>
      <c r="B159" s="59"/>
      <c r="C159" s="59"/>
      <c r="D159" s="59"/>
      <c r="E159" s="60"/>
      <c r="F159" s="80"/>
      <c r="G159" s="81"/>
      <c r="H159" s="81"/>
      <c r="I159" s="53"/>
      <c r="J159" s="75"/>
      <c r="K159" s="75"/>
      <c r="L159" s="98">
        <v>3726</v>
      </c>
      <c r="M159" s="61" t="s">
        <v>413</v>
      </c>
      <c r="N159" s="55" t="s">
        <v>34</v>
      </c>
      <c r="O159" s="96">
        <v>12</v>
      </c>
      <c r="P159" s="97" t="e">
        <f>VLOOKUP(L159,[2]TDSheet!B$10:E$365,4,FALSE)</f>
        <v>#N/A</v>
      </c>
      <c r="Q159" s="97" t="e">
        <f t="shared" si="2"/>
        <v>#N/A</v>
      </c>
      <c r="R159" s="101" t="e">
        <f>VLOOKUP(L159,[3]TDSheet!B$10:E$436,4,FALSE)</f>
        <v>#N/A</v>
      </c>
    </row>
    <row r="160" spans="1:18" ht="15.75" x14ac:dyDescent="0.25">
      <c r="A160" s="58"/>
      <c r="B160" s="59"/>
      <c r="C160" s="59"/>
      <c r="D160" s="59"/>
      <c r="E160" s="60"/>
      <c r="F160" s="80"/>
      <c r="G160" s="81"/>
      <c r="H160" s="81"/>
      <c r="I160" s="53"/>
      <c r="J160" s="75"/>
      <c r="K160" s="75"/>
      <c r="L160" s="98"/>
      <c r="M160" s="61" t="s">
        <v>206</v>
      </c>
      <c r="N160" s="55" t="s">
        <v>34</v>
      </c>
      <c r="O160" s="96">
        <v>72</v>
      </c>
      <c r="P160" s="97" t="e">
        <f>VLOOKUP(L160,[2]TDSheet!B$10:E$365,4,FALSE)</f>
        <v>#N/A</v>
      </c>
      <c r="Q160" s="97" t="e">
        <f t="shared" si="2"/>
        <v>#N/A</v>
      </c>
      <c r="R160" s="101" t="e">
        <f>VLOOKUP(L160,[3]TDSheet!B$10:E$436,4,FALSE)</f>
        <v>#N/A</v>
      </c>
    </row>
    <row r="161" spans="1:18" ht="15.75" x14ac:dyDescent="0.25">
      <c r="A161" s="58"/>
      <c r="B161" s="59"/>
      <c r="C161" s="59"/>
      <c r="D161" s="59"/>
      <c r="E161" s="60"/>
      <c r="F161" s="80"/>
      <c r="G161" s="81"/>
      <c r="H161" s="81"/>
      <c r="I161" s="53"/>
      <c r="J161" s="75"/>
      <c r="K161" s="75"/>
      <c r="L161" s="99" t="s">
        <v>184</v>
      </c>
      <c r="M161" s="61" t="s">
        <v>516</v>
      </c>
      <c r="N161" s="55" t="s">
        <v>34</v>
      </c>
      <c r="O161" s="96">
        <v>4</v>
      </c>
      <c r="P161" s="97">
        <f>VLOOKUP(L161,[2]TDSheet!B$10:E$365,4,FALSE)</f>
        <v>3</v>
      </c>
      <c r="Q161" s="97">
        <f t="shared" si="2"/>
        <v>-1</v>
      </c>
      <c r="R161" s="101">
        <f>VLOOKUP(L161,[3]TDSheet!B$10:E$436,4,FALSE)</f>
        <v>3</v>
      </c>
    </row>
    <row r="162" spans="1:18" ht="15.75" x14ac:dyDescent="0.25">
      <c r="A162" s="58"/>
      <c r="B162" s="59"/>
      <c r="C162" s="59"/>
      <c r="D162" s="59"/>
      <c r="E162" s="60"/>
      <c r="F162" s="80"/>
      <c r="G162" s="81"/>
      <c r="H162" s="81"/>
      <c r="I162" s="53"/>
      <c r="J162" s="75"/>
      <c r="K162" s="75"/>
      <c r="L162" s="98"/>
      <c r="M162" s="61" t="s">
        <v>517</v>
      </c>
      <c r="N162" s="55" t="s">
        <v>34</v>
      </c>
      <c r="O162" s="96">
        <v>3</v>
      </c>
      <c r="P162" s="97" t="e">
        <f>VLOOKUP(L162,[2]TDSheet!B$10:E$365,4,FALSE)</f>
        <v>#N/A</v>
      </c>
      <c r="Q162" s="97" t="e">
        <f t="shared" si="2"/>
        <v>#N/A</v>
      </c>
      <c r="R162" s="101" t="e">
        <f>VLOOKUP(L162,[3]TDSheet!B$10:E$436,4,FALSE)</f>
        <v>#N/A</v>
      </c>
    </row>
    <row r="163" spans="1:18" ht="15.75" x14ac:dyDescent="0.25">
      <c r="A163" s="58"/>
      <c r="B163" s="59"/>
      <c r="C163" s="59"/>
      <c r="D163" s="59"/>
      <c r="E163" s="60"/>
      <c r="F163" s="80"/>
      <c r="G163" s="81"/>
      <c r="H163" s="81"/>
      <c r="I163" s="53"/>
      <c r="J163" s="75"/>
      <c r="K163" s="75"/>
      <c r="L163" s="98"/>
      <c r="M163" s="61" t="s">
        <v>512</v>
      </c>
      <c r="N163" s="55" t="s">
        <v>45</v>
      </c>
      <c r="O163" s="96">
        <v>270</v>
      </c>
      <c r="P163" s="97" t="e">
        <f>VLOOKUP(L163,[2]TDSheet!B$10:E$365,4,FALSE)</f>
        <v>#N/A</v>
      </c>
      <c r="Q163" s="97" t="e">
        <f t="shared" si="2"/>
        <v>#N/A</v>
      </c>
      <c r="R163" s="101" t="e">
        <f>VLOOKUP(L163,[3]TDSheet!B$10:E$436,4,FALSE)</f>
        <v>#N/A</v>
      </c>
    </row>
    <row r="164" spans="1:18" ht="15.75" x14ac:dyDescent="0.25">
      <c r="A164" s="58"/>
      <c r="B164" s="59"/>
      <c r="C164" s="59"/>
      <c r="D164" s="59"/>
      <c r="E164" s="60"/>
      <c r="F164" s="80"/>
      <c r="G164" s="81"/>
      <c r="H164" s="81"/>
      <c r="I164" s="53"/>
      <c r="J164" s="75"/>
      <c r="K164" s="75"/>
      <c r="L164" s="63" t="s">
        <v>414</v>
      </c>
      <c r="M164" s="61" t="s">
        <v>415</v>
      </c>
      <c r="N164" s="55" t="s">
        <v>37</v>
      </c>
      <c r="O164" s="61">
        <v>95</v>
      </c>
      <c r="P164" s="97">
        <f>VLOOKUP(L164,[2]TDSheet!B$10:E$365,4,FALSE)</f>
        <v>95</v>
      </c>
      <c r="Q164" s="97">
        <f t="shared" si="2"/>
        <v>0</v>
      </c>
      <c r="R164" s="101">
        <f>VLOOKUP(L164,[3]TDSheet!B$10:E$436,4,FALSE)</f>
        <v>95</v>
      </c>
    </row>
    <row r="165" spans="1:18" ht="15.75" x14ac:dyDescent="0.25">
      <c r="A165" s="58"/>
      <c r="B165" s="59"/>
      <c r="C165" s="59"/>
      <c r="D165" s="59"/>
      <c r="E165" s="60"/>
      <c r="F165" s="80"/>
      <c r="G165" s="81"/>
      <c r="H165" s="81"/>
      <c r="I165" s="53"/>
      <c r="J165" s="75"/>
      <c r="K165" s="75"/>
      <c r="L165" s="98" t="s">
        <v>207</v>
      </c>
      <c r="M165" s="61" t="s">
        <v>513</v>
      </c>
      <c r="N165" s="55" t="s">
        <v>68</v>
      </c>
      <c r="O165" s="61">
        <v>110</v>
      </c>
      <c r="P165" s="97">
        <f>VLOOKUP(L165,[2]TDSheet!B$10:E$365,4,FALSE)</f>
        <v>-110</v>
      </c>
      <c r="Q165" s="97">
        <f t="shared" si="2"/>
        <v>-220</v>
      </c>
      <c r="R165" s="101">
        <f>VLOOKUP(L165,[3]TDSheet!B$10:E$436,4,FALSE)</f>
        <v>120</v>
      </c>
    </row>
    <row r="166" spans="1:18" ht="15.75" x14ac:dyDescent="0.25">
      <c r="A166" s="58"/>
      <c r="B166" s="59"/>
      <c r="C166" s="59"/>
      <c r="D166" s="59"/>
      <c r="E166" s="60"/>
      <c r="F166" s="80"/>
      <c r="G166" s="81"/>
      <c r="H166" s="81"/>
      <c r="I166" s="53"/>
      <c r="J166" s="75"/>
      <c r="K166" s="75"/>
      <c r="L166" s="63" t="s">
        <v>208</v>
      </c>
      <c r="M166" s="61" t="s">
        <v>209</v>
      </c>
      <c r="N166" s="55" t="s">
        <v>34</v>
      </c>
      <c r="O166" s="61">
        <v>9</v>
      </c>
      <c r="P166" s="97">
        <f>VLOOKUP(L166,[2]TDSheet!B$10:E$365,4,FALSE)</f>
        <v>16</v>
      </c>
      <c r="Q166" s="97">
        <f t="shared" si="2"/>
        <v>7</v>
      </c>
      <c r="R166" s="101">
        <f>VLOOKUP(L166,[3]TDSheet!B$10:E$436,4,FALSE)</f>
        <v>16</v>
      </c>
    </row>
    <row r="167" spans="1:18" ht="15.75" x14ac:dyDescent="0.25">
      <c r="A167" s="58"/>
      <c r="B167" s="59"/>
      <c r="C167" s="59"/>
      <c r="D167" s="59"/>
      <c r="E167" s="60"/>
      <c r="F167" s="80"/>
      <c r="G167" s="81"/>
      <c r="H167" s="81"/>
      <c r="I167" s="53"/>
      <c r="J167" s="75"/>
      <c r="K167" s="75"/>
      <c r="L167" s="63" t="s">
        <v>416</v>
      </c>
      <c r="M167" s="61" t="s">
        <v>417</v>
      </c>
      <c r="N167" s="55" t="s">
        <v>34</v>
      </c>
      <c r="O167" s="61">
        <v>1</v>
      </c>
      <c r="P167" s="97">
        <f>VLOOKUP(L167,[2]TDSheet!B$10:E$365,4,FALSE)</f>
        <v>1</v>
      </c>
      <c r="Q167" s="97">
        <f t="shared" si="2"/>
        <v>0</v>
      </c>
      <c r="R167" s="101">
        <f>VLOOKUP(L167,[3]TDSheet!B$10:E$436,4,FALSE)</f>
        <v>1</v>
      </c>
    </row>
    <row r="168" spans="1:18" ht="15.75" x14ac:dyDescent="0.25">
      <c r="A168" s="58"/>
      <c r="B168" s="59"/>
      <c r="C168" s="59"/>
      <c r="D168" s="59"/>
      <c r="E168" s="60"/>
      <c r="F168" s="80"/>
      <c r="G168" s="81"/>
      <c r="H168" s="81"/>
      <c r="I168" s="53"/>
      <c r="J168" s="75"/>
      <c r="K168" s="75"/>
      <c r="L168" s="63" t="s">
        <v>418</v>
      </c>
      <c r="M168" s="61" t="s">
        <v>419</v>
      </c>
      <c r="N168" s="55" t="s">
        <v>34</v>
      </c>
      <c r="O168" s="61">
        <v>1</v>
      </c>
      <c r="P168" s="97">
        <f>VLOOKUP(L168,[2]TDSheet!B$10:E$365,4,FALSE)</f>
        <v>1</v>
      </c>
      <c r="Q168" s="97">
        <f t="shared" si="2"/>
        <v>0</v>
      </c>
      <c r="R168" s="101">
        <f>VLOOKUP(L168,[3]TDSheet!B$10:E$436,4,FALSE)</f>
        <v>1</v>
      </c>
    </row>
    <row r="169" spans="1:18" ht="15.75" x14ac:dyDescent="0.25">
      <c r="A169" s="58"/>
      <c r="B169" s="59"/>
      <c r="C169" s="59"/>
      <c r="D169" s="59"/>
      <c r="E169" s="60"/>
      <c r="F169" s="80"/>
      <c r="G169" s="81"/>
      <c r="H169" s="81"/>
      <c r="I169" s="53"/>
      <c r="J169" s="75"/>
      <c r="K169" s="75"/>
      <c r="L169" s="63" t="s">
        <v>420</v>
      </c>
      <c r="M169" s="61" t="s">
        <v>421</v>
      </c>
      <c r="N169" s="55" t="s">
        <v>37</v>
      </c>
      <c r="O169" s="61">
        <v>20</v>
      </c>
      <c r="P169" s="97">
        <f>VLOOKUP(L169,[2]TDSheet!B$10:E$365,4,FALSE)</f>
        <v>80</v>
      </c>
      <c r="Q169" s="97">
        <f t="shared" si="2"/>
        <v>60</v>
      </c>
      <c r="R169" s="101">
        <f>VLOOKUP(L169,[3]TDSheet!B$10:E$436,4,FALSE)</f>
        <v>80</v>
      </c>
    </row>
    <row r="170" spans="1:18" ht="15.75" x14ac:dyDescent="0.25">
      <c r="A170" s="58"/>
      <c r="B170" s="59"/>
      <c r="C170" s="59"/>
      <c r="D170" s="59"/>
      <c r="E170" s="60"/>
      <c r="F170" s="80"/>
      <c r="G170" s="81"/>
      <c r="H170" s="81"/>
      <c r="I170" s="53"/>
      <c r="J170" s="75"/>
      <c r="K170" s="75"/>
      <c r="L170" s="63" t="s">
        <v>422</v>
      </c>
      <c r="M170" s="61" t="s">
        <v>423</v>
      </c>
      <c r="N170" s="55" t="s">
        <v>34</v>
      </c>
      <c r="O170" s="61">
        <v>2</v>
      </c>
      <c r="P170" s="97">
        <f>VLOOKUP(L170,[2]TDSheet!B$10:E$365,4,FALSE)</f>
        <v>8</v>
      </c>
      <c r="Q170" s="97">
        <f t="shared" si="2"/>
        <v>6</v>
      </c>
      <c r="R170" s="101">
        <f>VLOOKUP(L170,[3]TDSheet!B$10:E$436,4,FALSE)</f>
        <v>8</v>
      </c>
    </row>
    <row r="171" spans="1:18" ht="15.75" x14ac:dyDescent="0.25">
      <c r="A171" s="58"/>
      <c r="B171" s="59"/>
      <c r="C171" s="59"/>
      <c r="D171" s="59"/>
      <c r="E171" s="60"/>
      <c r="F171" s="80"/>
      <c r="G171" s="81"/>
      <c r="H171" s="81"/>
      <c r="I171" s="53"/>
      <c r="J171" s="75"/>
      <c r="K171" s="75"/>
      <c r="L171" s="63" t="s">
        <v>424</v>
      </c>
      <c r="M171" s="61" t="s">
        <v>425</v>
      </c>
      <c r="N171" s="55" t="s">
        <v>34</v>
      </c>
      <c r="O171" s="61">
        <v>2</v>
      </c>
      <c r="P171" s="97">
        <f>VLOOKUP(L171,[2]TDSheet!B$10:E$365,4,FALSE)</f>
        <v>2</v>
      </c>
      <c r="Q171" s="97">
        <f t="shared" si="2"/>
        <v>0</v>
      </c>
      <c r="R171" s="101">
        <f>VLOOKUP(L171,[3]TDSheet!B$10:E$436,4,FALSE)</f>
        <v>2</v>
      </c>
    </row>
    <row r="172" spans="1:18" ht="15.75" x14ac:dyDescent="0.25">
      <c r="A172" s="58"/>
      <c r="B172" s="59"/>
      <c r="C172" s="59"/>
      <c r="D172" s="59"/>
      <c r="E172" s="60"/>
      <c r="F172" s="80"/>
      <c r="G172" s="81"/>
      <c r="H172" s="81"/>
      <c r="I172" s="53"/>
      <c r="J172" s="75"/>
      <c r="K172" s="75"/>
      <c r="L172" s="63" t="s">
        <v>210</v>
      </c>
      <c r="M172" s="61" t="s">
        <v>211</v>
      </c>
      <c r="N172" s="55" t="s">
        <v>34</v>
      </c>
      <c r="O172" s="61">
        <v>7.2</v>
      </c>
      <c r="P172" s="97">
        <f>VLOOKUP(L172,[2]TDSheet!B$10:E$365,4,FALSE)</f>
        <v>30.8</v>
      </c>
      <c r="Q172" s="97">
        <f t="shared" si="2"/>
        <v>23.6</v>
      </c>
      <c r="R172" s="101">
        <f>VLOOKUP(L172,[3]TDSheet!B$10:E$436,4,FALSE)</f>
        <v>30.8</v>
      </c>
    </row>
    <row r="173" spans="1:18" ht="15.75" x14ac:dyDescent="0.25">
      <c r="A173" s="58"/>
      <c r="B173" s="59"/>
      <c r="C173" s="59"/>
      <c r="D173" s="59"/>
      <c r="E173" s="60"/>
      <c r="F173" s="80"/>
      <c r="G173" s="81"/>
      <c r="H173" s="81"/>
      <c r="I173" s="53"/>
      <c r="J173" s="75"/>
      <c r="K173" s="75"/>
      <c r="L173" s="63" t="s">
        <v>426</v>
      </c>
      <c r="M173" s="61" t="s">
        <v>427</v>
      </c>
      <c r="N173" s="55" t="s">
        <v>68</v>
      </c>
      <c r="O173" s="61">
        <v>148.65600000000001</v>
      </c>
      <c r="P173" s="97">
        <f>VLOOKUP(L173,[2]TDSheet!B$10:E$365,4,FALSE)</f>
        <v>502.71600000000001</v>
      </c>
      <c r="Q173" s="97">
        <f t="shared" si="2"/>
        <v>354.06</v>
      </c>
      <c r="R173" s="101">
        <f>VLOOKUP(L173,[3]TDSheet!B$10:E$436,4,FALSE)</f>
        <v>502.71600000000001</v>
      </c>
    </row>
    <row r="174" spans="1:18" ht="15.75" x14ac:dyDescent="0.25">
      <c r="A174" s="58"/>
      <c r="B174" s="59"/>
      <c r="C174" s="59"/>
      <c r="D174" s="59"/>
      <c r="E174" s="60"/>
      <c r="F174" s="80"/>
      <c r="G174" s="81"/>
      <c r="H174" s="81"/>
      <c r="I174" s="53"/>
      <c r="J174" s="75"/>
      <c r="K174" s="75"/>
      <c r="L174" s="63">
        <v>17304</v>
      </c>
      <c r="M174" s="61" t="s">
        <v>428</v>
      </c>
      <c r="N174" s="55" t="s">
        <v>68</v>
      </c>
      <c r="O174" s="61">
        <v>111.60599999999999</v>
      </c>
      <c r="P174" s="97">
        <f>VLOOKUP(L174,[2]TDSheet!B$10:E$365,4,FALSE)</f>
        <v>334.81799999999998</v>
      </c>
      <c r="Q174" s="97">
        <f t="shared" si="2"/>
        <v>223.21199999999999</v>
      </c>
      <c r="R174" s="101" t="e">
        <f>VLOOKUP(L174,[3]TDSheet!B$10:E$436,4,FALSE)</f>
        <v>#N/A</v>
      </c>
    </row>
    <row r="175" spans="1:18" ht="15.75" x14ac:dyDescent="0.25">
      <c r="A175" s="58"/>
      <c r="B175" s="59"/>
      <c r="C175" s="59"/>
      <c r="D175" s="59"/>
      <c r="E175" s="60"/>
      <c r="F175" s="80"/>
      <c r="G175" s="81"/>
      <c r="H175" s="81"/>
      <c r="I175" s="53"/>
      <c r="J175" s="75"/>
      <c r="K175" s="75"/>
      <c r="L175" s="63" t="s">
        <v>429</v>
      </c>
      <c r="M175" s="61" t="s">
        <v>430</v>
      </c>
      <c r="N175" s="55" t="s">
        <v>37</v>
      </c>
      <c r="O175" s="61">
        <v>111</v>
      </c>
      <c r="P175" s="97">
        <f>VLOOKUP(L175,[2]TDSheet!B$10:E$365,4,FALSE)</f>
        <v>195</v>
      </c>
      <c r="Q175" s="97">
        <f t="shared" si="2"/>
        <v>84</v>
      </c>
      <c r="R175" s="101">
        <f>VLOOKUP(L175,[3]TDSheet!B$10:E$436,4,FALSE)</f>
        <v>195</v>
      </c>
    </row>
    <row r="176" spans="1:18" ht="15.75" x14ac:dyDescent="0.25">
      <c r="A176" s="58"/>
      <c r="B176" s="59"/>
      <c r="C176" s="59"/>
      <c r="D176" s="59"/>
      <c r="E176" s="60"/>
      <c r="F176" s="80"/>
      <c r="G176" s="81"/>
      <c r="H176" s="81"/>
      <c r="I176" s="53"/>
      <c r="J176" s="75"/>
      <c r="K176" s="75"/>
      <c r="L176" s="63">
        <v>21862</v>
      </c>
      <c r="M176" s="61" t="s">
        <v>431</v>
      </c>
      <c r="N176" s="55" t="s">
        <v>68</v>
      </c>
      <c r="O176" s="61">
        <v>104.61499999999999</v>
      </c>
      <c r="P176" s="97">
        <f>VLOOKUP(L176,[2]TDSheet!B$10:E$365,4,FALSE)</f>
        <v>409.49299999999999</v>
      </c>
      <c r="Q176" s="97">
        <f t="shared" si="2"/>
        <v>304.87799999999999</v>
      </c>
      <c r="R176" s="101" t="e">
        <f>VLOOKUP(L176,[3]TDSheet!B$10:E$436,4,FALSE)</f>
        <v>#N/A</v>
      </c>
    </row>
    <row r="177" spans="1:18" ht="15.75" x14ac:dyDescent="0.25">
      <c r="A177" s="58"/>
      <c r="B177" s="59"/>
      <c r="C177" s="59"/>
      <c r="D177" s="59"/>
      <c r="E177" s="60"/>
      <c r="F177" s="80"/>
      <c r="G177" s="81"/>
      <c r="H177" s="81"/>
      <c r="I177" s="53"/>
      <c r="J177" s="75"/>
      <c r="K177" s="75"/>
      <c r="L177" s="63" t="s">
        <v>432</v>
      </c>
      <c r="M177" s="61" t="s">
        <v>433</v>
      </c>
      <c r="N177" s="55" t="s">
        <v>34</v>
      </c>
      <c r="O177" s="61">
        <v>4</v>
      </c>
      <c r="P177" s="97">
        <f>VLOOKUP(L177,[2]TDSheet!B$10:E$365,4,FALSE)</f>
        <v>16</v>
      </c>
      <c r="Q177" s="97">
        <f t="shared" si="2"/>
        <v>12</v>
      </c>
      <c r="R177" s="101">
        <f>VLOOKUP(L177,[3]TDSheet!B$10:E$436,4,FALSE)</f>
        <v>16</v>
      </c>
    </row>
    <row r="178" spans="1:18" ht="15.75" x14ac:dyDescent="0.25">
      <c r="A178" s="58"/>
      <c r="B178" s="59"/>
      <c r="C178" s="59"/>
      <c r="D178" s="59"/>
      <c r="E178" s="60"/>
      <c r="F178" s="80"/>
      <c r="G178" s="81"/>
      <c r="H178" s="81"/>
      <c r="I178" s="53"/>
      <c r="J178" s="75"/>
      <c r="K178" s="75"/>
      <c r="L178" s="98" t="s">
        <v>212</v>
      </c>
      <c r="M178" s="61" t="s">
        <v>213</v>
      </c>
      <c r="N178" s="55" t="s">
        <v>214</v>
      </c>
      <c r="O178" s="61">
        <v>2.0249999999999999</v>
      </c>
      <c r="P178" s="97" t="e">
        <f>VLOOKUP(L178,[2]TDSheet!B$10:E$365,4,FALSE)</f>
        <v>#N/A</v>
      </c>
      <c r="Q178" s="97" t="e">
        <f t="shared" si="2"/>
        <v>#N/A</v>
      </c>
      <c r="R178" s="101" t="e">
        <f>VLOOKUP(L178,[3]TDSheet!B$10:E$436,4,FALSE)</f>
        <v>#N/A</v>
      </c>
    </row>
    <row r="179" spans="1:18" ht="15.75" x14ac:dyDescent="0.25">
      <c r="A179" s="58"/>
      <c r="B179" s="59"/>
      <c r="C179" s="59"/>
      <c r="D179" s="59"/>
      <c r="E179" s="60"/>
      <c r="F179" s="80"/>
      <c r="G179" s="81"/>
      <c r="H179" s="81"/>
      <c r="I179" s="53"/>
      <c r="J179" s="75"/>
      <c r="K179" s="75"/>
      <c r="L179" s="63" t="s">
        <v>48</v>
      </c>
      <c r="M179" s="61" t="s">
        <v>65</v>
      </c>
      <c r="N179" s="55" t="s">
        <v>66</v>
      </c>
      <c r="O179" s="61">
        <v>1.345</v>
      </c>
      <c r="P179" s="97">
        <f>VLOOKUP(L179,[2]TDSheet!B$10:E$365,4,FALSE)</f>
        <v>2.5459999999999998</v>
      </c>
      <c r="Q179" s="97">
        <f t="shared" si="2"/>
        <v>1.2009999999999998</v>
      </c>
      <c r="R179" s="101">
        <f>VLOOKUP(L179,[3]TDSheet!B$10:E$436,4,FALSE)</f>
        <v>2.5459999999999998</v>
      </c>
    </row>
    <row r="180" spans="1:18" ht="15.75" x14ac:dyDescent="0.25">
      <c r="A180" s="58"/>
      <c r="B180" s="59"/>
      <c r="C180" s="59"/>
      <c r="D180" s="59"/>
      <c r="E180" s="60"/>
      <c r="F180" s="80"/>
      <c r="G180" s="81"/>
      <c r="H180" s="81"/>
      <c r="I180" s="53"/>
      <c r="J180" s="75"/>
      <c r="K180" s="75"/>
      <c r="L180" s="99" t="s">
        <v>434</v>
      </c>
      <c r="M180" s="61" t="s">
        <v>435</v>
      </c>
      <c r="N180" s="55" t="s">
        <v>34</v>
      </c>
      <c r="O180" s="61">
        <v>6</v>
      </c>
      <c r="P180" s="97">
        <f>VLOOKUP(L180,[2]TDSheet!B$10:E$365,4,FALSE)</f>
        <v>1</v>
      </c>
      <c r="Q180" s="97">
        <f t="shared" si="2"/>
        <v>-5</v>
      </c>
      <c r="R180" s="101">
        <f>VLOOKUP(L180,[3]TDSheet!B$10:E$436,4,FALSE)</f>
        <v>7</v>
      </c>
    </row>
    <row r="181" spans="1:18" ht="15.75" x14ac:dyDescent="0.25">
      <c r="A181" s="58"/>
      <c r="B181" s="59"/>
      <c r="C181" s="59"/>
      <c r="D181" s="59"/>
      <c r="E181" s="60"/>
      <c r="F181" s="80"/>
      <c r="G181" s="81"/>
      <c r="H181" s="81"/>
      <c r="I181" s="53"/>
      <c r="J181" s="75"/>
      <c r="K181" s="75"/>
      <c r="L181" s="63">
        <v>22062</v>
      </c>
      <c r="M181" s="61" t="s">
        <v>436</v>
      </c>
      <c r="N181" s="55" t="s">
        <v>34</v>
      </c>
      <c r="O181" s="61">
        <v>10</v>
      </c>
      <c r="P181" s="97">
        <f>VLOOKUP(L181,[2]TDSheet!B$10:E$365,4,FALSE)</f>
        <v>40</v>
      </c>
      <c r="Q181" s="97">
        <f t="shared" si="2"/>
        <v>30</v>
      </c>
      <c r="R181" s="101" t="e">
        <f>VLOOKUP(L181,[3]TDSheet!B$10:E$436,4,FALSE)</f>
        <v>#N/A</v>
      </c>
    </row>
    <row r="182" spans="1:18" ht="15.75" x14ac:dyDescent="0.25">
      <c r="A182" s="58"/>
      <c r="B182" s="59"/>
      <c r="C182" s="59"/>
      <c r="D182" s="59"/>
      <c r="E182" s="60"/>
      <c r="F182" s="80"/>
      <c r="G182" s="81"/>
      <c r="H182" s="81"/>
      <c r="I182" s="53"/>
      <c r="J182" s="75"/>
      <c r="K182" s="75"/>
      <c r="L182" s="63">
        <v>19254</v>
      </c>
      <c r="M182" s="61" t="s">
        <v>95</v>
      </c>
      <c r="N182" s="55" t="s">
        <v>34</v>
      </c>
      <c r="O182" s="61">
        <v>10</v>
      </c>
      <c r="P182" s="97">
        <f>VLOOKUP(L182,[2]TDSheet!B$10:E$365,4,FALSE)</f>
        <v>10</v>
      </c>
      <c r="Q182" s="97">
        <f t="shared" si="2"/>
        <v>0</v>
      </c>
      <c r="R182" s="101" t="e">
        <f>VLOOKUP(L182,[3]TDSheet!B$10:E$436,4,FALSE)</f>
        <v>#N/A</v>
      </c>
    </row>
    <row r="183" spans="1:18" ht="15.75" x14ac:dyDescent="0.25">
      <c r="A183" s="58"/>
      <c r="B183" s="59"/>
      <c r="C183" s="59"/>
      <c r="D183" s="59"/>
      <c r="E183" s="60"/>
      <c r="F183" s="80"/>
      <c r="G183" s="81"/>
      <c r="H183" s="81"/>
      <c r="I183" s="53"/>
      <c r="J183" s="75"/>
      <c r="K183" s="75"/>
      <c r="L183" s="63" t="s">
        <v>437</v>
      </c>
      <c r="M183" s="61" t="s">
        <v>438</v>
      </c>
      <c r="N183" s="55" t="s">
        <v>34</v>
      </c>
      <c r="O183" s="61">
        <v>20</v>
      </c>
      <c r="P183" s="97">
        <f>VLOOKUP(L183,[2]TDSheet!B$10:E$365,4,FALSE)</f>
        <v>180</v>
      </c>
      <c r="Q183" s="97">
        <f t="shared" si="2"/>
        <v>160</v>
      </c>
      <c r="R183" s="101">
        <f>VLOOKUP(L183,[3]TDSheet!B$10:E$436,4,FALSE)</f>
        <v>180</v>
      </c>
    </row>
    <row r="184" spans="1:18" ht="15.75" x14ac:dyDescent="0.25">
      <c r="A184" s="58"/>
      <c r="B184" s="59"/>
      <c r="C184" s="59"/>
      <c r="D184" s="59"/>
      <c r="E184" s="60"/>
      <c r="F184" s="80"/>
      <c r="G184" s="81"/>
      <c r="H184" s="81"/>
      <c r="I184" s="53"/>
      <c r="J184" s="75"/>
      <c r="K184" s="75"/>
      <c r="L184" s="63">
        <v>615</v>
      </c>
      <c r="M184" s="61" t="s">
        <v>439</v>
      </c>
      <c r="N184" s="55" t="s">
        <v>34</v>
      </c>
      <c r="O184" s="61">
        <v>3</v>
      </c>
      <c r="P184" s="97">
        <f>VLOOKUP(L184,[2]TDSheet!B$10:E$365,4,FALSE)</f>
        <v>13</v>
      </c>
      <c r="Q184" s="97">
        <f t="shared" si="2"/>
        <v>10</v>
      </c>
      <c r="R184" s="101" t="e">
        <f>VLOOKUP(L184,[3]TDSheet!B$10:E$436,4,FALSE)</f>
        <v>#N/A</v>
      </c>
    </row>
    <row r="185" spans="1:18" ht="15.75" x14ac:dyDescent="0.25">
      <c r="A185" s="58"/>
      <c r="B185" s="59"/>
      <c r="C185" s="59"/>
      <c r="D185" s="59"/>
      <c r="E185" s="60"/>
      <c r="F185" s="80"/>
      <c r="G185" s="81"/>
      <c r="H185" s="81"/>
      <c r="I185" s="53"/>
      <c r="J185" s="75"/>
      <c r="K185" s="75"/>
      <c r="L185" s="63" t="s">
        <v>440</v>
      </c>
      <c r="M185" s="61" t="s">
        <v>441</v>
      </c>
      <c r="N185" s="55" t="s">
        <v>442</v>
      </c>
      <c r="O185" s="61">
        <v>20</v>
      </c>
      <c r="P185" s="97">
        <f>VLOOKUP(L185,[2]TDSheet!B$10:E$365,4,FALSE)</f>
        <v>30</v>
      </c>
      <c r="Q185" s="97">
        <f t="shared" si="2"/>
        <v>10</v>
      </c>
      <c r="R185" s="101">
        <f>VLOOKUP(L185,[3]TDSheet!B$10:E$436,4,FALSE)</f>
        <v>30</v>
      </c>
    </row>
    <row r="186" spans="1:18" ht="15.75" x14ac:dyDescent="0.25">
      <c r="A186" s="58"/>
      <c r="B186" s="59"/>
      <c r="C186" s="59"/>
      <c r="D186" s="59"/>
      <c r="E186" s="60"/>
      <c r="F186" s="80"/>
      <c r="G186" s="81"/>
      <c r="H186" s="81"/>
      <c r="I186" s="53"/>
      <c r="J186" s="75"/>
      <c r="K186" s="75"/>
      <c r="L186" s="99" t="s">
        <v>43</v>
      </c>
      <c r="M186" s="61" t="s">
        <v>96</v>
      </c>
      <c r="N186" s="55" t="s">
        <v>34</v>
      </c>
      <c r="O186" s="96">
        <f>180+250</f>
        <v>430</v>
      </c>
      <c r="P186" s="97">
        <f>VLOOKUP(L186,[2]TDSheet!B$10:E$365,4,FALSE)</f>
        <v>100</v>
      </c>
      <c r="Q186" s="97">
        <f t="shared" si="2"/>
        <v>-330</v>
      </c>
      <c r="R186" s="101">
        <f>VLOOKUP(L186,[3]TDSheet!B$10:E$436,4,FALSE)</f>
        <v>500</v>
      </c>
    </row>
    <row r="187" spans="1:18" ht="15.75" x14ac:dyDescent="0.25">
      <c r="A187" s="58"/>
      <c r="B187" s="59"/>
      <c r="C187" s="59"/>
      <c r="D187" s="59"/>
      <c r="E187" s="60"/>
      <c r="F187" s="80"/>
      <c r="G187" s="81"/>
      <c r="H187" s="81"/>
      <c r="I187" s="53"/>
      <c r="J187" s="75"/>
      <c r="K187" s="75"/>
      <c r="L187" s="63" t="s">
        <v>443</v>
      </c>
      <c r="M187" s="61" t="s">
        <v>444</v>
      </c>
      <c r="N187" s="55" t="s">
        <v>34</v>
      </c>
      <c r="O187" s="61">
        <v>250</v>
      </c>
      <c r="P187" s="97">
        <f>VLOOKUP(L187,[2]TDSheet!B$10:E$365,4,FALSE)</f>
        <v>4750</v>
      </c>
      <c r="Q187" s="97">
        <f t="shared" si="2"/>
        <v>4500</v>
      </c>
      <c r="R187" s="101">
        <f>VLOOKUP(L187,[3]TDSheet!B$10:E$436,4,FALSE)</f>
        <v>4750</v>
      </c>
    </row>
    <row r="188" spans="1:18" ht="15.75" x14ac:dyDescent="0.25">
      <c r="A188" s="58"/>
      <c r="B188" s="59"/>
      <c r="C188" s="59"/>
      <c r="D188" s="59"/>
      <c r="E188" s="60"/>
      <c r="F188" s="80"/>
      <c r="G188" s="81"/>
      <c r="H188" s="81"/>
      <c r="I188" s="53"/>
      <c r="J188" s="75"/>
      <c r="K188" s="75"/>
      <c r="L188" s="63" t="s">
        <v>445</v>
      </c>
      <c r="M188" s="61" t="s">
        <v>446</v>
      </c>
      <c r="N188" s="55" t="s">
        <v>34</v>
      </c>
      <c r="O188" s="61">
        <v>11</v>
      </c>
      <c r="P188" s="97">
        <f>VLOOKUP(L188,[2]TDSheet!B$10:E$365,4,FALSE)</f>
        <v>30</v>
      </c>
      <c r="Q188" s="97">
        <f t="shared" si="2"/>
        <v>19</v>
      </c>
      <c r="R188" s="101">
        <f>VLOOKUP(L188,[3]TDSheet!B$10:E$436,4,FALSE)</f>
        <v>14</v>
      </c>
    </row>
    <row r="189" spans="1:18" ht="15.75" x14ac:dyDescent="0.25">
      <c r="A189" s="58"/>
      <c r="B189" s="59"/>
      <c r="C189" s="59"/>
      <c r="D189" s="59"/>
      <c r="E189" s="60"/>
      <c r="F189" s="80"/>
      <c r="G189" s="81"/>
      <c r="H189" s="81"/>
      <c r="I189" s="53"/>
      <c r="J189" s="75"/>
      <c r="K189" s="75"/>
      <c r="L189" s="63">
        <v>22350</v>
      </c>
      <c r="M189" s="61" t="s">
        <v>447</v>
      </c>
      <c r="N189" s="55" t="s">
        <v>34</v>
      </c>
      <c r="O189" s="61">
        <v>10</v>
      </c>
      <c r="P189" s="97">
        <f>VLOOKUP(L189,[2]TDSheet!B$10:E$365,4,FALSE)</f>
        <v>40</v>
      </c>
      <c r="Q189" s="97">
        <f t="shared" si="2"/>
        <v>30</v>
      </c>
      <c r="R189" s="101" t="e">
        <f>VLOOKUP(L189,[3]TDSheet!B$10:E$436,4,FALSE)</f>
        <v>#N/A</v>
      </c>
    </row>
    <row r="190" spans="1:18" ht="15.75" x14ac:dyDescent="0.25">
      <c r="A190" s="58"/>
      <c r="B190" s="59"/>
      <c r="C190" s="59"/>
      <c r="D190" s="59"/>
      <c r="E190" s="60"/>
      <c r="F190" s="80"/>
      <c r="G190" s="81"/>
      <c r="H190" s="81"/>
      <c r="I190" s="53"/>
      <c r="J190" s="75"/>
      <c r="K190" s="75"/>
      <c r="L190" s="63" t="s">
        <v>448</v>
      </c>
      <c r="M190" s="61" t="s">
        <v>449</v>
      </c>
      <c r="N190" s="55" t="s">
        <v>34</v>
      </c>
      <c r="O190" s="61">
        <v>1</v>
      </c>
      <c r="P190" s="97">
        <f>VLOOKUP(L190,[2]TDSheet!B$10:E$365,4,FALSE)</f>
        <v>4</v>
      </c>
      <c r="Q190" s="97">
        <f t="shared" si="2"/>
        <v>3</v>
      </c>
      <c r="R190" s="101">
        <f>VLOOKUP(L190,[3]TDSheet!B$10:E$436,4,FALSE)</f>
        <v>4</v>
      </c>
    </row>
    <row r="191" spans="1:18" ht="15.75" x14ac:dyDescent="0.25">
      <c r="A191" s="58"/>
      <c r="B191" s="59"/>
      <c r="C191" s="59"/>
      <c r="D191" s="59"/>
      <c r="E191" s="60"/>
      <c r="F191" s="80"/>
      <c r="G191" s="81"/>
      <c r="H191" s="81"/>
      <c r="I191" s="53"/>
      <c r="J191" s="75"/>
      <c r="K191" s="75"/>
      <c r="L191" s="63" t="s">
        <v>450</v>
      </c>
      <c r="M191" s="61" t="s">
        <v>451</v>
      </c>
      <c r="N191" s="55" t="s">
        <v>34</v>
      </c>
      <c r="O191" s="61">
        <v>1</v>
      </c>
      <c r="P191" s="97">
        <f>VLOOKUP(L191,[2]TDSheet!B$10:E$365,4,FALSE)</f>
        <v>4</v>
      </c>
      <c r="Q191" s="97">
        <f t="shared" si="2"/>
        <v>3</v>
      </c>
      <c r="R191" s="101">
        <f>VLOOKUP(L191,[3]TDSheet!B$10:E$436,4,FALSE)</f>
        <v>4</v>
      </c>
    </row>
    <row r="192" spans="1:18" ht="15.75" x14ac:dyDescent="0.25">
      <c r="A192" s="58"/>
      <c r="B192" s="59"/>
      <c r="C192" s="59"/>
      <c r="D192" s="59"/>
      <c r="E192" s="60"/>
      <c r="F192" s="80"/>
      <c r="G192" s="81"/>
      <c r="H192" s="81"/>
      <c r="I192" s="53"/>
      <c r="J192" s="75"/>
      <c r="K192" s="75"/>
      <c r="L192" s="63" t="s">
        <v>452</v>
      </c>
      <c r="M192" s="61" t="s">
        <v>453</v>
      </c>
      <c r="N192" s="55" t="s">
        <v>34</v>
      </c>
      <c r="O192" s="61">
        <v>11</v>
      </c>
      <c r="P192" s="97">
        <f>VLOOKUP(L192,[2]TDSheet!B$10:E$365,4,FALSE)</f>
        <v>44</v>
      </c>
      <c r="Q192" s="97">
        <f t="shared" si="2"/>
        <v>33</v>
      </c>
      <c r="R192" s="101">
        <f>VLOOKUP(L192,[3]TDSheet!B$10:E$436,4,FALSE)</f>
        <v>44</v>
      </c>
    </row>
    <row r="193" spans="1:18" ht="15.75" x14ac:dyDescent="0.25">
      <c r="A193" s="58"/>
      <c r="B193" s="59"/>
      <c r="C193" s="59"/>
      <c r="D193" s="59"/>
      <c r="E193" s="60"/>
      <c r="F193" s="80"/>
      <c r="G193" s="81"/>
      <c r="H193" s="81"/>
      <c r="I193" s="53"/>
      <c r="J193" s="75"/>
      <c r="K193" s="75"/>
      <c r="L193" s="63">
        <v>19295</v>
      </c>
      <c r="M193" s="61" t="s">
        <v>454</v>
      </c>
      <c r="N193" s="55" t="s">
        <v>34</v>
      </c>
      <c r="O193" s="61">
        <v>2</v>
      </c>
      <c r="P193" s="97">
        <f>VLOOKUP(L193,[2]TDSheet!B$10:E$365,4,FALSE)</f>
        <v>2</v>
      </c>
      <c r="Q193" s="97">
        <f t="shared" si="2"/>
        <v>0</v>
      </c>
      <c r="R193" s="101" t="e">
        <f>VLOOKUP(L193,[3]TDSheet!B$10:E$436,4,FALSE)</f>
        <v>#N/A</v>
      </c>
    </row>
    <row r="194" spans="1:18" ht="15.75" x14ac:dyDescent="0.25">
      <c r="A194" s="58"/>
      <c r="B194" s="59"/>
      <c r="C194" s="59"/>
      <c r="D194" s="59"/>
      <c r="E194" s="60"/>
      <c r="F194" s="80"/>
      <c r="G194" s="81"/>
      <c r="H194" s="81"/>
      <c r="I194" s="53"/>
      <c r="J194" s="75"/>
      <c r="K194" s="75"/>
      <c r="L194" s="63">
        <v>11561</v>
      </c>
      <c r="M194" s="61" t="s">
        <v>215</v>
      </c>
      <c r="N194" s="55" t="s">
        <v>34</v>
      </c>
      <c r="O194" s="61">
        <v>1</v>
      </c>
      <c r="P194" s="97">
        <f>VLOOKUP(L194,[2]TDSheet!B$10:E$365,4,FALSE)</f>
        <v>1</v>
      </c>
      <c r="Q194" s="97">
        <f t="shared" si="2"/>
        <v>0</v>
      </c>
      <c r="R194" s="101" t="e">
        <f>VLOOKUP(L194,[3]TDSheet!B$10:E$436,4,FALSE)</f>
        <v>#N/A</v>
      </c>
    </row>
    <row r="195" spans="1:18" ht="15.75" x14ac:dyDescent="0.25">
      <c r="A195" s="58"/>
      <c r="B195" s="59"/>
      <c r="C195" s="59"/>
      <c r="D195" s="59"/>
      <c r="E195" s="60"/>
      <c r="F195" s="80"/>
      <c r="G195" s="81"/>
      <c r="H195" s="81"/>
      <c r="I195" s="53"/>
      <c r="J195" s="75"/>
      <c r="K195" s="75"/>
      <c r="L195" s="63">
        <v>19314</v>
      </c>
      <c r="M195" s="61" t="s">
        <v>216</v>
      </c>
      <c r="N195" s="55" t="s">
        <v>34</v>
      </c>
      <c r="O195" s="61">
        <v>4</v>
      </c>
      <c r="P195" s="97">
        <f>VLOOKUP(L195,[2]TDSheet!B$10:E$365,4,FALSE)</f>
        <v>4</v>
      </c>
      <c r="Q195" s="97">
        <f t="shared" si="2"/>
        <v>0</v>
      </c>
      <c r="R195" s="101" t="e">
        <f>VLOOKUP(L195,[3]TDSheet!B$10:E$436,4,FALSE)</f>
        <v>#N/A</v>
      </c>
    </row>
    <row r="196" spans="1:18" ht="15.75" x14ac:dyDescent="0.25">
      <c r="A196" s="58"/>
      <c r="B196" s="59"/>
      <c r="C196" s="59"/>
      <c r="D196" s="59"/>
      <c r="E196" s="60"/>
      <c r="F196" s="80"/>
      <c r="G196" s="81"/>
      <c r="H196" s="81"/>
      <c r="I196" s="53"/>
      <c r="J196" s="75"/>
      <c r="K196" s="75"/>
      <c r="L196" s="63" t="s">
        <v>217</v>
      </c>
      <c r="M196" s="61" t="s">
        <v>218</v>
      </c>
      <c r="N196" s="55" t="s">
        <v>34</v>
      </c>
      <c r="O196" s="61">
        <v>1</v>
      </c>
      <c r="P196" s="97">
        <f>VLOOKUP(L196,[2]TDSheet!B$10:E$365,4,FALSE)</f>
        <v>1</v>
      </c>
      <c r="Q196" s="97">
        <f t="shared" si="2"/>
        <v>0</v>
      </c>
      <c r="R196" s="101">
        <f>VLOOKUP(L196,[3]TDSheet!B$10:E$436,4,FALSE)</f>
        <v>1</v>
      </c>
    </row>
    <row r="197" spans="1:18" ht="15.75" x14ac:dyDescent="0.25">
      <c r="A197" s="58"/>
      <c r="B197" s="59"/>
      <c r="C197" s="59"/>
      <c r="D197" s="59"/>
      <c r="E197" s="60"/>
      <c r="F197" s="80"/>
      <c r="G197" s="81"/>
      <c r="H197" s="81"/>
      <c r="I197" s="53"/>
      <c r="J197" s="75"/>
      <c r="K197" s="75"/>
      <c r="L197" s="63">
        <v>21892</v>
      </c>
      <c r="M197" s="61" t="s">
        <v>97</v>
      </c>
      <c r="N197" s="55" t="s">
        <v>34</v>
      </c>
      <c r="O197" s="61">
        <v>12</v>
      </c>
      <c r="P197" s="97">
        <f>VLOOKUP(L197,[2]TDSheet!B$10:E$365,4,FALSE)</f>
        <v>30</v>
      </c>
      <c r="Q197" s="97">
        <f t="shared" si="2"/>
        <v>18</v>
      </c>
      <c r="R197" s="101" t="e">
        <f>VLOOKUP(L197,[3]TDSheet!B$10:E$436,4,FALSE)</f>
        <v>#N/A</v>
      </c>
    </row>
    <row r="198" spans="1:18" ht="15.75" x14ac:dyDescent="0.25">
      <c r="A198" s="58"/>
      <c r="B198" s="59"/>
      <c r="C198" s="59"/>
      <c r="D198" s="59"/>
      <c r="E198" s="60"/>
      <c r="F198" s="80"/>
      <c r="G198" s="81"/>
      <c r="H198" s="81"/>
      <c r="I198" s="53"/>
      <c r="J198" s="75"/>
      <c r="K198" s="75"/>
      <c r="L198" s="63" t="s">
        <v>455</v>
      </c>
      <c r="M198" s="61" t="s">
        <v>456</v>
      </c>
      <c r="N198" s="55" t="s">
        <v>34</v>
      </c>
      <c r="O198" s="61">
        <v>4</v>
      </c>
      <c r="P198" s="97">
        <f>VLOOKUP(L198,[2]TDSheet!B$10:E$365,4,FALSE)</f>
        <v>16</v>
      </c>
      <c r="Q198" s="97">
        <f t="shared" si="2"/>
        <v>12</v>
      </c>
      <c r="R198" s="101">
        <f>VLOOKUP(L198,[3]TDSheet!B$10:E$436,4,FALSE)</f>
        <v>16</v>
      </c>
    </row>
    <row r="199" spans="1:18" ht="15.75" x14ac:dyDescent="0.25">
      <c r="A199" s="58"/>
      <c r="B199" s="59"/>
      <c r="C199" s="59"/>
      <c r="D199" s="59"/>
      <c r="E199" s="60"/>
      <c r="F199" s="80"/>
      <c r="G199" s="81"/>
      <c r="H199" s="81"/>
      <c r="I199" s="53"/>
      <c r="J199" s="75"/>
      <c r="K199" s="75"/>
      <c r="L199" s="63" t="s">
        <v>457</v>
      </c>
      <c r="M199" s="61" t="s">
        <v>458</v>
      </c>
      <c r="N199" s="55" t="s">
        <v>34</v>
      </c>
      <c r="O199" s="61">
        <v>1</v>
      </c>
      <c r="P199" s="97">
        <f>VLOOKUP(L199,[2]TDSheet!B$10:E$365,4,FALSE)</f>
        <v>1</v>
      </c>
      <c r="Q199" s="97">
        <f t="shared" si="2"/>
        <v>0</v>
      </c>
      <c r="R199" s="101">
        <f>VLOOKUP(L199,[3]TDSheet!B$10:E$436,4,FALSE)</f>
        <v>1</v>
      </c>
    </row>
    <row r="200" spans="1:18" ht="15.75" x14ac:dyDescent="0.25">
      <c r="A200" s="58"/>
      <c r="B200" s="59"/>
      <c r="C200" s="59"/>
      <c r="D200" s="59"/>
      <c r="E200" s="60"/>
      <c r="F200" s="80"/>
      <c r="G200" s="81"/>
      <c r="H200" s="81"/>
      <c r="I200" s="53"/>
      <c r="J200" s="75"/>
      <c r="K200" s="75"/>
      <c r="L200" s="63" t="s">
        <v>529</v>
      </c>
      <c r="M200" s="61" t="s">
        <v>530</v>
      </c>
      <c r="N200" s="55" t="s">
        <v>34</v>
      </c>
      <c r="O200" s="61">
        <v>2</v>
      </c>
      <c r="P200" s="97">
        <f>VLOOKUP(L200,[2]TDSheet!B$10:E$365,4,FALSE)</f>
        <v>3</v>
      </c>
      <c r="Q200" s="97">
        <f t="shared" si="2"/>
        <v>1</v>
      </c>
      <c r="R200" s="101">
        <f>VLOOKUP(L200,[3]TDSheet!B$10:E$436,4,FALSE)</f>
        <v>3</v>
      </c>
    </row>
    <row r="201" spans="1:18" ht="15.75" x14ac:dyDescent="0.25">
      <c r="A201" s="58"/>
      <c r="B201" s="59"/>
      <c r="C201" s="59"/>
      <c r="D201" s="59"/>
      <c r="E201" s="60"/>
      <c r="F201" s="80"/>
      <c r="G201" s="81"/>
      <c r="H201" s="81"/>
      <c r="I201" s="53"/>
      <c r="J201" s="75"/>
      <c r="K201" s="75"/>
      <c r="L201" s="99" t="s">
        <v>459</v>
      </c>
      <c r="M201" s="61" t="s">
        <v>460</v>
      </c>
      <c r="N201" s="55" t="s">
        <v>34</v>
      </c>
      <c r="O201" s="61">
        <v>5</v>
      </c>
      <c r="P201" s="97">
        <f>VLOOKUP(L201,[2]TDSheet!B$10:E$365,4,FALSE)</f>
        <v>2</v>
      </c>
      <c r="Q201" s="97">
        <f t="shared" si="2"/>
        <v>-3</v>
      </c>
      <c r="R201" s="101">
        <f>VLOOKUP(L201,[3]TDSheet!B$10:E$436,4,FALSE)</f>
        <v>4</v>
      </c>
    </row>
    <row r="202" spans="1:18" ht="15.75" x14ac:dyDescent="0.25">
      <c r="A202" s="58"/>
      <c r="B202" s="59"/>
      <c r="C202" s="59"/>
      <c r="D202" s="59"/>
      <c r="E202" s="60"/>
      <c r="F202" s="80"/>
      <c r="G202" s="81"/>
      <c r="H202" s="81"/>
      <c r="I202" s="53"/>
      <c r="J202" s="75"/>
      <c r="K202" s="75"/>
      <c r="L202" s="63">
        <v>423</v>
      </c>
      <c r="M202" s="61" t="s">
        <v>461</v>
      </c>
      <c r="N202" s="55" t="s">
        <v>34</v>
      </c>
      <c r="O202" s="61">
        <v>4</v>
      </c>
      <c r="P202" s="97">
        <f>VLOOKUP(L202,[2]TDSheet!B$10:E$365,4,FALSE)</f>
        <v>8</v>
      </c>
      <c r="Q202" s="97">
        <f t="shared" si="2"/>
        <v>4</v>
      </c>
      <c r="R202" s="101" t="e">
        <f>VLOOKUP(L202,[3]TDSheet!B$10:E$436,4,FALSE)</f>
        <v>#N/A</v>
      </c>
    </row>
    <row r="203" spans="1:18" ht="15.75" x14ac:dyDescent="0.25">
      <c r="A203" s="58"/>
      <c r="B203" s="59"/>
      <c r="C203" s="59"/>
      <c r="D203" s="59"/>
      <c r="E203" s="60"/>
      <c r="F203" s="80"/>
      <c r="G203" s="81"/>
      <c r="H203" s="81"/>
      <c r="I203" s="53"/>
      <c r="J203" s="75"/>
      <c r="K203" s="75"/>
      <c r="L203" s="63" t="s">
        <v>462</v>
      </c>
      <c r="M203" s="61" t="s">
        <v>463</v>
      </c>
      <c r="N203" s="55" t="s">
        <v>34</v>
      </c>
      <c r="O203" s="61">
        <v>1</v>
      </c>
      <c r="P203" s="97">
        <f>VLOOKUP(L203,[2]TDSheet!B$10:E$365,4,FALSE)</f>
        <v>1</v>
      </c>
      <c r="Q203" s="97">
        <f t="shared" si="2"/>
        <v>0</v>
      </c>
      <c r="R203" s="101">
        <f>VLOOKUP(L203,[3]TDSheet!B$10:E$436,4,FALSE)</f>
        <v>1</v>
      </c>
    </row>
    <row r="204" spans="1:18" ht="15.75" x14ac:dyDescent="0.25">
      <c r="A204" s="58"/>
      <c r="B204" s="59"/>
      <c r="C204" s="59"/>
      <c r="D204" s="59"/>
      <c r="E204" s="60"/>
      <c r="F204" s="80"/>
      <c r="G204" s="81"/>
      <c r="H204" s="81"/>
      <c r="I204" s="53"/>
      <c r="J204" s="75"/>
      <c r="K204" s="75"/>
      <c r="L204" s="98" t="s">
        <v>464</v>
      </c>
      <c r="M204" s="61" t="s">
        <v>465</v>
      </c>
      <c r="N204" s="55" t="s">
        <v>34</v>
      </c>
      <c r="O204" s="61">
        <v>2</v>
      </c>
      <c r="P204" s="97" t="e">
        <f>VLOOKUP(L204,[2]TDSheet!B$10:E$365,4,FALSE)</f>
        <v>#N/A</v>
      </c>
      <c r="Q204" s="97" t="e">
        <f t="shared" si="2"/>
        <v>#N/A</v>
      </c>
      <c r="R204" s="101" t="e">
        <f>VLOOKUP(L204,[3]TDSheet!B$10:E$436,4,FALSE)</f>
        <v>#N/A</v>
      </c>
    </row>
    <row r="205" spans="1:18" ht="15.75" x14ac:dyDescent="0.25">
      <c r="A205" s="58"/>
      <c r="B205" s="59"/>
      <c r="C205" s="59"/>
      <c r="D205" s="59"/>
      <c r="E205" s="60"/>
      <c r="F205" s="80"/>
      <c r="G205" s="81"/>
      <c r="H205" s="81"/>
      <c r="I205" s="53"/>
      <c r="J205" s="75"/>
      <c r="K205" s="75"/>
      <c r="L205" s="63" t="s">
        <v>219</v>
      </c>
      <c r="M205" s="61" t="s">
        <v>220</v>
      </c>
      <c r="N205" s="55" t="s">
        <v>34</v>
      </c>
      <c r="O205" s="61">
        <v>10</v>
      </c>
      <c r="P205" s="97">
        <f>VLOOKUP(L205,[2]TDSheet!B$10:E$365,4,FALSE)</f>
        <v>40</v>
      </c>
      <c r="Q205" s="97">
        <f t="shared" si="2"/>
        <v>30</v>
      </c>
      <c r="R205" s="101">
        <f>VLOOKUP(L205,[3]TDSheet!B$10:E$436,4,FALSE)</f>
        <v>40</v>
      </c>
    </row>
    <row r="206" spans="1:18" ht="15.75" x14ac:dyDescent="0.25">
      <c r="A206" s="58"/>
      <c r="B206" s="59"/>
      <c r="C206" s="59"/>
      <c r="D206" s="59"/>
      <c r="E206" s="60"/>
      <c r="F206" s="80"/>
      <c r="G206" s="81"/>
      <c r="H206" s="81"/>
      <c r="I206" s="53"/>
      <c r="J206" s="75"/>
      <c r="K206" s="75"/>
      <c r="L206" s="63">
        <v>21829</v>
      </c>
      <c r="M206" s="61" t="s">
        <v>221</v>
      </c>
      <c r="N206" s="55" t="s">
        <v>34</v>
      </c>
      <c r="O206" s="61">
        <v>5</v>
      </c>
      <c r="P206" s="97">
        <f>VLOOKUP(L206,[2]TDSheet!B$10:E$365,4,FALSE)</f>
        <v>5</v>
      </c>
      <c r="Q206" s="97">
        <f t="shared" si="2"/>
        <v>0</v>
      </c>
      <c r="R206" s="101" t="e">
        <f>VLOOKUP(L206,[3]TDSheet!B$10:E$436,4,FALSE)</f>
        <v>#N/A</v>
      </c>
    </row>
    <row r="207" spans="1:18" ht="15.75" x14ac:dyDescent="0.25">
      <c r="A207" s="58"/>
      <c r="B207" s="59"/>
      <c r="C207" s="59"/>
      <c r="D207" s="59"/>
      <c r="E207" s="60"/>
      <c r="F207" s="80"/>
      <c r="G207" s="81"/>
      <c r="H207" s="81"/>
      <c r="I207" s="53"/>
      <c r="J207" s="75"/>
      <c r="K207" s="75"/>
      <c r="L207" s="63" t="s">
        <v>98</v>
      </c>
      <c r="M207" s="61" t="s">
        <v>99</v>
      </c>
      <c r="N207" s="55" t="s">
        <v>37</v>
      </c>
      <c r="O207" s="61">
        <v>12</v>
      </c>
      <c r="P207" s="97">
        <f>VLOOKUP(L207,[2]TDSheet!B$10:E$365,4,FALSE)</f>
        <v>12</v>
      </c>
      <c r="Q207" s="97">
        <f t="shared" si="2"/>
        <v>0</v>
      </c>
      <c r="R207" s="101">
        <f>VLOOKUP(L207,[3]TDSheet!B$10:E$436,4,FALSE)</f>
        <v>12</v>
      </c>
    </row>
    <row r="208" spans="1:18" ht="15.75" x14ac:dyDescent="0.25">
      <c r="A208" s="58"/>
      <c r="B208" s="59"/>
      <c r="C208" s="59"/>
      <c r="D208" s="59"/>
      <c r="E208" s="60"/>
      <c r="F208" s="80"/>
      <c r="G208" s="81"/>
      <c r="H208" s="81"/>
      <c r="I208" s="53"/>
      <c r="J208" s="75"/>
      <c r="K208" s="75"/>
      <c r="L208" s="63">
        <v>17739</v>
      </c>
      <c r="M208" s="61" t="s">
        <v>222</v>
      </c>
      <c r="N208" s="55" t="s">
        <v>34</v>
      </c>
      <c r="O208" s="61">
        <v>11</v>
      </c>
      <c r="P208" s="97">
        <f>VLOOKUP(L208,[2]TDSheet!B$10:E$365,4,FALSE)</f>
        <v>11</v>
      </c>
      <c r="Q208" s="97">
        <f t="shared" si="2"/>
        <v>0</v>
      </c>
      <c r="R208" s="101" t="e">
        <f>VLOOKUP(L208,[3]TDSheet!B$10:E$436,4,FALSE)</f>
        <v>#N/A</v>
      </c>
    </row>
    <row r="209" spans="1:18" ht="15.75" x14ac:dyDescent="0.25">
      <c r="A209" s="58"/>
      <c r="B209" s="59"/>
      <c r="C209" s="59"/>
      <c r="D209" s="59"/>
      <c r="E209" s="60"/>
      <c r="F209" s="80"/>
      <c r="G209" s="81"/>
      <c r="H209" s="81"/>
      <c r="I209" s="53"/>
      <c r="J209" s="75"/>
      <c r="K209" s="75"/>
      <c r="L209" s="63" t="s">
        <v>466</v>
      </c>
      <c r="M209" s="61" t="s">
        <v>467</v>
      </c>
      <c r="N209" s="55" t="s">
        <v>34</v>
      </c>
      <c r="O209" s="61">
        <v>2</v>
      </c>
      <c r="P209" s="97">
        <f>VLOOKUP(L209,[2]TDSheet!B$10:E$365,4,FALSE)</f>
        <v>2</v>
      </c>
      <c r="Q209" s="97">
        <f t="shared" si="2"/>
        <v>0</v>
      </c>
      <c r="R209" s="101">
        <f>VLOOKUP(L209,[3]TDSheet!B$10:E$436,4,FALSE)</f>
        <v>2</v>
      </c>
    </row>
    <row r="210" spans="1:18" ht="15.75" x14ac:dyDescent="0.25">
      <c r="A210" s="58"/>
      <c r="B210" s="59"/>
      <c r="C210" s="59"/>
      <c r="D210" s="59"/>
      <c r="E210" s="60"/>
      <c r="F210" s="80"/>
      <c r="G210" s="81"/>
      <c r="H210" s="81"/>
      <c r="I210" s="53"/>
      <c r="J210" s="75"/>
      <c r="K210" s="75"/>
      <c r="L210" s="63">
        <v>14686</v>
      </c>
      <c r="M210" s="61" t="s">
        <v>468</v>
      </c>
      <c r="N210" s="55" t="s">
        <v>34</v>
      </c>
      <c r="O210" s="61">
        <v>4</v>
      </c>
      <c r="P210" s="97">
        <f>VLOOKUP(L210,[2]TDSheet!B$10:E$365,4,FALSE)</f>
        <v>10</v>
      </c>
      <c r="Q210" s="97">
        <f t="shared" si="2"/>
        <v>6</v>
      </c>
      <c r="R210" s="101" t="e">
        <f>VLOOKUP(L210,[3]TDSheet!B$10:E$436,4,FALSE)</f>
        <v>#N/A</v>
      </c>
    </row>
    <row r="211" spans="1:18" ht="15.75" x14ac:dyDescent="0.25">
      <c r="A211" s="58"/>
      <c r="B211" s="59"/>
      <c r="C211" s="59"/>
      <c r="D211" s="59"/>
      <c r="E211" s="60"/>
      <c r="F211" s="80"/>
      <c r="G211" s="81"/>
      <c r="H211" s="81"/>
      <c r="I211" s="53"/>
      <c r="J211" s="75"/>
      <c r="K211" s="75"/>
      <c r="L211" s="63" t="s">
        <v>223</v>
      </c>
      <c r="M211" s="61" t="s">
        <v>224</v>
      </c>
      <c r="N211" s="55" t="s">
        <v>34</v>
      </c>
      <c r="O211" s="61">
        <v>9</v>
      </c>
      <c r="P211" s="97">
        <f>VLOOKUP(L211,[2]TDSheet!B$10:E$365,4,FALSE)</f>
        <v>22</v>
      </c>
      <c r="Q211" s="97">
        <f t="shared" si="2"/>
        <v>13</v>
      </c>
      <c r="R211" s="101">
        <f>VLOOKUP(L211,[3]TDSheet!B$10:E$436,4,FALSE)</f>
        <v>12</v>
      </c>
    </row>
    <row r="212" spans="1:18" ht="15.75" x14ac:dyDescent="0.25">
      <c r="A212" s="58"/>
      <c r="B212" s="59"/>
      <c r="C212" s="59"/>
      <c r="D212" s="59"/>
      <c r="E212" s="60"/>
      <c r="F212" s="80"/>
      <c r="G212" s="81"/>
      <c r="H212" s="81"/>
      <c r="I212" s="53"/>
      <c r="J212" s="75"/>
      <c r="K212" s="75"/>
      <c r="L212" s="63" t="s">
        <v>469</v>
      </c>
      <c r="M212" s="61" t="s">
        <v>470</v>
      </c>
      <c r="N212" s="55" t="s">
        <v>34</v>
      </c>
      <c r="O212" s="61">
        <v>3</v>
      </c>
      <c r="P212" s="97">
        <f>VLOOKUP(L212,[2]TDSheet!B$10:E$365,4,FALSE)</f>
        <v>3</v>
      </c>
      <c r="Q212" s="97">
        <f t="shared" si="2"/>
        <v>0</v>
      </c>
      <c r="R212" s="101">
        <f>VLOOKUP(L212,[3]TDSheet!B$10:E$436,4,FALSE)</f>
        <v>3</v>
      </c>
    </row>
    <row r="213" spans="1:18" ht="15.75" x14ac:dyDescent="0.25">
      <c r="A213" s="58"/>
      <c r="B213" s="59"/>
      <c r="C213" s="59"/>
      <c r="D213" s="59"/>
      <c r="E213" s="60"/>
      <c r="F213" s="80"/>
      <c r="G213" s="81"/>
      <c r="H213" s="81"/>
      <c r="I213" s="53"/>
      <c r="J213" s="75"/>
      <c r="K213" s="75"/>
      <c r="L213" s="63">
        <v>19328</v>
      </c>
      <c r="M213" s="61" t="s">
        <v>471</v>
      </c>
      <c r="N213" s="55" t="s">
        <v>34</v>
      </c>
      <c r="O213" s="61">
        <v>1</v>
      </c>
      <c r="P213" s="97">
        <f>VLOOKUP(L213,[2]TDSheet!B$10:E$365,4,FALSE)</f>
        <v>5</v>
      </c>
      <c r="Q213" s="97">
        <f t="shared" ref="Q213:Q269" si="3">P213-O213</f>
        <v>4</v>
      </c>
      <c r="R213" s="101" t="e">
        <f>VLOOKUP(L213,[3]TDSheet!B$10:E$436,4,FALSE)</f>
        <v>#N/A</v>
      </c>
    </row>
    <row r="214" spans="1:18" ht="15.75" x14ac:dyDescent="0.25">
      <c r="A214" s="58"/>
      <c r="B214" s="59"/>
      <c r="C214" s="59"/>
      <c r="D214" s="59"/>
      <c r="E214" s="60"/>
      <c r="F214" s="80"/>
      <c r="G214" s="81"/>
      <c r="H214" s="81"/>
      <c r="I214" s="53"/>
      <c r="J214" s="75"/>
      <c r="K214" s="75"/>
      <c r="L214" s="63">
        <v>100</v>
      </c>
      <c r="M214" s="61" t="s">
        <v>472</v>
      </c>
      <c r="N214" s="55" t="s">
        <v>34</v>
      </c>
      <c r="O214" s="61">
        <v>6</v>
      </c>
      <c r="P214" s="97">
        <f>VLOOKUP(L214,[2]TDSheet!B$10:E$365,4,FALSE)</f>
        <v>28</v>
      </c>
      <c r="Q214" s="97">
        <f t="shared" si="3"/>
        <v>22</v>
      </c>
      <c r="R214" s="101" t="e">
        <f>VLOOKUP(L214,[3]TDSheet!B$10:E$436,4,FALSE)</f>
        <v>#N/A</v>
      </c>
    </row>
    <row r="215" spans="1:18" ht="15.75" x14ac:dyDescent="0.25">
      <c r="A215" s="58"/>
      <c r="B215" s="59"/>
      <c r="C215" s="59"/>
      <c r="D215" s="59"/>
      <c r="E215" s="60"/>
      <c r="F215" s="80"/>
      <c r="G215" s="81"/>
      <c r="H215" s="81"/>
      <c r="I215" s="53"/>
      <c r="J215" s="75"/>
      <c r="K215" s="75"/>
      <c r="L215" s="63">
        <v>101</v>
      </c>
      <c r="M215" s="61" t="s">
        <v>473</v>
      </c>
      <c r="N215" s="55" t="s">
        <v>34</v>
      </c>
      <c r="O215" s="61">
        <v>8</v>
      </c>
      <c r="P215" s="97">
        <f>VLOOKUP(L215,[2]TDSheet!B$10:E$365,4,FALSE)</f>
        <v>37</v>
      </c>
      <c r="Q215" s="97">
        <f t="shared" si="3"/>
        <v>29</v>
      </c>
      <c r="R215" s="101" t="e">
        <f>VLOOKUP(L215,[3]TDSheet!B$10:E$436,4,FALSE)</f>
        <v>#N/A</v>
      </c>
    </row>
    <row r="216" spans="1:18" ht="15.75" x14ac:dyDescent="0.25">
      <c r="A216" s="58"/>
      <c r="B216" s="59"/>
      <c r="C216" s="59"/>
      <c r="D216" s="59"/>
      <c r="E216" s="60"/>
      <c r="F216" s="80"/>
      <c r="G216" s="81"/>
      <c r="H216" s="81"/>
      <c r="I216" s="53"/>
      <c r="J216" s="75"/>
      <c r="K216" s="75"/>
      <c r="L216" s="63">
        <v>21706</v>
      </c>
      <c r="M216" s="61" t="s">
        <v>474</v>
      </c>
      <c r="N216" s="55" t="s">
        <v>34</v>
      </c>
      <c r="O216" s="61">
        <v>4</v>
      </c>
      <c r="P216" s="97">
        <f>VLOOKUP(L216,[2]TDSheet!B$10:E$365,4,FALSE)</f>
        <v>16</v>
      </c>
      <c r="Q216" s="97">
        <f t="shared" si="3"/>
        <v>12</v>
      </c>
      <c r="R216" s="101" t="e">
        <f>VLOOKUP(L216,[3]TDSheet!B$10:E$436,4,FALSE)</f>
        <v>#N/A</v>
      </c>
    </row>
    <row r="217" spans="1:18" ht="15.75" x14ac:dyDescent="0.25">
      <c r="A217" s="58"/>
      <c r="B217" s="59"/>
      <c r="C217" s="59"/>
      <c r="D217" s="59"/>
      <c r="E217" s="60"/>
      <c r="F217" s="80"/>
      <c r="G217" s="81"/>
      <c r="H217" s="81"/>
      <c r="I217" s="53"/>
      <c r="J217" s="75"/>
      <c r="K217" s="75"/>
      <c r="L217" s="63" t="s">
        <v>225</v>
      </c>
      <c r="M217" s="61" t="s">
        <v>226</v>
      </c>
      <c r="N217" s="55" t="s">
        <v>37</v>
      </c>
      <c r="O217" s="61">
        <v>220</v>
      </c>
      <c r="P217" s="97">
        <f>VLOOKUP(L217,[2]TDSheet!B$10:E$365,4,FALSE)</f>
        <v>677</v>
      </c>
      <c r="Q217" s="97">
        <f t="shared" si="3"/>
        <v>457</v>
      </c>
      <c r="R217" s="101">
        <f>VLOOKUP(L217,[3]TDSheet!B$10:E$436,4,FALSE)</f>
        <v>598</v>
      </c>
    </row>
    <row r="218" spans="1:18" ht="15.75" x14ac:dyDescent="0.25">
      <c r="A218" s="58"/>
      <c r="B218" s="59"/>
      <c r="C218" s="59"/>
      <c r="D218" s="59"/>
      <c r="E218" s="60"/>
      <c r="F218" s="80"/>
      <c r="G218" s="81"/>
      <c r="H218" s="81"/>
      <c r="I218" s="53"/>
      <c r="J218" s="75"/>
      <c r="K218" s="75"/>
      <c r="L218" s="63" t="s">
        <v>227</v>
      </c>
      <c r="M218" s="61" t="s">
        <v>228</v>
      </c>
      <c r="N218" s="55" t="s">
        <v>37</v>
      </c>
      <c r="O218" s="61">
        <v>83</v>
      </c>
      <c r="P218" s="97">
        <f>VLOOKUP(L218,[2]TDSheet!B$10:E$365,4,FALSE)</f>
        <v>166</v>
      </c>
      <c r="Q218" s="97">
        <f t="shared" si="3"/>
        <v>83</v>
      </c>
      <c r="R218" s="101">
        <f>VLOOKUP(L218,[3]TDSheet!B$10:E$436,4,FALSE)</f>
        <v>166</v>
      </c>
    </row>
    <row r="219" spans="1:18" ht="15.75" x14ac:dyDescent="0.25">
      <c r="A219" s="58"/>
      <c r="B219" s="59"/>
      <c r="C219" s="59"/>
      <c r="D219" s="59"/>
      <c r="E219" s="60"/>
      <c r="F219" s="80"/>
      <c r="G219" s="81"/>
      <c r="H219" s="81"/>
      <c r="I219" s="53"/>
      <c r="J219" s="75"/>
      <c r="K219" s="75"/>
      <c r="L219" s="63" t="s">
        <v>229</v>
      </c>
      <c r="M219" s="61" t="s">
        <v>230</v>
      </c>
      <c r="N219" s="55" t="s">
        <v>37</v>
      </c>
      <c r="O219" s="61">
        <v>167.79999999999998</v>
      </c>
      <c r="P219" s="97">
        <f>VLOOKUP(L219,[2]TDSheet!B$10:E$365,4,FALSE)</f>
        <v>399.2</v>
      </c>
      <c r="Q219" s="97">
        <f t="shared" si="3"/>
        <v>231.4</v>
      </c>
      <c r="R219" s="101">
        <f>VLOOKUP(L219,[3]TDSheet!B$10:E$436,4,FALSE)</f>
        <v>399.2</v>
      </c>
    </row>
    <row r="220" spans="1:18" ht="15.75" x14ac:dyDescent="0.25">
      <c r="A220" s="58"/>
      <c r="B220" s="59"/>
      <c r="C220" s="59"/>
      <c r="D220" s="59"/>
      <c r="E220" s="60"/>
      <c r="F220" s="80"/>
      <c r="G220" s="81"/>
      <c r="H220" s="81"/>
      <c r="I220" s="53"/>
      <c r="J220" s="75"/>
      <c r="K220" s="75"/>
      <c r="L220" s="63" t="s">
        <v>38</v>
      </c>
      <c r="M220" s="61" t="s">
        <v>100</v>
      </c>
      <c r="N220" s="55" t="s">
        <v>37</v>
      </c>
      <c r="O220" s="61">
        <v>249</v>
      </c>
      <c r="P220" s="97">
        <f>VLOOKUP(L220,[2]TDSheet!B$10:E$365,4,FALSE)</f>
        <v>381</v>
      </c>
      <c r="Q220" s="97">
        <f t="shared" si="3"/>
        <v>132</v>
      </c>
      <c r="R220" s="101">
        <f>VLOOKUP(L220,[3]TDSheet!B$10:E$436,4,FALSE)</f>
        <v>381</v>
      </c>
    </row>
    <row r="221" spans="1:18" ht="15.75" x14ac:dyDescent="0.25">
      <c r="A221" s="58"/>
      <c r="B221" s="59"/>
      <c r="C221" s="59"/>
      <c r="D221" s="59"/>
      <c r="E221" s="60"/>
      <c r="F221" s="80"/>
      <c r="G221" s="81"/>
      <c r="H221" s="81"/>
      <c r="I221" s="53"/>
      <c r="J221" s="75"/>
      <c r="K221" s="75"/>
      <c r="L221" s="63" t="s">
        <v>231</v>
      </c>
      <c r="M221" s="61" t="s">
        <v>232</v>
      </c>
      <c r="N221" s="55" t="s">
        <v>37</v>
      </c>
      <c r="O221" s="61">
        <v>390</v>
      </c>
      <c r="P221" s="97">
        <f>VLOOKUP(L221,[2]TDSheet!B$10:E$365,4,FALSE)</f>
        <v>1614</v>
      </c>
      <c r="Q221" s="97">
        <f t="shared" si="3"/>
        <v>1224</v>
      </c>
      <c r="R221" s="101">
        <f>VLOOKUP(L221,[3]TDSheet!B$10:E$436,4,FALSE)</f>
        <v>244</v>
      </c>
    </row>
    <row r="222" spans="1:18" ht="15.75" x14ac:dyDescent="0.25">
      <c r="A222" s="58"/>
      <c r="B222" s="59"/>
      <c r="C222" s="59"/>
      <c r="D222" s="59"/>
      <c r="E222" s="60"/>
      <c r="F222" s="80"/>
      <c r="G222" s="81"/>
      <c r="H222" s="81"/>
      <c r="I222" s="53"/>
      <c r="J222" s="75"/>
      <c r="K222" s="75"/>
      <c r="L222" s="98" t="s">
        <v>475</v>
      </c>
      <c r="M222" s="61" t="s">
        <v>476</v>
      </c>
      <c r="N222" s="55" t="s">
        <v>34</v>
      </c>
      <c r="O222" s="61">
        <v>4</v>
      </c>
      <c r="P222" s="97" t="e">
        <f>VLOOKUP(L222,[2]TDSheet!B$10:E$365,4,FALSE)</f>
        <v>#N/A</v>
      </c>
      <c r="Q222" s="97" t="e">
        <f t="shared" si="3"/>
        <v>#N/A</v>
      </c>
      <c r="R222" s="101">
        <f>VLOOKUP(L222,[3]TDSheet!B$10:E$436,4,FALSE)</f>
        <v>4</v>
      </c>
    </row>
    <row r="223" spans="1:18" ht="15.75" x14ac:dyDescent="0.25">
      <c r="A223" s="58"/>
      <c r="B223" s="59"/>
      <c r="C223" s="59"/>
      <c r="D223" s="59"/>
      <c r="E223" s="60"/>
      <c r="F223" s="80"/>
      <c r="G223" s="81"/>
      <c r="H223" s="81"/>
      <c r="I223" s="53"/>
      <c r="J223" s="75"/>
      <c r="K223" s="75"/>
      <c r="L223" s="63">
        <v>18042</v>
      </c>
      <c r="M223" s="61" t="s">
        <v>233</v>
      </c>
      <c r="N223" s="55" t="s">
        <v>57</v>
      </c>
      <c r="O223" s="61">
        <v>30</v>
      </c>
      <c r="P223" s="97">
        <f>VLOOKUP(L223,[2]TDSheet!B$10:E$365,4,FALSE)</f>
        <v>70</v>
      </c>
      <c r="Q223" s="97">
        <f t="shared" si="3"/>
        <v>40</v>
      </c>
      <c r="R223" s="101" t="e">
        <f>VLOOKUP(L223,[3]TDSheet!B$10:E$436,4,FALSE)</f>
        <v>#N/A</v>
      </c>
    </row>
    <row r="224" spans="1:18" ht="15.75" x14ac:dyDescent="0.25">
      <c r="A224" s="58"/>
      <c r="B224" s="59"/>
      <c r="C224" s="59"/>
      <c r="D224" s="59"/>
      <c r="E224" s="60"/>
      <c r="F224" s="80"/>
      <c r="G224" s="81"/>
      <c r="H224" s="81"/>
      <c r="I224" s="53"/>
      <c r="J224" s="75"/>
      <c r="K224" s="75"/>
      <c r="L224" s="63" t="s">
        <v>521</v>
      </c>
      <c r="M224" s="61" t="s">
        <v>522</v>
      </c>
      <c r="N224" s="55" t="s">
        <v>39</v>
      </c>
      <c r="O224" s="61">
        <v>5.8000000000000003E-2</v>
      </c>
      <c r="P224" s="97">
        <f>VLOOKUP(L224,[2]TDSheet!B$10:E$365,4,FALSE)</f>
        <v>0.155</v>
      </c>
      <c r="Q224" s="97">
        <f t="shared" si="3"/>
        <v>9.7000000000000003E-2</v>
      </c>
      <c r="R224" s="101">
        <f>VLOOKUP(L224,[3]TDSheet!B$10:E$436,4,FALSE)</f>
        <v>0.155</v>
      </c>
    </row>
    <row r="225" spans="1:18" ht="15.75" x14ac:dyDescent="0.25">
      <c r="A225" s="58"/>
      <c r="B225" s="59"/>
      <c r="C225" s="59"/>
      <c r="D225" s="59"/>
      <c r="E225" s="60"/>
      <c r="F225" s="80"/>
      <c r="G225" s="81"/>
      <c r="H225" s="81"/>
      <c r="I225" s="53"/>
      <c r="J225" s="75"/>
      <c r="K225" s="75"/>
      <c r="L225" s="63" t="s">
        <v>234</v>
      </c>
      <c r="M225" s="61" t="s">
        <v>235</v>
      </c>
      <c r="N225" s="55" t="s">
        <v>34</v>
      </c>
      <c r="O225" s="61">
        <v>2</v>
      </c>
      <c r="P225" s="97">
        <f>VLOOKUP(L225,[2]TDSheet!B$10:E$365,4,FALSE)</f>
        <v>8</v>
      </c>
      <c r="Q225" s="97">
        <f t="shared" si="3"/>
        <v>6</v>
      </c>
      <c r="R225" s="101">
        <f>VLOOKUP(L225,[3]TDSheet!B$10:E$436,4,FALSE)</f>
        <v>8</v>
      </c>
    </row>
    <row r="226" spans="1:18" ht="15.75" x14ac:dyDescent="0.25">
      <c r="A226" s="58"/>
      <c r="B226" s="59"/>
      <c r="C226" s="59"/>
      <c r="D226" s="59"/>
      <c r="E226" s="60"/>
      <c r="F226" s="80"/>
      <c r="G226" s="81"/>
      <c r="H226" s="81"/>
      <c r="I226" s="53"/>
      <c r="J226" s="75"/>
      <c r="K226" s="75"/>
      <c r="L226" s="63" t="s">
        <v>236</v>
      </c>
      <c r="M226" s="61" t="s">
        <v>237</v>
      </c>
      <c r="N226" s="55" t="s">
        <v>34</v>
      </c>
      <c r="O226" s="61">
        <v>4</v>
      </c>
      <c r="P226" s="97">
        <f>VLOOKUP(L226,[2]TDSheet!B$10:E$365,4,FALSE)</f>
        <v>16</v>
      </c>
      <c r="Q226" s="97">
        <f t="shared" si="3"/>
        <v>12</v>
      </c>
      <c r="R226" s="101">
        <f>VLOOKUP(L226,[3]TDSheet!B$10:E$436,4,FALSE)</f>
        <v>16</v>
      </c>
    </row>
    <row r="227" spans="1:18" ht="15.75" x14ac:dyDescent="0.25">
      <c r="A227" s="58"/>
      <c r="B227" s="59"/>
      <c r="C227" s="59"/>
      <c r="D227" s="59"/>
      <c r="E227" s="60"/>
      <c r="F227" s="80"/>
      <c r="G227" s="81"/>
      <c r="H227" s="81"/>
      <c r="I227" s="53"/>
      <c r="J227" s="75"/>
      <c r="K227" s="75"/>
      <c r="L227" s="63" t="s">
        <v>238</v>
      </c>
      <c r="M227" s="61" t="s">
        <v>239</v>
      </c>
      <c r="N227" s="55" t="s">
        <v>57</v>
      </c>
      <c r="O227" s="61">
        <v>80</v>
      </c>
      <c r="P227" s="97">
        <f>VLOOKUP(L227,[2]TDSheet!B$10:E$365,4,FALSE)</f>
        <v>1920</v>
      </c>
      <c r="Q227" s="97">
        <f t="shared" si="3"/>
        <v>1840</v>
      </c>
      <c r="R227" s="101">
        <f>VLOOKUP(L227,[3]TDSheet!B$10:E$436,4,FALSE)</f>
        <v>1920</v>
      </c>
    </row>
    <row r="228" spans="1:18" ht="15.75" x14ac:dyDescent="0.25">
      <c r="A228" s="58"/>
      <c r="B228" s="59"/>
      <c r="C228" s="59"/>
      <c r="D228" s="59"/>
      <c r="E228" s="60"/>
      <c r="F228" s="80"/>
      <c r="G228" s="81"/>
      <c r="H228" s="81"/>
      <c r="I228" s="53"/>
      <c r="J228" s="75"/>
      <c r="K228" s="75"/>
      <c r="L228" s="63">
        <v>9068</v>
      </c>
      <c r="M228" s="61" t="s">
        <v>102</v>
      </c>
      <c r="N228" s="55" t="s">
        <v>57</v>
      </c>
      <c r="O228" s="61">
        <v>375</v>
      </c>
      <c r="P228" s="97">
        <f>VLOOKUP(L228,[2]TDSheet!B$10:E$365,4,FALSE)</f>
        <v>375</v>
      </c>
      <c r="Q228" s="97">
        <f t="shared" si="3"/>
        <v>0</v>
      </c>
      <c r="R228" s="101" t="e">
        <f>VLOOKUP(L228,[3]TDSheet!B$10:E$436,4,FALSE)</f>
        <v>#N/A</v>
      </c>
    </row>
    <row r="229" spans="1:18" ht="15.75" x14ac:dyDescent="0.25">
      <c r="A229" s="58"/>
      <c r="B229" s="59"/>
      <c r="C229" s="59"/>
      <c r="D229" s="59"/>
      <c r="E229" s="60"/>
      <c r="F229" s="80"/>
      <c r="G229" s="81"/>
      <c r="H229" s="81"/>
      <c r="I229" s="53"/>
      <c r="J229" s="75"/>
      <c r="K229" s="75"/>
      <c r="L229" s="63" t="s">
        <v>103</v>
      </c>
      <c r="M229" s="61" t="s">
        <v>104</v>
      </c>
      <c r="N229" s="55" t="s">
        <v>57</v>
      </c>
      <c r="O229" s="61">
        <v>25</v>
      </c>
      <c r="P229" s="97">
        <f>VLOOKUP(L229,[2]TDSheet!B$10:E$365,4,FALSE)</f>
        <v>100</v>
      </c>
      <c r="Q229" s="97">
        <f t="shared" si="3"/>
        <v>75</v>
      </c>
      <c r="R229" s="101">
        <f>VLOOKUP(L229,[3]TDSheet!B$10:E$436,4,FALSE)</f>
        <v>100</v>
      </c>
    </row>
    <row r="230" spans="1:18" ht="15.75" x14ac:dyDescent="0.25">
      <c r="A230" s="58"/>
      <c r="B230" s="59"/>
      <c r="C230" s="59"/>
      <c r="D230" s="59"/>
      <c r="E230" s="60"/>
      <c r="F230" s="80"/>
      <c r="G230" s="81"/>
      <c r="H230" s="81"/>
      <c r="I230" s="53"/>
      <c r="J230" s="75"/>
      <c r="K230" s="75"/>
      <c r="L230" s="63" t="s">
        <v>477</v>
      </c>
      <c r="M230" s="61" t="s">
        <v>478</v>
      </c>
      <c r="N230" s="55" t="s">
        <v>34</v>
      </c>
      <c r="O230" s="61">
        <v>1</v>
      </c>
      <c r="P230" s="97">
        <f>VLOOKUP(L230,[2]TDSheet!B$10:E$365,4,FALSE)</f>
        <v>4</v>
      </c>
      <c r="Q230" s="97">
        <f t="shared" si="3"/>
        <v>3</v>
      </c>
      <c r="R230" s="101">
        <f>VLOOKUP(L230,[3]TDSheet!B$10:E$436,4,FALSE)</f>
        <v>4</v>
      </c>
    </row>
    <row r="231" spans="1:18" ht="15.75" x14ac:dyDescent="0.25">
      <c r="A231" s="58"/>
      <c r="B231" s="59"/>
      <c r="C231" s="59"/>
      <c r="D231" s="59"/>
      <c r="E231" s="60"/>
      <c r="F231" s="80"/>
      <c r="G231" s="81"/>
      <c r="H231" s="81"/>
      <c r="I231" s="53"/>
      <c r="J231" s="75"/>
      <c r="K231" s="75"/>
      <c r="L231" s="63" t="s">
        <v>479</v>
      </c>
      <c r="M231" s="61" t="s">
        <v>480</v>
      </c>
      <c r="N231" s="55" t="s">
        <v>34</v>
      </c>
      <c r="O231" s="61">
        <v>5</v>
      </c>
      <c r="P231" s="97">
        <f>VLOOKUP(L231,[2]TDSheet!B$10:E$365,4,FALSE)</f>
        <v>20</v>
      </c>
      <c r="Q231" s="97">
        <f t="shared" si="3"/>
        <v>15</v>
      </c>
      <c r="R231" s="101">
        <f>VLOOKUP(L231,[3]TDSheet!B$10:E$436,4,FALSE)</f>
        <v>20</v>
      </c>
    </row>
    <row r="232" spans="1:18" ht="15.75" x14ac:dyDescent="0.25">
      <c r="A232" s="58"/>
      <c r="B232" s="59"/>
      <c r="C232" s="59"/>
      <c r="D232" s="59"/>
      <c r="E232" s="60"/>
      <c r="F232" s="80"/>
      <c r="G232" s="81"/>
      <c r="H232" s="81"/>
      <c r="I232" s="53"/>
      <c r="J232" s="75"/>
      <c r="K232" s="75"/>
      <c r="L232" s="63" t="s">
        <v>481</v>
      </c>
      <c r="M232" s="61" t="s">
        <v>482</v>
      </c>
      <c r="N232" s="55" t="s">
        <v>34</v>
      </c>
      <c r="O232" s="61">
        <v>5</v>
      </c>
      <c r="P232" s="97">
        <f>VLOOKUP(L232,[2]TDSheet!B$10:E$365,4,FALSE)</f>
        <v>20</v>
      </c>
      <c r="Q232" s="97">
        <f t="shared" si="3"/>
        <v>15</v>
      </c>
      <c r="R232" s="101">
        <f>VLOOKUP(L232,[3]TDSheet!B$10:E$436,4,FALSE)</f>
        <v>20</v>
      </c>
    </row>
    <row r="233" spans="1:18" ht="15.75" x14ac:dyDescent="0.25">
      <c r="A233" s="58"/>
      <c r="B233" s="59"/>
      <c r="C233" s="59"/>
      <c r="D233" s="59"/>
      <c r="E233" s="60"/>
      <c r="F233" s="80"/>
      <c r="G233" s="81"/>
      <c r="H233" s="81"/>
      <c r="I233" s="53"/>
      <c r="J233" s="75"/>
      <c r="K233" s="75"/>
      <c r="L233" s="63">
        <v>589</v>
      </c>
      <c r="M233" s="61" t="s">
        <v>483</v>
      </c>
      <c r="N233" s="55" t="s">
        <v>57</v>
      </c>
      <c r="O233" s="61">
        <v>34</v>
      </c>
      <c r="P233" s="97">
        <f>VLOOKUP(L233,[2]TDSheet!B$10:E$365,4,FALSE)</f>
        <v>148</v>
      </c>
      <c r="Q233" s="97">
        <f t="shared" si="3"/>
        <v>114</v>
      </c>
      <c r="R233" s="101" t="e">
        <f>VLOOKUP(L233,[3]TDSheet!B$10:E$436,4,FALSE)</f>
        <v>#N/A</v>
      </c>
    </row>
    <row r="234" spans="1:18" ht="15.75" x14ac:dyDescent="0.25">
      <c r="A234" s="58"/>
      <c r="B234" s="59"/>
      <c r="C234" s="59"/>
      <c r="D234" s="59"/>
      <c r="E234" s="60"/>
      <c r="F234" s="80"/>
      <c r="G234" s="81"/>
      <c r="H234" s="81"/>
      <c r="I234" s="53"/>
      <c r="J234" s="75"/>
      <c r="K234" s="75"/>
      <c r="L234" s="63" t="s">
        <v>240</v>
      </c>
      <c r="M234" s="61" t="s">
        <v>241</v>
      </c>
      <c r="N234" s="55" t="s">
        <v>34</v>
      </c>
      <c r="O234" s="61">
        <v>1</v>
      </c>
      <c r="P234" s="97">
        <f>VLOOKUP(L234,[2]TDSheet!B$10:E$365,4,FALSE)</f>
        <v>4</v>
      </c>
      <c r="Q234" s="97">
        <f t="shared" si="3"/>
        <v>3</v>
      </c>
      <c r="R234" s="101">
        <f>VLOOKUP(L234,[3]TDSheet!B$10:E$436,4,FALSE)</f>
        <v>4</v>
      </c>
    </row>
    <row r="235" spans="1:18" ht="15.75" x14ac:dyDescent="0.25">
      <c r="A235" s="58"/>
      <c r="B235" s="59"/>
      <c r="C235" s="59"/>
      <c r="D235" s="59"/>
      <c r="E235" s="60"/>
      <c r="F235" s="80"/>
      <c r="G235" s="81"/>
      <c r="H235" s="81"/>
      <c r="I235" s="53"/>
      <c r="J235" s="75"/>
      <c r="K235" s="75"/>
      <c r="L235" s="63" t="s">
        <v>484</v>
      </c>
      <c r="M235" s="61" t="s">
        <v>485</v>
      </c>
      <c r="N235" s="55" t="s">
        <v>34</v>
      </c>
      <c r="O235" s="61">
        <v>1</v>
      </c>
      <c r="P235" s="97">
        <f>VLOOKUP(L235,[2]TDSheet!B$10:E$365,4,FALSE)</f>
        <v>4</v>
      </c>
      <c r="Q235" s="97">
        <f t="shared" si="3"/>
        <v>3</v>
      </c>
      <c r="R235" s="101">
        <f>VLOOKUP(L235,[3]TDSheet!B$10:E$436,4,FALSE)</f>
        <v>4</v>
      </c>
    </row>
    <row r="236" spans="1:18" ht="15.75" x14ac:dyDescent="0.25">
      <c r="A236" s="58"/>
      <c r="B236" s="59"/>
      <c r="C236" s="59"/>
      <c r="D236" s="59"/>
      <c r="E236" s="60"/>
      <c r="F236" s="80"/>
      <c r="G236" s="81"/>
      <c r="H236" s="81"/>
      <c r="I236" s="53"/>
      <c r="J236" s="75"/>
      <c r="K236" s="75"/>
      <c r="L236" s="63" t="s">
        <v>486</v>
      </c>
      <c r="M236" s="61" t="s">
        <v>487</v>
      </c>
      <c r="N236" s="55" t="s">
        <v>34</v>
      </c>
      <c r="O236" s="61">
        <v>2</v>
      </c>
      <c r="P236" s="97">
        <f>VLOOKUP(L236,[2]TDSheet!B$10:E$365,4,FALSE)</f>
        <v>8</v>
      </c>
      <c r="Q236" s="97">
        <f t="shared" si="3"/>
        <v>6</v>
      </c>
      <c r="R236" s="101">
        <f>VLOOKUP(L236,[3]TDSheet!B$10:E$436,4,FALSE)</f>
        <v>8</v>
      </c>
    </row>
    <row r="237" spans="1:18" ht="15.75" x14ac:dyDescent="0.25">
      <c r="A237" s="58"/>
      <c r="B237" s="59"/>
      <c r="C237" s="59"/>
      <c r="D237" s="59"/>
      <c r="E237" s="60"/>
      <c r="F237" s="80"/>
      <c r="G237" s="81"/>
      <c r="H237" s="81"/>
      <c r="I237" s="53"/>
      <c r="J237" s="75"/>
      <c r="K237" s="75"/>
      <c r="L237" s="63" t="s">
        <v>488</v>
      </c>
      <c r="M237" s="61" t="s">
        <v>489</v>
      </c>
      <c r="N237" s="55" t="s">
        <v>34</v>
      </c>
      <c r="O237" s="61">
        <v>5</v>
      </c>
      <c r="P237" s="97">
        <f>VLOOKUP(L237,[2]TDSheet!B$10:E$365,4,FALSE)</f>
        <v>20</v>
      </c>
      <c r="Q237" s="97">
        <f t="shared" si="3"/>
        <v>15</v>
      </c>
      <c r="R237" s="101">
        <f>VLOOKUP(L237,[3]TDSheet!B$10:E$436,4,FALSE)</f>
        <v>20</v>
      </c>
    </row>
    <row r="238" spans="1:18" ht="15.75" x14ac:dyDescent="0.25">
      <c r="A238" s="58"/>
      <c r="B238" s="59"/>
      <c r="C238" s="59"/>
      <c r="D238" s="59"/>
      <c r="E238" s="60"/>
      <c r="F238" s="80"/>
      <c r="G238" s="81"/>
      <c r="H238" s="81"/>
      <c r="I238" s="53"/>
      <c r="J238" s="75"/>
      <c r="K238" s="75"/>
      <c r="L238" s="63">
        <v>396</v>
      </c>
      <c r="M238" s="61" t="s">
        <v>105</v>
      </c>
      <c r="N238" s="55" t="s">
        <v>34</v>
      </c>
      <c r="O238" s="96">
        <v>3000</v>
      </c>
      <c r="P238" s="97">
        <f>VLOOKUP(L238,[2]TDSheet!B$10:E$365,4,FALSE)</f>
        <v>5000</v>
      </c>
      <c r="Q238" s="97">
        <f t="shared" si="3"/>
        <v>2000</v>
      </c>
      <c r="R238" s="101" t="e">
        <f>VLOOKUP(L238,[3]TDSheet!B$10:E$436,4,FALSE)</f>
        <v>#N/A</v>
      </c>
    </row>
    <row r="239" spans="1:18" ht="15.75" x14ac:dyDescent="0.25">
      <c r="A239" s="58"/>
      <c r="B239" s="59"/>
      <c r="C239" s="59"/>
      <c r="D239" s="59"/>
      <c r="E239" s="60"/>
      <c r="F239" s="80"/>
      <c r="G239" s="81"/>
      <c r="H239" s="81"/>
      <c r="I239" s="53"/>
      <c r="J239" s="75"/>
      <c r="K239" s="75"/>
      <c r="L239" s="63">
        <v>395</v>
      </c>
      <c r="M239" s="61" t="s">
        <v>106</v>
      </c>
      <c r="N239" s="55" t="s">
        <v>34</v>
      </c>
      <c r="O239" s="96">
        <v>150</v>
      </c>
      <c r="P239" s="97">
        <f>VLOOKUP(L239,[2]TDSheet!B$10:E$365,4,FALSE)</f>
        <v>360</v>
      </c>
      <c r="Q239" s="97">
        <f t="shared" si="3"/>
        <v>210</v>
      </c>
      <c r="R239" s="101" t="e">
        <f>VLOOKUP(L239,[3]TDSheet!B$10:E$436,4,FALSE)</f>
        <v>#N/A</v>
      </c>
    </row>
    <row r="240" spans="1:18" ht="15.75" x14ac:dyDescent="0.25">
      <c r="A240" s="58"/>
      <c r="B240" s="59"/>
      <c r="C240" s="59"/>
      <c r="D240" s="59"/>
      <c r="E240" s="60"/>
      <c r="F240" s="80"/>
      <c r="G240" s="81"/>
      <c r="H240" s="81"/>
      <c r="I240" s="53"/>
      <c r="J240" s="75"/>
      <c r="K240" s="75"/>
      <c r="L240" s="98"/>
      <c r="M240" s="61" t="s">
        <v>514</v>
      </c>
      <c r="N240" s="55" t="s">
        <v>34</v>
      </c>
      <c r="O240" s="96">
        <f>250*6</f>
        <v>1500</v>
      </c>
      <c r="P240" s="97" t="e">
        <f>VLOOKUP(L240,[2]TDSheet!B$10:E$365,4,FALSE)</f>
        <v>#N/A</v>
      </c>
      <c r="Q240" s="97" t="e">
        <f t="shared" si="3"/>
        <v>#N/A</v>
      </c>
      <c r="R240" s="101" t="e">
        <f>VLOOKUP(L240,[3]TDSheet!B$10:E$436,4,FALSE)</f>
        <v>#N/A</v>
      </c>
    </row>
    <row r="241" spans="1:18" ht="15.75" x14ac:dyDescent="0.25">
      <c r="A241" s="58"/>
      <c r="B241" s="59"/>
      <c r="C241" s="59"/>
      <c r="D241" s="59"/>
      <c r="E241" s="60"/>
      <c r="F241" s="80"/>
      <c r="G241" s="81"/>
      <c r="H241" s="81"/>
      <c r="I241" s="53"/>
      <c r="J241" s="75"/>
      <c r="K241" s="75"/>
      <c r="L241" s="98"/>
      <c r="M241" s="61" t="s">
        <v>515</v>
      </c>
      <c r="N241" s="55" t="s">
        <v>34</v>
      </c>
      <c r="O241" s="96">
        <f>400</f>
        <v>400</v>
      </c>
      <c r="P241" s="97" t="e">
        <f>VLOOKUP(L241,[2]TDSheet!B$10:E$365,4,FALSE)</f>
        <v>#N/A</v>
      </c>
      <c r="Q241" s="97" t="e">
        <f t="shared" si="3"/>
        <v>#N/A</v>
      </c>
      <c r="R241" s="101" t="e">
        <f>VLOOKUP(L241,[3]TDSheet!B$10:E$436,4,FALSE)</f>
        <v>#N/A</v>
      </c>
    </row>
    <row r="242" spans="1:18" ht="15.75" x14ac:dyDescent="0.25">
      <c r="A242" s="58"/>
      <c r="B242" s="59"/>
      <c r="C242" s="59"/>
      <c r="D242" s="59"/>
      <c r="E242" s="60"/>
      <c r="F242" s="80"/>
      <c r="G242" s="81"/>
      <c r="H242" s="81"/>
      <c r="I242" s="53"/>
      <c r="J242" s="75"/>
      <c r="K242" s="75"/>
      <c r="L242" s="63" t="s">
        <v>490</v>
      </c>
      <c r="M242" s="61" t="s">
        <v>491</v>
      </c>
      <c r="N242" s="55" t="s">
        <v>34</v>
      </c>
      <c r="O242" s="61">
        <v>2</v>
      </c>
      <c r="P242" s="97">
        <f>VLOOKUP(L242,[2]TDSheet!B$10:E$365,4,FALSE)</f>
        <v>8</v>
      </c>
      <c r="Q242" s="97">
        <f t="shared" si="3"/>
        <v>6</v>
      </c>
      <c r="R242" s="101">
        <f>VLOOKUP(L242,[3]TDSheet!B$10:E$436,4,FALSE)</f>
        <v>8</v>
      </c>
    </row>
    <row r="243" spans="1:18" ht="15.75" x14ac:dyDescent="0.25">
      <c r="A243" s="58"/>
      <c r="B243" s="59"/>
      <c r="C243" s="59"/>
      <c r="D243" s="59"/>
      <c r="E243" s="60"/>
      <c r="F243" s="80"/>
      <c r="G243" s="81"/>
      <c r="H243" s="81"/>
      <c r="I243" s="53"/>
      <c r="J243" s="75"/>
      <c r="K243" s="75"/>
      <c r="L243" s="63" t="s">
        <v>46</v>
      </c>
      <c r="M243" s="61" t="s">
        <v>107</v>
      </c>
      <c r="N243" s="55" t="s">
        <v>64</v>
      </c>
      <c r="O243" s="61">
        <v>51</v>
      </c>
      <c r="P243" s="97">
        <f>VLOOKUP(L243,[2]TDSheet!B$10:E$365,4,FALSE)</f>
        <v>26</v>
      </c>
      <c r="Q243" s="97">
        <f t="shared" si="3"/>
        <v>-25</v>
      </c>
      <c r="R243" s="101">
        <f>VLOOKUP(L243,[3]TDSheet!B$10:E$436,4,FALSE)</f>
        <v>26</v>
      </c>
    </row>
    <row r="244" spans="1:18" ht="15.75" x14ac:dyDescent="0.25">
      <c r="A244" s="90"/>
      <c r="B244" s="59"/>
      <c r="C244" s="59"/>
      <c r="D244" s="59"/>
      <c r="E244" s="60"/>
      <c r="F244" s="91"/>
      <c r="G244" s="92"/>
      <c r="H244" s="92"/>
      <c r="I244" s="53"/>
      <c r="J244" s="75"/>
      <c r="K244" s="75"/>
      <c r="L244" s="93" t="s">
        <v>492</v>
      </c>
      <c r="M244" s="94" t="s">
        <v>493</v>
      </c>
      <c r="N244" s="95" t="s">
        <v>34</v>
      </c>
      <c r="O244" s="94">
        <v>1</v>
      </c>
      <c r="P244" s="97">
        <f>VLOOKUP(L244,[2]TDSheet!B$10:E$365,4,FALSE)</f>
        <v>4</v>
      </c>
      <c r="Q244" s="97">
        <f t="shared" si="3"/>
        <v>3</v>
      </c>
      <c r="R244" s="101">
        <f>VLOOKUP(L244,[3]TDSheet!B$10:E$436,4,FALSE)</f>
        <v>4</v>
      </c>
    </row>
    <row r="245" spans="1:18" ht="15.75" x14ac:dyDescent="0.25">
      <c r="A245" s="90"/>
      <c r="B245" s="59"/>
      <c r="C245" s="59"/>
      <c r="D245" s="59"/>
      <c r="E245" s="60"/>
      <c r="F245" s="91"/>
      <c r="G245" s="92"/>
      <c r="H245" s="92"/>
      <c r="I245" s="53"/>
      <c r="J245" s="75"/>
      <c r="K245" s="75"/>
      <c r="L245" s="93">
        <v>104</v>
      </c>
      <c r="M245" s="94" t="s">
        <v>494</v>
      </c>
      <c r="N245" s="95" t="s">
        <v>34</v>
      </c>
      <c r="O245" s="94">
        <v>48</v>
      </c>
      <c r="P245" s="97">
        <f>VLOOKUP(L245,[2]TDSheet!B$10:E$365,4,FALSE)</f>
        <v>211</v>
      </c>
      <c r="Q245" s="97">
        <f t="shared" si="3"/>
        <v>163</v>
      </c>
      <c r="R245" s="101" t="e">
        <f>VLOOKUP(L245,[3]TDSheet!B$10:E$436,4,FALSE)</f>
        <v>#N/A</v>
      </c>
    </row>
    <row r="246" spans="1:18" ht="15.75" x14ac:dyDescent="0.25">
      <c r="A246" s="90"/>
      <c r="B246" s="59"/>
      <c r="C246" s="59"/>
      <c r="D246" s="59"/>
      <c r="E246" s="60"/>
      <c r="F246" s="91"/>
      <c r="G246" s="92"/>
      <c r="H246" s="92"/>
      <c r="I246" s="53"/>
      <c r="J246" s="75"/>
      <c r="K246" s="75"/>
      <c r="L246" s="93" t="s">
        <v>242</v>
      </c>
      <c r="M246" s="94" t="s">
        <v>243</v>
      </c>
      <c r="N246" s="95" t="s">
        <v>34</v>
      </c>
      <c r="O246" s="94">
        <v>1</v>
      </c>
      <c r="P246" s="97">
        <f>VLOOKUP(L246,[2]TDSheet!B$10:E$365,4,FALSE)</f>
        <v>2</v>
      </c>
      <c r="Q246" s="97">
        <f t="shared" si="3"/>
        <v>1</v>
      </c>
      <c r="R246" s="101">
        <f>VLOOKUP(L246,[3]TDSheet!B$10:E$436,4,FALSE)</f>
        <v>2</v>
      </c>
    </row>
    <row r="247" spans="1:18" ht="15.75" x14ac:dyDescent="0.25">
      <c r="A247" s="90"/>
      <c r="B247" s="59"/>
      <c r="C247" s="59"/>
      <c r="D247" s="59"/>
      <c r="E247" s="60"/>
      <c r="F247" s="91"/>
      <c r="G247" s="92"/>
      <c r="H247" s="92"/>
      <c r="I247" s="53"/>
      <c r="J247" s="75"/>
      <c r="K247" s="75"/>
      <c r="L247" s="93" t="s">
        <v>244</v>
      </c>
      <c r="M247" s="94" t="s">
        <v>245</v>
      </c>
      <c r="N247" s="95" t="s">
        <v>34</v>
      </c>
      <c r="O247" s="94">
        <v>1</v>
      </c>
      <c r="P247" s="97">
        <f>VLOOKUP(L247,[2]TDSheet!B$10:E$365,4,FALSE)</f>
        <v>1</v>
      </c>
      <c r="Q247" s="97">
        <f t="shared" si="3"/>
        <v>0</v>
      </c>
      <c r="R247" s="101">
        <f>VLOOKUP(L247,[3]TDSheet!B$10:E$436,4,FALSE)</f>
        <v>1</v>
      </c>
    </row>
    <row r="248" spans="1:18" ht="15.75" x14ac:dyDescent="0.25">
      <c r="A248" s="90"/>
      <c r="B248" s="59"/>
      <c r="C248" s="59"/>
      <c r="D248" s="59"/>
      <c r="E248" s="60"/>
      <c r="F248" s="91"/>
      <c r="G248" s="92"/>
      <c r="H248" s="92"/>
      <c r="I248" s="53"/>
      <c r="J248" s="75"/>
      <c r="K248" s="75"/>
      <c r="L248" s="93" t="s">
        <v>246</v>
      </c>
      <c r="M248" s="94" t="s">
        <v>247</v>
      </c>
      <c r="N248" s="95" t="s">
        <v>34</v>
      </c>
      <c r="O248" s="94">
        <v>2</v>
      </c>
      <c r="P248" s="97">
        <f>VLOOKUP(L248,[2]TDSheet!B$10:E$365,4,FALSE)</f>
        <v>1</v>
      </c>
      <c r="Q248" s="97">
        <f t="shared" si="3"/>
        <v>-1</v>
      </c>
      <c r="R248" s="101">
        <f>VLOOKUP(L248,[3]TDSheet!B$10:E$436,4,FALSE)</f>
        <v>1</v>
      </c>
    </row>
    <row r="249" spans="1:18" ht="15.75" x14ac:dyDescent="0.25">
      <c r="A249" s="90"/>
      <c r="B249" s="59"/>
      <c r="C249" s="59"/>
      <c r="D249" s="59"/>
      <c r="E249" s="60"/>
      <c r="F249" s="91"/>
      <c r="G249" s="92"/>
      <c r="H249" s="92"/>
      <c r="I249" s="53"/>
      <c r="J249" s="75"/>
      <c r="K249" s="75"/>
      <c r="L249" s="93" t="s">
        <v>47</v>
      </c>
      <c r="M249" s="94" t="s">
        <v>108</v>
      </c>
      <c r="N249" s="95" t="s">
        <v>34</v>
      </c>
      <c r="O249" s="94">
        <v>23</v>
      </c>
      <c r="P249" s="97">
        <f>VLOOKUP(L249,[2]TDSheet!B$10:E$365,4,FALSE)</f>
        <v>2</v>
      </c>
      <c r="Q249" s="97">
        <f t="shared" si="3"/>
        <v>-21</v>
      </c>
      <c r="R249" s="101">
        <f>VLOOKUP(L249,[3]TDSheet!B$10:E$436,4,FALSE)</f>
        <v>88</v>
      </c>
    </row>
    <row r="250" spans="1:18" ht="15.75" x14ac:dyDescent="0.25">
      <c r="A250" s="90"/>
      <c r="B250" s="59"/>
      <c r="C250" s="59"/>
      <c r="D250" s="59"/>
      <c r="E250" s="60"/>
      <c r="F250" s="91"/>
      <c r="G250" s="92"/>
      <c r="H250" s="92"/>
      <c r="I250" s="53"/>
      <c r="J250" s="75"/>
      <c r="K250" s="75"/>
      <c r="L250" s="93" t="s">
        <v>495</v>
      </c>
      <c r="M250" s="94" t="s">
        <v>496</v>
      </c>
      <c r="N250" s="95" t="s">
        <v>34</v>
      </c>
      <c r="O250" s="94">
        <v>6</v>
      </c>
      <c r="P250" s="97">
        <f>VLOOKUP(L250,[2]TDSheet!B$10:E$365,4,FALSE)</f>
        <v>3</v>
      </c>
      <c r="Q250" s="97">
        <f t="shared" si="3"/>
        <v>-3</v>
      </c>
      <c r="R250" s="101">
        <f>VLOOKUP(L250,[3]TDSheet!B$10:E$436,4,FALSE)</f>
        <v>3</v>
      </c>
    </row>
    <row r="251" spans="1:18" ht="15.75" x14ac:dyDescent="0.25">
      <c r="A251" s="90"/>
      <c r="B251" s="59"/>
      <c r="C251" s="59"/>
      <c r="D251" s="59"/>
      <c r="E251" s="60"/>
      <c r="F251" s="91"/>
      <c r="G251" s="92"/>
      <c r="H251" s="92"/>
      <c r="I251" s="53"/>
      <c r="J251" s="75"/>
      <c r="K251" s="75"/>
      <c r="L251" s="93" t="s">
        <v>497</v>
      </c>
      <c r="M251" s="94" t="s">
        <v>498</v>
      </c>
      <c r="N251" s="95" t="s">
        <v>34</v>
      </c>
      <c r="O251" s="94">
        <v>3</v>
      </c>
      <c r="P251" s="97">
        <f>VLOOKUP(L251,[2]TDSheet!B$10:E$365,4,FALSE)</f>
        <v>1</v>
      </c>
      <c r="Q251" s="97">
        <f t="shared" si="3"/>
        <v>-2</v>
      </c>
      <c r="R251" s="101">
        <f>VLOOKUP(L251,[3]TDSheet!B$10:E$436,4,FALSE)</f>
        <v>2</v>
      </c>
    </row>
    <row r="252" spans="1:18" ht="15.75" x14ac:dyDescent="0.25">
      <c r="A252" s="90"/>
      <c r="B252" s="59"/>
      <c r="C252" s="59"/>
      <c r="D252" s="59"/>
      <c r="E252" s="60"/>
      <c r="F252" s="91"/>
      <c r="G252" s="92"/>
      <c r="H252" s="92"/>
      <c r="I252" s="53"/>
      <c r="J252" s="75"/>
      <c r="K252" s="75"/>
      <c r="L252" s="93" t="s">
        <v>499</v>
      </c>
      <c r="M252" s="94" t="s">
        <v>500</v>
      </c>
      <c r="N252" s="95" t="s">
        <v>34</v>
      </c>
      <c r="O252" s="94">
        <v>2</v>
      </c>
      <c r="P252" s="97">
        <f>VLOOKUP(L252,[2]TDSheet!B$10:E$365,4,FALSE)</f>
        <v>2</v>
      </c>
      <c r="Q252" s="97">
        <f t="shared" si="3"/>
        <v>0</v>
      </c>
      <c r="R252" s="101">
        <f>VLOOKUP(L252,[3]TDSheet!B$10:E$436,4,FALSE)</f>
        <v>2</v>
      </c>
    </row>
    <row r="253" spans="1:18" ht="15.75" x14ac:dyDescent="0.25">
      <c r="A253" s="90"/>
      <c r="B253" s="59"/>
      <c r="C253" s="59"/>
      <c r="D253" s="59"/>
      <c r="E253" s="60"/>
      <c r="F253" s="91"/>
      <c r="G253" s="92"/>
      <c r="H253" s="92"/>
      <c r="I253" s="53"/>
      <c r="J253" s="75"/>
      <c r="K253" s="75"/>
      <c r="L253" s="93">
        <v>15090</v>
      </c>
      <c r="M253" s="94" t="s">
        <v>501</v>
      </c>
      <c r="N253" s="95" t="s">
        <v>34</v>
      </c>
      <c r="O253" s="94">
        <v>8</v>
      </c>
      <c r="P253" s="97">
        <f>VLOOKUP(L253,[2]TDSheet!B$10:E$365,4,FALSE)</f>
        <v>32</v>
      </c>
      <c r="Q253" s="97">
        <f t="shared" si="3"/>
        <v>24</v>
      </c>
      <c r="R253" s="101" t="e">
        <f>VLOOKUP(L253,[3]TDSheet!B$10:E$436,4,FALSE)</f>
        <v>#N/A</v>
      </c>
    </row>
    <row r="254" spans="1:18" ht="15.75" x14ac:dyDescent="0.25">
      <c r="A254" s="90"/>
      <c r="B254" s="59"/>
      <c r="C254" s="59"/>
      <c r="D254" s="59"/>
      <c r="E254" s="60"/>
      <c r="F254" s="91"/>
      <c r="G254" s="92"/>
      <c r="H254" s="92"/>
      <c r="I254" s="53"/>
      <c r="J254" s="75"/>
      <c r="K254" s="75"/>
      <c r="L254" s="93" t="s">
        <v>502</v>
      </c>
      <c r="M254" s="94" t="s">
        <v>503</v>
      </c>
      <c r="N254" s="95" t="s">
        <v>34</v>
      </c>
      <c r="O254" s="94">
        <v>2</v>
      </c>
      <c r="P254" s="97">
        <f>VLOOKUP(L254,[2]TDSheet!B$10:E$365,4,FALSE)</f>
        <v>8</v>
      </c>
      <c r="Q254" s="97">
        <f t="shared" si="3"/>
        <v>6</v>
      </c>
      <c r="R254" s="101">
        <f>VLOOKUP(L254,[3]TDSheet!B$10:E$436,4,FALSE)</f>
        <v>8</v>
      </c>
    </row>
    <row r="255" spans="1:18" ht="15.75" x14ac:dyDescent="0.25">
      <c r="A255" s="90"/>
      <c r="B255" s="59"/>
      <c r="C255" s="59"/>
      <c r="D255" s="59"/>
      <c r="E255" s="60"/>
      <c r="F255" s="91"/>
      <c r="G255" s="92"/>
      <c r="H255" s="92"/>
      <c r="I255" s="53"/>
      <c r="J255" s="75"/>
      <c r="K255" s="75"/>
      <c r="L255" s="93" t="s">
        <v>504</v>
      </c>
      <c r="M255" s="94" t="s">
        <v>505</v>
      </c>
      <c r="N255" s="95" t="s">
        <v>34</v>
      </c>
      <c r="O255" s="94">
        <v>10</v>
      </c>
      <c r="P255" s="97">
        <f>VLOOKUP(L255,[2]TDSheet!B$10:E$365,4,FALSE)</f>
        <v>4</v>
      </c>
      <c r="Q255" s="97">
        <f t="shared" si="3"/>
        <v>-6</v>
      </c>
      <c r="R255" s="101">
        <f>VLOOKUP(L255,[3]TDSheet!B$10:E$436,4,FALSE)</f>
        <v>4</v>
      </c>
    </row>
    <row r="256" spans="1:18" ht="15.75" x14ac:dyDescent="0.25">
      <c r="A256" s="90"/>
      <c r="B256" s="59"/>
      <c r="C256" s="59"/>
      <c r="D256" s="59"/>
      <c r="E256" s="60"/>
      <c r="F256" s="91"/>
      <c r="G256" s="92"/>
      <c r="H256" s="92"/>
      <c r="I256" s="53"/>
      <c r="J256" s="75"/>
      <c r="K256" s="75"/>
      <c r="L256" s="93">
        <v>12126</v>
      </c>
      <c r="M256" s="94" t="s">
        <v>506</v>
      </c>
      <c r="N256" s="95" t="s">
        <v>34</v>
      </c>
      <c r="O256" s="94">
        <v>2000</v>
      </c>
      <c r="P256" s="97">
        <f>VLOOKUP(L256,[2]TDSheet!B$10:E$365,4,FALSE)</f>
        <v>2000</v>
      </c>
      <c r="Q256" s="97">
        <f t="shared" si="3"/>
        <v>0</v>
      </c>
      <c r="R256" s="101" t="e">
        <f>VLOOKUP(L256,[3]TDSheet!B$10:E$436,4,FALSE)</f>
        <v>#N/A</v>
      </c>
    </row>
    <row r="257" spans="1:18" ht="15.75" x14ac:dyDescent="0.25">
      <c r="A257" s="90"/>
      <c r="B257" s="59"/>
      <c r="C257" s="59"/>
      <c r="D257" s="59"/>
      <c r="E257" s="60"/>
      <c r="F257" s="91"/>
      <c r="G257" s="92"/>
      <c r="H257" s="92"/>
      <c r="I257" s="53"/>
      <c r="J257" s="75"/>
      <c r="K257" s="75"/>
      <c r="L257" s="93">
        <v>4659</v>
      </c>
      <c r="M257" s="94" t="s">
        <v>109</v>
      </c>
      <c r="N257" s="95" t="s">
        <v>34</v>
      </c>
      <c r="O257" s="94">
        <v>5000</v>
      </c>
      <c r="P257" s="97">
        <f>VLOOKUP(L257,[2]TDSheet!B$10:E$365,4,FALSE)</f>
        <v>5000</v>
      </c>
      <c r="Q257" s="97">
        <f t="shared" si="3"/>
        <v>0</v>
      </c>
      <c r="R257" s="101" t="e">
        <f>VLOOKUP(L257,[3]TDSheet!B$10:E$436,4,FALSE)</f>
        <v>#N/A</v>
      </c>
    </row>
    <row r="258" spans="1:18" ht="15.75" x14ac:dyDescent="0.25">
      <c r="A258" s="90"/>
      <c r="B258" s="59"/>
      <c r="C258" s="59"/>
      <c r="D258" s="59"/>
      <c r="E258" s="60"/>
      <c r="F258" s="91"/>
      <c r="G258" s="92"/>
      <c r="H258" s="92"/>
      <c r="I258" s="53"/>
      <c r="J258" s="75"/>
      <c r="K258" s="75"/>
      <c r="L258" s="93">
        <v>4453</v>
      </c>
      <c r="M258" s="94" t="s">
        <v>248</v>
      </c>
      <c r="N258" s="95" t="s">
        <v>34</v>
      </c>
      <c r="O258" s="94">
        <v>900</v>
      </c>
      <c r="P258" s="97">
        <f>VLOOKUP(L258,[2]TDSheet!B$10:E$365,4,FALSE)</f>
        <v>900</v>
      </c>
      <c r="Q258" s="97">
        <f t="shared" si="3"/>
        <v>0</v>
      </c>
      <c r="R258" s="101" t="e">
        <f>VLOOKUP(L258,[3]TDSheet!B$10:E$436,4,FALSE)</f>
        <v>#N/A</v>
      </c>
    </row>
    <row r="259" spans="1:18" ht="15.75" x14ac:dyDescent="0.25">
      <c r="A259" s="90"/>
      <c r="B259" s="59"/>
      <c r="C259" s="59"/>
      <c r="D259" s="59"/>
      <c r="E259" s="60"/>
      <c r="F259" s="91"/>
      <c r="G259" s="92"/>
      <c r="H259" s="92"/>
      <c r="I259" s="53"/>
      <c r="J259" s="75"/>
      <c r="K259" s="75"/>
      <c r="L259" s="93">
        <v>2054</v>
      </c>
      <c r="M259" s="94" t="s">
        <v>507</v>
      </c>
      <c r="N259" s="95" t="s">
        <v>34</v>
      </c>
      <c r="O259" s="94">
        <v>700</v>
      </c>
      <c r="P259" s="97">
        <f>VLOOKUP(L259,[2]TDSheet!B$10:E$365,4,FALSE)</f>
        <v>700</v>
      </c>
      <c r="Q259" s="97">
        <f t="shared" si="3"/>
        <v>0</v>
      </c>
      <c r="R259" s="101" t="e">
        <f>VLOOKUP(L259,[3]TDSheet!B$10:E$436,4,FALSE)</f>
        <v>#N/A</v>
      </c>
    </row>
    <row r="260" spans="1:18" ht="15.75" x14ac:dyDescent="0.25">
      <c r="A260" s="90"/>
      <c r="B260" s="59"/>
      <c r="C260" s="59"/>
      <c r="D260" s="59"/>
      <c r="E260" s="60"/>
      <c r="F260" s="91"/>
      <c r="G260" s="92"/>
      <c r="H260" s="92"/>
      <c r="I260" s="53"/>
      <c r="J260" s="75"/>
      <c r="K260" s="75"/>
      <c r="L260" s="93" t="s">
        <v>508</v>
      </c>
      <c r="M260" s="94" t="s">
        <v>509</v>
      </c>
      <c r="N260" s="95" t="s">
        <v>34</v>
      </c>
      <c r="O260" s="94">
        <v>5</v>
      </c>
      <c r="P260" s="97">
        <f>VLOOKUP(L260,[2]TDSheet!B$10:E$365,4,FALSE)</f>
        <v>21</v>
      </c>
      <c r="Q260" s="97">
        <f t="shared" si="3"/>
        <v>16</v>
      </c>
      <c r="R260" s="101">
        <f>VLOOKUP(L260,[3]TDSheet!B$10:E$436,4,FALSE)</f>
        <v>21</v>
      </c>
    </row>
    <row r="261" spans="1:18" ht="15.75" x14ac:dyDescent="0.25">
      <c r="A261" s="90"/>
      <c r="B261" s="59"/>
      <c r="C261" s="59"/>
      <c r="D261" s="59"/>
      <c r="E261" s="60"/>
      <c r="F261" s="91"/>
      <c r="G261" s="92"/>
      <c r="H261" s="92"/>
      <c r="I261" s="53"/>
      <c r="J261" s="75"/>
      <c r="K261" s="75"/>
      <c r="L261" s="93" t="s">
        <v>55</v>
      </c>
      <c r="M261" s="94" t="s">
        <v>110</v>
      </c>
      <c r="N261" s="95" t="s">
        <v>34</v>
      </c>
      <c r="O261" s="94">
        <v>2</v>
      </c>
      <c r="P261" s="97">
        <f>VLOOKUP(L261,[2]TDSheet!B$10:E$365,4,FALSE)</f>
        <v>4</v>
      </c>
      <c r="Q261" s="97">
        <f t="shared" si="3"/>
        <v>2</v>
      </c>
      <c r="R261" s="101">
        <f>VLOOKUP(L261,[3]TDSheet!B$10:E$436,4,FALSE)</f>
        <v>4</v>
      </c>
    </row>
    <row r="262" spans="1:18" ht="15.75" x14ac:dyDescent="0.25">
      <c r="A262" s="90"/>
      <c r="B262" s="59"/>
      <c r="C262" s="59"/>
      <c r="D262" s="59"/>
      <c r="E262" s="60"/>
      <c r="F262" s="91"/>
      <c r="G262" s="92"/>
      <c r="H262" s="92"/>
      <c r="I262" s="53"/>
      <c r="J262" s="75"/>
      <c r="K262" s="75"/>
      <c r="L262" s="93" t="s">
        <v>523</v>
      </c>
      <c r="M262" s="94" t="s">
        <v>62</v>
      </c>
      <c r="N262" s="95" t="s">
        <v>34</v>
      </c>
      <c r="O262" s="94">
        <v>2</v>
      </c>
      <c r="P262" s="97">
        <f>VLOOKUP(L262,[2]TDSheet!B$10:E$365,4,FALSE)</f>
        <v>10</v>
      </c>
      <c r="Q262" s="97">
        <f t="shared" si="3"/>
        <v>8</v>
      </c>
      <c r="R262" s="101">
        <f>VLOOKUP(L262,[3]TDSheet!B$10:E$436,4,FALSE)</f>
        <v>10</v>
      </c>
    </row>
    <row r="263" spans="1:18" ht="15.75" x14ac:dyDescent="0.25">
      <c r="A263" s="90"/>
      <c r="B263" s="59"/>
      <c r="C263" s="59"/>
      <c r="D263" s="59"/>
      <c r="E263" s="60"/>
      <c r="F263" s="91"/>
      <c r="G263" s="92"/>
      <c r="H263" s="92"/>
      <c r="I263" s="53"/>
      <c r="J263" s="75"/>
      <c r="K263" s="75"/>
      <c r="L263" s="100"/>
      <c r="M263" s="94" t="s">
        <v>91</v>
      </c>
      <c r="N263" s="95" t="s">
        <v>34</v>
      </c>
      <c r="O263" s="94">
        <v>1</v>
      </c>
      <c r="P263" s="97" t="e">
        <f>VLOOKUP(L263,[2]TDSheet!B$10:E$365,4,FALSE)</f>
        <v>#N/A</v>
      </c>
      <c r="Q263" s="97" t="e">
        <f t="shared" si="3"/>
        <v>#N/A</v>
      </c>
      <c r="R263" s="101" t="e">
        <f>VLOOKUP(L263,[3]TDSheet!B$10:E$436,4,FALSE)</f>
        <v>#N/A</v>
      </c>
    </row>
    <row r="264" spans="1:18" ht="15.75" x14ac:dyDescent="0.25">
      <c r="A264" s="90"/>
      <c r="B264" s="59"/>
      <c r="C264" s="59"/>
      <c r="D264" s="59"/>
      <c r="E264" s="60"/>
      <c r="F264" s="91"/>
      <c r="G264" s="92"/>
      <c r="H264" s="92"/>
      <c r="I264" s="53"/>
      <c r="J264" s="75"/>
      <c r="K264" s="75"/>
      <c r="L264" s="100"/>
      <c r="M264" s="94" t="s">
        <v>101</v>
      </c>
      <c r="N264" s="95" t="s">
        <v>39</v>
      </c>
      <c r="O264" s="94">
        <v>0.08</v>
      </c>
      <c r="P264" s="97" t="e">
        <f>VLOOKUP(L264,[2]TDSheet!B$10:E$365,4,FALSE)</f>
        <v>#N/A</v>
      </c>
      <c r="Q264" s="97" t="e">
        <f t="shared" si="3"/>
        <v>#N/A</v>
      </c>
      <c r="R264" s="101" t="e">
        <f>VLOOKUP(L264,[3]TDSheet!B$10:E$436,4,FALSE)</f>
        <v>#N/A</v>
      </c>
    </row>
    <row r="265" spans="1:18" ht="15.75" x14ac:dyDescent="0.25">
      <c r="A265" s="90"/>
      <c r="B265" s="59"/>
      <c r="C265" s="59"/>
      <c r="D265" s="59"/>
      <c r="E265" s="60"/>
      <c r="F265" s="91"/>
      <c r="G265" s="92"/>
      <c r="H265" s="92"/>
      <c r="I265" s="53"/>
      <c r="J265" s="75"/>
      <c r="K265" s="75"/>
      <c r="L265" s="100"/>
      <c r="M265" s="94" t="s">
        <v>60</v>
      </c>
      <c r="N265" s="95" t="s">
        <v>34</v>
      </c>
      <c r="O265" s="94">
        <v>4</v>
      </c>
      <c r="P265" s="97" t="e">
        <f>VLOOKUP(L265,[2]TDSheet!B$10:E$365,4,FALSE)</f>
        <v>#N/A</v>
      </c>
      <c r="Q265" s="97" t="e">
        <f t="shared" si="3"/>
        <v>#N/A</v>
      </c>
      <c r="R265" s="101" t="e">
        <f>VLOOKUP(L265,[3]TDSheet!B$10:E$436,4,FALSE)</f>
        <v>#N/A</v>
      </c>
    </row>
    <row r="266" spans="1:18" ht="15.75" x14ac:dyDescent="0.25">
      <c r="A266" s="90"/>
      <c r="B266" s="59"/>
      <c r="C266" s="59"/>
      <c r="D266" s="59"/>
      <c r="E266" s="60"/>
      <c r="F266" s="91"/>
      <c r="G266" s="92"/>
      <c r="H266" s="92"/>
      <c r="I266" s="53"/>
      <c r="J266" s="75"/>
      <c r="K266" s="75"/>
      <c r="L266" s="100"/>
      <c r="M266" s="94" t="s">
        <v>50</v>
      </c>
      <c r="N266" s="95" t="s">
        <v>34</v>
      </c>
      <c r="O266" s="94">
        <v>1</v>
      </c>
      <c r="P266" s="97" t="e">
        <f>VLOOKUP(L266,[2]TDSheet!B$10:E$365,4,FALSE)</f>
        <v>#N/A</v>
      </c>
      <c r="Q266" s="97" t="e">
        <f t="shared" si="3"/>
        <v>#N/A</v>
      </c>
      <c r="R266" s="101" t="e">
        <f>VLOOKUP(L266,[3]TDSheet!B$10:E$436,4,FALSE)</f>
        <v>#N/A</v>
      </c>
    </row>
    <row r="267" spans="1:18" ht="15.75" x14ac:dyDescent="0.25">
      <c r="A267" s="90"/>
      <c r="B267" s="59"/>
      <c r="C267" s="59"/>
      <c r="D267" s="59"/>
      <c r="E267" s="60"/>
      <c r="F267" s="91"/>
      <c r="G267" s="92"/>
      <c r="H267" s="92"/>
      <c r="I267" s="53"/>
      <c r="J267" s="75"/>
      <c r="K267" s="75"/>
      <c r="L267" s="100"/>
      <c r="M267" s="94" t="s">
        <v>524</v>
      </c>
      <c r="N267" s="95" t="s">
        <v>34</v>
      </c>
      <c r="O267" s="94">
        <v>2</v>
      </c>
      <c r="P267" s="97" t="e">
        <f>VLOOKUP(L267,[2]TDSheet!B$10:E$365,4,FALSE)</f>
        <v>#N/A</v>
      </c>
      <c r="Q267" s="97" t="e">
        <f t="shared" si="3"/>
        <v>#N/A</v>
      </c>
      <c r="R267" s="101" t="e">
        <f>VLOOKUP(L267,[3]TDSheet!B$10:E$436,4,FALSE)</f>
        <v>#N/A</v>
      </c>
    </row>
    <row r="268" spans="1:18" ht="15.75" x14ac:dyDescent="0.25">
      <c r="A268" s="90"/>
      <c r="B268" s="59"/>
      <c r="C268" s="59"/>
      <c r="D268" s="59"/>
      <c r="E268" s="60"/>
      <c r="F268" s="91"/>
      <c r="G268" s="92"/>
      <c r="H268" s="92"/>
      <c r="I268" s="53"/>
      <c r="J268" s="75"/>
      <c r="K268" s="75"/>
      <c r="L268" s="100"/>
      <c r="M268" s="94" t="s">
        <v>61</v>
      </c>
      <c r="N268" s="95" t="s">
        <v>34</v>
      </c>
      <c r="O268" s="94">
        <v>3</v>
      </c>
      <c r="P268" s="97" t="e">
        <f>VLOOKUP(L268,[2]TDSheet!B$10:E$365,4,FALSE)</f>
        <v>#N/A</v>
      </c>
      <c r="Q268" s="97" t="e">
        <f t="shared" si="3"/>
        <v>#N/A</v>
      </c>
      <c r="R268" s="101" t="e">
        <f>VLOOKUP(L268,[3]TDSheet!B$10:E$436,4,FALSE)</f>
        <v>#N/A</v>
      </c>
    </row>
    <row r="269" spans="1:18" ht="15.75" x14ac:dyDescent="0.25">
      <c r="A269" s="90"/>
      <c r="B269" s="59"/>
      <c r="C269" s="59"/>
      <c r="D269" s="59"/>
      <c r="E269" s="60"/>
      <c r="F269" s="91"/>
      <c r="G269" s="92"/>
      <c r="H269" s="92"/>
      <c r="I269" s="53"/>
      <c r="J269" s="75"/>
      <c r="K269" s="75"/>
      <c r="L269" s="93" t="s">
        <v>510</v>
      </c>
      <c r="M269" s="94" t="s">
        <v>511</v>
      </c>
      <c r="N269" s="95" t="s">
        <v>34</v>
      </c>
      <c r="O269" s="94">
        <v>3</v>
      </c>
      <c r="P269" s="97">
        <f>VLOOKUP(L269,[2]TDSheet!B$10:E$365,4,FALSE)</f>
        <v>6</v>
      </c>
      <c r="Q269" s="97">
        <f t="shared" si="3"/>
        <v>3</v>
      </c>
      <c r="R269" s="101">
        <f>VLOOKUP(L269,[3]TDSheet!B$10:E$436,4,FALSE)</f>
        <v>6</v>
      </c>
    </row>
    <row r="270" spans="1:18" ht="15.75" x14ac:dyDescent="0.25">
      <c r="A270" s="90"/>
      <c r="B270" s="59"/>
      <c r="C270" s="59"/>
      <c r="D270" s="59"/>
      <c r="E270" s="60"/>
      <c r="F270" s="91"/>
      <c r="G270" s="92"/>
      <c r="H270" s="92"/>
      <c r="I270" s="53"/>
      <c r="J270" s="75"/>
      <c r="K270" s="75"/>
      <c r="L270" s="111" t="s">
        <v>722</v>
      </c>
      <c r="M270" s="112" t="s">
        <v>723</v>
      </c>
      <c r="N270" s="95" t="s">
        <v>34</v>
      </c>
      <c r="O270" s="112">
        <v>1</v>
      </c>
      <c r="P270" s="97"/>
      <c r="Q270" s="97"/>
      <c r="R270" s="101"/>
    </row>
    <row r="271" spans="1:18" ht="15.75" x14ac:dyDescent="0.25">
      <c r="A271" s="90"/>
      <c r="B271" s="59"/>
      <c r="C271" s="59"/>
      <c r="D271" s="59"/>
      <c r="E271" s="60"/>
      <c r="F271" s="91"/>
      <c r="G271" s="92"/>
      <c r="H271" s="92"/>
      <c r="I271" s="53"/>
      <c r="J271" s="75"/>
      <c r="K271" s="75"/>
      <c r="L271" s="111" t="s">
        <v>724</v>
      </c>
      <c r="M271" s="112" t="s">
        <v>725</v>
      </c>
      <c r="N271" s="95" t="s">
        <v>34</v>
      </c>
      <c r="O271" s="112">
        <v>1</v>
      </c>
      <c r="P271" s="97"/>
      <c r="Q271" s="97"/>
      <c r="R271" s="101"/>
    </row>
    <row r="272" spans="1:18" ht="16.5" thickBot="1" x14ac:dyDescent="0.3">
      <c r="A272" s="90"/>
      <c r="B272" s="59"/>
      <c r="C272" s="59"/>
      <c r="D272" s="59"/>
      <c r="E272" s="60"/>
      <c r="F272" s="91"/>
      <c r="G272" s="92"/>
      <c r="H272" s="92"/>
      <c r="I272" s="53"/>
      <c r="J272" s="75"/>
      <c r="K272" s="75"/>
      <c r="L272" s="111" t="s">
        <v>726</v>
      </c>
      <c r="M272" s="112" t="s">
        <v>727</v>
      </c>
      <c r="N272" s="95" t="s">
        <v>34</v>
      </c>
      <c r="O272" s="112">
        <v>1</v>
      </c>
      <c r="P272" s="97"/>
      <c r="Q272" s="97"/>
      <c r="R272" s="101"/>
    </row>
    <row r="273" spans="1:21" ht="21.75" thickBot="1" x14ac:dyDescent="0.3">
      <c r="A273" s="33"/>
      <c r="B273" s="34" t="s">
        <v>23</v>
      </c>
      <c r="C273" s="35"/>
      <c r="D273" s="36"/>
      <c r="E273" s="36"/>
      <c r="F273" s="36"/>
      <c r="G273" s="36"/>
      <c r="H273" s="36">
        <f>SUM(H20:H243)</f>
        <v>0</v>
      </c>
      <c r="I273" s="76"/>
      <c r="J273" s="76"/>
      <c r="K273" s="76"/>
      <c r="L273" s="37"/>
      <c r="M273" s="38"/>
      <c r="N273" s="38"/>
      <c r="O273" s="39"/>
      <c r="P273" s="39"/>
      <c r="Q273" s="39" t="e">
        <f>SUM(Q19:Q272)</f>
        <v>#N/A</v>
      </c>
      <c r="R273" s="40"/>
    </row>
    <row r="274" spans="1:21" ht="20.25" x14ac:dyDescent="0.25">
      <c r="A274" s="29"/>
      <c r="B274" s="32"/>
      <c r="C274" s="30"/>
      <c r="D274" s="31"/>
      <c r="E274" s="31"/>
      <c r="F274" s="82"/>
      <c r="G274" s="83"/>
      <c r="H274" s="84"/>
      <c r="I274" s="77"/>
      <c r="J274" s="77"/>
      <c r="K274" s="77"/>
      <c r="L274" s="71" t="s">
        <v>531</v>
      </c>
      <c r="M274" s="69" t="s">
        <v>111</v>
      </c>
      <c r="N274" s="69" t="s">
        <v>34</v>
      </c>
      <c r="O274" s="51">
        <v>14</v>
      </c>
      <c r="P274" s="51"/>
      <c r="Q274" s="51"/>
      <c r="R274" s="24"/>
      <c r="T274" s="232"/>
      <c r="U274" s="232"/>
    </row>
    <row r="275" spans="1:21" ht="18.75" x14ac:dyDescent="0.25">
      <c r="A275" s="20"/>
      <c r="B275" s="25"/>
      <c r="C275" s="11"/>
      <c r="D275" s="49"/>
      <c r="E275" s="49"/>
      <c r="F275" s="80"/>
      <c r="G275" s="81"/>
      <c r="H275" s="81"/>
      <c r="I275" s="54"/>
      <c r="J275" s="54"/>
      <c r="K275" s="54"/>
      <c r="L275" s="72" t="s">
        <v>532</v>
      </c>
      <c r="M275" s="73" t="s">
        <v>533</v>
      </c>
      <c r="N275" s="73" t="s">
        <v>34</v>
      </c>
      <c r="O275" s="50">
        <v>2</v>
      </c>
      <c r="P275" s="50"/>
      <c r="Q275" s="50"/>
      <c r="R275" s="24"/>
      <c r="T275" s="5"/>
      <c r="U275" s="5"/>
    </row>
    <row r="276" spans="1:21" ht="18.75" x14ac:dyDescent="0.25">
      <c r="A276" s="20"/>
      <c r="B276" s="25"/>
      <c r="C276" s="11"/>
      <c r="D276" s="49"/>
      <c r="E276" s="49"/>
      <c r="F276" s="80"/>
      <c r="G276" s="81"/>
      <c r="H276" s="81"/>
      <c r="I276" s="54"/>
      <c r="J276" s="54"/>
      <c r="K276" s="54"/>
      <c r="L276" s="72" t="s">
        <v>112</v>
      </c>
      <c r="M276" s="73" t="s">
        <v>113</v>
      </c>
      <c r="N276" s="73" t="s">
        <v>34</v>
      </c>
      <c r="O276" s="50">
        <v>26</v>
      </c>
      <c r="P276" s="50"/>
      <c r="Q276" s="50"/>
      <c r="R276" s="24"/>
      <c r="T276" s="5"/>
      <c r="U276" s="5"/>
    </row>
    <row r="277" spans="1:21" ht="18.75" x14ac:dyDescent="0.25">
      <c r="A277" s="20"/>
      <c r="B277" s="25"/>
      <c r="C277" s="11"/>
      <c r="D277" s="49"/>
      <c r="E277" s="49"/>
      <c r="F277" s="80"/>
      <c r="G277" s="81"/>
      <c r="H277" s="81"/>
      <c r="I277" s="54"/>
      <c r="J277" s="54"/>
      <c r="K277" s="54"/>
      <c r="L277" s="72" t="s">
        <v>534</v>
      </c>
      <c r="M277" s="73" t="s">
        <v>535</v>
      </c>
      <c r="N277" s="73" t="s">
        <v>34</v>
      </c>
      <c r="O277" s="50">
        <v>3</v>
      </c>
      <c r="P277" s="50"/>
      <c r="Q277" s="50"/>
      <c r="R277" s="24"/>
      <c r="T277" s="5"/>
      <c r="U277" s="5"/>
    </row>
    <row r="278" spans="1:21" ht="18.75" x14ac:dyDescent="0.25">
      <c r="A278" s="20"/>
      <c r="B278" s="25"/>
      <c r="C278" s="11"/>
      <c r="D278" s="49"/>
      <c r="E278" s="49"/>
      <c r="F278" s="80"/>
      <c r="G278" s="81"/>
      <c r="H278" s="81"/>
      <c r="I278" s="54"/>
      <c r="J278" s="54"/>
      <c r="K278" s="54"/>
      <c r="L278" s="72" t="s">
        <v>536</v>
      </c>
      <c r="M278" s="73" t="s">
        <v>249</v>
      </c>
      <c r="N278" s="73" t="s">
        <v>34</v>
      </c>
      <c r="O278" s="50">
        <v>5</v>
      </c>
      <c r="P278" s="50"/>
      <c r="Q278" s="50"/>
      <c r="R278" s="24"/>
      <c r="T278" s="5"/>
      <c r="U278" s="5"/>
    </row>
    <row r="279" spans="1:21" ht="18.75" x14ac:dyDescent="0.25">
      <c r="A279" s="20"/>
      <c r="B279" s="25"/>
      <c r="C279" s="11"/>
      <c r="D279" s="49"/>
      <c r="E279" s="49"/>
      <c r="F279" s="80"/>
      <c r="G279" s="81"/>
      <c r="H279" s="81"/>
      <c r="I279" s="54"/>
      <c r="J279" s="54"/>
      <c r="K279" s="54"/>
      <c r="L279" s="72" t="s">
        <v>114</v>
      </c>
      <c r="M279" s="73" t="s">
        <v>115</v>
      </c>
      <c r="N279" s="73" t="s">
        <v>34</v>
      </c>
      <c r="O279" s="50">
        <v>19</v>
      </c>
      <c r="P279" s="50"/>
      <c r="Q279" s="50"/>
      <c r="R279" s="24"/>
      <c r="T279" s="5"/>
      <c r="U279" s="5"/>
    </row>
    <row r="280" spans="1:21" ht="18.75" x14ac:dyDescent="0.25">
      <c r="A280" s="20"/>
      <c r="B280" s="25"/>
      <c r="C280" s="11"/>
      <c r="D280" s="49"/>
      <c r="E280" s="49"/>
      <c r="F280" s="80"/>
      <c r="G280" s="81"/>
      <c r="H280" s="81"/>
      <c r="I280" s="54"/>
      <c r="J280" s="54"/>
      <c r="K280" s="54"/>
      <c r="L280" s="72" t="s">
        <v>116</v>
      </c>
      <c r="M280" s="73" t="s">
        <v>537</v>
      </c>
      <c r="N280" s="73" t="s">
        <v>34</v>
      </c>
      <c r="O280" s="50">
        <v>8</v>
      </c>
      <c r="P280" s="50"/>
      <c r="Q280" s="50"/>
      <c r="R280" s="24"/>
      <c r="T280" s="5"/>
      <c r="U280" s="5"/>
    </row>
    <row r="281" spans="1:21" ht="18.75" x14ac:dyDescent="0.25">
      <c r="A281" s="20"/>
      <c r="B281" s="25"/>
      <c r="C281" s="11"/>
      <c r="D281" s="49"/>
      <c r="E281" s="49"/>
      <c r="F281" s="80"/>
      <c r="G281" s="81"/>
      <c r="H281" s="81"/>
      <c r="I281" s="54"/>
      <c r="J281" s="54"/>
      <c r="K281" s="54"/>
      <c r="L281" s="72" t="s">
        <v>538</v>
      </c>
      <c r="M281" s="73" t="s">
        <v>117</v>
      </c>
      <c r="N281" s="73" t="s">
        <v>34</v>
      </c>
      <c r="O281" s="50">
        <v>9</v>
      </c>
      <c r="P281" s="50"/>
      <c r="Q281" s="50"/>
      <c r="R281" s="24"/>
      <c r="T281" s="5"/>
      <c r="U281" s="5"/>
    </row>
    <row r="282" spans="1:21" ht="18.75" x14ac:dyDescent="0.25">
      <c r="A282" s="20"/>
      <c r="B282" s="25"/>
      <c r="C282" s="11"/>
      <c r="D282" s="49"/>
      <c r="E282" s="49"/>
      <c r="F282" s="80"/>
      <c r="G282" s="81"/>
      <c r="H282" s="81"/>
      <c r="I282" s="54"/>
      <c r="J282" s="54"/>
      <c r="K282" s="54"/>
      <c r="L282" s="72" t="s">
        <v>539</v>
      </c>
      <c r="M282" s="73" t="s">
        <v>540</v>
      </c>
      <c r="N282" s="73" t="s">
        <v>34</v>
      </c>
      <c r="O282" s="50">
        <v>1</v>
      </c>
      <c r="P282" s="50"/>
      <c r="Q282" s="50"/>
      <c r="R282" s="24"/>
      <c r="T282" s="5"/>
      <c r="U282" s="5"/>
    </row>
    <row r="283" spans="1:21" ht="18.75" x14ac:dyDescent="0.25">
      <c r="A283" s="20"/>
      <c r="B283" s="25"/>
      <c r="C283" s="11"/>
      <c r="D283" s="49"/>
      <c r="E283" s="49"/>
      <c r="F283" s="80"/>
      <c r="G283" s="81"/>
      <c r="H283" s="81"/>
      <c r="I283" s="54"/>
      <c r="J283" s="54"/>
      <c r="K283" s="54"/>
      <c r="L283" s="72" t="s">
        <v>541</v>
      </c>
      <c r="M283" s="73" t="s">
        <v>542</v>
      </c>
      <c r="N283" s="73" t="s">
        <v>34</v>
      </c>
      <c r="O283" s="50">
        <v>1</v>
      </c>
      <c r="P283" s="50"/>
      <c r="Q283" s="50"/>
      <c r="R283" s="24"/>
      <c r="T283" s="5"/>
      <c r="U283" s="5"/>
    </row>
    <row r="284" spans="1:21" ht="18.75" x14ac:dyDescent="0.25">
      <c r="A284" s="20"/>
      <c r="B284" s="25"/>
      <c r="C284" s="11"/>
      <c r="D284" s="49"/>
      <c r="E284" s="49"/>
      <c r="F284" s="80"/>
      <c r="G284" s="81"/>
      <c r="H284" s="81"/>
      <c r="I284" s="54"/>
      <c r="J284" s="54"/>
      <c r="K284" s="54"/>
      <c r="L284" s="72" t="s">
        <v>543</v>
      </c>
      <c r="M284" s="73" t="s">
        <v>250</v>
      </c>
      <c r="N284" s="73" t="s">
        <v>34</v>
      </c>
      <c r="O284" s="50">
        <v>29</v>
      </c>
      <c r="P284" s="50"/>
      <c r="Q284" s="50"/>
      <c r="R284" s="24"/>
      <c r="T284" s="5"/>
      <c r="U284" s="5"/>
    </row>
    <row r="285" spans="1:21" ht="18.75" x14ac:dyDescent="0.25">
      <c r="A285" s="20"/>
      <c r="B285" s="25"/>
      <c r="C285" s="11"/>
      <c r="D285" s="49"/>
      <c r="E285" s="49"/>
      <c r="F285" s="80"/>
      <c r="G285" s="81"/>
      <c r="H285" s="81"/>
      <c r="I285" s="54"/>
      <c r="J285" s="54"/>
      <c r="K285" s="54"/>
      <c r="L285" s="72" t="s">
        <v>544</v>
      </c>
      <c r="M285" s="73" t="s">
        <v>545</v>
      </c>
      <c r="N285" s="73" t="s">
        <v>34</v>
      </c>
      <c r="O285" s="50">
        <v>3</v>
      </c>
      <c r="P285" s="50"/>
      <c r="Q285" s="50"/>
      <c r="R285" s="24"/>
      <c r="T285" s="5"/>
      <c r="U285" s="5"/>
    </row>
    <row r="286" spans="1:21" ht="18.75" x14ac:dyDescent="0.25">
      <c r="A286" s="20"/>
      <c r="B286" s="25"/>
      <c r="C286" s="11"/>
      <c r="D286" s="49"/>
      <c r="E286" s="49"/>
      <c r="F286" s="80"/>
      <c r="G286" s="81"/>
      <c r="H286" s="81"/>
      <c r="I286" s="54"/>
      <c r="J286" s="54"/>
      <c r="K286" s="54"/>
      <c r="L286" s="72" t="s">
        <v>118</v>
      </c>
      <c r="M286" s="73" t="s">
        <v>119</v>
      </c>
      <c r="N286" s="73" t="s">
        <v>34</v>
      </c>
      <c r="O286" s="50">
        <v>14</v>
      </c>
      <c r="P286" s="50"/>
      <c r="Q286" s="50"/>
      <c r="R286" s="24"/>
      <c r="T286" s="5"/>
      <c r="U286" s="5"/>
    </row>
    <row r="287" spans="1:21" ht="18.75" x14ac:dyDescent="0.25">
      <c r="A287" s="20"/>
      <c r="B287" s="25"/>
      <c r="C287" s="11"/>
      <c r="D287" s="49"/>
      <c r="E287" s="49"/>
      <c r="F287" s="80"/>
      <c r="G287" s="81"/>
      <c r="H287" s="81"/>
      <c r="I287" s="54"/>
      <c r="J287" s="54"/>
      <c r="K287" s="54"/>
      <c r="L287" s="72" t="s">
        <v>251</v>
      </c>
      <c r="M287" s="73" t="s">
        <v>252</v>
      </c>
      <c r="N287" s="73" t="s">
        <v>34</v>
      </c>
      <c r="O287" s="50">
        <v>1</v>
      </c>
      <c r="P287" s="50"/>
      <c r="Q287" s="50"/>
      <c r="R287" s="24"/>
      <c r="T287" s="5"/>
      <c r="U287" s="5"/>
    </row>
    <row r="288" spans="1:21" ht="18.75" x14ac:dyDescent="0.25">
      <c r="A288" s="20"/>
      <c r="B288" s="25"/>
      <c r="C288" s="11"/>
      <c r="D288" s="49"/>
      <c r="E288" s="49"/>
      <c r="F288" s="80"/>
      <c r="G288" s="81"/>
      <c r="H288" s="81"/>
      <c r="I288" s="54"/>
      <c r="J288" s="54"/>
      <c r="K288" s="54"/>
      <c r="L288" s="72" t="s">
        <v>546</v>
      </c>
      <c r="M288" s="73" t="s">
        <v>253</v>
      </c>
      <c r="N288" s="73" t="s">
        <v>34</v>
      </c>
      <c r="O288" s="50">
        <v>3</v>
      </c>
      <c r="P288" s="50"/>
      <c r="Q288" s="50"/>
      <c r="R288" s="24"/>
      <c r="T288" s="5"/>
      <c r="U288" s="5"/>
    </row>
    <row r="289" spans="1:21" ht="18.75" x14ac:dyDescent="0.25">
      <c r="A289" s="20"/>
      <c r="B289" s="25"/>
      <c r="C289" s="11"/>
      <c r="D289" s="49"/>
      <c r="E289" s="49"/>
      <c r="F289" s="80"/>
      <c r="G289" s="81"/>
      <c r="H289" s="81"/>
      <c r="I289" s="54"/>
      <c r="J289" s="54"/>
      <c r="K289" s="54"/>
      <c r="L289" s="72" t="s">
        <v>547</v>
      </c>
      <c r="M289" s="73" t="s">
        <v>120</v>
      </c>
      <c r="N289" s="73" t="s">
        <v>34</v>
      </c>
      <c r="O289" s="50">
        <v>20</v>
      </c>
      <c r="P289" s="50"/>
      <c r="Q289" s="50"/>
      <c r="R289" s="24"/>
      <c r="T289" s="5"/>
      <c r="U289" s="5"/>
    </row>
    <row r="290" spans="1:21" ht="18.75" x14ac:dyDescent="0.25">
      <c r="A290" s="20"/>
      <c r="B290" s="25"/>
      <c r="C290" s="11"/>
      <c r="D290" s="49"/>
      <c r="E290" s="49"/>
      <c r="F290" s="80"/>
      <c r="G290" s="81"/>
      <c r="H290" s="81"/>
      <c r="I290" s="54"/>
      <c r="J290" s="54"/>
      <c r="K290" s="54"/>
      <c r="L290" s="72" t="s">
        <v>548</v>
      </c>
      <c r="M290" s="73" t="s">
        <v>121</v>
      </c>
      <c r="N290" s="73" t="s">
        <v>64</v>
      </c>
      <c r="O290" s="50">
        <v>1</v>
      </c>
      <c r="P290" s="50"/>
      <c r="Q290" s="50"/>
      <c r="R290" s="24"/>
      <c r="T290" s="5"/>
      <c r="U290" s="5"/>
    </row>
    <row r="291" spans="1:21" ht="18.75" x14ac:dyDescent="0.25">
      <c r="A291" s="20"/>
      <c r="B291" s="25"/>
      <c r="C291" s="11"/>
      <c r="D291" s="49"/>
      <c r="E291" s="49"/>
      <c r="F291" s="80"/>
      <c r="G291" s="81"/>
      <c r="H291" s="81"/>
      <c r="I291" s="54"/>
      <c r="J291" s="54"/>
      <c r="K291" s="54"/>
      <c r="L291" s="72" t="s">
        <v>549</v>
      </c>
      <c r="M291" s="73" t="s">
        <v>122</v>
      </c>
      <c r="N291" s="73" t="s">
        <v>34</v>
      </c>
      <c r="O291" s="50">
        <v>4</v>
      </c>
      <c r="P291" s="50"/>
      <c r="Q291" s="50"/>
      <c r="R291" s="24"/>
      <c r="T291" s="5"/>
      <c r="U291" s="5"/>
    </row>
    <row r="292" spans="1:21" ht="18.75" x14ac:dyDescent="0.25">
      <c r="A292" s="20"/>
      <c r="B292" s="25"/>
      <c r="C292" s="11"/>
      <c r="D292" s="49"/>
      <c r="E292" s="49"/>
      <c r="F292" s="80"/>
      <c r="G292" s="81"/>
      <c r="H292" s="81"/>
      <c r="I292" s="54"/>
      <c r="J292" s="54"/>
      <c r="K292" s="54"/>
      <c r="L292" s="72" t="s">
        <v>550</v>
      </c>
      <c r="M292" s="73" t="s">
        <v>551</v>
      </c>
      <c r="N292" s="73" t="s">
        <v>34</v>
      </c>
      <c r="O292" s="50">
        <v>1</v>
      </c>
      <c r="P292" s="50"/>
      <c r="Q292" s="50"/>
      <c r="R292" s="24"/>
      <c r="T292" s="5"/>
      <c r="U292" s="5"/>
    </row>
    <row r="293" spans="1:21" ht="18.75" x14ac:dyDescent="0.25">
      <c r="A293" s="20"/>
      <c r="B293" s="25"/>
      <c r="C293" s="11"/>
      <c r="D293" s="49"/>
      <c r="E293" s="49"/>
      <c r="F293" s="80"/>
      <c r="G293" s="81"/>
      <c r="H293" s="81"/>
      <c r="I293" s="54"/>
      <c r="J293" s="54"/>
      <c r="K293" s="54"/>
      <c r="L293" s="72" t="s">
        <v>552</v>
      </c>
      <c r="M293" s="73" t="s">
        <v>553</v>
      </c>
      <c r="N293" s="73" t="s">
        <v>34</v>
      </c>
      <c r="O293" s="50">
        <v>10</v>
      </c>
      <c r="P293" s="50"/>
      <c r="Q293" s="50"/>
      <c r="R293" s="24"/>
      <c r="T293" s="5"/>
      <c r="U293" s="5"/>
    </row>
    <row r="294" spans="1:21" ht="18.75" x14ac:dyDescent="0.25">
      <c r="A294" s="20"/>
      <c r="B294" s="25"/>
      <c r="C294" s="11"/>
      <c r="D294" s="49"/>
      <c r="E294" s="49"/>
      <c r="F294" s="80"/>
      <c r="G294" s="81"/>
      <c r="H294" s="81"/>
      <c r="I294" s="54"/>
      <c r="J294" s="54"/>
      <c r="K294" s="54"/>
      <c r="L294" s="72" t="s">
        <v>554</v>
      </c>
      <c r="M294" s="73" t="s">
        <v>555</v>
      </c>
      <c r="N294" s="73" t="s">
        <v>34</v>
      </c>
      <c r="O294" s="50">
        <v>10</v>
      </c>
      <c r="P294" s="50"/>
      <c r="Q294" s="50"/>
      <c r="R294" s="24"/>
      <c r="T294" s="5"/>
      <c r="U294" s="5"/>
    </row>
    <row r="295" spans="1:21" ht="18.75" x14ac:dyDescent="0.25">
      <c r="A295" s="20"/>
      <c r="B295" s="25"/>
      <c r="C295" s="11"/>
      <c r="D295" s="49"/>
      <c r="E295" s="49"/>
      <c r="F295" s="80"/>
      <c r="G295" s="81"/>
      <c r="H295" s="81"/>
      <c r="I295" s="54"/>
      <c r="J295" s="54"/>
      <c r="K295" s="54"/>
      <c r="L295" s="72" t="s">
        <v>556</v>
      </c>
      <c r="M295" s="73" t="s">
        <v>557</v>
      </c>
      <c r="N295" s="73" t="s">
        <v>34</v>
      </c>
      <c r="O295" s="50">
        <v>4</v>
      </c>
      <c r="P295" s="50"/>
      <c r="Q295" s="50"/>
      <c r="R295" s="24"/>
      <c r="T295" s="5"/>
      <c r="U295" s="5"/>
    </row>
    <row r="296" spans="1:21" ht="18.75" x14ac:dyDescent="0.25">
      <c r="A296" s="20"/>
      <c r="B296" s="25"/>
      <c r="C296" s="11"/>
      <c r="D296" s="49"/>
      <c r="E296" s="49"/>
      <c r="F296" s="80"/>
      <c r="G296" s="81"/>
      <c r="H296" s="81"/>
      <c r="I296" s="54"/>
      <c r="J296" s="54"/>
      <c r="K296" s="54"/>
      <c r="L296" s="72" t="s">
        <v>123</v>
      </c>
      <c r="M296" s="73" t="s">
        <v>558</v>
      </c>
      <c r="N296" s="73" t="s">
        <v>34</v>
      </c>
      <c r="O296" s="50">
        <v>20</v>
      </c>
      <c r="P296" s="50"/>
      <c r="Q296" s="50"/>
      <c r="R296" s="24"/>
      <c r="T296" s="5"/>
      <c r="U296" s="5"/>
    </row>
    <row r="297" spans="1:21" ht="18.75" x14ac:dyDescent="0.25">
      <c r="A297" s="20"/>
      <c r="B297" s="25"/>
      <c r="C297" s="11"/>
      <c r="D297" s="49"/>
      <c r="E297" s="49"/>
      <c r="F297" s="80"/>
      <c r="G297" s="81"/>
      <c r="H297" s="81"/>
      <c r="I297" s="54"/>
      <c r="J297" s="54"/>
      <c r="K297" s="54"/>
      <c r="L297" s="72" t="s">
        <v>559</v>
      </c>
      <c r="M297" s="73" t="s">
        <v>560</v>
      </c>
      <c r="N297" s="73" t="s">
        <v>34</v>
      </c>
      <c r="O297" s="50">
        <v>11</v>
      </c>
      <c r="P297" s="50"/>
      <c r="Q297" s="50"/>
      <c r="R297" s="24"/>
      <c r="T297" s="5"/>
      <c r="U297" s="5"/>
    </row>
    <row r="298" spans="1:21" ht="18.75" x14ac:dyDescent="0.25">
      <c r="A298" s="20"/>
      <c r="B298" s="25"/>
      <c r="C298" s="11"/>
      <c r="D298" s="49"/>
      <c r="E298" s="49"/>
      <c r="F298" s="80"/>
      <c r="G298" s="81"/>
      <c r="H298" s="81"/>
      <c r="I298" s="54"/>
      <c r="J298" s="54"/>
      <c r="K298" s="54"/>
      <c r="L298" s="72" t="s">
        <v>254</v>
      </c>
      <c r="M298" s="73" t="s">
        <v>255</v>
      </c>
      <c r="N298" s="73" t="s">
        <v>34</v>
      </c>
      <c r="O298" s="50">
        <v>1</v>
      </c>
      <c r="P298" s="50"/>
      <c r="Q298" s="50"/>
      <c r="R298" s="24"/>
      <c r="T298" s="5"/>
      <c r="U298" s="5"/>
    </row>
    <row r="299" spans="1:21" ht="18.75" x14ac:dyDescent="0.25">
      <c r="A299" s="20"/>
      <c r="B299" s="25"/>
      <c r="C299" s="11"/>
      <c r="D299" s="49"/>
      <c r="E299" s="49"/>
      <c r="F299" s="80"/>
      <c r="G299" s="81"/>
      <c r="H299" s="81"/>
      <c r="I299" s="54"/>
      <c r="J299" s="54"/>
      <c r="K299" s="54"/>
      <c r="L299" s="72" t="s">
        <v>561</v>
      </c>
      <c r="M299" s="73" t="s">
        <v>562</v>
      </c>
      <c r="N299" s="73" t="s">
        <v>34</v>
      </c>
      <c r="O299" s="50">
        <v>1</v>
      </c>
      <c r="P299" s="50"/>
      <c r="Q299" s="50"/>
      <c r="R299" s="24"/>
      <c r="T299" s="5"/>
      <c r="U299" s="5"/>
    </row>
    <row r="300" spans="1:21" ht="30" x14ac:dyDescent="0.25">
      <c r="A300" s="20"/>
      <c r="B300" s="25"/>
      <c r="C300" s="11"/>
      <c r="D300" s="49"/>
      <c r="E300" s="49"/>
      <c r="F300" s="80"/>
      <c r="G300" s="81"/>
      <c r="H300" s="81"/>
      <c r="I300" s="54"/>
      <c r="J300" s="54"/>
      <c r="K300" s="54"/>
      <c r="L300" s="72" t="s">
        <v>563</v>
      </c>
      <c r="M300" s="73" t="s">
        <v>256</v>
      </c>
      <c r="N300" s="73" t="s">
        <v>34</v>
      </c>
      <c r="O300" s="50">
        <v>8</v>
      </c>
      <c r="P300" s="50"/>
      <c r="Q300" s="50"/>
      <c r="R300" s="24"/>
      <c r="T300" s="5"/>
      <c r="U300" s="5"/>
    </row>
    <row r="301" spans="1:21" ht="18.75" x14ac:dyDescent="0.25">
      <c r="A301" s="20"/>
      <c r="B301" s="25"/>
      <c r="C301" s="11"/>
      <c r="D301" s="49"/>
      <c r="E301" s="49"/>
      <c r="F301" s="80"/>
      <c r="G301" s="81"/>
      <c r="H301" s="81"/>
      <c r="I301" s="54"/>
      <c r="J301" s="54"/>
      <c r="K301" s="54"/>
      <c r="L301" s="72" t="s">
        <v>564</v>
      </c>
      <c r="M301" s="73" t="s">
        <v>565</v>
      </c>
      <c r="N301" s="73" t="s">
        <v>34</v>
      </c>
      <c r="O301" s="50">
        <v>10</v>
      </c>
      <c r="P301" s="50"/>
      <c r="Q301" s="50"/>
      <c r="R301" s="24"/>
      <c r="T301" s="5"/>
      <c r="U301" s="5"/>
    </row>
    <row r="302" spans="1:21" ht="18.75" x14ac:dyDescent="0.25">
      <c r="A302" s="20"/>
      <c r="B302" s="25"/>
      <c r="C302" s="11"/>
      <c r="D302" s="49"/>
      <c r="E302" s="49"/>
      <c r="F302" s="80"/>
      <c r="G302" s="81"/>
      <c r="H302" s="81"/>
      <c r="I302" s="54"/>
      <c r="J302" s="54"/>
      <c r="K302" s="54"/>
      <c r="L302" s="72" t="s">
        <v>566</v>
      </c>
      <c r="M302" s="73" t="s">
        <v>567</v>
      </c>
      <c r="N302" s="73" t="s">
        <v>34</v>
      </c>
      <c r="O302" s="50">
        <v>10</v>
      </c>
      <c r="P302" s="50"/>
      <c r="Q302" s="50"/>
      <c r="R302" s="24"/>
      <c r="T302" s="5"/>
      <c r="U302" s="5"/>
    </row>
    <row r="303" spans="1:21" ht="18.75" x14ac:dyDescent="0.25">
      <c r="A303" s="20"/>
      <c r="B303" s="25"/>
      <c r="C303" s="11"/>
      <c r="D303" s="49"/>
      <c r="E303" s="49"/>
      <c r="F303" s="80"/>
      <c r="G303" s="81"/>
      <c r="H303" s="81"/>
      <c r="I303" s="54"/>
      <c r="J303" s="54"/>
      <c r="K303" s="54"/>
      <c r="L303" s="72" t="s">
        <v>568</v>
      </c>
      <c r="M303" s="73" t="s">
        <v>569</v>
      </c>
      <c r="N303" s="73" t="s">
        <v>35</v>
      </c>
      <c r="O303" s="50">
        <v>17</v>
      </c>
      <c r="P303" s="50"/>
      <c r="Q303" s="50"/>
      <c r="R303" s="24"/>
      <c r="T303" s="5"/>
      <c r="U303" s="5"/>
    </row>
    <row r="304" spans="1:21" ht="18.75" x14ac:dyDescent="0.25">
      <c r="A304" s="20"/>
      <c r="B304" s="25"/>
      <c r="C304" s="11"/>
      <c r="D304" s="49"/>
      <c r="E304" s="49"/>
      <c r="F304" s="80"/>
      <c r="G304" s="81"/>
      <c r="H304" s="81"/>
      <c r="I304" s="54"/>
      <c r="J304" s="54"/>
      <c r="K304" s="54"/>
      <c r="L304" s="72" t="s">
        <v>570</v>
      </c>
      <c r="M304" s="73" t="s">
        <v>571</v>
      </c>
      <c r="N304" s="73" t="s">
        <v>34</v>
      </c>
      <c r="O304" s="50">
        <v>3</v>
      </c>
      <c r="P304" s="50"/>
      <c r="Q304" s="50"/>
      <c r="R304" s="24"/>
      <c r="T304" s="5"/>
      <c r="U304" s="5"/>
    </row>
    <row r="305" spans="1:21" ht="18.75" x14ac:dyDescent="0.25">
      <c r="A305" s="20"/>
      <c r="B305" s="25"/>
      <c r="C305" s="11"/>
      <c r="D305" s="49"/>
      <c r="E305" s="49"/>
      <c r="F305" s="80"/>
      <c r="G305" s="81"/>
      <c r="H305" s="81"/>
      <c r="I305" s="54"/>
      <c r="J305" s="54"/>
      <c r="K305" s="54"/>
      <c r="L305" s="72" t="s">
        <v>572</v>
      </c>
      <c r="M305" s="73" t="s">
        <v>573</v>
      </c>
      <c r="N305" s="73" t="s">
        <v>34</v>
      </c>
      <c r="O305" s="50">
        <v>1</v>
      </c>
      <c r="P305" s="50"/>
      <c r="Q305" s="50"/>
      <c r="R305" s="24"/>
      <c r="T305" s="5"/>
      <c r="U305" s="5"/>
    </row>
    <row r="306" spans="1:21" ht="18.75" x14ac:dyDescent="0.25">
      <c r="A306" s="20"/>
      <c r="B306" s="25"/>
      <c r="C306" s="11"/>
      <c r="D306" s="49"/>
      <c r="E306" s="49"/>
      <c r="F306" s="80"/>
      <c r="G306" s="81"/>
      <c r="H306" s="81"/>
      <c r="I306" s="54"/>
      <c r="J306" s="54"/>
      <c r="K306" s="54"/>
      <c r="L306" s="72" t="s">
        <v>574</v>
      </c>
      <c r="M306" s="73" t="s">
        <v>575</v>
      </c>
      <c r="N306" s="73" t="s">
        <v>34</v>
      </c>
      <c r="O306" s="50">
        <v>20</v>
      </c>
      <c r="P306" s="50"/>
      <c r="Q306" s="50"/>
      <c r="R306" s="24"/>
      <c r="T306" s="5"/>
      <c r="U306" s="5"/>
    </row>
    <row r="307" spans="1:21" ht="18.75" x14ac:dyDescent="0.25">
      <c r="A307" s="20"/>
      <c r="B307" s="25"/>
      <c r="C307" s="11"/>
      <c r="D307" s="49"/>
      <c r="E307" s="49"/>
      <c r="F307" s="80"/>
      <c r="G307" s="81"/>
      <c r="H307" s="81"/>
      <c r="I307" s="54"/>
      <c r="J307" s="54"/>
      <c r="K307" s="54"/>
      <c r="L307" s="72" t="s">
        <v>576</v>
      </c>
      <c r="M307" s="73" t="s">
        <v>577</v>
      </c>
      <c r="N307" s="73" t="s">
        <v>34</v>
      </c>
      <c r="O307" s="50">
        <v>1</v>
      </c>
      <c r="P307" s="50"/>
      <c r="Q307" s="50"/>
      <c r="R307" s="24"/>
      <c r="T307" s="5"/>
      <c r="U307" s="5"/>
    </row>
    <row r="308" spans="1:21" ht="18.75" x14ac:dyDescent="0.25">
      <c r="A308" s="20"/>
      <c r="B308" s="25"/>
      <c r="C308" s="11"/>
      <c r="D308" s="49"/>
      <c r="E308" s="49"/>
      <c r="F308" s="80"/>
      <c r="G308" s="81"/>
      <c r="H308" s="81"/>
      <c r="I308" s="54"/>
      <c r="J308" s="54"/>
      <c r="K308" s="54"/>
      <c r="L308" s="72" t="s">
        <v>578</v>
      </c>
      <c r="M308" s="73" t="s">
        <v>183</v>
      </c>
      <c r="N308" s="73" t="s">
        <v>34</v>
      </c>
      <c r="O308" s="50">
        <v>3</v>
      </c>
      <c r="P308" s="50"/>
      <c r="Q308" s="50"/>
      <c r="R308" s="24"/>
      <c r="T308" s="5"/>
      <c r="U308" s="5"/>
    </row>
    <row r="309" spans="1:21" ht="18.75" x14ac:dyDescent="0.25">
      <c r="A309" s="20"/>
      <c r="B309" s="25"/>
      <c r="C309" s="11"/>
      <c r="D309" s="49"/>
      <c r="E309" s="49"/>
      <c r="F309" s="80"/>
      <c r="G309" s="81"/>
      <c r="H309" s="81"/>
      <c r="I309" s="54"/>
      <c r="J309" s="54"/>
      <c r="K309" s="54"/>
      <c r="L309" s="72" t="s">
        <v>579</v>
      </c>
      <c r="M309" s="73" t="s">
        <v>124</v>
      </c>
      <c r="N309" s="73" t="s">
        <v>34</v>
      </c>
      <c r="O309" s="50">
        <v>4</v>
      </c>
      <c r="P309" s="50"/>
      <c r="Q309" s="50"/>
      <c r="R309" s="24"/>
      <c r="T309" s="5"/>
      <c r="U309" s="5"/>
    </row>
    <row r="310" spans="1:21" ht="18.75" x14ac:dyDescent="0.25">
      <c r="A310" s="20"/>
      <c r="B310" s="25"/>
      <c r="C310" s="11"/>
      <c r="D310" s="49"/>
      <c r="E310" s="49"/>
      <c r="F310" s="80"/>
      <c r="G310" s="81"/>
      <c r="H310" s="81"/>
      <c r="I310" s="54"/>
      <c r="J310" s="54"/>
      <c r="K310" s="54"/>
      <c r="L310" s="72" t="s">
        <v>580</v>
      </c>
      <c r="M310" s="73" t="s">
        <v>125</v>
      </c>
      <c r="N310" s="73" t="s">
        <v>34</v>
      </c>
      <c r="O310" s="50">
        <v>7</v>
      </c>
      <c r="P310" s="50"/>
      <c r="Q310" s="50"/>
      <c r="R310" s="24"/>
      <c r="T310" s="5"/>
      <c r="U310" s="5"/>
    </row>
    <row r="311" spans="1:21" ht="18.75" x14ac:dyDescent="0.25">
      <c r="A311" s="20"/>
      <c r="B311" s="25"/>
      <c r="C311" s="11"/>
      <c r="D311" s="49"/>
      <c r="E311" s="49"/>
      <c r="F311" s="80"/>
      <c r="G311" s="81"/>
      <c r="H311" s="81"/>
      <c r="I311" s="54"/>
      <c r="J311" s="54"/>
      <c r="K311" s="54"/>
      <c r="L311" s="72" t="s">
        <v>581</v>
      </c>
      <c r="M311" s="73" t="s">
        <v>582</v>
      </c>
      <c r="N311" s="73" t="s">
        <v>34</v>
      </c>
      <c r="O311" s="50">
        <v>1</v>
      </c>
      <c r="P311" s="50"/>
      <c r="Q311" s="50"/>
      <c r="R311" s="24"/>
      <c r="T311" s="5"/>
      <c r="U311" s="5"/>
    </row>
    <row r="312" spans="1:21" ht="18.75" x14ac:dyDescent="0.25">
      <c r="A312" s="20"/>
      <c r="B312" s="25"/>
      <c r="C312" s="11"/>
      <c r="D312" s="49"/>
      <c r="E312" s="49"/>
      <c r="F312" s="80"/>
      <c r="G312" s="81"/>
      <c r="H312" s="81"/>
      <c r="I312" s="54"/>
      <c r="J312" s="54"/>
      <c r="K312" s="54"/>
      <c r="L312" s="72" t="s">
        <v>583</v>
      </c>
      <c r="M312" s="73" t="s">
        <v>126</v>
      </c>
      <c r="N312" s="73" t="s">
        <v>34</v>
      </c>
      <c r="O312" s="50">
        <v>53</v>
      </c>
      <c r="P312" s="50"/>
      <c r="Q312" s="50"/>
      <c r="R312" s="24"/>
      <c r="T312" s="5"/>
      <c r="U312" s="5"/>
    </row>
    <row r="313" spans="1:21" ht="18.75" x14ac:dyDescent="0.25">
      <c r="A313" s="20"/>
      <c r="B313" s="25"/>
      <c r="C313" s="11"/>
      <c r="D313" s="49"/>
      <c r="E313" s="49"/>
      <c r="F313" s="80"/>
      <c r="G313" s="81"/>
      <c r="H313" s="81"/>
      <c r="I313" s="54"/>
      <c r="J313" s="54"/>
      <c r="K313" s="54"/>
      <c r="L313" s="72" t="s">
        <v>584</v>
      </c>
      <c r="M313" s="73" t="s">
        <v>585</v>
      </c>
      <c r="N313" s="73" t="s">
        <v>34</v>
      </c>
      <c r="O313" s="50">
        <v>1</v>
      </c>
      <c r="P313" s="50"/>
      <c r="Q313" s="50"/>
      <c r="R313" s="24"/>
      <c r="T313" s="5"/>
      <c r="U313" s="5"/>
    </row>
    <row r="314" spans="1:21" ht="18.75" x14ac:dyDescent="0.25">
      <c r="A314" s="20"/>
      <c r="B314" s="25"/>
      <c r="C314" s="11"/>
      <c r="D314" s="49"/>
      <c r="E314" s="49"/>
      <c r="F314" s="80"/>
      <c r="G314" s="81"/>
      <c r="H314" s="81"/>
      <c r="I314" s="54"/>
      <c r="J314" s="54"/>
      <c r="K314" s="54"/>
      <c r="L314" s="72" t="s">
        <v>586</v>
      </c>
      <c r="M314" s="73" t="s">
        <v>257</v>
      </c>
      <c r="N314" s="73" t="s">
        <v>34</v>
      </c>
      <c r="O314" s="50">
        <v>3</v>
      </c>
      <c r="P314" s="50"/>
      <c r="Q314" s="50"/>
      <c r="R314" s="24"/>
      <c r="T314" s="5"/>
      <c r="U314" s="5"/>
    </row>
    <row r="315" spans="1:21" ht="18.75" x14ac:dyDescent="0.25">
      <c r="A315" s="20"/>
      <c r="B315" s="25"/>
      <c r="C315" s="11"/>
      <c r="D315" s="49"/>
      <c r="E315" s="49"/>
      <c r="F315" s="80"/>
      <c r="G315" s="81"/>
      <c r="H315" s="81"/>
      <c r="I315" s="54"/>
      <c r="J315" s="54"/>
      <c r="K315" s="54"/>
      <c r="L315" s="72" t="s">
        <v>587</v>
      </c>
      <c r="M315" s="73" t="s">
        <v>588</v>
      </c>
      <c r="N315" s="73" t="s">
        <v>34</v>
      </c>
      <c r="O315" s="50">
        <v>1</v>
      </c>
      <c r="P315" s="50"/>
      <c r="Q315" s="50"/>
      <c r="R315" s="24"/>
      <c r="T315" s="5"/>
      <c r="U315" s="5"/>
    </row>
    <row r="316" spans="1:21" ht="18.75" x14ac:dyDescent="0.25">
      <c r="A316" s="20"/>
      <c r="B316" s="25"/>
      <c r="C316" s="11"/>
      <c r="D316" s="49"/>
      <c r="E316" s="49"/>
      <c r="F316" s="80"/>
      <c r="G316" s="81"/>
      <c r="H316" s="81"/>
      <c r="I316" s="54"/>
      <c r="J316" s="54"/>
      <c r="K316" s="54"/>
      <c r="L316" s="72" t="s">
        <v>589</v>
      </c>
      <c r="M316" s="73" t="s">
        <v>590</v>
      </c>
      <c r="N316" s="73" t="s">
        <v>34</v>
      </c>
      <c r="O316" s="50">
        <v>1</v>
      </c>
      <c r="P316" s="50"/>
      <c r="Q316" s="50"/>
      <c r="R316" s="24"/>
      <c r="T316" s="5"/>
      <c r="U316" s="5"/>
    </row>
    <row r="317" spans="1:21" ht="18.75" x14ac:dyDescent="0.25">
      <c r="A317" s="20"/>
      <c r="B317" s="25"/>
      <c r="C317" s="11"/>
      <c r="D317" s="49"/>
      <c r="E317" s="49"/>
      <c r="F317" s="80"/>
      <c r="G317" s="81"/>
      <c r="H317" s="81"/>
      <c r="I317" s="54"/>
      <c r="J317" s="54"/>
      <c r="K317" s="54"/>
      <c r="L317" s="72" t="s">
        <v>591</v>
      </c>
      <c r="M317" s="73" t="s">
        <v>592</v>
      </c>
      <c r="N317" s="73" t="s">
        <v>34</v>
      </c>
      <c r="O317" s="50">
        <v>1</v>
      </c>
      <c r="P317" s="50"/>
      <c r="Q317" s="50"/>
      <c r="R317" s="24"/>
      <c r="T317" s="5"/>
      <c r="U317" s="5"/>
    </row>
    <row r="318" spans="1:21" ht="18.75" x14ac:dyDescent="0.25">
      <c r="A318" s="20"/>
      <c r="B318" s="25"/>
      <c r="C318" s="11"/>
      <c r="D318" s="49"/>
      <c r="E318" s="49"/>
      <c r="F318" s="80"/>
      <c r="G318" s="81"/>
      <c r="H318" s="81"/>
      <c r="I318" s="54"/>
      <c r="J318" s="54"/>
      <c r="K318" s="54"/>
      <c r="L318" s="72" t="s">
        <v>593</v>
      </c>
      <c r="M318" s="73" t="s">
        <v>594</v>
      </c>
      <c r="N318" s="73" t="s">
        <v>34</v>
      </c>
      <c r="O318" s="50">
        <v>1</v>
      </c>
      <c r="P318" s="50"/>
      <c r="Q318" s="50"/>
      <c r="R318" s="24"/>
      <c r="T318" s="5"/>
      <c r="U318" s="5"/>
    </row>
    <row r="319" spans="1:21" ht="18.75" x14ac:dyDescent="0.25">
      <c r="A319" s="20"/>
      <c r="B319" s="25"/>
      <c r="C319" s="11"/>
      <c r="D319" s="49"/>
      <c r="E319" s="49"/>
      <c r="F319" s="80"/>
      <c r="G319" s="81"/>
      <c r="H319" s="81"/>
      <c r="I319" s="54"/>
      <c r="J319" s="54"/>
      <c r="K319" s="54"/>
      <c r="L319" s="72" t="s">
        <v>127</v>
      </c>
      <c r="M319" s="73" t="s">
        <v>128</v>
      </c>
      <c r="N319" s="73" t="s">
        <v>34</v>
      </c>
      <c r="O319" s="50">
        <v>2</v>
      </c>
      <c r="P319" s="50"/>
      <c r="Q319" s="50"/>
      <c r="R319" s="24"/>
      <c r="T319" s="5"/>
      <c r="U319" s="5"/>
    </row>
    <row r="320" spans="1:21" ht="18.75" x14ac:dyDescent="0.25">
      <c r="A320" s="20"/>
      <c r="B320" s="25"/>
      <c r="C320" s="11"/>
      <c r="D320" s="49"/>
      <c r="E320" s="49"/>
      <c r="F320" s="80"/>
      <c r="G320" s="81"/>
      <c r="H320" s="81"/>
      <c r="I320" s="54"/>
      <c r="J320" s="54"/>
      <c r="K320" s="54"/>
      <c r="L320" s="72" t="s">
        <v>595</v>
      </c>
      <c r="M320" s="73" t="s">
        <v>596</v>
      </c>
      <c r="N320" s="73" t="s">
        <v>34</v>
      </c>
      <c r="O320" s="50">
        <v>3</v>
      </c>
      <c r="P320" s="50"/>
      <c r="Q320" s="50"/>
      <c r="R320" s="24"/>
      <c r="T320" s="5"/>
      <c r="U320" s="5"/>
    </row>
    <row r="321" spans="1:21" ht="18.75" x14ac:dyDescent="0.25">
      <c r="A321" s="20"/>
      <c r="B321" s="25"/>
      <c r="C321" s="11"/>
      <c r="D321" s="49"/>
      <c r="E321" s="49"/>
      <c r="F321" s="80"/>
      <c r="G321" s="81"/>
      <c r="H321" s="81"/>
      <c r="I321" s="54"/>
      <c r="J321" s="54"/>
      <c r="K321" s="54"/>
      <c r="L321" s="72" t="s">
        <v>597</v>
      </c>
      <c r="M321" s="73" t="s">
        <v>598</v>
      </c>
      <c r="N321" s="73" t="s">
        <v>34</v>
      </c>
      <c r="O321" s="50">
        <v>6</v>
      </c>
      <c r="P321" s="50"/>
      <c r="Q321" s="50"/>
      <c r="R321" s="24"/>
      <c r="T321" s="5"/>
      <c r="U321" s="5"/>
    </row>
    <row r="322" spans="1:21" ht="18.75" x14ac:dyDescent="0.25">
      <c r="A322" s="20"/>
      <c r="B322" s="25"/>
      <c r="C322" s="11"/>
      <c r="D322" s="49"/>
      <c r="E322" s="49"/>
      <c r="F322" s="80"/>
      <c r="G322" s="81"/>
      <c r="H322" s="81"/>
      <c r="I322" s="54"/>
      <c r="J322" s="54"/>
      <c r="K322" s="54"/>
      <c r="L322" s="72" t="s">
        <v>599</v>
      </c>
      <c r="M322" s="73" t="s">
        <v>129</v>
      </c>
      <c r="N322" s="73" t="s">
        <v>34</v>
      </c>
      <c r="O322" s="50">
        <v>137</v>
      </c>
      <c r="P322" s="50"/>
      <c r="Q322" s="50"/>
      <c r="R322" s="24"/>
      <c r="T322" s="5"/>
      <c r="U322" s="5"/>
    </row>
    <row r="323" spans="1:21" ht="18.75" x14ac:dyDescent="0.25">
      <c r="A323" s="20"/>
      <c r="B323" s="25"/>
      <c r="C323" s="11"/>
      <c r="D323" s="49"/>
      <c r="E323" s="49"/>
      <c r="F323" s="80"/>
      <c r="G323" s="81"/>
      <c r="H323" s="81"/>
      <c r="I323" s="54"/>
      <c r="J323" s="54"/>
      <c r="K323" s="54"/>
      <c r="L323" s="72" t="s">
        <v>600</v>
      </c>
      <c r="M323" s="73" t="s">
        <v>258</v>
      </c>
      <c r="N323" s="73" t="s">
        <v>34</v>
      </c>
      <c r="O323" s="50">
        <v>33</v>
      </c>
      <c r="P323" s="50"/>
      <c r="Q323" s="50"/>
      <c r="R323" s="24"/>
      <c r="T323" s="5"/>
      <c r="U323" s="5"/>
    </row>
    <row r="324" spans="1:21" ht="18.75" x14ac:dyDescent="0.25">
      <c r="A324" s="20"/>
      <c r="B324" s="25"/>
      <c r="C324" s="11"/>
      <c r="D324" s="49"/>
      <c r="E324" s="49"/>
      <c r="F324" s="80"/>
      <c r="G324" s="81"/>
      <c r="H324" s="81"/>
      <c r="I324" s="54"/>
      <c r="J324" s="54"/>
      <c r="K324" s="54"/>
      <c r="L324" s="72" t="s">
        <v>601</v>
      </c>
      <c r="M324" s="73" t="s">
        <v>602</v>
      </c>
      <c r="N324" s="73" t="s">
        <v>34</v>
      </c>
      <c r="O324" s="50">
        <v>6</v>
      </c>
      <c r="P324" s="50"/>
      <c r="Q324" s="50"/>
      <c r="R324" s="24"/>
      <c r="T324" s="5"/>
      <c r="U324" s="5"/>
    </row>
    <row r="325" spans="1:21" ht="18.75" x14ac:dyDescent="0.25">
      <c r="A325" s="20"/>
      <c r="B325" s="25"/>
      <c r="C325" s="11"/>
      <c r="D325" s="49"/>
      <c r="E325" s="49"/>
      <c r="F325" s="80"/>
      <c r="G325" s="81"/>
      <c r="H325" s="81"/>
      <c r="I325" s="54"/>
      <c r="J325" s="54"/>
      <c r="K325" s="54"/>
      <c r="L325" s="72" t="s">
        <v>130</v>
      </c>
      <c r="M325" s="73" t="s">
        <v>603</v>
      </c>
      <c r="N325" s="73" t="s">
        <v>34</v>
      </c>
      <c r="O325" s="50">
        <v>10</v>
      </c>
      <c r="P325" s="50"/>
      <c r="Q325" s="50"/>
      <c r="R325" s="24"/>
      <c r="T325" s="5"/>
      <c r="U325" s="5"/>
    </row>
    <row r="326" spans="1:21" ht="18.75" x14ac:dyDescent="0.25">
      <c r="A326" s="20"/>
      <c r="B326" s="25"/>
      <c r="C326" s="11"/>
      <c r="D326" s="49"/>
      <c r="E326" s="49"/>
      <c r="F326" s="80"/>
      <c r="G326" s="81"/>
      <c r="H326" s="81"/>
      <c r="I326" s="54"/>
      <c r="J326" s="54"/>
      <c r="K326" s="54"/>
      <c r="L326" s="72" t="s">
        <v>131</v>
      </c>
      <c r="M326" s="73" t="s">
        <v>132</v>
      </c>
      <c r="N326" s="73" t="s">
        <v>34</v>
      </c>
      <c r="O326" s="50">
        <v>5</v>
      </c>
      <c r="P326" s="50"/>
      <c r="Q326" s="50"/>
      <c r="R326" s="24"/>
      <c r="T326" s="5"/>
      <c r="U326" s="5"/>
    </row>
    <row r="327" spans="1:21" ht="18.75" x14ac:dyDescent="0.25">
      <c r="A327" s="20"/>
      <c r="B327" s="25"/>
      <c r="C327" s="11"/>
      <c r="D327" s="49"/>
      <c r="E327" s="49"/>
      <c r="F327" s="80"/>
      <c r="G327" s="81"/>
      <c r="H327" s="81"/>
      <c r="I327" s="54"/>
      <c r="J327" s="54"/>
      <c r="K327" s="54"/>
      <c r="L327" s="72" t="s">
        <v>604</v>
      </c>
      <c r="M327" s="73" t="s">
        <v>605</v>
      </c>
      <c r="N327" s="73" t="s">
        <v>64</v>
      </c>
      <c r="O327" s="50">
        <v>2</v>
      </c>
      <c r="P327" s="50"/>
      <c r="Q327" s="50"/>
      <c r="R327" s="24"/>
      <c r="T327" s="5"/>
      <c r="U327" s="5"/>
    </row>
    <row r="328" spans="1:21" ht="18.75" x14ac:dyDescent="0.25">
      <c r="A328" s="20"/>
      <c r="B328" s="25"/>
      <c r="C328" s="11"/>
      <c r="D328" s="49"/>
      <c r="E328" s="49"/>
      <c r="F328" s="80"/>
      <c r="G328" s="81"/>
      <c r="H328" s="81"/>
      <c r="I328" s="54"/>
      <c r="J328" s="54"/>
      <c r="K328" s="54"/>
      <c r="L328" s="72" t="s">
        <v>606</v>
      </c>
      <c r="M328" s="73" t="s">
        <v>133</v>
      </c>
      <c r="N328" s="73" t="s">
        <v>64</v>
      </c>
      <c r="O328" s="50">
        <v>36</v>
      </c>
      <c r="P328" s="50"/>
      <c r="Q328" s="50"/>
      <c r="R328" s="24"/>
      <c r="T328" s="5"/>
      <c r="U328" s="5"/>
    </row>
    <row r="329" spans="1:21" ht="18.75" x14ac:dyDescent="0.25">
      <c r="A329" s="20"/>
      <c r="B329" s="25"/>
      <c r="C329" s="11"/>
      <c r="D329" s="49"/>
      <c r="E329" s="49"/>
      <c r="F329" s="80"/>
      <c r="G329" s="81"/>
      <c r="H329" s="81"/>
      <c r="I329" s="54"/>
      <c r="J329" s="54"/>
      <c r="K329" s="54"/>
      <c r="L329" s="72" t="s">
        <v>607</v>
      </c>
      <c r="M329" s="73" t="s">
        <v>608</v>
      </c>
      <c r="N329" s="73" t="s">
        <v>34</v>
      </c>
      <c r="O329" s="50">
        <v>10</v>
      </c>
      <c r="P329" s="50"/>
      <c r="Q329" s="50"/>
      <c r="R329" s="24"/>
      <c r="T329" s="5"/>
      <c r="U329" s="5"/>
    </row>
    <row r="330" spans="1:21" ht="18.75" x14ac:dyDescent="0.25">
      <c r="A330" s="20"/>
      <c r="B330" s="25"/>
      <c r="C330" s="11"/>
      <c r="D330" s="49"/>
      <c r="E330" s="49"/>
      <c r="F330" s="80"/>
      <c r="G330" s="81"/>
      <c r="H330" s="81"/>
      <c r="I330" s="54"/>
      <c r="J330" s="54"/>
      <c r="K330" s="54"/>
      <c r="L330" s="72" t="s">
        <v>609</v>
      </c>
      <c r="M330" s="73" t="s">
        <v>134</v>
      </c>
      <c r="N330" s="73" t="s">
        <v>34</v>
      </c>
      <c r="O330" s="50">
        <v>20</v>
      </c>
      <c r="P330" s="50"/>
      <c r="Q330" s="50"/>
      <c r="R330" s="24"/>
      <c r="T330" s="5"/>
      <c r="U330" s="5"/>
    </row>
    <row r="331" spans="1:21" ht="18.75" x14ac:dyDescent="0.25">
      <c r="A331" s="20"/>
      <c r="B331" s="25"/>
      <c r="C331" s="11"/>
      <c r="D331" s="49"/>
      <c r="E331" s="49"/>
      <c r="F331" s="80"/>
      <c r="G331" s="81"/>
      <c r="H331" s="81"/>
      <c r="I331" s="54"/>
      <c r="J331" s="54"/>
      <c r="K331" s="54"/>
      <c r="L331" s="72" t="s">
        <v>610</v>
      </c>
      <c r="M331" s="73" t="s">
        <v>611</v>
      </c>
      <c r="N331" s="73" t="s">
        <v>34</v>
      </c>
      <c r="O331" s="50">
        <v>35</v>
      </c>
      <c r="P331" s="50"/>
      <c r="Q331" s="50"/>
      <c r="R331" s="24"/>
      <c r="T331" s="5"/>
      <c r="U331" s="5"/>
    </row>
    <row r="332" spans="1:21" ht="18.75" x14ac:dyDescent="0.25">
      <c r="A332" s="20"/>
      <c r="B332" s="25"/>
      <c r="C332" s="11"/>
      <c r="D332" s="49"/>
      <c r="E332" s="49"/>
      <c r="F332" s="80"/>
      <c r="G332" s="81"/>
      <c r="H332" s="81"/>
      <c r="I332" s="54"/>
      <c r="J332" s="54"/>
      <c r="K332" s="54"/>
      <c r="L332" s="72" t="s">
        <v>612</v>
      </c>
      <c r="M332" s="73" t="s">
        <v>135</v>
      </c>
      <c r="N332" s="73" t="s">
        <v>34</v>
      </c>
      <c r="O332" s="50">
        <v>60</v>
      </c>
      <c r="P332" s="50"/>
      <c r="Q332" s="50"/>
      <c r="R332" s="24"/>
      <c r="T332" s="5"/>
      <c r="U332" s="5"/>
    </row>
    <row r="333" spans="1:21" ht="18.75" x14ac:dyDescent="0.25">
      <c r="A333" s="20"/>
      <c r="B333" s="25"/>
      <c r="C333" s="11"/>
      <c r="D333" s="49"/>
      <c r="E333" s="49"/>
      <c r="F333" s="80"/>
      <c r="G333" s="81"/>
      <c r="H333" s="81"/>
      <c r="I333" s="54"/>
      <c r="J333" s="54"/>
      <c r="K333" s="54"/>
      <c r="L333" s="72" t="s">
        <v>613</v>
      </c>
      <c r="M333" s="73" t="s">
        <v>614</v>
      </c>
      <c r="N333" s="73" t="s">
        <v>34</v>
      </c>
      <c r="O333" s="50">
        <v>2</v>
      </c>
      <c r="P333" s="50"/>
      <c r="Q333" s="50"/>
      <c r="R333" s="24"/>
      <c r="T333" s="5"/>
      <c r="U333" s="5"/>
    </row>
    <row r="334" spans="1:21" ht="18.75" x14ac:dyDescent="0.25">
      <c r="A334" s="20"/>
      <c r="B334" s="25"/>
      <c r="C334" s="11"/>
      <c r="D334" s="49"/>
      <c r="E334" s="49"/>
      <c r="F334" s="80"/>
      <c r="G334" s="81"/>
      <c r="H334" s="81"/>
      <c r="I334" s="54"/>
      <c r="J334" s="54"/>
      <c r="K334" s="54"/>
      <c r="L334" s="72" t="s">
        <v>615</v>
      </c>
      <c r="M334" s="73" t="s">
        <v>616</v>
      </c>
      <c r="N334" s="73" t="s">
        <v>34</v>
      </c>
      <c r="O334" s="50">
        <v>3</v>
      </c>
      <c r="P334" s="50"/>
      <c r="Q334" s="50"/>
      <c r="R334" s="24"/>
      <c r="T334" s="5"/>
      <c r="U334" s="5"/>
    </row>
    <row r="335" spans="1:21" ht="18.75" x14ac:dyDescent="0.25">
      <c r="A335" s="20"/>
      <c r="B335" s="25"/>
      <c r="C335" s="11"/>
      <c r="D335" s="49"/>
      <c r="E335" s="49"/>
      <c r="F335" s="80"/>
      <c r="G335" s="81"/>
      <c r="H335" s="81"/>
      <c r="I335" s="54"/>
      <c r="J335" s="54"/>
      <c r="K335" s="54"/>
      <c r="L335" s="72" t="s">
        <v>617</v>
      </c>
      <c r="M335" s="73" t="s">
        <v>618</v>
      </c>
      <c r="N335" s="73" t="s">
        <v>34</v>
      </c>
      <c r="O335" s="50">
        <v>1</v>
      </c>
      <c r="P335" s="50"/>
      <c r="Q335" s="50"/>
      <c r="R335" s="24"/>
      <c r="T335" s="5"/>
      <c r="U335" s="5"/>
    </row>
    <row r="336" spans="1:21" ht="18.75" x14ac:dyDescent="0.25">
      <c r="A336" s="20"/>
      <c r="B336" s="25"/>
      <c r="C336" s="11"/>
      <c r="D336" s="49"/>
      <c r="E336" s="49"/>
      <c r="F336" s="80"/>
      <c r="G336" s="81"/>
      <c r="H336" s="81"/>
      <c r="I336" s="54"/>
      <c r="J336" s="54"/>
      <c r="K336" s="54"/>
      <c r="L336" s="72" t="s">
        <v>619</v>
      </c>
      <c r="M336" s="73" t="s">
        <v>620</v>
      </c>
      <c r="N336" s="73" t="s">
        <v>34</v>
      </c>
      <c r="O336" s="50">
        <v>1</v>
      </c>
      <c r="P336" s="50"/>
      <c r="Q336" s="50"/>
      <c r="R336" s="24"/>
      <c r="T336" s="5"/>
      <c r="U336" s="5"/>
    </row>
    <row r="337" spans="1:21" ht="18.75" x14ac:dyDescent="0.25">
      <c r="A337" s="20"/>
      <c r="B337" s="25"/>
      <c r="C337" s="11"/>
      <c r="D337" s="49"/>
      <c r="E337" s="49"/>
      <c r="F337" s="80"/>
      <c r="G337" s="81"/>
      <c r="H337" s="81"/>
      <c r="I337" s="54"/>
      <c r="J337" s="54"/>
      <c r="K337" s="54"/>
      <c r="L337" s="72" t="s">
        <v>621</v>
      </c>
      <c r="M337" s="73" t="s">
        <v>622</v>
      </c>
      <c r="N337" s="73" t="s">
        <v>34</v>
      </c>
      <c r="O337" s="50">
        <v>1</v>
      </c>
      <c r="P337" s="50"/>
      <c r="Q337" s="50"/>
      <c r="R337" s="24"/>
      <c r="T337" s="5"/>
      <c r="U337" s="5"/>
    </row>
    <row r="338" spans="1:21" ht="18.75" x14ac:dyDescent="0.25">
      <c r="A338" s="20"/>
      <c r="B338" s="25"/>
      <c r="C338" s="11"/>
      <c r="D338" s="49"/>
      <c r="E338" s="49"/>
      <c r="F338" s="80"/>
      <c r="G338" s="81"/>
      <c r="H338" s="81"/>
      <c r="I338" s="54"/>
      <c r="J338" s="54"/>
      <c r="K338" s="54"/>
      <c r="L338" s="72" t="s">
        <v>623</v>
      </c>
      <c r="M338" s="73" t="s">
        <v>624</v>
      </c>
      <c r="N338" s="73" t="s">
        <v>34</v>
      </c>
      <c r="O338" s="50">
        <v>5</v>
      </c>
      <c r="P338" s="50"/>
      <c r="Q338" s="50"/>
      <c r="R338" s="24"/>
      <c r="T338" s="5"/>
      <c r="U338" s="5"/>
    </row>
    <row r="339" spans="1:21" ht="18.75" x14ac:dyDescent="0.25">
      <c r="A339" s="20"/>
      <c r="B339" s="25"/>
      <c r="C339" s="11"/>
      <c r="D339" s="49"/>
      <c r="E339" s="49"/>
      <c r="F339" s="80"/>
      <c r="G339" s="81"/>
      <c r="H339" s="81"/>
      <c r="I339" s="54"/>
      <c r="J339" s="54"/>
      <c r="K339" s="54"/>
      <c r="L339" s="72" t="s">
        <v>625</v>
      </c>
      <c r="M339" s="73" t="s">
        <v>136</v>
      </c>
      <c r="N339" s="73" t="s">
        <v>34</v>
      </c>
      <c r="O339" s="50">
        <v>35</v>
      </c>
      <c r="P339" s="50"/>
      <c r="Q339" s="50"/>
      <c r="R339" s="24"/>
      <c r="T339" s="5"/>
      <c r="U339" s="5"/>
    </row>
    <row r="340" spans="1:21" ht="18.75" x14ac:dyDescent="0.25">
      <c r="A340" s="20"/>
      <c r="B340" s="25"/>
      <c r="C340" s="11"/>
      <c r="D340" s="49"/>
      <c r="E340" s="49"/>
      <c r="F340" s="80"/>
      <c r="G340" s="81"/>
      <c r="H340" s="81"/>
      <c r="I340" s="54"/>
      <c r="J340" s="54"/>
      <c r="K340" s="54"/>
      <c r="L340" s="72" t="s">
        <v>626</v>
      </c>
      <c r="M340" s="73" t="s">
        <v>137</v>
      </c>
      <c r="N340" s="73" t="s">
        <v>34</v>
      </c>
      <c r="O340" s="50">
        <v>41</v>
      </c>
      <c r="P340" s="50"/>
      <c r="Q340" s="50"/>
      <c r="R340" s="24"/>
      <c r="T340" s="5"/>
      <c r="U340" s="5"/>
    </row>
    <row r="341" spans="1:21" ht="18.75" x14ac:dyDescent="0.25">
      <c r="A341" s="20"/>
      <c r="B341" s="25"/>
      <c r="C341" s="11"/>
      <c r="D341" s="49"/>
      <c r="E341" s="49"/>
      <c r="F341" s="80"/>
      <c r="G341" s="81"/>
      <c r="H341" s="81"/>
      <c r="I341" s="54"/>
      <c r="J341" s="54"/>
      <c r="K341" s="54"/>
      <c r="L341" s="72" t="s">
        <v>259</v>
      </c>
      <c r="M341" s="73" t="s">
        <v>260</v>
      </c>
      <c r="N341" s="73" t="s">
        <v>34</v>
      </c>
      <c r="O341" s="50">
        <v>8</v>
      </c>
      <c r="P341" s="50"/>
      <c r="Q341" s="50"/>
      <c r="R341" s="24"/>
      <c r="T341" s="5"/>
      <c r="U341" s="5"/>
    </row>
    <row r="342" spans="1:21" ht="18.75" x14ac:dyDescent="0.25">
      <c r="A342" s="20"/>
      <c r="B342" s="25"/>
      <c r="C342" s="11"/>
      <c r="D342" s="49"/>
      <c r="E342" s="49"/>
      <c r="F342" s="80"/>
      <c r="G342" s="81"/>
      <c r="H342" s="81"/>
      <c r="I342" s="54"/>
      <c r="J342" s="54"/>
      <c r="K342" s="54"/>
      <c r="L342" s="72" t="s">
        <v>627</v>
      </c>
      <c r="M342" s="73" t="s">
        <v>628</v>
      </c>
      <c r="N342" s="73" t="s">
        <v>34</v>
      </c>
      <c r="O342" s="50">
        <v>36</v>
      </c>
      <c r="P342" s="50"/>
      <c r="Q342" s="50"/>
      <c r="R342" s="24"/>
      <c r="T342" s="5"/>
      <c r="U342" s="5"/>
    </row>
    <row r="343" spans="1:21" ht="18.75" x14ac:dyDescent="0.25">
      <c r="A343" s="20"/>
      <c r="B343" s="25"/>
      <c r="C343" s="11"/>
      <c r="D343" s="49"/>
      <c r="E343" s="49"/>
      <c r="F343" s="80"/>
      <c r="G343" s="81"/>
      <c r="H343" s="81"/>
      <c r="I343" s="54"/>
      <c r="J343" s="54"/>
      <c r="K343" s="54"/>
      <c r="L343" s="72" t="s">
        <v>629</v>
      </c>
      <c r="M343" s="73" t="s">
        <v>138</v>
      </c>
      <c r="N343" s="73" t="s">
        <v>34</v>
      </c>
      <c r="O343" s="50">
        <v>3</v>
      </c>
      <c r="P343" s="50"/>
      <c r="Q343" s="50"/>
      <c r="R343" s="24"/>
      <c r="T343" s="5"/>
      <c r="U343" s="5"/>
    </row>
    <row r="344" spans="1:21" ht="18.75" x14ac:dyDescent="0.25">
      <c r="A344" s="20"/>
      <c r="B344" s="25"/>
      <c r="C344" s="11"/>
      <c r="D344" s="49"/>
      <c r="E344" s="49"/>
      <c r="F344" s="80"/>
      <c r="G344" s="81"/>
      <c r="H344" s="81"/>
      <c r="I344" s="54"/>
      <c r="J344" s="54"/>
      <c r="K344" s="54"/>
      <c r="L344" s="72" t="s">
        <v>630</v>
      </c>
      <c r="M344" s="73" t="s">
        <v>631</v>
      </c>
      <c r="N344" s="73" t="s">
        <v>34</v>
      </c>
      <c r="O344" s="50">
        <v>4</v>
      </c>
      <c r="P344" s="50"/>
      <c r="Q344" s="50"/>
      <c r="R344" s="24"/>
      <c r="T344" s="5"/>
      <c r="U344" s="5"/>
    </row>
    <row r="345" spans="1:21" ht="18.75" x14ac:dyDescent="0.25">
      <c r="A345" s="20"/>
      <c r="B345" s="25"/>
      <c r="C345" s="11"/>
      <c r="D345" s="49"/>
      <c r="E345" s="49"/>
      <c r="F345" s="80"/>
      <c r="G345" s="81"/>
      <c r="H345" s="81"/>
      <c r="I345" s="54"/>
      <c r="J345" s="54"/>
      <c r="K345" s="54"/>
      <c r="L345" s="72" t="s">
        <v>632</v>
      </c>
      <c r="M345" s="73" t="s">
        <v>633</v>
      </c>
      <c r="N345" s="73" t="s">
        <v>34</v>
      </c>
      <c r="O345" s="50">
        <v>2</v>
      </c>
      <c r="P345" s="50"/>
      <c r="Q345" s="50"/>
      <c r="R345" s="24"/>
      <c r="T345" s="5"/>
      <c r="U345" s="5"/>
    </row>
    <row r="346" spans="1:21" ht="18.75" x14ac:dyDescent="0.25">
      <c r="A346" s="20"/>
      <c r="B346" s="25"/>
      <c r="C346" s="11"/>
      <c r="D346" s="49"/>
      <c r="E346" s="49"/>
      <c r="F346" s="80"/>
      <c r="G346" s="81"/>
      <c r="H346" s="81"/>
      <c r="I346" s="54"/>
      <c r="J346" s="54"/>
      <c r="K346" s="54"/>
      <c r="L346" s="72" t="s">
        <v>634</v>
      </c>
      <c r="M346" s="73" t="s">
        <v>139</v>
      </c>
      <c r="N346" s="73" t="s">
        <v>34</v>
      </c>
      <c r="O346" s="50">
        <v>8</v>
      </c>
      <c r="P346" s="50"/>
      <c r="Q346" s="50"/>
      <c r="R346" s="24"/>
      <c r="T346" s="5"/>
      <c r="U346" s="5"/>
    </row>
    <row r="347" spans="1:21" ht="18.75" x14ac:dyDescent="0.25">
      <c r="A347" s="20"/>
      <c r="B347" s="25"/>
      <c r="C347" s="11"/>
      <c r="D347" s="49"/>
      <c r="E347" s="49"/>
      <c r="F347" s="80"/>
      <c r="G347" s="81"/>
      <c r="H347" s="81"/>
      <c r="I347" s="54"/>
      <c r="J347" s="54"/>
      <c r="K347" s="54"/>
      <c r="L347" s="72" t="s">
        <v>140</v>
      </c>
      <c r="M347" s="73" t="s">
        <v>141</v>
      </c>
      <c r="N347" s="73" t="s">
        <v>34</v>
      </c>
      <c r="O347" s="50">
        <v>5</v>
      </c>
      <c r="P347" s="50"/>
      <c r="Q347" s="50"/>
      <c r="R347" s="24"/>
      <c r="T347" s="5"/>
      <c r="U347" s="5"/>
    </row>
    <row r="348" spans="1:21" ht="18.75" x14ac:dyDescent="0.25">
      <c r="A348" s="20"/>
      <c r="B348" s="25"/>
      <c r="C348" s="11"/>
      <c r="D348" s="49"/>
      <c r="E348" s="49"/>
      <c r="F348" s="80"/>
      <c r="G348" s="81"/>
      <c r="H348" s="81"/>
      <c r="I348" s="54"/>
      <c r="J348" s="54"/>
      <c r="K348" s="54"/>
      <c r="L348" s="72" t="s">
        <v>635</v>
      </c>
      <c r="M348" s="73" t="s">
        <v>142</v>
      </c>
      <c r="N348" s="73" t="s">
        <v>34</v>
      </c>
      <c r="O348" s="50">
        <v>8</v>
      </c>
      <c r="P348" s="50"/>
      <c r="Q348" s="50"/>
      <c r="R348" s="24"/>
      <c r="T348" s="5"/>
      <c r="U348" s="5"/>
    </row>
    <row r="349" spans="1:21" ht="18.75" x14ac:dyDescent="0.25">
      <c r="A349" s="20"/>
      <c r="B349" s="25"/>
      <c r="C349" s="11"/>
      <c r="D349" s="49"/>
      <c r="E349" s="49"/>
      <c r="F349" s="80"/>
      <c r="G349" s="81"/>
      <c r="H349" s="81"/>
      <c r="I349" s="54"/>
      <c r="J349" s="54"/>
      <c r="K349" s="54"/>
      <c r="L349" s="72" t="s">
        <v>636</v>
      </c>
      <c r="M349" s="73" t="s">
        <v>637</v>
      </c>
      <c r="N349" s="73" t="s">
        <v>34</v>
      </c>
      <c r="O349" s="50">
        <v>2</v>
      </c>
      <c r="P349" s="50"/>
      <c r="Q349" s="50"/>
      <c r="R349" s="24"/>
      <c r="T349" s="5"/>
      <c r="U349" s="5"/>
    </row>
    <row r="350" spans="1:21" ht="18.75" x14ac:dyDescent="0.25">
      <c r="A350" s="20"/>
      <c r="B350" s="25"/>
      <c r="C350" s="11"/>
      <c r="D350" s="49"/>
      <c r="E350" s="49"/>
      <c r="F350" s="80"/>
      <c r="G350" s="81"/>
      <c r="H350" s="81"/>
      <c r="I350" s="54"/>
      <c r="J350" s="54"/>
      <c r="K350" s="54"/>
      <c r="L350" s="72" t="s">
        <v>638</v>
      </c>
      <c r="M350" s="73" t="s">
        <v>639</v>
      </c>
      <c r="N350" s="73" t="s">
        <v>64</v>
      </c>
      <c r="O350" s="50">
        <v>3</v>
      </c>
      <c r="P350" s="50"/>
      <c r="Q350" s="50"/>
      <c r="R350" s="24"/>
      <c r="T350" s="5"/>
      <c r="U350" s="5"/>
    </row>
    <row r="351" spans="1:21" ht="18.75" x14ac:dyDescent="0.25">
      <c r="A351" s="20"/>
      <c r="B351" s="25"/>
      <c r="C351" s="11"/>
      <c r="D351" s="49"/>
      <c r="E351" s="49"/>
      <c r="F351" s="80"/>
      <c r="G351" s="81"/>
      <c r="H351" s="81"/>
      <c r="I351" s="54"/>
      <c r="J351" s="54"/>
      <c r="K351" s="54"/>
      <c r="L351" s="72" t="s">
        <v>261</v>
      </c>
      <c r="M351" s="73" t="s">
        <v>262</v>
      </c>
      <c r="N351" s="73" t="s">
        <v>34</v>
      </c>
      <c r="O351" s="50">
        <v>1</v>
      </c>
      <c r="P351" s="50"/>
      <c r="Q351" s="50"/>
      <c r="R351" s="24"/>
      <c r="T351" s="5"/>
      <c r="U351" s="5"/>
    </row>
    <row r="352" spans="1:21" ht="18.75" x14ac:dyDescent="0.25">
      <c r="A352" s="20"/>
      <c r="B352" s="25"/>
      <c r="C352" s="11"/>
      <c r="D352" s="49"/>
      <c r="E352" s="49"/>
      <c r="F352" s="80"/>
      <c r="G352" s="81"/>
      <c r="H352" s="81"/>
      <c r="I352" s="54"/>
      <c r="J352" s="54"/>
      <c r="K352" s="54"/>
      <c r="L352" s="72" t="s">
        <v>640</v>
      </c>
      <c r="M352" s="73" t="s">
        <v>641</v>
      </c>
      <c r="N352" s="73" t="s">
        <v>34</v>
      </c>
      <c r="O352" s="50">
        <v>2</v>
      </c>
      <c r="P352" s="50"/>
      <c r="Q352" s="50"/>
      <c r="R352" s="24"/>
      <c r="T352" s="5"/>
      <c r="U352" s="5"/>
    </row>
    <row r="353" spans="1:21" ht="18.75" x14ac:dyDescent="0.25">
      <c r="A353" s="20"/>
      <c r="B353" s="25"/>
      <c r="C353" s="11"/>
      <c r="D353" s="49"/>
      <c r="E353" s="49"/>
      <c r="F353" s="80"/>
      <c r="G353" s="81"/>
      <c r="H353" s="81"/>
      <c r="I353" s="54"/>
      <c r="J353" s="54"/>
      <c r="K353" s="54"/>
      <c r="L353" s="72" t="s">
        <v>642</v>
      </c>
      <c r="M353" s="73" t="s">
        <v>643</v>
      </c>
      <c r="N353" s="73" t="s">
        <v>34</v>
      </c>
      <c r="O353" s="50">
        <v>1</v>
      </c>
      <c r="P353" s="50"/>
      <c r="Q353" s="50"/>
      <c r="R353" s="24"/>
      <c r="T353" s="5"/>
      <c r="U353" s="5"/>
    </row>
    <row r="354" spans="1:21" ht="18.75" x14ac:dyDescent="0.25">
      <c r="A354" s="20"/>
      <c r="B354" s="25"/>
      <c r="C354" s="11"/>
      <c r="D354" s="49"/>
      <c r="E354" s="49"/>
      <c r="F354" s="80"/>
      <c r="G354" s="81"/>
      <c r="H354" s="81"/>
      <c r="I354" s="54"/>
      <c r="J354" s="54"/>
      <c r="K354" s="54"/>
      <c r="L354" s="72" t="s">
        <v>143</v>
      </c>
      <c r="M354" s="73" t="s">
        <v>144</v>
      </c>
      <c r="N354" s="73" t="s">
        <v>34</v>
      </c>
      <c r="O354" s="50">
        <v>4</v>
      </c>
      <c r="P354" s="50"/>
      <c r="Q354" s="50"/>
      <c r="R354" s="24"/>
      <c r="T354" s="5"/>
      <c r="U354" s="5"/>
    </row>
    <row r="355" spans="1:21" ht="18.75" x14ac:dyDescent="0.25">
      <c r="A355" s="20"/>
      <c r="B355" s="25"/>
      <c r="C355" s="11"/>
      <c r="D355" s="49"/>
      <c r="E355" s="49"/>
      <c r="F355" s="80"/>
      <c r="G355" s="81"/>
      <c r="H355" s="81"/>
      <c r="I355" s="54"/>
      <c r="J355" s="54"/>
      <c r="K355" s="54"/>
      <c r="L355" s="72" t="s">
        <v>263</v>
      </c>
      <c r="M355" s="73" t="s">
        <v>264</v>
      </c>
      <c r="N355" s="73" t="s">
        <v>34</v>
      </c>
      <c r="O355" s="50">
        <v>7</v>
      </c>
      <c r="P355" s="50"/>
      <c r="Q355" s="50"/>
      <c r="R355" s="24"/>
      <c r="T355" s="5"/>
      <c r="U355" s="5"/>
    </row>
    <row r="356" spans="1:21" ht="18.75" x14ac:dyDescent="0.25">
      <c r="A356" s="20"/>
      <c r="B356" s="25"/>
      <c r="C356" s="11"/>
      <c r="D356" s="49"/>
      <c r="E356" s="49"/>
      <c r="F356" s="80"/>
      <c r="G356" s="81"/>
      <c r="H356" s="81"/>
      <c r="I356" s="54"/>
      <c r="J356" s="54"/>
      <c r="K356" s="54"/>
      <c r="L356" s="72" t="s">
        <v>644</v>
      </c>
      <c r="M356" s="73" t="s">
        <v>645</v>
      </c>
      <c r="N356" s="73" t="s">
        <v>34</v>
      </c>
      <c r="O356" s="50">
        <v>2</v>
      </c>
      <c r="P356" s="50"/>
      <c r="Q356" s="50"/>
      <c r="R356" s="24"/>
      <c r="T356" s="5"/>
      <c r="U356" s="5"/>
    </row>
    <row r="357" spans="1:21" ht="18.75" x14ac:dyDescent="0.25">
      <c r="A357" s="20"/>
      <c r="B357" s="25"/>
      <c r="C357" s="11"/>
      <c r="D357" s="49"/>
      <c r="E357" s="49"/>
      <c r="F357" s="80"/>
      <c r="G357" s="81"/>
      <c r="H357" s="81"/>
      <c r="I357" s="54"/>
      <c r="J357" s="54"/>
      <c r="K357" s="54"/>
      <c r="L357" s="72" t="s">
        <v>646</v>
      </c>
      <c r="M357" s="73" t="s">
        <v>647</v>
      </c>
      <c r="N357" s="73" t="s">
        <v>34</v>
      </c>
      <c r="O357" s="50">
        <v>4</v>
      </c>
      <c r="P357" s="50"/>
      <c r="Q357" s="50"/>
      <c r="R357" s="24"/>
      <c r="T357" s="5"/>
      <c r="U357" s="5"/>
    </row>
    <row r="358" spans="1:21" ht="18.75" x14ac:dyDescent="0.25">
      <c r="A358" s="20"/>
      <c r="B358" s="25"/>
      <c r="C358" s="11"/>
      <c r="D358" s="49"/>
      <c r="E358" s="49"/>
      <c r="F358" s="80"/>
      <c r="G358" s="81"/>
      <c r="H358" s="81"/>
      <c r="I358" s="54"/>
      <c r="J358" s="54"/>
      <c r="K358" s="54"/>
      <c r="L358" s="72" t="s">
        <v>648</v>
      </c>
      <c r="M358" s="73" t="s">
        <v>145</v>
      </c>
      <c r="N358" s="73" t="s">
        <v>37</v>
      </c>
      <c r="O358" s="50">
        <v>400</v>
      </c>
      <c r="P358" s="50"/>
      <c r="Q358" s="50"/>
      <c r="R358" s="24"/>
      <c r="T358" s="5"/>
      <c r="U358" s="5"/>
    </row>
    <row r="359" spans="1:21" ht="18.75" x14ac:dyDescent="0.25">
      <c r="A359" s="20"/>
      <c r="B359" s="25"/>
      <c r="C359" s="11"/>
      <c r="D359" s="49"/>
      <c r="E359" s="49"/>
      <c r="F359" s="80"/>
      <c r="G359" s="81"/>
      <c r="H359" s="81"/>
      <c r="I359" s="54"/>
      <c r="J359" s="54"/>
      <c r="K359" s="54"/>
      <c r="L359" s="72" t="s">
        <v>649</v>
      </c>
      <c r="M359" s="73" t="s">
        <v>650</v>
      </c>
      <c r="N359" s="73" t="s">
        <v>34</v>
      </c>
      <c r="O359" s="50">
        <v>10</v>
      </c>
      <c r="P359" s="50"/>
      <c r="Q359" s="50"/>
      <c r="R359" s="24"/>
      <c r="T359" s="5"/>
      <c r="U359" s="5"/>
    </row>
    <row r="360" spans="1:21" ht="18.75" x14ac:dyDescent="0.25">
      <c r="A360" s="20"/>
      <c r="B360" s="25"/>
      <c r="C360" s="11"/>
      <c r="D360" s="49"/>
      <c r="E360" s="49"/>
      <c r="F360" s="80"/>
      <c r="G360" s="81"/>
      <c r="H360" s="81"/>
      <c r="I360" s="54"/>
      <c r="J360" s="54"/>
      <c r="K360" s="54"/>
      <c r="L360" s="72" t="s">
        <v>651</v>
      </c>
      <c r="M360" s="73" t="s">
        <v>652</v>
      </c>
      <c r="N360" s="73" t="s">
        <v>34</v>
      </c>
      <c r="O360" s="50">
        <v>10</v>
      </c>
      <c r="P360" s="50"/>
      <c r="Q360" s="50"/>
      <c r="R360" s="24"/>
      <c r="T360" s="5"/>
      <c r="U360" s="5"/>
    </row>
    <row r="361" spans="1:21" ht="18.75" x14ac:dyDescent="0.25">
      <c r="A361" s="20"/>
      <c r="B361" s="25"/>
      <c r="C361" s="11"/>
      <c r="D361" s="49"/>
      <c r="E361" s="49"/>
      <c r="F361" s="80"/>
      <c r="G361" s="81"/>
      <c r="H361" s="81"/>
      <c r="I361" s="54"/>
      <c r="J361" s="54"/>
      <c r="K361" s="54"/>
      <c r="L361" s="72" t="s">
        <v>653</v>
      </c>
      <c r="M361" s="73" t="s">
        <v>146</v>
      </c>
      <c r="N361" s="73" t="s">
        <v>147</v>
      </c>
      <c r="O361" s="50">
        <v>17</v>
      </c>
      <c r="P361" s="50"/>
      <c r="Q361" s="50"/>
      <c r="R361" s="24"/>
      <c r="T361" s="5"/>
      <c r="U361" s="5"/>
    </row>
    <row r="362" spans="1:21" ht="18.75" x14ac:dyDescent="0.25">
      <c r="A362" s="20"/>
      <c r="B362" s="25"/>
      <c r="C362" s="11"/>
      <c r="D362" s="49"/>
      <c r="E362" s="49"/>
      <c r="F362" s="80"/>
      <c r="G362" s="81"/>
      <c r="H362" s="81"/>
      <c r="I362" s="54"/>
      <c r="J362" s="54"/>
      <c r="K362" s="54"/>
      <c r="L362" s="72" t="s">
        <v>654</v>
      </c>
      <c r="M362" s="73" t="s">
        <v>148</v>
      </c>
      <c r="N362" s="73" t="s">
        <v>147</v>
      </c>
      <c r="O362" s="50">
        <v>99</v>
      </c>
      <c r="P362" s="50"/>
      <c r="Q362" s="50"/>
      <c r="R362" s="24"/>
      <c r="T362" s="5"/>
      <c r="U362" s="5"/>
    </row>
    <row r="363" spans="1:21" ht="18.75" x14ac:dyDescent="0.25">
      <c r="A363" s="20"/>
      <c r="B363" s="25"/>
      <c r="C363" s="11"/>
      <c r="D363" s="49"/>
      <c r="E363" s="49"/>
      <c r="F363" s="80"/>
      <c r="G363" s="81"/>
      <c r="H363" s="81"/>
      <c r="I363" s="54"/>
      <c r="J363" s="54"/>
      <c r="K363" s="54"/>
      <c r="L363" s="72" t="s">
        <v>655</v>
      </c>
      <c r="M363" s="73" t="s">
        <v>149</v>
      </c>
      <c r="N363" s="73" t="s">
        <v>34</v>
      </c>
      <c r="O363" s="50">
        <v>29</v>
      </c>
      <c r="P363" s="50"/>
      <c r="Q363" s="50"/>
      <c r="R363" s="24"/>
      <c r="T363" s="5"/>
      <c r="U363" s="5"/>
    </row>
    <row r="364" spans="1:21" ht="18.75" x14ac:dyDescent="0.25">
      <c r="A364" s="20"/>
      <c r="B364" s="25"/>
      <c r="C364" s="11"/>
      <c r="D364" s="49"/>
      <c r="E364" s="49"/>
      <c r="F364" s="80"/>
      <c r="G364" s="81"/>
      <c r="H364" s="81"/>
      <c r="I364" s="54"/>
      <c r="J364" s="54"/>
      <c r="K364" s="54"/>
      <c r="L364" s="72" t="s">
        <v>656</v>
      </c>
      <c r="M364" s="73" t="s">
        <v>657</v>
      </c>
      <c r="N364" s="73" t="s">
        <v>34</v>
      </c>
      <c r="O364" s="50">
        <v>8</v>
      </c>
      <c r="P364" s="50"/>
      <c r="Q364" s="50"/>
      <c r="R364" s="24"/>
      <c r="T364" s="5"/>
      <c r="U364" s="5"/>
    </row>
    <row r="365" spans="1:21" ht="18.75" x14ac:dyDescent="0.25">
      <c r="A365" s="20"/>
      <c r="B365" s="25"/>
      <c r="C365" s="11"/>
      <c r="D365" s="49"/>
      <c r="E365" s="49"/>
      <c r="F365" s="80"/>
      <c r="G365" s="81"/>
      <c r="H365" s="81"/>
      <c r="I365" s="54"/>
      <c r="J365" s="54"/>
      <c r="K365" s="54"/>
      <c r="L365" s="72" t="s">
        <v>658</v>
      </c>
      <c r="M365" s="73" t="s">
        <v>659</v>
      </c>
      <c r="N365" s="73" t="s">
        <v>34</v>
      </c>
      <c r="O365" s="50">
        <v>10</v>
      </c>
      <c r="P365" s="50"/>
      <c r="Q365" s="50"/>
      <c r="R365" s="24"/>
      <c r="T365" s="5"/>
      <c r="U365" s="5"/>
    </row>
    <row r="366" spans="1:21" ht="18.75" x14ac:dyDescent="0.25">
      <c r="A366" s="20"/>
      <c r="B366" s="25"/>
      <c r="C366" s="11"/>
      <c r="D366" s="49"/>
      <c r="E366" s="49"/>
      <c r="F366" s="80"/>
      <c r="G366" s="81"/>
      <c r="H366" s="81"/>
      <c r="I366" s="54"/>
      <c r="J366" s="54"/>
      <c r="K366" s="54"/>
      <c r="L366" s="72" t="s">
        <v>660</v>
      </c>
      <c r="M366" s="73" t="s">
        <v>661</v>
      </c>
      <c r="N366" s="73" t="s">
        <v>147</v>
      </c>
      <c r="O366" s="50">
        <v>2</v>
      </c>
      <c r="P366" s="50"/>
      <c r="Q366" s="50"/>
      <c r="R366" s="24"/>
      <c r="T366" s="5"/>
      <c r="U366" s="5"/>
    </row>
    <row r="367" spans="1:21" ht="18.75" x14ac:dyDescent="0.25">
      <c r="A367" s="20"/>
      <c r="B367" s="25"/>
      <c r="C367" s="11"/>
      <c r="D367" s="49"/>
      <c r="E367" s="49"/>
      <c r="F367" s="80"/>
      <c r="G367" s="81"/>
      <c r="H367" s="81"/>
      <c r="I367" s="54"/>
      <c r="J367" s="54"/>
      <c r="K367" s="54"/>
      <c r="L367" s="72" t="s">
        <v>150</v>
      </c>
      <c r="M367" s="73" t="s">
        <v>662</v>
      </c>
      <c r="N367" s="73" t="s">
        <v>34</v>
      </c>
      <c r="O367" s="50">
        <v>5</v>
      </c>
      <c r="P367" s="50"/>
      <c r="Q367" s="50"/>
      <c r="R367" s="24"/>
      <c r="T367" s="5"/>
      <c r="U367" s="5"/>
    </row>
    <row r="368" spans="1:21" ht="18.75" x14ac:dyDescent="0.25">
      <c r="A368" s="20"/>
      <c r="B368" s="25"/>
      <c r="C368" s="11"/>
      <c r="D368" s="49"/>
      <c r="E368" s="49"/>
      <c r="F368" s="80"/>
      <c r="G368" s="81"/>
      <c r="H368" s="81"/>
      <c r="I368" s="54"/>
      <c r="J368" s="54"/>
      <c r="K368" s="54"/>
      <c r="L368" s="72" t="s">
        <v>663</v>
      </c>
      <c r="M368" s="73" t="s">
        <v>151</v>
      </c>
      <c r="N368" s="73" t="s">
        <v>34</v>
      </c>
      <c r="O368" s="50">
        <v>9</v>
      </c>
      <c r="P368" s="50"/>
      <c r="Q368" s="50"/>
      <c r="R368" s="24"/>
      <c r="T368" s="5"/>
      <c r="U368" s="5"/>
    </row>
    <row r="369" spans="1:21" ht="18.75" x14ac:dyDescent="0.25">
      <c r="A369" s="20"/>
      <c r="B369" s="25"/>
      <c r="C369" s="11"/>
      <c r="D369" s="49"/>
      <c r="E369" s="49"/>
      <c r="F369" s="80"/>
      <c r="G369" s="81"/>
      <c r="H369" s="81"/>
      <c r="I369" s="54"/>
      <c r="J369" s="54"/>
      <c r="K369" s="54"/>
      <c r="L369" s="72" t="s">
        <v>664</v>
      </c>
      <c r="M369" s="73" t="s">
        <v>665</v>
      </c>
      <c r="N369" s="73" t="s">
        <v>34</v>
      </c>
      <c r="O369" s="50">
        <v>1</v>
      </c>
      <c r="P369" s="50"/>
      <c r="Q369" s="50"/>
      <c r="R369" s="24"/>
      <c r="T369" s="5"/>
      <c r="U369" s="5"/>
    </row>
    <row r="370" spans="1:21" ht="18.75" x14ac:dyDescent="0.25">
      <c r="A370" s="20"/>
      <c r="B370" s="25"/>
      <c r="C370" s="11"/>
      <c r="D370" s="49"/>
      <c r="E370" s="49"/>
      <c r="F370" s="80"/>
      <c r="G370" s="81"/>
      <c r="H370" s="81"/>
      <c r="I370" s="54"/>
      <c r="J370" s="54"/>
      <c r="K370" s="54"/>
      <c r="L370" s="72" t="s">
        <v>666</v>
      </c>
      <c r="M370" s="73" t="s">
        <v>667</v>
      </c>
      <c r="N370" s="73" t="s">
        <v>34</v>
      </c>
      <c r="O370" s="50">
        <v>1</v>
      </c>
      <c r="P370" s="50"/>
      <c r="Q370" s="50"/>
      <c r="R370" s="24"/>
      <c r="T370" s="5"/>
      <c r="U370" s="5"/>
    </row>
    <row r="371" spans="1:21" ht="18.75" x14ac:dyDescent="0.25">
      <c r="A371" s="20"/>
      <c r="B371" s="25"/>
      <c r="C371" s="11"/>
      <c r="D371" s="49"/>
      <c r="E371" s="49"/>
      <c r="F371" s="80"/>
      <c r="G371" s="81"/>
      <c r="H371" s="81"/>
      <c r="I371" s="54"/>
      <c r="J371" s="54"/>
      <c r="K371" s="54"/>
      <c r="L371" s="72" t="s">
        <v>668</v>
      </c>
      <c r="M371" s="73" t="s">
        <v>669</v>
      </c>
      <c r="N371" s="73" t="s">
        <v>34</v>
      </c>
      <c r="O371" s="50">
        <v>1</v>
      </c>
      <c r="P371" s="50"/>
      <c r="Q371" s="50"/>
      <c r="R371" s="24"/>
      <c r="T371" s="5"/>
      <c r="U371" s="5"/>
    </row>
    <row r="372" spans="1:21" ht="18.75" x14ac:dyDescent="0.25">
      <c r="A372" s="20"/>
      <c r="B372" s="25"/>
      <c r="C372" s="11"/>
      <c r="D372" s="49"/>
      <c r="E372" s="49"/>
      <c r="F372" s="80"/>
      <c r="G372" s="81"/>
      <c r="H372" s="81"/>
      <c r="I372" s="54"/>
      <c r="J372" s="54"/>
      <c r="K372" s="54"/>
      <c r="L372" s="72" t="s">
        <v>670</v>
      </c>
      <c r="M372" s="73" t="s">
        <v>671</v>
      </c>
      <c r="N372" s="73" t="s">
        <v>34</v>
      </c>
      <c r="O372" s="50">
        <v>10</v>
      </c>
      <c r="P372" s="50"/>
      <c r="Q372" s="50"/>
      <c r="R372" s="24"/>
      <c r="T372" s="5"/>
      <c r="U372" s="5"/>
    </row>
    <row r="373" spans="1:21" ht="18.75" x14ac:dyDescent="0.25">
      <c r="A373" s="20"/>
      <c r="B373" s="25"/>
      <c r="C373" s="11"/>
      <c r="D373" s="49"/>
      <c r="E373" s="49"/>
      <c r="F373" s="80"/>
      <c r="G373" s="81"/>
      <c r="H373" s="81"/>
      <c r="I373" s="54"/>
      <c r="J373" s="54"/>
      <c r="K373" s="54"/>
      <c r="L373" s="72" t="s">
        <v>672</v>
      </c>
      <c r="M373" s="73" t="s">
        <v>673</v>
      </c>
      <c r="N373" s="73" t="s">
        <v>34</v>
      </c>
      <c r="O373" s="50">
        <v>24</v>
      </c>
      <c r="P373" s="50"/>
      <c r="Q373" s="50"/>
      <c r="R373" s="24"/>
      <c r="T373" s="5"/>
      <c r="U373" s="5"/>
    </row>
    <row r="374" spans="1:21" ht="18.75" x14ac:dyDescent="0.25">
      <c r="A374" s="20"/>
      <c r="B374" s="25"/>
      <c r="C374" s="11"/>
      <c r="D374" s="49"/>
      <c r="E374" s="49"/>
      <c r="F374" s="80"/>
      <c r="G374" s="81"/>
      <c r="H374" s="81"/>
      <c r="I374" s="54"/>
      <c r="J374" s="54"/>
      <c r="K374" s="54"/>
      <c r="L374" s="72" t="s">
        <v>674</v>
      </c>
      <c r="M374" s="73" t="s">
        <v>675</v>
      </c>
      <c r="N374" s="73" t="s">
        <v>34</v>
      </c>
      <c r="O374" s="50">
        <v>10</v>
      </c>
      <c r="P374" s="50"/>
      <c r="Q374" s="50"/>
      <c r="R374" s="24"/>
      <c r="T374" s="5"/>
      <c r="U374" s="5"/>
    </row>
    <row r="375" spans="1:21" ht="18.75" x14ac:dyDescent="0.25">
      <c r="A375" s="20"/>
      <c r="B375" s="25"/>
      <c r="C375" s="11"/>
      <c r="D375" s="49"/>
      <c r="E375" s="49"/>
      <c r="F375" s="80"/>
      <c r="G375" s="81"/>
      <c r="H375" s="81"/>
      <c r="I375" s="54"/>
      <c r="J375" s="54"/>
      <c r="K375" s="54"/>
      <c r="L375" s="72" t="s">
        <v>676</v>
      </c>
      <c r="M375" s="73" t="s">
        <v>152</v>
      </c>
      <c r="N375" s="73" t="s">
        <v>34</v>
      </c>
      <c r="O375" s="50">
        <v>20</v>
      </c>
      <c r="P375" s="50"/>
      <c r="Q375" s="50"/>
      <c r="R375" s="24"/>
      <c r="T375" s="5"/>
      <c r="U375" s="5"/>
    </row>
    <row r="376" spans="1:21" ht="18.75" x14ac:dyDescent="0.25">
      <c r="A376" s="20"/>
      <c r="B376" s="25"/>
      <c r="C376" s="11"/>
      <c r="D376" s="49"/>
      <c r="E376" s="49"/>
      <c r="F376" s="80"/>
      <c r="G376" s="81"/>
      <c r="H376" s="81"/>
      <c r="I376" s="54"/>
      <c r="J376" s="54"/>
      <c r="K376" s="54"/>
      <c r="L376" s="72" t="s">
        <v>677</v>
      </c>
      <c r="M376" s="73" t="s">
        <v>678</v>
      </c>
      <c r="N376" s="73" t="s">
        <v>34</v>
      </c>
      <c r="O376" s="50">
        <v>19</v>
      </c>
      <c r="P376" s="50"/>
      <c r="Q376" s="50"/>
      <c r="R376" s="24"/>
      <c r="T376" s="5"/>
      <c r="U376" s="5"/>
    </row>
    <row r="377" spans="1:21" ht="18.75" x14ac:dyDescent="0.25">
      <c r="A377" s="20"/>
      <c r="B377" s="25"/>
      <c r="C377" s="11"/>
      <c r="D377" s="49"/>
      <c r="E377" s="49"/>
      <c r="F377" s="80"/>
      <c r="G377" s="81"/>
      <c r="H377" s="81"/>
      <c r="I377" s="54"/>
      <c r="J377" s="54"/>
      <c r="K377" s="54"/>
      <c r="L377" s="72" t="s">
        <v>679</v>
      </c>
      <c r="M377" s="73" t="s">
        <v>680</v>
      </c>
      <c r="N377" s="73" t="s">
        <v>34</v>
      </c>
      <c r="O377" s="50">
        <v>5</v>
      </c>
      <c r="P377" s="50"/>
      <c r="Q377" s="50"/>
      <c r="R377" s="24"/>
      <c r="T377" s="5"/>
      <c r="U377" s="5"/>
    </row>
    <row r="378" spans="1:21" ht="18.75" x14ac:dyDescent="0.25">
      <c r="A378" s="20"/>
      <c r="B378" s="25"/>
      <c r="C378" s="11"/>
      <c r="D378" s="49"/>
      <c r="E378" s="49"/>
      <c r="F378" s="80"/>
      <c r="G378" s="81"/>
      <c r="H378" s="81"/>
      <c r="I378" s="54"/>
      <c r="J378" s="54"/>
      <c r="K378" s="54"/>
      <c r="L378" s="72" t="s">
        <v>153</v>
      </c>
      <c r="M378" s="73" t="s">
        <v>681</v>
      </c>
      <c r="N378" s="73" t="s">
        <v>34</v>
      </c>
      <c r="O378" s="50">
        <v>28</v>
      </c>
      <c r="P378" s="50"/>
      <c r="Q378" s="50"/>
      <c r="R378" s="24"/>
      <c r="T378" s="5"/>
      <c r="U378" s="5"/>
    </row>
    <row r="379" spans="1:21" ht="18.75" x14ac:dyDescent="0.25">
      <c r="A379" s="20"/>
      <c r="B379" s="25"/>
      <c r="C379" s="11"/>
      <c r="D379" s="49"/>
      <c r="E379" s="49"/>
      <c r="F379" s="80"/>
      <c r="G379" s="81"/>
      <c r="H379" s="81"/>
      <c r="I379" s="54"/>
      <c r="J379" s="54"/>
      <c r="K379" s="54"/>
      <c r="L379" s="72" t="s">
        <v>682</v>
      </c>
      <c r="M379" s="73" t="s">
        <v>683</v>
      </c>
      <c r="N379" s="73" t="s">
        <v>34</v>
      </c>
      <c r="O379" s="50">
        <v>10</v>
      </c>
      <c r="P379" s="50"/>
      <c r="Q379" s="50"/>
      <c r="R379" s="24"/>
      <c r="T379" s="5"/>
      <c r="U379" s="5"/>
    </row>
    <row r="380" spans="1:21" ht="18.75" x14ac:dyDescent="0.25">
      <c r="A380" s="20"/>
      <c r="B380" s="25"/>
      <c r="C380" s="11"/>
      <c r="D380" s="49"/>
      <c r="E380" s="49"/>
      <c r="F380" s="80"/>
      <c r="G380" s="81"/>
      <c r="H380" s="81"/>
      <c r="I380" s="54"/>
      <c r="J380" s="54"/>
      <c r="K380" s="54"/>
      <c r="L380" s="72" t="s">
        <v>684</v>
      </c>
      <c r="M380" s="73" t="s">
        <v>685</v>
      </c>
      <c r="N380" s="73" t="s">
        <v>34</v>
      </c>
      <c r="O380" s="50">
        <v>9</v>
      </c>
      <c r="P380" s="50"/>
      <c r="Q380" s="50"/>
      <c r="R380" s="24"/>
      <c r="T380" s="5"/>
      <c r="U380" s="5"/>
    </row>
    <row r="381" spans="1:21" ht="18.75" x14ac:dyDescent="0.25">
      <c r="A381" s="20"/>
      <c r="B381" s="25"/>
      <c r="C381" s="11"/>
      <c r="D381" s="49"/>
      <c r="E381" s="49"/>
      <c r="F381" s="80"/>
      <c r="G381" s="81"/>
      <c r="H381" s="81"/>
      <c r="I381" s="54"/>
      <c r="J381" s="54"/>
      <c r="K381" s="54"/>
      <c r="L381" s="72" t="s">
        <v>686</v>
      </c>
      <c r="M381" s="73" t="s">
        <v>687</v>
      </c>
      <c r="N381" s="73" t="s">
        <v>34</v>
      </c>
      <c r="O381" s="50">
        <v>1</v>
      </c>
      <c r="P381" s="50"/>
      <c r="Q381" s="50"/>
      <c r="R381" s="24"/>
      <c r="T381" s="5"/>
      <c r="U381" s="5"/>
    </row>
    <row r="382" spans="1:21" ht="18.75" x14ac:dyDescent="0.25">
      <c r="A382" s="20"/>
      <c r="B382" s="25"/>
      <c r="C382" s="11"/>
      <c r="D382" s="49"/>
      <c r="E382" s="49"/>
      <c r="F382" s="80"/>
      <c r="G382" s="81"/>
      <c r="H382" s="81"/>
      <c r="I382" s="54"/>
      <c r="J382" s="54"/>
      <c r="K382" s="54"/>
      <c r="L382" s="72" t="s">
        <v>688</v>
      </c>
      <c r="M382" s="73" t="s">
        <v>689</v>
      </c>
      <c r="N382" s="73" t="s">
        <v>34</v>
      </c>
      <c r="O382" s="50">
        <v>2</v>
      </c>
      <c r="P382" s="50"/>
      <c r="Q382" s="50"/>
      <c r="R382" s="24"/>
      <c r="T382" s="5"/>
      <c r="U382" s="5"/>
    </row>
    <row r="383" spans="1:21" ht="18.75" x14ac:dyDescent="0.25">
      <c r="A383" s="20"/>
      <c r="B383" s="25"/>
      <c r="C383" s="11"/>
      <c r="D383" s="49"/>
      <c r="E383" s="49"/>
      <c r="F383" s="80"/>
      <c r="G383" s="81"/>
      <c r="H383" s="81"/>
      <c r="I383" s="54"/>
      <c r="J383" s="54"/>
      <c r="K383" s="54"/>
      <c r="L383" s="72" t="s">
        <v>690</v>
      </c>
      <c r="M383" s="73" t="s">
        <v>691</v>
      </c>
      <c r="N383" s="73" t="s">
        <v>34</v>
      </c>
      <c r="O383" s="50">
        <v>2</v>
      </c>
      <c r="P383" s="50"/>
      <c r="Q383" s="50"/>
      <c r="R383" s="24"/>
      <c r="T383" s="5"/>
      <c r="U383" s="5"/>
    </row>
    <row r="384" spans="1:21" ht="18.75" x14ac:dyDescent="0.25">
      <c r="A384" s="20"/>
      <c r="B384" s="25"/>
      <c r="C384" s="11"/>
      <c r="D384" s="49"/>
      <c r="E384" s="49"/>
      <c r="F384" s="80"/>
      <c r="G384" s="81"/>
      <c r="H384" s="81"/>
      <c r="I384" s="54"/>
      <c r="J384" s="54"/>
      <c r="K384" s="54"/>
      <c r="L384" s="72" t="s">
        <v>692</v>
      </c>
      <c r="M384" s="73" t="s">
        <v>693</v>
      </c>
      <c r="N384" s="73" t="s">
        <v>34</v>
      </c>
      <c r="O384" s="50">
        <v>1</v>
      </c>
      <c r="P384" s="50"/>
      <c r="Q384" s="50"/>
      <c r="R384" s="24"/>
      <c r="T384" s="5"/>
      <c r="U384" s="5"/>
    </row>
    <row r="385" spans="1:21" ht="18.75" x14ac:dyDescent="0.25">
      <c r="A385" s="20"/>
      <c r="B385" s="25"/>
      <c r="C385" s="11"/>
      <c r="D385" s="49"/>
      <c r="E385" s="49"/>
      <c r="F385" s="80"/>
      <c r="G385" s="81"/>
      <c r="H385" s="81"/>
      <c r="I385" s="54"/>
      <c r="J385" s="54"/>
      <c r="K385" s="54"/>
      <c r="L385" s="72" t="s">
        <v>694</v>
      </c>
      <c r="M385" s="73" t="s">
        <v>695</v>
      </c>
      <c r="N385" s="73" t="s">
        <v>34</v>
      </c>
      <c r="O385" s="50">
        <v>2</v>
      </c>
      <c r="P385" s="50"/>
      <c r="Q385" s="50"/>
      <c r="R385" s="24"/>
      <c r="T385" s="5"/>
      <c r="U385" s="5"/>
    </row>
    <row r="386" spans="1:21" ht="18.75" x14ac:dyDescent="0.25">
      <c r="A386" s="20"/>
      <c r="B386" s="25"/>
      <c r="C386" s="11"/>
      <c r="D386" s="49"/>
      <c r="E386" s="49"/>
      <c r="F386" s="80"/>
      <c r="G386" s="81"/>
      <c r="H386" s="81"/>
      <c r="I386" s="54"/>
      <c r="J386" s="54"/>
      <c r="K386" s="54"/>
      <c r="L386" s="72" t="s">
        <v>696</v>
      </c>
      <c r="M386" s="73" t="s">
        <v>697</v>
      </c>
      <c r="N386" s="73" t="s">
        <v>34</v>
      </c>
      <c r="O386" s="50">
        <v>2</v>
      </c>
      <c r="P386" s="50"/>
      <c r="Q386" s="50"/>
      <c r="R386" s="24"/>
      <c r="T386" s="5"/>
      <c r="U386" s="5"/>
    </row>
    <row r="387" spans="1:21" ht="18.75" x14ac:dyDescent="0.25">
      <c r="A387" s="20"/>
      <c r="B387" s="25"/>
      <c r="C387" s="11"/>
      <c r="D387" s="49"/>
      <c r="E387" s="49"/>
      <c r="F387" s="80"/>
      <c r="G387" s="81"/>
      <c r="H387" s="81"/>
      <c r="I387" s="54"/>
      <c r="J387" s="54"/>
      <c r="K387" s="54"/>
      <c r="L387" s="72" t="s">
        <v>698</v>
      </c>
      <c r="M387" s="73" t="s">
        <v>97</v>
      </c>
      <c r="N387" s="73" t="s">
        <v>34</v>
      </c>
      <c r="O387" s="50">
        <v>43</v>
      </c>
      <c r="P387" s="50"/>
      <c r="Q387" s="50"/>
      <c r="R387" s="24"/>
      <c r="T387" s="5"/>
      <c r="U387" s="5"/>
    </row>
    <row r="388" spans="1:21" ht="18.75" x14ac:dyDescent="0.25">
      <c r="A388" s="20"/>
      <c r="B388" s="25"/>
      <c r="C388" s="11"/>
      <c r="D388" s="49"/>
      <c r="E388" s="49"/>
      <c r="F388" s="80"/>
      <c r="G388" s="81"/>
      <c r="H388" s="81"/>
      <c r="I388" s="54"/>
      <c r="J388" s="54"/>
      <c r="K388" s="54"/>
      <c r="L388" s="72" t="s">
        <v>699</v>
      </c>
      <c r="M388" s="73" t="s">
        <v>700</v>
      </c>
      <c r="N388" s="73" t="s">
        <v>34</v>
      </c>
      <c r="O388" s="50">
        <v>3</v>
      </c>
      <c r="P388" s="50"/>
      <c r="Q388" s="50"/>
      <c r="R388" s="24"/>
      <c r="T388" s="5"/>
      <c r="U388" s="5"/>
    </row>
    <row r="389" spans="1:21" ht="18.75" x14ac:dyDescent="0.25">
      <c r="A389" s="20"/>
      <c r="B389" s="25"/>
      <c r="C389" s="11"/>
      <c r="D389" s="49"/>
      <c r="E389" s="49"/>
      <c r="F389" s="80"/>
      <c r="G389" s="81"/>
      <c r="H389" s="81"/>
      <c r="I389" s="54"/>
      <c r="J389" s="54"/>
      <c r="K389" s="54"/>
      <c r="L389" s="72" t="s">
        <v>701</v>
      </c>
      <c r="M389" s="73" t="s">
        <v>702</v>
      </c>
      <c r="N389" s="73" t="s">
        <v>34</v>
      </c>
      <c r="O389" s="50">
        <v>2</v>
      </c>
      <c r="P389" s="50"/>
      <c r="Q389" s="50"/>
      <c r="R389" s="24"/>
      <c r="T389" s="5"/>
      <c r="U389" s="5"/>
    </row>
    <row r="390" spans="1:21" ht="18.75" x14ac:dyDescent="0.25">
      <c r="A390" s="20"/>
      <c r="B390" s="25"/>
      <c r="C390" s="11"/>
      <c r="D390" s="49"/>
      <c r="E390" s="49"/>
      <c r="F390" s="80"/>
      <c r="G390" s="81"/>
      <c r="H390" s="81"/>
      <c r="I390" s="54"/>
      <c r="J390" s="54"/>
      <c r="K390" s="54"/>
      <c r="L390" s="72" t="s">
        <v>703</v>
      </c>
      <c r="M390" s="73" t="s">
        <v>704</v>
      </c>
      <c r="N390" s="73" t="s">
        <v>34</v>
      </c>
      <c r="O390" s="50">
        <v>2</v>
      </c>
      <c r="P390" s="50"/>
      <c r="Q390" s="50"/>
      <c r="R390" s="24"/>
      <c r="T390" s="5"/>
      <c r="U390" s="5"/>
    </row>
    <row r="391" spans="1:21" ht="18.75" x14ac:dyDescent="0.25">
      <c r="A391" s="20"/>
      <c r="B391" s="25"/>
      <c r="C391" s="11"/>
      <c r="D391" s="49"/>
      <c r="E391" s="49"/>
      <c r="F391" s="80"/>
      <c r="G391" s="81"/>
      <c r="H391" s="81"/>
      <c r="I391" s="54"/>
      <c r="J391" s="54"/>
      <c r="K391" s="54"/>
      <c r="L391" s="72" t="s">
        <v>705</v>
      </c>
      <c r="M391" s="73" t="s">
        <v>154</v>
      </c>
      <c r="N391" s="73" t="s">
        <v>34</v>
      </c>
      <c r="O391" s="50">
        <v>1</v>
      </c>
      <c r="P391" s="50"/>
      <c r="Q391" s="50"/>
      <c r="R391" s="24"/>
      <c r="T391" s="5"/>
      <c r="U391" s="5"/>
    </row>
    <row r="392" spans="1:21" ht="18.75" x14ac:dyDescent="0.25">
      <c r="A392" s="20"/>
      <c r="B392" s="25"/>
      <c r="C392" s="11"/>
      <c r="D392" s="49"/>
      <c r="E392" s="49"/>
      <c r="F392" s="80"/>
      <c r="G392" s="81"/>
      <c r="H392" s="81"/>
      <c r="I392" s="54"/>
      <c r="J392" s="54"/>
      <c r="K392" s="54"/>
      <c r="L392" s="72" t="s">
        <v>706</v>
      </c>
      <c r="M392" s="73" t="s">
        <v>155</v>
      </c>
      <c r="N392" s="73" t="s">
        <v>34</v>
      </c>
      <c r="O392" s="50">
        <v>15</v>
      </c>
      <c r="P392" s="50"/>
      <c r="Q392" s="50"/>
      <c r="R392" s="24"/>
      <c r="T392" s="5"/>
      <c r="U392" s="5"/>
    </row>
    <row r="393" spans="1:21" ht="18.75" x14ac:dyDescent="0.25">
      <c r="A393" s="20"/>
      <c r="B393" s="25"/>
      <c r="C393" s="11"/>
      <c r="D393" s="49"/>
      <c r="E393" s="49"/>
      <c r="F393" s="80"/>
      <c r="G393" s="81"/>
      <c r="H393" s="81"/>
      <c r="I393" s="54"/>
      <c r="J393" s="54"/>
      <c r="K393" s="54"/>
      <c r="L393" s="72" t="s">
        <v>265</v>
      </c>
      <c r="M393" s="73" t="s">
        <v>266</v>
      </c>
      <c r="N393" s="73" t="s">
        <v>34</v>
      </c>
      <c r="O393" s="50">
        <v>1</v>
      </c>
      <c r="P393" s="50"/>
      <c r="Q393" s="50"/>
      <c r="R393" s="24"/>
      <c r="T393" s="5"/>
      <c r="U393" s="5"/>
    </row>
    <row r="394" spans="1:21" ht="18.75" x14ac:dyDescent="0.25">
      <c r="A394" s="20"/>
      <c r="B394" s="25"/>
      <c r="C394" s="11"/>
      <c r="D394" s="49"/>
      <c r="E394" s="49"/>
      <c r="F394" s="80"/>
      <c r="G394" s="81"/>
      <c r="H394" s="81"/>
      <c r="I394" s="54"/>
      <c r="J394" s="54"/>
      <c r="K394" s="54"/>
      <c r="L394" s="72" t="s">
        <v>267</v>
      </c>
      <c r="M394" s="73" t="s">
        <v>268</v>
      </c>
      <c r="N394" s="73" t="s">
        <v>34</v>
      </c>
      <c r="O394" s="50">
        <v>1</v>
      </c>
      <c r="P394" s="50"/>
      <c r="Q394" s="50"/>
      <c r="R394" s="24"/>
      <c r="T394" s="5"/>
      <c r="U394" s="5"/>
    </row>
    <row r="395" spans="1:21" ht="18.75" x14ac:dyDescent="0.25">
      <c r="A395" s="20"/>
      <c r="B395" s="25"/>
      <c r="C395" s="11"/>
      <c r="D395" s="49"/>
      <c r="E395" s="49"/>
      <c r="F395" s="80"/>
      <c r="G395" s="81"/>
      <c r="H395" s="81"/>
      <c r="I395" s="54"/>
      <c r="J395" s="54"/>
      <c r="K395" s="54"/>
      <c r="L395" s="72" t="s">
        <v>707</v>
      </c>
      <c r="M395" s="73" t="s">
        <v>708</v>
      </c>
      <c r="N395" s="73" t="s">
        <v>34</v>
      </c>
      <c r="O395" s="50">
        <v>2</v>
      </c>
      <c r="P395" s="50"/>
      <c r="Q395" s="50"/>
      <c r="R395" s="24"/>
      <c r="T395" s="5"/>
      <c r="U395" s="5"/>
    </row>
    <row r="396" spans="1:21" ht="18.75" x14ac:dyDescent="0.25">
      <c r="A396" s="20"/>
      <c r="B396" s="25"/>
      <c r="C396" s="11"/>
      <c r="D396" s="49"/>
      <c r="E396" s="49"/>
      <c r="F396" s="80"/>
      <c r="G396" s="81"/>
      <c r="H396" s="81"/>
      <c r="I396" s="54"/>
      <c r="J396" s="54"/>
      <c r="K396" s="54"/>
      <c r="L396" s="72" t="s">
        <v>709</v>
      </c>
      <c r="M396" s="73" t="s">
        <v>156</v>
      </c>
      <c r="N396" s="73" t="s">
        <v>34</v>
      </c>
      <c r="O396" s="50">
        <v>12</v>
      </c>
      <c r="P396" s="50"/>
      <c r="Q396" s="50"/>
      <c r="R396" s="24"/>
      <c r="T396" s="5"/>
      <c r="U396" s="5"/>
    </row>
    <row r="397" spans="1:21" ht="18.75" x14ac:dyDescent="0.25">
      <c r="A397" s="20"/>
      <c r="B397" s="25"/>
      <c r="C397" s="11"/>
      <c r="D397" s="49"/>
      <c r="E397" s="49"/>
      <c r="F397" s="80"/>
      <c r="G397" s="81"/>
      <c r="H397" s="81"/>
      <c r="I397" s="54"/>
      <c r="J397" s="54"/>
      <c r="K397" s="54"/>
      <c r="L397" s="72" t="s">
        <v>710</v>
      </c>
      <c r="M397" s="73" t="s">
        <v>711</v>
      </c>
      <c r="N397" s="73" t="s">
        <v>34</v>
      </c>
      <c r="O397" s="50">
        <v>2</v>
      </c>
      <c r="P397" s="50"/>
      <c r="Q397" s="50"/>
      <c r="R397" s="24"/>
      <c r="T397" s="5"/>
      <c r="U397" s="5"/>
    </row>
    <row r="398" spans="1:21" ht="18.75" x14ac:dyDescent="0.25">
      <c r="A398" s="20"/>
      <c r="B398" s="25"/>
      <c r="C398" s="11"/>
      <c r="D398" s="49"/>
      <c r="E398" s="49"/>
      <c r="F398" s="80"/>
      <c r="G398" s="81"/>
      <c r="H398" s="81"/>
      <c r="I398" s="54"/>
      <c r="J398" s="54"/>
      <c r="K398" s="54"/>
      <c r="L398" s="72" t="s">
        <v>712</v>
      </c>
      <c r="M398" s="73" t="s">
        <v>713</v>
      </c>
      <c r="N398" s="73" t="s">
        <v>34</v>
      </c>
      <c r="O398" s="50">
        <v>1</v>
      </c>
      <c r="P398" s="50"/>
      <c r="Q398" s="50"/>
      <c r="R398" s="24"/>
      <c r="T398" s="5"/>
      <c r="U398" s="5"/>
    </row>
    <row r="399" spans="1:21" ht="18.75" x14ac:dyDescent="0.25">
      <c r="A399" s="20"/>
      <c r="B399" s="25"/>
      <c r="C399" s="11"/>
      <c r="D399" s="49"/>
      <c r="E399" s="49"/>
      <c r="F399" s="80"/>
      <c r="G399" s="81"/>
      <c r="H399" s="81"/>
      <c r="I399" s="54"/>
      <c r="J399" s="54"/>
      <c r="K399" s="54"/>
      <c r="L399" s="72" t="s">
        <v>714</v>
      </c>
      <c r="M399" s="73" t="s">
        <v>270</v>
      </c>
      <c r="N399" s="73" t="s">
        <v>269</v>
      </c>
      <c r="O399" s="50">
        <v>2</v>
      </c>
      <c r="P399" s="50"/>
      <c r="Q399" s="50"/>
      <c r="R399" s="24"/>
      <c r="T399" s="5"/>
      <c r="U399" s="5"/>
    </row>
    <row r="400" spans="1:21" ht="18.75" x14ac:dyDescent="0.25">
      <c r="A400" s="20"/>
      <c r="B400" s="25"/>
      <c r="C400" s="11"/>
      <c r="D400" s="49"/>
      <c r="E400" s="49"/>
      <c r="F400" s="80"/>
      <c r="G400" s="81"/>
      <c r="H400" s="81"/>
      <c r="I400" s="54"/>
      <c r="J400" s="54"/>
      <c r="K400" s="54"/>
      <c r="L400" s="72" t="s">
        <v>715</v>
      </c>
      <c r="M400" s="73" t="s">
        <v>716</v>
      </c>
      <c r="N400" s="73" t="s">
        <v>34</v>
      </c>
      <c r="O400" s="50">
        <v>2</v>
      </c>
      <c r="P400" s="50"/>
      <c r="Q400" s="50"/>
      <c r="R400" s="24"/>
      <c r="T400" s="5"/>
      <c r="U400" s="5"/>
    </row>
    <row r="401" spans="1:21" ht="18.75" x14ac:dyDescent="0.25">
      <c r="A401" s="20"/>
      <c r="B401" s="25"/>
      <c r="C401" s="11"/>
      <c r="D401" s="49"/>
      <c r="E401" s="49"/>
      <c r="F401" s="80"/>
      <c r="G401" s="81"/>
      <c r="H401" s="81"/>
      <c r="I401" s="54"/>
      <c r="J401" s="54"/>
      <c r="K401" s="54"/>
      <c r="L401" s="72" t="s">
        <v>157</v>
      </c>
      <c r="M401" s="73" t="s">
        <v>158</v>
      </c>
      <c r="N401" s="73" t="s">
        <v>34</v>
      </c>
      <c r="O401" s="50">
        <v>21</v>
      </c>
      <c r="P401" s="50"/>
      <c r="Q401" s="50"/>
      <c r="R401" s="24"/>
      <c r="T401" s="5"/>
      <c r="U401" s="5"/>
    </row>
    <row r="402" spans="1:21" ht="18.75" x14ac:dyDescent="0.25">
      <c r="A402" s="20"/>
      <c r="B402" s="25"/>
      <c r="C402" s="11"/>
      <c r="D402" s="49"/>
      <c r="E402" s="49"/>
      <c r="F402" s="80"/>
      <c r="G402" s="81"/>
      <c r="H402" s="81"/>
      <c r="I402" s="54"/>
      <c r="J402" s="54"/>
      <c r="K402" s="54"/>
      <c r="L402" s="72" t="s">
        <v>246</v>
      </c>
      <c r="M402" s="73" t="s">
        <v>247</v>
      </c>
      <c r="N402" s="73" t="s">
        <v>34</v>
      </c>
      <c r="O402" s="50">
        <v>10</v>
      </c>
      <c r="P402" s="50"/>
      <c r="Q402" s="50"/>
      <c r="R402" s="24"/>
      <c r="T402" s="5"/>
      <c r="U402" s="5"/>
    </row>
    <row r="403" spans="1:21" ht="18.75" x14ac:dyDescent="0.25">
      <c r="A403" s="20"/>
      <c r="B403" s="25"/>
      <c r="C403" s="11"/>
      <c r="D403" s="49"/>
      <c r="E403" s="49"/>
      <c r="F403" s="80"/>
      <c r="G403" s="81"/>
      <c r="H403" s="81"/>
      <c r="I403" s="54"/>
      <c r="J403" s="54"/>
      <c r="K403" s="54"/>
      <c r="L403" s="72" t="s">
        <v>717</v>
      </c>
      <c r="M403" s="73" t="s">
        <v>718</v>
      </c>
      <c r="N403" s="73" t="s">
        <v>34</v>
      </c>
      <c r="O403" s="50">
        <v>2</v>
      </c>
      <c r="P403" s="50"/>
      <c r="Q403" s="50"/>
      <c r="R403" s="24"/>
      <c r="T403" s="5"/>
      <c r="U403" s="5"/>
    </row>
    <row r="404" spans="1:21" ht="18.75" x14ac:dyDescent="0.25">
      <c r="A404" s="20"/>
      <c r="B404" s="25"/>
      <c r="C404" s="11"/>
      <c r="D404" s="49"/>
      <c r="E404" s="49"/>
      <c r="F404" s="80"/>
      <c r="G404" s="81"/>
      <c r="H404" s="81"/>
      <c r="I404" s="54"/>
      <c r="J404" s="54"/>
      <c r="K404" s="54"/>
      <c r="L404" s="72" t="s">
        <v>159</v>
      </c>
      <c r="M404" s="73" t="s">
        <v>160</v>
      </c>
      <c r="N404" s="73" t="s">
        <v>37</v>
      </c>
      <c r="O404" s="50">
        <v>30</v>
      </c>
      <c r="P404" s="50"/>
      <c r="Q404" s="50"/>
      <c r="R404" s="24"/>
      <c r="T404" s="5"/>
      <c r="U404" s="5"/>
    </row>
    <row r="405" spans="1:21" ht="19.5" thickBot="1" x14ac:dyDescent="0.3">
      <c r="A405" s="20"/>
      <c r="B405" s="25"/>
      <c r="C405" s="11"/>
      <c r="D405" s="49"/>
      <c r="E405" s="49"/>
      <c r="F405" s="80"/>
      <c r="G405" s="81"/>
      <c r="H405" s="81"/>
      <c r="I405" s="54"/>
      <c r="J405" s="54"/>
      <c r="K405" s="54"/>
      <c r="L405" s="72" t="s">
        <v>719</v>
      </c>
      <c r="M405" s="73" t="s">
        <v>161</v>
      </c>
      <c r="N405" s="73" t="s">
        <v>37</v>
      </c>
      <c r="O405" s="50">
        <v>9</v>
      </c>
      <c r="P405" s="50"/>
      <c r="Q405" s="50"/>
      <c r="R405" s="24"/>
      <c r="T405" s="5"/>
      <c r="U405" s="5"/>
    </row>
    <row r="406" spans="1:21" ht="21.75" thickBot="1" x14ac:dyDescent="0.3">
      <c r="A406" s="33"/>
      <c r="B406" s="34" t="s">
        <v>29</v>
      </c>
      <c r="C406" s="35"/>
      <c r="D406" s="36">
        <f>SUM(D274:D405)</f>
        <v>0</v>
      </c>
      <c r="E406" s="36"/>
      <c r="F406" s="76"/>
      <c r="G406" s="76"/>
      <c r="H406" s="76"/>
      <c r="I406" s="76"/>
      <c r="J406" s="76"/>
      <c r="K406" s="76"/>
      <c r="L406" s="37"/>
      <c r="M406" s="38"/>
      <c r="N406" s="38"/>
      <c r="O406" s="39">
        <f>SUM(O274:O405)</f>
        <v>1829</v>
      </c>
      <c r="P406" s="39"/>
      <c r="Q406" s="39">
        <f>SUM(Q274:Q405)</f>
        <v>0</v>
      </c>
      <c r="R406" s="40"/>
    </row>
    <row r="407" spans="1:21" ht="21.75" thickBot="1" x14ac:dyDescent="0.3">
      <c r="A407" s="41"/>
      <c r="B407" s="42" t="s">
        <v>30</v>
      </c>
      <c r="C407" s="43"/>
      <c r="D407" s="44">
        <f>D273+D406</f>
        <v>0</v>
      </c>
      <c r="E407" s="44"/>
      <c r="F407" s="78"/>
      <c r="G407" s="78"/>
      <c r="H407" s="78"/>
      <c r="I407" s="78"/>
      <c r="J407" s="78"/>
      <c r="K407" s="78"/>
      <c r="L407" s="45"/>
      <c r="M407" s="46"/>
      <c r="N407" s="46"/>
      <c r="O407" s="47">
        <f>O273+O406</f>
        <v>1829</v>
      </c>
      <c r="P407" s="47"/>
      <c r="Q407" s="47" t="e">
        <f>Q273+Q406</f>
        <v>#N/A</v>
      </c>
      <c r="R407" s="48"/>
    </row>
    <row r="408" spans="1:21" ht="25.15" customHeight="1" x14ac:dyDescent="0.35">
      <c r="A408" s="250" t="s">
        <v>12</v>
      </c>
      <c r="B408" s="250"/>
      <c r="C408" s="250"/>
      <c r="D408" s="250"/>
      <c r="E408" s="250"/>
      <c r="F408" s="250"/>
      <c r="G408" s="250"/>
      <c r="H408" s="250"/>
      <c r="I408" s="250"/>
      <c r="J408" s="250"/>
      <c r="K408" s="250"/>
      <c r="L408" s="250"/>
      <c r="M408" s="250"/>
      <c r="N408" s="250"/>
      <c r="O408" s="7"/>
      <c r="P408" s="7"/>
      <c r="Q408" s="7"/>
      <c r="R408" s="6"/>
    </row>
    <row r="409" spans="1:21" ht="25.15" customHeight="1" x14ac:dyDescent="0.35">
      <c r="A409" s="250" t="s">
        <v>13</v>
      </c>
      <c r="B409" s="250"/>
      <c r="C409" s="250"/>
      <c r="D409" s="250"/>
      <c r="E409" s="250"/>
      <c r="F409" s="250"/>
      <c r="G409" s="250"/>
      <c r="H409" s="250"/>
      <c r="I409" s="250"/>
      <c r="J409" s="250"/>
      <c r="K409" s="250"/>
      <c r="L409" s="250"/>
      <c r="M409" s="250"/>
      <c r="N409" s="250"/>
      <c r="O409" s="7"/>
      <c r="P409" s="7"/>
      <c r="Q409" s="7"/>
      <c r="R409" s="6"/>
    </row>
    <row r="410" spans="1:21" ht="25.15" customHeight="1" x14ac:dyDescent="0.35">
      <c r="A410" s="255" t="s">
        <v>14</v>
      </c>
      <c r="B410" s="255"/>
      <c r="C410" s="255"/>
      <c r="D410" s="255"/>
      <c r="E410" s="255"/>
      <c r="F410" s="255"/>
      <c r="G410" s="255"/>
      <c r="H410" s="255"/>
      <c r="I410" s="255"/>
      <c r="J410" s="255"/>
      <c r="K410" s="255"/>
      <c r="L410" s="255"/>
      <c r="M410" s="255"/>
      <c r="N410" s="255"/>
      <c r="O410" s="8"/>
      <c r="P410" s="8"/>
      <c r="Q410" s="8"/>
      <c r="R410" s="6"/>
    </row>
    <row r="411" spans="1:21" ht="25.15" customHeight="1" x14ac:dyDescent="0.35">
      <c r="A411" s="250" t="s">
        <v>15</v>
      </c>
      <c r="B411" s="250"/>
      <c r="C411" s="250"/>
      <c r="D411" s="250"/>
      <c r="E411" s="250"/>
      <c r="F411" s="250"/>
      <c r="G411" s="250"/>
      <c r="H411" s="250"/>
      <c r="I411" s="250"/>
      <c r="J411" s="250"/>
      <c r="K411" s="250"/>
      <c r="L411" s="250"/>
      <c r="M411" s="250"/>
      <c r="N411" s="250"/>
      <c r="O411" s="7"/>
      <c r="P411" s="7"/>
      <c r="Q411" s="7"/>
      <c r="R411" s="6"/>
    </row>
    <row r="412" spans="1:21" ht="25.15" customHeight="1" x14ac:dyDescent="0.35">
      <c r="A412" s="250" t="s">
        <v>16</v>
      </c>
      <c r="B412" s="250"/>
      <c r="C412" s="250"/>
      <c r="D412" s="250"/>
      <c r="E412" s="250"/>
      <c r="F412" s="250"/>
      <c r="G412" s="250"/>
      <c r="H412" s="250"/>
      <c r="I412" s="250"/>
      <c r="J412" s="250"/>
      <c r="K412" s="250"/>
      <c r="L412" s="250"/>
      <c r="M412" s="250"/>
      <c r="N412" s="250"/>
      <c r="O412" s="7"/>
      <c r="P412" s="7"/>
      <c r="Q412" s="7"/>
      <c r="R412" s="6"/>
    </row>
    <row r="413" spans="1:21" ht="25.15" customHeight="1" x14ac:dyDescent="0.35">
      <c r="A413" s="250" t="s">
        <v>17</v>
      </c>
      <c r="B413" s="250"/>
      <c r="C413" s="250"/>
      <c r="D413" s="250"/>
      <c r="E413" s="250"/>
      <c r="F413" s="250"/>
      <c r="G413" s="250"/>
      <c r="H413" s="250"/>
      <c r="I413" s="250"/>
      <c r="J413" s="250"/>
      <c r="K413" s="250"/>
      <c r="L413" s="250"/>
      <c r="M413" s="250"/>
      <c r="N413" s="250"/>
      <c r="O413" s="7"/>
      <c r="P413" s="7"/>
      <c r="Q413" s="7"/>
      <c r="R413" s="6"/>
    </row>
    <row r="414" spans="1:21" ht="25.15" customHeight="1" x14ac:dyDescent="0.35">
      <c r="A414" s="250" t="s">
        <v>18</v>
      </c>
      <c r="B414" s="250"/>
      <c r="C414" s="250"/>
      <c r="D414" s="250"/>
      <c r="E414" s="250"/>
      <c r="F414" s="250"/>
      <c r="G414" s="250"/>
      <c r="H414" s="250"/>
      <c r="I414" s="250"/>
      <c r="J414" s="250"/>
      <c r="K414" s="250"/>
      <c r="L414" s="250"/>
      <c r="M414" s="250"/>
      <c r="N414" s="250"/>
      <c r="O414" s="7"/>
      <c r="P414" s="7"/>
      <c r="Q414" s="7"/>
      <c r="R414" s="6"/>
    </row>
    <row r="415" spans="1:21" ht="25.15" customHeight="1" x14ac:dyDescent="0.35">
      <c r="A415" s="250" t="s">
        <v>17</v>
      </c>
      <c r="B415" s="250"/>
      <c r="C415" s="250"/>
      <c r="D415" s="250"/>
      <c r="E415" s="250"/>
      <c r="F415" s="250"/>
      <c r="G415" s="250"/>
      <c r="H415" s="250"/>
      <c r="I415" s="250"/>
      <c r="J415" s="250"/>
      <c r="K415" s="250"/>
      <c r="L415" s="250"/>
      <c r="M415" s="250"/>
      <c r="N415" s="250"/>
      <c r="O415" s="7"/>
      <c r="P415" s="7"/>
      <c r="Q415" s="7"/>
      <c r="R415" s="6"/>
    </row>
    <row r="416" spans="1:21" ht="25.15" customHeight="1" x14ac:dyDescent="0.35">
      <c r="A416" s="250" t="s">
        <v>19</v>
      </c>
      <c r="B416" s="250"/>
      <c r="C416" s="250"/>
      <c r="D416" s="250"/>
      <c r="E416" s="250"/>
      <c r="F416" s="250"/>
      <c r="G416" s="250"/>
      <c r="H416" s="250"/>
      <c r="I416" s="250"/>
      <c r="J416" s="250"/>
      <c r="K416" s="250"/>
      <c r="L416" s="250"/>
      <c r="M416" s="250"/>
      <c r="N416" s="250"/>
      <c r="O416" s="7"/>
      <c r="P416" s="7"/>
      <c r="Q416" s="7"/>
      <c r="R416" s="6"/>
    </row>
    <row r="417" spans="1:18" ht="25.15" customHeight="1" x14ac:dyDescent="0.35">
      <c r="A417" s="250" t="s">
        <v>11</v>
      </c>
      <c r="B417" s="250"/>
      <c r="C417" s="250"/>
      <c r="D417" s="250"/>
      <c r="E417" s="250"/>
      <c r="F417" s="250"/>
      <c r="G417" s="250"/>
      <c r="H417" s="250"/>
      <c r="I417" s="250"/>
      <c r="J417" s="250"/>
      <c r="K417" s="250"/>
      <c r="L417" s="250"/>
      <c r="M417" s="250"/>
      <c r="N417" s="250"/>
      <c r="O417" s="7"/>
      <c r="P417" s="7"/>
      <c r="Q417" s="7"/>
      <c r="R417" s="6"/>
    </row>
    <row r="418" spans="1:18" ht="25.15" customHeight="1" x14ac:dyDescent="0.35">
      <c r="A418" s="250" t="s">
        <v>32</v>
      </c>
      <c r="B418" s="250"/>
      <c r="C418" s="250"/>
      <c r="D418" s="250"/>
      <c r="E418" s="250"/>
      <c r="F418" s="250"/>
      <c r="G418" s="250"/>
      <c r="H418" s="250"/>
      <c r="I418" s="250"/>
      <c r="J418" s="250"/>
      <c r="K418" s="250"/>
      <c r="L418" s="250"/>
      <c r="M418" s="250"/>
      <c r="N418" s="250"/>
      <c r="O418" s="7"/>
      <c r="P418" s="7"/>
      <c r="Q418" s="7"/>
      <c r="R418" s="6"/>
    </row>
    <row r="419" spans="1:18" ht="25.15" customHeight="1" x14ac:dyDescent="0.35">
      <c r="A419" s="233" t="s">
        <v>31</v>
      </c>
      <c r="B419" s="233"/>
      <c r="C419" s="233"/>
      <c r="D419" s="233"/>
      <c r="E419" s="233"/>
      <c r="F419" s="233"/>
      <c r="G419" s="233"/>
      <c r="H419" s="233"/>
      <c r="I419" s="233"/>
      <c r="J419" s="233"/>
      <c r="K419" s="233"/>
      <c r="L419" s="233"/>
      <c r="M419" s="233"/>
      <c r="N419" s="233"/>
      <c r="O419" s="9"/>
      <c r="P419" s="9"/>
      <c r="Q419" s="9"/>
      <c r="R419" s="6"/>
    </row>
    <row r="420" spans="1:18" ht="36" customHeight="1" x14ac:dyDescent="0.25"/>
  </sheetData>
  <autoFilter ref="L18:P243" xr:uid="{00000000-0001-0000-0000-000000000000}"/>
  <mergeCells count="37">
    <mergeCell ref="A11:R11"/>
    <mergeCell ref="M1:R2"/>
    <mergeCell ref="M4:R4"/>
    <mergeCell ref="M5:R5"/>
    <mergeCell ref="M7:R7"/>
    <mergeCell ref="A10:R10"/>
    <mergeCell ref="R16:R17"/>
    <mergeCell ref="F16:F17"/>
    <mergeCell ref="G16:G17"/>
    <mergeCell ref="H16:H17"/>
    <mergeCell ref="I16:I17"/>
    <mergeCell ref="J16:J17"/>
    <mergeCell ref="K16:K17"/>
    <mergeCell ref="A12:R12"/>
    <mergeCell ref="A13:R13"/>
    <mergeCell ref="A14:Q14"/>
    <mergeCell ref="A15:K15"/>
    <mergeCell ref="L15:R15"/>
    <mergeCell ref="T274:U274"/>
    <mergeCell ref="A408:N408"/>
    <mergeCell ref="A409:N409"/>
    <mergeCell ref="A417:N417"/>
    <mergeCell ref="A410:N410"/>
    <mergeCell ref="C16:C17"/>
    <mergeCell ref="D16:D17"/>
    <mergeCell ref="A418:N418"/>
    <mergeCell ref="A419:N419"/>
    <mergeCell ref="A411:N411"/>
    <mergeCell ref="A412:N412"/>
    <mergeCell ref="A413:N413"/>
    <mergeCell ref="A414:N414"/>
    <mergeCell ref="A415:N415"/>
    <mergeCell ref="A416:N416"/>
    <mergeCell ref="E16:E17"/>
    <mergeCell ref="M16:Q16"/>
    <mergeCell ref="A16:A17"/>
    <mergeCell ref="B16:B17"/>
  </mergeCells>
  <pageMargins left="0.25" right="0.25" top="0.75" bottom="0.75" header="0.3" footer="0.3"/>
  <pageSetup paperSize="9" scale="45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4575-43A7-4D5E-8AD2-21A8CD660056}">
  <sheetPr>
    <tabColor rgb="FFFFFF00"/>
    <pageSetUpPr fitToPage="1"/>
  </sheetPr>
  <dimension ref="A1:AI396"/>
  <sheetViews>
    <sheetView topLeftCell="F216" zoomScale="70" zoomScaleNormal="70" workbookViewId="0">
      <selection activeCell="AA233" sqref="AA233"/>
    </sheetView>
  </sheetViews>
  <sheetFormatPr defaultRowHeight="15" x14ac:dyDescent="0.25"/>
  <cols>
    <col min="1" max="1" width="6.7109375" style="120" customWidth="1"/>
    <col min="2" max="2" width="63.140625" customWidth="1"/>
    <col min="3" max="3" width="10.42578125" style="120" customWidth="1"/>
    <col min="4" max="4" width="11.140625" style="120" customWidth="1"/>
    <col min="5" max="5" width="13.140625" style="120" customWidth="1"/>
    <col min="6" max="6" width="20.140625" style="120" customWidth="1"/>
    <col min="7" max="11" width="13.140625" style="120" customWidth="1"/>
    <col min="12" max="12" width="17.28515625" style="120" customWidth="1"/>
    <col min="13" max="13" width="61" customWidth="1"/>
    <col min="14" max="14" width="11.7109375" style="5" customWidth="1"/>
    <col min="15" max="15" width="14" style="5" customWidth="1"/>
    <col min="16" max="16" width="11.7109375" style="5" customWidth="1"/>
    <col min="17" max="17" width="15.42578125" style="189" bestFit="1" customWidth="1"/>
    <col min="18" max="18" width="35.42578125" style="182" customWidth="1"/>
    <col min="19" max="19" width="13" customWidth="1"/>
    <col min="20" max="20" width="12.140625" bestFit="1" customWidth="1"/>
    <col min="22" max="22" width="9.85546875" bestFit="1" customWidth="1"/>
  </cols>
  <sheetData>
    <row r="1" spans="1:21" ht="15.75" customHeight="1" x14ac:dyDescent="0.25">
      <c r="A1" s="2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236" t="s">
        <v>26</v>
      </c>
      <c r="N1" s="236"/>
      <c r="O1" s="236"/>
      <c r="P1" s="236"/>
      <c r="Q1" s="236"/>
      <c r="R1" s="236"/>
      <c r="S1" s="123"/>
      <c r="T1" s="18"/>
      <c r="U1" s="18"/>
    </row>
    <row r="2" spans="1:21" ht="15" customHeight="1" x14ac:dyDescent="0.25">
      <c r="A2" s="2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237"/>
      <c r="N2" s="237"/>
      <c r="O2" s="237"/>
      <c r="P2" s="237"/>
      <c r="Q2" s="237"/>
      <c r="R2" s="237"/>
      <c r="S2" s="159"/>
      <c r="T2" s="18"/>
      <c r="U2" s="18"/>
    </row>
    <row r="3" spans="1:21" ht="15.75" x14ac:dyDescent="0.25">
      <c r="A3" s="2"/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124"/>
      <c r="N3" s="124"/>
      <c r="O3" s="124"/>
      <c r="P3" s="124"/>
      <c r="Q3" s="178"/>
      <c r="R3" s="178"/>
      <c r="S3" s="159"/>
      <c r="T3" s="18"/>
      <c r="U3" s="18"/>
    </row>
    <row r="4" spans="1:21" ht="23.25" x14ac:dyDescent="0.35">
      <c r="A4" s="2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240" t="s">
        <v>27</v>
      </c>
      <c r="N4" s="240"/>
      <c r="O4" s="240"/>
      <c r="P4" s="240"/>
      <c r="Q4" s="240"/>
      <c r="R4" s="240"/>
      <c r="S4" s="160"/>
      <c r="T4" s="18"/>
      <c r="U4" s="18"/>
    </row>
    <row r="5" spans="1:21" ht="21" x14ac:dyDescent="0.35">
      <c r="A5" s="2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241" t="s">
        <v>28</v>
      </c>
      <c r="N5" s="241"/>
      <c r="O5" s="241"/>
      <c r="P5" s="241"/>
      <c r="Q5" s="241"/>
      <c r="R5" s="241"/>
      <c r="S5" s="127"/>
      <c r="T5" s="18"/>
      <c r="U5" s="18"/>
    </row>
    <row r="6" spans="1:21" ht="15.75" x14ac:dyDescent="0.25">
      <c r="A6" s="2"/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2"/>
      <c r="N6" s="14"/>
      <c r="O6" s="14"/>
      <c r="P6" s="15"/>
      <c r="Q6" s="179"/>
      <c r="R6" s="180"/>
      <c r="S6" s="17"/>
      <c r="T6" s="18"/>
      <c r="U6" s="18"/>
    </row>
    <row r="7" spans="1:21" ht="18.75" x14ac:dyDescent="0.3">
      <c r="A7" s="2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238" t="s">
        <v>33</v>
      </c>
      <c r="N7" s="238"/>
      <c r="O7" s="238"/>
      <c r="P7" s="238"/>
      <c r="Q7" s="238"/>
      <c r="R7" s="238"/>
      <c r="S7" s="125"/>
      <c r="T7" s="18"/>
      <c r="U7" s="18"/>
    </row>
    <row r="8" spans="1:21" ht="15.75" x14ac:dyDescent="0.25">
      <c r="A8" s="2"/>
      <c r="B8" s="1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181"/>
      <c r="T8" s="18"/>
      <c r="U8" s="18"/>
    </row>
    <row r="9" spans="1:21" ht="15.75" x14ac:dyDescent="0.25">
      <c r="A9" s="2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181"/>
      <c r="T9" s="18"/>
      <c r="U9" s="18"/>
    </row>
    <row r="10" spans="1:21" ht="18" customHeight="1" x14ac:dyDescent="0.25">
      <c r="A10" s="239" t="s">
        <v>0</v>
      </c>
      <c r="B10" s="239"/>
      <c r="C10" s="239"/>
      <c r="D10" s="239"/>
      <c r="E10" s="239"/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126"/>
      <c r="T10" s="18"/>
      <c r="U10" s="18"/>
    </row>
    <row r="11" spans="1:21" ht="18" customHeight="1" x14ac:dyDescent="0.25">
      <c r="A11" s="239" t="s">
        <v>1</v>
      </c>
      <c r="B11" s="239"/>
      <c r="C11" s="239"/>
      <c r="D11" s="239"/>
      <c r="E11" s="239"/>
      <c r="F11" s="239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39"/>
      <c r="R11" s="239"/>
      <c r="S11" s="126"/>
      <c r="T11" s="18"/>
      <c r="U11" s="18"/>
    </row>
    <row r="12" spans="1:21" ht="18" customHeight="1" x14ac:dyDescent="0.25">
      <c r="A12" s="239" t="s">
        <v>2</v>
      </c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126"/>
      <c r="T12" s="18"/>
      <c r="U12" s="18"/>
    </row>
    <row r="13" spans="1:21" ht="63.6" customHeight="1" x14ac:dyDescent="0.25">
      <c r="A13" s="234" t="s">
        <v>720</v>
      </c>
      <c r="B13" s="235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122"/>
    </row>
    <row r="14" spans="1:21" ht="27" customHeight="1" thickBot="1" x14ac:dyDescent="0.3">
      <c r="A14" s="242" t="s">
        <v>36</v>
      </c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2"/>
      <c r="Q14" s="242"/>
    </row>
    <row r="15" spans="1:21" ht="30.6" customHeight="1" thickBot="1" x14ac:dyDescent="0.3">
      <c r="A15" s="243" t="s">
        <v>24</v>
      </c>
      <c r="B15" s="244"/>
      <c r="C15" s="244"/>
      <c r="D15" s="244"/>
      <c r="E15" s="244"/>
      <c r="F15" s="244"/>
      <c r="G15" s="244"/>
      <c r="H15" s="244"/>
      <c r="I15" s="244"/>
      <c r="J15" s="244"/>
      <c r="K15" s="244"/>
      <c r="L15" s="245" t="s">
        <v>25</v>
      </c>
      <c r="M15" s="246"/>
      <c r="N15" s="246"/>
      <c r="O15" s="246"/>
      <c r="P15" s="246"/>
      <c r="Q15" s="246"/>
      <c r="R15" s="247"/>
      <c r="S15" s="161"/>
    </row>
    <row r="16" spans="1:21" ht="15" customHeight="1" x14ac:dyDescent="0.25">
      <c r="A16" s="259" t="s">
        <v>3</v>
      </c>
      <c r="B16" s="261" t="s">
        <v>4</v>
      </c>
      <c r="C16" s="261"/>
      <c r="D16" s="248" t="s">
        <v>5</v>
      </c>
      <c r="E16" s="261" t="s">
        <v>6</v>
      </c>
      <c r="F16" s="263"/>
      <c r="G16" s="248"/>
      <c r="H16" s="248"/>
      <c r="I16" s="251"/>
      <c r="J16" s="248" t="s">
        <v>21</v>
      </c>
      <c r="K16" s="253" t="s">
        <v>22</v>
      </c>
      <c r="L16" s="21"/>
      <c r="M16" s="256" t="s">
        <v>7</v>
      </c>
      <c r="N16" s="257"/>
      <c r="O16" s="257"/>
      <c r="P16" s="257"/>
      <c r="Q16" s="258"/>
      <c r="R16" s="253" t="s">
        <v>8</v>
      </c>
      <c r="S16" s="162"/>
    </row>
    <row r="17" spans="1:20" ht="34.15" customHeight="1" x14ac:dyDescent="0.25">
      <c r="A17" s="260"/>
      <c r="B17" s="262"/>
      <c r="C17" s="262"/>
      <c r="D17" s="249"/>
      <c r="E17" s="262"/>
      <c r="F17" s="249"/>
      <c r="G17" s="249"/>
      <c r="H17" s="249"/>
      <c r="I17" s="252"/>
      <c r="J17" s="249"/>
      <c r="K17" s="254"/>
      <c r="L17" s="22" t="s">
        <v>20</v>
      </c>
      <c r="M17" s="19" t="s">
        <v>9</v>
      </c>
      <c r="N17" s="23" t="s">
        <v>10</v>
      </c>
      <c r="O17" s="12" t="s">
        <v>6</v>
      </c>
      <c r="P17" s="13" t="s">
        <v>21</v>
      </c>
      <c r="Q17" s="13" t="s">
        <v>22</v>
      </c>
      <c r="R17" s="254"/>
      <c r="S17" s="162"/>
    </row>
    <row r="18" spans="1:20" ht="15.75" thickBot="1" x14ac:dyDescent="0.3">
      <c r="A18" s="26">
        <v>1</v>
      </c>
      <c r="B18" s="27">
        <v>2</v>
      </c>
      <c r="C18" s="27"/>
      <c r="D18" s="27">
        <v>3</v>
      </c>
      <c r="E18" s="27">
        <v>4</v>
      </c>
      <c r="F18" s="27"/>
      <c r="G18" s="27"/>
      <c r="H18" s="27"/>
      <c r="I18" s="79"/>
      <c r="J18" s="27">
        <v>5</v>
      </c>
      <c r="K18" s="28">
        <v>6</v>
      </c>
      <c r="L18" s="88">
        <v>7</v>
      </c>
      <c r="M18" s="12">
        <v>8</v>
      </c>
      <c r="N18" s="12">
        <v>9</v>
      </c>
      <c r="O18" s="12">
        <v>10</v>
      </c>
      <c r="P18" s="19">
        <v>11</v>
      </c>
      <c r="Q18" s="19" t="s">
        <v>752</v>
      </c>
      <c r="R18" s="102" t="s">
        <v>753</v>
      </c>
      <c r="S18" s="163"/>
    </row>
    <row r="19" spans="1:20" ht="33.6" customHeight="1" x14ac:dyDescent="0.25">
      <c r="A19" s="65"/>
      <c r="B19" s="85" t="s">
        <v>721</v>
      </c>
      <c r="C19" s="85"/>
      <c r="D19" s="85" t="s">
        <v>34</v>
      </c>
      <c r="E19" s="85">
        <v>1</v>
      </c>
      <c r="F19" s="74"/>
      <c r="G19" s="74"/>
      <c r="H19" s="74"/>
      <c r="I19" s="74"/>
      <c r="J19" s="74"/>
      <c r="K19" s="74"/>
      <c r="L19" s="68" t="s">
        <v>519</v>
      </c>
      <c r="M19" s="57" t="s">
        <v>162</v>
      </c>
      <c r="N19" s="70" t="s">
        <v>34</v>
      </c>
      <c r="O19" s="70">
        <v>1</v>
      </c>
      <c r="P19" s="97">
        <f>IFERROR(VLOOKUP(L19,[1]TDSheet!A$12:D$300,4,FALSE),0)</f>
        <v>3</v>
      </c>
      <c r="Q19" s="97">
        <v>1</v>
      </c>
      <c r="R19" s="101">
        <v>1</v>
      </c>
      <c r="S19" s="164">
        <f>R19+Q19</f>
        <v>2</v>
      </c>
      <c r="T19">
        <f t="shared" ref="T19:T26" si="0">P19-Q19-R19</f>
        <v>1</v>
      </c>
    </row>
    <row r="20" spans="1:20" ht="15.75" x14ac:dyDescent="0.25">
      <c r="A20" s="56"/>
      <c r="B20" s="64"/>
      <c r="C20" s="52"/>
      <c r="D20" s="66"/>
      <c r="E20" s="67"/>
      <c r="F20" s="80"/>
      <c r="G20" s="81"/>
      <c r="H20" s="81"/>
      <c r="I20" s="53"/>
      <c r="J20" s="53"/>
      <c r="K20" s="53"/>
      <c r="L20" s="86" t="s">
        <v>271</v>
      </c>
      <c r="M20" s="87" t="s">
        <v>272</v>
      </c>
      <c r="N20" s="55" t="s">
        <v>34</v>
      </c>
      <c r="O20" s="89">
        <v>6</v>
      </c>
      <c r="P20" s="97">
        <f>IFERROR(VLOOKUP(L20,[1]TDSheet!A$12:D$300,4,FALSE),0)</f>
        <v>42</v>
      </c>
      <c r="Q20" s="89">
        <v>6</v>
      </c>
      <c r="R20" s="89">
        <v>6</v>
      </c>
      <c r="S20" s="164">
        <f t="shared" ref="S20:S88" si="1">R20+Q20</f>
        <v>12</v>
      </c>
      <c r="T20">
        <f t="shared" si="0"/>
        <v>30</v>
      </c>
    </row>
    <row r="21" spans="1:20" ht="15.75" x14ac:dyDescent="0.25">
      <c r="A21" s="56"/>
      <c r="B21" s="64"/>
      <c r="C21" s="52"/>
      <c r="D21" s="66"/>
      <c r="E21" s="67"/>
      <c r="F21" s="80"/>
      <c r="G21" s="81"/>
      <c r="H21" s="81"/>
      <c r="I21" s="53"/>
      <c r="J21" s="53"/>
      <c r="K21" s="53"/>
      <c r="L21" s="86" t="s">
        <v>58</v>
      </c>
      <c r="M21" s="87" t="s">
        <v>67</v>
      </c>
      <c r="N21" s="55" t="s">
        <v>34</v>
      </c>
      <c r="O21" s="89">
        <v>16</v>
      </c>
      <c r="P21" s="97">
        <f>IFERROR(VLOOKUP(L21,[1]TDSheet!A$12:D$300,4,FALSE),0)</f>
        <v>103</v>
      </c>
      <c r="Q21" s="89">
        <v>16</v>
      </c>
      <c r="R21" s="89">
        <v>16</v>
      </c>
      <c r="S21" s="164">
        <f t="shared" si="1"/>
        <v>32</v>
      </c>
      <c r="T21">
        <f t="shared" si="0"/>
        <v>71</v>
      </c>
    </row>
    <row r="22" spans="1:20" ht="31.5" x14ac:dyDescent="0.25">
      <c r="A22" s="56"/>
      <c r="B22" s="64"/>
      <c r="C22" s="52"/>
      <c r="D22" s="66"/>
      <c r="E22" s="67"/>
      <c r="F22" s="80"/>
      <c r="G22" s="81"/>
      <c r="H22" s="81"/>
      <c r="I22" s="53"/>
      <c r="J22" s="53"/>
      <c r="K22" s="53"/>
      <c r="L22" s="86" t="s">
        <v>273</v>
      </c>
      <c r="M22" s="87" t="s">
        <v>274</v>
      </c>
      <c r="N22" s="113" t="s">
        <v>34</v>
      </c>
      <c r="O22" s="89">
        <v>3</v>
      </c>
      <c r="P22" s="97">
        <f>IFERROR(VLOOKUP(L22,[1]TDSheet!A$12:D$300,4,FALSE),0)</f>
        <v>21</v>
      </c>
      <c r="Q22" s="89">
        <v>3</v>
      </c>
      <c r="R22" s="89">
        <v>3</v>
      </c>
      <c r="S22" s="164">
        <f t="shared" si="1"/>
        <v>6</v>
      </c>
      <c r="T22">
        <f t="shared" si="0"/>
        <v>15</v>
      </c>
    </row>
    <row r="23" spans="1:20" ht="15.75" x14ac:dyDescent="0.25">
      <c r="A23" s="58"/>
      <c r="B23" s="59"/>
      <c r="C23" s="59"/>
      <c r="D23" s="59"/>
      <c r="E23" s="60"/>
      <c r="F23" s="80"/>
      <c r="G23" s="81"/>
      <c r="H23" s="81"/>
      <c r="I23" s="53"/>
      <c r="J23" s="75"/>
      <c r="K23" s="75"/>
      <c r="L23" s="86" t="s">
        <v>275</v>
      </c>
      <c r="M23" s="61" t="s">
        <v>276</v>
      </c>
      <c r="N23" s="113" t="s">
        <v>34</v>
      </c>
      <c r="O23" s="62">
        <v>1</v>
      </c>
      <c r="P23" s="97">
        <f>IFERROR(VLOOKUP(L23,[1]TDSheet!A$12:D$300,4,FALSE),0)</f>
        <v>6</v>
      </c>
      <c r="Q23" s="62">
        <v>1</v>
      </c>
      <c r="R23" s="62">
        <v>1</v>
      </c>
      <c r="S23" s="164">
        <f t="shared" si="1"/>
        <v>2</v>
      </c>
      <c r="T23">
        <f t="shared" si="0"/>
        <v>4</v>
      </c>
    </row>
    <row r="24" spans="1:20" ht="15.75" x14ac:dyDescent="0.25">
      <c r="A24" s="58"/>
      <c r="B24" s="59"/>
      <c r="C24" s="59"/>
      <c r="D24" s="59"/>
      <c r="E24" s="60"/>
      <c r="F24" s="80"/>
      <c r="G24" s="81"/>
      <c r="H24" s="81"/>
      <c r="I24" s="53"/>
      <c r="J24" s="75"/>
      <c r="K24" s="75"/>
      <c r="L24" s="63">
        <v>355</v>
      </c>
      <c r="M24" s="61" t="s">
        <v>163</v>
      </c>
      <c r="N24" s="113" t="s">
        <v>34</v>
      </c>
      <c r="O24" s="62">
        <v>1</v>
      </c>
      <c r="P24" s="97">
        <f>IFERROR(VLOOKUP(L24,[1]TDSheet!A$12:D$300,4,FALSE),0)</f>
        <v>2</v>
      </c>
      <c r="Q24" s="62">
        <v>1</v>
      </c>
      <c r="R24" s="62">
        <v>1</v>
      </c>
      <c r="S24" s="164">
        <f t="shared" si="1"/>
        <v>2</v>
      </c>
      <c r="T24">
        <f t="shared" si="0"/>
        <v>0</v>
      </c>
    </row>
    <row r="25" spans="1:20" ht="15.75" x14ac:dyDescent="0.25">
      <c r="A25" s="58"/>
      <c r="B25" s="59"/>
      <c r="C25" s="59"/>
      <c r="D25" s="59"/>
      <c r="E25" s="60"/>
      <c r="F25" s="80"/>
      <c r="G25" s="81"/>
      <c r="H25" s="81"/>
      <c r="I25" s="53"/>
      <c r="J25" s="75"/>
      <c r="K25" s="75"/>
      <c r="L25" s="63" t="s">
        <v>277</v>
      </c>
      <c r="M25" s="61" t="s">
        <v>278</v>
      </c>
      <c r="N25" s="113" t="s">
        <v>34</v>
      </c>
      <c r="O25" s="62">
        <v>2</v>
      </c>
      <c r="P25" s="97">
        <f>IFERROR(VLOOKUP(L25,[1]TDSheet!A$12:D$300,4,FALSE),0)</f>
        <v>4</v>
      </c>
      <c r="Q25" s="62">
        <v>2</v>
      </c>
      <c r="R25" s="62">
        <v>2</v>
      </c>
      <c r="S25" s="164">
        <f t="shared" si="1"/>
        <v>4</v>
      </c>
      <c r="T25">
        <f t="shared" si="0"/>
        <v>0</v>
      </c>
    </row>
    <row r="26" spans="1:20" ht="15.75" x14ac:dyDescent="0.25">
      <c r="A26" s="58"/>
      <c r="B26" s="59"/>
      <c r="C26" s="59"/>
      <c r="D26" s="59"/>
      <c r="E26" s="60"/>
      <c r="F26" s="80"/>
      <c r="G26" s="81"/>
      <c r="H26" s="81"/>
      <c r="I26" s="53"/>
      <c r="J26" s="75"/>
      <c r="K26" s="75"/>
      <c r="L26" s="63">
        <v>601</v>
      </c>
      <c r="M26" s="61" t="s">
        <v>69</v>
      </c>
      <c r="N26" s="113" t="s">
        <v>45</v>
      </c>
      <c r="O26" s="62">
        <v>110</v>
      </c>
      <c r="P26" s="97">
        <f>IFERROR(VLOOKUP(L26,[1]TDSheet!A$12:D$300,4,FALSE),0)</f>
        <v>2</v>
      </c>
      <c r="Q26" s="62">
        <v>2</v>
      </c>
      <c r="R26" s="62">
        <v>0</v>
      </c>
      <c r="S26" s="164">
        <f t="shared" si="1"/>
        <v>2</v>
      </c>
      <c r="T26">
        <f t="shared" si="0"/>
        <v>0</v>
      </c>
    </row>
    <row r="27" spans="1:20" ht="15.75" x14ac:dyDescent="0.25">
      <c r="A27" s="58"/>
      <c r="B27" s="59"/>
      <c r="C27" s="59"/>
      <c r="D27" s="59"/>
      <c r="E27" s="60"/>
      <c r="F27" s="80"/>
      <c r="G27" s="81"/>
      <c r="H27" s="81"/>
      <c r="I27" s="53"/>
      <c r="J27" s="75"/>
      <c r="K27" s="75"/>
      <c r="L27" s="63" t="s">
        <v>761</v>
      </c>
      <c r="M27" s="61" t="s">
        <v>762</v>
      </c>
      <c r="N27" s="113" t="s">
        <v>68</v>
      </c>
      <c r="O27" s="62">
        <v>600</v>
      </c>
      <c r="P27" s="97">
        <f>IFERROR(VLOOKUP(L27,[1]TDSheet!A$12:D$300,4,FALSE),0)</f>
        <v>600</v>
      </c>
      <c r="Q27" s="62">
        <v>110</v>
      </c>
      <c r="R27" s="62">
        <v>110</v>
      </c>
      <c r="S27" s="164">
        <f t="shared" si="1"/>
        <v>220</v>
      </c>
    </row>
    <row r="28" spans="1:20" ht="15.75" x14ac:dyDescent="0.25">
      <c r="A28" s="58"/>
      <c r="B28" s="59"/>
      <c r="C28" s="59"/>
      <c r="D28" s="59"/>
      <c r="E28" s="60"/>
      <c r="F28" s="80"/>
      <c r="G28" s="81"/>
      <c r="H28" s="81"/>
      <c r="I28" s="53"/>
      <c r="J28" s="75"/>
      <c r="K28" s="75"/>
      <c r="L28" s="63">
        <v>18520</v>
      </c>
      <c r="M28" s="61" t="s">
        <v>70</v>
      </c>
      <c r="N28" s="113" t="s">
        <v>56</v>
      </c>
      <c r="O28" s="62">
        <v>0.26500000000000001</v>
      </c>
      <c r="P28" s="97">
        <f>IFERROR(VLOOKUP(L28,[1]TDSheet!A$12:D$300,4,FALSE),0)</f>
        <v>1.07</v>
      </c>
      <c r="Q28" s="62">
        <v>0.26500000000000001</v>
      </c>
      <c r="R28" s="62">
        <v>0.26500000000000001</v>
      </c>
      <c r="S28" s="164">
        <f t="shared" si="1"/>
        <v>0.53</v>
      </c>
      <c r="T28">
        <f t="shared" ref="T28:T93" si="2">P28-Q28-R28</f>
        <v>0.54</v>
      </c>
    </row>
    <row r="29" spans="1:20" ht="15.75" x14ac:dyDescent="0.25">
      <c r="A29" s="58"/>
      <c r="B29" s="59"/>
      <c r="C29" s="59"/>
      <c r="D29" s="59"/>
      <c r="E29" s="60"/>
      <c r="F29" s="80"/>
      <c r="G29" s="81"/>
      <c r="H29" s="81"/>
      <c r="I29" s="53"/>
      <c r="J29" s="75"/>
      <c r="K29" s="75"/>
      <c r="L29" s="63">
        <v>18382</v>
      </c>
      <c r="M29" s="61" t="s">
        <v>71</v>
      </c>
      <c r="N29" s="113" t="s">
        <v>56</v>
      </c>
      <c r="O29" s="62">
        <v>0.5</v>
      </c>
      <c r="P29" s="97">
        <f>IFERROR(VLOOKUP(L29,[1]TDSheet!A$12:D$300,4,FALSE),0)</f>
        <v>1.9750000000000001</v>
      </c>
      <c r="Q29" s="62">
        <v>0.5</v>
      </c>
      <c r="R29" s="62">
        <v>0.5</v>
      </c>
      <c r="S29" s="164">
        <f t="shared" si="1"/>
        <v>1</v>
      </c>
      <c r="T29">
        <f t="shared" si="2"/>
        <v>0.97500000000000009</v>
      </c>
    </row>
    <row r="30" spans="1:20" ht="15.75" x14ac:dyDescent="0.25">
      <c r="A30" s="58"/>
      <c r="B30" s="59"/>
      <c r="C30" s="59"/>
      <c r="D30" s="59"/>
      <c r="E30" s="60"/>
      <c r="F30" s="80"/>
      <c r="G30" s="81"/>
      <c r="H30" s="81"/>
      <c r="I30" s="53"/>
      <c r="J30" s="75"/>
      <c r="K30" s="75"/>
      <c r="L30" s="63">
        <v>18518</v>
      </c>
      <c r="M30" s="61" t="s">
        <v>72</v>
      </c>
      <c r="N30" s="113" t="s">
        <v>56</v>
      </c>
      <c r="O30" s="62">
        <f>0.012+0.012+0.009+0.034</f>
        <v>6.7000000000000004E-2</v>
      </c>
      <c r="P30" s="97">
        <f>IFERROR(VLOOKUP(L30,[1]TDSheet!A$12:D$300,4,FALSE),0)</f>
        <v>0.621</v>
      </c>
      <c r="Q30" s="62">
        <f>0.012+0.012+0.009+0.034</f>
        <v>6.7000000000000004E-2</v>
      </c>
      <c r="R30" s="62">
        <f>0.012+0.012+0.009+0.034</f>
        <v>6.7000000000000004E-2</v>
      </c>
      <c r="S30" s="164">
        <f t="shared" si="1"/>
        <v>0.13400000000000001</v>
      </c>
      <c r="T30">
        <f t="shared" si="2"/>
        <v>0.48700000000000004</v>
      </c>
    </row>
    <row r="31" spans="1:20" ht="15.75" x14ac:dyDescent="0.25">
      <c r="A31" s="58"/>
      <c r="B31" s="59"/>
      <c r="C31" s="59"/>
      <c r="D31" s="59"/>
      <c r="E31" s="60"/>
      <c r="F31" s="80"/>
      <c r="G31" s="81"/>
      <c r="H31" s="81"/>
      <c r="I31" s="53"/>
      <c r="J31" s="75"/>
      <c r="K31" s="75"/>
      <c r="L31" s="63">
        <v>599</v>
      </c>
      <c r="M31" s="61" t="s">
        <v>73</v>
      </c>
      <c r="N31" s="113" t="s">
        <v>34</v>
      </c>
      <c r="O31" s="62">
        <v>10</v>
      </c>
      <c r="P31" s="97">
        <f>IFERROR(VLOOKUP(L31,[1]TDSheet!A$12:D$300,4,FALSE),0)</f>
        <v>63</v>
      </c>
      <c r="Q31" s="62">
        <v>10</v>
      </c>
      <c r="R31" s="62">
        <v>10</v>
      </c>
      <c r="S31" s="164">
        <f t="shared" si="1"/>
        <v>20</v>
      </c>
      <c r="T31">
        <f t="shared" si="2"/>
        <v>43</v>
      </c>
    </row>
    <row r="32" spans="1:20" ht="15.75" x14ac:dyDescent="0.25">
      <c r="A32" s="58"/>
      <c r="B32" s="59"/>
      <c r="C32" s="59"/>
      <c r="D32" s="59"/>
      <c r="E32" s="60"/>
      <c r="F32" s="80"/>
      <c r="G32" s="81"/>
      <c r="H32" s="81"/>
      <c r="I32" s="53"/>
      <c r="J32" s="75"/>
      <c r="K32" s="75"/>
      <c r="L32" s="63">
        <v>616</v>
      </c>
      <c r="M32" s="61" t="s">
        <v>279</v>
      </c>
      <c r="N32" s="113" t="s">
        <v>34</v>
      </c>
      <c r="O32" s="62">
        <v>2</v>
      </c>
      <c r="P32" s="97">
        <f>IFERROR(VLOOKUP(L32,[1]TDSheet!A$12:D$300,4,FALSE),0)</f>
        <v>60</v>
      </c>
      <c r="Q32" s="62">
        <v>2</v>
      </c>
      <c r="R32" s="62">
        <v>2</v>
      </c>
      <c r="S32" s="164">
        <f t="shared" si="1"/>
        <v>4</v>
      </c>
      <c r="T32">
        <f t="shared" si="2"/>
        <v>56</v>
      </c>
    </row>
    <row r="33" spans="1:20" ht="15.75" x14ac:dyDescent="0.25">
      <c r="A33" s="58"/>
      <c r="B33" s="59"/>
      <c r="C33" s="59"/>
      <c r="D33" s="59"/>
      <c r="E33" s="60"/>
      <c r="F33" s="80"/>
      <c r="G33" s="81"/>
      <c r="H33" s="81"/>
      <c r="I33" s="53"/>
      <c r="J33" s="75"/>
      <c r="K33" s="75"/>
      <c r="L33" s="63" t="s">
        <v>280</v>
      </c>
      <c r="M33" s="61" t="s">
        <v>281</v>
      </c>
      <c r="N33" s="113" t="s">
        <v>34</v>
      </c>
      <c r="O33" s="62">
        <v>1</v>
      </c>
      <c r="P33" s="97">
        <f>IFERROR(VLOOKUP(L33,[1]TDSheet!A$12:D$300,4,FALSE),0)</f>
        <v>3</v>
      </c>
      <c r="Q33" s="62">
        <v>1</v>
      </c>
      <c r="R33" s="62">
        <v>1</v>
      </c>
      <c r="S33" s="164">
        <f t="shared" si="1"/>
        <v>2</v>
      </c>
      <c r="T33">
        <f t="shared" si="2"/>
        <v>1</v>
      </c>
    </row>
    <row r="34" spans="1:20" ht="15.75" x14ac:dyDescent="0.25">
      <c r="A34" s="58"/>
      <c r="B34" s="59"/>
      <c r="C34" s="59"/>
      <c r="D34" s="59"/>
      <c r="E34" s="60"/>
      <c r="F34" s="80"/>
      <c r="G34" s="81"/>
      <c r="H34" s="81"/>
      <c r="I34" s="53"/>
      <c r="J34" s="75"/>
      <c r="K34" s="75"/>
      <c r="L34" s="63" t="s">
        <v>164</v>
      </c>
      <c r="M34" s="61" t="s">
        <v>165</v>
      </c>
      <c r="N34" s="113" t="s">
        <v>34</v>
      </c>
      <c r="O34" s="62">
        <v>1</v>
      </c>
      <c r="P34" s="97">
        <f>IFERROR(VLOOKUP(L34,[1]TDSheet!A$12:D$300,4,FALSE),0)</f>
        <v>7</v>
      </c>
      <c r="Q34" s="62">
        <v>1</v>
      </c>
      <c r="R34" s="62">
        <v>1</v>
      </c>
      <c r="S34" s="164">
        <f t="shared" si="1"/>
        <v>2</v>
      </c>
      <c r="T34">
        <f t="shared" si="2"/>
        <v>5</v>
      </c>
    </row>
    <row r="35" spans="1:20" ht="15.75" x14ac:dyDescent="0.25">
      <c r="A35" s="58"/>
      <c r="B35" s="59"/>
      <c r="C35" s="59"/>
      <c r="D35" s="59"/>
      <c r="E35" s="60"/>
      <c r="F35" s="80"/>
      <c r="G35" s="81"/>
      <c r="H35" s="81"/>
      <c r="I35" s="53"/>
      <c r="J35" s="75"/>
      <c r="K35" s="75"/>
      <c r="L35" s="63" t="s">
        <v>282</v>
      </c>
      <c r="M35" s="61" t="s">
        <v>283</v>
      </c>
      <c r="N35" s="113" t="s">
        <v>34</v>
      </c>
      <c r="O35" s="62">
        <v>7</v>
      </c>
      <c r="P35" s="97">
        <f>IFERROR(VLOOKUP(L35,[1]TDSheet!A$12:D$300,4,FALSE),0)</f>
        <v>58</v>
      </c>
      <c r="Q35" s="62">
        <v>7</v>
      </c>
      <c r="R35" s="62">
        <v>7</v>
      </c>
      <c r="S35" s="164">
        <f t="shared" si="1"/>
        <v>14</v>
      </c>
      <c r="T35">
        <f t="shared" si="2"/>
        <v>44</v>
      </c>
    </row>
    <row r="36" spans="1:20" ht="15.75" x14ac:dyDescent="0.25">
      <c r="A36" s="58"/>
      <c r="B36" s="59"/>
      <c r="C36" s="59"/>
      <c r="D36" s="59"/>
      <c r="E36" s="60"/>
      <c r="F36" s="80"/>
      <c r="G36" s="81"/>
      <c r="H36" s="81"/>
      <c r="I36" s="53"/>
      <c r="J36" s="75"/>
      <c r="K36" s="75"/>
      <c r="L36" s="63">
        <v>486</v>
      </c>
      <c r="M36" s="61" t="s">
        <v>284</v>
      </c>
      <c r="N36" s="113" t="s">
        <v>34</v>
      </c>
      <c r="O36" s="62">
        <v>4</v>
      </c>
      <c r="P36" s="97">
        <f>IFERROR(VLOOKUP(L36,[1]TDSheet!A$12:D$300,4,FALSE),0)</f>
        <v>28</v>
      </c>
      <c r="Q36" s="62">
        <v>4</v>
      </c>
      <c r="R36" s="62">
        <v>4</v>
      </c>
      <c r="S36" s="164">
        <f t="shared" si="1"/>
        <v>8</v>
      </c>
      <c r="T36">
        <f t="shared" si="2"/>
        <v>20</v>
      </c>
    </row>
    <row r="37" spans="1:20" ht="15.75" x14ac:dyDescent="0.25">
      <c r="A37" s="58"/>
      <c r="B37" s="59"/>
      <c r="C37" s="59"/>
      <c r="D37" s="59"/>
      <c r="E37" s="60"/>
      <c r="F37" s="80"/>
      <c r="G37" s="81"/>
      <c r="H37" s="81"/>
      <c r="I37" s="53"/>
      <c r="J37" s="75"/>
      <c r="K37" s="75"/>
      <c r="L37" s="63">
        <v>17002</v>
      </c>
      <c r="M37" s="61" t="s">
        <v>285</v>
      </c>
      <c r="N37" s="113" t="s">
        <v>34</v>
      </c>
      <c r="O37" s="62">
        <v>4</v>
      </c>
      <c r="P37" s="97">
        <f>IFERROR(VLOOKUP(L37,[1]TDSheet!A$12:D$300,4,FALSE),0)</f>
        <v>12</v>
      </c>
      <c r="Q37" s="62">
        <v>4</v>
      </c>
      <c r="R37" s="62">
        <v>4</v>
      </c>
      <c r="S37" s="164">
        <f t="shared" si="1"/>
        <v>8</v>
      </c>
      <c r="T37">
        <f t="shared" si="2"/>
        <v>4</v>
      </c>
    </row>
    <row r="38" spans="1:20" ht="15.75" x14ac:dyDescent="0.25">
      <c r="A38" s="58"/>
      <c r="B38" s="59"/>
      <c r="C38" s="59"/>
      <c r="D38" s="59"/>
      <c r="E38" s="60"/>
      <c r="F38" s="80"/>
      <c r="G38" s="81"/>
      <c r="H38" s="81"/>
      <c r="I38" s="53"/>
      <c r="J38" s="75"/>
      <c r="K38" s="75"/>
      <c r="L38" s="63" t="s">
        <v>286</v>
      </c>
      <c r="M38" s="61" t="s">
        <v>287</v>
      </c>
      <c r="N38" s="113" t="s">
        <v>34</v>
      </c>
      <c r="O38" s="62">
        <v>3</v>
      </c>
      <c r="P38" s="97">
        <f>IFERROR(VLOOKUP(L38,[1]TDSheet!A$12:D$300,4,FALSE),0)</f>
        <v>9</v>
      </c>
      <c r="Q38" s="62">
        <v>3</v>
      </c>
      <c r="R38" s="62">
        <v>3</v>
      </c>
      <c r="S38" s="164">
        <f t="shared" si="1"/>
        <v>6</v>
      </c>
      <c r="T38">
        <f t="shared" si="2"/>
        <v>3</v>
      </c>
    </row>
    <row r="39" spans="1:20" ht="15.75" x14ac:dyDescent="0.25">
      <c r="A39" s="58"/>
      <c r="B39" s="59"/>
      <c r="C39" s="59"/>
      <c r="D39" s="59"/>
      <c r="E39" s="60"/>
      <c r="F39" s="80"/>
      <c r="G39" s="81"/>
      <c r="H39" s="81"/>
      <c r="I39" s="53"/>
      <c r="J39" s="75"/>
      <c r="K39" s="75"/>
      <c r="L39" s="63">
        <v>10911</v>
      </c>
      <c r="M39" s="61" t="s">
        <v>288</v>
      </c>
      <c r="N39" s="113" t="s">
        <v>34</v>
      </c>
      <c r="O39" s="62">
        <v>3</v>
      </c>
      <c r="P39" s="97">
        <f>IFERROR(VLOOKUP(L39,[1]TDSheet!A$12:D$300,4,FALSE),0)</f>
        <v>9</v>
      </c>
      <c r="Q39" s="62">
        <v>3</v>
      </c>
      <c r="R39" s="62">
        <v>3</v>
      </c>
      <c r="S39" s="164">
        <f t="shared" si="1"/>
        <v>6</v>
      </c>
      <c r="T39">
        <f t="shared" si="2"/>
        <v>3</v>
      </c>
    </row>
    <row r="40" spans="1:20" ht="15.75" x14ac:dyDescent="0.25">
      <c r="A40" s="58"/>
      <c r="B40" s="59"/>
      <c r="C40" s="59"/>
      <c r="D40" s="59"/>
      <c r="E40" s="60"/>
      <c r="F40" s="80"/>
      <c r="G40" s="81"/>
      <c r="H40" s="81"/>
      <c r="I40" s="53"/>
      <c r="J40" s="75"/>
      <c r="K40" s="75"/>
      <c r="L40" s="63" t="s">
        <v>49</v>
      </c>
      <c r="M40" s="61" t="s">
        <v>74</v>
      </c>
      <c r="N40" s="113" t="s">
        <v>34</v>
      </c>
      <c r="O40" s="62">
        <v>6</v>
      </c>
      <c r="P40" s="97">
        <f>IFERROR(VLOOKUP(L40,[1]TDSheet!A$12:D$300,4,FALSE),0)</f>
        <v>96</v>
      </c>
      <c r="Q40" s="62">
        <v>6</v>
      </c>
      <c r="R40" s="62">
        <v>6</v>
      </c>
      <c r="S40" s="164">
        <f t="shared" si="1"/>
        <v>12</v>
      </c>
      <c r="T40">
        <f t="shared" si="2"/>
        <v>84</v>
      </c>
    </row>
    <row r="41" spans="1:20" ht="15.75" x14ac:dyDescent="0.25">
      <c r="A41" s="58"/>
      <c r="B41" s="59"/>
      <c r="C41" s="59"/>
      <c r="D41" s="59"/>
      <c r="E41" s="60"/>
      <c r="F41" s="80"/>
      <c r="G41" s="81"/>
      <c r="H41" s="81"/>
      <c r="I41" s="53"/>
      <c r="J41" s="75"/>
      <c r="K41" s="75"/>
      <c r="L41" s="63" t="s">
        <v>166</v>
      </c>
      <c r="M41" s="61" t="s">
        <v>167</v>
      </c>
      <c r="N41" s="113" t="s">
        <v>34</v>
      </c>
      <c r="O41" s="62">
        <v>2</v>
      </c>
      <c r="P41" s="97">
        <f>IFERROR(VLOOKUP(L41,[1]TDSheet!A$12:D$300,4,FALSE),0)</f>
        <v>1</v>
      </c>
      <c r="Q41" s="62">
        <v>1</v>
      </c>
      <c r="R41" s="62">
        <v>0</v>
      </c>
      <c r="S41" s="164">
        <f t="shared" si="1"/>
        <v>1</v>
      </c>
      <c r="T41">
        <f t="shared" si="2"/>
        <v>0</v>
      </c>
    </row>
    <row r="42" spans="1:20" ht="15.75" x14ac:dyDescent="0.25">
      <c r="A42" s="58"/>
      <c r="B42" s="59"/>
      <c r="C42" s="59"/>
      <c r="D42" s="59"/>
      <c r="E42" s="60"/>
      <c r="F42" s="80"/>
      <c r="G42" s="81"/>
      <c r="H42" s="81"/>
      <c r="I42" s="53"/>
      <c r="J42" s="75"/>
      <c r="K42" s="75"/>
      <c r="L42" s="63">
        <v>11950</v>
      </c>
      <c r="M42" s="61" t="s">
        <v>760</v>
      </c>
      <c r="N42" s="113" t="s">
        <v>34</v>
      </c>
      <c r="O42" s="62">
        <v>0</v>
      </c>
      <c r="P42" s="97">
        <f>IFERROR(VLOOKUP(L42,[1]TDSheet!A$12:D$300,4,FALSE),0)</f>
        <v>14</v>
      </c>
      <c r="Q42" s="62">
        <v>1</v>
      </c>
      <c r="R42" s="62">
        <v>2</v>
      </c>
      <c r="S42" s="164">
        <f t="shared" si="1"/>
        <v>3</v>
      </c>
      <c r="T42">
        <f t="shared" si="2"/>
        <v>11</v>
      </c>
    </row>
    <row r="43" spans="1:20" ht="15.75" x14ac:dyDescent="0.25">
      <c r="A43" s="58"/>
      <c r="B43" s="59"/>
      <c r="C43" s="59"/>
      <c r="D43" s="59"/>
      <c r="E43" s="60"/>
      <c r="F43" s="80"/>
      <c r="G43" s="81"/>
      <c r="H43" s="81"/>
      <c r="I43" s="53"/>
      <c r="J43" s="75"/>
      <c r="K43" s="75"/>
      <c r="L43" s="63">
        <v>5990</v>
      </c>
      <c r="M43" s="61" t="s">
        <v>75</v>
      </c>
      <c r="N43" s="113" t="s">
        <v>34</v>
      </c>
      <c r="O43" s="62">
        <v>4</v>
      </c>
      <c r="P43" s="97">
        <f>IFERROR(VLOOKUP(L43,[1]TDSheet!A$12:D$300,4,FALSE),0)</f>
        <v>96</v>
      </c>
      <c r="Q43" s="62">
        <v>20</v>
      </c>
      <c r="R43" s="62">
        <v>20</v>
      </c>
      <c r="S43" s="164">
        <f t="shared" si="1"/>
        <v>40</v>
      </c>
      <c r="T43">
        <f t="shared" si="2"/>
        <v>56</v>
      </c>
    </row>
    <row r="44" spans="1:20" ht="15.75" x14ac:dyDescent="0.25">
      <c r="A44" s="58"/>
      <c r="B44" s="59"/>
      <c r="C44" s="59"/>
      <c r="D44" s="59"/>
      <c r="E44" s="60"/>
      <c r="F44" s="80"/>
      <c r="G44" s="81"/>
      <c r="H44" s="81"/>
      <c r="I44" s="53"/>
      <c r="J44" s="75"/>
      <c r="K44" s="75"/>
      <c r="L44" s="63">
        <v>11093</v>
      </c>
      <c r="M44" s="61" t="s">
        <v>289</v>
      </c>
      <c r="N44" s="113" t="s">
        <v>35</v>
      </c>
      <c r="O44" s="62">
        <v>19</v>
      </c>
      <c r="P44" s="97">
        <f>IFERROR(VLOOKUP(L44,[1]TDSheet!A$12:D$300,4,FALSE),0)</f>
        <v>9.5</v>
      </c>
      <c r="Q44" s="62">
        <v>9.5</v>
      </c>
      <c r="R44" s="62">
        <v>0</v>
      </c>
      <c r="S44" s="164">
        <f t="shared" si="1"/>
        <v>9.5</v>
      </c>
      <c r="T44">
        <f t="shared" si="2"/>
        <v>0</v>
      </c>
    </row>
    <row r="45" spans="1:20" ht="15.75" x14ac:dyDescent="0.25">
      <c r="A45" s="58"/>
      <c r="B45" s="59"/>
      <c r="C45" s="59"/>
      <c r="D45" s="59"/>
      <c r="E45" s="60"/>
      <c r="F45" s="80"/>
      <c r="G45" s="81"/>
      <c r="H45" s="81"/>
      <c r="I45" s="53"/>
      <c r="J45" s="75"/>
      <c r="K45" s="75"/>
      <c r="L45" s="63" t="s">
        <v>42</v>
      </c>
      <c r="M45" s="61" t="s">
        <v>76</v>
      </c>
      <c r="N45" s="113" t="s">
        <v>34</v>
      </c>
      <c r="O45" s="62">
        <v>2250</v>
      </c>
      <c r="P45" s="97">
        <f>IFERROR(VLOOKUP(L45,[1]TDSheet!A$12:D$300,4,FALSE),0)</f>
        <v>2500</v>
      </c>
      <c r="Q45" s="62">
        <v>1250</v>
      </c>
      <c r="R45" s="62">
        <v>1250</v>
      </c>
      <c r="S45" s="164">
        <f t="shared" si="1"/>
        <v>2500</v>
      </c>
      <c r="T45">
        <f t="shared" si="2"/>
        <v>0</v>
      </c>
    </row>
    <row r="46" spans="1:20" ht="15.75" x14ac:dyDescent="0.25">
      <c r="A46" s="58"/>
      <c r="B46" s="59"/>
      <c r="C46" s="59"/>
      <c r="D46" s="59"/>
      <c r="E46" s="60"/>
      <c r="F46" s="80"/>
      <c r="G46" s="81"/>
      <c r="H46" s="81"/>
      <c r="I46" s="53"/>
      <c r="J46" s="75"/>
      <c r="K46" s="75"/>
      <c r="L46" s="63" t="s">
        <v>168</v>
      </c>
      <c r="M46" s="61" t="s">
        <v>169</v>
      </c>
      <c r="N46" s="113" t="s">
        <v>34</v>
      </c>
      <c r="O46" s="62">
        <v>2600</v>
      </c>
      <c r="P46" s="97">
        <f>IFERROR(VLOOKUP(L46,[1]TDSheet!A$12:D$300,4,FALSE),0)</f>
        <v>12400</v>
      </c>
      <c r="Q46" s="62">
        <v>3600</v>
      </c>
      <c r="R46" s="62">
        <v>3600</v>
      </c>
      <c r="S46" s="164">
        <f t="shared" si="1"/>
        <v>7200</v>
      </c>
      <c r="T46">
        <f t="shared" si="2"/>
        <v>5200</v>
      </c>
    </row>
    <row r="47" spans="1:20" ht="15.75" x14ac:dyDescent="0.25">
      <c r="A47" s="58"/>
      <c r="B47" s="59"/>
      <c r="C47" s="59"/>
      <c r="D47" s="59"/>
      <c r="E47" s="60"/>
      <c r="F47" s="80"/>
      <c r="G47" s="81"/>
      <c r="H47" s="81"/>
      <c r="I47" s="53"/>
      <c r="J47" s="75"/>
      <c r="K47" s="75"/>
      <c r="L47" s="63">
        <v>5936</v>
      </c>
      <c r="M47" s="61" t="s">
        <v>77</v>
      </c>
      <c r="N47" s="113" t="s">
        <v>34</v>
      </c>
      <c r="O47" s="62">
        <v>3500</v>
      </c>
      <c r="P47" s="97">
        <f>IFERROR(VLOOKUP(L47,[1]TDSheet!A$12:D$300,4,FALSE),0)</f>
        <v>8300</v>
      </c>
      <c r="Q47" s="62">
        <v>3500</v>
      </c>
      <c r="R47" s="62">
        <v>3900</v>
      </c>
      <c r="S47" s="164">
        <f t="shared" si="1"/>
        <v>7400</v>
      </c>
      <c r="T47">
        <f t="shared" si="2"/>
        <v>900</v>
      </c>
    </row>
    <row r="48" spans="1:20" ht="15.75" x14ac:dyDescent="0.25">
      <c r="A48" s="58"/>
      <c r="B48" s="59"/>
      <c r="C48" s="59"/>
      <c r="D48" s="59"/>
      <c r="E48" s="60"/>
      <c r="F48" s="80"/>
      <c r="G48" s="81"/>
      <c r="H48" s="81"/>
      <c r="I48" s="53"/>
      <c r="J48" s="75"/>
      <c r="K48" s="75"/>
      <c r="L48" s="63" t="s">
        <v>41</v>
      </c>
      <c r="M48" s="61" t="s">
        <v>78</v>
      </c>
      <c r="N48" s="113" t="s">
        <v>34</v>
      </c>
      <c r="O48" s="62">
        <v>5100</v>
      </c>
      <c r="P48" s="97">
        <f>IFERROR(VLOOKUP(L48,[1]TDSheet!A$12:D$300,4,FALSE),0)</f>
        <v>9800</v>
      </c>
      <c r="Q48" s="62">
        <v>5100</v>
      </c>
      <c r="R48" s="62">
        <v>4700</v>
      </c>
      <c r="S48" s="164">
        <f t="shared" si="1"/>
        <v>9800</v>
      </c>
      <c r="T48">
        <f t="shared" si="2"/>
        <v>0</v>
      </c>
    </row>
    <row r="49" spans="1:20" ht="15.75" x14ac:dyDescent="0.25">
      <c r="A49" s="58"/>
      <c r="B49" s="59"/>
      <c r="C49" s="59"/>
      <c r="D49" s="59"/>
      <c r="E49" s="60"/>
      <c r="F49" s="80"/>
      <c r="G49" s="81"/>
      <c r="H49" s="81"/>
      <c r="I49" s="53"/>
      <c r="J49" s="75"/>
      <c r="K49" s="75"/>
      <c r="L49" s="63" t="s">
        <v>443</v>
      </c>
      <c r="M49" s="61" t="s">
        <v>79</v>
      </c>
      <c r="N49" s="113" t="s">
        <v>34</v>
      </c>
      <c r="O49" s="62">
        <v>1500</v>
      </c>
      <c r="P49" s="97">
        <f>IFERROR(VLOOKUP(L49,[1]TDSheet!A$12:D$300,4,FALSE),0)</f>
        <v>3250</v>
      </c>
      <c r="Q49" s="62">
        <v>1500</v>
      </c>
      <c r="R49" s="62">
        <v>1500</v>
      </c>
      <c r="S49" s="164">
        <f t="shared" si="1"/>
        <v>3000</v>
      </c>
      <c r="T49">
        <f t="shared" si="2"/>
        <v>250</v>
      </c>
    </row>
    <row r="50" spans="1:20" ht="15.75" x14ac:dyDescent="0.25">
      <c r="A50" s="58"/>
      <c r="B50" s="59"/>
      <c r="C50" s="59"/>
      <c r="D50" s="59"/>
      <c r="E50" s="60"/>
      <c r="F50" s="80"/>
      <c r="G50" s="81"/>
      <c r="H50" s="81"/>
      <c r="I50" s="53"/>
      <c r="J50" s="75"/>
      <c r="K50" s="75"/>
      <c r="L50" s="63" t="s">
        <v>763</v>
      </c>
      <c r="M50" s="61" t="s">
        <v>764</v>
      </c>
      <c r="N50" s="113"/>
      <c r="O50" s="62"/>
      <c r="P50" s="97">
        <f>IFERROR(VLOOKUP(L50,[1]TDSheet!A$12:D$300,4,FALSE),0)</f>
        <v>10000</v>
      </c>
      <c r="Q50" s="62">
        <v>1300</v>
      </c>
      <c r="R50" s="62">
        <v>1300</v>
      </c>
      <c r="S50" s="164">
        <f t="shared" si="1"/>
        <v>2600</v>
      </c>
      <c r="T50">
        <f t="shared" si="2"/>
        <v>7400</v>
      </c>
    </row>
    <row r="51" spans="1:20" ht="15.75" x14ac:dyDescent="0.25">
      <c r="A51" s="58"/>
      <c r="B51" s="59"/>
      <c r="C51" s="59"/>
      <c r="D51" s="59"/>
      <c r="E51" s="60"/>
      <c r="F51" s="80"/>
      <c r="G51" s="81"/>
      <c r="H51" s="81"/>
      <c r="I51" s="53"/>
      <c r="J51" s="75"/>
      <c r="K51" s="75"/>
      <c r="L51" s="63">
        <v>9513</v>
      </c>
      <c r="M51" s="61" t="s">
        <v>765</v>
      </c>
      <c r="N51" s="113"/>
      <c r="O51" s="62"/>
      <c r="P51" s="97">
        <f>IFERROR(VLOOKUP(L51,[1]TDSheet!A$12:D$300,4,FALSE),0)</f>
        <v>5000</v>
      </c>
      <c r="Q51" s="62">
        <v>700</v>
      </c>
      <c r="R51" s="62">
        <v>700</v>
      </c>
      <c r="S51" s="164">
        <f t="shared" si="1"/>
        <v>1400</v>
      </c>
      <c r="T51">
        <f t="shared" si="2"/>
        <v>3600</v>
      </c>
    </row>
    <row r="52" spans="1:20" ht="15.75" x14ac:dyDescent="0.25">
      <c r="A52" s="58"/>
      <c r="B52" s="59"/>
      <c r="C52" s="59"/>
      <c r="D52" s="59"/>
      <c r="E52" s="60"/>
      <c r="F52" s="80"/>
      <c r="G52" s="81"/>
      <c r="H52" s="81"/>
      <c r="I52" s="53"/>
      <c r="J52" s="75"/>
      <c r="K52" s="75"/>
      <c r="L52" s="63">
        <v>17039</v>
      </c>
      <c r="M52" s="61" t="s">
        <v>290</v>
      </c>
      <c r="N52" s="113" t="s">
        <v>34</v>
      </c>
      <c r="O52" s="62">
        <v>1</v>
      </c>
      <c r="P52" s="97">
        <f>IFERROR(VLOOKUP(L52,[1]TDSheet!A$12:D$300,4,FALSE),0)</f>
        <v>8</v>
      </c>
      <c r="Q52" s="62">
        <v>1</v>
      </c>
      <c r="R52" s="62">
        <v>1</v>
      </c>
      <c r="S52" s="164">
        <f t="shared" si="1"/>
        <v>2</v>
      </c>
      <c r="T52">
        <f t="shared" si="2"/>
        <v>6</v>
      </c>
    </row>
    <row r="53" spans="1:20" ht="15.75" x14ac:dyDescent="0.25">
      <c r="A53" s="58"/>
      <c r="B53" s="59"/>
      <c r="C53" s="59"/>
      <c r="D53" s="59"/>
      <c r="E53" s="60"/>
      <c r="F53" s="80"/>
      <c r="G53" s="81"/>
      <c r="H53" s="81"/>
      <c r="I53" s="53"/>
      <c r="J53" s="75"/>
      <c r="K53" s="75"/>
      <c r="L53" s="63" t="s">
        <v>170</v>
      </c>
      <c r="M53" s="61" t="s">
        <v>171</v>
      </c>
      <c r="N53" s="113" t="s">
        <v>34</v>
      </c>
      <c r="O53" s="62">
        <v>2</v>
      </c>
      <c r="P53" s="97">
        <f>IFERROR(VLOOKUP(L53,[1]TDSheet!A$12:D$300,4,FALSE),0)</f>
        <v>11</v>
      </c>
      <c r="Q53" s="62">
        <v>2</v>
      </c>
      <c r="R53" s="62">
        <v>2</v>
      </c>
      <c r="S53" s="164">
        <f t="shared" si="1"/>
        <v>4</v>
      </c>
      <c r="T53">
        <f t="shared" si="2"/>
        <v>7</v>
      </c>
    </row>
    <row r="54" spans="1:20" ht="15.75" x14ac:dyDescent="0.25">
      <c r="A54" s="58"/>
      <c r="B54" s="59"/>
      <c r="C54" s="59"/>
      <c r="D54" s="59"/>
      <c r="E54" s="60"/>
      <c r="F54" s="80"/>
      <c r="G54" s="81"/>
      <c r="H54" s="81"/>
      <c r="I54" s="53"/>
      <c r="J54" s="75"/>
      <c r="K54" s="75"/>
      <c r="L54" s="63">
        <v>597</v>
      </c>
      <c r="M54" s="61" t="s">
        <v>291</v>
      </c>
      <c r="N54" s="113" t="s">
        <v>34</v>
      </c>
      <c r="O54" s="62">
        <v>4</v>
      </c>
      <c r="P54" s="97">
        <f>IFERROR(VLOOKUP(L54,[1]TDSheet!A$12:D$300,4,FALSE),0)</f>
        <v>37</v>
      </c>
      <c r="Q54" s="62">
        <v>4</v>
      </c>
      <c r="R54" s="62">
        <v>4</v>
      </c>
      <c r="S54" s="164">
        <f t="shared" si="1"/>
        <v>8</v>
      </c>
      <c r="T54">
        <f t="shared" si="2"/>
        <v>29</v>
      </c>
    </row>
    <row r="55" spans="1:20" ht="15.75" x14ac:dyDescent="0.25">
      <c r="A55" s="58"/>
      <c r="B55" s="59"/>
      <c r="C55" s="59"/>
      <c r="D55" s="59"/>
      <c r="E55" s="60"/>
      <c r="F55" s="80"/>
      <c r="G55" s="81"/>
      <c r="H55" s="81"/>
      <c r="I55" s="53"/>
      <c r="J55" s="75"/>
      <c r="K55" s="75"/>
      <c r="L55" s="63" t="s">
        <v>746</v>
      </c>
      <c r="M55" s="61" t="s">
        <v>174</v>
      </c>
      <c r="N55" s="55" t="s">
        <v>34</v>
      </c>
      <c r="O55" s="62">
        <v>16</v>
      </c>
      <c r="P55" s="97">
        <f>IFERROR(VLOOKUP(L55,[1]TDSheet!A$12:D$300,4,FALSE),0)</f>
        <v>17</v>
      </c>
      <c r="Q55" s="62">
        <v>16</v>
      </c>
      <c r="R55" s="62">
        <v>16</v>
      </c>
      <c r="S55" s="164">
        <f t="shared" si="1"/>
        <v>32</v>
      </c>
      <c r="T55">
        <f t="shared" si="2"/>
        <v>-15</v>
      </c>
    </row>
    <row r="56" spans="1:20" ht="15.75" x14ac:dyDescent="0.25">
      <c r="A56" s="58"/>
      <c r="B56" s="59"/>
      <c r="C56" s="59"/>
      <c r="D56" s="59"/>
      <c r="E56" s="60"/>
      <c r="F56" s="80"/>
      <c r="G56" s="81"/>
      <c r="H56" s="81"/>
      <c r="I56" s="53"/>
      <c r="J56" s="75"/>
      <c r="K56" s="75"/>
      <c r="L56" s="63" t="s">
        <v>175</v>
      </c>
      <c r="M56" s="61" t="s">
        <v>176</v>
      </c>
      <c r="N56" s="55" t="s">
        <v>34</v>
      </c>
      <c r="O56" s="62">
        <v>1</v>
      </c>
      <c r="P56" s="97">
        <f>IFERROR(VLOOKUP(L56,[1]TDSheet!A$12:D$300,4,FALSE),0)</f>
        <v>2</v>
      </c>
      <c r="Q56" s="62">
        <v>1</v>
      </c>
      <c r="R56" s="62">
        <v>1</v>
      </c>
      <c r="S56" s="164">
        <f t="shared" si="1"/>
        <v>2</v>
      </c>
      <c r="T56">
        <f t="shared" si="2"/>
        <v>0</v>
      </c>
    </row>
    <row r="57" spans="1:20" ht="15.75" x14ac:dyDescent="0.25">
      <c r="A57" s="58"/>
      <c r="B57" s="59"/>
      <c r="C57" s="59"/>
      <c r="D57" s="59"/>
      <c r="E57" s="60"/>
      <c r="F57" s="80"/>
      <c r="G57" s="81"/>
      <c r="H57" s="81"/>
      <c r="I57" s="53"/>
      <c r="J57" s="75"/>
      <c r="K57" s="75"/>
      <c r="L57" s="63">
        <v>89</v>
      </c>
      <c r="M57" s="61" t="s">
        <v>294</v>
      </c>
      <c r="N57" s="55" t="s">
        <v>34</v>
      </c>
      <c r="O57" s="62">
        <v>2</v>
      </c>
      <c r="P57" s="97">
        <f>IFERROR(VLOOKUP(L57,[1]TDSheet!A$12:D$300,4,FALSE),0)</f>
        <v>6</v>
      </c>
      <c r="Q57" s="62">
        <v>2</v>
      </c>
      <c r="R57" s="62">
        <v>2</v>
      </c>
      <c r="S57" s="164">
        <f t="shared" si="1"/>
        <v>4</v>
      </c>
      <c r="T57">
        <f t="shared" si="2"/>
        <v>2</v>
      </c>
    </row>
    <row r="58" spans="1:20" ht="15.75" x14ac:dyDescent="0.25">
      <c r="A58" s="58"/>
      <c r="B58" s="59"/>
      <c r="C58" s="59"/>
      <c r="D58" s="59"/>
      <c r="E58" s="60"/>
      <c r="F58" s="80"/>
      <c r="G58" s="81"/>
      <c r="H58" s="81"/>
      <c r="I58" s="53"/>
      <c r="J58" s="75"/>
      <c r="K58" s="75"/>
      <c r="L58" s="63">
        <v>87</v>
      </c>
      <c r="M58" s="61" t="s">
        <v>295</v>
      </c>
      <c r="N58" s="55" t="s">
        <v>34</v>
      </c>
      <c r="O58" s="62">
        <v>3</v>
      </c>
      <c r="P58" s="97">
        <f>IFERROR(VLOOKUP(L58,[1]TDSheet!A$12:D$300,4,FALSE),0)</f>
        <v>9</v>
      </c>
      <c r="Q58" s="62">
        <v>3</v>
      </c>
      <c r="R58" s="62">
        <v>3</v>
      </c>
      <c r="S58" s="164">
        <f t="shared" si="1"/>
        <v>6</v>
      </c>
      <c r="T58">
        <f t="shared" si="2"/>
        <v>3</v>
      </c>
    </row>
    <row r="59" spans="1:20" ht="15.75" x14ac:dyDescent="0.25">
      <c r="A59" s="58"/>
      <c r="B59" s="59"/>
      <c r="C59" s="59"/>
      <c r="D59" s="59"/>
      <c r="E59" s="60"/>
      <c r="F59" s="80"/>
      <c r="G59" s="81"/>
      <c r="H59" s="81"/>
      <c r="I59" s="53"/>
      <c r="J59" s="75"/>
      <c r="K59" s="75"/>
      <c r="L59" s="63">
        <v>19322</v>
      </c>
      <c r="M59" s="61" t="s">
        <v>296</v>
      </c>
      <c r="N59" s="113" t="s">
        <v>34</v>
      </c>
      <c r="O59" s="62">
        <v>6</v>
      </c>
      <c r="P59" s="97">
        <f>IFERROR(VLOOKUP(L59,[1]TDSheet!A$12:D$300,4,FALSE),0)</f>
        <v>21</v>
      </c>
      <c r="Q59" s="62">
        <v>6</v>
      </c>
      <c r="R59" s="62">
        <v>6</v>
      </c>
      <c r="S59" s="164">
        <f t="shared" si="1"/>
        <v>12</v>
      </c>
      <c r="T59">
        <f t="shared" si="2"/>
        <v>9</v>
      </c>
    </row>
    <row r="60" spans="1:20" ht="15.75" x14ac:dyDescent="0.25">
      <c r="A60" s="58"/>
      <c r="B60" s="59"/>
      <c r="C60" s="59"/>
      <c r="D60" s="59"/>
      <c r="E60" s="60"/>
      <c r="F60" s="80"/>
      <c r="G60" s="81"/>
      <c r="H60" s="81"/>
      <c r="I60" s="53"/>
      <c r="J60" s="75"/>
      <c r="K60" s="75"/>
      <c r="L60" s="63">
        <v>341</v>
      </c>
      <c r="M60" s="61" t="s">
        <v>297</v>
      </c>
      <c r="N60" s="113" t="s">
        <v>34</v>
      </c>
      <c r="O60" s="62">
        <v>6</v>
      </c>
      <c r="P60" s="97">
        <f>IFERROR(VLOOKUP(L60,[1]TDSheet!A$12:D$300,4,FALSE),0)</f>
        <v>38</v>
      </c>
      <c r="Q60" s="62">
        <v>6</v>
      </c>
      <c r="R60" s="62">
        <v>6</v>
      </c>
      <c r="S60" s="164">
        <f t="shared" si="1"/>
        <v>12</v>
      </c>
      <c r="T60">
        <f t="shared" si="2"/>
        <v>26</v>
      </c>
    </row>
    <row r="61" spans="1:20" ht="15.75" x14ac:dyDescent="0.25">
      <c r="A61" s="58"/>
      <c r="B61" s="59"/>
      <c r="C61" s="59"/>
      <c r="D61" s="59"/>
      <c r="E61" s="60"/>
      <c r="F61" s="80"/>
      <c r="G61" s="81"/>
      <c r="H61" s="81"/>
      <c r="I61" s="53"/>
      <c r="J61" s="75"/>
      <c r="K61" s="75"/>
      <c r="L61" s="63">
        <v>19317</v>
      </c>
      <c r="M61" s="61" t="s">
        <v>177</v>
      </c>
      <c r="N61" s="113" t="s">
        <v>34</v>
      </c>
      <c r="O61" s="62">
        <v>12</v>
      </c>
      <c r="P61" s="97">
        <f>IFERROR(VLOOKUP(L61,[1]TDSheet!A$12:D$300,4,FALSE),0)</f>
        <v>1</v>
      </c>
      <c r="Q61" s="62">
        <v>1</v>
      </c>
      <c r="R61" s="62">
        <v>0</v>
      </c>
      <c r="S61" s="164">
        <f t="shared" si="1"/>
        <v>1</v>
      </c>
      <c r="T61">
        <f t="shared" si="2"/>
        <v>0</v>
      </c>
    </row>
    <row r="62" spans="1:20" ht="15.75" x14ac:dyDescent="0.25">
      <c r="A62" s="58"/>
      <c r="B62" s="59"/>
      <c r="C62" s="59"/>
      <c r="D62" s="59"/>
      <c r="E62" s="60"/>
      <c r="F62" s="80"/>
      <c r="G62" s="81"/>
      <c r="H62" s="81"/>
      <c r="I62" s="53"/>
      <c r="J62" s="75"/>
      <c r="K62" s="75"/>
      <c r="L62" s="63">
        <v>18688</v>
      </c>
      <c r="M62" s="61" t="s">
        <v>766</v>
      </c>
      <c r="N62" s="113" t="s">
        <v>57</v>
      </c>
      <c r="O62" s="62"/>
      <c r="P62" s="97">
        <f>IFERROR(VLOOKUP(L62,[1]TDSheet!A$12:D$300,4,FALSE),0)</f>
        <v>250</v>
      </c>
      <c r="Q62" s="62">
        <v>11</v>
      </c>
      <c r="R62" s="62">
        <v>12</v>
      </c>
      <c r="S62" s="164">
        <f t="shared" si="1"/>
        <v>23</v>
      </c>
      <c r="T62">
        <f t="shared" si="2"/>
        <v>227</v>
      </c>
    </row>
    <row r="63" spans="1:20" ht="15.75" x14ac:dyDescent="0.25">
      <c r="A63" s="58"/>
      <c r="B63" s="59"/>
      <c r="C63" s="59"/>
      <c r="D63" s="59"/>
      <c r="E63" s="60"/>
      <c r="F63" s="80"/>
      <c r="G63" s="81"/>
      <c r="H63" s="81"/>
      <c r="I63" s="53"/>
      <c r="J63" s="75"/>
      <c r="K63" s="75"/>
      <c r="L63" s="63" t="s">
        <v>298</v>
      </c>
      <c r="M63" s="61" t="s">
        <v>299</v>
      </c>
      <c r="N63" s="113" t="s">
        <v>34</v>
      </c>
      <c r="O63" s="62">
        <v>8</v>
      </c>
      <c r="P63" s="97">
        <f>IFERROR(VLOOKUP(L63,[1]TDSheet!A$12:D$300,4,FALSE),0)</f>
        <v>51</v>
      </c>
      <c r="Q63" s="62">
        <v>8</v>
      </c>
      <c r="R63" s="62">
        <v>8</v>
      </c>
      <c r="S63" s="164">
        <f t="shared" si="1"/>
        <v>16</v>
      </c>
      <c r="T63">
        <f t="shared" si="2"/>
        <v>35</v>
      </c>
    </row>
    <row r="64" spans="1:20" ht="15.75" x14ac:dyDescent="0.25">
      <c r="A64" s="58"/>
      <c r="B64" s="59"/>
      <c r="C64" s="59"/>
      <c r="D64" s="59"/>
      <c r="E64" s="60"/>
      <c r="F64" s="80"/>
      <c r="G64" s="81"/>
      <c r="H64" s="81"/>
      <c r="I64" s="53"/>
      <c r="J64" s="75"/>
      <c r="K64" s="75"/>
      <c r="L64" s="63" t="s">
        <v>754</v>
      </c>
      <c r="M64" s="61" t="s">
        <v>755</v>
      </c>
      <c r="N64" s="113" t="s">
        <v>34</v>
      </c>
      <c r="O64" s="62">
        <v>1</v>
      </c>
      <c r="P64" s="97">
        <f>IFERROR(VLOOKUP(L64,[1]TDSheet!A$12:D$300,4,FALSE),0)</f>
        <v>19</v>
      </c>
      <c r="Q64" s="62">
        <v>1</v>
      </c>
      <c r="R64" s="62">
        <v>1</v>
      </c>
      <c r="S64" s="164">
        <f t="shared" si="1"/>
        <v>2</v>
      </c>
      <c r="T64">
        <f t="shared" si="2"/>
        <v>17</v>
      </c>
    </row>
    <row r="65" spans="1:20" ht="15.75" x14ac:dyDescent="0.25">
      <c r="A65" s="58"/>
      <c r="B65" s="59"/>
      <c r="C65" s="59"/>
      <c r="D65" s="59"/>
      <c r="E65" s="60"/>
      <c r="F65" s="80"/>
      <c r="G65" s="81"/>
      <c r="H65" s="81"/>
      <c r="I65" s="53"/>
      <c r="J65" s="75"/>
      <c r="K65" s="75"/>
      <c r="L65" s="63" t="s">
        <v>302</v>
      </c>
      <c r="M65" s="61" t="s">
        <v>303</v>
      </c>
      <c r="N65" s="55" t="s">
        <v>35</v>
      </c>
      <c r="O65" s="62">
        <v>153</v>
      </c>
      <c r="P65" s="97">
        <f>IFERROR(VLOOKUP(L65,[1]TDSheet!A$12:D$300,4,FALSE),0)</f>
        <v>973</v>
      </c>
      <c r="Q65" s="62">
        <v>153</v>
      </c>
      <c r="R65" s="62">
        <v>153</v>
      </c>
      <c r="S65" s="164">
        <f t="shared" si="1"/>
        <v>306</v>
      </c>
      <c r="T65">
        <f t="shared" si="2"/>
        <v>667</v>
      </c>
    </row>
    <row r="66" spans="1:20" ht="15.75" x14ac:dyDescent="0.25">
      <c r="A66" s="58"/>
      <c r="B66" s="59"/>
      <c r="C66" s="59"/>
      <c r="D66" s="59"/>
      <c r="E66" s="60"/>
      <c r="F66" s="80"/>
      <c r="G66" s="81"/>
      <c r="H66" s="81"/>
      <c r="I66" s="53"/>
      <c r="J66" s="75"/>
      <c r="K66" s="75"/>
      <c r="L66" s="144" t="s">
        <v>51</v>
      </c>
      <c r="M66" s="61" t="s">
        <v>52</v>
      </c>
      <c r="N66" s="55" t="s">
        <v>68</v>
      </c>
      <c r="O66" s="138">
        <v>17.725000000000001</v>
      </c>
      <c r="P66" s="97">
        <f>IFERROR(VLOOKUP(L66,[1]TDSheet!A$12:D$300,4,FALSE),0)</f>
        <v>0</v>
      </c>
      <c r="Q66" s="138">
        <v>17.725000000000001</v>
      </c>
      <c r="R66" s="138">
        <v>17.725000000000001</v>
      </c>
      <c r="S66" s="164">
        <f t="shared" si="1"/>
        <v>35.450000000000003</v>
      </c>
      <c r="T66">
        <f t="shared" si="2"/>
        <v>-35.450000000000003</v>
      </c>
    </row>
    <row r="67" spans="1:20" ht="15.75" x14ac:dyDescent="0.25">
      <c r="A67" s="58"/>
      <c r="B67" s="59"/>
      <c r="C67" s="59"/>
      <c r="D67" s="59"/>
      <c r="E67" s="60"/>
      <c r="F67" s="80"/>
      <c r="G67" s="81"/>
      <c r="H67" s="81"/>
      <c r="I67" s="53"/>
      <c r="J67" s="75"/>
      <c r="K67" s="75"/>
      <c r="L67" s="63" t="s">
        <v>304</v>
      </c>
      <c r="M67" s="61" t="s">
        <v>305</v>
      </c>
      <c r="N67" s="113" t="s">
        <v>34</v>
      </c>
      <c r="O67" s="62">
        <v>40</v>
      </c>
      <c r="P67" s="97">
        <f>IFERROR(VLOOKUP(L67,[1]TDSheet!A$12:D$300,4,FALSE),0)</f>
        <v>382</v>
      </c>
      <c r="Q67" s="62">
        <v>40</v>
      </c>
      <c r="R67" s="62">
        <v>56</v>
      </c>
      <c r="S67" s="164">
        <f t="shared" si="1"/>
        <v>96</v>
      </c>
      <c r="T67">
        <f t="shared" si="2"/>
        <v>286</v>
      </c>
    </row>
    <row r="68" spans="1:20" ht="15.75" x14ac:dyDescent="0.25">
      <c r="A68" s="58"/>
      <c r="B68" s="59"/>
      <c r="C68" s="59"/>
      <c r="D68" s="59"/>
      <c r="E68" s="60"/>
      <c r="F68" s="80"/>
      <c r="G68" s="81"/>
      <c r="H68" s="81"/>
      <c r="I68" s="53"/>
      <c r="J68" s="75"/>
      <c r="K68" s="75"/>
      <c r="L68" s="63" t="s">
        <v>306</v>
      </c>
      <c r="M68" s="61" t="s">
        <v>307</v>
      </c>
      <c r="N68" s="113" t="s">
        <v>34</v>
      </c>
      <c r="O68" s="62">
        <v>16</v>
      </c>
      <c r="P68" s="97">
        <f>IFERROR(VLOOKUP(L68,[1]TDSheet!A$12:D$300,4,FALSE),0)</f>
        <v>16</v>
      </c>
      <c r="Q68" s="62">
        <v>16</v>
      </c>
      <c r="R68" s="62">
        <v>0</v>
      </c>
      <c r="S68" s="164">
        <f t="shared" si="1"/>
        <v>16</v>
      </c>
      <c r="T68">
        <f t="shared" si="2"/>
        <v>0</v>
      </c>
    </row>
    <row r="69" spans="1:20" ht="15.75" x14ac:dyDescent="0.25">
      <c r="A69" s="58"/>
      <c r="B69" s="59"/>
      <c r="C69" s="59"/>
      <c r="D69" s="59"/>
      <c r="E69" s="60"/>
      <c r="F69" s="80"/>
      <c r="G69" s="81"/>
      <c r="H69" s="81"/>
      <c r="I69" s="53"/>
      <c r="J69" s="75"/>
      <c r="K69" s="75"/>
      <c r="L69" s="63" t="s">
        <v>308</v>
      </c>
      <c r="M69" s="61" t="s">
        <v>309</v>
      </c>
      <c r="N69" s="113" t="s">
        <v>34</v>
      </c>
      <c r="O69" s="62">
        <v>32</v>
      </c>
      <c r="P69" s="97">
        <f>IFERROR(VLOOKUP(L69,[1]TDSheet!A$12:D$300,4,FALSE),0)</f>
        <v>160</v>
      </c>
      <c r="Q69" s="62">
        <v>32</v>
      </c>
      <c r="R69" s="62">
        <v>32</v>
      </c>
      <c r="S69" s="164">
        <f t="shared" si="1"/>
        <v>64</v>
      </c>
      <c r="T69">
        <f t="shared" si="2"/>
        <v>96</v>
      </c>
    </row>
    <row r="70" spans="1:20" ht="15.75" x14ac:dyDescent="0.25">
      <c r="A70" s="58"/>
      <c r="B70" s="59"/>
      <c r="C70" s="59"/>
      <c r="D70" s="59"/>
      <c r="E70" s="60"/>
      <c r="F70" s="80"/>
      <c r="G70" s="81"/>
      <c r="H70" s="81"/>
      <c r="I70" s="53"/>
      <c r="J70" s="75"/>
      <c r="K70" s="75"/>
      <c r="L70" s="63" t="s">
        <v>310</v>
      </c>
      <c r="M70" s="61" t="s">
        <v>311</v>
      </c>
      <c r="N70" s="113" t="s">
        <v>34</v>
      </c>
      <c r="O70" s="62">
        <v>8</v>
      </c>
      <c r="P70" s="97">
        <f>IFERROR(VLOOKUP(L70,[1]TDSheet!A$12:D$300,4,FALSE),0)</f>
        <v>40</v>
      </c>
      <c r="Q70" s="62">
        <v>8</v>
      </c>
      <c r="R70" s="62">
        <v>8</v>
      </c>
      <c r="S70" s="164">
        <f t="shared" si="1"/>
        <v>16</v>
      </c>
      <c r="T70">
        <f t="shared" si="2"/>
        <v>24</v>
      </c>
    </row>
    <row r="71" spans="1:20" ht="15.75" x14ac:dyDescent="0.25">
      <c r="A71" s="58"/>
      <c r="B71" s="59"/>
      <c r="C71" s="59"/>
      <c r="D71" s="59"/>
      <c r="E71" s="60"/>
      <c r="F71" s="80"/>
      <c r="G71" s="81"/>
      <c r="H71" s="81"/>
      <c r="I71" s="53"/>
      <c r="J71" s="75"/>
      <c r="K71" s="75"/>
      <c r="L71" s="63" t="s">
        <v>312</v>
      </c>
      <c r="M71" s="61" t="s">
        <v>313</v>
      </c>
      <c r="N71" s="113" t="s">
        <v>34</v>
      </c>
      <c r="O71" s="62">
        <v>4</v>
      </c>
      <c r="P71" s="97">
        <f>IFERROR(VLOOKUP(L71,[1]TDSheet!A$12:D$300,4,FALSE),0)</f>
        <v>16</v>
      </c>
      <c r="Q71" s="62">
        <v>4</v>
      </c>
      <c r="R71" s="62">
        <v>4</v>
      </c>
      <c r="S71" s="164">
        <f t="shared" si="1"/>
        <v>8</v>
      </c>
      <c r="T71">
        <f t="shared" si="2"/>
        <v>8</v>
      </c>
    </row>
    <row r="72" spans="1:20" ht="15.75" x14ac:dyDescent="0.25">
      <c r="A72" s="58"/>
      <c r="B72" s="59"/>
      <c r="C72" s="59"/>
      <c r="D72" s="59"/>
      <c r="E72" s="60"/>
      <c r="F72" s="80"/>
      <c r="G72" s="81"/>
      <c r="H72" s="81"/>
      <c r="I72" s="53"/>
      <c r="J72" s="75"/>
      <c r="K72" s="75"/>
      <c r="L72" s="63" t="s">
        <v>314</v>
      </c>
      <c r="M72" s="61" t="s">
        <v>315</v>
      </c>
      <c r="N72" s="113" t="s">
        <v>66</v>
      </c>
      <c r="O72" s="62">
        <v>0.504</v>
      </c>
      <c r="P72" s="97">
        <f>IFERROR(VLOOKUP(L72,[1]TDSheet!A$12:D$300,4,FALSE),0)</f>
        <v>3.1080000000000001</v>
      </c>
      <c r="Q72" s="62">
        <v>0.504</v>
      </c>
      <c r="R72" s="62">
        <v>0.504</v>
      </c>
      <c r="S72" s="164">
        <f t="shared" si="1"/>
        <v>1.008</v>
      </c>
      <c r="T72">
        <f t="shared" si="2"/>
        <v>2.1</v>
      </c>
    </row>
    <row r="73" spans="1:20" ht="15.75" x14ac:dyDescent="0.25">
      <c r="A73" s="58"/>
      <c r="B73" s="59"/>
      <c r="C73" s="59"/>
      <c r="D73" s="59"/>
      <c r="E73" s="60"/>
      <c r="F73" s="80"/>
      <c r="G73" s="81"/>
      <c r="H73" s="81"/>
      <c r="I73" s="53"/>
      <c r="J73" s="75"/>
      <c r="K73" s="75"/>
      <c r="L73" s="63">
        <v>7114</v>
      </c>
      <c r="M73" s="61" t="s">
        <v>316</v>
      </c>
      <c r="N73" s="113" t="s">
        <v>34</v>
      </c>
      <c r="O73" s="62">
        <v>1</v>
      </c>
      <c r="P73" s="97">
        <f>IFERROR(VLOOKUP(L73,[1]TDSheet!A$12:D$300,4,FALSE),0)</f>
        <v>3</v>
      </c>
      <c r="Q73" s="97">
        <v>1.5</v>
      </c>
      <c r="R73" s="101">
        <v>1.5</v>
      </c>
      <c r="S73" s="164">
        <f t="shared" si="1"/>
        <v>3</v>
      </c>
      <c r="T73">
        <f t="shared" si="2"/>
        <v>0</v>
      </c>
    </row>
    <row r="74" spans="1:20" ht="15.75" x14ac:dyDescent="0.25">
      <c r="A74" s="58"/>
      <c r="B74" s="59"/>
      <c r="C74" s="59"/>
      <c r="D74" s="59"/>
      <c r="E74" s="60"/>
      <c r="F74" s="80"/>
      <c r="G74" s="81"/>
      <c r="H74" s="81"/>
      <c r="I74" s="53"/>
      <c r="J74" s="75"/>
      <c r="K74" s="75"/>
      <c r="L74" s="63">
        <v>9858</v>
      </c>
      <c r="M74" s="61" t="s">
        <v>178</v>
      </c>
      <c r="N74" s="113" t="s">
        <v>56</v>
      </c>
      <c r="O74" s="62">
        <v>0.01</v>
      </c>
      <c r="P74" s="97">
        <f>IFERROR(VLOOKUP(L74,[1]TDSheet!A$12:D$300,4,FALSE),0)</f>
        <v>3.5999999999999997E-2</v>
      </c>
      <c r="Q74" s="62">
        <v>0.01</v>
      </c>
      <c r="R74" s="62">
        <v>0.01</v>
      </c>
      <c r="S74" s="164">
        <f t="shared" si="1"/>
        <v>0.02</v>
      </c>
      <c r="T74">
        <f t="shared" si="2"/>
        <v>1.5999999999999993E-2</v>
      </c>
    </row>
    <row r="75" spans="1:20" ht="15.75" x14ac:dyDescent="0.25">
      <c r="A75" s="58"/>
      <c r="B75" s="59"/>
      <c r="C75" s="59"/>
      <c r="D75" s="59"/>
      <c r="E75" s="60"/>
      <c r="F75" s="80"/>
      <c r="G75" s="81"/>
      <c r="H75" s="81"/>
      <c r="I75" s="53"/>
      <c r="J75" s="75"/>
      <c r="K75" s="75"/>
      <c r="L75" s="63" t="s">
        <v>758</v>
      </c>
      <c r="M75" s="61" t="s">
        <v>759</v>
      </c>
      <c r="N75" s="55" t="s">
        <v>34</v>
      </c>
      <c r="O75" s="62">
        <v>1</v>
      </c>
      <c r="P75" s="97">
        <f>IFERROR(VLOOKUP(L75,[1]TDSheet!A$12:D$300,4,FALSE),0)</f>
        <v>10</v>
      </c>
      <c r="Q75" s="62">
        <v>1</v>
      </c>
      <c r="R75" s="62">
        <v>1</v>
      </c>
      <c r="S75" s="164">
        <f t="shared" si="1"/>
        <v>2</v>
      </c>
      <c r="T75">
        <f t="shared" si="2"/>
        <v>8</v>
      </c>
    </row>
    <row r="76" spans="1:20" ht="15.75" x14ac:dyDescent="0.25">
      <c r="A76" s="58"/>
      <c r="B76" s="59"/>
      <c r="C76" s="59"/>
      <c r="D76" s="59"/>
      <c r="E76" s="60"/>
      <c r="F76" s="80"/>
      <c r="G76" s="81"/>
      <c r="H76" s="81"/>
      <c r="I76" s="53"/>
      <c r="J76" s="75"/>
      <c r="K76" s="75"/>
      <c r="L76" s="63" t="s">
        <v>179</v>
      </c>
      <c r="M76" s="61" t="s">
        <v>180</v>
      </c>
      <c r="N76" s="55" t="s">
        <v>34</v>
      </c>
      <c r="O76" s="62">
        <v>300</v>
      </c>
      <c r="P76" s="97">
        <f>IFERROR(VLOOKUP(L76,[1]TDSheet!A$12:D$300,4,FALSE),0)</f>
        <v>200</v>
      </c>
      <c r="Q76" s="62">
        <v>200</v>
      </c>
      <c r="R76" s="62">
        <v>0</v>
      </c>
      <c r="S76" s="164">
        <f t="shared" si="1"/>
        <v>200</v>
      </c>
      <c r="T76">
        <f t="shared" si="2"/>
        <v>0</v>
      </c>
    </row>
    <row r="77" spans="1:20" ht="15.75" x14ac:dyDescent="0.25">
      <c r="A77" s="58"/>
      <c r="B77" s="59"/>
      <c r="C77" s="59"/>
      <c r="D77" s="59"/>
      <c r="E77" s="60"/>
      <c r="F77" s="80"/>
      <c r="G77" s="81"/>
      <c r="H77" s="81"/>
      <c r="I77" s="53"/>
      <c r="J77" s="75"/>
      <c r="K77" s="75"/>
      <c r="L77" s="63" t="s">
        <v>181</v>
      </c>
      <c r="M77" s="61" t="s">
        <v>182</v>
      </c>
      <c r="N77" s="113" t="s">
        <v>34</v>
      </c>
      <c r="O77" s="62">
        <v>50</v>
      </c>
      <c r="P77" s="97">
        <f>IFERROR(VLOOKUP(L77,[1]TDSheet!A$12:D$300,4,FALSE),0)</f>
        <v>400</v>
      </c>
      <c r="Q77" s="62">
        <v>150</v>
      </c>
      <c r="R77" s="62">
        <v>250</v>
      </c>
      <c r="S77" s="164">
        <f t="shared" si="1"/>
        <v>400</v>
      </c>
      <c r="T77">
        <f t="shared" si="2"/>
        <v>0</v>
      </c>
    </row>
    <row r="78" spans="1:20" ht="15.75" x14ac:dyDescent="0.25">
      <c r="A78" s="58"/>
      <c r="B78" s="59"/>
      <c r="C78" s="59"/>
      <c r="D78" s="59"/>
      <c r="E78" s="60"/>
      <c r="F78" s="80"/>
      <c r="G78" s="81"/>
      <c r="H78" s="81"/>
      <c r="I78" s="53"/>
      <c r="J78" s="75"/>
      <c r="K78" s="75"/>
      <c r="L78" s="63" t="s">
        <v>322</v>
      </c>
      <c r="M78" s="61" t="s">
        <v>323</v>
      </c>
      <c r="N78" s="113" t="s">
        <v>34</v>
      </c>
      <c r="O78" s="62">
        <v>1</v>
      </c>
      <c r="P78" s="97">
        <f>IFERROR(VLOOKUP(L78,[1]TDSheet!A$12:D$300,4,FALSE),0)</f>
        <v>3</v>
      </c>
      <c r="Q78" s="62">
        <v>1</v>
      </c>
      <c r="R78" s="62">
        <v>1</v>
      </c>
      <c r="S78" s="164">
        <f t="shared" si="1"/>
        <v>2</v>
      </c>
      <c r="T78">
        <f t="shared" si="2"/>
        <v>1</v>
      </c>
    </row>
    <row r="79" spans="1:20" ht="15.75" x14ac:dyDescent="0.25">
      <c r="A79" s="58"/>
      <c r="B79" s="59"/>
      <c r="C79" s="59"/>
      <c r="D79" s="59"/>
      <c r="E79" s="60"/>
      <c r="F79" s="80"/>
      <c r="G79" s="81"/>
      <c r="H79" s="81"/>
      <c r="I79" s="53"/>
      <c r="J79" s="75"/>
      <c r="K79" s="75"/>
      <c r="L79" s="63" t="s">
        <v>324</v>
      </c>
      <c r="M79" s="61" t="s">
        <v>325</v>
      </c>
      <c r="N79" s="113" t="s">
        <v>34</v>
      </c>
      <c r="O79" s="62">
        <v>1</v>
      </c>
      <c r="P79" s="97">
        <f>IFERROR(VLOOKUP(L79,[1]TDSheet!A$12:D$300,4,FALSE),0)</f>
        <v>3</v>
      </c>
      <c r="Q79" s="62">
        <v>1</v>
      </c>
      <c r="R79" s="62">
        <v>1</v>
      </c>
      <c r="S79" s="164">
        <f t="shared" si="1"/>
        <v>2</v>
      </c>
      <c r="T79">
        <f t="shared" si="2"/>
        <v>1</v>
      </c>
    </row>
    <row r="80" spans="1:20" ht="15.75" x14ac:dyDescent="0.25">
      <c r="A80" s="58"/>
      <c r="B80" s="59"/>
      <c r="C80" s="59"/>
      <c r="D80" s="59"/>
      <c r="E80" s="60"/>
      <c r="F80" s="80"/>
      <c r="G80" s="81"/>
      <c r="H80" s="81"/>
      <c r="I80" s="53"/>
      <c r="J80" s="75"/>
      <c r="K80" s="75"/>
      <c r="L80" s="63" t="s">
        <v>326</v>
      </c>
      <c r="M80" s="61" t="s">
        <v>327</v>
      </c>
      <c r="N80" s="113" t="s">
        <v>34</v>
      </c>
      <c r="O80" s="62">
        <v>1</v>
      </c>
      <c r="P80" s="97">
        <f>IFERROR(VLOOKUP(L80,[1]TDSheet!A$12:D$300,4,FALSE),0)</f>
        <v>1</v>
      </c>
      <c r="Q80" s="62">
        <v>1</v>
      </c>
      <c r="R80" s="62">
        <v>1</v>
      </c>
      <c r="S80" s="164">
        <f t="shared" si="1"/>
        <v>2</v>
      </c>
      <c r="T80">
        <f t="shared" si="2"/>
        <v>-1</v>
      </c>
    </row>
    <row r="81" spans="1:20" ht="15.75" x14ac:dyDescent="0.25">
      <c r="A81" s="58"/>
      <c r="B81" s="59"/>
      <c r="C81" s="59"/>
      <c r="D81" s="59"/>
      <c r="E81" s="60"/>
      <c r="F81" s="80"/>
      <c r="G81" s="81"/>
      <c r="H81" s="81"/>
      <c r="I81" s="53"/>
      <c r="J81" s="75"/>
      <c r="K81" s="75"/>
      <c r="L81" s="63">
        <v>102</v>
      </c>
      <c r="M81" s="61" t="s">
        <v>328</v>
      </c>
      <c r="N81" s="113" t="s">
        <v>34</v>
      </c>
      <c r="O81" s="62">
        <v>24</v>
      </c>
      <c r="P81" s="97">
        <f>IFERROR(VLOOKUP(L81,[1]TDSheet!A$12:D$300,4,FALSE),0)</f>
        <v>57</v>
      </c>
      <c r="Q81" s="62">
        <v>24</v>
      </c>
      <c r="R81" s="62">
        <v>24</v>
      </c>
      <c r="S81" s="164">
        <f t="shared" si="1"/>
        <v>48</v>
      </c>
      <c r="T81">
        <f t="shared" si="2"/>
        <v>9</v>
      </c>
    </row>
    <row r="82" spans="1:20" ht="15.75" x14ac:dyDescent="0.25">
      <c r="A82" s="58"/>
      <c r="B82" s="59"/>
      <c r="C82" s="59"/>
      <c r="D82" s="59"/>
      <c r="E82" s="60"/>
      <c r="F82" s="80"/>
      <c r="G82" s="81"/>
      <c r="H82" s="81"/>
      <c r="I82" s="53"/>
      <c r="J82" s="75"/>
      <c r="K82" s="75"/>
      <c r="L82" s="63" t="s">
        <v>329</v>
      </c>
      <c r="M82" s="61" t="s">
        <v>330</v>
      </c>
      <c r="N82" s="113" t="s">
        <v>34</v>
      </c>
      <c r="O82" s="62">
        <v>4</v>
      </c>
      <c r="P82" s="97">
        <f>IFERROR(VLOOKUP(L82,[1]TDSheet!A$12:D$300,4,FALSE),0)</f>
        <v>34</v>
      </c>
      <c r="Q82" s="62">
        <v>4</v>
      </c>
      <c r="R82" s="62">
        <v>4</v>
      </c>
      <c r="S82" s="164">
        <f t="shared" si="1"/>
        <v>8</v>
      </c>
      <c r="T82">
        <f t="shared" si="2"/>
        <v>26</v>
      </c>
    </row>
    <row r="83" spans="1:20" ht="15.75" x14ac:dyDescent="0.25">
      <c r="A83" s="58"/>
      <c r="B83" s="59"/>
      <c r="C83" s="59"/>
      <c r="D83" s="59"/>
      <c r="E83" s="60"/>
      <c r="F83" s="80"/>
      <c r="G83" s="81"/>
      <c r="H83" s="81"/>
      <c r="I83" s="53"/>
      <c r="J83" s="75"/>
      <c r="K83" s="75"/>
      <c r="L83" s="63" t="s">
        <v>331</v>
      </c>
      <c r="M83" s="61" t="s">
        <v>332</v>
      </c>
      <c r="N83" s="113" t="s">
        <v>34</v>
      </c>
      <c r="O83" s="62">
        <v>3</v>
      </c>
      <c r="P83" s="97">
        <f>IFERROR(VLOOKUP(L83,[1]TDSheet!A$12:D$300,4,FALSE),0)</f>
        <v>9</v>
      </c>
      <c r="Q83" s="62">
        <v>3</v>
      </c>
      <c r="R83" s="62">
        <v>3</v>
      </c>
      <c r="S83" s="164">
        <f t="shared" si="1"/>
        <v>6</v>
      </c>
      <c r="T83">
        <f t="shared" si="2"/>
        <v>3</v>
      </c>
    </row>
    <row r="84" spans="1:20" ht="15.75" x14ac:dyDescent="0.25">
      <c r="A84" s="58"/>
      <c r="B84" s="59"/>
      <c r="C84" s="59"/>
      <c r="D84" s="59"/>
      <c r="E84" s="60"/>
      <c r="F84" s="80"/>
      <c r="G84" s="81"/>
      <c r="H84" s="81"/>
      <c r="I84" s="53"/>
      <c r="J84" s="75"/>
      <c r="K84" s="75"/>
      <c r="L84" s="63" t="s">
        <v>333</v>
      </c>
      <c r="M84" s="61" t="s">
        <v>334</v>
      </c>
      <c r="N84" s="113" t="s">
        <v>34</v>
      </c>
      <c r="O84" s="62">
        <v>3</v>
      </c>
      <c r="P84" s="97">
        <f>IFERROR(VLOOKUP(L84,[1]TDSheet!A$12:D$300,4,FALSE),0)</f>
        <v>9</v>
      </c>
      <c r="Q84" s="62">
        <v>3</v>
      </c>
      <c r="R84" s="62">
        <v>3</v>
      </c>
      <c r="S84" s="164">
        <f t="shared" si="1"/>
        <v>6</v>
      </c>
      <c r="T84">
        <f t="shared" si="2"/>
        <v>3</v>
      </c>
    </row>
    <row r="85" spans="1:20" ht="15.75" x14ac:dyDescent="0.25">
      <c r="A85" s="58"/>
      <c r="B85" s="59"/>
      <c r="C85" s="59"/>
      <c r="D85" s="59"/>
      <c r="E85" s="60"/>
      <c r="F85" s="80"/>
      <c r="G85" s="81"/>
      <c r="H85" s="81"/>
      <c r="I85" s="53"/>
      <c r="J85" s="75"/>
      <c r="K85" s="75"/>
      <c r="L85" s="63" t="s">
        <v>768</v>
      </c>
      <c r="M85" s="61" t="s">
        <v>769</v>
      </c>
      <c r="N85" s="113" t="s">
        <v>34</v>
      </c>
      <c r="O85" s="62"/>
      <c r="P85" s="97">
        <f>IFERROR(VLOOKUP(L85,[1]TDSheet!A$12:D$300,4,FALSE),0)</f>
        <v>760</v>
      </c>
      <c r="Q85" s="62">
        <v>36</v>
      </c>
      <c r="R85" s="62">
        <v>36</v>
      </c>
      <c r="S85" s="164"/>
      <c r="T85">
        <f t="shared" si="2"/>
        <v>688</v>
      </c>
    </row>
    <row r="86" spans="1:20" ht="15.75" x14ac:dyDescent="0.25">
      <c r="A86" s="58"/>
      <c r="B86" s="59"/>
      <c r="C86" s="59"/>
      <c r="D86" s="59"/>
      <c r="E86" s="60"/>
      <c r="F86" s="80"/>
      <c r="G86" s="81"/>
      <c r="H86" s="81"/>
      <c r="I86" s="53"/>
      <c r="J86" s="75"/>
      <c r="K86" s="75"/>
      <c r="L86" s="63" t="s">
        <v>770</v>
      </c>
      <c r="M86" s="61" t="s">
        <v>771</v>
      </c>
      <c r="N86" s="113" t="s">
        <v>34</v>
      </c>
      <c r="O86" s="62">
        <v>36</v>
      </c>
      <c r="P86" s="97">
        <f>IFERROR(VLOOKUP(L86,[1]TDSheet!A$12:D$300,4,FALSE),0)</f>
        <v>600</v>
      </c>
      <c r="Q86" s="62">
        <v>36</v>
      </c>
      <c r="R86" s="62">
        <v>36</v>
      </c>
      <c r="S86" s="164">
        <f t="shared" si="1"/>
        <v>72</v>
      </c>
      <c r="T86">
        <f t="shared" si="2"/>
        <v>528</v>
      </c>
    </row>
    <row r="87" spans="1:20" ht="15.75" x14ac:dyDescent="0.25">
      <c r="A87" s="58"/>
      <c r="B87" s="59"/>
      <c r="C87" s="59"/>
      <c r="D87" s="59"/>
      <c r="E87" s="60"/>
      <c r="F87" s="80"/>
      <c r="G87" s="81"/>
      <c r="H87" s="81"/>
      <c r="I87" s="53"/>
      <c r="J87" s="75"/>
      <c r="K87" s="75"/>
      <c r="L87" s="63">
        <v>21688</v>
      </c>
      <c r="M87" s="61" t="s">
        <v>337</v>
      </c>
      <c r="N87" s="113" t="s">
        <v>34</v>
      </c>
      <c r="O87" s="62">
        <v>2</v>
      </c>
      <c r="P87" s="97">
        <f>IFERROR(VLOOKUP(L87,[1]TDSheet!A$12:D$300,4,FALSE),0)</f>
        <v>6</v>
      </c>
      <c r="Q87" s="62">
        <v>2</v>
      </c>
      <c r="R87" s="62">
        <v>2</v>
      </c>
      <c r="S87" s="164">
        <f t="shared" si="1"/>
        <v>4</v>
      </c>
      <c r="T87">
        <f t="shared" si="2"/>
        <v>2</v>
      </c>
    </row>
    <row r="88" spans="1:20" ht="15.75" x14ac:dyDescent="0.25">
      <c r="A88" s="58"/>
      <c r="B88" s="59"/>
      <c r="C88" s="59"/>
      <c r="D88" s="59"/>
      <c r="E88" s="60"/>
      <c r="F88" s="80"/>
      <c r="G88" s="81"/>
      <c r="H88" s="81"/>
      <c r="I88" s="53"/>
      <c r="J88" s="75"/>
      <c r="K88" s="75"/>
      <c r="L88" s="63">
        <v>20679</v>
      </c>
      <c r="M88" s="61" t="s">
        <v>81</v>
      </c>
      <c r="N88" s="113" t="s">
        <v>34</v>
      </c>
      <c r="O88" s="62">
        <v>1500</v>
      </c>
      <c r="P88" s="97">
        <f>IFERROR(VLOOKUP(L88,[1]TDSheet!A$12:D$300,4,FALSE),0)</f>
        <v>507</v>
      </c>
      <c r="Q88" s="62">
        <v>253</v>
      </c>
      <c r="R88" s="62">
        <v>254</v>
      </c>
      <c r="S88" s="164">
        <f t="shared" si="1"/>
        <v>507</v>
      </c>
      <c r="T88">
        <f t="shared" si="2"/>
        <v>0</v>
      </c>
    </row>
    <row r="89" spans="1:20" ht="15.75" x14ac:dyDescent="0.25">
      <c r="A89" s="58"/>
      <c r="B89" s="59"/>
      <c r="C89" s="59"/>
      <c r="D89" s="59"/>
      <c r="E89" s="60"/>
      <c r="F89" s="80"/>
      <c r="G89" s="81"/>
      <c r="H89" s="81"/>
      <c r="I89" s="53"/>
      <c r="J89" s="75"/>
      <c r="K89" s="75"/>
      <c r="L89" s="63" t="s">
        <v>338</v>
      </c>
      <c r="M89" s="61" t="s">
        <v>339</v>
      </c>
      <c r="N89" s="113" t="s">
        <v>34</v>
      </c>
      <c r="O89" s="62">
        <v>1</v>
      </c>
      <c r="P89" s="97">
        <f>IFERROR(VLOOKUP(L89,[1]TDSheet!A$12:D$300,4,FALSE),0)</f>
        <v>3</v>
      </c>
      <c r="Q89" s="62">
        <v>1</v>
      </c>
      <c r="R89" s="62">
        <v>1</v>
      </c>
      <c r="S89" s="164">
        <f t="shared" ref="S89:S146" si="3">R89+Q89</f>
        <v>2</v>
      </c>
      <c r="T89">
        <f t="shared" si="2"/>
        <v>1</v>
      </c>
    </row>
    <row r="90" spans="1:20" ht="15.75" x14ac:dyDescent="0.25">
      <c r="A90" s="58"/>
      <c r="B90" s="59"/>
      <c r="C90" s="59"/>
      <c r="D90" s="59"/>
      <c r="E90" s="60"/>
      <c r="F90" s="80"/>
      <c r="G90" s="81"/>
      <c r="H90" s="81"/>
      <c r="I90" s="53"/>
      <c r="J90" s="75"/>
      <c r="K90" s="75"/>
      <c r="L90" s="63" t="s">
        <v>340</v>
      </c>
      <c r="M90" s="61" t="s">
        <v>341</v>
      </c>
      <c r="N90" s="113" t="s">
        <v>34</v>
      </c>
      <c r="O90" s="62">
        <v>5</v>
      </c>
      <c r="P90" s="97">
        <f>IFERROR(VLOOKUP(L90,[1]TDSheet!A$12:D$300,4,FALSE),0)</f>
        <v>10</v>
      </c>
      <c r="Q90" s="62">
        <v>5</v>
      </c>
      <c r="R90" s="62">
        <v>5</v>
      </c>
      <c r="S90" s="164">
        <f t="shared" si="3"/>
        <v>10</v>
      </c>
      <c r="T90">
        <f t="shared" si="2"/>
        <v>0</v>
      </c>
    </row>
    <row r="91" spans="1:20" ht="15.75" x14ac:dyDescent="0.25">
      <c r="A91" s="58"/>
      <c r="B91" s="59"/>
      <c r="C91" s="59"/>
      <c r="D91" s="59"/>
      <c r="E91" s="60"/>
      <c r="F91" s="80"/>
      <c r="G91" s="81"/>
      <c r="H91" s="81"/>
      <c r="I91" s="53"/>
      <c r="J91" s="75"/>
      <c r="K91" s="75"/>
      <c r="L91" s="63" t="s">
        <v>525</v>
      </c>
      <c r="M91" s="61" t="s">
        <v>526</v>
      </c>
      <c r="N91" s="113" t="s">
        <v>34</v>
      </c>
      <c r="O91" s="62">
        <v>5</v>
      </c>
      <c r="P91" s="97">
        <f>IFERROR(VLOOKUP(L91,[1]TDSheet!A$12:D$300,4,FALSE),0)</f>
        <v>20</v>
      </c>
      <c r="Q91" s="62">
        <v>5</v>
      </c>
      <c r="R91" s="62">
        <v>5</v>
      </c>
      <c r="S91" s="164">
        <f t="shared" si="3"/>
        <v>10</v>
      </c>
      <c r="T91">
        <f t="shared" si="2"/>
        <v>10</v>
      </c>
    </row>
    <row r="92" spans="1:20" ht="15.75" x14ac:dyDescent="0.25">
      <c r="A92" s="58"/>
      <c r="B92" s="59"/>
      <c r="C92" s="59"/>
      <c r="D92" s="59"/>
      <c r="E92" s="60"/>
      <c r="F92" s="80"/>
      <c r="G92" s="81"/>
      <c r="H92" s="81"/>
      <c r="I92" s="53"/>
      <c r="J92" s="75"/>
      <c r="K92" s="75"/>
      <c r="L92" s="63" t="s">
        <v>342</v>
      </c>
      <c r="M92" s="61" t="s">
        <v>343</v>
      </c>
      <c r="N92" s="113" t="s">
        <v>34</v>
      </c>
      <c r="O92" s="62">
        <v>1.5</v>
      </c>
      <c r="P92" s="97">
        <f>IFERROR(VLOOKUP(L92,[1]TDSheet!A$12:D$300,4,FALSE),0)</f>
        <v>42.5</v>
      </c>
      <c r="Q92" s="62">
        <v>1.5</v>
      </c>
      <c r="R92" s="62">
        <v>1.5</v>
      </c>
      <c r="S92" s="164">
        <f t="shared" si="3"/>
        <v>3</v>
      </c>
      <c r="T92">
        <f t="shared" si="2"/>
        <v>39.5</v>
      </c>
    </row>
    <row r="93" spans="1:20" ht="15.75" x14ac:dyDescent="0.25">
      <c r="A93" s="58"/>
      <c r="B93" s="59"/>
      <c r="C93" s="59"/>
      <c r="D93" s="59"/>
      <c r="E93" s="60"/>
      <c r="F93" s="80"/>
      <c r="G93" s="81"/>
      <c r="H93" s="81"/>
      <c r="I93" s="53"/>
      <c r="J93" s="75"/>
      <c r="K93" s="75"/>
      <c r="L93" s="63" t="s">
        <v>344</v>
      </c>
      <c r="M93" s="61" t="s">
        <v>345</v>
      </c>
      <c r="N93" s="113" t="s">
        <v>34</v>
      </c>
      <c r="O93" s="62">
        <v>1</v>
      </c>
      <c r="P93" s="97">
        <f>IFERROR(VLOOKUP(L93,[1]TDSheet!A$12:D$300,4,FALSE),0)</f>
        <v>8</v>
      </c>
      <c r="Q93" s="62">
        <v>1</v>
      </c>
      <c r="R93" s="62">
        <v>1</v>
      </c>
      <c r="S93" s="164">
        <f t="shared" si="3"/>
        <v>2</v>
      </c>
      <c r="T93">
        <f t="shared" si="2"/>
        <v>6</v>
      </c>
    </row>
    <row r="94" spans="1:20" ht="15.75" x14ac:dyDescent="0.25">
      <c r="A94" s="58"/>
      <c r="B94" s="59"/>
      <c r="C94" s="59"/>
      <c r="D94" s="59"/>
      <c r="E94" s="60"/>
      <c r="F94" s="80"/>
      <c r="G94" s="81"/>
      <c r="H94" s="81"/>
      <c r="I94" s="53"/>
      <c r="J94" s="75"/>
      <c r="K94" s="75"/>
      <c r="L94" s="63">
        <v>21201</v>
      </c>
      <c r="M94" s="61" t="s">
        <v>346</v>
      </c>
      <c r="N94" s="113" t="s">
        <v>34</v>
      </c>
      <c r="O94" s="62">
        <v>1</v>
      </c>
      <c r="P94" s="97">
        <f>IFERROR(VLOOKUP(L94,[1]TDSheet!A$12:D$300,4,FALSE),0)</f>
        <v>3</v>
      </c>
      <c r="Q94" s="62">
        <v>1</v>
      </c>
      <c r="R94" s="62">
        <v>1</v>
      </c>
      <c r="S94" s="164">
        <f t="shared" si="3"/>
        <v>2</v>
      </c>
      <c r="T94">
        <f t="shared" ref="T94:T151" si="4">P94-Q94-R94</f>
        <v>1</v>
      </c>
    </row>
    <row r="95" spans="1:20" ht="15.75" x14ac:dyDescent="0.25">
      <c r="A95" s="58"/>
      <c r="B95" s="59"/>
      <c r="C95" s="59"/>
      <c r="D95" s="59"/>
      <c r="E95" s="60"/>
      <c r="F95" s="80"/>
      <c r="G95" s="81"/>
      <c r="H95" s="81"/>
      <c r="I95" s="53"/>
      <c r="J95" s="75"/>
      <c r="K95" s="75"/>
      <c r="L95" s="63" t="s">
        <v>756</v>
      </c>
      <c r="M95" s="61" t="s">
        <v>348</v>
      </c>
      <c r="N95" s="113" t="s">
        <v>34</v>
      </c>
      <c r="O95" s="62">
        <v>1</v>
      </c>
      <c r="P95" s="97">
        <f>IFERROR(VLOOKUP(L95,[1]TDSheet!A$12:D$300,4,FALSE),0)</f>
        <v>15</v>
      </c>
      <c r="Q95" s="97">
        <v>2</v>
      </c>
      <c r="R95" s="101">
        <v>2</v>
      </c>
      <c r="S95" s="164">
        <f t="shared" si="3"/>
        <v>4</v>
      </c>
      <c r="T95">
        <f t="shared" si="4"/>
        <v>11</v>
      </c>
    </row>
    <row r="96" spans="1:20" ht="15.75" x14ac:dyDescent="0.25">
      <c r="A96" s="58"/>
      <c r="B96" s="59"/>
      <c r="C96" s="59"/>
      <c r="D96" s="59"/>
      <c r="E96" s="60"/>
      <c r="F96" s="80"/>
      <c r="G96" s="81"/>
      <c r="H96" s="81"/>
      <c r="I96" s="53"/>
      <c r="J96" s="75"/>
      <c r="K96" s="75"/>
      <c r="L96" s="63">
        <v>14244</v>
      </c>
      <c r="M96" s="61" t="s">
        <v>767</v>
      </c>
      <c r="N96" s="113" t="s">
        <v>34</v>
      </c>
      <c r="O96" s="62">
        <v>5</v>
      </c>
      <c r="P96" s="97">
        <f>IFERROR(VLOOKUP(L96,[1]TDSheet!A$12:D$300,4,FALSE),0)</f>
        <v>20</v>
      </c>
      <c r="Q96" s="62">
        <v>10</v>
      </c>
      <c r="R96" s="62">
        <v>10</v>
      </c>
      <c r="S96" s="164">
        <f t="shared" si="3"/>
        <v>20</v>
      </c>
      <c r="T96">
        <f t="shared" si="4"/>
        <v>0</v>
      </c>
    </row>
    <row r="97" spans="1:20" ht="15.75" x14ac:dyDescent="0.25">
      <c r="A97" s="58"/>
      <c r="B97" s="59"/>
      <c r="C97" s="59"/>
      <c r="D97" s="59"/>
      <c r="E97" s="60"/>
      <c r="F97" s="80"/>
      <c r="G97" s="81"/>
      <c r="H97" s="81"/>
      <c r="I97" s="53"/>
      <c r="J97" s="75"/>
      <c r="K97" s="75"/>
      <c r="L97" s="63" t="s">
        <v>350</v>
      </c>
      <c r="M97" s="61" t="s">
        <v>351</v>
      </c>
      <c r="N97" s="113" t="s">
        <v>34</v>
      </c>
      <c r="O97" s="62">
        <v>18</v>
      </c>
      <c r="P97" s="97">
        <f>IFERROR(VLOOKUP(L97,[1]TDSheet!A$12:D$300,4,FALSE),0)</f>
        <v>718</v>
      </c>
      <c r="Q97" s="62">
        <v>18</v>
      </c>
      <c r="R97" s="62">
        <v>18</v>
      </c>
      <c r="S97" s="164">
        <f t="shared" si="3"/>
        <v>36</v>
      </c>
      <c r="T97">
        <f t="shared" si="4"/>
        <v>682</v>
      </c>
    </row>
    <row r="98" spans="1:20" ht="15.75" x14ac:dyDescent="0.25">
      <c r="A98" s="58"/>
      <c r="B98" s="59"/>
      <c r="C98" s="59"/>
      <c r="D98" s="59"/>
      <c r="E98" s="60"/>
      <c r="F98" s="80"/>
      <c r="G98" s="81"/>
      <c r="H98" s="81"/>
      <c r="I98" s="53"/>
      <c r="J98" s="75"/>
      <c r="K98" s="75"/>
      <c r="L98" s="63" t="s">
        <v>352</v>
      </c>
      <c r="M98" s="61" t="s">
        <v>353</v>
      </c>
      <c r="N98" s="113" t="s">
        <v>34</v>
      </c>
      <c r="O98" s="62">
        <v>34</v>
      </c>
      <c r="P98" s="97">
        <f>IFERROR(VLOOKUP(L98,[1]TDSheet!A$12:D$300,4,FALSE),0)</f>
        <v>374</v>
      </c>
      <c r="Q98" s="62">
        <v>34</v>
      </c>
      <c r="R98" s="62">
        <v>34</v>
      </c>
      <c r="S98" s="164">
        <f t="shared" si="3"/>
        <v>68</v>
      </c>
      <c r="T98">
        <f t="shared" si="4"/>
        <v>306</v>
      </c>
    </row>
    <row r="99" spans="1:20" ht="15.75" x14ac:dyDescent="0.25">
      <c r="A99" s="58"/>
      <c r="B99" s="59"/>
      <c r="C99" s="59"/>
      <c r="D99" s="59"/>
      <c r="E99" s="60"/>
      <c r="F99" s="80"/>
      <c r="G99" s="81"/>
      <c r="H99" s="81"/>
      <c r="I99" s="53"/>
      <c r="J99" s="75"/>
      <c r="K99" s="75"/>
      <c r="L99" s="63" t="s">
        <v>354</v>
      </c>
      <c r="M99" s="61" t="s">
        <v>355</v>
      </c>
      <c r="N99" s="113" t="s">
        <v>34</v>
      </c>
      <c r="O99" s="62">
        <v>6</v>
      </c>
      <c r="P99" s="97">
        <f>IFERROR(VLOOKUP(L99,[1]TDSheet!A$12:D$300,4,FALSE),0)</f>
        <v>261</v>
      </c>
      <c r="Q99" s="62">
        <v>6</v>
      </c>
      <c r="R99" s="62">
        <v>6</v>
      </c>
      <c r="S99" s="164">
        <f t="shared" si="3"/>
        <v>12</v>
      </c>
      <c r="T99">
        <f t="shared" si="4"/>
        <v>249</v>
      </c>
    </row>
    <row r="100" spans="1:20" ht="15.75" x14ac:dyDescent="0.25">
      <c r="A100" s="58"/>
      <c r="B100" s="59"/>
      <c r="C100" s="59"/>
      <c r="D100" s="59"/>
      <c r="E100" s="60"/>
      <c r="F100" s="80"/>
      <c r="G100" s="81"/>
      <c r="H100" s="81"/>
      <c r="I100" s="53"/>
      <c r="J100" s="75"/>
      <c r="K100" s="75"/>
      <c r="L100" s="63" t="s">
        <v>730</v>
      </c>
      <c r="M100" s="61" t="s">
        <v>731</v>
      </c>
      <c r="N100" s="113" t="s">
        <v>34</v>
      </c>
      <c r="O100" s="62">
        <v>4</v>
      </c>
      <c r="P100" s="97">
        <f>IFERROR(VLOOKUP(L100,[1]TDSheet!A$12:D$300,4,FALSE),0)</f>
        <v>20</v>
      </c>
      <c r="Q100" s="62">
        <v>4</v>
      </c>
      <c r="R100" s="62">
        <v>4</v>
      </c>
      <c r="S100" s="164">
        <f t="shared" si="3"/>
        <v>8</v>
      </c>
      <c r="T100">
        <f t="shared" si="4"/>
        <v>12</v>
      </c>
    </row>
    <row r="101" spans="1:20" ht="15.75" x14ac:dyDescent="0.25">
      <c r="A101" s="58"/>
      <c r="B101" s="59"/>
      <c r="C101" s="59"/>
      <c r="D101" s="59"/>
      <c r="E101" s="60"/>
      <c r="F101" s="80"/>
      <c r="G101" s="81"/>
      <c r="H101" s="81"/>
      <c r="I101" s="53"/>
      <c r="J101" s="75"/>
      <c r="K101" s="75"/>
      <c r="L101" s="63">
        <v>19376</v>
      </c>
      <c r="M101" s="61" t="s">
        <v>358</v>
      </c>
      <c r="N101" s="55" t="s">
        <v>34</v>
      </c>
      <c r="O101" s="62">
        <v>1</v>
      </c>
      <c r="P101" s="97">
        <f>IFERROR(VLOOKUP(L101,[1]TDSheet!A$12:D$300,4,FALSE),0)</f>
        <v>3</v>
      </c>
      <c r="Q101" s="62">
        <v>1</v>
      </c>
      <c r="R101" s="62">
        <v>1</v>
      </c>
      <c r="S101" s="164">
        <f t="shared" si="3"/>
        <v>2</v>
      </c>
      <c r="T101">
        <f t="shared" si="4"/>
        <v>1</v>
      </c>
    </row>
    <row r="102" spans="1:20" ht="15.75" x14ac:dyDescent="0.25">
      <c r="A102" s="58"/>
      <c r="B102" s="59"/>
      <c r="C102" s="59"/>
      <c r="D102" s="59"/>
      <c r="E102" s="60"/>
      <c r="F102" s="80"/>
      <c r="G102" s="81"/>
      <c r="H102" s="81"/>
      <c r="I102" s="53"/>
      <c r="J102" s="75"/>
      <c r="K102" s="75"/>
      <c r="L102" s="63" t="s">
        <v>359</v>
      </c>
      <c r="M102" s="61" t="s">
        <v>360</v>
      </c>
      <c r="N102" s="55" t="s">
        <v>34</v>
      </c>
      <c r="O102" s="62">
        <v>1</v>
      </c>
      <c r="P102" s="97">
        <f>IFERROR(VLOOKUP(L102,[1]TDSheet!A$12:D$300,4,FALSE),0)</f>
        <v>4</v>
      </c>
      <c r="Q102" s="62">
        <v>1</v>
      </c>
      <c r="R102" s="62">
        <v>1</v>
      </c>
      <c r="S102" s="164">
        <f t="shared" si="3"/>
        <v>2</v>
      </c>
      <c r="T102">
        <f t="shared" si="4"/>
        <v>2</v>
      </c>
    </row>
    <row r="103" spans="1:20" ht="15.75" x14ac:dyDescent="0.25">
      <c r="A103" s="58"/>
      <c r="B103" s="59"/>
      <c r="C103" s="59"/>
      <c r="D103" s="59"/>
      <c r="E103" s="60"/>
      <c r="F103" s="80"/>
      <c r="G103" s="81"/>
      <c r="H103" s="81"/>
      <c r="I103" s="53"/>
      <c r="J103" s="75"/>
      <c r="K103" s="75"/>
      <c r="L103" s="63" t="s">
        <v>361</v>
      </c>
      <c r="M103" s="61" t="s">
        <v>362</v>
      </c>
      <c r="N103" s="55" t="s">
        <v>34</v>
      </c>
      <c r="O103" s="62">
        <v>1</v>
      </c>
      <c r="P103" s="97">
        <f>IFERROR(VLOOKUP(L103,[1]TDSheet!A$12:D$300,4,FALSE),0)</f>
        <v>7</v>
      </c>
      <c r="Q103" s="62">
        <v>1</v>
      </c>
      <c r="R103" s="62">
        <v>1</v>
      </c>
      <c r="S103" s="164">
        <f t="shared" si="3"/>
        <v>2</v>
      </c>
      <c r="T103">
        <f t="shared" si="4"/>
        <v>5</v>
      </c>
    </row>
    <row r="104" spans="1:20" ht="15.75" x14ac:dyDescent="0.25">
      <c r="A104" s="58"/>
      <c r="B104" s="59"/>
      <c r="C104" s="59"/>
      <c r="D104" s="59"/>
      <c r="E104" s="60"/>
      <c r="F104" s="80"/>
      <c r="G104" s="81"/>
      <c r="H104" s="81"/>
      <c r="I104" s="53"/>
      <c r="J104" s="75"/>
      <c r="K104" s="75"/>
      <c r="L104" s="63" t="s">
        <v>363</v>
      </c>
      <c r="M104" s="61" t="s">
        <v>364</v>
      </c>
      <c r="N104" s="55" t="s">
        <v>34</v>
      </c>
      <c r="O104" s="62">
        <v>4</v>
      </c>
      <c r="P104" s="97">
        <f>IFERROR(VLOOKUP(L104,[1]TDSheet!A$12:D$300,4,FALSE),0)</f>
        <v>12</v>
      </c>
      <c r="Q104" s="62">
        <v>4</v>
      </c>
      <c r="R104" s="62">
        <v>4</v>
      </c>
      <c r="S104" s="164">
        <f t="shared" si="3"/>
        <v>8</v>
      </c>
      <c r="T104">
        <f t="shared" si="4"/>
        <v>4</v>
      </c>
    </row>
    <row r="105" spans="1:20" ht="15.75" x14ac:dyDescent="0.25">
      <c r="A105" s="58"/>
      <c r="B105" s="59"/>
      <c r="C105" s="59"/>
      <c r="D105" s="59"/>
      <c r="E105" s="60"/>
      <c r="F105" s="80"/>
      <c r="G105" s="81"/>
      <c r="H105" s="81"/>
      <c r="I105" s="53"/>
      <c r="J105" s="75"/>
      <c r="K105" s="75"/>
      <c r="L105" s="63" t="s">
        <v>365</v>
      </c>
      <c r="M105" s="61" t="s">
        <v>366</v>
      </c>
      <c r="N105" s="55" t="s">
        <v>34</v>
      </c>
      <c r="O105" s="62">
        <v>20</v>
      </c>
      <c r="P105" s="97">
        <f>IFERROR(VLOOKUP(L105,[1]TDSheet!A$12:D$300,4,FALSE),0)</f>
        <v>66</v>
      </c>
      <c r="Q105" s="62">
        <v>20</v>
      </c>
      <c r="R105" s="62">
        <v>20</v>
      </c>
      <c r="S105" s="164">
        <f t="shared" si="3"/>
        <v>40</v>
      </c>
      <c r="T105">
        <f t="shared" si="4"/>
        <v>26</v>
      </c>
    </row>
    <row r="106" spans="1:20" ht="15.75" x14ac:dyDescent="0.25">
      <c r="A106" s="58"/>
      <c r="B106" s="59"/>
      <c r="C106" s="59"/>
      <c r="D106" s="59"/>
      <c r="E106" s="60"/>
      <c r="F106" s="80"/>
      <c r="G106" s="81"/>
      <c r="H106" s="81"/>
      <c r="I106" s="53"/>
      <c r="J106" s="75"/>
      <c r="K106" s="75"/>
      <c r="L106" s="63" t="s">
        <v>369</v>
      </c>
      <c r="M106" s="61" t="s">
        <v>733</v>
      </c>
      <c r="N106" s="113" t="s">
        <v>34</v>
      </c>
      <c r="O106" s="62">
        <v>3</v>
      </c>
      <c r="P106" s="97">
        <f>IFERROR(VLOOKUP(L106,[1]TDSheet!A$12:D$300,4,FALSE),0)</f>
        <v>23</v>
      </c>
      <c r="Q106" s="62">
        <v>3</v>
      </c>
      <c r="R106" s="62">
        <v>3</v>
      </c>
      <c r="S106" s="164">
        <f t="shared" si="3"/>
        <v>6</v>
      </c>
      <c r="T106">
        <f t="shared" si="4"/>
        <v>17</v>
      </c>
    </row>
    <row r="107" spans="1:20" ht="15.75" x14ac:dyDescent="0.25">
      <c r="A107" s="58"/>
      <c r="B107" s="59"/>
      <c r="C107" s="59"/>
      <c r="D107" s="59"/>
      <c r="E107" s="60"/>
      <c r="F107" s="80"/>
      <c r="G107" s="81"/>
      <c r="H107" s="81"/>
      <c r="I107" s="53"/>
      <c r="J107" s="75"/>
      <c r="K107" s="75"/>
      <c r="L107" s="63" t="s">
        <v>371</v>
      </c>
      <c r="M107" s="61" t="s">
        <v>372</v>
      </c>
      <c r="N107" s="113" t="s">
        <v>34</v>
      </c>
      <c r="O107" s="62">
        <v>54</v>
      </c>
      <c r="P107" s="97">
        <f>IFERROR(VLOOKUP(L107,[1]TDSheet!A$12:D$300,4,FALSE),0)</f>
        <v>288</v>
      </c>
      <c r="Q107" s="62">
        <v>54</v>
      </c>
      <c r="R107" s="62">
        <v>54</v>
      </c>
      <c r="S107" s="164">
        <f t="shared" si="3"/>
        <v>108</v>
      </c>
      <c r="T107">
        <f t="shared" si="4"/>
        <v>180</v>
      </c>
    </row>
    <row r="108" spans="1:20" ht="15.75" x14ac:dyDescent="0.25">
      <c r="A108" s="58"/>
      <c r="B108" s="59"/>
      <c r="C108" s="59"/>
      <c r="D108" s="59"/>
      <c r="E108" s="60"/>
      <c r="F108" s="80"/>
      <c r="G108" s="81"/>
      <c r="H108" s="81"/>
      <c r="I108" s="53"/>
      <c r="J108" s="75"/>
      <c r="K108" s="75"/>
      <c r="L108" s="63" t="s">
        <v>373</v>
      </c>
      <c r="M108" s="61" t="s">
        <v>374</v>
      </c>
      <c r="N108" s="113" t="s">
        <v>34</v>
      </c>
      <c r="O108" s="62">
        <v>12</v>
      </c>
      <c r="P108" s="97">
        <f>IFERROR(VLOOKUP(L108,[1]TDSheet!A$12:D$300,4,FALSE),0)</f>
        <v>84</v>
      </c>
      <c r="Q108" s="62">
        <v>12</v>
      </c>
      <c r="R108" s="62">
        <v>12</v>
      </c>
      <c r="S108" s="164">
        <f t="shared" si="3"/>
        <v>24</v>
      </c>
      <c r="T108">
        <f t="shared" si="4"/>
        <v>60</v>
      </c>
    </row>
    <row r="109" spans="1:20" ht="15.75" x14ac:dyDescent="0.25">
      <c r="A109" s="58"/>
      <c r="B109" s="59"/>
      <c r="C109" s="59"/>
      <c r="D109" s="59"/>
      <c r="E109" s="60"/>
      <c r="F109" s="80"/>
      <c r="G109" s="81"/>
      <c r="H109" s="81"/>
      <c r="I109" s="53"/>
      <c r="J109" s="75"/>
      <c r="K109" s="75"/>
      <c r="L109" s="63">
        <v>21939</v>
      </c>
      <c r="M109" s="61" t="s">
        <v>375</v>
      </c>
      <c r="N109" s="113" t="s">
        <v>34</v>
      </c>
      <c r="O109" s="62">
        <v>18</v>
      </c>
      <c r="P109" s="97">
        <f>IFERROR(VLOOKUP(L109,[1]TDSheet!A$12:D$300,4,FALSE),0)</f>
        <v>38</v>
      </c>
      <c r="Q109" s="62">
        <v>18</v>
      </c>
      <c r="R109" s="62">
        <v>18</v>
      </c>
      <c r="S109" s="164">
        <f t="shared" si="3"/>
        <v>36</v>
      </c>
      <c r="T109">
        <f t="shared" si="4"/>
        <v>2</v>
      </c>
    </row>
    <row r="110" spans="1:20" ht="15.75" x14ac:dyDescent="0.25">
      <c r="A110" s="58"/>
      <c r="B110" s="59"/>
      <c r="C110" s="59"/>
      <c r="D110" s="59"/>
      <c r="E110" s="60"/>
      <c r="F110" s="80"/>
      <c r="G110" s="81"/>
      <c r="H110" s="81"/>
      <c r="I110" s="53"/>
      <c r="J110" s="75"/>
      <c r="K110" s="75"/>
      <c r="L110" s="63" t="s">
        <v>376</v>
      </c>
      <c r="M110" s="61" t="s">
        <v>377</v>
      </c>
      <c r="N110" s="55" t="s">
        <v>34</v>
      </c>
      <c r="O110" s="62">
        <v>1</v>
      </c>
      <c r="P110" s="97">
        <f>IFERROR(VLOOKUP(L110,[1]TDSheet!A$12:D$300,4,FALSE),0)</f>
        <v>3</v>
      </c>
      <c r="Q110" s="62">
        <v>1</v>
      </c>
      <c r="R110" s="62">
        <v>1</v>
      </c>
      <c r="S110" s="164">
        <f t="shared" si="3"/>
        <v>2</v>
      </c>
      <c r="T110">
        <f t="shared" si="4"/>
        <v>1</v>
      </c>
    </row>
    <row r="111" spans="1:20" ht="15.75" x14ac:dyDescent="0.25">
      <c r="A111" s="58"/>
      <c r="B111" s="59"/>
      <c r="C111" s="59"/>
      <c r="D111" s="59"/>
      <c r="E111" s="60"/>
      <c r="F111" s="80"/>
      <c r="G111" s="81"/>
      <c r="H111" s="81"/>
      <c r="I111" s="53"/>
      <c r="J111" s="75"/>
      <c r="K111" s="75"/>
      <c r="L111" s="63" t="s">
        <v>378</v>
      </c>
      <c r="M111" s="61" t="s">
        <v>379</v>
      </c>
      <c r="N111" s="55" t="s">
        <v>34</v>
      </c>
      <c r="O111" s="62">
        <v>5</v>
      </c>
      <c r="P111" s="97">
        <f>IFERROR(VLOOKUP(L111,[1]TDSheet!A$12:D$300,4,FALSE),0)</f>
        <v>20</v>
      </c>
      <c r="Q111" s="62">
        <v>5</v>
      </c>
      <c r="R111" s="62">
        <v>5</v>
      </c>
      <c r="S111" s="164">
        <f t="shared" si="3"/>
        <v>10</v>
      </c>
      <c r="T111">
        <f t="shared" si="4"/>
        <v>10</v>
      </c>
    </row>
    <row r="112" spans="1:20" ht="15.75" x14ac:dyDescent="0.25">
      <c r="A112" s="58"/>
      <c r="B112" s="59"/>
      <c r="C112" s="59"/>
      <c r="D112" s="59"/>
      <c r="E112" s="60"/>
      <c r="F112" s="80"/>
      <c r="G112" s="81"/>
      <c r="H112" s="81"/>
      <c r="I112" s="53"/>
      <c r="J112" s="75"/>
      <c r="K112" s="75"/>
      <c r="L112" s="144" t="s">
        <v>380</v>
      </c>
      <c r="M112" s="61" t="s">
        <v>381</v>
      </c>
      <c r="N112" s="55" t="s">
        <v>34</v>
      </c>
      <c r="O112" s="62">
        <v>5</v>
      </c>
      <c r="P112" s="97">
        <f>IFERROR(VLOOKUP(L112,[1]TDSheet!A$12:D$300,4,FALSE),0)</f>
        <v>33</v>
      </c>
      <c r="Q112" s="62">
        <v>5</v>
      </c>
      <c r="R112" s="62">
        <v>5</v>
      </c>
      <c r="S112" s="164">
        <f t="shared" si="3"/>
        <v>10</v>
      </c>
      <c r="T112">
        <f t="shared" si="4"/>
        <v>23</v>
      </c>
    </row>
    <row r="113" spans="1:20" ht="15.75" x14ac:dyDescent="0.25">
      <c r="A113" s="58"/>
      <c r="B113" s="59"/>
      <c r="C113" s="59"/>
      <c r="D113" s="59"/>
      <c r="E113" s="60"/>
      <c r="F113" s="80"/>
      <c r="G113" s="81"/>
      <c r="H113" s="81"/>
      <c r="I113" s="53"/>
      <c r="J113" s="75"/>
      <c r="K113" s="75"/>
      <c r="L113" s="63" t="s">
        <v>83</v>
      </c>
      <c r="M113" s="61" t="s">
        <v>84</v>
      </c>
      <c r="N113" s="55" t="s">
        <v>37</v>
      </c>
      <c r="O113" s="62">
        <v>16</v>
      </c>
      <c r="P113" s="97">
        <f>IFERROR(VLOOKUP(L113,[1]TDSheet!A$12:D$300,4,FALSE),0)</f>
        <v>40.07</v>
      </c>
      <c r="Q113" s="62">
        <v>16</v>
      </c>
      <c r="R113" s="62">
        <v>16</v>
      </c>
      <c r="S113" s="164">
        <f t="shared" si="3"/>
        <v>32</v>
      </c>
      <c r="T113">
        <f t="shared" si="4"/>
        <v>8.07</v>
      </c>
    </row>
    <row r="114" spans="1:20" ht="15.75" x14ac:dyDescent="0.25">
      <c r="A114" s="58"/>
      <c r="B114" s="59"/>
      <c r="C114" s="59"/>
      <c r="D114" s="59"/>
      <c r="E114" s="60"/>
      <c r="F114" s="80"/>
      <c r="G114" s="81"/>
      <c r="H114" s="81"/>
      <c r="I114" s="53"/>
      <c r="J114" s="75"/>
      <c r="K114" s="75"/>
      <c r="L114" s="63" t="s">
        <v>53</v>
      </c>
      <c r="M114" s="61" t="s">
        <v>85</v>
      </c>
      <c r="N114" s="55" t="s">
        <v>34</v>
      </c>
      <c r="O114" s="62">
        <v>10</v>
      </c>
      <c r="P114" s="97">
        <f>IFERROR(VLOOKUP(L114,[1]TDSheet!A$12:D$300,4,FALSE),0)</f>
        <v>80</v>
      </c>
      <c r="Q114" s="62">
        <v>10</v>
      </c>
      <c r="R114" s="62">
        <v>10</v>
      </c>
      <c r="S114" s="164">
        <f t="shared" si="3"/>
        <v>20</v>
      </c>
      <c r="T114">
        <f t="shared" si="4"/>
        <v>60</v>
      </c>
    </row>
    <row r="115" spans="1:20" ht="15.75" x14ac:dyDescent="0.25">
      <c r="A115" s="58"/>
      <c r="B115" s="59"/>
      <c r="C115" s="59"/>
      <c r="D115" s="59"/>
      <c r="E115" s="60"/>
      <c r="F115" s="80"/>
      <c r="G115" s="81"/>
      <c r="H115" s="81"/>
      <c r="I115" s="53"/>
      <c r="J115" s="75"/>
      <c r="K115" s="75"/>
      <c r="L115" s="63" t="s">
        <v>54</v>
      </c>
      <c r="M115" s="61" t="s">
        <v>86</v>
      </c>
      <c r="N115" s="55" t="s">
        <v>34</v>
      </c>
      <c r="O115" s="62">
        <v>40</v>
      </c>
      <c r="P115" s="97">
        <f>IFERROR(VLOOKUP(L115,[1]TDSheet!A$12:D$300,4,FALSE),0)</f>
        <v>207</v>
      </c>
      <c r="Q115" s="62">
        <v>40</v>
      </c>
      <c r="R115" s="62">
        <v>40</v>
      </c>
      <c r="S115" s="164">
        <f t="shared" si="3"/>
        <v>80</v>
      </c>
      <c r="T115">
        <f t="shared" si="4"/>
        <v>127</v>
      </c>
    </row>
    <row r="116" spans="1:20" ht="15.75" x14ac:dyDescent="0.25">
      <c r="A116" s="58"/>
      <c r="B116" s="59"/>
      <c r="C116" s="59"/>
      <c r="D116" s="59"/>
      <c r="E116" s="60"/>
      <c r="F116" s="80"/>
      <c r="G116" s="81"/>
      <c r="H116" s="81"/>
      <c r="I116" s="53"/>
      <c r="J116" s="75"/>
      <c r="K116" s="75"/>
      <c r="L116" s="63">
        <v>106</v>
      </c>
      <c r="M116" s="61" t="s">
        <v>382</v>
      </c>
      <c r="N116" s="55" t="s">
        <v>34</v>
      </c>
      <c r="O116" s="62">
        <v>14</v>
      </c>
      <c r="P116" s="97">
        <f>IFERROR(VLOOKUP(L116,[1]TDSheet!A$12:D$300,4,FALSE),0)</f>
        <v>112</v>
      </c>
      <c r="Q116" s="97">
        <v>20</v>
      </c>
      <c r="R116" s="101">
        <v>20</v>
      </c>
      <c r="S116" s="164">
        <f t="shared" si="3"/>
        <v>40</v>
      </c>
      <c r="T116">
        <f t="shared" si="4"/>
        <v>72</v>
      </c>
    </row>
    <row r="117" spans="1:20" ht="15.75" x14ac:dyDescent="0.25">
      <c r="A117" s="58"/>
      <c r="B117" s="59"/>
      <c r="C117" s="59"/>
      <c r="D117" s="59"/>
      <c r="E117" s="60"/>
      <c r="F117" s="80"/>
      <c r="G117" s="81"/>
      <c r="H117" s="81"/>
      <c r="I117" s="53"/>
      <c r="J117" s="75"/>
      <c r="K117" s="75"/>
      <c r="L117" s="63">
        <v>9893</v>
      </c>
      <c r="M117" s="61" t="s">
        <v>383</v>
      </c>
      <c r="N117" s="55" t="s">
        <v>34</v>
      </c>
      <c r="O117" s="62">
        <v>1</v>
      </c>
      <c r="P117" s="97">
        <f>IFERROR(VLOOKUP(L117,[1]TDSheet!A$12:D$300,4,FALSE),0)</f>
        <v>7</v>
      </c>
      <c r="Q117" s="62">
        <v>1</v>
      </c>
      <c r="R117" s="62">
        <v>1</v>
      </c>
      <c r="S117" s="164">
        <f t="shared" si="3"/>
        <v>2</v>
      </c>
      <c r="T117">
        <f t="shared" si="4"/>
        <v>5</v>
      </c>
    </row>
    <row r="118" spans="1:20" ht="15.75" x14ac:dyDescent="0.25">
      <c r="A118" s="58"/>
      <c r="B118" s="59"/>
      <c r="C118" s="59"/>
      <c r="D118" s="59"/>
      <c r="E118" s="60"/>
      <c r="F118" s="80"/>
      <c r="G118" s="81"/>
      <c r="H118" s="81"/>
      <c r="I118" s="53"/>
      <c r="J118" s="75"/>
      <c r="K118" s="75"/>
      <c r="L118" s="63">
        <v>3893</v>
      </c>
      <c r="M118" s="61" t="s">
        <v>87</v>
      </c>
      <c r="N118" s="55" t="s">
        <v>63</v>
      </c>
      <c r="O118" s="62">
        <v>0.113</v>
      </c>
      <c r="P118" s="97">
        <f>IFERROR(VLOOKUP(L118,[1]TDSheet!A$12:D$300,4,FALSE),0)</f>
        <v>0.69899999999999995</v>
      </c>
      <c r="Q118" s="62">
        <v>0.113</v>
      </c>
      <c r="R118" s="62">
        <v>0.113</v>
      </c>
      <c r="S118" s="164">
        <f t="shared" si="3"/>
        <v>0.22600000000000001</v>
      </c>
      <c r="T118">
        <f t="shared" si="4"/>
        <v>0.47299999999999998</v>
      </c>
    </row>
    <row r="119" spans="1:20" ht="15.75" x14ac:dyDescent="0.25">
      <c r="A119" s="58"/>
      <c r="B119" s="59"/>
      <c r="C119" s="59"/>
      <c r="D119" s="59"/>
      <c r="E119" s="60"/>
      <c r="F119" s="80"/>
      <c r="G119" s="81"/>
      <c r="H119" s="81"/>
      <c r="I119" s="53"/>
      <c r="J119" s="75"/>
      <c r="K119" s="75"/>
      <c r="L119" s="63">
        <v>6597</v>
      </c>
      <c r="M119" s="61" t="s">
        <v>384</v>
      </c>
      <c r="N119" s="55" t="s">
        <v>63</v>
      </c>
      <c r="O119" s="62">
        <v>0.25</v>
      </c>
      <c r="P119" s="97">
        <f>IFERROR(VLOOKUP(L119,[1]TDSheet!A$12:D$300,4,FALSE),0)</f>
        <v>2.8570000000000002</v>
      </c>
      <c r="Q119" s="62">
        <v>0.25</v>
      </c>
      <c r="R119" s="62">
        <v>0.25</v>
      </c>
      <c r="S119" s="164">
        <f t="shared" si="3"/>
        <v>0.5</v>
      </c>
      <c r="T119">
        <f t="shared" si="4"/>
        <v>2.3570000000000002</v>
      </c>
    </row>
    <row r="120" spans="1:20" ht="15.75" x14ac:dyDescent="0.25">
      <c r="A120" s="58"/>
      <c r="B120" s="59"/>
      <c r="C120" s="59"/>
      <c r="D120" s="59"/>
      <c r="E120" s="60"/>
      <c r="F120" s="80"/>
      <c r="G120" s="81"/>
      <c r="H120" s="81"/>
      <c r="I120" s="53"/>
      <c r="J120" s="75"/>
      <c r="K120" s="75"/>
      <c r="L120" s="63">
        <v>17298</v>
      </c>
      <c r="M120" s="61" t="s">
        <v>88</v>
      </c>
      <c r="N120" s="113" t="s">
        <v>63</v>
      </c>
      <c r="O120" s="62">
        <v>0.1</v>
      </c>
      <c r="P120" s="97">
        <f>IFERROR(VLOOKUP(L120,[1]TDSheet!A$12:D$300,4,FALSE),0)</f>
        <v>0.1</v>
      </c>
      <c r="Q120" s="62">
        <v>0.05</v>
      </c>
      <c r="R120" s="62">
        <v>0.05</v>
      </c>
      <c r="S120" s="164">
        <f t="shared" si="3"/>
        <v>0.1</v>
      </c>
      <c r="T120">
        <f t="shared" si="4"/>
        <v>0</v>
      </c>
    </row>
    <row r="121" spans="1:20" ht="15.75" x14ac:dyDescent="0.25">
      <c r="A121" s="58"/>
      <c r="B121" s="59"/>
      <c r="C121" s="59"/>
      <c r="D121" s="59"/>
      <c r="E121" s="60"/>
      <c r="F121" s="80"/>
      <c r="G121" s="81"/>
      <c r="H121" s="81"/>
      <c r="I121" s="53"/>
      <c r="J121" s="75"/>
      <c r="K121" s="75"/>
      <c r="L121" s="63" t="s">
        <v>40</v>
      </c>
      <c r="M121" s="61" t="s">
        <v>89</v>
      </c>
      <c r="N121" s="113" t="s">
        <v>63</v>
      </c>
      <c r="O121" s="62">
        <v>0.13</v>
      </c>
      <c r="P121" s="97">
        <f>IFERROR(VLOOKUP(L121,[1]TDSheet!A$12:D$300,4,FALSE),0)</f>
        <v>0.253</v>
      </c>
      <c r="Q121" s="62">
        <v>0.1265</v>
      </c>
      <c r="R121" s="62">
        <v>0.1265</v>
      </c>
      <c r="S121" s="164">
        <f t="shared" si="3"/>
        <v>0.253</v>
      </c>
      <c r="T121">
        <f t="shared" si="4"/>
        <v>0</v>
      </c>
    </row>
    <row r="122" spans="1:20" ht="15.75" x14ac:dyDescent="0.25">
      <c r="A122" s="58"/>
      <c r="B122" s="59"/>
      <c r="C122" s="59"/>
      <c r="D122" s="59"/>
      <c r="E122" s="60"/>
      <c r="F122" s="80"/>
      <c r="G122" s="81"/>
      <c r="H122" s="81"/>
      <c r="I122" s="53"/>
      <c r="J122" s="75"/>
      <c r="K122" s="75"/>
      <c r="L122" s="63">
        <v>17403</v>
      </c>
      <c r="M122" s="61" t="s">
        <v>192</v>
      </c>
      <c r="N122" s="113" t="s">
        <v>63</v>
      </c>
      <c r="O122" s="62">
        <v>0.06</v>
      </c>
      <c r="P122" s="97">
        <f>IFERROR(VLOOKUP(L122,[1]TDSheet!A$12:D$300,4,FALSE),0)</f>
        <v>1.4670000000000001</v>
      </c>
      <c r="Q122" s="62">
        <v>0.06</v>
      </c>
      <c r="R122" s="62">
        <v>0.06</v>
      </c>
      <c r="S122" s="164">
        <f t="shared" si="3"/>
        <v>0.12</v>
      </c>
      <c r="T122">
        <f t="shared" si="4"/>
        <v>1.347</v>
      </c>
    </row>
    <row r="123" spans="1:20" ht="15.75" x14ac:dyDescent="0.25">
      <c r="A123" s="58"/>
      <c r="B123" s="59"/>
      <c r="C123" s="59"/>
      <c r="D123" s="59"/>
      <c r="E123" s="60"/>
      <c r="F123" s="80"/>
      <c r="G123" s="81"/>
      <c r="H123" s="81"/>
      <c r="I123" s="53"/>
      <c r="J123" s="75"/>
      <c r="K123" s="75"/>
      <c r="L123" s="63">
        <v>4057</v>
      </c>
      <c r="M123" s="61" t="s">
        <v>193</v>
      </c>
      <c r="N123" s="113" t="s">
        <v>63</v>
      </c>
      <c r="O123" s="62">
        <v>0.18</v>
      </c>
      <c r="P123" s="97">
        <f>IFERROR(VLOOKUP(L123,[1]TDSheet!A$12:D$300,4,FALSE),0)</f>
        <v>0.28000000000000003</v>
      </c>
      <c r="Q123" s="62">
        <f>0.28/2</f>
        <v>0.14000000000000001</v>
      </c>
      <c r="R123" s="62">
        <f>0.28/2</f>
        <v>0.14000000000000001</v>
      </c>
      <c r="S123" s="164">
        <f t="shared" si="3"/>
        <v>0.28000000000000003</v>
      </c>
      <c r="T123">
        <f t="shared" si="4"/>
        <v>0</v>
      </c>
    </row>
    <row r="124" spans="1:20" ht="15.75" x14ac:dyDescent="0.25">
      <c r="A124" s="58"/>
      <c r="B124" s="59"/>
      <c r="C124" s="59"/>
      <c r="D124" s="59"/>
      <c r="E124" s="60"/>
      <c r="F124" s="80"/>
      <c r="G124" s="81"/>
      <c r="H124" s="81"/>
      <c r="I124" s="53"/>
      <c r="J124" s="75"/>
      <c r="K124" s="75"/>
      <c r="L124" s="63" t="s">
        <v>385</v>
      </c>
      <c r="M124" s="61" t="s">
        <v>386</v>
      </c>
      <c r="N124" s="113" t="s">
        <v>34</v>
      </c>
      <c r="O124" s="62">
        <v>2</v>
      </c>
      <c r="P124" s="97">
        <f>IFERROR(VLOOKUP(L124,[1]TDSheet!A$12:D$300,4,FALSE),0)</f>
        <v>10</v>
      </c>
      <c r="Q124" s="62">
        <v>2</v>
      </c>
      <c r="R124" s="62">
        <v>2</v>
      </c>
      <c r="S124" s="164">
        <f t="shared" si="3"/>
        <v>4</v>
      </c>
      <c r="T124">
        <f t="shared" si="4"/>
        <v>6</v>
      </c>
    </row>
    <row r="125" spans="1:20" ht="15.75" x14ac:dyDescent="0.25">
      <c r="A125" s="58"/>
      <c r="B125" s="59"/>
      <c r="C125" s="59"/>
      <c r="D125" s="59"/>
      <c r="E125" s="60"/>
      <c r="F125" s="80"/>
      <c r="G125" s="81"/>
      <c r="H125" s="81"/>
      <c r="I125" s="53"/>
      <c r="J125" s="75"/>
      <c r="K125" s="75"/>
      <c r="L125" s="63" t="s">
        <v>387</v>
      </c>
      <c r="M125" s="61" t="s">
        <v>388</v>
      </c>
      <c r="N125" s="113" t="s">
        <v>34</v>
      </c>
      <c r="O125" s="62">
        <v>2</v>
      </c>
      <c r="P125" s="97">
        <f>IFERROR(VLOOKUP(L125,[1]TDSheet!A$12:D$300,4,FALSE),0)</f>
        <v>10</v>
      </c>
      <c r="Q125" s="62">
        <v>2</v>
      </c>
      <c r="R125" s="62">
        <v>2</v>
      </c>
      <c r="S125" s="164">
        <f t="shared" si="3"/>
        <v>4</v>
      </c>
      <c r="T125">
        <f t="shared" si="4"/>
        <v>6</v>
      </c>
    </row>
    <row r="126" spans="1:20" ht="15.75" x14ac:dyDescent="0.25">
      <c r="A126" s="58"/>
      <c r="B126" s="59"/>
      <c r="C126" s="59"/>
      <c r="D126" s="59"/>
      <c r="E126" s="60"/>
      <c r="F126" s="80"/>
      <c r="G126" s="81"/>
      <c r="H126" s="81"/>
      <c r="I126" s="53"/>
      <c r="J126" s="75"/>
      <c r="K126" s="75"/>
      <c r="L126" s="63" t="s">
        <v>389</v>
      </c>
      <c r="M126" s="61" t="s">
        <v>390</v>
      </c>
      <c r="N126" s="113" t="s">
        <v>34</v>
      </c>
      <c r="O126" s="62">
        <v>1</v>
      </c>
      <c r="P126" s="97">
        <f>IFERROR(VLOOKUP(L126,[1]TDSheet!A$12:D$300,4,FALSE),0)</f>
        <v>1</v>
      </c>
      <c r="Q126" s="62">
        <v>1</v>
      </c>
      <c r="R126" s="62">
        <v>1</v>
      </c>
      <c r="S126" s="164">
        <f t="shared" si="3"/>
        <v>2</v>
      </c>
      <c r="T126">
        <f t="shared" si="4"/>
        <v>-1</v>
      </c>
    </row>
    <row r="127" spans="1:20" ht="15.75" x14ac:dyDescent="0.25">
      <c r="A127" s="58"/>
      <c r="B127" s="59"/>
      <c r="C127" s="59"/>
      <c r="D127" s="59"/>
      <c r="E127" s="60"/>
      <c r="F127" s="80"/>
      <c r="G127" s="81"/>
      <c r="H127" s="81"/>
      <c r="I127" s="53"/>
      <c r="J127" s="75"/>
      <c r="K127" s="75"/>
      <c r="L127" s="63" t="s">
        <v>391</v>
      </c>
      <c r="M127" s="61" t="s">
        <v>392</v>
      </c>
      <c r="N127" s="55" t="s">
        <v>68</v>
      </c>
      <c r="O127" s="62">
        <v>5.5739999999999998</v>
      </c>
      <c r="P127" s="97">
        <f>IFERROR(VLOOKUP(L127,[1]TDSheet!A$12:D$300,4,FALSE),0)</f>
        <v>3.6280000000000001</v>
      </c>
      <c r="Q127" s="62">
        <v>5.5739999999999998</v>
      </c>
      <c r="R127" s="62">
        <v>5.5739999999999998</v>
      </c>
      <c r="S127" s="164">
        <f t="shared" si="3"/>
        <v>11.148</v>
      </c>
      <c r="T127">
        <f t="shared" si="4"/>
        <v>-7.52</v>
      </c>
    </row>
    <row r="128" spans="1:20" ht="15.75" x14ac:dyDescent="0.25">
      <c r="A128" s="58"/>
      <c r="B128" s="59"/>
      <c r="C128" s="59"/>
      <c r="D128" s="59"/>
      <c r="E128" s="60"/>
      <c r="F128" s="80"/>
      <c r="G128" s="81"/>
      <c r="H128" s="81"/>
      <c r="I128" s="53"/>
      <c r="J128" s="75"/>
      <c r="K128" s="75"/>
      <c r="L128" s="63">
        <v>19338</v>
      </c>
      <c r="M128" s="61" t="s">
        <v>393</v>
      </c>
      <c r="N128" s="55" t="s">
        <v>34</v>
      </c>
      <c r="O128" s="62">
        <v>5</v>
      </c>
      <c r="P128" s="97">
        <f>IFERROR(VLOOKUP(L128,[1]TDSheet!A$12:D$300,4,FALSE),0)</f>
        <v>40</v>
      </c>
      <c r="Q128" s="97">
        <v>9</v>
      </c>
      <c r="R128" s="101">
        <v>9</v>
      </c>
      <c r="S128" s="164">
        <f t="shared" si="3"/>
        <v>18</v>
      </c>
      <c r="T128">
        <f t="shared" si="4"/>
        <v>22</v>
      </c>
    </row>
    <row r="129" spans="1:20" ht="15.75" x14ac:dyDescent="0.25">
      <c r="A129" s="58"/>
      <c r="B129" s="59"/>
      <c r="C129" s="59"/>
      <c r="D129" s="59"/>
      <c r="E129" s="60"/>
      <c r="F129" s="80"/>
      <c r="G129" s="81"/>
      <c r="H129" s="81"/>
      <c r="I129" s="53"/>
      <c r="J129" s="75"/>
      <c r="K129" s="75"/>
      <c r="L129" s="63" t="s">
        <v>394</v>
      </c>
      <c r="M129" s="61" t="s">
        <v>395</v>
      </c>
      <c r="N129" s="55" t="s">
        <v>34</v>
      </c>
      <c r="O129" s="62">
        <v>1</v>
      </c>
      <c r="P129" s="97">
        <f>IFERROR(VLOOKUP(L129,[1]TDSheet!A$12:D$300,4,FALSE),0)</f>
        <v>6</v>
      </c>
      <c r="Q129" s="62">
        <v>1</v>
      </c>
      <c r="R129" s="62">
        <v>1</v>
      </c>
      <c r="S129" s="164">
        <f t="shared" si="3"/>
        <v>2</v>
      </c>
      <c r="T129">
        <f t="shared" si="4"/>
        <v>4</v>
      </c>
    </row>
    <row r="130" spans="1:20" ht="15.75" x14ac:dyDescent="0.25">
      <c r="A130" s="58"/>
      <c r="B130" s="59"/>
      <c r="C130" s="59"/>
      <c r="D130" s="59"/>
      <c r="E130" s="60"/>
      <c r="F130" s="80"/>
      <c r="G130" s="81"/>
      <c r="H130" s="81"/>
      <c r="I130" s="53"/>
      <c r="J130" s="75"/>
      <c r="K130" s="75"/>
      <c r="L130" s="63">
        <v>345</v>
      </c>
      <c r="M130" s="61" t="s">
        <v>396</v>
      </c>
      <c r="N130" s="55" t="s">
        <v>34</v>
      </c>
      <c r="O130" s="62">
        <v>2</v>
      </c>
      <c r="P130" s="97">
        <f>IFERROR(VLOOKUP(L130,[1]TDSheet!A$12:D$300,4,FALSE),0)</f>
        <v>56</v>
      </c>
      <c r="Q130" s="62">
        <v>2</v>
      </c>
      <c r="R130" s="62">
        <v>2</v>
      </c>
      <c r="S130" s="164">
        <f t="shared" si="3"/>
        <v>4</v>
      </c>
      <c r="T130">
        <f t="shared" si="4"/>
        <v>52</v>
      </c>
    </row>
    <row r="131" spans="1:20" ht="15.75" x14ac:dyDescent="0.25">
      <c r="A131" s="58"/>
      <c r="B131" s="59"/>
      <c r="C131" s="59"/>
      <c r="D131" s="59"/>
      <c r="E131" s="60"/>
      <c r="F131" s="80"/>
      <c r="G131" s="81"/>
      <c r="H131" s="81"/>
      <c r="I131" s="53"/>
      <c r="J131" s="75"/>
      <c r="K131" s="75"/>
      <c r="L131" s="63">
        <v>107</v>
      </c>
      <c r="M131" s="61" t="s">
        <v>397</v>
      </c>
      <c r="N131" s="55" t="s">
        <v>34</v>
      </c>
      <c r="O131" s="62">
        <v>2</v>
      </c>
      <c r="P131" s="97">
        <f>IFERROR(VLOOKUP(L131,[1]TDSheet!A$12:D$300,4,FALSE),0)</f>
        <v>3</v>
      </c>
      <c r="Q131" s="62">
        <v>2</v>
      </c>
      <c r="R131" s="62">
        <v>1</v>
      </c>
      <c r="S131" s="164">
        <f t="shared" si="3"/>
        <v>3</v>
      </c>
      <c r="T131">
        <f t="shared" si="4"/>
        <v>0</v>
      </c>
    </row>
    <row r="132" spans="1:20" ht="15.75" x14ac:dyDescent="0.25">
      <c r="A132" s="58"/>
      <c r="B132" s="59"/>
      <c r="C132" s="59"/>
      <c r="D132" s="59"/>
      <c r="E132" s="60"/>
      <c r="F132" s="80"/>
      <c r="G132" s="81"/>
      <c r="H132" s="81"/>
      <c r="I132" s="53"/>
      <c r="J132" s="75"/>
      <c r="K132" s="75"/>
      <c r="L132" s="144" t="s">
        <v>59</v>
      </c>
      <c r="M132" s="61" t="s">
        <v>90</v>
      </c>
      <c r="N132" s="55" t="s">
        <v>34</v>
      </c>
      <c r="O132" s="62">
        <v>3</v>
      </c>
      <c r="P132" s="97">
        <f>IFERROR(VLOOKUP(L132,[1]TDSheet!A$12:D$300,4,FALSE),0)</f>
        <v>6</v>
      </c>
      <c r="Q132" s="62">
        <v>3</v>
      </c>
      <c r="R132" s="62">
        <v>3</v>
      </c>
      <c r="S132" s="164">
        <f t="shared" si="3"/>
        <v>6</v>
      </c>
      <c r="T132">
        <f t="shared" si="4"/>
        <v>0</v>
      </c>
    </row>
    <row r="133" spans="1:20" ht="15.75" x14ac:dyDescent="0.25">
      <c r="A133" s="58"/>
      <c r="B133" s="59"/>
      <c r="C133" s="59"/>
      <c r="D133" s="59"/>
      <c r="E133" s="60"/>
      <c r="F133" s="80"/>
      <c r="G133" s="81"/>
      <c r="H133" s="81"/>
      <c r="I133" s="53"/>
      <c r="J133" s="75"/>
      <c r="K133" s="75"/>
      <c r="L133" s="144">
        <v>21807</v>
      </c>
      <c r="M133" s="61" t="s">
        <v>398</v>
      </c>
      <c r="N133" s="55" t="s">
        <v>34</v>
      </c>
      <c r="O133" s="62">
        <v>5</v>
      </c>
      <c r="P133" s="97">
        <f>IFERROR(VLOOKUP(L133,[1]TDSheet!A$12:D$300,4,FALSE),0)</f>
        <v>26</v>
      </c>
      <c r="Q133" s="62">
        <v>5</v>
      </c>
      <c r="R133" s="62">
        <v>5</v>
      </c>
      <c r="S133" s="164">
        <f t="shared" si="3"/>
        <v>10</v>
      </c>
      <c r="T133">
        <f t="shared" si="4"/>
        <v>16</v>
      </c>
    </row>
    <row r="134" spans="1:20" ht="15.75" x14ac:dyDescent="0.25">
      <c r="A134" s="58"/>
      <c r="B134" s="59"/>
      <c r="C134" s="59"/>
      <c r="D134" s="59"/>
      <c r="E134" s="60"/>
      <c r="F134" s="80"/>
      <c r="G134" s="81"/>
      <c r="H134" s="81"/>
      <c r="I134" s="53"/>
      <c r="J134" s="75"/>
      <c r="K134" s="75"/>
      <c r="L134" s="63">
        <v>16131</v>
      </c>
      <c r="M134" s="61" t="s">
        <v>399</v>
      </c>
      <c r="N134" s="55" t="s">
        <v>34</v>
      </c>
      <c r="O134" s="62">
        <v>3</v>
      </c>
      <c r="P134" s="97">
        <f>IFERROR(VLOOKUP(L134,[1]TDSheet!A$12:D$300,4,FALSE),0)</f>
        <v>25</v>
      </c>
      <c r="Q134" s="62">
        <v>3</v>
      </c>
      <c r="R134" s="62">
        <v>4</v>
      </c>
      <c r="S134" s="164">
        <f t="shared" si="3"/>
        <v>7</v>
      </c>
      <c r="T134">
        <f t="shared" si="4"/>
        <v>18</v>
      </c>
    </row>
    <row r="135" spans="1:20" ht="15.75" x14ac:dyDescent="0.25">
      <c r="A135" s="58"/>
      <c r="B135" s="59"/>
      <c r="C135" s="59"/>
      <c r="D135" s="59"/>
      <c r="E135" s="60"/>
      <c r="F135" s="80"/>
      <c r="G135" s="81"/>
      <c r="H135" s="81"/>
      <c r="I135" s="53"/>
      <c r="J135" s="75"/>
      <c r="K135" s="75"/>
      <c r="L135" s="63" t="s">
        <v>196</v>
      </c>
      <c r="M135" s="61" t="s">
        <v>197</v>
      </c>
      <c r="N135" s="55" t="s">
        <v>34</v>
      </c>
      <c r="O135" s="62">
        <v>4</v>
      </c>
      <c r="P135" s="97">
        <f>IFERROR(VLOOKUP(L135,[1]TDSheet!A$12:D$300,4,FALSE),0)</f>
        <v>7</v>
      </c>
      <c r="Q135" s="62">
        <v>4</v>
      </c>
      <c r="R135" s="62">
        <v>3</v>
      </c>
      <c r="S135" s="164">
        <f t="shared" si="3"/>
        <v>7</v>
      </c>
      <c r="T135">
        <f t="shared" si="4"/>
        <v>0</v>
      </c>
    </row>
    <row r="136" spans="1:20" ht="15.75" x14ac:dyDescent="0.25">
      <c r="A136" s="58"/>
      <c r="B136" s="59"/>
      <c r="C136" s="59"/>
      <c r="D136" s="59"/>
      <c r="E136" s="60"/>
      <c r="F136" s="80"/>
      <c r="G136" s="81"/>
      <c r="H136" s="81"/>
      <c r="I136" s="53"/>
      <c r="J136" s="75"/>
      <c r="K136" s="75"/>
      <c r="L136" s="63" t="s">
        <v>400</v>
      </c>
      <c r="M136" s="61" t="s">
        <v>401</v>
      </c>
      <c r="N136" s="55" t="s">
        <v>34</v>
      </c>
      <c r="O136" s="62">
        <v>1</v>
      </c>
      <c r="P136" s="97">
        <f>IFERROR(VLOOKUP(L136,[1]TDSheet!A$12:D$300,4,FALSE),0)</f>
        <v>5</v>
      </c>
      <c r="Q136" s="62">
        <v>1</v>
      </c>
      <c r="R136" s="62">
        <v>1</v>
      </c>
      <c r="S136" s="164">
        <f t="shared" si="3"/>
        <v>2</v>
      </c>
      <c r="T136">
        <f t="shared" si="4"/>
        <v>3</v>
      </c>
    </row>
    <row r="137" spans="1:20" ht="15.75" x14ac:dyDescent="0.25">
      <c r="A137" s="58"/>
      <c r="B137" s="59"/>
      <c r="C137" s="59"/>
      <c r="D137" s="59"/>
      <c r="E137" s="60"/>
      <c r="F137" s="80"/>
      <c r="G137" s="81"/>
      <c r="H137" s="81"/>
      <c r="I137" s="53"/>
      <c r="J137" s="75"/>
      <c r="K137" s="75"/>
      <c r="L137" s="63">
        <v>19330</v>
      </c>
      <c r="M137" s="61" t="s">
        <v>402</v>
      </c>
      <c r="N137" s="55" t="s">
        <v>34</v>
      </c>
      <c r="O137" s="62">
        <v>2</v>
      </c>
      <c r="P137" s="97">
        <f>IFERROR(VLOOKUP(L137,[1]TDSheet!A$12:D$300,4,FALSE),0)</f>
        <v>6</v>
      </c>
      <c r="Q137" s="62">
        <v>2</v>
      </c>
      <c r="R137" s="62">
        <v>2</v>
      </c>
      <c r="S137" s="164">
        <f t="shared" si="3"/>
        <v>4</v>
      </c>
      <c r="T137">
        <f t="shared" si="4"/>
        <v>2</v>
      </c>
    </row>
    <row r="138" spans="1:20" ht="15.75" x14ac:dyDescent="0.25">
      <c r="A138" s="58"/>
      <c r="B138" s="59"/>
      <c r="C138" s="59"/>
      <c r="D138" s="59"/>
      <c r="E138" s="60"/>
      <c r="F138" s="80"/>
      <c r="G138" s="81"/>
      <c r="H138" s="81"/>
      <c r="I138" s="53"/>
      <c r="J138" s="75"/>
      <c r="K138" s="75"/>
      <c r="L138" s="63" t="s">
        <v>403</v>
      </c>
      <c r="M138" s="61" t="s">
        <v>404</v>
      </c>
      <c r="N138" s="55" t="s">
        <v>34</v>
      </c>
      <c r="O138" s="62">
        <v>2</v>
      </c>
      <c r="P138" s="97">
        <f>IFERROR(VLOOKUP(L138,[1]TDSheet!A$12:D$300,4,FALSE),0)</f>
        <v>6</v>
      </c>
      <c r="Q138" s="62">
        <v>2</v>
      </c>
      <c r="R138" s="62">
        <v>2</v>
      </c>
      <c r="S138" s="164">
        <f t="shared" si="3"/>
        <v>4</v>
      </c>
      <c r="T138">
        <f t="shared" si="4"/>
        <v>2</v>
      </c>
    </row>
    <row r="139" spans="1:20" ht="15.75" x14ac:dyDescent="0.25">
      <c r="A139" s="58"/>
      <c r="B139" s="59"/>
      <c r="C139" s="59"/>
      <c r="D139" s="59"/>
      <c r="E139" s="60"/>
      <c r="F139" s="80"/>
      <c r="G139" s="81"/>
      <c r="H139" s="81"/>
      <c r="I139" s="53"/>
      <c r="J139" s="75"/>
      <c r="K139" s="75"/>
      <c r="L139" s="63" t="s">
        <v>200</v>
      </c>
      <c r="M139" s="61" t="s">
        <v>201</v>
      </c>
      <c r="N139" s="113" t="s">
        <v>34</v>
      </c>
      <c r="O139" s="62">
        <v>2</v>
      </c>
      <c r="P139" s="97">
        <f>IFERROR(VLOOKUP(L139,[1]TDSheet!A$12:D$300,4,FALSE),0)</f>
        <v>1</v>
      </c>
      <c r="Q139" s="62">
        <v>1</v>
      </c>
      <c r="R139" s="62">
        <v>0</v>
      </c>
      <c r="S139" s="164">
        <f t="shared" si="3"/>
        <v>1</v>
      </c>
      <c r="T139">
        <f t="shared" si="4"/>
        <v>0</v>
      </c>
    </row>
    <row r="140" spans="1:20" ht="15.75" x14ac:dyDescent="0.25">
      <c r="A140" s="58"/>
      <c r="B140" s="59"/>
      <c r="C140" s="59"/>
      <c r="D140" s="59"/>
      <c r="E140" s="60"/>
      <c r="F140" s="80"/>
      <c r="G140" s="81"/>
      <c r="H140" s="81"/>
      <c r="I140" s="53"/>
      <c r="J140" s="75"/>
      <c r="K140" s="75"/>
      <c r="L140" s="63" t="s">
        <v>405</v>
      </c>
      <c r="M140" s="61" t="s">
        <v>406</v>
      </c>
      <c r="N140" s="113" t="s">
        <v>34</v>
      </c>
      <c r="O140" s="62">
        <v>2</v>
      </c>
      <c r="P140" s="97">
        <f>IFERROR(VLOOKUP(L140,[1]TDSheet!A$12:D$300,4,FALSE),0)</f>
        <v>6</v>
      </c>
      <c r="Q140" s="62">
        <v>3</v>
      </c>
      <c r="R140" s="62">
        <v>3</v>
      </c>
      <c r="S140" s="164">
        <f t="shared" si="3"/>
        <v>6</v>
      </c>
      <c r="T140">
        <f t="shared" si="4"/>
        <v>0</v>
      </c>
    </row>
    <row r="141" spans="1:20" ht="15.75" x14ac:dyDescent="0.25">
      <c r="A141" s="58"/>
      <c r="B141" s="59"/>
      <c r="C141" s="59"/>
      <c r="D141" s="59"/>
      <c r="E141" s="60"/>
      <c r="F141" s="80"/>
      <c r="G141" s="81"/>
      <c r="H141" s="81"/>
      <c r="I141" s="53"/>
      <c r="J141" s="75"/>
      <c r="K141" s="75"/>
      <c r="L141" s="63">
        <v>85</v>
      </c>
      <c r="M141" s="61" t="s">
        <v>407</v>
      </c>
      <c r="N141" s="113" t="s">
        <v>34</v>
      </c>
      <c r="O141" s="62">
        <v>2</v>
      </c>
      <c r="P141" s="97">
        <f>IFERROR(VLOOKUP(L141,[1]TDSheet!A$12:D$300,4,FALSE),0)</f>
        <v>6</v>
      </c>
      <c r="Q141" s="62">
        <v>3</v>
      </c>
      <c r="R141" s="62">
        <v>3</v>
      </c>
      <c r="S141" s="164">
        <f t="shared" si="3"/>
        <v>6</v>
      </c>
      <c r="T141">
        <f t="shared" si="4"/>
        <v>0</v>
      </c>
    </row>
    <row r="142" spans="1:20" ht="15.75" x14ac:dyDescent="0.25">
      <c r="A142" s="58"/>
      <c r="B142" s="59"/>
      <c r="C142" s="59"/>
      <c r="D142" s="59"/>
      <c r="E142" s="60"/>
      <c r="F142" s="80"/>
      <c r="G142" s="81"/>
      <c r="H142" s="81"/>
      <c r="I142" s="53"/>
      <c r="J142" s="75"/>
      <c r="K142" s="75"/>
      <c r="L142" s="63">
        <v>477</v>
      </c>
      <c r="M142" s="61" t="s">
        <v>93</v>
      </c>
      <c r="N142" s="113" t="s">
        <v>34</v>
      </c>
      <c r="O142" s="62">
        <v>18</v>
      </c>
      <c r="P142" s="97">
        <f>IFERROR(VLOOKUP(L142,[1]TDSheet!A$12:D$300,4,FALSE),0)</f>
        <v>12</v>
      </c>
      <c r="Q142" s="62">
        <v>6</v>
      </c>
      <c r="R142" s="62">
        <v>6</v>
      </c>
      <c r="S142" s="164">
        <f t="shared" si="3"/>
        <v>12</v>
      </c>
      <c r="T142">
        <f t="shared" si="4"/>
        <v>0</v>
      </c>
    </row>
    <row r="143" spans="1:20" ht="15.75" x14ac:dyDescent="0.25">
      <c r="A143" s="58"/>
      <c r="B143" s="59"/>
      <c r="C143" s="59"/>
      <c r="D143" s="59"/>
      <c r="E143" s="60"/>
      <c r="F143" s="80"/>
      <c r="G143" s="81"/>
      <c r="H143" s="81"/>
      <c r="I143" s="53"/>
      <c r="J143" s="75"/>
      <c r="K143" s="75"/>
      <c r="L143" s="63" t="s">
        <v>408</v>
      </c>
      <c r="M143" s="61" t="s">
        <v>409</v>
      </c>
      <c r="N143" s="113" t="s">
        <v>34</v>
      </c>
      <c r="O143" s="62">
        <v>12</v>
      </c>
      <c r="P143" s="97">
        <f>IFERROR(VLOOKUP(L143,[1]TDSheet!A$12:D$300,4,FALSE),0)</f>
        <v>28</v>
      </c>
      <c r="Q143" s="62">
        <v>12</v>
      </c>
      <c r="R143" s="62">
        <v>12</v>
      </c>
      <c r="S143" s="164">
        <f t="shared" si="3"/>
        <v>24</v>
      </c>
      <c r="T143">
        <f t="shared" si="4"/>
        <v>4</v>
      </c>
    </row>
    <row r="144" spans="1:20" ht="15.75" x14ac:dyDescent="0.25">
      <c r="A144" s="58"/>
      <c r="B144" s="59"/>
      <c r="C144" s="59"/>
      <c r="D144" s="59"/>
      <c r="E144" s="60"/>
      <c r="F144" s="80"/>
      <c r="G144" s="81"/>
      <c r="H144" s="81"/>
      <c r="I144" s="53"/>
      <c r="J144" s="75"/>
      <c r="K144" s="75"/>
      <c r="L144" s="63" t="s">
        <v>411</v>
      </c>
      <c r="M144" s="61" t="s">
        <v>412</v>
      </c>
      <c r="N144" s="113" t="s">
        <v>34</v>
      </c>
      <c r="O144" s="62">
        <v>136</v>
      </c>
      <c r="P144" s="97">
        <f>IFERROR(VLOOKUP(L144,[1]TDSheet!A$12:D$300,4,FALSE),0)</f>
        <v>724</v>
      </c>
      <c r="Q144" s="62">
        <v>136</v>
      </c>
      <c r="R144" s="62">
        <v>136</v>
      </c>
      <c r="S144" s="164">
        <f t="shared" si="3"/>
        <v>272</v>
      </c>
      <c r="T144">
        <f t="shared" si="4"/>
        <v>452</v>
      </c>
    </row>
    <row r="145" spans="1:20" ht="15.75" x14ac:dyDescent="0.25">
      <c r="A145" s="58"/>
      <c r="B145" s="59"/>
      <c r="C145" s="59"/>
      <c r="D145" s="59"/>
      <c r="E145" s="60"/>
      <c r="F145" s="80"/>
      <c r="G145" s="81"/>
      <c r="H145" s="81"/>
      <c r="I145" s="53"/>
      <c r="J145" s="75"/>
      <c r="K145" s="75"/>
      <c r="L145" s="63" t="s">
        <v>204</v>
      </c>
      <c r="M145" s="61" t="s">
        <v>735</v>
      </c>
      <c r="N145" s="113" t="s">
        <v>34</v>
      </c>
      <c r="O145" s="62">
        <v>158</v>
      </c>
      <c r="P145" s="97">
        <f>IFERROR(VLOOKUP(L145,[1]TDSheet!A$12:D$300,4,FALSE),0)</f>
        <v>550</v>
      </c>
      <c r="Q145" s="62">
        <v>158</v>
      </c>
      <c r="R145" s="62">
        <v>158</v>
      </c>
      <c r="S145" s="164">
        <f t="shared" si="3"/>
        <v>316</v>
      </c>
      <c r="T145">
        <f t="shared" si="4"/>
        <v>234</v>
      </c>
    </row>
    <row r="146" spans="1:20" ht="15.75" x14ac:dyDescent="0.25">
      <c r="A146" s="58"/>
      <c r="B146" s="59"/>
      <c r="C146" s="59"/>
      <c r="D146" s="59"/>
      <c r="E146" s="60"/>
      <c r="F146" s="80"/>
      <c r="G146" s="81"/>
      <c r="H146" s="81"/>
      <c r="I146" s="53"/>
      <c r="J146" s="75"/>
      <c r="K146" s="75"/>
      <c r="L146" s="63">
        <v>3979</v>
      </c>
      <c r="M146" s="61" t="s">
        <v>206</v>
      </c>
      <c r="N146" s="113" t="s">
        <v>34</v>
      </c>
      <c r="O146" s="62">
        <v>72</v>
      </c>
      <c r="P146" s="97">
        <f>IFERROR(VLOOKUP(L146,[1]TDSheet!A$12:D$300,4,FALSE),0)</f>
        <v>291</v>
      </c>
      <c r="Q146" s="62">
        <v>72</v>
      </c>
      <c r="R146" s="62">
        <v>72</v>
      </c>
      <c r="S146" s="164">
        <f t="shared" si="3"/>
        <v>144</v>
      </c>
      <c r="T146">
        <f t="shared" si="4"/>
        <v>147</v>
      </c>
    </row>
    <row r="147" spans="1:20" ht="15.75" x14ac:dyDescent="0.25">
      <c r="A147" s="58"/>
      <c r="B147" s="59"/>
      <c r="C147" s="59"/>
      <c r="D147" s="59"/>
      <c r="E147" s="60"/>
      <c r="F147" s="80"/>
      <c r="G147" s="81"/>
      <c r="H147" s="81"/>
      <c r="I147" s="53"/>
      <c r="J147" s="75"/>
      <c r="K147" s="75"/>
      <c r="L147" s="63">
        <v>21333</v>
      </c>
      <c r="M147" s="61" t="s">
        <v>747</v>
      </c>
      <c r="N147" s="113" t="s">
        <v>34</v>
      </c>
      <c r="O147" s="62">
        <v>6</v>
      </c>
      <c r="P147" s="97">
        <f>IFERROR(VLOOKUP(L147,[1]TDSheet!A$12:D$300,4,FALSE),0)</f>
        <v>61</v>
      </c>
      <c r="Q147" s="62">
        <v>6</v>
      </c>
      <c r="R147" s="62">
        <v>6</v>
      </c>
      <c r="S147" s="164">
        <f t="shared" ref="S147:S212" si="5">R147+Q147</f>
        <v>12</v>
      </c>
      <c r="T147">
        <f t="shared" si="4"/>
        <v>49</v>
      </c>
    </row>
    <row r="148" spans="1:20" ht="15.75" x14ac:dyDescent="0.25">
      <c r="A148" s="58"/>
      <c r="B148" s="59"/>
      <c r="C148" s="59"/>
      <c r="D148" s="59"/>
      <c r="E148" s="60"/>
      <c r="F148" s="80"/>
      <c r="G148" s="81"/>
      <c r="H148" s="81"/>
      <c r="I148" s="53"/>
      <c r="J148" s="75"/>
      <c r="K148" s="75"/>
      <c r="L148" s="144">
        <v>614</v>
      </c>
      <c r="M148" s="61" t="s">
        <v>512</v>
      </c>
      <c r="N148" s="55" t="s">
        <v>45</v>
      </c>
      <c r="O148" s="62">
        <v>270</v>
      </c>
      <c r="P148" s="97">
        <f>IFERROR(VLOOKUP(L148,[1]TDSheet!A$12:D$300,4,FALSE),0)</f>
        <v>1935.34</v>
      </c>
      <c r="Q148" s="62">
        <f>270+85</f>
        <v>355</v>
      </c>
      <c r="R148" s="62">
        <f>270+85</f>
        <v>355</v>
      </c>
      <c r="S148" s="164">
        <f t="shared" si="5"/>
        <v>710</v>
      </c>
      <c r="T148">
        <f t="shared" si="4"/>
        <v>1225.3399999999999</v>
      </c>
    </row>
    <row r="149" spans="1:20" ht="15.75" x14ac:dyDescent="0.25">
      <c r="A149" s="58"/>
      <c r="B149" s="59"/>
      <c r="C149" s="59"/>
      <c r="D149" s="59"/>
      <c r="E149" s="60"/>
      <c r="F149" s="80"/>
      <c r="G149" s="81"/>
      <c r="H149" s="81"/>
      <c r="I149" s="53"/>
      <c r="J149" s="75"/>
      <c r="K149" s="75"/>
      <c r="L149" s="63" t="s">
        <v>414</v>
      </c>
      <c r="M149" s="61" t="s">
        <v>415</v>
      </c>
      <c r="N149" s="55" t="s">
        <v>37</v>
      </c>
      <c r="O149" s="62">
        <v>95</v>
      </c>
      <c r="P149" s="97">
        <f>IFERROR(VLOOKUP(L149,[1]TDSheet!A$12:D$300,4,FALSE),0)</f>
        <v>47.5</v>
      </c>
      <c r="Q149" s="62">
        <v>95</v>
      </c>
      <c r="R149" s="62">
        <v>95</v>
      </c>
      <c r="S149" s="164">
        <f t="shared" si="5"/>
        <v>190</v>
      </c>
      <c r="T149">
        <f t="shared" si="4"/>
        <v>-142.5</v>
      </c>
    </row>
    <row r="150" spans="1:20" ht="15.75" x14ac:dyDescent="0.25">
      <c r="A150" s="58"/>
      <c r="B150" s="59"/>
      <c r="C150" s="59"/>
      <c r="D150" s="59"/>
      <c r="E150" s="60"/>
      <c r="F150" s="80"/>
      <c r="G150" s="81"/>
      <c r="H150" s="81"/>
      <c r="I150" s="53"/>
      <c r="J150" s="75"/>
      <c r="K150" s="75"/>
      <c r="L150" s="63" t="s">
        <v>207</v>
      </c>
      <c r="M150" s="61" t="s">
        <v>513</v>
      </c>
      <c r="N150" s="113" t="s">
        <v>68</v>
      </c>
      <c r="O150" s="62">
        <v>120</v>
      </c>
      <c r="P150" s="97">
        <f>IFERROR(VLOOKUP(L150,[1]TDSheet!A$12:D$300,4,FALSE),0)</f>
        <v>70</v>
      </c>
      <c r="Q150" s="62">
        <v>35</v>
      </c>
      <c r="R150" s="62">
        <v>35</v>
      </c>
      <c r="S150" s="164">
        <f t="shared" si="5"/>
        <v>70</v>
      </c>
      <c r="T150">
        <f t="shared" si="4"/>
        <v>0</v>
      </c>
    </row>
    <row r="151" spans="1:20" ht="15.75" x14ac:dyDescent="0.25">
      <c r="A151" s="58"/>
      <c r="B151" s="59"/>
      <c r="C151" s="59"/>
      <c r="D151" s="59"/>
      <c r="E151" s="60"/>
      <c r="F151" s="80"/>
      <c r="G151" s="81"/>
      <c r="H151" s="81"/>
      <c r="I151" s="53"/>
      <c r="J151" s="75"/>
      <c r="K151" s="75"/>
      <c r="L151" s="63" t="s">
        <v>208</v>
      </c>
      <c r="M151" s="61" t="s">
        <v>209</v>
      </c>
      <c r="N151" s="113" t="s">
        <v>34</v>
      </c>
      <c r="O151" s="62">
        <v>9</v>
      </c>
      <c r="P151" s="97">
        <f>IFERROR(VLOOKUP(L151,[1]TDSheet!A$12:D$300,4,FALSE),0)</f>
        <v>7</v>
      </c>
      <c r="Q151" s="62">
        <v>9</v>
      </c>
      <c r="R151" s="62">
        <v>9</v>
      </c>
      <c r="S151" s="164">
        <f t="shared" si="5"/>
        <v>18</v>
      </c>
      <c r="T151">
        <f t="shared" si="4"/>
        <v>-11</v>
      </c>
    </row>
    <row r="152" spans="1:20" ht="15.75" x14ac:dyDescent="0.25">
      <c r="A152" s="58"/>
      <c r="B152" s="59"/>
      <c r="C152" s="59"/>
      <c r="D152" s="59"/>
      <c r="E152" s="60"/>
      <c r="F152" s="80"/>
      <c r="G152" s="81"/>
      <c r="H152" s="81"/>
      <c r="I152" s="53"/>
      <c r="J152" s="75"/>
      <c r="K152" s="75"/>
      <c r="L152" s="63" t="s">
        <v>416</v>
      </c>
      <c r="M152" s="61" t="s">
        <v>417</v>
      </c>
      <c r="N152" s="113" t="s">
        <v>34</v>
      </c>
      <c r="O152" s="62">
        <v>1</v>
      </c>
      <c r="P152" s="97">
        <f>IFERROR(VLOOKUP(L152,[1]TDSheet!A$12:D$300,4,FALSE),0)</f>
        <v>4</v>
      </c>
      <c r="Q152" s="62">
        <v>1</v>
      </c>
      <c r="R152" s="62">
        <v>1</v>
      </c>
      <c r="S152" s="164">
        <f t="shared" si="5"/>
        <v>2</v>
      </c>
      <c r="T152">
        <f t="shared" ref="T152:T217" si="6">P152-Q152-R152</f>
        <v>2</v>
      </c>
    </row>
    <row r="153" spans="1:20" ht="15.75" x14ac:dyDescent="0.25">
      <c r="A153" s="58"/>
      <c r="B153" s="59"/>
      <c r="C153" s="59"/>
      <c r="D153" s="59"/>
      <c r="E153" s="60"/>
      <c r="F153" s="80"/>
      <c r="G153" s="81"/>
      <c r="H153" s="81"/>
      <c r="I153" s="53"/>
      <c r="J153" s="75"/>
      <c r="K153" s="75"/>
      <c r="L153" s="63" t="s">
        <v>418</v>
      </c>
      <c r="M153" s="61" t="s">
        <v>419</v>
      </c>
      <c r="N153" s="113" t="s">
        <v>34</v>
      </c>
      <c r="O153" s="62">
        <v>1</v>
      </c>
      <c r="P153" s="97">
        <f>IFERROR(VLOOKUP(L153,[1]TDSheet!A$12:D$300,4,FALSE),0)</f>
        <v>4</v>
      </c>
      <c r="Q153" s="62">
        <v>1</v>
      </c>
      <c r="R153" s="62">
        <v>1</v>
      </c>
      <c r="S153" s="164">
        <f t="shared" si="5"/>
        <v>2</v>
      </c>
      <c r="T153">
        <f t="shared" si="6"/>
        <v>2</v>
      </c>
    </row>
    <row r="154" spans="1:20" ht="15.75" x14ac:dyDescent="0.25">
      <c r="A154" s="58"/>
      <c r="B154" s="59"/>
      <c r="C154" s="59"/>
      <c r="D154" s="59"/>
      <c r="E154" s="60"/>
      <c r="F154" s="80"/>
      <c r="G154" s="81"/>
      <c r="H154" s="81"/>
      <c r="I154" s="53"/>
      <c r="J154" s="75"/>
      <c r="K154" s="75"/>
      <c r="L154" s="63" t="s">
        <v>420</v>
      </c>
      <c r="M154" s="61" t="s">
        <v>421</v>
      </c>
      <c r="N154" s="55" t="s">
        <v>37</v>
      </c>
      <c r="O154" s="62">
        <v>20</v>
      </c>
      <c r="P154" s="97">
        <f>IFERROR(VLOOKUP(L154,[1]TDSheet!A$12:D$300,4,FALSE),0)</f>
        <v>60.018999999999998</v>
      </c>
      <c r="Q154" s="62">
        <v>20</v>
      </c>
      <c r="R154" s="62">
        <v>20</v>
      </c>
      <c r="S154" s="164">
        <f t="shared" si="5"/>
        <v>40</v>
      </c>
      <c r="T154">
        <f t="shared" si="6"/>
        <v>20.018999999999998</v>
      </c>
    </row>
    <row r="155" spans="1:20" ht="15.75" x14ac:dyDescent="0.25">
      <c r="A155" s="58"/>
      <c r="B155" s="59"/>
      <c r="C155" s="59"/>
      <c r="D155" s="59"/>
      <c r="E155" s="60"/>
      <c r="F155" s="80"/>
      <c r="G155" s="81"/>
      <c r="H155" s="81"/>
      <c r="I155" s="53"/>
      <c r="J155" s="75"/>
      <c r="K155" s="75"/>
      <c r="L155" s="63" t="s">
        <v>422</v>
      </c>
      <c r="M155" s="61" t="s">
        <v>423</v>
      </c>
      <c r="N155" s="55" t="s">
        <v>34</v>
      </c>
      <c r="O155" s="62">
        <v>2</v>
      </c>
      <c r="P155" s="97">
        <f>IFERROR(VLOOKUP(L155,[1]TDSheet!A$12:D$300,4,FALSE),0)</f>
        <v>6</v>
      </c>
      <c r="Q155" s="62">
        <v>2</v>
      </c>
      <c r="R155" s="62">
        <v>2</v>
      </c>
      <c r="S155" s="164">
        <f t="shared" si="5"/>
        <v>4</v>
      </c>
      <c r="T155">
        <f t="shared" si="6"/>
        <v>2</v>
      </c>
    </row>
    <row r="156" spans="1:20" ht="15.75" x14ac:dyDescent="0.25">
      <c r="A156" s="58"/>
      <c r="B156" s="59"/>
      <c r="C156" s="59"/>
      <c r="D156" s="59"/>
      <c r="E156" s="60"/>
      <c r="F156" s="80"/>
      <c r="G156" s="81"/>
      <c r="H156" s="81"/>
      <c r="I156" s="53"/>
      <c r="J156" s="75"/>
      <c r="K156" s="75"/>
      <c r="L156" s="63" t="s">
        <v>424</v>
      </c>
      <c r="M156" s="61" t="s">
        <v>425</v>
      </c>
      <c r="N156" s="55" t="s">
        <v>34</v>
      </c>
      <c r="O156" s="62">
        <v>2</v>
      </c>
      <c r="P156" s="97">
        <f>IFERROR(VLOOKUP(L156,[1]TDSheet!A$12:D$300,4,FALSE),0)</f>
        <v>30</v>
      </c>
      <c r="Q156" s="62">
        <v>2</v>
      </c>
      <c r="R156" s="62">
        <v>2</v>
      </c>
      <c r="S156" s="164">
        <f t="shared" si="5"/>
        <v>4</v>
      </c>
      <c r="T156">
        <f t="shared" si="6"/>
        <v>26</v>
      </c>
    </row>
    <row r="157" spans="1:20" ht="15.75" x14ac:dyDescent="0.25">
      <c r="A157" s="58"/>
      <c r="B157" s="59"/>
      <c r="C157" s="59"/>
      <c r="D157" s="59"/>
      <c r="E157" s="60"/>
      <c r="F157" s="80"/>
      <c r="G157" s="81"/>
      <c r="H157" s="81"/>
      <c r="I157" s="53"/>
      <c r="J157" s="75"/>
      <c r="K157" s="75"/>
      <c r="L157" s="63" t="s">
        <v>210</v>
      </c>
      <c r="M157" s="61" t="s">
        <v>211</v>
      </c>
      <c r="N157" s="55" t="s">
        <v>34</v>
      </c>
      <c r="O157" s="62">
        <v>7.2</v>
      </c>
      <c r="P157" s="97">
        <f>IFERROR(VLOOKUP(L157,[1]TDSheet!A$12:D$300,4,FALSE),0)</f>
        <v>23.6</v>
      </c>
      <c r="Q157" s="62">
        <v>7.2</v>
      </c>
      <c r="R157" s="62">
        <v>7.2</v>
      </c>
      <c r="S157" s="164">
        <f t="shared" si="5"/>
        <v>14.4</v>
      </c>
      <c r="T157">
        <f t="shared" si="6"/>
        <v>9.2000000000000028</v>
      </c>
    </row>
    <row r="158" spans="1:20" ht="15.75" x14ac:dyDescent="0.25">
      <c r="A158" s="58"/>
      <c r="B158" s="59"/>
      <c r="C158" s="59"/>
      <c r="D158" s="59"/>
      <c r="E158" s="60"/>
      <c r="F158" s="80"/>
      <c r="G158" s="81"/>
      <c r="H158" s="81"/>
      <c r="I158" s="53"/>
      <c r="J158" s="75"/>
      <c r="K158" s="75"/>
      <c r="L158" s="63" t="s">
        <v>426</v>
      </c>
      <c r="M158" s="61" t="s">
        <v>427</v>
      </c>
      <c r="N158" s="55" t="s">
        <v>68</v>
      </c>
      <c r="O158" s="62">
        <v>148.65600000000001</v>
      </c>
      <c r="P158" s="97">
        <f>IFERROR(VLOOKUP(L158,[1]TDSheet!A$12:D$300,4,FALSE),0)</f>
        <v>354.06</v>
      </c>
      <c r="Q158" s="62">
        <v>148.65600000000001</v>
      </c>
      <c r="R158" s="62">
        <v>148.65600000000001</v>
      </c>
      <c r="S158" s="164">
        <f t="shared" si="5"/>
        <v>297.31200000000001</v>
      </c>
      <c r="T158">
        <f t="shared" si="6"/>
        <v>56.74799999999999</v>
      </c>
    </row>
    <row r="159" spans="1:20" ht="15.75" x14ac:dyDescent="0.25">
      <c r="A159" s="58"/>
      <c r="B159" s="59"/>
      <c r="C159" s="59"/>
      <c r="D159" s="59"/>
      <c r="E159" s="60"/>
      <c r="F159" s="80"/>
      <c r="G159" s="81"/>
      <c r="H159" s="81"/>
      <c r="I159" s="53"/>
      <c r="J159" s="75"/>
      <c r="K159" s="75"/>
      <c r="L159" s="63" t="s">
        <v>748</v>
      </c>
      <c r="M159" s="61" t="s">
        <v>428</v>
      </c>
      <c r="N159" s="55" t="s">
        <v>68</v>
      </c>
      <c r="O159" s="62">
        <v>111.60599999999999</v>
      </c>
      <c r="P159" s="97">
        <f>IFERROR(VLOOKUP(L159,[1]TDSheet!A$12:D$300,4,FALSE),0)</f>
        <v>223.21199999999999</v>
      </c>
      <c r="Q159" s="62">
        <v>111.60599999999999</v>
      </c>
      <c r="R159" s="62">
        <v>111.60599999999999</v>
      </c>
      <c r="S159" s="164">
        <f t="shared" si="5"/>
        <v>223.21199999999999</v>
      </c>
      <c r="T159">
        <f t="shared" si="6"/>
        <v>0</v>
      </c>
    </row>
    <row r="160" spans="1:20" ht="15.75" x14ac:dyDescent="0.25">
      <c r="A160" s="58"/>
      <c r="B160" s="59"/>
      <c r="C160" s="59"/>
      <c r="D160" s="59"/>
      <c r="E160" s="60"/>
      <c r="F160" s="80"/>
      <c r="G160" s="81"/>
      <c r="H160" s="81"/>
      <c r="I160" s="53"/>
      <c r="J160" s="75"/>
      <c r="K160" s="75"/>
      <c r="L160" s="63" t="s">
        <v>429</v>
      </c>
      <c r="M160" s="61" t="s">
        <v>430</v>
      </c>
      <c r="N160" s="55" t="s">
        <v>37</v>
      </c>
      <c r="O160" s="62">
        <v>111</v>
      </c>
      <c r="P160" s="97">
        <f>IFERROR(VLOOKUP(L160,[1]TDSheet!A$12:D$300,4,FALSE),0)</f>
        <v>84</v>
      </c>
      <c r="Q160" s="62">
        <v>42</v>
      </c>
      <c r="R160" s="62">
        <v>42</v>
      </c>
      <c r="S160" s="164">
        <f t="shared" si="5"/>
        <v>84</v>
      </c>
      <c r="T160">
        <f t="shared" si="6"/>
        <v>0</v>
      </c>
    </row>
    <row r="161" spans="1:20" ht="15.75" x14ac:dyDescent="0.25">
      <c r="A161" s="58"/>
      <c r="B161" s="59"/>
      <c r="C161" s="59"/>
      <c r="D161" s="59"/>
      <c r="E161" s="60"/>
      <c r="F161" s="80"/>
      <c r="G161" s="81"/>
      <c r="H161" s="81"/>
      <c r="I161" s="53"/>
      <c r="J161" s="75"/>
      <c r="K161" s="75"/>
      <c r="L161" s="63" t="s">
        <v>772</v>
      </c>
      <c r="M161" s="61" t="s">
        <v>773</v>
      </c>
      <c r="N161" s="55" t="s">
        <v>37</v>
      </c>
      <c r="O161" s="62"/>
      <c r="P161" s="97">
        <f>IFERROR(VLOOKUP(L161,[1]TDSheet!A$12:D$300,4,FALSE),0)</f>
        <v>204</v>
      </c>
      <c r="Q161" s="62">
        <v>69</v>
      </c>
      <c r="R161" s="62">
        <v>69</v>
      </c>
      <c r="S161" s="164">
        <f t="shared" si="5"/>
        <v>138</v>
      </c>
      <c r="T161">
        <f t="shared" si="6"/>
        <v>66</v>
      </c>
    </row>
    <row r="162" spans="1:20" ht="15.75" x14ac:dyDescent="0.25">
      <c r="A162" s="58"/>
      <c r="B162" s="59"/>
      <c r="C162" s="59"/>
      <c r="D162" s="59"/>
      <c r="E162" s="60"/>
      <c r="F162" s="80"/>
      <c r="G162" s="81"/>
      <c r="H162" s="81"/>
      <c r="I162" s="53"/>
      <c r="J162" s="75"/>
      <c r="K162" s="75"/>
      <c r="L162" s="63" t="s">
        <v>736</v>
      </c>
      <c r="M162" s="61" t="s">
        <v>757</v>
      </c>
      <c r="N162" s="55" t="s">
        <v>68</v>
      </c>
      <c r="O162" s="62">
        <f>95.648+8</f>
        <v>103.648</v>
      </c>
      <c r="P162" s="97">
        <f>IFERROR(VLOOKUP(L162,[1]TDSheet!A$12:D$300,4,FALSE),0)</f>
        <v>304.87799999999999</v>
      </c>
      <c r="Q162" s="62">
        <f>95.648+8</f>
        <v>103.648</v>
      </c>
      <c r="R162" s="62">
        <f>95.648+8</f>
        <v>103.648</v>
      </c>
      <c r="S162" s="164">
        <f t="shared" si="5"/>
        <v>207.29599999999999</v>
      </c>
      <c r="T162">
        <f t="shared" si="6"/>
        <v>97.581999999999994</v>
      </c>
    </row>
    <row r="163" spans="1:20" ht="15.75" x14ac:dyDescent="0.25">
      <c r="A163" s="58"/>
      <c r="B163" s="59"/>
      <c r="C163" s="59"/>
      <c r="D163" s="59"/>
      <c r="E163" s="60"/>
      <c r="F163" s="80"/>
      <c r="G163" s="81"/>
      <c r="H163" s="81"/>
      <c r="I163" s="53"/>
      <c r="J163" s="75"/>
      <c r="K163" s="75"/>
      <c r="L163" s="63" t="s">
        <v>432</v>
      </c>
      <c r="M163" s="61" t="s">
        <v>433</v>
      </c>
      <c r="N163" s="55" t="s">
        <v>34</v>
      </c>
      <c r="O163" s="62">
        <v>4</v>
      </c>
      <c r="P163" s="97">
        <f>IFERROR(VLOOKUP(L163,[1]TDSheet!A$12:D$300,4,FALSE),0)</f>
        <v>28</v>
      </c>
      <c r="Q163" s="62">
        <v>4</v>
      </c>
      <c r="R163" s="62">
        <v>4</v>
      </c>
      <c r="S163" s="164">
        <f t="shared" si="5"/>
        <v>8</v>
      </c>
      <c r="T163">
        <f t="shared" si="6"/>
        <v>20</v>
      </c>
    </row>
    <row r="164" spans="1:20" ht="15.75" x14ac:dyDescent="0.25">
      <c r="A164" s="58"/>
      <c r="B164" s="59"/>
      <c r="C164" s="59"/>
      <c r="D164" s="59"/>
      <c r="E164" s="60"/>
      <c r="F164" s="80"/>
      <c r="G164" s="81"/>
      <c r="H164" s="81"/>
      <c r="I164" s="53"/>
      <c r="J164" s="75"/>
      <c r="K164" s="75"/>
      <c r="L164" s="63" t="s">
        <v>48</v>
      </c>
      <c r="M164" s="61" t="s">
        <v>65</v>
      </c>
      <c r="N164" s="55" t="s">
        <v>66</v>
      </c>
      <c r="O164" s="62">
        <v>2.7</v>
      </c>
      <c r="P164" s="97">
        <f>IFERROR(VLOOKUP(L164,[1]TDSheet!A$12:D$300,4,FALSE),0)</f>
        <v>14.343999999999999</v>
      </c>
      <c r="Q164" s="62">
        <v>2.7</v>
      </c>
      <c r="R164" s="62">
        <v>2.7</v>
      </c>
      <c r="S164" s="164">
        <f t="shared" si="5"/>
        <v>5.4</v>
      </c>
      <c r="T164">
        <f t="shared" si="6"/>
        <v>8.9439999999999991</v>
      </c>
    </row>
    <row r="165" spans="1:20" ht="15.75" x14ac:dyDescent="0.25">
      <c r="A165" s="58"/>
      <c r="B165" s="59"/>
      <c r="C165" s="59"/>
      <c r="D165" s="59"/>
      <c r="E165" s="60"/>
      <c r="F165" s="80"/>
      <c r="G165" s="81"/>
      <c r="H165" s="81"/>
      <c r="I165" s="53"/>
      <c r="J165" s="75"/>
      <c r="K165" s="75"/>
      <c r="L165" s="114" t="s">
        <v>434</v>
      </c>
      <c r="M165" s="115" t="s">
        <v>435</v>
      </c>
      <c r="N165" s="55" t="s">
        <v>34</v>
      </c>
      <c r="O165" s="139">
        <v>6</v>
      </c>
      <c r="P165" s="97">
        <f>IFERROR(VLOOKUP(L165,[1]TDSheet!A$12:D$300,4,FALSE),0)</f>
        <v>37</v>
      </c>
      <c r="Q165" s="62">
        <v>6</v>
      </c>
      <c r="R165" s="62">
        <v>6</v>
      </c>
      <c r="S165" s="164">
        <f t="shared" si="5"/>
        <v>12</v>
      </c>
      <c r="T165">
        <f t="shared" si="6"/>
        <v>25</v>
      </c>
    </row>
    <row r="166" spans="1:20" ht="15.75" x14ac:dyDescent="0.25">
      <c r="A166" s="58"/>
      <c r="B166" s="59"/>
      <c r="C166" s="59"/>
      <c r="D166" s="59"/>
      <c r="E166" s="60"/>
      <c r="F166" s="80"/>
      <c r="G166" s="81"/>
      <c r="H166" s="81"/>
      <c r="I166" s="53"/>
      <c r="J166" s="75"/>
      <c r="K166" s="75"/>
      <c r="L166" s="63">
        <v>22062</v>
      </c>
      <c r="M166" s="61" t="s">
        <v>436</v>
      </c>
      <c r="N166" s="55" t="s">
        <v>34</v>
      </c>
      <c r="O166" s="62">
        <v>10</v>
      </c>
      <c r="P166" s="97">
        <f>IFERROR(VLOOKUP(L166,[1]TDSheet!A$12:D$300,4,FALSE),0)</f>
        <v>70</v>
      </c>
      <c r="Q166" s="62">
        <v>12</v>
      </c>
      <c r="R166" s="62">
        <v>12</v>
      </c>
      <c r="S166" s="164">
        <f t="shared" si="5"/>
        <v>24</v>
      </c>
      <c r="T166">
        <f t="shared" si="6"/>
        <v>46</v>
      </c>
    </row>
    <row r="167" spans="1:20" ht="15.75" x14ac:dyDescent="0.25">
      <c r="A167" s="58"/>
      <c r="B167" s="59"/>
      <c r="C167" s="59"/>
      <c r="D167" s="59"/>
      <c r="E167" s="60"/>
      <c r="F167" s="80"/>
      <c r="G167" s="81"/>
      <c r="H167" s="81"/>
      <c r="I167" s="53"/>
      <c r="J167" s="75"/>
      <c r="K167" s="75"/>
      <c r="L167" s="63">
        <v>19254</v>
      </c>
      <c r="M167" s="61" t="s">
        <v>95</v>
      </c>
      <c r="N167" s="55" t="s">
        <v>34</v>
      </c>
      <c r="O167" s="62">
        <v>10</v>
      </c>
      <c r="P167" s="97">
        <f>IFERROR(VLOOKUP(L167,[1]TDSheet!A$12:D$300,4,FALSE),0)</f>
        <v>16</v>
      </c>
      <c r="Q167" s="62">
        <v>8</v>
      </c>
      <c r="R167" s="62">
        <v>8</v>
      </c>
      <c r="S167" s="164">
        <f t="shared" si="5"/>
        <v>16</v>
      </c>
      <c r="T167">
        <f t="shared" si="6"/>
        <v>0</v>
      </c>
    </row>
    <row r="168" spans="1:20" ht="15.75" x14ac:dyDescent="0.25">
      <c r="A168" s="58"/>
      <c r="B168" s="59"/>
      <c r="C168" s="59"/>
      <c r="D168" s="59"/>
      <c r="E168" s="60"/>
      <c r="F168" s="80"/>
      <c r="G168" s="81"/>
      <c r="H168" s="81"/>
      <c r="I168" s="53"/>
      <c r="J168" s="75"/>
      <c r="K168" s="75"/>
      <c r="L168" s="63" t="s">
        <v>437</v>
      </c>
      <c r="M168" s="61" t="s">
        <v>438</v>
      </c>
      <c r="N168" s="55" t="s">
        <v>34</v>
      </c>
      <c r="O168" s="62">
        <v>20</v>
      </c>
      <c r="P168" s="97">
        <f>IFERROR(VLOOKUP(L168,[1]TDSheet!A$12:D$300,4,FALSE),0)</f>
        <v>320</v>
      </c>
      <c r="Q168" s="62">
        <v>20</v>
      </c>
      <c r="R168" s="62">
        <v>20</v>
      </c>
      <c r="S168" s="164">
        <f t="shared" si="5"/>
        <v>40</v>
      </c>
      <c r="T168">
        <f t="shared" si="6"/>
        <v>280</v>
      </c>
    </row>
    <row r="169" spans="1:20" ht="15.75" x14ac:dyDescent="0.25">
      <c r="A169" s="58"/>
      <c r="B169" s="59"/>
      <c r="C169" s="59"/>
      <c r="D169" s="59"/>
      <c r="E169" s="60"/>
      <c r="F169" s="80"/>
      <c r="G169" s="81"/>
      <c r="H169" s="81"/>
      <c r="I169" s="53"/>
      <c r="J169" s="75"/>
      <c r="K169" s="75"/>
      <c r="L169" s="63">
        <v>615</v>
      </c>
      <c r="M169" s="61" t="s">
        <v>439</v>
      </c>
      <c r="N169" s="113" t="s">
        <v>34</v>
      </c>
      <c r="O169" s="62">
        <v>3</v>
      </c>
      <c r="P169" s="97">
        <f>IFERROR(VLOOKUP(L169,[1]TDSheet!A$12:D$300,4,FALSE),0)</f>
        <v>64</v>
      </c>
      <c r="Q169" s="62">
        <v>3</v>
      </c>
      <c r="R169" s="62">
        <v>3</v>
      </c>
      <c r="S169" s="164">
        <f t="shared" si="5"/>
        <v>6</v>
      </c>
      <c r="T169">
        <f t="shared" si="6"/>
        <v>58</v>
      </c>
    </row>
    <row r="170" spans="1:20" ht="15.75" x14ac:dyDescent="0.25">
      <c r="A170" s="58"/>
      <c r="B170" s="59"/>
      <c r="C170" s="59"/>
      <c r="D170" s="59"/>
      <c r="E170" s="60"/>
      <c r="F170" s="80"/>
      <c r="G170" s="81"/>
      <c r="H170" s="81"/>
      <c r="I170" s="53"/>
      <c r="J170" s="75"/>
      <c r="K170" s="75"/>
      <c r="L170" s="63" t="s">
        <v>440</v>
      </c>
      <c r="M170" s="61" t="s">
        <v>441</v>
      </c>
      <c r="N170" s="113" t="s">
        <v>442</v>
      </c>
      <c r="O170" s="62">
        <v>20</v>
      </c>
      <c r="P170" s="97">
        <f>IFERROR(VLOOKUP(L170,[1]TDSheet!A$12:D$300,4,FALSE),0)</f>
        <v>140</v>
      </c>
      <c r="Q170" s="62">
        <v>20</v>
      </c>
      <c r="R170" s="62">
        <v>20</v>
      </c>
      <c r="S170" s="164">
        <f t="shared" si="5"/>
        <v>40</v>
      </c>
      <c r="T170">
        <f t="shared" si="6"/>
        <v>100</v>
      </c>
    </row>
    <row r="171" spans="1:20" ht="15.75" x14ac:dyDescent="0.25">
      <c r="A171" s="58"/>
      <c r="B171" s="59"/>
      <c r="C171" s="59"/>
      <c r="D171" s="59"/>
      <c r="E171" s="60"/>
      <c r="F171" s="80"/>
      <c r="G171" s="81"/>
      <c r="H171" s="81"/>
      <c r="I171" s="53"/>
      <c r="J171" s="75"/>
      <c r="K171" s="75"/>
      <c r="L171" s="63" t="s">
        <v>43</v>
      </c>
      <c r="M171" s="61" t="s">
        <v>96</v>
      </c>
      <c r="N171" s="113" t="s">
        <v>34</v>
      </c>
      <c r="O171" s="62">
        <f>180+250</f>
        <v>430</v>
      </c>
      <c r="P171" s="97">
        <f>IFERROR(VLOOKUP(L171,[1]TDSheet!A$12:D$300,4,FALSE),0)</f>
        <v>1670</v>
      </c>
      <c r="Q171" s="62">
        <f>180+250</f>
        <v>430</v>
      </c>
      <c r="R171" s="62">
        <f>180+250</f>
        <v>430</v>
      </c>
      <c r="S171" s="164">
        <f t="shared" si="5"/>
        <v>860</v>
      </c>
      <c r="T171">
        <f t="shared" si="6"/>
        <v>810</v>
      </c>
    </row>
    <row r="172" spans="1:20" ht="15.75" x14ac:dyDescent="0.25">
      <c r="A172" s="58"/>
      <c r="B172" s="59"/>
      <c r="C172" s="59"/>
      <c r="D172" s="59"/>
      <c r="E172" s="60"/>
      <c r="F172" s="80"/>
      <c r="G172" s="81"/>
      <c r="H172" s="81"/>
      <c r="I172" s="53"/>
      <c r="J172" s="75"/>
      <c r="K172" s="75"/>
      <c r="L172" s="63" t="s">
        <v>443</v>
      </c>
      <c r="M172" s="145" t="s">
        <v>444</v>
      </c>
      <c r="N172" s="113" t="s">
        <v>34</v>
      </c>
      <c r="O172" s="62">
        <v>1500</v>
      </c>
      <c r="P172" s="97">
        <f>IFERROR(VLOOKUP(L172,[1]TDSheet!A$12:D$300,4,FALSE),0)</f>
        <v>3250</v>
      </c>
      <c r="Q172" s="62">
        <v>1500</v>
      </c>
      <c r="R172" s="62">
        <v>1500</v>
      </c>
      <c r="S172" s="164">
        <f t="shared" si="5"/>
        <v>3000</v>
      </c>
      <c r="T172">
        <f t="shared" si="6"/>
        <v>250</v>
      </c>
    </row>
    <row r="173" spans="1:20" ht="15.75" x14ac:dyDescent="0.25">
      <c r="A173" s="58"/>
      <c r="B173" s="59"/>
      <c r="C173" s="59"/>
      <c r="D173" s="59"/>
      <c r="E173" s="60"/>
      <c r="F173" s="80"/>
      <c r="G173" s="81"/>
      <c r="H173" s="81"/>
      <c r="I173" s="53"/>
      <c r="J173" s="75"/>
      <c r="K173" s="75"/>
      <c r="L173" s="63" t="s">
        <v>445</v>
      </c>
      <c r="M173" s="61" t="s">
        <v>446</v>
      </c>
      <c r="N173" s="113" t="s">
        <v>34</v>
      </c>
      <c r="O173" s="62">
        <v>11</v>
      </c>
      <c r="P173" s="97">
        <f>IFERROR(VLOOKUP(L173,[1]TDSheet!A$12:D$300,4,FALSE),0)</f>
        <v>33</v>
      </c>
      <c r="Q173" s="62">
        <v>11</v>
      </c>
      <c r="R173" s="62">
        <v>11</v>
      </c>
      <c r="S173" s="164">
        <f t="shared" si="5"/>
        <v>22</v>
      </c>
      <c r="T173">
        <f t="shared" si="6"/>
        <v>11</v>
      </c>
    </row>
    <row r="174" spans="1:20" ht="15.75" x14ac:dyDescent="0.25">
      <c r="A174" s="58"/>
      <c r="B174" s="59"/>
      <c r="C174" s="59"/>
      <c r="D174" s="59"/>
      <c r="E174" s="60"/>
      <c r="F174" s="80"/>
      <c r="G174" s="81"/>
      <c r="H174" s="81"/>
      <c r="I174" s="53"/>
      <c r="J174" s="75"/>
      <c r="K174" s="75"/>
      <c r="L174" s="63">
        <v>22350</v>
      </c>
      <c r="M174" s="61" t="s">
        <v>447</v>
      </c>
      <c r="N174" s="113" t="s">
        <v>34</v>
      </c>
      <c r="O174" s="62">
        <v>10</v>
      </c>
      <c r="P174" s="97">
        <f>IFERROR(VLOOKUP(L174,[1]TDSheet!A$12:D$300,4,FALSE),0)</f>
        <v>70</v>
      </c>
      <c r="Q174" s="62">
        <v>10</v>
      </c>
      <c r="R174" s="62">
        <v>10</v>
      </c>
      <c r="S174" s="164">
        <f t="shared" si="5"/>
        <v>20</v>
      </c>
      <c r="T174">
        <f t="shared" si="6"/>
        <v>50</v>
      </c>
    </row>
    <row r="175" spans="1:20" ht="15.75" x14ac:dyDescent="0.25">
      <c r="A175" s="58"/>
      <c r="B175" s="59"/>
      <c r="C175" s="59"/>
      <c r="D175" s="59"/>
      <c r="E175" s="60"/>
      <c r="F175" s="80"/>
      <c r="G175" s="81"/>
      <c r="H175" s="81"/>
      <c r="I175" s="53"/>
      <c r="J175" s="75"/>
      <c r="K175" s="75"/>
      <c r="L175" s="63" t="s">
        <v>448</v>
      </c>
      <c r="M175" s="61" t="s">
        <v>449</v>
      </c>
      <c r="N175" s="55" t="s">
        <v>34</v>
      </c>
      <c r="O175" s="62">
        <v>1</v>
      </c>
      <c r="P175" s="97">
        <f>IFERROR(VLOOKUP(L175,[1]TDSheet!A$12:D$300,4,FALSE),0)</f>
        <v>11</v>
      </c>
      <c r="Q175" s="62">
        <v>1</v>
      </c>
      <c r="R175" s="62">
        <v>1</v>
      </c>
      <c r="S175" s="164">
        <f t="shared" si="5"/>
        <v>2</v>
      </c>
      <c r="T175">
        <f t="shared" si="6"/>
        <v>9</v>
      </c>
    </row>
    <row r="176" spans="1:20" ht="15.75" x14ac:dyDescent="0.25">
      <c r="A176" s="58"/>
      <c r="B176" s="59"/>
      <c r="C176" s="59"/>
      <c r="D176" s="59"/>
      <c r="E176" s="60"/>
      <c r="F176" s="80"/>
      <c r="G176" s="81"/>
      <c r="H176" s="81"/>
      <c r="I176" s="53"/>
      <c r="J176" s="75"/>
      <c r="K176" s="75"/>
      <c r="L176" s="63" t="s">
        <v>450</v>
      </c>
      <c r="M176" s="61" t="s">
        <v>451</v>
      </c>
      <c r="N176" s="55" t="s">
        <v>34</v>
      </c>
      <c r="O176" s="62">
        <v>1</v>
      </c>
      <c r="P176" s="97">
        <f>IFERROR(VLOOKUP(L176,[1]TDSheet!A$12:D$300,4,FALSE),0)</f>
        <v>7</v>
      </c>
      <c r="Q176" s="62">
        <v>1</v>
      </c>
      <c r="R176" s="62">
        <v>1</v>
      </c>
      <c r="S176" s="164">
        <f t="shared" si="5"/>
        <v>2</v>
      </c>
      <c r="T176">
        <f t="shared" si="6"/>
        <v>5</v>
      </c>
    </row>
    <row r="177" spans="1:20" ht="15.75" x14ac:dyDescent="0.25">
      <c r="A177" s="58"/>
      <c r="B177" s="59"/>
      <c r="C177" s="59"/>
      <c r="D177" s="59"/>
      <c r="E177" s="60"/>
      <c r="F177" s="80"/>
      <c r="G177" s="81"/>
      <c r="H177" s="81"/>
      <c r="I177" s="53"/>
      <c r="J177" s="75"/>
      <c r="K177" s="75"/>
      <c r="L177" s="63" t="s">
        <v>452</v>
      </c>
      <c r="M177" s="61" t="s">
        <v>453</v>
      </c>
      <c r="N177" s="55" t="s">
        <v>34</v>
      </c>
      <c r="O177" s="62">
        <v>11</v>
      </c>
      <c r="P177" s="97">
        <f>IFERROR(VLOOKUP(L177,[1]TDSheet!A$12:D$300,4,FALSE),0)</f>
        <v>77</v>
      </c>
      <c r="Q177" s="62">
        <v>11</v>
      </c>
      <c r="R177" s="62">
        <v>11</v>
      </c>
      <c r="S177" s="164">
        <f t="shared" si="5"/>
        <v>22</v>
      </c>
      <c r="T177">
        <f t="shared" si="6"/>
        <v>55</v>
      </c>
    </row>
    <row r="178" spans="1:20" ht="15.75" x14ac:dyDescent="0.25">
      <c r="A178" s="58"/>
      <c r="B178" s="59"/>
      <c r="C178" s="59"/>
      <c r="D178" s="59"/>
      <c r="E178" s="60"/>
      <c r="F178" s="80"/>
      <c r="G178" s="81"/>
      <c r="H178" s="81"/>
      <c r="I178" s="53"/>
      <c r="J178" s="75"/>
      <c r="K178" s="75"/>
      <c r="L178" s="63">
        <v>19295</v>
      </c>
      <c r="M178" s="61" t="s">
        <v>454</v>
      </c>
      <c r="N178" s="55" t="s">
        <v>34</v>
      </c>
      <c r="O178" s="62">
        <v>2</v>
      </c>
      <c r="P178" s="97">
        <f>IFERROR(VLOOKUP(L178,[1]TDSheet!A$12:D$300,4,FALSE),0)</f>
        <v>24</v>
      </c>
      <c r="Q178" s="62">
        <v>2</v>
      </c>
      <c r="R178" s="62">
        <v>2</v>
      </c>
      <c r="S178" s="164">
        <f t="shared" si="5"/>
        <v>4</v>
      </c>
      <c r="T178">
        <f t="shared" si="6"/>
        <v>20</v>
      </c>
    </row>
    <row r="179" spans="1:20" ht="15.75" x14ac:dyDescent="0.25">
      <c r="A179" s="58"/>
      <c r="B179" s="59"/>
      <c r="C179" s="59"/>
      <c r="D179" s="59"/>
      <c r="E179" s="60"/>
      <c r="F179" s="80"/>
      <c r="G179" s="81"/>
      <c r="H179" s="81"/>
      <c r="I179" s="53"/>
      <c r="J179" s="75"/>
      <c r="K179" s="75"/>
      <c r="L179" s="63">
        <v>11561</v>
      </c>
      <c r="M179" s="61" t="s">
        <v>215</v>
      </c>
      <c r="N179" s="55" t="s">
        <v>34</v>
      </c>
      <c r="O179" s="62">
        <v>1</v>
      </c>
      <c r="P179" s="97">
        <f>IFERROR(VLOOKUP(L179,[1]TDSheet!A$12:D$300,4,FALSE),0)</f>
        <v>0</v>
      </c>
      <c r="Q179" s="62">
        <v>1</v>
      </c>
      <c r="R179" s="62">
        <v>1</v>
      </c>
      <c r="S179" s="164">
        <f t="shared" si="5"/>
        <v>2</v>
      </c>
      <c r="T179">
        <f t="shared" si="6"/>
        <v>-2</v>
      </c>
    </row>
    <row r="180" spans="1:20" ht="15.75" x14ac:dyDescent="0.25">
      <c r="A180" s="58"/>
      <c r="B180" s="59"/>
      <c r="C180" s="59"/>
      <c r="D180" s="59"/>
      <c r="E180" s="60"/>
      <c r="F180" s="80"/>
      <c r="G180" s="81"/>
      <c r="H180" s="81"/>
      <c r="I180" s="53"/>
      <c r="J180" s="75"/>
      <c r="K180" s="75"/>
      <c r="L180" s="63" t="s">
        <v>217</v>
      </c>
      <c r="M180" s="61" t="s">
        <v>218</v>
      </c>
      <c r="N180" s="55" t="s">
        <v>34</v>
      </c>
      <c r="O180" s="62">
        <v>1</v>
      </c>
      <c r="P180" s="97">
        <f>IFERROR(VLOOKUP(L180,[1]TDSheet!A$12:D$300,4,FALSE),0)</f>
        <v>21</v>
      </c>
      <c r="Q180" s="62">
        <v>1</v>
      </c>
      <c r="R180" s="62">
        <v>1</v>
      </c>
      <c r="S180" s="164">
        <f t="shared" si="5"/>
        <v>2</v>
      </c>
      <c r="T180">
        <f t="shared" si="6"/>
        <v>19</v>
      </c>
    </row>
    <row r="181" spans="1:20" ht="15.75" x14ac:dyDescent="0.25">
      <c r="A181" s="58"/>
      <c r="B181" s="59"/>
      <c r="C181" s="59"/>
      <c r="D181" s="59"/>
      <c r="E181" s="60"/>
      <c r="F181" s="80"/>
      <c r="G181" s="81"/>
      <c r="H181" s="81"/>
      <c r="I181" s="53"/>
      <c r="J181" s="75"/>
      <c r="K181" s="75"/>
      <c r="L181" s="114">
        <v>21892</v>
      </c>
      <c r="M181" s="115" t="s">
        <v>97</v>
      </c>
      <c r="N181" s="55" t="s">
        <v>34</v>
      </c>
      <c r="O181" s="139">
        <v>12</v>
      </c>
      <c r="P181" s="97">
        <f>IFERROR(VLOOKUP(L181,[1]TDSheet!A$12:D$300,4,FALSE),0)</f>
        <v>28</v>
      </c>
      <c r="Q181" s="62">
        <v>12</v>
      </c>
      <c r="R181" s="62">
        <v>12</v>
      </c>
      <c r="S181" s="164">
        <f t="shared" si="5"/>
        <v>24</v>
      </c>
      <c r="T181">
        <f t="shared" si="6"/>
        <v>4</v>
      </c>
    </row>
    <row r="182" spans="1:20" ht="15.75" x14ac:dyDescent="0.25">
      <c r="A182" s="58"/>
      <c r="B182" s="59"/>
      <c r="C182" s="59"/>
      <c r="D182" s="59"/>
      <c r="E182" s="60"/>
      <c r="F182" s="80"/>
      <c r="G182" s="81"/>
      <c r="H182" s="81"/>
      <c r="I182" s="53"/>
      <c r="J182" s="75"/>
      <c r="K182" s="75"/>
      <c r="L182" s="114" t="s">
        <v>455</v>
      </c>
      <c r="M182" s="115" t="s">
        <v>456</v>
      </c>
      <c r="N182" s="55" t="s">
        <v>34</v>
      </c>
      <c r="O182" s="139">
        <v>4</v>
      </c>
      <c r="P182" s="97">
        <f>IFERROR(VLOOKUP(L182,[1]TDSheet!A$12:D$300,4,FALSE),0)</f>
        <v>12</v>
      </c>
      <c r="Q182" s="62">
        <v>4</v>
      </c>
      <c r="R182" s="62">
        <v>4</v>
      </c>
      <c r="S182" s="164">
        <f t="shared" si="5"/>
        <v>8</v>
      </c>
      <c r="T182">
        <f t="shared" si="6"/>
        <v>4</v>
      </c>
    </row>
    <row r="183" spans="1:20" ht="15.75" x14ac:dyDescent="0.25">
      <c r="A183" s="58"/>
      <c r="B183" s="59"/>
      <c r="C183" s="59"/>
      <c r="D183" s="59"/>
      <c r="E183" s="60"/>
      <c r="F183" s="80"/>
      <c r="G183" s="81"/>
      <c r="H183" s="81"/>
      <c r="I183" s="53"/>
      <c r="J183" s="75"/>
      <c r="K183" s="75"/>
      <c r="L183" s="114" t="s">
        <v>457</v>
      </c>
      <c r="M183" s="115" t="s">
        <v>458</v>
      </c>
      <c r="N183" s="55" t="s">
        <v>34</v>
      </c>
      <c r="O183" s="139">
        <v>1</v>
      </c>
      <c r="P183" s="97">
        <f>IFERROR(VLOOKUP(L183,[1]TDSheet!A$12:D$300,4,FALSE),0)</f>
        <v>1</v>
      </c>
      <c r="Q183" s="62">
        <v>1</v>
      </c>
      <c r="R183" s="62">
        <v>1</v>
      </c>
      <c r="S183" s="164">
        <f t="shared" si="5"/>
        <v>2</v>
      </c>
      <c r="T183">
        <f t="shared" si="6"/>
        <v>-1</v>
      </c>
    </row>
    <row r="184" spans="1:20" ht="15.75" x14ac:dyDescent="0.25">
      <c r="A184" s="58"/>
      <c r="B184" s="59"/>
      <c r="C184" s="59"/>
      <c r="D184" s="59"/>
      <c r="E184" s="60"/>
      <c r="F184" s="80"/>
      <c r="G184" s="81"/>
      <c r="H184" s="81"/>
      <c r="I184" s="53"/>
      <c r="J184" s="75"/>
      <c r="K184" s="75"/>
      <c r="L184" s="114" t="s">
        <v>529</v>
      </c>
      <c r="M184" s="115" t="s">
        <v>530</v>
      </c>
      <c r="N184" s="55" t="s">
        <v>34</v>
      </c>
      <c r="O184" s="139">
        <v>2</v>
      </c>
      <c r="P184" s="97">
        <f>IFERROR(VLOOKUP(L184,[1]TDSheet!A$12:D$300,4,FALSE),0)</f>
        <v>10</v>
      </c>
      <c r="Q184" s="62">
        <v>2</v>
      </c>
      <c r="R184" s="62">
        <v>2</v>
      </c>
      <c r="S184" s="164">
        <f t="shared" si="5"/>
        <v>4</v>
      </c>
      <c r="T184">
        <f t="shared" si="6"/>
        <v>6</v>
      </c>
    </row>
    <row r="185" spans="1:20" ht="15.75" x14ac:dyDescent="0.25">
      <c r="A185" s="58"/>
      <c r="B185" s="59"/>
      <c r="C185" s="59"/>
      <c r="D185" s="59"/>
      <c r="E185" s="60"/>
      <c r="F185" s="80"/>
      <c r="G185" s="81"/>
      <c r="H185" s="81"/>
      <c r="I185" s="53"/>
      <c r="J185" s="75"/>
      <c r="K185" s="75"/>
      <c r="L185" s="114" t="s">
        <v>459</v>
      </c>
      <c r="M185" s="115" t="s">
        <v>460</v>
      </c>
      <c r="N185" s="55" t="s">
        <v>34</v>
      </c>
      <c r="O185" s="139">
        <v>5</v>
      </c>
      <c r="P185" s="97">
        <f>IFERROR(VLOOKUP(L185,[1]TDSheet!A$12:D$300,4,FALSE),0)</f>
        <v>15</v>
      </c>
      <c r="Q185" s="62">
        <v>5</v>
      </c>
      <c r="R185" s="62">
        <v>5</v>
      </c>
      <c r="S185" s="164">
        <f t="shared" si="5"/>
        <v>10</v>
      </c>
      <c r="T185">
        <f t="shared" si="6"/>
        <v>5</v>
      </c>
    </row>
    <row r="186" spans="1:20" ht="15.75" x14ac:dyDescent="0.25">
      <c r="A186" s="58"/>
      <c r="B186" s="59"/>
      <c r="C186" s="59"/>
      <c r="D186" s="59"/>
      <c r="E186" s="60"/>
      <c r="F186" s="80"/>
      <c r="G186" s="81"/>
      <c r="H186" s="81"/>
      <c r="I186" s="53"/>
      <c r="J186" s="75"/>
      <c r="K186" s="75"/>
      <c r="L186" s="63">
        <v>423</v>
      </c>
      <c r="M186" s="61" t="s">
        <v>461</v>
      </c>
      <c r="N186" s="55" t="s">
        <v>34</v>
      </c>
      <c r="O186" s="62">
        <v>4</v>
      </c>
      <c r="P186" s="97">
        <f>IFERROR(VLOOKUP(L186,[1]TDSheet!A$12:D$300,4,FALSE),0)</f>
        <v>21</v>
      </c>
      <c r="Q186" s="62">
        <v>4</v>
      </c>
      <c r="R186" s="62">
        <v>4</v>
      </c>
      <c r="S186" s="164">
        <f t="shared" si="5"/>
        <v>8</v>
      </c>
      <c r="T186">
        <f t="shared" si="6"/>
        <v>13</v>
      </c>
    </row>
    <row r="187" spans="1:20" ht="15.75" x14ac:dyDescent="0.25">
      <c r="A187" s="58"/>
      <c r="B187" s="59"/>
      <c r="C187" s="59"/>
      <c r="D187" s="59"/>
      <c r="E187" s="60"/>
      <c r="F187" s="80"/>
      <c r="G187" s="81"/>
      <c r="H187" s="81"/>
      <c r="I187" s="53"/>
      <c r="J187" s="75"/>
      <c r="K187" s="75"/>
      <c r="L187" s="63" t="s">
        <v>462</v>
      </c>
      <c r="M187" s="61" t="s">
        <v>463</v>
      </c>
      <c r="N187" s="55" t="s">
        <v>34</v>
      </c>
      <c r="O187" s="62">
        <v>1</v>
      </c>
      <c r="P187" s="97">
        <f>IFERROR(VLOOKUP(L187,[1]TDSheet!A$12:D$300,4,FALSE),0)</f>
        <v>4</v>
      </c>
      <c r="Q187" s="62">
        <v>1</v>
      </c>
      <c r="R187" s="62">
        <v>1</v>
      </c>
      <c r="S187" s="164">
        <f t="shared" si="5"/>
        <v>2</v>
      </c>
      <c r="T187">
        <f t="shared" si="6"/>
        <v>2</v>
      </c>
    </row>
    <row r="188" spans="1:20" ht="15.75" x14ac:dyDescent="0.25">
      <c r="A188" s="58"/>
      <c r="B188" s="59"/>
      <c r="C188" s="59"/>
      <c r="D188" s="59"/>
      <c r="E188" s="60"/>
      <c r="F188" s="80"/>
      <c r="G188" s="81"/>
      <c r="H188" s="81"/>
      <c r="I188" s="53"/>
      <c r="J188" s="75"/>
      <c r="K188" s="75"/>
      <c r="L188" s="63" t="s">
        <v>219</v>
      </c>
      <c r="M188" s="61" t="s">
        <v>220</v>
      </c>
      <c r="N188" s="55" t="s">
        <v>34</v>
      </c>
      <c r="O188" s="62">
        <v>10</v>
      </c>
      <c r="P188" s="97">
        <f>IFERROR(VLOOKUP(L188,[1]TDSheet!A$12:D$300,4,FALSE),0)</f>
        <v>60</v>
      </c>
      <c r="Q188" s="62">
        <v>10</v>
      </c>
      <c r="R188" s="62">
        <v>10</v>
      </c>
      <c r="S188" s="164">
        <f t="shared" si="5"/>
        <v>20</v>
      </c>
      <c r="T188">
        <f t="shared" si="6"/>
        <v>40</v>
      </c>
    </row>
    <row r="189" spans="1:20" ht="15.75" x14ac:dyDescent="0.25">
      <c r="A189" s="58"/>
      <c r="B189" s="59"/>
      <c r="C189" s="59"/>
      <c r="D189" s="59"/>
      <c r="E189" s="60"/>
      <c r="F189" s="80"/>
      <c r="G189" s="81"/>
      <c r="H189" s="81"/>
      <c r="I189" s="53"/>
      <c r="J189" s="75"/>
      <c r="K189" s="75"/>
      <c r="L189" s="63">
        <v>21829</v>
      </c>
      <c r="M189" s="61" t="s">
        <v>221</v>
      </c>
      <c r="N189" s="55" t="s">
        <v>34</v>
      </c>
      <c r="O189" s="62">
        <v>9</v>
      </c>
      <c r="P189" s="97">
        <f>IFERROR(VLOOKUP(L189,[1]TDSheet!A$12:D$300,4,FALSE),0)</f>
        <v>6</v>
      </c>
      <c r="Q189" s="62">
        <v>3</v>
      </c>
      <c r="R189" s="62">
        <v>3</v>
      </c>
      <c r="S189" s="164">
        <f t="shared" si="5"/>
        <v>6</v>
      </c>
      <c r="T189">
        <f t="shared" si="6"/>
        <v>0</v>
      </c>
    </row>
    <row r="190" spans="1:20" ht="15.75" x14ac:dyDescent="0.25">
      <c r="A190" s="58"/>
      <c r="B190" s="59"/>
      <c r="C190" s="59"/>
      <c r="D190" s="59"/>
      <c r="E190" s="60"/>
      <c r="F190" s="80"/>
      <c r="G190" s="81"/>
      <c r="H190" s="81"/>
      <c r="I190" s="53"/>
      <c r="J190" s="75"/>
      <c r="K190" s="75"/>
      <c r="L190" s="63">
        <v>11813</v>
      </c>
      <c r="M190" s="61" t="s">
        <v>774</v>
      </c>
      <c r="N190" s="55"/>
      <c r="O190" s="62"/>
      <c r="P190" s="97">
        <f>IFERROR(VLOOKUP(L190,[1]TDSheet!A$12:D$300,4,FALSE),0)</f>
        <v>135</v>
      </c>
      <c r="Q190" s="62">
        <v>6</v>
      </c>
      <c r="R190" s="62">
        <v>6</v>
      </c>
      <c r="S190" s="164">
        <f t="shared" si="5"/>
        <v>12</v>
      </c>
      <c r="T190">
        <f t="shared" si="6"/>
        <v>123</v>
      </c>
    </row>
    <row r="191" spans="1:20" ht="15.75" x14ac:dyDescent="0.25">
      <c r="A191" s="58"/>
      <c r="B191" s="59"/>
      <c r="C191" s="59"/>
      <c r="D191" s="59"/>
      <c r="E191" s="60"/>
      <c r="F191" s="80"/>
      <c r="G191" s="81"/>
      <c r="H191" s="81"/>
      <c r="I191" s="53"/>
      <c r="J191" s="75"/>
      <c r="K191" s="75"/>
      <c r="L191" s="63">
        <v>14686</v>
      </c>
      <c r="M191" s="61" t="s">
        <v>468</v>
      </c>
      <c r="N191" s="55" t="s">
        <v>34</v>
      </c>
      <c r="O191" s="62">
        <v>4</v>
      </c>
      <c r="P191" s="97">
        <f>IFERROR(VLOOKUP(L191,[1]TDSheet!A$12:D$300,4,FALSE),0)</f>
        <v>10</v>
      </c>
      <c r="Q191" s="62">
        <v>4</v>
      </c>
      <c r="R191" s="62">
        <v>4</v>
      </c>
      <c r="S191" s="164">
        <f t="shared" si="5"/>
        <v>8</v>
      </c>
      <c r="T191">
        <f t="shared" si="6"/>
        <v>2</v>
      </c>
    </row>
    <row r="192" spans="1:20" ht="15.75" x14ac:dyDescent="0.25">
      <c r="A192" s="58"/>
      <c r="B192" s="59"/>
      <c r="C192" s="59"/>
      <c r="D192" s="59"/>
      <c r="E192" s="60"/>
      <c r="F192" s="80"/>
      <c r="G192" s="81"/>
      <c r="H192" s="81"/>
      <c r="I192" s="53"/>
      <c r="J192" s="75"/>
      <c r="K192" s="75"/>
      <c r="L192" s="63" t="s">
        <v>223</v>
      </c>
      <c r="M192" s="61" t="s">
        <v>224</v>
      </c>
      <c r="N192" s="55" t="s">
        <v>34</v>
      </c>
      <c r="O192" s="62">
        <v>9</v>
      </c>
      <c r="P192" s="97">
        <f>IFERROR(VLOOKUP(L192,[1]TDSheet!A$12:D$300,4,FALSE),0)</f>
        <v>55</v>
      </c>
      <c r="Q192" s="62">
        <v>9</v>
      </c>
      <c r="R192" s="62">
        <v>9</v>
      </c>
      <c r="S192" s="164">
        <f t="shared" si="5"/>
        <v>18</v>
      </c>
      <c r="T192">
        <f t="shared" si="6"/>
        <v>37</v>
      </c>
    </row>
    <row r="193" spans="1:20" ht="15.75" x14ac:dyDescent="0.25">
      <c r="A193" s="58"/>
      <c r="B193" s="59"/>
      <c r="C193" s="59"/>
      <c r="D193" s="59"/>
      <c r="E193" s="60"/>
      <c r="F193" s="80"/>
      <c r="G193" s="81"/>
      <c r="H193" s="81"/>
      <c r="I193" s="53"/>
      <c r="J193" s="75"/>
      <c r="K193" s="75"/>
      <c r="L193" s="63">
        <v>19328</v>
      </c>
      <c r="M193" s="61" t="s">
        <v>471</v>
      </c>
      <c r="N193" s="55" t="s">
        <v>34</v>
      </c>
      <c r="O193" s="62">
        <v>1</v>
      </c>
      <c r="P193" s="97">
        <f>IFERROR(VLOOKUP(L193,[1]TDSheet!A$12:D$300,4,FALSE),0)</f>
        <v>4</v>
      </c>
      <c r="Q193" s="62">
        <v>1</v>
      </c>
      <c r="R193" s="62">
        <v>1</v>
      </c>
      <c r="S193" s="164">
        <f t="shared" si="5"/>
        <v>2</v>
      </c>
      <c r="T193">
        <f t="shared" si="6"/>
        <v>2</v>
      </c>
    </row>
    <row r="194" spans="1:20" ht="15.75" x14ac:dyDescent="0.25">
      <c r="A194" s="58"/>
      <c r="B194" s="59"/>
      <c r="C194" s="59"/>
      <c r="D194" s="59"/>
      <c r="E194" s="60"/>
      <c r="F194" s="80"/>
      <c r="G194" s="81"/>
      <c r="H194" s="81"/>
      <c r="I194" s="53"/>
      <c r="J194" s="75"/>
      <c r="K194" s="75"/>
      <c r="L194" s="63">
        <v>100</v>
      </c>
      <c r="M194" s="61" t="s">
        <v>472</v>
      </c>
      <c r="N194" s="55" t="s">
        <v>34</v>
      </c>
      <c r="O194" s="62">
        <v>6</v>
      </c>
      <c r="P194" s="97">
        <f>IFERROR(VLOOKUP(L194,[1]TDSheet!A$12:D$300,4,FALSE),0)</f>
        <v>22</v>
      </c>
      <c r="Q194" s="62">
        <v>6</v>
      </c>
      <c r="R194" s="62">
        <v>6</v>
      </c>
      <c r="S194" s="164">
        <f t="shared" si="5"/>
        <v>12</v>
      </c>
      <c r="T194">
        <f t="shared" si="6"/>
        <v>10</v>
      </c>
    </row>
    <row r="195" spans="1:20" ht="15.75" x14ac:dyDescent="0.25">
      <c r="A195" s="58"/>
      <c r="B195" s="59"/>
      <c r="C195" s="59"/>
      <c r="D195" s="59"/>
      <c r="E195" s="60"/>
      <c r="F195" s="80"/>
      <c r="G195" s="81"/>
      <c r="H195" s="81"/>
      <c r="I195" s="53"/>
      <c r="J195" s="75"/>
      <c r="K195" s="75"/>
      <c r="L195" s="63">
        <v>101</v>
      </c>
      <c r="M195" s="61" t="s">
        <v>473</v>
      </c>
      <c r="N195" s="55" t="s">
        <v>34</v>
      </c>
      <c r="O195" s="62">
        <v>8</v>
      </c>
      <c r="P195" s="97">
        <f>IFERROR(VLOOKUP(L195,[1]TDSheet!A$12:D$300,4,FALSE),0)</f>
        <v>29</v>
      </c>
      <c r="Q195" s="62">
        <v>8</v>
      </c>
      <c r="R195" s="62">
        <v>8</v>
      </c>
      <c r="S195" s="164">
        <f t="shared" si="5"/>
        <v>16</v>
      </c>
      <c r="T195">
        <f t="shared" si="6"/>
        <v>13</v>
      </c>
    </row>
    <row r="196" spans="1:20" ht="15.75" x14ac:dyDescent="0.25">
      <c r="A196" s="58"/>
      <c r="B196" s="59"/>
      <c r="C196" s="59"/>
      <c r="D196" s="59"/>
      <c r="E196" s="60"/>
      <c r="F196" s="80"/>
      <c r="G196" s="81"/>
      <c r="H196" s="81"/>
      <c r="I196" s="53"/>
      <c r="J196" s="75"/>
      <c r="K196" s="75"/>
      <c r="L196" s="63">
        <v>21706</v>
      </c>
      <c r="M196" s="61" t="s">
        <v>474</v>
      </c>
      <c r="N196" s="55" t="s">
        <v>34</v>
      </c>
      <c r="O196" s="62">
        <v>4</v>
      </c>
      <c r="P196" s="97">
        <f>IFERROR(VLOOKUP(L196,[1]TDSheet!A$12:D$300,4,FALSE),0)</f>
        <v>12</v>
      </c>
      <c r="Q196" s="62">
        <v>4</v>
      </c>
      <c r="R196" s="62">
        <v>4</v>
      </c>
      <c r="S196" s="164">
        <f t="shared" si="5"/>
        <v>8</v>
      </c>
      <c r="T196">
        <f t="shared" si="6"/>
        <v>4</v>
      </c>
    </row>
    <row r="197" spans="1:20" ht="15.75" x14ac:dyDescent="0.25">
      <c r="A197" s="58"/>
      <c r="B197" s="59"/>
      <c r="C197" s="59"/>
      <c r="D197" s="59"/>
      <c r="E197" s="60"/>
      <c r="F197" s="80"/>
      <c r="G197" s="81"/>
      <c r="H197" s="81"/>
      <c r="I197" s="53"/>
      <c r="J197" s="75"/>
      <c r="K197" s="75"/>
      <c r="L197" s="114" t="s">
        <v>225</v>
      </c>
      <c r="M197" s="115" t="s">
        <v>226</v>
      </c>
      <c r="N197" s="55" t="s">
        <v>37</v>
      </c>
      <c r="O197" s="139">
        <v>220</v>
      </c>
      <c r="P197" s="97">
        <f>IFERROR(VLOOKUP(L197,[1]TDSheet!A$12:D$300,4,FALSE),0)</f>
        <v>2461</v>
      </c>
      <c r="Q197" s="62">
        <v>220</v>
      </c>
      <c r="R197" s="62">
        <v>220</v>
      </c>
      <c r="S197" s="164">
        <f t="shared" si="5"/>
        <v>440</v>
      </c>
      <c r="T197">
        <f t="shared" si="6"/>
        <v>2021</v>
      </c>
    </row>
    <row r="198" spans="1:20" ht="15.75" x14ac:dyDescent="0.25">
      <c r="A198" s="58"/>
      <c r="B198" s="59"/>
      <c r="C198" s="59"/>
      <c r="D198" s="59"/>
      <c r="E198" s="60"/>
      <c r="F198" s="80"/>
      <c r="G198" s="81"/>
      <c r="H198" s="81"/>
      <c r="I198" s="53"/>
      <c r="J198" s="75"/>
      <c r="K198" s="75"/>
      <c r="L198" s="114" t="s">
        <v>227</v>
      </c>
      <c r="M198" s="115" t="s">
        <v>228</v>
      </c>
      <c r="N198" s="55" t="s">
        <v>37</v>
      </c>
      <c r="O198" s="139">
        <v>83</v>
      </c>
      <c r="P198" s="97">
        <f>IFERROR(VLOOKUP(L198,[1]TDSheet!A$12:D$300,4,FALSE),0)</f>
        <v>249</v>
      </c>
      <c r="Q198" s="62">
        <f>83+(83/2)</f>
        <v>124.5</v>
      </c>
      <c r="R198" s="62">
        <f>83+(83/2)</f>
        <v>124.5</v>
      </c>
      <c r="S198" s="164">
        <f t="shared" si="5"/>
        <v>249</v>
      </c>
      <c r="T198">
        <f t="shared" si="6"/>
        <v>0</v>
      </c>
    </row>
    <row r="199" spans="1:20" ht="15.75" x14ac:dyDescent="0.25">
      <c r="A199" s="58"/>
      <c r="B199" s="59"/>
      <c r="C199" s="59"/>
      <c r="D199" s="59"/>
      <c r="E199" s="60"/>
      <c r="F199" s="80"/>
      <c r="G199" s="81"/>
      <c r="H199" s="81"/>
      <c r="I199" s="53"/>
      <c r="J199" s="75"/>
      <c r="K199" s="75"/>
      <c r="L199" s="114" t="s">
        <v>229</v>
      </c>
      <c r="M199" s="115" t="s">
        <v>230</v>
      </c>
      <c r="N199" s="55" t="s">
        <v>37</v>
      </c>
      <c r="O199" s="139">
        <v>167.79999999999998</v>
      </c>
      <c r="P199" s="97">
        <f>IFERROR(VLOOKUP(L199,[1]TDSheet!A$12:D$300,4,FALSE),0)</f>
        <v>231.4</v>
      </c>
      <c r="Q199" s="62">
        <v>115</v>
      </c>
      <c r="R199" s="62">
        <v>116.4</v>
      </c>
      <c r="S199" s="164">
        <f t="shared" si="5"/>
        <v>231.4</v>
      </c>
      <c r="T199">
        <f t="shared" si="6"/>
        <v>0</v>
      </c>
    </row>
    <row r="200" spans="1:20" ht="15.75" x14ac:dyDescent="0.25">
      <c r="A200" s="58"/>
      <c r="B200" s="59"/>
      <c r="C200" s="59"/>
      <c r="D200" s="59"/>
      <c r="E200" s="60"/>
      <c r="F200" s="80"/>
      <c r="G200" s="81"/>
      <c r="H200" s="81"/>
      <c r="I200" s="53"/>
      <c r="J200" s="75"/>
      <c r="K200" s="75"/>
      <c r="L200" s="114" t="s">
        <v>38</v>
      </c>
      <c r="M200" s="115" t="s">
        <v>100</v>
      </c>
      <c r="N200" s="55" t="s">
        <v>37</v>
      </c>
      <c r="O200" s="139">
        <v>249</v>
      </c>
      <c r="P200" s="97">
        <f>IFERROR(VLOOKUP(L200,[1]TDSheet!A$12:D$300,4,FALSE),0)</f>
        <v>132</v>
      </c>
      <c r="Q200" s="62">
        <f>249-183</f>
        <v>66</v>
      </c>
      <c r="R200" s="62">
        <f>249-183</f>
        <v>66</v>
      </c>
      <c r="S200" s="164">
        <f t="shared" si="5"/>
        <v>132</v>
      </c>
      <c r="T200">
        <f t="shared" si="6"/>
        <v>0</v>
      </c>
    </row>
    <row r="201" spans="1:20" ht="15.75" x14ac:dyDescent="0.25">
      <c r="A201" s="58"/>
      <c r="B201" s="59"/>
      <c r="C201" s="59"/>
      <c r="D201" s="59"/>
      <c r="E201" s="60"/>
      <c r="F201" s="80"/>
      <c r="G201" s="81"/>
      <c r="H201" s="81"/>
      <c r="I201" s="53"/>
      <c r="J201" s="75"/>
      <c r="K201" s="75"/>
      <c r="L201" s="114" t="s">
        <v>231</v>
      </c>
      <c r="M201" s="115" t="s">
        <v>232</v>
      </c>
      <c r="N201" s="55" t="s">
        <v>37</v>
      </c>
      <c r="O201" s="139">
        <v>390</v>
      </c>
      <c r="P201" s="97">
        <f>IFERROR(VLOOKUP(L201,[1]TDSheet!A$12:D$300,4,FALSE),0)</f>
        <v>2922</v>
      </c>
      <c r="Q201" s="62">
        <f>390+183</f>
        <v>573</v>
      </c>
      <c r="R201" s="62">
        <f>390+183</f>
        <v>573</v>
      </c>
      <c r="S201" s="164">
        <f t="shared" si="5"/>
        <v>1146</v>
      </c>
      <c r="T201">
        <f t="shared" si="6"/>
        <v>1776</v>
      </c>
    </row>
    <row r="202" spans="1:20" ht="15.75" x14ac:dyDescent="0.25">
      <c r="A202" s="58"/>
      <c r="B202" s="59"/>
      <c r="C202" s="59"/>
      <c r="D202" s="59"/>
      <c r="E202" s="60"/>
      <c r="F202" s="80"/>
      <c r="G202" s="81"/>
      <c r="H202" s="81"/>
      <c r="I202" s="53"/>
      <c r="J202" s="75"/>
      <c r="K202" s="75"/>
      <c r="L202" s="114" t="s">
        <v>475</v>
      </c>
      <c r="M202" s="115" t="s">
        <v>476</v>
      </c>
      <c r="N202" s="55" t="s">
        <v>34</v>
      </c>
      <c r="O202" s="139">
        <v>4</v>
      </c>
      <c r="P202" s="97">
        <f>IFERROR(VLOOKUP(L202,[1]TDSheet!A$12:D$300,4,FALSE),0)</f>
        <v>20</v>
      </c>
      <c r="Q202" s="62">
        <v>4</v>
      </c>
      <c r="R202" s="62">
        <v>4</v>
      </c>
      <c r="S202" s="164">
        <f t="shared" si="5"/>
        <v>8</v>
      </c>
      <c r="T202">
        <f t="shared" si="6"/>
        <v>12</v>
      </c>
    </row>
    <row r="203" spans="1:20" ht="15.75" x14ac:dyDescent="0.25">
      <c r="A203" s="58"/>
      <c r="B203" s="59"/>
      <c r="C203" s="59"/>
      <c r="D203" s="59"/>
      <c r="E203" s="60"/>
      <c r="F203" s="80"/>
      <c r="G203" s="81"/>
      <c r="H203" s="81"/>
      <c r="I203" s="53"/>
      <c r="J203" s="75"/>
      <c r="K203" s="75"/>
      <c r="L203" s="114">
        <v>18042</v>
      </c>
      <c r="M203" s="115" t="s">
        <v>233</v>
      </c>
      <c r="N203" s="55" t="s">
        <v>57</v>
      </c>
      <c r="O203" s="139">
        <v>30</v>
      </c>
      <c r="P203" s="97">
        <f>IFERROR(VLOOKUP(L203,[1]TDSheet!A$12:D$300,4,FALSE),0)</f>
        <v>40</v>
      </c>
      <c r="Q203" s="62">
        <v>20</v>
      </c>
      <c r="R203" s="62">
        <v>20</v>
      </c>
      <c r="S203" s="164">
        <f t="shared" si="5"/>
        <v>40</v>
      </c>
      <c r="T203">
        <f t="shared" si="6"/>
        <v>0</v>
      </c>
    </row>
    <row r="204" spans="1:20" ht="15.75" x14ac:dyDescent="0.25">
      <c r="A204" s="58"/>
      <c r="B204" s="59"/>
      <c r="C204" s="59"/>
      <c r="D204" s="59"/>
      <c r="E204" s="60"/>
      <c r="F204" s="80"/>
      <c r="G204" s="81"/>
      <c r="H204" s="81"/>
      <c r="I204" s="53"/>
      <c r="J204" s="75"/>
      <c r="K204" s="75"/>
      <c r="L204" s="114" t="s">
        <v>521</v>
      </c>
      <c r="M204" s="115" t="s">
        <v>522</v>
      </c>
      <c r="N204" s="55" t="s">
        <v>39</v>
      </c>
      <c r="O204" s="139">
        <v>5.8000000000000003E-2</v>
      </c>
      <c r="P204" s="97">
        <f>IFERROR(VLOOKUP(L204,[1]TDSheet!A$12:D$300,4,FALSE),0)</f>
        <v>9.7000000000000003E-2</v>
      </c>
      <c r="Q204" s="62">
        <v>5.8000000000000003E-2</v>
      </c>
      <c r="R204" s="62">
        <v>3.9E-2</v>
      </c>
      <c r="S204" s="164">
        <f t="shared" si="5"/>
        <v>9.7000000000000003E-2</v>
      </c>
      <c r="T204">
        <f t="shared" si="6"/>
        <v>0</v>
      </c>
    </row>
    <row r="205" spans="1:20" ht="15.75" x14ac:dyDescent="0.25">
      <c r="A205" s="58"/>
      <c r="B205" s="59"/>
      <c r="C205" s="59"/>
      <c r="D205" s="59"/>
      <c r="E205" s="60"/>
      <c r="F205" s="80"/>
      <c r="G205" s="81"/>
      <c r="H205" s="81"/>
      <c r="I205" s="53"/>
      <c r="J205" s="75"/>
      <c r="K205" s="75"/>
      <c r="L205" s="63" t="s">
        <v>234</v>
      </c>
      <c r="M205" s="61" t="s">
        <v>235</v>
      </c>
      <c r="N205" s="55" t="s">
        <v>34</v>
      </c>
      <c r="O205" s="62">
        <v>2</v>
      </c>
      <c r="P205" s="97">
        <f>IFERROR(VLOOKUP(L205,[1]TDSheet!A$12:D$300,4,FALSE),0)</f>
        <v>6</v>
      </c>
      <c r="Q205" s="62">
        <v>2</v>
      </c>
      <c r="R205" s="62">
        <v>2</v>
      </c>
      <c r="S205" s="164">
        <f t="shared" si="5"/>
        <v>4</v>
      </c>
      <c r="T205">
        <f t="shared" si="6"/>
        <v>2</v>
      </c>
    </row>
    <row r="206" spans="1:20" ht="15.75" x14ac:dyDescent="0.25">
      <c r="A206" s="58"/>
      <c r="B206" s="59"/>
      <c r="C206" s="59"/>
      <c r="D206" s="59"/>
      <c r="E206" s="60"/>
      <c r="F206" s="80"/>
      <c r="G206" s="81"/>
      <c r="H206" s="81"/>
      <c r="I206" s="53"/>
      <c r="J206" s="75"/>
      <c r="K206" s="75"/>
      <c r="L206" s="63" t="s">
        <v>236</v>
      </c>
      <c r="M206" s="61" t="s">
        <v>237</v>
      </c>
      <c r="N206" s="55" t="s">
        <v>34</v>
      </c>
      <c r="O206" s="62">
        <v>4</v>
      </c>
      <c r="P206" s="97">
        <f>IFERROR(VLOOKUP(L206,[1]TDSheet!A$12:D$300,4,FALSE),0)</f>
        <v>12</v>
      </c>
      <c r="Q206" s="62">
        <v>4</v>
      </c>
      <c r="R206" s="62">
        <v>4</v>
      </c>
      <c r="S206" s="164">
        <f t="shared" si="5"/>
        <v>8</v>
      </c>
      <c r="T206">
        <f t="shared" si="6"/>
        <v>4</v>
      </c>
    </row>
    <row r="207" spans="1:20" ht="15.75" x14ac:dyDescent="0.25">
      <c r="A207" s="58"/>
      <c r="B207" s="59"/>
      <c r="C207" s="59"/>
      <c r="D207" s="59"/>
      <c r="E207" s="60"/>
      <c r="F207" s="80"/>
      <c r="G207" s="81"/>
      <c r="H207" s="81"/>
      <c r="I207" s="53"/>
      <c r="J207" s="75"/>
      <c r="K207" s="75"/>
      <c r="L207" s="63" t="s">
        <v>238</v>
      </c>
      <c r="M207" s="61" t="s">
        <v>239</v>
      </c>
      <c r="N207" s="55" t="s">
        <v>57</v>
      </c>
      <c r="O207" s="62">
        <f>80+375</f>
        <v>455</v>
      </c>
      <c r="P207" s="97">
        <f>IFERROR(VLOOKUP(L207,[1]TDSheet!A$12:D$300,4,FALSE),0)</f>
        <v>3940</v>
      </c>
      <c r="Q207" s="62">
        <f>80+375</f>
        <v>455</v>
      </c>
      <c r="R207" s="62">
        <f>80+375</f>
        <v>455</v>
      </c>
      <c r="S207" s="164">
        <f t="shared" si="5"/>
        <v>910</v>
      </c>
      <c r="T207">
        <f t="shared" si="6"/>
        <v>3030</v>
      </c>
    </row>
    <row r="208" spans="1:20" ht="15.75" x14ac:dyDescent="0.25">
      <c r="A208" s="58"/>
      <c r="B208" s="59"/>
      <c r="C208" s="59"/>
      <c r="D208" s="59"/>
      <c r="E208" s="60"/>
      <c r="F208" s="80"/>
      <c r="G208" s="81"/>
      <c r="H208" s="81"/>
      <c r="I208" s="53"/>
      <c r="J208" s="75"/>
      <c r="K208" s="75"/>
      <c r="L208" s="63" t="s">
        <v>103</v>
      </c>
      <c r="M208" s="61" t="s">
        <v>104</v>
      </c>
      <c r="N208" s="55" t="s">
        <v>57</v>
      </c>
      <c r="O208" s="62">
        <v>25</v>
      </c>
      <c r="P208" s="97">
        <f>IFERROR(VLOOKUP(L208,[1]TDSheet!A$12:D$300,4,FALSE),0)</f>
        <v>75</v>
      </c>
      <c r="Q208" s="62">
        <v>25</v>
      </c>
      <c r="R208" s="62">
        <v>25</v>
      </c>
      <c r="S208" s="164">
        <f t="shared" si="5"/>
        <v>50</v>
      </c>
      <c r="T208">
        <f t="shared" si="6"/>
        <v>25</v>
      </c>
    </row>
    <row r="209" spans="1:20" ht="15.75" x14ac:dyDescent="0.25">
      <c r="A209" s="58"/>
      <c r="B209" s="59"/>
      <c r="C209" s="59"/>
      <c r="D209" s="59"/>
      <c r="E209" s="60"/>
      <c r="F209" s="80"/>
      <c r="G209" s="81"/>
      <c r="H209" s="81"/>
      <c r="I209" s="53"/>
      <c r="J209" s="75"/>
      <c r="K209" s="75"/>
      <c r="L209" s="63" t="s">
        <v>477</v>
      </c>
      <c r="M209" s="61" t="s">
        <v>478</v>
      </c>
      <c r="N209" s="55" t="s">
        <v>34</v>
      </c>
      <c r="O209" s="62">
        <v>1</v>
      </c>
      <c r="P209" s="97">
        <f>IFERROR(VLOOKUP(L209,[1]TDSheet!A$12:D$300,4,FALSE),0)</f>
        <v>3</v>
      </c>
      <c r="Q209" s="62">
        <v>1</v>
      </c>
      <c r="R209" s="62">
        <v>1</v>
      </c>
      <c r="S209" s="164">
        <f t="shared" si="5"/>
        <v>2</v>
      </c>
      <c r="T209">
        <f t="shared" si="6"/>
        <v>1</v>
      </c>
    </row>
    <row r="210" spans="1:20" ht="15.75" x14ac:dyDescent="0.25">
      <c r="A210" s="58"/>
      <c r="B210" s="59"/>
      <c r="C210" s="59"/>
      <c r="D210" s="59"/>
      <c r="E210" s="60"/>
      <c r="F210" s="80"/>
      <c r="G210" s="81"/>
      <c r="H210" s="81"/>
      <c r="I210" s="53"/>
      <c r="J210" s="75"/>
      <c r="K210" s="75"/>
      <c r="L210" s="63" t="s">
        <v>479</v>
      </c>
      <c r="M210" s="61" t="s">
        <v>480</v>
      </c>
      <c r="N210" s="55" t="s">
        <v>34</v>
      </c>
      <c r="O210" s="62">
        <v>5</v>
      </c>
      <c r="P210" s="97">
        <f>IFERROR(VLOOKUP(L210,[1]TDSheet!A$12:D$300,4,FALSE),0)</f>
        <v>15</v>
      </c>
      <c r="Q210" s="62">
        <v>5</v>
      </c>
      <c r="R210" s="62">
        <v>5</v>
      </c>
      <c r="S210" s="164">
        <f t="shared" si="5"/>
        <v>10</v>
      </c>
      <c r="T210">
        <f t="shared" si="6"/>
        <v>5</v>
      </c>
    </row>
    <row r="211" spans="1:20" ht="15.75" x14ac:dyDescent="0.25">
      <c r="A211" s="58"/>
      <c r="B211" s="59"/>
      <c r="C211" s="59"/>
      <c r="D211" s="59"/>
      <c r="E211" s="60"/>
      <c r="F211" s="80"/>
      <c r="G211" s="81"/>
      <c r="H211" s="81"/>
      <c r="I211" s="53"/>
      <c r="J211" s="75"/>
      <c r="K211" s="75"/>
      <c r="L211" s="63" t="s">
        <v>481</v>
      </c>
      <c r="M211" s="61" t="s">
        <v>482</v>
      </c>
      <c r="N211" s="55" t="s">
        <v>34</v>
      </c>
      <c r="O211" s="62">
        <v>5</v>
      </c>
      <c r="P211" s="97">
        <f>IFERROR(VLOOKUP(L211,[1]TDSheet!A$12:D$300,4,FALSE),0)</f>
        <v>15</v>
      </c>
      <c r="Q211" s="62">
        <v>5</v>
      </c>
      <c r="R211" s="62">
        <v>5</v>
      </c>
      <c r="S211" s="164">
        <f t="shared" si="5"/>
        <v>10</v>
      </c>
      <c r="T211">
        <f t="shared" si="6"/>
        <v>5</v>
      </c>
    </row>
    <row r="212" spans="1:20" ht="15.75" x14ac:dyDescent="0.25">
      <c r="A212" s="58"/>
      <c r="B212" s="59"/>
      <c r="C212" s="59"/>
      <c r="D212" s="59"/>
      <c r="E212" s="60"/>
      <c r="F212" s="80"/>
      <c r="G212" s="81"/>
      <c r="H212" s="81"/>
      <c r="I212" s="53"/>
      <c r="J212" s="75"/>
      <c r="K212" s="75"/>
      <c r="L212" s="63">
        <v>589</v>
      </c>
      <c r="M212" s="61" t="s">
        <v>483</v>
      </c>
      <c r="N212" s="55" t="s">
        <v>57</v>
      </c>
      <c r="O212" s="139">
        <v>34</v>
      </c>
      <c r="P212" s="97">
        <f>IFERROR(VLOOKUP(L212,[1]TDSheet!A$12:D$300,4,FALSE),0)</f>
        <v>114</v>
      </c>
      <c r="Q212" s="62">
        <v>34</v>
      </c>
      <c r="R212" s="62">
        <v>34</v>
      </c>
      <c r="S212" s="164">
        <f t="shared" si="5"/>
        <v>68</v>
      </c>
      <c r="T212">
        <f t="shared" si="6"/>
        <v>46</v>
      </c>
    </row>
    <row r="213" spans="1:20" ht="15.75" x14ac:dyDescent="0.25">
      <c r="A213" s="58"/>
      <c r="B213" s="59"/>
      <c r="C213" s="59"/>
      <c r="D213" s="59"/>
      <c r="E213" s="60"/>
      <c r="F213" s="80"/>
      <c r="G213" s="81"/>
      <c r="H213" s="81"/>
      <c r="I213" s="53"/>
      <c r="J213" s="75"/>
      <c r="K213" s="75"/>
      <c r="L213" s="63" t="s">
        <v>240</v>
      </c>
      <c r="M213" s="61" t="s">
        <v>241</v>
      </c>
      <c r="N213" s="55" t="s">
        <v>34</v>
      </c>
      <c r="O213" s="139">
        <v>1</v>
      </c>
      <c r="P213" s="97">
        <f>IFERROR(VLOOKUP(L213,[1]TDSheet!A$12:D$300,4,FALSE),0)</f>
        <v>3</v>
      </c>
      <c r="Q213" s="62">
        <v>1</v>
      </c>
      <c r="R213" s="62">
        <v>1</v>
      </c>
      <c r="S213" s="164">
        <f t="shared" ref="S213:S249" si="7">R213+Q213</f>
        <v>2</v>
      </c>
      <c r="T213">
        <f t="shared" si="6"/>
        <v>1</v>
      </c>
    </row>
    <row r="214" spans="1:20" ht="15.75" x14ac:dyDescent="0.25">
      <c r="A214" s="58"/>
      <c r="B214" s="59"/>
      <c r="C214" s="59"/>
      <c r="D214" s="59"/>
      <c r="E214" s="60"/>
      <c r="F214" s="80"/>
      <c r="G214" s="81"/>
      <c r="H214" s="81"/>
      <c r="I214" s="53"/>
      <c r="J214" s="75"/>
      <c r="K214" s="75"/>
      <c r="L214" s="63" t="s">
        <v>484</v>
      </c>
      <c r="M214" s="61" t="s">
        <v>485</v>
      </c>
      <c r="N214" s="55" t="s">
        <v>34</v>
      </c>
      <c r="O214" s="139">
        <v>1</v>
      </c>
      <c r="P214" s="97">
        <f>IFERROR(VLOOKUP(L214,[1]TDSheet!A$12:D$300,4,FALSE),0)</f>
        <v>3</v>
      </c>
      <c r="Q214" s="62">
        <v>1</v>
      </c>
      <c r="R214" s="62">
        <v>1</v>
      </c>
      <c r="S214" s="164">
        <f t="shared" si="7"/>
        <v>2</v>
      </c>
      <c r="T214">
        <f t="shared" si="6"/>
        <v>1</v>
      </c>
    </row>
    <row r="215" spans="1:20" ht="15.75" x14ac:dyDescent="0.25">
      <c r="A215" s="58"/>
      <c r="B215" s="59"/>
      <c r="C215" s="59"/>
      <c r="D215" s="59"/>
      <c r="E215" s="60"/>
      <c r="F215" s="80"/>
      <c r="G215" s="81"/>
      <c r="H215" s="81"/>
      <c r="I215" s="53"/>
      <c r="J215" s="75"/>
      <c r="K215" s="75"/>
      <c r="L215" s="63" t="s">
        <v>486</v>
      </c>
      <c r="M215" s="61" t="s">
        <v>487</v>
      </c>
      <c r="N215" s="55" t="s">
        <v>34</v>
      </c>
      <c r="O215" s="139">
        <v>2</v>
      </c>
      <c r="P215" s="97">
        <f>IFERROR(VLOOKUP(L215,[1]TDSheet!A$12:D$300,4,FALSE),0)</f>
        <v>6</v>
      </c>
      <c r="Q215" s="62">
        <v>2</v>
      </c>
      <c r="R215" s="62">
        <v>2</v>
      </c>
      <c r="S215" s="164">
        <f t="shared" si="7"/>
        <v>4</v>
      </c>
      <c r="T215">
        <f t="shared" si="6"/>
        <v>2</v>
      </c>
    </row>
    <row r="216" spans="1:20" ht="15.75" x14ac:dyDescent="0.25">
      <c r="A216" s="58"/>
      <c r="B216" s="59"/>
      <c r="C216" s="59"/>
      <c r="D216" s="59"/>
      <c r="E216" s="60"/>
      <c r="F216" s="80"/>
      <c r="G216" s="81"/>
      <c r="H216" s="81"/>
      <c r="I216" s="53"/>
      <c r="J216" s="75"/>
      <c r="K216" s="75"/>
      <c r="L216" s="63" t="s">
        <v>488</v>
      </c>
      <c r="M216" s="61" t="s">
        <v>489</v>
      </c>
      <c r="N216" s="55" t="s">
        <v>34</v>
      </c>
      <c r="O216" s="139">
        <v>5</v>
      </c>
      <c r="P216" s="97">
        <f>IFERROR(VLOOKUP(L216,[1]TDSheet!A$12:D$300,4,FALSE),0)</f>
        <v>15</v>
      </c>
      <c r="Q216" s="62">
        <v>5</v>
      </c>
      <c r="R216" s="62">
        <v>5</v>
      </c>
      <c r="S216" s="164">
        <f t="shared" si="7"/>
        <v>10</v>
      </c>
      <c r="T216">
        <f t="shared" si="6"/>
        <v>5</v>
      </c>
    </row>
    <row r="217" spans="1:20" ht="15.75" x14ac:dyDescent="0.25">
      <c r="A217" s="58"/>
      <c r="B217" s="59"/>
      <c r="C217" s="59"/>
      <c r="D217" s="59"/>
      <c r="E217" s="60"/>
      <c r="F217" s="80"/>
      <c r="G217" s="81"/>
      <c r="H217" s="81"/>
      <c r="I217" s="53"/>
      <c r="J217" s="75"/>
      <c r="K217" s="75"/>
      <c r="L217" s="63">
        <v>396</v>
      </c>
      <c r="M217" s="61" t="s">
        <v>105</v>
      </c>
      <c r="N217" s="55" t="s">
        <v>34</v>
      </c>
      <c r="O217" s="139">
        <v>3000</v>
      </c>
      <c r="P217" s="97">
        <f>IFERROR(VLOOKUP(L217,[1]TDSheet!A$12:D$300,4,FALSE),0)</f>
        <v>41000</v>
      </c>
      <c r="Q217" s="62">
        <v>3000</v>
      </c>
      <c r="R217" s="62">
        <v>3000</v>
      </c>
      <c r="S217" s="164">
        <f t="shared" si="7"/>
        <v>6000</v>
      </c>
      <c r="T217">
        <f t="shared" si="6"/>
        <v>35000</v>
      </c>
    </row>
    <row r="218" spans="1:20" ht="15.75" x14ac:dyDescent="0.25">
      <c r="A218" s="58"/>
      <c r="B218" s="59"/>
      <c r="C218" s="59"/>
      <c r="D218" s="59"/>
      <c r="E218" s="60"/>
      <c r="F218" s="80"/>
      <c r="G218" s="81"/>
      <c r="H218" s="81"/>
      <c r="I218" s="53"/>
      <c r="J218" s="75"/>
      <c r="K218" s="75"/>
      <c r="L218" s="63">
        <v>395</v>
      </c>
      <c r="M218" s="61" t="s">
        <v>106</v>
      </c>
      <c r="N218" s="55" t="s">
        <v>34</v>
      </c>
      <c r="O218" s="139">
        <v>150</v>
      </c>
      <c r="P218" s="97">
        <f>IFERROR(VLOOKUP(L218,[1]TDSheet!A$12:D$300,4,FALSE),0)</f>
        <v>5460</v>
      </c>
      <c r="Q218" s="62">
        <v>150</v>
      </c>
      <c r="R218" s="62">
        <v>150</v>
      </c>
      <c r="S218" s="164">
        <f t="shared" si="7"/>
        <v>300</v>
      </c>
      <c r="T218">
        <f t="shared" ref="T218:T250" si="8">P218-Q218-R218</f>
        <v>5160</v>
      </c>
    </row>
    <row r="219" spans="1:20" ht="15.75" x14ac:dyDescent="0.25">
      <c r="A219" s="58"/>
      <c r="B219" s="59"/>
      <c r="C219" s="59"/>
      <c r="D219" s="59"/>
      <c r="E219" s="60"/>
      <c r="F219" s="80"/>
      <c r="G219" s="81"/>
      <c r="H219" s="81"/>
      <c r="I219" s="53"/>
      <c r="J219" s="75"/>
      <c r="K219" s="75"/>
      <c r="L219" s="63" t="s">
        <v>490</v>
      </c>
      <c r="M219" s="61" t="s">
        <v>491</v>
      </c>
      <c r="N219" s="55" t="s">
        <v>34</v>
      </c>
      <c r="O219" s="139">
        <v>2</v>
      </c>
      <c r="P219" s="97">
        <f>IFERROR(VLOOKUP(L219,[1]TDSheet!A$12:D$300,4,FALSE),0)</f>
        <v>6</v>
      </c>
      <c r="Q219" s="62">
        <v>2</v>
      </c>
      <c r="R219" s="62">
        <v>2</v>
      </c>
      <c r="S219" s="164">
        <f t="shared" si="7"/>
        <v>4</v>
      </c>
      <c r="T219">
        <f t="shared" si="8"/>
        <v>2</v>
      </c>
    </row>
    <row r="220" spans="1:20" ht="15.75" x14ac:dyDescent="0.25">
      <c r="A220" s="90"/>
      <c r="B220" s="59"/>
      <c r="C220" s="59"/>
      <c r="D220" s="59"/>
      <c r="E220" s="60"/>
      <c r="F220" s="91"/>
      <c r="G220" s="92"/>
      <c r="H220" s="92"/>
      <c r="I220" s="53"/>
      <c r="J220" s="75"/>
      <c r="K220" s="75"/>
      <c r="L220" s="114" t="s">
        <v>46</v>
      </c>
      <c r="M220" s="115" t="s">
        <v>107</v>
      </c>
      <c r="N220" s="55" t="s">
        <v>64</v>
      </c>
      <c r="O220" s="139">
        <v>51</v>
      </c>
      <c r="P220" s="97">
        <f>IFERROR(VLOOKUP(L220,[1]TDSheet!A$12:D$300,4,FALSE),0)</f>
        <v>475</v>
      </c>
      <c r="Q220" s="62">
        <v>51</v>
      </c>
      <c r="R220" s="62">
        <v>51</v>
      </c>
      <c r="S220" s="164">
        <f t="shared" si="7"/>
        <v>102</v>
      </c>
      <c r="T220">
        <f t="shared" si="8"/>
        <v>373</v>
      </c>
    </row>
    <row r="221" spans="1:20" ht="15.75" x14ac:dyDescent="0.25">
      <c r="A221" s="90"/>
      <c r="B221" s="59"/>
      <c r="C221" s="59"/>
      <c r="D221" s="59"/>
      <c r="E221" s="60"/>
      <c r="F221" s="91"/>
      <c r="G221" s="92"/>
      <c r="H221" s="92"/>
      <c r="I221" s="53"/>
      <c r="J221" s="75"/>
      <c r="K221" s="75"/>
      <c r="L221" s="111" t="s">
        <v>492</v>
      </c>
      <c r="M221" s="112" t="s">
        <v>493</v>
      </c>
      <c r="N221" s="95" t="s">
        <v>34</v>
      </c>
      <c r="O221" s="140">
        <v>1</v>
      </c>
      <c r="P221" s="97">
        <f>IFERROR(VLOOKUP(L221,[1]TDSheet!A$12:D$300,4,FALSE),0)</f>
        <v>3</v>
      </c>
      <c r="Q221" s="141">
        <v>1</v>
      </c>
      <c r="R221" s="141">
        <v>1</v>
      </c>
      <c r="S221" s="164">
        <f t="shared" si="7"/>
        <v>2</v>
      </c>
      <c r="T221">
        <f t="shared" si="8"/>
        <v>1</v>
      </c>
    </row>
    <row r="222" spans="1:20" ht="15.75" x14ac:dyDescent="0.25">
      <c r="A222" s="90"/>
      <c r="B222" s="59"/>
      <c r="C222" s="59"/>
      <c r="D222" s="59"/>
      <c r="E222" s="60"/>
      <c r="F222" s="91"/>
      <c r="G222" s="92"/>
      <c r="H222" s="92"/>
      <c r="I222" s="53"/>
      <c r="J222" s="75"/>
      <c r="K222" s="75"/>
      <c r="L222" s="111">
        <v>104</v>
      </c>
      <c r="M222" s="112" t="s">
        <v>494</v>
      </c>
      <c r="N222" s="95" t="s">
        <v>34</v>
      </c>
      <c r="O222" s="140">
        <v>48</v>
      </c>
      <c r="P222" s="97">
        <f>IFERROR(VLOOKUP(L222,[1]TDSheet!A$12:D$300,4,FALSE),0)</f>
        <v>163</v>
      </c>
      <c r="Q222" s="141">
        <v>48</v>
      </c>
      <c r="R222" s="141">
        <v>48</v>
      </c>
      <c r="S222" s="164">
        <f t="shared" si="7"/>
        <v>96</v>
      </c>
      <c r="T222">
        <f t="shared" si="8"/>
        <v>67</v>
      </c>
    </row>
    <row r="223" spans="1:20" ht="15.75" x14ac:dyDescent="0.25">
      <c r="A223" s="90"/>
      <c r="B223" s="59"/>
      <c r="C223" s="59"/>
      <c r="D223" s="59"/>
      <c r="E223" s="60"/>
      <c r="F223" s="91"/>
      <c r="G223" s="92"/>
      <c r="H223" s="92"/>
      <c r="I223" s="53"/>
      <c r="J223" s="75"/>
      <c r="K223" s="75"/>
      <c r="L223" s="93" t="s">
        <v>242</v>
      </c>
      <c r="M223" s="94" t="s">
        <v>243</v>
      </c>
      <c r="N223" s="95" t="s">
        <v>34</v>
      </c>
      <c r="O223" s="140">
        <v>1</v>
      </c>
      <c r="P223" s="97">
        <f>IFERROR(VLOOKUP(L223,[1]TDSheet!A$12:D$300,4,FALSE),0)</f>
        <v>1</v>
      </c>
      <c r="Q223" s="141">
        <v>1</v>
      </c>
      <c r="R223" s="141">
        <v>0</v>
      </c>
      <c r="S223" s="164">
        <f t="shared" si="7"/>
        <v>1</v>
      </c>
      <c r="T223">
        <f t="shared" si="8"/>
        <v>0</v>
      </c>
    </row>
    <row r="224" spans="1:20" ht="15.75" x14ac:dyDescent="0.25">
      <c r="A224" s="90"/>
      <c r="B224" s="59"/>
      <c r="C224" s="59"/>
      <c r="D224" s="59"/>
      <c r="E224" s="60"/>
      <c r="F224" s="91"/>
      <c r="G224" s="92"/>
      <c r="H224" s="92"/>
      <c r="I224" s="53"/>
      <c r="J224" s="75"/>
      <c r="K224" s="75"/>
      <c r="L224" s="111" t="s">
        <v>47</v>
      </c>
      <c r="M224" s="112" t="s">
        <v>108</v>
      </c>
      <c r="N224" s="95" t="s">
        <v>34</v>
      </c>
      <c r="O224" s="140">
        <v>23</v>
      </c>
      <c r="P224" s="97">
        <f>IFERROR(VLOOKUP(L224,[1]TDSheet!A$12:D$300,4,FALSE),0)</f>
        <v>194</v>
      </c>
      <c r="Q224" s="141">
        <v>23</v>
      </c>
      <c r="R224" s="141">
        <v>23</v>
      </c>
      <c r="S224" s="164">
        <f t="shared" si="7"/>
        <v>46</v>
      </c>
      <c r="T224">
        <f t="shared" si="8"/>
        <v>148</v>
      </c>
    </row>
    <row r="225" spans="1:20" ht="15.75" x14ac:dyDescent="0.25">
      <c r="A225" s="90"/>
      <c r="B225" s="59"/>
      <c r="C225" s="59"/>
      <c r="D225" s="59"/>
      <c r="E225" s="60"/>
      <c r="F225" s="91"/>
      <c r="G225" s="92"/>
      <c r="H225" s="92"/>
      <c r="I225" s="53"/>
      <c r="J225" s="75"/>
      <c r="K225" s="75"/>
      <c r="L225" s="111" t="s">
        <v>495</v>
      </c>
      <c r="M225" s="112" t="s">
        <v>496</v>
      </c>
      <c r="N225" s="95" t="s">
        <v>34</v>
      </c>
      <c r="O225" s="140">
        <v>6</v>
      </c>
      <c r="P225" s="97">
        <f>IFERROR(VLOOKUP(L225,[1]TDSheet!A$12:D$300,4,FALSE),0)</f>
        <v>3</v>
      </c>
      <c r="Q225" s="141">
        <v>6</v>
      </c>
      <c r="R225" s="141">
        <v>6</v>
      </c>
      <c r="S225" s="164">
        <f t="shared" si="7"/>
        <v>12</v>
      </c>
      <c r="T225">
        <f t="shared" si="8"/>
        <v>-9</v>
      </c>
    </row>
    <row r="226" spans="1:20" ht="15.75" x14ac:dyDescent="0.25">
      <c r="A226" s="90"/>
      <c r="B226" s="59"/>
      <c r="C226" s="59"/>
      <c r="D226" s="59"/>
      <c r="E226" s="60"/>
      <c r="F226" s="91"/>
      <c r="G226" s="92"/>
      <c r="H226" s="92"/>
      <c r="I226" s="53"/>
      <c r="J226" s="75"/>
      <c r="K226" s="75"/>
      <c r="L226" s="111" t="s">
        <v>497</v>
      </c>
      <c r="M226" s="112" t="s">
        <v>498</v>
      </c>
      <c r="N226" s="95" t="s">
        <v>34</v>
      </c>
      <c r="O226" s="140">
        <v>3</v>
      </c>
      <c r="P226" s="97">
        <f>IFERROR(VLOOKUP(L226,[1]TDSheet!A$12:D$300,4,FALSE),0)</f>
        <v>12</v>
      </c>
      <c r="Q226" s="141">
        <v>3</v>
      </c>
      <c r="R226" s="141">
        <v>3</v>
      </c>
      <c r="S226" s="164">
        <f t="shared" si="7"/>
        <v>6</v>
      </c>
      <c r="T226">
        <f t="shared" si="8"/>
        <v>6</v>
      </c>
    </row>
    <row r="227" spans="1:20" ht="15.75" x14ac:dyDescent="0.25">
      <c r="A227" s="90"/>
      <c r="B227" s="59"/>
      <c r="C227" s="59"/>
      <c r="D227" s="59"/>
      <c r="E227" s="60"/>
      <c r="F227" s="91"/>
      <c r="G227" s="92"/>
      <c r="H227" s="92"/>
      <c r="I227" s="53"/>
      <c r="J227" s="75"/>
      <c r="K227" s="75"/>
      <c r="L227" s="111" t="s">
        <v>499</v>
      </c>
      <c r="M227" s="112" t="s">
        <v>500</v>
      </c>
      <c r="N227" s="95" t="s">
        <v>34</v>
      </c>
      <c r="O227" s="140">
        <v>2</v>
      </c>
      <c r="P227" s="97">
        <f>IFERROR(VLOOKUP(L227,[1]TDSheet!A$12:D$300,4,FALSE),0)</f>
        <v>0</v>
      </c>
      <c r="Q227" s="97">
        <v>1</v>
      </c>
      <c r="R227" s="101">
        <v>1</v>
      </c>
      <c r="S227" s="164">
        <f t="shared" si="7"/>
        <v>2</v>
      </c>
      <c r="T227">
        <f t="shared" si="8"/>
        <v>-2</v>
      </c>
    </row>
    <row r="228" spans="1:20" ht="15.75" x14ac:dyDescent="0.25">
      <c r="A228" s="90"/>
      <c r="B228" s="59"/>
      <c r="C228" s="59"/>
      <c r="D228" s="59"/>
      <c r="E228" s="60"/>
      <c r="F228" s="91"/>
      <c r="G228" s="92"/>
      <c r="H228" s="92"/>
      <c r="I228" s="53"/>
      <c r="J228" s="75"/>
      <c r="K228" s="75"/>
      <c r="L228" s="111">
        <v>15090</v>
      </c>
      <c r="M228" s="112" t="s">
        <v>501</v>
      </c>
      <c r="N228" s="95" t="s">
        <v>34</v>
      </c>
      <c r="O228" s="140">
        <v>8</v>
      </c>
      <c r="P228" s="97">
        <f>IFERROR(VLOOKUP(L228,[1]TDSheet!A$12:D$300,4,FALSE),0)</f>
        <v>56</v>
      </c>
      <c r="Q228" s="141">
        <v>8</v>
      </c>
      <c r="R228" s="141">
        <v>8</v>
      </c>
      <c r="S228" s="164">
        <f t="shared" si="7"/>
        <v>16</v>
      </c>
      <c r="T228">
        <f t="shared" si="8"/>
        <v>40</v>
      </c>
    </row>
    <row r="229" spans="1:20" ht="15.75" x14ac:dyDescent="0.25">
      <c r="A229" s="90"/>
      <c r="B229" s="59"/>
      <c r="C229" s="59"/>
      <c r="D229" s="59"/>
      <c r="E229" s="60"/>
      <c r="F229" s="91"/>
      <c r="G229" s="92"/>
      <c r="H229" s="92"/>
      <c r="I229" s="53"/>
      <c r="J229" s="75"/>
      <c r="K229" s="75"/>
      <c r="L229" s="111" t="s">
        <v>502</v>
      </c>
      <c r="M229" s="112" t="s">
        <v>503</v>
      </c>
      <c r="N229" s="95" t="s">
        <v>34</v>
      </c>
      <c r="O229" s="140">
        <v>2</v>
      </c>
      <c r="P229" s="97">
        <f>IFERROR(VLOOKUP(L229,[1]TDSheet!A$12:D$300,4,FALSE),0)</f>
        <v>6</v>
      </c>
      <c r="Q229" s="141">
        <v>2</v>
      </c>
      <c r="R229" s="141">
        <v>2</v>
      </c>
      <c r="S229" s="164">
        <f t="shared" si="7"/>
        <v>4</v>
      </c>
      <c r="T229">
        <f t="shared" si="8"/>
        <v>2</v>
      </c>
    </row>
    <row r="230" spans="1:20" ht="15.75" x14ac:dyDescent="0.25">
      <c r="A230" s="90"/>
      <c r="B230" s="59"/>
      <c r="C230" s="59"/>
      <c r="D230" s="59"/>
      <c r="E230" s="60"/>
      <c r="F230" s="91"/>
      <c r="G230" s="92"/>
      <c r="H230" s="92"/>
      <c r="I230" s="53"/>
      <c r="J230" s="75"/>
      <c r="K230" s="75"/>
      <c r="L230" s="111" t="s">
        <v>504</v>
      </c>
      <c r="M230" s="112" t="s">
        <v>505</v>
      </c>
      <c r="N230" s="95" t="s">
        <v>34</v>
      </c>
      <c r="O230" s="140">
        <v>10</v>
      </c>
      <c r="P230" s="97">
        <f>IFERROR(VLOOKUP(L230,[1]TDSheet!A$12:D$300,4,FALSE),0)</f>
        <v>42</v>
      </c>
      <c r="Q230" s="141">
        <v>10</v>
      </c>
      <c r="R230" s="141">
        <v>10</v>
      </c>
      <c r="S230" s="164">
        <f t="shared" si="7"/>
        <v>20</v>
      </c>
      <c r="T230">
        <f t="shared" si="8"/>
        <v>22</v>
      </c>
    </row>
    <row r="231" spans="1:20" ht="15.75" x14ac:dyDescent="0.25">
      <c r="A231" s="90"/>
      <c r="B231" s="59"/>
      <c r="C231" s="59"/>
      <c r="D231" s="59"/>
      <c r="E231" s="60"/>
      <c r="F231" s="91"/>
      <c r="G231" s="92"/>
      <c r="H231" s="92"/>
      <c r="I231" s="53"/>
      <c r="J231" s="75"/>
      <c r="K231" s="75"/>
      <c r="L231" s="93">
        <v>4659</v>
      </c>
      <c r="M231" s="94" t="s">
        <v>109</v>
      </c>
      <c r="N231" s="95" t="s">
        <v>34</v>
      </c>
      <c r="O231" s="141">
        <v>5000</v>
      </c>
      <c r="P231" s="97">
        <f>IFERROR(VLOOKUP(L231,[1]TDSheet!A$12:D$300,4,FALSE),0)</f>
        <v>24000</v>
      </c>
      <c r="Q231" s="141">
        <v>5000</v>
      </c>
      <c r="R231" s="141">
        <v>5000</v>
      </c>
      <c r="S231" s="164">
        <f t="shared" si="7"/>
        <v>10000</v>
      </c>
      <c r="T231">
        <f t="shared" si="8"/>
        <v>14000</v>
      </c>
    </row>
    <row r="232" spans="1:20" ht="15.75" x14ac:dyDescent="0.25">
      <c r="A232" s="90"/>
      <c r="B232" s="59"/>
      <c r="C232" s="59"/>
      <c r="D232" s="59"/>
      <c r="E232" s="60"/>
      <c r="F232" s="91"/>
      <c r="G232" s="92"/>
      <c r="H232" s="92"/>
      <c r="I232" s="53"/>
      <c r="J232" s="75"/>
      <c r="K232" s="75"/>
      <c r="L232" s="93">
        <v>4453</v>
      </c>
      <c r="M232" s="94" t="s">
        <v>248</v>
      </c>
      <c r="N232" s="95" t="s">
        <v>34</v>
      </c>
      <c r="O232" s="141">
        <v>900</v>
      </c>
      <c r="P232" s="97">
        <f>IFERROR(VLOOKUP(L232,[1]TDSheet!A$12:D$300,4,FALSE),0)</f>
        <v>5500</v>
      </c>
      <c r="Q232" s="141">
        <v>900</v>
      </c>
      <c r="R232" s="141">
        <v>900</v>
      </c>
      <c r="S232" s="164">
        <f t="shared" si="7"/>
        <v>1800</v>
      </c>
      <c r="T232">
        <f t="shared" si="8"/>
        <v>3700</v>
      </c>
    </row>
    <row r="233" spans="1:20" ht="15.75" x14ac:dyDescent="0.25">
      <c r="A233" s="90"/>
      <c r="B233" s="59"/>
      <c r="C233" s="59"/>
      <c r="D233" s="59"/>
      <c r="E233" s="60"/>
      <c r="F233" s="91"/>
      <c r="G233" s="92"/>
      <c r="H233" s="92"/>
      <c r="I233" s="53"/>
      <c r="J233" s="75"/>
      <c r="K233" s="75"/>
      <c r="L233" s="93">
        <v>2054</v>
      </c>
      <c r="M233" s="94" t="s">
        <v>507</v>
      </c>
      <c r="N233" s="95" t="s">
        <v>34</v>
      </c>
      <c r="O233" s="141">
        <v>2700</v>
      </c>
      <c r="P233" s="97">
        <f>IFERROR(VLOOKUP(L233,[1]TDSheet!A$12:D$300,4,FALSE),0)</f>
        <v>7600</v>
      </c>
      <c r="Q233" s="141">
        <v>2700</v>
      </c>
      <c r="R233" s="141">
        <v>2700</v>
      </c>
      <c r="S233" s="164">
        <f t="shared" si="7"/>
        <v>5400</v>
      </c>
      <c r="T233">
        <f t="shared" si="8"/>
        <v>2200</v>
      </c>
    </row>
    <row r="234" spans="1:20" ht="15.75" x14ac:dyDescent="0.25">
      <c r="A234" s="90"/>
      <c r="B234" s="59"/>
      <c r="C234" s="59"/>
      <c r="D234" s="59"/>
      <c r="E234" s="60"/>
      <c r="F234" s="91"/>
      <c r="G234" s="92"/>
      <c r="H234" s="92"/>
      <c r="I234" s="53"/>
      <c r="J234" s="75"/>
      <c r="K234" s="75"/>
      <c r="L234" s="93" t="s">
        <v>508</v>
      </c>
      <c r="M234" s="94" t="s">
        <v>509</v>
      </c>
      <c r="N234" s="95" t="s">
        <v>34</v>
      </c>
      <c r="O234" s="141">
        <v>5</v>
      </c>
      <c r="P234" s="97">
        <f>IFERROR(VLOOKUP(L234,[1]TDSheet!A$12:D$300,4,FALSE),0)</f>
        <v>16</v>
      </c>
      <c r="Q234" s="141">
        <v>5</v>
      </c>
      <c r="R234" s="141">
        <v>5</v>
      </c>
      <c r="S234" s="164">
        <f t="shared" si="7"/>
        <v>10</v>
      </c>
      <c r="T234">
        <f t="shared" si="8"/>
        <v>6</v>
      </c>
    </row>
    <row r="235" spans="1:20" ht="15.75" x14ac:dyDescent="0.25">
      <c r="A235" s="90"/>
      <c r="B235" s="59"/>
      <c r="C235" s="59"/>
      <c r="D235" s="59"/>
      <c r="E235" s="60"/>
      <c r="F235" s="91"/>
      <c r="G235" s="92"/>
      <c r="H235" s="92"/>
      <c r="I235" s="53"/>
      <c r="J235" s="75"/>
      <c r="K235" s="75"/>
      <c r="L235" s="93" t="s">
        <v>55</v>
      </c>
      <c r="M235" s="94" t="s">
        <v>110</v>
      </c>
      <c r="N235" s="95" t="s">
        <v>34</v>
      </c>
      <c r="O235" s="141">
        <v>2</v>
      </c>
      <c r="P235" s="97">
        <f>IFERROR(VLOOKUP(L235,[1]TDSheet!A$12:D$300,4,FALSE),0)</f>
        <v>34</v>
      </c>
      <c r="Q235" s="141">
        <v>2</v>
      </c>
      <c r="R235" s="141">
        <v>2</v>
      </c>
      <c r="S235" s="164">
        <f t="shared" si="7"/>
        <v>4</v>
      </c>
      <c r="T235">
        <f t="shared" si="8"/>
        <v>30</v>
      </c>
    </row>
    <row r="236" spans="1:20" ht="15.75" x14ac:dyDescent="0.25">
      <c r="A236" s="90"/>
      <c r="B236" s="59"/>
      <c r="C236" s="59"/>
      <c r="D236" s="59"/>
      <c r="E236" s="60"/>
      <c r="F236" s="91"/>
      <c r="G236" s="92"/>
      <c r="H236" s="92"/>
      <c r="I236" s="53"/>
      <c r="J236" s="75"/>
      <c r="K236" s="75"/>
      <c r="L236" s="93" t="s">
        <v>523</v>
      </c>
      <c r="M236" s="94" t="s">
        <v>62</v>
      </c>
      <c r="N236" s="95" t="s">
        <v>34</v>
      </c>
      <c r="O236" s="141">
        <v>2</v>
      </c>
      <c r="P236" s="97">
        <f>IFERROR(VLOOKUP(L236,[1]TDSheet!A$12:D$300,4,FALSE),0)</f>
        <v>6</v>
      </c>
      <c r="Q236" s="141">
        <v>2</v>
      </c>
      <c r="R236" s="141">
        <v>2</v>
      </c>
      <c r="S236" s="164">
        <f t="shared" si="7"/>
        <v>4</v>
      </c>
      <c r="T236">
        <f t="shared" si="8"/>
        <v>2</v>
      </c>
    </row>
    <row r="237" spans="1:20" ht="15.75" x14ac:dyDescent="0.25">
      <c r="A237" s="90"/>
      <c r="B237" s="59"/>
      <c r="C237" s="59"/>
      <c r="D237" s="59"/>
      <c r="E237" s="60"/>
      <c r="F237" s="91"/>
      <c r="G237" s="92"/>
      <c r="H237" s="92"/>
      <c r="I237" s="53"/>
      <c r="J237" s="75"/>
      <c r="K237" s="75"/>
      <c r="L237" s="146" t="s">
        <v>749</v>
      </c>
      <c r="M237" s="94" t="s">
        <v>91</v>
      </c>
      <c r="N237" s="95" t="s">
        <v>34</v>
      </c>
      <c r="O237" s="141">
        <v>1</v>
      </c>
      <c r="P237" s="97">
        <f>IFERROR(VLOOKUP(L237,[1]TDSheet!A$12:D$300,4,FALSE),0)</f>
        <v>6</v>
      </c>
      <c r="Q237" s="141">
        <v>1</v>
      </c>
      <c r="R237" s="141">
        <v>1</v>
      </c>
      <c r="S237" s="164">
        <f t="shared" si="7"/>
        <v>2</v>
      </c>
      <c r="T237">
        <f t="shared" si="8"/>
        <v>4</v>
      </c>
    </row>
    <row r="238" spans="1:20" ht="15.75" x14ac:dyDescent="0.25">
      <c r="A238" s="90"/>
      <c r="B238" s="59"/>
      <c r="C238" s="59"/>
      <c r="D238" s="59"/>
      <c r="E238" s="60"/>
      <c r="F238" s="91"/>
      <c r="G238" s="92"/>
      <c r="H238" s="92"/>
      <c r="I238" s="53"/>
      <c r="J238" s="75"/>
      <c r="K238" s="75"/>
      <c r="L238" s="146"/>
      <c r="M238" s="94" t="s">
        <v>60</v>
      </c>
      <c r="N238" s="95" t="s">
        <v>34</v>
      </c>
      <c r="O238" s="141">
        <v>4</v>
      </c>
      <c r="P238" s="97">
        <f>IFERROR(VLOOKUP(L238,[1]TDSheet!A$12:D$300,4,FALSE),0)</f>
        <v>0</v>
      </c>
      <c r="Q238" s="141">
        <v>4</v>
      </c>
      <c r="R238" s="141">
        <v>4</v>
      </c>
      <c r="S238" s="164">
        <f t="shared" si="7"/>
        <v>8</v>
      </c>
      <c r="T238">
        <f t="shared" si="8"/>
        <v>-8</v>
      </c>
    </row>
    <row r="239" spans="1:20" ht="15.75" x14ac:dyDescent="0.25">
      <c r="A239" s="90"/>
      <c r="B239" s="59"/>
      <c r="C239" s="59"/>
      <c r="D239" s="59"/>
      <c r="E239" s="60"/>
      <c r="F239" s="91"/>
      <c r="G239" s="92"/>
      <c r="H239" s="92"/>
      <c r="I239" s="53"/>
      <c r="J239" s="75"/>
      <c r="K239" s="75"/>
      <c r="L239" s="146" t="s">
        <v>750</v>
      </c>
      <c r="M239" s="94" t="s">
        <v>50</v>
      </c>
      <c r="N239" s="95" t="s">
        <v>34</v>
      </c>
      <c r="O239" s="141">
        <v>1</v>
      </c>
      <c r="P239" s="97">
        <f>IFERROR(VLOOKUP(L239,[1]TDSheet!A$12:D$300,4,FALSE),0)</f>
        <v>0</v>
      </c>
      <c r="Q239" s="141">
        <v>1</v>
      </c>
      <c r="R239" s="141">
        <v>1</v>
      </c>
      <c r="S239" s="164">
        <f t="shared" si="7"/>
        <v>2</v>
      </c>
      <c r="T239">
        <f t="shared" si="8"/>
        <v>-2</v>
      </c>
    </row>
    <row r="240" spans="1:20" ht="15.75" x14ac:dyDescent="0.25">
      <c r="A240" s="90"/>
      <c r="B240" s="59"/>
      <c r="C240" s="59"/>
      <c r="D240" s="59"/>
      <c r="E240" s="60"/>
      <c r="F240" s="91"/>
      <c r="G240" s="92"/>
      <c r="H240" s="92"/>
      <c r="I240" s="53"/>
      <c r="J240" s="75"/>
      <c r="K240" s="75"/>
      <c r="L240" s="146" t="s">
        <v>751</v>
      </c>
      <c r="M240" s="94" t="s">
        <v>524</v>
      </c>
      <c r="N240" s="95" t="s">
        <v>34</v>
      </c>
      <c r="O240" s="141">
        <v>2</v>
      </c>
      <c r="P240" s="97">
        <f>IFERROR(VLOOKUP(L240,[1]TDSheet!A$12:D$300,4,FALSE),0)</f>
        <v>0</v>
      </c>
      <c r="Q240" s="141">
        <v>2</v>
      </c>
      <c r="R240" s="141">
        <v>2</v>
      </c>
      <c r="S240" s="164">
        <f t="shared" si="7"/>
        <v>4</v>
      </c>
      <c r="T240">
        <f t="shared" si="8"/>
        <v>-4</v>
      </c>
    </row>
    <row r="241" spans="1:35" ht="15.75" x14ac:dyDescent="0.25">
      <c r="A241" s="90"/>
      <c r="B241" s="59"/>
      <c r="C241" s="59"/>
      <c r="D241" s="59"/>
      <c r="E241" s="60"/>
      <c r="F241" s="91"/>
      <c r="G241" s="92"/>
      <c r="H241" s="92"/>
      <c r="I241" s="53"/>
      <c r="J241" s="75"/>
      <c r="K241" s="75"/>
      <c r="L241" s="146"/>
      <c r="M241" s="94" t="s">
        <v>61</v>
      </c>
      <c r="N241" s="95" t="s">
        <v>34</v>
      </c>
      <c r="O241" s="141">
        <v>3</v>
      </c>
      <c r="P241" s="97">
        <f>IFERROR(VLOOKUP(L241,[1]TDSheet!A$12:D$300,4,FALSE),0)</f>
        <v>0</v>
      </c>
      <c r="Q241" s="141">
        <v>3</v>
      </c>
      <c r="R241" s="141">
        <v>3</v>
      </c>
      <c r="S241" s="164">
        <f t="shared" si="7"/>
        <v>6</v>
      </c>
      <c r="T241">
        <f t="shared" si="8"/>
        <v>-6</v>
      </c>
    </row>
    <row r="242" spans="1:35" ht="15.75" x14ac:dyDescent="0.25">
      <c r="A242" s="90"/>
      <c r="B242" s="59"/>
      <c r="C242" s="59"/>
      <c r="D242" s="59"/>
      <c r="E242" s="60"/>
      <c r="F242" s="91"/>
      <c r="G242" s="92"/>
      <c r="H242" s="92"/>
      <c r="I242" s="53"/>
      <c r="J242" s="75"/>
      <c r="K242" s="75"/>
      <c r="L242" s="146" t="s">
        <v>510</v>
      </c>
      <c r="M242" s="112" t="s">
        <v>511</v>
      </c>
      <c r="N242" s="95" t="s">
        <v>34</v>
      </c>
      <c r="O242" s="140">
        <v>3</v>
      </c>
      <c r="P242" s="97">
        <f>IFERROR(VLOOKUP(L242,[1]TDSheet!A$12:D$300,4,FALSE),0)</f>
        <v>0</v>
      </c>
      <c r="Q242" s="141">
        <v>3</v>
      </c>
      <c r="R242" s="141">
        <v>3</v>
      </c>
      <c r="S242" s="164">
        <f t="shared" si="7"/>
        <v>6</v>
      </c>
      <c r="T242">
        <f t="shared" si="8"/>
        <v>-6</v>
      </c>
    </row>
    <row r="243" spans="1:35" ht="15.75" x14ac:dyDescent="0.25">
      <c r="A243" s="90"/>
      <c r="B243" s="59"/>
      <c r="C243" s="59"/>
      <c r="D243" s="59"/>
      <c r="E243" s="60"/>
      <c r="F243" s="91"/>
      <c r="G243" s="92"/>
      <c r="H243" s="92"/>
      <c r="I243" s="53"/>
      <c r="J243" s="75"/>
      <c r="K243" s="75"/>
      <c r="L243" s="111" t="s">
        <v>722</v>
      </c>
      <c r="M243" s="112" t="s">
        <v>723</v>
      </c>
      <c r="N243" s="95" t="s">
        <v>34</v>
      </c>
      <c r="O243" s="140">
        <v>1</v>
      </c>
      <c r="P243" s="97">
        <f>IFERROR(VLOOKUP(L243,[1]TDSheet!A$12:D$300,4,FALSE),0)</f>
        <v>5</v>
      </c>
      <c r="Q243" s="141">
        <v>1</v>
      </c>
      <c r="R243" s="141">
        <v>1</v>
      </c>
      <c r="S243" s="164">
        <f t="shared" si="7"/>
        <v>2</v>
      </c>
      <c r="T243">
        <f t="shared" si="8"/>
        <v>3</v>
      </c>
    </row>
    <row r="244" spans="1:35" ht="15.75" x14ac:dyDescent="0.25">
      <c r="A244" s="90"/>
      <c r="B244" s="59"/>
      <c r="C244" s="59"/>
      <c r="D244" s="59"/>
      <c r="E244" s="60"/>
      <c r="F244" s="91"/>
      <c r="G244" s="92"/>
      <c r="H244" s="92"/>
      <c r="I244" s="53"/>
      <c r="J244" s="75"/>
      <c r="K244" s="75"/>
      <c r="L244" s="157">
        <v>17652</v>
      </c>
      <c r="M244" s="112" t="s">
        <v>725</v>
      </c>
      <c r="N244" s="95" t="s">
        <v>34</v>
      </c>
      <c r="O244" s="140">
        <v>1</v>
      </c>
      <c r="P244" s="97">
        <f>IFERROR(VLOOKUP(L244,[1]TDSheet!A$12:D$300,4,FALSE),0)</f>
        <v>4</v>
      </c>
      <c r="Q244" s="141">
        <v>1</v>
      </c>
      <c r="R244" s="141">
        <v>1</v>
      </c>
      <c r="S244" s="164">
        <f t="shared" si="7"/>
        <v>2</v>
      </c>
      <c r="T244">
        <f t="shared" si="8"/>
        <v>2</v>
      </c>
    </row>
    <row r="245" spans="1:35" ht="15.75" x14ac:dyDescent="0.25">
      <c r="A245" s="128"/>
      <c r="B245" s="129"/>
      <c r="C245" s="129"/>
      <c r="D245" s="129"/>
      <c r="E245" s="130"/>
      <c r="F245" s="131"/>
      <c r="G245" s="132"/>
      <c r="H245" s="132"/>
      <c r="I245" s="133"/>
      <c r="J245" s="134"/>
      <c r="K245" s="134"/>
      <c r="L245" s="111" t="s">
        <v>726</v>
      </c>
      <c r="M245" s="112" t="s">
        <v>727</v>
      </c>
      <c r="N245" s="95" t="s">
        <v>34</v>
      </c>
      <c r="O245" s="140">
        <v>1</v>
      </c>
      <c r="P245" s="97">
        <f>IFERROR(VLOOKUP(L245,[1]TDSheet!A$12:D$300,4,FALSE),0)</f>
        <v>3</v>
      </c>
      <c r="Q245" s="141">
        <v>1</v>
      </c>
      <c r="R245" s="141">
        <v>1</v>
      </c>
      <c r="S245" s="164">
        <f t="shared" si="7"/>
        <v>2</v>
      </c>
      <c r="T245">
        <f t="shared" si="8"/>
        <v>1</v>
      </c>
      <c r="AA245" s="135"/>
      <c r="AB245" s="135"/>
      <c r="AC245" s="135"/>
      <c r="AD245" s="135"/>
      <c r="AE245" s="135"/>
      <c r="AF245" s="135"/>
      <c r="AG245" s="135"/>
      <c r="AH245" s="135"/>
      <c r="AI245" s="135"/>
    </row>
    <row r="246" spans="1:35" ht="15.75" x14ac:dyDescent="0.25">
      <c r="A246" s="128"/>
      <c r="B246" s="129"/>
      <c r="C246" s="129"/>
      <c r="D246" s="129"/>
      <c r="E246" s="130"/>
      <c r="F246" s="131"/>
      <c r="G246" s="132"/>
      <c r="H246" s="132"/>
      <c r="I246" s="133"/>
      <c r="J246" s="134"/>
      <c r="K246" s="134"/>
      <c r="L246" s="157">
        <v>21537</v>
      </c>
      <c r="M246" s="112" t="s">
        <v>742</v>
      </c>
      <c r="N246" s="95" t="s">
        <v>269</v>
      </c>
      <c r="O246" s="140">
        <v>8</v>
      </c>
      <c r="P246" s="97">
        <f>IFERROR(VLOOKUP(L246,[1]TDSheet!A$12:D$300,4,FALSE),0)</f>
        <v>15</v>
      </c>
      <c r="Q246" s="141">
        <v>7</v>
      </c>
      <c r="R246" s="141">
        <v>8</v>
      </c>
      <c r="S246" s="164">
        <f t="shared" si="7"/>
        <v>15</v>
      </c>
      <c r="T246">
        <f t="shared" si="8"/>
        <v>0</v>
      </c>
      <c r="U246" s="135"/>
      <c r="V246" s="135"/>
      <c r="W246" s="135"/>
      <c r="X246" s="135"/>
      <c r="Y246" s="135"/>
      <c r="Z246" s="135"/>
      <c r="AA246" s="135"/>
      <c r="AB246" s="135"/>
      <c r="AC246" s="135"/>
      <c r="AD246" s="135"/>
      <c r="AE246" s="135"/>
      <c r="AF246" s="135"/>
      <c r="AG246" s="135"/>
      <c r="AH246" s="135"/>
      <c r="AI246" s="135"/>
    </row>
    <row r="247" spans="1:35" ht="15.75" x14ac:dyDescent="0.25">
      <c r="A247" s="128"/>
      <c r="B247" s="129"/>
      <c r="C247" s="129"/>
      <c r="D247" s="129"/>
      <c r="E247" s="130"/>
      <c r="F247" s="131"/>
      <c r="G247" s="132"/>
      <c r="H247" s="132"/>
      <c r="I247" s="133"/>
      <c r="J247" s="134"/>
      <c r="K247" s="134"/>
      <c r="L247" s="157">
        <v>6683</v>
      </c>
      <c r="M247" s="112" t="s">
        <v>743</v>
      </c>
      <c r="N247" s="95" t="s">
        <v>269</v>
      </c>
      <c r="O247" s="140">
        <v>3</v>
      </c>
      <c r="P247" s="97">
        <f>IFERROR(VLOOKUP(L247,[1]TDSheet!A$12:D$300,4,FALSE),0)</f>
        <v>19</v>
      </c>
      <c r="Q247" s="141">
        <v>3</v>
      </c>
      <c r="R247" s="141">
        <v>3</v>
      </c>
      <c r="S247" s="164">
        <f t="shared" si="7"/>
        <v>6</v>
      </c>
      <c r="T247">
        <f t="shared" si="8"/>
        <v>13</v>
      </c>
      <c r="U247" s="135"/>
      <c r="V247" s="135"/>
      <c r="W247" s="135"/>
      <c r="X247" s="135"/>
      <c r="Y247" s="135"/>
      <c r="Z247" s="135"/>
      <c r="AA247" s="135"/>
      <c r="AB247" s="135"/>
      <c r="AC247" s="135"/>
      <c r="AD247" s="135"/>
      <c r="AE247" s="135"/>
      <c r="AF247" s="135"/>
      <c r="AG247" s="135"/>
      <c r="AH247" s="135"/>
      <c r="AI247" s="135"/>
    </row>
    <row r="248" spans="1:35" ht="15.75" x14ac:dyDescent="0.25">
      <c r="A248" s="190"/>
      <c r="B248" s="191"/>
      <c r="C248" s="191"/>
      <c r="D248" s="191"/>
      <c r="E248" s="192"/>
      <c r="F248" s="131"/>
      <c r="G248" s="193"/>
      <c r="H248" s="193"/>
      <c r="I248" s="194"/>
      <c r="J248" s="192"/>
      <c r="K248" s="192"/>
      <c r="L248" s="157" t="s">
        <v>335</v>
      </c>
      <c r="M248" s="112" t="s">
        <v>336</v>
      </c>
      <c r="N248" s="95"/>
      <c r="O248" s="140"/>
      <c r="P248" s="97">
        <f>IFERROR(VLOOKUP(L248,[1]TDSheet!A$12:D$300,4,FALSE),0)</f>
        <v>28</v>
      </c>
      <c r="Q248" s="141">
        <v>4</v>
      </c>
      <c r="R248" s="141">
        <v>4</v>
      </c>
      <c r="S248" s="164">
        <f t="shared" si="7"/>
        <v>8</v>
      </c>
      <c r="T248" s="196">
        <f t="shared" si="8"/>
        <v>20</v>
      </c>
      <c r="U248" s="135"/>
      <c r="V248" s="135"/>
      <c r="W248" s="135"/>
      <c r="X248" s="135"/>
      <c r="Y248" s="135"/>
      <c r="Z248" s="135"/>
      <c r="AA248" s="195"/>
      <c r="AB248" s="195"/>
      <c r="AC248" s="195"/>
      <c r="AD248" s="195"/>
      <c r="AE248" s="195"/>
      <c r="AF248" s="195"/>
      <c r="AG248" s="195"/>
      <c r="AH248" s="195"/>
      <c r="AI248" s="195"/>
    </row>
    <row r="249" spans="1:35" ht="16.5" thickBot="1" x14ac:dyDescent="0.3">
      <c r="L249" s="111" t="s">
        <v>739</v>
      </c>
      <c r="M249" s="112" t="s">
        <v>744</v>
      </c>
      <c r="N249" s="95" t="s">
        <v>34</v>
      </c>
      <c r="O249" s="140">
        <v>2</v>
      </c>
      <c r="P249" s="97">
        <f>IFERROR(VLOOKUP(L249,[1]TDSheet!A$12:D$300,4,FALSE),0)</f>
        <v>2</v>
      </c>
      <c r="Q249" s="141">
        <v>2</v>
      </c>
      <c r="R249" s="141">
        <v>2</v>
      </c>
      <c r="S249" s="164">
        <f t="shared" si="7"/>
        <v>4</v>
      </c>
      <c r="T249">
        <f t="shared" si="8"/>
        <v>-2</v>
      </c>
      <c r="U249" s="135"/>
      <c r="V249" s="135"/>
      <c r="W249" s="135"/>
      <c r="X249" s="135"/>
      <c r="Y249" s="135"/>
      <c r="Z249" s="135"/>
    </row>
    <row r="250" spans="1:35" ht="21.75" thickBot="1" x14ac:dyDescent="0.3">
      <c r="A250" s="33"/>
      <c r="B250" s="34" t="s">
        <v>23</v>
      </c>
      <c r="C250" s="35"/>
      <c r="D250" s="36"/>
      <c r="E250" s="36"/>
      <c r="F250" s="36"/>
      <c r="G250" s="36"/>
      <c r="H250" s="36">
        <f>SUM(H20:H219)</f>
        <v>0</v>
      </c>
      <c r="I250" s="76"/>
      <c r="J250" s="76"/>
      <c r="K250" s="76"/>
      <c r="L250" s="37"/>
      <c r="M250" s="38"/>
      <c r="N250" s="38"/>
      <c r="O250" s="39"/>
      <c r="P250" s="39"/>
      <c r="Q250" s="183">
        <f>SUM(Q19:Q245)</f>
        <v>35678.252500000002</v>
      </c>
      <c r="R250" s="184"/>
      <c r="S250" s="165"/>
      <c r="T250">
        <f t="shared" si="8"/>
        <v>-35678.252500000002</v>
      </c>
    </row>
    <row r="251" spans="1:35" ht="18.75" x14ac:dyDescent="0.25">
      <c r="A251" s="20"/>
      <c r="B251" s="25"/>
      <c r="C251" s="11"/>
      <c r="D251" s="49"/>
      <c r="E251" s="49"/>
      <c r="F251" s="80"/>
      <c r="G251" s="81"/>
      <c r="H251" s="81"/>
      <c r="I251" s="54"/>
      <c r="J251" s="54"/>
      <c r="K251" s="54"/>
      <c r="L251" s="71"/>
      <c r="M251" s="69"/>
      <c r="N251" s="69"/>
      <c r="O251" s="51"/>
      <c r="P251" s="51"/>
      <c r="Q251" s="51"/>
      <c r="R251" s="24"/>
      <c r="S251" s="166"/>
      <c r="U251" s="232"/>
      <c r="V251" s="232"/>
    </row>
    <row r="252" spans="1:35" ht="18.75" x14ac:dyDescent="0.25">
      <c r="A252" s="20"/>
      <c r="B252" s="25"/>
      <c r="C252" s="11"/>
      <c r="D252" s="49"/>
      <c r="E252" s="49"/>
      <c r="F252" s="80"/>
      <c r="G252" s="81"/>
      <c r="H252" s="81"/>
      <c r="I252" s="54"/>
      <c r="J252" s="54"/>
      <c r="K252" s="54"/>
      <c r="L252" s="72"/>
      <c r="M252" s="73"/>
      <c r="N252" s="73"/>
      <c r="O252" s="50"/>
      <c r="P252" s="50"/>
      <c r="Q252" s="50"/>
      <c r="R252" s="24"/>
      <c r="S252" s="166"/>
      <c r="U252" s="5"/>
      <c r="V252" s="5"/>
    </row>
    <row r="253" spans="1:35" ht="18.75" x14ac:dyDescent="0.25">
      <c r="A253" s="20"/>
      <c r="B253" s="25"/>
      <c r="C253" s="11"/>
      <c r="D253" s="49"/>
      <c r="E253" s="49"/>
      <c r="F253" s="80"/>
      <c r="G253" s="81"/>
      <c r="H253" s="81"/>
      <c r="I253" s="54"/>
      <c r="J253" s="54"/>
      <c r="K253" s="54"/>
      <c r="L253" s="72"/>
      <c r="M253" s="73"/>
      <c r="N253" s="73"/>
      <c r="O253" s="50"/>
      <c r="P253" s="50"/>
      <c r="Q253" s="50"/>
      <c r="R253" s="24"/>
      <c r="S253" s="166"/>
      <c r="U253" s="5"/>
      <c r="V253" s="5"/>
    </row>
    <row r="254" spans="1:35" ht="18.75" x14ac:dyDescent="0.25">
      <c r="A254" s="20"/>
      <c r="B254" s="25"/>
      <c r="C254" s="11"/>
      <c r="D254" s="49"/>
      <c r="E254" s="49"/>
      <c r="F254" s="80"/>
      <c r="G254" s="81"/>
      <c r="H254" s="81"/>
      <c r="I254" s="54"/>
      <c r="J254" s="54"/>
      <c r="K254" s="54"/>
      <c r="L254" s="72"/>
      <c r="M254" s="73"/>
      <c r="N254" s="73"/>
      <c r="O254" s="50"/>
      <c r="P254" s="50"/>
      <c r="Q254" s="50"/>
      <c r="R254" s="24"/>
      <c r="S254" s="166"/>
      <c r="U254" s="5"/>
      <c r="V254" s="5"/>
    </row>
    <row r="255" spans="1:35" ht="18.75" x14ac:dyDescent="0.25">
      <c r="A255" s="20"/>
      <c r="B255" s="25"/>
      <c r="C255" s="11"/>
      <c r="D255" s="49"/>
      <c r="E255" s="49"/>
      <c r="F255" s="80"/>
      <c r="G255" s="81"/>
      <c r="H255" s="81"/>
      <c r="I255" s="54"/>
      <c r="J255" s="54"/>
      <c r="K255" s="54"/>
      <c r="L255" s="72"/>
      <c r="M255" s="73"/>
      <c r="N255" s="73"/>
      <c r="O255" s="50"/>
      <c r="P255" s="50"/>
      <c r="Q255" s="50"/>
      <c r="R255" s="24"/>
      <c r="S255" s="166"/>
      <c r="U255" s="5"/>
      <c r="V255" s="5"/>
    </row>
    <row r="256" spans="1:35" ht="18.75" x14ac:dyDescent="0.25">
      <c r="A256" s="20"/>
      <c r="B256" s="25"/>
      <c r="C256" s="11"/>
      <c r="D256" s="49"/>
      <c r="E256" s="49"/>
      <c r="F256" s="80"/>
      <c r="G256" s="81"/>
      <c r="H256" s="81"/>
      <c r="I256" s="54"/>
      <c r="J256" s="54"/>
      <c r="K256" s="54"/>
      <c r="L256" s="72"/>
      <c r="M256" s="73"/>
      <c r="N256" s="73"/>
      <c r="O256" s="50"/>
      <c r="P256" s="50"/>
      <c r="Q256" s="50"/>
      <c r="R256" s="24"/>
      <c r="S256" s="166"/>
      <c r="U256" s="5"/>
      <c r="V256" s="5"/>
    </row>
    <row r="257" spans="1:22" ht="18.75" x14ac:dyDescent="0.25">
      <c r="A257" s="20"/>
      <c r="B257" s="25"/>
      <c r="C257" s="11"/>
      <c r="D257" s="49"/>
      <c r="E257" s="49"/>
      <c r="F257" s="80"/>
      <c r="G257" s="81"/>
      <c r="H257" s="81"/>
      <c r="I257" s="54"/>
      <c r="J257" s="54"/>
      <c r="K257" s="54"/>
      <c r="L257" s="72"/>
      <c r="M257" s="73"/>
      <c r="N257" s="73"/>
      <c r="O257" s="50"/>
      <c r="P257" s="50"/>
      <c r="Q257" s="50"/>
      <c r="R257" s="24"/>
      <c r="S257" s="166"/>
      <c r="U257" s="5"/>
      <c r="V257" s="5"/>
    </row>
    <row r="258" spans="1:22" ht="18.75" x14ac:dyDescent="0.25">
      <c r="A258" s="20"/>
      <c r="B258" s="25"/>
      <c r="C258" s="11"/>
      <c r="D258" s="49"/>
      <c r="E258" s="49"/>
      <c r="F258" s="80"/>
      <c r="G258" s="81"/>
      <c r="H258" s="81"/>
      <c r="I258" s="54"/>
      <c r="J258" s="54"/>
      <c r="K258" s="54"/>
      <c r="L258" s="72"/>
      <c r="M258" s="73"/>
      <c r="N258" s="73"/>
      <c r="O258" s="50"/>
      <c r="P258" s="50"/>
      <c r="Q258" s="50"/>
      <c r="R258" s="24"/>
      <c r="S258" s="166"/>
      <c r="U258" s="5"/>
      <c r="V258" s="5"/>
    </row>
    <row r="259" spans="1:22" ht="18.75" x14ac:dyDescent="0.25">
      <c r="A259" s="20"/>
      <c r="B259" s="25"/>
      <c r="C259" s="11"/>
      <c r="D259" s="49"/>
      <c r="E259" s="49"/>
      <c r="F259" s="80"/>
      <c r="G259" s="81"/>
      <c r="H259" s="81"/>
      <c r="I259" s="54"/>
      <c r="J259" s="54"/>
      <c r="K259" s="54"/>
      <c r="L259" s="72"/>
      <c r="M259" s="73"/>
      <c r="N259" s="73"/>
      <c r="O259" s="50"/>
      <c r="P259" s="50"/>
      <c r="Q259" s="50"/>
      <c r="R259" s="24"/>
      <c r="S259" s="166"/>
      <c r="U259" s="5"/>
      <c r="V259" s="5"/>
    </row>
    <row r="260" spans="1:22" ht="18.75" x14ac:dyDescent="0.25">
      <c r="A260" s="20"/>
      <c r="B260" s="25"/>
      <c r="C260" s="11"/>
      <c r="D260" s="49"/>
      <c r="E260" s="49"/>
      <c r="F260" s="80"/>
      <c r="G260" s="81"/>
      <c r="H260" s="81"/>
      <c r="I260" s="54"/>
      <c r="J260" s="54"/>
      <c r="K260" s="54"/>
      <c r="L260" s="72"/>
      <c r="M260" s="73"/>
      <c r="N260" s="73"/>
      <c r="O260" s="50"/>
      <c r="P260" s="50"/>
      <c r="Q260" s="50"/>
      <c r="R260" s="24"/>
      <c r="S260" s="166"/>
      <c r="U260" s="5"/>
      <c r="V260" s="5"/>
    </row>
    <row r="261" spans="1:22" ht="18.75" x14ac:dyDescent="0.25">
      <c r="A261" s="20"/>
      <c r="B261" s="25"/>
      <c r="C261" s="11"/>
      <c r="D261" s="49"/>
      <c r="E261" s="49"/>
      <c r="F261" s="80"/>
      <c r="G261" s="81"/>
      <c r="H261" s="81"/>
      <c r="I261" s="54"/>
      <c r="J261" s="54"/>
      <c r="K261" s="54"/>
      <c r="L261" s="72"/>
      <c r="M261" s="73"/>
      <c r="N261" s="73"/>
      <c r="O261" s="50"/>
      <c r="P261" s="50"/>
      <c r="Q261" s="50"/>
      <c r="R261" s="24"/>
      <c r="S261" s="166"/>
      <c r="U261" s="5"/>
      <c r="V261" s="5"/>
    </row>
    <row r="262" spans="1:22" ht="18.75" x14ac:dyDescent="0.25">
      <c r="A262" s="20"/>
      <c r="B262" s="25"/>
      <c r="C262" s="11"/>
      <c r="D262" s="49"/>
      <c r="E262" s="49"/>
      <c r="F262" s="80"/>
      <c r="G262" s="81"/>
      <c r="H262" s="81"/>
      <c r="I262" s="54"/>
      <c r="J262" s="54"/>
      <c r="K262" s="54"/>
      <c r="L262" s="72"/>
      <c r="M262" s="73"/>
      <c r="N262" s="73"/>
      <c r="O262" s="50"/>
      <c r="P262" s="50"/>
      <c r="Q262" s="50"/>
      <c r="R262" s="24"/>
      <c r="S262" s="166"/>
      <c r="U262" s="5"/>
      <c r="V262" s="5"/>
    </row>
    <row r="263" spans="1:22" ht="18.75" x14ac:dyDescent="0.25">
      <c r="A263" s="20"/>
      <c r="B263" s="25"/>
      <c r="C263" s="11"/>
      <c r="D263" s="49"/>
      <c r="E263" s="49"/>
      <c r="F263" s="80"/>
      <c r="G263" s="81"/>
      <c r="H263" s="81"/>
      <c r="I263" s="54"/>
      <c r="J263" s="54"/>
      <c r="K263" s="54"/>
      <c r="L263" s="72"/>
      <c r="M263" s="73"/>
      <c r="N263" s="73"/>
      <c r="O263" s="50"/>
      <c r="P263" s="50"/>
      <c r="Q263" s="50"/>
      <c r="R263" s="24"/>
      <c r="S263" s="166"/>
      <c r="U263" s="5"/>
      <c r="V263" s="5"/>
    </row>
    <row r="264" spans="1:22" ht="18.75" x14ac:dyDescent="0.25">
      <c r="A264" s="20"/>
      <c r="B264" s="25"/>
      <c r="C264" s="11"/>
      <c r="D264" s="49"/>
      <c r="E264" s="49"/>
      <c r="F264" s="80"/>
      <c r="G264" s="81"/>
      <c r="H264" s="81"/>
      <c r="I264" s="54"/>
      <c r="J264" s="54"/>
      <c r="K264" s="54"/>
      <c r="L264" s="72"/>
      <c r="M264" s="73"/>
      <c r="N264" s="73"/>
      <c r="O264" s="50"/>
      <c r="P264" s="50"/>
      <c r="Q264" s="50"/>
      <c r="R264" s="24"/>
      <c r="S264" s="166"/>
      <c r="U264" s="5"/>
      <c r="V264" s="5"/>
    </row>
    <row r="265" spans="1:22" ht="18.75" x14ac:dyDescent="0.25">
      <c r="A265" s="20"/>
      <c r="B265" s="25"/>
      <c r="C265" s="11"/>
      <c r="D265" s="49"/>
      <c r="E265" s="49"/>
      <c r="F265" s="80"/>
      <c r="G265" s="81"/>
      <c r="H265" s="81"/>
      <c r="I265" s="54"/>
      <c r="J265" s="54"/>
      <c r="K265" s="54"/>
      <c r="L265" s="72"/>
      <c r="M265" s="73"/>
      <c r="N265" s="73"/>
      <c r="O265" s="50"/>
      <c r="P265" s="50"/>
      <c r="Q265" s="50"/>
      <c r="R265" s="24"/>
      <c r="S265" s="166"/>
      <c r="U265" s="5"/>
      <c r="V265" s="5"/>
    </row>
    <row r="266" spans="1:22" ht="18.75" x14ac:dyDescent="0.25">
      <c r="A266" s="20"/>
      <c r="B266" s="25"/>
      <c r="C266" s="11"/>
      <c r="D266" s="49"/>
      <c r="E266" s="49"/>
      <c r="F266" s="80"/>
      <c r="G266" s="81"/>
      <c r="H266" s="81"/>
      <c r="I266" s="54"/>
      <c r="J266" s="54"/>
      <c r="K266" s="54"/>
      <c r="L266" s="72"/>
      <c r="M266" s="73"/>
      <c r="N266" s="73"/>
      <c r="O266" s="50"/>
      <c r="P266" s="50"/>
      <c r="Q266" s="50"/>
      <c r="R266" s="24"/>
      <c r="S266" s="166"/>
      <c r="U266" s="5"/>
      <c r="V266" s="5"/>
    </row>
    <row r="267" spans="1:22" ht="18.75" x14ac:dyDescent="0.25">
      <c r="A267" s="20"/>
      <c r="B267" s="25"/>
      <c r="C267" s="11"/>
      <c r="D267" s="49"/>
      <c r="E267" s="49"/>
      <c r="F267" s="80"/>
      <c r="G267" s="81"/>
      <c r="H267" s="81"/>
      <c r="I267" s="54"/>
      <c r="J267" s="54"/>
      <c r="K267" s="54"/>
      <c r="L267" s="72"/>
      <c r="M267" s="73"/>
      <c r="N267" s="73"/>
      <c r="O267" s="50"/>
      <c r="P267" s="50"/>
      <c r="Q267" s="50"/>
      <c r="R267" s="24"/>
      <c r="S267" s="166"/>
      <c r="U267" s="5"/>
      <c r="V267" s="5"/>
    </row>
    <row r="268" spans="1:22" ht="18.75" x14ac:dyDescent="0.25">
      <c r="A268" s="20"/>
      <c r="B268" s="25"/>
      <c r="C268" s="11"/>
      <c r="D268" s="49"/>
      <c r="E268" s="49"/>
      <c r="F268" s="80"/>
      <c r="G268" s="81"/>
      <c r="H268" s="81"/>
      <c r="I268" s="54"/>
      <c r="J268" s="54"/>
      <c r="K268" s="54"/>
      <c r="L268" s="72"/>
      <c r="M268" s="73"/>
      <c r="N268" s="73"/>
      <c r="O268" s="50"/>
      <c r="P268" s="50"/>
      <c r="Q268" s="50"/>
      <c r="R268" s="24"/>
      <c r="S268" s="166"/>
      <c r="U268" s="5"/>
      <c r="V268" s="5"/>
    </row>
    <row r="269" spans="1:22" ht="18.75" x14ac:dyDescent="0.25">
      <c r="A269" s="20"/>
      <c r="B269" s="25"/>
      <c r="C269" s="11"/>
      <c r="D269" s="49"/>
      <c r="E269" s="49"/>
      <c r="F269" s="80"/>
      <c r="G269" s="81"/>
      <c r="H269" s="81"/>
      <c r="I269" s="54"/>
      <c r="J269" s="54"/>
      <c r="K269" s="54"/>
      <c r="L269" s="72"/>
      <c r="M269" s="73"/>
      <c r="N269" s="73"/>
      <c r="O269" s="50"/>
      <c r="P269" s="50"/>
      <c r="Q269" s="50"/>
      <c r="R269" s="24"/>
      <c r="S269" s="166"/>
      <c r="U269" s="5"/>
      <c r="V269" s="5"/>
    </row>
    <row r="270" spans="1:22" ht="18.75" x14ac:dyDescent="0.25">
      <c r="A270" s="20"/>
      <c r="B270" s="25"/>
      <c r="C270" s="11"/>
      <c r="D270" s="49"/>
      <c r="E270" s="49"/>
      <c r="F270" s="80"/>
      <c r="G270" s="81"/>
      <c r="H270" s="81"/>
      <c r="I270" s="54"/>
      <c r="J270" s="54"/>
      <c r="K270" s="54"/>
      <c r="L270" s="72"/>
      <c r="M270" s="73"/>
      <c r="N270" s="73"/>
      <c r="O270" s="50"/>
      <c r="P270" s="50"/>
      <c r="Q270" s="50"/>
      <c r="R270" s="24"/>
      <c r="S270" s="166"/>
      <c r="U270" s="5"/>
      <c r="V270" s="5"/>
    </row>
    <row r="271" spans="1:22" ht="18.75" x14ac:dyDescent="0.25">
      <c r="A271" s="20"/>
      <c r="B271" s="25"/>
      <c r="C271" s="11"/>
      <c r="D271" s="49"/>
      <c r="E271" s="49"/>
      <c r="F271" s="80"/>
      <c r="G271" s="81"/>
      <c r="H271" s="81"/>
      <c r="I271" s="54"/>
      <c r="J271" s="54"/>
      <c r="K271" s="54"/>
      <c r="L271" s="72"/>
      <c r="M271" s="73"/>
      <c r="N271" s="73"/>
      <c r="O271" s="50"/>
      <c r="P271" s="50"/>
      <c r="Q271" s="50"/>
      <c r="R271" s="24"/>
      <c r="S271" s="166"/>
      <c r="U271" s="5"/>
      <c r="V271" s="5"/>
    </row>
    <row r="272" spans="1:22" ht="18.75" x14ac:dyDescent="0.25">
      <c r="A272" s="20"/>
      <c r="B272" s="25"/>
      <c r="C272" s="11"/>
      <c r="D272" s="49"/>
      <c r="E272" s="49"/>
      <c r="F272" s="80"/>
      <c r="G272" s="81"/>
      <c r="H272" s="81"/>
      <c r="I272" s="54"/>
      <c r="J272" s="54"/>
      <c r="K272" s="54"/>
      <c r="L272" s="72"/>
      <c r="M272" s="73"/>
      <c r="N272" s="73"/>
      <c r="O272" s="50"/>
      <c r="P272" s="50"/>
      <c r="Q272" s="50"/>
      <c r="R272" s="24"/>
      <c r="S272" s="166"/>
      <c r="U272" s="5"/>
      <c r="V272" s="5"/>
    </row>
    <row r="273" spans="1:22" ht="18.75" x14ac:dyDescent="0.25">
      <c r="A273" s="20"/>
      <c r="B273" s="25"/>
      <c r="C273" s="11"/>
      <c r="D273" s="49"/>
      <c r="E273" s="49"/>
      <c r="F273" s="80"/>
      <c r="G273" s="81"/>
      <c r="H273" s="81"/>
      <c r="I273" s="54"/>
      <c r="J273" s="54"/>
      <c r="K273" s="54"/>
      <c r="L273" s="72"/>
      <c r="M273" s="73"/>
      <c r="N273" s="73"/>
      <c r="O273" s="50"/>
      <c r="P273" s="50"/>
      <c r="Q273" s="50"/>
      <c r="R273" s="24"/>
      <c r="S273" s="166"/>
      <c r="U273" s="5"/>
      <c r="V273" s="5"/>
    </row>
    <row r="274" spans="1:22" ht="18.75" x14ac:dyDescent="0.25">
      <c r="A274" s="20"/>
      <c r="B274" s="25"/>
      <c r="C274" s="11"/>
      <c r="D274" s="49"/>
      <c r="E274" s="49"/>
      <c r="F274" s="80"/>
      <c r="G274" s="81"/>
      <c r="H274" s="81"/>
      <c r="I274" s="54"/>
      <c r="J274" s="54"/>
      <c r="K274" s="54"/>
      <c r="L274" s="72"/>
      <c r="M274" s="73"/>
      <c r="N274" s="73"/>
      <c r="O274" s="50"/>
      <c r="P274" s="50"/>
      <c r="Q274" s="50"/>
      <c r="R274" s="24"/>
      <c r="S274" s="166"/>
      <c r="U274" s="5"/>
      <c r="V274" s="5"/>
    </row>
    <row r="275" spans="1:22" ht="18.75" x14ac:dyDescent="0.25">
      <c r="A275" s="20"/>
      <c r="B275" s="25"/>
      <c r="C275" s="11"/>
      <c r="D275" s="49"/>
      <c r="E275" s="49"/>
      <c r="F275" s="80"/>
      <c r="G275" s="81"/>
      <c r="H275" s="81"/>
      <c r="I275" s="54"/>
      <c r="J275" s="54"/>
      <c r="K275" s="54"/>
      <c r="L275" s="72"/>
      <c r="M275" s="73"/>
      <c r="N275" s="73"/>
      <c r="O275" s="50"/>
      <c r="P275" s="50"/>
      <c r="Q275" s="50"/>
      <c r="R275" s="24"/>
      <c r="S275" s="166"/>
      <c r="U275" s="5"/>
      <c r="V275" s="5"/>
    </row>
    <row r="276" spans="1:22" ht="18.75" x14ac:dyDescent="0.25">
      <c r="A276" s="20"/>
      <c r="B276" s="25"/>
      <c r="C276" s="11"/>
      <c r="D276" s="49"/>
      <c r="E276" s="49"/>
      <c r="F276" s="80"/>
      <c r="G276" s="81"/>
      <c r="H276" s="81"/>
      <c r="I276" s="54"/>
      <c r="J276" s="54"/>
      <c r="K276" s="54"/>
      <c r="L276" s="72"/>
      <c r="M276" s="73"/>
      <c r="N276" s="73"/>
      <c r="O276" s="50"/>
      <c r="P276" s="50"/>
      <c r="Q276" s="50"/>
      <c r="R276" s="24"/>
      <c r="S276" s="166"/>
      <c r="U276" s="5"/>
      <c r="V276" s="5"/>
    </row>
    <row r="277" spans="1:22" ht="18.75" x14ac:dyDescent="0.25">
      <c r="A277" s="20"/>
      <c r="B277" s="25"/>
      <c r="C277" s="11"/>
      <c r="D277" s="49"/>
      <c r="E277" s="49"/>
      <c r="F277" s="80"/>
      <c r="G277" s="81"/>
      <c r="H277" s="81"/>
      <c r="I277" s="54"/>
      <c r="J277" s="54"/>
      <c r="K277" s="54"/>
      <c r="L277" s="72"/>
      <c r="M277" s="73"/>
      <c r="N277" s="73"/>
      <c r="O277" s="50"/>
      <c r="P277" s="50"/>
      <c r="Q277" s="50"/>
      <c r="R277" s="24"/>
      <c r="S277" s="166"/>
      <c r="U277" s="5"/>
      <c r="V277" s="5"/>
    </row>
    <row r="278" spans="1:22" ht="18.75" x14ac:dyDescent="0.25">
      <c r="A278" s="20"/>
      <c r="B278" s="25"/>
      <c r="C278" s="11"/>
      <c r="D278" s="49"/>
      <c r="E278" s="49"/>
      <c r="F278" s="80"/>
      <c r="G278" s="81"/>
      <c r="H278" s="81"/>
      <c r="I278" s="54"/>
      <c r="J278" s="54"/>
      <c r="K278" s="54"/>
      <c r="L278" s="72"/>
      <c r="M278" s="73"/>
      <c r="N278" s="73"/>
      <c r="O278" s="50"/>
      <c r="P278" s="50"/>
      <c r="Q278" s="50"/>
      <c r="R278" s="24"/>
      <c r="S278" s="166"/>
      <c r="U278" s="5"/>
      <c r="V278" s="5"/>
    </row>
    <row r="279" spans="1:22" ht="18.75" x14ac:dyDescent="0.25">
      <c r="A279" s="20"/>
      <c r="B279" s="25"/>
      <c r="C279" s="11"/>
      <c r="D279" s="49"/>
      <c r="E279" s="49"/>
      <c r="F279" s="80"/>
      <c r="G279" s="81"/>
      <c r="H279" s="81"/>
      <c r="I279" s="54"/>
      <c r="J279" s="54"/>
      <c r="K279" s="54"/>
      <c r="L279" s="72"/>
      <c r="M279" s="73"/>
      <c r="N279" s="73"/>
      <c r="O279" s="50"/>
      <c r="P279" s="50"/>
      <c r="Q279" s="50"/>
      <c r="R279" s="24"/>
      <c r="S279" s="166"/>
      <c r="U279" s="5"/>
      <c r="V279" s="5"/>
    </row>
    <row r="280" spans="1:22" ht="18.75" x14ac:dyDescent="0.25">
      <c r="A280" s="20"/>
      <c r="B280" s="25"/>
      <c r="C280" s="11"/>
      <c r="D280" s="49"/>
      <c r="E280" s="49"/>
      <c r="F280" s="80"/>
      <c r="G280" s="81"/>
      <c r="H280" s="81"/>
      <c r="I280" s="54"/>
      <c r="J280" s="54"/>
      <c r="K280" s="54"/>
      <c r="L280" s="72"/>
      <c r="M280" s="73"/>
      <c r="N280" s="73"/>
      <c r="O280" s="50"/>
      <c r="P280" s="50"/>
      <c r="Q280" s="50"/>
      <c r="R280" s="24"/>
      <c r="S280" s="166"/>
      <c r="U280" s="5"/>
      <c r="V280" s="5"/>
    </row>
    <row r="281" spans="1:22" ht="18.75" x14ac:dyDescent="0.25">
      <c r="A281" s="20"/>
      <c r="B281" s="25"/>
      <c r="C281" s="11"/>
      <c r="D281" s="49"/>
      <c r="E281" s="49"/>
      <c r="F281" s="80"/>
      <c r="G281" s="81"/>
      <c r="H281" s="81"/>
      <c r="I281" s="54"/>
      <c r="J281" s="54"/>
      <c r="K281" s="54"/>
      <c r="L281" s="72"/>
      <c r="M281" s="73"/>
      <c r="N281" s="73"/>
      <c r="O281" s="50"/>
      <c r="P281" s="50"/>
      <c r="Q281" s="50"/>
      <c r="R281" s="24"/>
      <c r="S281" s="166"/>
      <c r="U281" s="5"/>
      <c r="V281" s="5"/>
    </row>
    <row r="282" spans="1:22" ht="18.75" x14ac:dyDescent="0.25">
      <c r="A282" s="20"/>
      <c r="B282" s="25"/>
      <c r="C282" s="11"/>
      <c r="D282" s="49"/>
      <c r="E282" s="49"/>
      <c r="F282" s="80"/>
      <c r="G282" s="81"/>
      <c r="H282" s="81"/>
      <c r="I282" s="54"/>
      <c r="J282" s="54"/>
      <c r="K282" s="54"/>
      <c r="L282" s="72"/>
      <c r="M282" s="73"/>
      <c r="N282" s="73"/>
      <c r="O282" s="50"/>
      <c r="P282" s="50"/>
      <c r="Q282" s="50"/>
      <c r="R282" s="24"/>
      <c r="S282" s="166"/>
      <c r="U282" s="5"/>
      <c r="V282" s="5"/>
    </row>
    <row r="283" spans="1:22" ht="18.75" x14ac:dyDescent="0.25">
      <c r="A283" s="20"/>
      <c r="B283" s="25"/>
      <c r="C283" s="11"/>
      <c r="D283" s="49"/>
      <c r="E283" s="49"/>
      <c r="F283" s="80"/>
      <c r="G283" s="81"/>
      <c r="H283" s="81"/>
      <c r="I283" s="54"/>
      <c r="J283" s="54"/>
      <c r="K283" s="54"/>
      <c r="L283" s="72"/>
      <c r="M283" s="73"/>
      <c r="N283" s="73"/>
      <c r="O283" s="50"/>
      <c r="P283" s="50"/>
      <c r="Q283" s="50"/>
      <c r="R283" s="24"/>
      <c r="S283" s="166"/>
      <c r="U283" s="5"/>
      <c r="V283" s="5"/>
    </row>
    <row r="284" spans="1:22" ht="18.75" x14ac:dyDescent="0.25">
      <c r="A284" s="20"/>
      <c r="B284" s="25"/>
      <c r="C284" s="11"/>
      <c r="D284" s="49"/>
      <c r="E284" s="49"/>
      <c r="F284" s="80"/>
      <c r="G284" s="81"/>
      <c r="H284" s="81"/>
      <c r="I284" s="54"/>
      <c r="J284" s="54"/>
      <c r="K284" s="54"/>
      <c r="L284" s="72"/>
      <c r="M284" s="73"/>
      <c r="N284" s="73"/>
      <c r="O284" s="50"/>
      <c r="P284" s="50"/>
      <c r="Q284" s="50"/>
      <c r="R284" s="24"/>
      <c r="S284" s="166"/>
      <c r="U284" s="5"/>
      <c r="V284" s="5"/>
    </row>
    <row r="285" spans="1:22" ht="18.75" x14ac:dyDescent="0.25">
      <c r="A285" s="20"/>
      <c r="B285" s="25"/>
      <c r="C285" s="11"/>
      <c r="D285" s="49"/>
      <c r="E285" s="49"/>
      <c r="F285" s="80"/>
      <c r="G285" s="81"/>
      <c r="H285" s="81"/>
      <c r="I285" s="54"/>
      <c r="J285" s="54"/>
      <c r="K285" s="54"/>
      <c r="L285" s="72"/>
      <c r="M285" s="73"/>
      <c r="N285" s="73"/>
      <c r="O285" s="50"/>
      <c r="P285" s="50"/>
      <c r="Q285" s="50"/>
      <c r="R285" s="24"/>
      <c r="S285" s="166"/>
      <c r="U285" s="5"/>
      <c r="V285" s="5"/>
    </row>
    <row r="286" spans="1:22" ht="18.75" x14ac:dyDescent="0.25">
      <c r="A286" s="20"/>
      <c r="B286" s="25"/>
      <c r="C286" s="11"/>
      <c r="D286" s="49"/>
      <c r="E286" s="49"/>
      <c r="F286" s="80"/>
      <c r="G286" s="81"/>
      <c r="H286" s="81"/>
      <c r="I286" s="54"/>
      <c r="J286" s="54"/>
      <c r="K286" s="54"/>
      <c r="L286" s="72"/>
      <c r="M286" s="73"/>
      <c r="N286" s="73"/>
      <c r="O286" s="50"/>
      <c r="P286" s="50"/>
      <c r="Q286" s="50"/>
      <c r="R286" s="24"/>
      <c r="S286" s="166"/>
      <c r="U286" s="5"/>
      <c r="V286" s="5"/>
    </row>
    <row r="287" spans="1:22" ht="18.75" x14ac:dyDescent="0.25">
      <c r="A287" s="20"/>
      <c r="B287" s="25"/>
      <c r="C287" s="11"/>
      <c r="D287" s="49"/>
      <c r="E287" s="49"/>
      <c r="F287" s="80"/>
      <c r="G287" s="81"/>
      <c r="H287" s="81"/>
      <c r="I287" s="54"/>
      <c r="J287" s="54"/>
      <c r="K287" s="54"/>
      <c r="L287" s="72"/>
      <c r="M287" s="73"/>
      <c r="N287" s="73"/>
      <c r="O287" s="50"/>
      <c r="P287" s="50"/>
      <c r="Q287" s="50"/>
      <c r="R287" s="24"/>
      <c r="S287" s="166"/>
      <c r="U287" s="5"/>
      <c r="V287" s="5"/>
    </row>
    <row r="288" spans="1:22" ht="18.75" x14ac:dyDescent="0.25">
      <c r="A288" s="20"/>
      <c r="B288" s="25"/>
      <c r="C288" s="11"/>
      <c r="D288" s="49"/>
      <c r="E288" s="49"/>
      <c r="F288" s="80"/>
      <c r="G288" s="81"/>
      <c r="H288" s="81"/>
      <c r="I288" s="54"/>
      <c r="J288" s="54"/>
      <c r="K288" s="54"/>
      <c r="L288" s="72"/>
      <c r="M288" s="73"/>
      <c r="N288" s="73"/>
      <c r="O288" s="50"/>
      <c r="P288" s="50"/>
      <c r="Q288" s="50"/>
      <c r="R288" s="24"/>
      <c r="S288" s="166"/>
      <c r="U288" s="5"/>
      <c r="V288" s="5"/>
    </row>
    <row r="289" spans="1:22" ht="18.75" x14ac:dyDescent="0.25">
      <c r="A289" s="20"/>
      <c r="B289" s="25"/>
      <c r="C289" s="11"/>
      <c r="D289" s="49"/>
      <c r="E289" s="49"/>
      <c r="F289" s="80"/>
      <c r="G289" s="81"/>
      <c r="H289" s="81"/>
      <c r="I289" s="54"/>
      <c r="J289" s="54"/>
      <c r="K289" s="54"/>
      <c r="L289" s="72"/>
      <c r="M289" s="73"/>
      <c r="N289" s="73"/>
      <c r="O289" s="50"/>
      <c r="P289" s="50"/>
      <c r="Q289" s="50"/>
      <c r="R289" s="24"/>
      <c r="S289" s="166"/>
      <c r="U289" s="5"/>
      <c r="V289" s="5"/>
    </row>
    <row r="290" spans="1:22" ht="18.75" x14ac:dyDescent="0.25">
      <c r="A290" s="20"/>
      <c r="B290" s="25"/>
      <c r="C290" s="11"/>
      <c r="D290" s="49"/>
      <c r="E290" s="49"/>
      <c r="F290" s="80"/>
      <c r="G290" s="81"/>
      <c r="H290" s="81"/>
      <c r="I290" s="54"/>
      <c r="J290" s="54"/>
      <c r="K290" s="54"/>
      <c r="L290" s="72"/>
      <c r="M290" s="73"/>
      <c r="N290" s="73"/>
      <c r="O290" s="50"/>
      <c r="P290" s="50"/>
      <c r="Q290" s="50"/>
      <c r="R290" s="24"/>
      <c r="S290" s="166"/>
      <c r="U290" s="5"/>
      <c r="V290" s="5"/>
    </row>
    <row r="291" spans="1:22" ht="18.75" x14ac:dyDescent="0.25">
      <c r="A291" s="20"/>
      <c r="B291" s="25"/>
      <c r="C291" s="11"/>
      <c r="D291" s="49"/>
      <c r="E291" s="49"/>
      <c r="F291" s="80"/>
      <c r="G291" s="81"/>
      <c r="H291" s="81"/>
      <c r="I291" s="54"/>
      <c r="J291" s="54"/>
      <c r="K291" s="54"/>
      <c r="L291" s="72"/>
      <c r="M291" s="73"/>
      <c r="N291" s="73"/>
      <c r="O291" s="50"/>
      <c r="P291" s="50"/>
      <c r="Q291" s="50"/>
      <c r="R291" s="24"/>
      <c r="S291" s="166"/>
      <c r="U291" s="5"/>
      <c r="V291" s="5"/>
    </row>
    <row r="292" spans="1:22" ht="18.75" x14ac:dyDescent="0.25">
      <c r="A292" s="20"/>
      <c r="B292" s="25"/>
      <c r="C292" s="11"/>
      <c r="D292" s="49"/>
      <c r="E292" s="49"/>
      <c r="F292" s="80"/>
      <c r="G292" s="81"/>
      <c r="H292" s="81"/>
      <c r="I292" s="54"/>
      <c r="J292" s="54"/>
      <c r="K292" s="54"/>
      <c r="L292" s="72"/>
      <c r="M292" s="73"/>
      <c r="N292" s="73"/>
      <c r="O292" s="50"/>
      <c r="P292" s="50"/>
      <c r="Q292" s="50"/>
      <c r="R292" s="24"/>
      <c r="S292" s="166"/>
      <c r="U292" s="5"/>
      <c r="V292" s="5"/>
    </row>
    <row r="293" spans="1:22" ht="18.75" x14ac:dyDescent="0.25">
      <c r="A293" s="20"/>
      <c r="B293" s="25"/>
      <c r="C293" s="11"/>
      <c r="D293" s="49"/>
      <c r="E293" s="49"/>
      <c r="F293" s="80"/>
      <c r="G293" s="81"/>
      <c r="H293" s="81"/>
      <c r="I293" s="54"/>
      <c r="J293" s="54"/>
      <c r="K293" s="54"/>
      <c r="L293" s="72"/>
      <c r="M293" s="73"/>
      <c r="N293" s="73"/>
      <c r="O293" s="50"/>
      <c r="P293" s="50"/>
      <c r="Q293" s="50"/>
      <c r="R293" s="24"/>
      <c r="S293" s="166"/>
      <c r="U293" s="5"/>
      <c r="V293" s="5"/>
    </row>
    <row r="294" spans="1:22" ht="18.75" x14ac:dyDescent="0.25">
      <c r="A294" s="20"/>
      <c r="B294" s="25"/>
      <c r="C294" s="11"/>
      <c r="D294" s="49"/>
      <c r="E294" s="49"/>
      <c r="F294" s="80"/>
      <c r="G294" s="81"/>
      <c r="H294" s="81"/>
      <c r="I294" s="54"/>
      <c r="J294" s="54"/>
      <c r="K294" s="54"/>
      <c r="L294" s="72"/>
      <c r="M294" s="73"/>
      <c r="N294" s="73"/>
      <c r="O294" s="50"/>
      <c r="P294" s="50"/>
      <c r="Q294" s="50"/>
      <c r="R294" s="24"/>
      <c r="S294" s="166"/>
      <c r="U294" s="5"/>
      <c r="V294" s="5"/>
    </row>
    <row r="295" spans="1:22" ht="18.75" x14ac:dyDescent="0.25">
      <c r="A295" s="20"/>
      <c r="B295" s="25"/>
      <c r="C295" s="11"/>
      <c r="D295" s="49"/>
      <c r="E295" s="49"/>
      <c r="F295" s="80"/>
      <c r="G295" s="81"/>
      <c r="H295" s="81"/>
      <c r="I295" s="54"/>
      <c r="J295" s="54"/>
      <c r="K295" s="54"/>
      <c r="L295" s="72"/>
      <c r="M295" s="73"/>
      <c r="N295" s="73"/>
      <c r="O295" s="50"/>
      <c r="P295" s="50"/>
      <c r="Q295" s="50"/>
      <c r="R295" s="24"/>
      <c r="S295" s="166"/>
      <c r="U295" s="5"/>
      <c r="V295" s="5"/>
    </row>
    <row r="296" spans="1:22" ht="18.75" x14ac:dyDescent="0.25">
      <c r="A296" s="20"/>
      <c r="B296" s="25"/>
      <c r="C296" s="11"/>
      <c r="D296" s="49"/>
      <c r="E296" s="49"/>
      <c r="F296" s="80"/>
      <c r="G296" s="81"/>
      <c r="H296" s="81"/>
      <c r="I296" s="54"/>
      <c r="J296" s="54"/>
      <c r="K296" s="54"/>
      <c r="L296" s="72"/>
      <c r="M296" s="73"/>
      <c r="N296" s="73"/>
      <c r="O296" s="50"/>
      <c r="P296" s="50"/>
      <c r="Q296" s="50"/>
      <c r="R296" s="24"/>
      <c r="S296" s="166"/>
      <c r="U296" s="5"/>
      <c r="V296" s="5"/>
    </row>
    <row r="297" spans="1:22" ht="18.75" x14ac:dyDescent="0.25">
      <c r="A297" s="20"/>
      <c r="B297" s="25"/>
      <c r="C297" s="11"/>
      <c r="D297" s="49"/>
      <c r="E297" s="49"/>
      <c r="F297" s="80"/>
      <c r="G297" s="81"/>
      <c r="H297" s="81"/>
      <c r="I297" s="54"/>
      <c r="J297" s="54"/>
      <c r="K297" s="54"/>
      <c r="L297" s="72"/>
      <c r="M297" s="73"/>
      <c r="N297" s="73"/>
      <c r="O297" s="50"/>
      <c r="P297" s="50"/>
      <c r="Q297" s="50"/>
      <c r="R297" s="24"/>
      <c r="S297" s="166"/>
      <c r="U297" s="5"/>
      <c r="V297" s="5"/>
    </row>
    <row r="298" spans="1:22" ht="18.75" x14ac:dyDescent="0.25">
      <c r="A298" s="20"/>
      <c r="B298" s="25"/>
      <c r="C298" s="11"/>
      <c r="D298" s="49"/>
      <c r="E298" s="49"/>
      <c r="F298" s="80"/>
      <c r="G298" s="81"/>
      <c r="H298" s="81"/>
      <c r="I298" s="54"/>
      <c r="J298" s="54"/>
      <c r="K298" s="54"/>
      <c r="L298" s="72"/>
      <c r="M298" s="73"/>
      <c r="N298" s="73"/>
      <c r="O298" s="50"/>
      <c r="P298" s="50"/>
      <c r="Q298" s="50"/>
      <c r="R298" s="24"/>
      <c r="S298" s="166"/>
      <c r="U298" s="5"/>
      <c r="V298" s="5"/>
    </row>
    <row r="299" spans="1:22" ht="18.75" x14ac:dyDescent="0.25">
      <c r="A299" s="20"/>
      <c r="B299" s="25"/>
      <c r="C299" s="11"/>
      <c r="D299" s="49"/>
      <c r="E299" s="49"/>
      <c r="F299" s="80"/>
      <c r="G299" s="81"/>
      <c r="H299" s="81"/>
      <c r="I299" s="54"/>
      <c r="J299" s="54"/>
      <c r="K299" s="54"/>
      <c r="L299" s="72"/>
      <c r="M299" s="73"/>
      <c r="N299" s="73"/>
      <c r="O299" s="50"/>
      <c r="P299" s="50"/>
      <c r="Q299" s="50"/>
      <c r="R299" s="24"/>
      <c r="S299" s="166"/>
      <c r="U299" s="5"/>
      <c r="V299" s="5"/>
    </row>
    <row r="300" spans="1:22" ht="18.75" x14ac:dyDescent="0.25">
      <c r="A300" s="20"/>
      <c r="B300" s="25"/>
      <c r="C300" s="11"/>
      <c r="D300" s="49"/>
      <c r="E300" s="49"/>
      <c r="F300" s="80"/>
      <c r="G300" s="81"/>
      <c r="H300" s="81"/>
      <c r="I300" s="54"/>
      <c r="J300" s="54"/>
      <c r="K300" s="54"/>
      <c r="L300" s="72"/>
      <c r="M300" s="73"/>
      <c r="N300" s="73"/>
      <c r="O300" s="50"/>
      <c r="P300" s="50"/>
      <c r="Q300" s="50"/>
      <c r="R300" s="24"/>
      <c r="S300" s="166"/>
      <c r="U300" s="5"/>
      <c r="V300" s="5"/>
    </row>
    <row r="301" spans="1:22" ht="18.75" x14ac:dyDescent="0.25">
      <c r="A301" s="20"/>
      <c r="B301" s="25"/>
      <c r="C301" s="11"/>
      <c r="D301" s="49"/>
      <c r="E301" s="49"/>
      <c r="F301" s="80"/>
      <c r="G301" s="81"/>
      <c r="H301" s="81"/>
      <c r="I301" s="54"/>
      <c r="J301" s="54"/>
      <c r="K301" s="54"/>
      <c r="L301" s="72"/>
      <c r="M301" s="73"/>
      <c r="N301" s="73"/>
      <c r="O301" s="50"/>
      <c r="P301" s="50"/>
      <c r="Q301" s="50"/>
      <c r="R301" s="24"/>
      <c r="S301" s="166"/>
      <c r="U301" s="5"/>
      <c r="V301" s="5"/>
    </row>
    <row r="302" spans="1:22" ht="18.75" x14ac:dyDescent="0.25">
      <c r="A302" s="20"/>
      <c r="B302" s="25"/>
      <c r="C302" s="11"/>
      <c r="D302" s="49"/>
      <c r="E302" s="49"/>
      <c r="F302" s="80"/>
      <c r="G302" s="81"/>
      <c r="H302" s="81"/>
      <c r="I302" s="54"/>
      <c r="J302" s="54"/>
      <c r="K302" s="54"/>
      <c r="L302" s="72"/>
      <c r="M302" s="73"/>
      <c r="N302" s="73"/>
      <c r="O302" s="50"/>
      <c r="P302" s="50"/>
      <c r="Q302" s="50"/>
      <c r="R302" s="24"/>
      <c r="S302" s="166"/>
      <c r="U302" s="5"/>
      <c r="V302" s="5"/>
    </row>
    <row r="303" spans="1:22" ht="18.75" x14ac:dyDescent="0.25">
      <c r="A303" s="20"/>
      <c r="B303" s="25"/>
      <c r="C303" s="11"/>
      <c r="D303" s="49"/>
      <c r="E303" s="49"/>
      <c r="F303" s="80"/>
      <c r="G303" s="81"/>
      <c r="H303" s="81"/>
      <c r="I303" s="54"/>
      <c r="J303" s="54"/>
      <c r="K303" s="54"/>
      <c r="L303" s="72"/>
      <c r="M303" s="73"/>
      <c r="N303" s="73"/>
      <c r="O303" s="50"/>
      <c r="P303" s="50"/>
      <c r="Q303" s="50"/>
      <c r="R303" s="24"/>
      <c r="S303" s="166"/>
      <c r="U303" s="5"/>
      <c r="V303" s="5"/>
    </row>
    <row r="304" spans="1:22" ht="18.75" x14ac:dyDescent="0.25">
      <c r="A304" s="20"/>
      <c r="B304" s="25"/>
      <c r="C304" s="11"/>
      <c r="D304" s="49"/>
      <c r="E304" s="49"/>
      <c r="F304" s="80"/>
      <c r="G304" s="81"/>
      <c r="H304" s="81"/>
      <c r="I304" s="54"/>
      <c r="J304" s="54"/>
      <c r="K304" s="54"/>
      <c r="L304" s="72"/>
      <c r="M304" s="73"/>
      <c r="N304" s="73"/>
      <c r="O304" s="50"/>
      <c r="P304" s="50"/>
      <c r="Q304" s="50"/>
      <c r="R304" s="24"/>
      <c r="S304" s="166"/>
      <c r="U304" s="5"/>
      <c r="V304" s="5"/>
    </row>
    <row r="305" spans="1:22" ht="18.75" x14ac:dyDescent="0.25">
      <c r="A305" s="20"/>
      <c r="B305" s="25"/>
      <c r="C305" s="11"/>
      <c r="D305" s="49"/>
      <c r="E305" s="49"/>
      <c r="F305" s="80"/>
      <c r="G305" s="81"/>
      <c r="H305" s="81"/>
      <c r="I305" s="54"/>
      <c r="J305" s="54"/>
      <c r="K305" s="54"/>
      <c r="L305" s="72"/>
      <c r="M305" s="73"/>
      <c r="N305" s="73"/>
      <c r="O305" s="50"/>
      <c r="P305" s="50"/>
      <c r="Q305" s="50"/>
      <c r="R305" s="24"/>
      <c r="S305" s="166"/>
      <c r="U305" s="5"/>
      <c r="V305" s="5"/>
    </row>
    <row r="306" spans="1:22" ht="18.75" x14ac:dyDescent="0.25">
      <c r="A306" s="20"/>
      <c r="B306" s="25"/>
      <c r="C306" s="11"/>
      <c r="D306" s="49"/>
      <c r="E306" s="49"/>
      <c r="F306" s="80"/>
      <c r="G306" s="81"/>
      <c r="H306" s="81"/>
      <c r="I306" s="54"/>
      <c r="J306" s="54"/>
      <c r="K306" s="54"/>
      <c r="L306" s="72"/>
      <c r="M306" s="73"/>
      <c r="N306" s="73"/>
      <c r="O306" s="50"/>
      <c r="P306" s="50"/>
      <c r="Q306" s="50"/>
      <c r="R306" s="24"/>
      <c r="S306" s="166"/>
      <c r="U306" s="5"/>
      <c r="V306" s="5"/>
    </row>
    <row r="307" spans="1:22" ht="18.75" x14ac:dyDescent="0.25">
      <c r="A307" s="20"/>
      <c r="B307" s="25"/>
      <c r="C307" s="11"/>
      <c r="D307" s="49"/>
      <c r="E307" s="49"/>
      <c r="F307" s="80"/>
      <c r="G307" s="81"/>
      <c r="H307" s="81"/>
      <c r="I307" s="54"/>
      <c r="J307" s="54"/>
      <c r="K307" s="54"/>
      <c r="L307" s="72"/>
      <c r="M307" s="73"/>
      <c r="N307" s="73"/>
      <c r="O307" s="50"/>
      <c r="P307" s="50"/>
      <c r="Q307" s="50"/>
      <c r="R307" s="24"/>
      <c r="S307" s="166"/>
      <c r="U307" s="5"/>
      <c r="V307" s="5"/>
    </row>
    <row r="308" spans="1:22" ht="18.75" x14ac:dyDescent="0.25">
      <c r="A308" s="20"/>
      <c r="B308" s="25"/>
      <c r="C308" s="11"/>
      <c r="D308" s="49"/>
      <c r="E308" s="49"/>
      <c r="F308" s="80"/>
      <c r="G308" s="81"/>
      <c r="H308" s="81"/>
      <c r="I308" s="54"/>
      <c r="J308" s="54"/>
      <c r="K308" s="54"/>
      <c r="L308" s="72"/>
      <c r="M308" s="73"/>
      <c r="N308" s="73"/>
      <c r="O308" s="50"/>
      <c r="P308" s="50"/>
      <c r="Q308" s="50"/>
      <c r="R308" s="24"/>
      <c r="S308" s="166"/>
      <c r="U308" s="5"/>
      <c r="V308" s="5"/>
    </row>
    <row r="309" spans="1:22" ht="18.75" x14ac:dyDescent="0.25">
      <c r="A309" s="20"/>
      <c r="B309" s="25"/>
      <c r="C309" s="11"/>
      <c r="D309" s="49"/>
      <c r="E309" s="49"/>
      <c r="F309" s="80"/>
      <c r="G309" s="81"/>
      <c r="H309" s="81"/>
      <c r="I309" s="54"/>
      <c r="J309" s="54"/>
      <c r="K309" s="54"/>
      <c r="L309" s="72"/>
      <c r="M309" s="73"/>
      <c r="N309" s="73"/>
      <c r="O309" s="50"/>
      <c r="P309" s="50"/>
      <c r="Q309" s="50"/>
      <c r="R309" s="24"/>
      <c r="S309" s="166"/>
      <c r="U309" s="5"/>
      <c r="V309" s="5"/>
    </row>
    <row r="310" spans="1:22" ht="18.75" x14ac:dyDescent="0.25">
      <c r="A310" s="20"/>
      <c r="B310" s="25"/>
      <c r="C310" s="11"/>
      <c r="D310" s="49"/>
      <c r="E310" s="49"/>
      <c r="F310" s="80"/>
      <c r="G310" s="81"/>
      <c r="H310" s="81"/>
      <c r="I310" s="54"/>
      <c r="J310" s="54"/>
      <c r="K310" s="54"/>
      <c r="L310" s="72"/>
      <c r="M310" s="73"/>
      <c r="N310" s="73"/>
      <c r="O310" s="50"/>
      <c r="P310" s="50"/>
      <c r="Q310" s="50"/>
      <c r="R310" s="24"/>
      <c r="S310" s="166"/>
      <c r="U310" s="5"/>
      <c r="V310" s="5"/>
    </row>
    <row r="311" spans="1:22" ht="18.75" x14ac:dyDescent="0.25">
      <c r="A311" s="20"/>
      <c r="B311" s="25"/>
      <c r="C311" s="11"/>
      <c r="D311" s="49"/>
      <c r="E311" s="49"/>
      <c r="F311" s="80"/>
      <c r="G311" s="81"/>
      <c r="H311" s="81"/>
      <c r="I311" s="54"/>
      <c r="J311" s="54"/>
      <c r="K311" s="54"/>
      <c r="L311" s="72"/>
      <c r="M311" s="73"/>
      <c r="N311" s="73"/>
      <c r="O311" s="50"/>
      <c r="P311" s="50"/>
      <c r="Q311" s="50"/>
      <c r="R311" s="24"/>
      <c r="S311" s="166"/>
      <c r="U311" s="5"/>
      <c r="V311" s="5"/>
    </row>
    <row r="312" spans="1:22" ht="18.75" x14ac:dyDescent="0.25">
      <c r="A312" s="20"/>
      <c r="B312" s="25"/>
      <c r="C312" s="11"/>
      <c r="D312" s="49"/>
      <c r="E312" s="49"/>
      <c r="F312" s="80"/>
      <c r="G312" s="81"/>
      <c r="H312" s="81"/>
      <c r="I312" s="54"/>
      <c r="J312" s="54"/>
      <c r="K312" s="54"/>
      <c r="L312" s="72"/>
      <c r="M312" s="73"/>
      <c r="N312" s="73"/>
      <c r="O312" s="50"/>
      <c r="P312" s="50"/>
      <c r="Q312" s="50"/>
      <c r="R312" s="24"/>
      <c r="S312" s="166"/>
      <c r="U312" s="5"/>
      <c r="V312" s="5"/>
    </row>
    <row r="313" spans="1:22" ht="18.75" x14ac:dyDescent="0.25">
      <c r="A313" s="20"/>
      <c r="B313" s="25"/>
      <c r="C313" s="11"/>
      <c r="D313" s="49"/>
      <c r="E313" s="49"/>
      <c r="F313" s="80"/>
      <c r="G313" s="81"/>
      <c r="H313" s="81"/>
      <c r="I313" s="54"/>
      <c r="J313" s="54"/>
      <c r="K313" s="54"/>
      <c r="L313" s="72"/>
      <c r="M313" s="73"/>
      <c r="N313" s="73"/>
      <c r="O313" s="50"/>
      <c r="P313" s="50"/>
      <c r="Q313" s="50"/>
      <c r="R313" s="24"/>
      <c r="S313" s="166"/>
      <c r="U313" s="5"/>
      <c r="V313" s="5"/>
    </row>
    <row r="314" spans="1:22" ht="18.75" x14ac:dyDescent="0.25">
      <c r="A314" s="20"/>
      <c r="B314" s="25"/>
      <c r="C314" s="11"/>
      <c r="D314" s="49"/>
      <c r="E314" s="49"/>
      <c r="F314" s="80"/>
      <c r="G314" s="81"/>
      <c r="H314" s="81"/>
      <c r="I314" s="54"/>
      <c r="J314" s="54"/>
      <c r="K314" s="54"/>
      <c r="L314" s="72"/>
      <c r="M314" s="73"/>
      <c r="N314" s="73"/>
      <c r="O314" s="50"/>
      <c r="P314" s="50"/>
      <c r="Q314" s="50"/>
      <c r="R314" s="24"/>
      <c r="S314" s="166"/>
      <c r="U314" s="5"/>
      <c r="V314" s="5"/>
    </row>
    <row r="315" spans="1:22" ht="18.75" x14ac:dyDescent="0.25">
      <c r="A315" s="20"/>
      <c r="B315" s="25"/>
      <c r="C315" s="11"/>
      <c r="D315" s="49"/>
      <c r="E315" s="49"/>
      <c r="F315" s="80"/>
      <c r="G315" s="81"/>
      <c r="H315" s="81"/>
      <c r="I315" s="54"/>
      <c r="J315" s="54"/>
      <c r="K315" s="54"/>
      <c r="L315" s="72"/>
      <c r="M315" s="73"/>
      <c r="N315" s="73"/>
      <c r="O315" s="50"/>
      <c r="P315" s="50"/>
      <c r="Q315" s="50"/>
      <c r="R315" s="24"/>
      <c r="S315" s="166"/>
      <c r="U315" s="5"/>
      <c r="V315" s="5"/>
    </row>
    <row r="316" spans="1:22" ht="18.75" x14ac:dyDescent="0.25">
      <c r="A316" s="20"/>
      <c r="B316" s="25"/>
      <c r="C316" s="11"/>
      <c r="D316" s="49"/>
      <c r="E316" s="49"/>
      <c r="F316" s="80"/>
      <c r="G316" s="81"/>
      <c r="H316" s="81"/>
      <c r="I316" s="54"/>
      <c r="J316" s="54"/>
      <c r="K316" s="54"/>
      <c r="L316" s="72"/>
      <c r="M316" s="73"/>
      <c r="N316" s="73"/>
      <c r="O316" s="50"/>
      <c r="P316" s="50"/>
      <c r="Q316" s="50"/>
      <c r="R316" s="24"/>
      <c r="S316" s="166"/>
      <c r="U316" s="5"/>
      <c r="V316" s="5"/>
    </row>
    <row r="317" spans="1:22" ht="18.75" x14ac:dyDescent="0.25">
      <c r="A317" s="20"/>
      <c r="B317" s="25"/>
      <c r="C317" s="11"/>
      <c r="D317" s="49"/>
      <c r="E317" s="49"/>
      <c r="F317" s="80"/>
      <c r="G317" s="81"/>
      <c r="H317" s="81"/>
      <c r="I317" s="54"/>
      <c r="J317" s="54"/>
      <c r="K317" s="54"/>
      <c r="L317" s="72"/>
      <c r="M317" s="73"/>
      <c r="N317" s="73"/>
      <c r="O317" s="50"/>
      <c r="P317" s="50"/>
      <c r="Q317" s="50"/>
      <c r="R317" s="24"/>
      <c r="S317" s="166"/>
      <c r="U317" s="5"/>
      <c r="V317" s="5"/>
    </row>
    <row r="318" spans="1:22" ht="18.75" x14ac:dyDescent="0.25">
      <c r="A318" s="20"/>
      <c r="B318" s="25"/>
      <c r="C318" s="11"/>
      <c r="D318" s="49"/>
      <c r="E318" s="49"/>
      <c r="F318" s="80"/>
      <c r="G318" s="81"/>
      <c r="H318" s="81"/>
      <c r="I318" s="54"/>
      <c r="J318" s="54"/>
      <c r="K318" s="54"/>
      <c r="L318" s="72"/>
      <c r="M318" s="73"/>
      <c r="N318" s="73"/>
      <c r="O318" s="50"/>
      <c r="P318" s="50"/>
      <c r="Q318" s="50"/>
      <c r="R318" s="24"/>
      <c r="S318" s="166"/>
      <c r="U318" s="5"/>
      <c r="V318" s="5"/>
    </row>
    <row r="319" spans="1:22" ht="18.75" x14ac:dyDescent="0.25">
      <c r="A319" s="20"/>
      <c r="B319" s="25"/>
      <c r="C319" s="11"/>
      <c r="D319" s="49"/>
      <c r="E319" s="49"/>
      <c r="F319" s="80"/>
      <c r="G319" s="81"/>
      <c r="H319" s="81"/>
      <c r="I319" s="54"/>
      <c r="J319" s="54"/>
      <c r="K319" s="54"/>
      <c r="L319" s="72"/>
      <c r="M319" s="73"/>
      <c r="N319" s="73"/>
      <c r="O319" s="50"/>
      <c r="P319" s="50"/>
      <c r="Q319" s="50"/>
      <c r="R319" s="24"/>
      <c r="S319" s="166"/>
      <c r="U319" s="5"/>
      <c r="V319" s="5"/>
    </row>
    <row r="320" spans="1:22" ht="18.75" x14ac:dyDescent="0.25">
      <c r="A320" s="20"/>
      <c r="B320" s="25"/>
      <c r="C320" s="11"/>
      <c r="D320" s="49"/>
      <c r="E320" s="49"/>
      <c r="F320" s="80"/>
      <c r="G320" s="81"/>
      <c r="H320" s="81"/>
      <c r="I320" s="54"/>
      <c r="J320" s="54"/>
      <c r="K320" s="54"/>
      <c r="L320" s="72"/>
      <c r="M320" s="73"/>
      <c r="N320" s="73"/>
      <c r="O320" s="50"/>
      <c r="P320" s="50"/>
      <c r="Q320" s="50"/>
      <c r="R320" s="24"/>
      <c r="S320" s="166"/>
      <c r="U320" s="5"/>
      <c r="V320" s="5"/>
    </row>
    <row r="321" spans="1:22" ht="18.75" x14ac:dyDescent="0.25">
      <c r="A321" s="20"/>
      <c r="B321" s="25"/>
      <c r="C321" s="11"/>
      <c r="D321" s="49"/>
      <c r="E321" s="49"/>
      <c r="F321" s="80"/>
      <c r="G321" s="81"/>
      <c r="H321" s="81"/>
      <c r="I321" s="54"/>
      <c r="J321" s="54"/>
      <c r="K321" s="54"/>
      <c r="L321" s="72"/>
      <c r="M321" s="73"/>
      <c r="N321" s="73"/>
      <c r="O321" s="50"/>
      <c r="P321" s="50"/>
      <c r="Q321" s="50"/>
      <c r="R321" s="24"/>
      <c r="S321" s="166"/>
      <c r="U321" s="5"/>
      <c r="V321" s="5"/>
    </row>
    <row r="322" spans="1:22" ht="18.75" x14ac:dyDescent="0.25">
      <c r="A322" s="20"/>
      <c r="B322" s="25"/>
      <c r="C322" s="11"/>
      <c r="D322" s="49"/>
      <c r="E322" s="49"/>
      <c r="F322" s="80"/>
      <c r="G322" s="81"/>
      <c r="H322" s="81"/>
      <c r="I322" s="54"/>
      <c r="J322" s="54"/>
      <c r="K322" s="54"/>
      <c r="L322" s="72"/>
      <c r="M322" s="73"/>
      <c r="N322" s="73"/>
      <c r="O322" s="50"/>
      <c r="P322" s="50"/>
      <c r="Q322" s="50"/>
      <c r="R322" s="24"/>
      <c r="S322" s="166"/>
      <c r="U322" s="5"/>
      <c r="V322" s="5"/>
    </row>
    <row r="323" spans="1:22" ht="18.75" x14ac:dyDescent="0.25">
      <c r="A323" s="20"/>
      <c r="B323" s="25"/>
      <c r="C323" s="11"/>
      <c r="D323" s="49"/>
      <c r="E323" s="49"/>
      <c r="F323" s="80"/>
      <c r="G323" s="81"/>
      <c r="H323" s="81"/>
      <c r="I323" s="54"/>
      <c r="J323" s="54"/>
      <c r="K323" s="54"/>
      <c r="L323" s="72"/>
      <c r="M323" s="73"/>
      <c r="N323" s="73"/>
      <c r="O323" s="50"/>
      <c r="P323" s="50"/>
      <c r="Q323" s="50"/>
      <c r="R323" s="24"/>
      <c r="S323" s="166"/>
      <c r="U323" s="5"/>
      <c r="V323" s="5"/>
    </row>
    <row r="324" spans="1:22" ht="18.75" x14ac:dyDescent="0.25">
      <c r="A324" s="20"/>
      <c r="B324" s="25"/>
      <c r="C324" s="11"/>
      <c r="D324" s="49"/>
      <c r="E324" s="49"/>
      <c r="F324" s="80"/>
      <c r="G324" s="81"/>
      <c r="H324" s="81"/>
      <c r="I324" s="54"/>
      <c r="J324" s="54"/>
      <c r="K324" s="54"/>
      <c r="L324" s="72"/>
      <c r="M324" s="73"/>
      <c r="N324" s="73"/>
      <c r="O324" s="50"/>
      <c r="P324" s="50"/>
      <c r="Q324" s="50"/>
      <c r="R324" s="24"/>
      <c r="S324" s="166"/>
      <c r="U324" s="5"/>
      <c r="V324" s="5"/>
    </row>
    <row r="325" spans="1:22" ht="18.75" x14ac:dyDescent="0.25">
      <c r="A325" s="20"/>
      <c r="B325" s="25"/>
      <c r="C325" s="11"/>
      <c r="D325" s="49"/>
      <c r="E325" s="49"/>
      <c r="F325" s="80"/>
      <c r="G325" s="81"/>
      <c r="H325" s="81"/>
      <c r="I325" s="54"/>
      <c r="J325" s="54"/>
      <c r="K325" s="54"/>
      <c r="L325" s="72"/>
      <c r="M325" s="73"/>
      <c r="N325" s="73"/>
      <c r="O325" s="50"/>
      <c r="P325" s="50"/>
      <c r="Q325" s="50"/>
      <c r="R325" s="24"/>
      <c r="S325" s="166"/>
      <c r="U325" s="5"/>
      <c r="V325" s="5"/>
    </row>
    <row r="326" spans="1:22" ht="18.75" x14ac:dyDescent="0.25">
      <c r="A326" s="20"/>
      <c r="B326" s="25"/>
      <c r="C326" s="11"/>
      <c r="D326" s="49"/>
      <c r="E326" s="49"/>
      <c r="F326" s="80"/>
      <c r="G326" s="81"/>
      <c r="H326" s="81"/>
      <c r="I326" s="54"/>
      <c r="J326" s="54"/>
      <c r="K326" s="54"/>
      <c r="L326" s="72"/>
      <c r="M326" s="73"/>
      <c r="N326" s="73"/>
      <c r="O326" s="50"/>
      <c r="P326" s="50"/>
      <c r="Q326" s="50"/>
      <c r="R326" s="24"/>
      <c r="S326" s="166"/>
      <c r="U326" s="5"/>
      <c r="V326" s="5"/>
    </row>
    <row r="327" spans="1:22" ht="18.75" x14ac:dyDescent="0.25">
      <c r="A327" s="20"/>
      <c r="B327" s="25"/>
      <c r="C327" s="11"/>
      <c r="D327" s="49"/>
      <c r="E327" s="49"/>
      <c r="F327" s="80"/>
      <c r="G327" s="81"/>
      <c r="H327" s="81"/>
      <c r="I327" s="54"/>
      <c r="J327" s="54"/>
      <c r="K327" s="54"/>
      <c r="L327" s="72"/>
      <c r="M327" s="73"/>
      <c r="N327" s="73"/>
      <c r="O327" s="50"/>
      <c r="P327" s="50"/>
      <c r="Q327" s="50"/>
      <c r="R327" s="24"/>
      <c r="S327" s="166"/>
      <c r="U327" s="5"/>
      <c r="V327" s="5"/>
    </row>
    <row r="328" spans="1:22" ht="18.75" x14ac:dyDescent="0.25">
      <c r="A328" s="20"/>
      <c r="B328" s="25"/>
      <c r="C328" s="11"/>
      <c r="D328" s="49"/>
      <c r="E328" s="49"/>
      <c r="F328" s="80"/>
      <c r="G328" s="81"/>
      <c r="H328" s="81"/>
      <c r="I328" s="54"/>
      <c r="J328" s="54"/>
      <c r="K328" s="54"/>
      <c r="L328" s="72"/>
      <c r="M328" s="73"/>
      <c r="N328" s="73"/>
      <c r="O328" s="50"/>
      <c r="P328" s="50"/>
      <c r="Q328" s="50"/>
      <c r="R328" s="24"/>
      <c r="S328" s="166"/>
      <c r="U328" s="5"/>
      <c r="V328" s="5"/>
    </row>
    <row r="329" spans="1:22" ht="18.75" x14ac:dyDescent="0.25">
      <c r="A329" s="20"/>
      <c r="B329" s="25"/>
      <c r="C329" s="11"/>
      <c r="D329" s="49"/>
      <c r="E329" s="49"/>
      <c r="F329" s="80"/>
      <c r="G329" s="81"/>
      <c r="H329" s="81"/>
      <c r="I329" s="54"/>
      <c r="J329" s="54"/>
      <c r="K329" s="54"/>
      <c r="L329" s="72"/>
      <c r="M329" s="73"/>
      <c r="N329" s="73"/>
      <c r="O329" s="50"/>
      <c r="P329" s="50"/>
      <c r="Q329" s="50"/>
      <c r="R329" s="24"/>
      <c r="S329" s="166"/>
      <c r="U329" s="5"/>
      <c r="V329" s="5"/>
    </row>
    <row r="330" spans="1:22" ht="18.75" x14ac:dyDescent="0.25">
      <c r="A330" s="20"/>
      <c r="B330" s="25"/>
      <c r="C330" s="11"/>
      <c r="D330" s="49"/>
      <c r="E330" s="49"/>
      <c r="F330" s="80"/>
      <c r="G330" s="81"/>
      <c r="H330" s="81"/>
      <c r="I330" s="54"/>
      <c r="J330" s="54"/>
      <c r="K330" s="54"/>
      <c r="L330" s="72"/>
      <c r="M330" s="73"/>
      <c r="N330" s="73"/>
      <c r="O330" s="50"/>
      <c r="P330" s="50"/>
      <c r="Q330" s="50"/>
      <c r="R330" s="24"/>
      <c r="S330" s="166"/>
      <c r="U330" s="5"/>
      <c r="V330" s="5"/>
    </row>
    <row r="331" spans="1:22" ht="18.75" x14ac:dyDescent="0.25">
      <c r="A331" s="20"/>
      <c r="B331" s="25"/>
      <c r="C331" s="11"/>
      <c r="D331" s="49"/>
      <c r="E331" s="49"/>
      <c r="F331" s="80"/>
      <c r="G331" s="81"/>
      <c r="H331" s="81"/>
      <c r="I331" s="54"/>
      <c r="J331" s="54"/>
      <c r="K331" s="54"/>
      <c r="L331" s="72"/>
      <c r="M331" s="73"/>
      <c r="N331" s="73"/>
      <c r="O331" s="50"/>
      <c r="P331" s="50"/>
      <c r="Q331" s="50"/>
      <c r="R331" s="24"/>
      <c r="S331" s="166"/>
      <c r="U331" s="5"/>
      <c r="V331" s="5"/>
    </row>
    <row r="332" spans="1:22" ht="18.75" x14ac:dyDescent="0.25">
      <c r="A332" s="20"/>
      <c r="B332" s="25"/>
      <c r="C332" s="11"/>
      <c r="D332" s="49"/>
      <c r="E332" s="49"/>
      <c r="F332" s="80"/>
      <c r="G332" s="81"/>
      <c r="H332" s="81"/>
      <c r="I332" s="54"/>
      <c r="J332" s="54"/>
      <c r="K332" s="54"/>
      <c r="L332" s="72"/>
      <c r="M332" s="73"/>
      <c r="N332" s="73"/>
      <c r="O332" s="50"/>
      <c r="P332" s="50"/>
      <c r="Q332" s="50"/>
      <c r="R332" s="24"/>
      <c r="S332" s="166"/>
      <c r="U332" s="5"/>
      <c r="V332" s="5"/>
    </row>
    <row r="333" spans="1:22" ht="18.75" x14ac:dyDescent="0.25">
      <c r="A333" s="20"/>
      <c r="B333" s="25"/>
      <c r="C333" s="11"/>
      <c r="D333" s="49"/>
      <c r="E333" s="49"/>
      <c r="F333" s="80"/>
      <c r="G333" s="81"/>
      <c r="H333" s="81"/>
      <c r="I333" s="54"/>
      <c r="J333" s="54"/>
      <c r="K333" s="54"/>
      <c r="L333" s="72"/>
      <c r="M333" s="73"/>
      <c r="N333" s="73"/>
      <c r="O333" s="50"/>
      <c r="P333" s="50"/>
      <c r="Q333" s="50"/>
      <c r="R333" s="24"/>
      <c r="S333" s="166"/>
      <c r="U333" s="5"/>
      <c r="V333" s="5"/>
    </row>
    <row r="334" spans="1:22" ht="18.75" x14ac:dyDescent="0.25">
      <c r="A334" s="20"/>
      <c r="B334" s="25"/>
      <c r="C334" s="11"/>
      <c r="D334" s="49"/>
      <c r="E334" s="49"/>
      <c r="F334" s="80"/>
      <c r="G334" s="81"/>
      <c r="H334" s="81"/>
      <c r="I334" s="54"/>
      <c r="J334" s="54"/>
      <c r="K334" s="54"/>
      <c r="L334" s="72"/>
      <c r="M334" s="73"/>
      <c r="N334" s="73"/>
      <c r="O334" s="50"/>
      <c r="P334" s="50"/>
      <c r="Q334" s="50"/>
      <c r="R334" s="24"/>
      <c r="S334" s="166"/>
      <c r="U334" s="5"/>
      <c r="V334" s="5"/>
    </row>
    <row r="335" spans="1:22" ht="18.75" x14ac:dyDescent="0.25">
      <c r="A335" s="20"/>
      <c r="B335" s="25"/>
      <c r="C335" s="11"/>
      <c r="D335" s="49"/>
      <c r="E335" s="49"/>
      <c r="F335" s="80"/>
      <c r="G335" s="81"/>
      <c r="H335" s="81"/>
      <c r="I335" s="54"/>
      <c r="J335" s="54"/>
      <c r="K335" s="54"/>
      <c r="L335" s="72"/>
      <c r="M335" s="73"/>
      <c r="N335" s="73"/>
      <c r="O335" s="50"/>
      <c r="P335" s="50"/>
      <c r="Q335" s="50"/>
      <c r="R335" s="24"/>
      <c r="S335" s="166"/>
      <c r="U335" s="5"/>
      <c r="V335" s="5"/>
    </row>
    <row r="336" spans="1:22" ht="18.75" x14ac:dyDescent="0.25">
      <c r="A336" s="20"/>
      <c r="B336" s="25"/>
      <c r="C336" s="11"/>
      <c r="D336" s="49"/>
      <c r="E336" s="49"/>
      <c r="F336" s="80"/>
      <c r="G336" s="81"/>
      <c r="H336" s="81"/>
      <c r="I336" s="54"/>
      <c r="J336" s="54"/>
      <c r="K336" s="54"/>
      <c r="L336" s="72"/>
      <c r="M336" s="73"/>
      <c r="N336" s="73"/>
      <c r="O336" s="50"/>
      <c r="P336" s="50"/>
      <c r="Q336" s="50"/>
      <c r="R336" s="24"/>
      <c r="S336" s="166"/>
      <c r="U336" s="5"/>
      <c r="V336" s="5"/>
    </row>
    <row r="337" spans="1:22" ht="18.75" x14ac:dyDescent="0.25">
      <c r="A337" s="20"/>
      <c r="B337" s="25"/>
      <c r="C337" s="11"/>
      <c r="D337" s="49"/>
      <c r="E337" s="49"/>
      <c r="F337" s="80"/>
      <c r="G337" s="81"/>
      <c r="H337" s="81"/>
      <c r="I337" s="54"/>
      <c r="J337" s="54"/>
      <c r="K337" s="54"/>
      <c r="L337" s="72"/>
      <c r="M337" s="73"/>
      <c r="N337" s="73"/>
      <c r="O337" s="50"/>
      <c r="P337" s="50"/>
      <c r="Q337" s="50"/>
      <c r="R337" s="24"/>
      <c r="S337" s="166"/>
      <c r="U337" s="5"/>
      <c r="V337" s="5"/>
    </row>
    <row r="338" spans="1:22" ht="18.75" x14ac:dyDescent="0.25">
      <c r="A338" s="20"/>
      <c r="B338" s="25"/>
      <c r="C338" s="11"/>
      <c r="D338" s="49"/>
      <c r="E338" s="49"/>
      <c r="F338" s="80"/>
      <c r="G338" s="81"/>
      <c r="H338" s="81"/>
      <c r="I338" s="54"/>
      <c r="J338" s="54"/>
      <c r="K338" s="54"/>
      <c r="L338" s="72"/>
      <c r="M338" s="73"/>
      <c r="N338" s="73"/>
      <c r="O338" s="50"/>
      <c r="P338" s="50"/>
      <c r="Q338" s="50"/>
      <c r="R338" s="24"/>
      <c r="S338" s="166"/>
      <c r="U338" s="5"/>
      <c r="V338" s="5"/>
    </row>
    <row r="339" spans="1:22" ht="18.75" x14ac:dyDescent="0.25">
      <c r="A339" s="20"/>
      <c r="B339" s="25"/>
      <c r="C339" s="11"/>
      <c r="D339" s="49"/>
      <c r="E339" s="49"/>
      <c r="F339" s="80"/>
      <c r="G339" s="81"/>
      <c r="H339" s="81"/>
      <c r="I339" s="54"/>
      <c r="J339" s="54"/>
      <c r="K339" s="54"/>
      <c r="L339" s="72"/>
      <c r="M339" s="73"/>
      <c r="N339" s="73"/>
      <c r="O339" s="50"/>
      <c r="P339" s="50"/>
      <c r="Q339" s="50"/>
      <c r="R339" s="24"/>
      <c r="S339" s="166"/>
      <c r="U339" s="5"/>
      <c r="V339" s="5"/>
    </row>
    <row r="340" spans="1:22" ht="18.75" x14ac:dyDescent="0.25">
      <c r="A340" s="20"/>
      <c r="B340" s="25"/>
      <c r="C340" s="11"/>
      <c r="D340" s="49"/>
      <c r="E340" s="49"/>
      <c r="F340" s="80"/>
      <c r="G340" s="81"/>
      <c r="H340" s="81"/>
      <c r="I340" s="54"/>
      <c r="J340" s="54"/>
      <c r="K340" s="54"/>
      <c r="L340" s="72"/>
      <c r="M340" s="73"/>
      <c r="N340" s="73"/>
      <c r="O340" s="50"/>
      <c r="P340" s="50"/>
      <c r="Q340" s="50"/>
      <c r="R340" s="24"/>
      <c r="S340" s="166"/>
      <c r="U340" s="5"/>
      <c r="V340" s="5"/>
    </row>
    <row r="341" spans="1:22" ht="18.75" x14ac:dyDescent="0.25">
      <c r="A341" s="20"/>
      <c r="B341" s="25"/>
      <c r="C341" s="11"/>
      <c r="D341" s="49"/>
      <c r="E341" s="49"/>
      <c r="F341" s="80"/>
      <c r="G341" s="81"/>
      <c r="H341" s="81"/>
      <c r="I341" s="54"/>
      <c r="J341" s="54"/>
      <c r="K341" s="54"/>
      <c r="L341" s="72"/>
      <c r="M341" s="73"/>
      <c r="N341" s="73"/>
      <c r="O341" s="50"/>
      <c r="P341" s="50"/>
      <c r="Q341" s="50"/>
      <c r="R341" s="24"/>
      <c r="S341" s="166"/>
      <c r="U341" s="5"/>
      <c r="V341" s="5"/>
    </row>
    <row r="342" spans="1:22" ht="18.75" x14ac:dyDescent="0.25">
      <c r="A342" s="20"/>
      <c r="B342" s="25"/>
      <c r="C342" s="11"/>
      <c r="D342" s="49"/>
      <c r="E342" s="49"/>
      <c r="F342" s="80"/>
      <c r="G342" s="81"/>
      <c r="H342" s="81"/>
      <c r="I342" s="54"/>
      <c r="J342" s="54"/>
      <c r="K342" s="54"/>
      <c r="L342" s="72"/>
      <c r="M342" s="73"/>
      <c r="N342" s="73"/>
      <c r="O342" s="50"/>
      <c r="P342" s="50"/>
      <c r="Q342" s="50"/>
      <c r="R342" s="24"/>
      <c r="S342" s="166"/>
      <c r="U342" s="5"/>
      <c r="V342" s="5"/>
    </row>
    <row r="343" spans="1:22" ht="18.75" x14ac:dyDescent="0.25">
      <c r="A343" s="20"/>
      <c r="B343" s="25"/>
      <c r="C343" s="11"/>
      <c r="D343" s="49"/>
      <c r="E343" s="49"/>
      <c r="F343" s="80"/>
      <c r="G343" s="81"/>
      <c r="H343" s="81"/>
      <c r="I343" s="54"/>
      <c r="J343" s="54"/>
      <c r="K343" s="54"/>
      <c r="L343" s="72"/>
      <c r="M343" s="73"/>
      <c r="N343" s="73"/>
      <c r="O343" s="50"/>
      <c r="P343" s="50"/>
      <c r="Q343" s="50"/>
      <c r="R343" s="24"/>
      <c r="S343" s="166"/>
      <c r="U343" s="5"/>
      <c r="V343" s="5"/>
    </row>
    <row r="344" spans="1:22" ht="18.75" x14ac:dyDescent="0.25">
      <c r="A344" s="20"/>
      <c r="B344" s="25"/>
      <c r="C344" s="11"/>
      <c r="D344" s="49"/>
      <c r="E344" s="49"/>
      <c r="F344" s="80"/>
      <c r="G344" s="81"/>
      <c r="H344" s="81"/>
      <c r="I344" s="54"/>
      <c r="J344" s="54"/>
      <c r="K344" s="54"/>
      <c r="L344" s="72"/>
      <c r="M344" s="73"/>
      <c r="N344" s="73"/>
      <c r="O344" s="50"/>
      <c r="P344" s="50"/>
      <c r="Q344" s="50"/>
      <c r="R344" s="24"/>
      <c r="S344" s="166"/>
      <c r="U344" s="5"/>
      <c r="V344" s="5"/>
    </row>
    <row r="345" spans="1:22" ht="18.75" x14ac:dyDescent="0.25">
      <c r="A345" s="20"/>
      <c r="B345" s="25"/>
      <c r="C345" s="11"/>
      <c r="D345" s="49"/>
      <c r="E345" s="49"/>
      <c r="F345" s="80"/>
      <c r="G345" s="81"/>
      <c r="H345" s="81"/>
      <c r="I345" s="54"/>
      <c r="J345" s="54"/>
      <c r="K345" s="54"/>
      <c r="L345" s="72"/>
      <c r="M345" s="73"/>
      <c r="N345" s="73"/>
      <c r="O345" s="50"/>
      <c r="P345" s="50"/>
      <c r="Q345" s="50"/>
      <c r="R345" s="24"/>
      <c r="S345" s="166"/>
      <c r="U345" s="5"/>
      <c r="V345" s="5"/>
    </row>
    <row r="346" spans="1:22" ht="18.75" x14ac:dyDescent="0.25">
      <c r="A346" s="20"/>
      <c r="B346" s="25"/>
      <c r="C346" s="11"/>
      <c r="D346" s="49"/>
      <c r="E346" s="49"/>
      <c r="F346" s="80"/>
      <c r="G346" s="81"/>
      <c r="H346" s="81"/>
      <c r="I346" s="54"/>
      <c r="J346" s="54"/>
      <c r="K346" s="54"/>
      <c r="L346" s="72"/>
      <c r="M346" s="73"/>
      <c r="N346" s="73"/>
      <c r="O346" s="50"/>
      <c r="P346" s="50"/>
      <c r="Q346" s="50"/>
      <c r="R346" s="24"/>
      <c r="S346" s="166"/>
      <c r="U346" s="5"/>
      <c r="V346" s="5"/>
    </row>
    <row r="347" spans="1:22" ht="18.75" x14ac:dyDescent="0.25">
      <c r="A347" s="20"/>
      <c r="B347" s="25"/>
      <c r="C347" s="11"/>
      <c r="D347" s="49"/>
      <c r="E347" s="49"/>
      <c r="F347" s="80"/>
      <c r="G347" s="81"/>
      <c r="H347" s="81"/>
      <c r="I347" s="54"/>
      <c r="J347" s="54"/>
      <c r="K347" s="54"/>
      <c r="L347" s="72"/>
      <c r="M347" s="73"/>
      <c r="N347" s="73"/>
      <c r="O347" s="50"/>
      <c r="P347" s="50"/>
      <c r="Q347" s="50"/>
      <c r="R347" s="24"/>
      <c r="S347" s="166"/>
      <c r="U347" s="5"/>
      <c r="V347" s="5"/>
    </row>
    <row r="348" spans="1:22" ht="18.75" x14ac:dyDescent="0.25">
      <c r="A348" s="20"/>
      <c r="B348" s="25"/>
      <c r="C348" s="11"/>
      <c r="D348" s="49"/>
      <c r="E348" s="49"/>
      <c r="F348" s="80"/>
      <c r="G348" s="81"/>
      <c r="H348" s="81"/>
      <c r="I348" s="54"/>
      <c r="J348" s="54"/>
      <c r="K348" s="54"/>
      <c r="L348" s="72"/>
      <c r="M348" s="73"/>
      <c r="N348" s="73"/>
      <c r="O348" s="50"/>
      <c r="P348" s="50"/>
      <c r="Q348" s="50"/>
      <c r="R348" s="24"/>
      <c r="S348" s="166"/>
      <c r="U348" s="5"/>
      <c r="V348" s="5"/>
    </row>
    <row r="349" spans="1:22" ht="18.75" x14ac:dyDescent="0.25">
      <c r="A349" s="20"/>
      <c r="B349" s="25"/>
      <c r="C349" s="11"/>
      <c r="D349" s="49"/>
      <c r="E349" s="49"/>
      <c r="F349" s="80"/>
      <c r="G349" s="81"/>
      <c r="H349" s="81"/>
      <c r="I349" s="54"/>
      <c r="J349" s="54"/>
      <c r="K349" s="54"/>
      <c r="L349" s="72"/>
      <c r="M349" s="73"/>
      <c r="N349" s="73"/>
      <c r="O349" s="50"/>
      <c r="P349" s="50"/>
      <c r="Q349" s="50"/>
      <c r="R349" s="24"/>
      <c r="S349" s="166"/>
      <c r="U349" s="5"/>
      <c r="V349" s="5"/>
    </row>
    <row r="350" spans="1:22" ht="18.75" x14ac:dyDescent="0.25">
      <c r="A350" s="20"/>
      <c r="B350" s="25"/>
      <c r="C350" s="11"/>
      <c r="D350" s="49"/>
      <c r="E350" s="49"/>
      <c r="F350" s="80"/>
      <c r="G350" s="81"/>
      <c r="H350" s="81"/>
      <c r="I350" s="54"/>
      <c r="J350" s="54"/>
      <c r="K350" s="54"/>
      <c r="L350" s="72"/>
      <c r="M350" s="73"/>
      <c r="N350" s="73"/>
      <c r="O350" s="50"/>
      <c r="P350" s="50"/>
      <c r="Q350" s="50"/>
      <c r="R350" s="24"/>
      <c r="S350" s="166"/>
      <c r="U350" s="5"/>
      <c r="V350" s="5"/>
    </row>
    <row r="351" spans="1:22" ht="18.75" x14ac:dyDescent="0.25">
      <c r="A351" s="20"/>
      <c r="B351" s="25"/>
      <c r="C351" s="11"/>
      <c r="D351" s="49"/>
      <c r="E351" s="49"/>
      <c r="F351" s="80"/>
      <c r="G351" s="81"/>
      <c r="H351" s="81"/>
      <c r="I351" s="54"/>
      <c r="J351" s="54"/>
      <c r="K351" s="54"/>
      <c r="L351" s="72"/>
      <c r="M351" s="73"/>
      <c r="N351" s="73"/>
      <c r="O351" s="50"/>
      <c r="P351" s="50"/>
      <c r="Q351" s="50"/>
      <c r="R351" s="24"/>
      <c r="S351" s="166"/>
      <c r="U351" s="5"/>
      <c r="V351" s="5"/>
    </row>
    <row r="352" spans="1:22" ht="18.75" x14ac:dyDescent="0.25">
      <c r="A352" s="20"/>
      <c r="B352" s="25"/>
      <c r="C352" s="11"/>
      <c r="D352" s="49"/>
      <c r="E352" s="49"/>
      <c r="F352" s="80"/>
      <c r="G352" s="81"/>
      <c r="H352" s="81"/>
      <c r="I352" s="54"/>
      <c r="J352" s="54"/>
      <c r="K352" s="54"/>
      <c r="L352" s="72"/>
      <c r="M352" s="73"/>
      <c r="N352" s="73"/>
      <c r="O352" s="50"/>
      <c r="P352" s="50"/>
      <c r="Q352" s="50"/>
      <c r="R352" s="24"/>
      <c r="S352" s="166"/>
      <c r="U352" s="5"/>
      <c r="V352" s="5"/>
    </row>
    <row r="353" spans="1:22" ht="18.75" x14ac:dyDescent="0.25">
      <c r="A353" s="20"/>
      <c r="B353" s="25"/>
      <c r="C353" s="11"/>
      <c r="D353" s="49"/>
      <c r="E353" s="49"/>
      <c r="F353" s="80"/>
      <c r="G353" s="81"/>
      <c r="H353" s="81"/>
      <c r="I353" s="54"/>
      <c r="J353" s="54"/>
      <c r="K353" s="54"/>
      <c r="L353" s="72"/>
      <c r="M353" s="73"/>
      <c r="N353" s="73"/>
      <c r="O353" s="50"/>
      <c r="P353" s="50"/>
      <c r="Q353" s="50"/>
      <c r="R353" s="24"/>
      <c r="S353" s="166"/>
      <c r="U353" s="5"/>
      <c r="V353" s="5"/>
    </row>
    <row r="354" spans="1:22" ht="18.75" x14ac:dyDescent="0.25">
      <c r="A354" s="20"/>
      <c r="B354" s="25"/>
      <c r="C354" s="11"/>
      <c r="D354" s="49"/>
      <c r="E354" s="49"/>
      <c r="F354" s="80"/>
      <c r="G354" s="81"/>
      <c r="H354" s="81"/>
      <c r="I354" s="54"/>
      <c r="J354" s="54"/>
      <c r="K354" s="54"/>
      <c r="L354" s="72"/>
      <c r="M354" s="73"/>
      <c r="N354" s="73"/>
      <c r="O354" s="50"/>
      <c r="P354" s="50"/>
      <c r="Q354" s="50"/>
      <c r="R354" s="24"/>
      <c r="S354" s="166"/>
      <c r="U354" s="5"/>
      <c r="V354" s="5"/>
    </row>
    <row r="355" spans="1:22" ht="18.75" x14ac:dyDescent="0.25">
      <c r="A355" s="20"/>
      <c r="B355" s="25"/>
      <c r="C355" s="11"/>
      <c r="D355" s="49"/>
      <c r="E355" s="49"/>
      <c r="F355" s="80"/>
      <c r="G355" s="81"/>
      <c r="H355" s="81"/>
      <c r="I355" s="54"/>
      <c r="J355" s="54"/>
      <c r="K355" s="54"/>
      <c r="L355" s="72"/>
      <c r="M355" s="73"/>
      <c r="N355" s="73"/>
      <c r="O355" s="50"/>
      <c r="P355" s="50"/>
      <c r="Q355" s="50"/>
      <c r="R355" s="24"/>
      <c r="S355" s="166"/>
      <c r="U355" s="5"/>
      <c r="V355" s="5"/>
    </row>
    <row r="356" spans="1:22" ht="18.75" x14ac:dyDescent="0.25">
      <c r="A356" s="20"/>
      <c r="B356" s="25"/>
      <c r="C356" s="11"/>
      <c r="D356" s="49"/>
      <c r="E356" s="49"/>
      <c r="F356" s="80"/>
      <c r="G356" s="81"/>
      <c r="H356" s="81"/>
      <c r="I356" s="54"/>
      <c r="J356" s="54"/>
      <c r="K356" s="54"/>
      <c r="L356" s="72"/>
      <c r="M356" s="73"/>
      <c r="N356" s="73"/>
      <c r="O356" s="50"/>
      <c r="P356" s="50"/>
      <c r="Q356" s="50"/>
      <c r="R356" s="24"/>
      <c r="S356" s="166"/>
      <c r="U356" s="5"/>
      <c r="V356" s="5"/>
    </row>
    <row r="357" spans="1:22" ht="18.75" x14ac:dyDescent="0.25">
      <c r="A357" s="20"/>
      <c r="B357" s="25"/>
      <c r="C357" s="11"/>
      <c r="D357" s="49"/>
      <c r="E357" s="49"/>
      <c r="F357" s="80"/>
      <c r="G357" s="81"/>
      <c r="H357" s="81"/>
      <c r="I357" s="54"/>
      <c r="J357" s="54"/>
      <c r="K357" s="54"/>
      <c r="L357" s="72"/>
      <c r="M357" s="73"/>
      <c r="N357" s="73"/>
      <c r="O357" s="50"/>
      <c r="P357" s="50"/>
      <c r="Q357" s="50"/>
      <c r="R357" s="24"/>
      <c r="S357" s="166"/>
      <c r="U357" s="5"/>
      <c r="V357" s="5"/>
    </row>
    <row r="358" spans="1:22" ht="18.75" x14ac:dyDescent="0.25">
      <c r="A358" s="20"/>
      <c r="B358" s="25"/>
      <c r="C358" s="11"/>
      <c r="D358" s="49"/>
      <c r="E358" s="49"/>
      <c r="F358" s="80"/>
      <c r="G358" s="81"/>
      <c r="H358" s="81"/>
      <c r="I358" s="54"/>
      <c r="J358" s="54"/>
      <c r="K358" s="54"/>
      <c r="L358" s="72"/>
      <c r="M358" s="73"/>
      <c r="N358" s="73"/>
      <c r="O358" s="50"/>
      <c r="P358" s="50"/>
      <c r="Q358" s="50"/>
      <c r="R358" s="24"/>
      <c r="S358" s="166"/>
      <c r="U358" s="5"/>
      <c r="V358" s="5"/>
    </row>
    <row r="359" spans="1:22" ht="18.75" x14ac:dyDescent="0.25">
      <c r="A359" s="20"/>
      <c r="B359" s="25"/>
      <c r="C359" s="11"/>
      <c r="D359" s="49"/>
      <c r="E359" s="49"/>
      <c r="F359" s="80"/>
      <c r="G359" s="81"/>
      <c r="H359" s="81"/>
      <c r="I359" s="54"/>
      <c r="J359" s="54"/>
      <c r="K359" s="54"/>
      <c r="L359" s="72"/>
      <c r="M359" s="73"/>
      <c r="N359" s="73"/>
      <c r="O359" s="50"/>
      <c r="P359" s="50"/>
      <c r="Q359" s="50"/>
      <c r="R359" s="24"/>
      <c r="S359" s="166"/>
      <c r="U359" s="5"/>
      <c r="V359" s="5"/>
    </row>
    <row r="360" spans="1:22" ht="18.75" x14ac:dyDescent="0.25">
      <c r="A360" s="20"/>
      <c r="B360" s="25"/>
      <c r="C360" s="11"/>
      <c r="D360" s="49"/>
      <c r="E360" s="49"/>
      <c r="F360" s="80"/>
      <c r="G360" s="81"/>
      <c r="H360" s="81"/>
      <c r="I360" s="54"/>
      <c r="J360" s="54"/>
      <c r="K360" s="54"/>
      <c r="L360" s="72"/>
      <c r="M360" s="73"/>
      <c r="N360" s="73"/>
      <c r="O360" s="50"/>
      <c r="P360" s="50"/>
      <c r="Q360" s="50"/>
      <c r="R360" s="24"/>
      <c r="S360" s="166"/>
      <c r="U360" s="5"/>
      <c r="V360" s="5"/>
    </row>
    <row r="361" spans="1:22" ht="18.75" x14ac:dyDescent="0.25">
      <c r="A361" s="20"/>
      <c r="B361" s="25"/>
      <c r="C361" s="11"/>
      <c r="D361" s="49"/>
      <c r="E361" s="49"/>
      <c r="F361" s="80"/>
      <c r="G361" s="81"/>
      <c r="H361" s="81"/>
      <c r="I361" s="54"/>
      <c r="J361" s="54"/>
      <c r="K361" s="54"/>
      <c r="L361" s="72"/>
      <c r="M361" s="73"/>
      <c r="N361" s="73"/>
      <c r="O361" s="50"/>
      <c r="P361" s="50"/>
      <c r="Q361" s="50"/>
      <c r="R361" s="24"/>
      <c r="S361" s="166"/>
      <c r="U361" s="5"/>
      <c r="V361" s="5"/>
    </row>
    <row r="362" spans="1:22" ht="18.75" x14ac:dyDescent="0.25">
      <c r="A362" s="20"/>
      <c r="B362" s="25"/>
      <c r="C362" s="11"/>
      <c r="D362" s="49"/>
      <c r="E362" s="49"/>
      <c r="F362" s="80"/>
      <c r="G362" s="81"/>
      <c r="H362" s="81"/>
      <c r="I362" s="54"/>
      <c r="J362" s="54"/>
      <c r="K362" s="54"/>
      <c r="L362" s="72"/>
      <c r="M362" s="73"/>
      <c r="N362" s="73"/>
      <c r="O362" s="50"/>
      <c r="P362" s="50"/>
      <c r="Q362" s="50"/>
      <c r="R362" s="24"/>
      <c r="S362" s="166"/>
      <c r="U362" s="5"/>
      <c r="V362" s="5"/>
    </row>
    <row r="363" spans="1:22" ht="18.75" x14ac:dyDescent="0.25">
      <c r="A363" s="20"/>
      <c r="B363" s="25"/>
      <c r="C363" s="11"/>
      <c r="D363" s="49"/>
      <c r="E363" s="49"/>
      <c r="F363" s="80"/>
      <c r="G363" s="81"/>
      <c r="H363" s="81"/>
      <c r="I363" s="54"/>
      <c r="J363" s="54"/>
      <c r="K363" s="54"/>
      <c r="L363" s="72"/>
      <c r="M363" s="73"/>
      <c r="N363" s="73"/>
      <c r="O363" s="50"/>
      <c r="P363" s="50"/>
      <c r="Q363" s="50"/>
      <c r="R363" s="24"/>
      <c r="S363" s="166"/>
      <c r="U363" s="5"/>
      <c r="V363" s="5"/>
    </row>
    <row r="364" spans="1:22" ht="18.75" x14ac:dyDescent="0.25">
      <c r="A364" s="20"/>
      <c r="B364" s="25"/>
      <c r="C364" s="11"/>
      <c r="D364" s="49"/>
      <c r="E364" s="49"/>
      <c r="F364" s="80"/>
      <c r="G364" s="81"/>
      <c r="H364" s="81"/>
      <c r="I364" s="54"/>
      <c r="J364" s="54"/>
      <c r="K364" s="54"/>
      <c r="L364" s="72"/>
      <c r="M364" s="73"/>
      <c r="N364" s="73"/>
      <c r="O364" s="50"/>
      <c r="P364" s="50"/>
      <c r="Q364" s="50"/>
      <c r="R364" s="24"/>
      <c r="S364" s="166"/>
      <c r="U364" s="5"/>
      <c r="V364" s="5"/>
    </row>
    <row r="365" spans="1:22" ht="18.75" x14ac:dyDescent="0.25">
      <c r="A365" s="20"/>
      <c r="B365" s="25"/>
      <c r="C365" s="11"/>
      <c r="D365" s="49"/>
      <c r="E365" s="49"/>
      <c r="F365" s="80"/>
      <c r="G365" s="81"/>
      <c r="H365" s="81"/>
      <c r="I365" s="54"/>
      <c r="J365" s="54"/>
      <c r="K365" s="54"/>
      <c r="L365" s="72"/>
      <c r="M365" s="73"/>
      <c r="N365" s="73"/>
      <c r="O365" s="50"/>
      <c r="P365" s="50"/>
      <c r="Q365" s="50"/>
      <c r="R365" s="24"/>
      <c r="S365" s="166"/>
      <c r="U365" s="5"/>
      <c r="V365" s="5"/>
    </row>
    <row r="366" spans="1:22" ht="18.75" x14ac:dyDescent="0.25">
      <c r="A366" s="20"/>
      <c r="B366" s="25"/>
      <c r="C366" s="11"/>
      <c r="D366" s="49"/>
      <c r="E366" s="49"/>
      <c r="F366" s="80"/>
      <c r="G366" s="81"/>
      <c r="H366" s="81"/>
      <c r="I366" s="54"/>
      <c r="J366" s="54"/>
      <c r="K366" s="54"/>
      <c r="L366" s="72"/>
      <c r="M366" s="73"/>
      <c r="N366" s="73"/>
      <c r="O366" s="50"/>
      <c r="P366" s="50"/>
      <c r="Q366" s="50"/>
      <c r="R366" s="24"/>
      <c r="S366" s="166"/>
      <c r="U366" s="5"/>
      <c r="V366" s="5"/>
    </row>
    <row r="367" spans="1:22" ht="18.75" x14ac:dyDescent="0.25">
      <c r="A367" s="20"/>
      <c r="B367" s="25"/>
      <c r="C367" s="11"/>
      <c r="D367" s="49"/>
      <c r="E367" s="49"/>
      <c r="F367" s="80"/>
      <c r="G367" s="81"/>
      <c r="H367" s="81"/>
      <c r="I367" s="54"/>
      <c r="J367" s="54"/>
      <c r="K367" s="54"/>
      <c r="L367" s="72"/>
      <c r="M367" s="73"/>
      <c r="N367" s="73"/>
      <c r="O367" s="50"/>
      <c r="P367" s="50"/>
      <c r="Q367" s="50"/>
      <c r="R367" s="24"/>
      <c r="S367" s="166"/>
      <c r="U367" s="5"/>
      <c r="V367" s="5"/>
    </row>
    <row r="368" spans="1:22" ht="18.75" x14ac:dyDescent="0.25">
      <c r="A368" s="20"/>
      <c r="B368" s="25"/>
      <c r="C368" s="11"/>
      <c r="D368" s="49"/>
      <c r="E368" s="49"/>
      <c r="F368" s="80"/>
      <c r="G368" s="81"/>
      <c r="H368" s="81"/>
      <c r="I368" s="54"/>
      <c r="J368" s="54"/>
      <c r="K368" s="54"/>
      <c r="L368" s="72"/>
      <c r="M368" s="73"/>
      <c r="N368" s="73"/>
      <c r="O368" s="50"/>
      <c r="P368" s="50"/>
      <c r="Q368" s="50"/>
      <c r="R368" s="24"/>
      <c r="S368" s="166"/>
      <c r="U368" s="5"/>
      <c r="V368" s="5"/>
    </row>
    <row r="369" spans="1:22" ht="18.75" x14ac:dyDescent="0.25">
      <c r="A369" s="20"/>
      <c r="B369" s="25"/>
      <c r="C369" s="11"/>
      <c r="D369" s="49"/>
      <c r="E369" s="49"/>
      <c r="F369" s="80"/>
      <c r="G369" s="81"/>
      <c r="H369" s="81"/>
      <c r="I369" s="54"/>
      <c r="J369" s="54"/>
      <c r="K369" s="54"/>
      <c r="L369" s="72"/>
      <c r="M369" s="73"/>
      <c r="N369" s="73"/>
      <c r="O369" s="50"/>
      <c r="P369" s="50"/>
      <c r="Q369" s="50"/>
      <c r="R369" s="24"/>
      <c r="S369" s="166"/>
      <c r="U369" s="5"/>
      <c r="V369" s="5"/>
    </row>
    <row r="370" spans="1:22" ht="18.75" x14ac:dyDescent="0.25">
      <c r="A370" s="20"/>
      <c r="B370" s="25"/>
      <c r="C370" s="11"/>
      <c r="D370" s="49"/>
      <c r="E370" s="49"/>
      <c r="F370" s="80"/>
      <c r="G370" s="81"/>
      <c r="H370" s="81"/>
      <c r="I370" s="54"/>
      <c r="J370" s="54"/>
      <c r="K370" s="54"/>
      <c r="L370" s="72"/>
      <c r="M370" s="73"/>
      <c r="N370" s="73"/>
      <c r="O370" s="50"/>
      <c r="P370" s="50"/>
      <c r="Q370" s="50"/>
      <c r="R370" s="24"/>
      <c r="S370" s="166"/>
      <c r="U370" s="5"/>
      <c r="V370" s="5"/>
    </row>
    <row r="371" spans="1:22" ht="18.75" x14ac:dyDescent="0.25">
      <c r="A371" s="20"/>
      <c r="B371" s="25"/>
      <c r="C371" s="11"/>
      <c r="D371" s="49"/>
      <c r="E371" s="49"/>
      <c r="F371" s="80"/>
      <c r="G371" s="81"/>
      <c r="H371" s="81"/>
      <c r="I371" s="54"/>
      <c r="J371" s="54"/>
      <c r="K371" s="54"/>
      <c r="L371" s="72"/>
      <c r="M371" s="73"/>
      <c r="N371" s="73"/>
      <c r="O371" s="50"/>
      <c r="P371" s="50"/>
      <c r="Q371" s="50"/>
      <c r="R371" s="24"/>
      <c r="S371" s="166"/>
      <c r="U371" s="5"/>
      <c r="V371" s="5"/>
    </row>
    <row r="372" spans="1:22" ht="18.75" x14ac:dyDescent="0.25">
      <c r="A372" s="20"/>
      <c r="B372" s="25"/>
      <c r="C372" s="11"/>
      <c r="D372" s="49"/>
      <c r="E372" s="49"/>
      <c r="F372" s="80"/>
      <c r="G372" s="81"/>
      <c r="H372" s="81"/>
      <c r="I372" s="54"/>
      <c r="J372" s="54"/>
      <c r="K372" s="54"/>
      <c r="L372" s="72"/>
      <c r="M372" s="73"/>
      <c r="N372" s="73"/>
      <c r="O372" s="50"/>
      <c r="P372" s="50"/>
      <c r="Q372" s="50"/>
      <c r="R372" s="24"/>
      <c r="S372" s="166"/>
      <c r="U372" s="5"/>
      <c r="V372" s="5"/>
    </row>
    <row r="373" spans="1:22" ht="18.75" x14ac:dyDescent="0.25">
      <c r="A373" s="20"/>
      <c r="B373" s="25"/>
      <c r="C373" s="11"/>
      <c r="D373" s="49"/>
      <c r="E373" s="49"/>
      <c r="F373" s="80"/>
      <c r="G373" s="81"/>
      <c r="H373" s="81"/>
      <c r="I373" s="54"/>
      <c r="J373" s="54"/>
      <c r="K373" s="54"/>
      <c r="L373" s="72"/>
      <c r="M373" s="73"/>
      <c r="N373" s="73"/>
      <c r="O373" s="50"/>
      <c r="P373" s="50"/>
      <c r="Q373" s="50"/>
      <c r="R373" s="24"/>
      <c r="S373" s="166"/>
      <c r="U373" s="5"/>
      <c r="V373" s="5"/>
    </row>
    <row r="374" spans="1:22" ht="18.75" x14ac:dyDescent="0.25">
      <c r="A374" s="20"/>
      <c r="B374" s="25"/>
      <c r="C374" s="11"/>
      <c r="D374" s="49"/>
      <c r="E374" s="49"/>
      <c r="F374" s="80"/>
      <c r="G374" s="81"/>
      <c r="H374" s="81"/>
      <c r="I374" s="54"/>
      <c r="J374" s="54"/>
      <c r="K374" s="54"/>
      <c r="L374" s="72"/>
      <c r="M374" s="73"/>
      <c r="N374" s="73"/>
      <c r="O374" s="50"/>
      <c r="P374" s="50"/>
      <c r="Q374" s="50"/>
      <c r="R374" s="24"/>
      <c r="S374" s="166"/>
      <c r="U374" s="5"/>
      <c r="V374" s="5"/>
    </row>
    <row r="375" spans="1:22" ht="18.75" x14ac:dyDescent="0.25">
      <c r="A375" s="20"/>
      <c r="B375" s="25"/>
      <c r="C375" s="11"/>
      <c r="D375" s="49"/>
      <c r="E375" s="49"/>
      <c r="F375" s="80"/>
      <c r="G375" s="81"/>
      <c r="H375" s="81"/>
      <c r="I375" s="54"/>
      <c r="J375" s="54"/>
      <c r="K375" s="54"/>
      <c r="L375" s="72"/>
      <c r="M375" s="73"/>
      <c r="N375" s="73"/>
      <c r="O375" s="50"/>
      <c r="P375" s="50"/>
      <c r="Q375" s="50"/>
      <c r="R375" s="24"/>
      <c r="S375" s="166"/>
      <c r="U375" s="5"/>
      <c r="V375" s="5"/>
    </row>
    <row r="376" spans="1:22" ht="18.75" x14ac:dyDescent="0.25">
      <c r="A376" s="20"/>
      <c r="B376" s="25"/>
      <c r="C376" s="11"/>
      <c r="D376" s="49"/>
      <c r="E376" s="49"/>
      <c r="F376" s="80"/>
      <c r="G376" s="81"/>
      <c r="H376" s="81"/>
      <c r="I376" s="54"/>
      <c r="J376" s="54"/>
      <c r="K376" s="54"/>
      <c r="L376" s="72"/>
      <c r="M376" s="73"/>
      <c r="N376" s="73"/>
      <c r="O376" s="50"/>
      <c r="P376" s="50"/>
      <c r="Q376" s="50"/>
      <c r="R376" s="24"/>
      <c r="S376" s="166"/>
      <c r="U376" s="5"/>
      <c r="V376" s="5"/>
    </row>
    <row r="377" spans="1:22" ht="18.75" x14ac:dyDescent="0.25">
      <c r="A377" s="20"/>
      <c r="B377" s="25"/>
      <c r="C377" s="11"/>
      <c r="D377" s="49"/>
      <c r="E377" s="49"/>
      <c r="F377" s="80"/>
      <c r="G377" s="81"/>
      <c r="H377" s="81"/>
      <c r="I377" s="54"/>
      <c r="J377" s="54"/>
      <c r="K377" s="54"/>
      <c r="L377" s="72"/>
      <c r="M377" s="73"/>
      <c r="N377" s="73"/>
      <c r="O377" s="50"/>
      <c r="P377" s="50"/>
      <c r="Q377" s="50"/>
      <c r="R377" s="24"/>
      <c r="S377" s="166"/>
      <c r="U377" s="5"/>
      <c r="V377" s="5"/>
    </row>
    <row r="378" spans="1:22" ht="18.75" x14ac:dyDescent="0.25">
      <c r="A378" s="20"/>
      <c r="B378" s="25"/>
      <c r="C378" s="11"/>
      <c r="D378" s="49"/>
      <c r="E378" s="49"/>
      <c r="F378" s="80"/>
      <c r="G378" s="81"/>
      <c r="H378" s="81"/>
      <c r="I378" s="54"/>
      <c r="J378" s="54"/>
      <c r="K378" s="54"/>
      <c r="L378" s="72"/>
      <c r="M378" s="73"/>
      <c r="N378" s="73"/>
      <c r="O378" s="50"/>
      <c r="P378" s="50"/>
      <c r="Q378" s="50"/>
      <c r="R378" s="24"/>
      <c r="S378" s="166"/>
      <c r="U378" s="5"/>
      <c r="V378" s="5"/>
    </row>
    <row r="379" spans="1:22" ht="18.75" x14ac:dyDescent="0.25">
      <c r="A379" s="20"/>
      <c r="B379" s="25"/>
      <c r="C379" s="11"/>
      <c r="D379" s="49"/>
      <c r="E379" s="49"/>
      <c r="F379" s="80"/>
      <c r="G379" s="81"/>
      <c r="H379" s="81"/>
      <c r="I379" s="54"/>
      <c r="J379" s="54"/>
      <c r="K379" s="54"/>
      <c r="L379" s="72"/>
      <c r="M379" s="73"/>
      <c r="N379" s="73"/>
      <c r="O379" s="50"/>
      <c r="P379" s="50"/>
      <c r="Q379" s="50"/>
      <c r="R379" s="24"/>
      <c r="S379" s="166"/>
      <c r="U379" s="5"/>
      <c r="V379" s="5"/>
    </row>
    <row r="380" spans="1:22" ht="18.75" x14ac:dyDescent="0.25">
      <c r="A380" s="20"/>
      <c r="B380" s="25"/>
      <c r="C380" s="11"/>
      <c r="D380" s="49"/>
      <c r="E380" s="49"/>
      <c r="F380" s="80"/>
      <c r="G380" s="81"/>
      <c r="H380" s="81"/>
      <c r="I380" s="54"/>
      <c r="J380" s="54"/>
      <c r="K380" s="54"/>
      <c r="L380" s="72"/>
      <c r="M380" s="73"/>
      <c r="N380" s="73"/>
      <c r="O380" s="50"/>
      <c r="P380" s="50"/>
      <c r="Q380" s="50"/>
      <c r="R380" s="24"/>
      <c r="S380" s="166"/>
      <c r="U380" s="5"/>
      <c r="V380" s="5"/>
    </row>
    <row r="381" spans="1:22" ht="19.5" thickBot="1" x14ac:dyDescent="0.3">
      <c r="A381" s="20"/>
      <c r="B381" s="25"/>
      <c r="C381" s="11"/>
      <c r="D381" s="49"/>
      <c r="E381" s="49"/>
      <c r="F381" s="80"/>
      <c r="G381" s="81"/>
      <c r="H381" s="81"/>
      <c r="I381" s="54"/>
      <c r="J381" s="54"/>
      <c r="K381" s="54"/>
      <c r="L381" s="72"/>
      <c r="M381" s="73"/>
      <c r="N381" s="73"/>
      <c r="O381" s="50"/>
      <c r="P381" s="50"/>
      <c r="Q381" s="50"/>
      <c r="R381" s="24"/>
      <c r="S381" s="166"/>
      <c r="U381" s="5"/>
      <c r="V381" s="5"/>
    </row>
    <row r="382" spans="1:22" ht="21" thickBot="1" x14ac:dyDescent="0.3">
      <c r="A382" s="33"/>
      <c r="B382" s="34" t="s">
        <v>29</v>
      </c>
      <c r="C382" s="35"/>
      <c r="D382" s="36">
        <f>SUM(D250:D381)</f>
        <v>0</v>
      </c>
      <c r="E382" s="36"/>
      <c r="F382" s="76"/>
      <c r="G382" s="76"/>
      <c r="H382" s="76"/>
      <c r="I382" s="76"/>
      <c r="J382" s="76"/>
      <c r="K382" s="76"/>
      <c r="L382" s="72"/>
      <c r="M382" s="73"/>
      <c r="N382" s="73"/>
      <c r="O382" s="50"/>
      <c r="P382" s="50"/>
      <c r="Q382" s="50"/>
      <c r="R382" s="24"/>
      <c r="S382" s="166"/>
      <c r="U382" s="5"/>
      <c r="V382" s="5"/>
    </row>
    <row r="383" spans="1:22" ht="21.75" thickBot="1" x14ac:dyDescent="0.3">
      <c r="A383" s="41"/>
      <c r="B383" s="42" t="s">
        <v>30</v>
      </c>
      <c r="C383" s="43"/>
      <c r="D383" s="44">
        <f>D250+D382</f>
        <v>0</v>
      </c>
      <c r="E383" s="44"/>
      <c r="F383" s="78"/>
      <c r="G383" s="78"/>
      <c r="H383" s="78"/>
      <c r="I383" s="78"/>
      <c r="J383" s="78"/>
      <c r="K383" s="78"/>
      <c r="L383" s="37"/>
      <c r="M383" s="38"/>
      <c r="N383" s="38"/>
      <c r="O383" s="39">
        <f>SUM(O251:O382)</f>
        <v>0</v>
      </c>
      <c r="P383" s="39">
        <f>SUM(P251:P382)</f>
        <v>0</v>
      </c>
      <c r="Q383" s="183">
        <f>SUM(Q251:Q382)</f>
        <v>0</v>
      </c>
      <c r="R383" s="184"/>
      <c r="S383" s="165"/>
    </row>
    <row r="384" spans="1:22" ht="25.15" customHeight="1" thickBot="1" x14ac:dyDescent="0.3">
      <c r="A384" s="158" t="s">
        <v>12</v>
      </c>
      <c r="B384" s="158"/>
      <c r="C384" s="158"/>
      <c r="D384" s="158"/>
      <c r="E384" s="158"/>
      <c r="F384" s="158"/>
      <c r="G384" s="158"/>
      <c r="H384" s="158"/>
      <c r="I384" s="158"/>
      <c r="J384" s="158"/>
      <c r="K384" s="158"/>
      <c r="L384" s="45"/>
      <c r="M384" s="46"/>
      <c r="N384" s="46"/>
      <c r="O384" s="47">
        <f>O250+O383</f>
        <v>0</v>
      </c>
      <c r="P384" s="47">
        <f>P250+P383</f>
        <v>0</v>
      </c>
      <c r="Q384" s="183">
        <f>Q250+Q383</f>
        <v>35678.252500000002</v>
      </c>
      <c r="R384" s="184"/>
      <c r="S384" s="167"/>
    </row>
    <row r="385" spans="1:19" ht="25.15" customHeight="1" x14ac:dyDescent="0.35">
      <c r="A385" s="118" t="s">
        <v>13</v>
      </c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58"/>
      <c r="M385" s="158"/>
      <c r="N385" s="158"/>
      <c r="O385" s="142"/>
      <c r="P385" s="142"/>
      <c r="Q385" s="185"/>
      <c r="R385" s="186"/>
      <c r="S385" s="6"/>
    </row>
    <row r="386" spans="1:19" ht="25.15" customHeight="1" x14ac:dyDescent="0.35">
      <c r="A386" s="119" t="s">
        <v>14</v>
      </c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8"/>
      <c r="M386" s="118"/>
      <c r="N386" s="118"/>
      <c r="O386" s="142"/>
      <c r="P386" s="142"/>
      <c r="Q386" s="185"/>
      <c r="R386" s="186"/>
      <c r="S386" s="6"/>
    </row>
    <row r="387" spans="1:19" ht="25.15" customHeight="1" x14ac:dyDescent="0.35">
      <c r="A387" s="118" t="s">
        <v>15</v>
      </c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9"/>
      <c r="M387" s="119"/>
      <c r="N387" s="119"/>
      <c r="O387" s="143"/>
      <c r="P387" s="142"/>
      <c r="Q387" s="187"/>
      <c r="R387" s="186"/>
      <c r="S387" s="6"/>
    </row>
    <row r="388" spans="1:19" ht="25.15" customHeight="1" x14ac:dyDescent="0.35">
      <c r="A388" s="118" t="s">
        <v>16</v>
      </c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42"/>
      <c r="P388" s="142"/>
      <c r="Q388" s="185"/>
      <c r="R388" s="186"/>
      <c r="S388" s="6"/>
    </row>
    <row r="389" spans="1:19" ht="25.15" customHeight="1" x14ac:dyDescent="0.35">
      <c r="A389" s="118" t="s">
        <v>17</v>
      </c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42"/>
      <c r="P389" s="142"/>
      <c r="Q389" s="185"/>
      <c r="R389" s="186"/>
      <c r="S389" s="6"/>
    </row>
    <row r="390" spans="1:19" ht="25.15" customHeight="1" x14ac:dyDescent="0.35">
      <c r="A390" s="118" t="s">
        <v>18</v>
      </c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42"/>
      <c r="P390" s="142"/>
      <c r="Q390" s="185"/>
      <c r="R390" s="186"/>
      <c r="S390" s="6"/>
    </row>
    <row r="391" spans="1:19" ht="25.15" customHeight="1" x14ac:dyDescent="0.35">
      <c r="A391" s="118" t="s">
        <v>17</v>
      </c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42"/>
      <c r="P391" s="142"/>
      <c r="Q391" s="185"/>
      <c r="R391" s="186"/>
      <c r="S391" s="6"/>
    </row>
    <row r="392" spans="1:19" ht="25.15" customHeight="1" x14ac:dyDescent="0.35">
      <c r="A392" s="118" t="s">
        <v>19</v>
      </c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42"/>
      <c r="P392" s="142"/>
      <c r="Q392" s="185"/>
      <c r="R392" s="186"/>
      <c r="S392" s="6"/>
    </row>
    <row r="393" spans="1:19" ht="25.15" customHeight="1" x14ac:dyDescent="0.35">
      <c r="A393" s="118" t="s">
        <v>11</v>
      </c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42"/>
      <c r="P393" s="142"/>
      <c r="Q393" s="185"/>
      <c r="R393" s="186"/>
      <c r="S393" s="6"/>
    </row>
    <row r="394" spans="1:19" ht="25.15" customHeight="1" x14ac:dyDescent="0.35">
      <c r="A394" s="118" t="s">
        <v>32</v>
      </c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42"/>
      <c r="P394" s="142"/>
      <c r="Q394" s="185"/>
      <c r="R394" s="186"/>
      <c r="S394" s="6"/>
    </row>
    <row r="395" spans="1:19" ht="25.15" customHeight="1" x14ac:dyDescent="0.35">
      <c r="A395" s="121" t="s">
        <v>31</v>
      </c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18"/>
      <c r="M395" s="118"/>
      <c r="N395" s="118"/>
      <c r="O395" s="142"/>
      <c r="P395" s="142"/>
      <c r="Q395" s="185"/>
      <c r="R395" s="186"/>
      <c r="S395" s="6"/>
    </row>
    <row r="396" spans="1:19" ht="36" customHeight="1" x14ac:dyDescent="0.35">
      <c r="L396" s="121"/>
      <c r="M396" s="121"/>
      <c r="N396" s="121"/>
      <c r="O396" s="127"/>
      <c r="P396" s="142"/>
      <c r="Q396" s="188"/>
      <c r="R396" s="186"/>
      <c r="S396" s="6"/>
    </row>
  </sheetData>
  <autoFilter ref="L18:P220" xr:uid="{00000000-0001-0000-0000-000000000000}"/>
  <mergeCells count="25">
    <mergeCell ref="M16:Q16"/>
    <mergeCell ref="R16:R17"/>
    <mergeCell ref="U251:V251"/>
    <mergeCell ref="F16:F17"/>
    <mergeCell ref="G16:G17"/>
    <mergeCell ref="H16:H17"/>
    <mergeCell ref="I16:I17"/>
    <mergeCell ref="J16:J17"/>
    <mergeCell ref="K16:K17"/>
    <mergeCell ref="A12:R12"/>
    <mergeCell ref="A13:R13"/>
    <mergeCell ref="A14:Q14"/>
    <mergeCell ref="A15:K15"/>
    <mergeCell ref="L15:R15"/>
    <mergeCell ref="A16:A17"/>
    <mergeCell ref="B16:B17"/>
    <mergeCell ref="C16:C17"/>
    <mergeCell ref="D16:D17"/>
    <mergeCell ref="E16:E17"/>
    <mergeCell ref="A11:R11"/>
    <mergeCell ref="M1:R2"/>
    <mergeCell ref="M4:R4"/>
    <mergeCell ref="M5:R5"/>
    <mergeCell ref="M7:R7"/>
    <mergeCell ref="A10:R10"/>
  </mergeCells>
  <phoneticPr fontId="45" type="noConversion"/>
  <conditionalFormatting sqref="P19:P249">
    <cfRule type="cellIs" dxfId="6" priority="2" operator="equal">
      <formula>0</formula>
    </cfRule>
  </conditionalFormatting>
  <conditionalFormatting sqref="T1:T1048576">
    <cfRule type="cellIs" dxfId="5" priority="1" operator="lessThan">
      <formula>0</formula>
    </cfRule>
  </conditionalFormatting>
  <pageMargins left="0.25" right="0.25" top="0.75" bottom="0.75" header="0.3" footer="0.3"/>
  <pageSetup paperSize="9" scale="28" fitToHeight="0" orientation="landscape" r:id="rId1"/>
  <ignoredErrors>
    <ignoredError sqref="P30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A3F78-1A76-4777-981C-AB0C7401309B}">
  <sheetPr>
    <tabColor rgb="FFFFFF00"/>
    <pageSetUpPr fitToPage="1"/>
  </sheetPr>
  <dimension ref="A1:AI348"/>
  <sheetViews>
    <sheetView topLeftCell="G3" zoomScale="70" zoomScaleNormal="70" workbookViewId="0">
      <selection activeCell="AA233" sqref="AA233"/>
    </sheetView>
  </sheetViews>
  <sheetFormatPr defaultRowHeight="15" x14ac:dyDescent="0.25"/>
  <cols>
    <col min="1" max="1" width="6.7109375" style="147" customWidth="1"/>
    <col min="2" max="2" width="63.140625" customWidth="1"/>
    <col min="3" max="3" width="10.42578125" style="147" customWidth="1"/>
    <col min="4" max="4" width="11.140625" style="147" customWidth="1"/>
    <col min="5" max="5" width="13.140625" style="147" customWidth="1"/>
    <col min="6" max="6" width="20.140625" style="147" customWidth="1"/>
    <col min="7" max="11" width="13.140625" style="147" customWidth="1"/>
    <col min="12" max="12" width="17.28515625" style="147" customWidth="1"/>
    <col min="13" max="13" width="61" customWidth="1"/>
    <col min="14" max="14" width="11.7109375" style="5" customWidth="1"/>
    <col min="15" max="15" width="14" style="5" customWidth="1"/>
    <col min="16" max="16" width="11.7109375" style="189" customWidth="1"/>
    <col min="17" max="17" width="15.42578125" style="189" bestFit="1" customWidth="1"/>
    <col min="18" max="18" width="35.42578125" style="182" customWidth="1"/>
    <col min="19" max="19" width="13" customWidth="1"/>
    <col min="20" max="20" width="12.140625" bestFit="1" customWidth="1"/>
    <col min="22" max="22" width="9.85546875" bestFit="1" customWidth="1"/>
  </cols>
  <sheetData>
    <row r="1" spans="1:21" ht="15.75" customHeight="1" x14ac:dyDescent="0.25">
      <c r="A1" s="2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236" t="s">
        <v>26</v>
      </c>
      <c r="N1" s="236"/>
      <c r="O1" s="236"/>
      <c r="P1" s="236"/>
      <c r="Q1" s="236"/>
      <c r="R1" s="236"/>
      <c r="S1" s="150"/>
      <c r="T1" s="18"/>
      <c r="U1" s="18"/>
    </row>
    <row r="2" spans="1:21" ht="15" customHeight="1" x14ac:dyDescent="0.25">
      <c r="A2" s="2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237"/>
      <c r="N2" s="237"/>
      <c r="O2" s="237"/>
      <c r="P2" s="237"/>
      <c r="Q2" s="237"/>
      <c r="R2" s="237"/>
      <c r="S2" s="159"/>
      <c r="T2" s="18"/>
      <c r="U2" s="18"/>
    </row>
    <row r="3" spans="1:21" ht="15.75" x14ac:dyDescent="0.25">
      <c r="A3" s="2"/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151"/>
      <c r="N3" s="151"/>
      <c r="O3" s="151"/>
      <c r="P3" s="178"/>
      <c r="Q3" s="178"/>
      <c r="R3" s="178"/>
      <c r="S3" s="159"/>
      <c r="T3" s="18"/>
      <c r="U3" s="18"/>
    </row>
    <row r="4" spans="1:21" ht="23.25" x14ac:dyDescent="0.35">
      <c r="A4" s="2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240" t="s">
        <v>27</v>
      </c>
      <c r="N4" s="240"/>
      <c r="O4" s="240"/>
      <c r="P4" s="240"/>
      <c r="Q4" s="240"/>
      <c r="R4" s="240"/>
      <c r="S4" s="160"/>
      <c r="T4" s="18"/>
      <c r="U4" s="18"/>
    </row>
    <row r="5" spans="1:21" ht="21" x14ac:dyDescent="0.35">
      <c r="A5" s="2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241" t="s">
        <v>28</v>
      </c>
      <c r="N5" s="241"/>
      <c r="O5" s="241"/>
      <c r="P5" s="241"/>
      <c r="Q5" s="241"/>
      <c r="R5" s="241"/>
      <c r="S5" s="154"/>
      <c r="T5" s="18"/>
      <c r="U5" s="18"/>
    </row>
    <row r="6" spans="1:21" ht="15.75" x14ac:dyDescent="0.25">
      <c r="A6" s="2"/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2"/>
      <c r="N6" s="14"/>
      <c r="O6" s="14"/>
      <c r="P6" s="197"/>
      <c r="Q6" s="179"/>
      <c r="R6" s="180"/>
      <c r="S6" s="17"/>
      <c r="T6" s="18"/>
      <c r="U6" s="18"/>
    </row>
    <row r="7" spans="1:21" ht="18.75" x14ac:dyDescent="0.3">
      <c r="A7" s="2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238" t="s">
        <v>33</v>
      </c>
      <c r="N7" s="238"/>
      <c r="O7" s="238"/>
      <c r="P7" s="238"/>
      <c r="Q7" s="238"/>
      <c r="R7" s="238"/>
      <c r="S7" s="152"/>
      <c r="T7" s="18"/>
      <c r="U7" s="18"/>
    </row>
    <row r="8" spans="1:21" ht="15.75" x14ac:dyDescent="0.25">
      <c r="A8" s="2"/>
      <c r="B8" s="1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81"/>
      <c r="Q8" s="181"/>
      <c r="T8" s="18"/>
      <c r="U8" s="18"/>
    </row>
    <row r="9" spans="1:21" ht="15.75" x14ac:dyDescent="0.25">
      <c r="A9" s="2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81"/>
      <c r="Q9" s="181"/>
      <c r="T9" s="18"/>
      <c r="U9" s="18"/>
    </row>
    <row r="10" spans="1:21" ht="18" customHeight="1" x14ac:dyDescent="0.25">
      <c r="A10" s="239" t="s">
        <v>0</v>
      </c>
      <c r="B10" s="239"/>
      <c r="C10" s="239"/>
      <c r="D10" s="239"/>
      <c r="E10" s="239"/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153"/>
      <c r="T10" s="18"/>
      <c r="U10" s="18"/>
    </row>
    <row r="11" spans="1:21" ht="18" customHeight="1" x14ac:dyDescent="0.25">
      <c r="A11" s="239" t="s">
        <v>1</v>
      </c>
      <c r="B11" s="239"/>
      <c r="C11" s="239"/>
      <c r="D11" s="239"/>
      <c r="E11" s="239"/>
      <c r="F11" s="239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39"/>
      <c r="R11" s="239"/>
      <c r="S11" s="153"/>
      <c r="T11" s="18"/>
      <c r="U11" s="18"/>
    </row>
    <row r="12" spans="1:21" ht="18" customHeight="1" x14ac:dyDescent="0.25">
      <c r="A12" s="239" t="s">
        <v>2</v>
      </c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153"/>
      <c r="T12" s="18"/>
      <c r="U12" s="18"/>
    </row>
    <row r="13" spans="1:21" ht="63.6" customHeight="1" x14ac:dyDescent="0.25">
      <c r="A13" s="234" t="s">
        <v>777</v>
      </c>
      <c r="B13" s="235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149"/>
    </row>
    <row r="14" spans="1:21" ht="27" customHeight="1" thickBot="1" x14ac:dyDescent="0.3">
      <c r="A14" s="242" t="s">
        <v>36</v>
      </c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2"/>
      <c r="Q14" s="242"/>
    </row>
    <row r="15" spans="1:21" ht="30.6" customHeight="1" thickBot="1" x14ac:dyDescent="0.3">
      <c r="A15" s="243" t="s">
        <v>24</v>
      </c>
      <c r="B15" s="244"/>
      <c r="C15" s="244"/>
      <c r="D15" s="244"/>
      <c r="E15" s="244"/>
      <c r="F15" s="244"/>
      <c r="G15" s="244"/>
      <c r="H15" s="244"/>
      <c r="I15" s="244"/>
      <c r="J15" s="244"/>
      <c r="K15" s="244"/>
      <c r="L15" s="245" t="s">
        <v>25</v>
      </c>
      <c r="M15" s="246"/>
      <c r="N15" s="246"/>
      <c r="O15" s="246"/>
      <c r="P15" s="246"/>
      <c r="Q15" s="246"/>
      <c r="R15" s="247"/>
      <c r="S15" s="161"/>
    </row>
    <row r="16" spans="1:21" ht="15" customHeight="1" x14ac:dyDescent="0.25">
      <c r="A16" s="259" t="s">
        <v>3</v>
      </c>
      <c r="B16" s="261" t="s">
        <v>4</v>
      </c>
      <c r="C16" s="261"/>
      <c r="D16" s="248" t="s">
        <v>5</v>
      </c>
      <c r="E16" s="261" t="s">
        <v>6</v>
      </c>
      <c r="F16" s="263"/>
      <c r="G16" s="248"/>
      <c r="H16" s="248"/>
      <c r="I16" s="251"/>
      <c r="J16" s="248" t="s">
        <v>21</v>
      </c>
      <c r="K16" s="253" t="s">
        <v>22</v>
      </c>
      <c r="L16" s="21"/>
      <c r="M16" s="256" t="s">
        <v>7</v>
      </c>
      <c r="N16" s="257"/>
      <c r="O16" s="257"/>
      <c r="P16" s="257"/>
      <c r="Q16" s="258"/>
      <c r="R16" s="253" t="s">
        <v>8</v>
      </c>
      <c r="S16" s="162"/>
    </row>
    <row r="17" spans="1:19" ht="34.15" customHeight="1" x14ac:dyDescent="0.25">
      <c r="A17" s="260"/>
      <c r="B17" s="262"/>
      <c r="C17" s="262"/>
      <c r="D17" s="249"/>
      <c r="E17" s="262"/>
      <c r="F17" s="249"/>
      <c r="G17" s="249"/>
      <c r="H17" s="249"/>
      <c r="I17" s="252"/>
      <c r="J17" s="249"/>
      <c r="K17" s="254"/>
      <c r="L17" s="22" t="s">
        <v>20</v>
      </c>
      <c r="M17" s="19" t="s">
        <v>9</v>
      </c>
      <c r="N17" s="23" t="s">
        <v>10</v>
      </c>
      <c r="O17" s="12" t="s">
        <v>6</v>
      </c>
      <c r="P17" s="13" t="s">
        <v>21</v>
      </c>
      <c r="Q17" s="13" t="s">
        <v>22</v>
      </c>
      <c r="R17" s="254"/>
      <c r="S17" s="162"/>
    </row>
    <row r="18" spans="1:19" ht="15.75" thickBot="1" x14ac:dyDescent="0.3">
      <c r="A18" s="26">
        <v>1</v>
      </c>
      <c r="B18" s="27">
        <v>2</v>
      </c>
      <c r="C18" s="27"/>
      <c r="D18" s="27">
        <v>3</v>
      </c>
      <c r="E18" s="27">
        <v>4</v>
      </c>
      <c r="F18" s="27"/>
      <c r="G18" s="27"/>
      <c r="H18" s="27"/>
      <c r="I18" s="79"/>
      <c r="J18" s="27">
        <v>5</v>
      </c>
      <c r="K18" s="28">
        <v>6</v>
      </c>
      <c r="L18" s="88">
        <v>7</v>
      </c>
      <c r="M18" s="12">
        <v>8</v>
      </c>
      <c r="N18" s="12">
        <v>9</v>
      </c>
      <c r="O18" s="12">
        <v>10</v>
      </c>
      <c r="P18" s="19">
        <v>11</v>
      </c>
      <c r="Q18" s="19" t="s">
        <v>752</v>
      </c>
      <c r="R18" s="102" t="s">
        <v>753</v>
      </c>
      <c r="S18" s="163"/>
    </row>
    <row r="19" spans="1:19" ht="33.6" customHeight="1" x14ac:dyDescent="0.25">
      <c r="A19" s="65"/>
      <c r="B19" s="85" t="s">
        <v>776</v>
      </c>
      <c r="C19" s="85"/>
      <c r="D19" s="85" t="s">
        <v>34</v>
      </c>
      <c r="E19" s="85">
        <v>1</v>
      </c>
      <c r="F19" s="74"/>
      <c r="G19" s="74"/>
      <c r="H19" s="74"/>
      <c r="I19" s="74"/>
      <c r="J19" s="74"/>
      <c r="K19" s="74"/>
      <c r="L19" s="68" t="s">
        <v>519</v>
      </c>
      <c r="M19" s="57" t="s">
        <v>162</v>
      </c>
      <c r="N19" s="70" t="s">
        <v>34</v>
      </c>
      <c r="O19" s="70">
        <v>1</v>
      </c>
      <c r="P19" s="97"/>
      <c r="Q19" s="97"/>
      <c r="R19" s="101"/>
      <c r="S19" s="164"/>
    </row>
    <row r="20" spans="1:19" ht="15.75" x14ac:dyDescent="0.25">
      <c r="A20" s="56"/>
      <c r="B20" s="64"/>
      <c r="C20" s="52"/>
      <c r="D20" s="66"/>
      <c r="E20" s="67"/>
      <c r="F20" s="80"/>
      <c r="G20" s="81"/>
      <c r="H20" s="81"/>
      <c r="I20" s="53"/>
      <c r="J20" s="53"/>
      <c r="K20" s="53"/>
      <c r="L20" s="86" t="s">
        <v>271</v>
      </c>
      <c r="M20" s="87" t="s">
        <v>272</v>
      </c>
      <c r="N20" s="55" t="s">
        <v>34</v>
      </c>
      <c r="O20" s="89">
        <v>6</v>
      </c>
      <c r="P20" s="97"/>
      <c r="Q20" s="89"/>
      <c r="R20" s="89"/>
      <c r="S20" s="164"/>
    </row>
    <row r="21" spans="1:19" ht="15.75" x14ac:dyDescent="0.25">
      <c r="A21" s="56"/>
      <c r="B21" s="64"/>
      <c r="C21" s="52"/>
      <c r="D21" s="66"/>
      <c r="E21" s="67"/>
      <c r="F21" s="80"/>
      <c r="G21" s="81"/>
      <c r="H21" s="81"/>
      <c r="I21" s="53"/>
      <c r="J21" s="53"/>
      <c r="K21" s="53"/>
      <c r="L21" s="86" t="s">
        <v>58</v>
      </c>
      <c r="M21" s="87" t="s">
        <v>67</v>
      </c>
      <c r="N21" s="55" t="s">
        <v>34</v>
      </c>
      <c r="O21" s="89">
        <v>16</v>
      </c>
      <c r="P21" s="97"/>
      <c r="Q21" s="89"/>
      <c r="R21" s="89"/>
      <c r="S21" s="164"/>
    </row>
    <row r="22" spans="1:19" ht="31.5" x14ac:dyDescent="0.25">
      <c r="A22" s="56"/>
      <c r="B22" s="64"/>
      <c r="C22" s="52"/>
      <c r="D22" s="66"/>
      <c r="E22" s="67"/>
      <c r="F22" s="80"/>
      <c r="G22" s="81"/>
      <c r="H22" s="81"/>
      <c r="I22" s="53"/>
      <c r="J22" s="53"/>
      <c r="K22" s="53"/>
      <c r="L22" s="86" t="s">
        <v>273</v>
      </c>
      <c r="M22" s="87" t="s">
        <v>274</v>
      </c>
      <c r="N22" s="113" t="s">
        <v>34</v>
      </c>
      <c r="O22" s="89">
        <v>3</v>
      </c>
      <c r="P22" s="97"/>
      <c r="Q22" s="89"/>
      <c r="R22" s="89"/>
      <c r="S22" s="164"/>
    </row>
    <row r="23" spans="1:19" ht="15.75" x14ac:dyDescent="0.25">
      <c r="A23" s="58"/>
      <c r="B23" s="59"/>
      <c r="C23" s="59"/>
      <c r="D23" s="59"/>
      <c r="E23" s="60"/>
      <c r="F23" s="80"/>
      <c r="G23" s="81"/>
      <c r="H23" s="81"/>
      <c r="I23" s="53"/>
      <c r="J23" s="75"/>
      <c r="K23" s="75"/>
      <c r="L23" s="86" t="s">
        <v>275</v>
      </c>
      <c r="M23" s="61" t="s">
        <v>276</v>
      </c>
      <c r="N23" s="113" t="s">
        <v>34</v>
      </c>
      <c r="O23" s="62">
        <v>1</v>
      </c>
      <c r="P23" s="97"/>
      <c r="Q23" s="62"/>
      <c r="R23" s="62"/>
      <c r="S23" s="164"/>
    </row>
    <row r="24" spans="1:19" ht="15.75" x14ac:dyDescent="0.25">
      <c r="A24" s="58"/>
      <c r="B24" s="59"/>
      <c r="C24" s="59"/>
      <c r="D24" s="59"/>
      <c r="E24" s="60"/>
      <c r="F24" s="80"/>
      <c r="G24" s="81"/>
      <c r="H24" s="81"/>
      <c r="I24" s="53"/>
      <c r="J24" s="75"/>
      <c r="K24" s="75"/>
      <c r="L24" s="63">
        <v>355</v>
      </c>
      <c r="M24" s="61" t="s">
        <v>163</v>
      </c>
      <c r="N24" s="113" t="s">
        <v>34</v>
      </c>
      <c r="O24" s="62">
        <v>1</v>
      </c>
      <c r="P24" s="97"/>
      <c r="Q24" s="62"/>
      <c r="R24" s="62"/>
      <c r="S24" s="164"/>
    </row>
    <row r="25" spans="1:19" ht="15.75" x14ac:dyDescent="0.25">
      <c r="A25" s="58"/>
      <c r="B25" s="59"/>
      <c r="C25" s="59"/>
      <c r="D25" s="59"/>
      <c r="E25" s="60"/>
      <c r="F25" s="80"/>
      <c r="G25" s="81"/>
      <c r="H25" s="81"/>
      <c r="I25" s="53"/>
      <c r="J25" s="75"/>
      <c r="K25" s="75"/>
      <c r="L25" s="63" t="s">
        <v>277</v>
      </c>
      <c r="M25" s="61" t="s">
        <v>278</v>
      </c>
      <c r="N25" s="113" t="s">
        <v>34</v>
      </c>
      <c r="O25" s="62">
        <v>2</v>
      </c>
      <c r="P25" s="97"/>
      <c r="Q25" s="62"/>
      <c r="R25" s="62"/>
      <c r="S25" s="164"/>
    </row>
    <row r="26" spans="1:19" ht="15.75" x14ac:dyDescent="0.25">
      <c r="A26" s="58"/>
      <c r="B26" s="59"/>
      <c r="C26" s="59"/>
      <c r="D26" s="59"/>
      <c r="E26" s="60"/>
      <c r="F26" s="80"/>
      <c r="G26" s="81"/>
      <c r="H26" s="81"/>
      <c r="I26" s="53"/>
      <c r="J26" s="75"/>
      <c r="K26" s="75"/>
      <c r="L26" s="63">
        <v>601</v>
      </c>
      <c r="M26" s="61" t="s">
        <v>69</v>
      </c>
      <c r="N26" s="113" t="s">
        <v>45</v>
      </c>
      <c r="O26" s="62">
        <v>2</v>
      </c>
      <c r="P26" s="97"/>
      <c r="Q26" s="62"/>
      <c r="R26" s="62"/>
      <c r="S26" s="164"/>
    </row>
    <row r="27" spans="1:19" ht="15.75" x14ac:dyDescent="0.25">
      <c r="A27" s="58"/>
      <c r="B27" s="59"/>
      <c r="C27" s="59"/>
      <c r="D27" s="59"/>
      <c r="E27" s="60"/>
      <c r="F27" s="80"/>
      <c r="G27" s="81"/>
      <c r="H27" s="81"/>
      <c r="I27" s="53"/>
      <c r="J27" s="75"/>
      <c r="K27" s="75"/>
      <c r="L27" s="63" t="s">
        <v>761</v>
      </c>
      <c r="M27" s="61" t="s">
        <v>762</v>
      </c>
      <c r="N27" s="113" t="s">
        <v>68</v>
      </c>
      <c r="O27" s="62">
        <v>110</v>
      </c>
      <c r="P27" s="97"/>
      <c r="Q27" s="62"/>
      <c r="R27" s="62"/>
      <c r="S27" s="164"/>
    </row>
    <row r="28" spans="1:19" ht="15.75" x14ac:dyDescent="0.25">
      <c r="A28" s="58"/>
      <c r="B28" s="59"/>
      <c r="C28" s="59"/>
      <c r="D28" s="59"/>
      <c r="E28" s="60"/>
      <c r="F28" s="80"/>
      <c r="G28" s="81"/>
      <c r="H28" s="81"/>
      <c r="I28" s="53"/>
      <c r="J28" s="75"/>
      <c r="K28" s="75"/>
      <c r="L28" s="63">
        <v>18520</v>
      </c>
      <c r="M28" s="61" t="s">
        <v>70</v>
      </c>
      <c r="N28" s="113" t="s">
        <v>56</v>
      </c>
      <c r="O28" s="62">
        <v>0.26500000000000001</v>
      </c>
      <c r="P28" s="97"/>
      <c r="Q28" s="62"/>
      <c r="R28" s="62"/>
      <c r="S28" s="164"/>
    </row>
    <row r="29" spans="1:19" ht="15.75" x14ac:dyDescent="0.25">
      <c r="A29" s="58"/>
      <c r="B29" s="59"/>
      <c r="C29" s="59"/>
      <c r="D29" s="59"/>
      <c r="E29" s="60"/>
      <c r="F29" s="80"/>
      <c r="G29" s="81"/>
      <c r="H29" s="81"/>
      <c r="I29" s="53"/>
      <c r="J29" s="75"/>
      <c r="K29" s="75"/>
      <c r="L29" s="63">
        <v>18382</v>
      </c>
      <c r="M29" s="61" t="s">
        <v>71</v>
      </c>
      <c r="N29" s="113" t="s">
        <v>56</v>
      </c>
      <c r="O29" s="62">
        <v>0.5</v>
      </c>
      <c r="P29" s="97"/>
      <c r="Q29" s="62"/>
      <c r="R29" s="62"/>
      <c r="S29" s="164"/>
    </row>
    <row r="30" spans="1:19" ht="15.75" x14ac:dyDescent="0.25">
      <c r="A30" s="58"/>
      <c r="B30" s="59"/>
      <c r="C30" s="59"/>
      <c r="D30" s="59"/>
      <c r="E30" s="60"/>
      <c r="F30" s="80"/>
      <c r="G30" s="81"/>
      <c r="H30" s="81"/>
      <c r="I30" s="53"/>
      <c r="J30" s="75"/>
      <c r="K30" s="75"/>
      <c r="L30" s="63">
        <v>18518</v>
      </c>
      <c r="M30" s="61" t="s">
        <v>72</v>
      </c>
      <c r="N30" s="113" t="s">
        <v>56</v>
      </c>
      <c r="O30" s="62">
        <v>6.7000000000000004E-2</v>
      </c>
      <c r="P30" s="97"/>
      <c r="Q30" s="62"/>
      <c r="R30" s="62"/>
      <c r="S30" s="164"/>
    </row>
    <row r="31" spans="1:19" ht="15.75" x14ac:dyDescent="0.25">
      <c r="A31" s="58"/>
      <c r="B31" s="59"/>
      <c r="C31" s="59"/>
      <c r="D31" s="59"/>
      <c r="E31" s="60"/>
      <c r="F31" s="80"/>
      <c r="G31" s="81"/>
      <c r="H31" s="81"/>
      <c r="I31" s="53"/>
      <c r="J31" s="75"/>
      <c r="K31" s="75"/>
      <c r="L31" s="63">
        <v>599</v>
      </c>
      <c r="M31" s="61" t="s">
        <v>73</v>
      </c>
      <c r="N31" s="113" t="s">
        <v>34</v>
      </c>
      <c r="O31" s="62">
        <v>10</v>
      </c>
      <c r="P31" s="97"/>
      <c r="Q31" s="62"/>
      <c r="R31" s="62"/>
      <c r="S31" s="164"/>
    </row>
    <row r="32" spans="1:19" ht="15.75" x14ac:dyDescent="0.25">
      <c r="A32" s="58"/>
      <c r="B32" s="59"/>
      <c r="C32" s="59"/>
      <c r="D32" s="59"/>
      <c r="E32" s="60"/>
      <c r="F32" s="80"/>
      <c r="G32" s="81"/>
      <c r="H32" s="81"/>
      <c r="I32" s="53"/>
      <c r="J32" s="75"/>
      <c r="K32" s="75"/>
      <c r="L32" s="63">
        <v>616</v>
      </c>
      <c r="M32" s="61" t="s">
        <v>279</v>
      </c>
      <c r="N32" s="113" t="s">
        <v>34</v>
      </c>
      <c r="O32" s="62">
        <v>2</v>
      </c>
      <c r="P32" s="97"/>
      <c r="Q32" s="62"/>
      <c r="R32" s="62"/>
      <c r="S32" s="164"/>
    </row>
    <row r="33" spans="1:19" ht="15.75" x14ac:dyDescent="0.25">
      <c r="A33" s="58"/>
      <c r="B33" s="59"/>
      <c r="C33" s="59"/>
      <c r="D33" s="59"/>
      <c r="E33" s="60"/>
      <c r="F33" s="80"/>
      <c r="G33" s="81"/>
      <c r="H33" s="81"/>
      <c r="I33" s="53"/>
      <c r="J33" s="75"/>
      <c r="K33" s="75"/>
      <c r="L33" s="63" t="s">
        <v>280</v>
      </c>
      <c r="M33" s="61" t="s">
        <v>281</v>
      </c>
      <c r="N33" s="113" t="s">
        <v>34</v>
      </c>
      <c r="O33" s="62">
        <v>1</v>
      </c>
      <c r="P33" s="97"/>
      <c r="Q33" s="62"/>
      <c r="R33" s="62"/>
      <c r="S33" s="164"/>
    </row>
    <row r="34" spans="1:19" ht="15.75" x14ac:dyDescent="0.25">
      <c r="A34" s="58"/>
      <c r="B34" s="59"/>
      <c r="C34" s="59"/>
      <c r="D34" s="59"/>
      <c r="E34" s="60"/>
      <c r="F34" s="80"/>
      <c r="G34" s="81"/>
      <c r="H34" s="81"/>
      <c r="I34" s="53"/>
      <c r="J34" s="75"/>
      <c r="K34" s="75"/>
      <c r="L34" s="63" t="s">
        <v>164</v>
      </c>
      <c r="M34" s="61" t="s">
        <v>165</v>
      </c>
      <c r="N34" s="113" t="s">
        <v>34</v>
      </c>
      <c r="O34" s="62">
        <v>1</v>
      </c>
      <c r="P34" s="97"/>
      <c r="Q34" s="62"/>
      <c r="R34" s="62"/>
      <c r="S34" s="164"/>
    </row>
    <row r="35" spans="1:19" ht="15.75" x14ac:dyDescent="0.25">
      <c r="A35" s="58"/>
      <c r="B35" s="59"/>
      <c r="C35" s="59"/>
      <c r="D35" s="59"/>
      <c r="E35" s="60"/>
      <c r="F35" s="80"/>
      <c r="G35" s="81"/>
      <c r="H35" s="81"/>
      <c r="I35" s="53"/>
      <c r="J35" s="75"/>
      <c r="K35" s="75"/>
      <c r="L35" s="63" t="s">
        <v>282</v>
      </c>
      <c r="M35" s="61" t="s">
        <v>283</v>
      </c>
      <c r="N35" s="113" t="s">
        <v>34</v>
      </c>
      <c r="O35" s="62">
        <v>7</v>
      </c>
      <c r="P35" s="97"/>
      <c r="Q35" s="62"/>
      <c r="R35" s="62"/>
      <c r="S35" s="164"/>
    </row>
    <row r="36" spans="1:19" ht="15.75" x14ac:dyDescent="0.25">
      <c r="A36" s="58"/>
      <c r="B36" s="59"/>
      <c r="C36" s="59"/>
      <c r="D36" s="59"/>
      <c r="E36" s="60"/>
      <c r="F36" s="80"/>
      <c r="G36" s="81"/>
      <c r="H36" s="81"/>
      <c r="I36" s="53"/>
      <c r="J36" s="75"/>
      <c r="K36" s="75"/>
      <c r="L36" s="63">
        <v>486</v>
      </c>
      <c r="M36" s="61" t="s">
        <v>284</v>
      </c>
      <c r="N36" s="113" t="s">
        <v>34</v>
      </c>
      <c r="O36" s="62">
        <v>4</v>
      </c>
      <c r="P36" s="97"/>
      <c r="Q36" s="62"/>
      <c r="R36" s="62"/>
      <c r="S36" s="164"/>
    </row>
    <row r="37" spans="1:19" ht="15.75" x14ac:dyDescent="0.25">
      <c r="A37" s="58"/>
      <c r="B37" s="59"/>
      <c r="C37" s="59"/>
      <c r="D37" s="59"/>
      <c r="E37" s="60"/>
      <c r="F37" s="80"/>
      <c r="G37" s="81"/>
      <c r="H37" s="81"/>
      <c r="I37" s="53"/>
      <c r="J37" s="75"/>
      <c r="K37" s="75"/>
      <c r="L37" s="63">
        <v>17002</v>
      </c>
      <c r="M37" s="61" t="s">
        <v>285</v>
      </c>
      <c r="N37" s="113" t="s">
        <v>34</v>
      </c>
      <c r="O37" s="62">
        <v>4</v>
      </c>
      <c r="P37" s="97"/>
      <c r="Q37" s="62"/>
      <c r="R37" s="62"/>
      <c r="S37" s="164"/>
    </row>
    <row r="38" spans="1:19" ht="15.75" x14ac:dyDescent="0.25">
      <c r="A38" s="58"/>
      <c r="B38" s="59"/>
      <c r="C38" s="59"/>
      <c r="D38" s="59"/>
      <c r="E38" s="60"/>
      <c r="F38" s="80"/>
      <c r="G38" s="81"/>
      <c r="H38" s="81"/>
      <c r="I38" s="53"/>
      <c r="J38" s="75"/>
      <c r="K38" s="75"/>
      <c r="L38" s="63" t="s">
        <v>286</v>
      </c>
      <c r="M38" s="61" t="s">
        <v>287</v>
      </c>
      <c r="N38" s="113" t="s">
        <v>34</v>
      </c>
      <c r="O38" s="62">
        <v>3</v>
      </c>
      <c r="P38" s="97"/>
      <c r="Q38" s="62"/>
      <c r="R38" s="62"/>
      <c r="S38" s="164"/>
    </row>
    <row r="39" spans="1:19" ht="15.75" x14ac:dyDescent="0.25">
      <c r="A39" s="58"/>
      <c r="B39" s="59"/>
      <c r="C39" s="59"/>
      <c r="D39" s="59"/>
      <c r="E39" s="60"/>
      <c r="F39" s="80"/>
      <c r="G39" s="81"/>
      <c r="H39" s="81"/>
      <c r="I39" s="53"/>
      <c r="J39" s="75"/>
      <c r="K39" s="75"/>
      <c r="L39" s="63">
        <v>10911</v>
      </c>
      <c r="M39" s="61" t="s">
        <v>288</v>
      </c>
      <c r="N39" s="113" t="s">
        <v>34</v>
      </c>
      <c r="O39" s="62">
        <v>3</v>
      </c>
      <c r="P39" s="97"/>
      <c r="Q39" s="62"/>
      <c r="R39" s="62"/>
      <c r="S39" s="164"/>
    </row>
    <row r="40" spans="1:19" ht="15.75" x14ac:dyDescent="0.25">
      <c r="A40" s="58"/>
      <c r="B40" s="59"/>
      <c r="C40" s="59"/>
      <c r="D40" s="59"/>
      <c r="E40" s="60"/>
      <c r="F40" s="80"/>
      <c r="G40" s="81"/>
      <c r="H40" s="81"/>
      <c r="I40" s="53"/>
      <c r="J40" s="75"/>
      <c r="K40" s="75"/>
      <c r="L40" s="63" t="s">
        <v>49</v>
      </c>
      <c r="M40" s="61" t="s">
        <v>74</v>
      </c>
      <c r="N40" s="113" t="s">
        <v>34</v>
      </c>
      <c r="O40" s="62">
        <v>6</v>
      </c>
      <c r="P40" s="97"/>
      <c r="Q40" s="62"/>
      <c r="R40" s="62"/>
      <c r="S40" s="164"/>
    </row>
    <row r="41" spans="1:19" ht="15.75" x14ac:dyDescent="0.25">
      <c r="A41" s="58"/>
      <c r="B41" s="59"/>
      <c r="C41" s="59"/>
      <c r="D41" s="59"/>
      <c r="E41" s="60"/>
      <c r="F41" s="80"/>
      <c r="G41" s="81"/>
      <c r="H41" s="81"/>
      <c r="I41" s="53"/>
      <c r="J41" s="75"/>
      <c r="K41" s="75"/>
      <c r="L41" s="63" t="s">
        <v>166</v>
      </c>
      <c r="M41" s="61" t="s">
        <v>167</v>
      </c>
      <c r="N41" s="113" t="s">
        <v>34</v>
      </c>
      <c r="O41" s="62">
        <v>1</v>
      </c>
      <c r="P41" s="97"/>
      <c r="Q41" s="62"/>
      <c r="R41" s="62"/>
      <c r="S41" s="164"/>
    </row>
    <row r="42" spans="1:19" ht="15.75" x14ac:dyDescent="0.25">
      <c r="A42" s="58"/>
      <c r="B42" s="59"/>
      <c r="C42" s="59"/>
      <c r="D42" s="59"/>
      <c r="E42" s="60"/>
      <c r="F42" s="80"/>
      <c r="G42" s="81"/>
      <c r="H42" s="81"/>
      <c r="I42" s="53"/>
      <c r="J42" s="75"/>
      <c r="K42" s="75"/>
      <c r="L42" s="63">
        <v>11950</v>
      </c>
      <c r="M42" s="61" t="s">
        <v>760</v>
      </c>
      <c r="N42" s="113" t="s">
        <v>34</v>
      </c>
      <c r="O42" s="62">
        <v>1</v>
      </c>
      <c r="P42" s="97"/>
      <c r="Q42" s="62"/>
      <c r="R42" s="62"/>
      <c r="S42" s="164"/>
    </row>
    <row r="43" spans="1:19" ht="15.75" x14ac:dyDescent="0.25">
      <c r="A43" s="58"/>
      <c r="B43" s="59"/>
      <c r="C43" s="59"/>
      <c r="D43" s="59"/>
      <c r="E43" s="60"/>
      <c r="F43" s="80"/>
      <c r="G43" s="81"/>
      <c r="H43" s="81"/>
      <c r="I43" s="53"/>
      <c r="J43" s="75"/>
      <c r="K43" s="75"/>
      <c r="L43" s="63">
        <v>5990</v>
      </c>
      <c r="M43" s="61" t="s">
        <v>75</v>
      </c>
      <c r="N43" s="113" t="s">
        <v>34</v>
      </c>
      <c r="O43" s="62">
        <v>20</v>
      </c>
      <c r="P43" s="97"/>
      <c r="Q43" s="62"/>
      <c r="R43" s="62"/>
      <c r="S43" s="164"/>
    </row>
    <row r="44" spans="1:19" ht="15.75" x14ac:dyDescent="0.25">
      <c r="A44" s="58"/>
      <c r="B44" s="59"/>
      <c r="C44" s="59"/>
      <c r="D44" s="59"/>
      <c r="E44" s="60"/>
      <c r="F44" s="80"/>
      <c r="G44" s="81"/>
      <c r="H44" s="81"/>
      <c r="I44" s="53"/>
      <c r="J44" s="75"/>
      <c r="K44" s="75"/>
      <c r="L44" s="63">
        <v>11093</v>
      </c>
      <c r="M44" s="61" t="s">
        <v>289</v>
      </c>
      <c r="N44" s="113" t="s">
        <v>35</v>
      </c>
      <c r="O44" s="62">
        <v>9.5</v>
      </c>
      <c r="P44" s="97"/>
      <c r="Q44" s="62"/>
      <c r="R44" s="62"/>
      <c r="S44" s="164"/>
    </row>
    <row r="45" spans="1:19" ht="15.75" x14ac:dyDescent="0.25">
      <c r="A45" s="58"/>
      <c r="B45" s="59"/>
      <c r="C45" s="59"/>
      <c r="D45" s="59"/>
      <c r="E45" s="60"/>
      <c r="F45" s="80"/>
      <c r="G45" s="81"/>
      <c r="H45" s="81"/>
      <c r="I45" s="53"/>
      <c r="J45" s="75"/>
      <c r="K45" s="75"/>
      <c r="L45" s="63" t="s">
        <v>42</v>
      </c>
      <c r="M45" s="61" t="s">
        <v>76</v>
      </c>
      <c r="N45" s="113" t="s">
        <v>34</v>
      </c>
      <c r="O45" s="62">
        <v>1250</v>
      </c>
      <c r="P45" s="97"/>
      <c r="Q45" s="62"/>
      <c r="R45" s="62"/>
      <c r="S45" s="164"/>
    </row>
    <row r="46" spans="1:19" ht="15.75" x14ac:dyDescent="0.25">
      <c r="A46" s="58"/>
      <c r="B46" s="59"/>
      <c r="C46" s="59"/>
      <c r="D46" s="59"/>
      <c r="E46" s="60"/>
      <c r="F46" s="80"/>
      <c r="G46" s="81"/>
      <c r="H46" s="81"/>
      <c r="I46" s="53"/>
      <c r="J46" s="75"/>
      <c r="K46" s="75"/>
      <c r="L46" s="63" t="s">
        <v>168</v>
      </c>
      <c r="M46" s="61" t="s">
        <v>169</v>
      </c>
      <c r="N46" s="113" t="s">
        <v>34</v>
      </c>
      <c r="O46" s="62">
        <v>3600</v>
      </c>
      <c r="P46" s="97"/>
      <c r="Q46" s="62"/>
      <c r="R46" s="62"/>
      <c r="S46" s="164"/>
    </row>
    <row r="47" spans="1:19" ht="15.75" x14ac:dyDescent="0.25">
      <c r="A47" s="58"/>
      <c r="B47" s="59"/>
      <c r="C47" s="59"/>
      <c r="D47" s="59"/>
      <c r="E47" s="60"/>
      <c r="F47" s="80"/>
      <c r="G47" s="81"/>
      <c r="H47" s="81"/>
      <c r="I47" s="53"/>
      <c r="J47" s="75"/>
      <c r="K47" s="75"/>
      <c r="L47" s="63">
        <v>5936</v>
      </c>
      <c r="M47" s="61" t="s">
        <v>77</v>
      </c>
      <c r="N47" s="113" t="s">
        <v>34</v>
      </c>
      <c r="O47" s="62">
        <v>3500</v>
      </c>
      <c r="P47" s="97"/>
      <c r="Q47" s="62"/>
      <c r="R47" s="62"/>
      <c r="S47" s="164"/>
    </row>
    <row r="48" spans="1:19" ht="15.75" x14ac:dyDescent="0.25">
      <c r="A48" s="58"/>
      <c r="B48" s="59"/>
      <c r="C48" s="59"/>
      <c r="D48" s="59"/>
      <c r="E48" s="60"/>
      <c r="F48" s="80"/>
      <c r="G48" s="81"/>
      <c r="H48" s="81"/>
      <c r="I48" s="53"/>
      <c r="J48" s="75"/>
      <c r="K48" s="75"/>
      <c r="L48" s="63" t="s">
        <v>41</v>
      </c>
      <c r="M48" s="61" t="s">
        <v>78</v>
      </c>
      <c r="N48" s="113" t="s">
        <v>34</v>
      </c>
      <c r="O48" s="62">
        <v>5100</v>
      </c>
      <c r="P48" s="97"/>
      <c r="Q48" s="62"/>
      <c r="R48" s="62"/>
      <c r="S48" s="164"/>
    </row>
    <row r="49" spans="1:19" ht="15.75" x14ac:dyDescent="0.25">
      <c r="A49" s="58"/>
      <c r="B49" s="59"/>
      <c r="C49" s="59"/>
      <c r="D49" s="59"/>
      <c r="E49" s="60"/>
      <c r="F49" s="80"/>
      <c r="G49" s="81"/>
      <c r="H49" s="81"/>
      <c r="I49" s="53"/>
      <c r="J49" s="75"/>
      <c r="K49" s="75"/>
      <c r="L49" s="63" t="s">
        <v>443</v>
      </c>
      <c r="M49" s="61" t="s">
        <v>79</v>
      </c>
      <c r="N49" s="113" t="s">
        <v>34</v>
      </c>
      <c r="O49" s="62">
        <v>1500</v>
      </c>
      <c r="P49" s="97"/>
      <c r="Q49" s="62"/>
      <c r="R49" s="62"/>
      <c r="S49" s="164"/>
    </row>
    <row r="50" spans="1:19" ht="15.75" x14ac:dyDescent="0.25">
      <c r="A50" s="58"/>
      <c r="B50" s="59"/>
      <c r="C50" s="59"/>
      <c r="D50" s="59"/>
      <c r="E50" s="60"/>
      <c r="F50" s="80"/>
      <c r="G50" s="81"/>
      <c r="H50" s="81"/>
      <c r="I50" s="53"/>
      <c r="J50" s="75"/>
      <c r="K50" s="75"/>
      <c r="L50" s="63" t="s">
        <v>763</v>
      </c>
      <c r="M50" s="61" t="s">
        <v>764</v>
      </c>
      <c r="N50" s="113"/>
      <c r="O50" s="62">
        <v>1300</v>
      </c>
      <c r="P50" s="97"/>
      <c r="Q50" s="62"/>
      <c r="R50" s="62"/>
      <c r="S50" s="164"/>
    </row>
    <row r="51" spans="1:19" ht="15.75" x14ac:dyDescent="0.25">
      <c r="A51" s="58"/>
      <c r="B51" s="59"/>
      <c r="C51" s="59"/>
      <c r="D51" s="59"/>
      <c r="E51" s="60"/>
      <c r="F51" s="80"/>
      <c r="G51" s="81"/>
      <c r="H51" s="81"/>
      <c r="I51" s="53"/>
      <c r="J51" s="75"/>
      <c r="K51" s="75"/>
      <c r="L51" s="63">
        <v>9513</v>
      </c>
      <c r="M51" s="61" t="s">
        <v>765</v>
      </c>
      <c r="N51" s="113"/>
      <c r="O51" s="62">
        <v>700</v>
      </c>
      <c r="P51" s="97"/>
      <c r="Q51" s="62"/>
      <c r="R51" s="62"/>
      <c r="S51" s="164"/>
    </row>
    <row r="52" spans="1:19" ht="15.75" x14ac:dyDescent="0.25">
      <c r="A52" s="58"/>
      <c r="B52" s="59"/>
      <c r="C52" s="59"/>
      <c r="D52" s="59"/>
      <c r="E52" s="60"/>
      <c r="F52" s="80"/>
      <c r="G52" s="81"/>
      <c r="H52" s="81"/>
      <c r="I52" s="53"/>
      <c r="J52" s="75"/>
      <c r="K52" s="75"/>
      <c r="L52" s="63">
        <v>17039</v>
      </c>
      <c r="M52" s="61" t="s">
        <v>290</v>
      </c>
      <c r="N52" s="113" t="s">
        <v>34</v>
      </c>
      <c r="O52" s="62">
        <v>1</v>
      </c>
      <c r="P52" s="97"/>
      <c r="Q52" s="62"/>
      <c r="R52" s="62"/>
      <c r="S52" s="164"/>
    </row>
    <row r="53" spans="1:19" ht="15.75" x14ac:dyDescent="0.25">
      <c r="A53" s="58"/>
      <c r="B53" s="59"/>
      <c r="C53" s="59"/>
      <c r="D53" s="59"/>
      <c r="E53" s="60"/>
      <c r="F53" s="80"/>
      <c r="G53" s="81"/>
      <c r="H53" s="81"/>
      <c r="I53" s="53"/>
      <c r="J53" s="75"/>
      <c r="K53" s="75"/>
      <c r="L53" s="63" t="s">
        <v>170</v>
      </c>
      <c r="M53" s="61" t="s">
        <v>171</v>
      </c>
      <c r="N53" s="113" t="s">
        <v>34</v>
      </c>
      <c r="O53" s="62">
        <v>2</v>
      </c>
      <c r="P53" s="97"/>
      <c r="Q53" s="62"/>
      <c r="R53" s="62"/>
      <c r="S53" s="164"/>
    </row>
    <row r="54" spans="1:19" ht="15.75" x14ac:dyDescent="0.25">
      <c r="A54" s="58"/>
      <c r="B54" s="59"/>
      <c r="C54" s="59"/>
      <c r="D54" s="59"/>
      <c r="E54" s="60"/>
      <c r="F54" s="80"/>
      <c r="G54" s="81"/>
      <c r="H54" s="81"/>
      <c r="I54" s="53"/>
      <c r="J54" s="75"/>
      <c r="K54" s="75"/>
      <c r="L54" s="63">
        <v>597</v>
      </c>
      <c r="M54" s="61" t="s">
        <v>291</v>
      </c>
      <c r="N54" s="113" t="s">
        <v>34</v>
      </c>
      <c r="O54" s="62">
        <v>4</v>
      </c>
      <c r="P54" s="97"/>
      <c r="Q54" s="62"/>
      <c r="R54" s="62"/>
      <c r="S54" s="164"/>
    </row>
    <row r="55" spans="1:19" ht="15.75" x14ac:dyDescent="0.25">
      <c r="A55" s="58"/>
      <c r="B55" s="59"/>
      <c r="C55" s="59"/>
      <c r="D55" s="59"/>
      <c r="E55" s="60"/>
      <c r="F55" s="80"/>
      <c r="G55" s="81"/>
      <c r="H55" s="81"/>
      <c r="I55" s="53"/>
      <c r="J55" s="75"/>
      <c r="K55" s="75"/>
      <c r="L55" s="63" t="s">
        <v>746</v>
      </c>
      <c r="M55" s="61" t="s">
        <v>174</v>
      </c>
      <c r="N55" s="55" t="s">
        <v>34</v>
      </c>
      <c r="O55" s="62">
        <v>16</v>
      </c>
      <c r="P55" s="97"/>
      <c r="Q55" s="62"/>
      <c r="R55" s="62"/>
      <c r="S55" s="164"/>
    </row>
    <row r="56" spans="1:19" ht="15.75" x14ac:dyDescent="0.25">
      <c r="A56" s="58"/>
      <c r="B56" s="59"/>
      <c r="C56" s="59"/>
      <c r="D56" s="59"/>
      <c r="E56" s="60"/>
      <c r="F56" s="80"/>
      <c r="G56" s="81"/>
      <c r="H56" s="81"/>
      <c r="I56" s="53"/>
      <c r="J56" s="75"/>
      <c r="K56" s="75"/>
      <c r="L56" s="63" t="s">
        <v>175</v>
      </c>
      <c r="M56" s="61" t="s">
        <v>176</v>
      </c>
      <c r="N56" s="55" t="s">
        <v>34</v>
      </c>
      <c r="O56" s="62">
        <v>1</v>
      </c>
      <c r="P56" s="97"/>
      <c r="Q56" s="62"/>
      <c r="R56" s="62"/>
      <c r="S56" s="164"/>
    </row>
    <row r="57" spans="1:19" ht="15.75" x14ac:dyDescent="0.25">
      <c r="A57" s="58"/>
      <c r="B57" s="59"/>
      <c r="C57" s="59"/>
      <c r="D57" s="59"/>
      <c r="E57" s="60"/>
      <c r="F57" s="80"/>
      <c r="G57" s="81"/>
      <c r="H57" s="81"/>
      <c r="I57" s="53"/>
      <c r="J57" s="75"/>
      <c r="K57" s="75"/>
      <c r="L57" s="63">
        <v>89</v>
      </c>
      <c r="M57" s="61" t="s">
        <v>294</v>
      </c>
      <c r="N57" s="55" t="s">
        <v>34</v>
      </c>
      <c r="O57" s="62">
        <v>2</v>
      </c>
      <c r="P57" s="97"/>
      <c r="Q57" s="62"/>
      <c r="R57" s="62"/>
      <c r="S57" s="164"/>
    </row>
    <row r="58" spans="1:19" ht="15.75" x14ac:dyDescent="0.25">
      <c r="A58" s="58"/>
      <c r="B58" s="59"/>
      <c r="C58" s="59"/>
      <c r="D58" s="59"/>
      <c r="E58" s="60"/>
      <c r="F58" s="80"/>
      <c r="G58" s="81"/>
      <c r="H58" s="81"/>
      <c r="I58" s="53"/>
      <c r="J58" s="75"/>
      <c r="K58" s="75"/>
      <c r="L58" s="63">
        <v>87</v>
      </c>
      <c r="M58" s="61" t="s">
        <v>295</v>
      </c>
      <c r="N58" s="55" t="s">
        <v>34</v>
      </c>
      <c r="O58" s="62">
        <v>3</v>
      </c>
      <c r="P58" s="97"/>
      <c r="Q58" s="62"/>
      <c r="R58" s="62"/>
      <c r="S58" s="164"/>
    </row>
    <row r="59" spans="1:19" ht="15.75" x14ac:dyDescent="0.25">
      <c r="A59" s="58"/>
      <c r="B59" s="59"/>
      <c r="C59" s="59"/>
      <c r="D59" s="59"/>
      <c r="E59" s="60"/>
      <c r="F59" s="80"/>
      <c r="G59" s="81"/>
      <c r="H59" s="81"/>
      <c r="I59" s="53"/>
      <c r="J59" s="75"/>
      <c r="K59" s="75"/>
      <c r="L59" s="63">
        <v>19322</v>
      </c>
      <c r="M59" s="61" t="s">
        <v>296</v>
      </c>
      <c r="N59" s="113" t="s">
        <v>34</v>
      </c>
      <c r="O59" s="62">
        <v>6</v>
      </c>
      <c r="P59" s="97"/>
      <c r="Q59" s="62"/>
      <c r="R59" s="62"/>
      <c r="S59" s="164"/>
    </row>
    <row r="60" spans="1:19" ht="15.75" x14ac:dyDescent="0.25">
      <c r="A60" s="58"/>
      <c r="B60" s="59"/>
      <c r="C60" s="59"/>
      <c r="D60" s="59"/>
      <c r="E60" s="60"/>
      <c r="F60" s="80"/>
      <c r="G60" s="81"/>
      <c r="H60" s="81"/>
      <c r="I60" s="53"/>
      <c r="J60" s="75"/>
      <c r="K60" s="75"/>
      <c r="L60" s="63">
        <v>341</v>
      </c>
      <c r="M60" s="61" t="s">
        <v>297</v>
      </c>
      <c r="N60" s="113" t="s">
        <v>34</v>
      </c>
      <c r="O60" s="62">
        <v>6</v>
      </c>
      <c r="P60" s="97"/>
      <c r="Q60" s="62"/>
      <c r="R60" s="62"/>
      <c r="S60" s="164"/>
    </row>
    <row r="61" spans="1:19" ht="15.75" x14ac:dyDescent="0.25">
      <c r="A61" s="58"/>
      <c r="B61" s="59"/>
      <c r="C61" s="59"/>
      <c r="D61" s="59"/>
      <c r="E61" s="60"/>
      <c r="F61" s="80"/>
      <c r="G61" s="81"/>
      <c r="H61" s="81"/>
      <c r="I61" s="53"/>
      <c r="J61" s="75"/>
      <c r="K61" s="75"/>
      <c r="L61" s="63">
        <v>19317</v>
      </c>
      <c r="M61" s="61" t="s">
        <v>177</v>
      </c>
      <c r="N61" s="113" t="s">
        <v>34</v>
      </c>
      <c r="O61" s="62">
        <v>1</v>
      </c>
      <c r="P61" s="97"/>
      <c r="Q61" s="62"/>
      <c r="R61" s="62"/>
      <c r="S61" s="164"/>
    </row>
    <row r="62" spans="1:19" ht="15.75" x14ac:dyDescent="0.25">
      <c r="A62" s="58"/>
      <c r="B62" s="59"/>
      <c r="C62" s="59"/>
      <c r="D62" s="59"/>
      <c r="E62" s="60"/>
      <c r="F62" s="80"/>
      <c r="G62" s="81"/>
      <c r="H62" s="81"/>
      <c r="I62" s="53"/>
      <c r="J62" s="75"/>
      <c r="K62" s="75"/>
      <c r="L62" s="63">
        <v>18688</v>
      </c>
      <c r="M62" s="61" t="s">
        <v>766</v>
      </c>
      <c r="N62" s="113" t="s">
        <v>57</v>
      </c>
      <c r="O62" s="62">
        <v>11</v>
      </c>
      <c r="P62" s="97"/>
      <c r="Q62" s="62"/>
      <c r="R62" s="62"/>
      <c r="S62" s="164"/>
    </row>
    <row r="63" spans="1:19" ht="15.75" x14ac:dyDescent="0.25">
      <c r="A63" s="58"/>
      <c r="B63" s="59"/>
      <c r="C63" s="59"/>
      <c r="D63" s="59"/>
      <c r="E63" s="60"/>
      <c r="F63" s="80"/>
      <c r="G63" s="81"/>
      <c r="H63" s="81"/>
      <c r="I63" s="53"/>
      <c r="J63" s="75"/>
      <c r="K63" s="75"/>
      <c r="L63" s="63" t="s">
        <v>298</v>
      </c>
      <c r="M63" s="61" t="s">
        <v>299</v>
      </c>
      <c r="N63" s="113" t="s">
        <v>34</v>
      </c>
      <c r="O63" s="62">
        <v>8</v>
      </c>
      <c r="P63" s="97"/>
      <c r="Q63" s="62"/>
      <c r="R63" s="62"/>
      <c r="S63" s="164"/>
    </row>
    <row r="64" spans="1:19" ht="15.75" x14ac:dyDescent="0.25">
      <c r="A64" s="58"/>
      <c r="B64" s="59"/>
      <c r="C64" s="59"/>
      <c r="D64" s="59"/>
      <c r="E64" s="60"/>
      <c r="F64" s="80"/>
      <c r="G64" s="81"/>
      <c r="H64" s="81"/>
      <c r="I64" s="53"/>
      <c r="J64" s="75"/>
      <c r="K64" s="75"/>
      <c r="L64" s="63" t="s">
        <v>754</v>
      </c>
      <c r="M64" s="61" t="s">
        <v>755</v>
      </c>
      <c r="N64" s="113" t="s">
        <v>34</v>
      </c>
      <c r="O64" s="62">
        <v>1</v>
      </c>
      <c r="P64" s="97"/>
      <c r="Q64" s="62"/>
      <c r="R64" s="62"/>
      <c r="S64" s="164"/>
    </row>
    <row r="65" spans="1:19" ht="15.75" x14ac:dyDescent="0.25">
      <c r="A65" s="58"/>
      <c r="B65" s="59"/>
      <c r="C65" s="59"/>
      <c r="D65" s="59"/>
      <c r="E65" s="60"/>
      <c r="F65" s="80"/>
      <c r="G65" s="81"/>
      <c r="H65" s="81"/>
      <c r="I65" s="53"/>
      <c r="J65" s="75"/>
      <c r="K65" s="75"/>
      <c r="L65" s="63" t="s">
        <v>302</v>
      </c>
      <c r="M65" s="61" t="s">
        <v>303</v>
      </c>
      <c r="N65" s="55" t="s">
        <v>35</v>
      </c>
      <c r="O65" s="62">
        <v>153</v>
      </c>
      <c r="P65" s="97"/>
      <c r="Q65" s="62"/>
      <c r="R65" s="62"/>
      <c r="S65" s="164"/>
    </row>
    <row r="66" spans="1:19" ht="15.75" x14ac:dyDescent="0.25">
      <c r="A66" s="58"/>
      <c r="B66" s="59"/>
      <c r="C66" s="59"/>
      <c r="D66" s="59"/>
      <c r="E66" s="60"/>
      <c r="F66" s="80"/>
      <c r="G66" s="81"/>
      <c r="H66" s="81"/>
      <c r="I66" s="53"/>
      <c r="J66" s="75"/>
      <c r="K66" s="75"/>
      <c r="L66" s="144" t="s">
        <v>51</v>
      </c>
      <c r="M66" s="61" t="s">
        <v>52</v>
      </c>
      <c r="N66" s="55" t="s">
        <v>68</v>
      </c>
      <c r="O66" s="138">
        <v>17.725000000000001</v>
      </c>
      <c r="P66" s="97"/>
      <c r="Q66" s="138"/>
      <c r="R66" s="138"/>
      <c r="S66" s="164"/>
    </row>
    <row r="67" spans="1:19" ht="15.75" x14ac:dyDescent="0.25">
      <c r="A67" s="58"/>
      <c r="B67" s="59"/>
      <c r="C67" s="59"/>
      <c r="D67" s="59"/>
      <c r="E67" s="60"/>
      <c r="F67" s="80"/>
      <c r="G67" s="81"/>
      <c r="H67" s="81"/>
      <c r="I67" s="53"/>
      <c r="J67" s="75"/>
      <c r="K67" s="75"/>
      <c r="L67" s="63" t="s">
        <v>304</v>
      </c>
      <c r="M67" s="61" t="s">
        <v>305</v>
      </c>
      <c r="N67" s="113" t="s">
        <v>34</v>
      </c>
      <c r="O67" s="62">
        <v>40</v>
      </c>
      <c r="P67" s="97"/>
      <c r="Q67" s="62"/>
      <c r="R67" s="62"/>
      <c r="S67" s="164"/>
    </row>
    <row r="68" spans="1:19" ht="15.75" x14ac:dyDescent="0.25">
      <c r="A68" s="58"/>
      <c r="B68" s="59"/>
      <c r="C68" s="59"/>
      <c r="D68" s="59"/>
      <c r="E68" s="60"/>
      <c r="F68" s="80"/>
      <c r="G68" s="81"/>
      <c r="H68" s="81"/>
      <c r="I68" s="53"/>
      <c r="J68" s="75"/>
      <c r="K68" s="75"/>
      <c r="L68" s="63" t="s">
        <v>306</v>
      </c>
      <c r="M68" s="61" t="s">
        <v>307</v>
      </c>
      <c r="N68" s="113" t="s">
        <v>34</v>
      </c>
      <c r="O68" s="62">
        <v>16</v>
      </c>
      <c r="P68" s="97"/>
      <c r="Q68" s="62"/>
      <c r="R68" s="62"/>
      <c r="S68" s="164"/>
    </row>
    <row r="69" spans="1:19" ht="15.75" x14ac:dyDescent="0.25">
      <c r="A69" s="58"/>
      <c r="B69" s="59"/>
      <c r="C69" s="59"/>
      <c r="D69" s="59"/>
      <c r="E69" s="60"/>
      <c r="F69" s="80"/>
      <c r="G69" s="81"/>
      <c r="H69" s="81"/>
      <c r="I69" s="53"/>
      <c r="J69" s="75"/>
      <c r="K69" s="75"/>
      <c r="L69" s="63" t="s">
        <v>308</v>
      </c>
      <c r="M69" s="61" t="s">
        <v>309</v>
      </c>
      <c r="N69" s="113" t="s">
        <v>34</v>
      </c>
      <c r="O69" s="62">
        <v>32</v>
      </c>
      <c r="P69" s="97"/>
      <c r="Q69" s="62"/>
      <c r="R69" s="62"/>
      <c r="S69" s="164"/>
    </row>
    <row r="70" spans="1:19" ht="15.75" x14ac:dyDescent="0.25">
      <c r="A70" s="58"/>
      <c r="B70" s="59"/>
      <c r="C70" s="59"/>
      <c r="D70" s="59"/>
      <c r="E70" s="60"/>
      <c r="F70" s="80"/>
      <c r="G70" s="81"/>
      <c r="H70" s="81"/>
      <c r="I70" s="53"/>
      <c r="J70" s="75"/>
      <c r="K70" s="75"/>
      <c r="L70" s="63" t="s">
        <v>310</v>
      </c>
      <c r="M70" s="61" t="s">
        <v>311</v>
      </c>
      <c r="N70" s="113" t="s">
        <v>34</v>
      </c>
      <c r="O70" s="62">
        <v>8</v>
      </c>
      <c r="P70" s="97"/>
      <c r="Q70" s="62"/>
      <c r="R70" s="62"/>
      <c r="S70" s="164"/>
    </row>
    <row r="71" spans="1:19" ht="15.75" x14ac:dyDescent="0.25">
      <c r="A71" s="58"/>
      <c r="B71" s="59"/>
      <c r="C71" s="59"/>
      <c r="D71" s="59"/>
      <c r="E71" s="60"/>
      <c r="F71" s="80"/>
      <c r="G71" s="81"/>
      <c r="H71" s="81"/>
      <c r="I71" s="53"/>
      <c r="J71" s="75"/>
      <c r="K71" s="75"/>
      <c r="L71" s="63" t="s">
        <v>312</v>
      </c>
      <c r="M71" s="61" t="s">
        <v>313</v>
      </c>
      <c r="N71" s="113" t="s">
        <v>34</v>
      </c>
      <c r="O71" s="62">
        <v>4</v>
      </c>
      <c r="P71" s="97"/>
      <c r="Q71" s="62"/>
      <c r="R71" s="62"/>
      <c r="S71" s="164"/>
    </row>
    <row r="72" spans="1:19" ht="15.75" x14ac:dyDescent="0.25">
      <c r="A72" s="58"/>
      <c r="B72" s="59"/>
      <c r="C72" s="59"/>
      <c r="D72" s="59"/>
      <c r="E72" s="60"/>
      <c r="F72" s="80"/>
      <c r="G72" s="81"/>
      <c r="H72" s="81"/>
      <c r="I72" s="53"/>
      <c r="J72" s="75"/>
      <c r="K72" s="75"/>
      <c r="L72" s="63" t="s">
        <v>314</v>
      </c>
      <c r="M72" s="61" t="s">
        <v>315</v>
      </c>
      <c r="N72" s="113" t="s">
        <v>66</v>
      </c>
      <c r="O72" s="62">
        <v>0.504</v>
      </c>
      <c r="P72" s="97"/>
      <c r="Q72" s="62"/>
      <c r="R72" s="62"/>
      <c r="S72" s="164"/>
    </row>
    <row r="73" spans="1:19" ht="15.75" x14ac:dyDescent="0.25">
      <c r="A73" s="58"/>
      <c r="B73" s="59"/>
      <c r="C73" s="59"/>
      <c r="D73" s="59"/>
      <c r="E73" s="60"/>
      <c r="F73" s="80"/>
      <c r="G73" s="81"/>
      <c r="H73" s="81"/>
      <c r="I73" s="53"/>
      <c r="J73" s="75"/>
      <c r="K73" s="75"/>
      <c r="L73" s="63">
        <v>7114</v>
      </c>
      <c r="M73" s="61" t="s">
        <v>316</v>
      </c>
      <c r="N73" s="113" t="s">
        <v>34</v>
      </c>
      <c r="O73" s="62">
        <v>1.5</v>
      </c>
      <c r="P73" s="97"/>
      <c r="Q73" s="97"/>
      <c r="R73" s="101"/>
      <c r="S73" s="164"/>
    </row>
    <row r="74" spans="1:19" ht="15.75" x14ac:dyDescent="0.25">
      <c r="A74" s="58"/>
      <c r="B74" s="59"/>
      <c r="C74" s="59"/>
      <c r="D74" s="59"/>
      <c r="E74" s="60"/>
      <c r="F74" s="80"/>
      <c r="G74" s="81"/>
      <c r="H74" s="81"/>
      <c r="I74" s="53"/>
      <c r="J74" s="75"/>
      <c r="K74" s="75"/>
      <c r="L74" s="63">
        <v>9858</v>
      </c>
      <c r="M74" s="61" t="s">
        <v>178</v>
      </c>
      <c r="N74" s="113" t="s">
        <v>56</v>
      </c>
      <c r="O74" s="62">
        <v>0.01</v>
      </c>
      <c r="P74" s="97"/>
      <c r="Q74" s="62"/>
      <c r="R74" s="62"/>
      <c r="S74" s="164"/>
    </row>
    <row r="75" spans="1:19" ht="15.75" x14ac:dyDescent="0.25">
      <c r="A75" s="58"/>
      <c r="B75" s="59"/>
      <c r="C75" s="59"/>
      <c r="D75" s="59"/>
      <c r="E75" s="60"/>
      <c r="F75" s="80"/>
      <c r="G75" s="81"/>
      <c r="H75" s="81"/>
      <c r="I75" s="53"/>
      <c r="J75" s="75"/>
      <c r="K75" s="75"/>
      <c r="L75" s="63" t="s">
        <v>758</v>
      </c>
      <c r="M75" s="61" t="s">
        <v>759</v>
      </c>
      <c r="N75" s="55" t="s">
        <v>34</v>
      </c>
      <c r="O75" s="62">
        <v>1</v>
      </c>
      <c r="P75" s="97"/>
      <c r="Q75" s="62"/>
      <c r="R75" s="62"/>
      <c r="S75" s="164"/>
    </row>
    <row r="76" spans="1:19" ht="15.75" x14ac:dyDescent="0.25">
      <c r="A76" s="58"/>
      <c r="B76" s="59"/>
      <c r="C76" s="59"/>
      <c r="D76" s="59"/>
      <c r="E76" s="60"/>
      <c r="F76" s="80"/>
      <c r="G76" s="81"/>
      <c r="H76" s="81"/>
      <c r="I76" s="53"/>
      <c r="J76" s="75"/>
      <c r="K76" s="75"/>
      <c r="L76" s="63" t="s">
        <v>179</v>
      </c>
      <c r="M76" s="61" t="s">
        <v>180</v>
      </c>
      <c r="N76" s="55" t="s">
        <v>34</v>
      </c>
      <c r="O76" s="62">
        <v>200</v>
      </c>
      <c r="P76" s="97"/>
      <c r="Q76" s="62"/>
      <c r="R76" s="62"/>
      <c r="S76" s="164"/>
    </row>
    <row r="77" spans="1:19" ht="15.75" x14ac:dyDescent="0.25">
      <c r="A77" s="58"/>
      <c r="B77" s="59"/>
      <c r="C77" s="59"/>
      <c r="D77" s="59"/>
      <c r="E77" s="60"/>
      <c r="F77" s="80"/>
      <c r="G77" s="81"/>
      <c r="H77" s="81"/>
      <c r="I77" s="53"/>
      <c r="J77" s="75"/>
      <c r="K77" s="75"/>
      <c r="L77" s="63" t="s">
        <v>181</v>
      </c>
      <c r="M77" s="61" t="s">
        <v>182</v>
      </c>
      <c r="N77" s="113" t="s">
        <v>34</v>
      </c>
      <c r="O77" s="62">
        <v>150</v>
      </c>
      <c r="P77" s="97"/>
      <c r="Q77" s="62"/>
      <c r="R77" s="62"/>
      <c r="S77" s="164"/>
    </row>
    <row r="78" spans="1:19" ht="15.75" x14ac:dyDescent="0.25">
      <c r="A78" s="58"/>
      <c r="B78" s="59"/>
      <c r="C78" s="59"/>
      <c r="D78" s="59"/>
      <c r="E78" s="60"/>
      <c r="F78" s="80"/>
      <c r="G78" s="81"/>
      <c r="H78" s="81"/>
      <c r="I78" s="53"/>
      <c r="J78" s="75"/>
      <c r="K78" s="75"/>
      <c r="L78" s="63" t="s">
        <v>322</v>
      </c>
      <c r="M78" s="61" t="s">
        <v>323</v>
      </c>
      <c r="N78" s="113" t="s">
        <v>34</v>
      </c>
      <c r="O78" s="62">
        <v>1</v>
      </c>
      <c r="P78" s="97"/>
      <c r="Q78" s="62"/>
      <c r="R78" s="62"/>
      <c r="S78" s="164"/>
    </row>
    <row r="79" spans="1:19" ht="15.75" x14ac:dyDescent="0.25">
      <c r="A79" s="58"/>
      <c r="B79" s="59"/>
      <c r="C79" s="59"/>
      <c r="D79" s="59"/>
      <c r="E79" s="60"/>
      <c r="F79" s="80"/>
      <c r="G79" s="81"/>
      <c r="H79" s="81"/>
      <c r="I79" s="53"/>
      <c r="J79" s="75"/>
      <c r="K79" s="75"/>
      <c r="L79" s="63" t="s">
        <v>324</v>
      </c>
      <c r="M79" s="61" t="s">
        <v>325</v>
      </c>
      <c r="N79" s="113" t="s">
        <v>34</v>
      </c>
      <c r="O79" s="62">
        <v>1</v>
      </c>
      <c r="P79" s="97"/>
      <c r="Q79" s="62"/>
      <c r="R79" s="62"/>
      <c r="S79" s="164"/>
    </row>
    <row r="80" spans="1:19" ht="15.75" x14ac:dyDescent="0.25">
      <c r="A80" s="58"/>
      <c r="B80" s="59"/>
      <c r="C80" s="59"/>
      <c r="D80" s="59"/>
      <c r="E80" s="60"/>
      <c r="F80" s="80"/>
      <c r="G80" s="81"/>
      <c r="H80" s="81"/>
      <c r="I80" s="53"/>
      <c r="J80" s="75"/>
      <c r="K80" s="75"/>
      <c r="L80" s="63" t="s">
        <v>326</v>
      </c>
      <c r="M80" s="61" t="s">
        <v>327</v>
      </c>
      <c r="N80" s="113" t="s">
        <v>34</v>
      </c>
      <c r="O80" s="62">
        <v>1</v>
      </c>
      <c r="P80" s="97"/>
      <c r="Q80" s="62"/>
      <c r="R80" s="62"/>
      <c r="S80" s="164"/>
    </row>
    <row r="81" spans="1:19" ht="15.75" x14ac:dyDescent="0.25">
      <c r="A81" s="58"/>
      <c r="B81" s="59"/>
      <c r="C81" s="59"/>
      <c r="D81" s="59"/>
      <c r="E81" s="60"/>
      <c r="F81" s="80"/>
      <c r="G81" s="81"/>
      <c r="H81" s="81"/>
      <c r="I81" s="53"/>
      <c r="J81" s="75"/>
      <c r="K81" s="75"/>
      <c r="L81" s="63">
        <v>102</v>
      </c>
      <c r="M81" s="61" t="s">
        <v>328</v>
      </c>
      <c r="N81" s="113" t="s">
        <v>34</v>
      </c>
      <c r="O81" s="62">
        <v>24</v>
      </c>
      <c r="P81" s="97"/>
      <c r="Q81" s="62"/>
      <c r="R81" s="62"/>
      <c r="S81" s="164"/>
    </row>
    <row r="82" spans="1:19" ht="15.75" x14ac:dyDescent="0.25">
      <c r="A82" s="58"/>
      <c r="B82" s="59"/>
      <c r="C82" s="59"/>
      <c r="D82" s="59"/>
      <c r="E82" s="60"/>
      <c r="F82" s="80"/>
      <c r="G82" s="81"/>
      <c r="H82" s="81"/>
      <c r="I82" s="53"/>
      <c r="J82" s="75"/>
      <c r="K82" s="75"/>
      <c r="L82" s="63" t="s">
        <v>329</v>
      </c>
      <c r="M82" s="61" t="s">
        <v>330</v>
      </c>
      <c r="N82" s="113" t="s">
        <v>34</v>
      </c>
      <c r="O82" s="62">
        <v>4</v>
      </c>
      <c r="P82" s="97"/>
      <c r="Q82" s="62"/>
      <c r="R82" s="62"/>
      <c r="S82" s="164"/>
    </row>
    <row r="83" spans="1:19" ht="15.75" x14ac:dyDescent="0.25">
      <c r="A83" s="58"/>
      <c r="B83" s="59"/>
      <c r="C83" s="59"/>
      <c r="D83" s="59"/>
      <c r="E83" s="60"/>
      <c r="F83" s="80"/>
      <c r="G83" s="81"/>
      <c r="H83" s="81"/>
      <c r="I83" s="53"/>
      <c r="J83" s="75"/>
      <c r="K83" s="75"/>
      <c r="L83" s="63" t="s">
        <v>331</v>
      </c>
      <c r="M83" s="61" t="s">
        <v>332</v>
      </c>
      <c r="N83" s="113" t="s">
        <v>34</v>
      </c>
      <c r="O83" s="62">
        <v>3</v>
      </c>
      <c r="P83" s="97"/>
      <c r="Q83" s="62"/>
      <c r="R83" s="62"/>
      <c r="S83" s="164"/>
    </row>
    <row r="84" spans="1:19" ht="15.75" x14ac:dyDescent="0.25">
      <c r="A84" s="58"/>
      <c r="B84" s="59"/>
      <c r="C84" s="59"/>
      <c r="D84" s="59"/>
      <c r="E84" s="60"/>
      <c r="F84" s="80"/>
      <c r="G84" s="81"/>
      <c r="H84" s="81"/>
      <c r="I84" s="53"/>
      <c r="J84" s="75"/>
      <c r="K84" s="75"/>
      <c r="L84" s="63" t="s">
        <v>333</v>
      </c>
      <c r="M84" s="61" t="s">
        <v>334</v>
      </c>
      <c r="N84" s="113" t="s">
        <v>34</v>
      </c>
      <c r="O84" s="62">
        <v>3</v>
      </c>
      <c r="P84" s="97"/>
      <c r="Q84" s="62"/>
      <c r="R84" s="62"/>
      <c r="S84" s="164"/>
    </row>
    <row r="85" spans="1:19" ht="15.75" x14ac:dyDescent="0.25">
      <c r="A85" s="58"/>
      <c r="B85" s="59"/>
      <c r="C85" s="59"/>
      <c r="D85" s="59"/>
      <c r="E85" s="60"/>
      <c r="F85" s="80"/>
      <c r="G85" s="81"/>
      <c r="H85" s="81"/>
      <c r="I85" s="53"/>
      <c r="J85" s="75"/>
      <c r="K85" s="75"/>
      <c r="L85" s="63" t="s">
        <v>768</v>
      </c>
      <c r="M85" s="61" t="s">
        <v>769</v>
      </c>
      <c r="N85" s="113" t="s">
        <v>34</v>
      </c>
      <c r="O85" s="62">
        <v>36</v>
      </c>
      <c r="P85" s="97"/>
      <c r="Q85" s="62"/>
      <c r="R85" s="62"/>
      <c r="S85" s="164"/>
    </row>
    <row r="86" spans="1:19" ht="15.75" x14ac:dyDescent="0.25">
      <c r="A86" s="58"/>
      <c r="B86" s="59"/>
      <c r="C86" s="59"/>
      <c r="D86" s="59"/>
      <c r="E86" s="60"/>
      <c r="F86" s="80"/>
      <c r="G86" s="81"/>
      <c r="H86" s="81"/>
      <c r="I86" s="53"/>
      <c r="J86" s="75"/>
      <c r="K86" s="75"/>
      <c r="L86" s="63" t="s">
        <v>770</v>
      </c>
      <c r="M86" s="61" t="s">
        <v>771</v>
      </c>
      <c r="N86" s="113" t="s">
        <v>34</v>
      </c>
      <c r="O86" s="62">
        <v>36</v>
      </c>
      <c r="P86" s="97"/>
      <c r="Q86" s="62"/>
      <c r="R86" s="62"/>
      <c r="S86" s="164"/>
    </row>
    <row r="87" spans="1:19" ht="15.75" x14ac:dyDescent="0.25">
      <c r="A87" s="58"/>
      <c r="B87" s="59"/>
      <c r="C87" s="59"/>
      <c r="D87" s="59"/>
      <c r="E87" s="60"/>
      <c r="F87" s="80"/>
      <c r="G87" s="81"/>
      <c r="H87" s="81"/>
      <c r="I87" s="53"/>
      <c r="J87" s="75"/>
      <c r="K87" s="75"/>
      <c r="L87" s="63">
        <v>21688</v>
      </c>
      <c r="M87" s="61" t="s">
        <v>337</v>
      </c>
      <c r="N87" s="113" t="s">
        <v>34</v>
      </c>
      <c r="O87" s="62">
        <v>2</v>
      </c>
      <c r="P87" s="97"/>
      <c r="Q87" s="62"/>
      <c r="R87" s="62"/>
      <c r="S87" s="164"/>
    </row>
    <row r="88" spans="1:19" ht="15.75" x14ac:dyDescent="0.25">
      <c r="A88" s="58"/>
      <c r="B88" s="59"/>
      <c r="C88" s="59"/>
      <c r="D88" s="59"/>
      <c r="E88" s="60"/>
      <c r="F88" s="80"/>
      <c r="G88" s="81"/>
      <c r="H88" s="81"/>
      <c r="I88" s="53"/>
      <c r="J88" s="75"/>
      <c r="K88" s="75"/>
      <c r="L88" s="63">
        <v>20679</v>
      </c>
      <c r="M88" s="61" t="s">
        <v>81</v>
      </c>
      <c r="N88" s="113" t="s">
        <v>34</v>
      </c>
      <c r="O88" s="62">
        <v>253</v>
      </c>
      <c r="P88" s="97"/>
      <c r="Q88" s="62"/>
      <c r="R88" s="62"/>
      <c r="S88" s="164"/>
    </row>
    <row r="89" spans="1:19" ht="15.75" x14ac:dyDescent="0.25">
      <c r="A89" s="58"/>
      <c r="B89" s="59"/>
      <c r="C89" s="59"/>
      <c r="D89" s="59"/>
      <c r="E89" s="60"/>
      <c r="F89" s="80"/>
      <c r="G89" s="81"/>
      <c r="H89" s="81"/>
      <c r="I89" s="53"/>
      <c r="J89" s="75"/>
      <c r="K89" s="75"/>
      <c r="L89" s="63" t="s">
        <v>338</v>
      </c>
      <c r="M89" s="61" t="s">
        <v>339</v>
      </c>
      <c r="N89" s="113" t="s">
        <v>34</v>
      </c>
      <c r="O89" s="62">
        <v>1</v>
      </c>
      <c r="P89" s="97"/>
      <c r="Q89" s="62"/>
      <c r="R89" s="62"/>
      <c r="S89" s="164"/>
    </row>
    <row r="90" spans="1:19" ht="15.75" x14ac:dyDescent="0.25">
      <c r="A90" s="58"/>
      <c r="B90" s="59"/>
      <c r="C90" s="59"/>
      <c r="D90" s="59"/>
      <c r="E90" s="60"/>
      <c r="F90" s="80"/>
      <c r="G90" s="81"/>
      <c r="H90" s="81"/>
      <c r="I90" s="53"/>
      <c r="J90" s="75"/>
      <c r="K90" s="75"/>
      <c r="L90" s="63" t="s">
        <v>340</v>
      </c>
      <c r="M90" s="61" t="s">
        <v>341</v>
      </c>
      <c r="N90" s="113" t="s">
        <v>34</v>
      </c>
      <c r="O90" s="62">
        <v>5</v>
      </c>
      <c r="P90" s="97"/>
      <c r="Q90" s="62"/>
      <c r="R90" s="62"/>
      <c r="S90" s="164"/>
    </row>
    <row r="91" spans="1:19" ht="15.75" x14ac:dyDescent="0.25">
      <c r="A91" s="58"/>
      <c r="B91" s="59"/>
      <c r="C91" s="59"/>
      <c r="D91" s="59"/>
      <c r="E91" s="60"/>
      <c r="F91" s="80"/>
      <c r="G91" s="81"/>
      <c r="H91" s="81"/>
      <c r="I91" s="53"/>
      <c r="J91" s="75"/>
      <c r="K91" s="75"/>
      <c r="L91" s="63" t="s">
        <v>525</v>
      </c>
      <c r="M91" s="61" t="s">
        <v>526</v>
      </c>
      <c r="N91" s="113" t="s">
        <v>34</v>
      </c>
      <c r="O91" s="62">
        <v>5</v>
      </c>
      <c r="P91" s="97"/>
      <c r="Q91" s="62"/>
      <c r="R91" s="62"/>
      <c r="S91" s="164"/>
    </row>
    <row r="92" spans="1:19" ht="15.75" x14ac:dyDescent="0.25">
      <c r="A92" s="58"/>
      <c r="B92" s="59"/>
      <c r="C92" s="59"/>
      <c r="D92" s="59"/>
      <c r="E92" s="60"/>
      <c r="F92" s="80"/>
      <c r="G92" s="81"/>
      <c r="H92" s="81"/>
      <c r="I92" s="53"/>
      <c r="J92" s="75"/>
      <c r="K92" s="75"/>
      <c r="L92" s="63" t="s">
        <v>342</v>
      </c>
      <c r="M92" s="61" t="s">
        <v>343</v>
      </c>
      <c r="N92" s="113" t="s">
        <v>34</v>
      </c>
      <c r="O92" s="62">
        <v>1.5</v>
      </c>
      <c r="P92" s="97"/>
      <c r="Q92" s="62"/>
      <c r="R92" s="62"/>
      <c r="S92" s="164"/>
    </row>
    <row r="93" spans="1:19" ht="15.75" x14ac:dyDescent="0.25">
      <c r="A93" s="58"/>
      <c r="B93" s="59"/>
      <c r="C93" s="59"/>
      <c r="D93" s="59"/>
      <c r="E93" s="60"/>
      <c r="F93" s="80"/>
      <c r="G93" s="81"/>
      <c r="H93" s="81"/>
      <c r="I93" s="53"/>
      <c r="J93" s="75"/>
      <c r="K93" s="75"/>
      <c r="L93" s="63" t="s">
        <v>344</v>
      </c>
      <c r="M93" s="61" t="s">
        <v>345</v>
      </c>
      <c r="N93" s="113" t="s">
        <v>34</v>
      </c>
      <c r="O93" s="62">
        <v>1</v>
      </c>
      <c r="P93" s="97"/>
      <c r="Q93" s="62"/>
      <c r="R93" s="62"/>
      <c r="S93" s="164"/>
    </row>
    <row r="94" spans="1:19" ht="15.75" x14ac:dyDescent="0.25">
      <c r="A94" s="58"/>
      <c r="B94" s="59"/>
      <c r="C94" s="59"/>
      <c r="D94" s="59"/>
      <c r="E94" s="60"/>
      <c r="F94" s="80"/>
      <c r="G94" s="81"/>
      <c r="H94" s="81"/>
      <c r="I94" s="53"/>
      <c r="J94" s="75"/>
      <c r="K94" s="75"/>
      <c r="L94" s="63">
        <v>21201</v>
      </c>
      <c r="M94" s="61" t="s">
        <v>346</v>
      </c>
      <c r="N94" s="113" t="s">
        <v>34</v>
      </c>
      <c r="O94" s="62">
        <v>1</v>
      </c>
      <c r="P94" s="97"/>
      <c r="Q94" s="62"/>
      <c r="R94" s="62"/>
      <c r="S94" s="164"/>
    </row>
    <row r="95" spans="1:19" ht="15.75" x14ac:dyDescent="0.25">
      <c r="A95" s="58"/>
      <c r="B95" s="59"/>
      <c r="C95" s="59"/>
      <c r="D95" s="59"/>
      <c r="E95" s="60"/>
      <c r="F95" s="80"/>
      <c r="G95" s="81"/>
      <c r="H95" s="81"/>
      <c r="I95" s="53"/>
      <c r="J95" s="75"/>
      <c r="K95" s="75"/>
      <c r="L95" s="63" t="s">
        <v>756</v>
      </c>
      <c r="M95" s="61" t="s">
        <v>348</v>
      </c>
      <c r="N95" s="113" t="s">
        <v>34</v>
      </c>
      <c r="O95" s="62">
        <v>2</v>
      </c>
      <c r="P95" s="97"/>
      <c r="Q95" s="97"/>
      <c r="R95" s="101"/>
      <c r="S95" s="164"/>
    </row>
    <row r="96" spans="1:19" ht="15.75" x14ac:dyDescent="0.25">
      <c r="A96" s="58"/>
      <c r="B96" s="59"/>
      <c r="C96" s="59"/>
      <c r="D96" s="59"/>
      <c r="E96" s="60"/>
      <c r="F96" s="80"/>
      <c r="G96" s="81"/>
      <c r="H96" s="81"/>
      <c r="I96" s="53"/>
      <c r="J96" s="75"/>
      <c r="K96" s="75"/>
      <c r="L96" s="63">
        <v>14244</v>
      </c>
      <c r="M96" s="61" t="s">
        <v>767</v>
      </c>
      <c r="N96" s="113" t="s">
        <v>34</v>
      </c>
      <c r="O96" s="62">
        <v>10</v>
      </c>
      <c r="P96" s="97"/>
      <c r="Q96" s="62"/>
      <c r="R96" s="62"/>
      <c r="S96" s="164"/>
    </row>
    <row r="97" spans="1:19" ht="15.75" x14ac:dyDescent="0.25">
      <c r="A97" s="58"/>
      <c r="B97" s="59"/>
      <c r="C97" s="59"/>
      <c r="D97" s="59"/>
      <c r="E97" s="60"/>
      <c r="F97" s="80"/>
      <c r="G97" s="81"/>
      <c r="H97" s="81"/>
      <c r="I97" s="53"/>
      <c r="J97" s="75"/>
      <c r="K97" s="75"/>
      <c r="L97" s="63" t="s">
        <v>350</v>
      </c>
      <c r="M97" s="61" t="s">
        <v>351</v>
      </c>
      <c r="N97" s="113" t="s">
        <v>34</v>
      </c>
      <c r="O97" s="62">
        <v>18</v>
      </c>
      <c r="P97" s="97"/>
      <c r="Q97" s="62"/>
      <c r="R97" s="62"/>
      <c r="S97" s="164"/>
    </row>
    <row r="98" spans="1:19" ht="15.75" x14ac:dyDescent="0.25">
      <c r="A98" s="58"/>
      <c r="B98" s="59"/>
      <c r="C98" s="59"/>
      <c r="D98" s="59"/>
      <c r="E98" s="60"/>
      <c r="F98" s="80"/>
      <c r="G98" s="81"/>
      <c r="H98" s="81"/>
      <c r="I98" s="53"/>
      <c r="J98" s="75"/>
      <c r="K98" s="75"/>
      <c r="L98" s="63" t="s">
        <v>352</v>
      </c>
      <c r="M98" s="61" t="s">
        <v>353</v>
      </c>
      <c r="N98" s="113" t="s">
        <v>34</v>
      </c>
      <c r="O98" s="62">
        <v>34</v>
      </c>
      <c r="P98" s="97"/>
      <c r="Q98" s="62"/>
      <c r="R98" s="62"/>
      <c r="S98" s="164"/>
    </row>
    <row r="99" spans="1:19" ht="15.75" x14ac:dyDescent="0.25">
      <c r="A99" s="58"/>
      <c r="B99" s="59"/>
      <c r="C99" s="59"/>
      <c r="D99" s="59"/>
      <c r="E99" s="60"/>
      <c r="F99" s="80"/>
      <c r="G99" s="81"/>
      <c r="H99" s="81"/>
      <c r="I99" s="53"/>
      <c r="J99" s="75"/>
      <c r="K99" s="75"/>
      <c r="L99" s="63" t="s">
        <v>354</v>
      </c>
      <c r="M99" s="61" t="s">
        <v>355</v>
      </c>
      <c r="N99" s="113" t="s">
        <v>34</v>
      </c>
      <c r="O99" s="62">
        <v>6</v>
      </c>
      <c r="P99" s="97"/>
      <c r="Q99" s="62"/>
      <c r="R99" s="62"/>
      <c r="S99" s="164"/>
    </row>
    <row r="100" spans="1:19" ht="15.75" x14ac:dyDescent="0.25">
      <c r="A100" s="58"/>
      <c r="B100" s="59"/>
      <c r="C100" s="59"/>
      <c r="D100" s="59"/>
      <c r="E100" s="60"/>
      <c r="F100" s="80"/>
      <c r="G100" s="81"/>
      <c r="H100" s="81"/>
      <c r="I100" s="53"/>
      <c r="J100" s="75"/>
      <c r="K100" s="75"/>
      <c r="L100" s="63" t="s">
        <v>730</v>
      </c>
      <c r="M100" s="61" t="s">
        <v>731</v>
      </c>
      <c r="N100" s="113" t="s">
        <v>34</v>
      </c>
      <c r="O100" s="62">
        <v>4</v>
      </c>
      <c r="P100" s="97"/>
      <c r="Q100" s="62"/>
      <c r="R100" s="62"/>
      <c r="S100" s="164"/>
    </row>
    <row r="101" spans="1:19" ht="15.75" x14ac:dyDescent="0.25">
      <c r="A101" s="58"/>
      <c r="B101" s="59"/>
      <c r="C101" s="59"/>
      <c r="D101" s="59"/>
      <c r="E101" s="60"/>
      <c r="F101" s="80"/>
      <c r="G101" s="81"/>
      <c r="H101" s="81"/>
      <c r="I101" s="53"/>
      <c r="J101" s="75"/>
      <c r="K101" s="75"/>
      <c r="L101" s="63">
        <v>19376</v>
      </c>
      <c r="M101" s="61" t="s">
        <v>358</v>
      </c>
      <c r="N101" s="55" t="s">
        <v>34</v>
      </c>
      <c r="O101" s="62">
        <v>1</v>
      </c>
      <c r="P101" s="97"/>
      <c r="Q101" s="62"/>
      <c r="R101" s="62"/>
      <c r="S101" s="164"/>
    </row>
    <row r="102" spans="1:19" ht="15.75" x14ac:dyDescent="0.25">
      <c r="A102" s="58"/>
      <c r="B102" s="59"/>
      <c r="C102" s="59"/>
      <c r="D102" s="59"/>
      <c r="E102" s="60"/>
      <c r="F102" s="80"/>
      <c r="G102" s="81"/>
      <c r="H102" s="81"/>
      <c r="I102" s="53"/>
      <c r="J102" s="75"/>
      <c r="K102" s="75"/>
      <c r="L102" s="63" t="s">
        <v>359</v>
      </c>
      <c r="M102" s="61" t="s">
        <v>360</v>
      </c>
      <c r="N102" s="55" t="s">
        <v>34</v>
      </c>
      <c r="O102" s="62">
        <v>1</v>
      </c>
      <c r="P102" s="97"/>
      <c r="Q102" s="62"/>
      <c r="R102" s="62"/>
      <c r="S102" s="164"/>
    </row>
    <row r="103" spans="1:19" ht="15.75" x14ac:dyDescent="0.25">
      <c r="A103" s="58"/>
      <c r="B103" s="59"/>
      <c r="C103" s="59"/>
      <c r="D103" s="59"/>
      <c r="E103" s="60"/>
      <c r="F103" s="80"/>
      <c r="G103" s="81"/>
      <c r="H103" s="81"/>
      <c r="I103" s="53"/>
      <c r="J103" s="75"/>
      <c r="K103" s="75"/>
      <c r="L103" s="63" t="s">
        <v>361</v>
      </c>
      <c r="M103" s="61" t="s">
        <v>362</v>
      </c>
      <c r="N103" s="55" t="s">
        <v>34</v>
      </c>
      <c r="O103" s="62">
        <v>1</v>
      </c>
      <c r="P103" s="97"/>
      <c r="Q103" s="62"/>
      <c r="R103" s="62"/>
      <c r="S103" s="164"/>
    </row>
    <row r="104" spans="1:19" ht="15.75" x14ac:dyDescent="0.25">
      <c r="A104" s="58"/>
      <c r="B104" s="59"/>
      <c r="C104" s="59"/>
      <c r="D104" s="59"/>
      <c r="E104" s="60"/>
      <c r="F104" s="80"/>
      <c r="G104" s="81"/>
      <c r="H104" s="81"/>
      <c r="I104" s="53"/>
      <c r="J104" s="75"/>
      <c r="K104" s="75"/>
      <c r="L104" s="63" t="s">
        <v>363</v>
      </c>
      <c r="M104" s="61" t="s">
        <v>364</v>
      </c>
      <c r="N104" s="55" t="s">
        <v>34</v>
      </c>
      <c r="O104" s="62">
        <v>4</v>
      </c>
      <c r="P104" s="97"/>
      <c r="Q104" s="62"/>
      <c r="R104" s="62"/>
      <c r="S104" s="164"/>
    </row>
    <row r="105" spans="1:19" ht="15.75" x14ac:dyDescent="0.25">
      <c r="A105" s="58"/>
      <c r="B105" s="59"/>
      <c r="C105" s="59"/>
      <c r="D105" s="59"/>
      <c r="E105" s="60"/>
      <c r="F105" s="80"/>
      <c r="G105" s="81"/>
      <c r="H105" s="81"/>
      <c r="I105" s="53"/>
      <c r="J105" s="75"/>
      <c r="K105" s="75"/>
      <c r="L105" s="63" t="s">
        <v>365</v>
      </c>
      <c r="M105" s="61" t="s">
        <v>366</v>
      </c>
      <c r="N105" s="55" t="s">
        <v>34</v>
      </c>
      <c r="O105" s="62">
        <v>20</v>
      </c>
      <c r="P105" s="97"/>
      <c r="Q105" s="62"/>
      <c r="R105" s="62"/>
      <c r="S105" s="164"/>
    </row>
    <row r="106" spans="1:19" ht="15.75" x14ac:dyDescent="0.25">
      <c r="A106" s="58"/>
      <c r="B106" s="59"/>
      <c r="C106" s="59"/>
      <c r="D106" s="59"/>
      <c r="E106" s="60"/>
      <c r="F106" s="80"/>
      <c r="G106" s="81"/>
      <c r="H106" s="81"/>
      <c r="I106" s="53"/>
      <c r="J106" s="75"/>
      <c r="K106" s="75"/>
      <c r="L106" s="63" t="s">
        <v>369</v>
      </c>
      <c r="M106" s="61" t="s">
        <v>733</v>
      </c>
      <c r="N106" s="113" t="s">
        <v>34</v>
      </c>
      <c r="O106" s="62">
        <v>3</v>
      </c>
      <c r="P106" s="97"/>
      <c r="Q106" s="62"/>
      <c r="R106" s="62"/>
      <c r="S106" s="164"/>
    </row>
    <row r="107" spans="1:19" ht="15.75" x14ac:dyDescent="0.25">
      <c r="A107" s="58"/>
      <c r="B107" s="59"/>
      <c r="C107" s="59"/>
      <c r="D107" s="59"/>
      <c r="E107" s="60"/>
      <c r="F107" s="80"/>
      <c r="G107" s="81"/>
      <c r="H107" s="81"/>
      <c r="I107" s="53"/>
      <c r="J107" s="75"/>
      <c r="K107" s="75"/>
      <c r="L107" s="63" t="s">
        <v>371</v>
      </c>
      <c r="M107" s="61" t="s">
        <v>372</v>
      </c>
      <c r="N107" s="113" t="s">
        <v>34</v>
      </c>
      <c r="O107" s="62">
        <v>54</v>
      </c>
      <c r="P107" s="97"/>
      <c r="Q107" s="62"/>
      <c r="R107" s="62"/>
      <c r="S107" s="164"/>
    </row>
    <row r="108" spans="1:19" ht="15.75" x14ac:dyDescent="0.25">
      <c r="A108" s="58"/>
      <c r="B108" s="59"/>
      <c r="C108" s="59"/>
      <c r="D108" s="59"/>
      <c r="E108" s="60"/>
      <c r="F108" s="80"/>
      <c r="G108" s="81"/>
      <c r="H108" s="81"/>
      <c r="I108" s="53"/>
      <c r="J108" s="75"/>
      <c r="K108" s="75"/>
      <c r="L108" s="63" t="s">
        <v>373</v>
      </c>
      <c r="M108" s="61" t="s">
        <v>374</v>
      </c>
      <c r="N108" s="113" t="s">
        <v>34</v>
      </c>
      <c r="O108" s="62">
        <v>12</v>
      </c>
      <c r="P108" s="97"/>
      <c r="Q108" s="62"/>
      <c r="R108" s="62"/>
      <c r="S108" s="164"/>
    </row>
    <row r="109" spans="1:19" ht="15.75" x14ac:dyDescent="0.25">
      <c r="A109" s="58"/>
      <c r="B109" s="59"/>
      <c r="C109" s="59"/>
      <c r="D109" s="59"/>
      <c r="E109" s="60"/>
      <c r="F109" s="80"/>
      <c r="G109" s="81"/>
      <c r="H109" s="81"/>
      <c r="I109" s="53"/>
      <c r="J109" s="75"/>
      <c r="K109" s="75"/>
      <c r="L109" s="63">
        <v>21939</v>
      </c>
      <c r="M109" s="61" t="s">
        <v>375</v>
      </c>
      <c r="N109" s="113" t="s">
        <v>34</v>
      </c>
      <c r="O109" s="62">
        <v>18</v>
      </c>
      <c r="P109" s="97"/>
      <c r="Q109" s="62"/>
      <c r="R109" s="62"/>
      <c r="S109" s="164"/>
    </row>
    <row r="110" spans="1:19" ht="15.75" x14ac:dyDescent="0.25">
      <c r="A110" s="58"/>
      <c r="B110" s="59"/>
      <c r="C110" s="59"/>
      <c r="D110" s="59"/>
      <c r="E110" s="60"/>
      <c r="F110" s="80"/>
      <c r="G110" s="81"/>
      <c r="H110" s="81"/>
      <c r="I110" s="53"/>
      <c r="J110" s="75"/>
      <c r="K110" s="75"/>
      <c r="L110" s="63" t="s">
        <v>376</v>
      </c>
      <c r="M110" s="61" t="s">
        <v>377</v>
      </c>
      <c r="N110" s="55" t="s">
        <v>34</v>
      </c>
      <c r="O110" s="62">
        <v>1</v>
      </c>
      <c r="P110" s="97"/>
      <c r="Q110" s="62"/>
      <c r="R110" s="62"/>
      <c r="S110" s="164"/>
    </row>
    <row r="111" spans="1:19" ht="15.75" x14ac:dyDescent="0.25">
      <c r="A111" s="58"/>
      <c r="B111" s="59"/>
      <c r="C111" s="59"/>
      <c r="D111" s="59"/>
      <c r="E111" s="60"/>
      <c r="F111" s="80"/>
      <c r="G111" s="81"/>
      <c r="H111" s="81"/>
      <c r="I111" s="53"/>
      <c r="J111" s="75"/>
      <c r="K111" s="75"/>
      <c r="L111" s="63" t="s">
        <v>378</v>
      </c>
      <c r="M111" s="61" t="s">
        <v>379</v>
      </c>
      <c r="N111" s="55" t="s">
        <v>34</v>
      </c>
      <c r="O111" s="62">
        <v>5</v>
      </c>
      <c r="P111" s="97"/>
      <c r="Q111" s="62"/>
      <c r="R111" s="62"/>
      <c r="S111" s="164"/>
    </row>
    <row r="112" spans="1:19" ht="15.75" x14ac:dyDescent="0.25">
      <c r="A112" s="58"/>
      <c r="B112" s="59"/>
      <c r="C112" s="59"/>
      <c r="D112" s="59"/>
      <c r="E112" s="60"/>
      <c r="F112" s="80"/>
      <c r="G112" s="81"/>
      <c r="H112" s="81"/>
      <c r="I112" s="53"/>
      <c r="J112" s="75"/>
      <c r="K112" s="75"/>
      <c r="L112" s="144" t="s">
        <v>380</v>
      </c>
      <c r="M112" s="61" t="s">
        <v>381</v>
      </c>
      <c r="N112" s="55" t="s">
        <v>34</v>
      </c>
      <c r="O112" s="62">
        <v>5</v>
      </c>
      <c r="P112" s="97"/>
      <c r="Q112" s="62"/>
      <c r="R112" s="62"/>
      <c r="S112" s="164"/>
    </row>
    <row r="113" spans="1:19" ht="15.75" x14ac:dyDescent="0.25">
      <c r="A113" s="58"/>
      <c r="B113" s="59"/>
      <c r="C113" s="59"/>
      <c r="D113" s="59"/>
      <c r="E113" s="60"/>
      <c r="F113" s="80"/>
      <c r="G113" s="81"/>
      <c r="H113" s="81"/>
      <c r="I113" s="53"/>
      <c r="J113" s="75"/>
      <c r="K113" s="75"/>
      <c r="L113" s="63" t="s">
        <v>83</v>
      </c>
      <c r="M113" s="61" t="s">
        <v>84</v>
      </c>
      <c r="N113" s="55" t="s">
        <v>37</v>
      </c>
      <c r="O113" s="62">
        <v>16</v>
      </c>
      <c r="P113" s="97"/>
      <c r="Q113" s="62"/>
      <c r="R113" s="62"/>
      <c r="S113" s="164"/>
    </row>
    <row r="114" spans="1:19" ht="15.75" x14ac:dyDescent="0.25">
      <c r="A114" s="58"/>
      <c r="B114" s="59"/>
      <c r="C114" s="59"/>
      <c r="D114" s="59"/>
      <c r="E114" s="60"/>
      <c r="F114" s="80"/>
      <c r="G114" s="81"/>
      <c r="H114" s="81"/>
      <c r="I114" s="53"/>
      <c r="J114" s="75"/>
      <c r="K114" s="75"/>
      <c r="L114" s="63" t="s">
        <v>53</v>
      </c>
      <c r="M114" s="61" t="s">
        <v>85</v>
      </c>
      <c r="N114" s="55" t="s">
        <v>34</v>
      </c>
      <c r="O114" s="62">
        <v>10</v>
      </c>
      <c r="P114" s="97"/>
      <c r="Q114" s="62"/>
      <c r="R114" s="62"/>
      <c r="S114" s="164"/>
    </row>
    <row r="115" spans="1:19" ht="15.75" x14ac:dyDescent="0.25">
      <c r="A115" s="58"/>
      <c r="B115" s="59"/>
      <c r="C115" s="59"/>
      <c r="D115" s="59"/>
      <c r="E115" s="60"/>
      <c r="F115" s="80"/>
      <c r="G115" s="81"/>
      <c r="H115" s="81"/>
      <c r="I115" s="53"/>
      <c r="J115" s="75"/>
      <c r="K115" s="75"/>
      <c r="L115" s="63" t="s">
        <v>54</v>
      </c>
      <c r="M115" s="61" t="s">
        <v>86</v>
      </c>
      <c r="N115" s="55" t="s">
        <v>34</v>
      </c>
      <c r="O115" s="62">
        <v>40</v>
      </c>
      <c r="P115" s="97"/>
      <c r="Q115" s="62"/>
      <c r="R115" s="62"/>
      <c r="S115" s="164"/>
    </row>
    <row r="116" spans="1:19" ht="15.75" x14ac:dyDescent="0.25">
      <c r="A116" s="58"/>
      <c r="B116" s="59"/>
      <c r="C116" s="59"/>
      <c r="D116" s="59"/>
      <c r="E116" s="60"/>
      <c r="F116" s="80"/>
      <c r="G116" s="81"/>
      <c r="H116" s="81"/>
      <c r="I116" s="53"/>
      <c r="J116" s="75"/>
      <c r="K116" s="75"/>
      <c r="L116" s="63">
        <v>106</v>
      </c>
      <c r="M116" s="61" t="s">
        <v>382</v>
      </c>
      <c r="N116" s="55" t="s">
        <v>34</v>
      </c>
      <c r="O116" s="62">
        <v>20</v>
      </c>
      <c r="P116" s="97"/>
      <c r="Q116" s="97"/>
      <c r="R116" s="101"/>
      <c r="S116" s="164"/>
    </row>
    <row r="117" spans="1:19" ht="15.75" x14ac:dyDescent="0.25">
      <c r="A117" s="58"/>
      <c r="B117" s="59"/>
      <c r="C117" s="59"/>
      <c r="D117" s="59"/>
      <c r="E117" s="60"/>
      <c r="F117" s="80"/>
      <c r="G117" s="81"/>
      <c r="H117" s="81"/>
      <c r="I117" s="53"/>
      <c r="J117" s="75"/>
      <c r="K117" s="75"/>
      <c r="L117" s="63">
        <v>9893</v>
      </c>
      <c r="M117" s="61" t="s">
        <v>383</v>
      </c>
      <c r="N117" s="55" t="s">
        <v>34</v>
      </c>
      <c r="O117" s="62">
        <v>1</v>
      </c>
      <c r="P117" s="97"/>
      <c r="Q117" s="62"/>
      <c r="R117" s="62"/>
      <c r="S117" s="164"/>
    </row>
    <row r="118" spans="1:19" ht="15.75" x14ac:dyDescent="0.25">
      <c r="A118" s="58"/>
      <c r="B118" s="59"/>
      <c r="C118" s="59"/>
      <c r="D118" s="59"/>
      <c r="E118" s="60"/>
      <c r="F118" s="80"/>
      <c r="G118" s="81"/>
      <c r="H118" s="81"/>
      <c r="I118" s="53"/>
      <c r="J118" s="75"/>
      <c r="K118" s="75"/>
      <c r="L118" s="63">
        <v>3893</v>
      </c>
      <c r="M118" s="61" t="s">
        <v>87</v>
      </c>
      <c r="N118" s="55" t="s">
        <v>63</v>
      </c>
      <c r="O118" s="62">
        <v>0.113</v>
      </c>
      <c r="P118" s="97"/>
      <c r="Q118" s="62"/>
      <c r="R118" s="62"/>
      <c r="S118" s="164"/>
    </row>
    <row r="119" spans="1:19" ht="15.75" x14ac:dyDescent="0.25">
      <c r="A119" s="58"/>
      <c r="B119" s="59"/>
      <c r="C119" s="59"/>
      <c r="D119" s="59"/>
      <c r="E119" s="60"/>
      <c r="F119" s="80"/>
      <c r="G119" s="81"/>
      <c r="H119" s="81"/>
      <c r="I119" s="53"/>
      <c r="J119" s="75"/>
      <c r="K119" s="75"/>
      <c r="L119" s="63">
        <v>6597</v>
      </c>
      <c r="M119" s="61" t="s">
        <v>384</v>
      </c>
      <c r="N119" s="55" t="s">
        <v>63</v>
      </c>
      <c r="O119" s="62">
        <v>0.25</v>
      </c>
      <c r="P119" s="97"/>
      <c r="Q119" s="62"/>
      <c r="R119" s="62"/>
      <c r="S119" s="164"/>
    </row>
    <row r="120" spans="1:19" ht="15.75" x14ac:dyDescent="0.25">
      <c r="A120" s="58"/>
      <c r="B120" s="59"/>
      <c r="C120" s="59"/>
      <c r="D120" s="59"/>
      <c r="E120" s="60"/>
      <c r="F120" s="80"/>
      <c r="G120" s="81"/>
      <c r="H120" s="81"/>
      <c r="I120" s="53"/>
      <c r="J120" s="75"/>
      <c r="K120" s="75"/>
      <c r="L120" s="63">
        <v>17298</v>
      </c>
      <c r="M120" s="61" t="s">
        <v>88</v>
      </c>
      <c r="N120" s="113" t="s">
        <v>63</v>
      </c>
      <c r="O120" s="62">
        <v>0.05</v>
      </c>
      <c r="P120" s="97"/>
      <c r="Q120" s="62"/>
      <c r="R120" s="62"/>
      <c r="S120" s="164"/>
    </row>
    <row r="121" spans="1:19" ht="15.75" x14ac:dyDescent="0.25">
      <c r="A121" s="58"/>
      <c r="B121" s="59"/>
      <c r="C121" s="59"/>
      <c r="D121" s="59"/>
      <c r="E121" s="60"/>
      <c r="F121" s="80"/>
      <c r="G121" s="81"/>
      <c r="H121" s="81"/>
      <c r="I121" s="53"/>
      <c r="J121" s="75"/>
      <c r="K121" s="75"/>
      <c r="L121" s="63" t="s">
        <v>40</v>
      </c>
      <c r="M121" s="61" t="s">
        <v>89</v>
      </c>
      <c r="N121" s="113" t="s">
        <v>63</v>
      </c>
      <c r="O121" s="62">
        <v>0.1265</v>
      </c>
      <c r="P121" s="97"/>
      <c r="Q121" s="62"/>
      <c r="R121" s="62"/>
      <c r="S121" s="164"/>
    </row>
    <row r="122" spans="1:19" ht="15.75" x14ac:dyDescent="0.25">
      <c r="A122" s="58"/>
      <c r="B122" s="59"/>
      <c r="C122" s="59"/>
      <c r="D122" s="59"/>
      <c r="E122" s="60"/>
      <c r="F122" s="80"/>
      <c r="G122" s="81"/>
      <c r="H122" s="81"/>
      <c r="I122" s="53"/>
      <c r="J122" s="75"/>
      <c r="K122" s="75"/>
      <c r="L122" s="63">
        <v>17403</v>
      </c>
      <c r="M122" s="61" t="s">
        <v>192</v>
      </c>
      <c r="N122" s="113" t="s">
        <v>63</v>
      </c>
      <c r="O122" s="62">
        <v>0.06</v>
      </c>
      <c r="P122" s="97"/>
      <c r="Q122" s="62"/>
      <c r="R122" s="62"/>
      <c r="S122" s="164"/>
    </row>
    <row r="123" spans="1:19" ht="15.75" x14ac:dyDescent="0.25">
      <c r="A123" s="58"/>
      <c r="B123" s="59"/>
      <c r="C123" s="59"/>
      <c r="D123" s="59"/>
      <c r="E123" s="60"/>
      <c r="F123" s="80"/>
      <c r="G123" s="81"/>
      <c r="H123" s="81"/>
      <c r="I123" s="53"/>
      <c r="J123" s="75"/>
      <c r="K123" s="75"/>
      <c r="L123" s="63">
        <v>4057</v>
      </c>
      <c r="M123" s="61" t="s">
        <v>193</v>
      </c>
      <c r="N123" s="113" t="s">
        <v>63</v>
      </c>
      <c r="O123" s="62">
        <v>0.14000000000000001</v>
      </c>
      <c r="P123" s="97"/>
      <c r="Q123" s="62"/>
      <c r="R123" s="62"/>
      <c r="S123" s="164"/>
    </row>
    <row r="124" spans="1:19" ht="15.75" x14ac:dyDescent="0.25">
      <c r="A124" s="58"/>
      <c r="B124" s="59"/>
      <c r="C124" s="59"/>
      <c r="D124" s="59"/>
      <c r="E124" s="60"/>
      <c r="F124" s="80"/>
      <c r="G124" s="81"/>
      <c r="H124" s="81"/>
      <c r="I124" s="53"/>
      <c r="J124" s="75"/>
      <c r="K124" s="75"/>
      <c r="L124" s="63" t="s">
        <v>385</v>
      </c>
      <c r="M124" s="61" t="s">
        <v>386</v>
      </c>
      <c r="N124" s="113" t="s">
        <v>34</v>
      </c>
      <c r="O124" s="62">
        <v>2</v>
      </c>
      <c r="P124" s="97"/>
      <c r="Q124" s="62"/>
      <c r="R124" s="62"/>
      <c r="S124" s="164"/>
    </row>
    <row r="125" spans="1:19" ht="15.75" x14ac:dyDescent="0.25">
      <c r="A125" s="58"/>
      <c r="B125" s="59"/>
      <c r="C125" s="59"/>
      <c r="D125" s="59"/>
      <c r="E125" s="60"/>
      <c r="F125" s="80"/>
      <c r="G125" s="81"/>
      <c r="H125" s="81"/>
      <c r="I125" s="53"/>
      <c r="J125" s="75"/>
      <c r="K125" s="75"/>
      <c r="L125" s="63" t="s">
        <v>387</v>
      </c>
      <c r="M125" s="61" t="s">
        <v>388</v>
      </c>
      <c r="N125" s="113" t="s">
        <v>34</v>
      </c>
      <c r="O125" s="62">
        <v>2</v>
      </c>
      <c r="P125" s="97"/>
      <c r="Q125" s="62"/>
      <c r="R125" s="62"/>
      <c r="S125" s="164"/>
    </row>
    <row r="126" spans="1:19" ht="15.75" x14ac:dyDescent="0.25">
      <c r="A126" s="58"/>
      <c r="B126" s="59"/>
      <c r="C126" s="59"/>
      <c r="D126" s="59"/>
      <c r="E126" s="60"/>
      <c r="F126" s="80"/>
      <c r="G126" s="81"/>
      <c r="H126" s="81"/>
      <c r="I126" s="53"/>
      <c r="J126" s="75"/>
      <c r="K126" s="75"/>
      <c r="L126" s="63" t="s">
        <v>389</v>
      </c>
      <c r="M126" s="61" t="s">
        <v>390</v>
      </c>
      <c r="N126" s="113" t="s">
        <v>34</v>
      </c>
      <c r="O126" s="62">
        <v>1</v>
      </c>
      <c r="P126" s="97"/>
      <c r="Q126" s="62"/>
      <c r="R126" s="62"/>
      <c r="S126" s="164"/>
    </row>
    <row r="127" spans="1:19" ht="15.75" x14ac:dyDescent="0.25">
      <c r="A127" s="58"/>
      <c r="B127" s="59"/>
      <c r="C127" s="59"/>
      <c r="D127" s="59"/>
      <c r="E127" s="60"/>
      <c r="F127" s="80"/>
      <c r="G127" s="81"/>
      <c r="H127" s="81"/>
      <c r="I127" s="53"/>
      <c r="J127" s="75"/>
      <c r="K127" s="75"/>
      <c r="L127" s="63" t="s">
        <v>391</v>
      </c>
      <c r="M127" s="61" t="s">
        <v>392</v>
      </c>
      <c r="N127" s="55" t="s">
        <v>68</v>
      </c>
      <c r="O127" s="62">
        <v>5.5739999999999998</v>
      </c>
      <c r="P127" s="97"/>
      <c r="Q127" s="62"/>
      <c r="R127" s="62"/>
      <c r="S127" s="164"/>
    </row>
    <row r="128" spans="1:19" ht="15.75" x14ac:dyDescent="0.25">
      <c r="A128" s="58"/>
      <c r="B128" s="59"/>
      <c r="C128" s="59"/>
      <c r="D128" s="59"/>
      <c r="E128" s="60"/>
      <c r="F128" s="80"/>
      <c r="G128" s="81"/>
      <c r="H128" s="81"/>
      <c r="I128" s="53"/>
      <c r="J128" s="75"/>
      <c r="K128" s="75"/>
      <c r="L128" s="63">
        <v>19338</v>
      </c>
      <c r="M128" s="61" t="s">
        <v>393</v>
      </c>
      <c r="N128" s="55" t="s">
        <v>34</v>
      </c>
      <c r="O128" s="62">
        <v>9</v>
      </c>
      <c r="P128" s="97"/>
      <c r="Q128" s="97"/>
      <c r="R128" s="101"/>
      <c r="S128" s="164"/>
    </row>
    <row r="129" spans="1:19" ht="15.75" x14ac:dyDescent="0.25">
      <c r="A129" s="58"/>
      <c r="B129" s="59"/>
      <c r="C129" s="59"/>
      <c r="D129" s="59"/>
      <c r="E129" s="60"/>
      <c r="F129" s="80"/>
      <c r="G129" s="81"/>
      <c r="H129" s="81"/>
      <c r="I129" s="53"/>
      <c r="J129" s="75"/>
      <c r="K129" s="75"/>
      <c r="L129" s="63" t="s">
        <v>394</v>
      </c>
      <c r="M129" s="61" t="s">
        <v>395</v>
      </c>
      <c r="N129" s="55" t="s">
        <v>34</v>
      </c>
      <c r="O129" s="62">
        <v>1</v>
      </c>
      <c r="P129" s="97"/>
      <c r="Q129" s="62"/>
      <c r="R129" s="62"/>
      <c r="S129" s="164"/>
    </row>
    <row r="130" spans="1:19" ht="15.75" x14ac:dyDescent="0.25">
      <c r="A130" s="58"/>
      <c r="B130" s="59"/>
      <c r="C130" s="59"/>
      <c r="D130" s="59"/>
      <c r="E130" s="60"/>
      <c r="F130" s="80"/>
      <c r="G130" s="81"/>
      <c r="H130" s="81"/>
      <c r="I130" s="53"/>
      <c r="J130" s="75"/>
      <c r="K130" s="75"/>
      <c r="L130" s="63">
        <v>345</v>
      </c>
      <c r="M130" s="61" t="s">
        <v>396</v>
      </c>
      <c r="N130" s="55" t="s">
        <v>34</v>
      </c>
      <c r="O130" s="62">
        <v>2</v>
      </c>
      <c r="P130" s="97"/>
      <c r="Q130" s="62"/>
      <c r="R130" s="62"/>
      <c r="S130" s="164"/>
    </row>
    <row r="131" spans="1:19" ht="15.75" x14ac:dyDescent="0.25">
      <c r="A131" s="58"/>
      <c r="B131" s="59"/>
      <c r="C131" s="59"/>
      <c r="D131" s="59"/>
      <c r="E131" s="60"/>
      <c r="F131" s="80"/>
      <c r="G131" s="81"/>
      <c r="H131" s="81"/>
      <c r="I131" s="53"/>
      <c r="J131" s="75"/>
      <c r="K131" s="75"/>
      <c r="L131" s="63">
        <v>107</v>
      </c>
      <c r="M131" s="61" t="s">
        <v>397</v>
      </c>
      <c r="N131" s="55" t="s">
        <v>34</v>
      </c>
      <c r="O131" s="62">
        <v>2</v>
      </c>
      <c r="P131" s="97"/>
      <c r="Q131" s="62"/>
      <c r="R131" s="62"/>
      <c r="S131" s="164"/>
    </row>
    <row r="132" spans="1:19" ht="15.75" x14ac:dyDescent="0.25">
      <c r="A132" s="58"/>
      <c r="B132" s="59"/>
      <c r="C132" s="59"/>
      <c r="D132" s="59"/>
      <c r="E132" s="60"/>
      <c r="F132" s="80"/>
      <c r="G132" s="81"/>
      <c r="H132" s="81"/>
      <c r="I132" s="53"/>
      <c r="J132" s="75"/>
      <c r="K132" s="75"/>
      <c r="L132" s="144" t="s">
        <v>59</v>
      </c>
      <c r="M132" s="61" t="s">
        <v>90</v>
      </c>
      <c r="N132" s="55" t="s">
        <v>34</v>
      </c>
      <c r="O132" s="62">
        <v>3</v>
      </c>
      <c r="P132" s="97"/>
      <c r="Q132" s="62"/>
      <c r="R132" s="62"/>
      <c r="S132" s="164"/>
    </row>
    <row r="133" spans="1:19" ht="15.75" x14ac:dyDescent="0.25">
      <c r="A133" s="58"/>
      <c r="B133" s="59"/>
      <c r="C133" s="59"/>
      <c r="D133" s="59"/>
      <c r="E133" s="60"/>
      <c r="F133" s="80"/>
      <c r="G133" s="81"/>
      <c r="H133" s="81"/>
      <c r="I133" s="53"/>
      <c r="J133" s="75"/>
      <c r="K133" s="75"/>
      <c r="L133" s="144">
        <v>21807</v>
      </c>
      <c r="M133" s="61" t="s">
        <v>398</v>
      </c>
      <c r="N133" s="55" t="s">
        <v>34</v>
      </c>
      <c r="O133" s="62">
        <v>5</v>
      </c>
      <c r="P133" s="97"/>
      <c r="Q133" s="62"/>
      <c r="R133" s="62"/>
      <c r="S133" s="164"/>
    </row>
    <row r="134" spans="1:19" ht="15.75" x14ac:dyDescent="0.25">
      <c r="A134" s="58"/>
      <c r="B134" s="59"/>
      <c r="C134" s="59"/>
      <c r="D134" s="59"/>
      <c r="E134" s="60"/>
      <c r="F134" s="80"/>
      <c r="G134" s="81"/>
      <c r="H134" s="81"/>
      <c r="I134" s="53"/>
      <c r="J134" s="75"/>
      <c r="K134" s="75"/>
      <c r="L134" s="63">
        <v>16131</v>
      </c>
      <c r="M134" s="61" t="s">
        <v>399</v>
      </c>
      <c r="N134" s="55" t="s">
        <v>34</v>
      </c>
      <c r="O134" s="62">
        <v>3</v>
      </c>
      <c r="P134" s="97"/>
      <c r="Q134" s="62"/>
      <c r="R134" s="62"/>
      <c r="S134" s="164"/>
    </row>
    <row r="135" spans="1:19" ht="15.75" x14ac:dyDescent="0.25">
      <c r="A135" s="58"/>
      <c r="B135" s="59"/>
      <c r="C135" s="59"/>
      <c r="D135" s="59"/>
      <c r="E135" s="60"/>
      <c r="F135" s="80"/>
      <c r="G135" s="81"/>
      <c r="H135" s="81"/>
      <c r="I135" s="53"/>
      <c r="J135" s="75"/>
      <c r="K135" s="75"/>
      <c r="L135" s="63" t="s">
        <v>196</v>
      </c>
      <c r="M135" s="61" t="s">
        <v>197</v>
      </c>
      <c r="N135" s="55" t="s">
        <v>34</v>
      </c>
      <c r="O135" s="62">
        <v>4</v>
      </c>
      <c r="P135" s="97"/>
      <c r="Q135" s="62"/>
      <c r="R135" s="62"/>
      <c r="S135" s="164"/>
    </row>
    <row r="136" spans="1:19" ht="15.75" x14ac:dyDescent="0.25">
      <c r="A136" s="58"/>
      <c r="B136" s="59"/>
      <c r="C136" s="59"/>
      <c r="D136" s="59"/>
      <c r="E136" s="60"/>
      <c r="F136" s="80"/>
      <c r="G136" s="81"/>
      <c r="H136" s="81"/>
      <c r="I136" s="53"/>
      <c r="J136" s="75"/>
      <c r="K136" s="75"/>
      <c r="L136" s="63" t="s">
        <v>400</v>
      </c>
      <c r="M136" s="61" t="s">
        <v>401</v>
      </c>
      <c r="N136" s="55" t="s">
        <v>34</v>
      </c>
      <c r="O136" s="62">
        <v>1</v>
      </c>
      <c r="P136" s="97"/>
      <c r="Q136" s="62"/>
      <c r="R136" s="62"/>
      <c r="S136" s="164"/>
    </row>
    <row r="137" spans="1:19" ht="15.75" x14ac:dyDescent="0.25">
      <c r="A137" s="58"/>
      <c r="B137" s="59"/>
      <c r="C137" s="59"/>
      <c r="D137" s="59"/>
      <c r="E137" s="60"/>
      <c r="F137" s="80"/>
      <c r="G137" s="81"/>
      <c r="H137" s="81"/>
      <c r="I137" s="53"/>
      <c r="J137" s="75"/>
      <c r="K137" s="75"/>
      <c r="L137" s="63">
        <v>19330</v>
      </c>
      <c r="M137" s="61" t="s">
        <v>402</v>
      </c>
      <c r="N137" s="55" t="s">
        <v>34</v>
      </c>
      <c r="O137" s="62">
        <v>2</v>
      </c>
      <c r="P137" s="97"/>
      <c r="Q137" s="62"/>
      <c r="R137" s="62"/>
      <c r="S137" s="164"/>
    </row>
    <row r="138" spans="1:19" ht="15.75" x14ac:dyDescent="0.25">
      <c r="A138" s="58"/>
      <c r="B138" s="59"/>
      <c r="C138" s="59"/>
      <c r="D138" s="59"/>
      <c r="E138" s="60"/>
      <c r="F138" s="80"/>
      <c r="G138" s="81"/>
      <c r="H138" s="81"/>
      <c r="I138" s="53"/>
      <c r="J138" s="75"/>
      <c r="K138" s="75"/>
      <c r="L138" s="63" t="s">
        <v>403</v>
      </c>
      <c r="M138" s="61" t="s">
        <v>404</v>
      </c>
      <c r="N138" s="55" t="s">
        <v>34</v>
      </c>
      <c r="O138" s="62">
        <v>2</v>
      </c>
      <c r="P138" s="97"/>
      <c r="Q138" s="62"/>
      <c r="R138" s="62"/>
      <c r="S138" s="164"/>
    </row>
    <row r="139" spans="1:19" ht="15.75" x14ac:dyDescent="0.25">
      <c r="A139" s="58"/>
      <c r="B139" s="59"/>
      <c r="C139" s="59"/>
      <c r="D139" s="59"/>
      <c r="E139" s="60"/>
      <c r="F139" s="80"/>
      <c r="G139" s="81"/>
      <c r="H139" s="81"/>
      <c r="I139" s="53"/>
      <c r="J139" s="75"/>
      <c r="K139" s="75"/>
      <c r="L139" s="63" t="s">
        <v>200</v>
      </c>
      <c r="M139" s="61" t="s">
        <v>201</v>
      </c>
      <c r="N139" s="113" t="s">
        <v>34</v>
      </c>
      <c r="O139" s="62">
        <v>1</v>
      </c>
      <c r="P139" s="97"/>
      <c r="Q139" s="62"/>
      <c r="R139" s="62"/>
      <c r="S139" s="164"/>
    </row>
    <row r="140" spans="1:19" ht="15.75" x14ac:dyDescent="0.25">
      <c r="A140" s="58"/>
      <c r="B140" s="59"/>
      <c r="C140" s="59"/>
      <c r="D140" s="59"/>
      <c r="E140" s="60"/>
      <c r="F140" s="80"/>
      <c r="G140" s="81"/>
      <c r="H140" s="81"/>
      <c r="I140" s="53"/>
      <c r="J140" s="75"/>
      <c r="K140" s="75"/>
      <c r="L140" s="63" t="s">
        <v>405</v>
      </c>
      <c r="M140" s="61" t="s">
        <v>406</v>
      </c>
      <c r="N140" s="113" t="s">
        <v>34</v>
      </c>
      <c r="O140" s="62">
        <v>3</v>
      </c>
      <c r="P140" s="97"/>
      <c r="Q140" s="62"/>
      <c r="R140" s="62"/>
      <c r="S140" s="164"/>
    </row>
    <row r="141" spans="1:19" ht="15.75" x14ac:dyDescent="0.25">
      <c r="A141" s="58"/>
      <c r="B141" s="59"/>
      <c r="C141" s="59"/>
      <c r="D141" s="59"/>
      <c r="E141" s="60"/>
      <c r="F141" s="80"/>
      <c r="G141" s="81"/>
      <c r="H141" s="81"/>
      <c r="I141" s="53"/>
      <c r="J141" s="75"/>
      <c r="K141" s="75"/>
      <c r="L141" s="63">
        <v>85</v>
      </c>
      <c r="M141" s="61" t="s">
        <v>407</v>
      </c>
      <c r="N141" s="113" t="s">
        <v>34</v>
      </c>
      <c r="O141" s="62">
        <v>3</v>
      </c>
      <c r="P141" s="97"/>
      <c r="Q141" s="62"/>
      <c r="R141" s="62"/>
      <c r="S141" s="164"/>
    </row>
    <row r="142" spans="1:19" ht="15.75" x14ac:dyDescent="0.25">
      <c r="A142" s="58"/>
      <c r="B142" s="59"/>
      <c r="C142" s="59"/>
      <c r="D142" s="59"/>
      <c r="E142" s="60"/>
      <c r="F142" s="80"/>
      <c r="G142" s="81"/>
      <c r="H142" s="81"/>
      <c r="I142" s="53"/>
      <c r="J142" s="75"/>
      <c r="K142" s="75"/>
      <c r="L142" s="63">
        <v>477</v>
      </c>
      <c r="M142" s="61" t="s">
        <v>93</v>
      </c>
      <c r="N142" s="113" t="s">
        <v>34</v>
      </c>
      <c r="O142" s="62">
        <v>6</v>
      </c>
      <c r="P142" s="97"/>
      <c r="Q142" s="62"/>
      <c r="R142" s="62"/>
      <c r="S142" s="164"/>
    </row>
    <row r="143" spans="1:19" ht="15.75" x14ac:dyDescent="0.25">
      <c r="A143" s="58"/>
      <c r="B143" s="59"/>
      <c r="C143" s="59"/>
      <c r="D143" s="59"/>
      <c r="E143" s="60"/>
      <c r="F143" s="80"/>
      <c r="G143" s="81"/>
      <c r="H143" s="81"/>
      <c r="I143" s="53"/>
      <c r="J143" s="75"/>
      <c r="K143" s="75"/>
      <c r="L143" s="63" t="s">
        <v>408</v>
      </c>
      <c r="M143" s="61" t="s">
        <v>409</v>
      </c>
      <c r="N143" s="113" t="s">
        <v>34</v>
      </c>
      <c r="O143" s="62">
        <v>12</v>
      </c>
      <c r="P143" s="97"/>
      <c r="Q143" s="62"/>
      <c r="R143" s="62"/>
      <c r="S143" s="164"/>
    </row>
    <row r="144" spans="1:19" ht="15.75" x14ac:dyDescent="0.25">
      <c r="A144" s="58"/>
      <c r="B144" s="59"/>
      <c r="C144" s="59"/>
      <c r="D144" s="59"/>
      <c r="E144" s="60"/>
      <c r="F144" s="80"/>
      <c r="G144" s="81"/>
      <c r="H144" s="81"/>
      <c r="I144" s="53"/>
      <c r="J144" s="75"/>
      <c r="K144" s="75"/>
      <c r="L144" s="63" t="s">
        <v>411</v>
      </c>
      <c r="M144" s="61" t="s">
        <v>412</v>
      </c>
      <c r="N144" s="113" t="s">
        <v>34</v>
      </c>
      <c r="O144" s="62">
        <v>136</v>
      </c>
      <c r="P144" s="97"/>
      <c r="Q144" s="62"/>
      <c r="R144" s="62"/>
      <c r="S144" s="164"/>
    </row>
    <row r="145" spans="1:19" ht="15.75" x14ac:dyDescent="0.25">
      <c r="A145" s="58"/>
      <c r="B145" s="59"/>
      <c r="C145" s="59"/>
      <c r="D145" s="59"/>
      <c r="E145" s="60"/>
      <c r="F145" s="80"/>
      <c r="G145" s="81"/>
      <c r="H145" s="81"/>
      <c r="I145" s="53"/>
      <c r="J145" s="75"/>
      <c r="K145" s="75"/>
      <c r="L145" s="63" t="s">
        <v>204</v>
      </c>
      <c r="M145" s="61" t="s">
        <v>735</v>
      </c>
      <c r="N145" s="113" t="s">
        <v>34</v>
      </c>
      <c r="O145" s="62">
        <v>158</v>
      </c>
      <c r="P145" s="97"/>
      <c r="Q145" s="62"/>
      <c r="R145" s="62"/>
      <c r="S145" s="164"/>
    </row>
    <row r="146" spans="1:19" ht="15.75" x14ac:dyDescent="0.25">
      <c r="A146" s="58"/>
      <c r="B146" s="59"/>
      <c r="C146" s="59"/>
      <c r="D146" s="59"/>
      <c r="E146" s="60"/>
      <c r="F146" s="80"/>
      <c r="G146" s="81"/>
      <c r="H146" s="81"/>
      <c r="I146" s="53"/>
      <c r="J146" s="75"/>
      <c r="K146" s="75"/>
      <c r="L146" s="63">
        <v>3979</v>
      </c>
      <c r="M146" s="61" t="s">
        <v>206</v>
      </c>
      <c r="N146" s="113" t="s">
        <v>34</v>
      </c>
      <c r="O146" s="62">
        <v>72</v>
      </c>
      <c r="P146" s="97"/>
      <c r="Q146" s="62"/>
      <c r="R146" s="62"/>
      <c r="S146" s="164"/>
    </row>
    <row r="147" spans="1:19" ht="15.75" x14ac:dyDescent="0.25">
      <c r="A147" s="58"/>
      <c r="B147" s="59"/>
      <c r="C147" s="59"/>
      <c r="D147" s="59"/>
      <c r="E147" s="60"/>
      <c r="F147" s="80"/>
      <c r="G147" s="81"/>
      <c r="H147" s="81"/>
      <c r="I147" s="53"/>
      <c r="J147" s="75"/>
      <c r="K147" s="75"/>
      <c r="L147" s="63">
        <v>21333</v>
      </c>
      <c r="M147" s="61" t="s">
        <v>747</v>
      </c>
      <c r="N147" s="113" t="s">
        <v>34</v>
      </c>
      <c r="O147" s="62">
        <v>6</v>
      </c>
      <c r="P147" s="97"/>
      <c r="Q147" s="62"/>
      <c r="R147" s="62"/>
      <c r="S147" s="164"/>
    </row>
    <row r="148" spans="1:19" ht="15.75" x14ac:dyDescent="0.25">
      <c r="A148" s="58"/>
      <c r="B148" s="59"/>
      <c r="C148" s="59"/>
      <c r="D148" s="59"/>
      <c r="E148" s="60"/>
      <c r="F148" s="80"/>
      <c r="G148" s="81"/>
      <c r="H148" s="81"/>
      <c r="I148" s="53"/>
      <c r="J148" s="75"/>
      <c r="K148" s="75"/>
      <c r="L148" s="144">
        <v>614</v>
      </c>
      <c r="M148" s="61" t="s">
        <v>512</v>
      </c>
      <c r="N148" s="55" t="s">
        <v>45</v>
      </c>
      <c r="O148" s="62">
        <v>355</v>
      </c>
      <c r="P148" s="97"/>
      <c r="Q148" s="62"/>
      <c r="R148" s="62"/>
      <c r="S148" s="164"/>
    </row>
    <row r="149" spans="1:19" ht="15.75" x14ac:dyDescent="0.25">
      <c r="A149" s="58"/>
      <c r="B149" s="59"/>
      <c r="C149" s="59"/>
      <c r="D149" s="59"/>
      <c r="E149" s="60"/>
      <c r="F149" s="80"/>
      <c r="G149" s="81"/>
      <c r="H149" s="81"/>
      <c r="I149" s="53"/>
      <c r="J149" s="75"/>
      <c r="K149" s="75"/>
      <c r="L149" s="63" t="s">
        <v>414</v>
      </c>
      <c r="M149" s="61" t="s">
        <v>415</v>
      </c>
      <c r="N149" s="55" t="s">
        <v>37</v>
      </c>
      <c r="O149" s="62">
        <v>95</v>
      </c>
      <c r="P149" s="97"/>
      <c r="Q149" s="62"/>
      <c r="R149" s="62"/>
      <c r="S149" s="164"/>
    </row>
    <row r="150" spans="1:19" ht="15.75" x14ac:dyDescent="0.25">
      <c r="A150" s="58"/>
      <c r="B150" s="59"/>
      <c r="C150" s="59"/>
      <c r="D150" s="59"/>
      <c r="E150" s="60"/>
      <c r="F150" s="80"/>
      <c r="G150" s="81"/>
      <c r="H150" s="81"/>
      <c r="I150" s="53"/>
      <c r="J150" s="75"/>
      <c r="K150" s="75"/>
      <c r="L150" s="63" t="s">
        <v>207</v>
      </c>
      <c r="M150" s="61" t="s">
        <v>513</v>
      </c>
      <c r="N150" s="113" t="s">
        <v>68</v>
      </c>
      <c r="O150" s="62">
        <v>35</v>
      </c>
      <c r="P150" s="97"/>
      <c r="Q150" s="62"/>
      <c r="R150" s="62"/>
      <c r="S150" s="164"/>
    </row>
    <row r="151" spans="1:19" ht="15.75" x14ac:dyDescent="0.25">
      <c r="A151" s="58"/>
      <c r="B151" s="59"/>
      <c r="C151" s="59"/>
      <c r="D151" s="59"/>
      <c r="E151" s="60"/>
      <c r="F151" s="80"/>
      <c r="G151" s="81"/>
      <c r="H151" s="81"/>
      <c r="I151" s="53"/>
      <c r="J151" s="75"/>
      <c r="K151" s="75"/>
      <c r="L151" s="63" t="s">
        <v>208</v>
      </c>
      <c r="M151" s="61" t="s">
        <v>209</v>
      </c>
      <c r="N151" s="113" t="s">
        <v>34</v>
      </c>
      <c r="O151" s="62">
        <v>9</v>
      </c>
      <c r="P151" s="97"/>
      <c r="Q151" s="62"/>
      <c r="R151" s="62"/>
      <c r="S151" s="164"/>
    </row>
    <row r="152" spans="1:19" ht="15.75" x14ac:dyDescent="0.25">
      <c r="A152" s="58"/>
      <c r="B152" s="59"/>
      <c r="C152" s="59"/>
      <c r="D152" s="59"/>
      <c r="E152" s="60"/>
      <c r="F152" s="80"/>
      <c r="G152" s="81"/>
      <c r="H152" s="81"/>
      <c r="I152" s="53"/>
      <c r="J152" s="75"/>
      <c r="K152" s="75"/>
      <c r="L152" s="63" t="s">
        <v>416</v>
      </c>
      <c r="M152" s="61" t="s">
        <v>417</v>
      </c>
      <c r="N152" s="113" t="s">
        <v>34</v>
      </c>
      <c r="O152" s="62">
        <v>1</v>
      </c>
      <c r="P152" s="97"/>
      <c r="Q152" s="62"/>
      <c r="R152" s="62"/>
      <c r="S152" s="164"/>
    </row>
    <row r="153" spans="1:19" ht="15.75" x14ac:dyDescent="0.25">
      <c r="A153" s="58"/>
      <c r="B153" s="59"/>
      <c r="C153" s="59"/>
      <c r="D153" s="59"/>
      <c r="E153" s="60"/>
      <c r="F153" s="80"/>
      <c r="G153" s="81"/>
      <c r="H153" s="81"/>
      <c r="I153" s="53"/>
      <c r="J153" s="75"/>
      <c r="K153" s="75"/>
      <c r="L153" s="63" t="s">
        <v>418</v>
      </c>
      <c r="M153" s="61" t="s">
        <v>419</v>
      </c>
      <c r="N153" s="113" t="s">
        <v>34</v>
      </c>
      <c r="O153" s="62">
        <v>1</v>
      </c>
      <c r="P153" s="97"/>
      <c r="Q153" s="62"/>
      <c r="R153" s="62"/>
      <c r="S153" s="164"/>
    </row>
    <row r="154" spans="1:19" ht="15.75" x14ac:dyDescent="0.25">
      <c r="A154" s="58"/>
      <c r="B154" s="59"/>
      <c r="C154" s="59"/>
      <c r="D154" s="59"/>
      <c r="E154" s="60"/>
      <c r="F154" s="80"/>
      <c r="G154" s="81"/>
      <c r="H154" s="81"/>
      <c r="I154" s="53"/>
      <c r="J154" s="75"/>
      <c r="K154" s="75"/>
      <c r="L154" s="63" t="s">
        <v>420</v>
      </c>
      <c r="M154" s="61" t="s">
        <v>421</v>
      </c>
      <c r="N154" s="55" t="s">
        <v>37</v>
      </c>
      <c r="O154" s="62">
        <v>20</v>
      </c>
      <c r="P154" s="97"/>
      <c r="Q154" s="62"/>
      <c r="R154" s="62"/>
      <c r="S154" s="164"/>
    </row>
    <row r="155" spans="1:19" ht="15.75" x14ac:dyDescent="0.25">
      <c r="A155" s="58"/>
      <c r="B155" s="59"/>
      <c r="C155" s="59"/>
      <c r="D155" s="59"/>
      <c r="E155" s="60"/>
      <c r="F155" s="80"/>
      <c r="G155" s="81"/>
      <c r="H155" s="81"/>
      <c r="I155" s="53"/>
      <c r="J155" s="75"/>
      <c r="K155" s="75"/>
      <c r="L155" s="63" t="s">
        <v>422</v>
      </c>
      <c r="M155" s="61" t="s">
        <v>423</v>
      </c>
      <c r="N155" s="55" t="s">
        <v>34</v>
      </c>
      <c r="O155" s="62">
        <v>2</v>
      </c>
      <c r="P155" s="97"/>
      <c r="Q155" s="62"/>
      <c r="R155" s="62"/>
      <c r="S155" s="164"/>
    </row>
    <row r="156" spans="1:19" ht="15.75" x14ac:dyDescent="0.25">
      <c r="A156" s="58"/>
      <c r="B156" s="59"/>
      <c r="C156" s="59"/>
      <c r="D156" s="59"/>
      <c r="E156" s="60"/>
      <c r="F156" s="80"/>
      <c r="G156" s="81"/>
      <c r="H156" s="81"/>
      <c r="I156" s="53"/>
      <c r="J156" s="75"/>
      <c r="K156" s="75"/>
      <c r="L156" s="63" t="s">
        <v>424</v>
      </c>
      <c r="M156" s="61" t="s">
        <v>425</v>
      </c>
      <c r="N156" s="55" t="s">
        <v>34</v>
      </c>
      <c r="O156" s="62">
        <v>2</v>
      </c>
      <c r="P156" s="97"/>
      <c r="Q156" s="62"/>
      <c r="R156" s="62"/>
      <c r="S156" s="164"/>
    </row>
    <row r="157" spans="1:19" ht="15.75" x14ac:dyDescent="0.25">
      <c r="A157" s="58"/>
      <c r="B157" s="59"/>
      <c r="C157" s="59"/>
      <c r="D157" s="59"/>
      <c r="E157" s="60"/>
      <c r="F157" s="80"/>
      <c r="G157" s="81"/>
      <c r="H157" s="81"/>
      <c r="I157" s="53"/>
      <c r="J157" s="75"/>
      <c r="K157" s="75"/>
      <c r="L157" s="63" t="s">
        <v>210</v>
      </c>
      <c r="M157" s="61" t="s">
        <v>211</v>
      </c>
      <c r="N157" s="55" t="s">
        <v>34</v>
      </c>
      <c r="O157" s="62">
        <v>7.2</v>
      </c>
      <c r="P157" s="97"/>
      <c r="Q157" s="62"/>
      <c r="R157" s="62"/>
      <c r="S157" s="164"/>
    </row>
    <row r="158" spans="1:19" ht="15.75" x14ac:dyDescent="0.25">
      <c r="A158" s="58"/>
      <c r="B158" s="59"/>
      <c r="C158" s="59"/>
      <c r="D158" s="59"/>
      <c r="E158" s="60"/>
      <c r="F158" s="80"/>
      <c r="G158" s="81"/>
      <c r="H158" s="81"/>
      <c r="I158" s="53"/>
      <c r="J158" s="75"/>
      <c r="K158" s="75"/>
      <c r="L158" s="63" t="s">
        <v>426</v>
      </c>
      <c r="M158" s="61" t="s">
        <v>427</v>
      </c>
      <c r="N158" s="55" t="s">
        <v>68</v>
      </c>
      <c r="O158" s="62">
        <v>148.65600000000001</v>
      </c>
      <c r="P158" s="97"/>
      <c r="Q158" s="62"/>
      <c r="R158" s="62"/>
      <c r="S158" s="164"/>
    </row>
    <row r="159" spans="1:19" ht="15.75" x14ac:dyDescent="0.25">
      <c r="A159" s="58"/>
      <c r="B159" s="59"/>
      <c r="C159" s="59"/>
      <c r="D159" s="59"/>
      <c r="E159" s="60"/>
      <c r="F159" s="80"/>
      <c r="G159" s="81"/>
      <c r="H159" s="81"/>
      <c r="I159" s="53"/>
      <c r="J159" s="75"/>
      <c r="K159" s="75"/>
      <c r="L159" s="63" t="s">
        <v>748</v>
      </c>
      <c r="M159" s="61" t="s">
        <v>428</v>
      </c>
      <c r="N159" s="55" t="s">
        <v>68</v>
      </c>
      <c r="O159" s="62">
        <v>111.60599999999999</v>
      </c>
      <c r="P159" s="97"/>
      <c r="Q159" s="62"/>
      <c r="R159" s="62"/>
      <c r="S159" s="164"/>
    </row>
    <row r="160" spans="1:19" ht="15.75" x14ac:dyDescent="0.25">
      <c r="A160" s="58"/>
      <c r="B160" s="59"/>
      <c r="C160" s="59"/>
      <c r="D160" s="59"/>
      <c r="E160" s="60"/>
      <c r="F160" s="80"/>
      <c r="G160" s="81"/>
      <c r="H160" s="81"/>
      <c r="I160" s="53"/>
      <c r="J160" s="75"/>
      <c r="K160" s="75"/>
      <c r="L160" s="63" t="s">
        <v>429</v>
      </c>
      <c r="M160" s="61" t="s">
        <v>430</v>
      </c>
      <c r="N160" s="55" t="s">
        <v>37</v>
      </c>
      <c r="O160" s="62">
        <v>42</v>
      </c>
      <c r="P160" s="97"/>
      <c r="Q160" s="62"/>
      <c r="R160" s="62"/>
      <c r="S160" s="164"/>
    </row>
    <row r="161" spans="1:19" ht="15.75" x14ac:dyDescent="0.25">
      <c r="A161" s="58"/>
      <c r="B161" s="59"/>
      <c r="C161" s="59"/>
      <c r="D161" s="59"/>
      <c r="E161" s="60"/>
      <c r="F161" s="80"/>
      <c r="G161" s="81"/>
      <c r="H161" s="81"/>
      <c r="I161" s="53"/>
      <c r="J161" s="75"/>
      <c r="K161" s="75"/>
      <c r="L161" s="63" t="s">
        <v>772</v>
      </c>
      <c r="M161" s="61" t="s">
        <v>773</v>
      </c>
      <c r="N161" s="55" t="s">
        <v>37</v>
      </c>
      <c r="O161" s="62">
        <v>69</v>
      </c>
      <c r="P161" s="97"/>
      <c r="Q161" s="62"/>
      <c r="R161" s="62"/>
      <c r="S161" s="164"/>
    </row>
    <row r="162" spans="1:19" ht="15.75" x14ac:dyDescent="0.25">
      <c r="A162" s="58"/>
      <c r="B162" s="59"/>
      <c r="C162" s="59"/>
      <c r="D162" s="59"/>
      <c r="E162" s="60"/>
      <c r="F162" s="80"/>
      <c r="G162" s="81"/>
      <c r="H162" s="81"/>
      <c r="I162" s="53"/>
      <c r="J162" s="75"/>
      <c r="K162" s="75"/>
      <c r="L162" s="63" t="s">
        <v>736</v>
      </c>
      <c r="M162" s="61" t="s">
        <v>757</v>
      </c>
      <c r="N162" s="55" t="s">
        <v>68</v>
      </c>
      <c r="O162" s="62">
        <v>103.648</v>
      </c>
      <c r="P162" s="97"/>
      <c r="Q162" s="62"/>
      <c r="R162" s="62"/>
      <c r="S162" s="164"/>
    </row>
    <row r="163" spans="1:19" ht="15.75" x14ac:dyDescent="0.25">
      <c r="A163" s="58"/>
      <c r="B163" s="59"/>
      <c r="C163" s="59"/>
      <c r="D163" s="59"/>
      <c r="E163" s="60"/>
      <c r="F163" s="80"/>
      <c r="G163" s="81"/>
      <c r="H163" s="81"/>
      <c r="I163" s="53"/>
      <c r="J163" s="75"/>
      <c r="K163" s="75"/>
      <c r="L163" s="63" t="s">
        <v>432</v>
      </c>
      <c r="M163" s="61" t="s">
        <v>433</v>
      </c>
      <c r="N163" s="55" t="s">
        <v>34</v>
      </c>
      <c r="O163" s="62">
        <v>4</v>
      </c>
      <c r="P163" s="97"/>
      <c r="Q163" s="62"/>
      <c r="R163" s="62"/>
      <c r="S163" s="164"/>
    </row>
    <row r="164" spans="1:19" ht="15.75" x14ac:dyDescent="0.25">
      <c r="A164" s="58"/>
      <c r="B164" s="59"/>
      <c r="C164" s="59"/>
      <c r="D164" s="59"/>
      <c r="E164" s="60"/>
      <c r="F164" s="80"/>
      <c r="G164" s="81"/>
      <c r="H164" s="81"/>
      <c r="I164" s="53"/>
      <c r="J164" s="75"/>
      <c r="K164" s="75"/>
      <c r="L164" s="63" t="s">
        <v>48</v>
      </c>
      <c r="M164" s="61" t="s">
        <v>65</v>
      </c>
      <c r="N164" s="55" t="s">
        <v>66</v>
      </c>
      <c r="O164" s="62">
        <v>2.7</v>
      </c>
      <c r="P164" s="97"/>
      <c r="Q164" s="62"/>
      <c r="R164" s="62"/>
      <c r="S164" s="164"/>
    </row>
    <row r="165" spans="1:19" ht="15.75" x14ac:dyDescent="0.25">
      <c r="A165" s="58"/>
      <c r="B165" s="59"/>
      <c r="C165" s="59"/>
      <c r="D165" s="59"/>
      <c r="E165" s="60"/>
      <c r="F165" s="80"/>
      <c r="G165" s="81"/>
      <c r="H165" s="81"/>
      <c r="I165" s="53"/>
      <c r="J165" s="75"/>
      <c r="K165" s="75"/>
      <c r="L165" s="114" t="s">
        <v>434</v>
      </c>
      <c r="M165" s="115" t="s">
        <v>435</v>
      </c>
      <c r="N165" s="55" t="s">
        <v>34</v>
      </c>
      <c r="O165" s="139">
        <v>6</v>
      </c>
      <c r="P165" s="97"/>
      <c r="Q165" s="62"/>
      <c r="R165" s="62"/>
      <c r="S165" s="164"/>
    </row>
    <row r="166" spans="1:19" ht="15.75" x14ac:dyDescent="0.25">
      <c r="A166" s="58"/>
      <c r="B166" s="59"/>
      <c r="C166" s="59"/>
      <c r="D166" s="59"/>
      <c r="E166" s="60"/>
      <c r="F166" s="80"/>
      <c r="G166" s="81"/>
      <c r="H166" s="81"/>
      <c r="I166" s="53"/>
      <c r="J166" s="75"/>
      <c r="K166" s="75"/>
      <c r="L166" s="63">
        <v>22062</v>
      </c>
      <c r="M166" s="61" t="s">
        <v>436</v>
      </c>
      <c r="N166" s="55" t="s">
        <v>34</v>
      </c>
      <c r="O166" s="62">
        <v>12</v>
      </c>
      <c r="P166" s="97"/>
      <c r="Q166" s="62"/>
      <c r="R166" s="62"/>
      <c r="S166" s="164"/>
    </row>
    <row r="167" spans="1:19" ht="15.75" x14ac:dyDescent="0.25">
      <c r="A167" s="58"/>
      <c r="B167" s="59"/>
      <c r="C167" s="59"/>
      <c r="D167" s="59"/>
      <c r="E167" s="60"/>
      <c r="F167" s="80"/>
      <c r="G167" s="81"/>
      <c r="H167" s="81"/>
      <c r="I167" s="53"/>
      <c r="J167" s="75"/>
      <c r="K167" s="75"/>
      <c r="L167" s="63">
        <v>19254</v>
      </c>
      <c r="M167" s="61" t="s">
        <v>95</v>
      </c>
      <c r="N167" s="55" t="s">
        <v>34</v>
      </c>
      <c r="O167" s="62">
        <v>8</v>
      </c>
      <c r="P167" s="97"/>
      <c r="Q167" s="62"/>
      <c r="R167" s="62"/>
      <c r="S167" s="164"/>
    </row>
    <row r="168" spans="1:19" ht="15.75" x14ac:dyDescent="0.25">
      <c r="A168" s="58"/>
      <c r="B168" s="59"/>
      <c r="C168" s="59"/>
      <c r="D168" s="59"/>
      <c r="E168" s="60"/>
      <c r="F168" s="80"/>
      <c r="G168" s="81"/>
      <c r="H168" s="81"/>
      <c r="I168" s="53"/>
      <c r="J168" s="75"/>
      <c r="K168" s="75"/>
      <c r="L168" s="63" t="s">
        <v>437</v>
      </c>
      <c r="M168" s="61" t="s">
        <v>438</v>
      </c>
      <c r="N168" s="55" t="s">
        <v>34</v>
      </c>
      <c r="O168" s="62">
        <v>20</v>
      </c>
      <c r="P168" s="97"/>
      <c r="Q168" s="62"/>
      <c r="R168" s="62"/>
      <c r="S168" s="164"/>
    </row>
    <row r="169" spans="1:19" ht="15.75" x14ac:dyDescent="0.25">
      <c r="A169" s="58"/>
      <c r="B169" s="59"/>
      <c r="C169" s="59"/>
      <c r="D169" s="59"/>
      <c r="E169" s="60"/>
      <c r="F169" s="80"/>
      <c r="G169" s="81"/>
      <c r="H169" s="81"/>
      <c r="I169" s="53"/>
      <c r="J169" s="75"/>
      <c r="K169" s="75"/>
      <c r="L169" s="63">
        <v>615</v>
      </c>
      <c r="M169" s="61" t="s">
        <v>439</v>
      </c>
      <c r="N169" s="113" t="s">
        <v>34</v>
      </c>
      <c r="O169" s="62">
        <v>3</v>
      </c>
      <c r="P169" s="97"/>
      <c r="Q169" s="62"/>
      <c r="R169" s="62"/>
      <c r="S169" s="164"/>
    </row>
    <row r="170" spans="1:19" ht="15.75" x14ac:dyDescent="0.25">
      <c r="A170" s="58"/>
      <c r="B170" s="59"/>
      <c r="C170" s="59"/>
      <c r="D170" s="59"/>
      <c r="E170" s="60"/>
      <c r="F170" s="80"/>
      <c r="G170" s="81"/>
      <c r="H170" s="81"/>
      <c r="I170" s="53"/>
      <c r="J170" s="75"/>
      <c r="K170" s="75"/>
      <c r="L170" s="63" t="s">
        <v>440</v>
      </c>
      <c r="M170" s="61" t="s">
        <v>441</v>
      </c>
      <c r="N170" s="113" t="s">
        <v>442</v>
      </c>
      <c r="O170" s="62">
        <v>20</v>
      </c>
      <c r="P170" s="97"/>
      <c r="Q170" s="62"/>
      <c r="R170" s="62"/>
      <c r="S170" s="164"/>
    </row>
    <row r="171" spans="1:19" ht="15.75" x14ac:dyDescent="0.25">
      <c r="A171" s="58"/>
      <c r="B171" s="59"/>
      <c r="C171" s="59"/>
      <c r="D171" s="59"/>
      <c r="E171" s="60"/>
      <c r="F171" s="80"/>
      <c r="G171" s="81"/>
      <c r="H171" s="81"/>
      <c r="I171" s="53"/>
      <c r="J171" s="75"/>
      <c r="K171" s="75"/>
      <c r="L171" s="63" t="s">
        <v>43</v>
      </c>
      <c r="M171" s="61" t="s">
        <v>96</v>
      </c>
      <c r="N171" s="113" t="s">
        <v>34</v>
      </c>
      <c r="O171" s="62">
        <v>430</v>
      </c>
      <c r="P171" s="97"/>
      <c r="Q171" s="62"/>
      <c r="R171" s="62"/>
      <c r="S171" s="164"/>
    </row>
    <row r="172" spans="1:19" ht="15.75" x14ac:dyDescent="0.25">
      <c r="A172" s="58"/>
      <c r="B172" s="59"/>
      <c r="C172" s="59"/>
      <c r="D172" s="59"/>
      <c r="E172" s="60"/>
      <c r="F172" s="80"/>
      <c r="G172" s="81"/>
      <c r="H172" s="81"/>
      <c r="I172" s="53"/>
      <c r="J172" s="75"/>
      <c r="K172" s="75"/>
      <c r="L172" s="63" t="s">
        <v>443</v>
      </c>
      <c r="M172" s="145" t="s">
        <v>444</v>
      </c>
      <c r="N172" s="113" t="s">
        <v>34</v>
      </c>
      <c r="O172" s="62">
        <v>1500</v>
      </c>
      <c r="P172" s="97"/>
      <c r="Q172" s="62"/>
      <c r="R172" s="62"/>
      <c r="S172" s="164"/>
    </row>
    <row r="173" spans="1:19" ht="15.75" x14ac:dyDescent="0.25">
      <c r="A173" s="58"/>
      <c r="B173" s="59"/>
      <c r="C173" s="59"/>
      <c r="D173" s="59"/>
      <c r="E173" s="60"/>
      <c r="F173" s="80"/>
      <c r="G173" s="81"/>
      <c r="H173" s="81"/>
      <c r="I173" s="53"/>
      <c r="J173" s="75"/>
      <c r="K173" s="75"/>
      <c r="L173" s="63" t="s">
        <v>445</v>
      </c>
      <c r="M173" s="61" t="s">
        <v>446</v>
      </c>
      <c r="N173" s="113" t="s">
        <v>34</v>
      </c>
      <c r="O173" s="62">
        <v>11</v>
      </c>
      <c r="P173" s="97"/>
      <c r="Q173" s="62"/>
      <c r="R173" s="62"/>
      <c r="S173" s="164"/>
    </row>
    <row r="174" spans="1:19" ht="15.75" x14ac:dyDescent="0.25">
      <c r="A174" s="58"/>
      <c r="B174" s="59"/>
      <c r="C174" s="59"/>
      <c r="D174" s="59"/>
      <c r="E174" s="60"/>
      <c r="F174" s="80"/>
      <c r="G174" s="81"/>
      <c r="H174" s="81"/>
      <c r="I174" s="53"/>
      <c r="J174" s="75"/>
      <c r="K174" s="75"/>
      <c r="L174" s="63">
        <v>22350</v>
      </c>
      <c r="M174" s="61" t="s">
        <v>447</v>
      </c>
      <c r="N174" s="113" t="s">
        <v>34</v>
      </c>
      <c r="O174" s="62">
        <v>10</v>
      </c>
      <c r="P174" s="97"/>
      <c r="Q174" s="62"/>
      <c r="R174" s="62"/>
      <c r="S174" s="164"/>
    </row>
    <row r="175" spans="1:19" ht="15.75" x14ac:dyDescent="0.25">
      <c r="A175" s="58"/>
      <c r="B175" s="59"/>
      <c r="C175" s="59"/>
      <c r="D175" s="59"/>
      <c r="E175" s="60"/>
      <c r="F175" s="80"/>
      <c r="G175" s="81"/>
      <c r="H175" s="81"/>
      <c r="I175" s="53"/>
      <c r="J175" s="75"/>
      <c r="K175" s="75"/>
      <c r="L175" s="63" t="s">
        <v>448</v>
      </c>
      <c r="M175" s="61" t="s">
        <v>449</v>
      </c>
      <c r="N175" s="55" t="s">
        <v>34</v>
      </c>
      <c r="O175" s="62">
        <v>1</v>
      </c>
      <c r="P175" s="97"/>
      <c r="Q175" s="62"/>
      <c r="R175" s="62"/>
      <c r="S175" s="164"/>
    </row>
    <row r="176" spans="1:19" ht="15.75" x14ac:dyDescent="0.25">
      <c r="A176" s="58"/>
      <c r="B176" s="59"/>
      <c r="C176" s="59"/>
      <c r="D176" s="59"/>
      <c r="E176" s="60"/>
      <c r="F176" s="80"/>
      <c r="G176" s="81"/>
      <c r="H176" s="81"/>
      <c r="I176" s="53"/>
      <c r="J176" s="75"/>
      <c r="K176" s="75"/>
      <c r="L176" s="63" t="s">
        <v>450</v>
      </c>
      <c r="M176" s="61" t="s">
        <v>451</v>
      </c>
      <c r="N176" s="55" t="s">
        <v>34</v>
      </c>
      <c r="O176" s="62">
        <v>1</v>
      </c>
      <c r="P176" s="97"/>
      <c r="Q176" s="62"/>
      <c r="R176" s="62"/>
      <c r="S176" s="164"/>
    </row>
    <row r="177" spans="1:19" ht="15.75" x14ac:dyDescent="0.25">
      <c r="A177" s="58"/>
      <c r="B177" s="59"/>
      <c r="C177" s="59"/>
      <c r="D177" s="59"/>
      <c r="E177" s="60"/>
      <c r="F177" s="80"/>
      <c r="G177" s="81"/>
      <c r="H177" s="81"/>
      <c r="I177" s="53"/>
      <c r="J177" s="75"/>
      <c r="K177" s="75"/>
      <c r="L177" s="63" t="s">
        <v>452</v>
      </c>
      <c r="M177" s="61" t="s">
        <v>453</v>
      </c>
      <c r="N177" s="55" t="s">
        <v>34</v>
      </c>
      <c r="O177" s="62">
        <v>11</v>
      </c>
      <c r="P177" s="97"/>
      <c r="Q177" s="62"/>
      <c r="R177" s="62"/>
      <c r="S177" s="164"/>
    </row>
    <row r="178" spans="1:19" ht="15.75" x14ac:dyDescent="0.25">
      <c r="A178" s="58"/>
      <c r="B178" s="59"/>
      <c r="C178" s="59"/>
      <c r="D178" s="59"/>
      <c r="E178" s="60"/>
      <c r="F178" s="80"/>
      <c r="G178" s="81"/>
      <c r="H178" s="81"/>
      <c r="I178" s="53"/>
      <c r="J178" s="75"/>
      <c r="K178" s="75"/>
      <c r="L178" s="63">
        <v>19295</v>
      </c>
      <c r="M178" s="61" t="s">
        <v>454</v>
      </c>
      <c r="N178" s="55" t="s">
        <v>34</v>
      </c>
      <c r="O178" s="62">
        <v>2</v>
      </c>
      <c r="P178" s="97"/>
      <c r="Q178" s="62"/>
      <c r="R178" s="62"/>
      <c r="S178" s="164"/>
    </row>
    <row r="179" spans="1:19" ht="15.75" x14ac:dyDescent="0.25">
      <c r="A179" s="58"/>
      <c r="B179" s="59"/>
      <c r="C179" s="59"/>
      <c r="D179" s="59"/>
      <c r="E179" s="60"/>
      <c r="F179" s="80"/>
      <c r="G179" s="81"/>
      <c r="H179" s="81"/>
      <c r="I179" s="53"/>
      <c r="J179" s="75"/>
      <c r="K179" s="75"/>
      <c r="L179" s="63">
        <v>11561</v>
      </c>
      <c r="M179" s="61" t="s">
        <v>215</v>
      </c>
      <c r="N179" s="55" t="s">
        <v>34</v>
      </c>
      <c r="O179" s="62">
        <v>1</v>
      </c>
      <c r="P179" s="97"/>
      <c r="Q179" s="62"/>
      <c r="R179" s="62"/>
      <c r="S179" s="164"/>
    </row>
    <row r="180" spans="1:19" ht="15.75" x14ac:dyDescent="0.25">
      <c r="A180" s="58"/>
      <c r="B180" s="59"/>
      <c r="C180" s="59"/>
      <c r="D180" s="59"/>
      <c r="E180" s="60"/>
      <c r="F180" s="80"/>
      <c r="G180" s="81"/>
      <c r="H180" s="81"/>
      <c r="I180" s="53"/>
      <c r="J180" s="75"/>
      <c r="K180" s="75"/>
      <c r="L180" s="63" t="s">
        <v>217</v>
      </c>
      <c r="M180" s="61" t="s">
        <v>218</v>
      </c>
      <c r="N180" s="55" t="s">
        <v>34</v>
      </c>
      <c r="O180" s="62">
        <v>1</v>
      </c>
      <c r="P180" s="97"/>
      <c r="Q180" s="62"/>
      <c r="R180" s="62"/>
      <c r="S180" s="164"/>
    </row>
    <row r="181" spans="1:19" ht="15.75" x14ac:dyDescent="0.25">
      <c r="A181" s="58"/>
      <c r="B181" s="59"/>
      <c r="C181" s="59"/>
      <c r="D181" s="59"/>
      <c r="E181" s="60"/>
      <c r="F181" s="80"/>
      <c r="G181" s="81"/>
      <c r="H181" s="81"/>
      <c r="I181" s="53"/>
      <c r="J181" s="75"/>
      <c r="K181" s="75"/>
      <c r="L181" s="114">
        <v>21892</v>
      </c>
      <c r="M181" s="115" t="s">
        <v>97</v>
      </c>
      <c r="N181" s="55" t="s">
        <v>34</v>
      </c>
      <c r="O181" s="139">
        <v>12</v>
      </c>
      <c r="P181" s="97"/>
      <c r="Q181" s="62"/>
      <c r="R181" s="62"/>
      <c r="S181" s="164"/>
    </row>
    <row r="182" spans="1:19" ht="15.75" x14ac:dyDescent="0.25">
      <c r="A182" s="58"/>
      <c r="B182" s="59"/>
      <c r="C182" s="59"/>
      <c r="D182" s="59"/>
      <c r="E182" s="60"/>
      <c r="F182" s="80"/>
      <c r="G182" s="81"/>
      <c r="H182" s="81"/>
      <c r="I182" s="53"/>
      <c r="J182" s="75"/>
      <c r="K182" s="75"/>
      <c r="L182" s="114" t="s">
        <v>455</v>
      </c>
      <c r="M182" s="115" t="s">
        <v>456</v>
      </c>
      <c r="N182" s="55" t="s">
        <v>34</v>
      </c>
      <c r="O182" s="139">
        <v>4</v>
      </c>
      <c r="P182" s="97"/>
      <c r="Q182" s="62"/>
      <c r="R182" s="62"/>
      <c r="S182" s="164"/>
    </row>
    <row r="183" spans="1:19" ht="15.75" x14ac:dyDescent="0.25">
      <c r="A183" s="58"/>
      <c r="B183" s="59"/>
      <c r="C183" s="59"/>
      <c r="D183" s="59"/>
      <c r="E183" s="60"/>
      <c r="F183" s="80"/>
      <c r="G183" s="81"/>
      <c r="H183" s="81"/>
      <c r="I183" s="53"/>
      <c r="J183" s="75"/>
      <c r="K183" s="75"/>
      <c r="L183" s="114" t="s">
        <v>457</v>
      </c>
      <c r="M183" s="115" t="s">
        <v>458</v>
      </c>
      <c r="N183" s="55" t="s">
        <v>34</v>
      </c>
      <c r="O183" s="139">
        <v>1</v>
      </c>
      <c r="P183" s="97"/>
      <c r="Q183" s="62"/>
      <c r="R183" s="62"/>
      <c r="S183" s="164"/>
    </row>
    <row r="184" spans="1:19" ht="15.75" x14ac:dyDescent="0.25">
      <c r="A184" s="58"/>
      <c r="B184" s="59"/>
      <c r="C184" s="59"/>
      <c r="D184" s="59"/>
      <c r="E184" s="60"/>
      <c r="F184" s="80"/>
      <c r="G184" s="81"/>
      <c r="H184" s="81"/>
      <c r="I184" s="53"/>
      <c r="J184" s="75"/>
      <c r="K184" s="75"/>
      <c r="L184" s="114" t="s">
        <v>529</v>
      </c>
      <c r="M184" s="115" t="s">
        <v>530</v>
      </c>
      <c r="N184" s="55" t="s">
        <v>34</v>
      </c>
      <c r="O184" s="139">
        <v>2</v>
      </c>
      <c r="P184" s="97"/>
      <c r="Q184" s="62"/>
      <c r="R184" s="62"/>
      <c r="S184" s="164"/>
    </row>
    <row r="185" spans="1:19" ht="15.75" x14ac:dyDescent="0.25">
      <c r="A185" s="58"/>
      <c r="B185" s="59"/>
      <c r="C185" s="59"/>
      <c r="D185" s="59"/>
      <c r="E185" s="60"/>
      <c r="F185" s="80"/>
      <c r="G185" s="81"/>
      <c r="H185" s="81"/>
      <c r="I185" s="53"/>
      <c r="J185" s="75"/>
      <c r="K185" s="75"/>
      <c r="L185" s="114" t="s">
        <v>459</v>
      </c>
      <c r="M185" s="115" t="s">
        <v>460</v>
      </c>
      <c r="N185" s="55" t="s">
        <v>34</v>
      </c>
      <c r="O185" s="139">
        <v>5</v>
      </c>
      <c r="P185" s="97"/>
      <c r="Q185" s="62"/>
      <c r="R185" s="62"/>
      <c r="S185" s="164"/>
    </row>
    <row r="186" spans="1:19" ht="15.75" x14ac:dyDescent="0.25">
      <c r="A186" s="58"/>
      <c r="B186" s="59"/>
      <c r="C186" s="59"/>
      <c r="D186" s="59"/>
      <c r="E186" s="60"/>
      <c r="F186" s="80"/>
      <c r="G186" s="81"/>
      <c r="H186" s="81"/>
      <c r="I186" s="53"/>
      <c r="J186" s="75"/>
      <c r="K186" s="75"/>
      <c r="L186" s="63">
        <v>423</v>
      </c>
      <c r="M186" s="61" t="s">
        <v>461</v>
      </c>
      <c r="N186" s="55" t="s">
        <v>34</v>
      </c>
      <c r="O186" s="62">
        <v>4</v>
      </c>
      <c r="P186" s="97"/>
      <c r="Q186" s="62"/>
      <c r="R186" s="62"/>
      <c r="S186" s="164"/>
    </row>
    <row r="187" spans="1:19" ht="15.75" x14ac:dyDescent="0.25">
      <c r="A187" s="58"/>
      <c r="B187" s="59"/>
      <c r="C187" s="59"/>
      <c r="D187" s="59"/>
      <c r="E187" s="60"/>
      <c r="F187" s="80"/>
      <c r="G187" s="81"/>
      <c r="H187" s="81"/>
      <c r="I187" s="53"/>
      <c r="J187" s="75"/>
      <c r="K187" s="75"/>
      <c r="L187" s="63" t="s">
        <v>462</v>
      </c>
      <c r="M187" s="61" t="s">
        <v>463</v>
      </c>
      <c r="N187" s="55" t="s">
        <v>34</v>
      </c>
      <c r="O187" s="62">
        <v>1</v>
      </c>
      <c r="P187" s="97"/>
      <c r="Q187" s="62"/>
      <c r="R187" s="62"/>
      <c r="S187" s="164"/>
    </row>
    <row r="188" spans="1:19" ht="15.75" x14ac:dyDescent="0.25">
      <c r="A188" s="58"/>
      <c r="B188" s="59"/>
      <c r="C188" s="59"/>
      <c r="D188" s="59"/>
      <c r="E188" s="60"/>
      <c r="F188" s="80"/>
      <c r="G188" s="81"/>
      <c r="H188" s="81"/>
      <c r="I188" s="53"/>
      <c r="J188" s="75"/>
      <c r="K188" s="75"/>
      <c r="L188" s="63" t="s">
        <v>219</v>
      </c>
      <c r="M188" s="61" t="s">
        <v>220</v>
      </c>
      <c r="N188" s="55" t="s">
        <v>34</v>
      </c>
      <c r="O188" s="62">
        <v>10</v>
      </c>
      <c r="P188" s="97"/>
      <c r="Q188" s="62"/>
      <c r="R188" s="62"/>
      <c r="S188" s="164"/>
    </row>
    <row r="189" spans="1:19" ht="15.75" x14ac:dyDescent="0.25">
      <c r="A189" s="58"/>
      <c r="B189" s="59"/>
      <c r="C189" s="59"/>
      <c r="D189" s="59"/>
      <c r="E189" s="60"/>
      <c r="F189" s="80"/>
      <c r="G189" s="81"/>
      <c r="H189" s="81"/>
      <c r="I189" s="53"/>
      <c r="J189" s="75"/>
      <c r="K189" s="75"/>
      <c r="L189" s="63">
        <v>21829</v>
      </c>
      <c r="M189" s="61" t="s">
        <v>221</v>
      </c>
      <c r="N189" s="55" t="s">
        <v>34</v>
      </c>
      <c r="O189" s="62">
        <v>3</v>
      </c>
      <c r="P189" s="97"/>
      <c r="Q189" s="62"/>
      <c r="R189" s="62"/>
      <c r="S189" s="164"/>
    </row>
    <row r="190" spans="1:19" ht="15.75" x14ac:dyDescent="0.25">
      <c r="A190" s="58"/>
      <c r="B190" s="59"/>
      <c r="C190" s="59"/>
      <c r="D190" s="59"/>
      <c r="E190" s="60"/>
      <c r="F190" s="80"/>
      <c r="G190" s="81"/>
      <c r="H190" s="81"/>
      <c r="I190" s="53"/>
      <c r="J190" s="75"/>
      <c r="K190" s="75"/>
      <c r="L190" s="63">
        <v>11813</v>
      </c>
      <c r="M190" s="61" t="s">
        <v>774</v>
      </c>
      <c r="N190" s="55"/>
      <c r="O190" s="62">
        <v>6</v>
      </c>
      <c r="P190" s="97"/>
      <c r="Q190" s="62"/>
      <c r="R190" s="62"/>
      <c r="S190" s="164"/>
    </row>
    <row r="191" spans="1:19" ht="15.75" x14ac:dyDescent="0.25">
      <c r="A191" s="58"/>
      <c r="B191" s="59"/>
      <c r="C191" s="59"/>
      <c r="D191" s="59"/>
      <c r="E191" s="60"/>
      <c r="F191" s="80"/>
      <c r="G191" s="81"/>
      <c r="H191" s="81"/>
      <c r="I191" s="53"/>
      <c r="J191" s="75"/>
      <c r="K191" s="75"/>
      <c r="L191" s="63">
        <v>14686</v>
      </c>
      <c r="M191" s="61" t="s">
        <v>468</v>
      </c>
      <c r="N191" s="55" t="s">
        <v>34</v>
      </c>
      <c r="O191" s="62">
        <v>4</v>
      </c>
      <c r="P191" s="97"/>
      <c r="Q191" s="62"/>
      <c r="R191" s="62"/>
      <c r="S191" s="164"/>
    </row>
    <row r="192" spans="1:19" ht="15.75" x14ac:dyDescent="0.25">
      <c r="A192" s="58"/>
      <c r="B192" s="59"/>
      <c r="C192" s="59"/>
      <c r="D192" s="59"/>
      <c r="E192" s="60"/>
      <c r="F192" s="80"/>
      <c r="G192" s="81"/>
      <c r="H192" s="81"/>
      <c r="I192" s="53"/>
      <c r="J192" s="75"/>
      <c r="K192" s="75"/>
      <c r="L192" s="63" t="s">
        <v>223</v>
      </c>
      <c r="M192" s="61" t="s">
        <v>224</v>
      </c>
      <c r="N192" s="55" t="s">
        <v>34</v>
      </c>
      <c r="O192" s="62">
        <v>9</v>
      </c>
      <c r="P192" s="97"/>
      <c r="Q192" s="62"/>
      <c r="R192" s="62"/>
      <c r="S192" s="164"/>
    </row>
    <row r="193" spans="1:19" ht="15.75" x14ac:dyDescent="0.25">
      <c r="A193" s="58"/>
      <c r="B193" s="59"/>
      <c r="C193" s="59"/>
      <c r="D193" s="59"/>
      <c r="E193" s="60"/>
      <c r="F193" s="80"/>
      <c r="G193" s="81"/>
      <c r="H193" s="81"/>
      <c r="I193" s="53"/>
      <c r="J193" s="75"/>
      <c r="K193" s="75"/>
      <c r="L193" s="63">
        <v>19328</v>
      </c>
      <c r="M193" s="61" t="s">
        <v>471</v>
      </c>
      <c r="N193" s="55" t="s">
        <v>34</v>
      </c>
      <c r="O193" s="62">
        <v>1</v>
      </c>
      <c r="P193" s="97"/>
      <c r="Q193" s="62"/>
      <c r="R193" s="62"/>
      <c r="S193" s="164"/>
    </row>
    <row r="194" spans="1:19" ht="15.75" x14ac:dyDescent="0.25">
      <c r="A194" s="58"/>
      <c r="B194" s="59"/>
      <c r="C194" s="59"/>
      <c r="D194" s="59"/>
      <c r="E194" s="60"/>
      <c r="F194" s="80"/>
      <c r="G194" s="81"/>
      <c r="H194" s="81"/>
      <c r="I194" s="53"/>
      <c r="J194" s="75"/>
      <c r="K194" s="75"/>
      <c r="L194" s="63">
        <v>100</v>
      </c>
      <c r="M194" s="61" t="s">
        <v>472</v>
      </c>
      <c r="N194" s="55" t="s">
        <v>34</v>
      </c>
      <c r="O194" s="62">
        <v>6</v>
      </c>
      <c r="P194" s="97"/>
      <c r="Q194" s="62"/>
      <c r="R194" s="62"/>
      <c r="S194" s="164"/>
    </row>
    <row r="195" spans="1:19" ht="15.75" x14ac:dyDescent="0.25">
      <c r="A195" s="58"/>
      <c r="B195" s="59"/>
      <c r="C195" s="59"/>
      <c r="D195" s="59"/>
      <c r="E195" s="60"/>
      <c r="F195" s="80"/>
      <c r="G195" s="81"/>
      <c r="H195" s="81"/>
      <c r="I195" s="53"/>
      <c r="J195" s="75"/>
      <c r="K195" s="75"/>
      <c r="L195" s="63">
        <v>101</v>
      </c>
      <c r="M195" s="61" t="s">
        <v>473</v>
      </c>
      <c r="N195" s="55" t="s">
        <v>34</v>
      </c>
      <c r="O195" s="62">
        <v>8</v>
      </c>
      <c r="P195" s="97"/>
      <c r="Q195" s="62"/>
      <c r="R195" s="62"/>
      <c r="S195" s="164"/>
    </row>
    <row r="196" spans="1:19" ht="15.75" x14ac:dyDescent="0.25">
      <c r="A196" s="58"/>
      <c r="B196" s="59"/>
      <c r="C196" s="59"/>
      <c r="D196" s="59"/>
      <c r="E196" s="60"/>
      <c r="F196" s="80"/>
      <c r="G196" s="81"/>
      <c r="H196" s="81"/>
      <c r="I196" s="53"/>
      <c r="J196" s="75"/>
      <c r="K196" s="75"/>
      <c r="L196" s="63">
        <v>21706</v>
      </c>
      <c r="M196" s="61" t="s">
        <v>474</v>
      </c>
      <c r="N196" s="55" t="s">
        <v>34</v>
      </c>
      <c r="O196" s="62">
        <v>4</v>
      </c>
      <c r="P196" s="97"/>
      <c r="Q196" s="62"/>
      <c r="R196" s="62"/>
      <c r="S196" s="164"/>
    </row>
    <row r="197" spans="1:19" ht="15.75" x14ac:dyDescent="0.25">
      <c r="A197" s="58"/>
      <c r="B197" s="59"/>
      <c r="C197" s="59"/>
      <c r="D197" s="59"/>
      <c r="E197" s="60"/>
      <c r="F197" s="80"/>
      <c r="G197" s="81"/>
      <c r="H197" s="81"/>
      <c r="I197" s="53"/>
      <c r="J197" s="75"/>
      <c r="K197" s="75"/>
      <c r="L197" s="114" t="s">
        <v>225</v>
      </c>
      <c r="M197" s="115" t="s">
        <v>226</v>
      </c>
      <c r="N197" s="55" t="s">
        <v>37</v>
      </c>
      <c r="O197" s="139">
        <v>220</v>
      </c>
      <c r="P197" s="97"/>
      <c r="Q197" s="62"/>
      <c r="R197" s="62"/>
      <c r="S197" s="164"/>
    </row>
    <row r="198" spans="1:19" ht="15.75" x14ac:dyDescent="0.25">
      <c r="A198" s="58"/>
      <c r="B198" s="59"/>
      <c r="C198" s="59"/>
      <c r="D198" s="59"/>
      <c r="E198" s="60"/>
      <c r="F198" s="80"/>
      <c r="G198" s="81"/>
      <c r="H198" s="81"/>
      <c r="I198" s="53"/>
      <c r="J198" s="75"/>
      <c r="K198" s="75"/>
      <c r="L198" s="114" t="s">
        <v>227</v>
      </c>
      <c r="M198" s="115" t="s">
        <v>228</v>
      </c>
      <c r="N198" s="55" t="s">
        <v>37</v>
      </c>
      <c r="O198" s="139">
        <v>124.5</v>
      </c>
      <c r="P198" s="97"/>
      <c r="Q198" s="62"/>
      <c r="R198" s="62"/>
      <c r="S198" s="164"/>
    </row>
    <row r="199" spans="1:19" ht="15.75" x14ac:dyDescent="0.25">
      <c r="A199" s="58"/>
      <c r="B199" s="59"/>
      <c r="C199" s="59"/>
      <c r="D199" s="59"/>
      <c r="E199" s="60"/>
      <c r="F199" s="80"/>
      <c r="G199" s="81"/>
      <c r="H199" s="81"/>
      <c r="I199" s="53"/>
      <c r="J199" s="75"/>
      <c r="K199" s="75"/>
      <c r="L199" s="114" t="s">
        <v>229</v>
      </c>
      <c r="M199" s="115" t="s">
        <v>230</v>
      </c>
      <c r="N199" s="55" t="s">
        <v>37</v>
      </c>
      <c r="O199" s="139">
        <v>115</v>
      </c>
      <c r="P199" s="97"/>
      <c r="Q199" s="62"/>
      <c r="R199" s="62"/>
      <c r="S199" s="164"/>
    </row>
    <row r="200" spans="1:19" ht="15.75" x14ac:dyDescent="0.25">
      <c r="A200" s="58"/>
      <c r="B200" s="59"/>
      <c r="C200" s="59"/>
      <c r="D200" s="59"/>
      <c r="E200" s="60"/>
      <c r="F200" s="80"/>
      <c r="G200" s="81"/>
      <c r="H200" s="81"/>
      <c r="I200" s="53"/>
      <c r="J200" s="75"/>
      <c r="K200" s="75"/>
      <c r="L200" s="114" t="s">
        <v>38</v>
      </c>
      <c r="M200" s="115" t="s">
        <v>100</v>
      </c>
      <c r="N200" s="55" t="s">
        <v>37</v>
      </c>
      <c r="O200" s="139">
        <v>66</v>
      </c>
      <c r="P200" s="97"/>
      <c r="Q200" s="62"/>
      <c r="R200" s="62"/>
      <c r="S200" s="164"/>
    </row>
    <row r="201" spans="1:19" ht="15.75" x14ac:dyDescent="0.25">
      <c r="A201" s="58"/>
      <c r="B201" s="59"/>
      <c r="C201" s="59"/>
      <c r="D201" s="59"/>
      <c r="E201" s="60"/>
      <c r="F201" s="80"/>
      <c r="G201" s="81"/>
      <c r="H201" s="81"/>
      <c r="I201" s="53"/>
      <c r="J201" s="75"/>
      <c r="K201" s="75"/>
      <c r="L201" s="114" t="s">
        <v>231</v>
      </c>
      <c r="M201" s="115" t="s">
        <v>232</v>
      </c>
      <c r="N201" s="55" t="s">
        <v>37</v>
      </c>
      <c r="O201" s="139">
        <v>573</v>
      </c>
      <c r="P201" s="97"/>
      <c r="Q201" s="62"/>
      <c r="R201" s="62"/>
      <c r="S201" s="164"/>
    </row>
    <row r="202" spans="1:19" ht="15.75" x14ac:dyDescent="0.25">
      <c r="A202" s="58"/>
      <c r="B202" s="59"/>
      <c r="C202" s="59"/>
      <c r="D202" s="59"/>
      <c r="E202" s="60"/>
      <c r="F202" s="80"/>
      <c r="G202" s="81"/>
      <c r="H202" s="81"/>
      <c r="I202" s="53"/>
      <c r="J202" s="75"/>
      <c r="K202" s="75"/>
      <c r="L202" s="114" t="s">
        <v>475</v>
      </c>
      <c r="M202" s="115" t="s">
        <v>476</v>
      </c>
      <c r="N202" s="55" t="s">
        <v>34</v>
      </c>
      <c r="O202" s="139">
        <v>4</v>
      </c>
      <c r="P202" s="97"/>
      <c r="Q202" s="62"/>
      <c r="R202" s="62"/>
      <c r="S202" s="164"/>
    </row>
    <row r="203" spans="1:19" ht="15.75" x14ac:dyDescent="0.25">
      <c r="A203" s="58"/>
      <c r="B203" s="59"/>
      <c r="C203" s="59"/>
      <c r="D203" s="59"/>
      <c r="E203" s="60"/>
      <c r="F203" s="80"/>
      <c r="G203" s="81"/>
      <c r="H203" s="81"/>
      <c r="I203" s="53"/>
      <c r="J203" s="75"/>
      <c r="K203" s="75"/>
      <c r="L203" s="114">
        <v>18042</v>
      </c>
      <c r="M203" s="115" t="s">
        <v>233</v>
      </c>
      <c r="N203" s="55" t="s">
        <v>57</v>
      </c>
      <c r="O203" s="139">
        <v>20</v>
      </c>
      <c r="P203" s="97"/>
      <c r="Q203" s="62"/>
      <c r="R203" s="62"/>
      <c r="S203" s="164"/>
    </row>
    <row r="204" spans="1:19" ht="15.75" x14ac:dyDescent="0.25">
      <c r="A204" s="58"/>
      <c r="B204" s="59"/>
      <c r="C204" s="59"/>
      <c r="D204" s="59"/>
      <c r="E204" s="60"/>
      <c r="F204" s="80"/>
      <c r="G204" s="81"/>
      <c r="H204" s="81"/>
      <c r="I204" s="53"/>
      <c r="J204" s="75"/>
      <c r="K204" s="75"/>
      <c r="L204" s="114" t="s">
        <v>521</v>
      </c>
      <c r="M204" s="115" t="s">
        <v>522</v>
      </c>
      <c r="N204" s="55" t="s">
        <v>39</v>
      </c>
      <c r="O204" s="139">
        <v>5.8000000000000003E-2</v>
      </c>
      <c r="P204" s="97"/>
      <c r="Q204" s="62"/>
      <c r="R204" s="62"/>
      <c r="S204" s="164"/>
    </row>
    <row r="205" spans="1:19" ht="15.75" x14ac:dyDescent="0.25">
      <c r="A205" s="58"/>
      <c r="B205" s="59"/>
      <c r="C205" s="59"/>
      <c r="D205" s="59"/>
      <c r="E205" s="60"/>
      <c r="F205" s="80"/>
      <c r="G205" s="81"/>
      <c r="H205" s="81"/>
      <c r="I205" s="53"/>
      <c r="J205" s="75"/>
      <c r="K205" s="75"/>
      <c r="L205" s="63" t="s">
        <v>234</v>
      </c>
      <c r="M205" s="61" t="s">
        <v>235</v>
      </c>
      <c r="N205" s="55" t="s">
        <v>34</v>
      </c>
      <c r="O205" s="62">
        <v>2</v>
      </c>
      <c r="P205" s="97"/>
      <c r="Q205" s="62"/>
      <c r="R205" s="62"/>
      <c r="S205" s="164"/>
    </row>
    <row r="206" spans="1:19" ht="15.75" x14ac:dyDescent="0.25">
      <c r="A206" s="58"/>
      <c r="B206" s="59"/>
      <c r="C206" s="59"/>
      <c r="D206" s="59"/>
      <c r="E206" s="60"/>
      <c r="F206" s="80"/>
      <c r="G206" s="81"/>
      <c r="H206" s="81"/>
      <c r="I206" s="53"/>
      <c r="J206" s="75"/>
      <c r="K206" s="75"/>
      <c r="L206" s="63" t="s">
        <v>236</v>
      </c>
      <c r="M206" s="61" t="s">
        <v>237</v>
      </c>
      <c r="N206" s="55" t="s">
        <v>34</v>
      </c>
      <c r="O206" s="62">
        <v>4</v>
      </c>
      <c r="P206" s="97"/>
      <c r="Q206" s="62"/>
      <c r="R206" s="62"/>
      <c r="S206" s="164"/>
    </row>
    <row r="207" spans="1:19" ht="15.75" x14ac:dyDescent="0.25">
      <c r="A207" s="58"/>
      <c r="B207" s="59"/>
      <c r="C207" s="59"/>
      <c r="D207" s="59"/>
      <c r="E207" s="60"/>
      <c r="F207" s="80"/>
      <c r="G207" s="81"/>
      <c r="H207" s="81"/>
      <c r="I207" s="53"/>
      <c r="J207" s="75"/>
      <c r="K207" s="75"/>
      <c r="L207" s="63" t="s">
        <v>238</v>
      </c>
      <c r="M207" s="61" t="s">
        <v>239</v>
      </c>
      <c r="N207" s="55" t="s">
        <v>57</v>
      </c>
      <c r="O207" s="62">
        <v>455</v>
      </c>
      <c r="P207" s="97"/>
      <c r="Q207" s="62"/>
      <c r="R207" s="62"/>
      <c r="S207" s="164"/>
    </row>
    <row r="208" spans="1:19" ht="15.75" x14ac:dyDescent="0.25">
      <c r="A208" s="58"/>
      <c r="B208" s="59"/>
      <c r="C208" s="59"/>
      <c r="D208" s="59"/>
      <c r="E208" s="60"/>
      <c r="F208" s="80"/>
      <c r="G208" s="81"/>
      <c r="H208" s="81"/>
      <c r="I208" s="53"/>
      <c r="J208" s="75"/>
      <c r="K208" s="75"/>
      <c r="L208" s="63" t="s">
        <v>103</v>
      </c>
      <c r="M208" s="61" t="s">
        <v>104</v>
      </c>
      <c r="N208" s="55" t="s">
        <v>57</v>
      </c>
      <c r="O208" s="62">
        <v>25</v>
      </c>
      <c r="P208" s="97"/>
      <c r="Q208" s="62"/>
      <c r="R208" s="62"/>
      <c r="S208" s="164"/>
    </row>
    <row r="209" spans="1:19" ht="15.75" x14ac:dyDescent="0.25">
      <c r="A209" s="58"/>
      <c r="B209" s="59"/>
      <c r="C209" s="59"/>
      <c r="D209" s="59"/>
      <c r="E209" s="60"/>
      <c r="F209" s="80"/>
      <c r="G209" s="81"/>
      <c r="H209" s="81"/>
      <c r="I209" s="53"/>
      <c r="J209" s="75"/>
      <c r="K209" s="75"/>
      <c r="L209" s="63" t="s">
        <v>477</v>
      </c>
      <c r="M209" s="61" t="s">
        <v>478</v>
      </c>
      <c r="N209" s="55" t="s">
        <v>34</v>
      </c>
      <c r="O209" s="62">
        <v>1</v>
      </c>
      <c r="P209" s="97"/>
      <c r="Q209" s="62"/>
      <c r="R209" s="62"/>
      <c r="S209" s="164"/>
    </row>
    <row r="210" spans="1:19" ht="15.75" x14ac:dyDescent="0.25">
      <c r="A210" s="58"/>
      <c r="B210" s="59"/>
      <c r="C210" s="59"/>
      <c r="D210" s="59"/>
      <c r="E210" s="60"/>
      <c r="F210" s="80"/>
      <c r="G210" s="81"/>
      <c r="H210" s="81"/>
      <c r="I210" s="53"/>
      <c r="J210" s="75"/>
      <c r="K210" s="75"/>
      <c r="L210" s="63" t="s">
        <v>479</v>
      </c>
      <c r="M210" s="61" t="s">
        <v>480</v>
      </c>
      <c r="N210" s="55" t="s">
        <v>34</v>
      </c>
      <c r="O210" s="62">
        <v>5</v>
      </c>
      <c r="P210" s="97"/>
      <c r="Q210" s="62"/>
      <c r="R210" s="62"/>
      <c r="S210" s="164"/>
    </row>
    <row r="211" spans="1:19" ht="15.75" x14ac:dyDescent="0.25">
      <c r="A211" s="58"/>
      <c r="B211" s="59"/>
      <c r="C211" s="59"/>
      <c r="D211" s="59"/>
      <c r="E211" s="60"/>
      <c r="F211" s="80"/>
      <c r="G211" s="81"/>
      <c r="H211" s="81"/>
      <c r="I211" s="53"/>
      <c r="J211" s="75"/>
      <c r="K211" s="75"/>
      <c r="L211" s="63" t="s">
        <v>481</v>
      </c>
      <c r="M211" s="61" t="s">
        <v>482</v>
      </c>
      <c r="N211" s="55" t="s">
        <v>34</v>
      </c>
      <c r="O211" s="62">
        <v>5</v>
      </c>
      <c r="P211" s="97"/>
      <c r="Q211" s="62"/>
      <c r="R211" s="62"/>
      <c r="S211" s="164"/>
    </row>
    <row r="212" spans="1:19" ht="15.75" x14ac:dyDescent="0.25">
      <c r="A212" s="58"/>
      <c r="B212" s="59"/>
      <c r="C212" s="59"/>
      <c r="D212" s="59"/>
      <c r="E212" s="60"/>
      <c r="F212" s="80"/>
      <c r="G212" s="81"/>
      <c r="H212" s="81"/>
      <c r="I212" s="53"/>
      <c r="J212" s="75"/>
      <c r="K212" s="75"/>
      <c r="L212" s="63">
        <v>589</v>
      </c>
      <c r="M212" s="61" t="s">
        <v>483</v>
      </c>
      <c r="N212" s="55" t="s">
        <v>57</v>
      </c>
      <c r="O212" s="139">
        <v>34</v>
      </c>
      <c r="P212" s="97"/>
      <c r="Q212" s="62"/>
      <c r="R212" s="62"/>
      <c r="S212" s="164"/>
    </row>
    <row r="213" spans="1:19" ht="15.75" x14ac:dyDescent="0.25">
      <c r="A213" s="58"/>
      <c r="B213" s="59"/>
      <c r="C213" s="59"/>
      <c r="D213" s="59"/>
      <c r="E213" s="60"/>
      <c r="F213" s="80"/>
      <c r="G213" s="81"/>
      <c r="H213" s="81"/>
      <c r="I213" s="53"/>
      <c r="J213" s="75"/>
      <c r="K213" s="75"/>
      <c r="L213" s="63" t="s">
        <v>240</v>
      </c>
      <c r="M213" s="61" t="s">
        <v>241</v>
      </c>
      <c r="N213" s="55" t="s">
        <v>34</v>
      </c>
      <c r="O213" s="139">
        <v>1</v>
      </c>
      <c r="P213" s="97"/>
      <c r="Q213" s="62"/>
      <c r="R213" s="62"/>
      <c r="S213" s="164"/>
    </row>
    <row r="214" spans="1:19" ht="15.75" x14ac:dyDescent="0.25">
      <c r="A214" s="58"/>
      <c r="B214" s="59"/>
      <c r="C214" s="59"/>
      <c r="D214" s="59"/>
      <c r="E214" s="60"/>
      <c r="F214" s="80"/>
      <c r="G214" s="81"/>
      <c r="H214" s="81"/>
      <c r="I214" s="53"/>
      <c r="J214" s="75"/>
      <c r="K214" s="75"/>
      <c r="L214" s="63" t="s">
        <v>484</v>
      </c>
      <c r="M214" s="61" t="s">
        <v>485</v>
      </c>
      <c r="N214" s="55" t="s">
        <v>34</v>
      </c>
      <c r="O214" s="139">
        <v>1</v>
      </c>
      <c r="P214" s="97"/>
      <c r="Q214" s="62"/>
      <c r="R214" s="62"/>
      <c r="S214" s="164"/>
    </row>
    <row r="215" spans="1:19" ht="15.75" x14ac:dyDescent="0.25">
      <c r="A215" s="58"/>
      <c r="B215" s="59"/>
      <c r="C215" s="59"/>
      <c r="D215" s="59"/>
      <c r="E215" s="60"/>
      <c r="F215" s="80"/>
      <c r="G215" s="81"/>
      <c r="H215" s="81"/>
      <c r="I215" s="53"/>
      <c r="J215" s="75"/>
      <c r="K215" s="75"/>
      <c r="L215" s="63" t="s">
        <v>486</v>
      </c>
      <c r="M215" s="61" t="s">
        <v>487</v>
      </c>
      <c r="N215" s="55" t="s">
        <v>34</v>
      </c>
      <c r="O215" s="139">
        <v>2</v>
      </c>
      <c r="P215" s="97"/>
      <c r="Q215" s="62"/>
      <c r="R215" s="62"/>
      <c r="S215" s="164"/>
    </row>
    <row r="216" spans="1:19" ht="15.75" x14ac:dyDescent="0.25">
      <c r="A216" s="58"/>
      <c r="B216" s="59"/>
      <c r="C216" s="59"/>
      <c r="D216" s="59"/>
      <c r="E216" s="60"/>
      <c r="F216" s="80"/>
      <c r="G216" s="81"/>
      <c r="H216" s="81"/>
      <c r="I216" s="53"/>
      <c r="J216" s="75"/>
      <c r="K216" s="75"/>
      <c r="L216" s="63" t="s">
        <v>488</v>
      </c>
      <c r="M216" s="61" t="s">
        <v>489</v>
      </c>
      <c r="N216" s="55" t="s">
        <v>34</v>
      </c>
      <c r="O216" s="139">
        <v>5</v>
      </c>
      <c r="P216" s="97"/>
      <c r="Q216" s="62"/>
      <c r="R216" s="62"/>
      <c r="S216" s="164"/>
    </row>
    <row r="217" spans="1:19" ht="15.75" x14ac:dyDescent="0.25">
      <c r="A217" s="58"/>
      <c r="B217" s="59"/>
      <c r="C217" s="59"/>
      <c r="D217" s="59"/>
      <c r="E217" s="60"/>
      <c r="F217" s="80"/>
      <c r="G217" s="81"/>
      <c r="H217" s="81"/>
      <c r="I217" s="53"/>
      <c r="J217" s="75"/>
      <c r="K217" s="75"/>
      <c r="L217" s="63">
        <v>396</v>
      </c>
      <c r="M217" s="61" t="s">
        <v>105</v>
      </c>
      <c r="N217" s="55" t="s">
        <v>34</v>
      </c>
      <c r="O217" s="139">
        <v>3000</v>
      </c>
      <c r="P217" s="97"/>
      <c r="Q217" s="62"/>
      <c r="R217" s="62"/>
      <c r="S217" s="164"/>
    </row>
    <row r="218" spans="1:19" ht="15.75" x14ac:dyDescent="0.25">
      <c r="A218" s="58"/>
      <c r="B218" s="59"/>
      <c r="C218" s="59"/>
      <c r="D218" s="59"/>
      <c r="E218" s="60"/>
      <c r="F218" s="80"/>
      <c r="G218" s="81"/>
      <c r="H218" s="81"/>
      <c r="I218" s="53"/>
      <c r="J218" s="75"/>
      <c r="K218" s="75"/>
      <c r="L218" s="63">
        <v>395</v>
      </c>
      <c r="M218" s="61" t="s">
        <v>106</v>
      </c>
      <c r="N218" s="55" t="s">
        <v>34</v>
      </c>
      <c r="O218" s="139">
        <v>150</v>
      </c>
      <c r="P218" s="97"/>
      <c r="Q218" s="62"/>
      <c r="R218" s="62"/>
      <c r="S218" s="164"/>
    </row>
    <row r="219" spans="1:19" ht="15.75" x14ac:dyDescent="0.25">
      <c r="A219" s="58"/>
      <c r="B219" s="59"/>
      <c r="C219" s="59"/>
      <c r="D219" s="59"/>
      <c r="E219" s="60"/>
      <c r="F219" s="80"/>
      <c r="G219" s="81"/>
      <c r="H219" s="81"/>
      <c r="I219" s="53"/>
      <c r="J219" s="75"/>
      <c r="K219" s="75"/>
      <c r="L219" s="63" t="s">
        <v>490</v>
      </c>
      <c r="M219" s="61" t="s">
        <v>491</v>
      </c>
      <c r="N219" s="55" t="s">
        <v>34</v>
      </c>
      <c r="O219" s="139">
        <v>2</v>
      </c>
      <c r="P219" s="97"/>
      <c r="Q219" s="62"/>
      <c r="R219" s="62"/>
      <c r="S219" s="164"/>
    </row>
    <row r="220" spans="1:19" ht="15.75" x14ac:dyDescent="0.25">
      <c r="A220" s="90"/>
      <c r="B220" s="59"/>
      <c r="C220" s="59"/>
      <c r="D220" s="59"/>
      <c r="E220" s="60"/>
      <c r="F220" s="91"/>
      <c r="G220" s="92"/>
      <c r="H220" s="92"/>
      <c r="I220" s="53"/>
      <c r="J220" s="75"/>
      <c r="K220" s="75"/>
      <c r="L220" s="114" t="s">
        <v>46</v>
      </c>
      <c r="M220" s="115" t="s">
        <v>107</v>
      </c>
      <c r="N220" s="55" t="s">
        <v>64</v>
      </c>
      <c r="O220" s="139">
        <v>51</v>
      </c>
      <c r="P220" s="97"/>
      <c r="Q220" s="62"/>
      <c r="R220" s="62"/>
      <c r="S220" s="164"/>
    </row>
    <row r="221" spans="1:19" ht="15.75" x14ac:dyDescent="0.25">
      <c r="A221" s="90"/>
      <c r="B221" s="59"/>
      <c r="C221" s="59"/>
      <c r="D221" s="59"/>
      <c r="E221" s="60"/>
      <c r="F221" s="91"/>
      <c r="G221" s="92"/>
      <c r="H221" s="92"/>
      <c r="I221" s="53"/>
      <c r="J221" s="75"/>
      <c r="K221" s="75"/>
      <c r="L221" s="111" t="s">
        <v>492</v>
      </c>
      <c r="M221" s="112" t="s">
        <v>493</v>
      </c>
      <c r="N221" s="95" t="s">
        <v>34</v>
      </c>
      <c r="O221" s="140">
        <v>1</v>
      </c>
      <c r="P221" s="97"/>
      <c r="Q221" s="141"/>
      <c r="R221" s="141"/>
      <c r="S221" s="164"/>
    </row>
    <row r="222" spans="1:19" ht="15.75" x14ac:dyDescent="0.25">
      <c r="A222" s="90"/>
      <c r="B222" s="59"/>
      <c r="C222" s="59"/>
      <c r="D222" s="59"/>
      <c r="E222" s="60"/>
      <c r="F222" s="91"/>
      <c r="G222" s="92"/>
      <c r="H222" s="92"/>
      <c r="I222" s="53"/>
      <c r="J222" s="75"/>
      <c r="K222" s="75"/>
      <c r="L222" s="111">
        <v>104</v>
      </c>
      <c r="M222" s="112" t="s">
        <v>494</v>
      </c>
      <c r="N222" s="95" t="s">
        <v>34</v>
      </c>
      <c r="O222" s="140">
        <v>48</v>
      </c>
      <c r="P222" s="97"/>
      <c r="Q222" s="141"/>
      <c r="R222" s="141"/>
      <c r="S222" s="164"/>
    </row>
    <row r="223" spans="1:19" ht="15.75" x14ac:dyDescent="0.25">
      <c r="A223" s="90"/>
      <c r="B223" s="59"/>
      <c r="C223" s="59"/>
      <c r="D223" s="59"/>
      <c r="E223" s="60"/>
      <c r="F223" s="91"/>
      <c r="G223" s="92"/>
      <c r="H223" s="92"/>
      <c r="I223" s="53"/>
      <c r="J223" s="75"/>
      <c r="K223" s="75"/>
      <c r="L223" s="93" t="s">
        <v>242</v>
      </c>
      <c r="M223" s="94" t="s">
        <v>243</v>
      </c>
      <c r="N223" s="95" t="s">
        <v>34</v>
      </c>
      <c r="O223" s="140">
        <v>1</v>
      </c>
      <c r="P223" s="97"/>
      <c r="Q223" s="141"/>
      <c r="R223" s="141"/>
      <c r="S223" s="164"/>
    </row>
    <row r="224" spans="1:19" ht="15.75" x14ac:dyDescent="0.25">
      <c r="A224" s="90"/>
      <c r="B224" s="59"/>
      <c r="C224" s="59"/>
      <c r="D224" s="59"/>
      <c r="E224" s="60"/>
      <c r="F224" s="91"/>
      <c r="G224" s="92"/>
      <c r="H224" s="92"/>
      <c r="I224" s="53"/>
      <c r="J224" s="75"/>
      <c r="K224" s="75"/>
      <c r="L224" s="111" t="s">
        <v>47</v>
      </c>
      <c r="M224" s="112" t="s">
        <v>108</v>
      </c>
      <c r="N224" s="95" t="s">
        <v>34</v>
      </c>
      <c r="O224" s="140">
        <v>23</v>
      </c>
      <c r="P224" s="97"/>
      <c r="Q224" s="141"/>
      <c r="R224" s="141"/>
      <c r="S224" s="164"/>
    </row>
    <row r="225" spans="1:19" ht="15.75" x14ac:dyDescent="0.25">
      <c r="A225" s="90"/>
      <c r="B225" s="59"/>
      <c r="C225" s="59"/>
      <c r="D225" s="59"/>
      <c r="E225" s="60"/>
      <c r="F225" s="91"/>
      <c r="G225" s="92"/>
      <c r="H225" s="92"/>
      <c r="I225" s="53"/>
      <c r="J225" s="75"/>
      <c r="K225" s="75"/>
      <c r="L225" s="111" t="s">
        <v>495</v>
      </c>
      <c r="M225" s="112" t="s">
        <v>496</v>
      </c>
      <c r="N225" s="95" t="s">
        <v>34</v>
      </c>
      <c r="O225" s="140">
        <v>6</v>
      </c>
      <c r="P225" s="97"/>
      <c r="Q225" s="141"/>
      <c r="R225" s="141"/>
      <c r="S225" s="164"/>
    </row>
    <row r="226" spans="1:19" ht="15.75" x14ac:dyDescent="0.25">
      <c r="A226" s="90"/>
      <c r="B226" s="59"/>
      <c r="C226" s="59"/>
      <c r="D226" s="59"/>
      <c r="E226" s="60"/>
      <c r="F226" s="91"/>
      <c r="G226" s="92"/>
      <c r="H226" s="92"/>
      <c r="I226" s="53"/>
      <c r="J226" s="75"/>
      <c r="K226" s="75"/>
      <c r="L226" s="111" t="s">
        <v>497</v>
      </c>
      <c r="M226" s="112" t="s">
        <v>498</v>
      </c>
      <c r="N226" s="95" t="s">
        <v>34</v>
      </c>
      <c r="O226" s="140">
        <v>3</v>
      </c>
      <c r="P226" s="97"/>
      <c r="Q226" s="141"/>
      <c r="R226" s="141"/>
      <c r="S226" s="164"/>
    </row>
    <row r="227" spans="1:19" ht="15.75" x14ac:dyDescent="0.25">
      <c r="A227" s="90"/>
      <c r="B227" s="59"/>
      <c r="C227" s="59"/>
      <c r="D227" s="59"/>
      <c r="E227" s="60"/>
      <c r="F227" s="91"/>
      <c r="G227" s="92"/>
      <c r="H227" s="92"/>
      <c r="I227" s="53"/>
      <c r="J227" s="75"/>
      <c r="K227" s="75"/>
      <c r="L227" s="111" t="s">
        <v>499</v>
      </c>
      <c r="M227" s="112" t="s">
        <v>500</v>
      </c>
      <c r="N227" s="95" t="s">
        <v>34</v>
      </c>
      <c r="O227" s="140">
        <v>1</v>
      </c>
      <c r="P227" s="97"/>
      <c r="Q227" s="97"/>
      <c r="R227" s="101"/>
      <c r="S227" s="164"/>
    </row>
    <row r="228" spans="1:19" ht="15.75" x14ac:dyDescent="0.25">
      <c r="A228" s="90"/>
      <c r="B228" s="59"/>
      <c r="C228" s="59"/>
      <c r="D228" s="59"/>
      <c r="E228" s="60"/>
      <c r="F228" s="91"/>
      <c r="G228" s="92"/>
      <c r="H228" s="92"/>
      <c r="I228" s="53"/>
      <c r="J228" s="75"/>
      <c r="K228" s="75"/>
      <c r="L228" s="111">
        <v>15090</v>
      </c>
      <c r="M228" s="112" t="s">
        <v>501</v>
      </c>
      <c r="N228" s="95" t="s">
        <v>34</v>
      </c>
      <c r="O228" s="140">
        <v>8</v>
      </c>
      <c r="P228" s="97"/>
      <c r="Q228" s="141"/>
      <c r="R228" s="141"/>
      <c r="S228" s="164"/>
    </row>
    <row r="229" spans="1:19" ht="15.75" x14ac:dyDescent="0.25">
      <c r="A229" s="90"/>
      <c r="B229" s="59"/>
      <c r="C229" s="59"/>
      <c r="D229" s="59"/>
      <c r="E229" s="60"/>
      <c r="F229" s="91"/>
      <c r="G229" s="92"/>
      <c r="H229" s="92"/>
      <c r="I229" s="53"/>
      <c r="J229" s="75"/>
      <c r="K229" s="75"/>
      <c r="L229" s="111" t="s">
        <v>502</v>
      </c>
      <c r="M229" s="112" t="s">
        <v>503</v>
      </c>
      <c r="N229" s="95" t="s">
        <v>34</v>
      </c>
      <c r="O229" s="140">
        <v>2</v>
      </c>
      <c r="P229" s="97"/>
      <c r="Q229" s="141"/>
      <c r="R229" s="141"/>
      <c r="S229" s="164"/>
    </row>
    <row r="230" spans="1:19" ht="15.75" x14ac:dyDescent="0.25">
      <c r="A230" s="90"/>
      <c r="B230" s="59"/>
      <c r="C230" s="59"/>
      <c r="D230" s="59"/>
      <c r="E230" s="60"/>
      <c r="F230" s="91"/>
      <c r="G230" s="92"/>
      <c r="H230" s="92"/>
      <c r="I230" s="53"/>
      <c r="J230" s="75"/>
      <c r="K230" s="75"/>
      <c r="L230" s="111" t="s">
        <v>504</v>
      </c>
      <c r="M230" s="112" t="s">
        <v>505</v>
      </c>
      <c r="N230" s="95" t="s">
        <v>34</v>
      </c>
      <c r="O230" s="140">
        <v>10</v>
      </c>
      <c r="P230" s="97"/>
      <c r="Q230" s="141"/>
      <c r="R230" s="141"/>
      <c r="S230" s="164"/>
    </row>
    <row r="231" spans="1:19" ht="15.75" x14ac:dyDescent="0.25">
      <c r="A231" s="90"/>
      <c r="B231" s="59"/>
      <c r="C231" s="59"/>
      <c r="D231" s="59"/>
      <c r="E231" s="60"/>
      <c r="F231" s="91"/>
      <c r="G231" s="92"/>
      <c r="H231" s="92"/>
      <c r="I231" s="53"/>
      <c r="J231" s="75"/>
      <c r="K231" s="75"/>
      <c r="L231" s="93">
        <v>4659</v>
      </c>
      <c r="M231" s="94" t="s">
        <v>109</v>
      </c>
      <c r="N231" s="95" t="s">
        <v>34</v>
      </c>
      <c r="O231" s="141">
        <v>5000</v>
      </c>
      <c r="P231" s="97"/>
      <c r="Q231" s="141"/>
      <c r="R231" s="141"/>
      <c r="S231" s="164"/>
    </row>
    <row r="232" spans="1:19" ht="15.75" x14ac:dyDescent="0.25">
      <c r="A232" s="90"/>
      <c r="B232" s="59"/>
      <c r="C232" s="59"/>
      <c r="D232" s="59"/>
      <c r="E232" s="60"/>
      <c r="F232" s="91"/>
      <c r="G232" s="92"/>
      <c r="H232" s="92"/>
      <c r="I232" s="53"/>
      <c r="J232" s="75"/>
      <c r="K232" s="75"/>
      <c r="L232" s="93">
        <v>4453</v>
      </c>
      <c r="M232" s="94" t="s">
        <v>248</v>
      </c>
      <c r="N232" s="95" t="s">
        <v>34</v>
      </c>
      <c r="O232" s="141">
        <v>900</v>
      </c>
      <c r="P232" s="97"/>
      <c r="Q232" s="141"/>
      <c r="R232" s="141"/>
      <c r="S232" s="164"/>
    </row>
    <row r="233" spans="1:19" ht="15.75" x14ac:dyDescent="0.25">
      <c r="A233" s="90"/>
      <c r="B233" s="59"/>
      <c r="C233" s="59"/>
      <c r="D233" s="59"/>
      <c r="E233" s="60"/>
      <c r="F233" s="91"/>
      <c r="G233" s="92"/>
      <c r="H233" s="92"/>
      <c r="I233" s="53"/>
      <c r="J233" s="75"/>
      <c r="K233" s="75"/>
      <c r="L233" s="93">
        <v>2054</v>
      </c>
      <c r="M233" s="94" t="s">
        <v>507</v>
      </c>
      <c r="N233" s="95" t="s">
        <v>34</v>
      </c>
      <c r="O233" s="141">
        <v>2700</v>
      </c>
      <c r="P233" s="97"/>
      <c r="Q233" s="141"/>
      <c r="R233" s="141"/>
      <c r="S233" s="164"/>
    </row>
    <row r="234" spans="1:19" ht="15.75" x14ac:dyDescent="0.25">
      <c r="A234" s="90"/>
      <c r="B234" s="59"/>
      <c r="C234" s="59"/>
      <c r="D234" s="59"/>
      <c r="E234" s="60"/>
      <c r="F234" s="91"/>
      <c r="G234" s="92"/>
      <c r="H234" s="92"/>
      <c r="I234" s="53"/>
      <c r="J234" s="75"/>
      <c r="K234" s="75"/>
      <c r="L234" s="93" t="s">
        <v>508</v>
      </c>
      <c r="M234" s="94" t="s">
        <v>509</v>
      </c>
      <c r="N234" s="95" t="s">
        <v>34</v>
      </c>
      <c r="O234" s="141">
        <v>5</v>
      </c>
      <c r="P234" s="97"/>
      <c r="Q234" s="141"/>
      <c r="R234" s="141"/>
      <c r="S234" s="164"/>
    </row>
    <row r="235" spans="1:19" ht="15.75" x14ac:dyDescent="0.25">
      <c r="A235" s="90"/>
      <c r="B235" s="59"/>
      <c r="C235" s="59"/>
      <c r="D235" s="59"/>
      <c r="E235" s="60"/>
      <c r="F235" s="91"/>
      <c r="G235" s="92"/>
      <c r="H235" s="92"/>
      <c r="I235" s="53"/>
      <c r="J235" s="75"/>
      <c r="K235" s="75"/>
      <c r="L235" s="93" t="s">
        <v>55</v>
      </c>
      <c r="M235" s="94" t="s">
        <v>110</v>
      </c>
      <c r="N235" s="95" t="s">
        <v>34</v>
      </c>
      <c r="O235" s="141">
        <v>2</v>
      </c>
      <c r="P235" s="97"/>
      <c r="Q235" s="141"/>
      <c r="R235" s="141"/>
      <c r="S235" s="164"/>
    </row>
    <row r="236" spans="1:19" ht="15.75" x14ac:dyDescent="0.25">
      <c r="A236" s="90"/>
      <c r="B236" s="59"/>
      <c r="C236" s="59"/>
      <c r="D236" s="59"/>
      <c r="E236" s="60"/>
      <c r="F236" s="91"/>
      <c r="G236" s="92"/>
      <c r="H236" s="92"/>
      <c r="I236" s="53"/>
      <c r="J236" s="75"/>
      <c r="K236" s="75"/>
      <c r="L236" s="93" t="s">
        <v>523</v>
      </c>
      <c r="M236" s="94" t="s">
        <v>62</v>
      </c>
      <c r="N236" s="95" t="s">
        <v>34</v>
      </c>
      <c r="O236" s="141">
        <v>2</v>
      </c>
      <c r="P236" s="97"/>
      <c r="Q236" s="141"/>
      <c r="R236" s="141"/>
      <c r="S236" s="164"/>
    </row>
    <row r="237" spans="1:19" ht="15.75" x14ac:dyDescent="0.25">
      <c r="A237" s="90"/>
      <c r="B237" s="59"/>
      <c r="C237" s="59"/>
      <c r="D237" s="59"/>
      <c r="E237" s="60"/>
      <c r="F237" s="91"/>
      <c r="G237" s="92"/>
      <c r="H237" s="92"/>
      <c r="I237" s="53"/>
      <c r="J237" s="75"/>
      <c r="K237" s="75"/>
      <c r="L237" s="146" t="s">
        <v>749</v>
      </c>
      <c r="M237" s="94" t="s">
        <v>91</v>
      </c>
      <c r="N237" s="95" t="s">
        <v>34</v>
      </c>
      <c r="O237" s="141">
        <v>1</v>
      </c>
      <c r="P237" s="97"/>
      <c r="Q237" s="141"/>
      <c r="R237" s="141"/>
      <c r="S237" s="164"/>
    </row>
    <row r="238" spans="1:19" ht="15.75" x14ac:dyDescent="0.25">
      <c r="A238" s="90"/>
      <c r="B238" s="59"/>
      <c r="C238" s="59"/>
      <c r="D238" s="59"/>
      <c r="E238" s="60"/>
      <c r="F238" s="91"/>
      <c r="G238" s="92"/>
      <c r="H238" s="92"/>
      <c r="I238" s="53"/>
      <c r="J238" s="75"/>
      <c r="K238" s="75"/>
      <c r="L238" s="146"/>
      <c r="M238" s="94" t="s">
        <v>60</v>
      </c>
      <c r="N238" s="95" t="s">
        <v>34</v>
      </c>
      <c r="O238" s="141">
        <v>4</v>
      </c>
      <c r="P238" s="97"/>
      <c r="Q238" s="141"/>
      <c r="R238" s="141"/>
      <c r="S238" s="164"/>
    </row>
    <row r="239" spans="1:19" ht="15.75" x14ac:dyDescent="0.25">
      <c r="A239" s="90"/>
      <c r="B239" s="59"/>
      <c r="C239" s="59"/>
      <c r="D239" s="59"/>
      <c r="E239" s="60"/>
      <c r="F239" s="91"/>
      <c r="G239" s="92"/>
      <c r="H239" s="92"/>
      <c r="I239" s="53"/>
      <c r="J239" s="75"/>
      <c r="K239" s="75"/>
      <c r="L239" s="146" t="s">
        <v>750</v>
      </c>
      <c r="M239" s="94" t="s">
        <v>50</v>
      </c>
      <c r="N239" s="95" t="s">
        <v>34</v>
      </c>
      <c r="O239" s="141">
        <v>1</v>
      </c>
      <c r="P239" s="97"/>
      <c r="Q239" s="141"/>
      <c r="R239" s="141"/>
      <c r="S239" s="164"/>
    </row>
    <row r="240" spans="1:19" ht="15.75" x14ac:dyDescent="0.25">
      <c r="A240" s="90"/>
      <c r="B240" s="59"/>
      <c r="C240" s="59"/>
      <c r="D240" s="59"/>
      <c r="E240" s="60"/>
      <c r="F240" s="91"/>
      <c r="G240" s="92"/>
      <c r="H240" s="92"/>
      <c r="I240" s="53"/>
      <c r="J240" s="75"/>
      <c r="K240" s="75"/>
      <c r="L240" s="146" t="s">
        <v>751</v>
      </c>
      <c r="M240" s="94" t="s">
        <v>524</v>
      </c>
      <c r="N240" s="95" t="s">
        <v>34</v>
      </c>
      <c r="O240" s="141">
        <v>2</v>
      </c>
      <c r="P240" s="97"/>
      <c r="Q240" s="141"/>
      <c r="R240" s="141"/>
      <c r="S240" s="164"/>
    </row>
    <row r="241" spans="1:35" ht="15.75" x14ac:dyDescent="0.25">
      <c r="A241" s="90"/>
      <c r="B241" s="59"/>
      <c r="C241" s="59"/>
      <c r="D241" s="59"/>
      <c r="E241" s="60"/>
      <c r="F241" s="91"/>
      <c r="G241" s="92"/>
      <c r="H241" s="92"/>
      <c r="I241" s="53"/>
      <c r="J241" s="75"/>
      <c r="K241" s="75"/>
      <c r="L241" s="146"/>
      <c r="M241" s="94" t="s">
        <v>61</v>
      </c>
      <c r="N241" s="95" t="s">
        <v>34</v>
      </c>
      <c r="O241" s="141">
        <v>3</v>
      </c>
      <c r="P241" s="97"/>
      <c r="Q241" s="141"/>
      <c r="R241" s="141"/>
      <c r="S241" s="164"/>
    </row>
    <row r="242" spans="1:35" ht="15.75" x14ac:dyDescent="0.25">
      <c r="A242" s="90"/>
      <c r="B242" s="59"/>
      <c r="C242" s="59"/>
      <c r="D242" s="59"/>
      <c r="E242" s="60"/>
      <c r="F242" s="91"/>
      <c r="G242" s="92"/>
      <c r="H242" s="92"/>
      <c r="I242" s="53"/>
      <c r="J242" s="75"/>
      <c r="K242" s="75"/>
      <c r="L242" s="146" t="s">
        <v>510</v>
      </c>
      <c r="M242" s="112" t="s">
        <v>511</v>
      </c>
      <c r="N242" s="95" t="s">
        <v>34</v>
      </c>
      <c r="O242" s="140">
        <v>3</v>
      </c>
      <c r="P242" s="97"/>
      <c r="Q242" s="141"/>
      <c r="R242" s="141"/>
      <c r="S242" s="164"/>
    </row>
    <row r="243" spans="1:35" ht="15.75" x14ac:dyDescent="0.25">
      <c r="A243" s="90"/>
      <c r="B243" s="59"/>
      <c r="C243" s="59"/>
      <c r="D243" s="59"/>
      <c r="E243" s="60"/>
      <c r="F243" s="91"/>
      <c r="G243" s="92"/>
      <c r="H243" s="92"/>
      <c r="I243" s="53"/>
      <c r="J243" s="75"/>
      <c r="K243" s="75"/>
      <c r="L243" s="111" t="s">
        <v>722</v>
      </c>
      <c r="M243" s="112" t="s">
        <v>723</v>
      </c>
      <c r="N243" s="95" t="s">
        <v>34</v>
      </c>
      <c r="O243" s="140">
        <v>1</v>
      </c>
      <c r="P243" s="97"/>
      <c r="Q243" s="141"/>
      <c r="R243" s="141"/>
      <c r="S243" s="164"/>
    </row>
    <row r="244" spans="1:35" ht="15.75" x14ac:dyDescent="0.25">
      <c r="A244" s="90"/>
      <c r="B244" s="59"/>
      <c r="C244" s="59"/>
      <c r="D244" s="59"/>
      <c r="E244" s="60"/>
      <c r="F244" s="91"/>
      <c r="G244" s="92"/>
      <c r="H244" s="92"/>
      <c r="I244" s="53"/>
      <c r="J244" s="75"/>
      <c r="K244" s="75"/>
      <c r="L244" s="157">
        <v>17652</v>
      </c>
      <c r="M244" s="112" t="s">
        <v>725</v>
      </c>
      <c r="N244" s="95" t="s">
        <v>34</v>
      </c>
      <c r="O244" s="140">
        <v>1</v>
      </c>
      <c r="P244" s="97"/>
      <c r="Q244" s="141"/>
      <c r="R244" s="141"/>
      <c r="S244" s="164"/>
    </row>
    <row r="245" spans="1:35" ht="15.75" x14ac:dyDescent="0.25">
      <c r="A245" s="128"/>
      <c r="B245" s="129"/>
      <c r="C245" s="129"/>
      <c r="D245" s="129"/>
      <c r="E245" s="130"/>
      <c r="F245" s="131"/>
      <c r="G245" s="132"/>
      <c r="H245" s="132"/>
      <c r="I245" s="133"/>
      <c r="J245" s="134"/>
      <c r="K245" s="134"/>
      <c r="L245" s="111" t="s">
        <v>726</v>
      </c>
      <c r="M245" s="112" t="s">
        <v>727</v>
      </c>
      <c r="N245" s="95" t="s">
        <v>34</v>
      </c>
      <c r="O245" s="140">
        <v>1</v>
      </c>
      <c r="P245" s="97"/>
      <c r="Q245" s="141"/>
      <c r="R245" s="141"/>
      <c r="S245" s="164"/>
      <c r="AA245" s="135"/>
      <c r="AB245" s="135"/>
      <c r="AC245" s="135"/>
      <c r="AD245" s="135"/>
      <c r="AE245" s="135"/>
      <c r="AF245" s="135"/>
      <c r="AG245" s="135"/>
      <c r="AH245" s="135"/>
      <c r="AI245" s="135"/>
    </row>
    <row r="246" spans="1:35" ht="15.75" x14ac:dyDescent="0.25">
      <c r="A246" s="128"/>
      <c r="B246" s="129"/>
      <c r="C246" s="129"/>
      <c r="D246" s="129"/>
      <c r="E246" s="130"/>
      <c r="F246" s="131"/>
      <c r="G246" s="132"/>
      <c r="H246" s="132"/>
      <c r="I246" s="133"/>
      <c r="J246" s="134"/>
      <c r="K246" s="134"/>
      <c r="L246" s="157">
        <v>21537</v>
      </c>
      <c r="M246" s="112" t="s">
        <v>742</v>
      </c>
      <c r="N246" s="95" t="s">
        <v>269</v>
      </c>
      <c r="O246" s="140">
        <v>7</v>
      </c>
      <c r="P246" s="97"/>
      <c r="Q246" s="141"/>
      <c r="R246" s="141"/>
      <c r="S246" s="164"/>
      <c r="U246" s="135"/>
      <c r="V246" s="135"/>
      <c r="W246" s="135"/>
      <c r="X246" s="135"/>
      <c r="Y246" s="135"/>
      <c r="Z246" s="135"/>
      <c r="AA246" s="135"/>
      <c r="AB246" s="135"/>
      <c r="AC246" s="135"/>
      <c r="AD246" s="135"/>
      <c r="AE246" s="135"/>
      <c r="AF246" s="135"/>
      <c r="AG246" s="135"/>
      <c r="AH246" s="135"/>
      <c r="AI246" s="135"/>
    </row>
    <row r="247" spans="1:35" ht="15.75" x14ac:dyDescent="0.25">
      <c r="A247" s="128"/>
      <c r="B247" s="129"/>
      <c r="C247" s="129"/>
      <c r="D247" s="129"/>
      <c r="E247" s="130"/>
      <c r="F247" s="131"/>
      <c r="G247" s="132"/>
      <c r="H247" s="132"/>
      <c r="I247" s="133"/>
      <c r="J247" s="134"/>
      <c r="K247" s="134"/>
      <c r="L247" s="157">
        <v>6683</v>
      </c>
      <c r="M247" s="112" t="s">
        <v>743</v>
      </c>
      <c r="N247" s="95" t="s">
        <v>269</v>
      </c>
      <c r="O247" s="140">
        <v>3</v>
      </c>
      <c r="P247" s="97"/>
      <c r="Q247" s="141"/>
      <c r="R247" s="141"/>
      <c r="S247" s="164"/>
      <c r="U247" s="135"/>
      <c r="V247" s="135"/>
      <c r="W247" s="135"/>
      <c r="X247" s="135"/>
      <c r="Y247" s="135"/>
      <c r="Z247" s="135"/>
      <c r="AA247" s="135"/>
      <c r="AB247" s="135"/>
      <c r="AC247" s="135"/>
      <c r="AD247" s="135"/>
      <c r="AE247" s="135"/>
      <c r="AF247" s="135"/>
      <c r="AG247" s="135"/>
      <c r="AH247" s="135"/>
      <c r="AI247" s="135"/>
    </row>
    <row r="248" spans="1:35" ht="15.75" x14ac:dyDescent="0.25">
      <c r="A248" s="190"/>
      <c r="B248" s="191"/>
      <c r="C248" s="191"/>
      <c r="D248" s="191"/>
      <c r="E248" s="192"/>
      <c r="F248" s="131"/>
      <c r="G248" s="193"/>
      <c r="H248" s="193"/>
      <c r="I248" s="194"/>
      <c r="J248" s="192"/>
      <c r="K248" s="192"/>
      <c r="L248" s="157" t="s">
        <v>335</v>
      </c>
      <c r="M248" s="112" t="s">
        <v>336</v>
      </c>
      <c r="N248" s="95"/>
      <c r="O248" s="140">
        <v>4</v>
      </c>
      <c r="P248" s="97"/>
      <c r="Q248" s="141"/>
      <c r="R248" s="141"/>
      <c r="S248" s="164"/>
      <c r="T248" s="196"/>
      <c r="U248" s="135"/>
      <c r="V248" s="135"/>
      <c r="W248" s="135"/>
      <c r="X248" s="135"/>
      <c r="Y248" s="135"/>
      <c r="Z248" s="135"/>
      <c r="AA248" s="195"/>
      <c r="AB248" s="195"/>
      <c r="AC248" s="195"/>
      <c r="AD248" s="195"/>
      <c r="AE248" s="195"/>
      <c r="AF248" s="195"/>
      <c r="AG248" s="195"/>
      <c r="AH248" s="195"/>
      <c r="AI248" s="195"/>
    </row>
    <row r="249" spans="1:35" ht="16.5" thickBot="1" x14ac:dyDescent="0.3">
      <c r="L249" s="111" t="s">
        <v>739</v>
      </c>
      <c r="M249" s="112" t="s">
        <v>744</v>
      </c>
      <c r="N249" s="95" t="s">
        <v>34</v>
      </c>
      <c r="O249" s="140">
        <v>2</v>
      </c>
      <c r="P249" s="97"/>
      <c r="Q249" s="141"/>
      <c r="R249" s="141"/>
      <c r="S249" s="164"/>
      <c r="U249" s="135"/>
      <c r="V249" s="135"/>
      <c r="W249" s="135"/>
      <c r="X249" s="135"/>
      <c r="Y249" s="135"/>
      <c r="Z249" s="135"/>
    </row>
    <row r="250" spans="1:35" ht="21.75" thickBot="1" x14ac:dyDescent="0.3">
      <c r="A250" s="33"/>
      <c r="B250" s="34" t="s">
        <v>23</v>
      </c>
      <c r="C250" s="35"/>
      <c r="D250" s="36"/>
      <c r="E250" s="36"/>
      <c r="F250" s="36"/>
      <c r="G250" s="36"/>
      <c r="H250" s="36">
        <f>SUM(H20:H219)</f>
        <v>0</v>
      </c>
      <c r="I250" s="76"/>
      <c r="J250" s="76"/>
      <c r="K250" s="76"/>
      <c r="L250" s="37"/>
      <c r="M250" s="38"/>
      <c r="N250" s="38"/>
      <c r="O250" s="39"/>
      <c r="P250" s="97"/>
      <c r="Q250" s="183">
        <f>SUM(Q19:Q245)</f>
        <v>0</v>
      </c>
      <c r="R250" s="184"/>
      <c r="S250" s="165"/>
    </row>
    <row r="251" spans="1:35" ht="18.75" x14ac:dyDescent="0.25">
      <c r="A251" s="20"/>
      <c r="B251" s="25"/>
      <c r="C251" s="11"/>
      <c r="D251" s="49"/>
      <c r="E251" s="49"/>
      <c r="F251" s="80"/>
      <c r="G251" s="81"/>
      <c r="H251" s="81"/>
      <c r="I251" s="54"/>
      <c r="J251" s="54"/>
      <c r="K251" s="54"/>
      <c r="L251" s="72" t="s">
        <v>779</v>
      </c>
      <c r="M251" s="73" t="s">
        <v>780</v>
      </c>
      <c r="N251" s="73" t="s">
        <v>34</v>
      </c>
      <c r="O251" s="50">
        <v>1</v>
      </c>
      <c r="P251" s="97"/>
      <c r="Q251" s="50"/>
      <c r="R251" s="24"/>
      <c r="S251" s="166"/>
      <c r="U251" s="5"/>
      <c r="V251" s="5"/>
    </row>
    <row r="252" spans="1:35" ht="18.75" x14ac:dyDescent="0.25">
      <c r="A252" s="20"/>
      <c r="B252" s="25"/>
      <c r="C252" s="11"/>
      <c r="D252" s="49"/>
      <c r="E252" s="49"/>
      <c r="F252" s="80"/>
      <c r="G252" s="81"/>
      <c r="H252" s="81"/>
      <c r="I252" s="54"/>
      <c r="J252" s="54"/>
      <c r="K252" s="54"/>
      <c r="L252" s="72">
        <v>3014</v>
      </c>
      <c r="M252" s="73" t="s">
        <v>781</v>
      </c>
      <c r="N252" s="73" t="s">
        <v>34</v>
      </c>
      <c r="O252" s="50">
        <v>1</v>
      </c>
      <c r="P252" s="97"/>
      <c r="Q252" s="50"/>
      <c r="R252" s="24"/>
      <c r="S252" s="166"/>
      <c r="U252" s="5"/>
      <c r="V252" s="5"/>
    </row>
    <row r="253" spans="1:35" ht="18.75" x14ac:dyDescent="0.25">
      <c r="A253" s="20"/>
      <c r="B253" s="25"/>
      <c r="C253" s="11"/>
      <c r="D253" s="49"/>
      <c r="E253" s="49"/>
      <c r="F253" s="80"/>
      <c r="G253" s="81"/>
      <c r="H253" s="81"/>
      <c r="I253" s="54"/>
      <c r="J253" s="54"/>
      <c r="K253" s="54"/>
      <c r="L253" s="72">
        <v>2475</v>
      </c>
      <c r="M253" s="73" t="s">
        <v>117</v>
      </c>
      <c r="N253" s="73" t="s">
        <v>34</v>
      </c>
      <c r="O253" s="50">
        <v>1</v>
      </c>
      <c r="P253" s="97"/>
      <c r="Q253" s="50"/>
      <c r="R253" s="24"/>
      <c r="S253" s="166"/>
      <c r="U253" s="5"/>
      <c r="V253" s="5"/>
    </row>
    <row r="254" spans="1:35" ht="18.75" x14ac:dyDescent="0.25">
      <c r="A254" s="20"/>
      <c r="B254" s="25"/>
      <c r="C254" s="11"/>
      <c r="D254" s="49"/>
      <c r="E254" s="49"/>
      <c r="F254" s="80"/>
      <c r="G254" s="81"/>
      <c r="H254" s="81"/>
      <c r="I254" s="54"/>
      <c r="J254" s="54"/>
      <c r="K254" s="54"/>
      <c r="L254" s="72">
        <v>3652</v>
      </c>
      <c r="M254" s="73" t="s">
        <v>784</v>
      </c>
      <c r="N254" s="73" t="s">
        <v>34</v>
      </c>
      <c r="O254" s="50">
        <v>1</v>
      </c>
      <c r="P254" s="97"/>
      <c r="Q254" s="50"/>
      <c r="R254" s="24"/>
      <c r="S254" s="166"/>
      <c r="U254" s="5"/>
      <c r="V254" s="5"/>
    </row>
    <row r="255" spans="1:35" ht="18.75" x14ac:dyDescent="0.25">
      <c r="A255" s="20"/>
      <c r="B255" s="25"/>
      <c r="C255" s="11"/>
      <c r="D255" s="49"/>
      <c r="E255" s="49"/>
      <c r="F255" s="80"/>
      <c r="G255" s="81"/>
      <c r="H255" s="81"/>
      <c r="I255" s="54"/>
      <c r="J255" s="54"/>
      <c r="K255" s="54"/>
      <c r="L255" s="72" t="s">
        <v>785</v>
      </c>
      <c r="M255" s="73" t="s">
        <v>786</v>
      </c>
      <c r="N255" s="73" t="s">
        <v>34</v>
      </c>
      <c r="O255" s="50">
        <v>1</v>
      </c>
      <c r="P255" s="97"/>
      <c r="Q255" s="50"/>
      <c r="R255" s="24"/>
      <c r="S255" s="166"/>
      <c r="U255" s="5"/>
      <c r="V255" s="5"/>
    </row>
    <row r="256" spans="1:35" ht="18.75" x14ac:dyDescent="0.25">
      <c r="A256" s="20"/>
      <c r="B256" s="25"/>
      <c r="C256" s="11"/>
      <c r="D256" s="49"/>
      <c r="E256" s="49"/>
      <c r="F256" s="80"/>
      <c r="G256" s="81"/>
      <c r="H256" s="81"/>
      <c r="I256" s="54"/>
      <c r="J256" s="54"/>
      <c r="K256" s="54"/>
      <c r="L256" s="72" t="s">
        <v>118</v>
      </c>
      <c r="M256" s="73" t="s">
        <v>119</v>
      </c>
      <c r="N256" s="73" t="s">
        <v>34</v>
      </c>
      <c r="O256" s="50">
        <v>12</v>
      </c>
      <c r="P256" s="97"/>
      <c r="Q256" s="50"/>
      <c r="R256" s="24"/>
      <c r="S256" s="166"/>
      <c r="U256" s="5"/>
      <c r="V256" s="5"/>
    </row>
    <row r="257" spans="1:22" ht="18.75" x14ac:dyDescent="0.25">
      <c r="A257" s="20"/>
      <c r="B257" s="25"/>
      <c r="C257" s="11"/>
      <c r="D257" s="49"/>
      <c r="E257" s="49"/>
      <c r="F257" s="80"/>
      <c r="G257" s="81"/>
      <c r="H257" s="81"/>
      <c r="I257" s="54"/>
      <c r="J257" s="54"/>
      <c r="K257" s="54"/>
      <c r="L257" s="72">
        <v>2140</v>
      </c>
      <c r="M257" s="73" t="s">
        <v>253</v>
      </c>
      <c r="N257" s="73" t="s">
        <v>34</v>
      </c>
      <c r="O257" s="50">
        <v>1</v>
      </c>
      <c r="P257" s="97"/>
      <c r="Q257" s="50"/>
      <c r="R257" s="24"/>
      <c r="S257" s="166"/>
      <c r="U257" s="5"/>
      <c r="V257" s="5"/>
    </row>
    <row r="258" spans="1:22" ht="18.75" x14ac:dyDescent="0.25">
      <c r="A258" s="20"/>
      <c r="B258" s="25"/>
      <c r="C258" s="11"/>
      <c r="D258" s="49"/>
      <c r="E258" s="49"/>
      <c r="F258" s="80"/>
      <c r="G258" s="81"/>
      <c r="H258" s="81"/>
      <c r="I258" s="54"/>
      <c r="J258" s="54"/>
      <c r="K258" s="54"/>
      <c r="L258" s="72">
        <v>3164</v>
      </c>
      <c r="M258" s="73" t="s">
        <v>122</v>
      </c>
      <c r="N258" s="73" t="s">
        <v>34</v>
      </c>
      <c r="O258" s="50">
        <v>1</v>
      </c>
      <c r="P258" s="97"/>
      <c r="Q258" s="50"/>
      <c r="R258" s="24"/>
      <c r="S258" s="166"/>
      <c r="U258" s="5"/>
      <c r="V258" s="5"/>
    </row>
    <row r="259" spans="1:22" ht="18.75" x14ac:dyDescent="0.25">
      <c r="A259" s="20"/>
      <c r="B259" s="25"/>
      <c r="C259" s="11"/>
      <c r="D259" s="49"/>
      <c r="E259" s="49"/>
      <c r="F259" s="80"/>
      <c r="G259" s="81"/>
      <c r="H259" s="81"/>
      <c r="I259" s="54"/>
      <c r="J259" s="54"/>
      <c r="K259" s="54"/>
      <c r="L259" s="72">
        <v>16608</v>
      </c>
      <c r="M259" s="73" t="s">
        <v>787</v>
      </c>
      <c r="N259" s="73" t="s">
        <v>34</v>
      </c>
      <c r="O259" s="50">
        <v>1</v>
      </c>
      <c r="P259" s="97"/>
      <c r="Q259" s="50"/>
      <c r="R259" s="24"/>
      <c r="S259" s="166"/>
      <c r="U259" s="5"/>
      <c r="V259" s="5"/>
    </row>
    <row r="260" spans="1:22" ht="18.75" x14ac:dyDescent="0.25">
      <c r="A260" s="20"/>
      <c r="B260" s="25"/>
      <c r="C260" s="11"/>
      <c r="D260" s="49"/>
      <c r="E260" s="49"/>
      <c r="F260" s="80"/>
      <c r="G260" s="81"/>
      <c r="H260" s="81"/>
      <c r="I260" s="54"/>
      <c r="J260" s="54"/>
      <c r="K260" s="54"/>
      <c r="L260" s="72" t="s">
        <v>788</v>
      </c>
      <c r="M260" s="73" t="s">
        <v>789</v>
      </c>
      <c r="N260" s="73" t="s">
        <v>790</v>
      </c>
      <c r="O260" s="50">
        <v>1</v>
      </c>
      <c r="P260" s="97"/>
      <c r="Q260" s="50"/>
      <c r="R260" s="24"/>
      <c r="S260" s="166"/>
      <c r="U260" s="5"/>
      <c r="V260" s="5"/>
    </row>
    <row r="261" spans="1:22" ht="18.75" x14ac:dyDescent="0.25">
      <c r="A261" s="20"/>
      <c r="B261" s="25"/>
      <c r="C261" s="11"/>
      <c r="D261" s="49"/>
      <c r="E261" s="49"/>
      <c r="F261" s="80"/>
      <c r="G261" s="81"/>
      <c r="H261" s="81"/>
      <c r="I261" s="54"/>
      <c r="J261" s="54"/>
      <c r="K261" s="54"/>
      <c r="L261" s="72" t="s">
        <v>791</v>
      </c>
      <c r="M261" s="73" t="s">
        <v>792</v>
      </c>
      <c r="N261" s="73" t="s">
        <v>34</v>
      </c>
      <c r="O261" s="50">
        <v>1</v>
      </c>
      <c r="P261" s="97"/>
      <c r="Q261" s="50"/>
      <c r="R261" s="24"/>
      <c r="S261" s="166"/>
      <c r="U261" s="5"/>
      <c r="V261" s="5"/>
    </row>
    <row r="262" spans="1:22" ht="18.75" x14ac:dyDescent="0.25">
      <c r="A262" s="20"/>
      <c r="B262" s="25"/>
      <c r="C262" s="11"/>
      <c r="D262" s="49"/>
      <c r="E262" s="49"/>
      <c r="F262" s="80"/>
      <c r="G262" s="81"/>
      <c r="H262" s="81"/>
      <c r="I262" s="54"/>
      <c r="J262" s="54"/>
      <c r="K262" s="54"/>
      <c r="L262" s="72">
        <v>3161</v>
      </c>
      <c r="M262" s="73" t="s">
        <v>125</v>
      </c>
      <c r="N262" s="73" t="s">
        <v>34</v>
      </c>
      <c r="O262" s="50">
        <v>1</v>
      </c>
      <c r="P262" s="97"/>
      <c r="Q262" s="50"/>
      <c r="R262" s="24"/>
      <c r="S262" s="166"/>
      <c r="U262" s="5"/>
      <c r="V262" s="5"/>
    </row>
    <row r="263" spans="1:22" ht="18.75" x14ac:dyDescent="0.25">
      <c r="A263" s="20"/>
      <c r="B263" s="25"/>
      <c r="C263" s="11"/>
      <c r="D263" s="49"/>
      <c r="E263" s="49"/>
      <c r="F263" s="80"/>
      <c r="G263" s="81"/>
      <c r="H263" s="81"/>
      <c r="I263" s="54"/>
      <c r="J263" s="54"/>
      <c r="K263" s="54"/>
      <c r="L263" s="72" t="s">
        <v>795</v>
      </c>
      <c r="M263" s="73" t="s">
        <v>796</v>
      </c>
      <c r="N263" s="73" t="s">
        <v>34</v>
      </c>
      <c r="O263" s="50">
        <v>1</v>
      </c>
      <c r="P263" s="97"/>
      <c r="Q263" s="50"/>
      <c r="R263" s="24"/>
      <c r="S263" s="166"/>
      <c r="U263" s="5"/>
      <c r="V263" s="5"/>
    </row>
    <row r="264" spans="1:22" ht="18.75" x14ac:dyDescent="0.25">
      <c r="A264" s="20"/>
      <c r="B264" s="25"/>
      <c r="C264" s="11"/>
      <c r="D264" s="49"/>
      <c r="E264" s="49"/>
      <c r="F264" s="80"/>
      <c r="G264" s="81"/>
      <c r="H264" s="81"/>
      <c r="I264" s="54"/>
      <c r="J264" s="54"/>
      <c r="K264" s="54"/>
      <c r="L264" s="72" t="s">
        <v>797</v>
      </c>
      <c r="M264" s="73" t="s">
        <v>798</v>
      </c>
      <c r="N264" s="73" t="s">
        <v>34</v>
      </c>
      <c r="O264" s="50">
        <v>1</v>
      </c>
      <c r="P264" s="97"/>
      <c r="Q264" s="50"/>
      <c r="R264" s="24"/>
      <c r="S264" s="166"/>
      <c r="U264" s="5"/>
      <c r="V264" s="5"/>
    </row>
    <row r="265" spans="1:22" ht="18.75" x14ac:dyDescent="0.25">
      <c r="A265" s="20"/>
      <c r="B265" s="25"/>
      <c r="C265" s="11"/>
      <c r="D265" s="49"/>
      <c r="E265" s="49"/>
      <c r="F265" s="80"/>
      <c r="G265" s="81"/>
      <c r="H265" s="81"/>
      <c r="I265" s="54"/>
      <c r="J265" s="54"/>
      <c r="K265" s="54"/>
      <c r="L265" s="72">
        <v>8556</v>
      </c>
      <c r="M265" s="73" t="s">
        <v>799</v>
      </c>
      <c r="N265" s="73" t="s">
        <v>34</v>
      </c>
      <c r="O265" s="50">
        <v>12</v>
      </c>
      <c r="P265" s="97"/>
      <c r="Q265" s="50"/>
      <c r="R265" s="24"/>
      <c r="S265" s="166"/>
      <c r="U265" s="5"/>
      <c r="V265" s="5"/>
    </row>
    <row r="266" spans="1:22" ht="18.75" x14ac:dyDescent="0.25">
      <c r="A266" s="20"/>
      <c r="B266" s="25"/>
      <c r="C266" s="11"/>
      <c r="D266" s="49"/>
      <c r="E266" s="49"/>
      <c r="F266" s="80"/>
      <c r="G266" s="81"/>
      <c r="H266" s="81"/>
      <c r="I266" s="54"/>
      <c r="J266" s="54"/>
      <c r="K266" s="54"/>
      <c r="L266" s="72">
        <v>2748</v>
      </c>
      <c r="M266" s="73" t="s">
        <v>129</v>
      </c>
      <c r="N266" s="73" t="s">
        <v>34</v>
      </c>
      <c r="O266" s="50">
        <v>7</v>
      </c>
      <c r="P266" s="97"/>
      <c r="Q266" s="50"/>
      <c r="R266" s="24"/>
      <c r="S266" s="166"/>
      <c r="U266" s="5"/>
      <c r="V266" s="5"/>
    </row>
    <row r="267" spans="1:22" ht="18.75" x14ac:dyDescent="0.25">
      <c r="A267" s="20"/>
      <c r="B267" s="25"/>
      <c r="C267" s="11"/>
      <c r="D267" s="49"/>
      <c r="E267" s="49"/>
      <c r="F267" s="80"/>
      <c r="G267" s="81"/>
      <c r="H267" s="81"/>
      <c r="I267" s="54"/>
      <c r="J267" s="54"/>
      <c r="K267" s="54"/>
      <c r="L267" s="72">
        <v>13695</v>
      </c>
      <c r="M267" s="73" t="s">
        <v>800</v>
      </c>
      <c r="N267" s="73" t="s">
        <v>34</v>
      </c>
      <c r="O267" s="50">
        <v>7</v>
      </c>
      <c r="P267" s="97"/>
      <c r="Q267" s="50"/>
      <c r="R267" s="24"/>
      <c r="S267" s="166"/>
      <c r="U267" s="5"/>
      <c r="V267" s="5"/>
    </row>
    <row r="268" spans="1:22" ht="18.75" x14ac:dyDescent="0.25">
      <c r="A268" s="20"/>
      <c r="B268" s="25"/>
      <c r="C268" s="11"/>
      <c r="D268" s="49"/>
      <c r="E268" s="49"/>
      <c r="F268" s="80"/>
      <c r="G268" s="81"/>
      <c r="H268" s="81"/>
      <c r="I268" s="54"/>
      <c r="J268" s="54"/>
      <c r="K268" s="54"/>
      <c r="L268" s="72" t="s">
        <v>801</v>
      </c>
      <c r="M268" s="73" t="s">
        <v>802</v>
      </c>
      <c r="N268" s="73" t="s">
        <v>34</v>
      </c>
      <c r="O268" s="50">
        <v>3</v>
      </c>
      <c r="P268" s="97"/>
      <c r="Q268" s="50"/>
      <c r="R268" s="24"/>
      <c r="S268" s="166"/>
      <c r="U268" s="5"/>
      <c r="V268" s="5"/>
    </row>
    <row r="269" spans="1:22" ht="18.75" x14ac:dyDescent="0.25">
      <c r="A269" s="20"/>
      <c r="B269" s="25"/>
      <c r="C269" s="11"/>
      <c r="D269" s="49"/>
      <c r="E269" s="49"/>
      <c r="F269" s="80"/>
      <c r="G269" s="81"/>
      <c r="H269" s="81"/>
      <c r="I269" s="54"/>
      <c r="J269" s="54"/>
      <c r="K269" s="54"/>
      <c r="L269" s="72">
        <v>12683</v>
      </c>
      <c r="M269" s="73" t="s">
        <v>803</v>
      </c>
      <c r="N269" s="73" t="s">
        <v>34</v>
      </c>
      <c r="O269" s="50">
        <v>1</v>
      </c>
      <c r="P269" s="97"/>
      <c r="Q269" s="50"/>
      <c r="R269" s="24"/>
      <c r="S269" s="166"/>
      <c r="U269" s="5"/>
      <c r="V269" s="5"/>
    </row>
    <row r="270" spans="1:22" ht="18.75" x14ac:dyDescent="0.25">
      <c r="A270" s="20"/>
      <c r="B270" s="25"/>
      <c r="C270" s="11"/>
      <c r="D270" s="49"/>
      <c r="E270" s="49"/>
      <c r="F270" s="80"/>
      <c r="G270" s="81"/>
      <c r="H270" s="81"/>
      <c r="I270" s="54"/>
      <c r="J270" s="54"/>
      <c r="K270" s="54"/>
      <c r="L270" s="72">
        <v>5639</v>
      </c>
      <c r="M270" s="73" t="s">
        <v>804</v>
      </c>
      <c r="N270" s="73" t="s">
        <v>34</v>
      </c>
      <c r="O270" s="50">
        <v>1</v>
      </c>
      <c r="P270" s="97"/>
      <c r="Q270" s="50"/>
      <c r="R270" s="24"/>
      <c r="S270" s="166"/>
      <c r="U270" s="5"/>
      <c r="V270" s="5"/>
    </row>
    <row r="271" spans="1:22" ht="18.75" x14ac:dyDescent="0.25">
      <c r="A271" s="20"/>
      <c r="B271" s="25"/>
      <c r="C271" s="11"/>
      <c r="D271" s="49"/>
      <c r="E271" s="49"/>
      <c r="F271" s="80"/>
      <c r="G271" s="81"/>
      <c r="H271" s="81"/>
      <c r="I271" s="54"/>
      <c r="J271" s="54"/>
      <c r="K271" s="54"/>
      <c r="L271" s="72">
        <v>3311</v>
      </c>
      <c r="M271" s="73" t="s">
        <v>807</v>
      </c>
      <c r="N271" s="73" t="s">
        <v>34</v>
      </c>
      <c r="O271" s="50">
        <v>3</v>
      </c>
      <c r="P271" s="97"/>
      <c r="Q271" s="50"/>
      <c r="R271" s="24"/>
      <c r="S271" s="166"/>
      <c r="U271" s="5"/>
      <c r="V271" s="5"/>
    </row>
    <row r="272" spans="1:22" ht="18.75" x14ac:dyDescent="0.25">
      <c r="A272" s="20"/>
      <c r="B272" s="25"/>
      <c r="C272" s="11"/>
      <c r="D272" s="49"/>
      <c r="E272" s="49"/>
      <c r="F272" s="80"/>
      <c r="G272" s="81"/>
      <c r="H272" s="81"/>
      <c r="I272" s="54"/>
      <c r="J272" s="54"/>
      <c r="K272" s="54"/>
      <c r="L272" s="72">
        <v>3312</v>
      </c>
      <c r="M272" s="73" t="s">
        <v>808</v>
      </c>
      <c r="N272" s="73" t="s">
        <v>34</v>
      </c>
      <c r="O272" s="50">
        <v>4</v>
      </c>
      <c r="P272" s="97"/>
      <c r="Q272" s="50"/>
      <c r="R272" s="24"/>
      <c r="S272" s="166"/>
      <c r="U272" s="5"/>
      <c r="V272" s="5"/>
    </row>
    <row r="273" spans="1:22" ht="18.75" x14ac:dyDescent="0.25">
      <c r="A273" s="20"/>
      <c r="B273" s="25"/>
      <c r="C273" s="11"/>
      <c r="D273" s="49"/>
      <c r="E273" s="49"/>
      <c r="F273" s="80"/>
      <c r="G273" s="81"/>
      <c r="H273" s="81"/>
      <c r="I273" s="54"/>
      <c r="J273" s="54"/>
      <c r="K273" s="54"/>
      <c r="L273" s="72" t="s">
        <v>809</v>
      </c>
      <c r="M273" s="73" t="s">
        <v>810</v>
      </c>
      <c r="N273" s="73" t="s">
        <v>64</v>
      </c>
      <c r="O273" s="50">
        <v>1</v>
      </c>
      <c r="P273" s="97"/>
      <c r="Q273" s="50"/>
      <c r="R273" s="24"/>
      <c r="S273" s="166"/>
      <c r="U273" s="5"/>
      <c r="V273" s="5"/>
    </row>
    <row r="274" spans="1:22" ht="18.75" x14ac:dyDescent="0.25">
      <c r="A274" s="20"/>
      <c r="B274" s="25"/>
      <c r="C274" s="11"/>
      <c r="D274" s="49"/>
      <c r="E274" s="49"/>
      <c r="F274" s="80"/>
      <c r="G274" s="81"/>
      <c r="H274" s="81"/>
      <c r="I274" s="54"/>
      <c r="J274" s="54"/>
      <c r="K274" s="54"/>
      <c r="L274" s="72">
        <v>1717</v>
      </c>
      <c r="M274" s="73" t="s">
        <v>811</v>
      </c>
      <c r="N274" s="73" t="s">
        <v>34</v>
      </c>
      <c r="O274" s="50">
        <v>1</v>
      </c>
      <c r="P274" s="97"/>
      <c r="Q274" s="50"/>
      <c r="R274" s="24"/>
      <c r="S274" s="166"/>
      <c r="U274" s="5"/>
      <c r="V274" s="5"/>
    </row>
    <row r="275" spans="1:22" ht="18.75" x14ac:dyDescent="0.25">
      <c r="A275" s="20"/>
      <c r="B275" s="25"/>
      <c r="C275" s="11"/>
      <c r="D275" s="49"/>
      <c r="E275" s="49"/>
      <c r="F275" s="80"/>
      <c r="G275" s="81"/>
      <c r="H275" s="81"/>
      <c r="I275" s="54"/>
      <c r="J275" s="54"/>
      <c r="K275" s="54"/>
      <c r="L275" s="72" t="s">
        <v>812</v>
      </c>
      <c r="M275" s="73" t="s">
        <v>813</v>
      </c>
      <c r="N275" s="73" t="s">
        <v>34</v>
      </c>
      <c r="O275" s="50">
        <v>1</v>
      </c>
      <c r="P275" s="97"/>
      <c r="Q275" s="50"/>
      <c r="R275" s="24"/>
      <c r="S275" s="166"/>
      <c r="U275" s="5"/>
      <c r="V275" s="5"/>
    </row>
    <row r="276" spans="1:22" ht="18.75" x14ac:dyDescent="0.25">
      <c r="A276" s="20"/>
      <c r="B276" s="25"/>
      <c r="C276" s="11"/>
      <c r="D276" s="49"/>
      <c r="E276" s="49"/>
      <c r="F276" s="80"/>
      <c r="G276" s="81"/>
      <c r="H276" s="81"/>
      <c r="I276" s="54"/>
      <c r="J276" s="54"/>
      <c r="K276" s="54"/>
      <c r="L276" s="72">
        <v>6552</v>
      </c>
      <c r="M276" s="73" t="s">
        <v>608</v>
      </c>
      <c r="N276" s="73" t="s">
        <v>34</v>
      </c>
      <c r="O276" s="50">
        <v>5</v>
      </c>
      <c r="P276" s="97"/>
      <c r="Q276" s="50"/>
      <c r="R276" s="24"/>
      <c r="S276" s="166"/>
      <c r="U276" s="5"/>
      <c r="V276" s="5"/>
    </row>
    <row r="277" spans="1:22" ht="18.75" x14ac:dyDescent="0.25">
      <c r="A277" s="20"/>
      <c r="B277" s="25"/>
      <c r="C277" s="11"/>
      <c r="D277" s="49"/>
      <c r="E277" s="49"/>
      <c r="F277" s="80"/>
      <c r="G277" s="81"/>
      <c r="H277" s="81"/>
      <c r="I277" s="54"/>
      <c r="J277" s="54"/>
      <c r="K277" s="54"/>
      <c r="L277" s="72">
        <v>2293</v>
      </c>
      <c r="M277" s="73" t="s">
        <v>815</v>
      </c>
      <c r="N277" s="73" t="s">
        <v>34</v>
      </c>
      <c r="O277" s="50">
        <v>1</v>
      </c>
      <c r="P277" s="97"/>
      <c r="Q277" s="50"/>
      <c r="R277" s="24"/>
      <c r="S277" s="166"/>
      <c r="U277" s="5"/>
      <c r="V277" s="5"/>
    </row>
    <row r="278" spans="1:22" ht="18.75" x14ac:dyDescent="0.25">
      <c r="A278" s="20"/>
      <c r="B278" s="25"/>
      <c r="C278" s="11"/>
      <c r="D278" s="49"/>
      <c r="E278" s="49"/>
      <c r="F278" s="80"/>
      <c r="G278" s="81"/>
      <c r="H278" s="81"/>
      <c r="I278" s="54"/>
      <c r="J278" s="54"/>
      <c r="K278" s="54"/>
      <c r="L278" s="72">
        <v>4936</v>
      </c>
      <c r="M278" s="73" t="s">
        <v>816</v>
      </c>
      <c r="N278" s="73" t="s">
        <v>34</v>
      </c>
      <c r="O278" s="50">
        <v>1</v>
      </c>
      <c r="P278" s="97"/>
      <c r="Q278" s="50"/>
      <c r="R278" s="24"/>
      <c r="S278" s="166"/>
      <c r="U278" s="5"/>
      <c r="V278" s="5"/>
    </row>
    <row r="279" spans="1:22" ht="30" x14ac:dyDescent="0.25">
      <c r="A279" s="20"/>
      <c r="B279" s="25"/>
      <c r="C279" s="11"/>
      <c r="D279" s="49"/>
      <c r="E279" s="49"/>
      <c r="F279" s="80"/>
      <c r="G279" s="81"/>
      <c r="H279" s="81"/>
      <c r="I279" s="54"/>
      <c r="J279" s="54"/>
      <c r="K279" s="54"/>
      <c r="L279" s="72">
        <v>17528</v>
      </c>
      <c r="M279" s="73" t="s">
        <v>817</v>
      </c>
      <c r="N279" s="73" t="s">
        <v>34</v>
      </c>
      <c r="O279" s="50">
        <v>4</v>
      </c>
      <c r="P279" s="97"/>
      <c r="Q279" s="50"/>
      <c r="R279" s="24"/>
      <c r="S279" s="166"/>
      <c r="U279" s="5"/>
      <c r="V279" s="5"/>
    </row>
    <row r="280" spans="1:22" ht="18.75" x14ac:dyDescent="0.25">
      <c r="A280" s="20"/>
      <c r="B280" s="25"/>
      <c r="C280" s="11"/>
      <c r="D280" s="49"/>
      <c r="E280" s="49"/>
      <c r="F280" s="80"/>
      <c r="G280" s="81"/>
      <c r="H280" s="81"/>
      <c r="I280" s="54"/>
      <c r="J280" s="54"/>
      <c r="K280" s="54"/>
      <c r="L280" s="72" t="s">
        <v>818</v>
      </c>
      <c r="M280" s="73" t="s">
        <v>819</v>
      </c>
      <c r="N280" s="73" t="s">
        <v>34</v>
      </c>
      <c r="O280" s="50">
        <v>4</v>
      </c>
      <c r="P280" s="97"/>
      <c r="Q280" s="50"/>
      <c r="R280" s="24"/>
      <c r="S280" s="166"/>
      <c r="U280" s="5"/>
      <c r="V280" s="5"/>
    </row>
    <row r="281" spans="1:22" ht="18.75" x14ac:dyDescent="0.25">
      <c r="A281" s="20"/>
      <c r="B281" s="25"/>
      <c r="C281" s="11"/>
      <c r="D281" s="49"/>
      <c r="E281" s="49"/>
      <c r="F281" s="80"/>
      <c r="G281" s="81"/>
      <c r="H281" s="81"/>
      <c r="I281" s="54"/>
      <c r="J281" s="54"/>
      <c r="K281" s="54"/>
      <c r="L281" s="72">
        <v>5513</v>
      </c>
      <c r="M281" s="73" t="s">
        <v>820</v>
      </c>
      <c r="N281" s="73" t="s">
        <v>34</v>
      </c>
      <c r="O281" s="50">
        <v>1</v>
      </c>
      <c r="P281" s="97"/>
      <c r="Q281" s="50"/>
      <c r="R281" s="24"/>
      <c r="S281" s="166"/>
      <c r="U281" s="5"/>
      <c r="V281" s="5"/>
    </row>
    <row r="282" spans="1:22" ht="18.75" x14ac:dyDescent="0.25">
      <c r="A282" s="20"/>
      <c r="B282" s="25"/>
      <c r="C282" s="11"/>
      <c r="D282" s="49"/>
      <c r="E282" s="49"/>
      <c r="F282" s="80"/>
      <c r="G282" s="81"/>
      <c r="H282" s="81"/>
      <c r="I282" s="54"/>
      <c r="J282" s="54"/>
      <c r="K282" s="54"/>
      <c r="L282" s="72" t="s">
        <v>821</v>
      </c>
      <c r="M282" s="73" t="s">
        <v>822</v>
      </c>
      <c r="N282" s="73" t="s">
        <v>34</v>
      </c>
      <c r="O282" s="50">
        <v>1</v>
      </c>
      <c r="P282" s="97"/>
      <c r="Q282" s="50"/>
      <c r="R282" s="24"/>
      <c r="S282" s="166"/>
      <c r="U282" s="5"/>
      <c r="V282" s="5"/>
    </row>
    <row r="283" spans="1:22" ht="18.75" x14ac:dyDescent="0.25">
      <c r="A283" s="20"/>
      <c r="B283" s="25"/>
      <c r="C283" s="11"/>
      <c r="D283" s="49"/>
      <c r="E283" s="49"/>
      <c r="F283" s="80"/>
      <c r="G283" s="81"/>
      <c r="H283" s="81"/>
      <c r="I283" s="54"/>
      <c r="J283" s="54"/>
      <c r="K283" s="54"/>
      <c r="L283" s="72">
        <v>12877</v>
      </c>
      <c r="M283" s="73" t="s">
        <v>823</v>
      </c>
      <c r="N283" s="73" t="s">
        <v>34</v>
      </c>
      <c r="O283" s="50">
        <v>1</v>
      </c>
      <c r="P283" s="97"/>
      <c r="Q283" s="50"/>
      <c r="R283" s="24"/>
      <c r="S283" s="166"/>
      <c r="U283" s="5"/>
      <c r="V283" s="5"/>
    </row>
    <row r="284" spans="1:22" ht="18.75" x14ac:dyDescent="0.25">
      <c r="A284" s="20"/>
      <c r="B284" s="25"/>
      <c r="C284" s="11"/>
      <c r="D284" s="49"/>
      <c r="E284" s="49"/>
      <c r="F284" s="80"/>
      <c r="G284" s="81"/>
      <c r="H284" s="81"/>
      <c r="I284" s="54"/>
      <c r="J284" s="54"/>
      <c r="K284" s="54"/>
      <c r="L284" s="72" t="s">
        <v>824</v>
      </c>
      <c r="M284" s="73" t="s">
        <v>825</v>
      </c>
      <c r="N284" s="73" t="s">
        <v>34</v>
      </c>
      <c r="O284" s="50">
        <v>1</v>
      </c>
      <c r="P284" s="97"/>
      <c r="Q284" s="50"/>
      <c r="R284" s="24"/>
      <c r="S284" s="166"/>
      <c r="U284" s="5"/>
      <c r="V284" s="5"/>
    </row>
    <row r="285" spans="1:22" ht="18.75" x14ac:dyDescent="0.25">
      <c r="A285" s="20"/>
      <c r="B285" s="25"/>
      <c r="C285" s="11"/>
      <c r="D285" s="49"/>
      <c r="E285" s="49"/>
      <c r="F285" s="80"/>
      <c r="G285" s="81"/>
      <c r="H285" s="81"/>
      <c r="I285" s="54"/>
      <c r="J285" s="54"/>
      <c r="K285" s="54"/>
      <c r="L285" s="72">
        <v>2496</v>
      </c>
      <c r="M285" s="73" t="s">
        <v>139</v>
      </c>
      <c r="N285" s="73" t="s">
        <v>34</v>
      </c>
      <c r="O285" s="50">
        <v>1</v>
      </c>
      <c r="P285" s="97"/>
      <c r="Q285" s="50"/>
      <c r="R285" s="24"/>
      <c r="S285" s="166"/>
      <c r="U285" s="5"/>
      <c r="V285" s="5"/>
    </row>
    <row r="286" spans="1:22" ht="18.75" x14ac:dyDescent="0.25">
      <c r="A286" s="20"/>
      <c r="B286" s="25"/>
      <c r="C286" s="11"/>
      <c r="D286" s="49"/>
      <c r="E286" s="49"/>
      <c r="F286" s="80"/>
      <c r="G286" s="81"/>
      <c r="H286" s="81"/>
      <c r="I286" s="54"/>
      <c r="J286" s="54"/>
      <c r="K286" s="54"/>
      <c r="L286" s="72" t="s">
        <v>826</v>
      </c>
      <c r="M286" s="73" t="s">
        <v>827</v>
      </c>
      <c r="N286" s="73" t="s">
        <v>34</v>
      </c>
      <c r="O286" s="50">
        <v>1</v>
      </c>
      <c r="P286" s="97"/>
      <c r="Q286" s="50"/>
      <c r="R286" s="24"/>
      <c r="S286" s="166"/>
      <c r="U286" s="5"/>
      <c r="V286" s="5"/>
    </row>
    <row r="287" spans="1:22" ht="18.75" x14ac:dyDescent="0.25">
      <c r="A287" s="20"/>
      <c r="B287" s="25"/>
      <c r="C287" s="11"/>
      <c r="D287" s="49"/>
      <c r="E287" s="49"/>
      <c r="F287" s="80"/>
      <c r="G287" s="81"/>
      <c r="H287" s="81"/>
      <c r="I287" s="54"/>
      <c r="J287" s="54"/>
      <c r="K287" s="54"/>
      <c r="L287" s="72">
        <v>17163</v>
      </c>
      <c r="M287" s="73" t="s">
        <v>828</v>
      </c>
      <c r="N287" s="73" t="s">
        <v>34</v>
      </c>
      <c r="O287" s="50">
        <v>1</v>
      </c>
      <c r="P287" s="97"/>
      <c r="Q287" s="50"/>
      <c r="R287" s="24"/>
      <c r="S287" s="166"/>
      <c r="U287" s="5"/>
      <c r="V287" s="5"/>
    </row>
    <row r="288" spans="1:22" ht="18.75" x14ac:dyDescent="0.25">
      <c r="A288" s="20"/>
      <c r="B288" s="25"/>
      <c r="C288" s="11"/>
      <c r="D288" s="49"/>
      <c r="E288" s="49"/>
      <c r="F288" s="80"/>
      <c r="G288" s="81"/>
      <c r="H288" s="81"/>
      <c r="I288" s="54"/>
      <c r="J288" s="54"/>
      <c r="K288" s="54"/>
      <c r="L288" s="72">
        <v>2830</v>
      </c>
      <c r="M288" s="73" t="s">
        <v>829</v>
      </c>
      <c r="N288" s="73" t="s">
        <v>34</v>
      </c>
      <c r="O288" s="50">
        <v>1</v>
      </c>
      <c r="P288" s="97"/>
      <c r="Q288" s="50"/>
      <c r="R288" s="24"/>
      <c r="S288" s="166"/>
      <c r="U288" s="5"/>
      <c r="V288" s="5"/>
    </row>
    <row r="289" spans="1:22" ht="18.75" x14ac:dyDescent="0.25">
      <c r="A289" s="20"/>
      <c r="B289" s="25"/>
      <c r="C289" s="11"/>
      <c r="D289" s="49"/>
      <c r="E289" s="49"/>
      <c r="F289" s="80"/>
      <c r="G289" s="81"/>
      <c r="H289" s="81"/>
      <c r="I289" s="54"/>
      <c r="J289" s="54"/>
      <c r="K289" s="54"/>
      <c r="L289" s="72">
        <v>10881</v>
      </c>
      <c r="M289" s="73" t="s">
        <v>148</v>
      </c>
      <c r="N289" s="73" t="s">
        <v>147</v>
      </c>
      <c r="O289" s="50">
        <v>1</v>
      </c>
      <c r="P289" s="97"/>
      <c r="Q289" s="50"/>
      <c r="R289" s="24"/>
      <c r="S289" s="166"/>
      <c r="U289" s="5"/>
      <c r="V289" s="5"/>
    </row>
    <row r="290" spans="1:22" ht="18.75" x14ac:dyDescent="0.25">
      <c r="A290" s="20"/>
      <c r="B290" s="25"/>
      <c r="C290" s="11"/>
      <c r="D290" s="49"/>
      <c r="E290" s="49"/>
      <c r="F290" s="80"/>
      <c r="G290" s="81"/>
      <c r="H290" s="81"/>
      <c r="I290" s="54"/>
      <c r="J290" s="54"/>
      <c r="K290" s="54"/>
      <c r="L290" s="72">
        <v>2888</v>
      </c>
      <c r="M290" s="73" t="s">
        <v>835</v>
      </c>
      <c r="N290" s="73" t="s">
        <v>147</v>
      </c>
      <c r="O290" s="50">
        <v>1</v>
      </c>
      <c r="P290" s="97"/>
      <c r="Q290" s="50"/>
      <c r="R290" s="24"/>
      <c r="S290" s="166"/>
      <c r="U290" s="5"/>
      <c r="V290" s="5"/>
    </row>
    <row r="291" spans="1:22" ht="18.75" x14ac:dyDescent="0.25">
      <c r="A291" s="20"/>
      <c r="B291" s="25"/>
      <c r="C291" s="11"/>
      <c r="D291" s="49"/>
      <c r="E291" s="49"/>
      <c r="F291" s="80"/>
      <c r="G291" s="81"/>
      <c r="H291" s="81"/>
      <c r="I291" s="54"/>
      <c r="J291" s="54"/>
      <c r="K291" s="54"/>
      <c r="L291" s="72">
        <v>3743</v>
      </c>
      <c r="M291" s="73" t="s">
        <v>836</v>
      </c>
      <c r="N291" s="73" t="s">
        <v>147</v>
      </c>
      <c r="O291" s="50">
        <v>1</v>
      </c>
      <c r="P291" s="97"/>
      <c r="Q291" s="50"/>
      <c r="R291" s="24"/>
      <c r="S291" s="166"/>
      <c r="U291" s="5"/>
      <c r="V291" s="5"/>
    </row>
    <row r="292" spans="1:22" ht="18.75" x14ac:dyDescent="0.25">
      <c r="A292" s="20"/>
      <c r="B292" s="25"/>
      <c r="C292" s="11"/>
      <c r="D292" s="49"/>
      <c r="E292" s="49"/>
      <c r="F292" s="80"/>
      <c r="G292" s="81"/>
      <c r="H292" s="81"/>
      <c r="I292" s="54"/>
      <c r="J292" s="54"/>
      <c r="K292" s="54"/>
      <c r="L292" s="72">
        <v>4402</v>
      </c>
      <c r="M292" s="73" t="s">
        <v>837</v>
      </c>
      <c r="N292" s="73" t="s">
        <v>147</v>
      </c>
      <c r="O292" s="50">
        <v>1</v>
      </c>
      <c r="P292" s="97"/>
      <c r="Q292" s="50"/>
      <c r="R292" s="24"/>
      <c r="S292" s="166"/>
      <c r="U292" s="5"/>
      <c r="V292" s="5"/>
    </row>
    <row r="293" spans="1:22" ht="18.75" x14ac:dyDescent="0.25">
      <c r="A293" s="20"/>
      <c r="B293" s="25"/>
      <c r="C293" s="11"/>
      <c r="D293" s="49"/>
      <c r="E293" s="49"/>
      <c r="F293" s="80"/>
      <c r="G293" s="81"/>
      <c r="H293" s="81"/>
      <c r="I293" s="54"/>
      <c r="J293" s="54"/>
      <c r="K293" s="54"/>
      <c r="L293" s="72">
        <v>3662</v>
      </c>
      <c r="M293" s="73" t="s">
        <v>838</v>
      </c>
      <c r="N293" s="73" t="s">
        <v>34</v>
      </c>
      <c r="O293" s="50">
        <v>5</v>
      </c>
      <c r="P293" s="97"/>
      <c r="Q293" s="50"/>
      <c r="R293" s="24"/>
      <c r="S293" s="166"/>
      <c r="U293" s="5"/>
      <c r="V293" s="5"/>
    </row>
    <row r="294" spans="1:22" ht="18.75" x14ac:dyDescent="0.25">
      <c r="A294" s="20"/>
      <c r="B294" s="25"/>
      <c r="C294" s="11"/>
      <c r="D294" s="49"/>
      <c r="E294" s="49"/>
      <c r="F294" s="80"/>
      <c r="G294" s="81"/>
      <c r="H294" s="81"/>
      <c r="I294" s="54"/>
      <c r="J294" s="54"/>
      <c r="K294" s="54"/>
      <c r="L294" s="72">
        <v>13138</v>
      </c>
      <c r="M294" s="73" t="s">
        <v>659</v>
      </c>
      <c r="N294" s="73" t="s">
        <v>34</v>
      </c>
      <c r="O294" s="50">
        <v>1</v>
      </c>
      <c r="P294" s="97"/>
      <c r="Q294" s="50"/>
      <c r="R294" s="24"/>
      <c r="S294" s="166"/>
      <c r="U294" s="5"/>
      <c r="V294" s="5"/>
    </row>
    <row r="295" spans="1:22" ht="18.75" x14ac:dyDescent="0.25">
      <c r="A295" s="20"/>
      <c r="B295" s="25"/>
      <c r="C295" s="11"/>
      <c r="D295" s="49"/>
      <c r="E295" s="49"/>
      <c r="F295" s="80"/>
      <c r="G295" s="81"/>
      <c r="H295" s="81"/>
      <c r="I295" s="54"/>
      <c r="J295" s="54"/>
      <c r="K295" s="54"/>
      <c r="L295" s="72">
        <v>2450</v>
      </c>
      <c r="M295" s="73" t="s">
        <v>839</v>
      </c>
      <c r="N295" s="73" t="s">
        <v>147</v>
      </c>
      <c r="O295" s="50">
        <v>1</v>
      </c>
      <c r="P295" s="97"/>
      <c r="Q295" s="50"/>
      <c r="R295" s="24"/>
      <c r="S295" s="166"/>
      <c r="U295" s="5"/>
      <c r="V295" s="5"/>
    </row>
    <row r="296" spans="1:22" ht="30" x14ac:dyDescent="0.25">
      <c r="A296" s="20"/>
      <c r="B296" s="25"/>
      <c r="C296" s="11"/>
      <c r="D296" s="49"/>
      <c r="E296" s="49"/>
      <c r="F296" s="80"/>
      <c r="G296" s="81"/>
      <c r="H296" s="81"/>
      <c r="I296" s="54"/>
      <c r="J296" s="54"/>
      <c r="K296" s="54"/>
      <c r="L296" s="72">
        <v>17512</v>
      </c>
      <c r="M296" s="73" t="s">
        <v>840</v>
      </c>
      <c r="N296" s="73" t="s">
        <v>147</v>
      </c>
      <c r="O296" s="50">
        <v>2</v>
      </c>
      <c r="P296" s="97"/>
      <c r="Q296" s="50"/>
      <c r="R296" s="24"/>
      <c r="S296" s="166"/>
      <c r="U296" s="5"/>
      <c r="V296" s="5"/>
    </row>
    <row r="297" spans="1:22" ht="18.75" x14ac:dyDescent="0.25">
      <c r="A297" s="20"/>
      <c r="B297" s="25"/>
      <c r="C297" s="11"/>
      <c r="D297" s="49"/>
      <c r="E297" s="49"/>
      <c r="F297" s="80"/>
      <c r="G297" s="81"/>
      <c r="H297" s="81"/>
      <c r="I297" s="54"/>
      <c r="J297" s="54"/>
      <c r="K297" s="54"/>
      <c r="L297" s="72" t="s">
        <v>842</v>
      </c>
      <c r="M297" s="73" t="s">
        <v>843</v>
      </c>
      <c r="N297" s="73" t="s">
        <v>34</v>
      </c>
      <c r="O297" s="50">
        <v>2</v>
      </c>
      <c r="P297" s="97"/>
      <c r="Q297" s="50"/>
      <c r="R297" s="24"/>
      <c r="S297" s="166"/>
      <c r="U297" s="5"/>
      <c r="V297" s="5"/>
    </row>
    <row r="298" spans="1:22" ht="18.75" x14ac:dyDescent="0.25">
      <c r="A298" s="20"/>
      <c r="B298" s="25"/>
      <c r="C298" s="11"/>
      <c r="D298" s="49"/>
      <c r="E298" s="49"/>
      <c r="F298" s="80"/>
      <c r="G298" s="81"/>
      <c r="H298" s="81"/>
      <c r="I298" s="54"/>
      <c r="J298" s="54"/>
      <c r="K298" s="54"/>
      <c r="L298" s="72">
        <v>9099</v>
      </c>
      <c r="M298" s="73" t="s">
        <v>844</v>
      </c>
      <c r="N298" s="73" t="s">
        <v>34</v>
      </c>
      <c r="O298" s="50">
        <v>1</v>
      </c>
      <c r="P298" s="97"/>
      <c r="Q298" s="50"/>
      <c r="R298" s="24"/>
      <c r="S298" s="166"/>
      <c r="U298" s="5"/>
      <c r="V298" s="5"/>
    </row>
    <row r="299" spans="1:22" ht="18.75" x14ac:dyDescent="0.25">
      <c r="A299" s="20"/>
      <c r="B299" s="25"/>
      <c r="C299" s="11"/>
      <c r="D299" s="49"/>
      <c r="E299" s="49"/>
      <c r="F299" s="80"/>
      <c r="G299" s="81"/>
      <c r="H299" s="81"/>
      <c r="I299" s="54"/>
      <c r="J299" s="54"/>
      <c r="K299" s="54"/>
      <c r="L299" s="72">
        <v>3333</v>
      </c>
      <c r="M299" s="73" t="s">
        <v>845</v>
      </c>
      <c r="N299" s="73" t="s">
        <v>34</v>
      </c>
      <c r="O299" s="50">
        <v>1</v>
      </c>
      <c r="P299" s="97"/>
      <c r="Q299" s="50"/>
      <c r="R299" s="24"/>
      <c r="S299" s="166"/>
      <c r="U299" s="5"/>
      <c r="V299" s="5"/>
    </row>
    <row r="300" spans="1:22" ht="18.75" x14ac:dyDescent="0.25">
      <c r="A300" s="20"/>
      <c r="B300" s="25"/>
      <c r="C300" s="11"/>
      <c r="D300" s="49"/>
      <c r="E300" s="49"/>
      <c r="F300" s="80"/>
      <c r="G300" s="81"/>
      <c r="H300" s="81"/>
      <c r="I300" s="54"/>
      <c r="J300" s="54"/>
      <c r="K300" s="54"/>
      <c r="L300" s="72">
        <v>18267</v>
      </c>
      <c r="M300" s="73" t="s">
        <v>848</v>
      </c>
      <c r="N300" s="73" t="s">
        <v>34</v>
      </c>
      <c r="O300" s="50">
        <v>1</v>
      </c>
      <c r="P300" s="97"/>
      <c r="Q300" s="50"/>
      <c r="R300" s="24"/>
      <c r="S300" s="166"/>
      <c r="U300" s="5"/>
      <c r="V300" s="5"/>
    </row>
    <row r="301" spans="1:22" ht="18.75" x14ac:dyDescent="0.25">
      <c r="A301" s="20"/>
      <c r="B301" s="25"/>
      <c r="C301" s="11"/>
      <c r="D301" s="49"/>
      <c r="E301" s="49"/>
      <c r="F301" s="80"/>
      <c r="G301" s="81"/>
      <c r="H301" s="81"/>
      <c r="I301" s="54"/>
      <c r="J301" s="54"/>
      <c r="K301" s="54"/>
      <c r="L301" s="72" t="s">
        <v>849</v>
      </c>
      <c r="M301" s="73" t="s">
        <v>850</v>
      </c>
      <c r="N301" s="73" t="s">
        <v>34</v>
      </c>
      <c r="O301" s="50">
        <v>1</v>
      </c>
      <c r="P301" s="97"/>
      <c r="Q301" s="50"/>
      <c r="R301" s="24"/>
      <c r="S301" s="166"/>
      <c r="U301" s="5"/>
      <c r="V301" s="5"/>
    </row>
    <row r="302" spans="1:22" ht="18.75" x14ac:dyDescent="0.25">
      <c r="A302" s="20"/>
      <c r="B302" s="25"/>
      <c r="C302" s="11"/>
      <c r="D302" s="49"/>
      <c r="E302" s="49"/>
      <c r="F302" s="80"/>
      <c r="G302" s="81"/>
      <c r="H302" s="81"/>
      <c r="I302" s="54"/>
      <c r="J302" s="54"/>
      <c r="K302" s="54"/>
      <c r="L302" s="72">
        <v>12663</v>
      </c>
      <c r="M302" s="73" t="s">
        <v>851</v>
      </c>
      <c r="N302" s="73" t="s">
        <v>34</v>
      </c>
      <c r="O302" s="50">
        <v>1</v>
      </c>
      <c r="P302" s="97"/>
      <c r="Q302" s="50"/>
      <c r="R302" s="24"/>
      <c r="S302" s="166"/>
      <c r="U302" s="5"/>
      <c r="V302" s="5"/>
    </row>
    <row r="303" spans="1:22" ht="18.75" x14ac:dyDescent="0.25">
      <c r="A303" s="20"/>
      <c r="B303" s="25"/>
      <c r="C303" s="11"/>
      <c r="D303" s="49"/>
      <c r="E303" s="49"/>
      <c r="F303" s="80"/>
      <c r="G303" s="81"/>
      <c r="H303" s="81"/>
      <c r="I303" s="54"/>
      <c r="J303" s="54"/>
      <c r="K303" s="54"/>
      <c r="L303" s="72" t="s">
        <v>150</v>
      </c>
      <c r="M303" s="73" t="s">
        <v>852</v>
      </c>
      <c r="N303" s="73" t="s">
        <v>34</v>
      </c>
      <c r="O303" s="50">
        <v>1</v>
      </c>
      <c r="P303" s="97"/>
      <c r="Q303" s="50"/>
      <c r="R303" s="24"/>
      <c r="S303" s="166"/>
      <c r="U303" s="5"/>
      <c r="V303" s="5"/>
    </row>
    <row r="304" spans="1:22" ht="18.75" x14ac:dyDescent="0.25">
      <c r="A304" s="20"/>
      <c r="B304" s="25"/>
      <c r="C304" s="11"/>
      <c r="D304" s="49"/>
      <c r="E304" s="49"/>
      <c r="F304" s="80"/>
      <c r="G304" s="81"/>
      <c r="H304" s="81"/>
      <c r="I304" s="54"/>
      <c r="J304" s="54"/>
      <c r="K304" s="54"/>
      <c r="L304" s="72" t="s">
        <v>853</v>
      </c>
      <c r="M304" s="73" t="s">
        <v>854</v>
      </c>
      <c r="N304" s="73" t="s">
        <v>34</v>
      </c>
      <c r="O304" s="50">
        <v>2</v>
      </c>
      <c r="P304" s="97"/>
      <c r="Q304" s="50"/>
      <c r="R304" s="24"/>
      <c r="S304" s="166"/>
      <c r="U304" s="5"/>
      <c r="V304" s="5"/>
    </row>
    <row r="305" spans="1:22" ht="18.75" x14ac:dyDescent="0.25">
      <c r="A305" s="20"/>
      <c r="B305" s="25"/>
      <c r="C305" s="11"/>
      <c r="D305" s="49"/>
      <c r="E305" s="49"/>
      <c r="F305" s="80"/>
      <c r="G305" s="81"/>
      <c r="H305" s="81"/>
      <c r="I305" s="54"/>
      <c r="J305" s="54"/>
      <c r="K305" s="54"/>
      <c r="L305" s="72" t="s">
        <v>855</v>
      </c>
      <c r="M305" s="73" t="s">
        <v>856</v>
      </c>
      <c r="N305" s="73" t="s">
        <v>34</v>
      </c>
      <c r="O305" s="50">
        <v>1</v>
      </c>
      <c r="P305" s="97"/>
      <c r="Q305" s="50"/>
      <c r="R305" s="24"/>
      <c r="S305" s="166"/>
      <c r="U305" s="5"/>
      <c r="V305" s="5"/>
    </row>
    <row r="306" spans="1:22" ht="18.75" x14ac:dyDescent="0.25">
      <c r="A306" s="20"/>
      <c r="B306" s="25"/>
      <c r="C306" s="11"/>
      <c r="D306" s="49"/>
      <c r="E306" s="49"/>
      <c r="F306" s="80"/>
      <c r="G306" s="81"/>
      <c r="H306" s="81"/>
      <c r="I306" s="54"/>
      <c r="J306" s="54"/>
      <c r="K306" s="54"/>
      <c r="L306" s="72" t="s">
        <v>857</v>
      </c>
      <c r="M306" s="73" t="s">
        <v>858</v>
      </c>
      <c r="N306" s="73" t="s">
        <v>34</v>
      </c>
      <c r="O306" s="50">
        <v>1</v>
      </c>
      <c r="P306" s="97"/>
      <c r="Q306" s="50"/>
      <c r="R306" s="24"/>
      <c r="S306" s="166"/>
      <c r="U306" s="5"/>
      <c r="V306" s="5"/>
    </row>
    <row r="307" spans="1:22" ht="18.75" x14ac:dyDescent="0.25">
      <c r="A307" s="20"/>
      <c r="B307" s="25"/>
      <c r="C307" s="11"/>
      <c r="D307" s="49"/>
      <c r="E307" s="49"/>
      <c r="F307" s="80"/>
      <c r="G307" s="81"/>
      <c r="H307" s="81"/>
      <c r="I307" s="54"/>
      <c r="J307" s="54"/>
      <c r="K307" s="54"/>
      <c r="L307" s="72" t="s">
        <v>859</v>
      </c>
      <c r="M307" s="73" t="s">
        <v>860</v>
      </c>
      <c r="N307" s="73" t="s">
        <v>34</v>
      </c>
      <c r="O307" s="50">
        <v>3</v>
      </c>
      <c r="P307" s="97"/>
      <c r="Q307" s="50"/>
      <c r="R307" s="24"/>
      <c r="S307" s="166"/>
      <c r="U307" s="5"/>
      <c r="V307" s="5"/>
    </row>
    <row r="308" spans="1:22" ht="18.75" x14ac:dyDescent="0.25">
      <c r="A308" s="20"/>
      <c r="B308" s="25"/>
      <c r="C308" s="11"/>
      <c r="D308" s="49"/>
      <c r="E308" s="49"/>
      <c r="F308" s="80"/>
      <c r="G308" s="81"/>
      <c r="H308" s="81"/>
      <c r="I308" s="54"/>
      <c r="J308" s="54"/>
      <c r="K308" s="54"/>
      <c r="L308" s="72" t="s">
        <v>861</v>
      </c>
      <c r="M308" s="73" t="s">
        <v>862</v>
      </c>
      <c r="N308" s="73" t="s">
        <v>34</v>
      </c>
      <c r="O308" s="50">
        <v>1</v>
      </c>
      <c r="P308" s="97"/>
      <c r="Q308" s="50"/>
      <c r="R308" s="24"/>
      <c r="S308" s="166"/>
      <c r="U308" s="5"/>
      <c r="V308" s="5"/>
    </row>
    <row r="309" spans="1:22" ht="18.75" x14ac:dyDescent="0.25">
      <c r="A309" s="20"/>
      <c r="B309" s="25"/>
      <c r="C309" s="11"/>
      <c r="D309" s="49"/>
      <c r="E309" s="49"/>
      <c r="F309" s="80"/>
      <c r="G309" s="81"/>
      <c r="H309" s="81"/>
      <c r="I309" s="54"/>
      <c r="J309" s="54"/>
      <c r="K309" s="54"/>
      <c r="L309" s="72" t="s">
        <v>863</v>
      </c>
      <c r="M309" s="73" t="s">
        <v>864</v>
      </c>
      <c r="N309" s="73" t="s">
        <v>34</v>
      </c>
      <c r="O309" s="50">
        <v>3</v>
      </c>
      <c r="P309" s="97"/>
      <c r="Q309" s="50"/>
      <c r="R309" s="24"/>
      <c r="S309" s="166"/>
      <c r="U309" s="5"/>
      <c r="V309" s="5"/>
    </row>
    <row r="310" spans="1:22" ht="18.75" x14ac:dyDescent="0.25">
      <c r="A310" s="20"/>
      <c r="B310" s="25"/>
      <c r="C310" s="11"/>
      <c r="D310" s="49"/>
      <c r="E310" s="49"/>
      <c r="F310" s="80"/>
      <c r="G310" s="81"/>
      <c r="H310" s="81"/>
      <c r="I310" s="54"/>
      <c r="J310" s="54"/>
      <c r="K310" s="54"/>
      <c r="L310" s="72" t="s">
        <v>865</v>
      </c>
      <c r="M310" s="73" t="s">
        <v>866</v>
      </c>
      <c r="N310" s="73" t="s">
        <v>34</v>
      </c>
      <c r="O310" s="50">
        <v>4</v>
      </c>
      <c r="P310" s="97"/>
      <c r="Q310" s="50"/>
      <c r="R310" s="24"/>
      <c r="S310" s="166"/>
      <c r="U310" s="5"/>
      <c r="V310" s="5"/>
    </row>
    <row r="311" spans="1:22" ht="18.75" x14ac:dyDescent="0.25">
      <c r="A311" s="20"/>
      <c r="B311" s="25"/>
      <c r="C311" s="11"/>
      <c r="D311" s="49"/>
      <c r="E311" s="49"/>
      <c r="F311" s="80"/>
      <c r="G311" s="81"/>
      <c r="H311" s="81"/>
      <c r="I311" s="54"/>
      <c r="J311" s="54"/>
      <c r="K311" s="54"/>
      <c r="L311" s="72">
        <v>19775</v>
      </c>
      <c r="M311" s="73" t="s">
        <v>867</v>
      </c>
      <c r="N311" s="73" t="s">
        <v>34</v>
      </c>
      <c r="O311" s="50">
        <v>1</v>
      </c>
      <c r="P311" s="97"/>
      <c r="Q311" s="50"/>
      <c r="R311" s="24"/>
      <c r="S311" s="166"/>
      <c r="U311" s="5"/>
      <c r="V311" s="5"/>
    </row>
    <row r="312" spans="1:22" ht="18.75" x14ac:dyDescent="0.25">
      <c r="A312" s="20"/>
      <c r="B312" s="25"/>
      <c r="C312" s="11"/>
      <c r="D312" s="49"/>
      <c r="E312" s="49"/>
      <c r="F312" s="80"/>
      <c r="G312" s="81"/>
      <c r="H312" s="81"/>
      <c r="I312" s="54"/>
      <c r="J312" s="54"/>
      <c r="K312" s="54"/>
      <c r="L312" s="72" t="s">
        <v>868</v>
      </c>
      <c r="M312" s="73" t="s">
        <v>869</v>
      </c>
      <c r="N312" s="73" t="s">
        <v>64</v>
      </c>
      <c r="O312" s="50">
        <v>1</v>
      </c>
      <c r="P312" s="97"/>
      <c r="Q312" s="50"/>
      <c r="R312" s="24"/>
      <c r="S312" s="166"/>
      <c r="U312" s="5"/>
      <c r="V312" s="5"/>
    </row>
    <row r="313" spans="1:22" ht="18.75" x14ac:dyDescent="0.25">
      <c r="A313" s="20"/>
      <c r="B313" s="25"/>
      <c r="C313" s="11"/>
      <c r="D313" s="49"/>
      <c r="E313" s="49"/>
      <c r="F313" s="80"/>
      <c r="G313" s="81"/>
      <c r="H313" s="81"/>
      <c r="I313" s="54"/>
      <c r="J313" s="54"/>
      <c r="K313" s="54"/>
      <c r="L313" s="72">
        <v>13182</v>
      </c>
      <c r="M313" s="73" t="s">
        <v>675</v>
      </c>
      <c r="N313" s="73" t="s">
        <v>34</v>
      </c>
      <c r="O313" s="50">
        <v>2</v>
      </c>
      <c r="P313" s="97"/>
      <c r="Q313" s="50"/>
      <c r="R313" s="24"/>
      <c r="S313" s="166"/>
      <c r="U313" s="5"/>
      <c r="V313" s="5"/>
    </row>
    <row r="314" spans="1:22" ht="18.75" x14ac:dyDescent="0.25">
      <c r="A314" s="20"/>
      <c r="B314" s="25"/>
      <c r="C314" s="11"/>
      <c r="D314" s="49"/>
      <c r="E314" s="49"/>
      <c r="F314" s="80"/>
      <c r="G314" s="81"/>
      <c r="H314" s="81"/>
      <c r="I314" s="54"/>
      <c r="J314" s="54"/>
      <c r="K314" s="54"/>
      <c r="L314" s="72">
        <v>13183</v>
      </c>
      <c r="M314" s="73" t="s">
        <v>152</v>
      </c>
      <c r="N314" s="73" t="s">
        <v>34</v>
      </c>
      <c r="O314" s="50">
        <v>1</v>
      </c>
      <c r="P314" s="97"/>
      <c r="Q314" s="50"/>
      <c r="R314" s="24"/>
      <c r="S314" s="166"/>
      <c r="U314" s="5"/>
      <c r="V314" s="5"/>
    </row>
    <row r="315" spans="1:22" ht="18.75" x14ac:dyDescent="0.25">
      <c r="A315" s="20"/>
      <c r="B315" s="25"/>
      <c r="C315" s="11"/>
      <c r="D315" s="49"/>
      <c r="E315" s="49"/>
      <c r="F315" s="80"/>
      <c r="G315" s="81"/>
      <c r="H315" s="81"/>
      <c r="I315" s="54"/>
      <c r="J315" s="54"/>
      <c r="K315" s="54"/>
      <c r="L315" s="72" t="s">
        <v>870</v>
      </c>
      <c r="M315" s="73" t="s">
        <v>871</v>
      </c>
      <c r="N315" s="73" t="s">
        <v>34</v>
      </c>
      <c r="O315" s="50">
        <v>2</v>
      </c>
      <c r="P315" s="97"/>
      <c r="Q315" s="50"/>
      <c r="R315" s="24"/>
      <c r="S315" s="166"/>
      <c r="U315" s="5"/>
      <c r="V315" s="5"/>
    </row>
    <row r="316" spans="1:22" ht="18.75" x14ac:dyDescent="0.25">
      <c r="A316" s="20"/>
      <c r="B316" s="25"/>
      <c r="C316" s="11"/>
      <c r="D316" s="49"/>
      <c r="E316" s="49"/>
      <c r="F316" s="80"/>
      <c r="G316" s="81"/>
      <c r="H316" s="81"/>
      <c r="I316" s="54"/>
      <c r="J316" s="54"/>
      <c r="K316" s="54"/>
      <c r="L316" s="72" t="s">
        <v>872</v>
      </c>
      <c r="M316" s="73" t="s">
        <v>873</v>
      </c>
      <c r="N316" s="73" t="s">
        <v>34</v>
      </c>
      <c r="O316" s="50">
        <v>2</v>
      </c>
      <c r="P316" s="97"/>
      <c r="Q316" s="50"/>
      <c r="R316" s="24"/>
      <c r="S316" s="166"/>
      <c r="U316" s="5"/>
      <c r="V316" s="5"/>
    </row>
    <row r="317" spans="1:22" ht="18.75" x14ac:dyDescent="0.25">
      <c r="A317" s="20"/>
      <c r="B317" s="25"/>
      <c r="C317" s="11"/>
      <c r="D317" s="49"/>
      <c r="E317" s="49"/>
      <c r="F317" s="80"/>
      <c r="G317" s="81"/>
      <c r="H317" s="81"/>
      <c r="I317" s="54"/>
      <c r="J317" s="54"/>
      <c r="K317" s="54"/>
      <c r="L317" s="72" t="s">
        <v>874</v>
      </c>
      <c r="M317" s="73" t="s">
        <v>875</v>
      </c>
      <c r="N317" s="73" t="s">
        <v>34</v>
      </c>
      <c r="O317" s="50">
        <v>6</v>
      </c>
      <c r="P317" s="97"/>
      <c r="Q317" s="50"/>
      <c r="R317" s="24"/>
      <c r="S317" s="166"/>
      <c r="U317" s="5"/>
      <c r="V317" s="5"/>
    </row>
    <row r="318" spans="1:22" ht="18.75" x14ac:dyDescent="0.25">
      <c r="A318" s="20"/>
      <c r="B318" s="25"/>
      <c r="C318" s="11"/>
      <c r="D318" s="49"/>
      <c r="E318" s="49"/>
      <c r="F318" s="80"/>
      <c r="G318" s="81"/>
      <c r="H318" s="81"/>
      <c r="I318" s="54"/>
      <c r="J318" s="54"/>
      <c r="K318" s="54"/>
      <c r="L318" s="72">
        <v>14995</v>
      </c>
      <c r="M318" s="73" t="s">
        <v>876</v>
      </c>
      <c r="N318" s="73" t="s">
        <v>34</v>
      </c>
      <c r="O318" s="50">
        <v>1</v>
      </c>
      <c r="P318" s="97"/>
      <c r="Q318" s="50"/>
      <c r="R318" s="24"/>
      <c r="S318" s="166"/>
      <c r="U318" s="5"/>
      <c r="V318" s="5"/>
    </row>
    <row r="319" spans="1:22" ht="18.75" x14ac:dyDescent="0.25">
      <c r="A319" s="20"/>
      <c r="B319" s="25"/>
      <c r="C319" s="11"/>
      <c r="D319" s="49"/>
      <c r="E319" s="49"/>
      <c r="F319" s="80"/>
      <c r="G319" s="81"/>
      <c r="H319" s="81"/>
      <c r="I319" s="54"/>
      <c r="J319" s="54"/>
      <c r="K319" s="54"/>
      <c r="L319" s="72">
        <v>14993</v>
      </c>
      <c r="M319" s="73" t="s">
        <v>877</v>
      </c>
      <c r="N319" s="73" t="s">
        <v>34</v>
      </c>
      <c r="O319" s="50">
        <v>1</v>
      </c>
      <c r="P319" s="97"/>
      <c r="Q319" s="50"/>
      <c r="R319" s="24"/>
      <c r="S319" s="166"/>
      <c r="U319" s="5"/>
      <c r="V319" s="5"/>
    </row>
    <row r="320" spans="1:22" ht="18.75" x14ac:dyDescent="0.25">
      <c r="A320" s="20"/>
      <c r="B320" s="25"/>
      <c r="C320" s="11"/>
      <c r="D320" s="49"/>
      <c r="E320" s="49"/>
      <c r="F320" s="80"/>
      <c r="G320" s="81"/>
      <c r="H320" s="81"/>
      <c r="I320" s="54"/>
      <c r="J320" s="54"/>
      <c r="K320" s="54"/>
      <c r="L320" s="72" t="s">
        <v>878</v>
      </c>
      <c r="M320" s="73" t="s">
        <v>879</v>
      </c>
      <c r="N320" s="73" t="s">
        <v>34</v>
      </c>
      <c r="O320" s="50">
        <v>3</v>
      </c>
      <c r="P320" s="97"/>
      <c r="Q320" s="50"/>
      <c r="R320" s="24"/>
      <c r="S320" s="166"/>
      <c r="U320" s="5"/>
      <c r="V320" s="5"/>
    </row>
    <row r="321" spans="1:22" ht="18.75" x14ac:dyDescent="0.25">
      <c r="A321" s="20"/>
      <c r="B321" s="25"/>
      <c r="C321" s="11"/>
      <c r="D321" s="49"/>
      <c r="E321" s="49"/>
      <c r="F321" s="80"/>
      <c r="G321" s="81"/>
      <c r="H321" s="81"/>
      <c r="I321" s="54"/>
      <c r="J321" s="54"/>
      <c r="K321" s="54"/>
      <c r="L321" s="72">
        <v>7594</v>
      </c>
      <c r="M321" s="73" t="s">
        <v>880</v>
      </c>
      <c r="N321" s="73" t="s">
        <v>34</v>
      </c>
      <c r="O321" s="50">
        <v>1</v>
      </c>
      <c r="P321" s="97"/>
      <c r="Q321" s="50"/>
      <c r="R321" s="24"/>
      <c r="S321" s="166"/>
      <c r="U321" s="5"/>
      <c r="V321" s="5"/>
    </row>
    <row r="322" spans="1:22" ht="18.75" x14ac:dyDescent="0.25">
      <c r="A322" s="20"/>
      <c r="B322" s="25"/>
      <c r="C322" s="11"/>
      <c r="D322" s="49"/>
      <c r="E322" s="49"/>
      <c r="F322" s="80"/>
      <c r="G322" s="81"/>
      <c r="H322" s="81"/>
      <c r="I322" s="54"/>
      <c r="J322" s="54"/>
      <c r="K322" s="54"/>
      <c r="L322" s="72">
        <v>21892</v>
      </c>
      <c r="M322" s="73" t="s">
        <v>97</v>
      </c>
      <c r="N322" s="73" t="s">
        <v>34</v>
      </c>
      <c r="O322" s="50">
        <v>3</v>
      </c>
      <c r="P322" s="97"/>
      <c r="Q322" s="50"/>
      <c r="R322" s="24"/>
      <c r="S322" s="166"/>
      <c r="U322" s="5"/>
      <c r="V322" s="5"/>
    </row>
    <row r="323" spans="1:22" ht="18.75" x14ac:dyDescent="0.25">
      <c r="A323" s="20"/>
      <c r="B323" s="25"/>
      <c r="C323" s="11"/>
      <c r="D323" s="49"/>
      <c r="E323" s="49"/>
      <c r="F323" s="80"/>
      <c r="G323" s="81"/>
      <c r="H323" s="81"/>
      <c r="I323" s="54"/>
      <c r="J323" s="54"/>
      <c r="K323" s="54"/>
      <c r="L323" s="72">
        <v>8068</v>
      </c>
      <c r="M323" s="73" t="s">
        <v>881</v>
      </c>
      <c r="N323" s="73" t="s">
        <v>34</v>
      </c>
      <c r="O323" s="50">
        <v>13</v>
      </c>
      <c r="P323" s="97"/>
      <c r="Q323" s="50"/>
      <c r="R323" s="24"/>
      <c r="S323" s="166"/>
      <c r="U323" s="5"/>
      <c r="V323" s="5"/>
    </row>
    <row r="324" spans="1:22" ht="18.75" x14ac:dyDescent="0.25">
      <c r="A324" s="20"/>
      <c r="B324" s="25"/>
      <c r="C324" s="11"/>
      <c r="D324" s="49"/>
      <c r="E324" s="49"/>
      <c r="F324" s="80"/>
      <c r="G324" s="81"/>
      <c r="H324" s="81"/>
      <c r="I324" s="54"/>
      <c r="J324" s="54"/>
      <c r="K324" s="54"/>
      <c r="L324" s="72" t="s">
        <v>882</v>
      </c>
      <c r="M324" s="73" t="s">
        <v>883</v>
      </c>
      <c r="N324" s="73" t="s">
        <v>34</v>
      </c>
      <c r="O324" s="50">
        <v>1</v>
      </c>
      <c r="P324" s="97"/>
      <c r="Q324" s="50"/>
      <c r="R324" s="24"/>
      <c r="S324" s="166"/>
      <c r="U324" s="5"/>
      <c r="V324" s="5"/>
    </row>
    <row r="325" spans="1:22" ht="18.75" x14ac:dyDescent="0.25">
      <c r="A325" s="20"/>
      <c r="B325" s="25"/>
      <c r="C325" s="11"/>
      <c r="D325" s="49"/>
      <c r="E325" s="49"/>
      <c r="F325" s="80"/>
      <c r="G325" s="81"/>
      <c r="H325" s="81"/>
      <c r="I325" s="54"/>
      <c r="J325" s="54"/>
      <c r="K325" s="54"/>
      <c r="L325" s="72">
        <v>9223</v>
      </c>
      <c r="M325" s="73" t="s">
        <v>884</v>
      </c>
      <c r="N325" s="73" t="s">
        <v>34</v>
      </c>
      <c r="O325" s="50">
        <v>2</v>
      </c>
      <c r="P325" s="97"/>
      <c r="Q325" s="50"/>
      <c r="R325" s="24"/>
      <c r="S325" s="166"/>
      <c r="U325" s="5"/>
      <c r="V325" s="5"/>
    </row>
    <row r="326" spans="1:22" ht="18.75" x14ac:dyDescent="0.25">
      <c r="A326" s="20"/>
      <c r="B326" s="25"/>
      <c r="C326" s="11"/>
      <c r="D326" s="49"/>
      <c r="E326" s="49"/>
      <c r="F326" s="80"/>
      <c r="G326" s="81"/>
      <c r="H326" s="81"/>
      <c r="I326" s="54"/>
      <c r="J326" s="54"/>
      <c r="K326" s="54"/>
      <c r="L326" s="72">
        <v>14443</v>
      </c>
      <c r="M326" s="73" t="s">
        <v>885</v>
      </c>
      <c r="N326" s="73" t="s">
        <v>34</v>
      </c>
      <c r="O326" s="50">
        <v>1</v>
      </c>
      <c r="P326" s="97"/>
      <c r="Q326" s="50"/>
      <c r="R326" s="24"/>
      <c r="S326" s="166"/>
      <c r="U326" s="5"/>
      <c r="V326" s="5"/>
    </row>
    <row r="327" spans="1:22" ht="18.75" x14ac:dyDescent="0.25">
      <c r="A327" s="20"/>
      <c r="B327" s="25"/>
      <c r="C327" s="11"/>
      <c r="D327" s="49"/>
      <c r="E327" s="49"/>
      <c r="F327" s="80"/>
      <c r="G327" s="81"/>
      <c r="H327" s="81"/>
      <c r="I327" s="54"/>
      <c r="J327" s="54"/>
      <c r="K327" s="54"/>
      <c r="L327" s="72">
        <v>511</v>
      </c>
      <c r="M327" s="73" t="s">
        <v>886</v>
      </c>
      <c r="N327" s="73" t="s">
        <v>34</v>
      </c>
      <c r="O327" s="50">
        <v>2</v>
      </c>
      <c r="P327" s="97"/>
      <c r="Q327" s="50"/>
      <c r="R327" s="24"/>
      <c r="S327" s="166"/>
      <c r="U327" s="5"/>
      <c r="V327" s="5"/>
    </row>
    <row r="328" spans="1:22" ht="18.75" x14ac:dyDescent="0.25">
      <c r="A328" s="20"/>
      <c r="B328" s="25"/>
      <c r="C328" s="11"/>
      <c r="D328" s="49"/>
      <c r="E328" s="49"/>
      <c r="F328" s="80"/>
      <c r="G328" s="81"/>
      <c r="H328" s="81"/>
      <c r="I328" s="54"/>
      <c r="J328" s="54"/>
      <c r="K328" s="54"/>
      <c r="L328" s="72" t="s">
        <v>710</v>
      </c>
      <c r="M328" s="73" t="s">
        <v>711</v>
      </c>
      <c r="N328" s="73" t="s">
        <v>34</v>
      </c>
      <c r="O328" s="50">
        <v>1</v>
      </c>
      <c r="P328" s="97"/>
      <c r="Q328" s="50"/>
      <c r="R328" s="24"/>
      <c r="S328" s="166"/>
      <c r="U328" s="5"/>
      <c r="V328" s="5"/>
    </row>
    <row r="329" spans="1:22" ht="18.75" x14ac:dyDescent="0.25">
      <c r="A329" s="20"/>
      <c r="B329" s="25"/>
      <c r="C329" s="11"/>
      <c r="D329" s="49"/>
      <c r="E329" s="49"/>
      <c r="F329" s="80"/>
      <c r="G329" s="81"/>
      <c r="H329" s="81"/>
      <c r="I329" s="54"/>
      <c r="J329" s="54"/>
      <c r="K329" s="54"/>
      <c r="L329" s="72">
        <v>4664</v>
      </c>
      <c r="M329" s="73" t="s">
        <v>887</v>
      </c>
      <c r="N329" s="73" t="s">
        <v>34</v>
      </c>
      <c r="O329" s="50">
        <v>4</v>
      </c>
      <c r="P329" s="97"/>
      <c r="Q329" s="50"/>
      <c r="R329" s="24"/>
      <c r="S329" s="166"/>
      <c r="U329" s="5"/>
      <c r="V329" s="5"/>
    </row>
    <row r="330" spans="1:22" ht="18.75" x14ac:dyDescent="0.25">
      <c r="A330" s="20"/>
      <c r="B330" s="25"/>
      <c r="C330" s="11"/>
      <c r="D330" s="49"/>
      <c r="E330" s="49"/>
      <c r="F330" s="80"/>
      <c r="G330" s="81"/>
      <c r="H330" s="81"/>
      <c r="I330" s="54"/>
      <c r="J330" s="54"/>
      <c r="K330" s="54"/>
      <c r="L330" s="72" t="s">
        <v>888</v>
      </c>
      <c r="M330" s="73" t="s">
        <v>889</v>
      </c>
      <c r="N330" s="73" t="s">
        <v>34</v>
      </c>
      <c r="O330" s="50">
        <v>8</v>
      </c>
      <c r="P330" s="97"/>
      <c r="Q330" s="50"/>
      <c r="R330" s="24"/>
      <c r="S330" s="166"/>
      <c r="U330" s="5"/>
      <c r="V330" s="5"/>
    </row>
    <row r="331" spans="1:22" ht="18.75" x14ac:dyDescent="0.25">
      <c r="A331" s="20"/>
      <c r="B331" s="25"/>
      <c r="C331" s="11"/>
      <c r="D331" s="49"/>
      <c r="E331" s="49"/>
      <c r="F331" s="80"/>
      <c r="G331" s="81"/>
      <c r="H331" s="81"/>
      <c r="I331" s="54"/>
      <c r="J331" s="54"/>
      <c r="K331" s="54"/>
      <c r="L331" s="72">
        <v>2294</v>
      </c>
      <c r="M331" s="73" t="s">
        <v>891</v>
      </c>
      <c r="N331" s="73" t="s">
        <v>34</v>
      </c>
      <c r="O331" s="50">
        <v>1</v>
      </c>
      <c r="P331" s="97"/>
      <c r="Q331" s="50"/>
      <c r="R331" s="24"/>
      <c r="S331" s="166"/>
      <c r="U331" s="5"/>
      <c r="V331" s="5"/>
    </row>
    <row r="332" spans="1:22" ht="18.75" x14ac:dyDescent="0.25">
      <c r="A332" s="20"/>
      <c r="B332" s="25"/>
      <c r="C332" s="11"/>
      <c r="D332" s="49"/>
      <c r="E332" s="49"/>
      <c r="F332" s="80"/>
      <c r="G332" s="81"/>
      <c r="H332" s="81"/>
      <c r="I332" s="54"/>
      <c r="J332" s="54"/>
      <c r="K332" s="54"/>
      <c r="L332" s="72">
        <v>3828</v>
      </c>
      <c r="M332" s="73" t="s">
        <v>892</v>
      </c>
      <c r="N332" s="73" t="s">
        <v>34</v>
      </c>
      <c r="O332" s="50">
        <v>1</v>
      </c>
      <c r="P332" s="97"/>
      <c r="Q332" s="50"/>
      <c r="R332" s="24"/>
      <c r="S332" s="166"/>
      <c r="U332" s="5"/>
      <c r="V332" s="5"/>
    </row>
    <row r="333" spans="1:22" ht="19.5" thickBot="1" x14ac:dyDescent="0.3">
      <c r="A333" s="20"/>
      <c r="B333" s="25"/>
      <c r="C333" s="11"/>
      <c r="D333" s="49"/>
      <c r="E333" s="49"/>
      <c r="F333" s="80"/>
      <c r="G333" s="81"/>
      <c r="H333" s="81"/>
      <c r="I333" s="54"/>
      <c r="J333" s="54"/>
      <c r="K333" s="54"/>
      <c r="L333" s="72" t="s">
        <v>895</v>
      </c>
      <c r="M333" s="73" t="s">
        <v>896</v>
      </c>
      <c r="N333" s="73" t="s">
        <v>34</v>
      </c>
      <c r="O333" s="50">
        <v>1</v>
      </c>
      <c r="P333" s="97"/>
      <c r="Q333" s="50"/>
      <c r="R333" s="24"/>
      <c r="S333" s="166"/>
      <c r="U333" s="5"/>
      <c r="V333" s="5"/>
    </row>
    <row r="334" spans="1:22" ht="21.75" thickBot="1" x14ac:dyDescent="0.3">
      <c r="A334" s="33"/>
      <c r="B334" s="34" t="s">
        <v>29</v>
      </c>
      <c r="C334" s="35"/>
      <c r="D334" s="36">
        <f>SUM(D250:D333)</f>
        <v>0</v>
      </c>
      <c r="E334" s="36"/>
      <c r="F334" s="76"/>
      <c r="G334" s="76"/>
      <c r="H334" s="76"/>
      <c r="I334" s="76"/>
      <c r="J334" s="76"/>
      <c r="K334" s="76"/>
      <c r="L334" s="37"/>
      <c r="M334" s="38"/>
      <c r="N334" s="38"/>
      <c r="O334" s="39">
        <f>SUM(O251:O333)</f>
        <v>184</v>
      </c>
      <c r="P334" s="97"/>
      <c r="Q334" s="183">
        <f>SUM(Q251:Q333)</f>
        <v>0</v>
      </c>
      <c r="R334" s="184"/>
      <c r="S334" s="165"/>
      <c r="U334" s="5"/>
      <c r="V334" s="5"/>
    </row>
    <row r="335" spans="1:22" ht="21.75" thickBot="1" x14ac:dyDescent="0.3">
      <c r="A335" s="41"/>
      <c r="B335" s="42" t="s">
        <v>30</v>
      </c>
      <c r="C335" s="43"/>
      <c r="D335" s="44">
        <f>D250+D334</f>
        <v>0</v>
      </c>
      <c r="E335" s="44"/>
      <c r="F335" s="78"/>
      <c r="G335" s="78"/>
      <c r="H335" s="78"/>
      <c r="I335" s="78"/>
      <c r="J335" s="78"/>
      <c r="K335" s="78"/>
      <c r="L335" s="45"/>
      <c r="M335" s="46"/>
      <c r="N335" s="46"/>
      <c r="O335" s="47">
        <f>O250+O334</f>
        <v>184</v>
      </c>
      <c r="P335" s="97"/>
      <c r="Q335" s="183">
        <f>Q250+Q334</f>
        <v>0</v>
      </c>
      <c r="R335" s="184"/>
      <c r="S335" s="167"/>
    </row>
    <row r="336" spans="1:22" ht="25.15" customHeight="1" thickBot="1" x14ac:dyDescent="0.3">
      <c r="A336" s="158" t="s">
        <v>12</v>
      </c>
      <c r="B336" s="158"/>
      <c r="C336" s="158"/>
      <c r="D336" s="158"/>
      <c r="E336" s="158"/>
      <c r="F336" s="158"/>
      <c r="G336" s="158"/>
      <c r="H336" s="158"/>
      <c r="I336" s="158"/>
      <c r="J336" s="158"/>
      <c r="K336" s="158"/>
    </row>
    <row r="337" spans="1:19" ht="25.15" customHeight="1" x14ac:dyDescent="0.35">
      <c r="A337" s="155" t="s">
        <v>13</v>
      </c>
      <c r="B337" s="155"/>
      <c r="C337" s="155"/>
      <c r="D337" s="155"/>
      <c r="E337" s="155"/>
      <c r="F337" s="155"/>
      <c r="G337" s="155"/>
      <c r="H337" s="155"/>
      <c r="I337" s="155"/>
      <c r="J337" s="155"/>
      <c r="K337" s="155"/>
      <c r="L337" s="158"/>
      <c r="M337" s="158"/>
      <c r="N337" s="158"/>
      <c r="O337" s="142"/>
      <c r="P337" s="198"/>
      <c r="Q337" s="185"/>
      <c r="R337" s="186"/>
      <c r="S337" s="6"/>
    </row>
    <row r="338" spans="1:19" ht="25.15" customHeight="1" x14ac:dyDescent="0.35">
      <c r="A338" s="156" t="s">
        <v>14</v>
      </c>
      <c r="B338" s="156"/>
      <c r="C338" s="156"/>
      <c r="D338" s="156"/>
      <c r="E338" s="156"/>
      <c r="F338" s="156"/>
      <c r="G338" s="156"/>
      <c r="H338" s="156"/>
      <c r="I338" s="156"/>
      <c r="J338" s="156"/>
      <c r="K338" s="156"/>
      <c r="L338" s="155"/>
      <c r="M338" s="155"/>
      <c r="N338" s="155"/>
      <c r="O338" s="142"/>
      <c r="P338" s="198"/>
      <c r="Q338" s="185"/>
      <c r="R338" s="186"/>
      <c r="S338" s="6"/>
    </row>
    <row r="339" spans="1:19" ht="25.15" customHeight="1" x14ac:dyDescent="0.35">
      <c r="A339" s="155" t="s">
        <v>15</v>
      </c>
      <c r="B339" s="155"/>
      <c r="C339" s="155"/>
      <c r="D339" s="155"/>
      <c r="E339" s="155"/>
      <c r="F339" s="155"/>
      <c r="G339" s="155"/>
      <c r="H339" s="155"/>
      <c r="I339" s="155"/>
      <c r="J339" s="155"/>
      <c r="K339" s="155"/>
      <c r="L339" s="156"/>
      <c r="M339" s="156"/>
      <c r="N339" s="156"/>
      <c r="O339" s="143"/>
      <c r="P339" s="198"/>
      <c r="Q339" s="187"/>
      <c r="R339" s="186"/>
      <c r="S339" s="6"/>
    </row>
    <row r="340" spans="1:19" ht="25.15" customHeight="1" x14ac:dyDescent="0.35">
      <c r="A340" s="155" t="s">
        <v>16</v>
      </c>
      <c r="B340" s="155"/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42"/>
      <c r="P340" s="198"/>
      <c r="Q340" s="185"/>
      <c r="R340" s="186"/>
      <c r="S340" s="6"/>
    </row>
    <row r="341" spans="1:19" ht="25.15" customHeight="1" x14ac:dyDescent="0.35">
      <c r="A341" s="155" t="s">
        <v>17</v>
      </c>
      <c r="B341" s="155"/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42"/>
      <c r="P341" s="198"/>
      <c r="Q341" s="185"/>
      <c r="R341" s="186"/>
      <c r="S341" s="6"/>
    </row>
    <row r="342" spans="1:19" ht="25.15" customHeight="1" x14ac:dyDescent="0.35">
      <c r="A342" s="155" t="s">
        <v>18</v>
      </c>
      <c r="B342" s="155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42"/>
      <c r="P342" s="198"/>
      <c r="Q342" s="185"/>
      <c r="R342" s="186"/>
      <c r="S342" s="6"/>
    </row>
    <row r="343" spans="1:19" ht="25.15" customHeight="1" x14ac:dyDescent="0.35">
      <c r="A343" s="155" t="s">
        <v>17</v>
      </c>
      <c r="B343" s="155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42"/>
      <c r="P343" s="198"/>
      <c r="Q343" s="185"/>
      <c r="R343" s="186"/>
      <c r="S343" s="6"/>
    </row>
    <row r="344" spans="1:19" ht="25.15" customHeight="1" x14ac:dyDescent="0.35">
      <c r="A344" s="155" t="s">
        <v>19</v>
      </c>
      <c r="B344" s="155"/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42"/>
      <c r="P344" s="198"/>
      <c r="Q344" s="185"/>
      <c r="R344" s="186"/>
      <c r="S344" s="6"/>
    </row>
    <row r="345" spans="1:19" ht="25.15" customHeight="1" x14ac:dyDescent="0.35">
      <c r="A345" s="155" t="s">
        <v>11</v>
      </c>
      <c r="B345" s="155"/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42"/>
      <c r="P345" s="198"/>
      <c r="Q345" s="185"/>
      <c r="R345" s="186"/>
      <c r="S345" s="6"/>
    </row>
    <row r="346" spans="1:19" ht="25.15" customHeight="1" x14ac:dyDescent="0.35">
      <c r="A346" s="155" t="s">
        <v>32</v>
      </c>
      <c r="B346" s="155"/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42"/>
      <c r="P346" s="198"/>
      <c r="Q346" s="185"/>
      <c r="R346" s="186"/>
      <c r="S346" s="6"/>
    </row>
    <row r="347" spans="1:19" ht="25.15" customHeight="1" x14ac:dyDescent="0.35">
      <c r="A347" s="148" t="s">
        <v>31</v>
      </c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55"/>
      <c r="M347" s="155"/>
      <c r="N347" s="155"/>
      <c r="O347" s="142"/>
      <c r="P347" s="198"/>
      <c r="Q347" s="185"/>
      <c r="R347" s="186"/>
      <c r="S347" s="6"/>
    </row>
    <row r="348" spans="1:19" ht="36" customHeight="1" x14ac:dyDescent="0.35">
      <c r="L348" s="148"/>
      <c r="M348" s="148"/>
      <c r="N348" s="148"/>
      <c r="O348" s="154"/>
      <c r="P348" s="198"/>
      <c r="Q348" s="188"/>
      <c r="R348" s="186"/>
      <c r="S348" s="6"/>
    </row>
  </sheetData>
  <autoFilter ref="L250:O347" xr:uid="{8B2A3F78-1A76-4777-981C-AB0C7401309B}"/>
  <mergeCells count="24">
    <mergeCell ref="A11:R11"/>
    <mergeCell ref="M1:R2"/>
    <mergeCell ref="M4:R4"/>
    <mergeCell ref="M5:R5"/>
    <mergeCell ref="M7:R7"/>
    <mergeCell ref="A10:R10"/>
    <mergeCell ref="A16:A17"/>
    <mergeCell ref="B16:B17"/>
    <mergeCell ref="C16:C17"/>
    <mergeCell ref="D16:D17"/>
    <mergeCell ref="E16:E17"/>
    <mergeCell ref="A12:R12"/>
    <mergeCell ref="A13:R13"/>
    <mergeCell ref="A14:Q14"/>
    <mergeCell ref="A15:K15"/>
    <mergeCell ref="L15:R15"/>
    <mergeCell ref="M16:Q16"/>
    <mergeCell ref="R16:R17"/>
    <mergeCell ref="F16:F17"/>
    <mergeCell ref="G16:G17"/>
    <mergeCell ref="H16:H17"/>
    <mergeCell ref="I16:I17"/>
    <mergeCell ref="J16:J17"/>
    <mergeCell ref="K16:K17"/>
  </mergeCells>
  <conditionalFormatting sqref="T1:T1048576">
    <cfRule type="cellIs" dxfId="4" priority="2" operator="lessThan">
      <formula>0</formula>
    </cfRule>
  </conditionalFormatting>
  <conditionalFormatting sqref="P19:P335">
    <cfRule type="cellIs" dxfId="3" priority="1" operator="equal">
      <formula>0</formula>
    </cfRule>
  </conditionalFormatting>
  <pageMargins left="0.25" right="0.25" top="0.75" bottom="0.75" header="0.3" footer="0.3"/>
  <pageSetup paperSize="9" scale="28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DC49-5237-4EDE-948E-C800F2FA78AD}">
  <sheetPr>
    <tabColor rgb="FFFFFF00"/>
    <pageSetUpPr fitToPage="1"/>
  </sheetPr>
  <dimension ref="A1:AI347"/>
  <sheetViews>
    <sheetView topLeftCell="A310" zoomScale="70" zoomScaleNormal="70" workbookViewId="0">
      <selection activeCell="AA233" sqref="AA233"/>
    </sheetView>
  </sheetViews>
  <sheetFormatPr defaultRowHeight="15" x14ac:dyDescent="0.25"/>
  <cols>
    <col min="1" max="1" width="6.7109375" style="147" customWidth="1"/>
    <col min="2" max="2" width="63.140625" customWidth="1"/>
    <col min="3" max="3" width="10.42578125" style="147" customWidth="1"/>
    <col min="4" max="4" width="11.140625" style="147" customWidth="1"/>
    <col min="5" max="5" width="13.140625" style="147" customWidth="1"/>
    <col min="6" max="6" width="20.140625" style="147" customWidth="1"/>
    <col min="7" max="11" width="13.140625" style="147" customWidth="1"/>
    <col min="12" max="12" width="17.28515625" style="147" customWidth="1"/>
    <col min="13" max="13" width="61" customWidth="1"/>
    <col min="14" max="14" width="11.7109375" style="5" customWidth="1"/>
    <col min="15" max="15" width="14" style="5" customWidth="1"/>
    <col min="16" max="16" width="11.7109375" style="5" customWidth="1"/>
    <col min="17" max="17" width="15.42578125" style="189" bestFit="1" customWidth="1"/>
    <col min="18" max="18" width="35.42578125" style="182" customWidth="1"/>
    <col min="19" max="19" width="13" customWidth="1"/>
    <col min="20" max="20" width="12.140625" bestFit="1" customWidth="1"/>
    <col min="22" max="22" width="9.85546875" bestFit="1" customWidth="1"/>
  </cols>
  <sheetData>
    <row r="1" spans="1:21" ht="15.75" customHeight="1" x14ac:dyDescent="0.25">
      <c r="A1" s="2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236" t="s">
        <v>26</v>
      </c>
      <c r="N1" s="236"/>
      <c r="O1" s="236"/>
      <c r="P1" s="236"/>
      <c r="Q1" s="236"/>
      <c r="R1" s="236"/>
      <c r="S1" s="150"/>
      <c r="T1" s="18"/>
      <c r="U1" s="18"/>
    </row>
    <row r="2" spans="1:21" ht="15" customHeight="1" x14ac:dyDescent="0.25">
      <c r="A2" s="2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237"/>
      <c r="N2" s="237"/>
      <c r="O2" s="237"/>
      <c r="P2" s="237"/>
      <c r="Q2" s="237"/>
      <c r="R2" s="237"/>
      <c r="S2" s="159"/>
      <c r="T2" s="18"/>
      <c r="U2" s="18"/>
    </row>
    <row r="3" spans="1:21" ht="15.75" x14ac:dyDescent="0.25">
      <c r="A3" s="2"/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151"/>
      <c r="N3" s="151"/>
      <c r="O3" s="151"/>
      <c r="P3" s="151"/>
      <c r="Q3" s="178"/>
      <c r="R3" s="178"/>
      <c r="S3" s="159"/>
      <c r="T3" s="18"/>
      <c r="U3" s="18"/>
    </row>
    <row r="4" spans="1:21" ht="23.25" x14ac:dyDescent="0.35">
      <c r="A4" s="2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240" t="s">
        <v>27</v>
      </c>
      <c r="N4" s="240"/>
      <c r="O4" s="240"/>
      <c r="P4" s="240"/>
      <c r="Q4" s="240"/>
      <c r="R4" s="240"/>
      <c r="S4" s="160"/>
      <c r="T4" s="18"/>
      <c r="U4" s="18"/>
    </row>
    <row r="5" spans="1:21" ht="21" x14ac:dyDescent="0.35">
      <c r="A5" s="2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241" t="s">
        <v>28</v>
      </c>
      <c r="N5" s="241"/>
      <c r="O5" s="241"/>
      <c r="P5" s="241"/>
      <c r="Q5" s="241"/>
      <c r="R5" s="241"/>
      <c r="S5" s="154"/>
      <c r="T5" s="18"/>
      <c r="U5" s="18"/>
    </row>
    <row r="6" spans="1:21" ht="15.75" x14ac:dyDescent="0.25">
      <c r="A6" s="2"/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2"/>
      <c r="N6" s="14"/>
      <c r="O6" s="14"/>
      <c r="P6" s="15"/>
      <c r="Q6" s="179"/>
      <c r="R6" s="180"/>
      <c r="S6" s="17"/>
      <c r="T6" s="18"/>
      <c r="U6" s="18"/>
    </row>
    <row r="7" spans="1:21" ht="18.75" x14ac:dyDescent="0.3">
      <c r="A7" s="2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238" t="s">
        <v>33</v>
      </c>
      <c r="N7" s="238"/>
      <c r="O7" s="238"/>
      <c r="P7" s="238"/>
      <c r="Q7" s="238"/>
      <c r="R7" s="238"/>
      <c r="S7" s="152"/>
      <c r="T7" s="18"/>
      <c r="U7" s="18"/>
    </row>
    <row r="8" spans="1:21" ht="15.75" x14ac:dyDescent="0.25">
      <c r="A8" s="2"/>
      <c r="B8" s="1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181"/>
      <c r="T8" s="18"/>
      <c r="U8" s="18"/>
    </row>
    <row r="9" spans="1:21" ht="15.75" x14ac:dyDescent="0.25">
      <c r="A9" s="2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181"/>
      <c r="T9" s="18"/>
      <c r="U9" s="18"/>
    </row>
    <row r="10" spans="1:21" ht="18" customHeight="1" x14ac:dyDescent="0.25">
      <c r="A10" s="239" t="s">
        <v>0</v>
      </c>
      <c r="B10" s="239"/>
      <c r="C10" s="239"/>
      <c r="D10" s="239"/>
      <c r="E10" s="239"/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153"/>
      <c r="T10" s="18"/>
      <c r="U10" s="18"/>
    </row>
    <row r="11" spans="1:21" ht="18" customHeight="1" x14ac:dyDescent="0.25">
      <c r="A11" s="239" t="s">
        <v>1</v>
      </c>
      <c r="B11" s="239"/>
      <c r="C11" s="239"/>
      <c r="D11" s="239"/>
      <c r="E11" s="239"/>
      <c r="F11" s="239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39"/>
      <c r="R11" s="239"/>
      <c r="S11" s="153"/>
      <c r="T11" s="18"/>
      <c r="U11" s="18"/>
    </row>
    <row r="12" spans="1:21" ht="18" customHeight="1" x14ac:dyDescent="0.25">
      <c r="A12" s="239" t="s">
        <v>2</v>
      </c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153"/>
      <c r="T12" s="18"/>
      <c r="U12" s="18"/>
    </row>
    <row r="13" spans="1:21" ht="63.6" customHeight="1" x14ac:dyDescent="0.25">
      <c r="A13" s="234" t="s">
        <v>775</v>
      </c>
      <c r="B13" s="235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149"/>
    </row>
    <row r="14" spans="1:21" ht="27" customHeight="1" thickBot="1" x14ac:dyDescent="0.3">
      <c r="A14" s="242" t="s">
        <v>36</v>
      </c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2"/>
      <c r="Q14" s="242"/>
    </row>
    <row r="15" spans="1:21" ht="30.6" customHeight="1" thickBot="1" x14ac:dyDescent="0.3">
      <c r="A15" s="243" t="s">
        <v>24</v>
      </c>
      <c r="B15" s="244"/>
      <c r="C15" s="244"/>
      <c r="D15" s="244"/>
      <c r="E15" s="244"/>
      <c r="F15" s="244"/>
      <c r="G15" s="244"/>
      <c r="H15" s="244"/>
      <c r="I15" s="244"/>
      <c r="J15" s="244"/>
      <c r="K15" s="244"/>
      <c r="L15" s="245" t="s">
        <v>25</v>
      </c>
      <c r="M15" s="246"/>
      <c r="N15" s="246"/>
      <c r="O15" s="246"/>
      <c r="P15" s="246"/>
      <c r="Q15" s="246"/>
      <c r="R15" s="247"/>
      <c r="S15" s="161"/>
    </row>
    <row r="16" spans="1:21" ht="15" customHeight="1" x14ac:dyDescent="0.25">
      <c r="A16" s="259" t="s">
        <v>3</v>
      </c>
      <c r="B16" s="261" t="s">
        <v>4</v>
      </c>
      <c r="C16" s="261"/>
      <c r="D16" s="248" t="s">
        <v>5</v>
      </c>
      <c r="E16" s="261" t="s">
        <v>6</v>
      </c>
      <c r="F16" s="263"/>
      <c r="G16" s="248"/>
      <c r="H16" s="248"/>
      <c r="I16" s="251"/>
      <c r="J16" s="248" t="s">
        <v>21</v>
      </c>
      <c r="K16" s="253" t="s">
        <v>22</v>
      </c>
      <c r="L16" s="21"/>
      <c r="M16" s="256" t="s">
        <v>7</v>
      </c>
      <c r="N16" s="257"/>
      <c r="O16" s="257"/>
      <c r="P16" s="257"/>
      <c r="Q16" s="258"/>
      <c r="R16" s="253" t="s">
        <v>8</v>
      </c>
      <c r="S16" s="162"/>
    </row>
    <row r="17" spans="1:19" ht="34.15" customHeight="1" x14ac:dyDescent="0.25">
      <c r="A17" s="260"/>
      <c r="B17" s="262"/>
      <c r="C17" s="262"/>
      <c r="D17" s="249"/>
      <c r="E17" s="262"/>
      <c r="F17" s="249"/>
      <c r="G17" s="249"/>
      <c r="H17" s="249"/>
      <c r="I17" s="252"/>
      <c r="J17" s="249"/>
      <c r="K17" s="254"/>
      <c r="L17" s="22" t="s">
        <v>20</v>
      </c>
      <c r="M17" s="19" t="s">
        <v>9</v>
      </c>
      <c r="N17" s="23" t="s">
        <v>10</v>
      </c>
      <c r="O17" s="12" t="s">
        <v>6</v>
      </c>
      <c r="P17" s="13" t="s">
        <v>21</v>
      </c>
      <c r="Q17" s="13" t="s">
        <v>22</v>
      </c>
      <c r="R17" s="254"/>
      <c r="S17" s="162"/>
    </row>
    <row r="18" spans="1:19" ht="15.75" thickBot="1" x14ac:dyDescent="0.3">
      <c r="A18" s="26">
        <v>1</v>
      </c>
      <c r="B18" s="27">
        <v>2</v>
      </c>
      <c r="C18" s="27"/>
      <c r="D18" s="27">
        <v>3</v>
      </c>
      <c r="E18" s="27">
        <v>4</v>
      </c>
      <c r="F18" s="27"/>
      <c r="G18" s="27"/>
      <c r="H18" s="27"/>
      <c r="I18" s="79"/>
      <c r="J18" s="27">
        <v>5</v>
      </c>
      <c r="K18" s="28">
        <v>6</v>
      </c>
      <c r="L18" s="88">
        <v>7</v>
      </c>
      <c r="M18" s="12">
        <v>8</v>
      </c>
      <c r="N18" s="12">
        <v>9</v>
      </c>
      <c r="O18" s="12">
        <v>10</v>
      </c>
      <c r="P18" s="19">
        <v>11</v>
      </c>
      <c r="Q18" s="19" t="s">
        <v>752</v>
      </c>
      <c r="R18" s="102" t="s">
        <v>753</v>
      </c>
      <c r="S18" s="163"/>
    </row>
    <row r="19" spans="1:19" ht="33.6" customHeight="1" x14ac:dyDescent="0.25">
      <c r="A19" s="65"/>
      <c r="B19" s="85" t="s">
        <v>776</v>
      </c>
      <c r="C19" s="85"/>
      <c r="D19" s="85" t="s">
        <v>34</v>
      </c>
      <c r="E19" s="85">
        <v>1</v>
      </c>
      <c r="F19" s="74"/>
      <c r="G19" s="74"/>
      <c r="H19" s="74"/>
      <c r="I19" s="74"/>
      <c r="J19" s="74"/>
      <c r="K19" s="74"/>
      <c r="L19" s="68" t="s">
        <v>519</v>
      </c>
      <c r="M19" s="57" t="s">
        <v>162</v>
      </c>
      <c r="N19" s="70" t="s">
        <v>34</v>
      </c>
      <c r="O19" s="70">
        <v>1</v>
      </c>
      <c r="P19" s="97"/>
      <c r="Q19" s="97"/>
      <c r="R19" s="101"/>
      <c r="S19" s="164"/>
    </row>
    <row r="20" spans="1:19" ht="15.75" x14ac:dyDescent="0.25">
      <c r="A20" s="56"/>
      <c r="B20" s="64"/>
      <c r="C20" s="52"/>
      <c r="D20" s="66"/>
      <c r="E20" s="67"/>
      <c r="F20" s="80"/>
      <c r="G20" s="81"/>
      <c r="H20" s="81"/>
      <c r="I20" s="53"/>
      <c r="J20" s="53"/>
      <c r="K20" s="53"/>
      <c r="L20" s="86" t="s">
        <v>271</v>
      </c>
      <c r="M20" s="87" t="s">
        <v>272</v>
      </c>
      <c r="N20" s="55" t="s">
        <v>34</v>
      </c>
      <c r="O20" s="89">
        <v>6</v>
      </c>
      <c r="P20" s="97"/>
      <c r="Q20" s="89"/>
      <c r="R20" s="89"/>
      <c r="S20" s="164"/>
    </row>
    <row r="21" spans="1:19" ht="15.75" x14ac:dyDescent="0.25">
      <c r="A21" s="56"/>
      <c r="B21" s="64"/>
      <c r="C21" s="52"/>
      <c r="D21" s="66"/>
      <c r="E21" s="67"/>
      <c r="F21" s="80"/>
      <c r="G21" s="81"/>
      <c r="H21" s="81"/>
      <c r="I21" s="53"/>
      <c r="J21" s="53"/>
      <c r="K21" s="53"/>
      <c r="L21" s="86" t="s">
        <v>58</v>
      </c>
      <c r="M21" s="87" t="s">
        <v>67</v>
      </c>
      <c r="N21" s="55" t="s">
        <v>34</v>
      </c>
      <c r="O21" s="89">
        <v>16</v>
      </c>
      <c r="P21" s="97"/>
      <c r="Q21" s="89"/>
      <c r="R21" s="89"/>
      <c r="S21" s="164"/>
    </row>
    <row r="22" spans="1:19" ht="31.5" x14ac:dyDescent="0.25">
      <c r="A22" s="56"/>
      <c r="B22" s="64"/>
      <c r="C22" s="52"/>
      <c r="D22" s="66"/>
      <c r="E22" s="67"/>
      <c r="F22" s="80"/>
      <c r="G22" s="81"/>
      <c r="H22" s="81"/>
      <c r="I22" s="53"/>
      <c r="J22" s="53"/>
      <c r="K22" s="53"/>
      <c r="L22" s="86" t="s">
        <v>273</v>
      </c>
      <c r="M22" s="87" t="s">
        <v>274</v>
      </c>
      <c r="N22" s="113" t="s">
        <v>34</v>
      </c>
      <c r="O22" s="89">
        <v>3</v>
      </c>
      <c r="P22" s="97"/>
      <c r="Q22" s="89"/>
      <c r="R22" s="89"/>
      <c r="S22" s="164"/>
    </row>
    <row r="23" spans="1:19" ht="15.75" x14ac:dyDescent="0.25">
      <c r="A23" s="58"/>
      <c r="B23" s="59"/>
      <c r="C23" s="59"/>
      <c r="D23" s="59"/>
      <c r="E23" s="60"/>
      <c r="F23" s="80"/>
      <c r="G23" s="81"/>
      <c r="H23" s="81"/>
      <c r="I23" s="53"/>
      <c r="J23" s="75"/>
      <c r="K23" s="75"/>
      <c r="L23" s="86" t="s">
        <v>275</v>
      </c>
      <c r="M23" s="61" t="s">
        <v>276</v>
      </c>
      <c r="N23" s="113" t="s">
        <v>34</v>
      </c>
      <c r="O23" s="62">
        <v>1</v>
      </c>
      <c r="P23" s="97"/>
      <c r="Q23" s="62"/>
      <c r="R23" s="62"/>
      <c r="S23" s="164"/>
    </row>
    <row r="24" spans="1:19" ht="15.75" x14ac:dyDescent="0.25">
      <c r="A24" s="58"/>
      <c r="B24" s="59"/>
      <c r="C24" s="59"/>
      <c r="D24" s="59"/>
      <c r="E24" s="60"/>
      <c r="F24" s="80"/>
      <c r="G24" s="81"/>
      <c r="H24" s="81"/>
      <c r="I24" s="53"/>
      <c r="J24" s="75"/>
      <c r="K24" s="75"/>
      <c r="L24" s="63">
        <v>355</v>
      </c>
      <c r="M24" s="61" t="s">
        <v>163</v>
      </c>
      <c r="N24" s="113" t="s">
        <v>34</v>
      </c>
      <c r="O24" s="62">
        <v>1</v>
      </c>
      <c r="P24" s="97"/>
      <c r="Q24" s="62"/>
      <c r="R24" s="62"/>
      <c r="S24" s="164"/>
    </row>
    <row r="25" spans="1:19" ht="15.75" x14ac:dyDescent="0.25">
      <c r="A25" s="58"/>
      <c r="B25" s="59"/>
      <c r="C25" s="59"/>
      <c r="D25" s="59"/>
      <c r="E25" s="60"/>
      <c r="F25" s="80"/>
      <c r="G25" s="81"/>
      <c r="H25" s="81"/>
      <c r="I25" s="53"/>
      <c r="J25" s="75"/>
      <c r="K25" s="75"/>
      <c r="L25" s="63" t="s">
        <v>277</v>
      </c>
      <c r="M25" s="61" t="s">
        <v>278</v>
      </c>
      <c r="N25" s="113" t="s">
        <v>34</v>
      </c>
      <c r="O25" s="62">
        <v>2</v>
      </c>
      <c r="P25" s="97"/>
      <c r="Q25" s="62"/>
      <c r="R25" s="62"/>
      <c r="S25" s="164"/>
    </row>
    <row r="26" spans="1:19" ht="15.75" x14ac:dyDescent="0.25">
      <c r="A26" s="58"/>
      <c r="B26" s="59"/>
      <c r="C26" s="59"/>
      <c r="D26" s="59"/>
      <c r="E26" s="60"/>
      <c r="F26" s="80"/>
      <c r="G26" s="81"/>
      <c r="H26" s="81"/>
      <c r="I26" s="53"/>
      <c r="J26" s="75"/>
      <c r="K26" s="75"/>
      <c r="L26" s="63">
        <v>601</v>
      </c>
      <c r="M26" s="61" t="s">
        <v>69</v>
      </c>
      <c r="N26" s="113" t="s">
        <v>45</v>
      </c>
      <c r="O26" s="62">
        <v>0</v>
      </c>
      <c r="P26" s="97"/>
      <c r="Q26" s="62"/>
      <c r="R26" s="62"/>
      <c r="S26" s="164"/>
    </row>
    <row r="27" spans="1:19" ht="15.75" x14ac:dyDescent="0.25">
      <c r="A27" s="58"/>
      <c r="B27" s="59"/>
      <c r="C27" s="59"/>
      <c r="D27" s="59"/>
      <c r="E27" s="60"/>
      <c r="F27" s="80"/>
      <c r="G27" s="81"/>
      <c r="H27" s="81"/>
      <c r="I27" s="53"/>
      <c r="J27" s="75"/>
      <c r="K27" s="75"/>
      <c r="L27" s="63" t="s">
        <v>761</v>
      </c>
      <c r="M27" s="61" t="s">
        <v>762</v>
      </c>
      <c r="N27" s="113" t="s">
        <v>68</v>
      </c>
      <c r="O27" s="62">
        <v>110</v>
      </c>
      <c r="P27" s="97"/>
      <c r="Q27" s="62"/>
      <c r="R27" s="62"/>
      <c r="S27" s="164"/>
    </row>
    <row r="28" spans="1:19" ht="15.75" x14ac:dyDescent="0.25">
      <c r="A28" s="58"/>
      <c r="B28" s="59"/>
      <c r="C28" s="59"/>
      <c r="D28" s="59"/>
      <c r="E28" s="60"/>
      <c r="F28" s="80"/>
      <c r="G28" s="81"/>
      <c r="H28" s="81"/>
      <c r="I28" s="53"/>
      <c r="J28" s="75"/>
      <c r="K28" s="75"/>
      <c r="L28" s="63">
        <v>18520</v>
      </c>
      <c r="M28" s="61" t="s">
        <v>70</v>
      </c>
      <c r="N28" s="113" t="s">
        <v>56</v>
      </c>
      <c r="O28" s="62">
        <v>0.26500000000000001</v>
      </c>
      <c r="P28" s="97"/>
      <c r="Q28" s="62"/>
      <c r="R28" s="62"/>
      <c r="S28" s="164"/>
    </row>
    <row r="29" spans="1:19" ht="15.75" x14ac:dyDescent="0.25">
      <c r="A29" s="58"/>
      <c r="B29" s="59"/>
      <c r="C29" s="59"/>
      <c r="D29" s="59"/>
      <c r="E29" s="60"/>
      <c r="F29" s="80"/>
      <c r="G29" s="81"/>
      <c r="H29" s="81"/>
      <c r="I29" s="53"/>
      <c r="J29" s="75"/>
      <c r="K29" s="75"/>
      <c r="L29" s="63">
        <v>18382</v>
      </c>
      <c r="M29" s="61" t="s">
        <v>71</v>
      </c>
      <c r="N29" s="113" t="s">
        <v>56</v>
      </c>
      <c r="O29" s="62">
        <v>0.5</v>
      </c>
      <c r="P29" s="97"/>
      <c r="Q29" s="62"/>
      <c r="R29" s="62"/>
      <c r="S29" s="164"/>
    </row>
    <row r="30" spans="1:19" ht="15.75" x14ac:dyDescent="0.25">
      <c r="A30" s="58"/>
      <c r="B30" s="59"/>
      <c r="C30" s="59"/>
      <c r="D30" s="59"/>
      <c r="E30" s="60"/>
      <c r="F30" s="80"/>
      <c r="G30" s="81"/>
      <c r="H30" s="81"/>
      <c r="I30" s="53"/>
      <c r="J30" s="75"/>
      <c r="K30" s="75"/>
      <c r="L30" s="63">
        <v>18518</v>
      </c>
      <c r="M30" s="61" t="s">
        <v>72</v>
      </c>
      <c r="N30" s="113" t="s">
        <v>56</v>
      </c>
      <c r="O30" s="62">
        <v>6.7000000000000004E-2</v>
      </c>
      <c r="P30" s="97"/>
      <c r="Q30" s="62"/>
      <c r="R30" s="62"/>
      <c r="S30" s="164"/>
    </row>
    <row r="31" spans="1:19" ht="15.75" x14ac:dyDescent="0.25">
      <c r="A31" s="58"/>
      <c r="B31" s="59"/>
      <c r="C31" s="59"/>
      <c r="D31" s="59"/>
      <c r="E31" s="60"/>
      <c r="F31" s="80"/>
      <c r="G31" s="81"/>
      <c r="H31" s="81"/>
      <c r="I31" s="53"/>
      <c r="J31" s="75"/>
      <c r="K31" s="75"/>
      <c r="L31" s="63">
        <v>599</v>
      </c>
      <c r="M31" s="61" t="s">
        <v>73</v>
      </c>
      <c r="N31" s="113" t="s">
        <v>34</v>
      </c>
      <c r="O31" s="62">
        <v>10</v>
      </c>
      <c r="P31" s="97"/>
      <c r="Q31" s="62"/>
      <c r="R31" s="62"/>
      <c r="S31" s="164"/>
    </row>
    <row r="32" spans="1:19" ht="15.75" x14ac:dyDescent="0.25">
      <c r="A32" s="58"/>
      <c r="B32" s="59"/>
      <c r="C32" s="59"/>
      <c r="D32" s="59"/>
      <c r="E32" s="60"/>
      <c r="F32" s="80"/>
      <c r="G32" s="81"/>
      <c r="H32" s="81"/>
      <c r="I32" s="53"/>
      <c r="J32" s="75"/>
      <c r="K32" s="75"/>
      <c r="L32" s="63">
        <v>616</v>
      </c>
      <c r="M32" s="61" t="s">
        <v>279</v>
      </c>
      <c r="N32" s="113" t="s">
        <v>34</v>
      </c>
      <c r="O32" s="62">
        <v>2</v>
      </c>
      <c r="P32" s="97"/>
      <c r="Q32" s="62"/>
      <c r="R32" s="62"/>
      <c r="S32" s="164"/>
    </row>
    <row r="33" spans="1:19" ht="15.75" x14ac:dyDescent="0.25">
      <c r="A33" s="58"/>
      <c r="B33" s="59"/>
      <c r="C33" s="59"/>
      <c r="D33" s="59"/>
      <c r="E33" s="60"/>
      <c r="F33" s="80"/>
      <c r="G33" s="81"/>
      <c r="H33" s="81"/>
      <c r="I33" s="53"/>
      <c r="J33" s="75"/>
      <c r="K33" s="75"/>
      <c r="L33" s="63" t="s">
        <v>280</v>
      </c>
      <c r="M33" s="61" t="s">
        <v>281</v>
      </c>
      <c r="N33" s="113" t="s">
        <v>34</v>
      </c>
      <c r="O33" s="62">
        <v>1</v>
      </c>
      <c r="P33" s="97"/>
      <c r="Q33" s="62"/>
      <c r="R33" s="62"/>
      <c r="S33" s="164"/>
    </row>
    <row r="34" spans="1:19" ht="15.75" x14ac:dyDescent="0.25">
      <c r="A34" s="58"/>
      <c r="B34" s="59"/>
      <c r="C34" s="59"/>
      <c r="D34" s="59"/>
      <c r="E34" s="60"/>
      <c r="F34" s="80"/>
      <c r="G34" s="81"/>
      <c r="H34" s="81"/>
      <c r="I34" s="53"/>
      <c r="J34" s="75"/>
      <c r="K34" s="75"/>
      <c r="L34" s="63" t="s">
        <v>164</v>
      </c>
      <c r="M34" s="61" t="s">
        <v>165</v>
      </c>
      <c r="N34" s="113" t="s">
        <v>34</v>
      </c>
      <c r="O34" s="62">
        <v>1</v>
      </c>
      <c r="P34" s="97"/>
      <c r="Q34" s="62"/>
      <c r="R34" s="62"/>
      <c r="S34" s="164"/>
    </row>
    <row r="35" spans="1:19" ht="15.75" x14ac:dyDescent="0.25">
      <c r="A35" s="58"/>
      <c r="B35" s="59"/>
      <c r="C35" s="59"/>
      <c r="D35" s="59"/>
      <c r="E35" s="60"/>
      <c r="F35" s="80"/>
      <c r="G35" s="81"/>
      <c r="H35" s="81"/>
      <c r="I35" s="53"/>
      <c r="J35" s="75"/>
      <c r="K35" s="75"/>
      <c r="L35" s="63" t="s">
        <v>282</v>
      </c>
      <c r="M35" s="61" t="s">
        <v>283</v>
      </c>
      <c r="N35" s="113" t="s">
        <v>34</v>
      </c>
      <c r="O35" s="62">
        <v>7</v>
      </c>
      <c r="P35" s="97"/>
      <c r="Q35" s="62"/>
      <c r="R35" s="62"/>
      <c r="S35" s="164"/>
    </row>
    <row r="36" spans="1:19" ht="15.75" x14ac:dyDescent="0.25">
      <c r="A36" s="58"/>
      <c r="B36" s="59"/>
      <c r="C36" s="59"/>
      <c r="D36" s="59"/>
      <c r="E36" s="60"/>
      <c r="F36" s="80"/>
      <c r="G36" s="81"/>
      <c r="H36" s="81"/>
      <c r="I36" s="53"/>
      <c r="J36" s="75"/>
      <c r="K36" s="75"/>
      <c r="L36" s="63">
        <v>486</v>
      </c>
      <c r="M36" s="61" t="s">
        <v>284</v>
      </c>
      <c r="N36" s="113" t="s">
        <v>34</v>
      </c>
      <c r="O36" s="62">
        <v>4</v>
      </c>
      <c r="P36" s="97"/>
      <c r="Q36" s="62"/>
      <c r="R36" s="62"/>
      <c r="S36" s="164"/>
    </row>
    <row r="37" spans="1:19" ht="15.75" x14ac:dyDescent="0.25">
      <c r="A37" s="58"/>
      <c r="B37" s="59"/>
      <c r="C37" s="59"/>
      <c r="D37" s="59"/>
      <c r="E37" s="60"/>
      <c r="F37" s="80"/>
      <c r="G37" s="81"/>
      <c r="H37" s="81"/>
      <c r="I37" s="53"/>
      <c r="J37" s="75"/>
      <c r="K37" s="75"/>
      <c r="L37" s="63">
        <v>17002</v>
      </c>
      <c r="M37" s="61" t="s">
        <v>285</v>
      </c>
      <c r="N37" s="113" t="s">
        <v>34</v>
      </c>
      <c r="O37" s="62">
        <v>4</v>
      </c>
      <c r="P37" s="97"/>
      <c r="Q37" s="62"/>
      <c r="R37" s="62"/>
      <c r="S37" s="164"/>
    </row>
    <row r="38" spans="1:19" ht="15.75" x14ac:dyDescent="0.25">
      <c r="A38" s="58"/>
      <c r="B38" s="59"/>
      <c r="C38" s="59"/>
      <c r="D38" s="59"/>
      <c r="E38" s="60"/>
      <c r="F38" s="80"/>
      <c r="G38" s="81"/>
      <c r="H38" s="81"/>
      <c r="I38" s="53"/>
      <c r="J38" s="75"/>
      <c r="K38" s="75"/>
      <c r="L38" s="63" t="s">
        <v>286</v>
      </c>
      <c r="M38" s="61" t="s">
        <v>287</v>
      </c>
      <c r="N38" s="113" t="s">
        <v>34</v>
      </c>
      <c r="O38" s="62">
        <v>3</v>
      </c>
      <c r="P38" s="97"/>
      <c r="Q38" s="62"/>
      <c r="R38" s="62"/>
      <c r="S38" s="164"/>
    </row>
    <row r="39" spans="1:19" ht="15.75" x14ac:dyDescent="0.25">
      <c r="A39" s="58"/>
      <c r="B39" s="59"/>
      <c r="C39" s="59"/>
      <c r="D39" s="59"/>
      <c r="E39" s="60"/>
      <c r="F39" s="80"/>
      <c r="G39" s="81"/>
      <c r="H39" s="81"/>
      <c r="I39" s="53"/>
      <c r="J39" s="75"/>
      <c r="K39" s="75"/>
      <c r="L39" s="63">
        <v>10911</v>
      </c>
      <c r="M39" s="61" t="s">
        <v>288</v>
      </c>
      <c r="N39" s="113" t="s">
        <v>34</v>
      </c>
      <c r="O39" s="62">
        <v>3</v>
      </c>
      <c r="P39" s="97"/>
      <c r="Q39" s="62"/>
      <c r="R39" s="62"/>
      <c r="S39" s="164"/>
    </row>
    <row r="40" spans="1:19" ht="15.75" x14ac:dyDescent="0.25">
      <c r="A40" s="58"/>
      <c r="B40" s="59"/>
      <c r="C40" s="59"/>
      <c r="D40" s="59"/>
      <c r="E40" s="60"/>
      <c r="F40" s="80"/>
      <c r="G40" s="81"/>
      <c r="H40" s="81"/>
      <c r="I40" s="53"/>
      <c r="J40" s="75"/>
      <c r="K40" s="75"/>
      <c r="L40" s="63" t="s">
        <v>49</v>
      </c>
      <c r="M40" s="61" t="s">
        <v>74</v>
      </c>
      <c r="N40" s="113" t="s">
        <v>34</v>
      </c>
      <c r="O40" s="62">
        <v>6</v>
      </c>
      <c r="P40" s="97"/>
      <c r="Q40" s="62"/>
      <c r="R40" s="62"/>
      <c r="S40" s="164"/>
    </row>
    <row r="41" spans="1:19" ht="15.75" x14ac:dyDescent="0.25">
      <c r="A41" s="58"/>
      <c r="B41" s="59"/>
      <c r="C41" s="59"/>
      <c r="D41" s="59"/>
      <c r="E41" s="60"/>
      <c r="F41" s="80"/>
      <c r="G41" s="81"/>
      <c r="H41" s="81"/>
      <c r="I41" s="53"/>
      <c r="J41" s="75"/>
      <c r="K41" s="75"/>
      <c r="L41" s="63" t="s">
        <v>166</v>
      </c>
      <c r="M41" s="61" t="s">
        <v>167</v>
      </c>
      <c r="N41" s="113" t="s">
        <v>34</v>
      </c>
      <c r="O41" s="62">
        <v>0</v>
      </c>
      <c r="P41" s="97"/>
      <c r="Q41" s="62"/>
      <c r="R41" s="62"/>
      <c r="S41" s="164"/>
    </row>
    <row r="42" spans="1:19" ht="15.75" x14ac:dyDescent="0.25">
      <c r="A42" s="58"/>
      <c r="B42" s="59"/>
      <c r="C42" s="59"/>
      <c r="D42" s="59"/>
      <c r="E42" s="60"/>
      <c r="F42" s="80"/>
      <c r="G42" s="81"/>
      <c r="H42" s="81"/>
      <c r="I42" s="53"/>
      <c r="J42" s="75"/>
      <c r="K42" s="75"/>
      <c r="L42" s="63">
        <v>11950</v>
      </c>
      <c r="M42" s="61" t="s">
        <v>760</v>
      </c>
      <c r="N42" s="113" t="s">
        <v>34</v>
      </c>
      <c r="O42" s="62">
        <v>2</v>
      </c>
      <c r="P42" s="97"/>
      <c r="Q42" s="62"/>
      <c r="R42" s="62"/>
      <c r="S42" s="164"/>
    </row>
    <row r="43" spans="1:19" ht="15.75" x14ac:dyDescent="0.25">
      <c r="A43" s="58"/>
      <c r="B43" s="59"/>
      <c r="C43" s="59"/>
      <c r="D43" s="59"/>
      <c r="E43" s="60"/>
      <c r="F43" s="80"/>
      <c r="G43" s="81"/>
      <c r="H43" s="81"/>
      <c r="I43" s="53"/>
      <c r="J43" s="75"/>
      <c r="K43" s="75"/>
      <c r="L43" s="63">
        <v>5990</v>
      </c>
      <c r="M43" s="61" t="s">
        <v>75</v>
      </c>
      <c r="N43" s="113" t="s">
        <v>34</v>
      </c>
      <c r="O43" s="62">
        <v>20</v>
      </c>
      <c r="P43" s="97"/>
      <c r="Q43" s="62"/>
      <c r="R43" s="62"/>
      <c r="S43" s="164"/>
    </row>
    <row r="44" spans="1:19" ht="15.75" x14ac:dyDescent="0.25">
      <c r="A44" s="58"/>
      <c r="B44" s="59"/>
      <c r="C44" s="59"/>
      <c r="D44" s="59"/>
      <c r="E44" s="60"/>
      <c r="F44" s="80"/>
      <c r="G44" s="81"/>
      <c r="H44" s="81"/>
      <c r="I44" s="53"/>
      <c r="J44" s="75"/>
      <c r="K44" s="75"/>
      <c r="L44" s="63">
        <v>11093</v>
      </c>
      <c r="M44" s="61" t="s">
        <v>289</v>
      </c>
      <c r="N44" s="113" t="s">
        <v>35</v>
      </c>
      <c r="O44" s="62">
        <v>0</v>
      </c>
      <c r="P44" s="97"/>
      <c r="Q44" s="62"/>
      <c r="R44" s="62"/>
      <c r="S44" s="164"/>
    </row>
    <row r="45" spans="1:19" ht="15.75" x14ac:dyDescent="0.25">
      <c r="A45" s="58"/>
      <c r="B45" s="59"/>
      <c r="C45" s="59"/>
      <c r="D45" s="59"/>
      <c r="E45" s="60"/>
      <c r="F45" s="80"/>
      <c r="G45" s="81"/>
      <c r="H45" s="81"/>
      <c r="I45" s="53"/>
      <c r="J45" s="75"/>
      <c r="K45" s="75"/>
      <c r="L45" s="63" t="s">
        <v>42</v>
      </c>
      <c r="M45" s="61" t="s">
        <v>76</v>
      </c>
      <c r="N45" s="113" t="s">
        <v>34</v>
      </c>
      <c r="O45" s="62">
        <v>1250</v>
      </c>
      <c r="P45" s="97"/>
      <c r="Q45" s="62"/>
      <c r="R45" s="62"/>
      <c r="S45" s="164"/>
    </row>
    <row r="46" spans="1:19" ht="15.75" x14ac:dyDescent="0.25">
      <c r="A46" s="58"/>
      <c r="B46" s="59"/>
      <c r="C46" s="59"/>
      <c r="D46" s="59"/>
      <c r="E46" s="60"/>
      <c r="F46" s="80"/>
      <c r="G46" s="81"/>
      <c r="H46" s="81"/>
      <c r="I46" s="53"/>
      <c r="J46" s="75"/>
      <c r="K46" s="75"/>
      <c r="L46" s="63" t="s">
        <v>168</v>
      </c>
      <c r="M46" s="61" t="s">
        <v>169</v>
      </c>
      <c r="N46" s="113" t="s">
        <v>34</v>
      </c>
      <c r="O46" s="62">
        <v>3600</v>
      </c>
      <c r="P46" s="97"/>
      <c r="Q46" s="62"/>
      <c r="R46" s="62"/>
      <c r="S46" s="164"/>
    </row>
    <row r="47" spans="1:19" ht="15.75" x14ac:dyDescent="0.25">
      <c r="A47" s="58"/>
      <c r="B47" s="59"/>
      <c r="C47" s="59"/>
      <c r="D47" s="59"/>
      <c r="E47" s="60"/>
      <c r="F47" s="80"/>
      <c r="G47" s="81"/>
      <c r="H47" s="81"/>
      <c r="I47" s="53"/>
      <c r="J47" s="75"/>
      <c r="K47" s="75"/>
      <c r="L47" s="63">
        <v>5936</v>
      </c>
      <c r="M47" s="61" t="s">
        <v>77</v>
      </c>
      <c r="N47" s="113" t="s">
        <v>34</v>
      </c>
      <c r="O47" s="62">
        <v>3900</v>
      </c>
      <c r="P47" s="97"/>
      <c r="Q47" s="62"/>
      <c r="R47" s="62"/>
      <c r="S47" s="164"/>
    </row>
    <row r="48" spans="1:19" ht="15.75" x14ac:dyDescent="0.25">
      <c r="A48" s="58"/>
      <c r="B48" s="59"/>
      <c r="C48" s="59"/>
      <c r="D48" s="59"/>
      <c r="E48" s="60"/>
      <c r="F48" s="80"/>
      <c r="G48" s="81"/>
      <c r="H48" s="81"/>
      <c r="I48" s="53"/>
      <c r="J48" s="75"/>
      <c r="K48" s="75"/>
      <c r="L48" s="63" t="s">
        <v>41</v>
      </c>
      <c r="M48" s="61" t="s">
        <v>78</v>
      </c>
      <c r="N48" s="113" t="s">
        <v>34</v>
      </c>
      <c r="O48" s="62">
        <v>4700</v>
      </c>
      <c r="P48" s="97"/>
      <c r="Q48" s="62"/>
      <c r="R48" s="62"/>
      <c r="S48" s="164"/>
    </row>
    <row r="49" spans="1:19" ht="15.75" x14ac:dyDescent="0.25">
      <c r="A49" s="58"/>
      <c r="B49" s="59"/>
      <c r="C49" s="59"/>
      <c r="D49" s="59"/>
      <c r="E49" s="60"/>
      <c r="F49" s="80"/>
      <c r="G49" s="81"/>
      <c r="H49" s="81"/>
      <c r="I49" s="53"/>
      <c r="J49" s="75"/>
      <c r="K49" s="75"/>
      <c r="L49" s="63" t="s">
        <v>443</v>
      </c>
      <c r="M49" s="61" t="s">
        <v>79</v>
      </c>
      <c r="N49" s="113" t="s">
        <v>34</v>
      </c>
      <c r="O49" s="62">
        <v>1500</v>
      </c>
      <c r="P49" s="97"/>
      <c r="Q49" s="62"/>
      <c r="R49" s="62"/>
      <c r="S49" s="164"/>
    </row>
    <row r="50" spans="1:19" ht="15.75" x14ac:dyDescent="0.25">
      <c r="A50" s="58"/>
      <c r="B50" s="59"/>
      <c r="C50" s="59"/>
      <c r="D50" s="59"/>
      <c r="E50" s="60"/>
      <c r="F50" s="80"/>
      <c r="G50" s="81"/>
      <c r="H50" s="81"/>
      <c r="I50" s="53"/>
      <c r="J50" s="75"/>
      <c r="K50" s="75"/>
      <c r="L50" s="63" t="s">
        <v>763</v>
      </c>
      <c r="M50" s="61" t="s">
        <v>764</v>
      </c>
      <c r="N50" s="113"/>
      <c r="O50" s="62">
        <v>1300</v>
      </c>
      <c r="P50" s="97"/>
      <c r="Q50" s="62"/>
      <c r="R50" s="62"/>
      <c r="S50" s="164"/>
    </row>
    <row r="51" spans="1:19" ht="15.75" x14ac:dyDescent="0.25">
      <c r="A51" s="58"/>
      <c r="B51" s="59"/>
      <c r="C51" s="59"/>
      <c r="D51" s="59"/>
      <c r="E51" s="60"/>
      <c r="F51" s="80"/>
      <c r="G51" s="81"/>
      <c r="H51" s="81"/>
      <c r="I51" s="53"/>
      <c r="J51" s="75"/>
      <c r="K51" s="75"/>
      <c r="L51" s="63">
        <v>9513</v>
      </c>
      <c r="M51" s="61" t="s">
        <v>765</v>
      </c>
      <c r="N51" s="113"/>
      <c r="O51" s="62">
        <v>700</v>
      </c>
      <c r="P51" s="97"/>
      <c r="Q51" s="62"/>
      <c r="R51" s="62"/>
      <c r="S51" s="164"/>
    </row>
    <row r="52" spans="1:19" ht="15.75" x14ac:dyDescent="0.25">
      <c r="A52" s="58"/>
      <c r="B52" s="59"/>
      <c r="C52" s="59"/>
      <c r="D52" s="59"/>
      <c r="E52" s="60"/>
      <c r="F52" s="80"/>
      <c r="G52" s="81"/>
      <c r="H52" s="81"/>
      <c r="I52" s="53"/>
      <c r="J52" s="75"/>
      <c r="K52" s="75"/>
      <c r="L52" s="63">
        <v>17039</v>
      </c>
      <c r="M52" s="61" t="s">
        <v>290</v>
      </c>
      <c r="N52" s="113" t="s">
        <v>34</v>
      </c>
      <c r="O52" s="62">
        <v>1</v>
      </c>
      <c r="P52" s="97"/>
      <c r="Q52" s="62"/>
      <c r="R52" s="62"/>
      <c r="S52" s="164"/>
    </row>
    <row r="53" spans="1:19" ht="15.75" x14ac:dyDescent="0.25">
      <c r="A53" s="58"/>
      <c r="B53" s="59"/>
      <c r="C53" s="59"/>
      <c r="D53" s="59"/>
      <c r="E53" s="60"/>
      <c r="F53" s="80"/>
      <c r="G53" s="81"/>
      <c r="H53" s="81"/>
      <c r="I53" s="53"/>
      <c r="J53" s="75"/>
      <c r="K53" s="75"/>
      <c r="L53" s="63" t="s">
        <v>170</v>
      </c>
      <c r="M53" s="61" t="s">
        <v>171</v>
      </c>
      <c r="N53" s="113" t="s">
        <v>34</v>
      </c>
      <c r="O53" s="62">
        <v>2</v>
      </c>
      <c r="P53" s="97"/>
      <c r="Q53" s="62"/>
      <c r="R53" s="62"/>
      <c r="S53" s="164"/>
    </row>
    <row r="54" spans="1:19" ht="15.75" x14ac:dyDescent="0.25">
      <c r="A54" s="58"/>
      <c r="B54" s="59"/>
      <c r="C54" s="59"/>
      <c r="D54" s="59"/>
      <c r="E54" s="60"/>
      <c r="F54" s="80"/>
      <c r="G54" s="81"/>
      <c r="H54" s="81"/>
      <c r="I54" s="53"/>
      <c r="J54" s="75"/>
      <c r="K54" s="75"/>
      <c r="L54" s="63">
        <v>597</v>
      </c>
      <c r="M54" s="61" t="s">
        <v>291</v>
      </c>
      <c r="N54" s="113" t="s">
        <v>34</v>
      </c>
      <c r="O54" s="62">
        <v>4</v>
      </c>
      <c r="P54" s="97"/>
      <c r="Q54" s="62"/>
      <c r="R54" s="62"/>
      <c r="S54" s="164"/>
    </row>
    <row r="55" spans="1:19" ht="15.75" x14ac:dyDescent="0.25">
      <c r="A55" s="58"/>
      <c r="B55" s="59"/>
      <c r="C55" s="59"/>
      <c r="D55" s="59"/>
      <c r="E55" s="60"/>
      <c r="F55" s="80"/>
      <c r="G55" s="81"/>
      <c r="H55" s="81"/>
      <c r="I55" s="53"/>
      <c r="J55" s="75"/>
      <c r="K55" s="75"/>
      <c r="L55" s="63" t="s">
        <v>746</v>
      </c>
      <c r="M55" s="61" t="s">
        <v>174</v>
      </c>
      <c r="N55" s="55" t="s">
        <v>34</v>
      </c>
      <c r="O55" s="62">
        <v>16</v>
      </c>
      <c r="P55" s="97"/>
      <c r="Q55" s="62"/>
      <c r="R55" s="62"/>
      <c r="S55" s="164"/>
    </row>
    <row r="56" spans="1:19" ht="15.75" x14ac:dyDescent="0.25">
      <c r="A56" s="58"/>
      <c r="B56" s="59"/>
      <c r="C56" s="59"/>
      <c r="D56" s="59"/>
      <c r="E56" s="60"/>
      <c r="F56" s="80"/>
      <c r="G56" s="81"/>
      <c r="H56" s="81"/>
      <c r="I56" s="53"/>
      <c r="J56" s="75"/>
      <c r="K56" s="75"/>
      <c r="L56" s="63" t="s">
        <v>175</v>
      </c>
      <c r="M56" s="61" t="s">
        <v>176</v>
      </c>
      <c r="N56" s="55" t="s">
        <v>34</v>
      </c>
      <c r="O56" s="62">
        <v>1</v>
      </c>
      <c r="P56" s="97"/>
      <c r="Q56" s="62"/>
      <c r="R56" s="62"/>
      <c r="S56" s="164"/>
    </row>
    <row r="57" spans="1:19" ht="15.75" x14ac:dyDescent="0.25">
      <c r="A57" s="58"/>
      <c r="B57" s="59"/>
      <c r="C57" s="59"/>
      <c r="D57" s="59"/>
      <c r="E57" s="60"/>
      <c r="F57" s="80"/>
      <c r="G57" s="81"/>
      <c r="H57" s="81"/>
      <c r="I57" s="53"/>
      <c r="J57" s="75"/>
      <c r="K57" s="75"/>
      <c r="L57" s="63">
        <v>89</v>
      </c>
      <c r="M57" s="61" t="s">
        <v>294</v>
      </c>
      <c r="N57" s="55" t="s">
        <v>34</v>
      </c>
      <c r="O57" s="62">
        <v>2</v>
      </c>
      <c r="P57" s="97"/>
      <c r="Q57" s="62"/>
      <c r="R57" s="62"/>
      <c r="S57" s="164"/>
    </row>
    <row r="58" spans="1:19" ht="15.75" x14ac:dyDescent="0.25">
      <c r="A58" s="58"/>
      <c r="B58" s="59"/>
      <c r="C58" s="59"/>
      <c r="D58" s="59"/>
      <c r="E58" s="60"/>
      <c r="F58" s="80"/>
      <c r="G58" s="81"/>
      <c r="H58" s="81"/>
      <c r="I58" s="53"/>
      <c r="J58" s="75"/>
      <c r="K58" s="75"/>
      <c r="L58" s="63">
        <v>87</v>
      </c>
      <c r="M58" s="61" t="s">
        <v>295</v>
      </c>
      <c r="N58" s="55" t="s">
        <v>34</v>
      </c>
      <c r="O58" s="62">
        <v>3</v>
      </c>
      <c r="P58" s="97"/>
      <c r="Q58" s="62"/>
      <c r="R58" s="62"/>
      <c r="S58" s="164"/>
    </row>
    <row r="59" spans="1:19" ht="15.75" x14ac:dyDescent="0.25">
      <c r="A59" s="58"/>
      <c r="B59" s="59"/>
      <c r="C59" s="59"/>
      <c r="D59" s="59"/>
      <c r="E59" s="60"/>
      <c r="F59" s="80"/>
      <c r="G59" s="81"/>
      <c r="H59" s="81"/>
      <c r="I59" s="53"/>
      <c r="J59" s="75"/>
      <c r="K59" s="75"/>
      <c r="L59" s="63">
        <v>19322</v>
      </c>
      <c r="M59" s="61" t="s">
        <v>296</v>
      </c>
      <c r="N59" s="113" t="s">
        <v>34</v>
      </c>
      <c r="O59" s="62">
        <v>6</v>
      </c>
      <c r="P59" s="97"/>
      <c r="Q59" s="62"/>
      <c r="R59" s="62"/>
      <c r="S59" s="164"/>
    </row>
    <row r="60" spans="1:19" ht="15.75" x14ac:dyDescent="0.25">
      <c r="A60" s="58"/>
      <c r="B60" s="59"/>
      <c r="C60" s="59"/>
      <c r="D60" s="59"/>
      <c r="E60" s="60"/>
      <c r="F60" s="80"/>
      <c r="G60" s="81"/>
      <c r="H60" s="81"/>
      <c r="I60" s="53"/>
      <c r="J60" s="75"/>
      <c r="K60" s="75"/>
      <c r="L60" s="63">
        <v>341</v>
      </c>
      <c r="M60" s="61" t="s">
        <v>297</v>
      </c>
      <c r="N60" s="113" t="s">
        <v>34</v>
      </c>
      <c r="O60" s="62">
        <v>6</v>
      </c>
      <c r="P60" s="97"/>
      <c r="Q60" s="62"/>
      <c r="R60" s="62"/>
      <c r="S60" s="164"/>
    </row>
    <row r="61" spans="1:19" ht="15.75" x14ac:dyDescent="0.25">
      <c r="A61" s="58"/>
      <c r="B61" s="59"/>
      <c r="C61" s="59"/>
      <c r="D61" s="59"/>
      <c r="E61" s="60"/>
      <c r="F61" s="80"/>
      <c r="G61" s="81"/>
      <c r="H61" s="81"/>
      <c r="I61" s="53"/>
      <c r="J61" s="75"/>
      <c r="K61" s="75"/>
      <c r="L61" s="63">
        <v>19317</v>
      </c>
      <c r="M61" s="61" t="s">
        <v>177</v>
      </c>
      <c r="N61" s="113" t="s">
        <v>34</v>
      </c>
      <c r="O61" s="62">
        <v>0</v>
      </c>
      <c r="P61" s="97"/>
      <c r="Q61" s="62"/>
      <c r="R61" s="62"/>
      <c r="S61" s="164"/>
    </row>
    <row r="62" spans="1:19" ht="15.75" x14ac:dyDescent="0.25">
      <c r="A62" s="58"/>
      <c r="B62" s="59"/>
      <c r="C62" s="59"/>
      <c r="D62" s="59"/>
      <c r="E62" s="60"/>
      <c r="F62" s="80"/>
      <c r="G62" s="81"/>
      <c r="H62" s="81"/>
      <c r="I62" s="53"/>
      <c r="J62" s="75"/>
      <c r="K62" s="75"/>
      <c r="L62" s="63">
        <v>18688</v>
      </c>
      <c r="M62" s="61" t="s">
        <v>766</v>
      </c>
      <c r="N62" s="113" t="s">
        <v>57</v>
      </c>
      <c r="O62" s="62">
        <v>12</v>
      </c>
      <c r="P62" s="97"/>
      <c r="Q62" s="62"/>
      <c r="R62" s="62"/>
      <c r="S62" s="164"/>
    </row>
    <row r="63" spans="1:19" ht="15.75" x14ac:dyDescent="0.25">
      <c r="A63" s="58"/>
      <c r="B63" s="59"/>
      <c r="C63" s="59"/>
      <c r="D63" s="59"/>
      <c r="E63" s="60"/>
      <c r="F63" s="80"/>
      <c r="G63" s="81"/>
      <c r="H63" s="81"/>
      <c r="I63" s="53"/>
      <c r="J63" s="75"/>
      <c r="K63" s="75"/>
      <c r="L63" s="63" t="s">
        <v>298</v>
      </c>
      <c r="M63" s="61" t="s">
        <v>299</v>
      </c>
      <c r="N63" s="113" t="s">
        <v>34</v>
      </c>
      <c r="O63" s="62">
        <v>8</v>
      </c>
      <c r="P63" s="97"/>
      <c r="Q63" s="62"/>
      <c r="R63" s="62"/>
      <c r="S63" s="164"/>
    </row>
    <row r="64" spans="1:19" ht="15.75" x14ac:dyDescent="0.25">
      <c r="A64" s="58"/>
      <c r="B64" s="59"/>
      <c r="C64" s="59"/>
      <c r="D64" s="59"/>
      <c r="E64" s="60"/>
      <c r="F64" s="80"/>
      <c r="G64" s="81"/>
      <c r="H64" s="81"/>
      <c r="I64" s="53"/>
      <c r="J64" s="75"/>
      <c r="K64" s="75"/>
      <c r="L64" s="63" t="s">
        <v>754</v>
      </c>
      <c r="M64" s="61" t="s">
        <v>755</v>
      </c>
      <c r="N64" s="113" t="s">
        <v>34</v>
      </c>
      <c r="O64" s="62">
        <v>1</v>
      </c>
      <c r="P64" s="97"/>
      <c r="Q64" s="62"/>
      <c r="R64" s="62"/>
      <c r="S64" s="164"/>
    </row>
    <row r="65" spans="1:19" ht="15.75" x14ac:dyDescent="0.25">
      <c r="A65" s="58"/>
      <c r="B65" s="59"/>
      <c r="C65" s="59"/>
      <c r="D65" s="59"/>
      <c r="E65" s="60"/>
      <c r="F65" s="80"/>
      <c r="G65" s="81"/>
      <c r="H65" s="81"/>
      <c r="I65" s="53"/>
      <c r="J65" s="75"/>
      <c r="K65" s="75"/>
      <c r="L65" s="63" t="s">
        <v>302</v>
      </c>
      <c r="M65" s="61" t="s">
        <v>303</v>
      </c>
      <c r="N65" s="55" t="s">
        <v>35</v>
      </c>
      <c r="O65" s="62">
        <v>153</v>
      </c>
      <c r="P65" s="97"/>
      <c r="Q65" s="62"/>
      <c r="R65" s="62"/>
      <c r="S65" s="164"/>
    </row>
    <row r="66" spans="1:19" ht="15.75" x14ac:dyDescent="0.25">
      <c r="A66" s="58"/>
      <c r="B66" s="59"/>
      <c r="C66" s="59"/>
      <c r="D66" s="59"/>
      <c r="E66" s="60"/>
      <c r="F66" s="80"/>
      <c r="G66" s="81"/>
      <c r="H66" s="81"/>
      <c r="I66" s="53"/>
      <c r="J66" s="75"/>
      <c r="K66" s="75"/>
      <c r="L66" s="144" t="s">
        <v>51</v>
      </c>
      <c r="M66" s="61" t="s">
        <v>52</v>
      </c>
      <c r="N66" s="55" t="s">
        <v>68</v>
      </c>
      <c r="O66" s="138">
        <v>17.725000000000001</v>
      </c>
      <c r="P66" s="97"/>
      <c r="Q66" s="138"/>
      <c r="R66" s="138"/>
      <c r="S66" s="164"/>
    </row>
    <row r="67" spans="1:19" ht="15.75" x14ac:dyDescent="0.25">
      <c r="A67" s="58"/>
      <c r="B67" s="59"/>
      <c r="C67" s="59"/>
      <c r="D67" s="59"/>
      <c r="E67" s="60"/>
      <c r="F67" s="80"/>
      <c r="G67" s="81"/>
      <c r="H67" s="81"/>
      <c r="I67" s="53"/>
      <c r="J67" s="75"/>
      <c r="K67" s="75"/>
      <c r="L67" s="63" t="s">
        <v>304</v>
      </c>
      <c r="M67" s="61" t="s">
        <v>305</v>
      </c>
      <c r="N67" s="113" t="s">
        <v>34</v>
      </c>
      <c r="O67" s="62">
        <v>56</v>
      </c>
      <c r="P67" s="97"/>
      <c r="Q67" s="62"/>
      <c r="R67" s="62"/>
      <c r="S67" s="164"/>
    </row>
    <row r="68" spans="1:19" ht="15.75" x14ac:dyDescent="0.25">
      <c r="A68" s="58"/>
      <c r="B68" s="59"/>
      <c r="C68" s="59"/>
      <c r="D68" s="59"/>
      <c r="E68" s="60"/>
      <c r="F68" s="80"/>
      <c r="G68" s="81"/>
      <c r="H68" s="81"/>
      <c r="I68" s="53"/>
      <c r="J68" s="75"/>
      <c r="K68" s="75"/>
      <c r="L68" s="63" t="s">
        <v>306</v>
      </c>
      <c r="M68" s="61" t="s">
        <v>307</v>
      </c>
      <c r="N68" s="113" t="s">
        <v>34</v>
      </c>
      <c r="O68" s="62">
        <v>0</v>
      </c>
      <c r="P68" s="97"/>
      <c r="Q68" s="62"/>
      <c r="R68" s="62"/>
      <c r="S68" s="164"/>
    </row>
    <row r="69" spans="1:19" ht="15.75" x14ac:dyDescent="0.25">
      <c r="A69" s="58"/>
      <c r="B69" s="59"/>
      <c r="C69" s="59"/>
      <c r="D69" s="59"/>
      <c r="E69" s="60"/>
      <c r="F69" s="80"/>
      <c r="G69" s="81"/>
      <c r="H69" s="81"/>
      <c r="I69" s="53"/>
      <c r="J69" s="75"/>
      <c r="K69" s="75"/>
      <c r="L69" s="63" t="s">
        <v>308</v>
      </c>
      <c r="M69" s="61" t="s">
        <v>309</v>
      </c>
      <c r="N69" s="113" t="s">
        <v>34</v>
      </c>
      <c r="O69" s="62">
        <v>32</v>
      </c>
      <c r="P69" s="97"/>
      <c r="Q69" s="62"/>
      <c r="R69" s="62"/>
      <c r="S69" s="164"/>
    </row>
    <row r="70" spans="1:19" ht="15.75" x14ac:dyDescent="0.25">
      <c r="A70" s="58"/>
      <c r="B70" s="59"/>
      <c r="C70" s="59"/>
      <c r="D70" s="59"/>
      <c r="E70" s="60"/>
      <c r="F70" s="80"/>
      <c r="G70" s="81"/>
      <c r="H70" s="81"/>
      <c r="I70" s="53"/>
      <c r="J70" s="75"/>
      <c r="K70" s="75"/>
      <c r="L70" s="63" t="s">
        <v>310</v>
      </c>
      <c r="M70" s="61" t="s">
        <v>311</v>
      </c>
      <c r="N70" s="113" t="s">
        <v>34</v>
      </c>
      <c r="O70" s="62">
        <v>8</v>
      </c>
      <c r="P70" s="97"/>
      <c r="Q70" s="62"/>
      <c r="R70" s="62"/>
      <c r="S70" s="164"/>
    </row>
    <row r="71" spans="1:19" ht="15.75" x14ac:dyDescent="0.25">
      <c r="A71" s="58"/>
      <c r="B71" s="59"/>
      <c r="C71" s="59"/>
      <c r="D71" s="59"/>
      <c r="E71" s="60"/>
      <c r="F71" s="80"/>
      <c r="G71" s="81"/>
      <c r="H71" s="81"/>
      <c r="I71" s="53"/>
      <c r="J71" s="75"/>
      <c r="K71" s="75"/>
      <c r="L71" s="63" t="s">
        <v>312</v>
      </c>
      <c r="M71" s="61" t="s">
        <v>313</v>
      </c>
      <c r="N71" s="113" t="s">
        <v>34</v>
      </c>
      <c r="O71" s="62">
        <v>4</v>
      </c>
      <c r="P71" s="97"/>
      <c r="Q71" s="62"/>
      <c r="R71" s="62"/>
      <c r="S71" s="164"/>
    </row>
    <row r="72" spans="1:19" ht="15.75" x14ac:dyDescent="0.25">
      <c r="A72" s="58"/>
      <c r="B72" s="59"/>
      <c r="C72" s="59"/>
      <c r="D72" s="59"/>
      <c r="E72" s="60"/>
      <c r="F72" s="80"/>
      <c r="G72" s="81"/>
      <c r="H72" s="81"/>
      <c r="I72" s="53"/>
      <c r="J72" s="75"/>
      <c r="K72" s="75"/>
      <c r="L72" s="63" t="s">
        <v>314</v>
      </c>
      <c r="M72" s="61" t="s">
        <v>315</v>
      </c>
      <c r="N72" s="113" t="s">
        <v>66</v>
      </c>
      <c r="O72" s="62">
        <v>0.504</v>
      </c>
      <c r="P72" s="97"/>
      <c r="Q72" s="62"/>
      <c r="R72" s="62"/>
      <c r="S72" s="164"/>
    </row>
    <row r="73" spans="1:19" ht="15.75" x14ac:dyDescent="0.25">
      <c r="A73" s="58"/>
      <c r="B73" s="59"/>
      <c r="C73" s="59"/>
      <c r="D73" s="59"/>
      <c r="E73" s="60"/>
      <c r="F73" s="80"/>
      <c r="G73" s="81"/>
      <c r="H73" s="81"/>
      <c r="I73" s="53"/>
      <c r="J73" s="75"/>
      <c r="K73" s="75"/>
      <c r="L73" s="63">
        <v>7114</v>
      </c>
      <c r="M73" s="61" t="s">
        <v>316</v>
      </c>
      <c r="N73" s="113" t="s">
        <v>34</v>
      </c>
      <c r="O73" s="62">
        <v>1.5</v>
      </c>
      <c r="P73" s="97"/>
      <c r="Q73" s="97"/>
      <c r="R73" s="101"/>
      <c r="S73" s="164"/>
    </row>
    <row r="74" spans="1:19" ht="15.75" x14ac:dyDescent="0.25">
      <c r="A74" s="58"/>
      <c r="B74" s="59"/>
      <c r="C74" s="59"/>
      <c r="D74" s="59"/>
      <c r="E74" s="60"/>
      <c r="F74" s="80"/>
      <c r="G74" s="81"/>
      <c r="H74" s="81"/>
      <c r="I74" s="53"/>
      <c r="J74" s="75"/>
      <c r="K74" s="75"/>
      <c r="L74" s="63">
        <v>9858</v>
      </c>
      <c r="M74" s="61" t="s">
        <v>178</v>
      </c>
      <c r="N74" s="113" t="s">
        <v>56</v>
      </c>
      <c r="O74" s="62">
        <v>0.01</v>
      </c>
      <c r="P74" s="97"/>
      <c r="Q74" s="62"/>
      <c r="R74" s="62"/>
      <c r="S74" s="164"/>
    </row>
    <row r="75" spans="1:19" ht="15.75" x14ac:dyDescent="0.25">
      <c r="A75" s="58"/>
      <c r="B75" s="59"/>
      <c r="C75" s="59"/>
      <c r="D75" s="59"/>
      <c r="E75" s="60"/>
      <c r="F75" s="80"/>
      <c r="G75" s="81"/>
      <c r="H75" s="81"/>
      <c r="I75" s="53"/>
      <c r="J75" s="75"/>
      <c r="K75" s="75"/>
      <c r="L75" s="63" t="s">
        <v>758</v>
      </c>
      <c r="M75" s="61" t="s">
        <v>759</v>
      </c>
      <c r="N75" s="55" t="s">
        <v>34</v>
      </c>
      <c r="O75" s="62">
        <v>1</v>
      </c>
      <c r="P75" s="97"/>
      <c r="Q75" s="62"/>
      <c r="R75" s="62"/>
      <c r="S75" s="164"/>
    </row>
    <row r="76" spans="1:19" ht="15.75" x14ac:dyDescent="0.25">
      <c r="A76" s="58"/>
      <c r="B76" s="59"/>
      <c r="C76" s="59"/>
      <c r="D76" s="59"/>
      <c r="E76" s="60"/>
      <c r="F76" s="80"/>
      <c r="G76" s="81"/>
      <c r="H76" s="81"/>
      <c r="I76" s="53"/>
      <c r="J76" s="75"/>
      <c r="K76" s="75"/>
      <c r="L76" s="63" t="s">
        <v>179</v>
      </c>
      <c r="M76" s="61" t="s">
        <v>180</v>
      </c>
      <c r="N76" s="55" t="s">
        <v>34</v>
      </c>
      <c r="O76" s="62">
        <v>0</v>
      </c>
      <c r="P76" s="97"/>
      <c r="Q76" s="62"/>
      <c r="R76" s="62"/>
      <c r="S76" s="164"/>
    </row>
    <row r="77" spans="1:19" ht="15.75" x14ac:dyDescent="0.25">
      <c r="A77" s="58"/>
      <c r="B77" s="59"/>
      <c r="C77" s="59"/>
      <c r="D77" s="59"/>
      <c r="E77" s="60"/>
      <c r="F77" s="80"/>
      <c r="G77" s="81"/>
      <c r="H77" s="81"/>
      <c r="I77" s="53"/>
      <c r="J77" s="75"/>
      <c r="K77" s="75"/>
      <c r="L77" s="63" t="s">
        <v>181</v>
      </c>
      <c r="M77" s="61" t="s">
        <v>182</v>
      </c>
      <c r="N77" s="113" t="s">
        <v>34</v>
      </c>
      <c r="O77" s="62">
        <v>250</v>
      </c>
      <c r="P77" s="97"/>
      <c r="Q77" s="62"/>
      <c r="R77" s="62"/>
      <c r="S77" s="164"/>
    </row>
    <row r="78" spans="1:19" ht="15.75" x14ac:dyDescent="0.25">
      <c r="A78" s="58"/>
      <c r="B78" s="59"/>
      <c r="C78" s="59"/>
      <c r="D78" s="59"/>
      <c r="E78" s="60"/>
      <c r="F78" s="80"/>
      <c r="G78" s="81"/>
      <c r="H78" s="81"/>
      <c r="I78" s="53"/>
      <c r="J78" s="75"/>
      <c r="K78" s="75"/>
      <c r="L78" s="63" t="s">
        <v>322</v>
      </c>
      <c r="M78" s="61" t="s">
        <v>323</v>
      </c>
      <c r="N78" s="113" t="s">
        <v>34</v>
      </c>
      <c r="O78" s="62">
        <v>1</v>
      </c>
      <c r="P78" s="97"/>
      <c r="Q78" s="62"/>
      <c r="R78" s="62"/>
      <c r="S78" s="164"/>
    </row>
    <row r="79" spans="1:19" ht="15.75" x14ac:dyDescent="0.25">
      <c r="A79" s="58"/>
      <c r="B79" s="59"/>
      <c r="C79" s="59"/>
      <c r="D79" s="59"/>
      <c r="E79" s="60"/>
      <c r="F79" s="80"/>
      <c r="G79" s="81"/>
      <c r="H79" s="81"/>
      <c r="I79" s="53"/>
      <c r="J79" s="75"/>
      <c r="K79" s="75"/>
      <c r="L79" s="63" t="s">
        <v>324</v>
      </c>
      <c r="M79" s="61" t="s">
        <v>325</v>
      </c>
      <c r="N79" s="113" t="s">
        <v>34</v>
      </c>
      <c r="O79" s="62">
        <v>1</v>
      </c>
      <c r="P79" s="97"/>
      <c r="Q79" s="62"/>
      <c r="R79" s="62"/>
      <c r="S79" s="164"/>
    </row>
    <row r="80" spans="1:19" ht="15.75" x14ac:dyDescent="0.25">
      <c r="A80" s="58"/>
      <c r="B80" s="59"/>
      <c r="C80" s="59"/>
      <c r="D80" s="59"/>
      <c r="E80" s="60"/>
      <c r="F80" s="80"/>
      <c r="G80" s="81"/>
      <c r="H80" s="81"/>
      <c r="I80" s="53"/>
      <c r="J80" s="75"/>
      <c r="K80" s="75"/>
      <c r="L80" s="63" t="s">
        <v>326</v>
      </c>
      <c r="M80" s="61" t="s">
        <v>327</v>
      </c>
      <c r="N80" s="113" t="s">
        <v>34</v>
      </c>
      <c r="O80" s="62">
        <v>1</v>
      </c>
      <c r="P80" s="97"/>
      <c r="Q80" s="62"/>
      <c r="R80" s="62"/>
      <c r="S80" s="164"/>
    </row>
    <row r="81" spans="1:19" ht="15.75" x14ac:dyDescent="0.25">
      <c r="A81" s="58"/>
      <c r="B81" s="59"/>
      <c r="C81" s="59"/>
      <c r="D81" s="59"/>
      <c r="E81" s="60"/>
      <c r="F81" s="80"/>
      <c r="G81" s="81"/>
      <c r="H81" s="81"/>
      <c r="I81" s="53"/>
      <c r="J81" s="75"/>
      <c r="K81" s="75"/>
      <c r="L81" s="63">
        <v>102</v>
      </c>
      <c r="M81" s="61" t="s">
        <v>328</v>
      </c>
      <c r="N81" s="113" t="s">
        <v>34</v>
      </c>
      <c r="O81" s="62">
        <v>24</v>
      </c>
      <c r="P81" s="97"/>
      <c r="Q81" s="62"/>
      <c r="R81" s="62"/>
      <c r="S81" s="164"/>
    </row>
    <row r="82" spans="1:19" ht="15.75" x14ac:dyDescent="0.25">
      <c r="A82" s="58"/>
      <c r="B82" s="59"/>
      <c r="C82" s="59"/>
      <c r="D82" s="59"/>
      <c r="E82" s="60"/>
      <c r="F82" s="80"/>
      <c r="G82" s="81"/>
      <c r="H82" s="81"/>
      <c r="I82" s="53"/>
      <c r="J82" s="75"/>
      <c r="K82" s="75"/>
      <c r="L82" s="63" t="s">
        <v>329</v>
      </c>
      <c r="M82" s="61" t="s">
        <v>330</v>
      </c>
      <c r="N82" s="113" t="s">
        <v>34</v>
      </c>
      <c r="O82" s="62">
        <v>4</v>
      </c>
      <c r="P82" s="97"/>
      <c r="Q82" s="62"/>
      <c r="R82" s="62"/>
      <c r="S82" s="164"/>
    </row>
    <row r="83" spans="1:19" ht="15.75" x14ac:dyDescent="0.25">
      <c r="A83" s="58"/>
      <c r="B83" s="59"/>
      <c r="C83" s="59"/>
      <c r="D83" s="59"/>
      <c r="E83" s="60"/>
      <c r="F83" s="80"/>
      <c r="G83" s="81"/>
      <c r="H83" s="81"/>
      <c r="I83" s="53"/>
      <c r="J83" s="75"/>
      <c r="K83" s="75"/>
      <c r="L83" s="63" t="s">
        <v>331</v>
      </c>
      <c r="M83" s="61" t="s">
        <v>332</v>
      </c>
      <c r="N83" s="113" t="s">
        <v>34</v>
      </c>
      <c r="O83" s="62">
        <v>3</v>
      </c>
      <c r="P83" s="97"/>
      <c r="Q83" s="62"/>
      <c r="R83" s="62"/>
      <c r="S83" s="164"/>
    </row>
    <row r="84" spans="1:19" ht="15.75" x14ac:dyDescent="0.25">
      <c r="A84" s="58"/>
      <c r="B84" s="59"/>
      <c r="C84" s="59"/>
      <c r="D84" s="59"/>
      <c r="E84" s="60"/>
      <c r="F84" s="80"/>
      <c r="G84" s="81"/>
      <c r="H84" s="81"/>
      <c r="I84" s="53"/>
      <c r="J84" s="75"/>
      <c r="K84" s="75"/>
      <c r="L84" s="63" t="s">
        <v>333</v>
      </c>
      <c r="M84" s="61" t="s">
        <v>334</v>
      </c>
      <c r="N84" s="113" t="s">
        <v>34</v>
      </c>
      <c r="O84" s="62">
        <v>3</v>
      </c>
      <c r="P84" s="97"/>
      <c r="Q84" s="62"/>
      <c r="R84" s="62"/>
      <c r="S84" s="164"/>
    </row>
    <row r="85" spans="1:19" ht="15.75" x14ac:dyDescent="0.25">
      <c r="A85" s="58"/>
      <c r="B85" s="59"/>
      <c r="C85" s="59"/>
      <c r="D85" s="59"/>
      <c r="E85" s="60"/>
      <c r="F85" s="80"/>
      <c r="G85" s="81"/>
      <c r="H85" s="81"/>
      <c r="I85" s="53"/>
      <c r="J85" s="75"/>
      <c r="K85" s="75"/>
      <c r="L85" s="63" t="s">
        <v>768</v>
      </c>
      <c r="M85" s="61" t="s">
        <v>769</v>
      </c>
      <c r="N85" s="113" t="s">
        <v>34</v>
      </c>
      <c r="O85" s="62">
        <v>36</v>
      </c>
      <c r="P85" s="97"/>
      <c r="Q85" s="62"/>
      <c r="R85" s="62"/>
      <c r="S85" s="164"/>
    </row>
    <row r="86" spans="1:19" ht="15.75" x14ac:dyDescent="0.25">
      <c r="A86" s="58"/>
      <c r="B86" s="59"/>
      <c r="C86" s="59"/>
      <c r="D86" s="59"/>
      <c r="E86" s="60"/>
      <c r="F86" s="80"/>
      <c r="G86" s="81"/>
      <c r="H86" s="81"/>
      <c r="I86" s="53"/>
      <c r="J86" s="75"/>
      <c r="K86" s="75"/>
      <c r="L86" s="63" t="s">
        <v>770</v>
      </c>
      <c r="M86" s="61" t="s">
        <v>771</v>
      </c>
      <c r="N86" s="113" t="s">
        <v>34</v>
      </c>
      <c r="O86" s="62">
        <v>36</v>
      </c>
      <c r="P86" s="97"/>
      <c r="Q86" s="62"/>
      <c r="R86" s="62"/>
      <c r="S86" s="164"/>
    </row>
    <row r="87" spans="1:19" ht="15.75" x14ac:dyDescent="0.25">
      <c r="A87" s="58"/>
      <c r="B87" s="59"/>
      <c r="C87" s="59"/>
      <c r="D87" s="59"/>
      <c r="E87" s="60"/>
      <c r="F87" s="80"/>
      <c r="G87" s="81"/>
      <c r="H87" s="81"/>
      <c r="I87" s="53"/>
      <c r="J87" s="75"/>
      <c r="K87" s="75"/>
      <c r="L87" s="63">
        <v>21688</v>
      </c>
      <c r="M87" s="61" t="s">
        <v>337</v>
      </c>
      <c r="N87" s="113" t="s">
        <v>34</v>
      </c>
      <c r="O87" s="62">
        <v>2</v>
      </c>
      <c r="P87" s="97"/>
      <c r="Q87" s="62"/>
      <c r="R87" s="62"/>
      <c r="S87" s="164"/>
    </row>
    <row r="88" spans="1:19" ht="15.75" x14ac:dyDescent="0.25">
      <c r="A88" s="58"/>
      <c r="B88" s="59"/>
      <c r="C88" s="59"/>
      <c r="D88" s="59"/>
      <c r="E88" s="60"/>
      <c r="F88" s="80"/>
      <c r="G88" s="81"/>
      <c r="H88" s="81"/>
      <c r="I88" s="53"/>
      <c r="J88" s="75"/>
      <c r="K88" s="75"/>
      <c r="L88" s="63">
        <v>20679</v>
      </c>
      <c r="M88" s="61" t="s">
        <v>81</v>
      </c>
      <c r="N88" s="113" t="s">
        <v>34</v>
      </c>
      <c r="O88" s="62">
        <v>254</v>
      </c>
      <c r="P88" s="97"/>
      <c r="Q88" s="62"/>
      <c r="R88" s="62"/>
      <c r="S88" s="164"/>
    </row>
    <row r="89" spans="1:19" ht="15.75" x14ac:dyDescent="0.25">
      <c r="A89" s="58"/>
      <c r="B89" s="59"/>
      <c r="C89" s="59"/>
      <c r="D89" s="59"/>
      <c r="E89" s="60"/>
      <c r="F89" s="80"/>
      <c r="G89" s="81"/>
      <c r="H89" s="81"/>
      <c r="I89" s="53"/>
      <c r="J89" s="75"/>
      <c r="K89" s="75"/>
      <c r="L89" s="63" t="s">
        <v>338</v>
      </c>
      <c r="M89" s="61" t="s">
        <v>339</v>
      </c>
      <c r="N89" s="113" t="s">
        <v>34</v>
      </c>
      <c r="O89" s="62">
        <v>1</v>
      </c>
      <c r="P89" s="97"/>
      <c r="Q89" s="62"/>
      <c r="R89" s="62"/>
      <c r="S89" s="164"/>
    </row>
    <row r="90" spans="1:19" ht="15.75" x14ac:dyDescent="0.25">
      <c r="A90" s="58"/>
      <c r="B90" s="59"/>
      <c r="C90" s="59"/>
      <c r="D90" s="59"/>
      <c r="E90" s="60"/>
      <c r="F90" s="80"/>
      <c r="G90" s="81"/>
      <c r="H90" s="81"/>
      <c r="I90" s="53"/>
      <c r="J90" s="75"/>
      <c r="K90" s="75"/>
      <c r="L90" s="63" t="s">
        <v>340</v>
      </c>
      <c r="M90" s="61" t="s">
        <v>341</v>
      </c>
      <c r="N90" s="113" t="s">
        <v>34</v>
      </c>
      <c r="O90" s="62">
        <v>5</v>
      </c>
      <c r="P90" s="97"/>
      <c r="Q90" s="62"/>
      <c r="R90" s="62"/>
      <c r="S90" s="164"/>
    </row>
    <row r="91" spans="1:19" ht="15.75" x14ac:dyDescent="0.25">
      <c r="A91" s="58"/>
      <c r="B91" s="59"/>
      <c r="C91" s="59"/>
      <c r="D91" s="59"/>
      <c r="E91" s="60"/>
      <c r="F91" s="80"/>
      <c r="G91" s="81"/>
      <c r="H91" s="81"/>
      <c r="I91" s="53"/>
      <c r="J91" s="75"/>
      <c r="K91" s="75"/>
      <c r="L91" s="63" t="s">
        <v>525</v>
      </c>
      <c r="M91" s="61" t="s">
        <v>526</v>
      </c>
      <c r="N91" s="113" t="s">
        <v>34</v>
      </c>
      <c r="O91" s="62">
        <v>5</v>
      </c>
      <c r="P91" s="97"/>
      <c r="Q91" s="62"/>
      <c r="R91" s="62"/>
      <c r="S91" s="164"/>
    </row>
    <row r="92" spans="1:19" ht="15.75" x14ac:dyDescent="0.25">
      <c r="A92" s="58"/>
      <c r="B92" s="59"/>
      <c r="C92" s="59"/>
      <c r="D92" s="59"/>
      <c r="E92" s="60"/>
      <c r="F92" s="80"/>
      <c r="G92" s="81"/>
      <c r="H92" s="81"/>
      <c r="I92" s="53"/>
      <c r="J92" s="75"/>
      <c r="K92" s="75"/>
      <c r="L92" s="63" t="s">
        <v>342</v>
      </c>
      <c r="M92" s="61" t="s">
        <v>343</v>
      </c>
      <c r="N92" s="113" t="s">
        <v>34</v>
      </c>
      <c r="O92" s="62">
        <v>1.5</v>
      </c>
      <c r="P92" s="97"/>
      <c r="Q92" s="62"/>
      <c r="R92" s="62"/>
      <c r="S92" s="164"/>
    </row>
    <row r="93" spans="1:19" ht="15.75" x14ac:dyDescent="0.25">
      <c r="A93" s="58"/>
      <c r="B93" s="59"/>
      <c r="C93" s="59"/>
      <c r="D93" s="59"/>
      <c r="E93" s="60"/>
      <c r="F93" s="80"/>
      <c r="G93" s="81"/>
      <c r="H93" s="81"/>
      <c r="I93" s="53"/>
      <c r="J93" s="75"/>
      <c r="K93" s="75"/>
      <c r="L93" s="63" t="s">
        <v>344</v>
      </c>
      <c r="M93" s="61" t="s">
        <v>345</v>
      </c>
      <c r="N93" s="113" t="s">
        <v>34</v>
      </c>
      <c r="O93" s="62">
        <v>1</v>
      </c>
      <c r="P93" s="97"/>
      <c r="Q93" s="62"/>
      <c r="R93" s="62"/>
      <c r="S93" s="164"/>
    </row>
    <row r="94" spans="1:19" ht="15.75" x14ac:dyDescent="0.25">
      <c r="A94" s="58"/>
      <c r="B94" s="59"/>
      <c r="C94" s="59"/>
      <c r="D94" s="59"/>
      <c r="E94" s="60"/>
      <c r="F94" s="80"/>
      <c r="G94" s="81"/>
      <c r="H94" s="81"/>
      <c r="I94" s="53"/>
      <c r="J94" s="75"/>
      <c r="K94" s="75"/>
      <c r="L94" s="63">
        <v>21201</v>
      </c>
      <c r="M94" s="61" t="s">
        <v>346</v>
      </c>
      <c r="N94" s="113" t="s">
        <v>34</v>
      </c>
      <c r="O94" s="62">
        <v>1</v>
      </c>
      <c r="P94" s="97"/>
      <c r="Q94" s="62"/>
      <c r="R94" s="62"/>
      <c r="S94" s="164"/>
    </row>
    <row r="95" spans="1:19" ht="15.75" x14ac:dyDescent="0.25">
      <c r="A95" s="58"/>
      <c r="B95" s="59"/>
      <c r="C95" s="59"/>
      <c r="D95" s="59"/>
      <c r="E95" s="60"/>
      <c r="F95" s="80"/>
      <c r="G95" s="81"/>
      <c r="H95" s="81"/>
      <c r="I95" s="53"/>
      <c r="J95" s="75"/>
      <c r="K95" s="75"/>
      <c r="L95" s="63" t="s">
        <v>756</v>
      </c>
      <c r="M95" s="61" t="s">
        <v>348</v>
      </c>
      <c r="N95" s="113" t="s">
        <v>34</v>
      </c>
      <c r="O95" s="62">
        <v>2</v>
      </c>
      <c r="P95" s="97"/>
      <c r="Q95" s="97"/>
      <c r="R95" s="101"/>
      <c r="S95" s="164"/>
    </row>
    <row r="96" spans="1:19" ht="15.75" x14ac:dyDescent="0.25">
      <c r="A96" s="58"/>
      <c r="B96" s="59"/>
      <c r="C96" s="59"/>
      <c r="D96" s="59"/>
      <c r="E96" s="60"/>
      <c r="F96" s="80"/>
      <c r="G96" s="81"/>
      <c r="H96" s="81"/>
      <c r="I96" s="53"/>
      <c r="J96" s="75"/>
      <c r="K96" s="75"/>
      <c r="L96" s="63">
        <v>14244</v>
      </c>
      <c r="M96" s="61" t="s">
        <v>767</v>
      </c>
      <c r="N96" s="113" t="s">
        <v>34</v>
      </c>
      <c r="O96" s="62">
        <v>10</v>
      </c>
      <c r="P96" s="97"/>
      <c r="Q96" s="62"/>
      <c r="R96" s="62"/>
      <c r="S96" s="164"/>
    </row>
    <row r="97" spans="1:19" ht="15.75" x14ac:dyDescent="0.25">
      <c r="A97" s="58"/>
      <c r="B97" s="59"/>
      <c r="C97" s="59"/>
      <c r="D97" s="59"/>
      <c r="E97" s="60"/>
      <c r="F97" s="80"/>
      <c r="G97" s="81"/>
      <c r="H97" s="81"/>
      <c r="I97" s="53"/>
      <c r="J97" s="75"/>
      <c r="K97" s="75"/>
      <c r="L97" s="63" t="s">
        <v>350</v>
      </c>
      <c r="M97" s="61" t="s">
        <v>351</v>
      </c>
      <c r="N97" s="113" t="s">
        <v>34</v>
      </c>
      <c r="O97" s="62">
        <v>18</v>
      </c>
      <c r="P97" s="97"/>
      <c r="Q97" s="62"/>
      <c r="R97" s="62"/>
      <c r="S97" s="164"/>
    </row>
    <row r="98" spans="1:19" ht="15.75" x14ac:dyDescent="0.25">
      <c r="A98" s="58"/>
      <c r="B98" s="59"/>
      <c r="C98" s="59"/>
      <c r="D98" s="59"/>
      <c r="E98" s="60"/>
      <c r="F98" s="80"/>
      <c r="G98" s="81"/>
      <c r="H98" s="81"/>
      <c r="I98" s="53"/>
      <c r="J98" s="75"/>
      <c r="K98" s="75"/>
      <c r="L98" s="63" t="s">
        <v>352</v>
      </c>
      <c r="M98" s="61" t="s">
        <v>353</v>
      </c>
      <c r="N98" s="113" t="s">
        <v>34</v>
      </c>
      <c r="O98" s="62">
        <v>34</v>
      </c>
      <c r="P98" s="97"/>
      <c r="Q98" s="62"/>
      <c r="R98" s="62"/>
      <c r="S98" s="164"/>
    </row>
    <row r="99" spans="1:19" ht="15.75" x14ac:dyDescent="0.25">
      <c r="A99" s="58"/>
      <c r="B99" s="59"/>
      <c r="C99" s="59"/>
      <c r="D99" s="59"/>
      <c r="E99" s="60"/>
      <c r="F99" s="80"/>
      <c r="G99" s="81"/>
      <c r="H99" s="81"/>
      <c r="I99" s="53"/>
      <c r="J99" s="75"/>
      <c r="K99" s="75"/>
      <c r="L99" s="63" t="s">
        <v>354</v>
      </c>
      <c r="M99" s="61" t="s">
        <v>355</v>
      </c>
      <c r="N99" s="113" t="s">
        <v>34</v>
      </c>
      <c r="O99" s="62">
        <v>6</v>
      </c>
      <c r="P99" s="97"/>
      <c r="Q99" s="62"/>
      <c r="R99" s="62"/>
      <c r="S99" s="164"/>
    </row>
    <row r="100" spans="1:19" ht="15.75" x14ac:dyDescent="0.25">
      <c r="A100" s="58"/>
      <c r="B100" s="59"/>
      <c r="C100" s="59"/>
      <c r="D100" s="59"/>
      <c r="E100" s="60"/>
      <c r="F100" s="80"/>
      <c r="G100" s="81"/>
      <c r="H100" s="81"/>
      <c r="I100" s="53"/>
      <c r="J100" s="75"/>
      <c r="K100" s="75"/>
      <c r="L100" s="63" t="s">
        <v>730</v>
      </c>
      <c r="M100" s="61" t="s">
        <v>731</v>
      </c>
      <c r="N100" s="113" t="s">
        <v>34</v>
      </c>
      <c r="O100" s="62">
        <v>4</v>
      </c>
      <c r="P100" s="97"/>
      <c r="Q100" s="62"/>
      <c r="R100" s="62"/>
      <c r="S100" s="164"/>
    </row>
    <row r="101" spans="1:19" ht="15.75" x14ac:dyDescent="0.25">
      <c r="A101" s="58"/>
      <c r="B101" s="59"/>
      <c r="C101" s="59"/>
      <c r="D101" s="59"/>
      <c r="E101" s="60"/>
      <c r="F101" s="80"/>
      <c r="G101" s="81"/>
      <c r="H101" s="81"/>
      <c r="I101" s="53"/>
      <c r="J101" s="75"/>
      <c r="K101" s="75"/>
      <c r="L101" s="63">
        <v>19376</v>
      </c>
      <c r="M101" s="61" t="s">
        <v>358</v>
      </c>
      <c r="N101" s="55" t="s">
        <v>34</v>
      </c>
      <c r="O101" s="62">
        <v>1</v>
      </c>
      <c r="P101" s="97"/>
      <c r="Q101" s="62"/>
      <c r="R101" s="62"/>
      <c r="S101" s="164"/>
    </row>
    <row r="102" spans="1:19" ht="15.75" x14ac:dyDescent="0.25">
      <c r="A102" s="58"/>
      <c r="B102" s="59"/>
      <c r="C102" s="59"/>
      <c r="D102" s="59"/>
      <c r="E102" s="60"/>
      <c r="F102" s="80"/>
      <c r="G102" s="81"/>
      <c r="H102" s="81"/>
      <c r="I102" s="53"/>
      <c r="J102" s="75"/>
      <c r="K102" s="75"/>
      <c r="L102" s="63" t="s">
        <v>359</v>
      </c>
      <c r="M102" s="61" t="s">
        <v>360</v>
      </c>
      <c r="N102" s="55" t="s">
        <v>34</v>
      </c>
      <c r="O102" s="62">
        <v>1</v>
      </c>
      <c r="P102" s="97"/>
      <c r="Q102" s="62"/>
      <c r="R102" s="62"/>
      <c r="S102" s="164"/>
    </row>
    <row r="103" spans="1:19" ht="15.75" x14ac:dyDescent="0.25">
      <c r="A103" s="58"/>
      <c r="B103" s="59"/>
      <c r="C103" s="59"/>
      <c r="D103" s="59"/>
      <c r="E103" s="60"/>
      <c r="F103" s="80"/>
      <c r="G103" s="81"/>
      <c r="H103" s="81"/>
      <c r="I103" s="53"/>
      <c r="J103" s="75"/>
      <c r="K103" s="75"/>
      <c r="L103" s="63" t="s">
        <v>361</v>
      </c>
      <c r="M103" s="61" t="s">
        <v>362</v>
      </c>
      <c r="N103" s="55" t="s">
        <v>34</v>
      </c>
      <c r="O103" s="62">
        <v>1</v>
      </c>
      <c r="P103" s="97"/>
      <c r="Q103" s="62"/>
      <c r="R103" s="62"/>
      <c r="S103" s="164"/>
    </row>
    <row r="104" spans="1:19" ht="15.75" x14ac:dyDescent="0.25">
      <c r="A104" s="58"/>
      <c r="B104" s="59"/>
      <c r="C104" s="59"/>
      <c r="D104" s="59"/>
      <c r="E104" s="60"/>
      <c r="F104" s="80"/>
      <c r="G104" s="81"/>
      <c r="H104" s="81"/>
      <c r="I104" s="53"/>
      <c r="J104" s="75"/>
      <c r="K104" s="75"/>
      <c r="L104" s="63" t="s">
        <v>363</v>
      </c>
      <c r="M104" s="61" t="s">
        <v>364</v>
      </c>
      <c r="N104" s="55" t="s">
        <v>34</v>
      </c>
      <c r="O104" s="62">
        <v>4</v>
      </c>
      <c r="P104" s="97"/>
      <c r="Q104" s="62"/>
      <c r="R104" s="62"/>
      <c r="S104" s="164"/>
    </row>
    <row r="105" spans="1:19" ht="15.75" x14ac:dyDescent="0.25">
      <c r="A105" s="58"/>
      <c r="B105" s="59"/>
      <c r="C105" s="59"/>
      <c r="D105" s="59"/>
      <c r="E105" s="60"/>
      <c r="F105" s="80"/>
      <c r="G105" s="81"/>
      <c r="H105" s="81"/>
      <c r="I105" s="53"/>
      <c r="J105" s="75"/>
      <c r="K105" s="75"/>
      <c r="L105" s="63" t="s">
        <v>365</v>
      </c>
      <c r="M105" s="61" t="s">
        <v>366</v>
      </c>
      <c r="N105" s="55" t="s">
        <v>34</v>
      </c>
      <c r="O105" s="62">
        <v>20</v>
      </c>
      <c r="P105" s="97"/>
      <c r="Q105" s="62"/>
      <c r="R105" s="62"/>
      <c r="S105" s="164"/>
    </row>
    <row r="106" spans="1:19" ht="15.75" x14ac:dyDescent="0.25">
      <c r="A106" s="58"/>
      <c r="B106" s="59"/>
      <c r="C106" s="59"/>
      <c r="D106" s="59"/>
      <c r="E106" s="60"/>
      <c r="F106" s="80"/>
      <c r="G106" s="81"/>
      <c r="H106" s="81"/>
      <c r="I106" s="53"/>
      <c r="J106" s="75"/>
      <c r="K106" s="75"/>
      <c r="L106" s="63" t="s">
        <v>369</v>
      </c>
      <c r="M106" s="61" t="s">
        <v>733</v>
      </c>
      <c r="N106" s="113" t="s">
        <v>34</v>
      </c>
      <c r="O106" s="62">
        <v>3</v>
      </c>
      <c r="P106" s="97"/>
      <c r="Q106" s="62"/>
      <c r="R106" s="62"/>
      <c r="S106" s="164"/>
    </row>
    <row r="107" spans="1:19" ht="15.75" x14ac:dyDescent="0.25">
      <c r="A107" s="58"/>
      <c r="B107" s="59"/>
      <c r="C107" s="59"/>
      <c r="D107" s="59"/>
      <c r="E107" s="60"/>
      <c r="F107" s="80"/>
      <c r="G107" s="81"/>
      <c r="H107" s="81"/>
      <c r="I107" s="53"/>
      <c r="J107" s="75"/>
      <c r="K107" s="75"/>
      <c r="L107" s="63" t="s">
        <v>371</v>
      </c>
      <c r="M107" s="61" t="s">
        <v>372</v>
      </c>
      <c r="N107" s="113" t="s">
        <v>34</v>
      </c>
      <c r="O107" s="62">
        <v>54</v>
      </c>
      <c r="P107" s="97"/>
      <c r="Q107" s="62"/>
      <c r="R107" s="62"/>
      <c r="S107" s="164"/>
    </row>
    <row r="108" spans="1:19" ht="15.75" x14ac:dyDescent="0.25">
      <c r="A108" s="58"/>
      <c r="B108" s="59"/>
      <c r="C108" s="59"/>
      <c r="D108" s="59"/>
      <c r="E108" s="60"/>
      <c r="F108" s="80"/>
      <c r="G108" s="81"/>
      <c r="H108" s="81"/>
      <c r="I108" s="53"/>
      <c r="J108" s="75"/>
      <c r="K108" s="75"/>
      <c r="L108" s="63" t="s">
        <v>373</v>
      </c>
      <c r="M108" s="61" t="s">
        <v>374</v>
      </c>
      <c r="N108" s="113" t="s">
        <v>34</v>
      </c>
      <c r="O108" s="62">
        <v>12</v>
      </c>
      <c r="P108" s="97"/>
      <c r="Q108" s="62"/>
      <c r="R108" s="62"/>
      <c r="S108" s="164"/>
    </row>
    <row r="109" spans="1:19" ht="15.75" x14ac:dyDescent="0.25">
      <c r="A109" s="58"/>
      <c r="B109" s="59"/>
      <c r="C109" s="59"/>
      <c r="D109" s="59"/>
      <c r="E109" s="60"/>
      <c r="F109" s="80"/>
      <c r="G109" s="81"/>
      <c r="H109" s="81"/>
      <c r="I109" s="53"/>
      <c r="J109" s="75"/>
      <c r="K109" s="75"/>
      <c r="L109" s="63">
        <v>21939</v>
      </c>
      <c r="M109" s="61" t="s">
        <v>375</v>
      </c>
      <c r="N109" s="113" t="s">
        <v>34</v>
      </c>
      <c r="O109" s="62">
        <v>18</v>
      </c>
      <c r="P109" s="97"/>
      <c r="Q109" s="62"/>
      <c r="R109" s="62"/>
      <c r="S109" s="164"/>
    </row>
    <row r="110" spans="1:19" ht="15.75" x14ac:dyDescent="0.25">
      <c r="A110" s="58"/>
      <c r="B110" s="59"/>
      <c r="C110" s="59"/>
      <c r="D110" s="59"/>
      <c r="E110" s="60"/>
      <c r="F110" s="80"/>
      <c r="G110" s="81"/>
      <c r="H110" s="81"/>
      <c r="I110" s="53"/>
      <c r="J110" s="75"/>
      <c r="K110" s="75"/>
      <c r="L110" s="63" t="s">
        <v>376</v>
      </c>
      <c r="M110" s="61" t="s">
        <v>377</v>
      </c>
      <c r="N110" s="55" t="s">
        <v>34</v>
      </c>
      <c r="O110" s="62">
        <v>1</v>
      </c>
      <c r="P110" s="97"/>
      <c r="Q110" s="62"/>
      <c r="R110" s="62"/>
      <c r="S110" s="164"/>
    </row>
    <row r="111" spans="1:19" ht="15.75" x14ac:dyDescent="0.25">
      <c r="A111" s="58"/>
      <c r="B111" s="59"/>
      <c r="C111" s="59"/>
      <c r="D111" s="59"/>
      <c r="E111" s="60"/>
      <c r="F111" s="80"/>
      <c r="G111" s="81"/>
      <c r="H111" s="81"/>
      <c r="I111" s="53"/>
      <c r="J111" s="75"/>
      <c r="K111" s="75"/>
      <c r="L111" s="63" t="s">
        <v>378</v>
      </c>
      <c r="M111" s="61" t="s">
        <v>379</v>
      </c>
      <c r="N111" s="55" t="s">
        <v>34</v>
      </c>
      <c r="O111" s="62">
        <v>5</v>
      </c>
      <c r="P111" s="97"/>
      <c r="Q111" s="62"/>
      <c r="R111" s="62"/>
      <c r="S111" s="164"/>
    </row>
    <row r="112" spans="1:19" ht="15.75" x14ac:dyDescent="0.25">
      <c r="A112" s="58"/>
      <c r="B112" s="59"/>
      <c r="C112" s="59"/>
      <c r="D112" s="59"/>
      <c r="E112" s="60"/>
      <c r="F112" s="80"/>
      <c r="G112" s="81"/>
      <c r="H112" s="81"/>
      <c r="I112" s="53"/>
      <c r="J112" s="75"/>
      <c r="K112" s="75"/>
      <c r="L112" s="144" t="s">
        <v>380</v>
      </c>
      <c r="M112" s="61" t="s">
        <v>381</v>
      </c>
      <c r="N112" s="55" t="s">
        <v>34</v>
      </c>
      <c r="O112" s="62">
        <v>5</v>
      </c>
      <c r="P112" s="97"/>
      <c r="Q112" s="62"/>
      <c r="R112" s="62"/>
      <c r="S112" s="164"/>
    </row>
    <row r="113" spans="1:19" ht="15.75" x14ac:dyDescent="0.25">
      <c r="A113" s="58"/>
      <c r="B113" s="59"/>
      <c r="C113" s="59"/>
      <c r="D113" s="59"/>
      <c r="E113" s="60"/>
      <c r="F113" s="80"/>
      <c r="G113" s="81"/>
      <c r="H113" s="81"/>
      <c r="I113" s="53"/>
      <c r="J113" s="75"/>
      <c r="K113" s="75"/>
      <c r="L113" s="63" t="s">
        <v>83</v>
      </c>
      <c r="M113" s="61" t="s">
        <v>84</v>
      </c>
      <c r="N113" s="55" t="s">
        <v>37</v>
      </c>
      <c r="O113" s="62">
        <v>16</v>
      </c>
      <c r="P113" s="97"/>
      <c r="Q113" s="62"/>
      <c r="R113" s="62"/>
      <c r="S113" s="164"/>
    </row>
    <row r="114" spans="1:19" ht="15.75" x14ac:dyDescent="0.25">
      <c r="A114" s="58"/>
      <c r="B114" s="59"/>
      <c r="C114" s="59"/>
      <c r="D114" s="59"/>
      <c r="E114" s="60"/>
      <c r="F114" s="80"/>
      <c r="G114" s="81"/>
      <c r="H114" s="81"/>
      <c r="I114" s="53"/>
      <c r="J114" s="75"/>
      <c r="K114" s="75"/>
      <c r="L114" s="63" t="s">
        <v>53</v>
      </c>
      <c r="M114" s="61" t="s">
        <v>85</v>
      </c>
      <c r="N114" s="55" t="s">
        <v>34</v>
      </c>
      <c r="O114" s="62">
        <v>10</v>
      </c>
      <c r="P114" s="97"/>
      <c r="Q114" s="62"/>
      <c r="R114" s="62"/>
      <c r="S114" s="164"/>
    </row>
    <row r="115" spans="1:19" ht="15.75" x14ac:dyDescent="0.25">
      <c r="A115" s="58"/>
      <c r="B115" s="59"/>
      <c r="C115" s="59"/>
      <c r="D115" s="59"/>
      <c r="E115" s="60"/>
      <c r="F115" s="80"/>
      <c r="G115" s="81"/>
      <c r="H115" s="81"/>
      <c r="I115" s="53"/>
      <c r="J115" s="75"/>
      <c r="K115" s="75"/>
      <c r="L115" s="63" t="s">
        <v>54</v>
      </c>
      <c r="M115" s="61" t="s">
        <v>86</v>
      </c>
      <c r="N115" s="55" t="s">
        <v>34</v>
      </c>
      <c r="O115" s="62">
        <v>40</v>
      </c>
      <c r="P115" s="97"/>
      <c r="Q115" s="62"/>
      <c r="R115" s="62"/>
      <c r="S115" s="164"/>
    </row>
    <row r="116" spans="1:19" ht="15.75" x14ac:dyDescent="0.25">
      <c r="A116" s="58"/>
      <c r="B116" s="59"/>
      <c r="C116" s="59"/>
      <c r="D116" s="59"/>
      <c r="E116" s="60"/>
      <c r="F116" s="80"/>
      <c r="G116" s="81"/>
      <c r="H116" s="81"/>
      <c r="I116" s="53"/>
      <c r="J116" s="75"/>
      <c r="K116" s="75"/>
      <c r="L116" s="63">
        <v>106</v>
      </c>
      <c r="M116" s="61" t="s">
        <v>382</v>
      </c>
      <c r="N116" s="55" t="s">
        <v>34</v>
      </c>
      <c r="O116" s="62">
        <v>20</v>
      </c>
      <c r="P116" s="97"/>
      <c r="Q116" s="97"/>
      <c r="R116" s="101"/>
      <c r="S116" s="164"/>
    </row>
    <row r="117" spans="1:19" ht="15.75" x14ac:dyDescent="0.25">
      <c r="A117" s="58"/>
      <c r="B117" s="59"/>
      <c r="C117" s="59"/>
      <c r="D117" s="59"/>
      <c r="E117" s="60"/>
      <c r="F117" s="80"/>
      <c r="G117" s="81"/>
      <c r="H117" s="81"/>
      <c r="I117" s="53"/>
      <c r="J117" s="75"/>
      <c r="K117" s="75"/>
      <c r="L117" s="63">
        <v>9893</v>
      </c>
      <c r="M117" s="61" t="s">
        <v>383</v>
      </c>
      <c r="N117" s="55" t="s">
        <v>34</v>
      </c>
      <c r="O117" s="62">
        <v>1</v>
      </c>
      <c r="P117" s="97"/>
      <c r="Q117" s="62"/>
      <c r="R117" s="62"/>
      <c r="S117" s="164"/>
    </row>
    <row r="118" spans="1:19" ht="15.75" x14ac:dyDescent="0.25">
      <c r="A118" s="58"/>
      <c r="B118" s="59"/>
      <c r="C118" s="59"/>
      <c r="D118" s="59"/>
      <c r="E118" s="60"/>
      <c r="F118" s="80"/>
      <c r="G118" s="81"/>
      <c r="H118" s="81"/>
      <c r="I118" s="53"/>
      <c r="J118" s="75"/>
      <c r="K118" s="75"/>
      <c r="L118" s="63">
        <v>3893</v>
      </c>
      <c r="M118" s="61" t="s">
        <v>87</v>
      </c>
      <c r="N118" s="55" t="s">
        <v>63</v>
      </c>
      <c r="O118" s="62">
        <v>0.113</v>
      </c>
      <c r="P118" s="97"/>
      <c r="Q118" s="62"/>
      <c r="R118" s="62"/>
      <c r="S118" s="164"/>
    </row>
    <row r="119" spans="1:19" ht="15.75" x14ac:dyDescent="0.25">
      <c r="A119" s="58"/>
      <c r="B119" s="59"/>
      <c r="C119" s="59"/>
      <c r="D119" s="59"/>
      <c r="E119" s="60"/>
      <c r="F119" s="80"/>
      <c r="G119" s="81"/>
      <c r="H119" s="81"/>
      <c r="I119" s="53"/>
      <c r="J119" s="75"/>
      <c r="K119" s="75"/>
      <c r="L119" s="63">
        <v>6597</v>
      </c>
      <c r="M119" s="61" t="s">
        <v>384</v>
      </c>
      <c r="N119" s="55" t="s">
        <v>63</v>
      </c>
      <c r="O119" s="62">
        <v>0.25</v>
      </c>
      <c r="P119" s="97"/>
      <c r="Q119" s="62"/>
      <c r="R119" s="62"/>
      <c r="S119" s="164"/>
    </row>
    <row r="120" spans="1:19" ht="15.75" x14ac:dyDescent="0.25">
      <c r="A120" s="58"/>
      <c r="B120" s="59"/>
      <c r="C120" s="59"/>
      <c r="D120" s="59"/>
      <c r="E120" s="60"/>
      <c r="F120" s="80"/>
      <c r="G120" s="81"/>
      <c r="H120" s="81"/>
      <c r="I120" s="53"/>
      <c r="J120" s="75"/>
      <c r="K120" s="75"/>
      <c r="L120" s="63">
        <v>17298</v>
      </c>
      <c r="M120" s="61" t="s">
        <v>88</v>
      </c>
      <c r="N120" s="113" t="s">
        <v>63</v>
      </c>
      <c r="O120" s="62">
        <v>0.05</v>
      </c>
      <c r="P120" s="97"/>
      <c r="Q120" s="62"/>
      <c r="R120" s="62"/>
      <c r="S120" s="164"/>
    </row>
    <row r="121" spans="1:19" ht="15.75" x14ac:dyDescent="0.25">
      <c r="A121" s="58"/>
      <c r="B121" s="59"/>
      <c r="C121" s="59"/>
      <c r="D121" s="59"/>
      <c r="E121" s="60"/>
      <c r="F121" s="80"/>
      <c r="G121" s="81"/>
      <c r="H121" s="81"/>
      <c r="I121" s="53"/>
      <c r="J121" s="75"/>
      <c r="K121" s="75"/>
      <c r="L121" s="63" t="s">
        <v>40</v>
      </c>
      <c r="M121" s="61" t="s">
        <v>89</v>
      </c>
      <c r="N121" s="113" t="s">
        <v>63</v>
      </c>
      <c r="O121" s="62">
        <v>0.1265</v>
      </c>
      <c r="P121" s="97"/>
      <c r="Q121" s="62"/>
      <c r="R121" s="62"/>
      <c r="S121" s="164"/>
    </row>
    <row r="122" spans="1:19" ht="15.75" x14ac:dyDescent="0.25">
      <c r="A122" s="58"/>
      <c r="B122" s="59"/>
      <c r="C122" s="59"/>
      <c r="D122" s="59"/>
      <c r="E122" s="60"/>
      <c r="F122" s="80"/>
      <c r="G122" s="81"/>
      <c r="H122" s="81"/>
      <c r="I122" s="53"/>
      <c r="J122" s="75"/>
      <c r="K122" s="75"/>
      <c r="L122" s="63">
        <v>17403</v>
      </c>
      <c r="M122" s="61" t="s">
        <v>192</v>
      </c>
      <c r="N122" s="113" t="s">
        <v>63</v>
      </c>
      <c r="O122" s="62">
        <v>0.06</v>
      </c>
      <c r="P122" s="97"/>
      <c r="Q122" s="62"/>
      <c r="R122" s="62"/>
      <c r="S122" s="164"/>
    </row>
    <row r="123" spans="1:19" ht="15.75" x14ac:dyDescent="0.25">
      <c r="A123" s="58"/>
      <c r="B123" s="59"/>
      <c r="C123" s="59"/>
      <c r="D123" s="59"/>
      <c r="E123" s="60"/>
      <c r="F123" s="80"/>
      <c r="G123" s="81"/>
      <c r="H123" s="81"/>
      <c r="I123" s="53"/>
      <c r="J123" s="75"/>
      <c r="K123" s="75"/>
      <c r="L123" s="63">
        <v>4057</v>
      </c>
      <c r="M123" s="61" t="s">
        <v>193</v>
      </c>
      <c r="N123" s="113" t="s">
        <v>63</v>
      </c>
      <c r="O123" s="62">
        <v>0.14000000000000001</v>
      </c>
      <c r="P123" s="97"/>
      <c r="Q123" s="62"/>
      <c r="R123" s="62"/>
      <c r="S123" s="164"/>
    </row>
    <row r="124" spans="1:19" ht="15.75" x14ac:dyDescent="0.25">
      <c r="A124" s="58"/>
      <c r="B124" s="59"/>
      <c r="C124" s="59"/>
      <c r="D124" s="59"/>
      <c r="E124" s="60"/>
      <c r="F124" s="80"/>
      <c r="G124" s="81"/>
      <c r="H124" s="81"/>
      <c r="I124" s="53"/>
      <c r="J124" s="75"/>
      <c r="K124" s="75"/>
      <c r="L124" s="63" t="s">
        <v>385</v>
      </c>
      <c r="M124" s="61" t="s">
        <v>386</v>
      </c>
      <c r="N124" s="113" t="s">
        <v>34</v>
      </c>
      <c r="O124" s="62">
        <v>2</v>
      </c>
      <c r="P124" s="97"/>
      <c r="Q124" s="62"/>
      <c r="R124" s="62"/>
      <c r="S124" s="164"/>
    </row>
    <row r="125" spans="1:19" ht="15.75" x14ac:dyDescent="0.25">
      <c r="A125" s="58"/>
      <c r="B125" s="59"/>
      <c r="C125" s="59"/>
      <c r="D125" s="59"/>
      <c r="E125" s="60"/>
      <c r="F125" s="80"/>
      <c r="G125" s="81"/>
      <c r="H125" s="81"/>
      <c r="I125" s="53"/>
      <c r="J125" s="75"/>
      <c r="K125" s="75"/>
      <c r="L125" s="63" t="s">
        <v>387</v>
      </c>
      <c r="M125" s="61" t="s">
        <v>388</v>
      </c>
      <c r="N125" s="113" t="s">
        <v>34</v>
      </c>
      <c r="O125" s="62">
        <v>2</v>
      </c>
      <c r="P125" s="97"/>
      <c r="Q125" s="62"/>
      <c r="R125" s="62"/>
      <c r="S125" s="164"/>
    </row>
    <row r="126" spans="1:19" ht="15.75" x14ac:dyDescent="0.25">
      <c r="A126" s="58"/>
      <c r="B126" s="59"/>
      <c r="C126" s="59"/>
      <c r="D126" s="59"/>
      <c r="E126" s="60"/>
      <c r="F126" s="80"/>
      <c r="G126" s="81"/>
      <c r="H126" s="81"/>
      <c r="I126" s="53"/>
      <c r="J126" s="75"/>
      <c r="K126" s="75"/>
      <c r="L126" s="63" t="s">
        <v>389</v>
      </c>
      <c r="M126" s="61" t="s">
        <v>390</v>
      </c>
      <c r="N126" s="113" t="s">
        <v>34</v>
      </c>
      <c r="O126" s="62">
        <v>1</v>
      </c>
      <c r="P126" s="97"/>
      <c r="Q126" s="62"/>
      <c r="R126" s="62"/>
      <c r="S126" s="164"/>
    </row>
    <row r="127" spans="1:19" ht="15.75" x14ac:dyDescent="0.25">
      <c r="A127" s="58"/>
      <c r="B127" s="59"/>
      <c r="C127" s="59"/>
      <c r="D127" s="59"/>
      <c r="E127" s="60"/>
      <c r="F127" s="80"/>
      <c r="G127" s="81"/>
      <c r="H127" s="81"/>
      <c r="I127" s="53"/>
      <c r="J127" s="75"/>
      <c r="K127" s="75"/>
      <c r="L127" s="63" t="s">
        <v>391</v>
      </c>
      <c r="M127" s="61" t="s">
        <v>392</v>
      </c>
      <c r="N127" s="55" t="s">
        <v>68</v>
      </c>
      <c r="O127" s="62">
        <v>5.5739999999999998</v>
      </c>
      <c r="P127" s="97"/>
      <c r="Q127" s="62"/>
      <c r="R127" s="62"/>
      <c r="S127" s="164"/>
    </row>
    <row r="128" spans="1:19" ht="15.75" x14ac:dyDescent="0.25">
      <c r="A128" s="58"/>
      <c r="B128" s="59"/>
      <c r="C128" s="59"/>
      <c r="D128" s="59"/>
      <c r="E128" s="60"/>
      <c r="F128" s="80"/>
      <c r="G128" s="81"/>
      <c r="H128" s="81"/>
      <c r="I128" s="53"/>
      <c r="J128" s="75"/>
      <c r="K128" s="75"/>
      <c r="L128" s="63">
        <v>19338</v>
      </c>
      <c r="M128" s="61" t="s">
        <v>393</v>
      </c>
      <c r="N128" s="55" t="s">
        <v>34</v>
      </c>
      <c r="O128" s="62">
        <v>9</v>
      </c>
      <c r="P128" s="97"/>
      <c r="Q128" s="97"/>
      <c r="R128" s="101"/>
      <c r="S128" s="164"/>
    </row>
    <row r="129" spans="1:19" ht="15.75" x14ac:dyDescent="0.25">
      <c r="A129" s="58"/>
      <c r="B129" s="59"/>
      <c r="C129" s="59"/>
      <c r="D129" s="59"/>
      <c r="E129" s="60"/>
      <c r="F129" s="80"/>
      <c r="G129" s="81"/>
      <c r="H129" s="81"/>
      <c r="I129" s="53"/>
      <c r="J129" s="75"/>
      <c r="K129" s="75"/>
      <c r="L129" s="63" t="s">
        <v>394</v>
      </c>
      <c r="M129" s="61" t="s">
        <v>395</v>
      </c>
      <c r="N129" s="55" t="s">
        <v>34</v>
      </c>
      <c r="O129" s="62">
        <v>1</v>
      </c>
      <c r="P129" s="97"/>
      <c r="Q129" s="62"/>
      <c r="R129" s="62"/>
      <c r="S129" s="164"/>
    </row>
    <row r="130" spans="1:19" ht="15.75" x14ac:dyDescent="0.25">
      <c r="A130" s="58"/>
      <c r="B130" s="59"/>
      <c r="C130" s="59"/>
      <c r="D130" s="59"/>
      <c r="E130" s="60"/>
      <c r="F130" s="80"/>
      <c r="G130" s="81"/>
      <c r="H130" s="81"/>
      <c r="I130" s="53"/>
      <c r="J130" s="75"/>
      <c r="K130" s="75"/>
      <c r="L130" s="63">
        <v>345</v>
      </c>
      <c r="M130" s="61" t="s">
        <v>396</v>
      </c>
      <c r="N130" s="55" t="s">
        <v>34</v>
      </c>
      <c r="O130" s="62">
        <v>2</v>
      </c>
      <c r="P130" s="97"/>
      <c r="Q130" s="62"/>
      <c r="R130" s="62"/>
      <c r="S130" s="164"/>
    </row>
    <row r="131" spans="1:19" ht="15.75" x14ac:dyDescent="0.25">
      <c r="A131" s="58"/>
      <c r="B131" s="59"/>
      <c r="C131" s="59"/>
      <c r="D131" s="59"/>
      <c r="E131" s="60"/>
      <c r="F131" s="80"/>
      <c r="G131" s="81"/>
      <c r="H131" s="81"/>
      <c r="I131" s="53"/>
      <c r="J131" s="75"/>
      <c r="K131" s="75"/>
      <c r="L131" s="63">
        <v>107</v>
      </c>
      <c r="M131" s="61" t="s">
        <v>397</v>
      </c>
      <c r="N131" s="55" t="s">
        <v>34</v>
      </c>
      <c r="O131" s="62">
        <v>1</v>
      </c>
      <c r="P131" s="97"/>
      <c r="Q131" s="62"/>
      <c r="R131" s="62"/>
      <c r="S131" s="164"/>
    </row>
    <row r="132" spans="1:19" ht="15.75" x14ac:dyDescent="0.25">
      <c r="A132" s="58"/>
      <c r="B132" s="59"/>
      <c r="C132" s="59"/>
      <c r="D132" s="59"/>
      <c r="E132" s="60"/>
      <c r="F132" s="80"/>
      <c r="G132" s="81"/>
      <c r="H132" s="81"/>
      <c r="I132" s="53"/>
      <c r="J132" s="75"/>
      <c r="K132" s="75"/>
      <c r="L132" s="144" t="s">
        <v>59</v>
      </c>
      <c r="M132" s="61" t="s">
        <v>90</v>
      </c>
      <c r="N132" s="55" t="s">
        <v>34</v>
      </c>
      <c r="O132" s="62">
        <v>3</v>
      </c>
      <c r="P132" s="97"/>
      <c r="Q132" s="62"/>
      <c r="R132" s="62"/>
      <c r="S132" s="164"/>
    </row>
    <row r="133" spans="1:19" ht="15.75" x14ac:dyDescent="0.25">
      <c r="A133" s="58"/>
      <c r="B133" s="59"/>
      <c r="C133" s="59"/>
      <c r="D133" s="59"/>
      <c r="E133" s="60"/>
      <c r="F133" s="80"/>
      <c r="G133" s="81"/>
      <c r="H133" s="81"/>
      <c r="I133" s="53"/>
      <c r="J133" s="75"/>
      <c r="K133" s="75"/>
      <c r="L133" s="144">
        <v>21807</v>
      </c>
      <c r="M133" s="61" t="s">
        <v>398</v>
      </c>
      <c r="N133" s="55" t="s">
        <v>34</v>
      </c>
      <c r="O133" s="62">
        <v>5</v>
      </c>
      <c r="P133" s="97"/>
      <c r="Q133" s="62"/>
      <c r="R133" s="62"/>
      <c r="S133" s="164"/>
    </row>
    <row r="134" spans="1:19" ht="15.75" x14ac:dyDescent="0.25">
      <c r="A134" s="58"/>
      <c r="B134" s="59"/>
      <c r="C134" s="59"/>
      <c r="D134" s="59"/>
      <c r="E134" s="60"/>
      <c r="F134" s="80"/>
      <c r="G134" s="81"/>
      <c r="H134" s="81"/>
      <c r="I134" s="53"/>
      <c r="J134" s="75"/>
      <c r="K134" s="75"/>
      <c r="L134" s="63">
        <v>16131</v>
      </c>
      <c r="M134" s="61" t="s">
        <v>399</v>
      </c>
      <c r="N134" s="55" t="s">
        <v>34</v>
      </c>
      <c r="O134" s="62">
        <v>4</v>
      </c>
      <c r="P134" s="97"/>
      <c r="Q134" s="62"/>
      <c r="R134" s="62"/>
      <c r="S134" s="164"/>
    </row>
    <row r="135" spans="1:19" ht="15.75" x14ac:dyDescent="0.25">
      <c r="A135" s="58"/>
      <c r="B135" s="59"/>
      <c r="C135" s="59"/>
      <c r="D135" s="59"/>
      <c r="E135" s="60"/>
      <c r="F135" s="80"/>
      <c r="G135" s="81"/>
      <c r="H135" s="81"/>
      <c r="I135" s="53"/>
      <c r="J135" s="75"/>
      <c r="K135" s="75"/>
      <c r="L135" s="63" t="s">
        <v>196</v>
      </c>
      <c r="M135" s="61" t="s">
        <v>197</v>
      </c>
      <c r="N135" s="55" t="s">
        <v>34</v>
      </c>
      <c r="O135" s="62">
        <v>3</v>
      </c>
      <c r="P135" s="97"/>
      <c r="Q135" s="62"/>
      <c r="R135" s="62"/>
      <c r="S135" s="164"/>
    </row>
    <row r="136" spans="1:19" ht="15.75" x14ac:dyDescent="0.25">
      <c r="A136" s="58"/>
      <c r="B136" s="59"/>
      <c r="C136" s="59"/>
      <c r="D136" s="59"/>
      <c r="E136" s="60"/>
      <c r="F136" s="80"/>
      <c r="G136" s="81"/>
      <c r="H136" s="81"/>
      <c r="I136" s="53"/>
      <c r="J136" s="75"/>
      <c r="K136" s="75"/>
      <c r="L136" s="63" t="s">
        <v>400</v>
      </c>
      <c r="M136" s="61" t="s">
        <v>401</v>
      </c>
      <c r="N136" s="55" t="s">
        <v>34</v>
      </c>
      <c r="O136" s="62">
        <v>1</v>
      </c>
      <c r="P136" s="97"/>
      <c r="Q136" s="62"/>
      <c r="R136" s="62"/>
      <c r="S136" s="164"/>
    </row>
    <row r="137" spans="1:19" ht="15.75" x14ac:dyDescent="0.25">
      <c r="A137" s="58"/>
      <c r="B137" s="59"/>
      <c r="C137" s="59"/>
      <c r="D137" s="59"/>
      <c r="E137" s="60"/>
      <c r="F137" s="80"/>
      <c r="G137" s="81"/>
      <c r="H137" s="81"/>
      <c r="I137" s="53"/>
      <c r="J137" s="75"/>
      <c r="K137" s="75"/>
      <c r="L137" s="63">
        <v>19330</v>
      </c>
      <c r="M137" s="61" t="s">
        <v>402</v>
      </c>
      <c r="N137" s="55" t="s">
        <v>34</v>
      </c>
      <c r="O137" s="62">
        <v>2</v>
      </c>
      <c r="P137" s="97"/>
      <c r="Q137" s="62"/>
      <c r="R137" s="62"/>
      <c r="S137" s="164"/>
    </row>
    <row r="138" spans="1:19" ht="15.75" x14ac:dyDescent="0.25">
      <c r="A138" s="58"/>
      <c r="B138" s="59"/>
      <c r="C138" s="59"/>
      <c r="D138" s="59"/>
      <c r="E138" s="60"/>
      <c r="F138" s="80"/>
      <c r="G138" s="81"/>
      <c r="H138" s="81"/>
      <c r="I138" s="53"/>
      <c r="J138" s="75"/>
      <c r="K138" s="75"/>
      <c r="L138" s="63" t="s">
        <v>403</v>
      </c>
      <c r="M138" s="61" t="s">
        <v>404</v>
      </c>
      <c r="N138" s="55" t="s">
        <v>34</v>
      </c>
      <c r="O138" s="62">
        <v>2</v>
      </c>
      <c r="P138" s="97"/>
      <c r="Q138" s="62"/>
      <c r="R138" s="62"/>
      <c r="S138" s="164"/>
    </row>
    <row r="139" spans="1:19" ht="15.75" x14ac:dyDescent="0.25">
      <c r="A139" s="58"/>
      <c r="B139" s="59"/>
      <c r="C139" s="59"/>
      <c r="D139" s="59"/>
      <c r="E139" s="60"/>
      <c r="F139" s="80"/>
      <c r="G139" s="81"/>
      <c r="H139" s="81"/>
      <c r="I139" s="53"/>
      <c r="J139" s="75"/>
      <c r="K139" s="75"/>
      <c r="L139" s="63" t="s">
        <v>200</v>
      </c>
      <c r="M139" s="61" t="s">
        <v>201</v>
      </c>
      <c r="N139" s="113" t="s">
        <v>34</v>
      </c>
      <c r="O139" s="62">
        <v>0</v>
      </c>
      <c r="P139" s="97"/>
      <c r="Q139" s="62"/>
      <c r="R139" s="62"/>
      <c r="S139" s="164"/>
    </row>
    <row r="140" spans="1:19" ht="15.75" x14ac:dyDescent="0.25">
      <c r="A140" s="58"/>
      <c r="B140" s="59"/>
      <c r="C140" s="59"/>
      <c r="D140" s="59"/>
      <c r="E140" s="60"/>
      <c r="F140" s="80"/>
      <c r="G140" s="81"/>
      <c r="H140" s="81"/>
      <c r="I140" s="53"/>
      <c r="J140" s="75"/>
      <c r="K140" s="75"/>
      <c r="L140" s="63" t="s">
        <v>405</v>
      </c>
      <c r="M140" s="61" t="s">
        <v>406</v>
      </c>
      <c r="N140" s="113" t="s">
        <v>34</v>
      </c>
      <c r="O140" s="62">
        <v>3</v>
      </c>
      <c r="P140" s="97"/>
      <c r="Q140" s="62"/>
      <c r="R140" s="62"/>
      <c r="S140" s="164"/>
    </row>
    <row r="141" spans="1:19" ht="15.75" x14ac:dyDescent="0.25">
      <c r="A141" s="58"/>
      <c r="B141" s="59"/>
      <c r="C141" s="59"/>
      <c r="D141" s="59"/>
      <c r="E141" s="60"/>
      <c r="F141" s="80"/>
      <c r="G141" s="81"/>
      <c r="H141" s="81"/>
      <c r="I141" s="53"/>
      <c r="J141" s="75"/>
      <c r="K141" s="75"/>
      <c r="L141" s="63">
        <v>85</v>
      </c>
      <c r="M141" s="61" t="s">
        <v>407</v>
      </c>
      <c r="N141" s="113" t="s">
        <v>34</v>
      </c>
      <c r="O141" s="62">
        <v>3</v>
      </c>
      <c r="P141" s="97"/>
      <c r="Q141" s="62"/>
      <c r="R141" s="62"/>
      <c r="S141" s="164"/>
    </row>
    <row r="142" spans="1:19" ht="15.75" x14ac:dyDescent="0.25">
      <c r="A142" s="58"/>
      <c r="B142" s="59"/>
      <c r="C142" s="59"/>
      <c r="D142" s="59"/>
      <c r="E142" s="60"/>
      <c r="F142" s="80"/>
      <c r="G142" s="81"/>
      <c r="H142" s="81"/>
      <c r="I142" s="53"/>
      <c r="J142" s="75"/>
      <c r="K142" s="75"/>
      <c r="L142" s="63">
        <v>477</v>
      </c>
      <c r="M142" s="61" t="s">
        <v>93</v>
      </c>
      <c r="N142" s="113" t="s">
        <v>34</v>
      </c>
      <c r="O142" s="62">
        <v>6</v>
      </c>
      <c r="P142" s="97"/>
      <c r="Q142" s="62"/>
      <c r="R142" s="62"/>
      <c r="S142" s="164"/>
    </row>
    <row r="143" spans="1:19" ht="15.75" x14ac:dyDescent="0.25">
      <c r="A143" s="58"/>
      <c r="B143" s="59"/>
      <c r="C143" s="59"/>
      <c r="D143" s="59"/>
      <c r="E143" s="60"/>
      <c r="F143" s="80"/>
      <c r="G143" s="81"/>
      <c r="H143" s="81"/>
      <c r="I143" s="53"/>
      <c r="J143" s="75"/>
      <c r="K143" s="75"/>
      <c r="L143" s="63" t="s">
        <v>408</v>
      </c>
      <c r="M143" s="61" t="s">
        <v>409</v>
      </c>
      <c r="N143" s="113" t="s">
        <v>34</v>
      </c>
      <c r="O143" s="62">
        <v>12</v>
      </c>
      <c r="P143" s="97"/>
      <c r="Q143" s="62"/>
      <c r="R143" s="62"/>
      <c r="S143" s="164"/>
    </row>
    <row r="144" spans="1:19" ht="15.75" x14ac:dyDescent="0.25">
      <c r="A144" s="58"/>
      <c r="B144" s="59"/>
      <c r="C144" s="59"/>
      <c r="D144" s="59"/>
      <c r="E144" s="60"/>
      <c r="F144" s="80"/>
      <c r="G144" s="81"/>
      <c r="H144" s="81"/>
      <c r="I144" s="53"/>
      <c r="J144" s="75"/>
      <c r="K144" s="75"/>
      <c r="L144" s="63" t="s">
        <v>411</v>
      </c>
      <c r="M144" s="61" t="s">
        <v>412</v>
      </c>
      <c r="N144" s="113" t="s">
        <v>34</v>
      </c>
      <c r="O144" s="62">
        <v>136</v>
      </c>
      <c r="P144" s="97"/>
      <c r="Q144" s="62"/>
      <c r="R144" s="62"/>
      <c r="S144" s="164"/>
    </row>
    <row r="145" spans="1:19" ht="15.75" x14ac:dyDescent="0.25">
      <c r="A145" s="58"/>
      <c r="B145" s="59"/>
      <c r="C145" s="59"/>
      <c r="D145" s="59"/>
      <c r="E145" s="60"/>
      <c r="F145" s="80"/>
      <c r="G145" s="81"/>
      <c r="H145" s="81"/>
      <c r="I145" s="53"/>
      <c r="J145" s="75"/>
      <c r="K145" s="75"/>
      <c r="L145" s="63" t="s">
        <v>204</v>
      </c>
      <c r="M145" s="61" t="s">
        <v>735</v>
      </c>
      <c r="N145" s="113" t="s">
        <v>34</v>
      </c>
      <c r="O145" s="62">
        <v>158</v>
      </c>
      <c r="P145" s="97"/>
      <c r="Q145" s="62"/>
      <c r="R145" s="62"/>
      <c r="S145" s="164"/>
    </row>
    <row r="146" spans="1:19" ht="15.75" x14ac:dyDescent="0.25">
      <c r="A146" s="58"/>
      <c r="B146" s="59"/>
      <c r="C146" s="59"/>
      <c r="D146" s="59"/>
      <c r="E146" s="60"/>
      <c r="F146" s="80"/>
      <c r="G146" s="81"/>
      <c r="H146" s="81"/>
      <c r="I146" s="53"/>
      <c r="J146" s="75"/>
      <c r="K146" s="75"/>
      <c r="L146" s="63">
        <v>3979</v>
      </c>
      <c r="M146" s="61" t="s">
        <v>206</v>
      </c>
      <c r="N146" s="113" t="s">
        <v>34</v>
      </c>
      <c r="O146" s="62">
        <v>72</v>
      </c>
      <c r="P146" s="97"/>
      <c r="Q146" s="62"/>
      <c r="R146" s="62"/>
      <c r="S146" s="164"/>
    </row>
    <row r="147" spans="1:19" ht="15.75" x14ac:dyDescent="0.25">
      <c r="A147" s="58"/>
      <c r="B147" s="59"/>
      <c r="C147" s="59"/>
      <c r="D147" s="59"/>
      <c r="E147" s="60"/>
      <c r="F147" s="80"/>
      <c r="G147" s="81"/>
      <c r="H147" s="81"/>
      <c r="I147" s="53"/>
      <c r="J147" s="75"/>
      <c r="K147" s="75"/>
      <c r="L147" s="63">
        <v>21333</v>
      </c>
      <c r="M147" s="61" t="s">
        <v>747</v>
      </c>
      <c r="N147" s="113" t="s">
        <v>34</v>
      </c>
      <c r="O147" s="62">
        <v>6</v>
      </c>
      <c r="P147" s="97"/>
      <c r="Q147" s="62"/>
      <c r="R147" s="62"/>
      <c r="S147" s="164"/>
    </row>
    <row r="148" spans="1:19" ht="15.75" x14ac:dyDescent="0.25">
      <c r="A148" s="58"/>
      <c r="B148" s="59"/>
      <c r="C148" s="59"/>
      <c r="D148" s="59"/>
      <c r="E148" s="60"/>
      <c r="F148" s="80"/>
      <c r="G148" s="81"/>
      <c r="H148" s="81"/>
      <c r="I148" s="53"/>
      <c r="J148" s="75"/>
      <c r="K148" s="75"/>
      <c r="L148" s="144">
        <v>614</v>
      </c>
      <c r="M148" s="61" t="s">
        <v>512</v>
      </c>
      <c r="N148" s="55" t="s">
        <v>45</v>
      </c>
      <c r="O148" s="62">
        <v>355</v>
      </c>
      <c r="P148" s="97"/>
      <c r="Q148" s="62"/>
      <c r="R148" s="62"/>
      <c r="S148" s="164"/>
    </row>
    <row r="149" spans="1:19" ht="15.75" x14ac:dyDescent="0.25">
      <c r="A149" s="58"/>
      <c r="B149" s="59"/>
      <c r="C149" s="59"/>
      <c r="D149" s="59"/>
      <c r="E149" s="60"/>
      <c r="F149" s="80"/>
      <c r="G149" s="81"/>
      <c r="H149" s="81"/>
      <c r="I149" s="53"/>
      <c r="J149" s="75"/>
      <c r="K149" s="75"/>
      <c r="L149" s="63" t="s">
        <v>414</v>
      </c>
      <c r="M149" s="61" t="s">
        <v>415</v>
      </c>
      <c r="N149" s="55" t="s">
        <v>37</v>
      </c>
      <c r="O149" s="62">
        <v>95</v>
      </c>
      <c r="P149" s="97"/>
      <c r="Q149" s="62"/>
      <c r="R149" s="62"/>
      <c r="S149" s="164"/>
    </row>
    <row r="150" spans="1:19" ht="15.75" x14ac:dyDescent="0.25">
      <c r="A150" s="58"/>
      <c r="B150" s="59"/>
      <c r="C150" s="59"/>
      <c r="D150" s="59"/>
      <c r="E150" s="60"/>
      <c r="F150" s="80"/>
      <c r="G150" s="81"/>
      <c r="H150" s="81"/>
      <c r="I150" s="53"/>
      <c r="J150" s="75"/>
      <c r="K150" s="75"/>
      <c r="L150" s="63" t="s">
        <v>207</v>
      </c>
      <c r="M150" s="61" t="s">
        <v>513</v>
      </c>
      <c r="N150" s="113" t="s">
        <v>68</v>
      </c>
      <c r="O150" s="62">
        <v>35</v>
      </c>
      <c r="P150" s="97"/>
      <c r="Q150" s="62"/>
      <c r="R150" s="62"/>
      <c r="S150" s="164"/>
    </row>
    <row r="151" spans="1:19" ht="15.75" x14ac:dyDescent="0.25">
      <c r="A151" s="58"/>
      <c r="B151" s="59"/>
      <c r="C151" s="59"/>
      <c r="D151" s="59"/>
      <c r="E151" s="60"/>
      <c r="F151" s="80"/>
      <c r="G151" s="81"/>
      <c r="H151" s="81"/>
      <c r="I151" s="53"/>
      <c r="J151" s="75"/>
      <c r="K151" s="75"/>
      <c r="L151" s="63" t="s">
        <v>208</v>
      </c>
      <c r="M151" s="61" t="s">
        <v>209</v>
      </c>
      <c r="N151" s="113" t="s">
        <v>34</v>
      </c>
      <c r="O151" s="62">
        <v>9</v>
      </c>
      <c r="P151" s="97"/>
      <c r="Q151" s="62"/>
      <c r="R151" s="62"/>
      <c r="S151" s="164"/>
    </row>
    <row r="152" spans="1:19" ht="15.75" x14ac:dyDescent="0.25">
      <c r="A152" s="58"/>
      <c r="B152" s="59"/>
      <c r="C152" s="59"/>
      <c r="D152" s="59"/>
      <c r="E152" s="60"/>
      <c r="F152" s="80"/>
      <c r="G152" s="81"/>
      <c r="H152" s="81"/>
      <c r="I152" s="53"/>
      <c r="J152" s="75"/>
      <c r="K152" s="75"/>
      <c r="L152" s="63" t="s">
        <v>416</v>
      </c>
      <c r="M152" s="61" t="s">
        <v>417</v>
      </c>
      <c r="N152" s="113" t="s">
        <v>34</v>
      </c>
      <c r="O152" s="62">
        <v>1</v>
      </c>
      <c r="P152" s="97"/>
      <c r="Q152" s="62"/>
      <c r="R152" s="62"/>
      <c r="S152" s="164"/>
    </row>
    <row r="153" spans="1:19" ht="15.75" x14ac:dyDescent="0.25">
      <c r="A153" s="58"/>
      <c r="B153" s="59"/>
      <c r="C153" s="59"/>
      <c r="D153" s="59"/>
      <c r="E153" s="60"/>
      <c r="F153" s="80"/>
      <c r="G153" s="81"/>
      <c r="H153" s="81"/>
      <c r="I153" s="53"/>
      <c r="J153" s="75"/>
      <c r="K153" s="75"/>
      <c r="L153" s="63" t="s">
        <v>418</v>
      </c>
      <c r="M153" s="61" t="s">
        <v>419</v>
      </c>
      <c r="N153" s="113" t="s">
        <v>34</v>
      </c>
      <c r="O153" s="62">
        <v>1</v>
      </c>
      <c r="P153" s="97"/>
      <c r="Q153" s="62"/>
      <c r="R153" s="62"/>
      <c r="S153" s="164"/>
    </row>
    <row r="154" spans="1:19" ht="15.75" x14ac:dyDescent="0.25">
      <c r="A154" s="58"/>
      <c r="B154" s="59"/>
      <c r="C154" s="59"/>
      <c r="D154" s="59"/>
      <c r="E154" s="60"/>
      <c r="F154" s="80"/>
      <c r="G154" s="81"/>
      <c r="H154" s="81"/>
      <c r="I154" s="53"/>
      <c r="J154" s="75"/>
      <c r="K154" s="75"/>
      <c r="L154" s="63" t="s">
        <v>420</v>
      </c>
      <c r="M154" s="61" t="s">
        <v>421</v>
      </c>
      <c r="N154" s="55" t="s">
        <v>37</v>
      </c>
      <c r="O154" s="62">
        <v>20</v>
      </c>
      <c r="P154" s="97"/>
      <c r="Q154" s="62"/>
      <c r="R154" s="62"/>
      <c r="S154" s="164"/>
    </row>
    <row r="155" spans="1:19" ht="15.75" x14ac:dyDescent="0.25">
      <c r="A155" s="58"/>
      <c r="B155" s="59"/>
      <c r="C155" s="59"/>
      <c r="D155" s="59"/>
      <c r="E155" s="60"/>
      <c r="F155" s="80"/>
      <c r="G155" s="81"/>
      <c r="H155" s="81"/>
      <c r="I155" s="53"/>
      <c r="J155" s="75"/>
      <c r="K155" s="75"/>
      <c r="L155" s="63" t="s">
        <v>422</v>
      </c>
      <c r="M155" s="61" t="s">
        <v>423</v>
      </c>
      <c r="N155" s="55" t="s">
        <v>34</v>
      </c>
      <c r="O155" s="62">
        <v>2</v>
      </c>
      <c r="P155" s="97"/>
      <c r="Q155" s="62"/>
      <c r="R155" s="62"/>
      <c r="S155" s="164"/>
    </row>
    <row r="156" spans="1:19" ht="15.75" x14ac:dyDescent="0.25">
      <c r="A156" s="58"/>
      <c r="B156" s="59"/>
      <c r="C156" s="59"/>
      <c r="D156" s="59"/>
      <c r="E156" s="60"/>
      <c r="F156" s="80"/>
      <c r="G156" s="81"/>
      <c r="H156" s="81"/>
      <c r="I156" s="53"/>
      <c r="J156" s="75"/>
      <c r="K156" s="75"/>
      <c r="L156" s="63" t="s">
        <v>424</v>
      </c>
      <c r="M156" s="61" t="s">
        <v>425</v>
      </c>
      <c r="N156" s="55" t="s">
        <v>34</v>
      </c>
      <c r="O156" s="62">
        <v>2</v>
      </c>
      <c r="P156" s="97"/>
      <c r="Q156" s="62"/>
      <c r="R156" s="62"/>
      <c r="S156" s="164"/>
    </row>
    <row r="157" spans="1:19" ht="15.75" x14ac:dyDescent="0.25">
      <c r="A157" s="58"/>
      <c r="B157" s="59"/>
      <c r="C157" s="59"/>
      <c r="D157" s="59"/>
      <c r="E157" s="60"/>
      <c r="F157" s="80"/>
      <c r="G157" s="81"/>
      <c r="H157" s="81"/>
      <c r="I157" s="53"/>
      <c r="J157" s="75"/>
      <c r="K157" s="75"/>
      <c r="L157" s="63" t="s">
        <v>210</v>
      </c>
      <c r="M157" s="61" t="s">
        <v>211</v>
      </c>
      <c r="N157" s="55" t="s">
        <v>34</v>
      </c>
      <c r="O157" s="62">
        <v>7.2</v>
      </c>
      <c r="P157" s="97"/>
      <c r="Q157" s="62"/>
      <c r="R157" s="62"/>
      <c r="S157" s="164"/>
    </row>
    <row r="158" spans="1:19" ht="15.75" x14ac:dyDescent="0.25">
      <c r="A158" s="58"/>
      <c r="B158" s="59"/>
      <c r="C158" s="59"/>
      <c r="D158" s="59"/>
      <c r="E158" s="60"/>
      <c r="F158" s="80"/>
      <c r="G158" s="81"/>
      <c r="H158" s="81"/>
      <c r="I158" s="53"/>
      <c r="J158" s="75"/>
      <c r="K158" s="75"/>
      <c r="L158" s="63" t="s">
        <v>426</v>
      </c>
      <c r="M158" s="61" t="s">
        <v>427</v>
      </c>
      <c r="N158" s="55" t="s">
        <v>68</v>
      </c>
      <c r="O158" s="62">
        <v>148.65600000000001</v>
      </c>
      <c r="P158" s="97"/>
      <c r="Q158" s="62"/>
      <c r="R158" s="62"/>
      <c r="S158" s="164"/>
    </row>
    <row r="159" spans="1:19" ht="15.75" x14ac:dyDescent="0.25">
      <c r="A159" s="58"/>
      <c r="B159" s="59"/>
      <c r="C159" s="59"/>
      <c r="D159" s="59"/>
      <c r="E159" s="60"/>
      <c r="F159" s="80"/>
      <c r="G159" s="81"/>
      <c r="H159" s="81"/>
      <c r="I159" s="53"/>
      <c r="J159" s="75"/>
      <c r="K159" s="75"/>
      <c r="L159" s="63" t="s">
        <v>748</v>
      </c>
      <c r="M159" s="61" t="s">
        <v>428</v>
      </c>
      <c r="N159" s="55" t="s">
        <v>68</v>
      </c>
      <c r="O159" s="62">
        <v>111.60599999999999</v>
      </c>
      <c r="P159" s="97"/>
      <c r="Q159" s="62"/>
      <c r="R159" s="62"/>
      <c r="S159" s="164"/>
    </row>
    <row r="160" spans="1:19" ht="15.75" x14ac:dyDescent="0.25">
      <c r="A160" s="58"/>
      <c r="B160" s="59"/>
      <c r="C160" s="59"/>
      <c r="D160" s="59"/>
      <c r="E160" s="60"/>
      <c r="F160" s="80"/>
      <c r="G160" s="81"/>
      <c r="H160" s="81"/>
      <c r="I160" s="53"/>
      <c r="J160" s="75"/>
      <c r="K160" s="75"/>
      <c r="L160" s="63" t="s">
        <v>429</v>
      </c>
      <c r="M160" s="61" t="s">
        <v>430</v>
      </c>
      <c r="N160" s="55" t="s">
        <v>37</v>
      </c>
      <c r="O160" s="62">
        <v>42</v>
      </c>
      <c r="P160" s="97"/>
      <c r="Q160" s="62"/>
      <c r="R160" s="62"/>
      <c r="S160" s="164"/>
    </row>
    <row r="161" spans="1:19" ht="15.75" x14ac:dyDescent="0.25">
      <c r="A161" s="58"/>
      <c r="B161" s="59"/>
      <c r="C161" s="59"/>
      <c r="D161" s="59"/>
      <c r="E161" s="60"/>
      <c r="F161" s="80"/>
      <c r="G161" s="81"/>
      <c r="H161" s="81"/>
      <c r="I161" s="53"/>
      <c r="J161" s="75"/>
      <c r="K161" s="75"/>
      <c r="L161" s="63" t="s">
        <v>772</v>
      </c>
      <c r="M161" s="61" t="s">
        <v>773</v>
      </c>
      <c r="N161" s="55" t="s">
        <v>37</v>
      </c>
      <c r="O161" s="62">
        <v>69</v>
      </c>
      <c r="P161" s="97"/>
      <c r="Q161" s="62"/>
      <c r="R161" s="62"/>
      <c r="S161" s="164"/>
    </row>
    <row r="162" spans="1:19" ht="15.75" x14ac:dyDescent="0.25">
      <c r="A162" s="58"/>
      <c r="B162" s="59"/>
      <c r="C162" s="59"/>
      <c r="D162" s="59"/>
      <c r="E162" s="60"/>
      <c r="F162" s="80"/>
      <c r="G162" s="81"/>
      <c r="H162" s="81"/>
      <c r="I162" s="53"/>
      <c r="J162" s="75"/>
      <c r="K162" s="75"/>
      <c r="L162" s="63" t="s">
        <v>736</v>
      </c>
      <c r="M162" s="61" t="s">
        <v>757</v>
      </c>
      <c r="N162" s="55" t="s">
        <v>68</v>
      </c>
      <c r="O162" s="62">
        <v>103.648</v>
      </c>
      <c r="P162" s="97"/>
      <c r="Q162" s="62"/>
      <c r="R162" s="62"/>
      <c r="S162" s="164"/>
    </row>
    <row r="163" spans="1:19" ht="15.75" x14ac:dyDescent="0.25">
      <c r="A163" s="58"/>
      <c r="B163" s="59"/>
      <c r="C163" s="59"/>
      <c r="D163" s="59"/>
      <c r="E163" s="60"/>
      <c r="F163" s="80"/>
      <c r="G163" s="81"/>
      <c r="H163" s="81"/>
      <c r="I163" s="53"/>
      <c r="J163" s="75"/>
      <c r="K163" s="75"/>
      <c r="L163" s="63" t="s">
        <v>432</v>
      </c>
      <c r="M163" s="61" t="s">
        <v>433</v>
      </c>
      <c r="N163" s="55" t="s">
        <v>34</v>
      </c>
      <c r="O163" s="62">
        <v>4</v>
      </c>
      <c r="P163" s="97"/>
      <c r="Q163" s="62"/>
      <c r="R163" s="62"/>
      <c r="S163" s="164"/>
    </row>
    <row r="164" spans="1:19" ht="15.75" x14ac:dyDescent="0.25">
      <c r="A164" s="58"/>
      <c r="B164" s="59"/>
      <c r="C164" s="59"/>
      <c r="D164" s="59"/>
      <c r="E164" s="60"/>
      <c r="F164" s="80"/>
      <c r="G164" s="81"/>
      <c r="H164" s="81"/>
      <c r="I164" s="53"/>
      <c r="J164" s="75"/>
      <c r="K164" s="75"/>
      <c r="L164" s="63" t="s">
        <v>48</v>
      </c>
      <c r="M164" s="61" t="s">
        <v>65</v>
      </c>
      <c r="N164" s="55" t="s">
        <v>66</v>
      </c>
      <c r="O164" s="62">
        <v>2.7</v>
      </c>
      <c r="P164" s="97"/>
      <c r="Q164" s="62"/>
      <c r="R164" s="62"/>
      <c r="S164" s="164"/>
    </row>
    <row r="165" spans="1:19" ht="15.75" x14ac:dyDescent="0.25">
      <c r="A165" s="58"/>
      <c r="B165" s="59"/>
      <c r="C165" s="59"/>
      <c r="D165" s="59"/>
      <c r="E165" s="60"/>
      <c r="F165" s="80"/>
      <c r="G165" s="81"/>
      <c r="H165" s="81"/>
      <c r="I165" s="53"/>
      <c r="J165" s="75"/>
      <c r="K165" s="75"/>
      <c r="L165" s="114" t="s">
        <v>434</v>
      </c>
      <c r="M165" s="115" t="s">
        <v>435</v>
      </c>
      <c r="N165" s="55" t="s">
        <v>34</v>
      </c>
      <c r="O165" s="139">
        <v>6</v>
      </c>
      <c r="P165" s="97"/>
      <c r="Q165" s="62"/>
      <c r="R165" s="62"/>
      <c r="S165" s="164"/>
    </row>
    <row r="166" spans="1:19" ht="15.75" x14ac:dyDescent="0.25">
      <c r="A166" s="58"/>
      <c r="B166" s="59"/>
      <c r="C166" s="59"/>
      <c r="D166" s="59"/>
      <c r="E166" s="60"/>
      <c r="F166" s="80"/>
      <c r="G166" s="81"/>
      <c r="H166" s="81"/>
      <c r="I166" s="53"/>
      <c r="J166" s="75"/>
      <c r="K166" s="75"/>
      <c r="L166" s="63">
        <v>22062</v>
      </c>
      <c r="M166" s="61" t="s">
        <v>436</v>
      </c>
      <c r="N166" s="55" t="s">
        <v>34</v>
      </c>
      <c r="O166" s="62">
        <v>12</v>
      </c>
      <c r="P166" s="97"/>
      <c r="Q166" s="62"/>
      <c r="R166" s="62"/>
      <c r="S166" s="164"/>
    </row>
    <row r="167" spans="1:19" ht="15.75" x14ac:dyDescent="0.25">
      <c r="A167" s="58"/>
      <c r="B167" s="59"/>
      <c r="C167" s="59"/>
      <c r="D167" s="59"/>
      <c r="E167" s="60"/>
      <c r="F167" s="80"/>
      <c r="G167" s="81"/>
      <c r="H167" s="81"/>
      <c r="I167" s="53"/>
      <c r="J167" s="75"/>
      <c r="K167" s="75"/>
      <c r="L167" s="63">
        <v>19254</v>
      </c>
      <c r="M167" s="61" t="s">
        <v>95</v>
      </c>
      <c r="N167" s="55" t="s">
        <v>34</v>
      </c>
      <c r="O167" s="62">
        <v>8</v>
      </c>
      <c r="P167" s="97"/>
      <c r="Q167" s="62"/>
      <c r="R167" s="62"/>
      <c r="S167" s="164"/>
    </row>
    <row r="168" spans="1:19" ht="15.75" x14ac:dyDescent="0.25">
      <c r="A168" s="58"/>
      <c r="B168" s="59"/>
      <c r="C168" s="59"/>
      <c r="D168" s="59"/>
      <c r="E168" s="60"/>
      <c r="F168" s="80"/>
      <c r="G168" s="81"/>
      <c r="H168" s="81"/>
      <c r="I168" s="53"/>
      <c r="J168" s="75"/>
      <c r="K168" s="75"/>
      <c r="L168" s="63" t="s">
        <v>437</v>
      </c>
      <c r="M168" s="61" t="s">
        <v>438</v>
      </c>
      <c r="N168" s="55" t="s">
        <v>34</v>
      </c>
      <c r="O168" s="62">
        <v>20</v>
      </c>
      <c r="P168" s="97"/>
      <c r="Q168" s="62"/>
      <c r="R168" s="62"/>
      <c r="S168" s="164"/>
    </row>
    <row r="169" spans="1:19" ht="15.75" x14ac:dyDescent="0.25">
      <c r="A169" s="58"/>
      <c r="B169" s="59"/>
      <c r="C169" s="59"/>
      <c r="D169" s="59"/>
      <c r="E169" s="60"/>
      <c r="F169" s="80"/>
      <c r="G169" s="81"/>
      <c r="H169" s="81"/>
      <c r="I169" s="53"/>
      <c r="J169" s="75"/>
      <c r="K169" s="75"/>
      <c r="L169" s="63">
        <v>615</v>
      </c>
      <c r="M169" s="61" t="s">
        <v>439</v>
      </c>
      <c r="N169" s="113" t="s">
        <v>34</v>
      </c>
      <c r="O169" s="62">
        <v>3</v>
      </c>
      <c r="P169" s="97"/>
      <c r="Q169" s="62"/>
      <c r="R169" s="62"/>
      <c r="S169" s="164"/>
    </row>
    <row r="170" spans="1:19" ht="15.75" x14ac:dyDescent="0.25">
      <c r="A170" s="58"/>
      <c r="B170" s="59"/>
      <c r="C170" s="59"/>
      <c r="D170" s="59"/>
      <c r="E170" s="60"/>
      <c r="F170" s="80"/>
      <c r="G170" s="81"/>
      <c r="H170" s="81"/>
      <c r="I170" s="53"/>
      <c r="J170" s="75"/>
      <c r="K170" s="75"/>
      <c r="L170" s="63" t="s">
        <v>440</v>
      </c>
      <c r="M170" s="61" t="s">
        <v>441</v>
      </c>
      <c r="N170" s="113" t="s">
        <v>442</v>
      </c>
      <c r="O170" s="62">
        <v>20</v>
      </c>
      <c r="P170" s="97"/>
      <c r="Q170" s="62"/>
      <c r="R170" s="62"/>
      <c r="S170" s="164"/>
    </row>
    <row r="171" spans="1:19" ht="15.75" x14ac:dyDescent="0.25">
      <c r="A171" s="58"/>
      <c r="B171" s="59"/>
      <c r="C171" s="59"/>
      <c r="D171" s="59"/>
      <c r="E171" s="60"/>
      <c r="F171" s="80"/>
      <c r="G171" s="81"/>
      <c r="H171" s="81"/>
      <c r="I171" s="53"/>
      <c r="J171" s="75"/>
      <c r="K171" s="75"/>
      <c r="L171" s="63" t="s">
        <v>43</v>
      </c>
      <c r="M171" s="61" t="s">
        <v>96</v>
      </c>
      <c r="N171" s="113" t="s">
        <v>34</v>
      </c>
      <c r="O171" s="62">
        <v>430</v>
      </c>
      <c r="P171" s="97"/>
      <c r="Q171" s="62"/>
      <c r="R171" s="62"/>
      <c r="S171" s="164"/>
    </row>
    <row r="172" spans="1:19" ht="15.75" x14ac:dyDescent="0.25">
      <c r="A172" s="58"/>
      <c r="B172" s="59"/>
      <c r="C172" s="59"/>
      <c r="D172" s="59"/>
      <c r="E172" s="60"/>
      <c r="F172" s="80"/>
      <c r="G172" s="81"/>
      <c r="H172" s="81"/>
      <c r="I172" s="53"/>
      <c r="J172" s="75"/>
      <c r="K172" s="75"/>
      <c r="L172" s="63" t="s">
        <v>443</v>
      </c>
      <c r="M172" s="145" t="s">
        <v>444</v>
      </c>
      <c r="N172" s="113" t="s">
        <v>34</v>
      </c>
      <c r="O172" s="62">
        <v>1500</v>
      </c>
      <c r="P172" s="97"/>
      <c r="Q172" s="62"/>
      <c r="R172" s="62"/>
      <c r="S172" s="164"/>
    </row>
    <row r="173" spans="1:19" ht="15.75" x14ac:dyDescent="0.25">
      <c r="A173" s="58"/>
      <c r="B173" s="59"/>
      <c r="C173" s="59"/>
      <c r="D173" s="59"/>
      <c r="E173" s="60"/>
      <c r="F173" s="80"/>
      <c r="G173" s="81"/>
      <c r="H173" s="81"/>
      <c r="I173" s="53"/>
      <c r="J173" s="75"/>
      <c r="K173" s="75"/>
      <c r="L173" s="63" t="s">
        <v>445</v>
      </c>
      <c r="M173" s="61" t="s">
        <v>446</v>
      </c>
      <c r="N173" s="113" t="s">
        <v>34</v>
      </c>
      <c r="O173" s="62">
        <v>11</v>
      </c>
      <c r="P173" s="97"/>
      <c r="Q173" s="62"/>
      <c r="R173" s="62"/>
      <c r="S173" s="164"/>
    </row>
    <row r="174" spans="1:19" ht="15.75" x14ac:dyDescent="0.25">
      <c r="A174" s="58"/>
      <c r="B174" s="59"/>
      <c r="C174" s="59"/>
      <c r="D174" s="59"/>
      <c r="E174" s="60"/>
      <c r="F174" s="80"/>
      <c r="G174" s="81"/>
      <c r="H174" s="81"/>
      <c r="I174" s="53"/>
      <c r="J174" s="75"/>
      <c r="K174" s="75"/>
      <c r="L174" s="63">
        <v>22350</v>
      </c>
      <c r="M174" s="61" t="s">
        <v>447</v>
      </c>
      <c r="N174" s="113" t="s">
        <v>34</v>
      </c>
      <c r="O174" s="62">
        <v>10</v>
      </c>
      <c r="P174" s="97"/>
      <c r="Q174" s="62"/>
      <c r="R174" s="62"/>
      <c r="S174" s="164"/>
    </row>
    <row r="175" spans="1:19" ht="15.75" x14ac:dyDescent="0.25">
      <c r="A175" s="58"/>
      <c r="B175" s="59"/>
      <c r="C175" s="59"/>
      <c r="D175" s="59"/>
      <c r="E175" s="60"/>
      <c r="F175" s="80"/>
      <c r="G175" s="81"/>
      <c r="H175" s="81"/>
      <c r="I175" s="53"/>
      <c r="J175" s="75"/>
      <c r="K175" s="75"/>
      <c r="L175" s="63" t="s">
        <v>448</v>
      </c>
      <c r="M175" s="61" t="s">
        <v>449</v>
      </c>
      <c r="N175" s="55" t="s">
        <v>34</v>
      </c>
      <c r="O175" s="62">
        <v>1</v>
      </c>
      <c r="P175" s="97"/>
      <c r="Q175" s="62"/>
      <c r="R175" s="62"/>
      <c r="S175" s="164"/>
    </row>
    <row r="176" spans="1:19" ht="15.75" x14ac:dyDescent="0.25">
      <c r="A176" s="58"/>
      <c r="B176" s="59"/>
      <c r="C176" s="59"/>
      <c r="D176" s="59"/>
      <c r="E176" s="60"/>
      <c r="F176" s="80"/>
      <c r="G176" s="81"/>
      <c r="H176" s="81"/>
      <c r="I176" s="53"/>
      <c r="J176" s="75"/>
      <c r="K176" s="75"/>
      <c r="L176" s="63" t="s">
        <v>450</v>
      </c>
      <c r="M176" s="61" t="s">
        <v>451</v>
      </c>
      <c r="N176" s="55" t="s">
        <v>34</v>
      </c>
      <c r="O176" s="62">
        <v>1</v>
      </c>
      <c r="P176" s="97"/>
      <c r="Q176" s="62"/>
      <c r="R176" s="62"/>
      <c r="S176" s="164"/>
    </row>
    <row r="177" spans="1:19" ht="15.75" x14ac:dyDescent="0.25">
      <c r="A177" s="58"/>
      <c r="B177" s="59"/>
      <c r="C177" s="59"/>
      <c r="D177" s="59"/>
      <c r="E177" s="60"/>
      <c r="F177" s="80"/>
      <c r="G177" s="81"/>
      <c r="H177" s="81"/>
      <c r="I177" s="53"/>
      <c r="J177" s="75"/>
      <c r="K177" s="75"/>
      <c r="L177" s="63" t="s">
        <v>452</v>
      </c>
      <c r="M177" s="61" t="s">
        <v>453</v>
      </c>
      <c r="N177" s="55" t="s">
        <v>34</v>
      </c>
      <c r="O177" s="62">
        <v>11</v>
      </c>
      <c r="P177" s="97"/>
      <c r="Q177" s="62"/>
      <c r="R177" s="62"/>
      <c r="S177" s="164"/>
    </row>
    <row r="178" spans="1:19" ht="15.75" x14ac:dyDescent="0.25">
      <c r="A178" s="58"/>
      <c r="B178" s="59"/>
      <c r="C178" s="59"/>
      <c r="D178" s="59"/>
      <c r="E178" s="60"/>
      <c r="F178" s="80"/>
      <c r="G178" s="81"/>
      <c r="H178" s="81"/>
      <c r="I178" s="53"/>
      <c r="J178" s="75"/>
      <c r="K178" s="75"/>
      <c r="L178" s="63">
        <v>19295</v>
      </c>
      <c r="M178" s="61" t="s">
        <v>454</v>
      </c>
      <c r="N178" s="55" t="s">
        <v>34</v>
      </c>
      <c r="O178" s="62">
        <v>2</v>
      </c>
      <c r="P178" s="97"/>
      <c r="Q178" s="62"/>
      <c r="R178" s="62"/>
      <c r="S178" s="164"/>
    </row>
    <row r="179" spans="1:19" ht="15.75" x14ac:dyDescent="0.25">
      <c r="A179" s="58"/>
      <c r="B179" s="59"/>
      <c r="C179" s="59"/>
      <c r="D179" s="59"/>
      <c r="E179" s="60"/>
      <c r="F179" s="80"/>
      <c r="G179" s="81"/>
      <c r="H179" s="81"/>
      <c r="I179" s="53"/>
      <c r="J179" s="75"/>
      <c r="K179" s="75"/>
      <c r="L179" s="63">
        <v>11561</v>
      </c>
      <c r="M179" s="61" t="s">
        <v>215</v>
      </c>
      <c r="N179" s="55" t="s">
        <v>34</v>
      </c>
      <c r="O179" s="62">
        <v>1</v>
      </c>
      <c r="P179" s="97"/>
      <c r="Q179" s="62"/>
      <c r="R179" s="62"/>
      <c r="S179" s="164"/>
    </row>
    <row r="180" spans="1:19" ht="15.75" x14ac:dyDescent="0.25">
      <c r="A180" s="58"/>
      <c r="B180" s="59"/>
      <c r="C180" s="59"/>
      <c r="D180" s="59"/>
      <c r="E180" s="60"/>
      <c r="F180" s="80"/>
      <c r="G180" s="81"/>
      <c r="H180" s="81"/>
      <c r="I180" s="53"/>
      <c r="J180" s="75"/>
      <c r="K180" s="75"/>
      <c r="L180" s="63" t="s">
        <v>217</v>
      </c>
      <c r="M180" s="61" t="s">
        <v>218</v>
      </c>
      <c r="N180" s="55" t="s">
        <v>34</v>
      </c>
      <c r="O180" s="62">
        <v>1</v>
      </c>
      <c r="P180" s="97"/>
      <c r="Q180" s="62"/>
      <c r="R180" s="62"/>
      <c r="S180" s="164"/>
    </row>
    <row r="181" spans="1:19" ht="15.75" x14ac:dyDescent="0.25">
      <c r="A181" s="58"/>
      <c r="B181" s="59"/>
      <c r="C181" s="59"/>
      <c r="D181" s="59"/>
      <c r="E181" s="60"/>
      <c r="F181" s="80"/>
      <c r="G181" s="81"/>
      <c r="H181" s="81"/>
      <c r="I181" s="53"/>
      <c r="J181" s="75"/>
      <c r="K181" s="75"/>
      <c r="L181" s="114">
        <v>21892</v>
      </c>
      <c r="M181" s="115" t="s">
        <v>97</v>
      </c>
      <c r="N181" s="55" t="s">
        <v>34</v>
      </c>
      <c r="O181" s="139">
        <v>12</v>
      </c>
      <c r="P181" s="97"/>
      <c r="Q181" s="62"/>
      <c r="R181" s="62"/>
      <c r="S181" s="164"/>
    </row>
    <row r="182" spans="1:19" ht="15.75" x14ac:dyDescent="0.25">
      <c r="A182" s="58"/>
      <c r="B182" s="59"/>
      <c r="C182" s="59"/>
      <c r="D182" s="59"/>
      <c r="E182" s="60"/>
      <c r="F182" s="80"/>
      <c r="G182" s="81"/>
      <c r="H182" s="81"/>
      <c r="I182" s="53"/>
      <c r="J182" s="75"/>
      <c r="K182" s="75"/>
      <c r="L182" s="114" t="s">
        <v>455</v>
      </c>
      <c r="M182" s="115" t="s">
        <v>456</v>
      </c>
      <c r="N182" s="55" t="s">
        <v>34</v>
      </c>
      <c r="O182" s="139">
        <v>4</v>
      </c>
      <c r="P182" s="97"/>
      <c r="Q182" s="62"/>
      <c r="R182" s="62"/>
      <c r="S182" s="164"/>
    </row>
    <row r="183" spans="1:19" ht="15.75" x14ac:dyDescent="0.25">
      <c r="A183" s="58"/>
      <c r="B183" s="59"/>
      <c r="C183" s="59"/>
      <c r="D183" s="59"/>
      <c r="E183" s="60"/>
      <c r="F183" s="80"/>
      <c r="G183" s="81"/>
      <c r="H183" s="81"/>
      <c r="I183" s="53"/>
      <c r="J183" s="75"/>
      <c r="K183" s="75"/>
      <c r="L183" s="114" t="s">
        <v>457</v>
      </c>
      <c r="M183" s="115" t="s">
        <v>458</v>
      </c>
      <c r="N183" s="55" t="s">
        <v>34</v>
      </c>
      <c r="O183" s="139">
        <v>1</v>
      </c>
      <c r="P183" s="97"/>
      <c r="Q183" s="62"/>
      <c r="R183" s="62"/>
      <c r="S183" s="164"/>
    </row>
    <row r="184" spans="1:19" ht="15.75" x14ac:dyDescent="0.25">
      <c r="A184" s="58"/>
      <c r="B184" s="59"/>
      <c r="C184" s="59"/>
      <c r="D184" s="59"/>
      <c r="E184" s="60"/>
      <c r="F184" s="80"/>
      <c r="G184" s="81"/>
      <c r="H184" s="81"/>
      <c r="I184" s="53"/>
      <c r="J184" s="75"/>
      <c r="K184" s="75"/>
      <c r="L184" s="114" t="s">
        <v>529</v>
      </c>
      <c r="M184" s="115" t="s">
        <v>530</v>
      </c>
      <c r="N184" s="55" t="s">
        <v>34</v>
      </c>
      <c r="O184" s="139">
        <v>2</v>
      </c>
      <c r="P184" s="97"/>
      <c r="Q184" s="62"/>
      <c r="R184" s="62"/>
      <c r="S184" s="164"/>
    </row>
    <row r="185" spans="1:19" ht="15.75" x14ac:dyDescent="0.25">
      <c r="A185" s="58"/>
      <c r="B185" s="59"/>
      <c r="C185" s="59"/>
      <c r="D185" s="59"/>
      <c r="E185" s="60"/>
      <c r="F185" s="80"/>
      <c r="G185" s="81"/>
      <c r="H185" s="81"/>
      <c r="I185" s="53"/>
      <c r="J185" s="75"/>
      <c r="K185" s="75"/>
      <c r="L185" s="114" t="s">
        <v>459</v>
      </c>
      <c r="M185" s="115" t="s">
        <v>460</v>
      </c>
      <c r="N185" s="55" t="s">
        <v>34</v>
      </c>
      <c r="O185" s="139">
        <v>5</v>
      </c>
      <c r="P185" s="97"/>
      <c r="Q185" s="62"/>
      <c r="R185" s="62"/>
      <c r="S185" s="164"/>
    </row>
    <row r="186" spans="1:19" ht="15.75" x14ac:dyDescent="0.25">
      <c r="A186" s="58"/>
      <c r="B186" s="59"/>
      <c r="C186" s="59"/>
      <c r="D186" s="59"/>
      <c r="E186" s="60"/>
      <c r="F186" s="80"/>
      <c r="G186" s="81"/>
      <c r="H186" s="81"/>
      <c r="I186" s="53"/>
      <c r="J186" s="75"/>
      <c r="K186" s="75"/>
      <c r="L186" s="63">
        <v>423</v>
      </c>
      <c r="M186" s="61" t="s">
        <v>461</v>
      </c>
      <c r="N186" s="55" t="s">
        <v>34</v>
      </c>
      <c r="O186" s="62">
        <v>4</v>
      </c>
      <c r="P186" s="97"/>
      <c r="Q186" s="62"/>
      <c r="R186" s="62"/>
      <c r="S186" s="164"/>
    </row>
    <row r="187" spans="1:19" ht="15.75" x14ac:dyDescent="0.25">
      <c r="A187" s="58"/>
      <c r="B187" s="59"/>
      <c r="C187" s="59"/>
      <c r="D187" s="59"/>
      <c r="E187" s="60"/>
      <c r="F187" s="80"/>
      <c r="G187" s="81"/>
      <c r="H187" s="81"/>
      <c r="I187" s="53"/>
      <c r="J187" s="75"/>
      <c r="K187" s="75"/>
      <c r="L187" s="63" t="s">
        <v>462</v>
      </c>
      <c r="M187" s="61" t="s">
        <v>463</v>
      </c>
      <c r="N187" s="55" t="s">
        <v>34</v>
      </c>
      <c r="O187" s="62">
        <v>1</v>
      </c>
      <c r="P187" s="97"/>
      <c r="Q187" s="62"/>
      <c r="R187" s="62"/>
      <c r="S187" s="164"/>
    </row>
    <row r="188" spans="1:19" ht="15.75" x14ac:dyDescent="0.25">
      <c r="A188" s="58"/>
      <c r="B188" s="59"/>
      <c r="C188" s="59"/>
      <c r="D188" s="59"/>
      <c r="E188" s="60"/>
      <c r="F188" s="80"/>
      <c r="G188" s="81"/>
      <c r="H188" s="81"/>
      <c r="I188" s="53"/>
      <c r="J188" s="75"/>
      <c r="K188" s="75"/>
      <c r="L188" s="63" t="s">
        <v>219</v>
      </c>
      <c r="M188" s="61" t="s">
        <v>220</v>
      </c>
      <c r="N188" s="55" t="s">
        <v>34</v>
      </c>
      <c r="O188" s="62">
        <v>10</v>
      </c>
      <c r="P188" s="97"/>
      <c r="Q188" s="62"/>
      <c r="R188" s="62"/>
      <c r="S188" s="164"/>
    </row>
    <row r="189" spans="1:19" ht="15.75" x14ac:dyDescent="0.25">
      <c r="A189" s="58"/>
      <c r="B189" s="59"/>
      <c r="C189" s="59"/>
      <c r="D189" s="59"/>
      <c r="E189" s="60"/>
      <c r="F189" s="80"/>
      <c r="G189" s="81"/>
      <c r="H189" s="81"/>
      <c r="I189" s="53"/>
      <c r="J189" s="75"/>
      <c r="K189" s="75"/>
      <c r="L189" s="63">
        <v>21829</v>
      </c>
      <c r="M189" s="61" t="s">
        <v>221</v>
      </c>
      <c r="N189" s="55" t="s">
        <v>34</v>
      </c>
      <c r="O189" s="62">
        <v>3</v>
      </c>
      <c r="P189" s="97"/>
      <c r="Q189" s="62"/>
      <c r="R189" s="62"/>
      <c r="S189" s="164"/>
    </row>
    <row r="190" spans="1:19" ht="15.75" x14ac:dyDescent="0.25">
      <c r="A190" s="58"/>
      <c r="B190" s="59"/>
      <c r="C190" s="59"/>
      <c r="D190" s="59"/>
      <c r="E190" s="60"/>
      <c r="F190" s="80"/>
      <c r="G190" s="81"/>
      <c r="H190" s="81"/>
      <c r="I190" s="53"/>
      <c r="J190" s="75"/>
      <c r="K190" s="75"/>
      <c r="L190" s="63">
        <v>11813</v>
      </c>
      <c r="M190" s="61" t="s">
        <v>774</v>
      </c>
      <c r="N190" s="55"/>
      <c r="O190" s="62">
        <v>6</v>
      </c>
      <c r="P190" s="97"/>
      <c r="Q190" s="62"/>
      <c r="R190" s="62"/>
      <c r="S190" s="164"/>
    </row>
    <row r="191" spans="1:19" ht="15.75" x14ac:dyDescent="0.25">
      <c r="A191" s="58"/>
      <c r="B191" s="59"/>
      <c r="C191" s="59"/>
      <c r="D191" s="59"/>
      <c r="E191" s="60"/>
      <c r="F191" s="80"/>
      <c r="G191" s="81"/>
      <c r="H191" s="81"/>
      <c r="I191" s="53"/>
      <c r="J191" s="75"/>
      <c r="K191" s="75"/>
      <c r="L191" s="63">
        <v>14686</v>
      </c>
      <c r="M191" s="61" t="s">
        <v>468</v>
      </c>
      <c r="N191" s="55" t="s">
        <v>34</v>
      </c>
      <c r="O191" s="62">
        <v>4</v>
      </c>
      <c r="P191" s="97"/>
      <c r="Q191" s="62"/>
      <c r="R191" s="62"/>
      <c r="S191" s="164"/>
    </row>
    <row r="192" spans="1:19" ht="15.75" x14ac:dyDescent="0.25">
      <c r="A192" s="58"/>
      <c r="B192" s="59"/>
      <c r="C192" s="59"/>
      <c r="D192" s="59"/>
      <c r="E192" s="60"/>
      <c r="F192" s="80"/>
      <c r="G192" s="81"/>
      <c r="H192" s="81"/>
      <c r="I192" s="53"/>
      <c r="J192" s="75"/>
      <c r="K192" s="75"/>
      <c r="L192" s="63" t="s">
        <v>223</v>
      </c>
      <c r="M192" s="61" t="s">
        <v>224</v>
      </c>
      <c r="N192" s="55" t="s">
        <v>34</v>
      </c>
      <c r="O192" s="62">
        <v>9</v>
      </c>
      <c r="P192" s="97"/>
      <c r="Q192" s="62"/>
      <c r="R192" s="62"/>
      <c r="S192" s="164"/>
    </row>
    <row r="193" spans="1:19" ht="15.75" x14ac:dyDescent="0.25">
      <c r="A193" s="58"/>
      <c r="B193" s="59"/>
      <c r="C193" s="59"/>
      <c r="D193" s="59"/>
      <c r="E193" s="60"/>
      <c r="F193" s="80"/>
      <c r="G193" s="81"/>
      <c r="H193" s="81"/>
      <c r="I193" s="53"/>
      <c r="J193" s="75"/>
      <c r="K193" s="75"/>
      <c r="L193" s="63">
        <v>19328</v>
      </c>
      <c r="M193" s="61" t="s">
        <v>471</v>
      </c>
      <c r="N193" s="55" t="s">
        <v>34</v>
      </c>
      <c r="O193" s="62">
        <v>1</v>
      </c>
      <c r="P193" s="97"/>
      <c r="Q193" s="62"/>
      <c r="R193" s="62"/>
      <c r="S193" s="164"/>
    </row>
    <row r="194" spans="1:19" ht="15.75" x14ac:dyDescent="0.25">
      <c r="A194" s="58"/>
      <c r="B194" s="59"/>
      <c r="C194" s="59"/>
      <c r="D194" s="59"/>
      <c r="E194" s="60"/>
      <c r="F194" s="80"/>
      <c r="G194" s="81"/>
      <c r="H194" s="81"/>
      <c r="I194" s="53"/>
      <c r="J194" s="75"/>
      <c r="K194" s="75"/>
      <c r="L194" s="63">
        <v>100</v>
      </c>
      <c r="M194" s="61" t="s">
        <v>472</v>
      </c>
      <c r="N194" s="55" t="s">
        <v>34</v>
      </c>
      <c r="O194" s="62">
        <v>6</v>
      </c>
      <c r="P194" s="97"/>
      <c r="Q194" s="62"/>
      <c r="R194" s="62"/>
      <c r="S194" s="164"/>
    </row>
    <row r="195" spans="1:19" ht="15.75" x14ac:dyDescent="0.25">
      <c r="A195" s="58"/>
      <c r="B195" s="59"/>
      <c r="C195" s="59"/>
      <c r="D195" s="59"/>
      <c r="E195" s="60"/>
      <c r="F195" s="80"/>
      <c r="G195" s="81"/>
      <c r="H195" s="81"/>
      <c r="I195" s="53"/>
      <c r="J195" s="75"/>
      <c r="K195" s="75"/>
      <c r="L195" s="63">
        <v>101</v>
      </c>
      <c r="M195" s="61" t="s">
        <v>473</v>
      </c>
      <c r="N195" s="55" t="s">
        <v>34</v>
      </c>
      <c r="O195" s="62">
        <v>8</v>
      </c>
      <c r="P195" s="97"/>
      <c r="Q195" s="62"/>
      <c r="R195" s="62"/>
      <c r="S195" s="164"/>
    </row>
    <row r="196" spans="1:19" ht="15.75" x14ac:dyDescent="0.25">
      <c r="A196" s="58"/>
      <c r="B196" s="59"/>
      <c r="C196" s="59"/>
      <c r="D196" s="59"/>
      <c r="E196" s="60"/>
      <c r="F196" s="80"/>
      <c r="G196" s="81"/>
      <c r="H196" s="81"/>
      <c r="I196" s="53"/>
      <c r="J196" s="75"/>
      <c r="K196" s="75"/>
      <c r="L196" s="63">
        <v>21706</v>
      </c>
      <c r="M196" s="61" t="s">
        <v>474</v>
      </c>
      <c r="N196" s="55" t="s">
        <v>34</v>
      </c>
      <c r="O196" s="62">
        <v>4</v>
      </c>
      <c r="P196" s="97"/>
      <c r="Q196" s="62"/>
      <c r="R196" s="62"/>
      <c r="S196" s="164"/>
    </row>
    <row r="197" spans="1:19" ht="15.75" x14ac:dyDescent="0.25">
      <c r="A197" s="58"/>
      <c r="B197" s="59"/>
      <c r="C197" s="59"/>
      <c r="D197" s="59"/>
      <c r="E197" s="60"/>
      <c r="F197" s="80"/>
      <c r="G197" s="81"/>
      <c r="H197" s="81"/>
      <c r="I197" s="53"/>
      <c r="J197" s="75"/>
      <c r="K197" s="75"/>
      <c r="L197" s="114" t="s">
        <v>225</v>
      </c>
      <c r="M197" s="115" t="s">
        <v>226</v>
      </c>
      <c r="N197" s="55" t="s">
        <v>37</v>
      </c>
      <c r="O197" s="139">
        <v>220</v>
      </c>
      <c r="P197" s="97"/>
      <c r="Q197" s="62"/>
      <c r="R197" s="62"/>
      <c r="S197" s="164"/>
    </row>
    <row r="198" spans="1:19" ht="15.75" x14ac:dyDescent="0.25">
      <c r="A198" s="58"/>
      <c r="B198" s="59"/>
      <c r="C198" s="59"/>
      <c r="D198" s="59"/>
      <c r="E198" s="60"/>
      <c r="F198" s="80"/>
      <c r="G198" s="81"/>
      <c r="H198" s="81"/>
      <c r="I198" s="53"/>
      <c r="J198" s="75"/>
      <c r="K198" s="75"/>
      <c r="L198" s="114" t="s">
        <v>227</v>
      </c>
      <c r="M198" s="115" t="s">
        <v>228</v>
      </c>
      <c r="N198" s="55" t="s">
        <v>37</v>
      </c>
      <c r="O198" s="139">
        <v>124.5</v>
      </c>
      <c r="P198" s="97"/>
      <c r="Q198" s="62"/>
      <c r="R198" s="62"/>
      <c r="S198" s="164"/>
    </row>
    <row r="199" spans="1:19" ht="15.75" x14ac:dyDescent="0.25">
      <c r="A199" s="58"/>
      <c r="B199" s="59"/>
      <c r="C199" s="59"/>
      <c r="D199" s="59"/>
      <c r="E199" s="60"/>
      <c r="F199" s="80"/>
      <c r="G199" s="81"/>
      <c r="H199" s="81"/>
      <c r="I199" s="53"/>
      <c r="J199" s="75"/>
      <c r="K199" s="75"/>
      <c r="L199" s="114" t="s">
        <v>229</v>
      </c>
      <c r="M199" s="115" t="s">
        <v>230</v>
      </c>
      <c r="N199" s="55" t="s">
        <v>37</v>
      </c>
      <c r="O199" s="139">
        <v>116.4</v>
      </c>
      <c r="P199" s="97"/>
      <c r="Q199" s="62"/>
      <c r="R199" s="62"/>
      <c r="S199" s="164"/>
    </row>
    <row r="200" spans="1:19" ht="15.75" x14ac:dyDescent="0.25">
      <c r="A200" s="58"/>
      <c r="B200" s="59"/>
      <c r="C200" s="59"/>
      <c r="D200" s="59"/>
      <c r="E200" s="60"/>
      <c r="F200" s="80"/>
      <c r="G200" s="81"/>
      <c r="H200" s="81"/>
      <c r="I200" s="53"/>
      <c r="J200" s="75"/>
      <c r="K200" s="75"/>
      <c r="L200" s="114" t="s">
        <v>38</v>
      </c>
      <c r="M200" s="115" t="s">
        <v>100</v>
      </c>
      <c r="N200" s="55" t="s">
        <v>37</v>
      </c>
      <c r="O200" s="139">
        <v>66</v>
      </c>
      <c r="P200" s="97"/>
      <c r="Q200" s="62"/>
      <c r="R200" s="62"/>
      <c r="S200" s="164"/>
    </row>
    <row r="201" spans="1:19" ht="15.75" x14ac:dyDescent="0.25">
      <c r="A201" s="58"/>
      <c r="B201" s="59"/>
      <c r="C201" s="59"/>
      <c r="D201" s="59"/>
      <c r="E201" s="60"/>
      <c r="F201" s="80"/>
      <c r="G201" s="81"/>
      <c r="H201" s="81"/>
      <c r="I201" s="53"/>
      <c r="J201" s="75"/>
      <c r="K201" s="75"/>
      <c r="L201" s="114" t="s">
        <v>231</v>
      </c>
      <c r="M201" s="115" t="s">
        <v>232</v>
      </c>
      <c r="N201" s="55" t="s">
        <v>37</v>
      </c>
      <c r="O201" s="139">
        <v>573</v>
      </c>
      <c r="P201" s="97"/>
      <c r="Q201" s="62"/>
      <c r="R201" s="62"/>
      <c r="S201" s="164"/>
    </row>
    <row r="202" spans="1:19" ht="15.75" x14ac:dyDescent="0.25">
      <c r="A202" s="58"/>
      <c r="B202" s="59"/>
      <c r="C202" s="59"/>
      <c r="D202" s="59"/>
      <c r="E202" s="60"/>
      <c r="F202" s="80"/>
      <c r="G202" s="81"/>
      <c r="H202" s="81"/>
      <c r="I202" s="53"/>
      <c r="J202" s="75"/>
      <c r="K202" s="75"/>
      <c r="L202" s="114" t="s">
        <v>475</v>
      </c>
      <c r="M202" s="115" t="s">
        <v>476</v>
      </c>
      <c r="N202" s="55" t="s">
        <v>34</v>
      </c>
      <c r="O202" s="139">
        <v>4</v>
      </c>
      <c r="P202" s="97"/>
      <c r="Q202" s="62"/>
      <c r="R202" s="62"/>
      <c r="S202" s="164"/>
    </row>
    <row r="203" spans="1:19" ht="15.75" x14ac:dyDescent="0.25">
      <c r="A203" s="58"/>
      <c r="B203" s="59"/>
      <c r="C203" s="59"/>
      <c r="D203" s="59"/>
      <c r="E203" s="60"/>
      <c r="F203" s="80"/>
      <c r="G203" s="81"/>
      <c r="H203" s="81"/>
      <c r="I203" s="53"/>
      <c r="J203" s="75"/>
      <c r="K203" s="75"/>
      <c r="L203" s="114">
        <v>18042</v>
      </c>
      <c r="M203" s="115" t="s">
        <v>233</v>
      </c>
      <c r="N203" s="55" t="s">
        <v>57</v>
      </c>
      <c r="O203" s="139">
        <v>20</v>
      </c>
      <c r="P203" s="97"/>
      <c r="Q203" s="62"/>
      <c r="R203" s="62"/>
      <c r="S203" s="164"/>
    </row>
    <row r="204" spans="1:19" ht="15.75" x14ac:dyDescent="0.25">
      <c r="A204" s="58"/>
      <c r="B204" s="59"/>
      <c r="C204" s="59"/>
      <c r="D204" s="59"/>
      <c r="E204" s="60"/>
      <c r="F204" s="80"/>
      <c r="G204" s="81"/>
      <c r="H204" s="81"/>
      <c r="I204" s="53"/>
      <c r="J204" s="75"/>
      <c r="K204" s="75"/>
      <c r="L204" s="114" t="s">
        <v>521</v>
      </c>
      <c r="M204" s="115" t="s">
        <v>522</v>
      </c>
      <c r="N204" s="55" t="s">
        <v>39</v>
      </c>
      <c r="O204" s="139">
        <v>3.9E-2</v>
      </c>
      <c r="P204" s="97"/>
      <c r="Q204" s="62"/>
      <c r="R204" s="62"/>
      <c r="S204" s="164"/>
    </row>
    <row r="205" spans="1:19" ht="15.75" x14ac:dyDescent="0.25">
      <c r="A205" s="58"/>
      <c r="B205" s="59"/>
      <c r="C205" s="59"/>
      <c r="D205" s="59"/>
      <c r="E205" s="60"/>
      <c r="F205" s="80"/>
      <c r="G205" s="81"/>
      <c r="H205" s="81"/>
      <c r="I205" s="53"/>
      <c r="J205" s="75"/>
      <c r="K205" s="75"/>
      <c r="L205" s="63" t="s">
        <v>234</v>
      </c>
      <c r="M205" s="61" t="s">
        <v>235</v>
      </c>
      <c r="N205" s="55" t="s">
        <v>34</v>
      </c>
      <c r="O205" s="62">
        <v>2</v>
      </c>
      <c r="P205" s="97"/>
      <c r="Q205" s="62"/>
      <c r="R205" s="62"/>
      <c r="S205" s="164"/>
    </row>
    <row r="206" spans="1:19" ht="15.75" x14ac:dyDescent="0.25">
      <c r="A206" s="58"/>
      <c r="B206" s="59"/>
      <c r="C206" s="59"/>
      <c r="D206" s="59"/>
      <c r="E206" s="60"/>
      <c r="F206" s="80"/>
      <c r="G206" s="81"/>
      <c r="H206" s="81"/>
      <c r="I206" s="53"/>
      <c r="J206" s="75"/>
      <c r="K206" s="75"/>
      <c r="L206" s="63" t="s">
        <v>236</v>
      </c>
      <c r="M206" s="61" t="s">
        <v>237</v>
      </c>
      <c r="N206" s="55" t="s">
        <v>34</v>
      </c>
      <c r="O206" s="62">
        <v>4</v>
      </c>
      <c r="P206" s="97"/>
      <c r="Q206" s="62"/>
      <c r="R206" s="62"/>
      <c r="S206" s="164"/>
    </row>
    <row r="207" spans="1:19" ht="15.75" x14ac:dyDescent="0.25">
      <c r="A207" s="58"/>
      <c r="B207" s="59"/>
      <c r="C207" s="59"/>
      <c r="D207" s="59"/>
      <c r="E207" s="60"/>
      <c r="F207" s="80"/>
      <c r="G207" s="81"/>
      <c r="H207" s="81"/>
      <c r="I207" s="53"/>
      <c r="J207" s="75"/>
      <c r="K207" s="75"/>
      <c r="L207" s="63" t="s">
        <v>238</v>
      </c>
      <c r="M207" s="61" t="s">
        <v>239</v>
      </c>
      <c r="N207" s="55" t="s">
        <v>57</v>
      </c>
      <c r="O207" s="62">
        <v>455</v>
      </c>
      <c r="P207" s="97"/>
      <c r="Q207" s="62"/>
      <c r="R207" s="62"/>
      <c r="S207" s="164"/>
    </row>
    <row r="208" spans="1:19" ht="15.75" x14ac:dyDescent="0.25">
      <c r="A208" s="58"/>
      <c r="B208" s="59"/>
      <c r="C208" s="59"/>
      <c r="D208" s="59"/>
      <c r="E208" s="60"/>
      <c r="F208" s="80"/>
      <c r="G208" s="81"/>
      <c r="H208" s="81"/>
      <c r="I208" s="53"/>
      <c r="J208" s="75"/>
      <c r="K208" s="75"/>
      <c r="L208" s="63" t="s">
        <v>103</v>
      </c>
      <c r="M208" s="61" t="s">
        <v>104</v>
      </c>
      <c r="N208" s="55" t="s">
        <v>57</v>
      </c>
      <c r="O208" s="62">
        <v>25</v>
      </c>
      <c r="P208" s="97"/>
      <c r="Q208" s="62"/>
      <c r="R208" s="62"/>
      <c r="S208" s="164"/>
    </row>
    <row r="209" spans="1:19" ht="15.75" x14ac:dyDescent="0.25">
      <c r="A209" s="58"/>
      <c r="B209" s="59"/>
      <c r="C209" s="59"/>
      <c r="D209" s="59"/>
      <c r="E209" s="60"/>
      <c r="F209" s="80"/>
      <c r="G209" s="81"/>
      <c r="H209" s="81"/>
      <c r="I209" s="53"/>
      <c r="J209" s="75"/>
      <c r="K209" s="75"/>
      <c r="L209" s="63" t="s">
        <v>477</v>
      </c>
      <c r="M209" s="61" t="s">
        <v>478</v>
      </c>
      <c r="N209" s="55" t="s">
        <v>34</v>
      </c>
      <c r="O209" s="62">
        <v>1</v>
      </c>
      <c r="P209" s="97"/>
      <c r="Q209" s="62"/>
      <c r="R209" s="62"/>
      <c r="S209" s="164"/>
    </row>
    <row r="210" spans="1:19" ht="15.75" x14ac:dyDescent="0.25">
      <c r="A210" s="58"/>
      <c r="B210" s="59"/>
      <c r="C210" s="59"/>
      <c r="D210" s="59"/>
      <c r="E210" s="60"/>
      <c r="F210" s="80"/>
      <c r="G210" s="81"/>
      <c r="H210" s="81"/>
      <c r="I210" s="53"/>
      <c r="J210" s="75"/>
      <c r="K210" s="75"/>
      <c r="L210" s="63" t="s">
        <v>479</v>
      </c>
      <c r="M210" s="61" t="s">
        <v>480</v>
      </c>
      <c r="N210" s="55" t="s">
        <v>34</v>
      </c>
      <c r="O210" s="62">
        <v>5</v>
      </c>
      <c r="P210" s="97"/>
      <c r="Q210" s="62"/>
      <c r="R210" s="62"/>
      <c r="S210" s="164"/>
    </row>
    <row r="211" spans="1:19" ht="15.75" x14ac:dyDescent="0.25">
      <c r="A211" s="58"/>
      <c r="B211" s="59"/>
      <c r="C211" s="59"/>
      <c r="D211" s="59"/>
      <c r="E211" s="60"/>
      <c r="F211" s="80"/>
      <c r="G211" s="81"/>
      <c r="H211" s="81"/>
      <c r="I211" s="53"/>
      <c r="J211" s="75"/>
      <c r="K211" s="75"/>
      <c r="L211" s="63" t="s">
        <v>481</v>
      </c>
      <c r="M211" s="61" t="s">
        <v>482</v>
      </c>
      <c r="N211" s="55" t="s">
        <v>34</v>
      </c>
      <c r="O211" s="62">
        <v>5</v>
      </c>
      <c r="P211" s="97"/>
      <c r="Q211" s="62"/>
      <c r="R211" s="62"/>
      <c r="S211" s="164"/>
    </row>
    <row r="212" spans="1:19" ht="15.75" x14ac:dyDescent="0.25">
      <c r="A212" s="58"/>
      <c r="B212" s="59"/>
      <c r="C212" s="59"/>
      <c r="D212" s="59"/>
      <c r="E212" s="60"/>
      <c r="F212" s="80"/>
      <c r="G212" s="81"/>
      <c r="H212" s="81"/>
      <c r="I212" s="53"/>
      <c r="J212" s="75"/>
      <c r="K212" s="75"/>
      <c r="L212" s="63">
        <v>589</v>
      </c>
      <c r="M212" s="61" t="s">
        <v>483</v>
      </c>
      <c r="N212" s="55" t="s">
        <v>57</v>
      </c>
      <c r="O212" s="139">
        <v>34</v>
      </c>
      <c r="P212" s="97"/>
      <c r="Q212" s="62"/>
      <c r="R212" s="62"/>
      <c r="S212" s="164"/>
    </row>
    <row r="213" spans="1:19" ht="15.75" x14ac:dyDescent="0.25">
      <c r="A213" s="58"/>
      <c r="B213" s="59"/>
      <c r="C213" s="59"/>
      <c r="D213" s="59"/>
      <c r="E213" s="60"/>
      <c r="F213" s="80"/>
      <c r="G213" s="81"/>
      <c r="H213" s="81"/>
      <c r="I213" s="53"/>
      <c r="J213" s="75"/>
      <c r="K213" s="75"/>
      <c r="L213" s="63" t="s">
        <v>240</v>
      </c>
      <c r="M213" s="61" t="s">
        <v>241</v>
      </c>
      <c r="N213" s="55" t="s">
        <v>34</v>
      </c>
      <c r="O213" s="139">
        <v>1</v>
      </c>
      <c r="P213" s="97"/>
      <c r="Q213" s="62"/>
      <c r="R213" s="62"/>
      <c r="S213" s="164"/>
    </row>
    <row r="214" spans="1:19" ht="15.75" x14ac:dyDescent="0.25">
      <c r="A214" s="58"/>
      <c r="B214" s="59"/>
      <c r="C214" s="59"/>
      <c r="D214" s="59"/>
      <c r="E214" s="60"/>
      <c r="F214" s="80"/>
      <c r="G214" s="81"/>
      <c r="H214" s="81"/>
      <c r="I214" s="53"/>
      <c r="J214" s="75"/>
      <c r="K214" s="75"/>
      <c r="L214" s="63" t="s">
        <v>484</v>
      </c>
      <c r="M214" s="61" t="s">
        <v>485</v>
      </c>
      <c r="N214" s="55" t="s">
        <v>34</v>
      </c>
      <c r="O214" s="139">
        <v>1</v>
      </c>
      <c r="P214" s="97"/>
      <c r="Q214" s="62"/>
      <c r="R214" s="62"/>
      <c r="S214" s="164"/>
    </row>
    <row r="215" spans="1:19" ht="15.75" x14ac:dyDescent="0.25">
      <c r="A215" s="58"/>
      <c r="B215" s="59"/>
      <c r="C215" s="59"/>
      <c r="D215" s="59"/>
      <c r="E215" s="60"/>
      <c r="F215" s="80"/>
      <c r="G215" s="81"/>
      <c r="H215" s="81"/>
      <c r="I215" s="53"/>
      <c r="J215" s="75"/>
      <c r="K215" s="75"/>
      <c r="L215" s="63" t="s">
        <v>486</v>
      </c>
      <c r="M215" s="61" t="s">
        <v>487</v>
      </c>
      <c r="N215" s="55" t="s">
        <v>34</v>
      </c>
      <c r="O215" s="139">
        <v>2</v>
      </c>
      <c r="P215" s="97"/>
      <c r="Q215" s="62"/>
      <c r="R215" s="62"/>
      <c r="S215" s="164"/>
    </row>
    <row r="216" spans="1:19" ht="15.75" x14ac:dyDescent="0.25">
      <c r="A216" s="58"/>
      <c r="B216" s="59"/>
      <c r="C216" s="59"/>
      <c r="D216" s="59"/>
      <c r="E216" s="60"/>
      <c r="F216" s="80"/>
      <c r="G216" s="81"/>
      <c r="H216" s="81"/>
      <c r="I216" s="53"/>
      <c r="J216" s="75"/>
      <c r="K216" s="75"/>
      <c r="L216" s="63" t="s">
        <v>488</v>
      </c>
      <c r="M216" s="61" t="s">
        <v>489</v>
      </c>
      <c r="N216" s="55" t="s">
        <v>34</v>
      </c>
      <c r="O216" s="139">
        <v>5</v>
      </c>
      <c r="P216" s="97"/>
      <c r="Q216" s="62"/>
      <c r="R216" s="62"/>
      <c r="S216" s="164"/>
    </row>
    <row r="217" spans="1:19" ht="15.75" x14ac:dyDescent="0.25">
      <c r="A217" s="58"/>
      <c r="B217" s="59"/>
      <c r="C217" s="59"/>
      <c r="D217" s="59"/>
      <c r="E217" s="60"/>
      <c r="F217" s="80"/>
      <c r="G217" s="81"/>
      <c r="H217" s="81"/>
      <c r="I217" s="53"/>
      <c r="J217" s="75"/>
      <c r="K217" s="75"/>
      <c r="L217" s="63">
        <v>396</v>
      </c>
      <c r="M217" s="61" t="s">
        <v>105</v>
      </c>
      <c r="N217" s="55" t="s">
        <v>34</v>
      </c>
      <c r="O217" s="139">
        <v>3000</v>
      </c>
      <c r="P217" s="97"/>
      <c r="Q217" s="62"/>
      <c r="R217" s="62"/>
      <c r="S217" s="164"/>
    </row>
    <row r="218" spans="1:19" ht="15.75" x14ac:dyDescent="0.25">
      <c r="A218" s="58"/>
      <c r="B218" s="59"/>
      <c r="C218" s="59"/>
      <c r="D218" s="59"/>
      <c r="E218" s="60"/>
      <c r="F218" s="80"/>
      <c r="G218" s="81"/>
      <c r="H218" s="81"/>
      <c r="I218" s="53"/>
      <c r="J218" s="75"/>
      <c r="K218" s="75"/>
      <c r="L218" s="63">
        <v>395</v>
      </c>
      <c r="M218" s="61" t="s">
        <v>106</v>
      </c>
      <c r="N218" s="55" t="s">
        <v>34</v>
      </c>
      <c r="O218" s="139">
        <v>150</v>
      </c>
      <c r="P218" s="97"/>
      <c r="Q218" s="62"/>
      <c r="R218" s="62"/>
      <c r="S218" s="164"/>
    </row>
    <row r="219" spans="1:19" ht="15.75" x14ac:dyDescent="0.25">
      <c r="A219" s="58"/>
      <c r="B219" s="59"/>
      <c r="C219" s="59"/>
      <c r="D219" s="59"/>
      <c r="E219" s="60"/>
      <c r="F219" s="80"/>
      <c r="G219" s="81"/>
      <c r="H219" s="81"/>
      <c r="I219" s="53"/>
      <c r="J219" s="75"/>
      <c r="K219" s="75"/>
      <c r="L219" s="63" t="s">
        <v>490</v>
      </c>
      <c r="M219" s="61" t="s">
        <v>491</v>
      </c>
      <c r="N219" s="55" t="s">
        <v>34</v>
      </c>
      <c r="O219" s="139">
        <v>2</v>
      </c>
      <c r="P219" s="97"/>
      <c r="Q219" s="62"/>
      <c r="R219" s="62"/>
      <c r="S219" s="164"/>
    </row>
    <row r="220" spans="1:19" ht="15.75" x14ac:dyDescent="0.25">
      <c r="A220" s="90"/>
      <c r="B220" s="59"/>
      <c r="C220" s="59"/>
      <c r="D220" s="59"/>
      <c r="E220" s="60"/>
      <c r="F220" s="91"/>
      <c r="G220" s="92"/>
      <c r="H220" s="92"/>
      <c r="I220" s="53"/>
      <c r="J220" s="75"/>
      <c r="K220" s="75"/>
      <c r="L220" s="114" t="s">
        <v>46</v>
      </c>
      <c r="M220" s="115" t="s">
        <v>107</v>
      </c>
      <c r="N220" s="55" t="s">
        <v>64</v>
      </c>
      <c r="O220" s="139">
        <v>51</v>
      </c>
      <c r="P220" s="97"/>
      <c r="Q220" s="62"/>
      <c r="R220" s="62"/>
      <c r="S220" s="164"/>
    </row>
    <row r="221" spans="1:19" ht="15.75" x14ac:dyDescent="0.25">
      <c r="A221" s="90"/>
      <c r="B221" s="59"/>
      <c r="C221" s="59"/>
      <c r="D221" s="59"/>
      <c r="E221" s="60"/>
      <c r="F221" s="91"/>
      <c r="G221" s="92"/>
      <c r="H221" s="92"/>
      <c r="I221" s="53"/>
      <c r="J221" s="75"/>
      <c r="K221" s="75"/>
      <c r="L221" s="111" t="s">
        <v>492</v>
      </c>
      <c r="M221" s="112" t="s">
        <v>493</v>
      </c>
      <c r="N221" s="95" t="s">
        <v>34</v>
      </c>
      <c r="O221" s="140">
        <v>1</v>
      </c>
      <c r="P221" s="97"/>
      <c r="Q221" s="141"/>
      <c r="R221" s="141"/>
      <c r="S221" s="164"/>
    </row>
    <row r="222" spans="1:19" ht="15.75" x14ac:dyDescent="0.25">
      <c r="A222" s="90"/>
      <c r="B222" s="59"/>
      <c r="C222" s="59"/>
      <c r="D222" s="59"/>
      <c r="E222" s="60"/>
      <c r="F222" s="91"/>
      <c r="G222" s="92"/>
      <c r="H222" s="92"/>
      <c r="I222" s="53"/>
      <c r="J222" s="75"/>
      <c r="K222" s="75"/>
      <c r="L222" s="111">
        <v>104</v>
      </c>
      <c r="M222" s="112" t="s">
        <v>494</v>
      </c>
      <c r="N222" s="95" t="s">
        <v>34</v>
      </c>
      <c r="O222" s="140">
        <v>48</v>
      </c>
      <c r="P222" s="97"/>
      <c r="Q222" s="141"/>
      <c r="R222" s="141"/>
      <c r="S222" s="164"/>
    </row>
    <row r="223" spans="1:19" ht="15.75" x14ac:dyDescent="0.25">
      <c r="A223" s="90"/>
      <c r="B223" s="59"/>
      <c r="C223" s="59"/>
      <c r="D223" s="59"/>
      <c r="E223" s="60"/>
      <c r="F223" s="91"/>
      <c r="G223" s="92"/>
      <c r="H223" s="92"/>
      <c r="I223" s="53"/>
      <c r="J223" s="75"/>
      <c r="K223" s="75"/>
      <c r="L223" s="93" t="s">
        <v>242</v>
      </c>
      <c r="M223" s="94" t="s">
        <v>243</v>
      </c>
      <c r="N223" s="95" t="s">
        <v>34</v>
      </c>
      <c r="O223" s="140">
        <v>0</v>
      </c>
      <c r="P223" s="97"/>
      <c r="Q223" s="141"/>
      <c r="R223" s="141"/>
      <c r="S223" s="164"/>
    </row>
    <row r="224" spans="1:19" ht="15.75" x14ac:dyDescent="0.25">
      <c r="A224" s="90"/>
      <c r="B224" s="59"/>
      <c r="C224" s="59"/>
      <c r="D224" s="59"/>
      <c r="E224" s="60"/>
      <c r="F224" s="91"/>
      <c r="G224" s="92"/>
      <c r="H224" s="92"/>
      <c r="I224" s="53"/>
      <c r="J224" s="75"/>
      <c r="K224" s="75"/>
      <c r="L224" s="111" t="s">
        <v>47</v>
      </c>
      <c r="M224" s="112" t="s">
        <v>108</v>
      </c>
      <c r="N224" s="95" t="s">
        <v>34</v>
      </c>
      <c r="O224" s="140">
        <v>23</v>
      </c>
      <c r="P224" s="97"/>
      <c r="Q224" s="141"/>
      <c r="R224" s="141"/>
      <c r="S224" s="164"/>
    </row>
    <row r="225" spans="1:19" ht="15.75" x14ac:dyDescent="0.25">
      <c r="A225" s="90"/>
      <c r="B225" s="59"/>
      <c r="C225" s="59"/>
      <c r="D225" s="59"/>
      <c r="E225" s="60"/>
      <c r="F225" s="91"/>
      <c r="G225" s="92"/>
      <c r="H225" s="92"/>
      <c r="I225" s="53"/>
      <c r="J225" s="75"/>
      <c r="K225" s="75"/>
      <c r="L225" s="111" t="s">
        <v>495</v>
      </c>
      <c r="M225" s="112" t="s">
        <v>496</v>
      </c>
      <c r="N225" s="95" t="s">
        <v>34</v>
      </c>
      <c r="O225" s="140">
        <v>6</v>
      </c>
      <c r="P225" s="97"/>
      <c r="Q225" s="141"/>
      <c r="R225" s="141"/>
      <c r="S225" s="164"/>
    </row>
    <row r="226" spans="1:19" ht="15.75" x14ac:dyDescent="0.25">
      <c r="A226" s="90"/>
      <c r="B226" s="59"/>
      <c r="C226" s="59"/>
      <c r="D226" s="59"/>
      <c r="E226" s="60"/>
      <c r="F226" s="91"/>
      <c r="G226" s="92"/>
      <c r="H226" s="92"/>
      <c r="I226" s="53"/>
      <c r="J226" s="75"/>
      <c r="K226" s="75"/>
      <c r="L226" s="111" t="s">
        <v>497</v>
      </c>
      <c r="M226" s="112" t="s">
        <v>498</v>
      </c>
      <c r="N226" s="95" t="s">
        <v>34</v>
      </c>
      <c r="O226" s="140">
        <v>3</v>
      </c>
      <c r="P226" s="97"/>
      <c r="Q226" s="141"/>
      <c r="R226" s="141"/>
      <c r="S226" s="164"/>
    </row>
    <row r="227" spans="1:19" ht="15.75" x14ac:dyDescent="0.25">
      <c r="A227" s="90"/>
      <c r="B227" s="59"/>
      <c r="C227" s="59"/>
      <c r="D227" s="59"/>
      <c r="E227" s="60"/>
      <c r="F227" s="91"/>
      <c r="G227" s="92"/>
      <c r="H227" s="92"/>
      <c r="I227" s="53"/>
      <c r="J227" s="75"/>
      <c r="K227" s="75"/>
      <c r="L227" s="111" t="s">
        <v>499</v>
      </c>
      <c r="M227" s="112" t="s">
        <v>500</v>
      </c>
      <c r="N227" s="95" t="s">
        <v>34</v>
      </c>
      <c r="O227" s="140">
        <v>1</v>
      </c>
      <c r="P227" s="97"/>
      <c r="Q227" s="97"/>
      <c r="R227" s="101"/>
      <c r="S227" s="164"/>
    </row>
    <row r="228" spans="1:19" ht="15.75" x14ac:dyDescent="0.25">
      <c r="A228" s="90"/>
      <c r="B228" s="59"/>
      <c r="C228" s="59"/>
      <c r="D228" s="59"/>
      <c r="E228" s="60"/>
      <c r="F228" s="91"/>
      <c r="G228" s="92"/>
      <c r="H228" s="92"/>
      <c r="I228" s="53"/>
      <c r="J228" s="75"/>
      <c r="K228" s="75"/>
      <c r="L228" s="111">
        <v>15090</v>
      </c>
      <c r="M228" s="112" t="s">
        <v>501</v>
      </c>
      <c r="N228" s="95" t="s">
        <v>34</v>
      </c>
      <c r="O228" s="140">
        <v>8</v>
      </c>
      <c r="P228" s="97"/>
      <c r="Q228" s="141"/>
      <c r="R228" s="141"/>
      <c r="S228" s="164"/>
    </row>
    <row r="229" spans="1:19" ht="15.75" x14ac:dyDescent="0.25">
      <c r="A229" s="90"/>
      <c r="B229" s="59"/>
      <c r="C229" s="59"/>
      <c r="D229" s="59"/>
      <c r="E229" s="60"/>
      <c r="F229" s="91"/>
      <c r="G229" s="92"/>
      <c r="H229" s="92"/>
      <c r="I229" s="53"/>
      <c r="J229" s="75"/>
      <c r="K229" s="75"/>
      <c r="L229" s="111" t="s">
        <v>502</v>
      </c>
      <c r="M229" s="112" t="s">
        <v>503</v>
      </c>
      <c r="N229" s="95" t="s">
        <v>34</v>
      </c>
      <c r="O229" s="140">
        <v>2</v>
      </c>
      <c r="P229" s="97"/>
      <c r="Q229" s="141"/>
      <c r="R229" s="141"/>
      <c r="S229" s="164"/>
    </row>
    <row r="230" spans="1:19" ht="15.75" x14ac:dyDescent="0.25">
      <c r="A230" s="90"/>
      <c r="B230" s="59"/>
      <c r="C230" s="59"/>
      <c r="D230" s="59"/>
      <c r="E230" s="60"/>
      <c r="F230" s="91"/>
      <c r="G230" s="92"/>
      <c r="H230" s="92"/>
      <c r="I230" s="53"/>
      <c r="J230" s="75"/>
      <c r="K230" s="75"/>
      <c r="L230" s="111" t="s">
        <v>504</v>
      </c>
      <c r="M230" s="112" t="s">
        <v>505</v>
      </c>
      <c r="N230" s="95" t="s">
        <v>34</v>
      </c>
      <c r="O230" s="140">
        <v>10</v>
      </c>
      <c r="P230" s="97"/>
      <c r="Q230" s="141"/>
      <c r="R230" s="141"/>
      <c r="S230" s="164"/>
    </row>
    <row r="231" spans="1:19" ht="15.75" x14ac:dyDescent="0.25">
      <c r="A231" s="90"/>
      <c r="B231" s="59"/>
      <c r="C231" s="59"/>
      <c r="D231" s="59"/>
      <c r="E231" s="60"/>
      <c r="F231" s="91"/>
      <c r="G231" s="92"/>
      <c r="H231" s="92"/>
      <c r="I231" s="53"/>
      <c r="J231" s="75"/>
      <c r="K231" s="75"/>
      <c r="L231" s="93">
        <v>4659</v>
      </c>
      <c r="M231" s="94" t="s">
        <v>109</v>
      </c>
      <c r="N231" s="95" t="s">
        <v>34</v>
      </c>
      <c r="O231" s="141">
        <v>5000</v>
      </c>
      <c r="P231" s="97"/>
      <c r="Q231" s="141"/>
      <c r="R231" s="141"/>
      <c r="S231" s="164"/>
    </row>
    <row r="232" spans="1:19" ht="15.75" x14ac:dyDescent="0.25">
      <c r="A232" s="90"/>
      <c r="B232" s="59"/>
      <c r="C232" s="59"/>
      <c r="D232" s="59"/>
      <c r="E232" s="60"/>
      <c r="F232" s="91"/>
      <c r="G232" s="92"/>
      <c r="H232" s="92"/>
      <c r="I232" s="53"/>
      <c r="J232" s="75"/>
      <c r="K232" s="75"/>
      <c r="L232" s="93">
        <v>4453</v>
      </c>
      <c r="M232" s="94" t="s">
        <v>248</v>
      </c>
      <c r="N232" s="95" t="s">
        <v>34</v>
      </c>
      <c r="O232" s="141">
        <v>900</v>
      </c>
      <c r="P232" s="97"/>
      <c r="Q232" s="141"/>
      <c r="R232" s="141"/>
      <c r="S232" s="164"/>
    </row>
    <row r="233" spans="1:19" ht="15.75" x14ac:dyDescent="0.25">
      <c r="A233" s="90"/>
      <c r="B233" s="59"/>
      <c r="C233" s="59"/>
      <c r="D233" s="59"/>
      <c r="E233" s="60"/>
      <c r="F233" s="91"/>
      <c r="G233" s="92"/>
      <c r="H233" s="92"/>
      <c r="I233" s="53"/>
      <c r="J233" s="75"/>
      <c r="K233" s="75"/>
      <c r="L233" s="93">
        <v>2054</v>
      </c>
      <c r="M233" s="94" t="s">
        <v>507</v>
      </c>
      <c r="N233" s="95" t="s">
        <v>34</v>
      </c>
      <c r="O233" s="141">
        <v>2700</v>
      </c>
      <c r="P233" s="97"/>
      <c r="Q233" s="141"/>
      <c r="R233" s="141"/>
      <c r="S233" s="164"/>
    </row>
    <row r="234" spans="1:19" ht="15.75" x14ac:dyDescent="0.25">
      <c r="A234" s="90"/>
      <c r="B234" s="59"/>
      <c r="C234" s="59"/>
      <c r="D234" s="59"/>
      <c r="E234" s="60"/>
      <c r="F234" s="91"/>
      <c r="G234" s="92"/>
      <c r="H234" s="92"/>
      <c r="I234" s="53"/>
      <c r="J234" s="75"/>
      <c r="K234" s="75"/>
      <c r="L234" s="93" t="s">
        <v>508</v>
      </c>
      <c r="M234" s="94" t="s">
        <v>509</v>
      </c>
      <c r="N234" s="95" t="s">
        <v>34</v>
      </c>
      <c r="O234" s="141">
        <v>5</v>
      </c>
      <c r="P234" s="97"/>
      <c r="Q234" s="141"/>
      <c r="R234" s="141"/>
      <c r="S234" s="164"/>
    </row>
    <row r="235" spans="1:19" ht="15.75" x14ac:dyDescent="0.25">
      <c r="A235" s="90"/>
      <c r="B235" s="59"/>
      <c r="C235" s="59"/>
      <c r="D235" s="59"/>
      <c r="E235" s="60"/>
      <c r="F235" s="91"/>
      <c r="G235" s="92"/>
      <c r="H235" s="92"/>
      <c r="I235" s="53"/>
      <c r="J235" s="75"/>
      <c r="K235" s="75"/>
      <c r="L235" s="93" t="s">
        <v>55</v>
      </c>
      <c r="M235" s="94" t="s">
        <v>110</v>
      </c>
      <c r="N235" s="95" t="s">
        <v>34</v>
      </c>
      <c r="O235" s="141">
        <v>2</v>
      </c>
      <c r="P235" s="97"/>
      <c r="Q235" s="141"/>
      <c r="R235" s="141"/>
      <c r="S235" s="164"/>
    </row>
    <row r="236" spans="1:19" ht="15.75" x14ac:dyDescent="0.25">
      <c r="A236" s="90"/>
      <c r="B236" s="59"/>
      <c r="C236" s="59"/>
      <c r="D236" s="59"/>
      <c r="E236" s="60"/>
      <c r="F236" s="91"/>
      <c r="G236" s="92"/>
      <c r="H236" s="92"/>
      <c r="I236" s="53"/>
      <c r="J236" s="75"/>
      <c r="K236" s="75"/>
      <c r="L236" s="93" t="s">
        <v>523</v>
      </c>
      <c r="M236" s="94" t="s">
        <v>62</v>
      </c>
      <c r="N236" s="95" t="s">
        <v>34</v>
      </c>
      <c r="O236" s="141">
        <v>2</v>
      </c>
      <c r="P236" s="97"/>
      <c r="Q236" s="141"/>
      <c r="R236" s="141"/>
      <c r="S236" s="164"/>
    </row>
    <row r="237" spans="1:19" ht="15.75" x14ac:dyDescent="0.25">
      <c r="A237" s="90"/>
      <c r="B237" s="59"/>
      <c r="C237" s="59"/>
      <c r="D237" s="59"/>
      <c r="E237" s="60"/>
      <c r="F237" s="91"/>
      <c r="G237" s="92"/>
      <c r="H237" s="92"/>
      <c r="I237" s="53"/>
      <c r="J237" s="75"/>
      <c r="K237" s="75"/>
      <c r="L237" s="146" t="s">
        <v>749</v>
      </c>
      <c r="M237" s="94" t="s">
        <v>91</v>
      </c>
      <c r="N237" s="95" t="s">
        <v>34</v>
      </c>
      <c r="O237" s="141">
        <v>1</v>
      </c>
      <c r="P237" s="97"/>
      <c r="Q237" s="141"/>
      <c r="R237" s="141"/>
      <c r="S237" s="164"/>
    </row>
    <row r="238" spans="1:19" ht="15.75" x14ac:dyDescent="0.25">
      <c r="A238" s="90"/>
      <c r="B238" s="59"/>
      <c r="C238" s="59"/>
      <c r="D238" s="59"/>
      <c r="E238" s="60"/>
      <c r="F238" s="91"/>
      <c r="G238" s="92"/>
      <c r="H238" s="92"/>
      <c r="I238" s="53"/>
      <c r="J238" s="75"/>
      <c r="K238" s="75"/>
      <c r="L238" s="146"/>
      <c r="M238" s="94" t="s">
        <v>60</v>
      </c>
      <c r="N238" s="95" t="s">
        <v>34</v>
      </c>
      <c r="O238" s="141">
        <v>4</v>
      </c>
      <c r="P238" s="97"/>
      <c r="Q238" s="141"/>
      <c r="R238" s="141"/>
      <c r="S238" s="164"/>
    </row>
    <row r="239" spans="1:19" ht="15.75" x14ac:dyDescent="0.25">
      <c r="A239" s="90"/>
      <c r="B239" s="59"/>
      <c r="C239" s="59"/>
      <c r="D239" s="59"/>
      <c r="E239" s="60"/>
      <c r="F239" s="91"/>
      <c r="G239" s="92"/>
      <c r="H239" s="92"/>
      <c r="I239" s="53"/>
      <c r="J239" s="75"/>
      <c r="K239" s="75"/>
      <c r="L239" s="146" t="s">
        <v>750</v>
      </c>
      <c r="M239" s="94" t="s">
        <v>50</v>
      </c>
      <c r="N239" s="95" t="s">
        <v>34</v>
      </c>
      <c r="O239" s="141">
        <v>1</v>
      </c>
      <c r="P239" s="97"/>
      <c r="Q239" s="141"/>
      <c r="R239" s="141"/>
      <c r="S239" s="164"/>
    </row>
    <row r="240" spans="1:19" ht="15.75" x14ac:dyDescent="0.25">
      <c r="A240" s="90"/>
      <c r="B240" s="59"/>
      <c r="C240" s="59"/>
      <c r="D240" s="59"/>
      <c r="E240" s="60"/>
      <c r="F240" s="91"/>
      <c r="G240" s="92"/>
      <c r="H240" s="92"/>
      <c r="I240" s="53"/>
      <c r="J240" s="75"/>
      <c r="K240" s="75"/>
      <c r="L240" s="146" t="s">
        <v>751</v>
      </c>
      <c r="M240" s="94" t="s">
        <v>524</v>
      </c>
      <c r="N240" s="95" t="s">
        <v>34</v>
      </c>
      <c r="O240" s="141">
        <v>2</v>
      </c>
      <c r="P240" s="97"/>
      <c r="Q240" s="141"/>
      <c r="R240" s="141"/>
      <c r="S240" s="164"/>
    </row>
    <row r="241" spans="1:35" ht="15.75" x14ac:dyDescent="0.25">
      <c r="A241" s="90"/>
      <c r="B241" s="59"/>
      <c r="C241" s="59"/>
      <c r="D241" s="59"/>
      <c r="E241" s="60"/>
      <c r="F241" s="91"/>
      <c r="G241" s="92"/>
      <c r="H241" s="92"/>
      <c r="I241" s="53"/>
      <c r="J241" s="75"/>
      <c r="K241" s="75"/>
      <c r="L241" s="146"/>
      <c r="M241" s="94" t="s">
        <v>61</v>
      </c>
      <c r="N241" s="95" t="s">
        <v>34</v>
      </c>
      <c r="O241" s="141">
        <v>3</v>
      </c>
      <c r="P241" s="97"/>
      <c r="Q241" s="141"/>
      <c r="R241" s="141"/>
      <c r="S241" s="164"/>
    </row>
    <row r="242" spans="1:35" ht="15.75" x14ac:dyDescent="0.25">
      <c r="A242" s="90"/>
      <c r="B242" s="59"/>
      <c r="C242" s="59"/>
      <c r="D242" s="59"/>
      <c r="E242" s="60"/>
      <c r="F242" s="91"/>
      <c r="G242" s="92"/>
      <c r="H242" s="92"/>
      <c r="I242" s="53"/>
      <c r="J242" s="75"/>
      <c r="K242" s="75"/>
      <c r="L242" s="146" t="s">
        <v>510</v>
      </c>
      <c r="M242" s="112" t="s">
        <v>511</v>
      </c>
      <c r="N242" s="95" t="s">
        <v>34</v>
      </c>
      <c r="O242" s="140">
        <v>3</v>
      </c>
      <c r="P242" s="97"/>
      <c r="Q242" s="141"/>
      <c r="R242" s="141"/>
      <c r="S242" s="164"/>
    </row>
    <row r="243" spans="1:35" ht="15.75" x14ac:dyDescent="0.25">
      <c r="A243" s="90"/>
      <c r="B243" s="59"/>
      <c r="C243" s="59"/>
      <c r="D243" s="59"/>
      <c r="E243" s="60"/>
      <c r="F243" s="91"/>
      <c r="G243" s="92"/>
      <c r="H243" s="92"/>
      <c r="I243" s="53"/>
      <c r="J243" s="75"/>
      <c r="K243" s="75"/>
      <c r="L243" s="111" t="s">
        <v>722</v>
      </c>
      <c r="M243" s="112" t="s">
        <v>723</v>
      </c>
      <c r="N243" s="95" t="s">
        <v>34</v>
      </c>
      <c r="O243" s="140">
        <v>1</v>
      </c>
      <c r="P243" s="97"/>
      <c r="Q243" s="141"/>
      <c r="R243" s="141"/>
      <c r="S243" s="164"/>
    </row>
    <row r="244" spans="1:35" ht="15.75" x14ac:dyDescent="0.25">
      <c r="A244" s="90"/>
      <c r="B244" s="59"/>
      <c r="C244" s="59"/>
      <c r="D244" s="59"/>
      <c r="E244" s="60"/>
      <c r="F244" s="91"/>
      <c r="G244" s="92"/>
      <c r="H244" s="92"/>
      <c r="I244" s="53"/>
      <c r="J244" s="75"/>
      <c r="K244" s="75"/>
      <c r="L244" s="157">
        <v>17652</v>
      </c>
      <c r="M244" s="112" t="s">
        <v>725</v>
      </c>
      <c r="N244" s="95" t="s">
        <v>34</v>
      </c>
      <c r="O244" s="140">
        <v>1</v>
      </c>
      <c r="P244" s="97"/>
      <c r="Q244" s="141"/>
      <c r="R244" s="141"/>
      <c r="S244" s="164"/>
    </row>
    <row r="245" spans="1:35" ht="15.75" x14ac:dyDescent="0.25">
      <c r="A245" s="128"/>
      <c r="B245" s="129"/>
      <c r="C245" s="129"/>
      <c r="D245" s="129"/>
      <c r="E245" s="130"/>
      <c r="F245" s="131"/>
      <c r="G245" s="132"/>
      <c r="H245" s="132"/>
      <c r="I245" s="133"/>
      <c r="J245" s="134"/>
      <c r="K245" s="134"/>
      <c r="L245" s="111" t="s">
        <v>726</v>
      </c>
      <c r="M245" s="112" t="s">
        <v>727</v>
      </c>
      <c r="N245" s="95" t="s">
        <v>34</v>
      </c>
      <c r="O245" s="140">
        <v>1</v>
      </c>
      <c r="P245" s="97"/>
      <c r="Q245" s="141"/>
      <c r="R245" s="141"/>
      <c r="S245" s="164"/>
      <c r="AA245" s="135"/>
      <c r="AB245" s="135"/>
      <c r="AC245" s="135"/>
      <c r="AD245" s="135"/>
      <c r="AE245" s="135"/>
      <c r="AF245" s="135"/>
      <c r="AG245" s="135"/>
      <c r="AH245" s="135"/>
      <c r="AI245" s="135"/>
    </row>
    <row r="246" spans="1:35" ht="15.75" x14ac:dyDescent="0.25">
      <c r="A246" s="128"/>
      <c r="B246" s="129"/>
      <c r="C246" s="129"/>
      <c r="D246" s="129"/>
      <c r="E246" s="130"/>
      <c r="F246" s="131"/>
      <c r="G246" s="132"/>
      <c r="H246" s="132"/>
      <c r="I246" s="133"/>
      <c r="J246" s="134"/>
      <c r="K246" s="134"/>
      <c r="L246" s="157">
        <v>21537</v>
      </c>
      <c r="M246" s="112" t="s">
        <v>742</v>
      </c>
      <c r="N246" s="95" t="s">
        <v>269</v>
      </c>
      <c r="O246" s="140">
        <v>8</v>
      </c>
      <c r="P246" s="97"/>
      <c r="Q246" s="141"/>
      <c r="R246" s="141"/>
      <c r="S246" s="164"/>
      <c r="U246" s="135"/>
      <c r="V246" s="135"/>
      <c r="W246" s="135"/>
      <c r="X246" s="135"/>
      <c r="Y246" s="135"/>
      <c r="Z246" s="135"/>
      <c r="AA246" s="135"/>
      <c r="AB246" s="135"/>
      <c r="AC246" s="135"/>
      <c r="AD246" s="135"/>
      <c r="AE246" s="135"/>
      <c r="AF246" s="135"/>
      <c r="AG246" s="135"/>
      <c r="AH246" s="135"/>
      <c r="AI246" s="135"/>
    </row>
    <row r="247" spans="1:35" ht="15.75" x14ac:dyDescent="0.25">
      <c r="A247" s="128"/>
      <c r="B247" s="129"/>
      <c r="C247" s="129"/>
      <c r="D247" s="129"/>
      <c r="E247" s="130"/>
      <c r="F247" s="131"/>
      <c r="G247" s="132"/>
      <c r="H247" s="132"/>
      <c r="I247" s="133"/>
      <c r="J247" s="134"/>
      <c r="K247" s="134"/>
      <c r="L247" s="157">
        <v>6683</v>
      </c>
      <c r="M247" s="112" t="s">
        <v>743</v>
      </c>
      <c r="N247" s="95" t="s">
        <v>269</v>
      </c>
      <c r="O247" s="140">
        <v>3</v>
      </c>
      <c r="P247" s="97"/>
      <c r="Q247" s="141"/>
      <c r="R247" s="141"/>
      <c r="S247" s="164"/>
      <c r="U247" s="135"/>
      <c r="V247" s="135"/>
      <c r="W247" s="135"/>
      <c r="X247" s="135"/>
      <c r="Y247" s="135"/>
      <c r="Z247" s="135"/>
      <c r="AA247" s="135"/>
      <c r="AB247" s="135"/>
      <c r="AC247" s="135"/>
      <c r="AD247" s="135"/>
      <c r="AE247" s="135"/>
      <c r="AF247" s="135"/>
      <c r="AG247" s="135"/>
      <c r="AH247" s="135"/>
      <c r="AI247" s="135"/>
    </row>
    <row r="248" spans="1:35" ht="15.75" x14ac:dyDescent="0.25">
      <c r="A248" s="190"/>
      <c r="B248" s="191"/>
      <c r="C248" s="191"/>
      <c r="D248" s="191"/>
      <c r="E248" s="192"/>
      <c r="F248" s="131"/>
      <c r="G248" s="193"/>
      <c r="H248" s="193"/>
      <c r="I248" s="194"/>
      <c r="J248" s="192"/>
      <c r="K248" s="192"/>
      <c r="L248" s="157" t="s">
        <v>335</v>
      </c>
      <c r="M248" s="112" t="s">
        <v>336</v>
      </c>
      <c r="N248" s="95"/>
      <c r="O248" s="140">
        <v>4</v>
      </c>
      <c r="P248" s="97"/>
      <c r="Q248" s="141"/>
      <c r="R248" s="141"/>
      <c r="S248" s="164"/>
      <c r="T248" s="196"/>
      <c r="U248" s="135"/>
      <c r="V248" s="135"/>
      <c r="W248" s="135"/>
      <c r="X248" s="135"/>
      <c r="Y248" s="135"/>
      <c r="Z248" s="135"/>
      <c r="AA248" s="195"/>
      <c r="AB248" s="195"/>
      <c r="AC248" s="195"/>
      <c r="AD248" s="195"/>
      <c r="AE248" s="195"/>
      <c r="AF248" s="195"/>
      <c r="AG248" s="195"/>
      <c r="AH248" s="195"/>
      <c r="AI248" s="195"/>
    </row>
    <row r="249" spans="1:35" ht="16.5" thickBot="1" x14ac:dyDescent="0.3">
      <c r="L249" s="111" t="s">
        <v>739</v>
      </c>
      <c r="M249" s="112" t="s">
        <v>744</v>
      </c>
      <c r="N249" s="95" t="s">
        <v>34</v>
      </c>
      <c r="O249" s="140">
        <v>2</v>
      </c>
      <c r="P249" s="97"/>
      <c r="Q249" s="141"/>
      <c r="R249" s="141"/>
      <c r="S249" s="164"/>
      <c r="U249" s="135"/>
      <c r="V249" s="135"/>
      <c r="W249" s="135"/>
      <c r="X249" s="135"/>
      <c r="Y249" s="135"/>
      <c r="Z249" s="135"/>
    </row>
    <row r="250" spans="1:35" ht="21.75" thickBot="1" x14ac:dyDescent="0.3">
      <c r="A250" s="33"/>
      <c r="B250" s="34" t="s">
        <v>23</v>
      </c>
      <c r="C250" s="35"/>
      <c r="D250" s="36"/>
      <c r="E250" s="36"/>
      <c r="F250" s="36"/>
      <c r="G250" s="36"/>
      <c r="H250" s="36">
        <f>SUM(H20:H219)</f>
        <v>0</v>
      </c>
      <c r="I250" s="76"/>
      <c r="J250" s="76"/>
      <c r="K250" s="76"/>
      <c r="L250" s="37"/>
      <c r="M250" s="38"/>
      <c r="N250" s="38"/>
      <c r="O250" s="39"/>
      <c r="P250" s="39"/>
      <c r="Q250" s="183">
        <f>SUM(Q19:Q245)</f>
        <v>0</v>
      </c>
      <c r="R250" s="184"/>
      <c r="S250" s="165"/>
    </row>
    <row r="251" spans="1:35" ht="18.75" x14ac:dyDescent="0.25">
      <c r="A251" s="20"/>
      <c r="B251" s="25"/>
      <c r="C251" s="11"/>
      <c r="D251" s="49"/>
      <c r="E251" s="49"/>
      <c r="F251" s="80"/>
      <c r="G251" s="81"/>
      <c r="H251" s="81"/>
      <c r="I251" s="54"/>
      <c r="J251" s="54"/>
      <c r="K251" s="54"/>
      <c r="L251" s="71">
        <v>12555</v>
      </c>
      <c r="M251" s="69" t="s">
        <v>778</v>
      </c>
      <c r="N251" s="69" t="s">
        <v>34</v>
      </c>
      <c r="O251" s="51">
        <v>1</v>
      </c>
      <c r="P251" s="51"/>
      <c r="Q251" s="51"/>
      <c r="R251" s="24"/>
      <c r="S251" s="166"/>
      <c r="U251" s="232"/>
      <c r="V251" s="232"/>
    </row>
    <row r="252" spans="1:35" ht="18.75" x14ac:dyDescent="0.25">
      <c r="A252" s="20"/>
      <c r="B252" s="25"/>
      <c r="C252" s="11"/>
      <c r="D252" s="49"/>
      <c r="E252" s="49"/>
      <c r="F252" s="80"/>
      <c r="G252" s="81"/>
      <c r="H252" s="81"/>
      <c r="I252" s="54"/>
      <c r="J252" s="54"/>
      <c r="K252" s="54"/>
      <c r="L252" s="72" t="s">
        <v>779</v>
      </c>
      <c r="M252" s="73" t="s">
        <v>780</v>
      </c>
      <c r="N252" s="73" t="s">
        <v>34</v>
      </c>
      <c r="O252" s="50">
        <v>1</v>
      </c>
      <c r="P252" s="50"/>
      <c r="Q252" s="50"/>
      <c r="R252" s="24"/>
      <c r="S252" s="166"/>
      <c r="U252" s="5"/>
      <c r="V252" s="5"/>
    </row>
    <row r="253" spans="1:35" ht="18.75" x14ac:dyDescent="0.25">
      <c r="A253" s="20"/>
      <c r="B253" s="25"/>
      <c r="C253" s="11"/>
      <c r="D253" s="49"/>
      <c r="E253" s="49"/>
      <c r="F253" s="80"/>
      <c r="G253" s="81"/>
      <c r="H253" s="81"/>
      <c r="I253" s="54"/>
      <c r="J253" s="54"/>
      <c r="K253" s="54"/>
      <c r="L253" s="72">
        <v>3014</v>
      </c>
      <c r="M253" s="73" t="s">
        <v>781</v>
      </c>
      <c r="N253" s="73" t="s">
        <v>34</v>
      </c>
      <c r="O253" s="50">
        <v>1</v>
      </c>
      <c r="P253" s="50"/>
      <c r="Q253" s="50"/>
      <c r="R253" s="24"/>
      <c r="S253" s="166"/>
      <c r="U253" s="5"/>
      <c r="V253" s="5"/>
    </row>
    <row r="254" spans="1:35" ht="18.75" x14ac:dyDescent="0.25">
      <c r="A254" s="20"/>
      <c r="B254" s="25"/>
      <c r="C254" s="11"/>
      <c r="D254" s="49"/>
      <c r="E254" s="49"/>
      <c r="F254" s="80"/>
      <c r="G254" s="81"/>
      <c r="H254" s="81"/>
      <c r="I254" s="54"/>
      <c r="J254" s="54"/>
      <c r="K254" s="54"/>
      <c r="L254" s="72">
        <v>2475</v>
      </c>
      <c r="M254" s="73" t="s">
        <v>117</v>
      </c>
      <c r="N254" s="73" t="s">
        <v>34</v>
      </c>
      <c r="O254" s="50">
        <v>1</v>
      </c>
      <c r="P254" s="50"/>
      <c r="Q254" s="50"/>
      <c r="R254" s="24"/>
      <c r="S254" s="166"/>
      <c r="U254" s="5"/>
      <c r="V254" s="5"/>
    </row>
    <row r="255" spans="1:35" ht="18.75" x14ac:dyDescent="0.25">
      <c r="A255" s="20"/>
      <c r="B255" s="25"/>
      <c r="C255" s="11"/>
      <c r="D255" s="49"/>
      <c r="E255" s="49"/>
      <c r="F255" s="80"/>
      <c r="G255" s="81"/>
      <c r="H255" s="81"/>
      <c r="I255" s="54"/>
      <c r="J255" s="54"/>
      <c r="K255" s="54"/>
      <c r="L255" s="72">
        <v>4752</v>
      </c>
      <c r="M255" s="73" t="s">
        <v>782</v>
      </c>
      <c r="N255" s="73" t="s">
        <v>34</v>
      </c>
      <c r="O255" s="50">
        <v>1</v>
      </c>
      <c r="P255" s="50"/>
      <c r="Q255" s="50"/>
      <c r="R255" s="24"/>
      <c r="S255" s="166"/>
      <c r="U255" s="5"/>
      <c r="V255" s="5"/>
    </row>
    <row r="256" spans="1:35" ht="18.75" x14ac:dyDescent="0.25">
      <c r="A256" s="20"/>
      <c r="B256" s="25"/>
      <c r="C256" s="11"/>
      <c r="D256" s="49"/>
      <c r="E256" s="49"/>
      <c r="F256" s="80"/>
      <c r="G256" s="81"/>
      <c r="H256" s="81"/>
      <c r="I256" s="54"/>
      <c r="J256" s="54"/>
      <c r="K256" s="54"/>
      <c r="L256" s="72">
        <v>4395</v>
      </c>
      <c r="M256" s="73" t="s">
        <v>783</v>
      </c>
      <c r="N256" s="73" t="s">
        <v>34</v>
      </c>
      <c r="O256" s="50">
        <v>1</v>
      </c>
      <c r="P256" s="50"/>
      <c r="Q256" s="50"/>
      <c r="R256" s="24"/>
      <c r="S256" s="166"/>
      <c r="U256" s="5"/>
      <c r="V256" s="5"/>
    </row>
    <row r="257" spans="1:22" ht="18.75" x14ac:dyDescent="0.25">
      <c r="A257" s="20"/>
      <c r="B257" s="25"/>
      <c r="C257" s="11"/>
      <c r="D257" s="49"/>
      <c r="E257" s="49"/>
      <c r="F257" s="80"/>
      <c r="G257" s="81"/>
      <c r="H257" s="81"/>
      <c r="I257" s="54"/>
      <c r="J257" s="54"/>
      <c r="K257" s="54"/>
      <c r="L257" s="72">
        <v>3652</v>
      </c>
      <c r="M257" s="73" t="s">
        <v>784</v>
      </c>
      <c r="N257" s="73" t="s">
        <v>34</v>
      </c>
      <c r="O257" s="50">
        <v>1</v>
      </c>
      <c r="P257" s="50"/>
      <c r="Q257" s="50"/>
      <c r="R257" s="24"/>
      <c r="S257" s="166"/>
      <c r="U257" s="5"/>
      <c r="V257" s="5"/>
    </row>
    <row r="258" spans="1:22" ht="18.75" x14ac:dyDescent="0.25">
      <c r="A258" s="20"/>
      <c r="B258" s="25"/>
      <c r="C258" s="11"/>
      <c r="D258" s="49"/>
      <c r="E258" s="49"/>
      <c r="F258" s="80"/>
      <c r="G258" s="81"/>
      <c r="H258" s="81"/>
      <c r="I258" s="54"/>
      <c r="J258" s="54"/>
      <c r="K258" s="54"/>
      <c r="L258" s="72" t="s">
        <v>118</v>
      </c>
      <c r="M258" s="73" t="s">
        <v>119</v>
      </c>
      <c r="N258" s="73" t="s">
        <v>34</v>
      </c>
      <c r="O258" s="50">
        <v>12</v>
      </c>
      <c r="P258" s="50"/>
      <c r="Q258" s="50"/>
      <c r="R258" s="24"/>
      <c r="S258" s="166"/>
      <c r="U258" s="5"/>
      <c r="V258" s="5"/>
    </row>
    <row r="259" spans="1:22" ht="18.75" x14ac:dyDescent="0.25">
      <c r="A259" s="20"/>
      <c r="B259" s="25"/>
      <c r="C259" s="11"/>
      <c r="D259" s="49"/>
      <c r="E259" s="49"/>
      <c r="F259" s="80"/>
      <c r="G259" s="81"/>
      <c r="H259" s="81"/>
      <c r="I259" s="54"/>
      <c r="J259" s="54"/>
      <c r="K259" s="54"/>
      <c r="L259" s="72">
        <v>2140</v>
      </c>
      <c r="M259" s="73" t="s">
        <v>253</v>
      </c>
      <c r="N259" s="73" t="s">
        <v>34</v>
      </c>
      <c r="O259" s="50">
        <v>1</v>
      </c>
      <c r="P259" s="50"/>
      <c r="Q259" s="50"/>
      <c r="R259" s="24"/>
      <c r="S259" s="166"/>
      <c r="U259" s="5"/>
      <c r="V259" s="5"/>
    </row>
    <row r="260" spans="1:22" ht="18.75" x14ac:dyDescent="0.25">
      <c r="A260" s="20"/>
      <c r="B260" s="25"/>
      <c r="C260" s="11"/>
      <c r="D260" s="49"/>
      <c r="E260" s="49"/>
      <c r="F260" s="80"/>
      <c r="G260" s="81"/>
      <c r="H260" s="81"/>
      <c r="I260" s="54"/>
      <c r="J260" s="54"/>
      <c r="K260" s="54"/>
      <c r="L260" s="72">
        <v>3164</v>
      </c>
      <c r="M260" s="73" t="s">
        <v>122</v>
      </c>
      <c r="N260" s="73" t="s">
        <v>34</v>
      </c>
      <c r="O260" s="50">
        <v>1</v>
      </c>
      <c r="P260" s="50"/>
      <c r="Q260" s="50"/>
      <c r="R260" s="24"/>
      <c r="S260" s="166"/>
      <c r="U260" s="5"/>
      <c r="V260" s="5"/>
    </row>
    <row r="261" spans="1:22" ht="18.75" x14ac:dyDescent="0.25">
      <c r="A261" s="20"/>
      <c r="B261" s="25"/>
      <c r="C261" s="11"/>
      <c r="D261" s="49"/>
      <c r="E261" s="49"/>
      <c r="F261" s="80"/>
      <c r="G261" s="81"/>
      <c r="H261" s="81"/>
      <c r="I261" s="54"/>
      <c r="J261" s="54"/>
      <c r="K261" s="54"/>
      <c r="L261" s="72">
        <v>16608</v>
      </c>
      <c r="M261" s="73" t="s">
        <v>787</v>
      </c>
      <c r="N261" s="73" t="s">
        <v>34</v>
      </c>
      <c r="O261" s="50">
        <v>1</v>
      </c>
      <c r="P261" s="50"/>
      <c r="Q261" s="50"/>
      <c r="R261" s="24"/>
      <c r="S261" s="166"/>
      <c r="U261" s="5"/>
      <c r="V261" s="5"/>
    </row>
    <row r="262" spans="1:22" ht="18.75" x14ac:dyDescent="0.25">
      <c r="A262" s="20"/>
      <c r="B262" s="25"/>
      <c r="C262" s="11"/>
      <c r="D262" s="49"/>
      <c r="E262" s="49"/>
      <c r="F262" s="80"/>
      <c r="G262" s="81"/>
      <c r="H262" s="81"/>
      <c r="I262" s="54"/>
      <c r="J262" s="54"/>
      <c r="K262" s="54"/>
      <c r="L262" s="72" t="s">
        <v>788</v>
      </c>
      <c r="M262" s="73" t="s">
        <v>789</v>
      </c>
      <c r="N262" s="73" t="s">
        <v>790</v>
      </c>
      <c r="O262" s="50">
        <v>1</v>
      </c>
      <c r="P262" s="50"/>
      <c r="Q262" s="50"/>
      <c r="R262" s="24"/>
      <c r="S262" s="166"/>
      <c r="U262" s="5"/>
      <c r="V262" s="5"/>
    </row>
    <row r="263" spans="1:22" ht="18.75" x14ac:dyDescent="0.25">
      <c r="A263" s="20"/>
      <c r="B263" s="25"/>
      <c r="C263" s="11"/>
      <c r="D263" s="49"/>
      <c r="E263" s="49"/>
      <c r="F263" s="80"/>
      <c r="G263" s="81"/>
      <c r="H263" s="81"/>
      <c r="I263" s="54"/>
      <c r="J263" s="54"/>
      <c r="K263" s="54"/>
      <c r="L263" s="72">
        <v>3161</v>
      </c>
      <c r="M263" s="73" t="s">
        <v>125</v>
      </c>
      <c r="N263" s="73" t="s">
        <v>34</v>
      </c>
      <c r="O263" s="50">
        <v>1</v>
      </c>
      <c r="P263" s="50"/>
      <c r="Q263" s="50"/>
      <c r="R263" s="24"/>
      <c r="S263" s="166"/>
      <c r="U263" s="5"/>
      <c r="V263" s="5"/>
    </row>
    <row r="264" spans="1:22" ht="18.75" x14ac:dyDescent="0.25">
      <c r="A264" s="20"/>
      <c r="B264" s="25"/>
      <c r="C264" s="11"/>
      <c r="D264" s="49"/>
      <c r="E264" s="49"/>
      <c r="F264" s="80"/>
      <c r="G264" s="81"/>
      <c r="H264" s="81"/>
      <c r="I264" s="54"/>
      <c r="J264" s="54"/>
      <c r="K264" s="54"/>
      <c r="L264" s="72" t="s">
        <v>795</v>
      </c>
      <c r="M264" s="73" t="s">
        <v>796</v>
      </c>
      <c r="N264" s="73" t="s">
        <v>34</v>
      </c>
      <c r="O264" s="50">
        <v>1</v>
      </c>
      <c r="P264" s="50"/>
      <c r="Q264" s="50"/>
      <c r="R264" s="24"/>
      <c r="S264" s="166"/>
      <c r="U264" s="5"/>
      <c r="V264" s="5"/>
    </row>
    <row r="265" spans="1:22" ht="18.75" x14ac:dyDescent="0.25">
      <c r="A265" s="20"/>
      <c r="B265" s="25"/>
      <c r="C265" s="11"/>
      <c r="D265" s="49"/>
      <c r="E265" s="49"/>
      <c r="F265" s="80"/>
      <c r="G265" s="81"/>
      <c r="H265" s="81"/>
      <c r="I265" s="54"/>
      <c r="J265" s="54"/>
      <c r="K265" s="54"/>
      <c r="L265" s="72" t="s">
        <v>797</v>
      </c>
      <c r="M265" s="73" t="s">
        <v>798</v>
      </c>
      <c r="N265" s="73" t="s">
        <v>34</v>
      </c>
      <c r="O265" s="50">
        <v>1</v>
      </c>
      <c r="P265" s="50"/>
      <c r="Q265" s="50"/>
      <c r="R265" s="24"/>
      <c r="S265" s="166"/>
      <c r="U265" s="5"/>
      <c r="V265" s="5"/>
    </row>
    <row r="266" spans="1:22" ht="18.75" x14ac:dyDescent="0.25">
      <c r="A266" s="20"/>
      <c r="B266" s="25"/>
      <c r="C266" s="11"/>
      <c r="D266" s="49"/>
      <c r="E266" s="49"/>
      <c r="F266" s="80"/>
      <c r="G266" s="81"/>
      <c r="H266" s="81"/>
      <c r="I266" s="54"/>
      <c r="J266" s="54"/>
      <c r="K266" s="54"/>
      <c r="L266" s="72">
        <v>8556</v>
      </c>
      <c r="M266" s="73" t="s">
        <v>799</v>
      </c>
      <c r="N266" s="73" t="s">
        <v>34</v>
      </c>
      <c r="O266" s="50">
        <v>12</v>
      </c>
      <c r="P266" s="50"/>
      <c r="Q266" s="50"/>
      <c r="R266" s="24"/>
      <c r="S266" s="166"/>
      <c r="U266" s="5"/>
      <c r="V266" s="5"/>
    </row>
    <row r="267" spans="1:22" ht="18.75" x14ac:dyDescent="0.25">
      <c r="A267" s="20"/>
      <c r="B267" s="25"/>
      <c r="C267" s="11"/>
      <c r="D267" s="49"/>
      <c r="E267" s="49"/>
      <c r="F267" s="80"/>
      <c r="G267" s="81"/>
      <c r="H267" s="81"/>
      <c r="I267" s="54"/>
      <c r="J267" s="54"/>
      <c r="K267" s="54"/>
      <c r="L267" s="72">
        <v>2748</v>
      </c>
      <c r="M267" s="73" t="s">
        <v>129</v>
      </c>
      <c r="N267" s="73" t="s">
        <v>34</v>
      </c>
      <c r="O267" s="50">
        <v>7</v>
      </c>
      <c r="P267" s="50"/>
      <c r="Q267" s="50"/>
      <c r="R267" s="24"/>
      <c r="S267" s="166"/>
      <c r="U267" s="5"/>
      <c r="V267" s="5"/>
    </row>
    <row r="268" spans="1:22" ht="18.75" x14ac:dyDescent="0.25">
      <c r="A268" s="20"/>
      <c r="B268" s="25"/>
      <c r="C268" s="11"/>
      <c r="D268" s="49"/>
      <c r="E268" s="49"/>
      <c r="F268" s="80"/>
      <c r="G268" s="81"/>
      <c r="H268" s="81"/>
      <c r="I268" s="54"/>
      <c r="J268" s="54"/>
      <c r="K268" s="54"/>
      <c r="L268" s="72">
        <v>13695</v>
      </c>
      <c r="M268" s="73" t="s">
        <v>800</v>
      </c>
      <c r="N268" s="73" t="s">
        <v>34</v>
      </c>
      <c r="O268" s="50">
        <v>7</v>
      </c>
      <c r="P268" s="50"/>
      <c r="Q268" s="50"/>
      <c r="R268" s="24"/>
      <c r="S268" s="166"/>
      <c r="U268" s="5"/>
      <c r="V268" s="5"/>
    </row>
    <row r="269" spans="1:22" ht="18.75" x14ac:dyDescent="0.25">
      <c r="A269" s="20"/>
      <c r="B269" s="25"/>
      <c r="C269" s="11"/>
      <c r="D269" s="49"/>
      <c r="E269" s="49"/>
      <c r="F269" s="80"/>
      <c r="G269" s="81"/>
      <c r="H269" s="81"/>
      <c r="I269" s="54"/>
      <c r="J269" s="54"/>
      <c r="K269" s="54"/>
      <c r="L269" s="72" t="s">
        <v>801</v>
      </c>
      <c r="M269" s="73" t="s">
        <v>802</v>
      </c>
      <c r="N269" s="73" t="s">
        <v>34</v>
      </c>
      <c r="O269" s="50">
        <v>2</v>
      </c>
      <c r="P269" s="50"/>
      <c r="Q269" s="50"/>
      <c r="R269" s="24"/>
      <c r="S269" s="166"/>
      <c r="U269" s="5"/>
      <c r="V269" s="5"/>
    </row>
    <row r="270" spans="1:22" ht="18.75" x14ac:dyDescent="0.25">
      <c r="A270" s="20"/>
      <c r="B270" s="25"/>
      <c r="C270" s="11"/>
      <c r="D270" s="49"/>
      <c r="E270" s="49"/>
      <c r="F270" s="80"/>
      <c r="G270" s="81"/>
      <c r="H270" s="81"/>
      <c r="I270" s="54"/>
      <c r="J270" s="54"/>
      <c r="K270" s="54"/>
      <c r="L270" s="72">
        <v>12683</v>
      </c>
      <c r="M270" s="73" t="s">
        <v>803</v>
      </c>
      <c r="N270" s="73" t="s">
        <v>34</v>
      </c>
      <c r="O270" s="50">
        <v>1</v>
      </c>
      <c r="P270" s="50"/>
      <c r="Q270" s="50"/>
      <c r="R270" s="24"/>
      <c r="S270" s="166"/>
      <c r="U270" s="5"/>
      <c r="V270" s="5"/>
    </row>
    <row r="271" spans="1:22" ht="18.75" x14ac:dyDescent="0.25">
      <c r="A271" s="20"/>
      <c r="B271" s="25"/>
      <c r="C271" s="11"/>
      <c r="D271" s="49"/>
      <c r="E271" s="49"/>
      <c r="F271" s="80"/>
      <c r="G271" s="81"/>
      <c r="H271" s="81"/>
      <c r="I271" s="54"/>
      <c r="J271" s="54"/>
      <c r="K271" s="54"/>
      <c r="L271" s="72">
        <v>5639</v>
      </c>
      <c r="M271" s="73" t="s">
        <v>804</v>
      </c>
      <c r="N271" s="73" t="s">
        <v>34</v>
      </c>
      <c r="O271" s="50">
        <v>1</v>
      </c>
      <c r="P271" s="50"/>
      <c r="Q271" s="50"/>
      <c r="R271" s="24"/>
      <c r="S271" s="166"/>
      <c r="U271" s="5"/>
      <c r="V271" s="5"/>
    </row>
    <row r="272" spans="1:22" ht="18.75" x14ac:dyDescent="0.25">
      <c r="A272" s="20"/>
      <c r="B272" s="25"/>
      <c r="C272" s="11"/>
      <c r="D272" s="49"/>
      <c r="E272" s="49"/>
      <c r="F272" s="80"/>
      <c r="G272" s="81"/>
      <c r="H272" s="81"/>
      <c r="I272" s="54"/>
      <c r="J272" s="54"/>
      <c r="K272" s="54"/>
      <c r="L272" s="72">
        <v>3311</v>
      </c>
      <c r="M272" s="73" t="s">
        <v>807</v>
      </c>
      <c r="N272" s="73" t="s">
        <v>34</v>
      </c>
      <c r="O272" s="50">
        <v>2</v>
      </c>
      <c r="P272" s="50"/>
      <c r="Q272" s="50"/>
      <c r="R272" s="24"/>
      <c r="S272" s="166"/>
      <c r="U272" s="5"/>
      <c r="V272" s="5"/>
    </row>
    <row r="273" spans="1:22" ht="18.75" x14ac:dyDescent="0.25">
      <c r="A273" s="20"/>
      <c r="B273" s="25"/>
      <c r="C273" s="11"/>
      <c r="D273" s="49"/>
      <c r="E273" s="49"/>
      <c r="F273" s="80"/>
      <c r="G273" s="81"/>
      <c r="H273" s="81"/>
      <c r="I273" s="54"/>
      <c r="J273" s="54"/>
      <c r="K273" s="54"/>
      <c r="L273" s="72">
        <v>3312</v>
      </c>
      <c r="M273" s="73" t="s">
        <v>808</v>
      </c>
      <c r="N273" s="73" t="s">
        <v>34</v>
      </c>
      <c r="O273" s="50">
        <v>4</v>
      </c>
      <c r="P273" s="50"/>
      <c r="Q273" s="50"/>
      <c r="R273" s="24"/>
      <c r="S273" s="166"/>
      <c r="U273" s="5"/>
      <c r="V273" s="5"/>
    </row>
    <row r="274" spans="1:22" ht="18.75" x14ac:dyDescent="0.25">
      <c r="A274" s="20"/>
      <c r="B274" s="25"/>
      <c r="C274" s="11"/>
      <c r="D274" s="49"/>
      <c r="E274" s="49"/>
      <c r="F274" s="80"/>
      <c r="G274" s="81"/>
      <c r="H274" s="81"/>
      <c r="I274" s="54"/>
      <c r="J274" s="54"/>
      <c r="K274" s="54"/>
      <c r="L274" s="72" t="s">
        <v>809</v>
      </c>
      <c r="M274" s="73" t="s">
        <v>810</v>
      </c>
      <c r="N274" s="73" t="s">
        <v>64</v>
      </c>
      <c r="O274" s="50">
        <v>1</v>
      </c>
      <c r="P274" s="50"/>
      <c r="Q274" s="50"/>
      <c r="R274" s="24"/>
      <c r="S274" s="166"/>
      <c r="U274" s="5"/>
      <c r="V274" s="5"/>
    </row>
    <row r="275" spans="1:22" ht="18.75" x14ac:dyDescent="0.25">
      <c r="A275" s="20"/>
      <c r="B275" s="25"/>
      <c r="C275" s="11"/>
      <c r="D275" s="49"/>
      <c r="E275" s="49"/>
      <c r="F275" s="80"/>
      <c r="G275" s="81"/>
      <c r="H275" s="81"/>
      <c r="I275" s="54"/>
      <c r="J275" s="54"/>
      <c r="K275" s="54"/>
      <c r="L275" s="72">
        <v>6552</v>
      </c>
      <c r="M275" s="73" t="s">
        <v>608</v>
      </c>
      <c r="N275" s="73" t="s">
        <v>34</v>
      </c>
      <c r="O275" s="50">
        <v>5</v>
      </c>
      <c r="P275" s="50"/>
      <c r="Q275" s="50"/>
      <c r="R275" s="24"/>
      <c r="S275" s="166"/>
      <c r="U275" s="5"/>
      <c r="V275" s="5"/>
    </row>
    <row r="276" spans="1:22" ht="18.75" x14ac:dyDescent="0.25">
      <c r="A276" s="20"/>
      <c r="B276" s="25"/>
      <c r="C276" s="11"/>
      <c r="D276" s="49"/>
      <c r="E276" s="49"/>
      <c r="F276" s="80"/>
      <c r="G276" s="81"/>
      <c r="H276" s="81"/>
      <c r="I276" s="54"/>
      <c r="J276" s="54"/>
      <c r="K276" s="54"/>
      <c r="L276" s="72">
        <v>2293</v>
      </c>
      <c r="M276" s="73" t="s">
        <v>815</v>
      </c>
      <c r="N276" s="73" t="s">
        <v>34</v>
      </c>
      <c r="O276" s="50">
        <v>2</v>
      </c>
      <c r="P276" s="50"/>
      <c r="Q276" s="50"/>
      <c r="R276" s="24"/>
      <c r="S276" s="166"/>
      <c r="U276" s="5"/>
      <c r="V276" s="5"/>
    </row>
    <row r="277" spans="1:22" ht="18.75" x14ac:dyDescent="0.25">
      <c r="A277" s="20"/>
      <c r="B277" s="25"/>
      <c r="C277" s="11"/>
      <c r="D277" s="49"/>
      <c r="E277" s="49"/>
      <c r="F277" s="80"/>
      <c r="G277" s="81"/>
      <c r="H277" s="81"/>
      <c r="I277" s="54"/>
      <c r="J277" s="54"/>
      <c r="K277" s="54"/>
      <c r="L277" s="72">
        <v>4936</v>
      </c>
      <c r="M277" s="73" t="s">
        <v>816</v>
      </c>
      <c r="N277" s="73" t="s">
        <v>34</v>
      </c>
      <c r="O277" s="50">
        <v>1</v>
      </c>
      <c r="P277" s="50"/>
      <c r="Q277" s="50"/>
      <c r="R277" s="24"/>
      <c r="S277" s="166"/>
      <c r="U277" s="5"/>
      <c r="V277" s="5"/>
    </row>
    <row r="278" spans="1:22" ht="30" x14ac:dyDescent="0.25">
      <c r="A278" s="20"/>
      <c r="B278" s="25"/>
      <c r="C278" s="11"/>
      <c r="D278" s="49"/>
      <c r="E278" s="49"/>
      <c r="F278" s="80"/>
      <c r="G278" s="81"/>
      <c r="H278" s="81"/>
      <c r="I278" s="54"/>
      <c r="J278" s="54"/>
      <c r="K278" s="54"/>
      <c r="L278" s="72">
        <v>17528</v>
      </c>
      <c r="M278" s="73" t="s">
        <v>817</v>
      </c>
      <c r="N278" s="73" t="s">
        <v>34</v>
      </c>
      <c r="O278" s="50">
        <v>4</v>
      </c>
      <c r="P278" s="50"/>
      <c r="Q278" s="50"/>
      <c r="R278" s="24"/>
      <c r="S278" s="166"/>
      <c r="U278" s="5"/>
      <c r="V278" s="5"/>
    </row>
    <row r="279" spans="1:22" ht="18.75" x14ac:dyDescent="0.25">
      <c r="A279" s="20"/>
      <c r="B279" s="25"/>
      <c r="C279" s="11"/>
      <c r="D279" s="49"/>
      <c r="E279" s="49"/>
      <c r="F279" s="80"/>
      <c r="G279" s="81"/>
      <c r="H279" s="81"/>
      <c r="I279" s="54"/>
      <c r="J279" s="54"/>
      <c r="K279" s="54"/>
      <c r="L279" s="72" t="s">
        <v>818</v>
      </c>
      <c r="M279" s="73" t="s">
        <v>819</v>
      </c>
      <c r="N279" s="73" t="s">
        <v>34</v>
      </c>
      <c r="O279" s="50">
        <v>4</v>
      </c>
      <c r="P279" s="50"/>
      <c r="Q279" s="50"/>
      <c r="R279" s="24"/>
      <c r="S279" s="166"/>
      <c r="U279" s="5"/>
      <c r="V279" s="5"/>
    </row>
    <row r="280" spans="1:22" ht="18.75" x14ac:dyDescent="0.25">
      <c r="A280" s="20"/>
      <c r="B280" s="25"/>
      <c r="C280" s="11"/>
      <c r="D280" s="49"/>
      <c r="E280" s="49"/>
      <c r="F280" s="80"/>
      <c r="G280" s="81"/>
      <c r="H280" s="81"/>
      <c r="I280" s="54"/>
      <c r="J280" s="54"/>
      <c r="K280" s="54"/>
      <c r="L280" s="72">
        <v>5513</v>
      </c>
      <c r="M280" s="73" t="s">
        <v>820</v>
      </c>
      <c r="N280" s="73" t="s">
        <v>34</v>
      </c>
      <c r="O280" s="50">
        <v>2</v>
      </c>
      <c r="P280" s="50"/>
      <c r="Q280" s="50"/>
      <c r="R280" s="24"/>
      <c r="S280" s="166"/>
      <c r="U280" s="5"/>
      <c r="V280" s="5"/>
    </row>
    <row r="281" spans="1:22" ht="18.75" x14ac:dyDescent="0.25">
      <c r="A281" s="20"/>
      <c r="B281" s="25"/>
      <c r="C281" s="11"/>
      <c r="D281" s="49"/>
      <c r="E281" s="49"/>
      <c r="F281" s="80"/>
      <c r="G281" s="81"/>
      <c r="H281" s="81"/>
      <c r="I281" s="54"/>
      <c r="J281" s="54"/>
      <c r="K281" s="54"/>
      <c r="L281" s="72" t="s">
        <v>821</v>
      </c>
      <c r="M281" s="73" t="s">
        <v>822</v>
      </c>
      <c r="N281" s="73" t="s">
        <v>34</v>
      </c>
      <c r="O281" s="50">
        <v>1</v>
      </c>
      <c r="P281" s="50"/>
      <c r="Q281" s="50"/>
      <c r="R281" s="24"/>
      <c r="S281" s="166"/>
      <c r="U281" s="5"/>
      <c r="V281" s="5"/>
    </row>
    <row r="282" spans="1:22" ht="18.75" x14ac:dyDescent="0.25">
      <c r="A282" s="20"/>
      <c r="B282" s="25"/>
      <c r="C282" s="11"/>
      <c r="D282" s="49"/>
      <c r="E282" s="49"/>
      <c r="F282" s="80"/>
      <c r="G282" s="81"/>
      <c r="H282" s="81"/>
      <c r="I282" s="54"/>
      <c r="J282" s="54"/>
      <c r="K282" s="54"/>
      <c r="L282" s="72">
        <v>12877</v>
      </c>
      <c r="M282" s="73" t="s">
        <v>823</v>
      </c>
      <c r="N282" s="73" t="s">
        <v>34</v>
      </c>
      <c r="O282" s="50">
        <v>1</v>
      </c>
      <c r="P282" s="50"/>
      <c r="Q282" s="50"/>
      <c r="R282" s="24"/>
      <c r="S282" s="166"/>
      <c r="U282" s="5"/>
      <c r="V282" s="5"/>
    </row>
    <row r="283" spans="1:22" ht="18.75" x14ac:dyDescent="0.25">
      <c r="A283" s="20"/>
      <c r="B283" s="25"/>
      <c r="C283" s="11"/>
      <c r="D283" s="49"/>
      <c r="E283" s="49"/>
      <c r="F283" s="80"/>
      <c r="G283" s="81"/>
      <c r="H283" s="81"/>
      <c r="I283" s="54"/>
      <c r="J283" s="54"/>
      <c r="K283" s="54"/>
      <c r="L283" s="72" t="s">
        <v>824</v>
      </c>
      <c r="M283" s="73" t="s">
        <v>825</v>
      </c>
      <c r="N283" s="73" t="s">
        <v>34</v>
      </c>
      <c r="O283" s="50">
        <v>1</v>
      </c>
      <c r="P283" s="50"/>
      <c r="Q283" s="50"/>
      <c r="R283" s="24"/>
      <c r="S283" s="166"/>
      <c r="U283" s="5"/>
      <c r="V283" s="5"/>
    </row>
    <row r="284" spans="1:22" ht="18.75" x14ac:dyDescent="0.25">
      <c r="A284" s="20"/>
      <c r="B284" s="25"/>
      <c r="C284" s="11"/>
      <c r="D284" s="49"/>
      <c r="E284" s="49"/>
      <c r="F284" s="80"/>
      <c r="G284" s="81"/>
      <c r="H284" s="81"/>
      <c r="I284" s="54"/>
      <c r="J284" s="54"/>
      <c r="K284" s="54"/>
      <c r="L284" s="72">
        <v>2496</v>
      </c>
      <c r="M284" s="73" t="s">
        <v>139</v>
      </c>
      <c r="N284" s="73" t="s">
        <v>34</v>
      </c>
      <c r="O284" s="50">
        <v>1</v>
      </c>
      <c r="P284" s="50"/>
      <c r="Q284" s="50"/>
      <c r="R284" s="24"/>
      <c r="S284" s="166"/>
      <c r="U284" s="5"/>
      <c r="V284" s="5"/>
    </row>
    <row r="285" spans="1:22" ht="18.75" x14ac:dyDescent="0.25">
      <c r="A285" s="20"/>
      <c r="B285" s="25"/>
      <c r="C285" s="11"/>
      <c r="D285" s="49"/>
      <c r="E285" s="49"/>
      <c r="F285" s="80"/>
      <c r="G285" s="81"/>
      <c r="H285" s="81"/>
      <c r="I285" s="54"/>
      <c r="J285" s="54"/>
      <c r="K285" s="54"/>
      <c r="L285" s="72" t="s">
        <v>826</v>
      </c>
      <c r="M285" s="73" t="s">
        <v>827</v>
      </c>
      <c r="N285" s="73" t="s">
        <v>34</v>
      </c>
      <c r="O285" s="50">
        <v>1</v>
      </c>
      <c r="P285" s="50"/>
      <c r="Q285" s="50"/>
      <c r="R285" s="24"/>
      <c r="S285" s="166"/>
      <c r="U285" s="5"/>
      <c r="V285" s="5"/>
    </row>
    <row r="286" spans="1:22" ht="18.75" x14ac:dyDescent="0.25">
      <c r="A286" s="20"/>
      <c r="B286" s="25"/>
      <c r="C286" s="11"/>
      <c r="D286" s="49"/>
      <c r="E286" s="49"/>
      <c r="F286" s="80"/>
      <c r="G286" s="81"/>
      <c r="H286" s="81"/>
      <c r="I286" s="54"/>
      <c r="J286" s="54"/>
      <c r="K286" s="54"/>
      <c r="L286" s="72">
        <v>17163</v>
      </c>
      <c r="M286" s="73" t="s">
        <v>828</v>
      </c>
      <c r="N286" s="73" t="s">
        <v>34</v>
      </c>
      <c r="O286" s="50">
        <v>1</v>
      </c>
      <c r="P286" s="50"/>
      <c r="Q286" s="50"/>
      <c r="R286" s="24"/>
      <c r="S286" s="166"/>
      <c r="U286" s="5"/>
      <c r="V286" s="5"/>
    </row>
    <row r="287" spans="1:22" ht="18.75" x14ac:dyDescent="0.25">
      <c r="A287" s="20"/>
      <c r="B287" s="25"/>
      <c r="C287" s="11"/>
      <c r="D287" s="49"/>
      <c r="E287" s="49"/>
      <c r="F287" s="80"/>
      <c r="G287" s="81"/>
      <c r="H287" s="81"/>
      <c r="I287" s="54"/>
      <c r="J287" s="54"/>
      <c r="K287" s="54"/>
      <c r="L287" s="72">
        <v>2830</v>
      </c>
      <c r="M287" s="73" t="s">
        <v>829</v>
      </c>
      <c r="N287" s="73" t="s">
        <v>34</v>
      </c>
      <c r="O287" s="50">
        <v>1</v>
      </c>
      <c r="P287" s="50"/>
      <c r="Q287" s="50"/>
      <c r="R287" s="24"/>
      <c r="S287" s="166"/>
      <c r="U287" s="5"/>
      <c r="V287" s="5"/>
    </row>
    <row r="288" spans="1:22" ht="18.75" x14ac:dyDescent="0.25">
      <c r="A288" s="20"/>
      <c r="B288" s="25"/>
      <c r="C288" s="11"/>
      <c r="D288" s="49"/>
      <c r="E288" s="49"/>
      <c r="F288" s="80"/>
      <c r="G288" s="81"/>
      <c r="H288" s="81"/>
      <c r="I288" s="54"/>
      <c r="J288" s="54"/>
      <c r="K288" s="54"/>
      <c r="L288" s="72">
        <v>10881</v>
      </c>
      <c r="M288" s="73" t="s">
        <v>148</v>
      </c>
      <c r="N288" s="73" t="s">
        <v>147</v>
      </c>
      <c r="O288" s="50">
        <v>1</v>
      </c>
      <c r="P288" s="50"/>
      <c r="Q288" s="50"/>
      <c r="R288" s="24"/>
      <c r="S288" s="166"/>
      <c r="U288" s="5"/>
      <c r="V288" s="5"/>
    </row>
    <row r="289" spans="1:22" ht="18.75" x14ac:dyDescent="0.25">
      <c r="A289" s="20"/>
      <c r="B289" s="25"/>
      <c r="C289" s="11"/>
      <c r="D289" s="49"/>
      <c r="E289" s="49"/>
      <c r="F289" s="80"/>
      <c r="G289" s="81"/>
      <c r="H289" s="81"/>
      <c r="I289" s="54"/>
      <c r="J289" s="54"/>
      <c r="K289" s="54"/>
      <c r="L289" s="72">
        <v>2888</v>
      </c>
      <c r="M289" s="73" t="s">
        <v>835</v>
      </c>
      <c r="N289" s="73" t="s">
        <v>147</v>
      </c>
      <c r="O289" s="50">
        <v>1</v>
      </c>
      <c r="P289" s="50"/>
      <c r="Q289" s="50"/>
      <c r="R289" s="24"/>
      <c r="S289" s="166"/>
      <c r="U289" s="5"/>
      <c r="V289" s="5"/>
    </row>
    <row r="290" spans="1:22" ht="18.75" x14ac:dyDescent="0.25">
      <c r="A290" s="20"/>
      <c r="B290" s="25"/>
      <c r="C290" s="11"/>
      <c r="D290" s="49"/>
      <c r="E290" s="49"/>
      <c r="F290" s="80"/>
      <c r="G290" s="81"/>
      <c r="H290" s="81"/>
      <c r="I290" s="54"/>
      <c r="J290" s="54"/>
      <c r="K290" s="54"/>
      <c r="L290" s="72">
        <v>3743</v>
      </c>
      <c r="M290" s="73" t="s">
        <v>836</v>
      </c>
      <c r="N290" s="73" t="s">
        <v>147</v>
      </c>
      <c r="O290" s="50">
        <v>1</v>
      </c>
      <c r="P290" s="50"/>
      <c r="Q290" s="50"/>
      <c r="R290" s="24"/>
      <c r="S290" s="166"/>
      <c r="U290" s="5"/>
      <c r="V290" s="5"/>
    </row>
    <row r="291" spans="1:22" ht="18.75" x14ac:dyDescent="0.25">
      <c r="A291" s="20"/>
      <c r="B291" s="25"/>
      <c r="C291" s="11"/>
      <c r="D291" s="49"/>
      <c r="E291" s="49"/>
      <c r="F291" s="80"/>
      <c r="G291" s="81"/>
      <c r="H291" s="81"/>
      <c r="I291" s="54"/>
      <c r="J291" s="54"/>
      <c r="K291" s="54"/>
      <c r="L291" s="72">
        <v>4402</v>
      </c>
      <c r="M291" s="73" t="s">
        <v>837</v>
      </c>
      <c r="N291" s="73" t="s">
        <v>147</v>
      </c>
      <c r="O291" s="50">
        <v>1</v>
      </c>
      <c r="P291" s="50"/>
      <c r="Q291" s="50"/>
      <c r="R291" s="24"/>
      <c r="S291" s="166"/>
      <c r="U291" s="5"/>
      <c r="V291" s="5"/>
    </row>
    <row r="292" spans="1:22" ht="18.75" x14ac:dyDescent="0.25">
      <c r="A292" s="20"/>
      <c r="B292" s="25"/>
      <c r="C292" s="11"/>
      <c r="D292" s="49"/>
      <c r="E292" s="49"/>
      <c r="F292" s="80"/>
      <c r="G292" s="81"/>
      <c r="H292" s="81"/>
      <c r="I292" s="54"/>
      <c r="J292" s="54"/>
      <c r="K292" s="54"/>
      <c r="L292" s="72">
        <v>3662</v>
      </c>
      <c r="M292" s="73" t="s">
        <v>838</v>
      </c>
      <c r="N292" s="73" t="s">
        <v>34</v>
      </c>
      <c r="O292" s="50">
        <v>5</v>
      </c>
      <c r="P292" s="50"/>
      <c r="Q292" s="50"/>
      <c r="R292" s="24"/>
      <c r="S292" s="166"/>
      <c r="U292" s="5"/>
      <c r="V292" s="5"/>
    </row>
    <row r="293" spans="1:22" ht="18.75" x14ac:dyDescent="0.25">
      <c r="A293" s="20"/>
      <c r="B293" s="25"/>
      <c r="C293" s="11"/>
      <c r="D293" s="49"/>
      <c r="E293" s="49"/>
      <c r="F293" s="80"/>
      <c r="G293" s="81"/>
      <c r="H293" s="81"/>
      <c r="I293" s="54"/>
      <c r="J293" s="54"/>
      <c r="K293" s="54"/>
      <c r="L293" s="72">
        <v>13138</v>
      </c>
      <c r="M293" s="73" t="s">
        <v>659</v>
      </c>
      <c r="N293" s="73" t="s">
        <v>34</v>
      </c>
      <c r="O293" s="50">
        <v>1</v>
      </c>
      <c r="P293" s="50"/>
      <c r="Q293" s="50"/>
      <c r="R293" s="24"/>
      <c r="S293" s="166"/>
      <c r="U293" s="5"/>
      <c r="V293" s="5"/>
    </row>
    <row r="294" spans="1:22" ht="18.75" x14ac:dyDescent="0.25">
      <c r="A294" s="20"/>
      <c r="B294" s="25"/>
      <c r="C294" s="11"/>
      <c r="D294" s="49"/>
      <c r="E294" s="49"/>
      <c r="F294" s="80"/>
      <c r="G294" s="81"/>
      <c r="H294" s="81"/>
      <c r="I294" s="54"/>
      <c r="J294" s="54"/>
      <c r="K294" s="54"/>
      <c r="L294" s="72">
        <v>2450</v>
      </c>
      <c r="M294" s="73" t="s">
        <v>839</v>
      </c>
      <c r="N294" s="73" t="s">
        <v>147</v>
      </c>
      <c r="O294" s="50">
        <v>1</v>
      </c>
      <c r="P294" s="50"/>
      <c r="Q294" s="50"/>
      <c r="R294" s="24"/>
      <c r="S294" s="166"/>
      <c r="U294" s="5"/>
      <c r="V294" s="5"/>
    </row>
    <row r="295" spans="1:22" ht="30" x14ac:dyDescent="0.25">
      <c r="A295" s="20"/>
      <c r="B295" s="25"/>
      <c r="C295" s="11"/>
      <c r="D295" s="49"/>
      <c r="E295" s="49"/>
      <c r="F295" s="80"/>
      <c r="G295" s="81"/>
      <c r="H295" s="81"/>
      <c r="I295" s="54"/>
      <c r="J295" s="54"/>
      <c r="K295" s="54"/>
      <c r="L295" s="72">
        <v>17512</v>
      </c>
      <c r="M295" s="73" t="s">
        <v>840</v>
      </c>
      <c r="N295" s="73" t="s">
        <v>147</v>
      </c>
      <c r="O295" s="50">
        <v>2</v>
      </c>
      <c r="P295" s="50"/>
      <c r="Q295" s="50"/>
      <c r="R295" s="24"/>
      <c r="S295" s="166"/>
      <c r="U295" s="5"/>
      <c r="V295" s="5"/>
    </row>
    <row r="296" spans="1:22" ht="18.75" x14ac:dyDescent="0.25">
      <c r="A296" s="20"/>
      <c r="B296" s="25"/>
      <c r="C296" s="11"/>
      <c r="D296" s="49"/>
      <c r="E296" s="49"/>
      <c r="F296" s="80"/>
      <c r="G296" s="81"/>
      <c r="H296" s="81"/>
      <c r="I296" s="54"/>
      <c r="J296" s="54"/>
      <c r="K296" s="54"/>
      <c r="L296" s="72" t="s">
        <v>842</v>
      </c>
      <c r="M296" s="73" t="s">
        <v>843</v>
      </c>
      <c r="N296" s="73" t="s">
        <v>34</v>
      </c>
      <c r="O296" s="50">
        <v>3</v>
      </c>
      <c r="P296" s="50"/>
      <c r="Q296" s="50"/>
      <c r="R296" s="24"/>
      <c r="S296" s="166"/>
      <c r="U296" s="5"/>
      <c r="V296" s="5"/>
    </row>
    <row r="297" spans="1:22" ht="18.75" x14ac:dyDescent="0.25">
      <c r="A297" s="20"/>
      <c r="B297" s="25"/>
      <c r="C297" s="11"/>
      <c r="D297" s="49"/>
      <c r="E297" s="49"/>
      <c r="F297" s="80"/>
      <c r="G297" s="81"/>
      <c r="H297" s="81"/>
      <c r="I297" s="54"/>
      <c r="J297" s="54"/>
      <c r="K297" s="54"/>
      <c r="L297" s="72">
        <v>9099</v>
      </c>
      <c r="M297" s="73" t="s">
        <v>844</v>
      </c>
      <c r="N297" s="73" t="s">
        <v>34</v>
      </c>
      <c r="O297" s="50">
        <v>1</v>
      </c>
      <c r="P297" s="50"/>
      <c r="Q297" s="50"/>
      <c r="R297" s="24"/>
      <c r="S297" s="166"/>
      <c r="U297" s="5"/>
      <c r="V297" s="5"/>
    </row>
    <row r="298" spans="1:22" ht="18.75" x14ac:dyDescent="0.25">
      <c r="A298" s="20"/>
      <c r="B298" s="25"/>
      <c r="C298" s="11"/>
      <c r="D298" s="49"/>
      <c r="E298" s="49"/>
      <c r="F298" s="80"/>
      <c r="G298" s="81"/>
      <c r="H298" s="81"/>
      <c r="I298" s="54"/>
      <c r="J298" s="54"/>
      <c r="K298" s="54"/>
      <c r="L298" s="72">
        <v>3333</v>
      </c>
      <c r="M298" s="73" t="s">
        <v>845</v>
      </c>
      <c r="N298" s="73" t="s">
        <v>34</v>
      </c>
      <c r="O298" s="50">
        <v>1</v>
      </c>
      <c r="P298" s="50"/>
      <c r="Q298" s="50"/>
      <c r="R298" s="24"/>
      <c r="S298" s="166"/>
      <c r="U298" s="5"/>
      <c r="V298" s="5"/>
    </row>
    <row r="299" spans="1:22" ht="18.75" x14ac:dyDescent="0.25">
      <c r="A299" s="20"/>
      <c r="B299" s="25"/>
      <c r="C299" s="11"/>
      <c r="D299" s="49"/>
      <c r="E299" s="49"/>
      <c r="F299" s="80"/>
      <c r="G299" s="81"/>
      <c r="H299" s="81"/>
      <c r="I299" s="54"/>
      <c r="J299" s="54"/>
      <c r="K299" s="54"/>
      <c r="L299" s="72" t="s">
        <v>846</v>
      </c>
      <c r="M299" s="73" t="s">
        <v>847</v>
      </c>
      <c r="N299" s="73" t="s">
        <v>34</v>
      </c>
      <c r="O299" s="50">
        <v>1</v>
      </c>
      <c r="P299" s="50"/>
      <c r="Q299" s="50"/>
      <c r="R299" s="24"/>
      <c r="S299" s="166"/>
      <c r="U299" s="5"/>
      <c r="V299" s="5"/>
    </row>
    <row r="300" spans="1:22" ht="18.75" x14ac:dyDescent="0.25">
      <c r="A300" s="20"/>
      <c r="B300" s="25"/>
      <c r="C300" s="11"/>
      <c r="D300" s="49"/>
      <c r="E300" s="49"/>
      <c r="F300" s="80"/>
      <c r="G300" s="81"/>
      <c r="H300" s="81"/>
      <c r="I300" s="54"/>
      <c r="J300" s="54"/>
      <c r="K300" s="54"/>
      <c r="L300" s="72" t="s">
        <v>849</v>
      </c>
      <c r="M300" s="73" t="s">
        <v>850</v>
      </c>
      <c r="N300" s="73" t="s">
        <v>34</v>
      </c>
      <c r="O300" s="50">
        <v>1</v>
      </c>
      <c r="P300" s="50"/>
      <c r="Q300" s="50"/>
      <c r="R300" s="24"/>
      <c r="S300" s="166"/>
      <c r="U300" s="5"/>
      <c r="V300" s="5"/>
    </row>
    <row r="301" spans="1:22" ht="18.75" x14ac:dyDescent="0.25">
      <c r="A301" s="20"/>
      <c r="B301" s="25"/>
      <c r="C301" s="11"/>
      <c r="D301" s="49"/>
      <c r="E301" s="49"/>
      <c r="F301" s="80"/>
      <c r="G301" s="81"/>
      <c r="H301" s="81"/>
      <c r="I301" s="54"/>
      <c r="J301" s="54"/>
      <c r="K301" s="54"/>
      <c r="L301" s="72">
        <v>12663</v>
      </c>
      <c r="M301" s="73" t="s">
        <v>851</v>
      </c>
      <c r="N301" s="73" t="s">
        <v>34</v>
      </c>
      <c r="O301" s="50">
        <v>1</v>
      </c>
      <c r="P301" s="50"/>
      <c r="Q301" s="50"/>
      <c r="R301" s="24"/>
      <c r="S301" s="166"/>
      <c r="U301" s="5"/>
      <c r="V301" s="5"/>
    </row>
    <row r="302" spans="1:22" ht="18.75" x14ac:dyDescent="0.25">
      <c r="A302" s="20"/>
      <c r="B302" s="25"/>
      <c r="C302" s="11"/>
      <c r="D302" s="49"/>
      <c r="E302" s="49"/>
      <c r="F302" s="80"/>
      <c r="G302" s="81"/>
      <c r="H302" s="81"/>
      <c r="I302" s="54"/>
      <c r="J302" s="54"/>
      <c r="K302" s="54"/>
      <c r="L302" s="72" t="s">
        <v>150</v>
      </c>
      <c r="M302" s="73" t="s">
        <v>852</v>
      </c>
      <c r="N302" s="73" t="s">
        <v>34</v>
      </c>
      <c r="O302" s="50">
        <v>1</v>
      </c>
      <c r="P302" s="50"/>
      <c r="Q302" s="50"/>
      <c r="R302" s="24"/>
      <c r="S302" s="166"/>
      <c r="U302" s="5"/>
      <c r="V302" s="5"/>
    </row>
    <row r="303" spans="1:22" ht="18.75" x14ac:dyDescent="0.25">
      <c r="A303" s="20"/>
      <c r="B303" s="25"/>
      <c r="C303" s="11"/>
      <c r="D303" s="49"/>
      <c r="E303" s="49"/>
      <c r="F303" s="80"/>
      <c r="G303" s="81"/>
      <c r="H303" s="81"/>
      <c r="I303" s="54"/>
      <c r="J303" s="54"/>
      <c r="K303" s="54"/>
      <c r="L303" s="72" t="s">
        <v>853</v>
      </c>
      <c r="M303" s="73" t="s">
        <v>854</v>
      </c>
      <c r="N303" s="73" t="s">
        <v>34</v>
      </c>
      <c r="O303" s="50">
        <v>2</v>
      </c>
      <c r="P303" s="50"/>
      <c r="Q303" s="50"/>
      <c r="R303" s="24"/>
      <c r="S303" s="166"/>
      <c r="U303" s="5"/>
      <c r="V303" s="5"/>
    </row>
    <row r="304" spans="1:22" ht="18.75" x14ac:dyDescent="0.25">
      <c r="A304" s="20"/>
      <c r="B304" s="25"/>
      <c r="C304" s="11"/>
      <c r="D304" s="49"/>
      <c r="E304" s="49"/>
      <c r="F304" s="80"/>
      <c r="G304" s="81"/>
      <c r="H304" s="81"/>
      <c r="I304" s="54"/>
      <c r="J304" s="54"/>
      <c r="K304" s="54"/>
      <c r="L304" s="72" t="s">
        <v>855</v>
      </c>
      <c r="M304" s="73" t="s">
        <v>856</v>
      </c>
      <c r="N304" s="73" t="s">
        <v>34</v>
      </c>
      <c r="O304" s="50">
        <v>1</v>
      </c>
      <c r="P304" s="50"/>
      <c r="Q304" s="50"/>
      <c r="R304" s="24"/>
      <c r="S304" s="166"/>
      <c r="U304" s="5"/>
      <c r="V304" s="5"/>
    </row>
    <row r="305" spans="1:22" ht="18.75" x14ac:dyDescent="0.25">
      <c r="A305" s="20"/>
      <c r="B305" s="25"/>
      <c r="C305" s="11"/>
      <c r="D305" s="49"/>
      <c r="E305" s="49"/>
      <c r="F305" s="80"/>
      <c r="G305" s="81"/>
      <c r="H305" s="81"/>
      <c r="I305" s="54"/>
      <c r="J305" s="54"/>
      <c r="K305" s="54"/>
      <c r="L305" s="72" t="s">
        <v>857</v>
      </c>
      <c r="M305" s="73" t="s">
        <v>858</v>
      </c>
      <c r="N305" s="73" t="s">
        <v>34</v>
      </c>
      <c r="O305" s="50">
        <v>1</v>
      </c>
      <c r="P305" s="50"/>
      <c r="Q305" s="50"/>
      <c r="R305" s="24"/>
      <c r="S305" s="166"/>
      <c r="U305" s="5"/>
      <c r="V305" s="5"/>
    </row>
    <row r="306" spans="1:22" ht="18.75" x14ac:dyDescent="0.25">
      <c r="A306" s="20"/>
      <c r="B306" s="25"/>
      <c r="C306" s="11"/>
      <c r="D306" s="49"/>
      <c r="E306" s="49"/>
      <c r="F306" s="80"/>
      <c r="G306" s="81"/>
      <c r="H306" s="81"/>
      <c r="I306" s="54"/>
      <c r="J306" s="54"/>
      <c r="K306" s="54"/>
      <c r="L306" s="72" t="s">
        <v>859</v>
      </c>
      <c r="M306" s="73" t="s">
        <v>860</v>
      </c>
      <c r="N306" s="73" t="s">
        <v>34</v>
      </c>
      <c r="O306" s="50">
        <v>3</v>
      </c>
      <c r="P306" s="50"/>
      <c r="Q306" s="50"/>
      <c r="R306" s="24"/>
      <c r="S306" s="166"/>
      <c r="U306" s="5"/>
      <c r="V306" s="5"/>
    </row>
    <row r="307" spans="1:22" ht="18.75" x14ac:dyDescent="0.25">
      <c r="A307" s="20"/>
      <c r="B307" s="25"/>
      <c r="C307" s="11"/>
      <c r="D307" s="49"/>
      <c r="E307" s="49"/>
      <c r="F307" s="80"/>
      <c r="G307" s="81"/>
      <c r="H307" s="81"/>
      <c r="I307" s="54"/>
      <c r="J307" s="54"/>
      <c r="K307" s="54"/>
      <c r="L307" s="72" t="s">
        <v>861</v>
      </c>
      <c r="M307" s="73" t="s">
        <v>862</v>
      </c>
      <c r="N307" s="73" t="s">
        <v>34</v>
      </c>
      <c r="O307" s="50">
        <v>1</v>
      </c>
      <c r="P307" s="50"/>
      <c r="Q307" s="50"/>
      <c r="R307" s="24"/>
      <c r="S307" s="166"/>
      <c r="U307" s="5"/>
      <c r="V307" s="5"/>
    </row>
    <row r="308" spans="1:22" ht="18.75" x14ac:dyDescent="0.25">
      <c r="A308" s="20"/>
      <c r="B308" s="25"/>
      <c r="C308" s="11"/>
      <c r="D308" s="49"/>
      <c r="E308" s="49"/>
      <c r="F308" s="80"/>
      <c r="G308" s="81"/>
      <c r="H308" s="81"/>
      <c r="I308" s="54"/>
      <c r="J308" s="54"/>
      <c r="K308" s="54"/>
      <c r="L308" s="72" t="s">
        <v>863</v>
      </c>
      <c r="M308" s="73" t="s">
        <v>864</v>
      </c>
      <c r="N308" s="73" t="s">
        <v>34</v>
      </c>
      <c r="O308" s="50">
        <v>3</v>
      </c>
      <c r="P308" s="50"/>
      <c r="Q308" s="50"/>
      <c r="R308" s="24"/>
      <c r="S308" s="166"/>
      <c r="U308" s="5"/>
      <c r="V308" s="5"/>
    </row>
    <row r="309" spans="1:22" ht="18.75" x14ac:dyDescent="0.25">
      <c r="A309" s="20"/>
      <c r="B309" s="25"/>
      <c r="C309" s="11"/>
      <c r="D309" s="49"/>
      <c r="E309" s="49"/>
      <c r="F309" s="80"/>
      <c r="G309" s="81"/>
      <c r="H309" s="81"/>
      <c r="I309" s="54"/>
      <c r="J309" s="54"/>
      <c r="K309" s="54"/>
      <c r="L309" s="72" t="s">
        <v>865</v>
      </c>
      <c r="M309" s="73" t="s">
        <v>866</v>
      </c>
      <c r="N309" s="73" t="s">
        <v>34</v>
      </c>
      <c r="O309" s="50">
        <v>4</v>
      </c>
      <c r="P309" s="50"/>
      <c r="Q309" s="50"/>
      <c r="R309" s="24"/>
      <c r="S309" s="166"/>
      <c r="U309" s="5"/>
      <c r="V309" s="5"/>
    </row>
    <row r="310" spans="1:22" ht="18.75" x14ac:dyDescent="0.25">
      <c r="A310" s="20"/>
      <c r="B310" s="25"/>
      <c r="C310" s="11"/>
      <c r="D310" s="49"/>
      <c r="E310" s="49"/>
      <c r="F310" s="80"/>
      <c r="G310" s="81"/>
      <c r="H310" s="81"/>
      <c r="I310" s="54"/>
      <c r="J310" s="54"/>
      <c r="K310" s="54"/>
      <c r="L310" s="72">
        <v>19775</v>
      </c>
      <c r="M310" s="73" t="s">
        <v>867</v>
      </c>
      <c r="N310" s="73" t="s">
        <v>34</v>
      </c>
      <c r="O310" s="50">
        <v>1</v>
      </c>
      <c r="P310" s="50"/>
      <c r="Q310" s="50"/>
      <c r="R310" s="24"/>
      <c r="S310" s="166"/>
      <c r="U310" s="5"/>
      <c r="V310" s="5"/>
    </row>
    <row r="311" spans="1:22" ht="18.75" x14ac:dyDescent="0.25">
      <c r="A311" s="20"/>
      <c r="B311" s="25"/>
      <c r="C311" s="11"/>
      <c r="D311" s="49"/>
      <c r="E311" s="49"/>
      <c r="F311" s="80"/>
      <c r="G311" s="81"/>
      <c r="H311" s="81"/>
      <c r="I311" s="54"/>
      <c r="J311" s="54"/>
      <c r="K311" s="54"/>
      <c r="L311" s="72" t="s">
        <v>868</v>
      </c>
      <c r="M311" s="73" t="s">
        <v>869</v>
      </c>
      <c r="N311" s="73" t="s">
        <v>64</v>
      </c>
      <c r="O311" s="50">
        <v>1</v>
      </c>
      <c r="P311" s="50"/>
      <c r="Q311" s="50"/>
      <c r="R311" s="24"/>
      <c r="S311" s="166"/>
      <c r="U311" s="5"/>
      <c r="V311" s="5"/>
    </row>
    <row r="312" spans="1:22" ht="18.75" x14ac:dyDescent="0.25">
      <c r="A312" s="20"/>
      <c r="B312" s="25"/>
      <c r="C312" s="11"/>
      <c r="D312" s="49"/>
      <c r="E312" s="49"/>
      <c r="F312" s="80"/>
      <c r="G312" s="81"/>
      <c r="H312" s="81"/>
      <c r="I312" s="54"/>
      <c r="J312" s="54"/>
      <c r="K312" s="54"/>
      <c r="L312" s="72">
        <v>13182</v>
      </c>
      <c r="M312" s="73" t="s">
        <v>675</v>
      </c>
      <c r="N312" s="73" t="s">
        <v>34</v>
      </c>
      <c r="O312" s="50">
        <v>3</v>
      </c>
      <c r="P312" s="50"/>
      <c r="Q312" s="50"/>
      <c r="R312" s="24"/>
      <c r="S312" s="166"/>
      <c r="U312" s="5"/>
      <c r="V312" s="5"/>
    </row>
    <row r="313" spans="1:22" ht="18.75" x14ac:dyDescent="0.25">
      <c r="A313" s="20"/>
      <c r="B313" s="25"/>
      <c r="C313" s="11"/>
      <c r="D313" s="49"/>
      <c r="E313" s="49"/>
      <c r="F313" s="80"/>
      <c r="G313" s="81"/>
      <c r="H313" s="81"/>
      <c r="I313" s="54"/>
      <c r="J313" s="54"/>
      <c r="K313" s="54"/>
      <c r="L313" s="72">
        <v>13183</v>
      </c>
      <c r="M313" s="73" t="s">
        <v>152</v>
      </c>
      <c r="N313" s="73" t="s">
        <v>34</v>
      </c>
      <c r="O313" s="50">
        <v>1</v>
      </c>
      <c r="P313" s="50"/>
      <c r="Q313" s="50"/>
      <c r="R313" s="24"/>
      <c r="S313" s="166"/>
      <c r="U313" s="5"/>
      <c r="V313" s="5"/>
    </row>
    <row r="314" spans="1:22" ht="18.75" x14ac:dyDescent="0.25">
      <c r="A314" s="20"/>
      <c r="B314" s="25"/>
      <c r="C314" s="11"/>
      <c r="D314" s="49"/>
      <c r="E314" s="49"/>
      <c r="F314" s="80"/>
      <c r="G314" s="81"/>
      <c r="H314" s="81"/>
      <c r="I314" s="54"/>
      <c r="J314" s="54"/>
      <c r="K314" s="54"/>
      <c r="L314" s="72" t="s">
        <v>870</v>
      </c>
      <c r="M314" s="73" t="s">
        <v>871</v>
      </c>
      <c r="N314" s="73" t="s">
        <v>34</v>
      </c>
      <c r="O314" s="50">
        <v>3</v>
      </c>
      <c r="P314" s="50"/>
      <c r="Q314" s="50"/>
      <c r="R314" s="24"/>
      <c r="S314" s="166"/>
      <c r="U314" s="5"/>
      <c r="V314" s="5"/>
    </row>
    <row r="315" spans="1:22" ht="18.75" x14ac:dyDescent="0.25">
      <c r="A315" s="20"/>
      <c r="B315" s="25"/>
      <c r="C315" s="11"/>
      <c r="D315" s="49"/>
      <c r="E315" s="49"/>
      <c r="F315" s="80"/>
      <c r="G315" s="81"/>
      <c r="H315" s="81"/>
      <c r="I315" s="54"/>
      <c r="J315" s="54"/>
      <c r="K315" s="54"/>
      <c r="L315" s="72" t="s">
        <v>872</v>
      </c>
      <c r="M315" s="73" t="s">
        <v>873</v>
      </c>
      <c r="N315" s="73" t="s">
        <v>34</v>
      </c>
      <c r="O315" s="50">
        <v>3</v>
      </c>
      <c r="P315" s="50"/>
      <c r="Q315" s="50"/>
      <c r="R315" s="24"/>
      <c r="S315" s="166"/>
      <c r="U315" s="5"/>
      <c r="V315" s="5"/>
    </row>
    <row r="316" spans="1:22" ht="18.75" x14ac:dyDescent="0.25">
      <c r="A316" s="20"/>
      <c r="B316" s="25"/>
      <c r="C316" s="11"/>
      <c r="D316" s="49"/>
      <c r="E316" s="49"/>
      <c r="F316" s="80"/>
      <c r="G316" s="81"/>
      <c r="H316" s="81"/>
      <c r="I316" s="54"/>
      <c r="J316" s="54"/>
      <c r="K316" s="54"/>
      <c r="L316" s="72" t="s">
        <v>874</v>
      </c>
      <c r="M316" s="73" t="s">
        <v>875</v>
      </c>
      <c r="N316" s="73" t="s">
        <v>34</v>
      </c>
      <c r="O316" s="50">
        <v>6</v>
      </c>
      <c r="P316" s="50"/>
      <c r="Q316" s="50"/>
      <c r="R316" s="24"/>
      <c r="S316" s="166"/>
      <c r="U316" s="5"/>
      <c r="V316" s="5"/>
    </row>
    <row r="317" spans="1:22" ht="18.75" x14ac:dyDescent="0.25">
      <c r="A317" s="20"/>
      <c r="B317" s="25"/>
      <c r="C317" s="11"/>
      <c r="D317" s="49"/>
      <c r="E317" s="49"/>
      <c r="F317" s="80"/>
      <c r="G317" s="81"/>
      <c r="H317" s="81"/>
      <c r="I317" s="54"/>
      <c r="J317" s="54"/>
      <c r="K317" s="54"/>
      <c r="L317" s="72">
        <v>14995</v>
      </c>
      <c r="M317" s="73" t="s">
        <v>876</v>
      </c>
      <c r="N317" s="73" t="s">
        <v>34</v>
      </c>
      <c r="O317" s="50">
        <v>1</v>
      </c>
      <c r="P317" s="50"/>
      <c r="Q317" s="50"/>
      <c r="R317" s="24"/>
      <c r="S317" s="166"/>
      <c r="U317" s="5"/>
      <c r="V317" s="5"/>
    </row>
    <row r="318" spans="1:22" ht="18.75" x14ac:dyDescent="0.25">
      <c r="A318" s="20"/>
      <c r="B318" s="25"/>
      <c r="C318" s="11"/>
      <c r="D318" s="49"/>
      <c r="E318" s="49"/>
      <c r="F318" s="80"/>
      <c r="G318" s="81"/>
      <c r="H318" s="81"/>
      <c r="I318" s="54"/>
      <c r="J318" s="54"/>
      <c r="K318" s="54"/>
      <c r="L318" s="72">
        <v>14993</v>
      </c>
      <c r="M318" s="73" t="s">
        <v>877</v>
      </c>
      <c r="N318" s="73" t="s">
        <v>34</v>
      </c>
      <c r="O318" s="50">
        <v>1</v>
      </c>
      <c r="P318" s="50"/>
      <c r="Q318" s="50"/>
      <c r="R318" s="24"/>
      <c r="S318" s="166"/>
      <c r="U318" s="5"/>
      <c r="V318" s="5"/>
    </row>
    <row r="319" spans="1:22" ht="18.75" x14ac:dyDescent="0.25">
      <c r="A319" s="20"/>
      <c r="B319" s="25"/>
      <c r="C319" s="11"/>
      <c r="D319" s="49"/>
      <c r="E319" s="49"/>
      <c r="F319" s="80"/>
      <c r="G319" s="81"/>
      <c r="H319" s="81"/>
      <c r="I319" s="54"/>
      <c r="J319" s="54"/>
      <c r="K319" s="54"/>
      <c r="L319" s="72" t="s">
        <v>878</v>
      </c>
      <c r="M319" s="73" t="s">
        <v>879</v>
      </c>
      <c r="N319" s="73" t="s">
        <v>34</v>
      </c>
      <c r="O319" s="50">
        <v>3</v>
      </c>
      <c r="P319" s="50"/>
      <c r="Q319" s="50"/>
      <c r="R319" s="24"/>
      <c r="S319" s="166"/>
      <c r="U319" s="5"/>
      <c r="V319" s="5"/>
    </row>
    <row r="320" spans="1:22" ht="18.75" x14ac:dyDescent="0.25">
      <c r="A320" s="20"/>
      <c r="B320" s="25"/>
      <c r="C320" s="11"/>
      <c r="D320" s="49"/>
      <c r="E320" s="49"/>
      <c r="F320" s="80"/>
      <c r="G320" s="81"/>
      <c r="H320" s="81"/>
      <c r="I320" s="54"/>
      <c r="J320" s="54"/>
      <c r="K320" s="54"/>
      <c r="L320" s="72">
        <v>7594</v>
      </c>
      <c r="M320" s="73" t="s">
        <v>880</v>
      </c>
      <c r="N320" s="73" t="s">
        <v>34</v>
      </c>
      <c r="O320" s="50">
        <v>2</v>
      </c>
      <c r="P320" s="50"/>
      <c r="Q320" s="50"/>
      <c r="R320" s="24"/>
      <c r="S320" s="166"/>
      <c r="U320" s="5"/>
      <c r="V320" s="5"/>
    </row>
    <row r="321" spans="1:22" ht="18.75" x14ac:dyDescent="0.25">
      <c r="A321" s="20"/>
      <c r="B321" s="25"/>
      <c r="C321" s="11"/>
      <c r="D321" s="49"/>
      <c r="E321" s="49"/>
      <c r="F321" s="80"/>
      <c r="G321" s="81"/>
      <c r="H321" s="81"/>
      <c r="I321" s="54"/>
      <c r="J321" s="54"/>
      <c r="K321" s="54"/>
      <c r="L321" s="72">
        <v>21892</v>
      </c>
      <c r="M321" s="73" t="s">
        <v>97</v>
      </c>
      <c r="N321" s="73" t="s">
        <v>34</v>
      </c>
      <c r="O321" s="50">
        <v>4</v>
      </c>
      <c r="P321" s="50"/>
      <c r="Q321" s="50"/>
      <c r="R321" s="24"/>
      <c r="S321" s="166"/>
      <c r="U321" s="5"/>
      <c r="V321" s="5"/>
    </row>
    <row r="322" spans="1:22" ht="18.75" x14ac:dyDescent="0.25">
      <c r="A322" s="20"/>
      <c r="B322" s="25"/>
      <c r="C322" s="11"/>
      <c r="D322" s="49"/>
      <c r="E322" s="49"/>
      <c r="F322" s="80"/>
      <c r="G322" s="81"/>
      <c r="H322" s="81"/>
      <c r="I322" s="54"/>
      <c r="J322" s="54"/>
      <c r="K322" s="54"/>
      <c r="L322" s="72">
        <v>8068</v>
      </c>
      <c r="M322" s="73" t="s">
        <v>881</v>
      </c>
      <c r="N322" s="73" t="s">
        <v>34</v>
      </c>
      <c r="O322" s="50">
        <v>13</v>
      </c>
      <c r="P322" s="50"/>
      <c r="Q322" s="50"/>
      <c r="R322" s="24"/>
      <c r="S322" s="166"/>
      <c r="U322" s="5"/>
      <c r="V322" s="5"/>
    </row>
    <row r="323" spans="1:22" ht="18.75" x14ac:dyDescent="0.25">
      <c r="A323" s="20"/>
      <c r="B323" s="25"/>
      <c r="C323" s="11"/>
      <c r="D323" s="49"/>
      <c r="E323" s="49"/>
      <c r="F323" s="80"/>
      <c r="G323" s="81"/>
      <c r="H323" s="81"/>
      <c r="I323" s="54"/>
      <c r="J323" s="54"/>
      <c r="K323" s="54"/>
      <c r="L323" s="72" t="s">
        <v>882</v>
      </c>
      <c r="M323" s="73" t="s">
        <v>883</v>
      </c>
      <c r="N323" s="73" t="s">
        <v>34</v>
      </c>
      <c r="O323" s="50">
        <v>1</v>
      </c>
      <c r="P323" s="50"/>
      <c r="Q323" s="50"/>
      <c r="R323" s="24"/>
      <c r="S323" s="166"/>
      <c r="U323" s="5"/>
      <c r="V323" s="5"/>
    </row>
    <row r="324" spans="1:22" ht="18.75" x14ac:dyDescent="0.25">
      <c r="A324" s="20"/>
      <c r="B324" s="25"/>
      <c r="C324" s="11"/>
      <c r="D324" s="49"/>
      <c r="E324" s="49"/>
      <c r="F324" s="80"/>
      <c r="G324" s="81"/>
      <c r="H324" s="81"/>
      <c r="I324" s="54"/>
      <c r="J324" s="54"/>
      <c r="K324" s="54"/>
      <c r="L324" s="72">
        <v>9223</v>
      </c>
      <c r="M324" s="73" t="s">
        <v>884</v>
      </c>
      <c r="N324" s="73" t="s">
        <v>34</v>
      </c>
      <c r="O324" s="50">
        <v>2</v>
      </c>
      <c r="P324" s="50"/>
      <c r="Q324" s="50"/>
      <c r="R324" s="24"/>
      <c r="S324" s="166"/>
      <c r="U324" s="5"/>
      <c r="V324" s="5"/>
    </row>
    <row r="325" spans="1:22" ht="18.75" x14ac:dyDescent="0.25">
      <c r="A325" s="20"/>
      <c r="B325" s="25"/>
      <c r="C325" s="11"/>
      <c r="D325" s="49"/>
      <c r="E325" s="49"/>
      <c r="F325" s="80"/>
      <c r="G325" s="81"/>
      <c r="H325" s="81"/>
      <c r="I325" s="54"/>
      <c r="J325" s="54"/>
      <c r="K325" s="54"/>
      <c r="L325" s="72">
        <v>14443</v>
      </c>
      <c r="M325" s="73" t="s">
        <v>885</v>
      </c>
      <c r="N325" s="73" t="s">
        <v>34</v>
      </c>
      <c r="O325" s="50">
        <v>1</v>
      </c>
      <c r="P325" s="50"/>
      <c r="Q325" s="50"/>
      <c r="R325" s="24"/>
      <c r="S325" s="166"/>
      <c r="U325" s="5"/>
      <c r="V325" s="5"/>
    </row>
    <row r="326" spans="1:22" ht="18.75" x14ac:dyDescent="0.25">
      <c r="A326" s="20"/>
      <c r="B326" s="25"/>
      <c r="C326" s="11"/>
      <c r="D326" s="49"/>
      <c r="E326" s="49"/>
      <c r="F326" s="80"/>
      <c r="G326" s="81"/>
      <c r="H326" s="81"/>
      <c r="I326" s="54"/>
      <c r="J326" s="54"/>
      <c r="K326" s="54"/>
      <c r="L326" s="72">
        <v>511</v>
      </c>
      <c r="M326" s="73" t="s">
        <v>886</v>
      </c>
      <c r="N326" s="73" t="s">
        <v>34</v>
      </c>
      <c r="O326" s="50">
        <v>2</v>
      </c>
      <c r="P326" s="50"/>
      <c r="Q326" s="50"/>
      <c r="R326" s="24"/>
      <c r="S326" s="166"/>
      <c r="U326" s="5"/>
      <c r="V326" s="5"/>
    </row>
    <row r="327" spans="1:22" ht="18.75" x14ac:dyDescent="0.25">
      <c r="A327" s="20"/>
      <c r="B327" s="25"/>
      <c r="C327" s="11"/>
      <c r="D327" s="49"/>
      <c r="E327" s="49"/>
      <c r="F327" s="80"/>
      <c r="G327" s="81"/>
      <c r="H327" s="81"/>
      <c r="I327" s="54"/>
      <c r="J327" s="54"/>
      <c r="K327" s="54"/>
      <c r="L327" s="72" t="s">
        <v>710</v>
      </c>
      <c r="M327" s="73" t="s">
        <v>711</v>
      </c>
      <c r="N327" s="73" t="s">
        <v>34</v>
      </c>
      <c r="O327" s="50">
        <v>1</v>
      </c>
      <c r="P327" s="50"/>
      <c r="Q327" s="50"/>
      <c r="R327" s="24"/>
      <c r="S327" s="166"/>
      <c r="U327" s="5"/>
      <c r="V327" s="5"/>
    </row>
    <row r="328" spans="1:22" ht="18.75" x14ac:dyDescent="0.25">
      <c r="A328" s="20"/>
      <c r="B328" s="25"/>
      <c r="C328" s="11"/>
      <c r="D328" s="49"/>
      <c r="E328" s="49"/>
      <c r="F328" s="80"/>
      <c r="G328" s="81"/>
      <c r="H328" s="81"/>
      <c r="I328" s="54"/>
      <c r="J328" s="54"/>
      <c r="K328" s="54"/>
      <c r="L328" s="72">
        <v>4664</v>
      </c>
      <c r="M328" s="73" t="s">
        <v>887</v>
      </c>
      <c r="N328" s="73" t="s">
        <v>34</v>
      </c>
      <c r="O328" s="50">
        <v>4</v>
      </c>
      <c r="P328" s="50"/>
      <c r="Q328" s="50"/>
      <c r="R328" s="24"/>
      <c r="S328" s="166"/>
      <c r="U328" s="5"/>
      <c r="V328" s="5"/>
    </row>
    <row r="329" spans="1:22" ht="18.75" x14ac:dyDescent="0.25">
      <c r="A329" s="20"/>
      <c r="B329" s="25"/>
      <c r="C329" s="11"/>
      <c r="D329" s="49"/>
      <c r="E329" s="49"/>
      <c r="F329" s="80"/>
      <c r="G329" s="81"/>
      <c r="H329" s="81"/>
      <c r="I329" s="54"/>
      <c r="J329" s="54"/>
      <c r="K329" s="54"/>
      <c r="L329" s="72" t="s">
        <v>888</v>
      </c>
      <c r="M329" s="73" t="s">
        <v>889</v>
      </c>
      <c r="N329" s="73" t="s">
        <v>34</v>
      </c>
      <c r="O329" s="50">
        <v>8</v>
      </c>
      <c r="P329" s="50"/>
      <c r="Q329" s="50"/>
      <c r="R329" s="24"/>
      <c r="S329" s="166"/>
      <c r="U329" s="5"/>
      <c r="V329" s="5"/>
    </row>
    <row r="330" spans="1:22" ht="18.75" x14ac:dyDescent="0.25">
      <c r="A330" s="20"/>
      <c r="B330" s="25"/>
      <c r="C330" s="11"/>
      <c r="D330" s="49"/>
      <c r="E330" s="49"/>
      <c r="F330" s="80"/>
      <c r="G330" s="81"/>
      <c r="H330" s="81"/>
      <c r="I330" s="54"/>
      <c r="J330" s="54"/>
      <c r="K330" s="54"/>
      <c r="L330" s="72">
        <v>2294</v>
      </c>
      <c r="M330" s="73" t="s">
        <v>891</v>
      </c>
      <c r="N330" s="73" t="s">
        <v>34</v>
      </c>
      <c r="O330" s="50">
        <v>1</v>
      </c>
      <c r="P330" s="50"/>
      <c r="Q330" s="50"/>
      <c r="R330" s="24"/>
      <c r="S330" s="166"/>
      <c r="U330" s="5"/>
      <c r="V330" s="5"/>
    </row>
    <row r="331" spans="1:22" ht="18.75" x14ac:dyDescent="0.25">
      <c r="A331" s="20"/>
      <c r="B331" s="25"/>
      <c r="C331" s="11"/>
      <c r="D331" s="49"/>
      <c r="E331" s="49"/>
      <c r="F331" s="80"/>
      <c r="G331" s="81"/>
      <c r="H331" s="81"/>
      <c r="I331" s="54"/>
      <c r="J331" s="54"/>
      <c r="K331" s="54"/>
      <c r="L331" s="72">
        <v>3828</v>
      </c>
      <c r="M331" s="73" t="s">
        <v>892</v>
      </c>
      <c r="N331" s="73" t="s">
        <v>34</v>
      </c>
      <c r="O331" s="50">
        <v>1</v>
      </c>
      <c r="P331" s="50"/>
      <c r="Q331" s="50"/>
      <c r="R331" s="24"/>
      <c r="S331" s="166"/>
      <c r="U331" s="5"/>
      <c r="V331" s="5"/>
    </row>
    <row r="332" spans="1:22" ht="19.5" thickBot="1" x14ac:dyDescent="0.3">
      <c r="A332" s="20"/>
      <c r="B332" s="25"/>
      <c r="C332" s="11"/>
      <c r="D332" s="49"/>
      <c r="E332" s="49"/>
      <c r="F332" s="80"/>
      <c r="G332" s="81"/>
      <c r="H332" s="81"/>
      <c r="I332" s="54"/>
      <c r="J332" s="54"/>
      <c r="K332" s="54"/>
      <c r="L332" s="72" t="s">
        <v>895</v>
      </c>
      <c r="M332" s="73" t="s">
        <v>896</v>
      </c>
      <c r="N332" s="73" t="s">
        <v>34</v>
      </c>
      <c r="O332" s="50">
        <v>1</v>
      </c>
      <c r="P332" s="50"/>
      <c r="Q332" s="50"/>
      <c r="R332" s="24"/>
      <c r="S332" s="166"/>
      <c r="U332" s="5"/>
      <c r="V332" s="5"/>
    </row>
    <row r="333" spans="1:22" ht="21.75" thickBot="1" x14ac:dyDescent="0.3">
      <c r="A333" s="33"/>
      <c r="B333" s="34" t="s">
        <v>29</v>
      </c>
      <c r="C333" s="35"/>
      <c r="D333" s="36">
        <f>SUM(D250:D332)</f>
        <v>0</v>
      </c>
      <c r="E333" s="36"/>
      <c r="F333" s="76"/>
      <c r="G333" s="76"/>
      <c r="H333" s="76"/>
      <c r="I333" s="76"/>
      <c r="J333" s="76"/>
      <c r="K333" s="76"/>
      <c r="L333" s="37"/>
      <c r="M333" s="38"/>
      <c r="N333" s="38"/>
      <c r="O333" s="39">
        <f>SUM(O251:O332)</f>
        <v>189</v>
      </c>
      <c r="P333" s="39">
        <f>SUM(P251:P332)</f>
        <v>0</v>
      </c>
      <c r="Q333" s="183">
        <f>SUM(Q251:Q332)</f>
        <v>0</v>
      </c>
      <c r="R333" s="184"/>
      <c r="S333" s="165"/>
      <c r="U333" s="5"/>
      <c r="V333" s="5"/>
    </row>
    <row r="334" spans="1:22" ht="21.75" thickBot="1" x14ac:dyDescent="0.3">
      <c r="A334" s="41"/>
      <c r="B334" s="42" t="s">
        <v>30</v>
      </c>
      <c r="C334" s="43"/>
      <c r="D334" s="44">
        <f>D250+D333</f>
        <v>0</v>
      </c>
      <c r="E334" s="44"/>
      <c r="F334" s="78"/>
      <c r="G334" s="78"/>
      <c r="H334" s="78"/>
      <c r="I334" s="78"/>
      <c r="J334" s="78"/>
      <c r="K334" s="78"/>
      <c r="L334" s="45"/>
      <c r="M334" s="46"/>
      <c r="N334" s="46"/>
      <c r="O334" s="47">
        <f>O250+O333</f>
        <v>189</v>
      </c>
      <c r="P334" s="47">
        <f>P250+P333</f>
        <v>0</v>
      </c>
      <c r="Q334" s="183">
        <f>Q250+Q333</f>
        <v>0</v>
      </c>
      <c r="R334" s="184"/>
      <c r="S334" s="167"/>
    </row>
    <row r="335" spans="1:22" ht="25.15" customHeight="1" thickBot="1" x14ac:dyDescent="0.3">
      <c r="A335" s="158" t="s">
        <v>12</v>
      </c>
      <c r="B335" s="158"/>
      <c r="C335" s="158"/>
      <c r="D335" s="158"/>
      <c r="E335" s="158"/>
      <c r="F335" s="158"/>
      <c r="G335" s="158"/>
      <c r="H335" s="158"/>
      <c r="I335" s="158"/>
      <c r="J335" s="158"/>
      <c r="K335" s="158"/>
    </row>
    <row r="336" spans="1:22" ht="25.15" customHeight="1" x14ac:dyDescent="0.35">
      <c r="A336" s="155" t="s">
        <v>13</v>
      </c>
      <c r="B336" s="155"/>
      <c r="C336" s="155"/>
      <c r="D336" s="155"/>
      <c r="E336" s="155"/>
      <c r="F336" s="155"/>
      <c r="G336" s="155"/>
      <c r="H336" s="155"/>
      <c r="I336" s="155"/>
      <c r="J336" s="155"/>
      <c r="K336" s="155"/>
      <c r="L336" s="158"/>
      <c r="M336" s="158"/>
      <c r="N336" s="158"/>
      <c r="O336" s="142"/>
      <c r="P336" s="142"/>
      <c r="Q336" s="185"/>
      <c r="R336" s="186"/>
      <c r="S336" s="6"/>
    </row>
    <row r="337" spans="1:19" ht="25.15" customHeight="1" x14ac:dyDescent="0.35">
      <c r="A337" s="156" t="s">
        <v>14</v>
      </c>
      <c r="B337" s="156"/>
      <c r="C337" s="156"/>
      <c r="D337" s="156"/>
      <c r="E337" s="156"/>
      <c r="F337" s="156"/>
      <c r="G337" s="156"/>
      <c r="H337" s="156"/>
      <c r="I337" s="156"/>
      <c r="J337" s="156"/>
      <c r="K337" s="156"/>
      <c r="L337" s="155"/>
      <c r="M337" s="155"/>
      <c r="N337" s="155"/>
      <c r="O337" s="142"/>
      <c r="P337" s="142"/>
      <c r="Q337" s="185"/>
      <c r="R337" s="186"/>
      <c r="S337" s="6"/>
    </row>
    <row r="338" spans="1:19" ht="25.15" customHeight="1" x14ac:dyDescent="0.35">
      <c r="A338" s="155" t="s">
        <v>15</v>
      </c>
      <c r="B338" s="155"/>
      <c r="C338" s="155"/>
      <c r="D338" s="155"/>
      <c r="E338" s="155"/>
      <c r="F338" s="155"/>
      <c r="G338" s="155"/>
      <c r="H338" s="155"/>
      <c r="I338" s="155"/>
      <c r="J338" s="155"/>
      <c r="K338" s="155"/>
      <c r="L338" s="156"/>
      <c r="M338" s="156"/>
      <c r="N338" s="156"/>
      <c r="O338" s="143"/>
      <c r="P338" s="142"/>
      <c r="Q338" s="187"/>
      <c r="R338" s="186"/>
      <c r="S338" s="6"/>
    </row>
    <row r="339" spans="1:19" ht="25.15" customHeight="1" x14ac:dyDescent="0.35">
      <c r="A339" s="155" t="s">
        <v>16</v>
      </c>
      <c r="B339" s="155"/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42"/>
      <c r="P339" s="142"/>
      <c r="Q339" s="185"/>
      <c r="R339" s="186"/>
      <c r="S339" s="6"/>
    </row>
    <row r="340" spans="1:19" ht="25.15" customHeight="1" x14ac:dyDescent="0.35">
      <c r="A340" s="155" t="s">
        <v>17</v>
      </c>
      <c r="B340" s="155"/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42"/>
      <c r="P340" s="142"/>
      <c r="Q340" s="185"/>
      <c r="R340" s="186"/>
      <c r="S340" s="6"/>
    </row>
    <row r="341" spans="1:19" ht="25.15" customHeight="1" x14ac:dyDescent="0.35">
      <c r="A341" s="155" t="s">
        <v>18</v>
      </c>
      <c r="B341" s="155"/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42"/>
      <c r="P341" s="142"/>
      <c r="Q341" s="185"/>
      <c r="R341" s="186"/>
      <c r="S341" s="6"/>
    </row>
    <row r="342" spans="1:19" ht="25.15" customHeight="1" x14ac:dyDescent="0.35">
      <c r="A342" s="155" t="s">
        <v>17</v>
      </c>
      <c r="B342" s="155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42"/>
      <c r="P342" s="142"/>
      <c r="Q342" s="185"/>
      <c r="R342" s="186"/>
      <c r="S342" s="6"/>
    </row>
    <row r="343" spans="1:19" ht="25.15" customHeight="1" x14ac:dyDescent="0.35">
      <c r="A343" s="155" t="s">
        <v>19</v>
      </c>
      <c r="B343" s="155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42"/>
      <c r="P343" s="142"/>
      <c r="Q343" s="185"/>
      <c r="R343" s="186"/>
      <c r="S343" s="6"/>
    </row>
    <row r="344" spans="1:19" ht="25.15" customHeight="1" x14ac:dyDescent="0.35">
      <c r="A344" s="155" t="s">
        <v>11</v>
      </c>
      <c r="B344" s="155"/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42"/>
      <c r="P344" s="142"/>
      <c r="Q344" s="185"/>
      <c r="R344" s="186"/>
      <c r="S344" s="6"/>
    </row>
    <row r="345" spans="1:19" ht="25.15" customHeight="1" x14ac:dyDescent="0.35">
      <c r="A345" s="155" t="s">
        <v>32</v>
      </c>
      <c r="B345" s="155"/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42"/>
      <c r="P345" s="142"/>
      <c r="Q345" s="185"/>
      <c r="R345" s="186"/>
      <c r="S345" s="6"/>
    </row>
    <row r="346" spans="1:19" ht="25.15" customHeight="1" x14ac:dyDescent="0.35">
      <c r="A346" s="148" t="s">
        <v>31</v>
      </c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55"/>
      <c r="M346" s="155"/>
      <c r="N346" s="155"/>
      <c r="O346" s="142"/>
      <c r="P346" s="142"/>
      <c r="Q346" s="185"/>
      <c r="R346" s="186"/>
      <c r="S346" s="6"/>
    </row>
    <row r="347" spans="1:19" ht="36" customHeight="1" x14ac:dyDescent="0.35">
      <c r="L347" s="148"/>
      <c r="M347" s="148"/>
      <c r="N347" s="148"/>
      <c r="O347" s="154"/>
      <c r="P347" s="142"/>
      <c r="Q347" s="188"/>
      <c r="R347" s="186"/>
      <c r="S347" s="6"/>
    </row>
  </sheetData>
  <autoFilter ref="L250:O332" xr:uid="{0FECDC49-5237-4EDE-948E-C800F2FA78AD}"/>
  <mergeCells count="25">
    <mergeCell ref="A11:R11"/>
    <mergeCell ref="M1:R2"/>
    <mergeCell ref="M4:R4"/>
    <mergeCell ref="M5:R5"/>
    <mergeCell ref="M7:R7"/>
    <mergeCell ref="A10:R10"/>
    <mergeCell ref="A16:A17"/>
    <mergeCell ref="B16:B17"/>
    <mergeCell ref="C16:C17"/>
    <mergeCell ref="D16:D17"/>
    <mergeCell ref="E16:E17"/>
    <mergeCell ref="A12:R12"/>
    <mergeCell ref="A13:R13"/>
    <mergeCell ref="A14:Q14"/>
    <mergeCell ref="A15:K15"/>
    <mergeCell ref="L15:R15"/>
    <mergeCell ref="M16:Q16"/>
    <mergeCell ref="R16:R17"/>
    <mergeCell ref="U251:V251"/>
    <mergeCell ref="F16:F17"/>
    <mergeCell ref="G16:G17"/>
    <mergeCell ref="H16:H17"/>
    <mergeCell ref="I16:I17"/>
    <mergeCell ref="J16:J17"/>
    <mergeCell ref="K16:K17"/>
  </mergeCells>
  <conditionalFormatting sqref="T1:T18 T250:T1048576">
    <cfRule type="cellIs" dxfId="2" priority="1" operator="lessThan">
      <formula>0</formula>
    </cfRule>
  </conditionalFormatting>
  <pageMargins left="0.25" right="0.25" top="0.75" bottom="0.75" header="0.3" footer="0.3"/>
  <pageSetup paperSize="9" scale="28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B37D-10B7-4780-ABCC-0886A8890B95}">
  <sheetPr>
    <tabColor rgb="FFFFFF00"/>
    <pageSetUpPr fitToPage="1"/>
  </sheetPr>
  <dimension ref="A1:AI347"/>
  <sheetViews>
    <sheetView topLeftCell="A241" zoomScale="70" zoomScaleNormal="70" workbookViewId="0">
      <selection activeCell="AA233" sqref="AA233"/>
    </sheetView>
  </sheetViews>
  <sheetFormatPr defaultRowHeight="15" x14ac:dyDescent="0.25"/>
  <cols>
    <col min="1" max="1" width="6.7109375" style="170" customWidth="1"/>
    <col min="2" max="2" width="63.140625" customWidth="1"/>
    <col min="3" max="3" width="10.42578125" style="170" customWidth="1"/>
    <col min="4" max="4" width="11.140625" style="170" customWidth="1"/>
    <col min="5" max="5" width="13.140625" style="170" customWidth="1"/>
    <col min="6" max="6" width="20.140625" style="170" customWidth="1"/>
    <col min="7" max="11" width="13.140625" style="170" customWidth="1"/>
    <col min="12" max="12" width="17.28515625" style="170" customWidth="1"/>
    <col min="13" max="13" width="61" customWidth="1"/>
    <col min="14" max="14" width="11.7109375" style="5" customWidth="1"/>
    <col min="15" max="15" width="14" style="5" customWidth="1"/>
    <col min="16" max="16" width="11.7109375" style="5" customWidth="1"/>
    <col min="17" max="17" width="15.42578125" style="189" bestFit="1" customWidth="1"/>
    <col min="18" max="18" width="35.42578125" style="182" customWidth="1"/>
    <col min="19" max="19" width="13" customWidth="1"/>
    <col min="20" max="20" width="12.140625" bestFit="1" customWidth="1"/>
    <col min="22" max="22" width="9.85546875" bestFit="1" customWidth="1"/>
  </cols>
  <sheetData>
    <row r="1" spans="1:21" ht="15.75" customHeight="1" x14ac:dyDescent="0.25">
      <c r="A1" s="2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236" t="s">
        <v>26</v>
      </c>
      <c r="N1" s="236"/>
      <c r="O1" s="236"/>
      <c r="P1" s="236"/>
      <c r="Q1" s="236"/>
      <c r="R1" s="236"/>
      <c r="S1" s="173"/>
      <c r="T1" s="18"/>
      <c r="U1" s="18"/>
    </row>
    <row r="2" spans="1:21" ht="15" customHeight="1" x14ac:dyDescent="0.25">
      <c r="A2" s="2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237"/>
      <c r="N2" s="237"/>
      <c r="O2" s="237"/>
      <c r="P2" s="237"/>
      <c r="Q2" s="237"/>
      <c r="R2" s="237"/>
      <c r="S2" s="159"/>
      <c r="T2" s="18"/>
      <c r="U2" s="18"/>
    </row>
    <row r="3" spans="1:21" ht="15.75" x14ac:dyDescent="0.25">
      <c r="A3" s="2"/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174"/>
      <c r="N3" s="174"/>
      <c r="O3" s="174"/>
      <c r="P3" s="174"/>
      <c r="Q3" s="178"/>
      <c r="R3" s="178"/>
      <c r="S3" s="159"/>
      <c r="T3" s="18"/>
      <c r="U3" s="18"/>
    </row>
    <row r="4" spans="1:21" ht="23.25" x14ac:dyDescent="0.35">
      <c r="A4" s="2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240" t="s">
        <v>27</v>
      </c>
      <c r="N4" s="240"/>
      <c r="O4" s="240"/>
      <c r="P4" s="240"/>
      <c r="Q4" s="240"/>
      <c r="R4" s="240"/>
      <c r="S4" s="160"/>
      <c r="T4" s="18"/>
      <c r="U4" s="18"/>
    </row>
    <row r="5" spans="1:21" ht="21" x14ac:dyDescent="0.35">
      <c r="A5" s="2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241" t="s">
        <v>28</v>
      </c>
      <c r="N5" s="241"/>
      <c r="O5" s="241"/>
      <c r="P5" s="241"/>
      <c r="Q5" s="241"/>
      <c r="R5" s="241"/>
      <c r="S5" s="177"/>
      <c r="T5" s="18"/>
      <c r="U5" s="18"/>
    </row>
    <row r="6" spans="1:21" ht="15.75" x14ac:dyDescent="0.25">
      <c r="A6" s="2"/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2"/>
      <c r="N6" s="14"/>
      <c r="O6" s="14"/>
      <c r="P6" s="15"/>
      <c r="Q6" s="179"/>
      <c r="R6" s="180"/>
      <c r="S6" s="17"/>
      <c r="T6" s="18"/>
      <c r="U6" s="18"/>
    </row>
    <row r="7" spans="1:21" ht="18.75" x14ac:dyDescent="0.3">
      <c r="A7" s="2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238" t="s">
        <v>33</v>
      </c>
      <c r="N7" s="238"/>
      <c r="O7" s="238"/>
      <c r="P7" s="238"/>
      <c r="Q7" s="238"/>
      <c r="R7" s="238"/>
      <c r="S7" s="175"/>
      <c r="T7" s="18"/>
      <c r="U7" s="18"/>
    </row>
    <row r="8" spans="1:21" ht="15.75" x14ac:dyDescent="0.25">
      <c r="A8" s="2"/>
      <c r="B8" s="1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181"/>
      <c r="T8" s="18"/>
      <c r="U8" s="18"/>
    </row>
    <row r="9" spans="1:21" ht="15.75" x14ac:dyDescent="0.25">
      <c r="A9" s="2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181"/>
      <c r="T9" s="18"/>
      <c r="U9" s="18"/>
    </row>
    <row r="10" spans="1:21" ht="18" customHeight="1" x14ac:dyDescent="0.25">
      <c r="A10" s="239" t="s">
        <v>0</v>
      </c>
      <c r="B10" s="239"/>
      <c r="C10" s="239"/>
      <c r="D10" s="239"/>
      <c r="E10" s="239"/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176"/>
      <c r="T10" s="18"/>
      <c r="U10" s="18"/>
    </row>
    <row r="11" spans="1:21" ht="18" customHeight="1" x14ac:dyDescent="0.25">
      <c r="A11" s="239" t="s">
        <v>1</v>
      </c>
      <c r="B11" s="239"/>
      <c r="C11" s="239"/>
      <c r="D11" s="239"/>
      <c r="E11" s="239"/>
      <c r="F11" s="239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39"/>
      <c r="R11" s="239"/>
      <c r="S11" s="176"/>
      <c r="T11" s="18"/>
      <c r="U11" s="18"/>
    </row>
    <row r="12" spans="1:21" ht="18" customHeight="1" x14ac:dyDescent="0.25">
      <c r="A12" s="239" t="s">
        <v>2</v>
      </c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176"/>
      <c r="T12" s="18"/>
      <c r="U12" s="18"/>
    </row>
    <row r="13" spans="1:21" ht="63.6" customHeight="1" x14ac:dyDescent="0.25">
      <c r="A13" s="234" t="s">
        <v>898</v>
      </c>
      <c r="B13" s="235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172"/>
    </row>
    <row r="14" spans="1:21" ht="27" customHeight="1" thickBot="1" x14ac:dyDescent="0.3">
      <c r="A14" s="242" t="s">
        <v>36</v>
      </c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2"/>
      <c r="Q14" s="242"/>
    </row>
    <row r="15" spans="1:21" ht="30.6" customHeight="1" thickBot="1" x14ac:dyDescent="0.3">
      <c r="A15" s="243" t="s">
        <v>24</v>
      </c>
      <c r="B15" s="244"/>
      <c r="C15" s="244"/>
      <c r="D15" s="244"/>
      <c r="E15" s="244"/>
      <c r="F15" s="244"/>
      <c r="G15" s="244"/>
      <c r="H15" s="244"/>
      <c r="I15" s="244"/>
      <c r="J15" s="244"/>
      <c r="K15" s="244"/>
      <c r="L15" s="245" t="s">
        <v>25</v>
      </c>
      <c r="M15" s="246"/>
      <c r="N15" s="246"/>
      <c r="O15" s="246"/>
      <c r="P15" s="246"/>
      <c r="Q15" s="246"/>
      <c r="R15" s="247"/>
      <c r="S15" s="161"/>
    </row>
    <row r="16" spans="1:21" ht="15" customHeight="1" x14ac:dyDescent="0.25">
      <c r="A16" s="259" t="s">
        <v>3</v>
      </c>
      <c r="B16" s="261" t="s">
        <v>4</v>
      </c>
      <c r="C16" s="261"/>
      <c r="D16" s="248" t="s">
        <v>5</v>
      </c>
      <c r="E16" s="261" t="s">
        <v>6</v>
      </c>
      <c r="F16" s="263"/>
      <c r="G16" s="248"/>
      <c r="H16" s="248"/>
      <c r="I16" s="251"/>
      <c r="J16" s="248" t="s">
        <v>21</v>
      </c>
      <c r="K16" s="253" t="s">
        <v>22</v>
      </c>
      <c r="L16" s="21"/>
      <c r="M16" s="256" t="s">
        <v>7</v>
      </c>
      <c r="N16" s="257"/>
      <c r="O16" s="257"/>
      <c r="P16" s="257"/>
      <c r="Q16" s="258"/>
      <c r="R16" s="253" t="s">
        <v>8</v>
      </c>
      <c r="S16" s="162"/>
    </row>
    <row r="17" spans="1:19" ht="34.15" customHeight="1" x14ac:dyDescent="0.25">
      <c r="A17" s="260"/>
      <c r="B17" s="262"/>
      <c r="C17" s="262"/>
      <c r="D17" s="249"/>
      <c r="E17" s="262"/>
      <c r="F17" s="249"/>
      <c r="G17" s="249"/>
      <c r="H17" s="249"/>
      <c r="I17" s="252"/>
      <c r="J17" s="249"/>
      <c r="K17" s="254"/>
      <c r="L17" s="22" t="s">
        <v>20</v>
      </c>
      <c r="M17" s="19" t="s">
        <v>9</v>
      </c>
      <c r="N17" s="23" t="s">
        <v>10</v>
      </c>
      <c r="O17" s="12" t="s">
        <v>6</v>
      </c>
      <c r="P17" s="13" t="s">
        <v>21</v>
      </c>
      <c r="Q17" s="13" t="s">
        <v>22</v>
      </c>
      <c r="R17" s="254"/>
      <c r="S17" s="162"/>
    </row>
    <row r="18" spans="1:19" ht="15.75" thickBot="1" x14ac:dyDescent="0.3">
      <c r="A18" s="26">
        <v>1</v>
      </c>
      <c r="B18" s="27">
        <v>2</v>
      </c>
      <c r="C18" s="27"/>
      <c r="D18" s="27">
        <v>3</v>
      </c>
      <c r="E18" s="27">
        <v>4</v>
      </c>
      <c r="F18" s="27"/>
      <c r="G18" s="27"/>
      <c r="H18" s="27"/>
      <c r="I18" s="79"/>
      <c r="J18" s="27">
        <v>5</v>
      </c>
      <c r="K18" s="28">
        <v>6</v>
      </c>
      <c r="L18" s="88">
        <v>7</v>
      </c>
      <c r="M18" s="12">
        <v>8</v>
      </c>
      <c r="N18" s="12">
        <v>9</v>
      </c>
      <c r="O18" s="12">
        <v>10</v>
      </c>
      <c r="P18" s="19">
        <v>11</v>
      </c>
      <c r="Q18" s="19" t="s">
        <v>752</v>
      </c>
      <c r="R18" s="102" t="s">
        <v>753</v>
      </c>
      <c r="S18" s="163"/>
    </row>
    <row r="19" spans="1:19" ht="33.6" customHeight="1" x14ac:dyDescent="0.25">
      <c r="A19" s="65"/>
      <c r="B19" s="85" t="s">
        <v>897</v>
      </c>
      <c r="C19" s="85"/>
      <c r="D19" s="85" t="s">
        <v>34</v>
      </c>
      <c r="E19" s="85">
        <v>1</v>
      </c>
      <c r="F19" s="74"/>
      <c r="G19" s="74"/>
      <c r="H19" s="74"/>
      <c r="I19" s="74"/>
      <c r="J19" s="74"/>
      <c r="K19" s="74"/>
      <c r="L19" s="68"/>
      <c r="M19" s="57"/>
      <c r="N19" s="70"/>
      <c r="O19" s="70"/>
      <c r="P19" s="97"/>
      <c r="Q19" s="97"/>
      <c r="R19" s="101"/>
      <c r="S19" s="164"/>
    </row>
    <row r="20" spans="1:19" ht="15.75" x14ac:dyDescent="0.25">
      <c r="A20" s="56"/>
      <c r="B20" s="64"/>
      <c r="C20" s="52"/>
      <c r="D20" s="66"/>
      <c r="E20" s="67"/>
      <c r="F20" s="80"/>
      <c r="G20" s="81"/>
      <c r="H20" s="81"/>
      <c r="I20" s="53"/>
      <c r="J20" s="53"/>
      <c r="K20" s="53"/>
      <c r="L20" s="86"/>
      <c r="M20" s="87"/>
      <c r="N20" s="55"/>
      <c r="O20" s="89"/>
      <c r="P20" s="97"/>
      <c r="Q20" s="89"/>
      <c r="R20" s="89"/>
      <c r="S20" s="164"/>
    </row>
    <row r="21" spans="1:19" ht="15.75" x14ac:dyDescent="0.25">
      <c r="A21" s="56"/>
      <c r="B21" s="64"/>
      <c r="C21" s="52"/>
      <c r="D21" s="66"/>
      <c r="E21" s="67"/>
      <c r="F21" s="80"/>
      <c r="G21" s="81"/>
      <c r="H21" s="81"/>
      <c r="I21" s="53"/>
      <c r="J21" s="53"/>
      <c r="K21" s="53"/>
      <c r="L21" s="86"/>
      <c r="M21" s="87"/>
      <c r="N21" s="55"/>
      <c r="O21" s="89"/>
      <c r="P21" s="97"/>
      <c r="Q21" s="89"/>
      <c r="R21" s="89"/>
      <c r="S21" s="164"/>
    </row>
    <row r="22" spans="1:19" ht="15.75" x14ac:dyDescent="0.25">
      <c r="A22" s="56"/>
      <c r="B22" s="64"/>
      <c r="C22" s="52"/>
      <c r="D22" s="66"/>
      <c r="E22" s="67"/>
      <c r="F22" s="80"/>
      <c r="G22" s="81"/>
      <c r="H22" s="81"/>
      <c r="I22" s="53"/>
      <c r="J22" s="53"/>
      <c r="K22" s="53"/>
      <c r="L22" s="86"/>
      <c r="M22" s="87"/>
      <c r="N22" s="113"/>
      <c r="O22" s="89"/>
      <c r="P22" s="97"/>
      <c r="Q22" s="89"/>
      <c r="R22" s="89"/>
      <c r="S22" s="164"/>
    </row>
    <row r="23" spans="1:19" ht="15.75" x14ac:dyDescent="0.25">
      <c r="A23" s="58"/>
      <c r="B23" s="59"/>
      <c r="C23" s="59"/>
      <c r="D23" s="59"/>
      <c r="E23" s="60"/>
      <c r="F23" s="80"/>
      <c r="G23" s="81"/>
      <c r="H23" s="81"/>
      <c r="I23" s="53"/>
      <c r="J23" s="75"/>
      <c r="K23" s="75"/>
      <c r="L23" s="86"/>
      <c r="M23" s="61"/>
      <c r="N23" s="113"/>
      <c r="O23" s="62"/>
      <c r="P23" s="97"/>
      <c r="Q23" s="62"/>
      <c r="R23" s="62"/>
      <c r="S23" s="164"/>
    </row>
    <row r="24" spans="1:19" ht="15.75" x14ac:dyDescent="0.25">
      <c r="A24" s="58"/>
      <c r="B24" s="59"/>
      <c r="C24" s="59"/>
      <c r="D24" s="59"/>
      <c r="E24" s="60"/>
      <c r="F24" s="80"/>
      <c r="G24" s="81"/>
      <c r="H24" s="81"/>
      <c r="I24" s="53"/>
      <c r="J24" s="75"/>
      <c r="K24" s="75"/>
      <c r="L24" s="63"/>
      <c r="M24" s="61"/>
      <c r="N24" s="113"/>
      <c r="O24" s="62"/>
      <c r="P24" s="97"/>
      <c r="Q24" s="62"/>
      <c r="R24" s="62"/>
      <c r="S24" s="164"/>
    </row>
    <row r="25" spans="1:19" ht="15.75" x14ac:dyDescent="0.25">
      <c r="A25" s="58"/>
      <c r="B25" s="59"/>
      <c r="C25" s="59"/>
      <c r="D25" s="59"/>
      <c r="E25" s="60"/>
      <c r="F25" s="80"/>
      <c r="G25" s="81"/>
      <c r="H25" s="81"/>
      <c r="I25" s="53"/>
      <c r="J25" s="75"/>
      <c r="K25" s="75"/>
      <c r="L25" s="63"/>
      <c r="M25" s="61"/>
      <c r="N25" s="113"/>
      <c r="O25" s="62"/>
      <c r="P25" s="97"/>
      <c r="Q25" s="62"/>
      <c r="R25" s="62"/>
      <c r="S25" s="164"/>
    </row>
    <row r="26" spans="1:19" ht="15.75" x14ac:dyDescent="0.25">
      <c r="A26" s="58"/>
      <c r="B26" s="59"/>
      <c r="C26" s="59"/>
      <c r="D26" s="59"/>
      <c r="E26" s="60"/>
      <c r="F26" s="80"/>
      <c r="G26" s="81"/>
      <c r="H26" s="81"/>
      <c r="I26" s="53"/>
      <c r="J26" s="75"/>
      <c r="K26" s="75"/>
      <c r="L26" s="63"/>
      <c r="M26" s="61"/>
      <c r="N26" s="113"/>
      <c r="O26" s="62"/>
      <c r="P26" s="97"/>
      <c r="Q26" s="62"/>
      <c r="R26" s="62"/>
      <c r="S26" s="164"/>
    </row>
    <row r="27" spans="1:19" ht="15.75" x14ac:dyDescent="0.25">
      <c r="A27" s="58"/>
      <c r="B27" s="59"/>
      <c r="C27" s="59"/>
      <c r="D27" s="59"/>
      <c r="E27" s="60"/>
      <c r="F27" s="80"/>
      <c r="G27" s="81"/>
      <c r="H27" s="81"/>
      <c r="I27" s="53"/>
      <c r="J27" s="75"/>
      <c r="K27" s="75"/>
      <c r="L27" s="63"/>
      <c r="M27" s="61"/>
      <c r="N27" s="113"/>
      <c r="O27" s="62"/>
      <c r="P27" s="97"/>
      <c r="Q27" s="62"/>
      <c r="R27" s="62"/>
      <c r="S27" s="164"/>
    </row>
    <row r="28" spans="1:19" ht="15.75" x14ac:dyDescent="0.25">
      <c r="A28" s="58"/>
      <c r="B28" s="59"/>
      <c r="C28" s="59"/>
      <c r="D28" s="59"/>
      <c r="E28" s="60"/>
      <c r="F28" s="80"/>
      <c r="G28" s="81"/>
      <c r="H28" s="81"/>
      <c r="I28" s="53"/>
      <c r="J28" s="75"/>
      <c r="K28" s="75"/>
      <c r="L28" s="63"/>
      <c r="M28" s="61"/>
      <c r="N28" s="113"/>
      <c r="O28" s="62"/>
      <c r="P28" s="97"/>
      <c r="Q28" s="62"/>
      <c r="R28" s="62"/>
      <c r="S28" s="164"/>
    </row>
    <row r="29" spans="1:19" ht="15.75" x14ac:dyDescent="0.25">
      <c r="A29" s="58"/>
      <c r="B29" s="59"/>
      <c r="C29" s="59"/>
      <c r="D29" s="59"/>
      <c r="E29" s="60"/>
      <c r="F29" s="80"/>
      <c r="G29" s="81"/>
      <c r="H29" s="81"/>
      <c r="I29" s="53"/>
      <c r="J29" s="75"/>
      <c r="K29" s="75"/>
      <c r="L29" s="63"/>
      <c r="M29" s="61"/>
      <c r="N29" s="113"/>
      <c r="O29" s="62"/>
      <c r="P29" s="97"/>
      <c r="Q29" s="62"/>
      <c r="R29" s="62"/>
      <c r="S29" s="164"/>
    </row>
    <row r="30" spans="1:19" ht="15.75" x14ac:dyDescent="0.25">
      <c r="A30" s="58"/>
      <c r="B30" s="59"/>
      <c r="C30" s="59"/>
      <c r="D30" s="59"/>
      <c r="E30" s="60"/>
      <c r="F30" s="80"/>
      <c r="G30" s="81"/>
      <c r="H30" s="81"/>
      <c r="I30" s="53"/>
      <c r="J30" s="75"/>
      <c r="K30" s="75"/>
      <c r="L30" s="63"/>
      <c r="M30" s="61"/>
      <c r="N30" s="113"/>
      <c r="O30" s="62"/>
      <c r="P30" s="97"/>
      <c r="Q30" s="62"/>
      <c r="R30" s="62"/>
      <c r="S30" s="164"/>
    </row>
    <row r="31" spans="1:19" ht="15.75" x14ac:dyDescent="0.25">
      <c r="A31" s="58"/>
      <c r="B31" s="59"/>
      <c r="C31" s="59"/>
      <c r="D31" s="59"/>
      <c r="E31" s="60"/>
      <c r="F31" s="80"/>
      <c r="G31" s="81"/>
      <c r="H31" s="81"/>
      <c r="I31" s="53"/>
      <c r="J31" s="75"/>
      <c r="K31" s="75"/>
      <c r="L31" s="63"/>
      <c r="M31" s="61"/>
      <c r="N31" s="113"/>
      <c r="O31" s="62"/>
      <c r="P31" s="97"/>
      <c r="Q31" s="62"/>
      <c r="R31" s="62"/>
      <c r="S31" s="164"/>
    </row>
    <row r="32" spans="1:19" ht="15.75" x14ac:dyDescent="0.25">
      <c r="A32" s="58"/>
      <c r="B32" s="59"/>
      <c r="C32" s="59"/>
      <c r="D32" s="59"/>
      <c r="E32" s="60"/>
      <c r="F32" s="80"/>
      <c r="G32" s="81"/>
      <c r="H32" s="81"/>
      <c r="I32" s="53"/>
      <c r="J32" s="75"/>
      <c r="K32" s="75"/>
      <c r="L32" s="63"/>
      <c r="M32" s="61"/>
      <c r="N32" s="113"/>
      <c r="O32" s="62"/>
      <c r="P32" s="97"/>
      <c r="Q32" s="62"/>
      <c r="R32" s="62"/>
      <c r="S32" s="164"/>
    </row>
    <row r="33" spans="1:19" ht="15.75" x14ac:dyDescent="0.25">
      <c r="A33" s="58"/>
      <c r="B33" s="59"/>
      <c r="C33" s="59"/>
      <c r="D33" s="59"/>
      <c r="E33" s="60"/>
      <c r="F33" s="80"/>
      <c r="G33" s="81"/>
      <c r="H33" s="81"/>
      <c r="I33" s="53"/>
      <c r="J33" s="75"/>
      <c r="K33" s="75"/>
      <c r="L33" s="63"/>
      <c r="M33" s="61"/>
      <c r="N33" s="113"/>
      <c r="O33" s="62"/>
      <c r="P33" s="97"/>
      <c r="Q33" s="62"/>
      <c r="R33" s="62"/>
      <c r="S33" s="164"/>
    </row>
    <row r="34" spans="1:19" ht="15.75" x14ac:dyDescent="0.25">
      <c r="A34" s="58"/>
      <c r="B34" s="59"/>
      <c r="C34" s="59"/>
      <c r="D34" s="59"/>
      <c r="E34" s="60"/>
      <c r="F34" s="80"/>
      <c r="G34" s="81"/>
      <c r="H34" s="81"/>
      <c r="I34" s="53"/>
      <c r="J34" s="75"/>
      <c r="K34" s="75"/>
      <c r="L34" s="63"/>
      <c r="M34" s="61"/>
      <c r="N34" s="113"/>
      <c r="O34" s="62"/>
      <c r="P34" s="97"/>
      <c r="Q34" s="62"/>
      <c r="R34" s="62"/>
      <c r="S34" s="164"/>
    </row>
    <row r="35" spans="1:19" ht="15.75" x14ac:dyDescent="0.25">
      <c r="A35" s="58"/>
      <c r="B35" s="59"/>
      <c r="C35" s="59"/>
      <c r="D35" s="59"/>
      <c r="E35" s="60"/>
      <c r="F35" s="80"/>
      <c r="G35" s="81"/>
      <c r="H35" s="81"/>
      <c r="I35" s="53"/>
      <c r="J35" s="75"/>
      <c r="K35" s="75"/>
      <c r="L35" s="63"/>
      <c r="M35" s="61"/>
      <c r="N35" s="113"/>
      <c r="O35" s="62"/>
      <c r="P35" s="97"/>
      <c r="Q35" s="62"/>
      <c r="R35" s="62"/>
      <c r="S35" s="164"/>
    </row>
    <row r="36" spans="1:19" ht="15.75" x14ac:dyDescent="0.25">
      <c r="A36" s="58"/>
      <c r="B36" s="59"/>
      <c r="C36" s="59"/>
      <c r="D36" s="59"/>
      <c r="E36" s="60"/>
      <c r="F36" s="80"/>
      <c r="G36" s="81"/>
      <c r="H36" s="81"/>
      <c r="I36" s="53"/>
      <c r="J36" s="75"/>
      <c r="K36" s="75"/>
      <c r="L36" s="63"/>
      <c r="M36" s="61"/>
      <c r="N36" s="113"/>
      <c r="O36" s="62"/>
      <c r="P36" s="97"/>
      <c r="Q36" s="62"/>
      <c r="R36" s="62"/>
      <c r="S36" s="164"/>
    </row>
    <row r="37" spans="1:19" ht="15.75" x14ac:dyDescent="0.25">
      <c r="A37" s="58"/>
      <c r="B37" s="59"/>
      <c r="C37" s="59"/>
      <c r="D37" s="59"/>
      <c r="E37" s="60"/>
      <c r="F37" s="80"/>
      <c r="G37" s="81"/>
      <c r="H37" s="81"/>
      <c r="I37" s="53"/>
      <c r="J37" s="75"/>
      <c r="K37" s="75"/>
      <c r="L37" s="63"/>
      <c r="M37" s="61"/>
      <c r="N37" s="113"/>
      <c r="O37" s="62"/>
      <c r="P37" s="97"/>
      <c r="Q37" s="62"/>
      <c r="R37" s="62"/>
      <c r="S37" s="164"/>
    </row>
    <row r="38" spans="1:19" ht="15.75" x14ac:dyDescent="0.25">
      <c r="A38" s="58"/>
      <c r="B38" s="59"/>
      <c r="C38" s="59"/>
      <c r="D38" s="59"/>
      <c r="E38" s="60"/>
      <c r="F38" s="80"/>
      <c r="G38" s="81"/>
      <c r="H38" s="81"/>
      <c r="I38" s="53"/>
      <c r="J38" s="75"/>
      <c r="K38" s="75"/>
      <c r="L38" s="63"/>
      <c r="M38" s="61"/>
      <c r="N38" s="113"/>
      <c r="O38" s="62"/>
      <c r="P38" s="97"/>
      <c r="Q38" s="62"/>
      <c r="R38" s="62"/>
      <c r="S38" s="164"/>
    </row>
    <row r="39" spans="1:19" ht="15.75" x14ac:dyDescent="0.25">
      <c r="A39" s="58"/>
      <c r="B39" s="59"/>
      <c r="C39" s="59"/>
      <c r="D39" s="59"/>
      <c r="E39" s="60"/>
      <c r="F39" s="80"/>
      <c r="G39" s="81"/>
      <c r="H39" s="81"/>
      <c r="I39" s="53"/>
      <c r="J39" s="75"/>
      <c r="K39" s="75"/>
      <c r="L39" s="63"/>
      <c r="M39" s="61"/>
      <c r="N39" s="113"/>
      <c r="O39" s="62"/>
      <c r="P39" s="97"/>
      <c r="Q39" s="62"/>
      <c r="R39" s="62"/>
      <c r="S39" s="164"/>
    </row>
    <row r="40" spans="1:19" ht="15.75" x14ac:dyDescent="0.25">
      <c r="A40" s="58"/>
      <c r="B40" s="59"/>
      <c r="C40" s="59"/>
      <c r="D40" s="59"/>
      <c r="E40" s="60"/>
      <c r="F40" s="80"/>
      <c r="G40" s="81"/>
      <c r="H40" s="81"/>
      <c r="I40" s="53"/>
      <c r="J40" s="75"/>
      <c r="K40" s="75"/>
      <c r="L40" s="63"/>
      <c r="M40" s="61"/>
      <c r="N40" s="113"/>
      <c r="O40" s="62"/>
      <c r="P40" s="97"/>
      <c r="Q40" s="62"/>
      <c r="R40" s="62"/>
      <c r="S40" s="164"/>
    </row>
    <row r="41" spans="1:19" ht="15.75" x14ac:dyDescent="0.25">
      <c r="A41" s="58"/>
      <c r="B41" s="59"/>
      <c r="C41" s="59"/>
      <c r="D41" s="59"/>
      <c r="E41" s="60"/>
      <c r="F41" s="80"/>
      <c r="G41" s="81"/>
      <c r="H41" s="81"/>
      <c r="I41" s="53"/>
      <c r="J41" s="75"/>
      <c r="K41" s="75"/>
      <c r="L41" s="63"/>
      <c r="M41" s="61"/>
      <c r="N41" s="113"/>
      <c r="O41" s="62"/>
      <c r="P41" s="97"/>
      <c r="Q41" s="62"/>
      <c r="R41" s="62"/>
      <c r="S41" s="164"/>
    </row>
    <row r="42" spans="1:19" ht="15.75" x14ac:dyDescent="0.25">
      <c r="A42" s="58"/>
      <c r="B42" s="59"/>
      <c r="C42" s="59"/>
      <c r="D42" s="59"/>
      <c r="E42" s="60"/>
      <c r="F42" s="80"/>
      <c r="G42" s="81"/>
      <c r="H42" s="81"/>
      <c r="I42" s="53"/>
      <c r="J42" s="75"/>
      <c r="K42" s="75"/>
      <c r="L42" s="63"/>
      <c r="M42" s="61"/>
      <c r="N42" s="113"/>
      <c r="O42" s="62"/>
      <c r="P42" s="97"/>
      <c r="Q42" s="62"/>
      <c r="R42" s="62"/>
      <c r="S42" s="164"/>
    </row>
    <row r="43" spans="1:19" ht="15.75" x14ac:dyDescent="0.25">
      <c r="A43" s="58"/>
      <c r="B43" s="59"/>
      <c r="C43" s="59"/>
      <c r="D43" s="59"/>
      <c r="E43" s="60"/>
      <c r="F43" s="80"/>
      <c r="G43" s="81"/>
      <c r="H43" s="81"/>
      <c r="I43" s="53"/>
      <c r="J43" s="75"/>
      <c r="K43" s="75"/>
      <c r="L43" s="63"/>
      <c r="M43" s="61"/>
      <c r="N43" s="113"/>
      <c r="O43" s="62"/>
      <c r="P43" s="97"/>
      <c r="Q43" s="62"/>
      <c r="R43" s="62"/>
      <c r="S43" s="164"/>
    </row>
    <row r="44" spans="1:19" ht="15.75" x14ac:dyDescent="0.25">
      <c r="A44" s="58"/>
      <c r="B44" s="59"/>
      <c r="C44" s="59"/>
      <c r="D44" s="59"/>
      <c r="E44" s="60"/>
      <c r="F44" s="80"/>
      <c r="G44" s="81"/>
      <c r="H44" s="81"/>
      <c r="I44" s="53"/>
      <c r="J44" s="75"/>
      <c r="K44" s="75"/>
      <c r="L44" s="63"/>
      <c r="M44" s="61"/>
      <c r="N44" s="113"/>
      <c r="O44" s="62"/>
      <c r="P44" s="97"/>
      <c r="Q44" s="62"/>
      <c r="R44" s="62"/>
      <c r="S44" s="164"/>
    </row>
    <row r="45" spans="1:19" ht="15.75" x14ac:dyDescent="0.25">
      <c r="A45" s="58"/>
      <c r="B45" s="59"/>
      <c r="C45" s="59"/>
      <c r="D45" s="59"/>
      <c r="E45" s="60"/>
      <c r="F45" s="80"/>
      <c r="G45" s="81"/>
      <c r="H45" s="81"/>
      <c r="I45" s="53"/>
      <c r="J45" s="75"/>
      <c r="K45" s="75"/>
      <c r="L45" s="63"/>
      <c r="M45" s="61"/>
      <c r="N45" s="113"/>
      <c r="O45" s="62"/>
      <c r="P45" s="97"/>
      <c r="Q45" s="62"/>
      <c r="R45" s="62"/>
      <c r="S45" s="164"/>
    </row>
    <row r="46" spans="1:19" ht="15.75" x14ac:dyDescent="0.25">
      <c r="A46" s="58"/>
      <c r="B46" s="59"/>
      <c r="C46" s="59"/>
      <c r="D46" s="59"/>
      <c r="E46" s="60"/>
      <c r="F46" s="80"/>
      <c r="G46" s="81"/>
      <c r="H46" s="81"/>
      <c r="I46" s="53"/>
      <c r="J46" s="75"/>
      <c r="K46" s="75"/>
      <c r="L46" s="63"/>
      <c r="M46" s="61"/>
      <c r="N46" s="113"/>
      <c r="O46" s="62"/>
      <c r="P46" s="97"/>
      <c r="Q46" s="62"/>
      <c r="R46" s="62"/>
      <c r="S46" s="164"/>
    </row>
    <row r="47" spans="1:19" ht="15.75" x14ac:dyDescent="0.25">
      <c r="A47" s="58"/>
      <c r="B47" s="59"/>
      <c r="C47" s="59"/>
      <c r="D47" s="59"/>
      <c r="E47" s="60"/>
      <c r="F47" s="80"/>
      <c r="G47" s="81"/>
      <c r="H47" s="81"/>
      <c r="I47" s="53"/>
      <c r="J47" s="75"/>
      <c r="K47" s="75"/>
      <c r="L47" s="63"/>
      <c r="M47" s="61"/>
      <c r="N47" s="113"/>
      <c r="O47" s="62"/>
      <c r="P47" s="97"/>
      <c r="Q47" s="62"/>
      <c r="R47" s="62"/>
      <c r="S47" s="164"/>
    </row>
    <row r="48" spans="1:19" ht="15.75" x14ac:dyDescent="0.25">
      <c r="A48" s="58"/>
      <c r="B48" s="59"/>
      <c r="C48" s="59"/>
      <c r="D48" s="59"/>
      <c r="E48" s="60"/>
      <c r="F48" s="80"/>
      <c r="G48" s="81"/>
      <c r="H48" s="81"/>
      <c r="I48" s="53"/>
      <c r="J48" s="75"/>
      <c r="K48" s="75"/>
      <c r="L48" s="63"/>
      <c r="M48" s="61"/>
      <c r="N48" s="113"/>
      <c r="O48" s="62"/>
      <c r="P48" s="97"/>
      <c r="Q48" s="62"/>
      <c r="R48" s="62"/>
      <c r="S48" s="164"/>
    </row>
    <row r="49" spans="1:19" ht="15.75" x14ac:dyDescent="0.25">
      <c r="A49" s="58"/>
      <c r="B49" s="59"/>
      <c r="C49" s="59"/>
      <c r="D49" s="59"/>
      <c r="E49" s="60"/>
      <c r="F49" s="80"/>
      <c r="G49" s="81"/>
      <c r="H49" s="81"/>
      <c r="I49" s="53"/>
      <c r="J49" s="75"/>
      <c r="K49" s="75"/>
      <c r="L49" s="63"/>
      <c r="M49" s="61"/>
      <c r="N49" s="113"/>
      <c r="O49" s="62"/>
      <c r="P49" s="97"/>
      <c r="Q49" s="62"/>
      <c r="R49" s="62"/>
      <c r="S49" s="164"/>
    </row>
    <row r="50" spans="1:19" ht="15.75" x14ac:dyDescent="0.25">
      <c r="A50" s="58"/>
      <c r="B50" s="59"/>
      <c r="C50" s="59"/>
      <c r="D50" s="59"/>
      <c r="E50" s="60"/>
      <c r="F50" s="80"/>
      <c r="G50" s="81"/>
      <c r="H50" s="81"/>
      <c r="I50" s="53"/>
      <c r="J50" s="75"/>
      <c r="K50" s="75"/>
      <c r="L50" s="63"/>
      <c r="M50" s="61"/>
      <c r="N50" s="113"/>
      <c r="O50" s="62"/>
      <c r="P50" s="97"/>
      <c r="Q50" s="62"/>
      <c r="R50" s="62"/>
      <c r="S50" s="164"/>
    </row>
    <row r="51" spans="1:19" ht="15.75" x14ac:dyDescent="0.25">
      <c r="A51" s="58"/>
      <c r="B51" s="59"/>
      <c r="C51" s="59"/>
      <c r="D51" s="59"/>
      <c r="E51" s="60"/>
      <c r="F51" s="80"/>
      <c r="G51" s="81"/>
      <c r="H51" s="81"/>
      <c r="I51" s="53"/>
      <c r="J51" s="75"/>
      <c r="K51" s="75"/>
      <c r="L51" s="63"/>
      <c r="M51" s="61"/>
      <c r="N51" s="113"/>
      <c r="O51" s="62"/>
      <c r="P51" s="97"/>
      <c r="Q51" s="62"/>
      <c r="R51" s="62"/>
      <c r="S51" s="164"/>
    </row>
    <row r="52" spans="1:19" ht="15.75" x14ac:dyDescent="0.25">
      <c r="A52" s="58"/>
      <c r="B52" s="59"/>
      <c r="C52" s="59"/>
      <c r="D52" s="59"/>
      <c r="E52" s="60"/>
      <c r="F52" s="80"/>
      <c r="G52" s="81"/>
      <c r="H52" s="81"/>
      <c r="I52" s="53"/>
      <c r="J52" s="75"/>
      <c r="K52" s="75"/>
      <c r="L52" s="63"/>
      <c r="M52" s="61"/>
      <c r="N52" s="113"/>
      <c r="O52" s="62"/>
      <c r="P52" s="97"/>
      <c r="Q52" s="62"/>
      <c r="R52" s="62"/>
      <c r="S52" s="164"/>
    </row>
    <row r="53" spans="1:19" ht="15.75" x14ac:dyDescent="0.25">
      <c r="A53" s="58"/>
      <c r="B53" s="59"/>
      <c r="C53" s="59"/>
      <c r="D53" s="59"/>
      <c r="E53" s="60"/>
      <c r="F53" s="80"/>
      <c r="G53" s="81"/>
      <c r="H53" s="81"/>
      <c r="I53" s="53"/>
      <c r="J53" s="75"/>
      <c r="K53" s="75"/>
      <c r="L53" s="63"/>
      <c r="M53" s="61"/>
      <c r="N53" s="113"/>
      <c r="O53" s="62"/>
      <c r="P53" s="97"/>
      <c r="Q53" s="62"/>
      <c r="R53" s="62"/>
      <c r="S53" s="164"/>
    </row>
    <row r="54" spans="1:19" ht="15.75" x14ac:dyDescent="0.25">
      <c r="A54" s="58"/>
      <c r="B54" s="59"/>
      <c r="C54" s="59"/>
      <c r="D54" s="59"/>
      <c r="E54" s="60"/>
      <c r="F54" s="80"/>
      <c r="G54" s="81"/>
      <c r="H54" s="81"/>
      <c r="I54" s="53"/>
      <c r="J54" s="75"/>
      <c r="K54" s="75"/>
      <c r="L54" s="63"/>
      <c r="M54" s="61"/>
      <c r="N54" s="113"/>
      <c r="O54" s="62"/>
      <c r="P54" s="97"/>
      <c r="Q54" s="62"/>
      <c r="R54" s="62"/>
      <c r="S54" s="164"/>
    </row>
    <row r="55" spans="1:19" ht="15.75" x14ac:dyDescent="0.25">
      <c r="A55" s="58"/>
      <c r="B55" s="59"/>
      <c r="C55" s="59"/>
      <c r="D55" s="59"/>
      <c r="E55" s="60"/>
      <c r="F55" s="80"/>
      <c r="G55" s="81"/>
      <c r="H55" s="81"/>
      <c r="I55" s="53"/>
      <c r="J55" s="75"/>
      <c r="K55" s="75"/>
      <c r="L55" s="63"/>
      <c r="M55" s="61"/>
      <c r="N55" s="55"/>
      <c r="O55" s="62"/>
      <c r="P55" s="97"/>
      <c r="Q55" s="62"/>
      <c r="R55" s="62"/>
      <c r="S55" s="164"/>
    </row>
    <row r="56" spans="1:19" ht="15.75" x14ac:dyDescent="0.25">
      <c r="A56" s="58"/>
      <c r="B56" s="59"/>
      <c r="C56" s="59"/>
      <c r="D56" s="59"/>
      <c r="E56" s="60"/>
      <c r="F56" s="80"/>
      <c r="G56" s="81"/>
      <c r="H56" s="81"/>
      <c r="I56" s="53"/>
      <c r="J56" s="75"/>
      <c r="K56" s="75"/>
      <c r="L56" s="63"/>
      <c r="M56" s="61"/>
      <c r="N56" s="55"/>
      <c r="O56" s="62"/>
      <c r="P56" s="97"/>
      <c r="Q56" s="62"/>
      <c r="R56" s="62"/>
      <c r="S56" s="164"/>
    </row>
    <row r="57" spans="1:19" ht="15.75" x14ac:dyDescent="0.25">
      <c r="A57" s="58"/>
      <c r="B57" s="59"/>
      <c r="C57" s="59"/>
      <c r="D57" s="59"/>
      <c r="E57" s="60"/>
      <c r="F57" s="80"/>
      <c r="G57" s="81"/>
      <c r="H57" s="81"/>
      <c r="I57" s="53"/>
      <c r="J57" s="75"/>
      <c r="K57" s="75"/>
      <c r="L57" s="63"/>
      <c r="M57" s="61"/>
      <c r="N57" s="55"/>
      <c r="O57" s="62"/>
      <c r="P57" s="97"/>
      <c r="Q57" s="62"/>
      <c r="R57" s="62"/>
      <c r="S57" s="164"/>
    </row>
    <row r="58" spans="1:19" ht="15.75" x14ac:dyDescent="0.25">
      <c r="A58" s="58"/>
      <c r="B58" s="59"/>
      <c r="C58" s="59"/>
      <c r="D58" s="59"/>
      <c r="E58" s="60"/>
      <c r="F58" s="80"/>
      <c r="G58" s="81"/>
      <c r="H58" s="81"/>
      <c r="I58" s="53"/>
      <c r="J58" s="75"/>
      <c r="K58" s="75"/>
      <c r="L58" s="63"/>
      <c r="M58" s="61"/>
      <c r="N58" s="55"/>
      <c r="O58" s="62"/>
      <c r="P58" s="97"/>
      <c r="Q58" s="62"/>
      <c r="R58" s="62"/>
      <c r="S58" s="164"/>
    </row>
    <row r="59" spans="1:19" ht="15.75" x14ac:dyDescent="0.25">
      <c r="A59" s="58"/>
      <c r="B59" s="59"/>
      <c r="C59" s="59"/>
      <c r="D59" s="59"/>
      <c r="E59" s="60"/>
      <c r="F59" s="80"/>
      <c r="G59" s="81"/>
      <c r="H59" s="81"/>
      <c r="I59" s="53"/>
      <c r="J59" s="75"/>
      <c r="K59" s="75"/>
      <c r="L59" s="63"/>
      <c r="M59" s="61"/>
      <c r="N59" s="113"/>
      <c r="O59" s="62"/>
      <c r="P59" s="97"/>
      <c r="Q59" s="62"/>
      <c r="R59" s="62"/>
      <c r="S59" s="164"/>
    </row>
    <row r="60" spans="1:19" ht="15.75" x14ac:dyDescent="0.25">
      <c r="A60" s="58"/>
      <c r="B60" s="59"/>
      <c r="C60" s="59"/>
      <c r="D60" s="59"/>
      <c r="E60" s="60"/>
      <c r="F60" s="80"/>
      <c r="G60" s="81"/>
      <c r="H60" s="81"/>
      <c r="I60" s="53"/>
      <c r="J60" s="75"/>
      <c r="K60" s="75"/>
      <c r="L60" s="63"/>
      <c r="M60" s="61"/>
      <c r="N60" s="113"/>
      <c r="O60" s="62"/>
      <c r="P60" s="97"/>
      <c r="Q60" s="62"/>
      <c r="R60" s="62"/>
      <c r="S60" s="164"/>
    </row>
    <row r="61" spans="1:19" ht="15.75" x14ac:dyDescent="0.25">
      <c r="A61" s="58"/>
      <c r="B61" s="59"/>
      <c r="C61" s="59"/>
      <c r="D61" s="59"/>
      <c r="E61" s="60"/>
      <c r="F61" s="80"/>
      <c r="G61" s="81"/>
      <c r="H61" s="81"/>
      <c r="I61" s="53"/>
      <c r="J61" s="75"/>
      <c r="K61" s="75"/>
      <c r="L61" s="63"/>
      <c r="M61" s="61"/>
      <c r="N61" s="113"/>
      <c r="O61" s="62"/>
      <c r="P61" s="97"/>
      <c r="Q61" s="62"/>
      <c r="R61" s="62"/>
      <c r="S61" s="164"/>
    </row>
    <row r="62" spans="1:19" ht="15.75" x14ac:dyDescent="0.25">
      <c r="A62" s="58"/>
      <c r="B62" s="59"/>
      <c r="C62" s="59"/>
      <c r="D62" s="59"/>
      <c r="E62" s="60"/>
      <c r="F62" s="80"/>
      <c r="G62" s="81"/>
      <c r="H62" s="81"/>
      <c r="I62" s="53"/>
      <c r="J62" s="75"/>
      <c r="K62" s="75"/>
      <c r="L62" s="63"/>
      <c r="M62" s="61"/>
      <c r="N62" s="113"/>
      <c r="O62" s="62"/>
      <c r="P62" s="97"/>
      <c r="Q62" s="62"/>
      <c r="R62" s="62"/>
      <c r="S62" s="164"/>
    </row>
    <row r="63" spans="1:19" ht="15.75" x14ac:dyDescent="0.25">
      <c r="A63" s="58"/>
      <c r="B63" s="59"/>
      <c r="C63" s="59"/>
      <c r="D63" s="59"/>
      <c r="E63" s="60"/>
      <c r="F63" s="80"/>
      <c r="G63" s="81"/>
      <c r="H63" s="81"/>
      <c r="I63" s="53"/>
      <c r="J63" s="75"/>
      <c r="K63" s="75"/>
      <c r="L63" s="63"/>
      <c r="M63" s="61"/>
      <c r="N63" s="113"/>
      <c r="O63" s="62"/>
      <c r="P63" s="97"/>
      <c r="Q63" s="62"/>
      <c r="R63" s="62"/>
      <c r="S63" s="164"/>
    </row>
    <row r="64" spans="1:19" ht="15.75" x14ac:dyDescent="0.25">
      <c r="A64" s="58"/>
      <c r="B64" s="59"/>
      <c r="C64" s="59"/>
      <c r="D64" s="59"/>
      <c r="E64" s="60"/>
      <c r="F64" s="80"/>
      <c r="G64" s="81"/>
      <c r="H64" s="81"/>
      <c r="I64" s="53"/>
      <c r="J64" s="75"/>
      <c r="K64" s="75"/>
      <c r="L64" s="63"/>
      <c r="M64" s="61"/>
      <c r="N64" s="113"/>
      <c r="O64" s="62"/>
      <c r="P64" s="97"/>
      <c r="Q64" s="62"/>
      <c r="R64" s="62"/>
      <c r="S64" s="164"/>
    </row>
    <row r="65" spans="1:19" ht="15.75" x14ac:dyDescent="0.25">
      <c r="A65" s="58"/>
      <c r="B65" s="59"/>
      <c r="C65" s="59"/>
      <c r="D65" s="59"/>
      <c r="E65" s="60"/>
      <c r="F65" s="80"/>
      <c r="G65" s="81"/>
      <c r="H65" s="81"/>
      <c r="I65" s="53"/>
      <c r="J65" s="75"/>
      <c r="K65" s="75"/>
      <c r="L65" s="63"/>
      <c r="M65" s="61"/>
      <c r="N65" s="55"/>
      <c r="O65" s="62"/>
      <c r="P65" s="97"/>
      <c r="Q65" s="62"/>
      <c r="R65" s="62"/>
      <c r="S65" s="164"/>
    </row>
    <row r="66" spans="1:19" ht="15.75" x14ac:dyDescent="0.25">
      <c r="A66" s="58"/>
      <c r="B66" s="59"/>
      <c r="C66" s="59"/>
      <c r="D66" s="59"/>
      <c r="E66" s="60"/>
      <c r="F66" s="80"/>
      <c r="G66" s="81"/>
      <c r="H66" s="81"/>
      <c r="I66" s="53"/>
      <c r="J66" s="75"/>
      <c r="K66" s="75"/>
      <c r="L66" s="144"/>
      <c r="M66" s="61"/>
      <c r="N66" s="55"/>
      <c r="O66" s="138"/>
      <c r="P66" s="97"/>
      <c r="Q66" s="138"/>
      <c r="R66" s="138"/>
      <c r="S66" s="164"/>
    </row>
    <row r="67" spans="1:19" ht="15.75" x14ac:dyDescent="0.25">
      <c r="A67" s="58"/>
      <c r="B67" s="59"/>
      <c r="C67" s="59"/>
      <c r="D67" s="59"/>
      <c r="E67" s="60"/>
      <c r="F67" s="80"/>
      <c r="G67" s="81"/>
      <c r="H67" s="81"/>
      <c r="I67" s="53"/>
      <c r="J67" s="75"/>
      <c r="K67" s="75"/>
      <c r="L67" s="63"/>
      <c r="M67" s="61"/>
      <c r="N67" s="113"/>
      <c r="O67" s="62"/>
      <c r="P67" s="97"/>
      <c r="Q67" s="62"/>
      <c r="R67" s="62"/>
      <c r="S67" s="164"/>
    </row>
    <row r="68" spans="1:19" ht="15.75" x14ac:dyDescent="0.25">
      <c r="A68" s="58"/>
      <c r="B68" s="59"/>
      <c r="C68" s="59"/>
      <c r="D68" s="59"/>
      <c r="E68" s="60"/>
      <c r="F68" s="80"/>
      <c r="G68" s="81"/>
      <c r="H68" s="81"/>
      <c r="I68" s="53"/>
      <c r="J68" s="75"/>
      <c r="K68" s="75"/>
      <c r="L68" s="63"/>
      <c r="M68" s="61"/>
      <c r="N68" s="113"/>
      <c r="O68" s="62"/>
      <c r="P68" s="97"/>
      <c r="Q68" s="62"/>
      <c r="R68" s="62"/>
      <c r="S68" s="164"/>
    </row>
    <row r="69" spans="1:19" ht="15.75" x14ac:dyDescent="0.25">
      <c r="A69" s="58"/>
      <c r="B69" s="59"/>
      <c r="C69" s="59"/>
      <c r="D69" s="59"/>
      <c r="E69" s="60"/>
      <c r="F69" s="80"/>
      <c r="G69" s="81"/>
      <c r="H69" s="81"/>
      <c r="I69" s="53"/>
      <c r="J69" s="75"/>
      <c r="K69" s="75"/>
      <c r="L69" s="63"/>
      <c r="M69" s="61"/>
      <c r="N69" s="113"/>
      <c r="O69" s="62"/>
      <c r="P69" s="97"/>
      <c r="Q69" s="62"/>
      <c r="R69" s="62"/>
      <c r="S69" s="164"/>
    </row>
    <row r="70" spans="1:19" ht="15.75" x14ac:dyDescent="0.25">
      <c r="A70" s="58"/>
      <c r="B70" s="59"/>
      <c r="C70" s="59"/>
      <c r="D70" s="59"/>
      <c r="E70" s="60"/>
      <c r="F70" s="80"/>
      <c r="G70" s="81"/>
      <c r="H70" s="81"/>
      <c r="I70" s="53"/>
      <c r="J70" s="75"/>
      <c r="K70" s="75"/>
      <c r="L70" s="63"/>
      <c r="M70" s="61"/>
      <c r="N70" s="113"/>
      <c r="O70" s="62"/>
      <c r="P70" s="97"/>
      <c r="Q70" s="62"/>
      <c r="R70" s="62"/>
      <c r="S70" s="164"/>
    </row>
    <row r="71" spans="1:19" ht="15.75" x14ac:dyDescent="0.25">
      <c r="A71" s="58"/>
      <c r="B71" s="59"/>
      <c r="C71" s="59"/>
      <c r="D71" s="59"/>
      <c r="E71" s="60"/>
      <c r="F71" s="80"/>
      <c r="G71" s="81"/>
      <c r="H71" s="81"/>
      <c r="I71" s="53"/>
      <c r="J71" s="75"/>
      <c r="K71" s="75"/>
      <c r="L71" s="63"/>
      <c r="M71" s="61"/>
      <c r="N71" s="113"/>
      <c r="O71" s="62"/>
      <c r="P71" s="97"/>
      <c r="Q71" s="62"/>
      <c r="R71" s="62"/>
      <c r="S71" s="164"/>
    </row>
    <row r="72" spans="1:19" ht="15.75" x14ac:dyDescent="0.25">
      <c r="A72" s="58"/>
      <c r="B72" s="59"/>
      <c r="C72" s="59"/>
      <c r="D72" s="59"/>
      <c r="E72" s="60"/>
      <c r="F72" s="80"/>
      <c r="G72" s="81"/>
      <c r="H72" s="81"/>
      <c r="I72" s="53"/>
      <c r="J72" s="75"/>
      <c r="K72" s="75"/>
      <c r="L72" s="63"/>
      <c r="M72" s="61"/>
      <c r="N72" s="113"/>
      <c r="O72" s="62"/>
      <c r="P72" s="97"/>
      <c r="Q72" s="62"/>
      <c r="R72" s="62"/>
      <c r="S72" s="164"/>
    </row>
    <row r="73" spans="1:19" ht="15.75" x14ac:dyDescent="0.25">
      <c r="A73" s="58"/>
      <c r="B73" s="59"/>
      <c r="C73" s="59"/>
      <c r="D73" s="59"/>
      <c r="E73" s="60"/>
      <c r="F73" s="80"/>
      <c r="G73" s="81"/>
      <c r="H73" s="81"/>
      <c r="I73" s="53"/>
      <c r="J73" s="75"/>
      <c r="K73" s="75"/>
      <c r="L73" s="63"/>
      <c r="M73" s="61"/>
      <c r="N73" s="113"/>
      <c r="O73" s="62"/>
      <c r="P73" s="97"/>
      <c r="Q73" s="97"/>
      <c r="R73" s="101"/>
      <c r="S73" s="164"/>
    </row>
    <row r="74" spans="1:19" ht="15.75" x14ac:dyDescent="0.25">
      <c r="A74" s="58"/>
      <c r="B74" s="59"/>
      <c r="C74" s="59"/>
      <c r="D74" s="59"/>
      <c r="E74" s="60"/>
      <c r="F74" s="80"/>
      <c r="G74" s="81"/>
      <c r="H74" s="81"/>
      <c r="I74" s="53"/>
      <c r="J74" s="75"/>
      <c r="K74" s="75"/>
      <c r="L74" s="63"/>
      <c r="M74" s="61"/>
      <c r="N74" s="113"/>
      <c r="O74" s="62"/>
      <c r="P74" s="97"/>
      <c r="Q74" s="62"/>
      <c r="R74" s="62"/>
      <c r="S74" s="164"/>
    </row>
    <row r="75" spans="1:19" ht="15.75" x14ac:dyDescent="0.25">
      <c r="A75" s="58"/>
      <c r="B75" s="59"/>
      <c r="C75" s="59"/>
      <c r="D75" s="59"/>
      <c r="E75" s="60"/>
      <c r="F75" s="80"/>
      <c r="G75" s="81"/>
      <c r="H75" s="81"/>
      <c r="I75" s="53"/>
      <c r="J75" s="75"/>
      <c r="K75" s="75"/>
      <c r="L75" s="63"/>
      <c r="M75" s="61"/>
      <c r="N75" s="55"/>
      <c r="O75" s="62"/>
      <c r="P75" s="97"/>
      <c r="Q75" s="62"/>
      <c r="R75" s="62"/>
      <c r="S75" s="164"/>
    </row>
    <row r="76" spans="1:19" ht="15.75" x14ac:dyDescent="0.25">
      <c r="A76" s="58"/>
      <c r="B76" s="59"/>
      <c r="C76" s="59"/>
      <c r="D76" s="59"/>
      <c r="E76" s="60"/>
      <c r="F76" s="80"/>
      <c r="G76" s="81"/>
      <c r="H76" s="81"/>
      <c r="I76" s="53"/>
      <c r="J76" s="75"/>
      <c r="K76" s="75"/>
      <c r="L76" s="63"/>
      <c r="M76" s="61"/>
      <c r="N76" s="55"/>
      <c r="O76" s="62"/>
      <c r="P76" s="97"/>
      <c r="Q76" s="62"/>
      <c r="R76" s="62"/>
      <c r="S76" s="164"/>
    </row>
    <row r="77" spans="1:19" ht="15.75" x14ac:dyDescent="0.25">
      <c r="A77" s="58"/>
      <c r="B77" s="59"/>
      <c r="C77" s="59"/>
      <c r="D77" s="59"/>
      <c r="E77" s="60"/>
      <c r="F77" s="80"/>
      <c r="G77" s="81"/>
      <c r="H77" s="81"/>
      <c r="I77" s="53"/>
      <c r="J77" s="75"/>
      <c r="K77" s="75"/>
      <c r="L77" s="63"/>
      <c r="M77" s="61"/>
      <c r="N77" s="113"/>
      <c r="O77" s="62"/>
      <c r="P77" s="97"/>
      <c r="Q77" s="62"/>
      <c r="R77" s="62"/>
      <c r="S77" s="164"/>
    </row>
    <row r="78" spans="1:19" ht="15.75" x14ac:dyDescent="0.25">
      <c r="A78" s="58"/>
      <c r="B78" s="59"/>
      <c r="C78" s="59"/>
      <c r="D78" s="59"/>
      <c r="E78" s="60"/>
      <c r="F78" s="80"/>
      <c r="G78" s="81"/>
      <c r="H78" s="81"/>
      <c r="I78" s="53"/>
      <c r="J78" s="75"/>
      <c r="K78" s="75"/>
      <c r="L78" s="63"/>
      <c r="M78" s="61"/>
      <c r="N78" s="113"/>
      <c r="O78" s="62"/>
      <c r="P78" s="97"/>
      <c r="Q78" s="62"/>
      <c r="R78" s="62"/>
      <c r="S78" s="164"/>
    </row>
    <row r="79" spans="1:19" ht="15.75" x14ac:dyDescent="0.25">
      <c r="A79" s="58"/>
      <c r="B79" s="59"/>
      <c r="C79" s="59"/>
      <c r="D79" s="59"/>
      <c r="E79" s="60"/>
      <c r="F79" s="80"/>
      <c r="G79" s="81"/>
      <c r="H79" s="81"/>
      <c r="I79" s="53"/>
      <c r="J79" s="75"/>
      <c r="K79" s="75"/>
      <c r="L79" s="63"/>
      <c r="M79" s="61"/>
      <c r="N79" s="113"/>
      <c r="O79" s="62"/>
      <c r="P79" s="97"/>
      <c r="Q79" s="62"/>
      <c r="R79" s="62"/>
      <c r="S79" s="164"/>
    </row>
    <row r="80" spans="1:19" ht="15.75" x14ac:dyDescent="0.25">
      <c r="A80" s="58"/>
      <c r="B80" s="59"/>
      <c r="C80" s="59"/>
      <c r="D80" s="59"/>
      <c r="E80" s="60"/>
      <c r="F80" s="80"/>
      <c r="G80" s="81"/>
      <c r="H80" s="81"/>
      <c r="I80" s="53"/>
      <c r="J80" s="75"/>
      <c r="K80" s="75"/>
      <c r="L80" s="63"/>
      <c r="M80" s="61"/>
      <c r="N80" s="113"/>
      <c r="O80" s="62"/>
      <c r="P80" s="97"/>
      <c r="Q80" s="62"/>
      <c r="R80" s="62"/>
      <c r="S80" s="164"/>
    </row>
    <row r="81" spans="1:19" ht="15.75" x14ac:dyDescent="0.25">
      <c r="A81" s="58"/>
      <c r="B81" s="59"/>
      <c r="C81" s="59"/>
      <c r="D81" s="59"/>
      <c r="E81" s="60"/>
      <c r="F81" s="80"/>
      <c r="G81" s="81"/>
      <c r="H81" s="81"/>
      <c r="I81" s="53"/>
      <c r="J81" s="75"/>
      <c r="K81" s="75"/>
      <c r="L81" s="63"/>
      <c r="M81" s="61"/>
      <c r="N81" s="113"/>
      <c r="O81" s="62"/>
      <c r="P81" s="97"/>
      <c r="Q81" s="62"/>
      <c r="R81" s="62"/>
      <c r="S81" s="164"/>
    </row>
    <row r="82" spans="1:19" ht="15.75" x14ac:dyDescent="0.25">
      <c r="A82" s="58"/>
      <c r="B82" s="59"/>
      <c r="C82" s="59"/>
      <c r="D82" s="59"/>
      <c r="E82" s="60"/>
      <c r="F82" s="80"/>
      <c r="G82" s="81"/>
      <c r="H82" s="81"/>
      <c r="I82" s="53"/>
      <c r="J82" s="75"/>
      <c r="K82" s="75"/>
      <c r="L82" s="63"/>
      <c r="M82" s="61"/>
      <c r="N82" s="113"/>
      <c r="O82" s="62"/>
      <c r="P82" s="97"/>
      <c r="Q82" s="62"/>
      <c r="R82" s="62"/>
      <c r="S82" s="164"/>
    </row>
    <row r="83" spans="1:19" ht="15.75" x14ac:dyDescent="0.25">
      <c r="A83" s="58"/>
      <c r="B83" s="59"/>
      <c r="C83" s="59"/>
      <c r="D83" s="59"/>
      <c r="E83" s="60"/>
      <c r="F83" s="80"/>
      <c r="G83" s="81"/>
      <c r="H83" s="81"/>
      <c r="I83" s="53"/>
      <c r="J83" s="75"/>
      <c r="K83" s="75"/>
      <c r="L83" s="63"/>
      <c r="M83" s="61"/>
      <c r="N83" s="113"/>
      <c r="O83" s="62"/>
      <c r="P83" s="97"/>
      <c r="Q83" s="62"/>
      <c r="R83" s="62"/>
      <c r="S83" s="164"/>
    </row>
    <row r="84" spans="1:19" ht="15.75" x14ac:dyDescent="0.25">
      <c r="A84" s="58"/>
      <c r="B84" s="59"/>
      <c r="C84" s="59"/>
      <c r="D84" s="59"/>
      <c r="E84" s="60"/>
      <c r="F84" s="80"/>
      <c r="G84" s="81"/>
      <c r="H84" s="81"/>
      <c r="I84" s="53"/>
      <c r="J84" s="75"/>
      <c r="K84" s="75"/>
      <c r="L84" s="63"/>
      <c r="M84" s="61"/>
      <c r="N84" s="113"/>
      <c r="O84" s="62"/>
      <c r="P84" s="97"/>
      <c r="Q84" s="62"/>
      <c r="R84" s="62"/>
      <c r="S84" s="164"/>
    </row>
    <row r="85" spans="1:19" ht="15.75" x14ac:dyDescent="0.25">
      <c r="A85" s="58"/>
      <c r="B85" s="59"/>
      <c r="C85" s="59"/>
      <c r="D85" s="59"/>
      <c r="E85" s="60"/>
      <c r="F85" s="80"/>
      <c r="G85" s="81"/>
      <c r="H85" s="81"/>
      <c r="I85" s="53"/>
      <c r="J85" s="75"/>
      <c r="K85" s="75"/>
      <c r="L85" s="63"/>
      <c r="M85" s="61"/>
      <c r="N85" s="113"/>
      <c r="O85" s="62"/>
      <c r="P85" s="97"/>
      <c r="Q85" s="62"/>
      <c r="R85" s="62"/>
      <c r="S85" s="164"/>
    </row>
    <row r="86" spans="1:19" ht="15.75" x14ac:dyDescent="0.25">
      <c r="A86" s="58"/>
      <c r="B86" s="59"/>
      <c r="C86" s="59"/>
      <c r="D86" s="59"/>
      <c r="E86" s="60"/>
      <c r="F86" s="80"/>
      <c r="G86" s="81"/>
      <c r="H86" s="81"/>
      <c r="I86" s="53"/>
      <c r="J86" s="75"/>
      <c r="K86" s="75"/>
      <c r="L86" s="63"/>
      <c r="M86" s="61"/>
      <c r="N86" s="113"/>
      <c r="O86" s="62"/>
      <c r="P86" s="97"/>
      <c r="Q86" s="62"/>
      <c r="R86" s="62"/>
      <c r="S86" s="164"/>
    </row>
    <row r="87" spans="1:19" ht="15.75" x14ac:dyDescent="0.25">
      <c r="A87" s="58"/>
      <c r="B87" s="59"/>
      <c r="C87" s="59"/>
      <c r="D87" s="59"/>
      <c r="E87" s="60"/>
      <c r="F87" s="80"/>
      <c r="G87" s="81"/>
      <c r="H87" s="81"/>
      <c r="I87" s="53"/>
      <c r="J87" s="75"/>
      <c r="K87" s="75"/>
      <c r="L87" s="63"/>
      <c r="M87" s="61"/>
      <c r="N87" s="113"/>
      <c r="O87" s="62"/>
      <c r="P87" s="97"/>
      <c r="Q87" s="62"/>
      <c r="R87" s="62"/>
      <c r="S87" s="164"/>
    </row>
    <row r="88" spans="1:19" ht="15.75" x14ac:dyDescent="0.25">
      <c r="A88" s="58"/>
      <c r="B88" s="59"/>
      <c r="C88" s="59"/>
      <c r="D88" s="59"/>
      <c r="E88" s="60"/>
      <c r="F88" s="80"/>
      <c r="G88" s="81"/>
      <c r="H88" s="81"/>
      <c r="I88" s="53"/>
      <c r="J88" s="75"/>
      <c r="K88" s="75"/>
      <c r="L88" s="63"/>
      <c r="M88" s="61"/>
      <c r="N88" s="113"/>
      <c r="O88" s="62"/>
      <c r="P88" s="97"/>
      <c r="Q88" s="62"/>
      <c r="R88" s="62"/>
      <c r="S88" s="164"/>
    </row>
    <row r="89" spans="1:19" ht="15.75" x14ac:dyDescent="0.25">
      <c r="A89" s="58"/>
      <c r="B89" s="59"/>
      <c r="C89" s="59"/>
      <c r="D89" s="59"/>
      <c r="E89" s="60"/>
      <c r="F89" s="80"/>
      <c r="G89" s="81"/>
      <c r="H89" s="81"/>
      <c r="I89" s="53"/>
      <c r="J89" s="75"/>
      <c r="K89" s="75"/>
      <c r="L89" s="63"/>
      <c r="M89" s="61"/>
      <c r="N89" s="113"/>
      <c r="O89" s="62"/>
      <c r="P89" s="97"/>
      <c r="Q89" s="62"/>
      <c r="R89" s="62"/>
      <c r="S89" s="164"/>
    </row>
    <row r="90" spans="1:19" ht="15.75" x14ac:dyDescent="0.25">
      <c r="A90" s="58"/>
      <c r="B90" s="59"/>
      <c r="C90" s="59"/>
      <c r="D90" s="59"/>
      <c r="E90" s="60"/>
      <c r="F90" s="80"/>
      <c r="G90" s="81"/>
      <c r="H90" s="81"/>
      <c r="I90" s="53"/>
      <c r="J90" s="75"/>
      <c r="K90" s="75"/>
      <c r="L90" s="63"/>
      <c r="M90" s="61"/>
      <c r="N90" s="113"/>
      <c r="O90" s="62"/>
      <c r="P90" s="97"/>
      <c r="Q90" s="62"/>
      <c r="R90" s="62"/>
      <c r="S90" s="164"/>
    </row>
    <row r="91" spans="1:19" ht="15.75" x14ac:dyDescent="0.25">
      <c r="A91" s="58"/>
      <c r="B91" s="59"/>
      <c r="C91" s="59"/>
      <c r="D91" s="59"/>
      <c r="E91" s="60"/>
      <c r="F91" s="80"/>
      <c r="G91" s="81"/>
      <c r="H91" s="81"/>
      <c r="I91" s="53"/>
      <c r="J91" s="75"/>
      <c r="K91" s="75"/>
      <c r="L91" s="63"/>
      <c r="M91" s="61"/>
      <c r="N91" s="113"/>
      <c r="O91" s="62"/>
      <c r="P91" s="97"/>
      <c r="Q91" s="62"/>
      <c r="R91" s="62"/>
      <c r="S91" s="164"/>
    </row>
    <row r="92" spans="1:19" ht="15.75" x14ac:dyDescent="0.25">
      <c r="A92" s="58"/>
      <c r="B92" s="59"/>
      <c r="C92" s="59"/>
      <c r="D92" s="59"/>
      <c r="E92" s="60"/>
      <c r="F92" s="80"/>
      <c r="G92" s="81"/>
      <c r="H92" s="81"/>
      <c r="I92" s="53"/>
      <c r="J92" s="75"/>
      <c r="K92" s="75"/>
      <c r="L92" s="63"/>
      <c r="M92" s="61"/>
      <c r="N92" s="113"/>
      <c r="O92" s="62"/>
      <c r="P92" s="97"/>
      <c r="Q92" s="62"/>
      <c r="R92" s="62"/>
      <c r="S92" s="164"/>
    </row>
    <row r="93" spans="1:19" ht="15.75" x14ac:dyDescent="0.25">
      <c r="A93" s="58"/>
      <c r="B93" s="59"/>
      <c r="C93" s="59"/>
      <c r="D93" s="59"/>
      <c r="E93" s="60"/>
      <c r="F93" s="80"/>
      <c r="G93" s="81"/>
      <c r="H93" s="81"/>
      <c r="I93" s="53"/>
      <c r="J93" s="75"/>
      <c r="K93" s="75"/>
      <c r="L93" s="63"/>
      <c r="M93" s="61"/>
      <c r="N93" s="113"/>
      <c r="O93" s="62"/>
      <c r="P93" s="97"/>
      <c r="Q93" s="62"/>
      <c r="R93" s="62"/>
      <c r="S93" s="164"/>
    </row>
    <row r="94" spans="1:19" ht="15.75" x14ac:dyDescent="0.25">
      <c r="A94" s="58"/>
      <c r="B94" s="59"/>
      <c r="C94" s="59"/>
      <c r="D94" s="59"/>
      <c r="E94" s="60"/>
      <c r="F94" s="80"/>
      <c r="G94" s="81"/>
      <c r="H94" s="81"/>
      <c r="I94" s="53"/>
      <c r="J94" s="75"/>
      <c r="K94" s="75"/>
      <c r="L94" s="63"/>
      <c r="M94" s="61"/>
      <c r="N94" s="113"/>
      <c r="O94" s="62"/>
      <c r="P94" s="97"/>
      <c r="Q94" s="62"/>
      <c r="R94" s="62"/>
      <c r="S94" s="164"/>
    </row>
    <row r="95" spans="1:19" ht="15.75" x14ac:dyDescent="0.25">
      <c r="A95" s="58"/>
      <c r="B95" s="59"/>
      <c r="C95" s="59"/>
      <c r="D95" s="59"/>
      <c r="E95" s="60"/>
      <c r="F95" s="80"/>
      <c r="G95" s="81"/>
      <c r="H95" s="81"/>
      <c r="I95" s="53"/>
      <c r="J95" s="75"/>
      <c r="K95" s="75"/>
      <c r="L95" s="63"/>
      <c r="M95" s="61"/>
      <c r="N95" s="113"/>
      <c r="O95" s="62"/>
      <c r="P95" s="97"/>
      <c r="Q95" s="97"/>
      <c r="R95" s="101"/>
      <c r="S95" s="164"/>
    </row>
    <row r="96" spans="1:19" ht="15.75" x14ac:dyDescent="0.25">
      <c r="A96" s="58"/>
      <c r="B96" s="59"/>
      <c r="C96" s="59"/>
      <c r="D96" s="59"/>
      <c r="E96" s="60"/>
      <c r="F96" s="80"/>
      <c r="G96" s="81"/>
      <c r="H96" s="81"/>
      <c r="I96" s="53"/>
      <c r="J96" s="75"/>
      <c r="K96" s="75"/>
      <c r="L96" s="63"/>
      <c r="M96" s="61"/>
      <c r="N96" s="113"/>
      <c r="O96" s="62"/>
      <c r="P96" s="97"/>
      <c r="Q96" s="62"/>
      <c r="R96" s="62"/>
      <c r="S96" s="164"/>
    </row>
    <row r="97" spans="1:19" ht="15.75" x14ac:dyDescent="0.25">
      <c r="A97" s="58"/>
      <c r="B97" s="59"/>
      <c r="C97" s="59"/>
      <c r="D97" s="59"/>
      <c r="E97" s="60"/>
      <c r="F97" s="80"/>
      <c r="G97" s="81"/>
      <c r="H97" s="81"/>
      <c r="I97" s="53"/>
      <c r="J97" s="75"/>
      <c r="K97" s="75"/>
      <c r="L97" s="63"/>
      <c r="M97" s="61"/>
      <c r="N97" s="113"/>
      <c r="O97" s="62"/>
      <c r="P97" s="97"/>
      <c r="Q97" s="62"/>
      <c r="R97" s="62"/>
      <c r="S97" s="164"/>
    </row>
    <row r="98" spans="1:19" ht="15.75" x14ac:dyDescent="0.25">
      <c r="A98" s="58"/>
      <c r="B98" s="59"/>
      <c r="C98" s="59"/>
      <c r="D98" s="59"/>
      <c r="E98" s="60"/>
      <c r="F98" s="80"/>
      <c r="G98" s="81"/>
      <c r="H98" s="81"/>
      <c r="I98" s="53"/>
      <c r="J98" s="75"/>
      <c r="K98" s="75"/>
      <c r="L98" s="63"/>
      <c r="M98" s="61"/>
      <c r="N98" s="113"/>
      <c r="O98" s="62"/>
      <c r="P98" s="97"/>
      <c r="Q98" s="62"/>
      <c r="R98" s="62"/>
      <c r="S98" s="164"/>
    </row>
    <row r="99" spans="1:19" ht="15.75" x14ac:dyDescent="0.25">
      <c r="A99" s="58"/>
      <c r="B99" s="59"/>
      <c r="C99" s="59"/>
      <c r="D99" s="59"/>
      <c r="E99" s="60"/>
      <c r="F99" s="80"/>
      <c r="G99" s="81"/>
      <c r="H99" s="81"/>
      <c r="I99" s="53"/>
      <c r="J99" s="75"/>
      <c r="K99" s="75"/>
      <c r="L99" s="63"/>
      <c r="M99" s="61"/>
      <c r="N99" s="113"/>
      <c r="O99" s="62"/>
      <c r="P99" s="97"/>
      <c r="Q99" s="62"/>
      <c r="R99" s="62"/>
      <c r="S99" s="164"/>
    </row>
    <row r="100" spans="1:19" ht="15.75" x14ac:dyDescent="0.25">
      <c r="A100" s="58"/>
      <c r="B100" s="59"/>
      <c r="C100" s="59"/>
      <c r="D100" s="59"/>
      <c r="E100" s="60"/>
      <c r="F100" s="80"/>
      <c r="G100" s="81"/>
      <c r="H100" s="81"/>
      <c r="I100" s="53"/>
      <c r="J100" s="75"/>
      <c r="K100" s="75"/>
      <c r="L100" s="63"/>
      <c r="M100" s="61"/>
      <c r="N100" s="113"/>
      <c r="O100" s="62"/>
      <c r="P100" s="97"/>
      <c r="Q100" s="62"/>
      <c r="R100" s="62"/>
      <c r="S100" s="164"/>
    </row>
    <row r="101" spans="1:19" ht="15.75" x14ac:dyDescent="0.25">
      <c r="A101" s="58"/>
      <c r="B101" s="59"/>
      <c r="C101" s="59"/>
      <c r="D101" s="59"/>
      <c r="E101" s="60"/>
      <c r="F101" s="80"/>
      <c r="G101" s="81"/>
      <c r="H101" s="81"/>
      <c r="I101" s="53"/>
      <c r="J101" s="75"/>
      <c r="K101" s="75"/>
      <c r="L101" s="63"/>
      <c r="M101" s="61"/>
      <c r="N101" s="55"/>
      <c r="O101" s="62"/>
      <c r="P101" s="97"/>
      <c r="Q101" s="62"/>
      <c r="R101" s="62"/>
      <c r="S101" s="164"/>
    </row>
    <row r="102" spans="1:19" ht="15.75" x14ac:dyDescent="0.25">
      <c r="A102" s="58"/>
      <c r="B102" s="59"/>
      <c r="C102" s="59"/>
      <c r="D102" s="59"/>
      <c r="E102" s="60"/>
      <c r="F102" s="80"/>
      <c r="G102" s="81"/>
      <c r="H102" s="81"/>
      <c r="I102" s="53"/>
      <c r="J102" s="75"/>
      <c r="K102" s="75"/>
      <c r="L102" s="63"/>
      <c r="M102" s="61"/>
      <c r="N102" s="55"/>
      <c r="O102" s="62"/>
      <c r="P102" s="97"/>
      <c r="Q102" s="62"/>
      <c r="R102" s="62"/>
      <c r="S102" s="164"/>
    </row>
    <row r="103" spans="1:19" ht="15.75" x14ac:dyDescent="0.25">
      <c r="A103" s="58"/>
      <c r="B103" s="59"/>
      <c r="C103" s="59"/>
      <c r="D103" s="59"/>
      <c r="E103" s="60"/>
      <c r="F103" s="80"/>
      <c r="G103" s="81"/>
      <c r="H103" s="81"/>
      <c r="I103" s="53"/>
      <c r="J103" s="75"/>
      <c r="K103" s="75"/>
      <c r="L103" s="63"/>
      <c r="M103" s="61"/>
      <c r="N103" s="55"/>
      <c r="O103" s="62"/>
      <c r="P103" s="97"/>
      <c r="Q103" s="62"/>
      <c r="R103" s="62"/>
      <c r="S103" s="164"/>
    </row>
    <row r="104" spans="1:19" ht="15.75" x14ac:dyDescent="0.25">
      <c r="A104" s="58"/>
      <c r="B104" s="59"/>
      <c r="C104" s="59"/>
      <c r="D104" s="59"/>
      <c r="E104" s="60"/>
      <c r="F104" s="80"/>
      <c r="G104" s="81"/>
      <c r="H104" s="81"/>
      <c r="I104" s="53"/>
      <c r="J104" s="75"/>
      <c r="K104" s="75"/>
      <c r="L104" s="63"/>
      <c r="M104" s="61"/>
      <c r="N104" s="55"/>
      <c r="O104" s="62"/>
      <c r="P104" s="97"/>
      <c r="Q104" s="62"/>
      <c r="R104" s="62"/>
      <c r="S104" s="164"/>
    </row>
    <row r="105" spans="1:19" ht="15.75" x14ac:dyDescent="0.25">
      <c r="A105" s="58"/>
      <c r="B105" s="59"/>
      <c r="C105" s="59"/>
      <c r="D105" s="59"/>
      <c r="E105" s="60"/>
      <c r="F105" s="80"/>
      <c r="G105" s="81"/>
      <c r="H105" s="81"/>
      <c r="I105" s="53"/>
      <c r="J105" s="75"/>
      <c r="K105" s="75"/>
      <c r="L105" s="63"/>
      <c r="M105" s="61"/>
      <c r="N105" s="55"/>
      <c r="O105" s="62"/>
      <c r="P105" s="97"/>
      <c r="Q105" s="62"/>
      <c r="R105" s="62"/>
      <c r="S105" s="164"/>
    </row>
    <row r="106" spans="1:19" ht="15.75" x14ac:dyDescent="0.25">
      <c r="A106" s="58"/>
      <c r="B106" s="59"/>
      <c r="C106" s="59"/>
      <c r="D106" s="59"/>
      <c r="E106" s="60"/>
      <c r="F106" s="80"/>
      <c r="G106" s="81"/>
      <c r="H106" s="81"/>
      <c r="I106" s="53"/>
      <c r="J106" s="75"/>
      <c r="K106" s="75"/>
      <c r="L106" s="63"/>
      <c r="M106" s="61"/>
      <c r="N106" s="113"/>
      <c r="O106" s="62"/>
      <c r="P106" s="97"/>
      <c r="Q106" s="62"/>
      <c r="R106" s="62"/>
      <c r="S106" s="164"/>
    </row>
    <row r="107" spans="1:19" ht="15.75" x14ac:dyDescent="0.25">
      <c r="A107" s="58"/>
      <c r="B107" s="59"/>
      <c r="C107" s="59"/>
      <c r="D107" s="59"/>
      <c r="E107" s="60"/>
      <c r="F107" s="80"/>
      <c r="G107" s="81"/>
      <c r="H107" s="81"/>
      <c r="I107" s="53"/>
      <c r="J107" s="75"/>
      <c r="K107" s="75"/>
      <c r="L107" s="63"/>
      <c r="M107" s="61"/>
      <c r="N107" s="113"/>
      <c r="O107" s="62"/>
      <c r="P107" s="97"/>
      <c r="Q107" s="62"/>
      <c r="R107" s="62"/>
      <c r="S107" s="164"/>
    </row>
    <row r="108" spans="1:19" ht="15.75" x14ac:dyDescent="0.25">
      <c r="A108" s="58"/>
      <c r="B108" s="59"/>
      <c r="C108" s="59"/>
      <c r="D108" s="59"/>
      <c r="E108" s="60"/>
      <c r="F108" s="80"/>
      <c r="G108" s="81"/>
      <c r="H108" s="81"/>
      <c r="I108" s="53"/>
      <c r="J108" s="75"/>
      <c r="K108" s="75"/>
      <c r="L108" s="63"/>
      <c r="M108" s="61"/>
      <c r="N108" s="113"/>
      <c r="O108" s="62"/>
      <c r="P108" s="97"/>
      <c r="Q108" s="62"/>
      <c r="R108" s="62"/>
      <c r="S108" s="164"/>
    </row>
    <row r="109" spans="1:19" ht="15.75" x14ac:dyDescent="0.25">
      <c r="A109" s="58"/>
      <c r="B109" s="59"/>
      <c r="C109" s="59"/>
      <c r="D109" s="59"/>
      <c r="E109" s="60"/>
      <c r="F109" s="80"/>
      <c r="G109" s="81"/>
      <c r="H109" s="81"/>
      <c r="I109" s="53"/>
      <c r="J109" s="75"/>
      <c r="K109" s="75"/>
      <c r="L109" s="63"/>
      <c r="M109" s="61"/>
      <c r="N109" s="113"/>
      <c r="O109" s="62"/>
      <c r="P109" s="97"/>
      <c r="Q109" s="62"/>
      <c r="R109" s="62"/>
      <c r="S109" s="164"/>
    </row>
    <row r="110" spans="1:19" ht="15.75" x14ac:dyDescent="0.25">
      <c r="A110" s="58"/>
      <c r="B110" s="59"/>
      <c r="C110" s="59"/>
      <c r="D110" s="59"/>
      <c r="E110" s="60"/>
      <c r="F110" s="80"/>
      <c r="G110" s="81"/>
      <c r="H110" s="81"/>
      <c r="I110" s="53"/>
      <c r="J110" s="75"/>
      <c r="K110" s="75"/>
      <c r="L110" s="63"/>
      <c r="M110" s="61"/>
      <c r="N110" s="55"/>
      <c r="O110" s="62"/>
      <c r="P110" s="97"/>
      <c r="Q110" s="62"/>
      <c r="R110" s="62"/>
      <c r="S110" s="164"/>
    </row>
    <row r="111" spans="1:19" ht="15.75" x14ac:dyDescent="0.25">
      <c r="A111" s="58"/>
      <c r="B111" s="59"/>
      <c r="C111" s="59"/>
      <c r="D111" s="59"/>
      <c r="E111" s="60"/>
      <c r="F111" s="80"/>
      <c r="G111" s="81"/>
      <c r="H111" s="81"/>
      <c r="I111" s="53"/>
      <c r="J111" s="75"/>
      <c r="K111" s="75"/>
      <c r="L111" s="63"/>
      <c r="M111" s="61"/>
      <c r="N111" s="55"/>
      <c r="O111" s="62"/>
      <c r="P111" s="97"/>
      <c r="Q111" s="62"/>
      <c r="R111" s="62"/>
      <c r="S111" s="164"/>
    </row>
    <row r="112" spans="1:19" ht="15.75" x14ac:dyDescent="0.25">
      <c r="A112" s="58"/>
      <c r="B112" s="59"/>
      <c r="C112" s="59"/>
      <c r="D112" s="59"/>
      <c r="E112" s="60"/>
      <c r="F112" s="80"/>
      <c r="G112" s="81"/>
      <c r="H112" s="81"/>
      <c r="I112" s="53"/>
      <c r="J112" s="75"/>
      <c r="K112" s="75"/>
      <c r="L112" s="144"/>
      <c r="M112" s="61"/>
      <c r="N112" s="55"/>
      <c r="O112" s="62"/>
      <c r="P112" s="97"/>
      <c r="Q112" s="62"/>
      <c r="R112" s="62"/>
      <c r="S112" s="164"/>
    </row>
    <row r="113" spans="1:19" ht="15.75" x14ac:dyDescent="0.25">
      <c r="A113" s="58"/>
      <c r="B113" s="59"/>
      <c r="C113" s="59"/>
      <c r="D113" s="59"/>
      <c r="E113" s="60"/>
      <c r="F113" s="80"/>
      <c r="G113" s="81"/>
      <c r="H113" s="81"/>
      <c r="I113" s="53"/>
      <c r="J113" s="75"/>
      <c r="K113" s="75"/>
      <c r="L113" s="63"/>
      <c r="M113" s="61"/>
      <c r="N113" s="55"/>
      <c r="O113" s="62"/>
      <c r="P113" s="97"/>
      <c r="Q113" s="62"/>
      <c r="R113" s="62"/>
      <c r="S113" s="164"/>
    </row>
    <row r="114" spans="1:19" ht="15.75" x14ac:dyDescent="0.25">
      <c r="A114" s="58"/>
      <c r="B114" s="59"/>
      <c r="C114" s="59"/>
      <c r="D114" s="59"/>
      <c r="E114" s="60"/>
      <c r="F114" s="80"/>
      <c r="G114" s="81"/>
      <c r="H114" s="81"/>
      <c r="I114" s="53"/>
      <c r="J114" s="75"/>
      <c r="K114" s="75"/>
      <c r="L114" s="63"/>
      <c r="M114" s="61"/>
      <c r="N114" s="55"/>
      <c r="O114" s="62"/>
      <c r="P114" s="97"/>
      <c r="Q114" s="62"/>
      <c r="R114" s="62"/>
      <c r="S114" s="164"/>
    </row>
    <row r="115" spans="1:19" ht="15.75" x14ac:dyDescent="0.25">
      <c r="A115" s="58"/>
      <c r="B115" s="59"/>
      <c r="C115" s="59"/>
      <c r="D115" s="59"/>
      <c r="E115" s="60"/>
      <c r="F115" s="80"/>
      <c r="G115" s="81"/>
      <c r="H115" s="81"/>
      <c r="I115" s="53"/>
      <c r="J115" s="75"/>
      <c r="K115" s="75"/>
      <c r="L115" s="63"/>
      <c r="M115" s="61"/>
      <c r="N115" s="55"/>
      <c r="O115" s="62"/>
      <c r="P115" s="97"/>
      <c r="Q115" s="62"/>
      <c r="R115" s="62"/>
      <c r="S115" s="164"/>
    </row>
    <row r="116" spans="1:19" ht="15.75" x14ac:dyDescent="0.25">
      <c r="A116" s="58"/>
      <c r="B116" s="59"/>
      <c r="C116" s="59"/>
      <c r="D116" s="59"/>
      <c r="E116" s="60"/>
      <c r="F116" s="80"/>
      <c r="G116" s="81"/>
      <c r="H116" s="81"/>
      <c r="I116" s="53"/>
      <c r="J116" s="75"/>
      <c r="K116" s="75"/>
      <c r="L116" s="63"/>
      <c r="M116" s="61"/>
      <c r="N116" s="55"/>
      <c r="O116" s="62"/>
      <c r="P116" s="97"/>
      <c r="Q116" s="97"/>
      <c r="R116" s="101"/>
      <c r="S116" s="164"/>
    </row>
    <row r="117" spans="1:19" ht="15.75" x14ac:dyDescent="0.25">
      <c r="A117" s="58"/>
      <c r="B117" s="59"/>
      <c r="C117" s="59"/>
      <c r="D117" s="59"/>
      <c r="E117" s="60"/>
      <c r="F117" s="80"/>
      <c r="G117" s="81"/>
      <c r="H117" s="81"/>
      <c r="I117" s="53"/>
      <c r="J117" s="75"/>
      <c r="K117" s="75"/>
      <c r="L117" s="63"/>
      <c r="M117" s="61"/>
      <c r="N117" s="55"/>
      <c r="O117" s="62"/>
      <c r="P117" s="97"/>
      <c r="Q117" s="62"/>
      <c r="R117" s="62"/>
      <c r="S117" s="164"/>
    </row>
    <row r="118" spans="1:19" ht="15.75" x14ac:dyDescent="0.25">
      <c r="A118" s="58"/>
      <c r="B118" s="59"/>
      <c r="C118" s="59"/>
      <c r="D118" s="59"/>
      <c r="E118" s="60"/>
      <c r="F118" s="80"/>
      <c r="G118" s="81"/>
      <c r="H118" s="81"/>
      <c r="I118" s="53"/>
      <c r="J118" s="75"/>
      <c r="K118" s="75"/>
      <c r="L118" s="63"/>
      <c r="M118" s="61"/>
      <c r="N118" s="55"/>
      <c r="O118" s="62"/>
      <c r="P118" s="97"/>
      <c r="Q118" s="62"/>
      <c r="R118" s="62"/>
      <c r="S118" s="164"/>
    </row>
    <row r="119" spans="1:19" ht="15.75" x14ac:dyDescent="0.25">
      <c r="A119" s="58"/>
      <c r="B119" s="59"/>
      <c r="C119" s="59"/>
      <c r="D119" s="59"/>
      <c r="E119" s="60"/>
      <c r="F119" s="80"/>
      <c r="G119" s="81"/>
      <c r="H119" s="81"/>
      <c r="I119" s="53"/>
      <c r="J119" s="75"/>
      <c r="K119" s="75"/>
      <c r="L119" s="63"/>
      <c r="M119" s="61"/>
      <c r="N119" s="55"/>
      <c r="O119" s="62"/>
      <c r="P119" s="97"/>
      <c r="Q119" s="62"/>
      <c r="R119" s="62"/>
      <c r="S119" s="164"/>
    </row>
    <row r="120" spans="1:19" ht="15.75" x14ac:dyDescent="0.25">
      <c r="A120" s="58"/>
      <c r="B120" s="59"/>
      <c r="C120" s="59"/>
      <c r="D120" s="59"/>
      <c r="E120" s="60"/>
      <c r="F120" s="80"/>
      <c r="G120" s="81"/>
      <c r="H120" s="81"/>
      <c r="I120" s="53"/>
      <c r="J120" s="75"/>
      <c r="K120" s="75"/>
      <c r="L120" s="63"/>
      <c r="M120" s="61"/>
      <c r="N120" s="113"/>
      <c r="O120" s="62"/>
      <c r="P120" s="97"/>
      <c r="Q120" s="62"/>
      <c r="R120" s="62"/>
      <c r="S120" s="164"/>
    </row>
    <row r="121" spans="1:19" ht="15.75" x14ac:dyDescent="0.25">
      <c r="A121" s="58"/>
      <c r="B121" s="59"/>
      <c r="C121" s="59"/>
      <c r="D121" s="59"/>
      <c r="E121" s="60"/>
      <c r="F121" s="80"/>
      <c r="G121" s="81"/>
      <c r="H121" s="81"/>
      <c r="I121" s="53"/>
      <c r="J121" s="75"/>
      <c r="K121" s="75"/>
      <c r="L121" s="63"/>
      <c r="M121" s="61"/>
      <c r="N121" s="113"/>
      <c r="O121" s="62"/>
      <c r="P121" s="97"/>
      <c r="Q121" s="62"/>
      <c r="R121" s="62"/>
      <c r="S121" s="164"/>
    </row>
    <row r="122" spans="1:19" ht="15.75" x14ac:dyDescent="0.25">
      <c r="A122" s="58"/>
      <c r="B122" s="59"/>
      <c r="C122" s="59"/>
      <c r="D122" s="59"/>
      <c r="E122" s="60"/>
      <c r="F122" s="80"/>
      <c r="G122" s="81"/>
      <c r="H122" s="81"/>
      <c r="I122" s="53"/>
      <c r="J122" s="75"/>
      <c r="K122" s="75"/>
      <c r="L122" s="63"/>
      <c r="M122" s="61"/>
      <c r="N122" s="113"/>
      <c r="O122" s="62"/>
      <c r="P122" s="97"/>
      <c r="Q122" s="62"/>
      <c r="R122" s="62"/>
      <c r="S122" s="164"/>
    </row>
    <row r="123" spans="1:19" ht="15.75" x14ac:dyDescent="0.25">
      <c r="A123" s="58"/>
      <c r="B123" s="59"/>
      <c r="C123" s="59"/>
      <c r="D123" s="59"/>
      <c r="E123" s="60"/>
      <c r="F123" s="80"/>
      <c r="G123" s="81"/>
      <c r="H123" s="81"/>
      <c r="I123" s="53"/>
      <c r="J123" s="75"/>
      <c r="K123" s="75"/>
      <c r="L123" s="63"/>
      <c r="M123" s="61"/>
      <c r="N123" s="113"/>
      <c r="O123" s="62"/>
      <c r="P123" s="97"/>
      <c r="Q123" s="62"/>
      <c r="R123" s="62"/>
      <c r="S123" s="164"/>
    </row>
    <row r="124" spans="1:19" ht="15.75" x14ac:dyDescent="0.25">
      <c r="A124" s="58"/>
      <c r="B124" s="59"/>
      <c r="C124" s="59"/>
      <c r="D124" s="59"/>
      <c r="E124" s="60"/>
      <c r="F124" s="80"/>
      <c r="G124" s="81"/>
      <c r="H124" s="81"/>
      <c r="I124" s="53"/>
      <c r="J124" s="75"/>
      <c r="K124" s="75"/>
      <c r="L124" s="63"/>
      <c r="M124" s="61"/>
      <c r="N124" s="113"/>
      <c r="O124" s="62"/>
      <c r="P124" s="97"/>
      <c r="Q124" s="62"/>
      <c r="R124" s="62"/>
      <c r="S124" s="164"/>
    </row>
    <row r="125" spans="1:19" ht="15.75" x14ac:dyDescent="0.25">
      <c r="A125" s="58"/>
      <c r="B125" s="59"/>
      <c r="C125" s="59"/>
      <c r="D125" s="59"/>
      <c r="E125" s="60"/>
      <c r="F125" s="80"/>
      <c r="G125" s="81"/>
      <c r="H125" s="81"/>
      <c r="I125" s="53"/>
      <c r="J125" s="75"/>
      <c r="K125" s="75"/>
      <c r="L125" s="63"/>
      <c r="M125" s="61"/>
      <c r="N125" s="113"/>
      <c r="O125" s="62"/>
      <c r="P125" s="97"/>
      <c r="Q125" s="62"/>
      <c r="R125" s="62"/>
      <c r="S125" s="164"/>
    </row>
    <row r="126" spans="1:19" ht="15.75" x14ac:dyDescent="0.25">
      <c r="A126" s="58"/>
      <c r="B126" s="59"/>
      <c r="C126" s="59"/>
      <c r="D126" s="59"/>
      <c r="E126" s="60"/>
      <c r="F126" s="80"/>
      <c r="G126" s="81"/>
      <c r="H126" s="81"/>
      <c r="I126" s="53"/>
      <c r="J126" s="75"/>
      <c r="K126" s="75"/>
      <c r="L126" s="63"/>
      <c r="M126" s="61"/>
      <c r="N126" s="113"/>
      <c r="O126" s="62"/>
      <c r="P126" s="97"/>
      <c r="Q126" s="62"/>
      <c r="R126" s="62"/>
      <c r="S126" s="164"/>
    </row>
    <row r="127" spans="1:19" ht="15.75" x14ac:dyDescent="0.25">
      <c r="A127" s="58"/>
      <c r="B127" s="59"/>
      <c r="C127" s="59"/>
      <c r="D127" s="59"/>
      <c r="E127" s="60"/>
      <c r="F127" s="80"/>
      <c r="G127" s="81"/>
      <c r="H127" s="81"/>
      <c r="I127" s="53"/>
      <c r="J127" s="75"/>
      <c r="K127" s="75"/>
      <c r="L127" s="63"/>
      <c r="M127" s="61"/>
      <c r="N127" s="55"/>
      <c r="O127" s="62"/>
      <c r="P127" s="97"/>
      <c r="Q127" s="62"/>
      <c r="R127" s="62"/>
      <c r="S127" s="164"/>
    </row>
    <row r="128" spans="1:19" ht="15.75" x14ac:dyDescent="0.25">
      <c r="A128" s="58"/>
      <c r="B128" s="59"/>
      <c r="C128" s="59"/>
      <c r="D128" s="59"/>
      <c r="E128" s="60"/>
      <c r="F128" s="80"/>
      <c r="G128" s="81"/>
      <c r="H128" s="81"/>
      <c r="I128" s="53"/>
      <c r="J128" s="75"/>
      <c r="K128" s="75"/>
      <c r="L128" s="63"/>
      <c r="M128" s="61"/>
      <c r="N128" s="55"/>
      <c r="O128" s="62"/>
      <c r="P128" s="97"/>
      <c r="Q128" s="97"/>
      <c r="R128" s="101"/>
      <c r="S128" s="164"/>
    </row>
    <row r="129" spans="1:19" ht="15.75" x14ac:dyDescent="0.25">
      <c r="A129" s="58"/>
      <c r="B129" s="59"/>
      <c r="C129" s="59"/>
      <c r="D129" s="59"/>
      <c r="E129" s="60"/>
      <c r="F129" s="80"/>
      <c r="G129" s="81"/>
      <c r="H129" s="81"/>
      <c r="I129" s="53"/>
      <c r="J129" s="75"/>
      <c r="K129" s="75"/>
      <c r="L129" s="63"/>
      <c r="M129" s="61"/>
      <c r="N129" s="55"/>
      <c r="O129" s="62"/>
      <c r="P129" s="97"/>
      <c r="Q129" s="62"/>
      <c r="R129" s="62"/>
      <c r="S129" s="164"/>
    </row>
    <row r="130" spans="1:19" ht="15.75" x14ac:dyDescent="0.25">
      <c r="A130" s="58"/>
      <c r="B130" s="59"/>
      <c r="C130" s="59"/>
      <c r="D130" s="59"/>
      <c r="E130" s="60"/>
      <c r="F130" s="80"/>
      <c r="G130" s="81"/>
      <c r="H130" s="81"/>
      <c r="I130" s="53"/>
      <c r="J130" s="75"/>
      <c r="K130" s="75"/>
      <c r="L130" s="63"/>
      <c r="M130" s="61"/>
      <c r="N130" s="55"/>
      <c r="O130" s="62"/>
      <c r="P130" s="97"/>
      <c r="Q130" s="62"/>
      <c r="R130" s="62"/>
      <c r="S130" s="164"/>
    </row>
    <row r="131" spans="1:19" ht="15.75" x14ac:dyDescent="0.25">
      <c r="A131" s="58"/>
      <c r="B131" s="59"/>
      <c r="C131" s="59"/>
      <c r="D131" s="59"/>
      <c r="E131" s="60"/>
      <c r="F131" s="80"/>
      <c r="G131" s="81"/>
      <c r="H131" s="81"/>
      <c r="I131" s="53"/>
      <c r="J131" s="75"/>
      <c r="K131" s="75"/>
      <c r="L131" s="63"/>
      <c r="M131" s="61"/>
      <c r="N131" s="55"/>
      <c r="O131" s="62"/>
      <c r="P131" s="97"/>
      <c r="Q131" s="62"/>
      <c r="R131" s="62"/>
      <c r="S131" s="164"/>
    </row>
    <row r="132" spans="1:19" ht="15.75" x14ac:dyDescent="0.25">
      <c r="A132" s="58"/>
      <c r="B132" s="59"/>
      <c r="C132" s="59"/>
      <c r="D132" s="59"/>
      <c r="E132" s="60"/>
      <c r="F132" s="80"/>
      <c r="G132" s="81"/>
      <c r="H132" s="81"/>
      <c r="I132" s="53"/>
      <c r="J132" s="75"/>
      <c r="K132" s="75"/>
      <c r="L132" s="144"/>
      <c r="M132" s="61"/>
      <c r="N132" s="55"/>
      <c r="O132" s="62"/>
      <c r="P132" s="97"/>
      <c r="Q132" s="62"/>
      <c r="R132" s="62"/>
      <c r="S132" s="164"/>
    </row>
    <row r="133" spans="1:19" ht="15.75" x14ac:dyDescent="0.25">
      <c r="A133" s="58"/>
      <c r="B133" s="59"/>
      <c r="C133" s="59"/>
      <c r="D133" s="59"/>
      <c r="E133" s="60"/>
      <c r="F133" s="80"/>
      <c r="G133" s="81"/>
      <c r="H133" s="81"/>
      <c r="I133" s="53"/>
      <c r="J133" s="75"/>
      <c r="K133" s="75"/>
      <c r="L133" s="144"/>
      <c r="M133" s="61"/>
      <c r="N133" s="55"/>
      <c r="O133" s="62"/>
      <c r="P133" s="97"/>
      <c r="Q133" s="62"/>
      <c r="R133" s="62"/>
      <c r="S133" s="164"/>
    </row>
    <row r="134" spans="1:19" ht="15.75" x14ac:dyDescent="0.25">
      <c r="A134" s="58"/>
      <c r="B134" s="59"/>
      <c r="C134" s="59"/>
      <c r="D134" s="59"/>
      <c r="E134" s="60"/>
      <c r="F134" s="80"/>
      <c r="G134" s="81"/>
      <c r="H134" s="81"/>
      <c r="I134" s="53"/>
      <c r="J134" s="75"/>
      <c r="K134" s="75"/>
      <c r="L134" s="63"/>
      <c r="M134" s="61"/>
      <c r="N134" s="55"/>
      <c r="O134" s="62"/>
      <c r="P134" s="97"/>
      <c r="Q134" s="62"/>
      <c r="R134" s="62"/>
      <c r="S134" s="164"/>
    </row>
    <row r="135" spans="1:19" ht="15.75" x14ac:dyDescent="0.25">
      <c r="A135" s="58"/>
      <c r="B135" s="59"/>
      <c r="C135" s="59"/>
      <c r="D135" s="59"/>
      <c r="E135" s="60"/>
      <c r="F135" s="80"/>
      <c r="G135" s="81"/>
      <c r="H135" s="81"/>
      <c r="I135" s="53"/>
      <c r="J135" s="75"/>
      <c r="K135" s="75"/>
      <c r="L135" s="63"/>
      <c r="M135" s="61"/>
      <c r="N135" s="55"/>
      <c r="O135" s="62"/>
      <c r="P135" s="97"/>
      <c r="Q135" s="62"/>
      <c r="R135" s="62"/>
      <c r="S135" s="164"/>
    </row>
    <row r="136" spans="1:19" ht="15.75" x14ac:dyDescent="0.25">
      <c r="A136" s="58"/>
      <c r="B136" s="59"/>
      <c r="C136" s="59"/>
      <c r="D136" s="59"/>
      <c r="E136" s="60"/>
      <c r="F136" s="80"/>
      <c r="G136" s="81"/>
      <c r="H136" s="81"/>
      <c r="I136" s="53"/>
      <c r="J136" s="75"/>
      <c r="K136" s="75"/>
      <c r="L136" s="63"/>
      <c r="M136" s="61"/>
      <c r="N136" s="55"/>
      <c r="O136" s="62"/>
      <c r="P136" s="97"/>
      <c r="Q136" s="62"/>
      <c r="R136" s="62"/>
      <c r="S136" s="164"/>
    </row>
    <row r="137" spans="1:19" ht="15.75" x14ac:dyDescent="0.25">
      <c r="A137" s="58"/>
      <c r="B137" s="59"/>
      <c r="C137" s="59"/>
      <c r="D137" s="59"/>
      <c r="E137" s="60"/>
      <c r="F137" s="80"/>
      <c r="G137" s="81"/>
      <c r="H137" s="81"/>
      <c r="I137" s="53"/>
      <c r="J137" s="75"/>
      <c r="K137" s="75"/>
      <c r="L137" s="63"/>
      <c r="M137" s="61"/>
      <c r="N137" s="55"/>
      <c r="O137" s="62"/>
      <c r="P137" s="97"/>
      <c r="Q137" s="62"/>
      <c r="R137" s="62"/>
      <c r="S137" s="164"/>
    </row>
    <row r="138" spans="1:19" ht="15.75" x14ac:dyDescent="0.25">
      <c r="A138" s="58"/>
      <c r="B138" s="59"/>
      <c r="C138" s="59"/>
      <c r="D138" s="59"/>
      <c r="E138" s="60"/>
      <c r="F138" s="80"/>
      <c r="G138" s="81"/>
      <c r="H138" s="81"/>
      <c r="I138" s="53"/>
      <c r="J138" s="75"/>
      <c r="K138" s="75"/>
      <c r="L138" s="63"/>
      <c r="M138" s="61"/>
      <c r="N138" s="55"/>
      <c r="O138" s="62"/>
      <c r="P138" s="97"/>
      <c r="Q138" s="62"/>
      <c r="R138" s="62"/>
      <c r="S138" s="164"/>
    </row>
    <row r="139" spans="1:19" ht="15.75" x14ac:dyDescent="0.25">
      <c r="A139" s="58"/>
      <c r="B139" s="59"/>
      <c r="C139" s="59"/>
      <c r="D139" s="59"/>
      <c r="E139" s="60"/>
      <c r="F139" s="80"/>
      <c r="G139" s="81"/>
      <c r="H139" s="81"/>
      <c r="I139" s="53"/>
      <c r="J139" s="75"/>
      <c r="K139" s="75"/>
      <c r="L139" s="63"/>
      <c r="M139" s="61"/>
      <c r="N139" s="113"/>
      <c r="O139" s="62"/>
      <c r="P139" s="97"/>
      <c r="Q139" s="62"/>
      <c r="R139" s="62"/>
      <c r="S139" s="164"/>
    </row>
    <row r="140" spans="1:19" ht="15.75" x14ac:dyDescent="0.25">
      <c r="A140" s="58"/>
      <c r="B140" s="59"/>
      <c r="C140" s="59"/>
      <c r="D140" s="59"/>
      <c r="E140" s="60"/>
      <c r="F140" s="80"/>
      <c r="G140" s="81"/>
      <c r="H140" s="81"/>
      <c r="I140" s="53"/>
      <c r="J140" s="75"/>
      <c r="K140" s="75"/>
      <c r="L140" s="63"/>
      <c r="M140" s="61"/>
      <c r="N140" s="113"/>
      <c r="O140" s="62"/>
      <c r="P140" s="97"/>
      <c r="Q140" s="62"/>
      <c r="R140" s="62"/>
      <c r="S140" s="164"/>
    </row>
    <row r="141" spans="1:19" ht="15.75" x14ac:dyDescent="0.25">
      <c r="A141" s="58"/>
      <c r="B141" s="59"/>
      <c r="C141" s="59"/>
      <c r="D141" s="59"/>
      <c r="E141" s="60"/>
      <c r="F141" s="80"/>
      <c r="G141" s="81"/>
      <c r="H141" s="81"/>
      <c r="I141" s="53"/>
      <c r="J141" s="75"/>
      <c r="K141" s="75"/>
      <c r="L141" s="63"/>
      <c r="M141" s="61"/>
      <c r="N141" s="113"/>
      <c r="O141" s="62"/>
      <c r="P141" s="97"/>
      <c r="Q141" s="62"/>
      <c r="R141" s="62"/>
      <c r="S141" s="164"/>
    </row>
    <row r="142" spans="1:19" ht="15.75" x14ac:dyDescent="0.25">
      <c r="A142" s="58"/>
      <c r="B142" s="59"/>
      <c r="C142" s="59"/>
      <c r="D142" s="59"/>
      <c r="E142" s="60"/>
      <c r="F142" s="80"/>
      <c r="G142" s="81"/>
      <c r="H142" s="81"/>
      <c r="I142" s="53"/>
      <c r="J142" s="75"/>
      <c r="K142" s="75"/>
      <c r="L142" s="63"/>
      <c r="M142" s="61"/>
      <c r="N142" s="113"/>
      <c r="O142" s="62"/>
      <c r="P142" s="97"/>
      <c r="Q142" s="62"/>
      <c r="R142" s="62"/>
      <c r="S142" s="164"/>
    </row>
    <row r="143" spans="1:19" ht="15.75" x14ac:dyDescent="0.25">
      <c r="A143" s="58"/>
      <c r="B143" s="59"/>
      <c r="C143" s="59"/>
      <c r="D143" s="59"/>
      <c r="E143" s="60"/>
      <c r="F143" s="80"/>
      <c r="G143" s="81"/>
      <c r="H143" s="81"/>
      <c r="I143" s="53"/>
      <c r="J143" s="75"/>
      <c r="K143" s="75"/>
      <c r="L143" s="63"/>
      <c r="M143" s="61"/>
      <c r="N143" s="113"/>
      <c r="O143" s="62"/>
      <c r="P143" s="97"/>
      <c r="Q143" s="62"/>
      <c r="R143" s="62"/>
      <c r="S143" s="164"/>
    </row>
    <row r="144" spans="1:19" ht="15.75" x14ac:dyDescent="0.25">
      <c r="A144" s="58"/>
      <c r="B144" s="59"/>
      <c r="C144" s="59"/>
      <c r="D144" s="59"/>
      <c r="E144" s="60"/>
      <c r="F144" s="80"/>
      <c r="G144" s="81"/>
      <c r="H144" s="81"/>
      <c r="I144" s="53"/>
      <c r="J144" s="75"/>
      <c r="K144" s="75"/>
      <c r="L144" s="63"/>
      <c r="M144" s="61"/>
      <c r="N144" s="113"/>
      <c r="O144" s="62"/>
      <c r="P144" s="97"/>
      <c r="Q144" s="62"/>
      <c r="R144" s="62"/>
      <c r="S144" s="164"/>
    </row>
    <row r="145" spans="1:19" ht="15.75" x14ac:dyDescent="0.25">
      <c r="A145" s="58"/>
      <c r="B145" s="59"/>
      <c r="C145" s="59"/>
      <c r="D145" s="59"/>
      <c r="E145" s="60"/>
      <c r="F145" s="80"/>
      <c r="G145" s="81"/>
      <c r="H145" s="81"/>
      <c r="I145" s="53"/>
      <c r="J145" s="75"/>
      <c r="K145" s="75"/>
      <c r="L145" s="63"/>
      <c r="M145" s="61"/>
      <c r="N145" s="113"/>
      <c r="O145" s="62"/>
      <c r="P145" s="97"/>
      <c r="Q145" s="62"/>
      <c r="R145" s="62"/>
      <c r="S145" s="164"/>
    </row>
    <row r="146" spans="1:19" ht="15.75" x14ac:dyDescent="0.25">
      <c r="A146" s="58"/>
      <c r="B146" s="59"/>
      <c r="C146" s="59"/>
      <c r="D146" s="59"/>
      <c r="E146" s="60"/>
      <c r="F146" s="80"/>
      <c r="G146" s="81"/>
      <c r="H146" s="81"/>
      <c r="I146" s="53"/>
      <c r="J146" s="75"/>
      <c r="K146" s="75"/>
      <c r="L146" s="63"/>
      <c r="M146" s="61"/>
      <c r="N146" s="113"/>
      <c r="O146" s="62"/>
      <c r="P146" s="97"/>
      <c r="Q146" s="62"/>
      <c r="R146" s="62"/>
      <c r="S146" s="164"/>
    </row>
    <row r="147" spans="1:19" ht="15.75" x14ac:dyDescent="0.25">
      <c r="A147" s="58"/>
      <c r="B147" s="59"/>
      <c r="C147" s="59"/>
      <c r="D147" s="59"/>
      <c r="E147" s="60"/>
      <c r="F147" s="80"/>
      <c r="G147" s="81"/>
      <c r="H147" s="81"/>
      <c r="I147" s="53"/>
      <c r="J147" s="75"/>
      <c r="K147" s="75"/>
      <c r="L147" s="63"/>
      <c r="M147" s="61"/>
      <c r="N147" s="113"/>
      <c r="O147" s="62"/>
      <c r="P147" s="97"/>
      <c r="Q147" s="62"/>
      <c r="R147" s="62"/>
      <c r="S147" s="164"/>
    </row>
    <row r="148" spans="1:19" ht="15.75" x14ac:dyDescent="0.25">
      <c r="A148" s="58"/>
      <c r="B148" s="59"/>
      <c r="C148" s="59"/>
      <c r="D148" s="59"/>
      <c r="E148" s="60"/>
      <c r="F148" s="80"/>
      <c r="G148" s="81"/>
      <c r="H148" s="81"/>
      <c r="I148" s="53"/>
      <c r="J148" s="75"/>
      <c r="K148" s="75"/>
      <c r="L148" s="144"/>
      <c r="M148" s="61"/>
      <c r="N148" s="55"/>
      <c r="O148" s="62"/>
      <c r="P148" s="97"/>
      <c r="Q148" s="62"/>
      <c r="R148" s="62"/>
      <c r="S148" s="164"/>
    </row>
    <row r="149" spans="1:19" ht="15.75" x14ac:dyDescent="0.25">
      <c r="A149" s="58"/>
      <c r="B149" s="59"/>
      <c r="C149" s="59"/>
      <c r="D149" s="59"/>
      <c r="E149" s="60"/>
      <c r="F149" s="80"/>
      <c r="G149" s="81"/>
      <c r="H149" s="81"/>
      <c r="I149" s="53"/>
      <c r="J149" s="75"/>
      <c r="K149" s="75"/>
      <c r="L149" s="63"/>
      <c r="M149" s="61"/>
      <c r="N149" s="55"/>
      <c r="O149" s="62"/>
      <c r="P149" s="97"/>
      <c r="Q149" s="62"/>
      <c r="R149" s="62"/>
      <c r="S149" s="164"/>
    </row>
    <row r="150" spans="1:19" ht="15.75" x14ac:dyDescent="0.25">
      <c r="A150" s="58"/>
      <c r="B150" s="59"/>
      <c r="C150" s="59"/>
      <c r="D150" s="59"/>
      <c r="E150" s="60"/>
      <c r="F150" s="80"/>
      <c r="G150" s="81"/>
      <c r="H150" s="81"/>
      <c r="I150" s="53"/>
      <c r="J150" s="75"/>
      <c r="K150" s="75"/>
      <c r="L150" s="63"/>
      <c r="M150" s="61"/>
      <c r="N150" s="113"/>
      <c r="O150" s="62"/>
      <c r="P150" s="97"/>
      <c r="Q150" s="62"/>
      <c r="R150" s="62"/>
      <c r="S150" s="164"/>
    </row>
    <row r="151" spans="1:19" ht="15.75" x14ac:dyDescent="0.25">
      <c r="A151" s="58"/>
      <c r="B151" s="59"/>
      <c r="C151" s="59"/>
      <c r="D151" s="59"/>
      <c r="E151" s="60"/>
      <c r="F151" s="80"/>
      <c r="G151" s="81"/>
      <c r="H151" s="81"/>
      <c r="I151" s="53"/>
      <c r="J151" s="75"/>
      <c r="K151" s="75"/>
      <c r="L151" s="63"/>
      <c r="M151" s="61"/>
      <c r="N151" s="113"/>
      <c r="O151" s="62"/>
      <c r="P151" s="97"/>
      <c r="Q151" s="62"/>
      <c r="R151" s="62"/>
      <c r="S151" s="164"/>
    </row>
    <row r="152" spans="1:19" ht="15.75" x14ac:dyDescent="0.25">
      <c r="A152" s="58"/>
      <c r="B152" s="59"/>
      <c r="C152" s="59"/>
      <c r="D152" s="59"/>
      <c r="E152" s="60"/>
      <c r="F152" s="80"/>
      <c r="G152" s="81"/>
      <c r="H152" s="81"/>
      <c r="I152" s="53"/>
      <c r="J152" s="75"/>
      <c r="K152" s="75"/>
      <c r="L152" s="63"/>
      <c r="M152" s="61"/>
      <c r="N152" s="113"/>
      <c r="O152" s="62"/>
      <c r="P152" s="97"/>
      <c r="Q152" s="62"/>
      <c r="R152" s="62"/>
      <c r="S152" s="164"/>
    </row>
    <row r="153" spans="1:19" ht="15.75" x14ac:dyDescent="0.25">
      <c r="A153" s="58"/>
      <c r="B153" s="59"/>
      <c r="C153" s="59"/>
      <c r="D153" s="59"/>
      <c r="E153" s="60"/>
      <c r="F153" s="80"/>
      <c r="G153" s="81"/>
      <c r="H153" s="81"/>
      <c r="I153" s="53"/>
      <c r="J153" s="75"/>
      <c r="K153" s="75"/>
      <c r="L153" s="63"/>
      <c r="M153" s="61"/>
      <c r="N153" s="113"/>
      <c r="O153" s="62"/>
      <c r="P153" s="97"/>
      <c r="Q153" s="62"/>
      <c r="R153" s="62"/>
      <c r="S153" s="164"/>
    </row>
    <row r="154" spans="1:19" ht="15.75" x14ac:dyDescent="0.25">
      <c r="A154" s="58"/>
      <c r="B154" s="59"/>
      <c r="C154" s="59"/>
      <c r="D154" s="59"/>
      <c r="E154" s="60"/>
      <c r="F154" s="80"/>
      <c r="G154" s="81"/>
      <c r="H154" s="81"/>
      <c r="I154" s="53"/>
      <c r="J154" s="75"/>
      <c r="K154" s="75"/>
      <c r="L154" s="63"/>
      <c r="M154" s="61"/>
      <c r="N154" s="55"/>
      <c r="O154" s="62"/>
      <c r="P154" s="97"/>
      <c r="Q154" s="62"/>
      <c r="R154" s="62"/>
      <c r="S154" s="164"/>
    </row>
    <row r="155" spans="1:19" ht="15.75" x14ac:dyDescent="0.25">
      <c r="A155" s="58"/>
      <c r="B155" s="59"/>
      <c r="C155" s="59"/>
      <c r="D155" s="59"/>
      <c r="E155" s="60"/>
      <c r="F155" s="80"/>
      <c r="G155" s="81"/>
      <c r="H155" s="81"/>
      <c r="I155" s="53"/>
      <c r="J155" s="75"/>
      <c r="K155" s="75"/>
      <c r="L155" s="63"/>
      <c r="M155" s="61"/>
      <c r="N155" s="55"/>
      <c r="O155" s="62"/>
      <c r="P155" s="97"/>
      <c r="Q155" s="62"/>
      <c r="R155" s="62"/>
      <c r="S155" s="164"/>
    </row>
    <row r="156" spans="1:19" ht="15.75" x14ac:dyDescent="0.25">
      <c r="A156" s="58"/>
      <c r="B156" s="59"/>
      <c r="C156" s="59"/>
      <c r="D156" s="59"/>
      <c r="E156" s="60"/>
      <c r="F156" s="80"/>
      <c r="G156" s="81"/>
      <c r="H156" s="81"/>
      <c r="I156" s="53"/>
      <c r="J156" s="75"/>
      <c r="K156" s="75"/>
      <c r="L156" s="63"/>
      <c r="M156" s="61"/>
      <c r="N156" s="55"/>
      <c r="O156" s="62"/>
      <c r="P156" s="97"/>
      <c r="Q156" s="62"/>
      <c r="R156" s="62"/>
      <c r="S156" s="164"/>
    </row>
    <row r="157" spans="1:19" ht="15.75" x14ac:dyDescent="0.25">
      <c r="A157" s="58"/>
      <c r="B157" s="59"/>
      <c r="C157" s="59"/>
      <c r="D157" s="59"/>
      <c r="E157" s="60"/>
      <c r="F157" s="80"/>
      <c r="G157" s="81"/>
      <c r="H157" s="81"/>
      <c r="I157" s="53"/>
      <c r="J157" s="75"/>
      <c r="K157" s="75"/>
      <c r="L157" s="63"/>
      <c r="M157" s="61"/>
      <c r="N157" s="55"/>
      <c r="O157" s="62"/>
      <c r="P157" s="97"/>
      <c r="Q157" s="62"/>
      <c r="R157" s="62"/>
      <c r="S157" s="164"/>
    </row>
    <row r="158" spans="1:19" ht="15.75" x14ac:dyDescent="0.25">
      <c r="A158" s="58"/>
      <c r="B158" s="59"/>
      <c r="C158" s="59"/>
      <c r="D158" s="59"/>
      <c r="E158" s="60"/>
      <c r="F158" s="80"/>
      <c r="G158" s="81"/>
      <c r="H158" s="81"/>
      <c r="I158" s="53"/>
      <c r="J158" s="75"/>
      <c r="K158" s="75"/>
      <c r="L158" s="63"/>
      <c r="M158" s="61"/>
      <c r="N158" s="55"/>
      <c r="O158" s="62"/>
      <c r="P158" s="97"/>
      <c r="Q158" s="62"/>
      <c r="R158" s="62"/>
      <c r="S158" s="164"/>
    </row>
    <row r="159" spans="1:19" ht="15.75" x14ac:dyDescent="0.25">
      <c r="A159" s="58"/>
      <c r="B159" s="59"/>
      <c r="C159" s="59"/>
      <c r="D159" s="59"/>
      <c r="E159" s="60"/>
      <c r="F159" s="80"/>
      <c r="G159" s="81"/>
      <c r="H159" s="81"/>
      <c r="I159" s="53"/>
      <c r="J159" s="75"/>
      <c r="K159" s="75"/>
      <c r="L159" s="63"/>
      <c r="M159" s="61"/>
      <c r="N159" s="55"/>
      <c r="O159" s="62"/>
      <c r="P159" s="97"/>
      <c r="Q159" s="62"/>
      <c r="R159" s="62"/>
      <c r="S159" s="164"/>
    </row>
    <row r="160" spans="1:19" ht="15.75" x14ac:dyDescent="0.25">
      <c r="A160" s="58"/>
      <c r="B160" s="59"/>
      <c r="C160" s="59"/>
      <c r="D160" s="59"/>
      <c r="E160" s="60"/>
      <c r="F160" s="80"/>
      <c r="G160" s="81"/>
      <c r="H160" s="81"/>
      <c r="I160" s="53"/>
      <c r="J160" s="75"/>
      <c r="K160" s="75"/>
      <c r="L160" s="63"/>
      <c r="M160" s="61"/>
      <c r="N160" s="55"/>
      <c r="O160" s="62"/>
      <c r="P160" s="97"/>
      <c r="Q160" s="62"/>
      <c r="R160" s="62"/>
      <c r="S160" s="164"/>
    </row>
    <row r="161" spans="1:19" ht="15.75" x14ac:dyDescent="0.25">
      <c r="A161" s="58"/>
      <c r="B161" s="59"/>
      <c r="C161" s="59"/>
      <c r="D161" s="59"/>
      <c r="E161" s="60"/>
      <c r="F161" s="80"/>
      <c r="G161" s="81"/>
      <c r="H161" s="81"/>
      <c r="I161" s="53"/>
      <c r="J161" s="75"/>
      <c r="K161" s="75"/>
      <c r="L161" s="63"/>
      <c r="M161" s="61"/>
      <c r="N161" s="55"/>
      <c r="O161" s="62"/>
      <c r="P161" s="97"/>
      <c r="Q161" s="62"/>
      <c r="R161" s="62"/>
      <c r="S161" s="164"/>
    </row>
    <row r="162" spans="1:19" ht="15.75" x14ac:dyDescent="0.25">
      <c r="A162" s="58"/>
      <c r="B162" s="59"/>
      <c r="C162" s="59"/>
      <c r="D162" s="59"/>
      <c r="E162" s="60"/>
      <c r="F162" s="80"/>
      <c r="G162" s="81"/>
      <c r="H162" s="81"/>
      <c r="I162" s="53"/>
      <c r="J162" s="75"/>
      <c r="K162" s="75"/>
      <c r="L162" s="63"/>
      <c r="M162" s="61"/>
      <c r="N162" s="55"/>
      <c r="O162" s="62"/>
      <c r="P162" s="97"/>
      <c r="Q162" s="62"/>
      <c r="R162" s="62"/>
      <c r="S162" s="164"/>
    </row>
    <row r="163" spans="1:19" ht="15.75" x14ac:dyDescent="0.25">
      <c r="A163" s="58"/>
      <c r="B163" s="59"/>
      <c r="C163" s="59"/>
      <c r="D163" s="59"/>
      <c r="E163" s="60"/>
      <c r="F163" s="80"/>
      <c r="G163" s="81"/>
      <c r="H163" s="81"/>
      <c r="I163" s="53"/>
      <c r="J163" s="75"/>
      <c r="K163" s="75"/>
      <c r="L163" s="63"/>
      <c r="M163" s="61"/>
      <c r="N163" s="55"/>
      <c r="O163" s="62"/>
      <c r="P163" s="97"/>
      <c r="Q163" s="62"/>
      <c r="R163" s="62"/>
      <c r="S163" s="164"/>
    </row>
    <row r="164" spans="1:19" ht="15.75" x14ac:dyDescent="0.25">
      <c r="A164" s="58"/>
      <c r="B164" s="59"/>
      <c r="C164" s="59"/>
      <c r="D164" s="59"/>
      <c r="E164" s="60"/>
      <c r="F164" s="80"/>
      <c r="G164" s="81"/>
      <c r="H164" s="81"/>
      <c r="I164" s="53"/>
      <c r="J164" s="75"/>
      <c r="K164" s="75"/>
      <c r="L164" s="63"/>
      <c r="M164" s="61"/>
      <c r="N164" s="55"/>
      <c r="O164" s="62"/>
      <c r="P164" s="97"/>
      <c r="Q164" s="62"/>
      <c r="R164" s="62"/>
      <c r="S164" s="164"/>
    </row>
    <row r="165" spans="1:19" ht="15.75" x14ac:dyDescent="0.25">
      <c r="A165" s="58"/>
      <c r="B165" s="59"/>
      <c r="C165" s="59"/>
      <c r="D165" s="59"/>
      <c r="E165" s="60"/>
      <c r="F165" s="80"/>
      <c r="G165" s="81"/>
      <c r="H165" s="81"/>
      <c r="I165" s="53"/>
      <c r="J165" s="75"/>
      <c r="K165" s="75"/>
      <c r="L165" s="114"/>
      <c r="M165" s="115"/>
      <c r="N165" s="55"/>
      <c r="O165" s="139"/>
      <c r="P165" s="97"/>
      <c r="Q165" s="62"/>
      <c r="R165" s="62"/>
      <c r="S165" s="164"/>
    </row>
    <row r="166" spans="1:19" ht="15.75" x14ac:dyDescent="0.25">
      <c r="A166" s="58"/>
      <c r="B166" s="59"/>
      <c r="C166" s="59"/>
      <c r="D166" s="59"/>
      <c r="E166" s="60"/>
      <c r="F166" s="80"/>
      <c r="G166" s="81"/>
      <c r="H166" s="81"/>
      <c r="I166" s="53"/>
      <c r="J166" s="75"/>
      <c r="K166" s="75"/>
      <c r="L166" s="63"/>
      <c r="M166" s="61"/>
      <c r="N166" s="55"/>
      <c r="O166" s="62"/>
      <c r="P166" s="97"/>
      <c r="Q166" s="62"/>
      <c r="R166" s="62"/>
      <c r="S166" s="164"/>
    </row>
    <row r="167" spans="1:19" ht="15.75" x14ac:dyDescent="0.25">
      <c r="A167" s="58"/>
      <c r="B167" s="59"/>
      <c r="C167" s="59"/>
      <c r="D167" s="59"/>
      <c r="E167" s="60"/>
      <c r="F167" s="80"/>
      <c r="G167" s="81"/>
      <c r="H167" s="81"/>
      <c r="I167" s="53"/>
      <c r="J167" s="75"/>
      <c r="K167" s="75"/>
      <c r="L167" s="63"/>
      <c r="M167" s="61"/>
      <c r="N167" s="55"/>
      <c r="O167" s="62"/>
      <c r="P167" s="97"/>
      <c r="Q167" s="62"/>
      <c r="R167" s="62"/>
      <c r="S167" s="164"/>
    </row>
    <row r="168" spans="1:19" ht="15.75" x14ac:dyDescent="0.25">
      <c r="A168" s="58"/>
      <c r="B168" s="59"/>
      <c r="C168" s="59"/>
      <c r="D168" s="59"/>
      <c r="E168" s="60"/>
      <c r="F168" s="80"/>
      <c r="G168" s="81"/>
      <c r="H168" s="81"/>
      <c r="I168" s="53"/>
      <c r="J168" s="75"/>
      <c r="K168" s="75"/>
      <c r="L168" s="63"/>
      <c r="M168" s="61"/>
      <c r="N168" s="55"/>
      <c r="O168" s="62"/>
      <c r="P168" s="97"/>
      <c r="Q168" s="62"/>
      <c r="R168" s="62"/>
      <c r="S168" s="164"/>
    </row>
    <row r="169" spans="1:19" ht="15.75" x14ac:dyDescent="0.25">
      <c r="A169" s="58"/>
      <c r="B169" s="59"/>
      <c r="C169" s="59"/>
      <c r="D169" s="59"/>
      <c r="E169" s="60"/>
      <c r="F169" s="80"/>
      <c r="G169" s="81"/>
      <c r="H169" s="81"/>
      <c r="I169" s="53"/>
      <c r="J169" s="75"/>
      <c r="K169" s="75"/>
      <c r="L169" s="63"/>
      <c r="M169" s="61"/>
      <c r="N169" s="113"/>
      <c r="O169" s="62"/>
      <c r="P169" s="97"/>
      <c r="Q169" s="62"/>
      <c r="R169" s="62"/>
      <c r="S169" s="164"/>
    </row>
    <row r="170" spans="1:19" ht="15.75" x14ac:dyDescent="0.25">
      <c r="A170" s="58"/>
      <c r="B170" s="59"/>
      <c r="C170" s="59"/>
      <c r="D170" s="59"/>
      <c r="E170" s="60"/>
      <c r="F170" s="80"/>
      <c r="G170" s="81"/>
      <c r="H170" s="81"/>
      <c r="I170" s="53"/>
      <c r="J170" s="75"/>
      <c r="K170" s="75"/>
      <c r="L170" s="63"/>
      <c r="M170" s="61"/>
      <c r="N170" s="113"/>
      <c r="O170" s="62"/>
      <c r="P170" s="97"/>
      <c r="Q170" s="62"/>
      <c r="R170" s="62"/>
      <c r="S170" s="164"/>
    </row>
    <row r="171" spans="1:19" ht="15.75" x14ac:dyDescent="0.25">
      <c r="A171" s="58"/>
      <c r="B171" s="59"/>
      <c r="C171" s="59"/>
      <c r="D171" s="59"/>
      <c r="E171" s="60"/>
      <c r="F171" s="80"/>
      <c r="G171" s="81"/>
      <c r="H171" s="81"/>
      <c r="I171" s="53"/>
      <c r="J171" s="75"/>
      <c r="K171" s="75"/>
      <c r="L171" s="63"/>
      <c r="M171" s="61"/>
      <c r="N171" s="113"/>
      <c r="O171" s="62"/>
      <c r="P171" s="97"/>
      <c r="Q171" s="62"/>
      <c r="R171" s="62"/>
      <c r="S171" s="164"/>
    </row>
    <row r="172" spans="1:19" ht="15.75" x14ac:dyDescent="0.25">
      <c r="A172" s="58"/>
      <c r="B172" s="59"/>
      <c r="C172" s="59"/>
      <c r="D172" s="59"/>
      <c r="E172" s="60"/>
      <c r="F172" s="80"/>
      <c r="G172" s="81"/>
      <c r="H172" s="81"/>
      <c r="I172" s="53"/>
      <c r="J172" s="75"/>
      <c r="K172" s="75"/>
      <c r="L172" s="63"/>
      <c r="M172" s="145"/>
      <c r="N172" s="113"/>
      <c r="O172" s="62"/>
      <c r="P172" s="97"/>
      <c r="Q172" s="62"/>
      <c r="R172" s="62"/>
      <c r="S172" s="164"/>
    </row>
    <row r="173" spans="1:19" ht="15.75" x14ac:dyDescent="0.25">
      <c r="A173" s="58"/>
      <c r="B173" s="59"/>
      <c r="C173" s="59"/>
      <c r="D173" s="59"/>
      <c r="E173" s="60"/>
      <c r="F173" s="80"/>
      <c r="G173" s="81"/>
      <c r="H173" s="81"/>
      <c r="I173" s="53"/>
      <c r="J173" s="75"/>
      <c r="K173" s="75"/>
      <c r="L173" s="63"/>
      <c r="M173" s="61"/>
      <c r="N173" s="113"/>
      <c r="O173" s="62"/>
      <c r="P173" s="97"/>
      <c r="Q173" s="62"/>
      <c r="R173" s="62"/>
      <c r="S173" s="164"/>
    </row>
    <row r="174" spans="1:19" ht="15.75" x14ac:dyDescent="0.25">
      <c r="A174" s="58"/>
      <c r="B174" s="59"/>
      <c r="C174" s="59"/>
      <c r="D174" s="59"/>
      <c r="E174" s="60"/>
      <c r="F174" s="80"/>
      <c r="G174" s="81"/>
      <c r="H174" s="81"/>
      <c r="I174" s="53"/>
      <c r="J174" s="75"/>
      <c r="K174" s="75"/>
      <c r="L174" s="63"/>
      <c r="M174" s="61"/>
      <c r="N174" s="113"/>
      <c r="O174" s="62"/>
      <c r="P174" s="97"/>
      <c r="Q174" s="62"/>
      <c r="R174" s="62"/>
      <c r="S174" s="164"/>
    </row>
    <row r="175" spans="1:19" ht="15.75" x14ac:dyDescent="0.25">
      <c r="A175" s="58"/>
      <c r="B175" s="59"/>
      <c r="C175" s="59"/>
      <c r="D175" s="59"/>
      <c r="E175" s="60"/>
      <c r="F175" s="80"/>
      <c r="G175" s="81"/>
      <c r="H175" s="81"/>
      <c r="I175" s="53"/>
      <c r="J175" s="75"/>
      <c r="K175" s="75"/>
      <c r="L175" s="63"/>
      <c r="M175" s="61"/>
      <c r="N175" s="55"/>
      <c r="O175" s="62"/>
      <c r="P175" s="97"/>
      <c r="Q175" s="62"/>
      <c r="R175" s="62"/>
      <c r="S175" s="164"/>
    </row>
    <row r="176" spans="1:19" ht="15.75" x14ac:dyDescent="0.25">
      <c r="A176" s="58"/>
      <c r="B176" s="59"/>
      <c r="C176" s="59"/>
      <c r="D176" s="59"/>
      <c r="E176" s="60"/>
      <c r="F176" s="80"/>
      <c r="G176" s="81"/>
      <c r="H176" s="81"/>
      <c r="I176" s="53"/>
      <c r="J176" s="75"/>
      <c r="K176" s="75"/>
      <c r="L176" s="63"/>
      <c r="M176" s="61"/>
      <c r="N176" s="55"/>
      <c r="O176" s="62"/>
      <c r="P176" s="97"/>
      <c r="Q176" s="62"/>
      <c r="R176" s="62"/>
      <c r="S176" s="164"/>
    </row>
    <row r="177" spans="1:19" ht="15.75" x14ac:dyDescent="0.25">
      <c r="A177" s="58"/>
      <c r="B177" s="59"/>
      <c r="C177" s="59"/>
      <c r="D177" s="59"/>
      <c r="E177" s="60"/>
      <c r="F177" s="80"/>
      <c r="G177" s="81"/>
      <c r="H177" s="81"/>
      <c r="I177" s="53"/>
      <c r="J177" s="75"/>
      <c r="K177" s="75"/>
      <c r="L177" s="63"/>
      <c r="M177" s="61"/>
      <c r="N177" s="55"/>
      <c r="O177" s="62"/>
      <c r="P177" s="97"/>
      <c r="Q177" s="62"/>
      <c r="R177" s="62"/>
      <c r="S177" s="164"/>
    </row>
    <row r="178" spans="1:19" ht="15.75" x14ac:dyDescent="0.25">
      <c r="A178" s="58"/>
      <c r="B178" s="59"/>
      <c r="C178" s="59"/>
      <c r="D178" s="59"/>
      <c r="E178" s="60"/>
      <c r="F178" s="80"/>
      <c r="G178" s="81"/>
      <c r="H178" s="81"/>
      <c r="I178" s="53"/>
      <c r="J178" s="75"/>
      <c r="K178" s="75"/>
      <c r="L178" s="63"/>
      <c r="M178" s="61"/>
      <c r="N178" s="55"/>
      <c r="O178" s="62"/>
      <c r="P178" s="97"/>
      <c r="Q178" s="62"/>
      <c r="R178" s="62"/>
      <c r="S178" s="164"/>
    </row>
    <row r="179" spans="1:19" ht="15.75" x14ac:dyDescent="0.25">
      <c r="A179" s="58"/>
      <c r="B179" s="59"/>
      <c r="C179" s="59"/>
      <c r="D179" s="59"/>
      <c r="E179" s="60"/>
      <c r="F179" s="80"/>
      <c r="G179" s="81"/>
      <c r="H179" s="81"/>
      <c r="I179" s="53"/>
      <c r="J179" s="75"/>
      <c r="K179" s="75"/>
      <c r="L179" s="63"/>
      <c r="M179" s="61"/>
      <c r="N179" s="55"/>
      <c r="O179" s="62"/>
      <c r="P179" s="97"/>
      <c r="Q179" s="62"/>
      <c r="R179" s="62"/>
      <c r="S179" s="164"/>
    </row>
    <row r="180" spans="1:19" ht="15.75" x14ac:dyDescent="0.25">
      <c r="A180" s="58"/>
      <c r="B180" s="59"/>
      <c r="C180" s="59"/>
      <c r="D180" s="59"/>
      <c r="E180" s="60"/>
      <c r="F180" s="80"/>
      <c r="G180" s="81"/>
      <c r="H180" s="81"/>
      <c r="I180" s="53"/>
      <c r="J180" s="75"/>
      <c r="K180" s="75"/>
      <c r="L180" s="63"/>
      <c r="M180" s="61"/>
      <c r="N180" s="55"/>
      <c r="O180" s="62"/>
      <c r="P180" s="97"/>
      <c r="Q180" s="62"/>
      <c r="R180" s="62"/>
      <c r="S180" s="164"/>
    </row>
    <row r="181" spans="1:19" ht="15.75" x14ac:dyDescent="0.25">
      <c r="A181" s="58"/>
      <c r="B181" s="59"/>
      <c r="C181" s="59"/>
      <c r="D181" s="59"/>
      <c r="E181" s="60"/>
      <c r="F181" s="80"/>
      <c r="G181" s="81"/>
      <c r="H181" s="81"/>
      <c r="I181" s="53"/>
      <c r="J181" s="75"/>
      <c r="K181" s="75"/>
      <c r="L181" s="114"/>
      <c r="M181" s="115"/>
      <c r="N181" s="55"/>
      <c r="O181" s="139"/>
      <c r="P181" s="97"/>
      <c r="Q181" s="62"/>
      <c r="R181" s="62"/>
      <c r="S181" s="164"/>
    </row>
    <row r="182" spans="1:19" ht="15.75" x14ac:dyDescent="0.25">
      <c r="A182" s="58"/>
      <c r="B182" s="59"/>
      <c r="C182" s="59"/>
      <c r="D182" s="59"/>
      <c r="E182" s="60"/>
      <c r="F182" s="80"/>
      <c r="G182" s="81"/>
      <c r="H182" s="81"/>
      <c r="I182" s="53"/>
      <c r="J182" s="75"/>
      <c r="K182" s="75"/>
      <c r="L182" s="114"/>
      <c r="M182" s="115"/>
      <c r="N182" s="55"/>
      <c r="O182" s="139"/>
      <c r="P182" s="97"/>
      <c r="Q182" s="62"/>
      <c r="R182" s="62"/>
      <c r="S182" s="164"/>
    </row>
    <row r="183" spans="1:19" ht="15.75" x14ac:dyDescent="0.25">
      <c r="A183" s="58"/>
      <c r="B183" s="59"/>
      <c r="C183" s="59"/>
      <c r="D183" s="59"/>
      <c r="E183" s="60"/>
      <c r="F183" s="80"/>
      <c r="G183" s="81"/>
      <c r="H183" s="81"/>
      <c r="I183" s="53"/>
      <c r="J183" s="75"/>
      <c r="K183" s="75"/>
      <c r="L183" s="114"/>
      <c r="M183" s="115"/>
      <c r="N183" s="55"/>
      <c r="O183" s="139"/>
      <c r="P183" s="97"/>
      <c r="Q183" s="62"/>
      <c r="R183" s="62"/>
      <c r="S183" s="164"/>
    </row>
    <row r="184" spans="1:19" ht="15.75" x14ac:dyDescent="0.25">
      <c r="A184" s="58"/>
      <c r="B184" s="59"/>
      <c r="C184" s="59"/>
      <c r="D184" s="59"/>
      <c r="E184" s="60"/>
      <c r="F184" s="80"/>
      <c r="G184" s="81"/>
      <c r="H184" s="81"/>
      <c r="I184" s="53"/>
      <c r="J184" s="75"/>
      <c r="K184" s="75"/>
      <c r="L184" s="114"/>
      <c r="M184" s="115"/>
      <c r="N184" s="55"/>
      <c r="O184" s="139"/>
      <c r="P184" s="97"/>
      <c r="Q184" s="62"/>
      <c r="R184" s="62"/>
      <c r="S184" s="164"/>
    </row>
    <row r="185" spans="1:19" ht="15.75" x14ac:dyDescent="0.25">
      <c r="A185" s="58"/>
      <c r="B185" s="59"/>
      <c r="C185" s="59"/>
      <c r="D185" s="59"/>
      <c r="E185" s="60"/>
      <c r="F185" s="80"/>
      <c r="G185" s="81"/>
      <c r="H185" s="81"/>
      <c r="I185" s="53"/>
      <c r="J185" s="75"/>
      <c r="K185" s="75"/>
      <c r="L185" s="114"/>
      <c r="M185" s="115"/>
      <c r="N185" s="55"/>
      <c r="O185" s="139"/>
      <c r="P185" s="97"/>
      <c r="Q185" s="62"/>
      <c r="R185" s="62"/>
      <c r="S185" s="164"/>
    </row>
    <row r="186" spans="1:19" ht="15.75" x14ac:dyDescent="0.25">
      <c r="A186" s="58"/>
      <c r="B186" s="59"/>
      <c r="C186" s="59"/>
      <c r="D186" s="59"/>
      <c r="E186" s="60"/>
      <c r="F186" s="80"/>
      <c r="G186" s="81"/>
      <c r="H186" s="81"/>
      <c r="I186" s="53"/>
      <c r="J186" s="75"/>
      <c r="K186" s="75"/>
      <c r="L186" s="63"/>
      <c r="M186" s="61"/>
      <c r="N186" s="55"/>
      <c r="O186" s="62"/>
      <c r="P186" s="97"/>
      <c r="Q186" s="62"/>
      <c r="R186" s="62"/>
      <c r="S186" s="164"/>
    </row>
    <row r="187" spans="1:19" ht="15.75" x14ac:dyDescent="0.25">
      <c r="A187" s="58"/>
      <c r="B187" s="59"/>
      <c r="C187" s="59"/>
      <c r="D187" s="59"/>
      <c r="E187" s="60"/>
      <c r="F187" s="80"/>
      <c r="G187" s="81"/>
      <c r="H187" s="81"/>
      <c r="I187" s="53"/>
      <c r="J187" s="75"/>
      <c r="K187" s="75"/>
      <c r="L187" s="63"/>
      <c r="M187" s="61"/>
      <c r="N187" s="55"/>
      <c r="O187" s="62"/>
      <c r="P187" s="97"/>
      <c r="Q187" s="62"/>
      <c r="R187" s="62"/>
      <c r="S187" s="164"/>
    </row>
    <row r="188" spans="1:19" ht="15.75" x14ac:dyDescent="0.25">
      <c r="A188" s="58"/>
      <c r="B188" s="59"/>
      <c r="C188" s="59"/>
      <c r="D188" s="59"/>
      <c r="E188" s="60"/>
      <c r="F188" s="80"/>
      <c r="G188" s="81"/>
      <c r="H188" s="81"/>
      <c r="I188" s="53"/>
      <c r="J188" s="75"/>
      <c r="K188" s="75"/>
      <c r="L188" s="63"/>
      <c r="M188" s="61"/>
      <c r="N188" s="55"/>
      <c r="O188" s="62"/>
      <c r="P188" s="97"/>
      <c r="Q188" s="62"/>
      <c r="R188" s="62"/>
      <c r="S188" s="164"/>
    </row>
    <row r="189" spans="1:19" ht="15.75" x14ac:dyDescent="0.25">
      <c r="A189" s="58"/>
      <c r="B189" s="59"/>
      <c r="C189" s="59"/>
      <c r="D189" s="59"/>
      <c r="E189" s="60"/>
      <c r="F189" s="80"/>
      <c r="G189" s="81"/>
      <c r="H189" s="81"/>
      <c r="I189" s="53"/>
      <c r="J189" s="75"/>
      <c r="K189" s="75"/>
      <c r="L189" s="63"/>
      <c r="M189" s="61"/>
      <c r="N189" s="55"/>
      <c r="O189" s="62"/>
      <c r="P189" s="97"/>
      <c r="Q189" s="62"/>
      <c r="R189" s="62"/>
      <c r="S189" s="164"/>
    </row>
    <row r="190" spans="1:19" ht="15.75" x14ac:dyDescent="0.25">
      <c r="A190" s="58"/>
      <c r="B190" s="59"/>
      <c r="C190" s="59"/>
      <c r="D190" s="59"/>
      <c r="E190" s="60"/>
      <c r="F190" s="80"/>
      <c r="G190" s="81"/>
      <c r="H190" s="81"/>
      <c r="I190" s="53"/>
      <c r="J190" s="75"/>
      <c r="K190" s="75"/>
      <c r="L190" s="63"/>
      <c r="M190" s="61"/>
      <c r="N190" s="55"/>
      <c r="O190" s="62"/>
      <c r="P190" s="97"/>
      <c r="Q190" s="62"/>
      <c r="R190" s="62"/>
      <c r="S190" s="164"/>
    </row>
    <row r="191" spans="1:19" ht="15.75" x14ac:dyDescent="0.25">
      <c r="A191" s="58"/>
      <c r="B191" s="59"/>
      <c r="C191" s="59"/>
      <c r="D191" s="59"/>
      <c r="E191" s="60"/>
      <c r="F191" s="80"/>
      <c r="G191" s="81"/>
      <c r="H191" s="81"/>
      <c r="I191" s="53"/>
      <c r="J191" s="75"/>
      <c r="K191" s="75"/>
      <c r="L191" s="63"/>
      <c r="M191" s="61"/>
      <c r="N191" s="55"/>
      <c r="O191" s="62"/>
      <c r="P191" s="97"/>
      <c r="Q191" s="62"/>
      <c r="R191" s="62"/>
      <c r="S191" s="164"/>
    </row>
    <row r="192" spans="1:19" ht="15.75" x14ac:dyDescent="0.25">
      <c r="A192" s="58"/>
      <c r="B192" s="59"/>
      <c r="C192" s="59"/>
      <c r="D192" s="59"/>
      <c r="E192" s="60"/>
      <c r="F192" s="80"/>
      <c r="G192" s="81"/>
      <c r="H192" s="81"/>
      <c r="I192" s="53"/>
      <c r="J192" s="75"/>
      <c r="K192" s="75"/>
      <c r="L192" s="63"/>
      <c r="M192" s="61"/>
      <c r="N192" s="55"/>
      <c r="O192" s="62"/>
      <c r="P192" s="97"/>
      <c r="Q192" s="62"/>
      <c r="R192" s="62"/>
      <c r="S192" s="164"/>
    </row>
    <row r="193" spans="1:19" ht="15.75" x14ac:dyDescent="0.25">
      <c r="A193" s="58"/>
      <c r="B193" s="59"/>
      <c r="C193" s="59"/>
      <c r="D193" s="59"/>
      <c r="E193" s="60"/>
      <c r="F193" s="80"/>
      <c r="G193" s="81"/>
      <c r="H193" s="81"/>
      <c r="I193" s="53"/>
      <c r="J193" s="75"/>
      <c r="K193" s="75"/>
      <c r="L193" s="63"/>
      <c r="M193" s="61"/>
      <c r="N193" s="55"/>
      <c r="O193" s="62"/>
      <c r="P193" s="97"/>
      <c r="Q193" s="62"/>
      <c r="R193" s="62"/>
      <c r="S193" s="164"/>
    </row>
    <row r="194" spans="1:19" ht="15.75" x14ac:dyDescent="0.25">
      <c r="A194" s="58"/>
      <c r="B194" s="59"/>
      <c r="C194" s="59"/>
      <c r="D194" s="59"/>
      <c r="E194" s="60"/>
      <c r="F194" s="80"/>
      <c r="G194" s="81"/>
      <c r="H194" s="81"/>
      <c r="I194" s="53"/>
      <c r="J194" s="75"/>
      <c r="K194" s="75"/>
      <c r="L194" s="63"/>
      <c r="M194" s="61"/>
      <c r="N194" s="55"/>
      <c r="O194" s="62"/>
      <c r="P194" s="97"/>
      <c r="Q194" s="62"/>
      <c r="R194" s="62"/>
      <c r="S194" s="164"/>
    </row>
    <row r="195" spans="1:19" ht="15.75" x14ac:dyDescent="0.25">
      <c r="A195" s="58"/>
      <c r="B195" s="59"/>
      <c r="C195" s="59"/>
      <c r="D195" s="59"/>
      <c r="E195" s="60"/>
      <c r="F195" s="80"/>
      <c r="G195" s="81"/>
      <c r="H195" s="81"/>
      <c r="I195" s="53"/>
      <c r="J195" s="75"/>
      <c r="K195" s="75"/>
      <c r="L195" s="63"/>
      <c r="M195" s="61"/>
      <c r="N195" s="55"/>
      <c r="O195" s="62"/>
      <c r="P195" s="97"/>
      <c r="Q195" s="62"/>
      <c r="R195" s="62"/>
      <c r="S195" s="164"/>
    </row>
    <row r="196" spans="1:19" ht="15.75" x14ac:dyDescent="0.25">
      <c r="A196" s="58"/>
      <c r="B196" s="59"/>
      <c r="C196" s="59"/>
      <c r="D196" s="59"/>
      <c r="E196" s="60"/>
      <c r="F196" s="80"/>
      <c r="G196" s="81"/>
      <c r="H196" s="81"/>
      <c r="I196" s="53"/>
      <c r="J196" s="75"/>
      <c r="K196" s="75"/>
      <c r="L196" s="63"/>
      <c r="M196" s="61"/>
      <c r="N196" s="55"/>
      <c r="O196" s="62"/>
      <c r="P196" s="97"/>
      <c r="Q196" s="62"/>
      <c r="R196" s="62"/>
      <c r="S196" s="164"/>
    </row>
    <row r="197" spans="1:19" ht="15.75" x14ac:dyDescent="0.25">
      <c r="A197" s="58"/>
      <c r="B197" s="59"/>
      <c r="C197" s="59"/>
      <c r="D197" s="59"/>
      <c r="E197" s="60"/>
      <c r="F197" s="80"/>
      <c r="G197" s="81"/>
      <c r="H197" s="81"/>
      <c r="I197" s="53"/>
      <c r="J197" s="75"/>
      <c r="K197" s="75"/>
      <c r="L197" s="114"/>
      <c r="M197" s="115"/>
      <c r="N197" s="55"/>
      <c r="O197" s="139"/>
      <c r="P197" s="97"/>
      <c r="Q197" s="62"/>
      <c r="R197" s="62"/>
      <c r="S197" s="164"/>
    </row>
    <row r="198" spans="1:19" ht="15.75" x14ac:dyDescent="0.25">
      <c r="A198" s="58"/>
      <c r="B198" s="59"/>
      <c r="C198" s="59"/>
      <c r="D198" s="59"/>
      <c r="E198" s="60"/>
      <c r="F198" s="80"/>
      <c r="G198" s="81"/>
      <c r="H198" s="81"/>
      <c r="I198" s="53"/>
      <c r="J198" s="75"/>
      <c r="K198" s="75"/>
      <c r="L198" s="114"/>
      <c r="M198" s="115"/>
      <c r="N198" s="55"/>
      <c r="O198" s="139"/>
      <c r="P198" s="97"/>
      <c r="Q198" s="62"/>
      <c r="R198" s="62"/>
      <c r="S198" s="164"/>
    </row>
    <row r="199" spans="1:19" ht="15.75" x14ac:dyDescent="0.25">
      <c r="A199" s="58"/>
      <c r="B199" s="59"/>
      <c r="C199" s="59"/>
      <c r="D199" s="59"/>
      <c r="E199" s="60"/>
      <c r="F199" s="80"/>
      <c r="G199" s="81"/>
      <c r="H199" s="81"/>
      <c r="I199" s="53"/>
      <c r="J199" s="75"/>
      <c r="K199" s="75"/>
      <c r="L199" s="114"/>
      <c r="M199" s="115"/>
      <c r="N199" s="55"/>
      <c r="O199" s="139"/>
      <c r="P199" s="97"/>
      <c r="Q199" s="62"/>
      <c r="R199" s="62"/>
      <c r="S199" s="164"/>
    </row>
    <row r="200" spans="1:19" ht="15.75" x14ac:dyDescent="0.25">
      <c r="A200" s="58"/>
      <c r="B200" s="59"/>
      <c r="C200" s="59"/>
      <c r="D200" s="59"/>
      <c r="E200" s="60"/>
      <c r="F200" s="80"/>
      <c r="G200" s="81"/>
      <c r="H200" s="81"/>
      <c r="I200" s="53"/>
      <c r="J200" s="75"/>
      <c r="K200" s="75"/>
      <c r="L200" s="114"/>
      <c r="M200" s="115"/>
      <c r="N200" s="55"/>
      <c r="O200" s="139"/>
      <c r="P200" s="97"/>
      <c r="Q200" s="62"/>
      <c r="R200" s="62"/>
      <c r="S200" s="164"/>
    </row>
    <row r="201" spans="1:19" ht="15.75" x14ac:dyDescent="0.25">
      <c r="A201" s="58"/>
      <c r="B201" s="59"/>
      <c r="C201" s="59"/>
      <c r="D201" s="59"/>
      <c r="E201" s="60"/>
      <c r="F201" s="80"/>
      <c r="G201" s="81"/>
      <c r="H201" s="81"/>
      <c r="I201" s="53"/>
      <c r="J201" s="75"/>
      <c r="K201" s="75"/>
      <c r="L201" s="114"/>
      <c r="M201" s="115"/>
      <c r="N201" s="55"/>
      <c r="O201" s="139"/>
      <c r="P201" s="97"/>
      <c r="Q201" s="62"/>
      <c r="R201" s="62"/>
      <c r="S201" s="164"/>
    </row>
    <row r="202" spans="1:19" ht="15.75" x14ac:dyDescent="0.25">
      <c r="A202" s="58"/>
      <c r="B202" s="59"/>
      <c r="C202" s="59"/>
      <c r="D202" s="59"/>
      <c r="E202" s="60"/>
      <c r="F202" s="80"/>
      <c r="G202" s="81"/>
      <c r="H202" s="81"/>
      <c r="I202" s="53"/>
      <c r="J202" s="75"/>
      <c r="K202" s="75"/>
      <c r="L202" s="114"/>
      <c r="M202" s="115"/>
      <c r="N202" s="55"/>
      <c r="O202" s="139"/>
      <c r="P202" s="97"/>
      <c r="Q202" s="62"/>
      <c r="R202" s="62"/>
      <c r="S202" s="164"/>
    </row>
    <row r="203" spans="1:19" ht="15.75" x14ac:dyDescent="0.25">
      <c r="A203" s="58"/>
      <c r="B203" s="59"/>
      <c r="C203" s="59"/>
      <c r="D203" s="59"/>
      <c r="E203" s="60"/>
      <c r="F203" s="80"/>
      <c r="G203" s="81"/>
      <c r="H203" s="81"/>
      <c r="I203" s="53"/>
      <c r="J203" s="75"/>
      <c r="K203" s="75"/>
      <c r="L203" s="114"/>
      <c r="M203" s="115"/>
      <c r="N203" s="55"/>
      <c r="O203" s="139"/>
      <c r="P203" s="97"/>
      <c r="Q203" s="62"/>
      <c r="R203" s="62"/>
      <c r="S203" s="164"/>
    </row>
    <row r="204" spans="1:19" ht="15.75" x14ac:dyDescent="0.25">
      <c r="A204" s="58"/>
      <c r="B204" s="59"/>
      <c r="C204" s="59"/>
      <c r="D204" s="59"/>
      <c r="E204" s="60"/>
      <c r="F204" s="80"/>
      <c r="G204" s="81"/>
      <c r="H204" s="81"/>
      <c r="I204" s="53"/>
      <c r="J204" s="75"/>
      <c r="K204" s="75"/>
      <c r="L204" s="114"/>
      <c r="M204" s="115"/>
      <c r="N204" s="55"/>
      <c r="O204" s="139"/>
      <c r="P204" s="97"/>
      <c r="Q204" s="62"/>
      <c r="R204" s="62"/>
      <c r="S204" s="164"/>
    </row>
    <row r="205" spans="1:19" ht="15.75" x14ac:dyDescent="0.25">
      <c r="A205" s="58"/>
      <c r="B205" s="59"/>
      <c r="C205" s="59"/>
      <c r="D205" s="59"/>
      <c r="E205" s="60"/>
      <c r="F205" s="80"/>
      <c r="G205" s="81"/>
      <c r="H205" s="81"/>
      <c r="I205" s="53"/>
      <c r="J205" s="75"/>
      <c r="K205" s="75"/>
      <c r="L205" s="63"/>
      <c r="M205" s="61"/>
      <c r="N205" s="55"/>
      <c r="O205" s="62"/>
      <c r="P205" s="97"/>
      <c r="Q205" s="62"/>
      <c r="R205" s="62"/>
      <c r="S205" s="164"/>
    </row>
    <row r="206" spans="1:19" ht="15.75" x14ac:dyDescent="0.25">
      <c r="A206" s="58"/>
      <c r="B206" s="59"/>
      <c r="C206" s="59"/>
      <c r="D206" s="59"/>
      <c r="E206" s="60"/>
      <c r="F206" s="80"/>
      <c r="G206" s="81"/>
      <c r="H206" s="81"/>
      <c r="I206" s="53"/>
      <c r="J206" s="75"/>
      <c r="K206" s="75"/>
      <c r="L206" s="63"/>
      <c r="M206" s="61"/>
      <c r="N206" s="55"/>
      <c r="O206" s="62"/>
      <c r="P206" s="97"/>
      <c r="Q206" s="62"/>
      <c r="R206" s="62"/>
      <c r="S206" s="164"/>
    </row>
    <row r="207" spans="1:19" ht="15.75" x14ac:dyDescent="0.25">
      <c r="A207" s="58"/>
      <c r="B207" s="59"/>
      <c r="C207" s="59"/>
      <c r="D207" s="59"/>
      <c r="E207" s="60"/>
      <c r="F207" s="80"/>
      <c r="G207" s="81"/>
      <c r="H207" s="81"/>
      <c r="I207" s="53"/>
      <c r="J207" s="75"/>
      <c r="K207" s="75"/>
      <c r="L207" s="63"/>
      <c r="M207" s="61"/>
      <c r="N207" s="55"/>
      <c r="O207" s="62"/>
      <c r="P207" s="97"/>
      <c r="Q207" s="62"/>
      <c r="R207" s="62"/>
      <c r="S207" s="164"/>
    </row>
    <row r="208" spans="1:19" ht="15.75" x14ac:dyDescent="0.25">
      <c r="A208" s="58"/>
      <c r="B208" s="59"/>
      <c r="C208" s="59"/>
      <c r="D208" s="59"/>
      <c r="E208" s="60"/>
      <c r="F208" s="80"/>
      <c r="G208" s="81"/>
      <c r="H208" s="81"/>
      <c r="I208" s="53"/>
      <c r="J208" s="75"/>
      <c r="K208" s="75"/>
      <c r="L208" s="63"/>
      <c r="M208" s="61"/>
      <c r="N208" s="55"/>
      <c r="O208" s="62"/>
      <c r="P208" s="97"/>
      <c r="Q208" s="62"/>
      <c r="R208" s="62"/>
      <c r="S208" s="164"/>
    </row>
    <row r="209" spans="1:19" ht="15.75" x14ac:dyDescent="0.25">
      <c r="A209" s="58"/>
      <c r="B209" s="59"/>
      <c r="C209" s="59"/>
      <c r="D209" s="59"/>
      <c r="E209" s="60"/>
      <c r="F209" s="80"/>
      <c r="G209" s="81"/>
      <c r="H209" s="81"/>
      <c r="I209" s="53"/>
      <c r="J209" s="75"/>
      <c r="K209" s="75"/>
      <c r="L209" s="63"/>
      <c r="M209" s="61"/>
      <c r="N209" s="55"/>
      <c r="O209" s="62"/>
      <c r="P209" s="97"/>
      <c r="Q209" s="62"/>
      <c r="R209" s="62"/>
      <c r="S209" s="164"/>
    </row>
    <row r="210" spans="1:19" ht="15.75" x14ac:dyDescent="0.25">
      <c r="A210" s="58"/>
      <c r="B210" s="59"/>
      <c r="C210" s="59"/>
      <c r="D210" s="59"/>
      <c r="E210" s="60"/>
      <c r="F210" s="80"/>
      <c r="G210" s="81"/>
      <c r="H210" s="81"/>
      <c r="I210" s="53"/>
      <c r="J210" s="75"/>
      <c r="K210" s="75"/>
      <c r="L210" s="63"/>
      <c r="M210" s="61"/>
      <c r="N210" s="55"/>
      <c r="O210" s="62"/>
      <c r="P210" s="97"/>
      <c r="Q210" s="62"/>
      <c r="R210" s="62"/>
      <c r="S210" s="164"/>
    </row>
    <row r="211" spans="1:19" ht="15.75" x14ac:dyDescent="0.25">
      <c r="A211" s="58"/>
      <c r="B211" s="59"/>
      <c r="C211" s="59"/>
      <c r="D211" s="59"/>
      <c r="E211" s="60"/>
      <c r="F211" s="80"/>
      <c r="G211" s="81"/>
      <c r="H211" s="81"/>
      <c r="I211" s="53"/>
      <c r="J211" s="75"/>
      <c r="K211" s="75"/>
      <c r="L211" s="63"/>
      <c r="M211" s="61"/>
      <c r="N211" s="55"/>
      <c r="O211" s="62"/>
      <c r="P211" s="97"/>
      <c r="Q211" s="62"/>
      <c r="R211" s="62"/>
      <c r="S211" s="164"/>
    </row>
    <row r="212" spans="1:19" ht="15.75" x14ac:dyDescent="0.25">
      <c r="A212" s="58"/>
      <c r="B212" s="59"/>
      <c r="C212" s="59"/>
      <c r="D212" s="59"/>
      <c r="E212" s="60"/>
      <c r="F212" s="80"/>
      <c r="G212" s="81"/>
      <c r="H212" s="81"/>
      <c r="I212" s="53"/>
      <c r="J212" s="75"/>
      <c r="K212" s="75"/>
      <c r="L212" s="63"/>
      <c r="M212" s="61"/>
      <c r="N212" s="55"/>
      <c r="O212" s="139"/>
      <c r="P212" s="97"/>
      <c r="Q212" s="62"/>
      <c r="R212" s="62"/>
      <c r="S212" s="164"/>
    </row>
    <row r="213" spans="1:19" ht="15.75" x14ac:dyDescent="0.25">
      <c r="A213" s="58"/>
      <c r="B213" s="59"/>
      <c r="C213" s="59"/>
      <c r="D213" s="59"/>
      <c r="E213" s="60"/>
      <c r="F213" s="80"/>
      <c r="G213" s="81"/>
      <c r="H213" s="81"/>
      <c r="I213" s="53"/>
      <c r="J213" s="75"/>
      <c r="K213" s="75"/>
      <c r="L213" s="63"/>
      <c r="M213" s="61"/>
      <c r="N213" s="55"/>
      <c r="O213" s="139"/>
      <c r="P213" s="97"/>
      <c r="Q213" s="62"/>
      <c r="R213" s="62"/>
      <c r="S213" s="164"/>
    </row>
    <row r="214" spans="1:19" ht="15.75" x14ac:dyDescent="0.25">
      <c r="A214" s="58"/>
      <c r="B214" s="59"/>
      <c r="C214" s="59"/>
      <c r="D214" s="59"/>
      <c r="E214" s="60"/>
      <c r="F214" s="80"/>
      <c r="G214" s="81"/>
      <c r="H214" s="81"/>
      <c r="I214" s="53"/>
      <c r="J214" s="75"/>
      <c r="K214" s="75"/>
      <c r="L214" s="63"/>
      <c r="M214" s="61"/>
      <c r="N214" s="55"/>
      <c r="O214" s="139"/>
      <c r="P214" s="97"/>
      <c r="Q214" s="62"/>
      <c r="R214" s="62"/>
      <c r="S214" s="164"/>
    </row>
    <row r="215" spans="1:19" ht="15.75" x14ac:dyDescent="0.25">
      <c r="A215" s="58"/>
      <c r="B215" s="59"/>
      <c r="C215" s="59"/>
      <c r="D215" s="59"/>
      <c r="E215" s="60"/>
      <c r="F215" s="80"/>
      <c r="G215" s="81"/>
      <c r="H215" s="81"/>
      <c r="I215" s="53"/>
      <c r="J215" s="75"/>
      <c r="K215" s="75"/>
      <c r="L215" s="63"/>
      <c r="M215" s="61"/>
      <c r="N215" s="55"/>
      <c r="O215" s="139"/>
      <c r="P215" s="97"/>
      <c r="Q215" s="62"/>
      <c r="R215" s="62"/>
      <c r="S215" s="164"/>
    </row>
    <row r="216" spans="1:19" ht="15.75" x14ac:dyDescent="0.25">
      <c r="A216" s="58"/>
      <c r="B216" s="59"/>
      <c r="C216" s="59"/>
      <c r="D216" s="59"/>
      <c r="E216" s="60"/>
      <c r="F216" s="80"/>
      <c r="G216" s="81"/>
      <c r="H216" s="81"/>
      <c r="I216" s="53"/>
      <c r="J216" s="75"/>
      <c r="K216" s="75"/>
      <c r="L216" s="63"/>
      <c r="M216" s="61"/>
      <c r="N216" s="55"/>
      <c r="O216" s="139"/>
      <c r="P216" s="97"/>
      <c r="Q216" s="62"/>
      <c r="R216" s="62"/>
      <c r="S216" s="164"/>
    </row>
    <row r="217" spans="1:19" ht="15.75" x14ac:dyDescent="0.25">
      <c r="A217" s="58"/>
      <c r="B217" s="59"/>
      <c r="C217" s="59"/>
      <c r="D217" s="59"/>
      <c r="E217" s="60"/>
      <c r="F217" s="80"/>
      <c r="G217" s="81"/>
      <c r="H217" s="81"/>
      <c r="I217" s="53"/>
      <c r="J217" s="75"/>
      <c r="K217" s="75"/>
      <c r="L217" s="63"/>
      <c r="M217" s="61"/>
      <c r="N217" s="55"/>
      <c r="O217" s="139"/>
      <c r="P217" s="97"/>
      <c r="Q217" s="62"/>
      <c r="R217" s="62"/>
      <c r="S217" s="164"/>
    </row>
    <row r="218" spans="1:19" ht="15.75" x14ac:dyDescent="0.25">
      <c r="A218" s="58"/>
      <c r="B218" s="59"/>
      <c r="C218" s="59"/>
      <c r="D218" s="59"/>
      <c r="E218" s="60"/>
      <c r="F218" s="80"/>
      <c r="G218" s="81"/>
      <c r="H218" s="81"/>
      <c r="I218" s="53"/>
      <c r="J218" s="75"/>
      <c r="K218" s="75"/>
      <c r="L218" s="63"/>
      <c r="M218" s="61"/>
      <c r="N218" s="55"/>
      <c r="O218" s="139"/>
      <c r="P218" s="97"/>
      <c r="Q218" s="62"/>
      <c r="R218" s="62"/>
      <c r="S218" s="164"/>
    </row>
    <row r="219" spans="1:19" ht="15.75" x14ac:dyDescent="0.25">
      <c r="A219" s="58"/>
      <c r="B219" s="59"/>
      <c r="C219" s="59"/>
      <c r="D219" s="59"/>
      <c r="E219" s="60"/>
      <c r="F219" s="80"/>
      <c r="G219" s="81"/>
      <c r="H219" s="81"/>
      <c r="I219" s="53"/>
      <c r="J219" s="75"/>
      <c r="K219" s="75"/>
      <c r="L219" s="63"/>
      <c r="M219" s="61"/>
      <c r="N219" s="55"/>
      <c r="O219" s="139"/>
      <c r="P219" s="97"/>
      <c r="Q219" s="62"/>
      <c r="R219" s="62"/>
      <c r="S219" s="164"/>
    </row>
    <row r="220" spans="1:19" ht="15.75" x14ac:dyDescent="0.25">
      <c r="A220" s="90"/>
      <c r="B220" s="59"/>
      <c r="C220" s="59"/>
      <c r="D220" s="59"/>
      <c r="E220" s="60"/>
      <c r="F220" s="91"/>
      <c r="G220" s="92"/>
      <c r="H220" s="92"/>
      <c r="I220" s="53"/>
      <c r="J220" s="75"/>
      <c r="K220" s="75"/>
      <c r="L220" s="114"/>
      <c r="M220" s="115"/>
      <c r="N220" s="55"/>
      <c r="O220" s="139"/>
      <c r="P220" s="97"/>
      <c r="Q220" s="62"/>
      <c r="R220" s="62"/>
      <c r="S220" s="164"/>
    </row>
    <row r="221" spans="1:19" ht="15.75" x14ac:dyDescent="0.25">
      <c r="A221" s="90"/>
      <c r="B221" s="59"/>
      <c r="C221" s="59"/>
      <c r="D221" s="59"/>
      <c r="E221" s="60"/>
      <c r="F221" s="91"/>
      <c r="G221" s="92"/>
      <c r="H221" s="92"/>
      <c r="I221" s="53"/>
      <c r="J221" s="75"/>
      <c r="K221" s="75"/>
      <c r="L221" s="111"/>
      <c r="M221" s="112"/>
      <c r="N221" s="95"/>
      <c r="O221" s="140"/>
      <c r="P221" s="97"/>
      <c r="Q221" s="141"/>
      <c r="R221" s="141"/>
      <c r="S221" s="164"/>
    </row>
    <row r="222" spans="1:19" ht="15.75" x14ac:dyDescent="0.25">
      <c r="A222" s="90"/>
      <c r="B222" s="59"/>
      <c r="C222" s="59"/>
      <c r="D222" s="59"/>
      <c r="E222" s="60"/>
      <c r="F222" s="91"/>
      <c r="G222" s="92"/>
      <c r="H222" s="92"/>
      <c r="I222" s="53"/>
      <c r="J222" s="75"/>
      <c r="K222" s="75"/>
      <c r="L222" s="111"/>
      <c r="M222" s="112"/>
      <c r="N222" s="95"/>
      <c r="O222" s="140"/>
      <c r="P222" s="97"/>
      <c r="Q222" s="141"/>
      <c r="R222" s="141"/>
      <c r="S222" s="164"/>
    </row>
    <row r="223" spans="1:19" ht="15.75" x14ac:dyDescent="0.25">
      <c r="A223" s="90"/>
      <c r="B223" s="59"/>
      <c r="C223" s="59"/>
      <c r="D223" s="59"/>
      <c r="E223" s="60"/>
      <c r="F223" s="91"/>
      <c r="G223" s="92"/>
      <c r="H223" s="92"/>
      <c r="I223" s="53"/>
      <c r="J223" s="75"/>
      <c r="K223" s="75"/>
      <c r="L223" s="93"/>
      <c r="M223" s="94"/>
      <c r="N223" s="95"/>
      <c r="O223" s="140"/>
      <c r="P223" s="97"/>
      <c r="Q223" s="141"/>
      <c r="R223" s="141"/>
      <c r="S223" s="164"/>
    </row>
    <row r="224" spans="1:19" ht="15.75" x14ac:dyDescent="0.25">
      <c r="A224" s="90"/>
      <c r="B224" s="59"/>
      <c r="C224" s="59"/>
      <c r="D224" s="59"/>
      <c r="E224" s="60"/>
      <c r="F224" s="91"/>
      <c r="G224" s="92"/>
      <c r="H224" s="92"/>
      <c r="I224" s="53"/>
      <c r="J224" s="75"/>
      <c r="K224" s="75"/>
      <c r="L224" s="111"/>
      <c r="M224" s="112"/>
      <c r="N224" s="95"/>
      <c r="O224" s="140"/>
      <c r="P224" s="97"/>
      <c r="Q224" s="141"/>
      <c r="R224" s="141"/>
      <c r="S224" s="164"/>
    </row>
    <row r="225" spans="1:19" ht="15.75" x14ac:dyDescent="0.25">
      <c r="A225" s="90"/>
      <c r="B225" s="59"/>
      <c r="C225" s="59"/>
      <c r="D225" s="59"/>
      <c r="E225" s="60"/>
      <c r="F225" s="91"/>
      <c r="G225" s="92"/>
      <c r="H225" s="92"/>
      <c r="I225" s="53"/>
      <c r="J225" s="75"/>
      <c r="K225" s="75"/>
      <c r="L225" s="111"/>
      <c r="M225" s="112"/>
      <c r="N225" s="95"/>
      <c r="O225" s="140"/>
      <c r="P225" s="97"/>
      <c r="Q225" s="141"/>
      <c r="R225" s="141"/>
      <c r="S225" s="164"/>
    </row>
    <row r="226" spans="1:19" ht="15.75" x14ac:dyDescent="0.25">
      <c r="A226" s="90"/>
      <c r="B226" s="59"/>
      <c r="C226" s="59"/>
      <c r="D226" s="59"/>
      <c r="E226" s="60"/>
      <c r="F226" s="91"/>
      <c r="G226" s="92"/>
      <c r="H226" s="92"/>
      <c r="I226" s="53"/>
      <c r="J226" s="75"/>
      <c r="K226" s="75"/>
      <c r="L226" s="111"/>
      <c r="M226" s="112"/>
      <c r="N226" s="95"/>
      <c r="O226" s="140"/>
      <c r="P226" s="97"/>
      <c r="Q226" s="141"/>
      <c r="R226" s="141"/>
      <c r="S226" s="164"/>
    </row>
    <row r="227" spans="1:19" ht="15.75" x14ac:dyDescent="0.25">
      <c r="A227" s="90"/>
      <c r="B227" s="59"/>
      <c r="C227" s="59"/>
      <c r="D227" s="59"/>
      <c r="E227" s="60"/>
      <c r="F227" s="91"/>
      <c r="G227" s="92"/>
      <c r="H227" s="92"/>
      <c r="I227" s="53"/>
      <c r="J227" s="75"/>
      <c r="K227" s="75"/>
      <c r="L227" s="111"/>
      <c r="M227" s="112"/>
      <c r="N227" s="95"/>
      <c r="O227" s="140"/>
      <c r="P227" s="97"/>
      <c r="Q227" s="97"/>
      <c r="R227" s="101"/>
      <c r="S227" s="164"/>
    </row>
    <row r="228" spans="1:19" ht="15.75" x14ac:dyDescent="0.25">
      <c r="A228" s="90"/>
      <c r="B228" s="59"/>
      <c r="C228" s="59"/>
      <c r="D228" s="59"/>
      <c r="E228" s="60"/>
      <c r="F228" s="91"/>
      <c r="G228" s="92"/>
      <c r="H228" s="92"/>
      <c r="I228" s="53"/>
      <c r="J228" s="75"/>
      <c r="K228" s="75"/>
      <c r="L228" s="111"/>
      <c r="M228" s="112"/>
      <c r="N228" s="95"/>
      <c r="O228" s="140"/>
      <c r="P228" s="97"/>
      <c r="Q228" s="141"/>
      <c r="R228" s="141"/>
      <c r="S228" s="164"/>
    </row>
    <row r="229" spans="1:19" ht="15.75" x14ac:dyDescent="0.25">
      <c r="A229" s="90"/>
      <c r="B229" s="59"/>
      <c r="C229" s="59"/>
      <c r="D229" s="59"/>
      <c r="E229" s="60"/>
      <c r="F229" s="91"/>
      <c r="G229" s="92"/>
      <c r="H229" s="92"/>
      <c r="I229" s="53"/>
      <c r="J229" s="75"/>
      <c r="K229" s="75"/>
      <c r="L229" s="111"/>
      <c r="M229" s="112"/>
      <c r="N229" s="95"/>
      <c r="O229" s="140"/>
      <c r="P229" s="97"/>
      <c r="Q229" s="141"/>
      <c r="R229" s="141"/>
      <c r="S229" s="164"/>
    </row>
    <row r="230" spans="1:19" ht="15.75" x14ac:dyDescent="0.25">
      <c r="A230" s="90"/>
      <c r="B230" s="59"/>
      <c r="C230" s="59"/>
      <c r="D230" s="59"/>
      <c r="E230" s="60"/>
      <c r="F230" s="91"/>
      <c r="G230" s="92"/>
      <c r="H230" s="92"/>
      <c r="I230" s="53"/>
      <c r="J230" s="75"/>
      <c r="K230" s="75"/>
      <c r="L230" s="111"/>
      <c r="M230" s="112"/>
      <c r="N230" s="95"/>
      <c r="O230" s="140"/>
      <c r="P230" s="97"/>
      <c r="Q230" s="141"/>
      <c r="R230" s="141"/>
      <c r="S230" s="164"/>
    </row>
    <row r="231" spans="1:19" ht="15.75" x14ac:dyDescent="0.25">
      <c r="A231" s="90"/>
      <c r="B231" s="59"/>
      <c r="C231" s="59"/>
      <c r="D231" s="59"/>
      <c r="E231" s="60"/>
      <c r="F231" s="91"/>
      <c r="G231" s="92"/>
      <c r="H231" s="92"/>
      <c r="I231" s="53"/>
      <c r="J231" s="75"/>
      <c r="K231" s="75"/>
      <c r="L231" s="93"/>
      <c r="M231" s="94"/>
      <c r="N231" s="95"/>
      <c r="O231" s="141"/>
      <c r="P231" s="97"/>
      <c r="Q231" s="141"/>
      <c r="R231" s="141"/>
      <c r="S231" s="164"/>
    </row>
    <row r="232" spans="1:19" ht="15.75" x14ac:dyDescent="0.25">
      <c r="A232" s="90"/>
      <c r="B232" s="59"/>
      <c r="C232" s="59"/>
      <c r="D232" s="59"/>
      <c r="E232" s="60"/>
      <c r="F232" s="91"/>
      <c r="G232" s="92"/>
      <c r="H232" s="92"/>
      <c r="I232" s="53"/>
      <c r="J232" s="75"/>
      <c r="K232" s="75"/>
      <c r="L232" s="93"/>
      <c r="M232" s="94"/>
      <c r="N232" s="95"/>
      <c r="O232" s="141"/>
      <c r="P232" s="97"/>
      <c r="Q232" s="141"/>
      <c r="R232" s="141"/>
      <c r="S232" s="164"/>
    </row>
    <row r="233" spans="1:19" ht="15.75" x14ac:dyDescent="0.25">
      <c r="A233" s="90"/>
      <c r="B233" s="59"/>
      <c r="C233" s="59"/>
      <c r="D233" s="59"/>
      <c r="E233" s="60"/>
      <c r="F233" s="91"/>
      <c r="G233" s="92"/>
      <c r="H233" s="92"/>
      <c r="I233" s="53"/>
      <c r="J233" s="75"/>
      <c r="K233" s="75"/>
      <c r="L233" s="93"/>
      <c r="M233" s="94"/>
      <c r="N233" s="95"/>
      <c r="O233" s="141"/>
      <c r="P233" s="97"/>
      <c r="Q233" s="141"/>
      <c r="R233" s="141"/>
      <c r="S233" s="164"/>
    </row>
    <row r="234" spans="1:19" ht="15.75" x14ac:dyDescent="0.25">
      <c r="A234" s="90"/>
      <c r="B234" s="59"/>
      <c r="C234" s="59"/>
      <c r="D234" s="59"/>
      <c r="E234" s="60"/>
      <c r="F234" s="91"/>
      <c r="G234" s="92"/>
      <c r="H234" s="92"/>
      <c r="I234" s="53"/>
      <c r="J234" s="75"/>
      <c r="K234" s="75"/>
      <c r="L234" s="93"/>
      <c r="M234" s="94"/>
      <c r="N234" s="95"/>
      <c r="O234" s="141"/>
      <c r="P234" s="97"/>
      <c r="Q234" s="141"/>
      <c r="R234" s="141"/>
      <c r="S234" s="164"/>
    </row>
    <row r="235" spans="1:19" ht="15.75" x14ac:dyDescent="0.25">
      <c r="A235" s="90"/>
      <c r="B235" s="59"/>
      <c r="C235" s="59"/>
      <c r="D235" s="59"/>
      <c r="E235" s="60"/>
      <c r="F235" s="91"/>
      <c r="G235" s="92"/>
      <c r="H235" s="92"/>
      <c r="I235" s="53"/>
      <c r="J235" s="75"/>
      <c r="K235" s="75"/>
      <c r="L235" s="93"/>
      <c r="M235" s="94"/>
      <c r="N235" s="95"/>
      <c r="O235" s="141"/>
      <c r="P235" s="97"/>
      <c r="Q235" s="141"/>
      <c r="R235" s="141"/>
      <c r="S235" s="164"/>
    </row>
    <row r="236" spans="1:19" ht="15.75" x14ac:dyDescent="0.25">
      <c r="A236" s="90"/>
      <c r="B236" s="59"/>
      <c r="C236" s="59"/>
      <c r="D236" s="59"/>
      <c r="E236" s="60"/>
      <c r="F236" s="91"/>
      <c r="G236" s="92"/>
      <c r="H236" s="92"/>
      <c r="I236" s="53"/>
      <c r="J236" s="75"/>
      <c r="K236" s="75"/>
      <c r="L236" s="93"/>
      <c r="M236" s="94"/>
      <c r="N236" s="95"/>
      <c r="O236" s="141"/>
      <c r="P236" s="97"/>
      <c r="Q236" s="141"/>
      <c r="R236" s="141"/>
      <c r="S236" s="164"/>
    </row>
    <row r="237" spans="1:19" ht="15.75" x14ac:dyDescent="0.25">
      <c r="A237" s="90"/>
      <c r="B237" s="59"/>
      <c r="C237" s="59"/>
      <c r="D237" s="59"/>
      <c r="E237" s="60"/>
      <c r="F237" s="91"/>
      <c r="G237" s="92"/>
      <c r="H237" s="92"/>
      <c r="I237" s="53"/>
      <c r="J237" s="75"/>
      <c r="K237" s="75"/>
      <c r="L237" s="146"/>
      <c r="M237" s="94"/>
      <c r="N237" s="95"/>
      <c r="O237" s="141"/>
      <c r="P237" s="97"/>
      <c r="Q237" s="141"/>
      <c r="R237" s="141"/>
      <c r="S237" s="164"/>
    </row>
    <row r="238" spans="1:19" ht="15.75" x14ac:dyDescent="0.25">
      <c r="A238" s="90"/>
      <c r="B238" s="59"/>
      <c r="C238" s="59"/>
      <c r="D238" s="59"/>
      <c r="E238" s="60"/>
      <c r="F238" s="91"/>
      <c r="G238" s="92"/>
      <c r="H238" s="92"/>
      <c r="I238" s="53"/>
      <c r="J238" s="75"/>
      <c r="K238" s="75"/>
      <c r="L238" s="146"/>
      <c r="M238" s="94"/>
      <c r="N238" s="95"/>
      <c r="O238" s="141"/>
      <c r="P238" s="97"/>
      <c r="Q238" s="141"/>
      <c r="R238" s="141"/>
      <c r="S238" s="164"/>
    </row>
    <row r="239" spans="1:19" ht="15.75" x14ac:dyDescent="0.25">
      <c r="A239" s="90"/>
      <c r="B239" s="59"/>
      <c r="C239" s="59"/>
      <c r="D239" s="59"/>
      <c r="E239" s="60"/>
      <c r="F239" s="91"/>
      <c r="G239" s="92"/>
      <c r="H239" s="92"/>
      <c r="I239" s="53"/>
      <c r="J239" s="75"/>
      <c r="K239" s="75"/>
      <c r="L239" s="146"/>
      <c r="M239" s="94"/>
      <c r="N239" s="95"/>
      <c r="O239" s="141"/>
      <c r="P239" s="97"/>
      <c r="Q239" s="141"/>
      <c r="R239" s="141"/>
      <c r="S239" s="164"/>
    </row>
    <row r="240" spans="1:19" ht="15.75" x14ac:dyDescent="0.25">
      <c r="A240" s="90"/>
      <c r="B240" s="59"/>
      <c r="C240" s="59"/>
      <c r="D240" s="59"/>
      <c r="E240" s="60"/>
      <c r="F240" s="91"/>
      <c r="G240" s="92"/>
      <c r="H240" s="92"/>
      <c r="I240" s="53"/>
      <c r="J240" s="75"/>
      <c r="K240" s="75"/>
      <c r="L240" s="146"/>
      <c r="M240" s="94"/>
      <c r="N240" s="95"/>
      <c r="O240" s="141"/>
      <c r="P240" s="97"/>
      <c r="Q240" s="141"/>
      <c r="R240" s="141"/>
      <c r="S240" s="164"/>
    </row>
    <row r="241" spans="1:35" ht="15.75" x14ac:dyDescent="0.25">
      <c r="A241" s="90"/>
      <c r="B241" s="59"/>
      <c r="C241" s="59"/>
      <c r="D241" s="59"/>
      <c r="E241" s="60"/>
      <c r="F241" s="91"/>
      <c r="G241" s="92"/>
      <c r="H241" s="92"/>
      <c r="I241" s="53"/>
      <c r="J241" s="75"/>
      <c r="K241" s="75"/>
      <c r="L241" s="146"/>
      <c r="M241" s="94"/>
      <c r="N241" s="95"/>
      <c r="O241" s="141"/>
      <c r="P241" s="97"/>
      <c r="Q241" s="141"/>
      <c r="R241" s="141"/>
      <c r="S241" s="164"/>
    </row>
    <row r="242" spans="1:35" ht="15.75" x14ac:dyDescent="0.25">
      <c r="A242" s="90"/>
      <c r="B242" s="59"/>
      <c r="C242" s="59"/>
      <c r="D242" s="59"/>
      <c r="E242" s="60"/>
      <c r="F242" s="91"/>
      <c r="G242" s="92"/>
      <c r="H242" s="92"/>
      <c r="I242" s="53"/>
      <c r="J242" s="75"/>
      <c r="K242" s="75"/>
      <c r="L242" s="146"/>
      <c r="M242" s="112"/>
      <c r="N242" s="95"/>
      <c r="O242" s="140"/>
      <c r="P242" s="97"/>
      <c r="Q242" s="141"/>
      <c r="R242" s="141"/>
      <c r="S242" s="164"/>
    </row>
    <row r="243" spans="1:35" ht="15.75" x14ac:dyDescent="0.25">
      <c r="A243" s="90"/>
      <c r="B243" s="59"/>
      <c r="C243" s="59"/>
      <c r="D243" s="59"/>
      <c r="E243" s="60"/>
      <c r="F243" s="91"/>
      <c r="G243" s="92"/>
      <c r="H243" s="92"/>
      <c r="I243" s="53"/>
      <c r="J243" s="75"/>
      <c r="K243" s="75"/>
      <c r="L243" s="111"/>
      <c r="M243" s="112"/>
      <c r="N243" s="95"/>
      <c r="O243" s="140"/>
      <c r="P243" s="97"/>
      <c r="Q243" s="141"/>
      <c r="R243" s="141"/>
      <c r="S243" s="164"/>
    </row>
    <row r="244" spans="1:35" ht="15.75" x14ac:dyDescent="0.25">
      <c r="A244" s="90"/>
      <c r="B244" s="59"/>
      <c r="C244" s="59"/>
      <c r="D244" s="59"/>
      <c r="E244" s="60"/>
      <c r="F244" s="91"/>
      <c r="G244" s="92"/>
      <c r="H244" s="92"/>
      <c r="I244" s="53"/>
      <c r="J244" s="75"/>
      <c r="K244" s="75"/>
      <c r="L244" s="157"/>
      <c r="M244" s="112"/>
      <c r="N244" s="95"/>
      <c r="O244" s="140"/>
      <c r="P244" s="97"/>
      <c r="Q244" s="141"/>
      <c r="R244" s="141"/>
      <c r="S244" s="164"/>
    </row>
    <row r="245" spans="1:35" ht="15.75" x14ac:dyDescent="0.25">
      <c r="A245" s="128"/>
      <c r="B245" s="129"/>
      <c r="C245" s="129"/>
      <c r="D245" s="129"/>
      <c r="E245" s="130"/>
      <c r="F245" s="131"/>
      <c r="G245" s="132"/>
      <c r="H245" s="132"/>
      <c r="I245" s="133"/>
      <c r="J245" s="134"/>
      <c r="K245" s="134"/>
      <c r="L245" s="111"/>
      <c r="M245" s="112"/>
      <c r="N245" s="95"/>
      <c r="O245" s="140"/>
      <c r="P245" s="97"/>
      <c r="Q245" s="141"/>
      <c r="R245" s="141"/>
      <c r="S245" s="164"/>
      <c r="AA245" s="135"/>
      <c r="AB245" s="135"/>
      <c r="AC245" s="135"/>
      <c r="AD245" s="135"/>
      <c r="AE245" s="135"/>
      <c r="AF245" s="135"/>
      <c r="AG245" s="135"/>
      <c r="AH245" s="135"/>
      <c r="AI245" s="135"/>
    </row>
    <row r="246" spans="1:35" ht="15.75" x14ac:dyDescent="0.25">
      <c r="A246" s="128"/>
      <c r="B246" s="129"/>
      <c r="C246" s="129"/>
      <c r="D246" s="129"/>
      <c r="E246" s="130"/>
      <c r="F246" s="131"/>
      <c r="G246" s="132"/>
      <c r="H246" s="132"/>
      <c r="I246" s="133"/>
      <c r="J246" s="134"/>
      <c r="K246" s="134"/>
      <c r="L246" s="157"/>
      <c r="M246" s="112"/>
      <c r="N246" s="95"/>
      <c r="O246" s="140"/>
      <c r="P246" s="97"/>
      <c r="Q246" s="141"/>
      <c r="R246" s="141"/>
      <c r="S246" s="164"/>
      <c r="U246" s="135"/>
      <c r="V246" s="135"/>
      <c r="W246" s="135"/>
      <c r="X246" s="135"/>
      <c r="Y246" s="135"/>
      <c r="Z246" s="135"/>
      <c r="AA246" s="135"/>
      <c r="AB246" s="135"/>
      <c r="AC246" s="135"/>
      <c r="AD246" s="135"/>
      <c r="AE246" s="135"/>
      <c r="AF246" s="135"/>
      <c r="AG246" s="135"/>
      <c r="AH246" s="135"/>
      <c r="AI246" s="135"/>
    </row>
    <row r="247" spans="1:35" ht="15.75" x14ac:dyDescent="0.25">
      <c r="A247" s="128"/>
      <c r="B247" s="129"/>
      <c r="C247" s="129"/>
      <c r="D247" s="129"/>
      <c r="E247" s="130"/>
      <c r="F247" s="131"/>
      <c r="G247" s="132"/>
      <c r="H247" s="132"/>
      <c r="I247" s="133"/>
      <c r="J247" s="134"/>
      <c r="K247" s="134"/>
      <c r="L247" s="157"/>
      <c r="M247" s="112"/>
      <c r="N247" s="95"/>
      <c r="O247" s="140"/>
      <c r="P247" s="97"/>
      <c r="Q247" s="141"/>
      <c r="R247" s="141"/>
      <c r="S247" s="164"/>
      <c r="U247" s="135"/>
      <c r="V247" s="135"/>
      <c r="W247" s="135"/>
      <c r="X247" s="135"/>
      <c r="Y247" s="135"/>
      <c r="Z247" s="135"/>
      <c r="AA247" s="135"/>
      <c r="AB247" s="135"/>
      <c r="AC247" s="135"/>
      <c r="AD247" s="135"/>
      <c r="AE247" s="135"/>
      <c r="AF247" s="135"/>
      <c r="AG247" s="135"/>
      <c r="AH247" s="135"/>
      <c r="AI247" s="135"/>
    </row>
    <row r="248" spans="1:35" ht="15.75" x14ac:dyDescent="0.25">
      <c r="A248" s="190"/>
      <c r="B248" s="191"/>
      <c r="C248" s="191"/>
      <c r="D248" s="191"/>
      <c r="E248" s="192"/>
      <c r="F248" s="131"/>
      <c r="G248" s="193"/>
      <c r="H248" s="193"/>
      <c r="I248" s="194"/>
      <c r="J248" s="192"/>
      <c r="K248" s="192"/>
      <c r="L248" s="157"/>
      <c r="M248" s="112"/>
      <c r="N248" s="95"/>
      <c r="O248" s="140"/>
      <c r="P248" s="97"/>
      <c r="Q248" s="141"/>
      <c r="R248" s="141"/>
      <c r="S248" s="164"/>
      <c r="T248" s="196"/>
      <c r="U248" s="135"/>
      <c r="V248" s="135"/>
      <c r="W248" s="135"/>
      <c r="X248" s="135"/>
      <c r="Y248" s="135"/>
      <c r="Z248" s="135"/>
      <c r="AA248" s="195"/>
      <c r="AB248" s="195"/>
      <c r="AC248" s="195"/>
      <c r="AD248" s="195"/>
      <c r="AE248" s="195"/>
      <c r="AF248" s="195"/>
      <c r="AG248" s="195"/>
      <c r="AH248" s="195"/>
      <c r="AI248" s="195"/>
    </row>
    <row r="249" spans="1:35" ht="16.5" thickBot="1" x14ac:dyDescent="0.3">
      <c r="L249" s="111"/>
      <c r="M249" s="112"/>
      <c r="N249" s="95"/>
      <c r="O249" s="140"/>
      <c r="P249" s="97"/>
      <c r="Q249" s="141"/>
      <c r="R249" s="141"/>
      <c r="S249" s="164"/>
      <c r="U249" s="135"/>
      <c r="V249" s="135"/>
      <c r="W249" s="135"/>
      <c r="X249" s="135"/>
      <c r="Y249" s="135"/>
      <c r="Z249" s="135"/>
    </row>
    <row r="250" spans="1:35" ht="21.75" thickBot="1" x14ac:dyDescent="0.3">
      <c r="A250" s="33"/>
      <c r="B250" s="34" t="s">
        <v>23</v>
      </c>
      <c r="C250" s="35"/>
      <c r="D250" s="36"/>
      <c r="E250" s="36"/>
      <c r="F250" s="36"/>
      <c r="G250" s="36"/>
      <c r="H250" s="36">
        <f>SUM(H20:H219)</f>
        <v>0</v>
      </c>
      <c r="I250" s="76"/>
      <c r="J250" s="76"/>
      <c r="K250" s="76"/>
      <c r="L250" s="37"/>
      <c r="M250" s="38"/>
      <c r="N250" s="38"/>
      <c r="O250" s="39"/>
      <c r="P250" s="39"/>
      <c r="Q250" s="183">
        <f>SUM(Q19:Q245)</f>
        <v>0</v>
      </c>
      <c r="R250" s="184"/>
      <c r="S250" s="165"/>
    </row>
    <row r="251" spans="1:35" ht="18.75" x14ac:dyDescent="0.25">
      <c r="A251" s="20"/>
      <c r="B251" s="25"/>
      <c r="C251" s="11"/>
      <c r="D251" s="49"/>
      <c r="E251" s="49"/>
      <c r="F251" s="80"/>
      <c r="G251" s="81"/>
      <c r="H251" s="81"/>
      <c r="I251" s="54"/>
      <c r="J251" s="54"/>
      <c r="K251" s="54"/>
      <c r="L251" s="72" t="s">
        <v>779</v>
      </c>
      <c r="M251" s="73" t="s">
        <v>780</v>
      </c>
      <c r="N251" s="73" t="s">
        <v>34</v>
      </c>
      <c r="O251" s="50">
        <v>1</v>
      </c>
      <c r="P251" s="50"/>
      <c r="Q251" s="50"/>
      <c r="R251" s="24"/>
      <c r="S251" s="166"/>
      <c r="U251" s="5"/>
      <c r="V251" s="5"/>
    </row>
    <row r="252" spans="1:35" ht="18.75" x14ac:dyDescent="0.25">
      <c r="A252" s="20"/>
      <c r="B252" s="25"/>
      <c r="C252" s="11"/>
      <c r="D252" s="49"/>
      <c r="E252" s="49"/>
      <c r="F252" s="80"/>
      <c r="G252" s="81"/>
      <c r="H252" s="81"/>
      <c r="I252" s="54"/>
      <c r="J252" s="54"/>
      <c r="K252" s="54"/>
      <c r="L252" s="72">
        <v>3014</v>
      </c>
      <c r="M252" s="73" t="s">
        <v>781</v>
      </c>
      <c r="N252" s="73" t="s">
        <v>34</v>
      </c>
      <c r="O252" s="50">
        <v>1</v>
      </c>
      <c r="P252" s="50"/>
      <c r="Q252" s="50"/>
      <c r="R252" s="24"/>
      <c r="S252" s="166"/>
      <c r="U252" s="5"/>
      <c r="V252" s="5"/>
    </row>
    <row r="253" spans="1:35" ht="18.75" x14ac:dyDescent="0.25">
      <c r="A253" s="20"/>
      <c r="B253" s="25"/>
      <c r="C253" s="11"/>
      <c r="D253" s="49"/>
      <c r="E253" s="49"/>
      <c r="F253" s="80"/>
      <c r="G253" s="81"/>
      <c r="H253" s="81"/>
      <c r="I253" s="54"/>
      <c r="J253" s="54"/>
      <c r="K253" s="54"/>
      <c r="L253" s="72">
        <v>2475</v>
      </c>
      <c r="M253" s="73" t="s">
        <v>117</v>
      </c>
      <c r="N253" s="73" t="s">
        <v>34</v>
      </c>
      <c r="O253" s="50">
        <v>1</v>
      </c>
      <c r="P253" s="50"/>
      <c r="Q253" s="50"/>
      <c r="R253" s="24"/>
      <c r="S253" s="166"/>
      <c r="U253" s="5"/>
      <c r="V253" s="5"/>
    </row>
    <row r="254" spans="1:35" ht="18.75" x14ac:dyDescent="0.25">
      <c r="A254" s="20"/>
      <c r="B254" s="25"/>
      <c r="C254" s="11"/>
      <c r="D254" s="49"/>
      <c r="E254" s="49"/>
      <c r="F254" s="80"/>
      <c r="G254" s="81"/>
      <c r="H254" s="81"/>
      <c r="I254" s="54"/>
      <c r="J254" s="54"/>
      <c r="K254" s="54"/>
      <c r="L254" s="72">
        <v>4752</v>
      </c>
      <c r="M254" s="73" t="s">
        <v>782</v>
      </c>
      <c r="N254" s="73" t="s">
        <v>34</v>
      </c>
      <c r="O254" s="50">
        <v>1</v>
      </c>
      <c r="P254" s="50"/>
      <c r="Q254" s="50"/>
      <c r="R254" s="24"/>
      <c r="S254" s="166"/>
      <c r="U254" s="5"/>
      <c r="V254" s="5"/>
    </row>
    <row r="255" spans="1:35" ht="18.75" x14ac:dyDescent="0.25">
      <c r="A255" s="20"/>
      <c r="B255" s="25"/>
      <c r="C255" s="11"/>
      <c r="D255" s="49"/>
      <c r="E255" s="49"/>
      <c r="F255" s="80"/>
      <c r="G255" s="81"/>
      <c r="H255" s="81"/>
      <c r="I255" s="54"/>
      <c r="J255" s="54"/>
      <c r="K255" s="54"/>
      <c r="L255" s="72">
        <v>4395</v>
      </c>
      <c r="M255" s="73" t="s">
        <v>783</v>
      </c>
      <c r="N255" s="73" t="s">
        <v>34</v>
      </c>
      <c r="O255" s="50">
        <v>1</v>
      </c>
      <c r="P255" s="50"/>
      <c r="Q255" s="50"/>
      <c r="R255" s="24"/>
      <c r="S255" s="166"/>
      <c r="U255" s="5"/>
      <c r="V255" s="5"/>
    </row>
    <row r="256" spans="1:35" ht="18.75" x14ac:dyDescent="0.25">
      <c r="A256" s="20"/>
      <c r="B256" s="25"/>
      <c r="C256" s="11"/>
      <c r="D256" s="49"/>
      <c r="E256" s="49"/>
      <c r="F256" s="80"/>
      <c r="G256" s="81"/>
      <c r="H256" s="81"/>
      <c r="I256" s="54"/>
      <c r="J256" s="54"/>
      <c r="K256" s="54"/>
      <c r="L256" s="72">
        <v>3652</v>
      </c>
      <c r="M256" s="73" t="s">
        <v>784</v>
      </c>
      <c r="N256" s="73" t="s">
        <v>34</v>
      </c>
      <c r="O256" s="50">
        <v>1</v>
      </c>
      <c r="P256" s="50"/>
      <c r="Q256" s="50"/>
      <c r="R256" s="24"/>
      <c r="S256" s="166"/>
      <c r="U256" s="5"/>
      <c r="V256" s="5"/>
    </row>
    <row r="257" spans="1:22" ht="18.75" x14ac:dyDescent="0.25">
      <c r="A257" s="20"/>
      <c r="B257" s="25"/>
      <c r="C257" s="11"/>
      <c r="D257" s="49"/>
      <c r="E257" s="49"/>
      <c r="F257" s="80"/>
      <c r="G257" s="81"/>
      <c r="H257" s="81"/>
      <c r="I257" s="54"/>
      <c r="J257" s="54"/>
      <c r="K257" s="54"/>
      <c r="L257" s="72" t="s">
        <v>785</v>
      </c>
      <c r="M257" s="73" t="s">
        <v>786</v>
      </c>
      <c r="N257" s="73" t="s">
        <v>34</v>
      </c>
      <c r="O257" s="50">
        <v>1</v>
      </c>
      <c r="P257" s="50"/>
      <c r="Q257" s="50"/>
      <c r="R257" s="24"/>
      <c r="S257" s="166"/>
      <c r="U257" s="5"/>
      <c r="V257" s="5"/>
    </row>
    <row r="258" spans="1:22" ht="18.75" x14ac:dyDescent="0.25">
      <c r="A258" s="20"/>
      <c r="B258" s="25"/>
      <c r="C258" s="11"/>
      <c r="D258" s="49"/>
      <c r="E258" s="49"/>
      <c r="F258" s="80"/>
      <c r="G258" s="81"/>
      <c r="H258" s="81"/>
      <c r="I258" s="54"/>
      <c r="J258" s="54"/>
      <c r="K258" s="54"/>
      <c r="L258" s="72" t="s">
        <v>118</v>
      </c>
      <c r="M258" s="73" t="s">
        <v>119</v>
      </c>
      <c r="N258" s="73" t="s">
        <v>34</v>
      </c>
      <c r="O258" s="50">
        <v>13</v>
      </c>
      <c r="P258" s="50"/>
      <c r="Q258" s="50"/>
      <c r="R258" s="24"/>
      <c r="S258" s="166"/>
      <c r="U258" s="5"/>
      <c r="V258" s="5"/>
    </row>
    <row r="259" spans="1:22" ht="18.75" x14ac:dyDescent="0.25">
      <c r="A259" s="20"/>
      <c r="B259" s="25"/>
      <c r="C259" s="11"/>
      <c r="D259" s="49"/>
      <c r="E259" s="49"/>
      <c r="F259" s="80"/>
      <c r="G259" s="81"/>
      <c r="H259" s="81"/>
      <c r="I259" s="54"/>
      <c r="J259" s="54"/>
      <c r="K259" s="54"/>
      <c r="L259" s="72">
        <v>2140</v>
      </c>
      <c r="M259" s="73" t="s">
        <v>253</v>
      </c>
      <c r="N259" s="73" t="s">
        <v>34</v>
      </c>
      <c r="O259" s="50">
        <v>1</v>
      </c>
      <c r="P259" s="50"/>
      <c r="Q259" s="50"/>
      <c r="R259" s="24"/>
      <c r="S259" s="166"/>
      <c r="U259" s="5"/>
      <c r="V259" s="5"/>
    </row>
    <row r="260" spans="1:22" ht="18.75" x14ac:dyDescent="0.25">
      <c r="A260" s="20"/>
      <c r="B260" s="25"/>
      <c r="C260" s="11"/>
      <c r="D260" s="49"/>
      <c r="E260" s="49"/>
      <c r="F260" s="80"/>
      <c r="G260" s="81"/>
      <c r="H260" s="81"/>
      <c r="I260" s="54"/>
      <c r="J260" s="54"/>
      <c r="K260" s="54"/>
      <c r="L260" s="72">
        <v>3164</v>
      </c>
      <c r="M260" s="73" t="s">
        <v>122</v>
      </c>
      <c r="N260" s="73" t="s">
        <v>34</v>
      </c>
      <c r="O260" s="50">
        <v>1</v>
      </c>
      <c r="P260" s="50"/>
      <c r="Q260" s="50"/>
      <c r="R260" s="24"/>
      <c r="S260" s="166"/>
      <c r="U260" s="5"/>
      <c r="V260" s="5"/>
    </row>
    <row r="261" spans="1:22" ht="18.75" x14ac:dyDescent="0.25">
      <c r="A261" s="20"/>
      <c r="B261" s="25"/>
      <c r="C261" s="11"/>
      <c r="D261" s="49"/>
      <c r="E261" s="49"/>
      <c r="F261" s="80"/>
      <c r="G261" s="81"/>
      <c r="H261" s="81"/>
      <c r="I261" s="54"/>
      <c r="J261" s="54"/>
      <c r="K261" s="54"/>
      <c r="L261" s="72">
        <v>16608</v>
      </c>
      <c r="M261" s="73" t="s">
        <v>787</v>
      </c>
      <c r="N261" s="73" t="s">
        <v>34</v>
      </c>
      <c r="O261" s="50">
        <v>1</v>
      </c>
      <c r="P261" s="50"/>
      <c r="Q261" s="50"/>
      <c r="R261" s="24"/>
      <c r="S261" s="166"/>
      <c r="U261" s="5"/>
      <c r="V261" s="5"/>
    </row>
    <row r="262" spans="1:22" ht="18.75" x14ac:dyDescent="0.25">
      <c r="A262" s="20"/>
      <c r="B262" s="25"/>
      <c r="C262" s="11"/>
      <c r="D262" s="49"/>
      <c r="E262" s="49"/>
      <c r="F262" s="80"/>
      <c r="G262" s="81"/>
      <c r="H262" s="81"/>
      <c r="I262" s="54"/>
      <c r="J262" s="54"/>
      <c r="K262" s="54"/>
      <c r="L262" s="72" t="s">
        <v>788</v>
      </c>
      <c r="M262" s="73" t="s">
        <v>789</v>
      </c>
      <c r="N262" s="73" t="s">
        <v>790</v>
      </c>
      <c r="O262" s="50">
        <v>1</v>
      </c>
      <c r="P262" s="50"/>
      <c r="Q262" s="50"/>
      <c r="R262" s="24"/>
      <c r="S262" s="166"/>
      <c r="U262" s="5"/>
      <c r="V262" s="5"/>
    </row>
    <row r="263" spans="1:22" ht="18.75" x14ac:dyDescent="0.25">
      <c r="A263" s="20"/>
      <c r="B263" s="25"/>
      <c r="C263" s="11"/>
      <c r="D263" s="49"/>
      <c r="E263" s="49"/>
      <c r="F263" s="80"/>
      <c r="G263" s="81"/>
      <c r="H263" s="81"/>
      <c r="I263" s="54"/>
      <c r="J263" s="54"/>
      <c r="K263" s="54"/>
      <c r="L263" s="72" t="s">
        <v>791</v>
      </c>
      <c r="M263" s="73" t="s">
        <v>792</v>
      </c>
      <c r="N263" s="73" t="s">
        <v>34</v>
      </c>
      <c r="O263" s="50">
        <v>1</v>
      </c>
      <c r="P263" s="50"/>
      <c r="Q263" s="50"/>
      <c r="R263" s="24"/>
      <c r="S263" s="166"/>
      <c r="U263" s="5"/>
      <c r="V263" s="5"/>
    </row>
    <row r="264" spans="1:22" ht="18.75" x14ac:dyDescent="0.25">
      <c r="A264" s="20"/>
      <c r="B264" s="25"/>
      <c r="C264" s="11"/>
      <c r="D264" s="49"/>
      <c r="E264" s="49"/>
      <c r="F264" s="80"/>
      <c r="G264" s="81"/>
      <c r="H264" s="81"/>
      <c r="I264" s="54"/>
      <c r="J264" s="54"/>
      <c r="K264" s="54"/>
      <c r="L264" s="72">
        <v>3161</v>
      </c>
      <c r="M264" s="73" t="s">
        <v>125</v>
      </c>
      <c r="N264" s="73" t="s">
        <v>34</v>
      </c>
      <c r="O264" s="50">
        <v>1</v>
      </c>
      <c r="P264" s="50"/>
      <c r="Q264" s="50"/>
      <c r="R264" s="24"/>
      <c r="S264" s="166"/>
      <c r="U264" s="5"/>
      <c r="V264" s="5"/>
    </row>
    <row r="265" spans="1:22" ht="18.75" x14ac:dyDescent="0.25">
      <c r="A265" s="20"/>
      <c r="B265" s="25"/>
      <c r="C265" s="11"/>
      <c r="D265" s="49"/>
      <c r="E265" s="49"/>
      <c r="F265" s="80"/>
      <c r="G265" s="81"/>
      <c r="H265" s="81"/>
      <c r="I265" s="54"/>
      <c r="J265" s="54"/>
      <c r="K265" s="54"/>
      <c r="L265" s="72" t="s">
        <v>795</v>
      </c>
      <c r="M265" s="73" t="s">
        <v>796</v>
      </c>
      <c r="N265" s="73" t="s">
        <v>34</v>
      </c>
      <c r="O265" s="50">
        <v>1</v>
      </c>
      <c r="P265" s="50"/>
      <c r="Q265" s="50"/>
      <c r="R265" s="24"/>
      <c r="S265" s="166"/>
      <c r="U265" s="5"/>
      <c r="V265" s="5"/>
    </row>
    <row r="266" spans="1:22" ht="18.75" x14ac:dyDescent="0.25">
      <c r="A266" s="20"/>
      <c r="B266" s="25"/>
      <c r="C266" s="11"/>
      <c r="D266" s="49"/>
      <c r="E266" s="49"/>
      <c r="F266" s="80"/>
      <c r="G266" s="81"/>
      <c r="H266" s="81"/>
      <c r="I266" s="54"/>
      <c r="J266" s="54"/>
      <c r="K266" s="54"/>
      <c r="L266" s="72" t="s">
        <v>797</v>
      </c>
      <c r="M266" s="73" t="s">
        <v>798</v>
      </c>
      <c r="N266" s="73" t="s">
        <v>34</v>
      </c>
      <c r="O266" s="50">
        <v>1</v>
      </c>
      <c r="P266" s="50"/>
      <c r="Q266" s="50"/>
      <c r="R266" s="24"/>
      <c r="S266" s="166"/>
      <c r="U266" s="5"/>
      <c r="V266" s="5"/>
    </row>
    <row r="267" spans="1:22" ht="18.75" x14ac:dyDescent="0.25">
      <c r="A267" s="20"/>
      <c r="B267" s="25"/>
      <c r="C267" s="11"/>
      <c r="D267" s="49"/>
      <c r="E267" s="49"/>
      <c r="F267" s="80"/>
      <c r="G267" s="81"/>
      <c r="H267" s="81"/>
      <c r="I267" s="54"/>
      <c r="J267" s="54"/>
      <c r="K267" s="54"/>
      <c r="L267" s="72">
        <v>8556</v>
      </c>
      <c r="M267" s="73" t="s">
        <v>799</v>
      </c>
      <c r="N267" s="73" t="s">
        <v>34</v>
      </c>
      <c r="O267" s="50">
        <v>13</v>
      </c>
      <c r="P267" s="50"/>
      <c r="Q267" s="50"/>
      <c r="R267" s="24"/>
      <c r="S267" s="166"/>
      <c r="U267" s="5"/>
      <c r="V267" s="5"/>
    </row>
    <row r="268" spans="1:22" ht="18.75" x14ac:dyDescent="0.25">
      <c r="A268" s="20"/>
      <c r="B268" s="25"/>
      <c r="C268" s="11"/>
      <c r="D268" s="49"/>
      <c r="E268" s="49"/>
      <c r="F268" s="80"/>
      <c r="G268" s="81"/>
      <c r="H268" s="81"/>
      <c r="I268" s="54"/>
      <c r="J268" s="54"/>
      <c r="K268" s="54"/>
      <c r="L268" s="72">
        <v>2748</v>
      </c>
      <c r="M268" s="73" t="s">
        <v>129</v>
      </c>
      <c r="N268" s="73" t="s">
        <v>34</v>
      </c>
      <c r="O268" s="50">
        <v>7</v>
      </c>
      <c r="P268" s="50"/>
      <c r="Q268" s="50"/>
      <c r="R268" s="24"/>
      <c r="S268" s="166"/>
      <c r="U268" s="5"/>
      <c r="V268" s="5"/>
    </row>
    <row r="269" spans="1:22" ht="18.75" x14ac:dyDescent="0.25">
      <c r="A269" s="20"/>
      <c r="B269" s="25"/>
      <c r="C269" s="11"/>
      <c r="D269" s="49"/>
      <c r="E269" s="49"/>
      <c r="F269" s="80"/>
      <c r="G269" s="81"/>
      <c r="H269" s="81"/>
      <c r="I269" s="54"/>
      <c r="J269" s="54"/>
      <c r="K269" s="54"/>
      <c r="L269" s="72">
        <v>13695</v>
      </c>
      <c r="M269" s="73" t="s">
        <v>800</v>
      </c>
      <c r="N269" s="73" t="s">
        <v>34</v>
      </c>
      <c r="O269" s="50">
        <v>7</v>
      </c>
      <c r="P269" s="50"/>
      <c r="Q269" s="50"/>
      <c r="R269" s="24"/>
      <c r="S269" s="166"/>
      <c r="U269" s="5"/>
      <c r="V269" s="5"/>
    </row>
    <row r="270" spans="1:22" ht="18.75" x14ac:dyDescent="0.25">
      <c r="A270" s="20"/>
      <c r="B270" s="25"/>
      <c r="C270" s="11"/>
      <c r="D270" s="49"/>
      <c r="E270" s="49"/>
      <c r="F270" s="80"/>
      <c r="G270" s="81"/>
      <c r="H270" s="81"/>
      <c r="I270" s="54"/>
      <c r="J270" s="54"/>
      <c r="K270" s="54"/>
      <c r="L270" s="72" t="s">
        <v>801</v>
      </c>
      <c r="M270" s="73" t="s">
        <v>802</v>
      </c>
      <c r="N270" s="73" t="s">
        <v>34</v>
      </c>
      <c r="O270" s="50">
        <v>2</v>
      </c>
      <c r="P270" s="50"/>
      <c r="Q270" s="50"/>
      <c r="R270" s="24"/>
      <c r="S270" s="166"/>
      <c r="U270" s="5"/>
      <c r="V270" s="5"/>
    </row>
    <row r="271" spans="1:22" ht="18.75" x14ac:dyDescent="0.25">
      <c r="A271" s="20"/>
      <c r="B271" s="25"/>
      <c r="C271" s="11"/>
      <c r="D271" s="49"/>
      <c r="E271" s="49"/>
      <c r="F271" s="80"/>
      <c r="G271" s="81"/>
      <c r="H271" s="81"/>
      <c r="I271" s="54"/>
      <c r="J271" s="54"/>
      <c r="K271" s="54"/>
      <c r="L271" s="72">
        <v>3311</v>
      </c>
      <c r="M271" s="73" t="s">
        <v>807</v>
      </c>
      <c r="N271" s="73" t="s">
        <v>34</v>
      </c>
      <c r="O271" s="50">
        <v>2</v>
      </c>
      <c r="P271" s="50"/>
      <c r="Q271" s="50"/>
      <c r="R271" s="24"/>
      <c r="S271" s="166"/>
      <c r="U271" s="5"/>
      <c r="V271" s="5"/>
    </row>
    <row r="272" spans="1:22" ht="18.75" x14ac:dyDescent="0.25">
      <c r="A272" s="20"/>
      <c r="B272" s="25"/>
      <c r="C272" s="11"/>
      <c r="D272" s="49"/>
      <c r="E272" s="49"/>
      <c r="F272" s="80"/>
      <c r="G272" s="81"/>
      <c r="H272" s="81"/>
      <c r="I272" s="54"/>
      <c r="J272" s="54"/>
      <c r="K272" s="54"/>
      <c r="L272" s="72">
        <v>3312</v>
      </c>
      <c r="M272" s="73" t="s">
        <v>808</v>
      </c>
      <c r="N272" s="73" t="s">
        <v>34</v>
      </c>
      <c r="O272" s="50">
        <v>4</v>
      </c>
      <c r="P272" s="50"/>
      <c r="Q272" s="50"/>
      <c r="R272" s="24"/>
      <c r="S272" s="166"/>
      <c r="U272" s="5"/>
      <c r="V272" s="5"/>
    </row>
    <row r="273" spans="1:22" ht="18.75" x14ac:dyDescent="0.25">
      <c r="A273" s="20"/>
      <c r="B273" s="25"/>
      <c r="C273" s="11"/>
      <c r="D273" s="49"/>
      <c r="E273" s="49"/>
      <c r="F273" s="80"/>
      <c r="G273" s="81"/>
      <c r="H273" s="81"/>
      <c r="I273" s="54"/>
      <c r="J273" s="54"/>
      <c r="K273" s="54"/>
      <c r="L273" s="72" t="s">
        <v>809</v>
      </c>
      <c r="M273" s="73" t="s">
        <v>810</v>
      </c>
      <c r="N273" s="73" t="s">
        <v>64</v>
      </c>
      <c r="O273" s="50">
        <v>1</v>
      </c>
      <c r="P273" s="50"/>
      <c r="Q273" s="50"/>
      <c r="R273" s="24"/>
      <c r="S273" s="166"/>
      <c r="U273" s="5"/>
      <c r="V273" s="5"/>
    </row>
    <row r="274" spans="1:22" ht="18.75" x14ac:dyDescent="0.25">
      <c r="A274" s="20"/>
      <c r="B274" s="25"/>
      <c r="C274" s="11"/>
      <c r="D274" s="49"/>
      <c r="E274" s="49"/>
      <c r="F274" s="80"/>
      <c r="G274" s="81"/>
      <c r="H274" s="81"/>
      <c r="I274" s="54"/>
      <c r="J274" s="54"/>
      <c r="K274" s="54"/>
      <c r="L274" s="72">
        <v>1717</v>
      </c>
      <c r="M274" s="73" t="s">
        <v>811</v>
      </c>
      <c r="N274" s="73" t="s">
        <v>34</v>
      </c>
      <c r="O274" s="50">
        <v>1</v>
      </c>
      <c r="P274" s="50"/>
      <c r="Q274" s="50"/>
      <c r="R274" s="24"/>
      <c r="S274" s="166"/>
      <c r="U274" s="5"/>
      <c r="V274" s="5"/>
    </row>
    <row r="275" spans="1:22" ht="18.75" x14ac:dyDescent="0.25">
      <c r="A275" s="20"/>
      <c r="B275" s="25"/>
      <c r="C275" s="11"/>
      <c r="D275" s="49"/>
      <c r="E275" s="49"/>
      <c r="F275" s="80"/>
      <c r="G275" s="81"/>
      <c r="H275" s="81"/>
      <c r="I275" s="54"/>
      <c r="J275" s="54"/>
      <c r="K275" s="54"/>
      <c r="L275" s="72" t="s">
        <v>812</v>
      </c>
      <c r="M275" s="73" t="s">
        <v>813</v>
      </c>
      <c r="N275" s="73" t="s">
        <v>34</v>
      </c>
      <c r="O275" s="50">
        <v>1</v>
      </c>
      <c r="P275" s="50"/>
      <c r="Q275" s="50"/>
      <c r="R275" s="24"/>
      <c r="S275" s="166"/>
      <c r="U275" s="5"/>
      <c r="V275" s="5"/>
    </row>
    <row r="276" spans="1:22" ht="18.75" x14ac:dyDescent="0.25">
      <c r="A276" s="20"/>
      <c r="B276" s="25"/>
      <c r="C276" s="11"/>
      <c r="D276" s="49"/>
      <c r="E276" s="49"/>
      <c r="F276" s="80"/>
      <c r="G276" s="81"/>
      <c r="H276" s="81"/>
      <c r="I276" s="54"/>
      <c r="J276" s="54"/>
      <c r="K276" s="54"/>
      <c r="L276" s="72">
        <v>6552</v>
      </c>
      <c r="M276" s="73" t="s">
        <v>608</v>
      </c>
      <c r="N276" s="73" t="s">
        <v>34</v>
      </c>
      <c r="O276" s="50">
        <v>5</v>
      </c>
      <c r="P276" s="50"/>
      <c r="Q276" s="50"/>
      <c r="R276" s="24"/>
      <c r="S276" s="166"/>
      <c r="U276" s="5"/>
      <c r="V276" s="5"/>
    </row>
    <row r="277" spans="1:22" ht="18.75" x14ac:dyDescent="0.25">
      <c r="A277" s="20"/>
      <c r="B277" s="25"/>
      <c r="C277" s="11"/>
      <c r="D277" s="49"/>
      <c r="E277" s="49"/>
      <c r="F277" s="80"/>
      <c r="G277" s="81"/>
      <c r="H277" s="81"/>
      <c r="I277" s="54"/>
      <c r="J277" s="54"/>
      <c r="K277" s="54"/>
      <c r="L277" s="72">
        <v>2293</v>
      </c>
      <c r="M277" s="73" t="s">
        <v>815</v>
      </c>
      <c r="N277" s="73" t="s">
        <v>34</v>
      </c>
      <c r="O277" s="50">
        <v>2</v>
      </c>
      <c r="P277" s="50"/>
      <c r="Q277" s="50"/>
      <c r="R277" s="24"/>
      <c r="S277" s="166"/>
      <c r="U277" s="5"/>
      <c r="V277" s="5"/>
    </row>
    <row r="278" spans="1:22" ht="18.75" x14ac:dyDescent="0.25">
      <c r="A278" s="20"/>
      <c r="B278" s="25"/>
      <c r="C278" s="11"/>
      <c r="D278" s="49"/>
      <c r="E278" s="49"/>
      <c r="F278" s="80"/>
      <c r="G278" s="81"/>
      <c r="H278" s="81"/>
      <c r="I278" s="54"/>
      <c r="J278" s="54"/>
      <c r="K278" s="54"/>
      <c r="L278" s="72">
        <v>4936</v>
      </c>
      <c r="M278" s="73" t="s">
        <v>816</v>
      </c>
      <c r="N278" s="73" t="s">
        <v>34</v>
      </c>
      <c r="O278" s="50">
        <v>1</v>
      </c>
      <c r="P278" s="50"/>
      <c r="Q278" s="50"/>
      <c r="R278" s="24"/>
      <c r="S278" s="166"/>
      <c r="U278" s="5"/>
      <c r="V278" s="5"/>
    </row>
    <row r="279" spans="1:22" ht="30" x14ac:dyDescent="0.25">
      <c r="A279" s="20"/>
      <c r="B279" s="25"/>
      <c r="C279" s="11"/>
      <c r="D279" s="49"/>
      <c r="E279" s="49"/>
      <c r="F279" s="80"/>
      <c r="G279" s="81"/>
      <c r="H279" s="81"/>
      <c r="I279" s="54"/>
      <c r="J279" s="54"/>
      <c r="K279" s="54"/>
      <c r="L279" s="72">
        <v>17528</v>
      </c>
      <c r="M279" s="73" t="s">
        <v>817</v>
      </c>
      <c r="N279" s="73" t="s">
        <v>34</v>
      </c>
      <c r="O279" s="50">
        <v>4</v>
      </c>
      <c r="P279" s="50"/>
      <c r="Q279" s="50"/>
      <c r="R279" s="24"/>
      <c r="S279" s="166"/>
      <c r="U279" s="5"/>
      <c r="V279" s="5"/>
    </row>
    <row r="280" spans="1:22" ht="18.75" x14ac:dyDescent="0.25">
      <c r="A280" s="20"/>
      <c r="B280" s="25"/>
      <c r="C280" s="11"/>
      <c r="D280" s="49"/>
      <c r="E280" s="49"/>
      <c r="F280" s="80"/>
      <c r="G280" s="81"/>
      <c r="H280" s="81"/>
      <c r="I280" s="54"/>
      <c r="J280" s="54"/>
      <c r="K280" s="54"/>
      <c r="L280" s="72" t="s">
        <v>818</v>
      </c>
      <c r="M280" s="73" t="s">
        <v>819</v>
      </c>
      <c r="N280" s="73" t="s">
        <v>34</v>
      </c>
      <c r="O280" s="50">
        <v>4</v>
      </c>
      <c r="P280" s="50"/>
      <c r="Q280" s="50"/>
      <c r="R280" s="24"/>
      <c r="S280" s="166"/>
      <c r="U280" s="5"/>
      <c r="V280" s="5"/>
    </row>
    <row r="281" spans="1:22" ht="18.75" x14ac:dyDescent="0.25">
      <c r="A281" s="20"/>
      <c r="B281" s="25"/>
      <c r="C281" s="11"/>
      <c r="D281" s="49"/>
      <c r="E281" s="49"/>
      <c r="F281" s="80"/>
      <c r="G281" s="81"/>
      <c r="H281" s="81"/>
      <c r="I281" s="54"/>
      <c r="J281" s="54"/>
      <c r="K281" s="54"/>
      <c r="L281" s="72">
        <v>5513</v>
      </c>
      <c r="M281" s="73" t="s">
        <v>820</v>
      </c>
      <c r="N281" s="73" t="s">
        <v>34</v>
      </c>
      <c r="O281" s="50">
        <v>2</v>
      </c>
      <c r="P281" s="50"/>
      <c r="Q281" s="50"/>
      <c r="R281" s="24"/>
      <c r="S281" s="166"/>
      <c r="U281" s="5"/>
      <c r="V281" s="5"/>
    </row>
    <row r="282" spans="1:22" ht="18.75" x14ac:dyDescent="0.25">
      <c r="A282" s="20"/>
      <c r="B282" s="25"/>
      <c r="C282" s="11"/>
      <c r="D282" s="49"/>
      <c r="E282" s="49"/>
      <c r="F282" s="80"/>
      <c r="G282" s="81"/>
      <c r="H282" s="81"/>
      <c r="I282" s="54"/>
      <c r="J282" s="54"/>
      <c r="K282" s="54"/>
      <c r="L282" s="72" t="s">
        <v>821</v>
      </c>
      <c r="M282" s="73" t="s">
        <v>822</v>
      </c>
      <c r="N282" s="73" t="s">
        <v>34</v>
      </c>
      <c r="O282" s="50">
        <v>1</v>
      </c>
      <c r="P282" s="50"/>
      <c r="Q282" s="50"/>
      <c r="R282" s="24"/>
      <c r="S282" s="166"/>
      <c r="U282" s="5"/>
      <c r="V282" s="5"/>
    </row>
    <row r="283" spans="1:22" ht="18.75" x14ac:dyDescent="0.25">
      <c r="A283" s="20"/>
      <c r="B283" s="25"/>
      <c r="C283" s="11"/>
      <c r="D283" s="49"/>
      <c r="E283" s="49"/>
      <c r="F283" s="80"/>
      <c r="G283" s="81"/>
      <c r="H283" s="81"/>
      <c r="I283" s="54"/>
      <c r="J283" s="54"/>
      <c r="K283" s="54"/>
      <c r="L283" s="72">
        <v>12877</v>
      </c>
      <c r="M283" s="73" t="s">
        <v>823</v>
      </c>
      <c r="N283" s="73" t="s">
        <v>34</v>
      </c>
      <c r="O283" s="50">
        <v>1</v>
      </c>
      <c r="P283" s="50"/>
      <c r="Q283" s="50"/>
      <c r="R283" s="24"/>
      <c r="S283" s="166"/>
      <c r="U283" s="5"/>
      <c r="V283" s="5"/>
    </row>
    <row r="284" spans="1:22" ht="18.75" x14ac:dyDescent="0.25">
      <c r="A284" s="20"/>
      <c r="B284" s="25"/>
      <c r="C284" s="11"/>
      <c r="D284" s="49"/>
      <c r="E284" s="49"/>
      <c r="F284" s="80"/>
      <c r="G284" s="81"/>
      <c r="H284" s="81"/>
      <c r="I284" s="54"/>
      <c r="J284" s="54"/>
      <c r="K284" s="54"/>
      <c r="L284" s="72" t="s">
        <v>824</v>
      </c>
      <c r="M284" s="73" t="s">
        <v>825</v>
      </c>
      <c r="N284" s="73" t="s">
        <v>34</v>
      </c>
      <c r="O284" s="50">
        <v>1</v>
      </c>
      <c r="P284" s="50"/>
      <c r="Q284" s="50"/>
      <c r="R284" s="24"/>
      <c r="S284" s="166"/>
      <c r="U284" s="5"/>
      <c r="V284" s="5"/>
    </row>
    <row r="285" spans="1:22" ht="18.75" x14ac:dyDescent="0.25">
      <c r="A285" s="20"/>
      <c r="B285" s="25"/>
      <c r="C285" s="11"/>
      <c r="D285" s="49"/>
      <c r="E285" s="49"/>
      <c r="F285" s="80"/>
      <c r="G285" s="81"/>
      <c r="H285" s="81"/>
      <c r="I285" s="54"/>
      <c r="J285" s="54"/>
      <c r="K285" s="54"/>
      <c r="L285" s="72">
        <v>2496</v>
      </c>
      <c r="M285" s="73" t="s">
        <v>139</v>
      </c>
      <c r="N285" s="73" t="s">
        <v>34</v>
      </c>
      <c r="O285" s="50">
        <v>1</v>
      </c>
      <c r="P285" s="50"/>
      <c r="Q285" s="50"/>
      <c r="R285" s="24"/>
      <c r="S285" s="166"/>
      <c r="U285" s="5"/>
      <c r="V285" s="5"/>
    </row>
    <row r="286" spans="1:22" ht="18.75" x14ac:dyDescent="0.25">
      <c r="A286" s="20"/>
      <c r="B286" s="25"/>
      <c r="C286" s="11"/>
      <c r="D286" s="49"/>
      <c r="E286" s="49"/>
      <c r="F286" s="80"/>
      <c r="G286" s="81"/>
      <c r="H286" s="81"/>
      <c r="I286" s="54"/>
      <c r="J286" s="54"/>
      <c r="K286" s="54"/>
      <c r="L286" s="72" t="s">
        <v>826</v>
      </c>
      <c r="M286" s="73" t="s">
        <v>827</v>
      </c>
      <c r="N286" s="73" t="s">
        <v>34</v>
      </c>
      <c r="O286" s="50">
        <v>1</v>
      </c>
      <c r="P286" s="50"/>
      <c r="Q286" s="50"/>
      <c r="R286" s="24"/>
      <c r="S286" s="166"/>
      <c r="U286" s="5"/>
      <c r="V286" s="5"/>
    </row>
    <row r="287" spans="1:22" ht="18.75" x14ac:dyDescent="0.25">
      <c r="A287" s="20"/>
      <c r="B287" s="25"/>
      <c r="C287" s="11"/>
      <c r="D287" s="49"/>
      <c r="E287" s="49"/>
      <c r="F287" s="80"/>
      <c r="G287" s="81"/>
      <c r="H287" s="81"/>
      <c r="I287" s="54"/>
      <c r="J287" s="54"/>
      <c r="K287" s="54"/>
      <c r="L287" s="72">
        <v>17163</v>
      </c>
      <c r="M287" s="73" t="s">
        <v>828</v>
      </c>
      <c r="N287" s="73" t="s">
        <v>34</v>
      </c>
      <c r="O287" s="50">
        <v>1</v>
      </c>
      <c r="P287" s="50"/>
      <c r="Q287" s="50"/>
      <c r="R287" s="24"/>
      <c r="S287" s="166"/>
      <c r="U287" s="5"/>
      <c r="V287" s="5"/>
    </row>
    <row r="288" spans="1:22" ht="18.75" x14ac:dyDescent="0.25">
      <c r="A288" s="20"/>
      <c r="B288" s="25"/>
      <c r="C288" s="11"/>
      <c r="D288" s="49"/>
      <c r="E288" s="49"/>
      <c r="F288" s="80"/>
      <c r="G288" s="81"/>
      <c r="H288" s="81"/>
      <c r="I288" s="54"/>
      <c r="J288" s="54"/>
      <c r="K288" s="54"/>
      <c r="L288" s="72">
        <v>2830</v>
      </c>
      <c r="M288" s="73" t="s">
        <v>829</v>
      </c>
      <c r="N288" s="73" t="s">
        <v>34</v>
      </c>
      <c r="O288" s="50">
        <v>1</v>
      </c>
      <c r="P288" s="50"/>
      <c r="Q288" s="50"/>
      <c r="R288" s="24"/>
      <c r="S288" s="166"/>
      <c r="U288" s="5"/>
      <c r="V288" s="5"/>
    </row>
    <row r="289" spans="1:22" ht="18.75" x14ac:dyDescent="0.25">
      <c r="A289" s="20"/>
      <c r="B289" s="25"/>
      <c r="C289" s="11"/>
      <c r="D289" s="49"/>
      <c r="E289" s="49"/>
      <c r="F289" s="80"/>
      <c r="G289" s="81"/>
      <c r="H289" s="81"/>
      <c r="I289" s="54"/>
      <c r="J289" s="54"/>
      <c r="K289" s="54"/>
      <c r="L289" s="72">
        <v>10881</v>
      </c>
      <c r="M289" s="73" t="s">
        <v>148</v>
      </c>
      <c r="N289" s="73" t="s">
        <v>147</v>
      </c>
      <c r="O289" s="50">
        <v>1</v>
      </c>
      <c r="P289" s="50"/>
      <c r="Q289" s="50"/>
      <c r="R289" s="24"/>
      <c r="S289" s="166"/>
      <c r="U289" s="5"/>
      <c r="V289" s="5"/>
    </row>
    <row r="290" spans="1:22" ht="18.75" x14ac:dyDescent="0.25">
      <c r="A290" s="20"/>
      <c r="B290" s="25"/>
      <c r="C290" s="11"/>
      <c r="D290" s="49"/>
      <c r="E290" s="49"/>
      <c r="F290" s="80"/>
      <c r="G290" s="81"/>
      <c r="H290" s="81"/>
      <c r="I290" s="54"/>
      <c r="J290" s="54"/>
      <c r="K290" s="54"/>
      <c r="L290" s="72">
        <v>2888</v>
      </c>
      <c r="M290" s="73" t="s">
        <v>835</v>
      </c>
      <c r="N290" s="73" t="s">
        <v>147</v>
      </c>
      <c r="O290" s="50">
        <v>1</v>
      </c>
      <c r="P290" s="50"/>
      <c r="Q290" s="50"/>
      <c r="R290" s="24"/>
      <c r="S290" s="166"/>
      <c r="U290" s="5"/>
      <c r="V290" s="5"/>
    </row>
    <row r="291" spans="1:22" ht="18.75" x14ac:dyDescent="0.25">
      <c r="A291" s="20"/>
      <c r="B291" s="25"/>
      <c r="C291" s="11"/>
      <c r="D291" s="49"/>
      <c r="E291" s="49"/>
      <c r="F291" s="80"/>
      <c r="G291" s="81"/>
      <c r="H291" s="81"/>
      <c r="I291" s="54"/>
      <c r="J291" s="54"/>
      <c r="K291" s="54"/>
      <c r="L291" s="72">
        <v>4402</v>
      </c>
      <c r="M291" s="73" t="s">
        <v>837</v>
      </c>
      <c r="N291" s="73" t="s">
        <v>147</v>
      </c>
      <c r="O291" s="50">
        <v>1</v>
      </c>
      <c r="P291" s="50"/>
      <c r="Q291" s="50"/>
      <c r="R291" s="24"/>
      <c r="S291" s="166"/>
      <c r="U291" s="5"/>
      <c r="V291" s="5"/>
    </row>
    <row r="292" spans="1:22" ht="18.75" x14ac:dyDescent="0.25">
      <c r="A292" s="20"/>
      <c r="B292" s="25"/>
      <c r="C292" s="11"/>
      <c r="D292" s="49"/>
      <c r="E292" s="49"/>
      <c r="F292" s="80"/>
      <c r="G292" s="81"/>
      <c r="H292" s="81"/>
      <c r="I292" s="54"/>
      <c r="J292" s="54"/>
      <c r="K292" s="54"/>
      <c r="L292" s="72">
        <v>3662</v>
      </c>
      <c r="M292" s="73" t="s">
        <v>838</v>
      </c>
      <c r="N292" s="73" t="s">
        <v>34</v>
      </c>
      <c r="O292" s="50">
        <v>4</v>
      </c>
      <c r="P292" s="50"/>
      <c r="Q292" s="50"/>
      <c r="R292" s="24"/>
      <c r="S292" s="166"/>
      <c r="U292" s="5"/>
      <c r="V292" s="5"/>
    </row>
    <row r="293" spans="1:22" ht="18.75" x14ac:dyDescent="0.25">
      <c r="A293" s="20"/>
      <c r="B293" s="25"/>
      <c r="C293" s="11"/>
      <c r="D293" s="49"/>
      <c r="E293" s="49"/>
      <c r="F293" s="80"/>
      <c r="G293" s="81"/>
      <c r="H293" s="81"/>
      <c r="I293" s="54"/>
      <c r="J293" s="54"/>
      <c r="K293" s="54"/>
      <c r="L293" s="72">
        <v>13138</v>
      </c>
      <c r="M293" s="73" t="s">
        <v>659</v>
      </c>
      <c r="N293" s="73" t="s">
        <v>34</v>
      </c>
      <c r="O293" s="50">
        <v>1</v>
      </c>
      <c r="P293" s="50"/>
      <c r="Q293" s="50"/>
      <c r="R293" s="24"/>
      <c r="S293" s="166"/>
      <c r="U293" s="5"/>
      <c r="V293" s="5"/>
    </row>
    <row r="294" spans="1:22" ht="18.75" x14ac:dyDescent="0.25">
      <c r="A294" s="20"/>
      <c r="B294" s="25"/>
      <c r="C294" s="11"/>
      <c r="D294" s="49"/>
      <c r="E294" s="49"/>
      <c r="F294" s="80"/>
      <c r="G294" s="81"/>
      <c r="H294" s="81"/>
      <c r="I294" s="54"/>
      <c r="J294" s="54"/>
      <c r="K294" s="54"/>
      <c r="L294" s="72">
        <v>2450</v>
      </c>
      <c r="M294" s="73" t="s">
        <v>839</v>
      </c>
      <c r="N294" s="73" t="s">
        <v>147</v>
      </c>
      <c r="O294" s="50">
        <v>1</v>
      </c>
      <c r="P294" s="50"/>
      <c r="Q294" s="50"/>
      <c r="R294" s="24"/>
      <c r="S294" s="166"/>
      <c r="U294" s="5"/>
      <c r="V294" s="5"/>
    </row>
    <row r="295" spans="1:22" ht="30" x14ac:dyDescent="0.25">
      <c r="A295" s="20"/>
      <c r="B295" s="25"/>
      <c r="C295" s="11"/>
      <c r="D295" s="49"/>
      <c r="E295" s="49"/>
      <c r="F295" s="80"/>
      <c r="G295" s="81"/>
      <c r="H295" s="81"/>
      <c r="I295" s="54"/>
      <c r="J295" s="54"/>
      <c r="K295" s="54"/>
      <c r="L295" s="72">
        <v>17512</v>
      </c>
      <c r="M295" s="73" t="s">
        <v>840</v>
      </c>
      <c r="N295" s="73" t="s">
        <v>147</v>
      </c>
      <c r="O295" s="50">
        <v>2</v>
      </c>
      <c r="P295" s="50"/>
      <c r="Q295" s="50"/>
      <c r="R295" s="24"/>
      <c r="S295" s="166"/>
      <c r="U295" s="5"/>
      <c r="V295" s="5"/>
    </row>
    <row r="296" spans="1:22" ht="18.75" x14ac:dyDescent="0.25">
      <c r="A296" s="20"/>
      <c r="B296" s="25"/>
      <c r="C296" s="11"/>
      <c r="D296" s="49"/>
      <c r="E296" s="49"/>
      <c r="F296" s="80"/>
      <c r="G296" s="81"/>
      <c r="H296" s="81"/>
      <c r="I296" s="54"/>
      <c r="J296" s="54"/>
      <c r="K296" s="54"/>
      <c r="L296" s="72" t="s">
        <v>842</v>
      </c>
      <c r="M296" s="73" t="s">
        <v>843</v>
      </c>
      <c r="N296" s="73" t="s">
        <v>34</v>
      </c>
      <c r="O296" s="50">
        <v>3</v>
      </c>
      <c r="P296" s="50"/>
      <c r="Q296" s="50"/>
      <c r="R296" s="24"/>
      <c r="S296" s="166"/>
      <c r="U296" s="5"/>
      <c r="V296" s="5"/>
    </row>
    <row r="297" spans="1:22" ht="18.75" x14ac:dyDescent="0.25">
      <c r="A297" s="20"/>
      <c r="B297" s="25"/>
      <c r="C297" s="11"/>
      <c r="D297" s="49"/>
      <c r="E297" s="49"/>
      <c r="F297" s="80"/>
      <c r="G297" s="81"/>
      <c r="H297" s="81"/>
      <c r="I297" s="54"/>
      <c r="J297" s="54"/>
      <c r="K297" s="54"/>
      <c r="L297" s="72">
        <v>9099</v>
      </c>
      <c r="M297" s="73" t="s">
        <v>844</v>
      </c>
      <c r="N297" s="73" t="s">
        <v>34</v>
      </c>
      <c r="O297" s="50">
        <v>1</v>
      </c>
      <c r="P297" s="50"/>
      <c r="Q297" s="50"/>
      <c r="R297" s="24"/>
      <c r="S297" s="166"/>
      <c r="U297" s="5"/>
      <c r="V297" s="5"/>
    </row>
    <row r="298" spans="1:22" ht="18.75" x14ac:dyDescent="0.25">
      <c r="A298" s="20"/>
      <c r="B298" s="25"/>
      <c r="C298" s="11"/>
      <c r="D298" s="49"/>
      <c r="E298" s="49"/>
      <c r="F298" s="80"/>
      <c r="G298" s="81"/>
      <c r="H298" s="81"/>
      <c r="I298" s="54"/>
      <c r="J298" s="54"/>
      <c r="K298" s="54"/>
      <c r="L298" s="72">
        <v>3333</v>
      </c>
      <c r="M298" s="73" t="s">
        <v>845</v>
      </c>
      <c r="N298" s="73" t="s">
        <v>34</v>
      </c>
      <c r="O298" s="50">
        <v>1</v>
      </c>
      <c r="P298" s="50"/>
      <c r="Q298" s="50"/>
      <c r="R298" s="24"/>
      <c r="S298" s="166"/>
      <c r="U298" s="5"/>
      <c r="V298" s="5"/>
    </row>
    <row r="299" spans="1:22" ht="18.75" x14ac:dyDescent="0.25">
      <c r="A299" s="20"/>
      <c r="B299" s="25"/>
      <c r="C299" s="11"/>
      <c r="D299" s="49"/>
      <c r="E299" s="49"/>
      <c r="F299" s="80"/>
      <c r="G299" s="81"/>
      <c r="H299" s="81"/>
      <c r="I299" s="54"/>
      <c r="J299" s="54"/>
      <c r="K299" s="54"/>
      <c r="L299" s="72" t="s">
        <v>846</v>
      </c>
      <c r="M299" s="73" t="s">
        <v>847</v>
      </c>
      <c r="N299" s="73" t="s">
        <v>34</v>
      </c>
      <c r="O299" s="50">
        <v>1</v>
      </c>
      <c r="P299" s="50"/>
      <c r="Q299" s="50"/>
      <c r="R299" s="24"/>
      <c r="S299" s="166"/>
      <c r="U299" s="5"/>
      <c r="V299" s="5"/>
    </row>
    <row r="300" spans="1:22" ht="18.75" x14ac:dyDescent="0.25">
      <c r="A300" s="20"/>
      <c r="B300" s="25"/>
      <c r="C300" s="11"/>
      <c r="D300" s="49"/>
      <c r="E300" s="49"/>
      <c r="F300" s="80"/>
      <c r="G300" s="81"/>
      <c r="H300" s="81"/>
      <c r="I300" s="54"/>
      <c r="J300" s="54"/>
      <c r="K300" s="54"/>
      <c r="L300" s="72">
        <v>18267</v>
      </c>
      <c r="M300" s="73" t="s">
        <v>848</v>
      </c>
      <c r="N300" s="73" t="s">
        <v>34</v>
      </c>
      <c r="O300" s="50">
        <v>1</v>
      </c>
      <c r="P300" s="50"/>
      <c r="Q300" s="50"/>
      <c r="R300" s="24"/>
      <c r="S300" s="166"/>
      <c r="U300" s="5"/>
      <c r="V300" s="5"/>
    </row>
    <row r="301" spans="1:22" ht="18.75" x14ac:dyDescent="0.25">
      <c r="A301" s="20"/>
      <c r="B301" s="25"/>
      <c r="C301" s="11"/>
      <c r="D301" s="49"/>
      <c r="E301" s="49"/>
      <c r="F301" s="80"/>
      <c r="G301" s="81"/>
      <c r="H301" s="81"/>
      <c r="I301" s="54"/>
      <c r="J301" s="54"/>
      <c r="K301" s="54"/>
      <c r="L301" s="72">
        <v>12663</v>
      </c>
      <c r="M301" s="73" t="s">
        <v>851</v>
      </c>
      <c r="N301" s="73" t="s">
        <v>34</v>
      </c>
      <c r="O301" s="50">
        <v>1</v>
      </c>
      <c r="P301" s="50"/>
      <c r="Q301" s="50"/>
      <c r="R301" s="24"/>
      <c r="S301" s="166"/>
      <c r="U301" s="5"/>
      <c r="V301" s="5"/>
    </row>
    <row r="302" spans="1:22" ht="18.75" x14ac:dyDescent="0.25">
      <c r="A302" s="20"/>
      <c r="B302" s="25"/>
      <c r="C302" s="11"/>
      <c r="D302" s="49"/>
      <c r="E302" s="49"/>
      <c r="F302" s="80"/>
      <c r="G302" s="81"/>
      <c r="H302" s="81"/>
      <c r="I302" s="54"/>
      <c r="J302" s="54"/>
      <c r="K302" s="54"/>
      <c r="L302" s="72" t="s">
        <v>150</v>
      </c>
      <c r="M302" s="73" t="s">
        <v>852</v>
      </c>
      <c r="N302" s="73" t="s">
        <v>34</v>
      </c>
      <c r="O302" s="50">
        <v>1</v>
      </c>
      <c r="P302" s="50"/>
      <c r="Q302" s="50"/>
      <c r="R302" s="24"/>
      <c r="S302" s="166"/>
      <c r="U302" s="5"/>
      <c r="V302" s="5"/>
    </row>
    <row r="303" spans="1:22" ht="18.75" x14ac:dyDescent="0.25">
      <c r="A303" s="20"/>
      <c r="B303" s="25"/>
      <c r="C303" s="11"/>
      <c r="D303" s="49"/>
      <c r="E303" s="49"/>
      <c r="F303" s="80"/>
      <c r="G303" s="81"/>
      <c r="H303" s="81"/>
      <c r="I303" s="54"/>
      <c r="J303" s="54"/>
      <c r="K303" s="54"/>
      <c r="L303" s="72" t="s">
        <v>853</v>
      </c>
      <c r="M303" s="73" t="s">
        <v>854</v>
      </c>
      <c r="N303" s="73" t="s">
        <v>34</v>
      </c>
      <c r="O303" s="50">
        <v>1</v>
      </c>
      <c r="P303" s="50"/>
      <c r="Q303" s="50"/>
      <c r="R303" s="24"/>
      <c r="S303" s="166"/>
      <c r="U303" s="5"/>
      <c r="V303" s="5"/>
    </row>
    <row r="304" spans="1:22" ht="18.75" x14ac:dyDescent="0.25">
      <c r="A304" s="20"/>
      <c r="B304" s="25"/>
      <c r="C304" s="11"/>
      <c r="D304" s="49"/>
      <c r="E304" s="49"/>
      <c r="F304" s="80"/>
      <c r="G304" s="81"/>
      <c r="H304" s="81"/>
      <c r="I304" s="54"/>
      <c r="J304" s="54"/>
      <c r="K304" s="54"/>
      <c r="L304" s="72" t="s">
        <v>855</v>
      </c>
      <c r="M304" s="73" t="s">
        <v>856</v>
      </c>
      <c r="N304" s="73" t="s">
        <v>34</v>
      </c>
      <c r="O304" s="50">
        <v>1</v>
      </c>
      <c r="P304" s="50"/>
      <c r="Q304" s="50"/>
      <c r="R304" s="24"/>
      <c r="S304" s="166"/>
      <c r="U304" s="5"/>
      <c r="V304" s="5"/>
    </row>
    <row r="305" spans="1:22" ht="18.75" x14ac:dyDescent="0.25">
      <c r="A305" s="20"/>
      <c r="B305" s="25"/>
      <c r="C305" s="11"/>
      <c r="D305" s="49"/>
      <c r="E305" s="49"/>
      <c r="F305" s="80"/>
      <c r="G305" s="81"/>
      <c r="H305" s="81"/>
      <c r="I305" s="54"/>
      <c r="J305" s="54"/>
      <c r="K305" s="54"/>
      <c r="L305" s="72" t="s">
        <v>857</v>
      </c>
      <c r="M305" s="73" t="s">
        <v>858</v>
      </c>
      <c r="N305" s="73" t="s">
        <v>34</v>
      </c>
      <c r="O305" s="50">
        <v>1</v>
      </c>
      <c r="P305" s="50"/>
      <c r="Q305" s="50"/>
      <c r="R305" s="24"/>
      <c r="S305" s="166"/>
      <c r="U305" s="5"/>
      <c r="V305" s="5"/>
    </row>
    <row r="306" spans="1:22" ht="18.75" x14ac:dyDescent="0.25">
      <c r="A306" s="20"/>
      <c r="B306" s="25"/>
      <c r="C306" s="11"/>
      <c r="D306" s="49"/>
      <c r="E306" s="49"/>
      <c r="F306" s="80"/>
      <c r="G306" s="81"/>
      <c r="H306" s="81"/>
      <c r="I306" s="54"/>
      <c r="J306" s="54"/>
      <c r="K306" s="54"/>
      <c r="L306" s="72" t="s">
        <v>859</v>
      </c>
      <c r="M306" s="73" t="s">
        <v>860</v>
      </c>
      <c r="N306" s="73" t="s">
        <v>34</v>
      </c>
      <c r="O306" s="50">
        <v>3</v>
      </c>
      <c r="P306" s="50"/>
      <c r="Q306" s="50"/>
      <c r="R306" s="24"/>
      <c r="S306" s="166"/>
      <c r="U306" s="5"/>
      <c r="V306" s="5"/>
    </row>
    <row r="307" spans="1:22" ht="18.75" x14ac:dyDescent="0.25">
      <c r="A307" s="20"/>
      <c r="B307" s="25"/>
      <c r="C307" s="11"/>
      <c r="D307" s="49"/>
      <c r="E307" s="49"/>
      <c r="F307" s="80"/>
      <c r="G307" s="81"/>
      <c r="H307" s="81"/>
      <c r="I307" s="54"/>
      <c r="J307" s="54"/>
      <c r="K307" s="54"/>
      <c r="L307" s="72" t="s">
        <v>861</v>
      </c>
      <c r="M307" s="73" t="s">
        <v>862</v>
      </c>
      <c r="N307" s="73" t="s">
        <v>34</v>
      </c>
      <c r="O307" s="50">
        <v>1</v>
      </c>
      <c r="P307" s="50"/>
      <c r="Q307" s="50"/>
      <c r="R307" s="24"/>
      <c r="S307" s="166"/>
      <c r="U307" s="5"/>
      <c r="V307" s="5"/>
    </row>
    <row r="308" spans="1:22" ht="18.75" x14ac:dyDescent="0.25">
      <c r="A308" s="20"/>
      <c r="B308" s="25"/>
      <c r="C308" s="11"/>
      <c r="D308" s="49"/>
      <c r="E308" s="49"/>
      <c r="F308" s="80"/>
      <c r="G308" s="81"/>
      <c r="H308" s="81"/>
      <c r="I308" s="54"/>
      <c r="J308" s="54"/>
      <c r="K308" s="54"/>
      <c r="L308" s="72" t="s">
        <v>863</v>
      </c>
      <c r="M308" s="73" t="s">
        <v>864</v>
      </c>
      <c r="N308" s="73" t="s">
        <v>34</v>
      </c>
      <c r="O308" s="50">
        <v>2</v>
      </c>
      <c r="P308" s="50"/>
      <c r="Q308" s="50"/>
      <c r="R308" s="24"/>
      <c r="S308" s="166"/>
      <c r="U308" s="5"/>
      <c r="V308" s="5"/>
    </row>
    <row r="309" spans="1:22" ht="18.75" x14ac:dyDescent="0.25">
      <c r="A309" s="20"/>
      <c r="B309" s="25"/>
      <c r="C309" s="11"/>
      <c r="D309" s="49"/>
      <c r="E309" s="49"/>
      <c r="F309" s="80"/>
      <c r="G309" s="81"/>
      <c r="H309" s="81"/>
      <c r="I309" s="54"/>
      <c r="J309" s="54"/>
      <c r="K309" s="54"/>
      <c r="L309" s="72" t="s">
        <v>865</v>
      </c>
      <c r="M309" s="73" t="s">
        <v>866</v>
      </c>
      <c r="N309" s="73" t="s">
        <v>34</v>
      </c>
      <c r="O309" s="50">
        <v>4</v>
      </c>
      <c r="P309" s="50"/>
      <c r="Q309" s="50"/>
      <c r="R309" s="24"/>
      <c r="S309" s="166"/>
      <c r="U309" s="5"/>
      <c r="V309" s="5"/>
    </row>
    <row r="310" spans="1:22" ht="18.75" x14ac:dyDescent="0.25">
      <c r="A310" s="20"/>
      <c r="B310" s="25"/>
      <c r="C310" s="11"/>
      <c r="D310" s="49"/>
      <c r="E310" s="49"/>
      <c r="F310" s="80"/>
      <c r="G310" s="81"/>
      <c r="H310" s="81"/>
      <c r="I310" s="54"/>
      <c r="J310" s="54"/>
      <c r="K310" s="54"/>
      <c r="L310" s="72" t="s">
        <v>868</v>
      </c>
      <c r="M310" s="73" t="s">
        <v>869</v>
      </c>
      <c r="N310" s="73" t="s">
        <v>64</v>
      </c>
      <c r="O310" s="50">
        <v>1</v>
      </c>
      <c r="P310" s="50"/>
      <c r="Q310" s="50"/>
      <c r="R310" s="24"/>
      <c r="S310" s="166"/>
      <c r="U310" s="5"/>
      <c r="V310" s="5"/>
    </row>
    <row r="311" spans="1:22" ht="18.75" x14ac:dyDescent="0.25">
      <c r="A311" s="20"/>
      <c r="B311" s="25"/>
      <c r="C311" s="11"/>
      <c r="D311" s="49"/>
      <c r="E311" s="49"/>
      <c r="F311" s="80"/>
      <c r="G311" s="81"/>
      <c r="H311" s="81"/>
      <c r="I311" s="54"/>
      <c r="J311" s="54"/>
      <c r="K311" s="54"/>
      <c r="L311" s="72">
        <v>13182</v>
      </c>
      <c r="M311" s="73" t="s">
        <v>675</v>
      </c>
      <c r="N311" s="73" t="s">
        <v>34</v>
      </c>
      <c r="O311" s="50">
        <v>2</v>
      </c>
      <c r="P311" s="50"/>
      <c r="Q311" s="50"/>
      <c r="R311" s="24"/>
      <c r="S311" s="166"/>
      <c r="U311" s="5"/>
      <c r="V311" s="5"/>
    </row>
    <row r="312" spans="1:22" ht="18.75" x14ac:dyDescent="0.25">
      <c r="A312" s="20"/>
      <c r="B312" s="25"/>
      <c r="C312" s="11"/>
      <c r="D312" s="49"/>
      <c r="E312" s="49"/>
      <c r="F312" s="80"/>
      <c r="G312" s="81"/>
      <c r="H312" s="81"/>
      <c r="I312" s="54"/>
      <c r="J312" s="54"/>
      <c r="K312" s="54"/>
      <c r="L312" s="72">
        <v>13183</v>
      </c>
      <c r="M312" s="73" t="s">
        <v>152</v>
      </c>
      <c r="N312" s="73" t="s">
        <v>34</v>
      </c>
      <c r="O312" s="50">
        <v>1</v>
      </c>
      <c r="P312" s="50"/>
      <c r="Q312" s="50"/>
      <c r="R312" s="24"/>
      <c r="S312" s="166"/>
      <c r="U312" s="5"/>
      <c r="V312" s="5"/>
    </row>
    <row r="313" spans="1:22" ht="18.75" x14ac:dyDescent="0.25">
      <c r="A313" s="20"/>
      <c r="B313" s="25"/>
      <c r="C313" s="11"/>
      <c r="D313" s="49"/>
      <c r="E313" s="49"/>
      <c r="F313" s="80"/>
      <c r="G313" s="81"/>
      <c r="H313" s="81"/>
      <c r="I313" s="54"/>
      <c r="J313" s="54"/>
      <c r="K313" s="54"/>
      <c r="L313" s="72" t="s">
        <v>870</v>
      </c>
      <c r="M313" s="73" t="s">
        <v>871</v>
      </c>
      <c r="N313" s="73" t="s">
        <v>34</v>
      </c>
      <c r="O313" s="50">
        <v>2</v>
      </c>
      <c r="P313" s="50"/>
      <c r="Q313" s="50"/>
      <c r="R313" s="24"/>
      <c r="S313" s="166"/>
      <c r="U313" s="5"/>
      <c r="V313" s="5"/>
    </row>
    <row r="314" spans="1:22" ht="18.75" x14ac:dyDescent="0.25">
      <c r="A314" s="20"/>
      <c r="B314" s="25"/>
      <c r="C314" s="11"/>
      <c r="D314" s="49"/>
      <c r="E314" s="49"/>
      <c r="F314" s="80"/>
      <c r="G314" s="81"/>
      <c r="H314" s="81"/>
      <c r="I314" s="54"/>
      <c r="J314" s="54"/>
      <c r="K314" s="54"/>
      <c r="L314" s="72" t="s">
        <v>872</v>
      </c>
      <c r="M314" s="73" t="s">
        <v>873</v>
      </c>
      <c r="N314" s="73" t="s">
        <v>34</v>
      </c>
      <c r="O314" s="50">
        <v>3</v>
      </c>
      <c r="P314" s="50"/>
      <c r="Q314" s="50"/>
      <c r="R314" s="24"/>
      <c r="S314" s="166"/>
      <c r="U314" s="5"/>
      <c r="V314" s="5"/>
    </row>
    <row r="315" spans="1:22" ht="18.75" x14ac:dyDescent="0.25">
      <c r="A315" s="20"/>
      <c r="B315" s="25"/>
      <c r="C315" s="11"/>
      <c r="D315" s="49"/>
      <c r="E315" s="49"/>
      <c r="F315" s="80"/>
      <c r="G315" s="81"/>
      <c r="H315" s="81"/>
      <c r="I315" s="54"/>
      <c r="J315" s="54"/>
      <c r="K315" s="54"/>
      <c r="L315" s="72" t="s">
        <v>874</v>
      </c>
      <c r="M315" s="73" t="s">
        <v>875</v>
      </c>
      <c r="N315" s="73" t="s">
        <v>34</v>
      </c>
      <c r="O315" s="50">
        <v>6</v>
      </c>
      <c r="P315" s="50"/>
      <c r="Q315" s="50"/>
      <c r="R315" s="24"/>
      <c r="S315" s="166"/>
      <c r="U315" s="5"/>
      <c r="V315" s="5"/>
    </row>
    <row r="316" spans="1:22" ht="18.75" x14ac:dyDescent="0.25">
      <c r="A316" s="20"/>
      <c r="B316" s="25"/>
      <c r="C316" s="11"/>
      <c r="D316" s="49"/>
      <c r="E316" s="49"/>
      <c r="F316" s="80"/>
      <c r="G316" s="81"/>
      <c r="H316" s="81"/>
      <c r="I316" s="54"/>
      <c r="J316" s="54"/>
      <c r="K316" s="54"/>
      <c r="L316" s="72">
        <v>14995</v>
      </c>
      <c r="M316" s="73" t="s">
        <v>876</v>
      </c>
      <c r="N316" s="73" t="s">
        <v>34</v>
      </c>
      <c r="O316" s="50">
        <v>1</v>
      </c>
      <c r="P316" s="50"/>
      <c r="Q316" s="50"/>
      <c r="R316" s="24"/>
      <c r="S316" s="166"/>
      <c r="U316" s="5"/>
      <c r="V316" s="5"/>
    </row>
    <row r="317" spans="1:22" ht="18.75" x14ac:dyDescent="0.25">
      <c r="A317" s="20"/>
      <c r="B317" s="25"/>
      <c r="C317" s="11"/>
      <c r="D317" s="49"/>
      <c r="E317" s="49"/>
      <c r="F317" s="80"/>
      <c r="G317" s="81"/>
      <c r="H317" s="81"/>
      <c r="I317" s="54"/>
      <c r="J317" s="54"/>
      <c r="K317" s="54"/>
      <c r="L317" s="72">
        <v>14993</v>
      </c>
      <c r="M317" s="73" t="s">
        <v>877</v>
      </c>
      <c r="N317" s="73" t="s">
        <v>34</v>
      </c>
      <c r="O317" s="50">
        <v>1</v>
      </c>
      <c r="P317" s="50"/>
      <c r="Q317" s="50"/>
      <c r="R317" s="24"/>
      <c r="S317" s="166"/>
      <c r="U317" s="5"/>
      <c r="V317" s="5"/>
    </row>
    <row r="318" spans="1:22" ht="18.75" x14ac:dyDescent="0.25">
      <c r="A318" s="20"/>
      <c r="B318" s="25"/>
      <c r="C318" s="11"/>
      <c r="D318" s="49"/>
      <c r="E318" s="49"/>
      <c r="F318" s="80"/>
      <c r="G318" s="81"/>
      <c r="H318" s="81"/>
      <c r="I318" s="54"/>
      <c r="J318" s="54"/>
      <c r="K318" s="54"/>
      <c r="L318" s="72" t="s">
        <v>878</v>
      </c>
      <c r="M318" s="73" t="s">
        <v>879</v>
      </c>
      <c r="N318" s="73" t="s">
        <v>34</v>
      </c>
      <c r="O318" s="50">
        <v>3</v>
      </c>
      <c r="P318" s="50"/>
      <c r="Q318" s="50"/>
      <c r="R318" s="24"/>
      <c r="S318" s="166"/>
      <c r="U318" s="5"/>
      <c r="V318" s="5"/>
    </row>
    <row r="319" spans="1:22" ht="18.75" x14ac:dyDescent="0.25">
      <c r="A319" s="20"/>
      <c r="B319" s="25"/>
      <c r="C319" s="11"/>
      <c r="D319" s="49"/>
      <c r="E319" s="49"/>
      <c r="F319" s="80"/>
      <c r="G319" s="81"/>
      <c r="H319" s="81"/>
      <c r="I319" s="54"/>
      <c r="J319" s="54"/>
      <c r="K319" s="54"/>
      <c r="L319" s="72">
        <v>7594</v>
      </c>
      <c r="M319" s="73" t="s">
        <v>880</v>
      </c>
      <c r="N319" s="73" t="s">
        <v>34</v>
      </c>
      <c r="O319" s="50">
        <v>2</v>
      </c>
      <c r="P319" s="50"/>
      <c r="Q319" s="50"/>
      <c r="R319" s="24"/>
      <c r="S319" s="166"/>
      <c r="U319" s="5"/>
      <c r="V319" s="5"/>
    </row>
    <row r="320" spans="1:22" ht="18.75" x14ac:dyDescent="0.25">
      <c r="A320" s="20"/>
      <c r="B320" s="25"/>
      <c r="C320" s="11"/>
      <c r="D320" s="49"/>
      <c r="E320" s="49"/>
      <c r="F320" s="80"/>
      <c r="G320" s="81"/>
      <c r="H320" s="81"/>
      <c r="I320" s="54"/>
      <c r="J320" s="54"/>
      <c r="K320" s="54"/>
      <c r="L320" s="72">
        <v>21892</v>
      </c>
      <c r="M320" s="73" t="s">
        <v>97</v>
      </c>
      <c r="N320" s="73" t="s">
        <v>34</v>
      </c>
      <c r="O320" s="50">
        <v>4</v>
      </c>
      <c r="P320" s="50"/>
      <c r="Q320" s="50"/>
      <c r="R320" s="24"/>
      <c r="S320" s="166"/>
      <c r="U320" s="5"/>
      <c r="V320" s="5"/>
    </row>
    <row r="321" spans="1:22" ht="18.75" x14ac:dyDescent="0.25">
      <c r="A321" s="20"/>
      <c r="B321" s="25"/>
      <c r="C321" s="11"/>
      <c r="D321" s="49"/>
      <c r="E321" s="49"/>
      <c r="F321" s="80"/>
      <c r="G321" s="81"/>
      <c r="H321" s="81"/>
      <c r="I321" s="54"/>
      <c r="J321" s="54"/>
      <c r="K321" s="54"/>
      <c r="L321" s="72">
        <v>8068</v>
      </c>
      <c r="M321" s="73" t="s">
        <v>881</v>
      </c>
      <c r="N321" s="73" t="s">
        <v>34</v>
      </c>
      <c r="O321" s="50">
        <v>14</v>
      </c>
      <c r="P321" s="50"/>
      <c r="Q321" s="50"/>
      <c r="R321" s="24"/>
      <c r="S321" s="166"/>
      <c r="U321" s="5"/>
      <c r="V321" s="5"/>
    </row>
    <row r="322" spans="1:22" ht="18.75" x14ac:dyDescent="0.25">
      <c r="A322" s="20"/>
      <c r="B322" s="25"/>
      <c r="C322" s="11"/>
      <c r="D322" s="49"/>
      <c r="E322" s="49"/>
      <c r="F322" s="80"/>
      <c r="G322" s="81"/>
      <c r="H322" s="81"/>
      <c r="I322" s="54"/>
      <c r="J322" s="54"/>
      <c r="K322" s="54"/>
      <c r="L322" s="72" t="s">
        <v>882</v>
      </c>
      <c r="M322" s="73" t="s">
        <v>883</v>
      </c>
      <c r="N322" s="73" t="s">
        <v>34</v>
      </c>
      <c r="O322" s="50">
        <v>1</v>
      </c>
      <c r="P322" s="50"/>
      <c r="Q322" s="50"/>
      <c r="R322" s="24"/>
      <c r="S322" s="166"/>
      <c r="U322" s="5"/>
      <c r="V322" s="5"/>
    </row>
    <row r="323" spans="1:22" ht="18.75" x14ac:dyDescent="0.25">
      <c r="A323" s="20"/>
      <c r="B323" s="25"/>
      <c r="C323" s="11"/>
      <c r="D323" s="49"/>
      <c r="E323" s="49"/>
      <c r="F323" s="80"/>
      <c r="G323" s="81"/>
      <c r="H323" s="81"/>
      <c r="I323" s="54"/>
      <c r="J323" s="54"/>
      <c r="K323" s="54"/>
      <c r="L323" s="72">
        <v>9223</v>
      </c>
      <c r="M323" s="73" t="s">
        <v>884</v>
      </c>
      <c r="N323" s="73" t="s">
        <v>34</v>
      </c>
      <c r="O323" s="50">
        <v>2</v>
      </c>
      <c r="P323" s="50"/>
      <c r="Q323" s="50"/>
      <c r="R323" s="24"/>
      <c r="S323" s="166"/>
      <c r="U323" s="5"/>
      <c r="V323" s="5"/>
    </row>
    <row r="324" spans="1:22" ht="18.75" x14ac:dyDescent="0.25">
      <c r="A324" s="20"/>
      <c r="B324" s="25"/>
      <c r="C324" s="11"/>
      <c r="D324" s="49"/>
      <c r="E324" s="49"/>
      <c r="F324" s="80"/>
      <c r="G324" s="81"/>
      <c r="H324" s="81"/>
      <c r="I324" s="54"/>
      <c r="J324" s="54"/>
      <c r="K324" s="54"/>
      <c r="L324" s="72">
        <v>14443</v>
      </c>
      <c r="M324" s="73" t="s">
        <v>885</v>
      </c>
      <c r="N324" s="73" t="s">
        <v>34</v>
      </c>
      <c r="O324" s="50">
        <v>1</v>
      </c>
      <c r="P324" s="50"/>
      <c r="Q324" s="50"/>
      <c r="R324" s="24"/>
      <c r="S324" s="166"/>
      <c r="U324" s="5"/>
      <c r="V324" s="5"/>
    </row>
    <row r="325" spans="1:22" ht="18.75" x14ac:dyDescent="0.25">
      <c r="A325" s="20"/>
      <c r="B325" s="25"/>
      <c r="C325" s="11"/>
      <c r="D325" s="49"/>
      <c r="E325" s="49"/>
      <c r="F325" s="80"/>
      <c r="G325" s="81"/>
      <c r="H325" s="81"/>
      <c r="I325" s="54"/>
      <c r="J325" s="54"/>
      <c r="K325" s="54"/>
      <c r="L325" s="72">
        <v>511</v>
      </c>
      <c r="M325" s="73" t="s">
        <v>886</v>
      </c>
      <c r="N325" s="73" t="s">
        <v>34</v>
      </c>
      <c r="O325" s="50">
        <v>2</v>
      </c>
      <c r="P325" s="50"/>
      <c r="Q325" s="50"/>
      <c r="R325" s="24"/>
      <c r="S325" s="166"/>
      <c r="U325" s="5"/>
      <c r="V325" s="5"/>
    </row>
    <row r="326" spans="1:22" ht="18.75" x14ac:dyDescent="0.25">
      <c r="A326" s="20"/>
      <c r="B326" s="25"/>
      <c r="C326" s="11"/>
      <c r="D326" s="49"/>
      <c r="E326" s="49"/>
      <c r="F326" s="80"/>
      <c r="G326" s="81"/>
      <c r="H326" s="81"/>
      <c r="I326" s="54"/>
      <c r="J326" s="54"/>
      <c r="K326" s="54"/>
      <c r="L326" s="72" t="s">
        <v>710</v>
      </c>
      <c r="M326" s="73" t="s">
        <v>711</v>
      </c>
      <c r="N326" s="73" t="s">
        <v>34</v>
      </c>
      <c r="O326" s="50">
        <v>2</v>
      </c>
      <c r="P326" s="50"/>
      <c r="Q326" s="50"/>
      <c r="R326" s="24"/>
      <c r="S326" s="166"/>
      <c r="U326" s="5"/>
      <c r="V326" s="5"/>
    </row>
    <row r="327" spans="1:22" ht="18.75" x14ac:dyDescent="0.25">
      <c r="A327" s="20"/>
      <c r="B327" s="25"/>
      <c r="C327" s="11"/>
      <c r="D327" s="49"/>
      <c r="E327" s="49"/>
      <c r="F327" s="80"/>
      <c r="G327" s="81"/>
      <c r="H327" s="81"/>
      <c r="I327" s="54"/>
      <c r="J327" s="54"/>
      <c r="K327" s="54"/>
      <c r="L327" s="72">
        <v>4664</v>
      </c>
      <c r="M327" s="73" t="s">
        <v>887</v>
      </c>
      <c r="N327" s="73" t="s">
        <v>34</v>
      </c>
      <c r="O327" s="50">
        <v>4</v>
      </c>
      <c r="P327" s="50"/>
      <c r="Q327" s="50"/>
      <c r="R327" s="24"/>
      <c r="S327" s="166"/>
      <c r="U327" s="5"/>
      <c r="V327" s="5"/>
    </row>
    <row r="328" spans="1:22" ht="18.75" x14ac:dyDescent="0.25">
      <c r="A328" s="20"/>
      <c r="B328" s="25"/>
      <c r="C328" s="11"/>
      <c r="D328" s="49"/>
      <c r="E328" s="49"/>
      <c r="F328" s="80"/>
      <c r="G328" s="81"/>
      <c r="H328" s="81"/>
      <c r="I328" s="54"/>
      <c r="J328" s="54"/>
      <c r="K328" s="54"/>
      <c r="L328" s="72" t="s">
        <v>888</v>
      </c>
      <c r="M328" s="73" t="s">
        <v>889</v>
      </c>
      <c r="N328" s="73" t="s">
        <v>34</v>
      </c>
      <c r="O328" s="50">
        <v>8</v>
      </c>
      <c r="P328" s="50"/>
      <c r="Q328" s="50"/>
      <c r="R328" s="24"/>
      <c r="S328" s="166"/>
      <c r="U328" s="5"/>
      <c r="V328" s="5"/>
    </row>
    <row r="329" spans="1:22" ht="18.75" x14ac:dyDescent="0.25">
      <c r="A329" s="20"/>
      <c r="B329" s="25"/>
      <c r="C329" s="11"/>
      <c r="D329" s="49"/>
      <c r="E329" s="49"/>
      <c r="F329" s="80"/>
      <c r="G329" s="81"/>
      <c r="H329" s="81"/>
      <c r="I329" s="54"/>
      <c r="J329" s="54"/>
      <c r="K329" s="54"/>
      <c r="L329" s="72">
        <v>2294</v>
      </c>
      <c r="M329" s="73" t="s">
        <v>891</v>
      </c>
      <c r="N329" s="73" t="s">
        <v>34</v>
      </c>
      <c r="O329" s="50">
        <v>1</v>
      </c>
      <c r="P329" s="50"/>
      <c r="Q329" s="50"/>
      <c r="R329" s="24"/>
      <c r="S329" s="166"/>
      <c r="U329" s="5"/>
      <c r="V329" s="5"/>
    </row>
    <row r="330" spans="1:22" ht="18.75" x14ac:dyDescent="0.25">
      <c r="A330" s="20"/>
      <c r="B330" s="25"/>
      <c r="C330" s="11"/>
      <c r="D330" s="49"/>
      <c r="E330" s="49"/>
      <c r="F330" s="80"/>
      <c r="G330" s="81"/>
      <c r="H330" s="81"/>
      <c r="I330" s="54"/>
      <c r="J330" s="54"/>
      <c r="K330" s="54"/>
      <c r="L330" s="72">
        <v>3828</v>
      </c>
      <c r="M330" s="73" t="s">
        <v>892</v>
      </c>
      <c r="N330" s="73" t="s">
        <v>34</v>
      </c>
      <c r="O330" s="50">
        <v>1</v>
      </c>
      <c r="P330" s="50"/>
      <c r="Q330" s="50"/>
      <c r="R330" s="24"/>
      <c r="S330" s="166"/>
      <c r="U330" s="5"/>
      <c r="V330" s="5"/>
    </row>
    <row r="331" spans="1:22" ht="18.75" x14ac:dyDescent="0.25">
      <c r="A331" s="20"/>
      <c r="B331" s="25"/>
      <c r="C331" s="11"/>
      <c r="D331" s="49"/>
      <c r="E331" s="49"/>
      <c r="F331" s="80"/>
      <c r="G331" s="81"/>
      <c r="H331" s="81"/>
      <c r="I331" s="54"/>
      <c r="J331" s="54"/>
      <c r="K331" s="54"/>
      <c r="L331" s="72" t="s">
        <v>895</v>
      </c>
      <c r="M331" s="73" t="s">
        <v>896</v>
      </c>
      <c r="N331" s="73" t="s">
        <v>34</v>
      </c>
      <c r="O331" s="50">
        <v>1</v>
      </c>
      <c r="P331" s="50"/>
      <c r="Q331" s="50"/>
      <c r="R331" s="24"/>
      <c r="S331" s="166"/>
      <c r="U331" s="5"/>
      <c r="V331" s="5"/>
    </row>
    <row r="332" spans="1:22" ht="19.5" thickBot="1" x14ac:dyDescent="0.3">
      <c r="A332" s="20"/>
      <c r="B332" s="25"/>
      <c r="C332" s="11"/>
      <c r="D332" s="49"/>
      <c r="E332" s="49"/>
      <c r="F332" s="80"/>
      <c r="G332" s="81"/>
      <c r="H332" s="81"/>
      <c r="I332" s="54"/>
      <c r="J332" s="54"/>
      <c r="K332" s="54"/>
      <c r="L332" s="72"/>
      <c r="M332" s="73"/>
      <c r="N332" s="73"/>
      <c r="O332" s="50"/>
      <c r="P332" s="50"/>
      <c r="Q332" s="50"/>
      <c r="R332" s="24"/>
      <c r="S332" s="166"/>
      <c r="U332" s="5"/>
      <c r="V332" s="5"/>
    </row>
    <row r="333" spans="1:22" ht="21.75" thickBot="1" x14ac:dyDescent="0.3">
      <c r="A333" s="33"/>
      <c r="B333" s="34" t="s">
        <v>29</v>
      </c>
      <c r="C333" s="35"/>
      <c r="D333" s="36">
        <f>SUM(D250:D332)</f>
        <v>0</v>
      </c>
      <c r="E333" s="36"/>
      <c r="F333" s="76"/>
      <c r="G333" s="76"/>
      <c r="H333" s="76"/>
      <c r="I333" s="76"/>
      <c r="J333" s="76"/>
      <c r="K333" s="76"/>
      <c r="L333" s="37"/>
      <c r="M333" s="38"/>
      <c r="N333" s="38"/>
      <c r="O333" s="39">
        <f>SUM(O251:O332)</f>
        <v>187</v>
      </c>
      <c r="P333" s="39">
        <f>SUM(P251:P332)</f>
        <v>0</v>
      </c>
      <c r="Q333" s="183">
        <f>SUM(Q251:Q332)</f>
        <v>0</v>
      </c>
      <c r="R333" s="184"/>
      <c r="S333" s="165"/>
      <c r="U333" s="5"/>
      <c r="V333" s="5"/>
    </row>
    <row r="334" spans="1:22" ht="21.75" thickBot="1" x14ac:dyDescent="0.3">
      <c r="A334" s="41"/>
      <c r="B334" s="42" t="s">
        <v>30</v>
      </c>
      <c r="C334" s="43"/>
      <c r="D334" s="44">
        <f>D250+D333</f>
        <v>0</v>
      </c>
      <c r="E334" s="44"/>
      <c r="F334" s="78"/>
      <c r="G334" s="78"/>
      <c r="H334" s="78"/>
      <c r="I334" s="78"/>
      <c r="J334" s="78"/>
      <c r="K334" s="78"/>
      <c r="L334" s="45"/>
      <c r="M334" s="46"/>
      <c r="N334" s="46"/>
      <c r="O334" s="47">
        <f>O250+O333</f>
        <v>187</v>
      </c>
      <c r="P334" s="47">
        <f>P250+P333</f>
        <v>0</v>
      </c>
      <c r="Q334" s="183">
        <f>Q250+Q333</f>
        <v>0</v>
      </c>
      <c r="R334" s="184"/>
      <c r="S334" s="167"/>
    </row>
    <row r="335" spans="1:22" ht="25.15" customHeight="1" thickBot="1" x14ac:dyDescent="0.3">
      <c r="A335" s="158" t="s">
        <v>12</v>
      </c>
      <c r="B335" s="158"/>
      <c r="C335" s="158"/>
      <c r="D335" s="158"/>
      <c r="E335" s="158"/>
      <c r="F335" s="158"/>
      <c r="G335" s="158"/>
      <c r="H335" s="158"/>
      <c r="I335" s="158"/>
      <c r="J335" s="158"/>
      <c r="K335" s="158"/>
    </row>
    <row r="336" spans="1:22" ht="25.15" customHeight="1" x14ac:dyDescent="0.35">
      <c r="A336" s="168" t="s">
        <v>13</v>
      </c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58"/>
      <c r="M336" s="158"/>
      <c r="N336" s="158"/>
      <c r="O336" s="142"/>
      <c r="P336" s="142"/>
      <c r="Q336" s="185"/>
      <c r="R336" s="186"/>
      <c r="S336" s="6"/>
    </row>
    <row r="337" spans="1:19" ht="25.15" customHeight="1" x14ac:dyDescent="0.35">
      <c r="A337" s="169" t="s">
        <v>14</v>
      </c>
      <c r="B337" s="169"/>
      <c r="C337" s="169"/>
      <c r="D337" s="169"/>
      <c r="E337" s="169"/>
      <c r="F337" s="169"/>
      <c r="G337" s="169"/>
      <c r="H337" s="169"/>
      <c r="I337" s="169"/>
      <c r="J337" s="169"/>
      <c r="K337" s="169"/>
      <c r="L337" s="168"/>
      <c r="M337" s="168"/>
      <c r="N337" s="168"/>
      <c r="O337" s="142"/>
      <c r="P337" s="142"/>
      <c r="Q337" s="185"/>
      <c r="R337" s="186"/>
      <c r="S337" s="6"/>
    </row>
    <row r="338" spans="1:19" ht="25.15" customHeight="1" x14ac:dyDescent="0.35">
      <c r="A338" s="168" t="s">
        <v>15</v>
      </c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9"/>
      <c r="M338" s="169"/>
      <c r="N338" s="169"/>
      <c r="O338" s="143"/>
      <c r="P338" s="142"/>
      <c r="Q338" s="187"/>
      <c r="R338" s="186"/>
      <c r="S338" s="6"/>
    </row>
    <row r="339" spans="1:19" ht="25.15" customHeight="1" x14ac:dyDescent="0.35">
      <c r="A339" s="168" t="s">
        <v>16</v>
      </c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42"/>
      <c r="P339" s="142"/>
      <c r="Q339" s="185"/>
      <c r="R339" s="186"/>
      <c r="S339" s="6"/>
    </row>
    <row r="340" spans="1:19" ht="25.15" customHeight="1" x14ac:dyDescent="0.35">
      <c r="A340" s="168" t="s">
        <v>17</v>
      </c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42"/>
      <c r="P340" s="142"/>
      <c r="Q340" s="185"/>
      <c r="R340" s="186"/>
      <c r="S340" s="6"/>
    </row>
    <row r="341" spans="1:19" ht="25.15" customHeight="1" x14ac:dyDescent="0.35">
      <c r="A341" s="168" t="s">
        <v>18</v>
      </c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42"/>
      <c r="P341" s="142"/>
      <c r="Q341" s="185"/>
      <c r="R341" s="186"/>
      <c r="S341" s="6"/>
    </row>
    <row r="342" spans="1:19" ht="25.15" customHeight="1" x14ac:dyDescent="0.35">
      <c r="A342" s="168" t="s">
        <v>17</v>
      </c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42"/>
      <c r="P342" s="142"/>
      <c r="Q342" s="185"/>
      <c r="R342" s="186"/>
      <c r="S342" s="6"/>
    </row>
    <row r="343" spans="1:19" ht="25.15" customHeight="1" x14ac:dyDescent="0.35">
      <c r="A343" s="168" t="s">
        <v>19</v>
      </c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42"/>
      <c r="P343" s="142"/>
      <c r="Q343" s="185"/>
      <c r="R343" s="186"/>
      <c r="S343" s="6"/>
    </row>
    <row r="344" spans="1:19" ht="25.15" customHeight="1" x14ac:dyDescent="0.35">
      <c r="A344" s="168" t="s">
        <v>11</v>
      </c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42"/>
      <c r="P344" s="142"/>
      <c r="Q344" s="185"/>
      <c r="R344" s="186"/>
      <c r="S344" s="6"/>
    </row>
    <row r="345" spans="1:19" ht="25.15" customHeight="1" x14ac:dyDescent="0.35">
      <c r="A345" s="168" t="s">
        <v>32</v>
      </c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42"/>
      <c r="P345" s="142"/>
      <c r="Q345" s="185"/>
      <c r="R345" s="186"/>
      <c r="S345" s="6"/>
    </row>
    <row r="346" spans="1:19" ht="25.15" customHeight="1" x14ac:dyDescent="0.35">
      <c r="A346" s="171" t="s">
        <v>31</v>
      </c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68"/>
      <c r="M346" s="168"/>
      <c r="N346" s="168"/>
      <c r="O346" s="142"/>
      <c r="P346" s="142"/>
      <c r="Q346" s="185"/>
      <c r="R346" s="186"/>
      <c r="S346" s="6"/>
    </row>
    <row r="347" spans="1:19" ht="36" customHeight="1" x14ac:dyDescent="0.35">
      <c r="L347" s="171"/>
      <c r="M347" s="171"/>
      <c r="N347" s="171"/>
      <c r="O347" s="177"/>
      <c r="P347" s="142"/>
      <c r="Q347" s="188"/>
      <c r="R347" s="186"/>
      <c r="S347" s="6"/>
    </row>
  </sheetData>
  <autoFilter ref="L250:O331" xr:uid="{D126B37D-10B7-4780-ABCC-0886A8890B95}"/>
  <mergeCells count="24">
    <mergeCell ref="M16:Q16"/>
    <mergeCell ref="R16:R17"/>
    <mergeCell ref="F16:F17"/>
    <mergeCell ref="G16:G17"/>
    <mergeCell ref="H16:H17"/>
    <mergeCell ref="I16:I17"/>
    <mergeCell ref="J16:J17"/>
    <mergeCell ref="K16:K17"/>
    <mergeCell ref="A12:R12"/>
    <mergeCell ref="A13:R13"/>
    <mergeCell ref="A14:Q14"/>
    <mergeCell ref="A15:K15"/>
    <mergeCell ref="L15:R15"/>
    <mergeCell ref="A16:A17"/>
    <mergeCell ref="B16:B17"/>
    <mergeCell ref="C16:C17"/>
    <mergeCell ref="D16:D17"/>
    <mergeCell ref="E16:E17"/>
    <mergeCell ref="A11:R11"/>
    <mergeCell ref="M1:R2"/>
    <mergeCell ref="M4:R4"/>
    <mergeCell ref="M5:R5"/>
    <mergeCell ref="M7:R7"/>
    <mergeCell ref="A10:R10"/>
  </mergeCells>
  <conditionalFormatting sqref="T1:T18 T250:T1048576">
    <cfRule type="cellIs" dxfId="1" priority="1" operator="lessThan">
      <formula>0</formula>
    </cfRule>
  </conditionalFormatting>
  <pageMargins left="0.25" right="0.25" top="0.75" bottom="0.75" header="0.3" footer="0.3"/>
  <pageSetup paperSize="9" scale="28" fitToHeight="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134D-7363-4B0E-ACE8-3B6BB043FFF0}">
  <sheetPr>
    <tabColor rgb="FFFFFF00"/>
    <pageSetUpPr fitToPage="1"/>
  </sheetPr>
  <dimension ref="A1:S467"/>
  <sheetViews>
    <sheetView tabSelected="1" zoomScale="55" zoomScaleNormal="55" workbookViewId="0">
      <selection activeCell="V27" sqref="V27"/>
    </sheetView>
  </sheetViews>
  <sheetFormatPr defaultRowHeight="15" x14ac:dyDescent="0.25"/>
  <cols>
    <col min="1" max="1" width="6.7109375" style="200" customWidth="1"/>
    <col min="2" max="2" width="63.140625" customWidth="1"/>
    <col min="3" max="3" width="11.140625" style="200" customWidth="1"/>
    <col min="4" max="4" width="5" style="200" customWidth="1"/>
    <col min="5" max="5" width="8.7109375" style="200" customWidth="1"/>
    <col min="6" max="6" width="8.28515625" style="200" customWidth="1"/>
    <col min="7" max="7" width="6" style="200" customWidth="1"/>
    <col min="8" max="8" width="5.42578125" style="200" customWidth="1"/>
    <col min="9" max="9" width="6.28515625" style="200" customWidth="1"/>
    <col min="10" max="10" width="6.85546875" style="200" customWidth="1"/>
    <col min="11" max="11" width="17.28515625" style="200" customWidth="1"/>
    <col min="12" max="12" width="47.28515625" customWidth="1"/>
    <col min="13" max="13" width="11.7109375" style="5" customWidth="1"/>
    <col min="14" max="14" width="14" style="5" customWidth="1"/>
    <col min="15" max="15" width="15.140625" style="189" customWidth="1"/>
    <col min="16" max="16" width="17.28515625" style="189" customWidth="1"/>
    <col min="17" max="17" width="35.42578125" style="182" customWidth="1"/>
  </cols>
  <sheetData>
    <row r="1" spans="1:17" ht="15.75" customHeight="1" x14ac:dyDescent="0.25">
      <c r="A1" s="2"/>
      <c r="B1" s="1"/>
      <c r="C1" s="3"/>
      <c r="D1" s="3"/>
      <c r="E1" s="3"/>
      <c r="F1" s="3"/>
      <c r="G1" s="3"/>
      <c r="H1" s="3"/>
      <c r="I1" s="3"/>
      <c r="J1" s="3"/>
      <c r="K1" s="3"/>
      <c r="L1" s="236" t="s">
        <v>26</v>
      </c>
      <c r="M1" s="236"/>
      <c r="N1" s="236"/>
      <c r="O1" s="236"/>
      <c r="P1" s="236"/>
      <c r="Q1" s="236"/>
    </row>
    <row r="2" spans="1:17" ht="15" customHeight="1" x14ac:dyDescent="0.25">
      <c r="A2" s="2"/>
      <c r="B2" s="1"/>
      <c r="C2" s="3"/>
      <c r="D2" s="3"/>
      <c r="E2" s="3"/>
      <c r="F2" s="3"/>
      <c r="G2" s="3"/>
      <c r="H2" s="3"/>
      <c r="I2" s="3"/>
      <c r="J2" s="3"/>
      <c r="K2" s="3"/>
      <c r="L2" s="237"/>
      <c r="M2" s="237"/>
      <c r="N2" s="237"/>
      <c r="O2" s="237"/>
      <c r="P2" s="237"/>
      <c r="Q2" s="237"/>
    </row>
    <row r="3" spans="1:17" ht="15.75" x14ac:dyDescent="0.25">
      <c r="A3" s="2"/>
      <c r="B3" s="1"/>
      <c r="C3" s="3"/>
      <c r="D3" s="3"/>
      <c r="E3" s="3"/>
      <c r="F3" s="3"/>
      <c r="G3" s="3"/>
      <c r="H3" s="3"/>
      <c r="I3" s="3"/>
      <c r="J3" s="3"/>
      <c r="K3" s="3"/>
      <c r="L3" s="202"/>
      <c r="M3" s="202"/>
      <c r="N3" s="202"/>
      <c r="O3" s="178"/>
      <c r="P3" s="178"/>
      <c r="Q3" s="178"/>
    </row>
    <row r="4" spans="1:17" ht="23.25" x14ac:dyDescent="0.35">
      <c r="A4" s="2"/>
      <c r="B4" s="1"/>
      <c r="C4" s="3"/>
      <c r="D4" s="3"/>
      <c r="E4" s="3"/>
      <c r="F4" s="3"/>
      <c r="G4" s="3"/>
      <c r="H4" s="3"/>
      <c r="I4" s="3"/>
      <c r="J4" s="3"/>
      <c r="K4" s="3"/>
      <c r="L4" s="240" t="s">
        <v>27</v>
      </c>
      <c r="M4" s="240"/>
      <c r="N4" s="240"/>
      <c r="O4" s="240"/>
      <c r="P4" s="240"/>
      <c r="Q4" s="240"/>
    </row>
    <row r="5" spans="1:17" ht="21" x14ac:dyDescent="0.35">
      <c r="A5" s="2"/>
      <c r="B5" s="1"/>
      <c r="C5" s="3"/>
      <c r="D5" s="3"/>
      <c r="E5" s="3"/>
      <c r="F5" s="3"/>
      <c r="G5" s="3"/>
      <c r="H5" s="3"/>
      <c r="I5" s="3"/>
      <c r="J5" s="3"/>
      <c r="K5" s="3"/>
      <c r="L5" s="241" t="s">
        <v>28</v>
      </c>
      <c r="M5" s="241"/>
      <c r="N5" s="241"/>
      <c r="O5" s="241"/>
      <c r="P5" s="241"/>
      <c r="Q5" s="241"/>
    </row>
    <row r="6" spans="1:17" x14ac:dyDescent="0.25">
      <c r="A6" s="2"/>
      <c r="B6" s="1"/>
      <c r="C6" s="3"/>
      <c r="D6" s="3"/>
      <c r="E6" s="3"/>
      <c r="F6" s="3"/>
      <c r="G6" s="3"/>
      <c r="H6" s="3"/>
      <c r="I6" s="3"/>
      <c r="J6" s="3"/>
      <c r="K6" s="3"/>
      <c r="L6" s="2"/>
      <c r="M6" s="14"/>
      <c r="N6" s="14"/>
      <c r="O6" s="197"/>
      <c r="P6" s="179"/>
      <c r="Q6" s="180"/>
    </row>
    <row r="7" spans="1:17" ht="18.75" x14ac:dyDescent="0.3">
      <c r="A7" s="2"/>
      <c r="B7" s="1"/>
      <c r="C7" s="3"/>
      <c r="D7" s="3"/>
      <c r="E7" s="3"/>
      <c r="F7" s="3"/>
      <c r="G7" s="3"/>
      <c r="H7" s="3"/>
      <c r="I7" s="3"/>
      <c r="J7" s="3"/>
      <c r="K7" s="3"/>
      <c r="L7" s="238" t="s">
        <v>33</v>
      </c>
      <c r="M7" s="238"/>
      <c r="N7" s="238"/>
      <c r="O7" s="238"/>
      <c r="P7" s="238"/>
      <c r="Q7" s="238"/>
    </row>
    <row r="8" spans="1:17" x14ac:dyDescent="0.25">
      <c r="A8" s="2"/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181"/>
      <c r="P8" s="181"/>
    </row>
    <row r="9" spans="1:17" x14ac:dyDescent="0.25">
      <c r="A9" s="2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181"/>
      <c r="P9" s="181"/>
    </row>
    <row r="10" spans="1:17" ht="18" customHeight="1" x14ac:dyDescent="0.25">
      <c r="A10" s="239" t="s">
        <v>0</v>
      </c>
      <c r="B10" s="239"/>
      <c r="C10" s="239"/>
      <c r="D10" s="239"/>
      <c r="E10" s="239"/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</row>
    <row r="11" spans="1:17" ht="18" customHeight="1" x14ac:dyDescent="0.25">
      <c r="A11" s="239" t="s">
        <v>1</v>
      </c>
      <c r="B11" s="239"/>
      <c r="C11" s="239"/>
      <c r="D11" s="239"/>
      <c r="E11" s="239"/>
      <c r="F11" s="239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39"/>
    </row>
    <row r="12" spans="1:17" ht="18" customHeight="1" x14ac:dyDescent="0.25">
      <c r="A12" s="239" t="s">
        <v>2</v>
      </c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</row>
    <row r="13" spans="1:17" ht="63.6" customHeight="1" x14ac:dyDescent="0.25">
      <c r="A13" s="234" t="s">
        <v>982</v>
      </c>
      <c r="B13" s="235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</row>
    <row r="14" spans="1:17" ht="27" customHeight="1" thickBot="1" x14ac:dyDescent="0.3">
      <c r="A14" s="242" t="s">
        <v>36</v>
      </c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2"/>
    </row>
    <row r="15" spans="1:17" ht="30.6" customHeight="1" thickBot="1" x14ac:dyDescent="0.3">
      <c r="A15" s="243" t="s">
        <v>24</v>
      </c>
      <c r="B15" s="244"/>
      <c r="C15" s="244"/>
      <c r="D15" s="244"/>
      <c r="E15" s="244"/>
      <c r="F15" s="244"/>
      <c r="G15" s="244"/>
      <c r="H15" s="244"/>
      <c r="I15" s="244"/>
      <c r="J15" s="244"/>
      <c r="K15" s="245" t="s">
        <v>25</v>
      </c>
      <c r="L15" s="246"/>
      <c r="M15" s="246"/>
      <c r="N15" s="246"/>
      <c r="O15" s="246"/>
      <c r="P15" s="246"/>
      <c r="Q15" s="247"/>
    </row>
    <row r="16" spans="1:17" ht="15" customHeight="1" x14ac:dyDescent="0.25">
      <c r="A16" s="259" t="s">
        <v>3</v>
      </c>
      <c r="B16" s="261" t="s">
        <v>4</v>
      </c>
      <c r="C16" s="248" t="s">
        <v>5</v>
      </c>
      <c r="D16" s="261" t="s">
        <v>6</v>
      </c>
      <c r="E16" s="263"/>
      <c r="F16" s="248"/>
      <c r="G16" s="248"/>
      <c r="H16" s="251"/>
      <c r="I16" s="248" t="s">
        <v>21</v>
      </c>
      <c r="J16" s="253" t="s">
        <v>22</v>
      </c>
      <c r="K16" s="199"/>
      <c r="L16" s="264" t="s">
        <v>7</v>
      </c>
      <c r="M16" s="265"/>
      <c r="N16" s="265"/>
      <c r="O16" s="265"/>
      <c r="P16" s="266"/>
      <c r="Q16" s="267" t="s">
        <v>8</v>
      </c>
    </row>
    <row r="17" spans="1:19" ht="34.15" customHeight="1" x14ac:dyDescent="0.25">
      <c r="A17" s="260"/>
      <c r="B17" s="262"/>
      <c r="C17" s="249"/>
      <c r="D17" s="262"/>
      <c r="E17" s="249"/>
      <c r="F17" s="249"/>
      <c r="G17" s="249"/>
      <c r="H17" s="252"/>
      <c r="I17" s="249"/>
      <c r="J17" s="254"/>
      <c r="K17" s="22" t="s">
        <v>20</v>
      </c>
      <c r="L17" s="19" t="s">
        <v>9</v>
      </c>
      <c r="M17" s="23" t="s">
        <v>10</v>
      </c>
      <c r="N17" s="12" t="s">
        <v>6</v>
      </c>
      <c r="O17" s="13" t="s">
        <v>21</v>
      </c>
      <c r="P17" s="13" t="s">
        <v>22</v>
      </c>
      <c r="Q17" s="254"/>
    </row>
    <row r="18" spans="1:19" ht="15.75" thickBot="1" x14ac:dyDescent="0.3">
      <c r="A18" s="26">
        <v>1</v>
      </c>
      <c r="B18" s="27">
        <v>2</v>
      </c>
      <c r="C18" s="27">
        <v>3</v>
      </c>
      <c r="D18" s="27">
        <v>4</v>
      </c>
      <c r="E18" s="27"/>
      <c r="F18" s="27"/>
      <c r="G18" s="27"/>
      <c r="H18" s="79"/>
      <c r="I18" s="27">
        <v>5</v>
      </c>
      <c r="J18" s="28">
        <v>6</v>
      </c>
      <c r="K18" s="26">
        <v>7</v>
      </c>
      <c r="L18" s="27">
        <v>8</v>
      </c>
      <c r="M18" s="27">
        <v>9</v>
      </c>
      <c r="N18" s="27">
        <v>10</v>
      </c>
      <c r="O18" s="27">
        <v>11</v>
      </c>
      <c r="P18" s="27" t="s">
        <v>752</v>
      </c>
      <c r="Q18" s="28" t="s">
        <v>753</v>
      </c>
      <c r="R18" s="268">
        <v>1</v>
      </c>
      <c r="S18" s="163"/>
    </row>
    <row r="19" spans="1:19" ht="33.6" customHeight="1" x14ac:dyDescent="0.25">
      <c r="A19" s="65"/>
      <c r="B19" s="85" t="s">
        <v>982</v>
      </c>
      <c r="C19" s="85" t="s">
        <v>34</v>
      </c>
      <c r="D19" s="85">
        <v>1</v>
      </c>
      <c r="E19" s="74"/>
      <c r="F19" s="74"/>
      <c r="G19" s="74"/>
      <c r="H19" s="74"/>
      <c r="I19" s="74"/>
      <c r="J19" s="74"/>
      <c r="K19" s="206" t="s">
        <v>914</v>
      </c>
      <c r="L19" s="207" t="s">
        <v>915</v>
      </c>
      <c r="M19" s="206" t="s">
        <v>64</v>
      </c>
      <c r="N19" s="208">
        <v>15</v>
      </c>
      <c r="O19" s="209">
        <v>736.66066282420752</v>
      </c>
      <c r="P19" s="210">
        <f>O19*N19</f>
        <v>11049.909942363112</v>
      </c>
      <c r="Q19" s="101"/>
    </row>
    <row r="20" spans="1:19" ht="30" x14ac:dyDescent="0.25">
      <c r="A20" s="56"/>
      <c r="B20" s="64"/>
      <c r="C20" s="66"/>
      <c r="D20" s="67"/>
      <c r="E20" s="80"/>
      <c r="F20" s="81"/>
      <c r="G20" s="81"/>
      <c r="H20" s="53"/>
      <c r="I20" s="53"/>
      <c r="J20" s="53"/>
      <c r="K20" s="206" t="s">
        <v>916</v>
      </c>
      <c r="L20" s="207" t="s">
        <v>917</v>
      </c>
      <c r="M20" s="206" t="s">
        <v>64</v>
      </c>
      <c r="N20" s="208">
        <v>20</v>
      </c>
      <c r="O20" s="209">
        <v>736.66666666666663</v>
      </c>
      <c r="P20" s="210">
        <f t="shared" ref="P20:P83" si="0">O20*N20</f>
        <v>14733.333333333332</v>
      </c>
      <c r="Q20" s="89"/>
    </row>
    <row r="21" spans="1:19" ht="15.75" x14ac:dyDescent="0.25">
      <c r="A21" s="58"/>
      <c r="B21" s="59"/>
      <c r="C21" s="59"/>
      <c r="D21" s="60"/>
      <c r="E21" s="80"/>
      <c r="F21" s="81"/>
      <c r="G21" s="81"/>
      <c r="H21" s="53"/>
      <c r="I21" s="75"/>
      <c r="J21" s="75"/>
      <c r="K21" s="206" t="s">
        <v>983</v>
      </c>
      <c r="L21" s="207" t="s">
        <v>984</v>
      </c>
      <c r="M21" s="206" t="s">
        <v>34</v>
      </c>
      <c r="N21" s="208">
        <v>1</v>
      </c>
      <c r="O21" s="209">
        <v>2184</v>
      </c>
      <c r="P21" s="210">
        <f t="shared" si="0"/>
        <v>2184</v>
      </c>
      <c r="Q21" s="62"/>
    </row>
    <row r="22" spans="1:19" ht="15.75" x14ac:dyDescent="0.25">
      <c r="A22" s="58"/>
      <c r="B22" s="59"/>
      <c r="C22" s="59"/>
      <c r="D22" s="60"/>
      <c r="E22" s="80"/>
      <c r="F22" s="81"/>
      <c r="G22" s="81"/>
      <c r="H22" s="53"/>
      <c r="I22" s="75"/>
      <c r="J22" s="75"/>
      <c r="K22" s="206" t="s">
        <v>271</v>
      </c>
      <c r="L22" s="207" t="s">
        <v>272</v>
      </c>
      <c r="M22" s="206" t="s">
        <v>34</v>
      </c>
      <c r="N22" s="211">
        <v>9</v>
      </c>
      <c r="O22" s="209">
        <v>52.784285714285708</v>
      </c>
      <c r="P22" s="210">
        <f t="shared" si="0"/>
        <v>475.05857142857138</v>
      </c>
      <c r="Q22" s="62"/>
    </row>
    <row r="23" spans="1:19" ht="15.75" x14ac:dyDescent="0.25">
      <c r="A23" s="58"/>
      <c r="B23" s="59"/>
      <c r="C23" s="59"/>
      <c r="D23" s="60"/>
      <c r="E23" s="80"/>
      <c r="F23" s="81"/>
      <c r="G23" s="81"/>
      <c r="H23" s="53"/>
      <c r="I23" s="75"/>
      <c r="J23" s="75"/>
      <c r="K23" s="206" t="s">
        <v>58</v>
      </c>
      <c r="L23" s="207" t="s">
        <v>67</v>
      </c>
      <c r="M23" s="206" t="s">
        <v>34</v>
      </c>
      <c r="N23" s="208">
        <v>8</v>
      </c>
      <c r="O23" s="210">
        <v>56.056697247706424</v>
      </c>
      <c r="P23" s="210">
        <f t="shared" si="0"/>
        <v>448.45357798165139</v>
      </c>
      <c r="Q23" s="62"/>
    </row>
    <row r="24" spans="1:19" ht="30" x14ac:dyDescent="0.25">
      <c r="A24" s="58"/>
      <c r="B24" s="59"/>
      <c r="C24" s="59"/>
      <c r="D24" s="60"/>
      <c r="E24" s="80"/>
      <c r="F24" s="81"/>
      <c r="G24" s="81"/>
      <c r="H24" s="53"/>
      <c r="I24" s="75"/>
      <c r="J24" s="75"/>
      <c r="K24" s="206" t="s">
        <v>273</v>
      </c>
      <c r="L24" s="207" t="s">
        <v>274</v>
      </c>
      <c r="M24" s="206" t="s">
        <v>34</v>
      </c>
      <c r="N24" s="208">
        <v>2</v>
      </c>
      <c r="O24" s="209">
        <v>54.970799999999997</v>
      </c>
      <c r="P24" s="210">
        <f t="shared" si="0"/>
        <v>109.94159999999999</v>
      </c>
      <c r="Q24" s="62"/>
    </row>
    <row r="25" spans="1:19" ht="15.75" x14ac:dyDescent="0.25">
      <c r="A25" s="58"/>
      <c r="B25" s="59"/>
      <c r="C25" s="59"/>
      <c r="D25" s="60"/>
      <c r="E25" s="80"/>
      <c r="F25" s="81"/>
      <c r="G25" s="81"/>
      <c r="H25" s="53"/>
      <c r="I25" s="75"/>
      <c r="J25" s="75"/>
      <c r="K25" s="206" t="s">
        <v>985</v>
      </c>
      <c r="L25" s="207" t="s">
        <v>986</v>
      </c>
      <c r="M25" s="206" t="s">
        <v>34</v>
      </c>
      <c r="N25" s="208">
        <v>1</v>
      </c>
      <c r="O25" s="209">
        <v>445.39</v>
      </c>
      <c r="P25" s="210">
        <f t="shared" si="0"/>
        <v>445.39</v>
      </c>
      <c r="Q25" s="62"/>
    </row>
    <row r="26" spans="1:19" ht="15.75" x14ac:dyDescent="0.25">
      <c r="A26" s="58"/>
      <c r="B26" s="59"/>
      <c r="C26" s="59"/>
      <c r="D26" s="60"/>
      <c r="E26" s="80"/>
      <c r="F26" s="81"/>
      <c r="G26" s="81"/>
      <c r="H26" s="53"/>
      <c r="I26" s="75"/>
      <c r="J26" s="75"/>
      <c r="K26" s="206">
        <v>6259</v>
      </c>
      <c r="L26" s="207" t="s">
        <v>987</v>
      </c>
      <c r="M26" s="206" t="s">
        <v>34</v>
      </c>
      <c r="N26" s="208">
        <v>30.833333333333336</v>
      </c>
      <c r="O26" s="209">
        <v>9.1999999999999993</v>
      </c>
      <c r="P26" s="210">
        <f t="shared" si="0"/>
        <v>283.66666666666669</v>
      </c>
      <c r="Q26" s="62"/>
    </row>
    <row r="27" spans="1:19" ht="15.75" x14ac:dyDescent="0.25">
      <c r="A27" s="58"/>
      <c r="B27" s="59"/>
      <c r="C27" s="59"/>
      <c r="D27" s="60"/>
      <c r="E27" s="80"/>
      <c r="F27" s="81"/>
      <c r="G27" s="81"/>
      <c r="H27" s="53"/>
      <c r="I27" s="75"/>
      <c r="J27" s="75"/>
      <c r="K27" s="222" t="s">
        <v>988</v>
      </c>
      <c r="L27" s="223" t="s">
        <v>989</v>
      </c>
      <c r="M27" s="222" t="s">
        <v>34</v>
      </c>
      <c r="N27" s="220">
        <v>15.833333333333334</v>
      </c>
      <c r="O27" s="221">
        <v>10.7</v>
      </c>
      <c r="P27" s="210">
        <f t="shared" si="0"/>
        <v>169.41666666666666</v>
      </c>
      <c r="Q27" s="62"/>
    </row>
    <row r="28" spans="1:19" ht="15.75" x14ac:dyDescent="0.25">
      <c r="A28" s="58"/>
      <c r="B28" s="59"/>
      <c r="C28" s="59"/>
      <c r="D28" s="60"/>
      <c r="E28" s="80"/>
      <c r="F28" s="81"/>
      <c r="G28" s="81"/>
      <c r="H28" s="53"/>
      <c r="I28" s="75"/>
      <c r="J28" s="75"/>
      <c r="K28" s="222">
        <v>7346</v>
      </c>
      <c r="L28" s="223" t="s">
        <v>990</v>
      </c>
      <c r="M28" s="222" t="s">
        <v>34</v>
      </c>
      <c r="N28" s="220">
        <v>7.5</v>
      </c>
      <c r="O28" s="221">
        <v>14.55</v>
      </c>
      <c r="P28" s="210">
        <f t="shared" si="0"/>
        <v>109.125</v>
      </c>
      <c r="Q28" s="62"/>
    </row>
    <row r="29" spans="1:19" ht="15.75" x14ac:dyDescent="0.25">
      <c r="A29" s="58"/>
      <c r="B29" s="59"/>
      <c r="C29" s="59"/>
      <c r="D29" s="60"/>
      <c r="E29" s="80"/>
      <c r="F29" s="81"/>
      <c r="G29" s="81"/>
      <c r="H29" s="53"/>
      <c r="I29" s="75"/>
      <c r="J29" s="75"/>
      <c r="K29" s="206">
        <v>12184</v>
      </c>
      <c r="L29" s="207" t="s">
        <v>991</v>
      </c>
      <c r="M29" s="206" t="s">
        <v>34</v>
      </c>
      <c r="N29" s="208">
        <v>11.666666666666668</v>
      </c>
      <c r="O29" s="209">
        <v>20.5</v>
      </c>
      <c r="P29" s="210">
        <f t="shared" si="0"/>
        <v>239.16666666666669</v>
      </c>
      <c r="Q29" s="62"/>
    </row>
    <row r="30" spans="1:19" ht="15.75" x14ac:dyDescent="0.25">
      <c r="A30" s="58"/>
      <c r="B30" s="59"/>
      <c r="C30" s="59"/>
      <c r="D30" s="60"/>
      <c r="E30" s="80"/>
      <c r="F30" s="81"/>
      <c r="G30" s="81"/>
      <c r="H30" s="53"/>
      <c r="I30" s="75"/>
      <c r="J30" s="75"/>
      <c r="K30" s="206">
        <v>5355</v>
      </c>
      <c r="L30" s="207" t="s">
        <v>902</v>
      </c>
      <c r="M30" s="206" t="s">
        <v>34</v>
      </c>
      <c r="N30" s="208">
        <v>23.333333333333336</v>
      </c>
      <c r="O30" s="209">
        <v>25</v>
      </c>
      <c r="P30" s="210">
        <f t="shared" si="0"/>
        <v>583.33333333333337</v>
      </c>
      <c r="Q30" s="62"/>
    </row>
    <row r="31" spans="1:19" ht="15.75" x14ac:dyDescent="0.25">
      <c r="A31" s="58"/>
      <c r="B31" s="59"/>
      <c r="C31" s="59"/>
      <c r="D31" s="60"/>
      <c r="E31" s="80"/>
      <c r="F31" s="81"/>
      <c r="G31" s="81"/>
      <c r="H31" s="53"/>
      <c r="I31" s="75"/>
      <c r="J31" s="75"/>
      <c r="K31" s="206" t="s">
        <v>992</v>
      </c>
      <c r="L31" s="207" t="s">
        <v>993</v>
      </c>
      <c r="M31" s="206" t="s">
        <v>34</v>
      </c>
      <c r="N31" s="208">
        <v>3.3333333333333335</v>
      </c>
      <c r="O31" s="209">
        <v>80.22</v>
      </c>
      <c r="P31" s="210">
        <f t="shared" si="0"/>
        <v>267.40000000000003</v>
      </c>
      <c r="Q31" s="62"/>
    </row>
    <row r="32" spans="1:19" ht="15.75" x14ac:dyDescent="0.25">
      <c r="A32" s="58"/>
      <c r="B32" s="59"/>
      <c r="C32" s="59"/>
      <c r="D32" s="60"/>
      <c r="E32" s="80"/>
      <c r="F32" s="81"/>
      <c r="G32" s="81"/>
      <c r="H32" s="53"/>
      <c r="I32" s="75"/>
      <c r="J32" s="75"/>
      <c r="K32" s="206">
        <v>2877</v>
      </c>
      <c r="L32" s="207" t="s">
        <v>918</v>
      </c>
      <c r="M32" s="206" t="s">
        <v>34</v>
      </c>
      <c r="N32" s="208">
        <v>25</v>
      </c>
      <c r="O32" s="209">
        <v>153.16708860759493</v>
      </c>
      <c r="P32" s="210">
        <f t="shared" si="0"/>
        <v>3829.1772151898736</v>
      </c>
      <c r="Q32" s="62"/>
    </row>
    <row r="33" spans="1:17" ht="15.75" x14ac:dyDescent="0.25">
      <c r="A33" s="58"/>
      <c r="B33" s="59"/>
      <c r="C33" s="59"/>
      <c r="D33" s="60"/>
      <c r="E33" s="80"/>
      <c r="F33" s="81"/>
      <c r="G33" s="81"/>
      <c r="H33" s="53"/>
      <c r="I33" s="75"/>
      <c r="J33" s="75"/>
      <c r="K33" s="206">
        <v>16433</v>
      </c>
      <c r="L33" s="207" t="s">
        <v>994</v>
      </c>
      <c r="M33" s="206" t="s">
        <v>1207</v>
      </c>
      <c r="N33" s="208">
        <v>0.15540052532866733</v>
      </c>
      <c r="O33" s="209">
        <v>9211.0843373493972</v>
      </c>
      <c r="P33" s="210">
        <f t="shared" si="0"/>
        <v>1431.4073448707559</v>
      </c>
      <c r="Q33" s="62"/>
    </row>
    <row r="34" spans="1:17" ht="15.75" x14ac:dyDescent="0.25">
      <c r="A34" s="58"/>
      <c r="B34" s="59"/>
      <c r="C34" s="59"/>
      <c r="D34" s="60"/>
      <c r="E34" s="80"/>
      <c r="F34" s="81"/>
      <c r="G34" s="81"/>
      <c r="H34" s="53"/>
      <c r="I34" s="75"/>
      <c r="J34" s="75"/>
      <c r="K34" s="206" t="s">
        <v>995</v>
      </c>
      <c r="L34" s="207" t="s">
        <v>996</v>
      </c>
      <c r="M34" s="206" t="s">
        <v>214</v>
      </c>
      <c r="N34" s="208">
        <v>8.4253296864940125E-2</v>
      </c>
      <c r="O34" s="209">
        <v>9211.074074074073</v>
      </c>
      <c r="P34" s="210">
        <f t="shared" si="0"/>
        <v>776.06335840791633</v>
      </c>
      <c r="Q34" s="62"/>
    </row>
    <row r="35" spans="1:17" ht="15.75" x14ac:dyDescent="0.25">
      <c r="A35" s="58"/>
      <c r="B35" s="59"/>
      <c r="C35" s="59"/>
      <c r="D35" s="60"/>
      <c r="E35" s="80"/>
      <c r="F35" s="81"/>
      <c r="G35" s="81"/>
      <c r="H35" s="53"/>
      <c r="I35" s="75"/>
      <c r="J35" s="75"/>
      <c r="K35" s="206">
        <v>1557</v>
      </c>
      <c r="L35" s="207" t="s">
        <v>997</v>
      </c>
      <c r="M35" s="206" t="s">
        <v>1207</v>
      </c>
      <c r="N35" s="208">
        <v>0.94301282639203343</v>
      </c>
      <c r="O35" s="209">
        <v>12711.08206485771</v>
      </c>
      <c r="P35" s="210">
        <f t="shared" si="0"/>
        <v>11986.713424482554</v>
      </c>
      <c r="Q35" s="62"/>
    </row>
    <row r="36" spans="1:17" ht="15.75" x14ac:dyDescent="0.25">
      <c r="A36" s="58"/>
      <c r="B36" s="59"/>
      <c r="C36" s="59"/>
      <c r="D36" s="60"/>
      <c r="E36" s="80"/>
      <c r="F36" s="81"/>
      <c r="G36" s="81"/>
      <c r="H36" s="53"/>
      <c r="I36" s="75"/>
      <c r="J36" s="75"/>
      <c r="K36" s="206">
        <v>443</v>
      </c>
      <c r="L36" s="207" t="s">
        <v>998</v>
      </c>
      <c r="M36" s="206" t="s">
        <v>45</v>
      </c>
      <c r="N36" s="208">
        <v>6.666666666666667</v>
      </c>
      <c r="O36" s="209">
        <v>180.2</v>
      </c>
      <c r="P36" s="210">
        <f t="shared" si="0"/>
        <v>1201.3333333333333</v>
      </c>
      <c r="Q36" s="62"/>
    </row>
    <row r="37" spans="1:17" ht="15.75" x14ac:dyDescent="0.25">
      <c r="A37" s="58"/>
      <c r="B37" s="59"/>
      <c r="C37" s="59"/>
      <c r="D37" s="60"/>
      <c r="E37" s="80"/>
      <c r="F37" s="81"/>
      <c r="G37" s="81"/>
      <c r="H37" s="53"/>
      <c r="I37" s="75"/>
      <c r="J37" s="75"/>
      <c r="K37" s="206">
        <v>18520</v>
      </c>
      <c r="L37" s="207" t="s">
        <v>70</v>
      </c>
      <c r="M37" s="206" t="s">
        <v>56</v>
      </c>
      <c r="N37" s="208">
        <v>0.25681653081424338</v>
      </c>
      <c r="O37" s="209">
        <v>27097.843256379103</v>
      </c>
      <c r="P37" s="210">
        <f t="shared" si="0"/>
        <v>6959.1740976514211</v>
      </c>
      <c r="Q37" s="62"/>
    </row>
    <row r="38" spans="1:17" ht="15.75" x14ac:dyDescent="0.25">
      <c r="A38" s="58"/>
      <c r="B38" s="59"/>
      <c r="C38" s="59"/>
      <c r="D38" s="60"/>
      <c r="E38" s="80"/>
      <c r="F38" s="81"/>
      <c r="G38" s="81"/>
      <c r="H38" s="53"/>
      <c r="I38" s="75"/>
      <c r="J38" s="75"/>
      <c r="K38" s="206">
        <v>18382</v>
      </c>
      <c r="L38" s="207" t="s">
        <v>71</v>
      </c>
      <c r="M38" s="206" t="s">
        <v>56</v>
      </c>
      <c r="N38" s="208">
        <v>0.42516709992029972</v>
      </c>
      <c r="O38" s="209">
        <v>43525.508256880734</v>
      </c>
      <c r="P38" s="210">
        <f t="shared" si="0"/>
        <v>18505.614118135043</v>
      </c>
      <c r="Q38" s="62"/>
    </row>
    <row r="39" spans="1:17" ht="15.75" x14ac:dyDescent="0.25">
      <c r="A39" s="58"/>
      <c r="B39" s="59"/>
      <c r="C39" s="59"/>
      <c r="D39" s="60"/>
      <c r="E39" s="80"/>
      <c r="F39" s="81"/>
      <c r="G39" s="81"/>
      <c r="H39" s="53"/>
      <c r="I39" s="75"/>
      <c r="J39" s="75"/>
      <c r="K39" s="206">
        <v>18518</v>
      </c>
      <c r="L39" s="207" t="s">
        <v>72</v>
      </c>
      <c r="M39" s="206" t="s">
        <v>56</v>
      </c>
      <c r="N39" s="208">
        <v>0.14525892478010974</v>
      </c>
      <c r="O39" s="209">
        <v>68174.210526315786</v>
      </c>
      <c r="P39" s="210">
        <f t="shared" si="0"/>
        <v>9902.9125187854697</v>
      </c>
      <c r="Q39" s="62"/>
    </row>
    <row r="40" spans="1:17" ht="15.75" x14ac:dyDescent="0.25">
      <c r="A40" s="58"/>
      <c r="B40" s="59"/>
      <c r="C40" s="59"/>
      <c r="D40" s="60"/>
      <c r="E40" s="80"/>
      <c r="F40" s="81"/>
      <c r="G40" s="81"/>
      <c r="H40" s="53"/>
      <c r="I40" s="75"/>
      <c r="J40" s="75"/>
      <c r="K40" s="206" t="s">
        <v>999</v>
      </c>
      <c r="L40" s="207" t="s">
        <v>1000</v>
      </c>
      <c r="M40" s="206" t="s">
        <v>56</v>
      </c>
      <c r="N40" s="208">
        <v>9.3614774294377909E-3</v>
      </c>
      <c r="O40" s="209">
        <v>99990</v>
      </c>
      <c r="P40" s="210">
        <f t="shared" si="0"/>
        <v>936.05412816948467</v>
      </c>
      <c r="Q40" s="62"/>
    </row>
    <row r="41" spans="1:17" ht="30" x14ac:dyDescent="0.25">
      <c r="A41" s="58"/>
      <c r="B41" s="59"/>
      <c r="C41" s="59"/>
      <c r="D41" s="60"/>
      <c r="E41" s="80"/>
      <c r="F41" s="81"/>
      <c r="G41" s="81"/>
      <c r="H41" s="53"/>
      <c r="I41" s="75"/>
      <c r="J41" s="75"/>
      <c r="K41" s="206">
        <v>599</v>
      </c>
      <c r="L41" s="207" t="s">
        <v>73</v>
      </c>
      <c r="M41" s="206" t="s">
        <v>34</v>
      </c>
      <c r="N41" s="208">
        <v>6</v>
      </c>
      <c r="O41" s="209">
        <v>377.87121212121212</v>
      </c>
      <c r="P41" s="210">
        <f t="shared" si="0"/>
        <v>2267.227272727273</v>
      </c>
      <c r="Q41" s="62"/>
    </row>
    <row r="42" spans="1:17" ht="30" x14ac:dyDescent="0.25">
      <c r="A42" s="58"/>
      <c r="B42" s="59"/>
      <c r="C42" s="59"/>
      <c r="D42" s="60"/>
      <c r="E42" s="80"/>
      <c r="F42" s="81"/>
      <c r="G42" s="81"/>
      <c r="H42" s="53"/>
      <c r="I42" s="75"/>
      <c r="J42" s="75"/>
      <c r="K42" s="206">
        <v>616</v>
      </c>
      <c r="L42" s="207" t="s">
        <v>279</v>
      </c>
      <c r="M42" s="206" t="s">
        <v>34</v>
      </c>
      <c r="N42" s="208">
        <v>9</v>
      </c>
      <c r="O42" s="209">
        <v>69.381</v>
      </c>
      <c r="P42" s="210">
        <f t="shared" si="0"/>
        <v>624.42899999999997</v>
      </c>
      <c r="Q42" s="62"/>
    </row>
    <row r="43" spans="1:17" ht="15.75" x14ac:dyDescent="0.25">
      <c r="A43" s="58"/>
      <c r="B43" s="59"/>
      <c r="C43" s="59"/>
      <c r="D43" s="60"/>
      <c r="E43" s="80"/>
      <c r="F43" s="81"/>
      <c r="G43" s="81"/>
      <c r="H43" s="53"/>
      <c r="I43" s="75"/>
      <c r="J43" s="75"/>
      <c r="K43" s="206" t="s">
        <v>919</v>
      </c>
      <c r="L43" s="207" t="s">
        <v>920</v>
      </c>
      <c r="M43" s="206" t="s">
        <v>34</v>
      </c>
      <c r="N43" s="208">
        <v>1</v>
      </c>
      <c r="O43" s="209">
        <v>310</v>
      </c>
      <c r="P43" s="210">
        <f t="shared" si="0"/>
        <v>310</v>
      </c>
      <c r="Q43" s="62"/>
    </row>
    <row r="44" spans="1:17" ht="15.75" x14ac:dyDescent="0.25">
      <c r="A44" s="58"/>
      <c r="B44" s="59"/>
      <c r="C44" s="59"/>
      <c r="D44" s="60"/>
      <c r="E44" s="80"/>
      <c r="F44" s="81"/>
      <c r="G44" s="81"/>
      <c r="H44" s="53"/>
      <c r="I44" s="75"/>
      <c r="J44" s="75"/>
      <c r="K44" s="206">
        <v>4252</v>
      </c>
      <c r="L44" s="207" t="s">
        <v>1001</v>
      </c>
      <c r="M44" s="206" t="s">
        <v>34</v>
      </c>
      <c r="N44" s="208">
        <v>1</v>
      </c>
      <c r="O44" s="209">
        <v>17.53875</v>
      </c>
      <c r="P44" s="210">
        <f t="shared" si="0"/>
        <v>17.53875</v>
      </c>
      <c r="Q44" s="62"/>
    </row>
    <row r="45" spans="1:17" ht="30" x14ac:dyDescent="0.25">
      <c r="A45" s="58"/>
      <c r="B45" s="59"/>
      <c r="C45" s="59"/>
      <c r="D45" s="60"/>
      <c r="E45" s="80"/>
      <c r="F45" s="81"/>
      <c r="G45" s="81"/>
      <c r="H45" s="53"/>
      <c r="I45" s="75"/>
      <c r="J45" s="75"/>
      <c r="K45" s="206" t="s">
        <v>164</v>
      </c>
      <c r="L45" s="207" t="s">
        <v>165</v>
      </c>
      <c r="M45" s="206" t="s">
        <v>34</v>
      </c>
      <c r="N45" s="208">
        <v>1</v>
      </c>
      <c r="O45" s="209">
        <v>405.46799999999996</v>
      </c>
      <c r="P45" s="210">
        <f t="shared" si="0"/>
        <v>405.46799999999996</v>
      </c>
      <c r="Q45" s="62"/>
    </row>
    <row r="46" spans="1:17" ht="15.75" x14ac:dyDescent="0.25">
      <c r="A46" s="58"/>
      <c r="B46" s="59"/>
      <c r="C46" s="59"/>
      <c r="D46" s="60"/>
      <c r="E46" s="80"/>
      <c r="F46" s="81"/>
      <c r="G46" s="81"/>
      <c r="H46" s="53"/>
      <c r="I46" s="75"/>
      <c r="J46" s="75"/>
      <c r="K46" s="206" t="s">
        <v>282</v>
      </c>
      <c r="L46" s="207" t="s">
        <v>283</v>
      </c>
      <c r="M46" s="206" t="s">
        <v>34</v>
      </c>
      <c r="N46" s="208">
        <v>11</v>
      </c>
      <c r="O46" s="209">
        <v>81.599999999999994</v>
      </c>
      <c r="P46" s="210">
        <f t="shared" si="0"/>
        <v>897.59999999999991</v>
      </c>
      <c r="Q46" s="62"/>
    </row>
    <row r="47" spans="1:17" ht="15.75" x14ac:dyDescent="0.25">
      <c r="A47" s="58"/>
      <c r="B47" s="59"/>
      <c r="C47" s="59"/>
      <c r="D47" s="60"/>
      <c r="E47" s="80"/>
      <c r="F47" s="81"/>
      <c r="G47" s="81"/>
      <c r="H47" s="53"/>
      <c r="I47" s="75"/>
      <c r="J47" s="75"/>
      <c r="K47" s="206">
        <v>486</v>
      </c>
      <c r="L47" s="207" t="s">
        <v>284</v>
      </c>
      <c r="M47" s="206" t="s">
        <v>34</v>
      </c>
      <c r="N47" s="208">
        <v>2</v>
      </c>
      <c r="O47" s="209">
        <v>84.36</v>
      </c>
      <c r="P47" s="210">
        <f t="shared" si="0"/>
        <v>168.72</v>
      </c>
      <c r="Q47" s="62"/>
    </row>
    <row r="48" spans="1:17" ht="15.75" x14ac:dyDescent="0.25">
      <c r="A48" s="58"/>
      <c r="B48" s="59"/>
      <c r="C48" s="59"/>
      <c r="D48" s="60"/>
      <c r="E48" s="80"/>
      <c r="F48" s="81"/>
      <c r="G48" s="81"/>
      <c r="H48" s="53"/>
      <c r="I48" s="75"/>
      <c r="J48" s="75"/>
      <c r="K48" s="206" t="s">
        <v>972</v>
      </c>
      <c r="L48" s="207" t="s">
        <v>980</v>
      </c>
      <c r="M48" s="206" t="s">
        <v>34</v>
      </c>
      <c r="N48" s="208">
        <v>1</v>
      </c>
      <c r="O48" s="209">
        <v>2815.77</v>
      </c>
      <c r="P48" s="210">
        <f t="shared" si="0"/>
        <v>2815.77</v>
      </c>
      <c r="Q48" s="62"/>
    </row>
    <row r="49" spans="1:17" ht="15.75" x14ac:dyDescent="0.25">
      <c r="A49" s="58"/>
      <c r="B49" s="59"/>
      <c r="C49" s="59"/>
      <c r="D49" s="60"/>
      <c r="E49" s="80"/>
      <c r="F49" s="81"/>
      <c r="G49" s="81"/>
      <c r="H49" s="53"/>
      <c r="I49" s="75"/>
      <c r="J49" s="75"/>
      <c r="K49" s="206">
        <v>17002</v>
      </c>
      <c r="L49" s="207" t="s">
        <v>285</v>
      </c>
      <c r="M49" s="206" t="s">
        <v>34</v>
      </c>
      <c r="N49" s="208">
        <v>4</v>
      </c>
      <c r="O49" s="209">
        <v>85.8</v>
      </c>
      <c r="P49" s="210">
        <f t="shared" si="0"/>
        <v>343.2</v>
      </c>
      <c r="Q49" s="62"/>
    </row>
    <row r="50" spans="1:17" ht="15.75" x14ac:dyDescent="0.25">
      <c r="A50" s="58"/>
      <c r="B50" s="59"/>
      <c r="C50" s="59"/>
      <c r="D50" s="60"/>
      <c r="E50" s="80"/>
      <c r="F50" s="81"/>
      <c r="G50" s="81"/>
      <c r="H50" s="53"/>
      <c r="I50" s="75"/>
      <c r="J50" s="75"/>
      <c r="K50" s="206">
        <v>17003</v>
      </c>
      <c r="L50" s="207" t="s">
        <v>1002</v>
      </c>
      <c r="M50" s="206" t="s">
        <v>34</v>
      </c>
      <c r="N50" s="208">
        <v>1</v>
      </c>
      <c r="O50" s="209">
        <v>15.033333333333333</v>
      </c>
      <c r="P50" s="210">
        <f t="shared" si="0"/>
        <v>15.033333333333333</v>
      </c>
      <c r="Q50" s="62"/>
    </row>
    <row r="51" spans="1:17" ht="15.75" x14ac:dyDescent="0.25">
      <c r="A51" s="58"/>
      <c r="B51" s="59"/>
      <c r="C51" s="59"/>
      <c r="D51" s="60"/>
      <c r="E51" s="80"/>
      <c r="F51" s="81"/>
      <c r="G51" s="81"/>
      <c r="H51" s="53"/>
      <c r="I51" s="75"/>
      <c r="J51" s="75"/>
      <c r="K51" s="206" t="s">
        <v>1003</v>
      </c>
      <c r="L51" s="207" t="s">
        <v>1004</v>
      </c>
      <c r="M51" s="206" t="s">
        <v>34</v>
      </c>
      <c r="N51" s="208">
        <v>1</v>
      </c>
      <c r="O51" s="209">
        <v>58.333333333333336</v>
      </c>
      <c r="P51" s="210">
        <f t="shared" si="0"/>
        <v>58.333333333333336</v>
      </c>
      <c r="Q51" s="62"/>
    </row>
    <row r="52" spans="1:17" ht="15.75" x14ac:dyDescent="0.25">
      <c r="A52" s="58"/>
      <c r="B52" s="59"/>
      <c r="C52" s="59"/>
      <c r="D52" s="60"/>
      <c r="E52" s="80"/>
      <c r="F52" s="81"/>
      <c r="G52" s="81"/>
      <c r="H52" s="53"/>
      <c r="I52" s="75"/>
      <c r="J52" s="75"/>
      <c r="K52" s="206" t="s">
        <v>286</v>
      </c>
      <c r="L52" s="207" t="s">
        <v>287</v>
      </c>
      <c r="M52" s="206" t="s">
        <v>34</v>
      </c>
      <c r="N52" s="208">
        <v>1</v>
      </c>
      <c r="O52" s="209">
        <v>15.4</v>
      </c>
      <c r="P52" s="210">
        <f t="shared" si="0"/>
        <v>15.4</v>
      </c>
      <c r="Q52" s="62"/>
    </row>
    <row r="53" spans="1:17" ht="15.75" x14ac:dyDescent="0.25">
      <c r="A53" s="58"/>
      <c r="B53" s="59"/>
      <c r="C53" s="59"/>
      <c r="D53" s="60"/>
      <c r="E53" s="80"/>
      <c r="F53" s="81"/>
      <c r="G53" s="81"/>
      <c r="H53" s="53"/>
      <c r="I53" s="75"/>
      <c r="J53" s="75"/>
      <c r="K53" s="206" t="s">
        <v>1005</v>
      </c>
      <c r="L53" s="207" t="s">
        <v>1006</v>
      </c>
      <c r="M53" s="206" t="s">
        <v>34</v>
      </c>
      <c r="N53" s="208">
        <v>1</v>
      </c>
      <c r="O53" s="209">
        <v>15.5</v>
      </c>
      <c r="P53" s="210">
        <f t="shared" si="0"/>
        <v>15.5</v>
      </c>
      <c r="Q53" s="62"/>
    </row>
    <row r="54" spans="1:17" ht="15.75" x14ac:dyDescent="0.25">
      <c r="A54" s="58"/>
      <c r="B54" s="59"/>
      <c r="C54" s="59"/>
      <c r="D54" s="60"/>
      <c r="E54" s="80"/>
      <c r="F54" s="81"/>
      <c r="G54" s="81"/>
      <c r="H54" s="53"/>
      <c r="I54" s="75"/>
      <c r="J54" s="75"/>
      <c r="K54" s="206" t="s">
        <v>921</v>
      </c>
      <c r="L54" s="207" t="s">
        <v>922</v>
      </c>
      <c r="M54" s="206" t="s">
        <v>34</v>
      </c>
      <c r="N54" s="208">
        <v>2</v>
      </c>
      <c r="O54" s="209">
        <v>1532.1274999999998</v>
      </c>
      <c r="P54" s="210">
        <f t="shared" si="0"/>
        <v>3064.2549999999997</v>
      </c>
      <c r="Q54" s="62"/>
    </row>
    <row r="55" spans="1:17" ht="15.75" x14ac:dyDescent="0.25">
      <c r="A55" s="58"/>
      <c r="B55" s="59"/>
      <c r="C55" s="59"/>
      <c r="D55" s="60"/>
      <c r="E55" s="80"/>
      <c r="F55" s="81"/>
      <c r="G55" s="81"/>
      <c r="H55" s="53"/>
      <c r="I55" s="75"/>
      <c r="J55" s="75"/>
      <c r="K55" s="206" t="s">
        <v>1007</v>
      </c>
      <c r="L55" s="207" t="s">
        <v>1008</v>
      </c>
      <c r="M55" s="206" t="s">
        <v>68</v>
      </c>
      <c r="N55" s="208">
        <v>2.8573101410130026</v>
      </c>
      <c r="O55" s="209">
        <v>3781.890439682852</v>
      </c>
      <c r="P55" s="210">
        <f t="shared" si="0"/>
        <v>10806.033905505936</v>
      </c>
      <c r="Q55" s="62"/>
    </row>
    <row r="56" spans="1:17" ht="15.75" x14ac:dyDescent="0.25">
      <c r="A56" s="58"/>
      <c r="B56" s="59"/>
      <c r="C56" s="59"/>
      <c r="D56" s="60"/>
      <c r="E56" s="80"/>
      <c r="F56" s="81"/>
      <c r="G56" s="81"/>
      <c r="H56" s="53"/>
      <c r="I56" s="75"/>
      <c r="J56" s="75"/>
      <c r="K56" s="206">
        <v>10911</v>
      </c>
      <c r="L56" s="207" t="s">
        <v>288</v>
      </c>
      <c r="M56" s="206" t="s">
        <v>34</v>
      </c>
      <c r="N56" s="208">
        <v>2</v>
      </c>
      <c r="O56" s="209">
        <v>1355.9991666666667</v>
      </c>
      <c r="P56" s="210">
        <f t="shared" si="0"/>
        <v>2711.9983333333334</v>
      </c>
      <c r="Q56" s="62"/>
    </row>
    <row r="57" spans="1:17" ht="15.75" x14ac:dyDescent="0.25">
      <c r="A57" s="58"/>
      <c r="B57" s="59"/>
      <c r="C57" s="59"/>
      <c r="D57" s="60"/>
      <c r="E57" s="80"/>
      <c r="F57" s="81"/>
      <c r="G57" s="81"/>
      <c r="H57" s="53"/>
      <c r="I57" s="75"/>
      <c r="J57" s="75"/>
      <c r="K57" s="206" t="s">
        <v>49</v>
      </c>
      <c r="L57" s="207" t="s">
        <v>74</v>
      </c>
      <c r="M57" s="206" t="s">
        <v>34</v>
      </c>
      <c r="N57" s="208">
        <v>19</v>
      </c>
      <c r="O57" s="209">
        <v>120</v>
      </c>
      <c r="P57" s="210">
        <f t="shared" si="0"/>
        <v>2280</v>
      </c>
      <c r="Q57" s="62"/>
    </row>
    <row r="58" spans="1:17" ht="15.75" x14ac:dyDescent="0.25">
      <c r="A58" s="58"/>
      <c r="B58" s="59"/>
      <c r="C58" s="59"/>
      <c r="D58" s="60"/>
      <c r="E58" s="80"/>
      <c r="F58" s="81"/>
      <c r="G58" s="81"/>
      <c r="H58" s="53"/>
      <c r="I58" s="75"/>
      <c r="J58" s="75"/>
      <c r="K58" s="206">
        <v>11950</v>
      </c>
      <c r="L58" s="207" t="s">
        <v>760</v>
      </c>
      <c r="M58" s="206" t="s">
        <v>34</v>
      </c>
      <c r="N58" s="208">
        <v>1</v>
      </c>
      <c r="O58" s="209">
        <v>547.83000000000004</v>
      </c>
      <c r="P58" s="210">
        <f t="shared" si="0"/>
        <v>547.83000000000004</v>
      </c>
      <c r="Q58" s="62"/>
    </row>
    <row r="59" spans="1:17" ht="30" x14ac:dyDescent="0.25">
      <c r="A59" s="58"/>
      <c r="B59" s="59"/>
      <c r="C59" s="59"/>
      <c r="D59" s="60"/>
      <c r="E59" s="80"/>
      <c r="F59" s="81"/>
      <c r="G59" s="81"/>
      <c r="H59" s="53"/>
      <c r="I59" s="75"/>
      <c r="J59" s="75"/>
      <c r="K59" s="206" t="s">
        <v>1009</v>
      </c>
      <c r="L59" s="207" t="s">
        <v>1010</v>
      </c>
      <c r="M59" s="206" t="s">
        <v>34</v>
      </c>
      <c r="N59" s="208">
        <v>1</v>
      </c>
      <c r="O59" s="209">
        <v>5017.8999999999996</v>
      </c>
      <c r="P59" s="210">
        <f t="shared" si="0"/>
        <v>5017.8999999999996</v>
      </c>
      <c r="Q59" s="62"/>
    </row>
    <row r="60" spans="1:17" ht="15.75" x14ac:dyDescent="0.25">
      <c r="A60" s="58"/>
      <c r="B60" s="59"/>
      <c r="C60" s="59"/>
      <c r="D60" s="60"/>
      <c r="E60" s="80"/>
      <c r="F60" s="81"/>
      <c r="G60" s="81"/>
      <c r="H60" s="53"/>
      <c r="I60" s="75"/>
      <c r="J60" s="75"/>
      <c r="K60" s="206">
        <v>5990</v>
      </c>
      <c r="L60" s="207" t="s">
        <v>75</v>
      </c>
      <c r="M60" s="206" t="s">
        <v>34</v>
      </c>
      <c r="N60" s="208">
        <v>75</v>
      </c>
      <c r="O60" s="209">
        <v>1.85</v>
      </c>
      <c r="P60" s="210">
        <f t="shared" si="0"/>
        <v>138.75</v>
      </c>
      <c r="Q60" s="62"/>
    </row>
    <row r="61" spans="1:17" ht="15.75" x14ac:dyDescent="0.25">
      <c r="A61" s="58"/>
      <c r="B61" s="59"/>
      <c r="C61" s="59"/>
      <c r="D61" s="60"/>
      <c r="E61" s="80"/>
      <c r="F61" s="81"/>
      <c r="G61" s="81"/>
      <c r="H61" s="53"/>
      <c r="I61" s="75"/>
      <c r="J61" s="75"/>
      <c r="K61" s="206">
        <v>1660</v>
      </c>
      <c r="L61" s="207" t="s">
        <v>923</v>
      </c>
      <c r="M61" s="206" t="s">
        <v>34</v>
      </c>
      <c r="N61" s="208">
        <v>112</v>
      </c>
      <c r="O61" s="209">
        <v>4.4000000000000004</v>
      </c>
      <c r="P61" s="210">
        <f t="shared" si="0"/>
        <v>492.80000000000007</v>
      </c>
      <c r="Q61" s="62"/>
    </row>
    <row r="62" spans="1:17" ht="15.75" x14ac:dyDescent="0.25">
      <c r="A62" s="58"/>
      <c r="B62" s="59"/>
      <c r="C62" s="59"/>
      <c r="D62" s="60"/>
      <c r="E62" s="80"/>
      <c r="F62" s="81"/>
      <c r="G62" s="81"/>
      <c r="H62" s="53"/>
      <c r="I62" s="75"/>
      <c r="J62" s="75"/>
      <c r="K62" s="206">
        <v>8421</v>
      </c>
      <c r="L62" s="207" t="s">
        <v>1011</v>
      </c>
      <c r="M62" s="206" t="s">
        <v>34</v>
      </c>
      <c r="N62" s="208">
        <v>19</v>
      </c>
      <c r="O62" s="209">
        <v>8.19</v>
      </c>
      <c r="P62" s="210">
        <f t="shared" si="0"/>
        <v>155.60999999999999</v>
      </c>
      <c r="Q62" s="62"/>
    </row>
    <row r="63" spans="1:17" ht="15.75" x14ac:dyDescent="0.25">
      <c r="A63" s="58"/>
      <c r="B63" s="59"/>
      <c r="C63" s="59"/>
      <c r="D63" s="60"/>
      <c r="E63" s="80"/>
      <c r="F63" s="81"/>
      <c r="G63" s="81"/>
      <c r="H63" s="53"/>
      <c r="I63" s="75"/>
      <c r="J63" s="75"/>
      <c r="K63" s="206">
        <v>10963</v>
      </c>
      <c r="L63" s="207" t="s">
        <v>924</v>
      </c>
      <c r="M63" s="206" t="s">
        <v>34</v>
      </c>
      <c r="N63" s="208">
        <v>61</v>
      </c>
      <c r="O63" s="209">
        <v>19.169230769230769</v>
      </c>
      <c r="P63" s="210">
        <f t="shared" si="0"/>
        <v>1169.323076923077</v>
      </c>
      <c r="Q63" s="62"/>
    </row>
    <row r="64" spans="1:17" ht="15.75" x14ac:dyDescent="0.25">
      <c r="A64" s="58"/>
      <c r="B64" s="59"/>
      <c r="C64" s="59"/>
      <c r="D64" s="60"/>
      <c r="E64" s="80"/>
      <c r="F64" s="81"/>
      <c r="G64" s="81"/>
      <c r="H64" s="53"/>
      <c r="I64" s="75"/>
      <c r="J64" s="75"/>
      <c r="K64" s="206">
        <v>11364</v>
      </c>
      <c r="L64" s="207" t="s">
        <v>925</v>
      </c>
      <c r="M64" s="206" t="s">
        <v>34</v>
      </c>
      <c r="N64" s="208">
        <v>26</v>
      </c>
      <c r="O64" s="209">
        <v>179.21928571428572</v>
      </c>
      <c r="P64" s="210">
        <f t="shared" si="0"/>
        <v>4659.7014285714286</v>
      </c>
      <c r="Q64" s="62"/>
    </row>
    <row r="65" spans="1:17" ht="15.75" x14ac:dyDescent="0.25">
      <c r="A65" s="58"/>
      <c r="B65" s="59"/>
      <c r="C65" s="59"/>
      <c r="D65" s="60"/>
      <c r="E65" s="80"/>
      <c r="F65" s="81"/>
      <c r="G65" s="81"/>
      <c r="H65" s="53"/>
      <c r="I65" s="75"/>
      <c r="J65" s="75"/>
      <c r="K65" s="206" t="s">
        <v>903</v>
      </c>
      <c r="L65" s="207" t="s">
        <v>904</v>
      </c>
      <c r="M65" s="206" t="s">
        <v>34</v>
      </c>
      <c r="N65" s="208">
        <v>374</v>
      </c>
      <c r="O65" s="209">
        <v>0.65855999999999992</v>
      </c>
      <c r="P65" s="210">
        <f t="shared" si="0"/>
        <v>246.30143999999999</v>
      </c>
      <c r="Q65" s="62"/>
    </row>
    <row r="66" spans="1:17" ht="15.75" x14ac:dyDescent="0.25">
      <c r="A66" s="58"/>
      <c r="B66" s="59"/>
      <c r="C66" s="59"/>
      <c r="D66" s="60"/>
      <c r="E66" s="80"/>
      <c r="F66" s="81"/>
      <c r="G66" s="81"/>
      <c r="H66" s="53"/>
      <c r="I66" s="75"/>
      <c r="J66" s="75"/>
      <c r="K66" s="206">
        <v>17039</v>
      </c>
      <c r="L66" s="207" t="s">
        <v>290</v>
      </c>
      <c r="M66" s="206" t="s">
        <v>34</v>
      </c>
      <c r="N66" s="208">
        <v>1</v>
      </c>
      <c r="O66" s="209">
        <v>75040.835000000006</v>
      </c>
      <c r="P66" s="210">
        <f t="shared" si="0"/>
        <v>75040.835000000006</v>
      </c>
      <c r="Q66" s="62"/>
    </row>
    <row r="67" spans="1:17" ht="15.75" x14ac:dyDescent="0.25">
      <c r="A67" s="58"/>
      <c r="B67" s="59"/>
      <c r="C67" s="59"/>
      <c r="D67" s="60"/>
      <c r="E67" s="80"/>
      <c r="F67" s="81"/>
      <c r="G67" s="81"/>
      <c r="H67" s="53"/>
      <c r="I67" s="75"/>
      <c r="J67" s="75"/>
      <c r="K67" s="206" t="s">
        <v>1012</v>
      </c>
      <c r="L67" s="207" t="s">
        <v>1013</v>
      </c>
      <c r="M67" s="206" t="s">
        <v>68</v>
      </c>
      <c r="N67" s="208">
        <v>3</v>
      </c>
      <c r="O67" s="209">
        <v>42</v>
      </c>
      <c r="P67" s="210">
        <f t="shared" si="0"/>
        <v>126</v>
      </c>
      <c r="Q67" s="62"/>
    </row>
    <row r="68" spans="1:17" ht="15.75" x14ac:dyDescent="0.25">
      <c r="A68" s="58"/>
      <c r="B68" s="59"/>
      <c r="C68" s="59"/>
      <c r="D68" s="60"/>
      <c r="E68" s="80"/>
      <c r="F68" s="81"/>
      <c r="G68" s="81"/>
      <c r="H68" s="53"/>
      <c r="I68" s="75"/>
      <c r="J68" s="75"/>
      <c r="K68" s="206" t="s">
        <v>926</v>
      </c>
      <c r="L68" s="207" t="s">
        <v>927</v>
      </c>
      <c r="M68" s="206" t="s">
        <v>34</v>
      </c>
      <c r="N68" s="208">
        <v>1</v>
      </c>
      <c r="O68" s="209">
        <v>110.21833333333332</v>
      </c>
      <c r="P68" s="210">
        <f t="shared" si="0"/>
        <v>110.21833333333332</v>
      </c>
      <c r="Q68" s="62"/>
    </row>
    <row r="69" spans="1:17" ht="15.75" x14ac:dyDescent="0.25">
      <c r="A69" s="58"/>
      <c r="B69" s="59"/>
      <c r="C69" s="59"/>
      <c r="D69" s="60"/>
      <c r="E69" s="80"/>
      <c r="F69" s="81"/>
      <c r="G69" s="81"/>
      <c r="H69" s="53"/>
      <c r="I69" s="75"/>
      <c r="J69" s="75"/>
      <c r="K69" s="206" t="s">
        <v>1014</v>
      </c>
      <c r="L69" s="207" t="s">
        <v>1015</v>
      </c>
      <c r="M69" s="206" t="s">
        <v>34</v>
      </c>
      <c r="N69" s="208">
        <v>1</v>
      </c>
      <c r="O69" s="209">
        <v>131.19999999999999</v>
      </c>
      <c r="P69" s="210">
        <f t="shared" si="0"/>
        <v>131.19999999999999</v>
      </c>
      <c r="Q69" s="62"/>
    </row>
    <row r="70" spans="1:17" ht="15.75" x14ac:dyDescent="0.25">
      <c r="A70" s="58"/>
      <c r="B70" s="59"/>
      <c r="C70" s="59"/>
      <c r="D70" s="60"/>
      <c r="E70" s="80"/>
      <c r="F70" s="81"/>
      <c r="G70" s="81"/>
      <c r="H70" s="53"/>
      <c r="I70" s="75"/>
      <c r="J70" s="75"/>
      <c r="K70" s="206">
        <v>82</v>
      </c>
      <c r="L70" s="207" t="s">
        <v>1016</v>
      </c>
      <c r="M70" s="206" t="s">
        <v>34</v>
      </c>
      <c r="N70" s="208">
        <v>1</v>
      </c>
      <c r="O70" s="209">
        <v>171.6</v>
      </c>
      <c r="P70" s="210">
        <f t="shared" si="0"/>
        <v>171.6</v>
      </c>
      <c r="Q70" s="62"/>
    </row>
    <row r="71" spans="1:17" ht="15.75" x14ac:dyDescent="0.25">
      <c r="A71" s="58"/>
      <c r="B71" s="59"/>
      <c r="C71" s="59"/>
      <c r="D71" s="60"/>
      <c r="E71" s="80"/>
      <c r="F71" s="81"/>
      <c r="G71" s="81"/>
      <c r="H71" s="53"/>
      <c r="I71" s="75"/>
      <c r="J71" s="75"/>
      <c r="K71" s="206" t="s">
        <v>1017</v>
      </c>
      <c r="L71" s="207" t="s">
        <v>1018</v>
      </c>
      <c r="M71" s="206" t="s">
        <v>34</v>
      </c>
      <c r="N71" s="208">
        <v>1</v>
      </c>
      <c r="O71" s="209">
        <v>166.79999999999998</v>
      </c>
      <c r="P71" s="210">
        <f t="shared" si="0"/>
        <v>166.79999999999998</v>
      </c>
      <c r="Q71" s="62"/>
    </row>
    <row r="72" spans="1:17" ht="15.75" x14ac:dyDescent="0.25">
      <c r="A72" s="58"/>
      <c r="B72" s="59"/>
      <c r="C72" s="59"/>
      <c r="D72" s="60"/>
      <c r="E72" s="80"/>
      <c r="F72" s="81"/>
      <c r="G72" s="81"/>
      <c r="H72" s="53"/>
      <c r="I72" s="75"/>
      <c r="J72" s="75"/>
      <c r="K72" s="206">
        <v>89</v>
      </c>
      <c r="L72" s="207" t="s">
        <v>294</v>
      </c>
      <c r="M72" s="206" t="s">
        <v>34</v>
      </c>
      <c r="N72" s="208">
        <v>1</v>
      </c>
      <c r="O72" s="209">
        <v>202.9</v>
      </c>
      <c r="P72" s="210">
        <f t="shared" si="0"/>
        <v>202.9</v>
      </c>
      <c r="Q72" s="62"/>
    </row>
    <row r="73" spans="1:17" ht="30" x14ac:dyDescent="0.25">
      <c r="A73" s="58"/>
      <c r="B73" s="59"/>
      <c r="C73" s="59"/>
      <c r="D73" s="60"/>
      <c r="E73" s="80"/>
      <c r="F73" s="81"/>
      <c r="G73" s="81"/>
      <c r="H73" s="53"/>
      <c r="I73" s="75"/>
      <c r="J73" s="75"/>
      <c r="K73" s="206">
        <v>19322</v>
      </c>
      <c r="L73" s="207" t="s">
        <v>296</v>
      </c>
      <c r="M73" s="206" t="s">
        <v>34</v>
      </c>
      <c r="N73" s="208">
        <v>9</v>
      </c>
      <c r="O73" s="209">
        <v>182.8</v>
      </c>
      <c r="P73" s="210">
        <f t="shared" si="0"/>
        <v>1645.2</v>
      </c>
      <c r="Q73" s="62"/>
    </row>
    <row r="74" spans="1:17" ht="15.75" x14ac:dyDescent="0.25">
      <c r="A74" s="58"/>
      <c r="B74" s="59"/>
      <c r="C74" s="59"/>
      <c r="D74" s="60"/>
      <c r="E74" s="80"/>
      <c r="F74" s="81"/>
      <c r="G74" s="81"/>
      <c r="H74" s="53"/>
      <c r="I74" s="75"/>
      <c r="J74" s="75"/>
      <c r="K74" s="206">
        <v>341</v>
      </c>
      <c r="L74" s="207" t="s">
        <v>297</v>
      </c>
      <c r="M74" s="206" t="s">
        <v>34</v>
      </c>
      <c r="N74" s="208">
        <v>6</v>
      </c>
      <c r="O74" s="209">
        <v>175.3</v>
      </c>
      <c r="P74" s="210">
        <f t="shared" si="0"/>
        <v>1051.8000000000002</v>
      </c>
      <c r="Q74" s="62"/>
    </row>
    <row r="75" spans="1:17" ht="15.75" x14ac:dyDescent="0.25">
      <c r="A75" s="58"/>
      <c r="B75" s="59"/>
      <c r="C75" s="59"/>
      <c r="D75" s="60"/>
      <c r="E75" s="80"/>
      <c r="F75" s="81"/>
      <c r="G75" s="81"/>
      <c r="H75" s="53"/>
      <c r="I75" s="75"/>
      <c r="J75" s="75"/>
      <c r="K75" s="206" t="s">
        <v>298</v>
      </c>
      <c r="L75" s="207" t="s">
        <v>299</v>
      </c>
      <c r="M75" s="206" t="s">
        <v>34</v>
      </c>
      <c r="N75" s="208">
        <v>6</v>
      </c>
      <c r="O75" s="209">
        <v>220.31242424242424</v>
      </c>
      <c r="P75" s="210">
        <f t="shared" si="0"/>
        <v>1321.8745454545456</v>
      </c>
      <c r="Q75" s="62"/>
    </row>
    <row r="76" spans="1:17" ht="15.75" x14ac:dyDescent="0.25">
      <c r="A76" s="58"/>
      <c r="B76" s="59"/>
      <c r="C76" s="59"/>
      <c r="D76" s="60"/>
      <c r="E76" s="80"/>
      <c r="F76" s="81"/>
      <c r="G76" s="81"/>
      <c r="H76" s="53"/>
      <c r="I76" s="75"/>
      <c r="J76" s="75"/>
      <c r="K76" s="206" t="s">
        <v>1019</v>
      </c>
      <c r="L76" s="207" t="s">
        <v>1020</v>
      </c>
      <c r="M76" s="206" t="s">
        <v>34</v>
      </c>
      <c r="N76" s="208">
        <v>3</v>
      </c>
      <c r="O76" s="209">
        <v>2911.4352941176471</v>
      </c>
      <c r="P76" s="210">
        <f t="shared" si="0"/>
        <v>8734.3058823529409</v>
      </c>
      <c r="Q76" s="62"/>
    </row>
    <row r="77" spans="1:17" ht="15.75" x14ac:dyDescent="0.25">
      <c r="A77" s="58"/>
      <c r="B77" s="59"/>
      <c r="C77" s="59"/>
      <c r="D77" s="60"/>
      <c r="E77" s="80"/>
      <c r="F77" s="81"/>
      <c r="G77" s="81"/>
      <c r="H77" s="53"/>
      <c r="I77" s="75"/>
      <c r="J77" s="75"/>
      <c r="K77" s="206">
        <v>16915</v>
      </c>
      <c r="L77" s="207" t="s">
        <v>1021</v>
      </c>
      <c r="M77" s="206" t="s">
        <v>35</v>
      </c>
      <c r="N77" s="208">
        <v>47</v>
      </c>
      <c r="O77" s="209">
        <v>87.51</v>
      </c>
      <c r="P77" s="210">
        <f t="shared" si="0"/>
        <v>4112.97</v>
      </c>
      <c r="Q77" s="62"/>
    </row>
    <row r="78" spans="1:17" ht="15.75" x14ac:dyDescent="0.25">
      <c r="A78" s="58"/>
      <c r="B78" s="59"/>
      <c r="C78" s="59"/>
      <c r="D78" s="60"/>
      <c r="E78" s="80"/>
      <c r="F78" s="81"/>
      <c r="G78" s="81"/>
      <c r="H78" s="53"/>
      <c r="I78" s="75"/>
      <c r="J78" s="75"/>
      <c r="K78" s="206" t="s">
        <v>928</v>
      </c>
      <c r="L78" s="207" t="s">
        <v>1022</v>
      </c>
      <c r="M78" s="206" t="s">
        <v>34</v>
      </c>
      <c r="N78" s="208">
        <v>1</v>
      </c>
      <c r="O78" s="209">
        <v>16423.330000000002</v>
      </c>
      <c r="P78" s="210">
        <f t="shared" si="0"/>
        <v>16423.330000000002</v>
      </c>
      <c r="Q78" s="62"/>
    </row>
    <row r="79" spans="1:17" ht="15.75" x14ac:dyDescent="0.25">
      <c r="A79" s="58"/>
      <c r="B79" s="59"/>
      <c r="C79" s="59"/>
      <c r="D79" s="60"/>
      <c r="E79" s="80"/>
      <c r="F79" s="81"/>
      <c r="G79" s="81"/>
      <c r="H79" s="53"/>
      <c r="I79" s="75"/>
      <c r="J79" s="75"/>
      <c r="K79" s="206" t="s">
        <v>304</v>
      </c>
      <c r="L79" s="207" t="s">
        <v>305</v>
      </c>
      <c r="M79" s="206" t="s">
        <v>34</v>
      </c>
      <c r="N79" s="208">
        <v>30</v>
      </c>
      <c r="O79" s="209">
        <v>63.278145695364238</v>
      </c>
      <c r="P79" s="210">
        <f t="shared" si="0"/>
        <v>1898.344370860927</v>
      </c>
      <c r="Q79" s="62"/>
    </row>
    <row r="80" spans="1:17" ht="15.75" x14ac:dyDescent="0.25">
      <c r="A80" s="58"/>
      <c r="B80" s="59"/>
      <c r="C80" s="59"/>
      <c r="D80" s="60"/>
      <c r="E80" s="80"/>
      <c r="F80" s="81"/>
      <c r="G80" s="81"/>
      <c r="H80" s="53"/>
      <c r="I80" s="75"/>
      <c r="J80" s="75"/>
      <c r="K80" s="206" t="s">
        <v>308</v>
      </c>
      <c r="L80" s="207" t="s">
        <v>309</v>
      </c>
      <c r="M80" s="206" t="s">
        <v>34</v>
      </c>
      <c r="N80" s="208">
        <v>40</v>
      </c>
      <c r="O80" s="209">
        <v>73.862803738317751</v>
      </c>
      <c r="P80" s="210">
        <f t="shared" si="0"/>
        <v>2954.5121495327103</v>
      </c>
      <c r="Q80" s="62"/>
    </row>
    <row r="81" spans="1:17" ht="15.75" x14ac:dyDescent="0.25">
      <c r="A81" s="58"/>
      <c r="B81" s="59"/>
      <c r="C81" s="59"/>
      <c r="D81" s="60"/>
      <c r="E81" s="80"/>
      <c r="F81" s="81"/>
      <c r="G81" s="81"/>
      <c r="H81" s="53"/>
      <c r="I81" s="75"/>
      <c r="J81" s="75"/>
      <c r="K81" s="206" t="s">
        <v>310</v>
      </c>
      <c r="L81" s="207" t="s">
        <v>311</v>
      </c>
      <c r="M81" s="206" t="s">
        <v>34</v>
      </c>
      <c r="N81" s="208">
        <v>8</v>
      </c>
      <c r="O81" s="209">
        <v>122.01414634146342</v>
      </c>
      <c r="P81" s="210">
        <f t="shared" si="0"/>
        <v>976.11317073170733</v>
      </c>
      <c r="Q81" s="62"/>
    </row>
    <row r="82" spans="1:17" ht="15.75" x14ac:dyDescent="0.25">
      <c r="A82" s="58"/>
      <c r="B82" s="59"/>
      <c r="C82" s="59"/>
      <c r="D82" s="60"/>
      <c r="E82" s="80"/>
      <c r="F82" s="81"/>
      <c r="G82" s="81"/>
      <c r="H82" s="53"/>
      <c r="I82" s="75"/>
      <c r="J82" s="75"/>
      <c r="K82" s="206" t="s">
        <v>1023</v>
      </c>
      <c r="L82" s="207" t="s">
        <v>1024</v>
      </c>
      <c r="M82" s="206" t="s">
        <v>34</v>
      </c>
      <c r="N82" s="208">
        <v>0</v>
      </c>
      <c r="O82" s="209">
        <v>1068.5450000000001</v>
      </c>
      <c r="P82" s="210">
        <f t="shared" si="0"/>
        <v>0</v>
      </c>
      <c r="Q82" s="62"/>
    </row>
    <row r="83" spans="1:17" ht="15.75" x14ac:dyDescent="0.25">
      <c r="A83" s="58"/>
      <c r="B83" s="59"/>
      <c r="C83" s="59"/>
      <c r="D83" s="60"/>
      <c r="E83" s="80"/>
      <c r="F83" s="81"/>
      <c r="G83" s="81"/>
      <c r="H83" s="53"/>
      <c r="I83" s="75"/>
      <c r="J83" s="75"/>
      <c r="K83" s="206" t="s">
        <v>929</v>
      </c>
      <c r="L83" s="207" t="s">
        <v>930</v>
      </c>
      <c r="M83" s="206" t="s">
        <v>34</v>
      </c>
      <c r="N83" s="208">
        <v>2</v>
      </c>
      <c r="O83" s="209">
        <v>6524.7620000000006</v>
      </c>
      <c r="P83" s="210">
        <f t="shared" si="0"/>
        <v>13049.524000000001</v>
      </c>
      <c r="Q83" s="62"/>
    </row>
    <row r="84" spans="1:17" ht="15.75" x14ac:dyDescent="0.25">
      <c r="A84" s="58"/>
      <c r="B84" s="59"/>
      <c r="C84" s="59"/>
      <c r="D84" s="60"/>
      <c r="E84" s="80"/>
      <c r="F84" s="81"/>
      <c r="G84" s="81"/>
      <c r="H84" s="53"/>
      <c r="I84" s="75"/>
      <c r="J84" s="75"/>
      <c r="K84" s="206" t="s">
        <v>900</v>
      </c>
      <c r="L84" s="207" t="s">
        <v>901</v>
      </c>
      <c r="M84" s="206" t="s">
        <v>34</v>
      </c>
      <c r="N84" s="208">
        <v>2</v>
      </c>
      <c r="O84" s="209">
        <v>259.77818181818179</v>
      </c>
      <c r="P84" s="210">
        <f t="shared" ref="P84:P147" si="1">O84*N84</f>
        <v>519.55636363636359</v>
      </c>
      <c r="Q84" s="62"/>
    </row>
    <row r="85" spans="1:17" ht="15.75" x14ac:dyDescent="0.25">
      <c r="A85" s="58"/>
      <c r="B85" s="59"/>
      <c r="C85" s="59"/>
      <c r="D85" s="60"/>
      <c r="E85" s="80"/>
      <c r="F85" s="81"/>
      <c r="G85" s="81"/>
      <c r="H85" s="53"/>
      <c r="I85" s="75"/>
      <c r="J85" s="75"/>
      <c r="K85" s="206" t="s">
        <v>312</v>
      </c>
      <c r="L85" s="207" t="s">
        <v>313</v>
      </c>
      <c r="M85" s="206" t="s">
        <v>34</v>
      </c>
      <c r="N85" s="208">
        <v>2</v>
      </c>
      <c r="O85" s="209">
        <v>336.99</v>
      </c>
      <c r="P85" s="210">
        <f t="shared" si="1"/>
        <v>673.98</v>
      </c>
      <c r="Q85" s="62"/>
    </row>
    <row r="86" spans="1:17" ht="15.75" x14ac:dyDescent="0.25">
      <c r="A86" s="58"/>
      <c r="B86" s="59"/>
      <c r="C86" s="59"/>
      <c r="D86" s="60"/>
      <c r="E86" s="80"/>
      <c r="F86" s="81"/>
      <c r="G86" s="81"/>
      <c r="H86" s="53"/>
      <c r="I86" s="75"/>
      <c r="J86" s="75"/>
      <c r="K86" s="206" t="s">
        <v>523</v>
      </c>
      <c r="L86" s="207" t="s">
        <v>962</v>
      </c>
      <c r="M86" s="206" t="s">
        <v>34</v>
      </c>
      <c r="N86" s="208">
        <v>2</v>
      </c>
      <c r="O86" s="209">
        <v>293.34100000000001</v>
      </c>
      <c r="P86" s="210">
        <f t="shared" si="1"/>
        <v>586.68200000000002</v>
      </c>
      <c r="Q86" s="62"/>
    </row>
    <row r="87" spans="1:17" ht="15.75" x14ac:dyDescent="0.25">
      <c r="A87" s="58"/>
      <c r="B87" s="59"/>
      <c r="C87" s="59"/>
      <c r="D87" s="60"/>
      <c r="E87" s="80"/>
      <c r="F87" s="81"/>
      <c r="G87" s="81"/>
      <c r="H87" s="53"/>
      <c r="I87" s="75"/>
      <c r="J87" s="75"/>
      <c r="K87" s="206" t="s">
        <v>907</v>
      </c>
      <c r="L87" s="207" t="s">
        <v>908</v>
      </c>
      <c r="M87" s="206" t="s">
        <v>1207</v>
      </c>
      <c r="N87" s="208">
        <v>0.31005213246297963</v>
      </c>
      <c r="O87" s="209">
        <v>8163.04347826087</v>
      </c>
      <c r="P87" s="210">
        <f t="shared" si="1"/>
        <v>2530.9690378228011</v>
      </c>
      <c r="Q87" s="62"/>
    </row>
    <row r="88" spans="1:17" ht="15.75" x14ac:dyDescent="0.25">
      <c r="A88" s="58"/>
      <c r="B88" s="59"/>
      <c r="C88" s="59"/>
      <c r="D88" s="60"/>
      <c r="E88" s="80"/>
      <c r="F88" s="81"/>
      <c r="G88" s="81"/>
      <c r="H88" s="53"/>
      <c r="I88" s="75"/>
      <c r="J88" s="75"/>
      <c r="K88" s="206">
        <v>9858</v>
      </c>
      <c r="L88" s="207" t="s">
        <v>178</v>
      </c>
      <c r="M88" s="206" t="s">
        <v>56</v>
      </c>
      <c r="N88" s="208">
        <v>6.3658046520176986E-3</v>
      </c>
      <c r="O88" s="209">
        <v>38882.647058823524</v>
      </c>
      <c r="P88" s="210">
        <f t="shared" si="1"/>
        <v>247.51933552982106</v>
      </c>
      <c r="Q88" s="62"/>
    </row>
    <row r="89" spans="1:17" ht="15.75" x14ac:dyDescent="0.25">
      <c r="A89" s="58"/>
      <c r="B89" s="59"/>
      <c r="C89" s="59"/>
      <c r="D89" s="60"/>
      <c r="E89" s="80"/>
      <c r="F89" s="81"/>
      <c r="G89" s="81"/>
      <c r="H89" s="53"/>
      <c r="I89" s="75"/>
      <c r="J89" s="75"/>
      <c r="K89" s="206">
        <v>6366</v>
      </c>
      <c r="L89" s="207" t="s">
        <v>1025</v>
      </c>
      <c r="M89" s="206" t="s">
        <v>56</v>
      </c>
      <c r="N89" s="208">
        <v>5.6168864576626747E-4</v>
      </c>
      <c r="O89" s="209">
        <v>42480</v>
      </c>
      <c r="P89" s="210">
        <f t="shared" si="1"/>
        <v>23.860533672151043</v>
      </c>
      <c r="Q89" s="62"/>
    </row>
    <row r="90" spans="1:17" ht="15.75" x14ac:dyDescent="0.25">
      <c r="A90" s="58"/>
      <c r="B90" s="59"/>
      <c r="C90" s="59"/>
      <c r="D90" s="60"/>
      <c r="E90" s="80"/>
      <c r="F90" s="81"/>
      <c r="G90" s="81"/>
      <c r="H90" s="53"/>
      <c r="I90" s="75"/>
      <c r="J90" s="75"/>
      <c r="K90" s="206">
        <v>10853</v>
      </c>
      <c r="L90" s="207" t="s">
        <v>1026</v>
      </c>
      <c r="M90" s="206" t="s">
        <v>56</v>
      </c>
      <c r="N90" s="208">
        <v>1.1233772915325349E-3</v>
      </c>
      <c r="O90" s="209">
        <v>45000</v>
      </c>
      <c r="P90" s="210">
        <f t="shared" si="1"/>
        <v>50.551978118964072</v>
      </c>
      <c r="Q90" s="62"/>
    </row>
    <row r="91" spans="1:17" ht="15.75" x14ac:dyDescent="0.25">
      <c r="A91" s="58"/>
      <c r="B91" s="59"/>
      <c r="C91" s="59"/>
      <c r="D91" s="60"/>
      <c r="E91" s="80"/>
      <c r="F91" s="81"/>
      <c r="G91" s="81"/>
      <c r="H91" s="53"/>
      <c r="I91" s="75"/>
      <c r="J91" s="75"/>
      <c r="K91" s="206" t="s">
        <v>758</v>
      </c>
      <c r="L91" s="207" t="s">
        <v>759</v>
      </c>
      <c r="M91" s="206" t="s">
        <v>34</v>
      </c>
      <c r="N91" s="208">
        <v>2</v>
      </c>
      <c r="O91" s="209">
        <v>11183.761818181818</v>
      </c>
      <c r="P91" s="210">
        <f t="shared" si="1"/>
        <v>22367.523636363636</v>
      </c>
      <c r="Q91" s="62"/>
    </row>
    <row r="92" spans="1:17" ht="15.75" x14ac:dyDescent="0.25">
      <c r="A92" s="58"/>
      <c r="B92" s="59"/>
      <c r="C92" s="59"/>
      <c r="D92" s="60"/>
      <c r="E92" s="80"/>
      <c r="F92" s="81"/>
      <c r="G92" s="81"/>
      <c r="H92" s="53"/>
      <c r="I92" s="75"/>
      <c r="J92" s="75"/>
      <c r="K92" s="206" t="s">
        <v>931</v>
      </c>
      <c r="L92" s="207" t="s">
        <v>932</v>
      </c>
      <c r="M92" s="206" t="s">
        <v>34</v>
      </c>
      <c r="N92" s="208">
        <v>1</v>
      </c>
      <c r="O92" s="209">
        <v>2759.8249999999998</v>
      </c>
      <c r="P92" s="210">
        <f t="shared" si="1"/>
        <v>2759.8249999999998</v>
      </c>
      <c r="Q92" s="62"/>
    </row>
    <row r="93" spans="1:17" ht="30" x14ac:dyDescent="0.25">
      <c r="A93" s="58"/>
      <c r="B93" s="59"/>
      <c r="C93" s="59"/>
      <c r="D93" s="60"/>
      <c r="E93" s="80"/>
      <c r="F93" s="81"/>
      <c r="G93" s="81"/>
      <c r="H93" s="53"/>
      <c r="I93" s="75"/>
      <c r="J93" s="75"/>
      <c r="K93" s="206" t="s">
        <v>322</v>
      </c>
      <c r="L93" s="207" t="s">
        <v>323</v>
      </c>
      <c r="M93" s="206" t="s">
        <v>34</v>
      </c>
      <c r="N93" s="208">
        <v>1</v>
      </c>
      <c r="O93" s="209">
        <v>4634.1000000000004</v>
      </c>
      <c r="P93" s="210">
        <f t="shared" si="1"/>
        <v>4634.1000000000004</v>
      </c>
      <c r="Q93" s="62"/>
    </row>
    <row r="94" spans="1:17" ht="30" x14ac:dyDescent="0.25">
      <c r="A94" s="58"/>
      <c r="B94" s="59"/>
      <c r="C94" s="59"/>
      <c r="D94" s="60"/>
      <c r="E94" s="80"/>
      <c r="F94" s="81"/>
      <c r="G94" s="81"/>
      <c r="H94" s="53"/>
      <c r="I94" s="75"/>
      <c r="J94" s="75"/>
      <c r="K94" s="206" t="s">
        <v>324</v>
      </c>
      <c r="L94" s="207" t="s">
        <v>325</v>
      </c>
      <c r="M94" s="206" t="s">
        <v>34</v>
      </c>
      <c r="N94" s="208">
        <v>1</v>
      </c>
      <c r="O94" s="209">
        <v>3824.3</v>
      </c>
      <c r="P94" s="210">
        <f t="shared" si="1"/>
        <v>3824.3</v>
      </c>
      <c r="Q94" s="62"/>
    </row>
    <row r="95" spans="1:17" ht="15.75" x14ac:dyDescent="0.25">
      <c r="A95" s="58"/>
      <c r="B95" s="59"/>
      <c r="C95" s="59"/>
      <c r="D95" s="60"/>
      <c r="E95" s="80"/>
      <c r="F95" s="81"/>
      <c r="G95" s="81"/>
      <c r="H95" s="53"/>
      <c r="I95" s="75"/>
      <c r="J95" s="75"/>
      <c r="K95" s="206" t="s">
        <v>933</v>
      </c>
      <c r="L95" s="207" t="s">
        <v>1027</v>
      </c>
      <c r="M95" s="206" t="s">
        <v>34</v>
      </c>
      <c r="N95" s="208">
        <v>1</v>
      </c>
      <c r="O95" s="209">
        <v>842.36500000000001</v>
      </c>
      <c r="P95" s="210">
        <f t="shared" si="1"/>
        <v>842.36500000000001</v>
      </c>
      <c r="Q95" s="62"/>
    </row>
    <row r="96" spans="1:17" ht="15.75" x14ac:dyDescent="0.25">
      <c r="A96" s="58"/>
      <c r="B96" s="59"/>
      <c r="C96" s="59"/>
      <c r="D96" s="60"/>
      <c r="E96" s="80"/>
      <c r="F96" s="81"/>
      <c r="G96" s="81"/>
      <c r="H96" s="53"/>
      <c r="I96" s="75"/>
      <c r="J96" s="75"/>
      <c r="K96" s="206" t="s">
        <v>326</v>
      </c>
      <c r="L96" s="207" t="s">
        <v>327</v>
      </c>
      <c r="M96" s="206" t="s">
        <v>34</v>
      </c>
      <c r="N96" s="208">
        <v>1</v>
      </c>
      <c r="O96" s="209">
        <v>7816.5</v>
      </c>
      <c r="P96" s="210">
        <f t="shared" si="1"/>
        <v>7816.5</v>
      </c>
      <c r="Q96" s="62"/>
    </row>
    <row r="97" spans="1:17" ht="15.75" x14ac:dyDescent="0.25">
      <c r="A97" s="58"/>
      <c r="B97" s="59"/>
      <c r="C97" s="59"/>
      <c r="D97" s="60"/>
      <c r="E97" s="80"/>
      <c r="F97" s="81"/>
      <c r="G97" s="81"/>
      <c r="H97" s="53"/>
      <c r="I97" s="75"/>
      <c r="J97" s="75"/>
      <c r="K97" s="206">
        <v>200</v>
      </c>
      <c r="L97" s="207" t="s">
        <v>1028</v>
      </c>
      <c r="M97" s="206" t="s">
        <v>34</v>
      </c>
      <c r="N97" s="208">
        <v>1</v>
      </c>
      <c r="O97" s="209">
        <v>54</v>
      </c>
      <c r="P97" s="210">
        <f t="shared" si="1"/>
        <v>54</v>
      </c>
      <c r="Q97" s="62"/>
    </row>
    <row r="98" spans="1:17" ht="15.75" x14ac:dyDescent="0.25">
      <c r="A98" s="58"/>
      <c r="B98" s="59"/>
      <c r="C98" s="59"/>
      <c r="D98" s="60"/>
      <c r="E98" s="80"/>
      <c r="F98" s="81"/>
      <c r="G98" s="81"/>
      <c r="H98" s="53"/>
      <c r="I98" s="75"/>
      <c r="J98" s="75"/>
      <c r="K98" s="206">
        <v>102</v>
      </c>
      <c r="L98" s="207" t="s">
        <v>328</v>
      </c>
      <c r="M98" s="206" t="s">
        <v>34</v>
      </c>
      <c r="N98" s="208">
        <v>24</v>
      </c>
      <c r="O98" s="209">
        <v>65.599999999999994</v>
      </c>
      <c r="P98" s="210">
        <f t="shared" si="1"/>
        <v>1574.3999999999999</v>
      </c>
      <c r="Q98" s="62"/>
    </row>
    <row r="99" spans="1:17" ht="15.75" x14ac:dyDescent="0.25">
      <c r="A99" s="58"/>
      <c r="B99" s="59"/>
      <c r="C99" s="59"/>
      <c r="D99" s="60"/>
      <c r="E99" s="80"/>
      <c r="F99" s="81"/>
      <c r="G99" s="81"/>
      <c r="H99" s="53"/>
      <c r="I99" s="75"/>
      <c r="J99" s="75"/>
      <c r="K99" s="206" t="s">
        <v>329</v>
      </c>
      <c r="L99" s="207" t="s">
        <v>330</v>
      </c>
      <c r="M99" s="206" t="s">
        <v>34</v>
      </c>
      <c r="N99" s="208">
        <v>4</v>
      </c>
      <c r="O99" s="209">
        <v>228.01</v>
      </c>
      <c r="P99" s="210">
        <f t="shared" si="1"/>
        <v>912.04</v>
      </c>
      <c r="Q99" s="62"/>
    </row>
    <row r="100" spans="1:17" ht="15.75" x14ac:dyDescent="0.25">
      <c r="A100" s="58"/>
      <c r="B100" s="59"/>
      <c r="C100" s="59"/>
      <c r="D100" s="60"/>
      <c r="E100" s="80"/>
      <c r="F100" s="81"/>
      <c r="G100" s="81"/>
      <c r="H100" s="53"/>
      <c r="I100" s="75"/>
      <c r="J100" s="75"/>
      <c r="K100" s="206" t="s">
        <v>905</v>
      </c>
      <c r="L100" s="207" t="s">
        <v>906</v>
      </c>
      <c r="M100" s="206" t="s">
        <v>34</v>
      </c>
      <c r="N100" s="208">
        <v>2</v>
      </c>
      <c r="O100" s="209">
        <v>79.350000000000009</v>
      </c>
      <c r="P100" s="210">
        <f t="shared" si="1"/>
        <v>158.70000000000002</v>
      </c>
      <c r="Q100" s="62"/>
    </row>
    <row r="101" spans="1:17" ht="30" x14ac:dyDescent="0.25">
      <c r="A101" s="58"/>
      <c r="B101" s="59"/>
      <c r="C101" s="59"/>
      <c r="D101" s="60"/>
      <c r="E101" s="80"/>
      <c r="F101" s="81"/>
      <c r="G101" s="81"/>
      <c r="H101" s="53"/>
      <c r="I101" s="75"/>
      <c r="J101" s="75"/>
      <c r="K101" s="206" t="s">
        <v>331</v>
      </c>
      <c r="L101" s="207" t="s">
        <v>332</v>
      </c>
      <c r="M101" s="206" t="s">
        <v>34</v>
      </c>
      <c r="N101" s="208">
        <v>2</v>
      </c>
      <c r="O101" s="209">
        <v>143.54999999999998</v>
      </c>
      <c r="P101" s="210">
        <f t="shared" si="1"/>
        <v>287.09999999999997</v>
      </c>
      <c r="Q101" s="62"/>
    </row>
    <row r="102" spans="1:17" ht="30" x14ac:dyDescent="0.25">
      <c r="A102" s="58"/>
      <c r="B102" s="59"/>
      <c r="C102" s="59"/>
      <c r="D102" s="60"/>
      <c r="E102" s="80"/>
      <c r="F102" s="81"/>
      <c r="G102" s="81"/>
      <c r="H102" s="53"/>
      <c r="I102" s="75"/>
      <c r="J102" s="75"/>
      <c r="K102" s="206" t="s">
        <v>333</v>
      </c>
      <c r="L102" s="207" t="s">
        <v>334</v>
      </c>
      <c r="M102" s="206" t="s">
        <v>34</v>
      </c>
      <c r="N102" s="208">
        <v>5</v>
      </c>
      <c r="O102" s="209">
        <v>129.06923076923078</v>
      </c>
      <c r="P102" s="210">
        <f t="shared" si="1"/>
        <v>645.34615384615392</v>
      </c>
      <c r="Q102" s="62"/>
    </row>
    <row r="103" spans="1:17" ht="15.75" x14ac:dyDescent="0.25">
      <c r="A103" s="58"/>
      <c r="B103" s="59"/>
      <c r="C103" s="59"/>
      <c r="D103" s="60"/>
      <c r="E103" s="80"/>
      <c r="F103" s="81"/>
      <c r="G103" s="81"/>
      <c r="H103" s="53"/>
      <c r="I103" s="75"/>
      <c r="J103" s="75"/>
      <c r="K103" s="206" t="s">
        <v>969</v>
      </c>
      <c r="L103" s="207" t="s">
        <v>977</v>
      </c>
      <c r="M103" s="206" t="s">
        <v>34</v>
      </c>
      <c r="N103" s="208">
        <v>1</v>
      </c>
      <c r="O103" s="209">
        <v>205.755</v>
      </c>
      <c r="P103" s="210">
        <f t="shared" si="1"/>
        <v>205.755</v>
      </c>
      <c r="Q103" s="62"/>
    </row>
    <row r="104" spans="1:17" ht="15.75" x14ac:dyDescent="0.25">
      <c r="A104" s="58"/>
      <c r="B104" s="59"/>
      <c r="C104" s="59"/>
      <c r="D104" s="60"/>
      <c r="E104" s="80"/>
      <c r="F104" s="81"/>
      <c r="G104" s="81"/>
      <c r="H104" s="53"/>
      <c r="I104" s="75"/>
      <c r="J104" s="75"/>
      <c r="K104" s="206">
        <v>349</v>
      </c>
      <c r="L104" s="207" t="s">
        <v>1029</v>
      </c>
      <c r="M104" s="206" t="s">
        <v>34</v>
      </c>
      <c r="N104" s="208">
        <v>1</v>
      </c>
      <c r="O104" s="209">
        <v>22.9</v>
      </c>
      <c r="P104" s="210">
        <f t="shared" si="1"/>
        <v>22.9</v>
      </c>
      <c r="Q104" s="62"/>
    </row>
    <row r="105" spans="1:17" ht="15.75" x14ac:dyDescent="0.25">
      <c r="A105" s="58"/>
      <c r="B105" s="59"/>
      <c r="C105" s="59"/>
      <c r="D105" s="60"/>
      <c r="E105" s="80"/>
      <c r="F105" s="81"/>
      <c r="G105" s="81"/>
      <c r="H105" s="53"/>
      <c r="I105" s="75"/>
      <c r="J105" s="75"/>
      <c r="K105" s="206" t="s">
        <v>1030</v>
      </c>
      <c r="L105" s="207" t="s">
        <v>1031</v>
      </c>
      <c r="M105" s="206" t="s">
        <v>34</v>
      </c>
      <c r="N105" s="208">
        <v>138</v>
      </c>
      <c r="O105" s="209">
        <v>6.2903260869565223</v>
      </c>
      <c r="P105" s="210">
        <f t="shared" si="1"/>
        <v>868.06500000000005</v>
      </c>
      <c r="Q105" s="62"/>
    </row>
    <row r="106" spans="1:17" ht="15.75" x14ac:dyDescent="0.25">
      <c r="A106" s="58"/>
      <c r="B106" s="59"/>
      <c r="C106" s="59"/>
      <c r="D106" s="60"/>
      <c r="E106" s="80"/>
      <c r="F106" s="81"/>
      <c r="G106" s="81"/>
      <c r="H106" s="53"/>
      <c r="I106" s="75"/>
      <c r="J106" s="75"/>
      <c r="K106" s="206">
        <v>20679</v>
      </c>
      <c r="L106" s="207" t="s">
        <v>909</v>
      </c>
      <c r="M106" s="206" t="s">
        <v>34</v>
      </c>
      <c r="N106" s="208">
        <v>2247</v>
      </c>
      <c r="O106" s="209">
        <v>0.26488</v>
      </c>
      <c r="P106" s="210">
        <f t="shared" si="1"/>
        <v>595.18536000000006</v>
      </c>
      <c r="Q106" s="62"/>
    </row>
    <row r="107" spans="1:17" ht="15.75" x14ac:dyDescent="0.25">
      <c r="A107" s="58"/>
      <c r="B107" s="59"/>
      <c r="C107" s="59"/>
      <c r="D107" s="60"/>
      <c r="E107" s="80"/>
      <c r="F107" s="81"/>
      <c r="G107" s="81"/>
      <c r="H107" s="53"/>
      <c r="I107" s="75"/>
      <c r="J107" s="75"/>
      <c r="K107" s="206">
        <v>3426</v>
      </c>
      <c r="L107" s="207" t="s">
        <v>183</v>
      </c>
      <c r="M107" s="206" t="s">
        <v>34</v>
      </c>
      <c r="N107" s="208">
        <v>1</v>
      </c>
      <c r="O107" s="209">
        <v>257</v>
      </c>
      <c r="P107" s="210">
        <f t="shared" si="1"/>
        <v>257</v>
      </c>
      <c r="Q107" s="62"/>
    </row>
    <row r="108" spans="1:17" ht="15.75" x14ac:dyDescent="0.25">
      <c r="A108" s="58"/>
      <c r="B108" s="59"/>
      <c r="C108" s="59"/>
      <c r="D108" s="60"/>
      <c r="E108" s="80"/>
      <c r="F108" s="81"/>
      <c r="G108" s="81"/>
      <c r="H108" s="53"/>
      <c r="I108" s="75"/>
      <c r="J108" s="75"/>
      <c r="K108" s="206" t="s">
        <v>1032</v>
      </c>
      <c r="L108" s="207" t="s">
        <v>1033</v>
      </c>
      <c r="M108" s="206" t="s">
        <v>34</v>
      </c>
      <c r="N108" s="208">
        <v>1</v>
      </c>
      <c r="O108" s="209">
        <v>2106</v>
      </c>
      <c r="P108" s="210">
        <f t="shared" si="1"/>
        <v>2106</v>
      </c>
      <c r="Q108" s="62"/>
    </row>
    <row r="109" spans="1:17" ht="15.75" x14ac:dyDescent="0.25">
      <c r="A109" s="58"/>
      <c r="B109" s="59"/>
      <c r="C109" s="59"/>
      <c r="D109" s="60"/>
      <c r="E109" s="80"/>
      <c r="F109" s="81"/>
      <c r="G109" s="81"/>
      <c r="H109" s="53"/>
      <c r="I109" s="75"/>
      <c r="J109" s="75"/>
      <c r="K109" s="206" t="s">
        <v>1034</v>
      </c>
      <c r="L109" s="207" t="s">
        <v>1035</v>
      </c>
      <c r="M109" s="206" t="s">
        <v>442</v>
      </c>
      <c r="N109" s="208">
        <v>1</v>
      </c>
      <c r="O109" s="209">
        <v>182.5</v>
      </c>
      <c r="P109" s="210">
        <f t="shared" si="1"/>
        <v>182.5</v>
      </c>
      <c r="Q109" s="62"/>
    </row>
    <row r="110" spans="1:17" ht="30" x14ac:dyDescent="0.25">
      <c r="A110" s="58"/>
      <c r="B110" s="59"/>
      <c r="C110" s="59"/>
      <c r="D110" s="60"/>
      <c r="E110" s="80"/>
      <c r="F110" s="81"/>
      <c r="G110" s="81"/>
      <c r="H110" s="53"/>
      <c r="I110" s="75"/>
      <c r="J110" s="75"/>
      <c r="K110" s="206" t="s">
        <v>1036</v>
      </c>
      <c r="L110" s="207" t="s">
        <v>1037</v>
      </c>
      <c r="M110" s="206" t="s">
        <v>34</v>
      </c>
      <c r="N110" s="208">
        <v>1</v>
      </c>
      <c r="O110" s="209">
        <v>100.35714285714286</v>
      </c>
      <c r="P110" s="210">
        <f t="shared" si="1"/>
        <v>100.35714285714286</v>
      </c>
      <c r="Q110" s="62"/>
    </row>
    <row r="111" spans="1:17" ht="15.75" x14ac:dyDescent="0.25">
      <c r="A111" s="58"/>
      <c r="B111" s="59"/>
      <c r="C111" s="59"/>
      <c r="D111" s="60"/>
      <c r="E111" s="80"/>
      <c r="F111" s="81"/>
      <c r="G111" s="81"/>
      <c r="H111" s="53"/>
      <c r="I111" s="75"/>
      <c r="J111" s="75"/>
      <c r="K111" s="206" t="s">
        <v>340</v>
      </c>
      <c r="L111" s="207" t="s">
        <v>341</v>
      </c>
      <c r="M111" s="206" t="s">
        <v>34</v>
      </c>
      <c r="N111" s="208">
        <v>2</v>
      </c>
      <c r="O111" s="209">
        <v>1228.323076923077</v>
      </c>
      <c r="P111" s="210">
        <f t="shared" si="1"/>
        <v>2456.646153846154</v>
      </c>
      <c r="Q111" s="62"/>
    </row>
    <row r="112" spans="1:17" ht="30" x14ac:dyDescent="0.25">
      <c r="A112" s="58"/>
      <c r="B112" s="59"/>
      <c r="C112" s="59"/>
      <c r="D112" s="60"/>
      <c r="E112" s="80"/>
      <c r="F112" s="81"/>
      <c r="G112" s="81"/>
      <c r="H112" s="53"/>
      <c r="I112" s="75"/>
      <c r="J112" s="75"/>
      <c r="K112" s="206" t="s">
        <v>1038</v>
      </c>
      <c r="L112" s="207" t="s">
        <v>1039</v>
      </c>
      <c r="M112" s="206" t="s">
        <v>34</v>
      </c>
      <c r="N112" s="208">
        <v>2</v>
      </c>
      <c r="O112" s="209">
        <v>261.41166666666669</v>
      </c>
      <c r="P112" s="210">
        <f t="shared" si="1"/>
        <v>522.82333333333338</v>
      </c>
      <c r="Q112" s="62"/>
    </row>
    <row r="113" spans="1:17" ht="15.75" x14ac:dyDescent="0.25">
      <c r="A113" s="58"/>
      <c r="B113" s="59"/>
      <c r="C113" s="59"/>
      <c r="D113" s="60"/>
      <c r="E113" s="80"/>
      <c r="F113" s="81"/>
      <c r="G113" s="81"/>
      <c r="H113" s="53"/>
      <c r="I113" s="75"/>
      <c r="J113" s="75"/>
      <c r="K113" s="206" t="s">
        <v>342</v>
      </c>
      <c r="L113" s="207" t="s">
        <v>343</v>
      </c>
      <c r="M113" s="206" t="s">
        <v>34</v>
      </c>
      <c r="N113" s="208">
        <v>2</v>
      </c>
      <c r="O113" s="209">
        <v>257.81272727272727</v>
      </c>
      <c r="P113" s="210">
        <f t="shared" si="1"/>
        <v>515.62545454545455</v>
      </c>
      <c r="Q113" s="62"/>
    </row>
    <row r="114" spans="1:17" ht="15.75" x14ac:dyDescent="0.25">
      <c r="A114" s="58"/>
      <c r="B114" s="59"/>
      <c r="C114" s="59"/>
      <c r="D114" s="60"/>
      <c r="E114" s="80"/>
      <c r="F114" s="81"/>
      <c r="G114" s="81"/>
      <c r="H114" s="53"/>
      <c r="I114" s="75"/>
      <c r="J114" s="75"/>
      <c r="K114" s="206" t="s">
        <v>968</v>
      </c>
      <c r="L114" s="207" t="s">
        <v>976</v>
      </c>
      <c r="M114" s="206" t="s">
        <v>34</v>
      </c>
      <c r="N114" s="208">
        <v>1</v>
      </c>
      <c r="O114" s="209">
        <v>849.49749999999995</v>
      </c>
      <c r="P114" s="210">
        <f t="shared" si="1"/>
        <v>849.49749999999995</v>
      </c>
      <c r="Q114" s="62"/>
    </row>
    <row r="115" spans="1:17" ht="15.75" x14ac:dyDescent="0.25">
      <c r="A115" s="58"/>
      <c r="B115" s="59"/>
      <c r="C115" s="59"/>
      <c r="D115" s="60"/>
      <c r="E115" s="80"/>
      <c r="F115" s="81"/>
      <c r="G115" s="81"/>
      <c r="H115" s="53"/>
      <c r="I115" s="75"/>
      <c r="J115" s="75"/>
      <c r="K115" s="206" t="s">
        <v>344</v>
      </c>
      <c r="L115" s="207" t="s">
        <v>345</v>
      </c>
      <c r="M115" s="206" t="s">
        <v>34</v>
      </c>
      <c r="N115" s="208">
        <v>1</v>
      </c>
      <c r="O115" s="209">
        <v>357.38142857142856</v>
      </c>
      <c r="P115" s="210">
        <f t="shared" si="1"/>
        <v>357.38142857142856</v>
      </c>
      <c r="Q115" s="62"/>
    </row>
    <row r="116" spans="1:17" ht="15.75" x14ac:dyDescent="0.25">
      <c r="A116" s="58"/>
      <c r="B116" s="59"/>
      <c r="C116" s="59"/>
      <c r="D116" s="60"/>
      <c r="E116" s="80"/>
      <c r="F116" s="81"/>
      <c r="G116" s="81"/>
      <c r="H116" s="53"/>
      <c r="I116" s="75"/>
      <c r="J116" s="75"/>
      <c r="K116" s="206" t="s">
        <v>726</v>
      </c>
      <c r="L116" s="207" t="s">
        <v>727</v>
      </c>
      <c r="M116" s="206" t="s">
        <v>34</v>
      </c>
      <c r="N116" s="208">
        <v>2</v>
      </c>
      <c r="O116" s="209">
        <v>3561.3850000000002</v>
      </c>
      <c r="P116" s="210">
        <f t="shared" si="1"/>
        <v>7122.77</v>
      </c>
      <c r="Q116" s="62"/>
    </row>
    <row r="117" spans="1:17" ht="15.75" x14ac:dyDescent="0.25">
      <c r="A117" s="58"/>
      <c r="B117" s="59"/>
      <c r="C117" s="59"/>
      <c r="D117" s="60"/>
      <c r="E117" s="80"/>
      <c r="F117" s="81"/>
      <c r="G117" s="81"/>
      <c r="H117" s="53"/>
      <c r="I117" s="75"/>
      <c r="J117" s="75"/>
      <c r="K117" s="206">
        <v>21201</v>
      </c>
      <c r="L117" s="207" t="s">
        <v>346</v>
      </c>
      <c r="M117" s="206" t="s">
        <v>34</v>
      </c>
      <c r="N117" s="208">
        <v>1</v>
      </c>
      <c r="O117" s="209">
        <v>196.79999999999998</v>
      </c>
      <c r="P117" s="210">
        <f t="shared" si="1"/>
        <v>196.79999999999998</v>
      </c>
      <c r="Q117" s="62"/>
    </row>
    <row r="118" spans="1:17" ht="15.75" x14ac:dyDescent="0.25">
      <c r="A118" s="58"/>
      <c r="B118" s="59"/>
      <c r="C118" s="59"/>
      <c r="D118" s="60"/>
      <c r="E118" s="80"/>
      <c r="F118" s="81"/>
      <c r="G118" s="81"/>
      <c r="H118" s="53"/>
      <c r="I118" s="75"/>
      <c r="J118" s="75"/>
      <c r="K118" s="206">
        <v>21333</v>
      </c>
      <c r="L118" s="207" t="s">
        <v>910</v>
      </c>
      <c r="M118" s="206" t="s">
        <v>34</v>
      </c>
      <c r="N118" s="208">
        <v>8</v>
      </c>
      <c r="O118" s="209">
        <v>4092.1073170731706</v>
      </c>
      <c r="P118" s="210">
        <f t="shared" si="1"/>
        <v>32736.858536585365</v>
      </c>
      <c r="Q118" s="62"/>
    </row>
    <row r="119" spans="1:17" ht="15.75" x14ac:dyDescent="0.25">
      <c r="A119" s="58"/>
      <c r="B119" s="59"/>
      <c r="C119" s="59"/>
      <c r="D119" s="60"/>
      <c r="E119" s="80"/>
      <c r="F119" s="81"/>
      <c r="G119" s="81"/>
      <c r="H119" s="53"/>
      <c r="I119" s="75"/>
      <c r="J119" s="75"/>
      <c r="K119" s="206" t="s">
        <v>350</v>
      </c>
      <c r="L119" s="207" t="s">
        <v>351</v>
      </c>
      <c r="M119" s="206" t="s">
        <v>34</v>
      </c>
      <c r="N119" s="208">
        <v>75</v>
      </c>
      <c r="O119" s="209">
        <v>5.4850623441396511</v>
      </c>
      <c r="P119" s="210">
        <f t="shared" si="1"/>
        <v>411.37967581047383</v>
      </c>
      <c r="Q119" s="62"/>
    </row>
    <row r="120" spans="1:17" ht="15.75" x14ac:dyDescent="0.25">
      <c r="A120" s="58"/>
      <c r="B120" s="59"/>
      <c r="C120" s="59"/>
      <c r="D120" s="60"/>
      <c r="E120" s="80"/>
      <c r="F120" s="81"/>
      <c r="G120" s="81"/>
      <c r="H120" s="53"/>
      <c r="I120" s="75"/>
      <c r="J120" s="75"/>
      <c r="K120" s="206" t="s">
        <v>352</v>
      </c>
      <c r="L120" s="207" t="s">
        <v>353</v>
      </c>
      <c r="M120" s="206" t="s">
        <v>34</v>
      </c>
      <c r="N120" s="208">
        <v>60</v>
      </c>
      <c r="O120" s="209">
        <v>7.3256562499999998</v>
      </c>
      <c r="P120" s="210">
        <f t="shared" si="1"/>
        <v>439.53937500000001</v>
      </c>
      <c r="Q120" s="62"/>
    </row>
    <row r="121" spans="1:17" ht="15.75" x14ac:dyDescent="0.25">
      <c r="A121" s="58"/>
      <c r="B121" s="59"/>
      <c r="C121" s="59"/>
      <c r="D121" s="60"/>
      <c r="E121" s="80"/>
      <c r="F121" s="81"/>
      <c r="G121" s="81"/>
      <c r="H121" s="53"/>
      <c r="I121" s="75"/>
      <c r="J121" s="75"/>
      <c r="K121" s="206" t="s">
        <v>354</v>
      </c>
      <c r="L121" s="207" t="s">
        <v>355</v>
      </c>
      <c r="M121" s="206" t="s">
        <v>34</v>
      </c>
      <c r="N121" s="208">
        <v>40</v>
      </c>
      <c r="O121" s="209">
        <v>10.168104265402842</v>
      </c>
      <c r="P121" s="210">
        <f t="shared" si="1"/>
        <v>406.72417061611372</v>
      </c>
      <c r="Q121" s="62"/>
    </row>
    <row r="122" spans="1:17" ht="15.75" x14ac:dyDescent="0.25">
      <c r="A122" s="58"/>
      <c r="B122" s="59"/>
      <c r="C122" s="59"/>
      <c r="D122" s="60"/>
      <c r="E122" s="80"/>
      <c r="F122" s="81"/>
      <c r="G122" s="81"/>
      <c r="H122" s="53"/>
      <c r="I122" s="75"/>
      <c r="J122" s="75"/>
      <c r="K122" s="206" t="s">
        <v>730</v>
      </c>
      <c r="L122" s="207" t="s">
        <v>731</v>
      </c>
      <c r="M122" s="206" t="s">
        <v>34</v>
      </c>
      <c r="N122" s="208">
        <v>3</v>
      </c>
      <c r="O122" s="209">
        <v>220.04</v>
      </c>
      <c r="P122" s="210">
        <f t="shared" si="1"/>
        <v>660.12</v>
      </c>
      <c r="Q122" s="62"/>
    </row>
    <row r="123" spans="1:17" ht="15.75" x14ac:dyDescent="0.25">
      <c r="A123" s="58"/>
      <c r="B123" s="59"/>
      <c r="C123" s="59"/>
      <c r="D123" s="60"/>
      <c r="E123" s="80"/>
      <c r="F123" s="81"/>
      <c r="G123" s="81"/>
      <c r="H123" s="53"/>
      <c r="I123" s="75"/>
      <c r="J123" s="75"/>
      <c r="K123" s="206" t="s">
        <v>967</v>
      </c>
      <c r="L123" s="207" t="s">
        <v>975</v>
      </c>
      <c r="M123" s="206" t="s">
        <v>34</v>
      </c>
      <c r="N123" s="208">
        <v>1</v>
      </c>
      <c r="O123" s="209">
        <v>260.39999999999998</v>
      </c>
      <c r="P123" s="210">
        <f t="shared" si="1"/>
        <v>260.39999999999998</v>
      </c>
      <c r="Q123" s="62"/>
    </row>
    <row r="124" spans="1:17" ht="30" x14ac:dyDescent="0.25">
      <c r="A124" s="58"/>
      <c r="B124" s="59"/>
      <c r="C124" s="59"/>
      <c r="D124" s="60"/>
      <c r="E124" s="80"/>
      <c r="F124" s="81"/>
      <c r="G124" s="81"/>
      <c r="H124" s="53"/>
      <c r="I124" s="75"/>
      <c r="J124" s="75"/>
      <c r="K124" s="206" t="s">
        <v>966</v>
      </c>
      <c r="L124" s="207" t="s">
        <v>974</v>
      </c>
      <c r="M124" s="206" t="s">
        <v>34</v>
      </c>
      <c r="N124" s="208">
        <v>1</v>
      </c>
      <c r="O124" s="209">
        <v>245.88499999999999</v>
      </c>
      <c r="P124" s="210">
        <f t="shared" si="1"/>
        <v>245.88499999999999</v>
      </c>
      <c r="Q124" s="62"/>
    </row>
    <row r="125" spans="1:17" ht="30" x14ac:dyDescent="0.25">
      <c r="A125" s="58"/>
      <c r="B125" s="59"/>
      <c r="C125" s="59"/>
      <c r="D125" s="60"/>
      <c r="E125" s="80"/>
      <c r="F125" s="81"/>
      <c r="G125" s="81"/>
      <c r="H125" s="53"/>
      <c r="I125" s="75"/>
      <c r="J125" s="75"/>
      <c r="K125" s="206" t="s">
        <v>911</v>
      </c>
      <c r="L125" s="207" t="s">
        <v>912</v>
      </c>
      <c r="M125" s="206" t="s">
        <v>34</v>
      </c>
      <c r="N125" s="208">
        <v>1</v>
      </c>
      <c r="O125" s="209">
        <v>136</v>
      </c>
      <c r="P125" s="210">
        <f t="shared" si="1"/>
        <v>136</v>
      </c>
      <c r="Q125" s="62"/>
    </row>
    <row r="126" spans="1:17" ht="15.75" x14ac:dyDescent="0.25">
      <c r="A126" s="58"/>
      <c r="B126" s="59"/>
      <c r="C126" s="59"/>
      <c r="D126" s="60"/>
      <c r="E126" s="80"/>
      <c r="F126" s="81"/>
      <c r="G126" s="81"/>
      <c r="H126" s="53"/>
      <c r="I126" s="75"/>
      <c r="J126" s="75"/>
      <c r="K126" s="206" t="s">
        <v>1040</v>
      </c>
      <c r="L126" s="207" t="s">
        <v>1041</v>
      </c>
      <c r="M126" s="206" t="s">
        <v>34</v>
      </c>
      <c r="N126" s="208">
        <v>1</v>
      </c>
      <c r="O126" s="209">
        <v>90.333333333333329</v>
      </c>
      <c r="P126" s="210">
        <f t="shared" si="1"/>
        <v>90.333333333333329</v>
      </c>
      <c r="Q126" s="62"/>
    </row>
    <row r="127" spans="1:17" ht="30" x14ac:dyDescent="0.25">
      <c r="A127" s="58"/>
      <c r="B127" s="59"/>
      <c r="C127" s="59"/>
      <c r="D127" s="60"/>
      <c r="E127" s="80"/>
      <c r="F127" s="81"/>
      <c r="G127" s="81"/>
      <c r="H127" s="53"/>
      <c r="I127" s="75"/>
      <c r="J127" s="75"/>
      <c r="K127" s="206">
        <v>19376</v>
      </c>
      <c r="L127" s="207" t="s">
        <v>358</v>
      </c>
      <c r="M127" s="206" t="s">
        <v>34</v>
      </c>
      <c r="N127" s="208">
        <v>1</v>
      </c>
      <c r="O127" s="209">
        <v>271.95</v>
      </c>
      <c r="P127" s="210">
        <f t="shared" si="1"/>
        <v>271.95</v>
      </c>
      <c r="Q127" s="62"/>
    </row>
    <row r="128" spans="1:17" ht="30" x14ac:dyDescent="0.25">
      <c r="A128" s="58"/>
      <c r="B128" s="59"/>
      <c r="C128" s="59"/>
      <c r="D128" s="60"/>
      <c r="E128" s="80"/>
      <c r="F128" s="81"/>
      <c r="G128" s="81"/>
      <c r="H128" s="53"/>
      <c r="I128" s="75"/>
      <c r="J128" s="75"/>
      <c r="K128" s="206" t="s">
        <v>359</v>
      </c>
      <c r="L128" s="207" t="s">
        <v>360</v>
      </c>
      <c r="M128" s="206" t="s">
        <v>34</v>
      </c>
      <c r="N128" s="208">
        <v>1</v>
      </c>
      <c r="O128" s="209">
        <v>121</v>
      </c>
      <c r="P128" s="210">
        <f t="shared" si="1"/>
        <v>121</v>
      </c>
      <c r="Q128" s="62"/>
    </row>
    <row r="129" spans="1:17" ht="15.75" x14ac:dyDescent="0.25">
      <c r="A129" s="58"/>
      <c r="B129" s="59"/>
      <c r="C129" s="59"/>
      <c r="D129" s="60"/>
      <c r="E129" s="80"/>
      <c r="F129" s="81"/>
      <c r="G129" s="81"/>
      <c r="H129" s="53"/>
      <c r="I129" s="75"/>
      <c r="J129" s="75"/>
      <c r="K129" s="206" t="s">
        <v>361</v>
      </c>
      <c r="L129" s="207" t="s">
        <v>362</v>
      </c>
      <c r="M129" s="206" t="s">
        <v>34</v>
      </c>
      <c r="N129" s="208">
        <v>1</v>
      </c>
      <c r="O129" s="209">
        <v>2475</v>
      </c>
      <c r="P129" s="210">
        <f t="shared" si="1"/>
        <v>2475</v>
      </c>
      <c r="Q129" s="62"/>
    </row>
    <row r="130" spans="1:17" ht="30" x14ac:dyDescent="0.25">
      <c r="A130" s="58"/>
      <c r="B130" s="59"/>
      <c r="C130" s="59"/>
      <c r="D130" s="60"/>
      <c r="E130" s="80"/>
      <c r="F130" s="81"/>
      <c r="G130" s="81"/>
      <c r="H130" s="53"/>
      <c r="I130" s="75"/>
      <c r="J130" s="75"/>
      <c r="K130" s="206">
        <v>354</v>
      </c>
      <c r="L130" s="207" t="s">
        <v>1042</v>
      </c>
      <c r="M130" s="206" t="s">
        <v>34</v>
      </c>
      <c r="N130" s="208">
        <v>17</v>
      </c>
      <c r="O130" s="209">
        <v>28.2</v>
      </c>
      <c r="P130" s="210">
        <f t="shared" si="1"/>
        <v>479.4</v>
      </c>
      <c r="Q130" s="62"/>
    </row>
    <row r="131" spans="1:17" ht="15.75" x14ac:dyDescent="0.25">
      <c r="A131" s="58"/>
      <c r="B131" s="59"/>
      <c r="C131" s="59"/>
      <c r="D131" s="60"/>
      <c r="E131" s="80"/>
      <c r="F131" s="81"/>
      <c r="G131" s="81"/>
      <c r="H131" s="53"/>
      <c r="I131" s="75"/>
      <c r="J131" s="75"/>
      <c r="K131" s="206" t="s">
        <v>363</v>
      </c>
      <c r="L131" s="207" t="s">
        <v>364</v>
      </c>
      <c r="M131" s="206" t="s">
        <v>34</v>
      </c>
      <c r="N131" s="208">
        <v>4</v>
      </c>
      <c r="O131" s="209">
        <v>95.100000000000009</v>
      </c>
      <c r="P131" s="210">
        <f t="shared" si="1"/>
        <v>380.40000000000003</v>
      </c>
      <c r="Q131" s="62"/>
    </row>
    <row r="132" spans="1:17" ht="15.75" x14ac:dyDescent="0.25">
      <c r="A132" s="58"/>
      <c r="B132" s="59"/>
      <c r="C132" s="59"/>
      <c r="D132" s="60"/>
      <c r="E132" s="80"/>
      <c r="F132" s="81"/>
      <c r="G132" s="81"/>
      <c r="H132" s="53"/>
      <c r="I132" s="75"/>
      <c r="J132" s="75"/>
      <c r="K132" s="206" t="s">
        <v>365</v>
      </c>
      <c r="L132" s="207" t="s">
        <v>366</v>
      </c>
      <c r="M132" s="206" t="s">
        <v>34</v>
      </c>
      <c r="N132" s="208">
        <v>5</v>
      </c>
      <c r="O132" s="209">
        <v>42.400000000000006</v>
      </c>
      <c r="P132" s="210">
        <f t="shared" si="1"/>
        <v>212.00000000000003</v>
      </c>
      <c r="Q132" s="62"/>
    </row>
    <row r="133" spans="1:17" ht="15.75" x14ac:dyDescent="0.25">
      <c r="A133" s="58"/>
      <c r="B133" s="59"/>
      <c r="C133" s="59"/>
      <c r="D133" s="60"/>
      <c r="E133" s="80"/>
      <c r="F133" s="81"/>
      <c r="G133" s="81"/>
      <c r="H133" s="53"/>
      <c r="I133" s="75"/>
      <c r="J133" s="75"/>
      <c r="K133" s="206" t="s">
        <v>188</v>
      </c>
      <c r="L133" s="207" t="s">
        <v>189</v>
      </c>
      <c r="M133" s="206" t="s">
        <v>34</v>
      </c>
      <c r="N133" s="208">
        <v>4</v>
      </c>
      <c r="O133" s="209">
        <v>49.333333333333336</v>
      </c>
      <c r="P133" s="210">
        <f t="shared" si="1"/>
        <v>197.33333333333334</v>
      </c>
      <c r="Q133" s="62"/>
    </row>
    <row r="134" spans="1:17" ht="15.75" x14ac:dyDescent="0.25">
      <c r="A134" s="58"/>
      <c r="B134" s="59"/>
      <c r="C134" s="59"/>
      <c r="D134" s="60"/>
      <c r="E134" s="80"/>
      <c r="F134" s="81"/>
      <c r="G134" s="81"/>
      <c r="H134" s="53"/>
      <c r="I134" s="75"/>
      <c r="J134" s="75"/>
      <c r="K134" s="206" t="s">
        <v>369</v>
      </c>
      <c r="L134" s="207" t="s">
        <v>370</v>
      </c>
      <c r="M134" s="206" t="s">
        <v>34</v>
      </c>
      <c r="N134" s="208">
        <v>4</v>
      </c>
      <c r="O134" s="209">
        <v>12930.235833333332</v>
      </c>
      <c r="P134" s="210">
        <f t="shared" si="1"/>
        <v>51720.943333333329</v>
      </c>
      <c r="Q134" s="62"/>
    </row>
    <row r="135" spans="1:17" ht="15.75" x14ac:dyDescent="0.25">
      <c r="A135" s="58"/>
      <c r="B135" s="59"/>
      <c r="C135" s="59"/>
      <c r="D135" s="60"/>
      <c r="E135" s="80"/>
      <c r="F135" s="81"/>
      <c r="G135" s="81"/>
      <c r="H135" s="53"/>
      <c r="I135" s="75"/>
      <c r="J135" s="75"/>
      <c r="K135" s="206" t="s">
        <v>371</v>
      </c>
      <c r="L135" s="207" t="s">
        <v>372</v>
      </c>
      <c r="M135" s="206" t="s">
        <v>34</v>
      </c>
      <c r="N135" s="208">
        <v>41</v>
      </c>
      <c r="O135" s="209">
        <v>15.769411764705882</v>
      </c>
      <c r="P135" s="210">
        <f t="shared" si="1"/>
        <v>646.54588235294113</v>
      </c>
      <c r="Q135" s="62"/>
    </row>
    <row r="136" spans="1:17" ht="30" x14ac:dyDescent="0.25">
      <c r="A136" s="58"/>
      <c r="B136" s="59"/>
      <c r="C136" s="59"/>
      <c r="D136" s="60"/>
      <c r="E136" s="80"/>
      <c r="F136" s="81"/>
      <c r="G136" s="81"/>
      <c r="H136" s="53"/>
      <c r="I136" s="75"/>
      <c r="J136" s="75"/>
      <c r="K136" s="206" t="s">
        <v>934</v>
      </c>
      <c r="L136" s="207" t="s">
        <v>935</v>
      </c>
      <c r="M136" s="206" t="s">
        <v>34</v>
      </c>
      <c r="N136" s="208">
        <v>1</v>
      </c>
      <c r="O136" s="209">
        <v>495.8125</v>
      </c>
      <c r="P136" s="210">
        <f t="shared" si="1"/>
        <v>495.8125</v>
      </c>
      <c r="Q136" s="62"/>
    </row>
    <row r="137" spans="1:17" ht="30" x14ac:dyDescent="0.25">
      <c r="A137" s="58"/>
      <c r="B137" s="59"/>
      <c r="C137" s="59"/>
      <c r="D137" s="60"/>
      <c r="E137" s="80"/>
      <c r="F137" s="81"/>
      <c r="G137" s="81"/>
      <c r="H137" s="53"/>
      <c r="I137" s="75"/>
      <c r="J137" s="75"/>
      <c r="K137" s="206" t="s">
        <v>1043</v>
      </c>
      <c r="L137" s="207" t="s">
        <v>1044</v>
      </c>
      <c r="M137" s="206" t="s">
        <v>34</v>
      </c>
      <c r="N137" s="208">
        <v>5</v>
      </c>
      <c r="O137" s="209">
        <v>171.34</v>
      </c>
      <c r="P137" s="210">
        <f t="shared" si="1"/>
        <v>856.7</v>
      </c>
      <c r="Q137" s="62"/>
    </row>
    <row r="138" spans="1:17" ht="15.75" x14ac:dyDescent="0.25">
      <c r="A138" s="58"/>
      <c r="B138" s="59"/>
      <c r="C138" s="59"/>
      <c r="D138" s="60"/>
      <c r="E138" s="80"/>
      <c r="F138" s="81"/>
      <c r="G138" s="81"/>
      <c r="H138" s="53"/>
      <c r="I138" s="75"/>
      <c r="J138" s="75"/>
      <c r="K138" s="206" t="s">
        <v>373</v>
      </c>
      <c r="L138" s="207" t="s">
        <v>374</v>
      </c>
      <c r="M138" s="206" t="s">
        <v>34</v>
      </c>
      <c r="N138" s="208">
        <v>15</v>
      </c>
      <c r="O138" s="209">
        <v>16.881923076923076</v>
      </c>
      <c r="P138" s="210">
        <f t="shared" si="1"/>
        <v>253.22884615384615</v>
      </c>
      <c r="Q138" s="62"/>
    </row>
    <row r="139" spans="1:17" ht="30" x14ac:dyDescent="0.25">
      <c r="A139" s="58"/>
      <c r="B139" s="59"/>
      <c r="C139" s="59"/>
      <c r="D139" s="60"/>
      <c r="E139" s="80"/>
      <c r="F139" s="81"/>
      <c r="G139" s="81"/>
      <c r="H139" s="53"/>
      <c r="I139" s="75"/>
      <c r="J139" s="75"/>
      <c r="K139" s="206">
        <v>399</v>
      </c>
      <c r="L139" s="207" t="s">
        <v>1045</v>
      </c>
      <c r="M139" s="206" t="s">
        <v>34</v>
      </c>
      <c r="N139" s="208">
        <v>5</v>
      </c>
      <c r="O139" s="209">
        <v>12</v>
      </c>
      <c r="P139" s="210">
        <f t="shared" si="1"/>
        <v>60</v>
      </c>
      <c r="Q139" s="62"/>
    </row>
    <row r="140" spans="1:17" ht="30" x14ac:dyDescent="0.25">
      <c r="A140" s="58"/>
      <c r="B140" s="59"/>
      <c r="C140" s="59"/>
      <c r="D140" s="60"/>
      <c r="E140" s="80"/>
      <c r="F140" s="81"/>
      <c r="G140" s="81"/>
      <c r="H140" s="53"/>
      <c r="I140" s="75"/>
      <c r="J140" s="75"/>
      <c r="K140" s="206">
        <v>198</v>
      </c>
      <c r="L140" s="207" t="s">
        <v>936</v>
      </c>
      <c r="M140" s="206" t="s">
        <v>34</v>
      </c>
      <c r="N140" s="208">
        <v>1</v>
      </c>
      <c r="O140" s="209">
        <v>216.7</v>
      </c>
      <c r="P140" s="210">
        <f t="shared" si="1"/>
        <v>216.7</v>
      </c>
      <c r="Q140" s="62"/>
    </row>
    <row r="141" spans="1:17" ht="30" x14ac:dyDescent="0.25">
      <c r="A141" s="58"/>
      <c r="B141" s="59"/>
      <c r="C141" s="59"/>
      <c r="D141" s="60"/>
      <c r="E141" s="80"/>
      <c r="F141" s="81"/>
      <c r="G141" s="81"/>
      <c r="H141" s="53"/>
      <c r="I141" s="75"/>
      <c r="J141" s="75"/>
      <c r="K141" s="206">
        <v>21939</v>
      </c>
      <c r="L141" s="207" t="s">
        <v>375</v>
      </c>
      <c r="M141" s="206" t="s">
        <v>34</v>
      </c>
      <c r="N141" s="208">
        <v>13</v>
      </c>
      <c r="O141" s="209">
        <v>194.08695652173913</v>
      </c>
      <c r="P141" s="210">
        <f t="shared" si="1"/>
        <v>2523.1304347826085</v>
      </c>
      <c r="Q141" s="62"/>
    </row>
    <row r="142" spans="1:17" ht="15.75" x14ac:dyDescent="0.25">
      <c r="A142" s="58"/>
      <c r="B142" s="59"/>
      <c r="C142" s="59"/>
      <c r="D142" s="60"/>
      <c r="E142" s="80"/>
      <c r="F142" s="81"/>
      <c r="G142" s="81"/>
      <c r="H142" s="53"/>
      <c r="I142" s="75"/>
      <c r="J142" s="75"/>
      <c r="K142" s="206" t="s">
        <v>1046</v>
      </c>
      <c r="L142" s="207" t="s">
        <v>1047</v>
      </c>
      <c r="M142" s="206" t="s">
        <v>34</v>
      </c>
      <c r="N142" s="208">
        <v>1</v>
      </c>
      <c r="O142" s="209">
        <v>210</v>
      </c>
      <c r="P142" s="210">
        <f t="shared" si="1"/>
        <v>210</v>
      </c>
      <c r="Q142" s="62"/>
    </row>
    <row r="143" spans="1:17" ht="30" x14ac:dyDescent="0.25">
      <c r="A143" s="58"/>
      <c r="B143" s="59"/>
      <c r="C143" s="59"/>
      <c r="D143" s="60"/>
      <c r="E143" s="80"/>
      <c r="F143" s="81"/>
      <c r="G143" s="81"/>
      <c r="H143" s="53"/>
      <c r="I143" s="75"/>
      <c r="J143" s="75"/>
      <c r="K143" s="206" t="s">
        <v>378</v>
      </c>
      <c r="L143" s="207" t="s">
        <v>379</v>
      </c>
      <c r="M143" s="206" t="s">
        <v>34</v>
      </c>
      <c r="N143" s="208">
        <v>2</v>
      </c>
      <c r="O143" s="209">
        <v>42.753846153846148</v>
      </c>
      <c r="P143" s="210">
        <f t="shared" si="1"/>
        <v>85.507692307692295</v>
      </c>
      <c r="Q143" s="62"/>
    </row>
    <row r="144" spans="1:17" ht="30" x14ac:dyDescent="0.25">
      <c r="A144" s="58"/>
      <c r="B144" s="59"/>
      <c r="C144" s="59"/>
      <c r="D144" s="60"/>
      <c r="E144" s="80"/>
      <c r="F144" s="81"/>
      <c r="G144" s="81"/>
      <c r="H144" s="53"/>
      <c r="I144" s="75"/>
      <c r="J144" s="75"/>
      <c r="K144" s="206">
        <v>689</v>
      </c>
      <c r="L144" s="207" t="s">
        <v>1048</v>
      </c>
      <c r="M144" s="206" t="s">
        <v>34</v>
      </c>
      <c r="N144" s="208">
        <v>2</v>
      </c>
      <c r="O144" s="209">
        <v>18.266666666666666</v>
      </c>
      <c r="P144" s="210">
        <f t="shared" si="1"/>
        <v>36.533333333333331</v>
      </c>
      <c r="Q144" s="62"/>
    </row>
    <row r="145" spans="1:17" ht="15.75" x14ac:dyDescent="0.25">
      <c r="A145" s="58"/>
      <c r="B145" s="59"/>
      <c r="C145" s="59"/>
      <c r="D145" s="60"/>
      <c r="E145" s="80"/>
      <c r="F145" s="81"/>
      <c r="G145" s="81"/>
      <c r="H145" s="53"/>
      <c r="I145" s="75"/>
      <c r="J145" s="75"/>
      <c r="K145" s="206" t="s">
        <v>380</v>
      </c>
      <c r="L145" s="207" t="s">
        <v>381</v>
      </c>
      <c r="M145" s="206" t="s">
        <v>34</v>
      </c>
      <c r="N145" s="208">
        <v>2</v>
      </c>
      <c r="O145" s="209">
        <v>2040.5991666666666</v>
      </c>
      <c r="P145" s="210">
        <f t="shared" si="1"/>
        <v>4081.1983333333333</v>
      </c>
      <c r="Q145" s="62"/>
    </row>
    <row r="146" spans="1:17" ht="15.75" x14ac:dyDescent="0.25">
      <c r="A146" s="58"/>
      <c r="B146" s="59"/>
      <c r="C146" s="59"/>
      <c r="D146" s="60"/>
      <c r="E146" s="80"/>
      <c r="F146" s="81"/>
      <c r="G146" s="81"/>
      <c r="H146" s="53"/>
      <c r="I146" s="75"/>
      <c r="J146" s="75"/>
      <c r="K146" s="206">
        <v>16267</v>
      </c>
      <c r="L146" s="207" t="s">
        <v>1049</v>
      </c>
      <c r="M146" s="206" t="s">
        <v>39</v>
      </c>
      <c r="N146" s="208">
        <v>1.7974036664520559E-2</v>
      </c>
      <c r="O146" s="209">
        <v>29891.666666666664</v>
      </c>
      <c r="P146" s="210">
        <f t="shared" si="1"/>
        <v>537.27391263029369</v>
      </c>
      <c r="Q146" s="62"/>
    </row>
    <row r="147" spans="1:17" ht="15.75" x14ac:dyDescent="0.25">
      <c r="A147" s="58"/>
      <c r="B147" s="59"/>
      <c r="C147" s="59"/>
      <c r="D147" s="60"/>
      <c r="E147" s="80"/>
      <c r="F147" s="81"/>
      <c r="G147" s="81"/>
      <c r="H147" s="53"/>
      <c r="I147" s="75"/>
      <c r="J147" s="75"/>
      <c r="K147" s="206" t="s">
        <v>1050</v>
      </c>
      <c r="L147" s="207" t="s">
        <v>1051</v>
      </c>
      <c r="M147" s="206" t="s">
        <v>34</v>
      </c>
      <c r="N147" s="208">
        <v>63</v>
      </c>
      <c r="O147" s="209">
        <v>6.7099408284023667</v>
      </c>
      <c r="P147" s="210">
        <f t="shared" si="1"/>
        <v>422.72627218934912</v>
      </c>
      <c r="Q147" s="62"/>
    </row>
    <row r="148" spans="1:17" ht="15.75" x14ac:dyDescent="0.25">
      <c r="A148" s="58"/>
      <c r="B148" s="59"/>
      <c r="C148" s="59"/>
      <c r="D148" s="60"/>
      <c r="E148" s="80"/>
      <c r="F148" s="81"/>
      <c r="G148" s="81"/>
      <c r="H148" s="53"/>
      <c r="I148" s="75"/>
      <c r="J148" s="75"/>
      <c r="K148" s="206" t="s">
        <v>1052</v>
      </c>
      <c r="L148" s="207" t="s">
        <v>1053</v>
      </c>
      <c r="M148" s="206" t="s">
        <v>34</v>
      </c>
      <c r="N148" s="208">
        <v>1</v>
      </c>
      <c r="O148" s="209">
        <v>80</v>
      </c>
      <c r="P148" s="210">
        <f t="shared" ref="P148:P211" si="2">O148*N148</f>
        <v>80</v>
      </c>
      <c r="Q148" s="62"/>
    </row>
    <row r="149" spans="1:17" ht="15.75" x14ac:dyDescent="0.25">
      <c r="A149" s="58"/>
      <c r="B149" s="59"/>
      <c r="C149" s="59"/>
      <c r="D149" s="60"/>
      <c r="E149" s="80"/>
      <c r="F149" s="81"/>
      <c r="G149" s="81"/>
      <c r="H149" s="53"/>
      <c r="I149" s="75"/>
      <c r="J149" s="75"/>
      <c r="K149" s="206" t="s">
        <v>53</v>
      </c>
      <c r="L149" s="207" t="s">
        <v>85</v>
      </c>
      <c r="M149" s="206" t="s">
        <v>34</v>
      </c>
      <c r="N149" s="208">
        <v>55</v>
      </c>
      <c r="O149" s="209">
        <v>47</v>
      </c>
      <c r="P149" s="210">
        <f t="shared" si="2"/>
        <v>2585</v>
      </c>
      <c r="Q149" s="62"/>
    </row>
    <row r="150" spans="1:17" ht="15.75" x14ac:dyDescent="0.25">
      <c r="A150" s="58"/>
      <c r="B150" s="59"/>
      <c r="C150" s="59"/>
      <c r="D150" s="60"/>
      <c r="E150" s="80"/>
      <c r="F150" s="81"/>
      <c r="G150" s="81"/>
      <c r="H150" s="53"/>
      <c r="I150" s="75"/>
      <c r="J150" s="75"/>
      <c r="K150" s="206" t="s">
        <v>54</v>
      </c>
      <c r="L150" s="207" t="s">
        <v>86</v>
      </c>
      <c r="M150" s="206" t="s">
        <v>34</v>
      </c>
      <c r="N150" s="208">
        <v>28</v>
      </c>
      <c r="O150" s="209">
        <v>85</v>
      </c>
      <c r="P150" s="210">
        <f t="shared" si="2"/>
        <v>2380</v>
      </c>
      <c r="Q150" s="62"/>
    </row>
    <row r="151" spans="1:17" ht="15.75" x14ac:dyDescent="0.25">
      <c r="A151" s="58"/>
      <c r="B151" s="59"/>
      <c r="C151" s="59"/>
      <c r="D151" s="60"/>
      <c r="E151" s="80"/>
      <c r="F151" s="81"/>
      <c r="G151" s="81"/>
      <c r="H151" s="53"/>
      <c r="I151" s="75"/>
      <c r="J151" s="75"/>
      <c r="K151" s="206">
        <v>5871</v>
      </c>
      <c r="L151" s="207" t="s">
        <v>1054</v>
      </c>
      <c r="M151" s="206" t="s">
        <v>39</v>
      </c>
      <c r="N151" s="208">
        <v>10.1289313491031</v>
      </c>
      <c r="O151" s="209">
        <v>76.798277232481198</v>
      </c>
      <c r="P151" s="210">
        <f t="shared" si="2"/>
        <v>777.88447781718969</v>
      </c>
      <c r="Q151" s="62"/>
    </row>
    <row r="152" spans="1:17" ht="15.75" x14ac:dyDescent="0.25">
      <c r="A152" s="58"/>
      <c r="B152" s="59"/>
      <c r="C152" s="59"/>
      <c r="D152" s="60"/>
      <c r="E152" s="80"/>
      <c r="F152" s="81"/>
      <c r="G152" s="81"/>
      <c r="H152" s="53"/>
      <c r="I152" s="75"/>
      <c r="J152" s="75"/>
      <c r="K152" s="206">
        <v>106</v>
      </c>
      <c r="L152" s="207" t="s">
        <v>382</v>
      </c>
      <c r="M152" s="206" t="s">
        <v>34</v>
      </c>
      <c r="N152" s="208">
        <v>21</v>
      </c>
      <c r="O152" s="209">
        <v>4.5642857142857141</v>
      </c>
      <c r="P152" s="210">
        <f t="shared" si="2"/>
        <v>95.85</v>
      </c>
      <c r="Q152" s="62"/>
    </row>
    <row r="153" spans="1:17" ht="15.75" x14ac:dyDescent="0.25">
      <c r="A153" s="58"/>
      <c r="B153" s="59"/>
      <c r="C153" s="59"/>
      <c r="D153" s="60"/>
      <c r="E153" s="80"/>
      <c r="F153" s="81"/>
      <c r="G153" s="81"/>
      <c r="H153" s="53"/>
      <c r="I153" s="75"/>
      <c r="J153" s="75"/>
      <c r="K153" s="206" t="s">
        <v>937</v>
      </c>
      <c r="L153" s="207" t="s">
        <v>938</v>
      </c>
      <c r="M153" s="206" t="s">
        <v>82</v>
      </c>
      <c r="N153" s="208">
        <v>1</v>
      </c>
      <c r="O153" s="209">
        <v>15990.5</v>
      </c>
      <c r="P153" s="210">
        <f t="shared" si="2"/>
        <v>15990.5</v>
      </c>
      <c r="Q153" s="62"/>
    </row>
    <row r="154" spans="1:17" ht="15.75" x14ac:dyDescent="0.25">
      <c r="A154" s="58"/>
      <c r="B154" s="59"/>
      <c r="C154" s="59"/>
      <c r="D154" s="60"/>
      <c r="E154" s="80"/>
      <c r="F154" s="81"/>
      <c r="G154" s="81"/>
      <c r="H154" s="53"/>
      <c r="I154" s="75"/>
      <c r="J154" s="75"/>
      <c r="K154" s="206" t="s">
        <v>963</v>
      </c>
      <c r="L154" s="207" t="s">
        <v>964</v>
      </c>
      <c r="M154" s="206" t="s">
        <v>34</v>
      </c>
      <c r="N154" s="208">
        <v>2</v>
      </c>
      <c r="O154" s="209">
        <v>3446.0466666666666</v>
      </c>
      <c r="P154" s="210">
        <f t="shared" si="2"/>
        <v>6892.0933333333332</v>
      </c>
      <c r="Q154" s="62"/>
    </row>
    <row r="155" spans="1:17" ht="15.75" x14ac:dyDescent="0.25">
      <c r="A155" s="58"/>
      <c r="B155" s="59"/>
      <c r="C155" s="59"/>
      <c r="D155" s="60"/>
      <c r="E155" s="80"/>
      <c r="F155" s="81"/>
      <c r="G155" s="81"/>
      <c r="H155" s="53"/>
      <c r="I155" s="75"/>
      <c r="J155" s="75"/>
      <c r="K155" s="206">
        <v>9893</v>
      </c>
      <c r="L155" s="207" t="s">
        <v>383</v>
      </c>
      <c r="M155" s="206" t="s">
        <v>34</v>
      </c>
      <c r="N155" s="208">
        <v>5</v>
      </c>
      <c r="O155" s="209">
        <v>43.846000000000004</v>
      </c>
      <c r="P155" s="210">
        <f t="shared" si="2"/>
        <v>219.23000000000002</v>
      </c>
      <c r="Q155" s="62"/>
    </row>
    <row r="156" spans="1:17" ht="30" x14ac:dyDescent="0.25">
      <c r="A156" s="58"/>
      <c r="B156" s="59"/>
      <c r="C156" s="59"/>
      <c r="D156" s="60"/>
      <c r="E156" s="80"/>
      <c r="F156" s="81"/>
      <c r="G156" s="81"/>
      <c r="H156" s="53"/>
      <c r="I156" s="75"/>
      <c r="J156" s="75"/>
      <c r="K156" s="206" t="s">
        <v>1055</v>
      </c>
      <c r="L156" s="207" t="s">
        <v>1056</v>
      </c>
      <c r="M156" s="206" t="s">
        <v>63</v>
      </c>
      <c r="N156" s="208">
        <v>8.7997887836715236E-2</v>
      </c>
      <c r="O156" s="209">
        <v>30109.851063829788</v>
      </c>
      <c r="P156" s="210">
        <f t="shared" si="2"/>
        <v>2649.6032966950947</v>
      </c>
      <c r="Q156" s="62"/>
    </row>
    <row r="157" spans="1:17" ht="15.75" x14ac:dyDescent="0.25">
      <c r="A157" s="58"/>
      <c r="B157" s="59"/>
      <c r="C157" s="59"/>
      <c r="D157" s="60"/>
      <c r="E157" s="80"/>
      <c r="F157" s="81"/>
      <c r="G157" s="81"/>
      <c r="H157" s="53"/>
      <c r="I157" s="75"/>
      <c r="J157" s="75"/>
      <c r="K157" s="206">
        <v>18033</v>
      </c>
      <c r="L157" s="207" t="s">
        <v>1057</v>
      </c>
      <c r="M157" s="206" t="s">
        <v>63</v>
      </c>
      <c r="N157" s="208">
        <v>3.4075777843153562E-2</v>
      </c>
      <c r="O157" s="209">
        <v>29285.769230769234</v>
      </c>
      <c r="P157" s="210">
        <f t="shared" si="2"/>
        <v>997.93536627355456</v>
      </c>
      <c r="Q157" s="62"/>
    </row>
    <row r="158" spans="1:17" ht="15.75" x14ac:dyDescent="0.25">
      <c r="A158" s="58"/>
      <c r="B158" s="59"/>
      <c r="C158" s="59"/>
      <c r="D158" s="60"/>
      <c r="E158" s="80"/>
      <c r="F158" s="81"/>
      <c r="G158" s="81"/>
      <c r="H158" s="53"/>
      <c r="I158" s="75"/>
      <c r="J158" s="75"/>
      <c r="K158" s="206">
        <v>16975</v>
      </c>
      <c r="L158" s="207" t="s">
        <v>1058</v>
      </c>
      <c r="M158" s="206" t="s">
        <v>63</v>
      </c>
      <c r="N158" s="208">
        <v>9.9418890300629351E-2</v>
      </c>
      <c r="O158" s="209">
        <v>28839.359698681732</v>
      </c>
      <c r="P158" s="210">
        <f t="shared" si="2"/>
        <v>2867.1771382236302</v>
      </c>
      <c r="Q158" s="62"/>
    </row>
    <row r="159" spans="1:17" ht="15.75" x14ac:dyDescent="0.25">
      <c r="A159" s="58"/>
      <c r="B159" s="59"/>
      <c r="C159" s="59"/>
      <c r="D159" s="60"/>
      <c r="E159" s="80"/>
      <c r="F159" s="81"/>
      <c r="G159" s="81"/>
      <c r="H159" s="53"/>
      <c r="I159" s="75"/>
      <c r="J159" s="75"/>
      <c r="K159" s="206" t="s">
        <v>1059</v>
      </c>
      <c r="L159" s="207" t="s">
        <v>1060</v>
      </c>
      <c r="M159" s="206" t="s">
        <v>63</v>
      </c>
      <c r="N159" s="208">
        <v>3.3701318745976046E-2</v>
      </c>
      <c r="O159" s="209">
        <v>29136.833333333336</v>
      </c>
      <c r="P159" s="210">
        <f t="shared" si="2"/>
        <v>981.94970741504642</v>
      </c>
      <c r="Q159" s="62"/>
    </row>
    <row r="160" spans="1:17" ht="15.75" x14ac:dyDescent="0.25">
      <c r="A160" s="58"/>
      <c r="B160" s="59"/>
      <c r="C160" s="59"/>
      <c r="D160" s="60"/>
      <c r="E160" s="80"/>
      <c r="F160" s="81"/>
      <c r="G160" s="81"/>
      <c r="H160" s="53"/>
      <c r="I160" s="75"/>
      <c r="J160" s="75"/>
      <c r="K160" s="206">
        <v>17403</v>
      </c>
      <c r="L160" s="207" t="s">
        <v>192</v>
      </c>
      <c r="M160" s="206" t="s">
        <v>63</v>
      </c>
      <c r="N160" s="208">
        <v>2.7148284545369591E-2</v>
      </c>
      <c r="O160" s="209">
        <v>29495.448275862072</v>
      </c>
      <c r="P160" s="210">
        <f t="shared" si="2"/>
        <v>800.75082258633449</v>
      </c>
      <c r="Q160" s="62"/>
    </row>
    <row r="161" spans="1:17" ht="15.75" x14ac:dyDescent="0.25">
      <c r="A161" s="58"/>
      <c r="B161" s="59"/>
      <c r="C161" s="59"/>
      <c r="D161" s="60"/>
      <c r="E161" s="80"/>
      <c r="F161" s="81"/>
      <c r="G161" s="81"/>
      <c r="H161" s="53"/>
      <c r="I161" s="75"/>
      <c r="J161" s="75"/>
      <c r="K161" s="206">
        <v>2706</v>
      </c>
      <c r="L161" s="207" t="s">
        <v>1061</v>
      </c>
      <c r="M161" s="206" t="s">
        <v>63</v>
      </c>
      <c r="N161" s="208">
        <v>0.31735408485794114</v>
      </c>
      <c r="O161" s="209">
        <v>29317.221238938055</v>
      </c>
      <c r="P161" s="210">
        <f t="shared" si="2"/>
        <v>9303.9399168609816</v>
      </c>
      <c r="Q161" s="62"/>
    </row>
    <row r="162" spans="1:17" ht="15.75" x14ac:dyDescent="0.25">
      <c r="A162" s="58"/>
      <c r="B162" s="59"/>
      <c r="C162" s="59"/>
      <c r="D162" s="60"/>
      <c r="E162" s="80"/>
      <c r="F162" s="81"/>
      <c r="G162" s="81"/>
      <c r="H162" s="53"/>
      <c r="I162" s="75"/>
      <c r="J162" s="75"/>
      <c r="K162" s="206" t="s">
        <v>1062</v>
      </c>
      <c r="L162" s="207" t="s">
        <v>1063</v>
      </c>
      <c r="M162" s="206" t="s">
        <v>63</v>
      </c>
      <c r="N162" s="208">
        <v>8.2381001379052562E-2</v>
      </c>
      <c r="O162" s="209">
        <v>30983.272727272724</v>
      </c>
      <c r="P162" s="210">
        <f t="shared" si="2"/>
        <v>2552.433033273016</v>
      </c>
      <c r="Q162" s="62"/>
    </row>
    <row r="163" spans="1:17" ht="15.75" x14ac:dyDescent="0.25">
      <c r="A163" s="58"/>
      <c r="B163" s="59"/>
      <c r="C163" s="59"/>
      <c r="D163" s="60"/>
      <c r="E163" s="80"/>
      <c r="F163" s="81"/>
      <c r="G163" s="81"/>
      <c r="H163" s="53"/>
      <c r="I163" s="75"/>
      <c r="J163" s="75"/>
      <c r="K163" s="206">
        <v>2878</v>
      </c>
      <c r="L163" s="207" t="s">
        <v>1064</v>
      </c>
      <c r="M163" s="206" t="s">
        <v>63</v>
      </c>
      <c r="N163" s="208">
        <v>5.7105012319570526E-2</v>
      </c>
      <c r="O163" s="209">
        <v>34608.852459016394</v>
      </c>
      <c r="P163" s="210">
        <f t="shared" si="2"/>
        <v>1976.3389460383298</v>
      </c>
      <c r="Q163" s="62"/>
    </row>
    <row r="164" spans="1:17" ht="15.75" x14ac:dyDescent="0.25">
      <c r="A164" s="58"/>
      <c r="B164" s="59"/>
      <c r="C164" s="59"/>
      <c r="D164" s="60"/>
      <c r="E164" s="80"/>
      <c r="F164" s="81"/>
      <c r="G164" s="81"/>
      <c r="H164" s="53"/>
      <c r="I164" s="75"/>
      <c r="J164" s="75"/>
      <c r="K164" s="206" t="s">
        <v>1065</v>
      </c>
      <c r="L164" s="207" t="s">
        <v>1066</v>
      </c>
      <c r="M164" s="206" t="s">
        <v>45</v>
      </c>
      <c r="N164" s="208">
        <v>94.831766360204824</v>
      </c>
      <c r="O164" s="209">
        <v>179.77129318854887</v>
      </c>
      <c r="P164" s="210">
        <f t="shared" si="2"/>
        <v>17048.029273928347</v>
      </c>
      <c r="Q164" s="62"/>
    </row>
    <row r="165" spans="1:17" ht="15.75" x14ac:dyDescent="0.25">
      <c r="A165" s="58"/>
      <c r="B165" s="59"/>
      <c r="C165" s="59"/>
      <c r="D165" s="60"/>
      <c r="E165" s="80"/>
      <c r="F165" s="81"/>
      <c r="G165" s="81"/>
      <c r="H165" s="53"/>
      <c r="I165" s="75"/>
      <c r="J165" s="75"/>
      <c r="K165" s="206" t="s">
        <v>939</v>
      </c>
      <c r="L165" s="207" t="s">
        <v>1067</v>
      </c>
      <c r="M165" s="206" t="s">
        <v>34</v>
      </c>
      <c r="N165" s="208">
        <v>4</v>
      </c>
      <c r="O165" s="209">
        <v>4150</v>
      </c>
      <c r="P165" s="210">
        <f t="shared" si="2"/>
        <v>16600</v>
      </c>
      <c r="Q165" s="62"/>
    </row>
    <row r="166" spans="1:17" ht="15.75" x14ac:dyDescent="0.25">
      <c r="A166" s="58"/>
      <c r="B166" s="59"/>
      <c r="C166" s="59"/>
      <c r="D166" s="60"/>
      <c r="E166" s="80"/>
      <c r="F166" s="81"/>
      <c r="G166" s="81"/>
      <c r="H166" s="53"/>
      <c r="I166" s="75"/>
      <c r="J166" s="75"/>
      <c r="K166" s="206" t="s">
        <v>385</v>
      </c>
      <c r="L166" s="207" t="s">
        <v>386</v>
      </c>
      <c r="M166" s="206" t="s">
        <v>34</v>
      </c>
      <c r="N166" s="208">
        <v>1</v>
      </c>
      <c r="O166" s="209">
        <v>308.10624999999999</v>
      </c>
      <c r="P166" s="210">
        <f t="shared" si="2"/>
        <v>308.10624999999999</v>
      </c>
      <c r="Q166" s="62"/>
    </row>
    <row r="167" spans="1:17" ht="15.75" x14ac:dyDescent="0.25">
      <c r="A167" s="58"/>
      <c r="B167" s="59"/>
      <c r="C167" s="59"/>
      <c r="D167" s="60"/>
      <c r="E167" s="80"/>
      <c r="F167" s="81"/>
      <c r="G167" s="81"/>
      <c r="H167" s="53"/>
      <c r="I167" s="75"/>
      <c r="J167" s="75"/>
      <c r="K167" s="206" t="s">
        <v>387</v>
      </c>
      <c r="L167" s="207" t="s">
        <v>388</v>
      </c>
      <c r="M167" s="206" t="s">
        <v>34</v>
      </c>
      <c r="N167" s="208">
        <v>2</v>
      </c>
      <c r="O167" s="209">
        <v>314.96333333333337</v>
      </c>
      <c r="P167" s="210">
        <f t="shared" si="2"/>
        <v>629.92666666666673</v>
      </c>
      <c r="Q167" s="62"/>
    </row>
    <row r="168" spans="1:17" ht="15.75" x14ac:dyDescent="0.25">
      <c r="A168" s="58"/>
      <c r="B168" s="59"/>
      <c r="C168" s="59"/>
      <c r="D168" s="60"/>
      <c r="E168" s="80"/>
      <c r="F168" s="81"/>
      <c r="G168" s="81"/>
      <c r="H168" s="53"/>
      <c r="I168" s="75"/>
      <c r="J168" s="75"/>
      <c r="K168" s="206">
        <v>614</v>
      </c>
      <c r="L168" s="207" t="s">
        <v>940</v>
      </c>
      <c r="M168" s="206" t="s">
        <v>45</v>
      </c>
      <c r="N168" s="208">
        <v>460</v>
      </c>
      <c r="O168" s="209">
        <v>288.54392967346581</v>
      </c>
      <c r="P168" s="210">
        <f t="shared" si="2"/>
        <v>132730.20764979426</v>
      </c>
      <c r="Q168" s="62"/>
    </row>
    <row r="169" spans="1:17" ht="15.75" x14ac:dyDescent="0.25">
      <c r="A169" s="58"/>
      <c r="B169" s="59"/>
      <c r="C169" s="59"/>
      <c r="D169" s="60"/>
      <c r="E169" s="80"/>
      <c r="F169" s="81"/>
      <c r="G169" s="81"/>
      <c r="H169" s="53"/>
      <c r="I169" s="75"/>
      <c r="J169" s="75"/>
      <c r="K169" s="206" t="s">
        <v>941</v>
      </c>
      <c r="L169" s="207" t="s">
        <v>942</v>
      </c>
      <c r="M169" s="206" t="s">
        <v>34</v>
      </c>
      <c r="N169" s="208">
        <v>1</v>
      </c>
      <c r="O169" s="209">
        <v>570</v>
      </c>
      <c r="P169" s="210">
        <f t="shared" si="2"/>
        <v>570</v>
      </c>
      <c r="Q169" s="62"/>
    </row>
    <row r="170" spans="1:17" ht="15.75" x14ac:dyDescent="0.25">
      <c r="A170" s="58"/>
      <c r="B170" s="59"/>
      <c r="C170" s="59"/>
      <c r="D170" s="60"/>
      <c r="E170" s="80"/>
      <c r="F170" s="81"/>
      <c r="G170" s="81"/>
      <c r="H170" s="53"/>
      <c r="I170" s="75"/>
      <c r="J170" s="75"/>
      <c r="K170" s="206" t="s">
        <v>943</v>
      </c>
      <c r="L170" s="207" t="s">
        <v>944</v>
      </c>
      <c r="M170" s="206" t="s">
        <v>34</v>
      </c>
      <c r="N170" s="208">
        <v>4</v>
      </c>
      <c r="O170" s="209">
        <v>2740</v>
      </c>
      <c r="P170" s="210">
        <f t="shared" si="2"/>
        <v>10960</v>
      </c>
      <c r="Q170" s="62"/>
    </row>
    <row r="171" spans="1:17" ht="15.75" x14ac:dyDescent="0.25">
      <c r="A171" s="58"/>
      <c r="B171" s="59"/>
      <c r="C171" s="59"/>
      <c r="D171" s="60"/>
      <c r="E171" s="80"/>
      <c r="F171" s="81"/>
      <c r="G171" s="81"/>
      <c r="H171" s="53"/>
      <c r="I171" s="75"/>
      <c r="J171" s="75"/>
      <c r="K171" s="206" t="s">
        <v>194</v>
      </c>
      <c r="L171" s="207" t="s">
        <v>195</v>
      </c>
      <c r="M171" s="206" t="s">
        <v>34</v>
      </c>
      <c r="N171" s="208">
        <v>4</v>
      </c>
      <c r="O171" s="209">
        <v>1500</v>
      </c>
      <c r="P171" s="210">
        <f t="shared" si="2"/>
        <v>6000</v>
      </c>
      <c r="Q171" s="62"/>
    </row>
    <row r="172" spans="1:17" ht="15.75" x14ac:dyDescent="0.25">
      <c r="A172" s="58"/>
      <c r="B172" s="59"/>
      <c r="C172" s="59"/>
      <c r="D172" s="60"/>
      <c r="E172" s="80"/>
      <c r="F172" s="81"/>
      <c r="G172" s="81"/>
      <c r="H172" s="53"/>
      <c r="I172" s="75"/>
      <c r="J172" s="75"/>
      <c r="K172" s="206" t="s">
        <v>1068</v>
      </c>
      <c r="L172" s="207" t="s">
        <v>1069</v>
      </c>
      <c r="M172" s="206" t="s">
        <v>269</v>
      </c>
      <c r="N172" s="208">
        <v>2</v>
      </c>
      <c r="O172" s="209">
        <v>1488</v>
      </c>
      <c r="P172" s="210">
        <f t="shared" si="2"/>
        <v>2976</v>
      </c>
      <c r="Q172" s="62"/>
    </row>
    <row r="173" spans="1:17" ht="15.75" x14ac:dyDescent="0.25">
      <c r="A173" s="58"/>
      <c r="B173" s="59"/>
      <c r="C173" s="59"/>
      <c r="D173" s="60"/>
      <c r="E173" s="80"/>
      <c r="F173" s="81"/>
      <c r="G173" s="81"/>
      <c r="H173" s="53"/>
      <c r="I173" s="75"/>
      <c r="J173" s="75"/>
      <c r="K173" s="206" t="s">
        <v>391</v>
      </c>
      <c r="L173" s="207" t="s">
        <v>392</v>
      </c>
      <c r="M173" s="206" t="s">
        <v>68</v>
      </c>
      <c r="N173" s="208">
        <v>28</v>
      </c>
      <c r="O173" s="209">
        <v>4523.813546371447</v>
      </c>
      <c r="P173" s="210">
        <f t="shared" si="2"/>
        <v>126666.77929840052</v>
      </c>
      <c r="Q173" s="62"/>
    </row>
    <row r="174" spans="1:17" ht="15.75" x14ac:dyDescent="0.25">
      <c r="A174" s="58"/>
      <c r="B174" s="59"/>
      <c r="C174" s="59"/>
      <c r="D174" s="60"/>
      <c r="E174" s="80"/>
      <c r="F174" s="81"/>
      <c r="G174" s="81"/>
      <c r="H174" s="53"/>
      <c r="I174" s="75"/>
      <c r="J174" s="75"/>
      <c r="K174" s="206" t="s">
        <v>945</v>
      </c>
      <c r="L174" s="207" t="s">
        <v>1070</v>
      </c>
      <c r="M174" s="206" t="s">
        <v>34</v>
      </c>
      <c r="N174" s="208">
        <v>1</v>
      </c>
      <c r="O174" s="209">
        <v>3627.895</v>
      </c>
      <c r="P174" s="210">
        <f t="shared" si="2"/>
        <v>3627.895</v>
      </c>
      <c r="Q174" s="62"/>
    </row>
    <row r="175" spans="1:17" ht="15.75" x14ac:dyDescent="0.25">
      <c r="A175" s="58"/>
      <c r="B175" s="59"/>
      <c r="C175" s="59"/>
      <c r="D175" s="60"/>
      <c r="E175" s="80"/>
      <c r="F175" s="81"/>
      <c r="G175" s="81"/>
      <c r="H175" s="53"/>
      <c r="I175" s="75"/>
      <c r="J175" s="75"/>
      <c r="K175" s="206" t="s">
        <v>1071</v>
      </c>
      <c r="L175" s="207" t="s">
        <v>1072</v>
      </c>
      <c r="M175" s="206" t="s">
        <v>34</v>
      </c>
      <c r="N175" s="208">
        <v>1</v>
      </c>
      <c r="O175" s="209">
        <v>101</v>
      </c>
      <c r="P175" s="210">
        <f t="shared" si="2"/>
        <v>101</v>
      </c>
      <c r="Q175" s="62"/>
    </row>
    <row r="176" spans="1:17" ht="15.75" x14ac:dyDescent="0.25">
      <c r="A176" s="58"/>
      <c r="B176" s="59"/>
      <c r="C176" s="59"/>
      <c r="D176" s="60"/>
      <c r="E176" s="80"/>
      <c r="F176" s="81"/>
      <c r="G176" s="81"/>
      <c r="H176" s="53"/>
      <c r="I176" s="75"/>
      <c r="J176" s="75"/>
      <c r="K176" s="206">
        <v>19338</v>
      </c>
      <c r="L176" s="207" t="s">
        <v>393</v>
      </c>
      <c r="M176" s="206" t="s">
        <v>34</v>
      </c>
      <c r="N176" s="208">
        <v>1</v>
      </c>
      <c r="O176" s="209">
        <v>32.166666666666664</v>
      </c>
      <c r="P176" s="210">
        <f t="shared" si="2"/>
        <v>32.166666666666664</v>
      </c>
      <c r="Q176" s="62"/>
    </row>
    <row r="177" spans="1:17" ht="15.75" x14ac:dyDescent="0.25">
      <c r="A177" s="58"/>
      <c r="B177" s="59"/>
      <c r="C177" s="59"/>
      <c r="D177" s="60"/>
      <c r="E177" s="80"/>
      <c r="F177" s="81"/>
      <c r="G177" s="81"/>
      <c r="H177" s="53"/>
      <c r="I177" s="75"/>
      <c r="J177" s="75"/>
      <c r="K177" s="206" t="s">
        <v>394</v>
      </c>
      <c r="L177" s="207" t="s">
        <v>395</v>
      </c>
      <c r="M177" s="206" t="s">
        <v>34</v>
      </c>
      <c r="N177" s="208">
        <v>1</v>
      </c>
      <c r="O177" s="209">
        <v>6398.2800000000007</v>
      </c>
      <c r="P177" s="210">
        <f t="shared" si="2"/>
        <v>6398.2800000000007</v>
      </c>
      <c r="Q177" s="62"/>
    </row>
    <row r="178" spans="1:17" ht="15.75" x14ac:dyDescent="0.25">
      <c r="A178" s="58"/>
      <c r="B178" s="59"/>
      <c r="C178" s="59"/>
      <c r="D178" s="60"/>
      <c r="E178" s="80"/>
      <c r="F178" s="81"/>
      <c r="G178" s="81"/>
      <c r="H178" s="53"/>
      <c r="I178" s="75"/>
      <c r="J178" s="75"/>
      <c r="K178" s="206">
        <v>345</v>
      </c>
      <c r="L178" s="207" t="s">
        <v>396</v>
      </c>
      <c r="M178" s="206" t="s">
        <v>34</v>
      </c>
      <c r="N178" s="208">
        <v>7</v>
      </c>
      <c r="O178" s="209">
        <v>45.926315789473684</v>
      </c>
      <c r="P178" s="210">
        <f t="shared" si="2"/>
        <v>321.48421052631579</v>
      </c>
      <c r="Q178" s="62"/>
    </row>
    <row r="179" spans="1:17" ht="15.75" x14ac:dyDescent="0.25">
      <c r="A179" s="58"/>
      <c r="B179" s="59"/>
      <c r="C179" s="59"/>
      <c r="D179" s="60"/>
      <c r="E179" s="80"/>
      <c r="F179" s="81"/>
      <c r="G179" s="81"/>
      <c r="H179" s="53"/>
      <c r="I179" s="75"/>
      <c r="J179" s="75"/>
      <c r="K179" s="206">
        <v>107</v>
      </c>
      <c r="L179" s="207" t="s">
        <v>397</v>
      </c>
      <c r="M179" s="206" t="s">
        <v>34</v>
      </c>
      <c r="N179" s="208">
        <v>3</v>
      </c>
      <c r="O179" s="209">
        <v>18.850000000000001</v>
      </c>
      <c r="P179" s="210">
        <f t="shared" si="2"/>
        <v>56.550000000000004</v>
      </c>
      <c r="Q179" s="62"/>
    </row>
    <row r="180" spans="1:17" ht="30" x14ac:dyDescent="0.25">
      <c r="A180" s="58"/>
      <c r="B180" s="59"/>
      <c r="C180" s="59"/>
      <c r="D180" s="60"/>
      <c r="E180" s="80"/>
      <c r="F180" s="81"/>
      <c r="G180" s="81"/>
      <c r="H180" s="53"/>
      <c r="I180" s="75"/>
      <c r="J180" s="75"/>
      <c r="K180" s="206">
        <v>21807</v>
      </c>
      <c r="L180" s="207" t="s">
        <v>398</v>
      </c>
      <c r="M180" s="206" t="s">
        <v>34</v>
      </c>
      <c r="N180" s="208">
        <v>14</v>
      </c>
      <c r="O180" s="209">
        <v>1290.8</v>
      </c>
      <c r="P180" s="210">
        <f t="shared" si="2"/>
        <v>18071.2</v>
      </c>
      <c r="Q180" s="62"/>
    </row>
    <row r="181" spans="1:17" ht="15.75" x14ac:dyDescent="0.25">
      <c r="A181" s="58"/>
      <c r="B181" s="59"/>
      <c r="C181" s="59"/>
      <c r="D181" s="60"/>
      <c r="E181" s="80"/>
      <c r="F181" s="81"/>
      <c r="G181" s="81"/>
      <c r="H181" s="53"/>
      <c r="I181" s="75"/>
      <c r="J181" s="75"/>
      <c r="K181" s="206">
        <v>16131</v>
      </c>
      <c r="L181" s="207" t="s">
        <v>899</v>
      </c>
      <c r="M181" s="206" t="s">
        <v>34</v>
      </c>
      <c r="N181" s="208">
        <v>1</v>
      </c>
      <c r="O181" s="209">
        <v>148.33000000000001</v>
      </c>
      <c r="P181" s="210">
        <f t="shared" si="2"/>
        <v>148.33000000000001</v>
      </c>
      <c r="Q181" s="62"/>
    </row>
    <row r="182" spans="1:17" ht="15.75" x14ac:dyDescent="0.25">
      <c r="A182" s="58"/>
      <c r="B182" s="59"/>
      <c r="C182" s="59"/>
      <c r="D182" s="60"/>
      <c r="E182" s="80"/>
      <c r="F182" s="81"/>
      <c r="G182" s="81"/>
      <c r="H182" s="53"/>
      <c r="I182" s="75"/>
      <c r="J182" s="75"/>
      <c r="K182" s="206">
        <v>16815</v>
      </c>
      <c r="L182" s="207" t="s">
        <v>1073</v>
      </c>
      <c r="M182" s="206" t="s">
        <v>34</v>
      </c>
      <c r="N182" s="208">
        <v>5</v>
      </c>
      <c r="O182" s="209">
        <v>282.5</v>
      </c>
      <c r="P182" s="210">
        <f t="shared" si="2"/>
        <v>1412.5</v>
      </c>
      <c r="Q182" s="62"/>
    </row>
    <row r="183" spans="1:17" ht="15.75" x14ac:dyDescent="0.25">
      <c r="A183" s="58"/>
      <c r="B183" s="59"/>
      <c r="C183" s="59"/>
      <c r="D183" s="60"/>
      <c r="E183" s="80"/>
      <c r="F183" s="81"/>
      <c r="G183" s="81"/>
      <c r="H183" s="53"/>
      <c r="I183" s="75"/>
      <c r="J183" s="75"/>
      <c r="K183" s="206" t="s">
        <v>749</v>
      </c>
      <c r="L183" s="207" t="s">
        <v>91</v>
      </c>
      <c r="M183" s="206" t="s">
        <v>34</v>
      </c>
      <c r="N183" s="208">
        <v>1</v>
      </c>
      <c r="O183" s="209">
        <v>4916.67</v>
      </c>
      <c r="P183" s="210">
        <f t="shared" si="2"/>
        <v>4916.67</v>
      </c>
      <c r="Q183" s="62"/>
    </row>
    <row r="184" spans="1:17" ht="15.75" x14ac:dyDescent="0.25">
      <c r="A184" s="58"/>
      <c r="B184" s="59"/>
      <c r="C184" s="59"/>
      <c r="D184" s="60"/>
      <c r="E184" s="80"/>
      <c r="F184" s="81"/>
      <c r="G184" s="81"/>
      <c r="H184" s="53"/>
      <c r="I184" s="75"/>
      <c r="J184" s="75"/>
      <c r="K184" s="206" t="s">
        <v>761</v>
      </c>
      <c r="L184" s="207" t="s">
        <v>762</v>
      </c>
      <c r="M184" s="206" t="s">
        <v>68</v>
      </c>
      <c r="N184" s="208">
        <v>200.85049824858783</v>
      </c>
      <c r="O184" s="209">
        <v>170.15876951759498</v>
      </c>
      <c r="P184" s="210">
        <f t="shared" si="2"/>
        <v>34176.473638975571</v>
      </c>
      <c r="Q184" s="62"/>
    </row>
    <row r="185" spans="1:17" ht="15.75" x14ac:dyDescent="0.25">
      <c r="A185" s="58"/>
      <c r="B185" s="59"/>
      <c r="C185" s="59"/>
      <c r="D185" s="60"/>
      <c r="E185" s="80"/>
      <c r="F185" s="81"/>
      <c r="G185" s="81"/>
      <c r="H185" s="53"/>
      <c r="I185" s="75"/>
      <c r="J185" s="75"/>
      <c r="K185" s="206" t="s">
        <v>403</v>
      </c>
      <c r="L185" s="207" t="s">
        <v>404</v>
      </c>
      <c r="M185" s="206" t="s">
        <v>34</v>
      </c>
      <c r="N185" s="208">
        <v>3</v>
      </c>
      <c r="O185" s="209">
        <v>36.485714285714288</v>
      </c>
      <c r="P185" s="210">
        <f t="shared" si="2"/>
        <v>109.45714285714286</v>
      </c>
      <c r="Q185" s="62"/>
    </row>
    <row r="186" spans="1:17" ht="15.75" x14ac:dyDescent="0.25">
      <c r="A186" s="58"/>
      <c r="B186" s="59"/>
      <c r="C186" s="59"/>
      <c r="D186" s="60"/>
      <c r="E186" s="80"/>
      <c r="F186" s="81"/>
      <c r="G186" s="81"/>
      <c r="H186" s="53"/>
      <c r="I186" s="75"/>
      <c r="J186" s="75"/>
      <c r="K186" s="206" t="s">
        <v>405</v>
      </c>
      <c r="L186" s="207" t="s">
        <v>406</v>
      </c>
      <c r="M186" s="206" t="s">
        <v>34</v>
      </c>
      <c r="N186" s="208">
        <v>2</v>
      </c>
      <c r="O186" s="209">
        <v>43.672727272727272</v>
      </c>
      <c r="P186" s="210">
        <f t="shared" si="2"/>
        <v>87.345454545454544</v>
      </c>
      <c r="Q186" s="62"/>
    </row>
    <row r="187" spans="1:17" ht="15.75" x14ac:dyDescent="0.25">
      <c r="A187" s="58"/>
      <c r="B187" s="59"/>
      <c r="C187" s="59"/>
      <c r="D187" s="60"/>
      <c r="E187" s="80"/>
      <c r="F187" s="81"/>
      <c r="G187" s="81"/>
      <c r="H187" s="53"/>
      <c r="I187" s="75"/>
      <c r="J187" s="75"/>
      <c r="K187" s="206" t="s">
        <v>1074</v>
      </c>
      <c r="L187" s="207" t="s">
        <v>1075</v>
      </c>
      <c r="M187" s="206" t="s">
        <v>34</v>
      </c>
      <c r="N187" s="208">
        <v>1</v>
      </c>
      <c r="O187" s="209">
        <v>23.599999999999998</v>
      </c>
      <c r="P187" s="210">
        <f t="shared" si="2"/>
        <v>23.599999999999998</v>
      </c>
      <c r="Q187" s="62"/>
    </row>
    <row r="188" spans="1:17" ht="15.75" x14ac:dyDescent="0.25">
      <c r="A188" s="58"/>
      <c r="B188" s="59"/>
      <c r="C188" s="59"/>
      <c r="D188" s="60"/>
      <c r="E188" s="80"/>
      <c r="F188" s="81"/>
      <c r="G188" s="81"/>
      <c r="H188" s="53"/>
      <c r="I188" s="75"/>
      <c r="J188" s="75"/>
      <c r="K188" s="206" t="s">
        <v>202</v>
      </c>
      <c r="L188" s="207" t="s">
        <v>203</v>
      </c>
      <c r="M188" s="206" t="s">
        <v>34</v>
      </c>
      <c r="N188" s="208">
        <v>1</v>
      </c>
      <c r="O188" s="209">
        <v>111.7</v>
      </c>
      <c r="P188" s="210">
        <f t="shared" si="2"/>
        <v>111.7</v>
      </c>
      <c r="Q188" s="62"/>
    </row>
    <row r="189" spans="1:17" ht="15.75" x14ac:dyDescent="0.25">
      <c r="A189" s="58"/>
      <c r="B189" s="59"/>
      <c r="C189" s="59"/>
      <c r="D189" s="60"/>
      <c r="E189" s="80"/>
      <c r="F189" s="81"/>
      <c r="G189" s="81"/>
      <c r="H189" s="53"/>
      <c r="I189" s="75"/>
      <c r="J189" s="75"/>
      <c r="K189" s="206">
        <v>85</v>
      </c>
      <c r="L189" s="207" t="s">
        <v>407</v>
      </c>
      <c r="M189" s="206" t="s">
        <v>34</v>
      </c>
      <c r="N189" s="208">
        <v>1</v>
      </c>
      <c r="O189" s="209">
        <v>50.5</v>
      </c>
      <c r="P189" s="210">
        <f t="shared" si="2"/>
        <v>50.5</v>
      </c>
      <c r="Q189" s="62"/>
    </row>
    <row r="190" spans="1:17" ht="15.75" x14ac:dyDescent="0.25">
      <c r="A190" s="58"/>
      <c r="B190" s="59"/>
      <c r="C190" s="59"/>
      <c r="D190" s="60"/>
      <c r="E190" s="80"/>
      <c r="F190" s="81"/>
      <c r="G190" s="81"/>
      <c r="H190" s="53"/>
      <c r="I190" s="75"/>
      <c r="J190" s="75"/>
      <c r="K190" s="206" t="s">
        <v>1076</v>
      </c>
      <c r="L190" s="207" t="s">
        <v>1077</v>
      </c>
      <c r="M190" s="206" t="s">
        <v>34</v>
      </c>
      <c r="N190" s="208">
        <v>7</v>
      </c>
      <c r="O190" s="209">
        <v>35</v>
      </c>
      <c r="P190" s="210">
        <f t="shared" si="2"/>
        <v>245</v>
      </c>
      <c r="Q190" s="62"/>
    </row>
    <row r="191" spans="1:17" ht="15.75" x14ac:dyDescent="0.25">
      <c r="A191" s="58"/>
      <c r="B191" s="59"/>
      <c r="C191" s="59"/>
      <c r="D191" s="60"/>
      <c r="E191" s="80"/>
      <c r="F191" s="81"/>
      <c r="G191" s="81"/>
      <c r="H191" s="53"/>
      <c r="I191" s="75"/>
      <c r="J191" s="75"/>
      <c r="K191" s="206">
        <v>477</v>
      </c>
      <c r="L191" s="207" t="s">
        <v>93</v>
      </c>
      <c r="M191" s="206" t="s">
        <v>34</v>
      </c>
      <c r="N191" s="208">
        <v>2</v>
      </c>
      <c r="O191" s="209">
        <v>42</v>
      </c>
      <c r="P191" s="210">
        <f t="shared" si="2"/>
        <v>84</v>
      </c>
      <c r="Q191" s="62"/>
    </row>
    <row r="192" spans="1:17" ht="30" x14ac:dyDescent="0.25">
      <c r="A192" s="58"/>
      <c r="B192" s="59"/>
      <c r="C192" s="59"/>
      <c r="D192" s="60"/>
      <c r="E192" s="80"/>
      <c r="F192" s="81"/>
      <c r="G192" s="81"/>
      <c r="H192" s="53"/>
      <c r="I192" s="75"/>
      <c r="J192" s="75"/>
      <c r="K192" s="206" t="s">
        <v>411</v>
      </c>
      <c r="L192" s="207" t="s">
        <v>412</v>
      </c>
      <c r="M192" s="206" t="s">
        <v>34</v>
      </c>
      <c r="N192" s="208">
        <v>216</v>
      </c>
      <c r="O192" s="209">
        <v>59.607065972222216</v>
      </c>
      <c r="P192" s="210">
        <f t="shared" si="2"/>
        <v>12875.126249999999</v>
      </c>
      <c r="Q192" s="62"/>
    </row>
    <row r="193" spans="1:17" ht="15.75" x14ac:dyDescent="0.25">
      <c r="A193" s="58"/>
      <c r="B193" s="59"/>
      <c r="C193" s="59"/>
      <c r="D193" s="60"/>
      <c r="E193" s="80"/>
      <c r="F193" s="81"/>
      <c r="G193" s="81"/>
      <c r="H193" s="53"/>
      <c r="I193" s="75"/>
      <c r="J193" s="75"/>
      <c r="K193" s="206" t="s">
        <v>204</v>
      </c>
      <c r="L193" s="207" t="s">
        <v>205</v>
      </c>
      <c r="M193" s="206" t="s">
        <v>34</v>
      </c>
      <c r="N193" s="208">
        <v>377</v>
      </c>
      <c r="O193" s="209">
        <v>31.904761904761905</v>
      </c>
      <c r="P193" s="210">
        <f t="shared" si="2"/>
        <v>12028.095238095239</v>
      </c>
      <c r="Q193" s="62"/>
    </row>
    <row r="194" spans="1:17" ht="15.75" x14ac:dyDescent="0.25">
      <c r="A194" s="58"/>
      <c r="B194" s="59"/>
      <c r="C194" s="59"/>
      <c r="D194" s="60"/>
      <c r="E194" s="80"/>
      <c r="F194" s="81"/>
      <c r="G194" s="81"/>
      <c r="H194" s="53"/>
      <c r="I194" s="75"/>
      <c r="J194" s="75"/>
      <c r="K194" s="206">
        <v>18169</v>
      </c>
      <c r="L194" s="207" t="s">
        <v>1078</v>
      </c>
      <c r="M194" s="206" t="s">
        <v>1207</v>
      </c>
      <c r="N194" s="208">
        <v>5.6168864576626745E-2</v>
      </c>
      <c r="O194" s="209">
        <v>2389.2333333333336</v>
      </c>
      <c r="P194" s="210">
        <f t="shared" si="2"/>
        <v>134.20052354196253</v>
      </c>
      <c r="Q194" s="62"/>
    </row>
    <row r="195" spans="1:17" ht="30" x14ac:dyDescent="0.25">
      <c r="A195" s="58"/>
      <c r="B195" s="59"/>
      <c r="C195" s="59"/>
      <c r="D195" s="60"/>
      <c r="E195" s="80"/>
      <c r="F195" s="81"/>
      <c r="G195" s="81"/>
      <c r="H195" s="53"/>
      <c r="I195" s="75"/>
      <c r="J195" s="75"/>
      <c r="K195" s="206" t="s">
        <v>971</v>
      </c>
      <c r="L195" s="207" t="s">
        <v>979</v>
      </c>
      <c r="M195" s="206" t="s">
        <v>34</v>
      </c>
      <c r="N195" s="208">
        <v>1</v>
      </c>
      <c r="O195" s="209">
        <v>91.352500000000006</v>
      </c>
      <c r="P195" s="210">
        <f t="shared" si="2"/>
        <v>91.352500000000006</v>
      </c>
      <c r="Q195" s="62"/>
    </row>
    <row r="196" spans="1:17" ht="15.75" x14ac:dyDescent="0.25">
      <c r="A196" s="58"/>
      <c r="B196" s="59"/>
      <c r="C196" s="59"/>
      <c r="D196" s="60"/>
      <c r="E196" s="80"/>
      <c r="F196" s="81"/>
      <c r="G196" s="81"/>
      <c r="H196" s="53"/>
      <c r="I196" s="75"/>
      <c r="J196" s="75"/>
      <c r="K196" s="206">
        <v>3979</v>
      </c>
      <c r="L196" s="207" t="s">
        <v>1079</v>
      </c>
      <c r="M196" s="206" t="s">
        <v>34</v>
      </c>
      <c r="N196" s="208">
        <v>132</v>
      </c>
      <c r="O196" s="209">
        <v>301.20842329545457</v>
      </c>
      <c r="P196" s="210">
        <f t="shared" si="2"/>
        <v>39759.511875000004</v>
      </c>
      <c r="Q196" s="62"/>
    </row>
    <row r="197" spans="1:17" ht="15.75" x14ac:dyDescent="0.25">
      <c r="A197" s="58"/>
      <c r="B197" s="59"/>
      <c r="C197" s="59"/>
      <c r="D197" s="60"/>
      <c r="E197" s="80"/>
      <c r="F197" s="81"/>
      <c r="G197" s="81"/>
      <c r="H197" s="53"/>
      <c r="I197" s="75"/>
      <c r="J197" s="75"/>
      <c r="K197" s="206" t="s">
        <v>1080</v>
      </c>
      <c r="L197" s="207" t="s">
        <v>1081</v>
      </c>
      <c r="M197" s="206" t="s">
        <v>34</v>
      </c>
      <c r="N197" s="208">
        <v>22</v>
      </c>
      <c r="O197" s="209">
        <v>129.16999999999999</v>
      </c>
      <c r="P197" s="210">
        <f t="shared" si="2"/>
        <v>2841.74</v>
      </c>
      <c r="Q197" s="62"/>
    </row>
    <row r="198" spans="1:17" ht="15.75" x14ac:dyDescent="0.25">
      <c r="A198" s="58"/>
      <c r="B198" s="59"/>
      <c r="C198" s="59"/>
      <c r="D198" s="60"/>
      <c r="E198" s="80"/>
      <c r="F198" s="81"/>
      <c r="G198" s="81"/>
      <c r="H198" s="53"/>
      <c r="I198" s="75"/>
      <c r="J198" s="75"/>
      <c r="K198" s="206">
        <v>21537</v>
      </c>
      <c r="L198" s="207" t="s">
        <v>742</v>
      </c>
      <c r="M198" s="206" t="s">
        <v>269</v>
      </c>
      <c r="N198" s="208">
        <v>7</v>
      </c>
      <c r="O198" s="209">
        <v>787.38199999999995</v>
      </c>
      <c r="P198" s="210">
        <f t="shared" si="2"/>
        <v>5511.674</v>
      </c>
      <c r="Q198" s="62"/>
    </row>
    <row r="199" spans="1:17" ht="15.75" x14ac:dyDescent="0.25">
      <c r="A199" s="58"/>
      <c r="B199" s="59"/>
      <c r="C199" s="59"/>
      <c r="D199" s="60"/>
      <c r="E199" s="80"/>
      <c r="F199" s="81"/>
      <c r="G199" s="81"/>
      <c r="H199" s="53"/>
      <c r="I199" s="75"/>
      <c r="J199" s="75"/>
      <c r="K199" s="206">
        <v>6683</v>
      </c>
      <c r="L199" s="207" t="s">
        <v>743</v>
      </c>
      <c r="M199" s="206" t="s">
        <v>269</v>
      </c>
      <c r="N199" s="208">
        <v>8</v>
      </c>
      <c r="O199" s="209">
        <v>784.15048780487803</v>
      </c>
      <c r="P199" s="210">
        <f t="shared" si="2"/>
        <v>6273.2039024390242</v>
      </c>
      <c r="Q199" s="62"/>
    </row>
    <row r="200" spans="1:17" ht="15.75" x14ac:dyDescent="0.25">
      <c r="A200" s="58"/>
      <c r="B200" s="59"/>
      <c r="C200" s="59"/>
      <c r="D200" s="60"/>
      <c r="E200" s="80"/>
      <c r="F200" s="81"/>
      <c r="G200" s="81"/>
      <c r="H200" s="53"/>
      <c r="I200" s="75"/>
      <c r="J200" s="75"/>
      <c r="K200" s="206" t="s">
        <v>414</v>
      </c>
      <c r="L200" s="207" t="s">
        <v>415</v>
      </c>
      <c r="M200" s="206" t="s">
        <v>37</v>
      </c>
      <c r="N200" s="208">
        <v>120</v>
      </c>
      <c r="O200" s="209">
        <v>119.18812499999999</v>
      </c>
      <c r="P200" s="210">
        <f t="shared" si="2"/>
        <v>14302.574999999999</v>
      </c>
      <c r="Q200" s="62"/>
    </row>
    <row r="201" spans="1:17" ht="15.75" x14ac:dyDescent="0.25">
      <c r="A201" s="58"/>
      <c r="B201" s="59"/>
      <c r="C201" s="59"/>
      <c r="D201" s="60"/>
      <c r="E201" s="80"/>
      <c r="F201" s="81"/>
      <c r="G201" s="81"/>
      <c r="H201" s="53"/>
      <c r="I201" s="75"/>
      <c r="J201" s="75"/>
      <c r="K201" s="206" t="s">
        <v>1082</v>
      </c>
      <c r="L201" s="207" t="s">
        <v>1083</v>
      </c>
      <c r="M201" s="206" t="s">
        <v>34</v>
      </c>
      <c r="N201" s="208">
        <v>112</v>
      </c>
      <c r="O201" s="209">
        <v>142.87763333333334</v>
      </c>
      <c r="P201" s="210">
        <f t="shared" si="2"/>
        <v>16002.294933333334</v>
      </c>
      <c r="Q201" s="62"/>
    </row>
    <row r="202" spans="1:17" ht="15.75" x14ac:dyDescent="0.25">
      <c r="A202" s="58"/>
      <c r="B202" s="59"/>
      <c r="C202" s="59"/>
      <c r="D202" s="60"/>
      <c r="E202" s="80"/>
      <c r="F202" s="81"/>
      <c r="G202" s="81"/>
      <c r="H202" s="53"/>
      <c r="I202" s="75"/>
      <c r="J202" s="75"/>
      <c r="K202" s="206">
        <v>4683</v>
      </c>
      <c r="L202" s="207" t="s">
        <v>1084</v>
      </c>
      <c r="M202" s="206" t="s">
        <v>34</v>
      </c>
      <c r="N202" s="208">
        <v>1</v>
      </c>
      <c r="O202" s="209">
        <v>3441.92</v>
      </c>
      <c r="P202" s="210">
        <f t="shared" si="2"/>
        <v>3441.92</v>
      </c>
      <c r="Q202" s="62"/>
    </row>
    <row r="203" spans="1:17" ht="15.75" x14ac:dyDescent="0.25">
      <c r="A203" s="58"/>
      <c r="B203" s="59"/>
      <c r="C203" s="59"/>
      <c r="D203" s="60"/>
      <c r="E203" s="80"/>
      <c r="F203" s="81"/>
      <c r="G203" s="81"/>
      <c r="H203" s="53"/>
      <c r="I203" s="75"/>
      <c r="J203" s="75"/>
      <c r="K203" s="206" t="s">
        <v>1085</v>
      </c>
      <c r="L203" s="207" t="s">
        <v>1086</v>
      </c>
      <c r="M203" s="206" t="s">
        <v>34</v>
      </c>
      <c r="N203" s="208">
        <v>2</v>
      </c>
      <c r="O203" s="209">
        <v>466.34750000000003</v>
      </c>
      <c r="P203" s="210">
        <f t="shared" si="2"/>
        <v>932.69500000000005</v>
      </c>
      <c r="Q203" s="62"/>
    </row>
    <row r="204" spans="1:17" ht="30" x14ac:dyDescent="0.25">
      <c r="A204" s="58"/>
      <c r="B204" s="59"/>
      <c r="C204" s="59"/>
      <c r="D204" s="60"/>
      <c r="E204" s="80"/>
      <c r="F204" s="81"/>
      <c r="G204" s="81"/>
      <c r="H204" s="53"/>
      <c r="I204" s="75"/>
      <c r="J204" s="75"/>
      <c r="K204" s="206" t="s">
        <v>981</v>
      </c>
      <c r="L204" s="207" t="s">
        <v>1087</v>
      </c>
      <c r="M204" s="206" t="s">
        <v>34</v>
      </c>
      <c r="N204" s="208">
        <v>1</v>
      </c>
      <c r="O204" s="209">
        <v>623</v>
      </c>
      <c r="P204" s="210">
        <f t="shared" si="2"/>
        <v>623</v>
      </c>
      <c r="Q204" s="62"/>
    </row>
    <row r="205" spans="1:17" ht="15.75" x14ac:dyDescent="0.25">
      <c r="A205" s="58"/>
      <c r="B205" s="59"/>
      <c r="C205" s="59"/>
      <c r="D205" s="60"/>
      <c r="E205" s="80"/>
      <c r="F205" s="81"/>
      <c r="G205" s="81"/>
      <c r="H205" s="53"/>
      <c r="I205" s="75"/>
      <c r="J205" s="75"/>
      <c r="K205" s="206">
        <v>8297</v>
      </c>
      <c r="L205" s="207" t="s">
        <v>1088</v>
      </c>
      <c r="M205" s="206" t="s">
        <v>34</v>
      </c>
      <c r="N205" s="208">
        <v>1</v>
      </c>
      <c r="O205" s="209">
        <v>705.8</v>
      </c>
      <c r="P205" s="210">
        <f t="shared" si="2"/>
        <v>705.8</v>
      </c>
      <c r="Q205" s="62"/>
    </row>
    <row r="206" spans="1:17" ht="15.75" x14ac:dyDescent="0.25">
      <c r="A206" s="58"/>
      <c r="B206" s="59"/>
      <c r="C206" s="59"/>
      <c r="D206" s="60"/>
      <c r="E206" s="80"/>
      <c r="F206" s="81"/>
      <c r="G206" s="81"/>
      <c r="H206" s="53"/>
      <c r="I206" s="75"/>
      <c r="J206" s="75"/>
      <c r="K206" s="206" t="s">
        <v>1089</v>
      </c>
      <c r="L206" s="207" t="s">
        <v>1090</v>
      </c>
      <c r="M206" s="206" t="s">
        <v>34</v>
      </c>
      <c r="N206" s="208">
        <v>1</v>
      </c>
      <c r="O206" s="209">
        <v>3538.9</v>
      </c>
      <c r="P206" s="210">
        <f t="shared" si="2"/>
        <v>3538.9</v>
      </c>
      <c r="Q206" s="62"/>
    </row>
    <row r="207" spans="1:17" ht="15.75" x14ac:dyDescent="0.25">
      <c r="A207" s="58"/>
      <c r="B207" s="59"/>
      <c r="C207" s="59"/>
      <c r="D207" s="60"/>
      <c r="E207" s="80"/>
      <c r="F207" s="81"/>
      <c r="G207" s="81"/>
      <c r="H207" s="53"/>
      <c r="I207" s="75"/>
      <c r="J207" s="75"/>
      <c r="K207" s="206" t="s">
        <v>946</v>
      </c>
      <c r="L207" s="207" t="s">
        <v>947</v>
      </c>
      <c r="M207" s="206" t="s">
        <v>34</v>
      </c>
      <c r="N207" s="208">
        <v>1</v>
      </c>
      <c r="O207" s="209">
        <v>16752.900000000001</v>
      </c>
      <c r="P207" s="210">
        <f t="shared" si="2"/>
        <v>16752.900000000001</v>
      </c>
      <c r="Q207" s="62"/>
    </row>
    <row r="208" spans="1:17" ht="15.75" x14ac:dyDescent="0.25">
      <c r="A208" s="58"/>
      <c r="B208" s="59"/>
      <c r="C208" s="59"/>
      <c r="D208" s="60"/>
      <c r="E208" s="80"/>
      <c r="F208" s="81"/>
      <c r="G208" s="81"/>
      <c r="H208" s="53"/>
      <c r="I208" s="75"/>
      <c r="J208" s="75"/>
      <c r="K208" s="206" t="s">
        <v>420</v>
      </c>
      <c r="L208" s="207" t="s">
        <v>421</v>
      </c>
      <c r="M208" s="206" t="s">
        <v>37</v>
      </c>
      <c r="N208" s="208">
        <v>4</v>
      </c>
      <c r="O208" s="209">
        <v>70.81</v>
      </c>
      <c r="P208" s="210">
        <f t="shared" si="2"/>
        <v>283.24</v>
      </c>
      <c r="Q208" s="62"/>
    </row>
    <row r="209" spans="1:17" ht="15.75" x14ac:dyDescent="0.25">
      <c r="A209" s="58"/>
      <c r="B209" s="59"/>
      <c r="C209" s="59"/>
      <c r="D209" s="60"/>
      <c r="E209" s="80"/>
      <c r="F209" s="81"/>
      <c r="G209" s="81"/>
      <c r="H209" s="53"/>
      <c r="I209" s="75"/>
      <c r="J209" s="75"/>
      <c r="K209" s="206" t="s">
        <v>422</v>
      </c>
      <c r="L209" s="207" t="s">
        <v>423</v>
      </c>
      <c r="M209" s="206" t="s">
        <v>34</v>
      </c>
      <c r="N209" s="208">
        <v>1</v>
      </c>
      <c r="O209" s="209">
        <v>109.7</v>
      </c>
      <c r="P209" s="210">
        <f t="shared" si="2"/>
        <v>109.7</v>
      </c>
      <c r="Q209" s="62"/>
    </row>
    <row r="210" spans="1:17" ht="15.75" x14ac:dyDescent="0.25">
      <c r="A210" s="58"/>
      <c r="B210" s="59"/>
      <c r="C210" s="59"/>
      <c r="D210" s="60"/>
      <c r="E210" s="80"/>
      <c r="F210" s="81"/>
      <c r="G210" s="81"/>
      <c r="H210" s="53"/>
      <c r="I210" s="75"/>
      <c r="J210" s="75"/>
      <c r="K210" s="206" t="s">
        <v>424</v>
      </c>
      <c r="L210" s="207" t="s">
        <v>425</v>
      </c>
      <c r="M210" s="206" t="s">
        <v>34</v>
      </c>
      <c r="N210" s="208">
        <v>2</v>
      </c>
      <c r="O210" s="209">
        <v>198</v>
      </c>
      <c r="P210" s="210">
        <f t="shared" si="2"/>
        <v>396</v>
      </c>
      <c r="Q210" s="62"/>
    </row>
    <row r="211" spans="1:17" ht="15.75" x14ac:dyDescent="0.25">
      <c r="A211" s="58"/>
      <c r="B211" s="59"/>
      <c r="C211" s="59"/>
      <c r="D211" s="60"/>
      <c r="E211" s="80"/>
      <c r="F211" s="81"/>
      <c r="G211" s="81"/>
      <c r="H211" s="53"/>
      <c r="I211" s="75"/>
      <c r="J211" s="75"/>
      <c r="K211" s="206" t="s">
        <v>1091</v>
      </c>
      <c r="L211" s="207" t="s">
        <v>1092</v>
      </c>
      <c r="M211" s="206" t="s">
        <v>34</v>
      </c>
      <c r="N211" s="208">
        <v>7</v>
      </c>
      <c r="O211" s="209">
        <v>479.5</v>
      </c>
      <c r="P211" s="210">
        <f t="shared" si="2"/>
        <v>3356.5</v>
      </c>
      <c r="Q211" s="62"/>
    </row>
    <row r="212" spans="1:17" ht="30" x14ac:dyDescent="0.25">
      <c r="A212" s="58"/>
      <c r="B212" s="59"/>
      <c r="C212" s="59"/>
      <c r="D212" s="60"/>
      <c r="E212" s="80"/>
      <c r="F212" s="81"/>
      <c r="G212" s="81"/>
      <c r="H212" s="53"/>
      <c r="I212" s="75"/>
      <c r="J212" s="75"/>
      <c r="K212" s="206" t="s">
        <v>426</v>
      </c>
      <c r="L212" s="207" t="s">
        <v>427</v>
      </c>
      <c r="M212" s="206" t="s">
        <v>68</v>
      </c>
      <c r="N212" s="208">
        <v>112.22763817868331</v>
      </c>
      <c r="O212" s="209">
        <v>176.85940555077306</v>
      </c>
      <c r="P212" s="210">
        <f t="shared" ref="P212:P275" si="3">O212*N212</f>
        <v>19848.513374649174</v>
      </c>
      <c r="Q212" s="62"/>
    </row>
    <row r="213" spans="1:17" ht="15.75" x14ac:dyDescent="0.25">
      <c r="A213" s="58"/>
      <c r="B213" s="59"/>
      <c r="C213" s="59"/>
      <c r="D213" s="60"/>
      <c r="E213" s="80"/>
      <c r="F213" s="81"/>
      <c r="G213" s="81"/>
      <c r="H213" s="53"/>
      <c r="I213" s="75"/>
      <c r="J213" s="75"/>
      <c r="K213" s="206" t="s">
        <v>1093</v>
      </c>
      <c r="L213" s="207" t="s">
        <v>1094</v>
      </c>
      <c r="M213" s="206" t="s">
        <v>68</v>
      </c>
      <c r="N213" s="208">
        <v>172.51817403794294</v>
      </c>
      <c r="O213" s="209">
        <v>183.73737011979259</v>
      </c>
      <c r="P213" s="210">
        <f t="shared" si="3"/>
        <v>31698.035595600315</v>
      </c>
      <c r="Q213" s="62"/>
    </row>
    <row r="214" spans="1:17" ht="15.75" x14ac:dyDescent="0.25">
      <c r="A214" s="58"/>
      <c r="B214" s="59"/>
      <c r="C214" s="59"/>
      <c r="D214" s="60"/>
      <c r="E214" s="80"/>
      <c r="F214" s="81"/>
      <c r="G214" s="81"/>
      <c r="H214" s="53"/>
      <c r="I214" s="75"/>
      <c r="J214" s="75"/>
      <c r="K214" s="206">
        <v>11151</v>
      </c>
      <c r="L214" s="207" t="s">
        <v>1095</v>
      </c>
      <c r="M214" s="206" t="s">
        <v>68</v>
      </c>
      <c r="N214" s="208">
        <v>242.01815693318625</v>
      </c>
      <c r="O214" s="209">
        <v>174.36828693173905</v>
      </c>
      <c r="P214" s="210">
        <f t="shared" si="3"/>
        <v>42200.291430816469</v>
      </c>
      <c r="Q214" s="62"/>
    </row>
    <row r="215" spans="1:17" ht="15.75" x14ac:dyDescent="0.25">
      <c r="A215" s="58"/>
      <c r="B215" s="59"/>
      <c r="C215" s="59"/>
      <c r="D215" s="60"/>
      <c r="E215" s="80"/>
      <c r="F215" s="81"/>
      <c r="G215" s="81"/>
      <c r="H215" s="53"/>
      <c r="I215" s="75"/>
      <c r="J215" s="75"/>
      <c r="K215" s="206" t="s">
        <v>432</v>
      </c>
      <c r="L215" s="207" t="s">
        <v>433</v>
      </c>
      <c r="M215" s="206" t="s">
        <v>34</v>
      </c>
      <c r="N215" s="208">
        <v>2</v>
      </c>
      <c r="O215" s="209">
        <v>27.6</v>
      </c>
      <c r="P215" s="210">
        <f t="shared" si="3"/>
        <v>55.2</v>
      </c>
      <c r="Q215" s="62"/>
    </row>
    <row r="216" spans="1:17" ht="15.75" x14ac:dyDescent="0.25">
      <c r="A216" s="58"/>
      <c r="B216" s="59"/>
      <c r="C216" s="59"/>
      <c r="D216" s="60"/>
      <c r="E216" s="80"/>
      <c r="F216" s="81"/>
      <c r="G216" s="81"/>
      <c r="H216" s="53"/>
      <c r="I216" s="75"/>
      <c r="J216" s="75"/>
      <c r="K216" s="206" t="s">
        <v>1096</v>
      </c>
      <c r="L216" s="207" t="s">
        <v>1097</v>
      </c>
      <c r="M216" s="206" t="s">
        <v>34</v>
      </c>
      <c r="N216" s="208">
        <v>1</v>
      </c>
      <c r="O216" s="209">
        <v>46.860000000000007</v>
      </c>
      <c r="P216" s="210">
        <f t="shared" si="3"/>
        <v>46.860000000000007</v>
      </c>
      <c r="Q216" s="62"/>
    </row>
    <row r="217" spans="1:17" ht="15.75" x14ac:dyDescent="0.25">
      <c r="A217" s="58"/>
      <c r="B217" s="59"/>
      <c r="C217" s="59"/>
      <c r="D217" s="60"/>
      <c r="E217" s="80"/>
      <c r="F217" s="81"/>
      <c r="G217" s="81"/>
      <c r="H217" s="53"/>
      <c r="I217" s="75"/>
      <c r="J217" s="75"/>
      <c r="K217" s="206" t="s">
        <v>1098</v>
      </c>
      <c r="L217" s="207" t="s">
        <v>1099</v>
      </c>
      <c r="M217" s="206" t="s">
        <v>34</v>
      </c>
      <c r="N217" s="208">
        <v>1</v>
      </c>
      <c r="O217" s="209">
        <v>55.25</v>
      </c>
      <c r="P217" s="210">
        <f t="shared" si="3"/>
        <v>55.25</v>
      </c>
      <c r="Q217" s="62"/>
    </row>
    <row r="218" spans="1:17" ht="15.75" x14ac:dyDescent="0.25">
      <c r="A218" s="58"/>
      <c r="B218" s="59"/>
      <c r="C218" s="59"/>
      <c r="D218" s="60"/>
      <c r="E218" s="80"/>
      <c r="F218" s="81"/>
      <c r="G218" s="81"/>
      <c r="H218" s="53"/>
      <c r="I218" s="75"/>
      <c r="J218" s="75"/>
      <c r="K218" s="206" t="s">
        <v>1100</v>
      </c>
      <c r="L218" s="207" t="s">
        <v>1101</v>
      </c>
      <c r="M218" s="206" t="s">
        <v>214</v>
      </c>
      <c r="N218" s="208">
        <v>0.22467545830650698</v>
      </c>
      <c r="O218" s="209">
        <v>8833.3333333333339</v>
      </c>
      <c r="P218" s="210">
        <f t="shared" si="3"/>
        <v>1984.6332150408118</v>
      </c>
      <c r="Q218" s="62"/>
    </row>
    <row r="219" spans="1:17" ht="15.75" x14ac:dyDescent="0.25">
      <c r="A219" s="58"/>
      <c r="B219" s="59"/>
      <c r="C219" s="59"/>
      <c r="D219" s="60"/>
      <c r="E219" s="80"/>
      <c r="F219" s="81"/>
      <c r="G219" s="81"/>
      <c r="H219" s="53"/>
      <c r="I219" s="75"/>
      <c r="J219" s="75"/>
      <c r="K219" s="206">
        <v>21806</v>
      </c>
      <c r="L219" s="207" t="s">
        <v>1102</v>
      </c>
      <c r="M219" s="206" t="s">
        <v>1207</v>
      </c>
      <c r="N219" s="208">
        <v>0</v>
      </c>
      <c r="O219" s="209">
        <v>8511.9047619047615</v>
      </c>
      <c r="P219" s="210">
        <f t="shared" si="3"/>
        <v>0</v>
      </c>
      <c r="Q219" s="62"/>
    </row>
    <row r="220" spans="1:17" ht="15.75" x14ac:dyDescent="0.25">
      <c r="A220" s="58"/>
      <c r="B220" s="59"/>
      <c r="C220" s="59"/>
      <c r="D220" s="60"/>
      <c r="E220" s="80"/>
      <c r="F220" s="81"/>
      <c r="G220" s="81"/>
      <c r="H220" s="53"/>
      <c r="I220" s="75"/>
      <c r="J220" s="75"/>
      <c r="K220" s="206" t="s">
        <v>1103</v>
      </c>
      <c r="L220" s="207" t="s">
        <v>1104</v>
      </c>
      <c r="M220" s="206" t="s">
        <v>57</v>
      </c>
      <c r="N220" s="208">
        <v>0</v>
      </c>
      <c r="O220" s="209">
        <v>41.09</v>
      </c>
      <c r="P220" s="210">
        <f t="shared" si="3"/>
        <v>0</v>
      </c>
      <c r="Q220" s="62"/>
    </row>
    <row r="221" spans="1:17" ht="15.75" x14ac:dyDescent="0.25">
      <c r="A221" s="58"/>
      <c r="B221" s="59"/>
      <c r="C221" s="59"/>
      <c r="D221" s="60"/>
      <c r="E221" s="80"/>
      <c r="F221" s="81"/>
      <c r="G221" s="81"/>
      <c r="H221" s="53"/>
      <c r="I221" s="75"/>
      <c r="J221" s="75"/>
      <c r="K221" s="206" t="s">
        <v>1105</v>
      </c>
      <c r="L221" s="207" t="s">
        <v>65</v>
      </c>
      <c r="M221" s="206" t="s">
        <v>57</v>
      </c>
      <c r="N221" s="208">
        <v>1840</v>
      </c>
      <c r="O221" s="209">
        <v>53.788599078341015</v>
      </c>
      <c r="P221" s="210">
        <f t="shared" si="3"/>
        <v>98971.022304147467</v>
      </c>
      <c r="Q221" s="62"/>
    </row>
    <row r="222" spans="1:17" ht="15.75" x14ac:dyDescent="0.25">
      <c r="A222" s="58"/>
      <c r="B222" s="59"/>
      <c r="C222" s="59"/>
      <c r="D222" s="60"/>
      <c r="E222" s="80"/>
      <c r="F222" s="81"/>
      <c r="G222" s="81"/>
      <c r="H222" s="53"/>
      <c r="I222" s="75"/>
      <c r="J222" s="75"/>
      <c r="K222" s="206" t="s">
        <v>434</v>
      </c>
      <c r="L222" s="207" t="s">
        <v>435</v>
      </c>
      <c r="M222" s="206" t="s">
        <v>34</v>
      </c>
      <c r="N222" s="208">
        <v>5</v>
      </c>
      <c r="O222" s="209">
        <v>251.57517241379313</v>
      </c>
      <c r="P222" s="210">
        <f t="shared" si="3"/>
        <v>1257.8758620689657</v>
      </c>
      <c r="Q222" s="62"/>
    </row>
    <row r="223" spans="1:17" ht="30" x14ac:dyDescent="0.25">
      <c r="A223" s="58"/>
      <c r="B223" s="59"/>
      <c r="C223" s="59"/>
      <c r="D223" s="60"/>
      <c r="E223" s="80"/>
      <c r="F223" s="81"/>
      <c r="G223" s="81"/>
      <c r="H223" s="53"/>
      <c r="I223" s="75"/>
      <c r="J223" s="75"/>
      <c r="K223" s="206">
        <v>22062</v>
      </c>
      <c r="L223" s="207" t="s">
        <v>436</v>
      </c>
      <c r="M223" s="206" t="s">
        <v>34</v>
      </c>
      <c r="N223" s="208">
        <v>15</v>
      </c>
      <c r="O223" s="209">
        <v>96.18</v>
      </c>
      <c r="P223" s="210">
        <f t="shared" si="3"/>
        <v>1442.7</v>
      </c>
      <c r="Q223" s="62"/>
    </row>
    <row r="224" spans="1:17" ht="45" x14ac:dyDescent="0.25">
      <c r="A224" s="58"/>
      <c r="B224" s="59"/>
      <c r="C224" s="59"/>
      <c r="D224" s="60"/>
      <c r="E224" s="80"/>
      <c r="F224" s="81"/>
      <c r="G224" s="81"/>
      <c r="H224" s="53"/>
      <c r="I224" s="75"/>
      <c r="J224" s="75"/>
      <c r="K224" s="206">
        <v>19254</v>
      </c>
      <c r="L224" s="207" t="s">
        <v>95</v>
      </c>
      <c r="M224" s="206" t="s">
        <v>34</v>
      </c>
      <c r="N224" s="208">
        <v>6</v>
      </c>
      <c r="O224" s="209">
        <v>172.73</v>
      </c>
      <c r="P224" s="210">
        <f t="shared" si="3"/>
        <v>1036.3799999999999</v>
      </c>
      <c r="Q224" s="62"/>
    </row>
    <row r="225" spans="1:17" ht="15.75" x14ac:dyDescent="0.25">
      <c r="A225" s="58"/>
      <c r="B225" s="59"/>
      <c r="C225" s="59"/>
      <c r="D225" s="60"/>
      <c r="E225" s="80"/>
      <c r="F225" s="81"/>
      <c r="G225" s="81"/>
      <c r="H225" s="53"/>
      <c r="I225" s="75"/>
      <c r="J225" s="75"/>
      <c r="K225" s="206" t="s">
        <v>437</v>
      </c>
      <c r="L225" s="207" t="s">
        <v>438</v>
      </c>
      <c r="M225" s="206" t="s">
        <v>34</v>
      </c>
      <c r="N225" s="208">
        <v>19</v>
      </c>
      <c r="O225" s="209">
        <v>166.32</v>
      </c>
      <c r="P225" s="210">
        <f t="shared" si="3"/>
        <v>3160.08</v>
      </c>
      <c r="Q225" s="62"/>
    </row>
    <row r="226" spans="1:17" ht="30" x14ac:dyDescent="0.25">
      <c r="A226" s="58"/>
      <c r="B226" s="59"/>
      <c r="C226" s="59"/>
      <c r="D226" s="60"/>
      <c r="E226" s="80"/>
      <c r="F226" s="81"/>
      <c r="G226" s="81"/>
      <c r="H226" s="53"/>
      <c r="I226" s="75"/>
      <c r="J226" s="75"/>
      <c r="K226" s="206">
        <v>615</v>
      </c>
      <c r="L226" s="207" t="s">
        <v>439</v>
      </c>
      <c r="M226" s="206" t="s">
        <v>34</v>
      </c>
      <c r="N226" s="208">
        <v>11</v>
      </c>
      <c r="O226" s="209">
        <v>94.356206896551726</v>
      </c>
      <c r="P226" s="210">
        <f t="shared" si="3"/>
        <v>1037.9182758620691</v>
      </c>
      <c r="Q226" s="62"/>
    </row>
    <row r="227" spans="1:17" ht="15.75" x14ac:dyDescent="0.25">
      <c r="A227" s="58"/>
      <c r="B227" s="59"/>
      <c r="C227" s="59"/>
      <c r="D227" s="60"/>
      <c r="E227" s="80"/>
      <c r="F227" s="81"/>
      <c r="G227" s="81"/>
      <c r="H227" s="53"/>
      <c r="I227" s="75"/>
      <c r="J227" s="75"/>
      <c r="K227" s="206" t="s">
        <v>440</v>
      </c>
      <c r="L227" s="207" t="s">
        <v>441</v>
      </c>
      <c r="M227" s="206" t="s">
        <v>442</v>
      </c>
      <c r="N227" s="208">
        <v>9</v>
      </c>
      <c r="O227" s="209">
        <v>67.349999999999994</v>
      </c>
      <c r="P227" s="210">
        <f t="shared" si="3"/>
        <v>606.15</v>
      </c>
      <c r="Q227" s="62"/>
    </row>
    <row r="228" spans="1:17" ht="15.75" x14ac:dyDescent="0.25">
      <c r="A228" s="58"/>
      <c r="B228" s="59"/>
      <c r="C228" s="59"/>
      <c r="D228" s="60"/>
      <c r="E228" s="80"/>
      <c r="F228" s="81"/>
      <c r="G228" s="81"/>
      <c r="H228" s="53"/>
      <c r="I228" s="75"/>
      <c r="J228" s="75"/>
      <c r="K228" s="206" t="s">
        <v>1106</v>
      </c>
      <c r="L228" s="207" t="s">
        <v>1107</v>
      </c>
      <c r="M228" s="206" t="s">
        <v>34</v>
      </c>
      <c r="N228" s="208">
        <v>374</v>
      </c>
      <c r="O228" s="209">
        <v>0.25602999999999998</v>
      </c>
      <c r="P228" s="210">
        <f t="shared" si="3"/>
        <v>95.755219999999994</v>
      </c>
      <c r="Q228" s="62"/>
    </row>
    <row r="229" spans="1:17" ht="15.75" x14ac:dyDescent="0.25">
      <c r="A229" s="58"/>
      <c r="B229" s="59"/>
      <c r="C229" s="59"/>
      <c r="D229" s="60"/>
      <c r="E229" s="80"/>
      <c r="F229" s="81"/>
      <c r="G229" s="81"/>
      <c r="H229" s="53"/>
      <c r="I229" s="75"/>
      <c r="J229" s="75"/>
      <c r="K229" s="206" t="s">
        <v>1108</v>
      </c>
      <c r="L229" s="207" t="s">
        <v>1109</v>
      </c>
      <c r="M229" s="206" t="s">
        <v>34</v>
      </c>
      <c r="N229" s="208">
        <v>374</v>
      </c>
      <c r="O229" s="209">
        <v>1.7821300000000002</v>
      </c>
      <c r="P229" s="210">
        <f t="shared" si="3"/>
        <v>666.5166200000001</v>
      </c>
      <c r="Q229" s="62"/>
    </row>
    <row r="230" spans="1:17" ht="30" x14ac:dyDescent="0.25">
      <c r="A230" s="58"/>
      <c r="B230" s="59"/>
      <c r="C230" s="59"/>
      <c r="D230" s="60"/>
      <c r="E230" s="80"/>
      <c r="F230" s="81"/>
      <c r="G230" s="81"/>
      <c r="H230" s="53"/>
      <c r="I230" s="75"/>
      <c r="J230" s="75"/>
      <c r="K230" s="206" t="s">
        <v>1110</v>
      </c>
      <c r="L230" s="207" t="s">
        <v>1111</v>
      </c>
      <c r="M230" s="206" t="s">
        <v>34</v>
      </c>
      <c r="N230" s="208">
        <v>936</v>
      </c>
      <c r="O230" s="209">
        <v>0.13377</v>
      </c>
      <c r="P230" s="210">
        <f t="shared" si="3"/>
        <v>125.20872</v>
      </c>
      <c r="Q230" s="62"/>
    </row>
    <row r="231" spans="1:17" ht="15.75" x14ac:dyDescent="0.25">
      <c r="A231" s="58"/>
      <c r="B231" s="59"/>
      <c r="C231" s="59"/>
      <c r="D231" s="60"/>
      <c r="E231" s="80"/>
      <c r="F231" s="81"/>
      <c r="G231" s="81"/>
      <c r="H231" s="53"/>
      <c r="I231" s="75"/>
      <c r="J231" s="75"/>
      <c r="K231" s="206" t="s">
        <v>1112</v>
      </c>
      <c r="L231" s="207" t="s">
        <v>1113</v>
      </c>
      <c r="M231" s="206" t="s">
        <v>34</v>
      </c>
      <c r="N231" s="208">
        <v>1217</v>
      </c>
      <c r="O231" s="209">
        <v>0.72307384615384607</v>
      </c>
      <c r="P231" s="210">
        <f t="shared" si="3"/>
        <v>879.98087076923071</v>
      </c>
      <c r="Q231" s="62"/>
    </row>
    <row r="232" spans="1:17" ht="15.75" x14ac:dyDescent="0.25">
      <c r="A232" s="58"/>
      <c r="B232" s="59"/>
      <c r="C232" s="59"/>
      <c r="D232" s="60"/>
      <c r="E232" s="80"/>
      <c r="F232" s="81"/>
      <c r="G232" s="81"/>
      <c r="H232" s="53"/>
      <c r="I232" s="75"/>
      <c r="J232" s="75"/>
      <c r="K232" s="206">
        <v>21844</v>
      </c>
      <c r="L232" s="207" t="s">
        <v>1114</v>
      </c>
      <c r="M232" s="206" t="s">
        <v>34</v>
      </c>
      <c r="N232" s="208">
        <v>2247</v>
      </c>
      <c r="O232" s="209">
        <v>0.69167000000000012</v>
      </c>
      <c r="P232" s="210">
        <f t="shared" si="3"/>
        <v>1554.1824900000004</v>
      </c>
      <c r="Q232" s="62"/>
    </row>
    <row r="233" spans="1:17" ht="30" x14ac:dyDescent="0.25">
      <c r="A233" s="58"/>
      <c r="B233" s="59"/>
      <c r="C233" s="59"/>
      <c r="D233" s="60"/>
      <c r="E233" s="80"/>
      <c r="F233" s="81"/>
      <c r="G233" s="81"/>
      <c r="H233" s="53"/>
      <c r="I233" s="75"/>
      <c r="J233" s="75"/>
      <c r="K233" s="206" t="s">
        <v>1115</v>
      </c>
      <c r="L233" s="207" t="s">
        <v>1116</v>
      </c>
      <c r="M233" s="206" t="s">
        <v>34</v>
      </c>
      <c r="N233" s="208">
        <v>2340</v>
      </c>
      <c r="O233" s="209">
        <v>0.64332959999999995</v>
      </c>
      <c r="P233" s="210">
        <f t="shared" si="3"/>
        <v>1505.3912639999999</v>
      </c>
      <c r="Q233" s="62"/>
    </row>
    <row r="234" spans="1:17" ht="15.75" x14ac:dyDescent="0.25">
      <c r="A234" s="58"/>
      <c r="B234" s="59"/>
      <c r="C234" s="59"/>
      <c r="D234" s="60"/>
      <c r="E234" s="80"/>
      <c r="F234" s="81"/>
      <c r="G234" s="81"/>
      <c r="H234" s="53"/>
      <c r="I234" s="75"/>
      <c r="J234" s="75"/>
      <c r="K234" s="206" t="s">
        <v>1117</v>
      </c>
      <c r="L234" s="207" t="s">
        <v>1118</v>
      </c>
      <c r="M234" s="206" t="s">
        <v>34</v>
      </c>
      <c r="N234" s="208">
        <v>2</v>
      </c>
      <c r="O234" s="209">
        <v>11.888888888888889</v>
      </c>
      <c r="P234" s="210">
        <f t="shared" si="3"/>
        <v>23.777777777777779</v>
      </c>
      <c r="Q234" s="62"/>
    </row>
    <row r="235" spans="1:17" ht="15.75" x14ac:dyDescent="0.25">
      <c r="A235" s="58"/>
      <c r="B235" s="59"/>
      <c r="C235" s="59"/>
      <c r="D235" s="60"/>
      <c r="E235" s="80"/>
      <c r="F235" s="81"/>
      <c r="G235" s="81"/>
      <c r="H235" s="53"/>
      <c r="I235" s="75"/>
      <c r="J235" s="75"/>
      <c r="K235" s="206" t="s">
        <v>445</v>
      </c>
      <c r="L235" s="207" t="s">
        <v>446</v>
      </c>
      <c r="M235" s="206" t="s">
        <v>34</v>
      </c>
      <c r="N235" s="208">
        <v>13</v>
      </c>
      <c r="O235" s="209">
        <v>598.5</v>
      </c>
      <c r="P235" s="210">
        <f t="shared" si="3"/>
        <v>7780.5</v>
      </c>
      <c r="Q235" s="62"/>
    </row>
    <row r="236" spans="1:17" ht="30" x14ac:dyDescent="0.25">
      <c r="A236" s="58"/>
      <c r="B236" s="59"/>
      <c r="C236" s="59"/>
      <c r="D236" s="60"/>
      <c r="E236" s="80"/>
      <c r="F236" s="81"/>
      <c r="G236" s="81"/>
      <c r="H236" s="53"/>
      <c r="I236" s="75"/>
      <c r="J236" s="75"/>
      <c r="K236" s="206">
        <v>22350</v>
      </c>
      <c r="L236" s="207" t="s">
        <v>447</v>
      </c>
      <c r="M236" s="206" t="s">
        <v>34</v>
      </c>
      <c r="N236" s="208">
        <v>10</v>
      </c>
      <c r="O236" s="209">
        <v>115.11218181818182</v>
      </c>
      <c r="P236" s="210">
        <f t="shared" si="3"/>
        <v>1151.1218181818183</v>
      </c>
      <c r="Q236" s="62"/>
    </row>
    <row r="237" spans="1:17" ht="15.75" x14ac:dyDescent="0.25">
      <c r="A237" s="58"/>
      <c r="B237" s="59"/>
      <c r="C237" s="59"/>
      <c r="D237" s="60"/>
      <c r="E237" s="80"/>
      <c r="F237" s="81"/>
      <c r="G237" s="81"/>
      <c r="H237" s="53"/>
      <c r="I237" s="75"/>
      <c r="J237" s="75"/>
      <c r="K237" s="206" t="s">
        <v>1119</v>
      </c>
      <c r="L237" s="207" t="s">
        <v>1120</v>
      </c>
      <c r="M237" s="206" t="s">
        <v>34</v>
      </c>
      <c r="N237" s="208">
        <v>1</v>
      </c>
      <c r="O237" s="209">
        <v>176</v>
      </c>
      <c r="P237" s="210">
        <f t="shared" si="3"/>
        <v>176</v>
      </c>
      <c r="Q237" s="62"/>
    </row>
    <row r="238" spans="1:17" ht="15.75" x14ac:dyDescent="0.25">
      <c r="A238" s="58"/>
      <c r="B238" s="59"/>
      <c r="C238" s="59"/>
      <c r="D238" s="60"/>
      <c r="E238" s="80"/>
      <c r="F238" s="81"/>
      <c r="G238" s="81"/>
      <c r="H238" s="53"/>
      <c r="I238" s="75"/>
      <c r="J238" s="75"/>
      <c r="K238" s="206" t="s">
        <v>448</v>
      </c>
      <c r="L238" s="207" t="s">
        <v>449</v>
      </c>
      <c r="M238" s="206" t="s">
        <v>34</v>
      </c>
      <c r="N238" s="208">
        <v>2</v>
      </c>
      <c r="O238" s="209">
        <v>237.37909090909091</v>
      </c>
      <c r="P238" s="210">
        <f t="shared" si="3"/>
        <v>474.75818181818181</v>
      </c>
      <c r="Q238" s="62"/>
    </row>
    <row r="239" spans="1:17" ht="15.75" x14ac:dyDescent="0.25">
      <c r="A239" s="58"/>
      <c r="B239" s="59"/>
      <c r="C239" s="59"/>
      <c r="D239" s="60"/>
      <c r="E239" s="80"/>
      <c r="F239" s="81"/>
      <c r="G239" s="81"/>
      <c r="H239" s="53"/>
      <c r="I239" s="75"/>
      <c r="J239" s="75"/>
      <c r="K239" s="206" t="s">
        <v>948</v>
      </c>
      <c r="L239" s="207" t="s">
        <v>1121</v>
      </c>
      <c r="M239" s="206" t="s">
        <v>34</v>
      </c>
      <c r="N239" s="208">
        <v>5</v>
      </c>
      <c r="O239" s="209">
        <v>335.79400000000004</v>
      </c>
      <c r="P239" s="210">
        <f t="shared" si="3"/>
        <v>1678.9700000000003</v>
      </c>
      <c r="Q239" s="62"/>
    </row>
    <row r="240" spans="1:17" ht="30" x14ac:dyDescent="0.25">
      <c r="A240" s="58"/>
      <c r="B240" s="59"/>
      <c r="C240" s="59"/>
      <c r="D240" s="60"/>
      <c r="E240" s="80"/>
      <c r="F240" s="81"/>
      <c r="G240" s="81"/>
      <c r="H240" s="53"/>
      <c r="I240" s="75"/>
      <c r="J240" s="75"/>
      <c r="K240" s="206" t="s">
        <v>1122</v>
      </c>
      <c r="L240" s="207" t="s">
        <v>1123</v>
      </c>
      <c r="M240" s="206" t="s">
        <v>34</v>
      </c>
      <c r="N240" s="208">
        <v>2</v>
      </c>
      <c r="O240" s="209">
        <v>189.441</v>
      </c>
      <c r="P240" s="210">
        <f t="shared" si="3"/>
        <v>378.88200000000001</v>
      </c>
      <c r="Q240" s="62"/>
    </row>
    <row r="241" spans="1:17" ht="15.75" x14ac:dyDescent="0.25">
      <c r="A241" s="58"/>
      <c r="B241" s="59"/>
      <c r="C241" s="59"/>
      <c r="D241" s="60"/>
      <c r="E241" s="80"/>
      <c r="F241" s="81"/>
      <c r="G241" s="81"/>
      <c r="H241" s="53"/>
      <c r="I241" s="75"/>
      <c r="J241" s="75"/>
      <c r="K241" s="206" t="s">
        <v>450</v>
      </c>
      <c r="L241" s="207" t="s">
        <v>451</v>
      </c>
      <c r="M241" s="206" t="s">
        <v>34</v>
      </c>
      <c r="N241" s="208">
        <v>1</v>
      </c>
      <c r="O241" s="209">
        <v>179.22</v>
      </c>
      <c r="P241" s="210">
        <f t="shared" si="3"/>
        <v>179.22</v>
      </c>
      <c r="Q241" s="62"/>
    </row>
    <row r="242" spans="1:17" ht="30" x14ac:dyDescent="0.25">
      <c r="A242" s="58"/>
      <c r="B242" s="59"/>
      <c r="C242" s="59"/>
      <c r="D242" s="60"/>
      <c r="E242" s="80"/>
      <c r="F242" s="81"/>
      <c r="G242" s="81"/>
      <c r="H242" s="53"/>
      <c r="I242" s="75"/>
      <c r="J242" s="75"/>
      <c r="K242" s="206" t="s">
        <v>452</v>
      </c>
      <c r="L242" s="207" t="s">
        <v>453</v>
      </c>
      <c r="M242" s="206" t="s">
        <v>34</v>
      </c>
      <c r="N242" s="208">
        <v>13</v>
      </c>
      <c r="O242" s="209">
        <v>217.5</v>
      </c>
      <c r="P242" s="210">
        <f t="shared" si="3"/>
        <v>2827.5</v>
      </c>
      <c r="Q242" s="62"/>
    </row>
    <row r="243" spans="1:17" ht="15.75" x14ac:dyDescent="0.25">
      <c r="A243" s="58"/>
      <c r="B243" s="59"/>
      <c r="C243" s="59"/>
      <c r="D243" s="60"/>
      <c r="E243" s="80"/>
      <c r="F243" s="81"/>
      <c r="G243" s="81"/>
      <c r="H243" s="53"/>
      <c r="I243" s="75"/>
      <c r="J243" s="75"/>
      <c r="K243" s="206">
        <v>19295</v>
      </c>
      <c r="L243" s="207" t="s">
        <v>454</v>
      </c>
      <c r="M243" s="206" t="s">
        <v>34</v>
      </c>
      <c r="N243" s="208">
        <v>5</v>
      </c>
      <c r="O243" s="209">
        <v>1544.6206451612902</v>
      </c>
      <c r="P243" s="210">
        <f t="shared" si="3"/>
        <v>7723.1032258064515</v>
      </c>
      <c r="Q243" s="62"/>
    </row>
    <row r="244" spans="1:17" ht="15.75" x14ac:dyDescent="0.25">
      <c r="A244" s="58"/>
      <c r="B244" s="59"/>
      <c r="C244" s="59"/>
      <c r="D244" s="60"/>
      <c r="E244" s="80"/>
      <c r="F244" s="81"/>
      <c r="G244" s="81"/>
      <c r="H244" s="53"/>
      <c r="I244" s="75"/>
      <c r="J244" s="75"/>
      <c r="K244" s="206" t="s">
        <v>1124</v>
      </c>
      <c r="L244" s="207" t="s">
        <v>1125</v>
      </c>
      <c r="M244" s="206" t="s">
        <v>34</v>
      </c>
      <c r="N244" s="208">
        <v>1</v>
      </c>
      <c r="O244" s="209">
        <v>212.66666666666666</v>
      </c>
      <c r="P244" s="210">
        <f t="shared" si="3"/>
        <v>212.66666666666666</v>
      </c>
      <c r="Q244" s="62"/>
    </row>
    <row r="245" spans="1:17" ht="15.75" x14ac:dyDescent="0.25">
      <c r="A245" s="58"/>
      <c r="B245" s="59"/>
      <c r="C245" s="59"/>
      <c r="D245" s="60"/>
      <c r="E245" s="80"/>
      <c r="F245" s="81"/>
      <c r="G245" s="81"/>
      <c r="H245" s="53"/>
      <c r="I245" s="75"/>
      <c r="J245" s="75"/>
      <c r="K245" s="206" t="s">
        <v>1126</v>
      </c>
      <c r="L245" s="207" t="s">
        <v>1127</v>
      </c>
      <c r="M245" s="206" t="s">
        <v>34</v>
      </c>
      <c r="N245" s="208">
        <v>2</v>
      </c>
      <c r="O245" s="209">
        <v>623.5</v>
      </c>
      <c r="P245" s="210">
        <f t="shared" si="3"/>
        <v>1247</v>
      </c>
      <c r="Q245" s="62"/>
    </row>
    <row r="246" spans="1:17" ht="15.75" x14ac:dyDescent="0.25">
      <c r="A246" s="58"/>
      <c r="B246" s="59"/>
      <c r="C246" s="59"/>
      <c r="D246" s="60"/>
      <c r="E246" s="80"/>
      <c r="F246" s="81"/>
      <c r="G246" s="81"/>
      <c r="H246" s="53"/>
      <c r="I246" s="75"/>
      <c r="J246" s="75"/>
      <c r="K246" s="206" t="s">
        <v>1128</v>
      </c>
      <c r="L246" s="207" t="s">
        <v>1129</v>
      </c>
      <c r="M246" s="206" t="s">
        <v>34</v>
      </c>
      <c r="N246" s="208">
        <v>1</v>
      </c>
      <c r="O246" s="209">
        <v>216.6</v>
      </c>
      <c r="P246" s="210">
        <f t="shared" si="3"/>
        <v>216.6</v>
      </c>
      <c r="Q246" s="62"/>
    </row>
    <row r="247" spans="1:17" ht="30" x14ac:dyDescent="0.25">
      <c r="A247" s="58"/>
      <c r="B247" s="59"/>
      <c r="C247" s="59"/>
      <c r="D247" s="60"/>
      <c r="E247" s="80"/>
      <c r="F247" s="81"/>
      <c r="G247" s="81"/>
      <c r="H247" s="53"/>
      <c r="I247" s="75"/>
      <c r="J247" s="75"/>
      <c r="K247" s="206">
        <v>10967</v>
      </c>
      <c r="L247" s="207" t="s">
        <v>1130</v>
      </c>
      <c r="M247" s="206" t="s">
        <v>34</v>
      </c>
      <c r="N247" s="208">
        <v>1</v>
      </c>
      <c r="O247" s="209">
        <v>84.5</v>
      </c>
      <c r="P247" s="210">
        <f t="shared" si="3"/>
        <v>84.5</v>
      </c>
      <c r="Q247" s="62"/>
    </row>
    <row r="248" spans="1:17" ht="15.75" x14ac:dyDescent="0.25">
      <c r="A248" s="58"/>
      <c r="B248" s="59"/>
      <c r="C248" s="59"/>
      <c r="D248" s="60"/>
      <c r="E248" s="80"/>
      <c r="F248" s="81"/>
      <c r="G248" s="81"/>
      <c r="H248" s="53"/>
      <c r="I248" s="75"/>
      <c r="J248" s="75"/>
      <c r="K248" s="206" t="s">
        <v>455</v>
      </c>
      <c r="L248" s="207" t="s">
        <v>456</v>
      </c>
      <c r="M248" s="206" t="s">
        <v>34</v>
      </c>
      <c r="N248" s="208">
        <v>10</v>
      </c>
      <c r="O248" s="209">
        <v>286.13</v>
      </c>
      <c r="P248" s="210">
        <f t="shared" si="3"/>
        <v>2861.3</v>
      </c>
      <c r="Q248" s="62"/>
    </row>
    <row r="249" spans="1:17" ht="15.75" x14ac:dyDescent="0.25">
      <c r="A249" s="58"/>
      <c r="B249" s="59"/>
      <c r="C249" s="59"/>
      <c r="D249" s="60"/>
      <c r="E249" s="80"/>
      <c r="F249" s="81"/>
      <c r="G249" s="81"/>
      <c r="H249" s="53"/>
      <c r="I249" s="75"/>
      <c r="J249" s="75"/>
      <c r="K249" s="206" t="s">
        <v>529</v>
      </c>
      <c r="L249" s="207" t="s">
        <v>530</v>
      </c>
      <c r="M249" s="206" t="s">
        <v>34</v>
      </c>
      <c r="N249" s="208">
        <v>2</v>
      </c>
      <c r="O249" s="209">
        <v>2810</v>
      </c>
      <c r="P249" s="210">
        <f t="shared" si="3"/>
        <v>5620</v>
      </c>
      <c r="Q249" s="62"/>
    </row>
    <row r="250" spans="1:17" ht="15.75" x14ac:dyDescent="0.25">
      <c r="A250" s="58"/>
      <c r="B250" s="59"/>
      <c r="C250" s="59"/>
      <c r="D250" s="60"/>
      <c r="E250" s="80"/>
      <c r="F250" s="81"/>
      <c r="G250" s="81"/>
      <c r="H250" s="53"/>
      <c r="I250" s="75"/>
      <c r="J250" s="75"/>
      <c r="K250" s="206" t="s">
        <v>459</v>
      </c>
      <c r="L250" s="207" t="s">
        <v>460</v>
      </c>
      <c r="M250" s="206" t="s">
        <v>34</v>
      </c>
      <c r="N250" s="208">
        <v>2</v>
      </c>
      <c r="O250" s="209">
        <v>2127.1240000000003</v>
      </c>
      <c r="P250" s="210">
        <f t="shared" si="3"/>
        <v>4254.2480000000005</v>
      </c>
      <c r="Q250" s="62"/>
    </row>
    <row r="251" spans="1:17" ht="15.75" x14ac:dyDescent="0.25">
      <c r="A251" s="58"/>
      <c r="B251" s="59"/>
      <c r="C251" s="59"/>
      <c r="D251" s="60"/>
      <c r="E251" s="80"/>
      <c r="F251" s="81"/>
      <c r="G251" s="81"/>
      <c r="H251" s="53"/>
      <c r="I251" s="75"/>
      <c r="J251" s="75"/>
      <c r="K251" s="206" t="s">
        <v>949</v>
      </c>
      <c r="L251" s="207" t="s">
        <v>950</v>
      </c>
      <c r="M251" s="206" t="s">
        <v>34</v>
      </c>
      <c r="N251" s="208">
        <v>1</v>
      </c>
      <c r="O251" s="209">
        <v>7570</v>
      </c>
      <c r="P251" s="210">
        <f t="shared" si="3"/>
        <v>7570</v>
      </c>
      <c r="Q251" s="62"/>
    </row>
    <row r="252" spans="1:17" ht="15.75" x14ac:dyDescent="0.25">
      <c r="A252" s="58"/>
      <c r="B252" s="59"/>
      <c r="C252" s="59"/>
      <c r="D252" s="60"/>
      <c r="E252" s="80"/>
      <c r="F252" s="81"/>
      <c r="G252" s="81"/>
      <c r="H252" s="53"/>
      <c r="I252" s="75"/>
      <c r="J252" s="75"/>
      <c r="K252" s="206">
        <v>423</v>
      </c>
      <c r="L252" s="207" t="s">
        <v>461</v>
      </c>
      <c r="M252" s="206" t="s">
        <v>34</v>
      </c>
      <c r="N252" s="208">
        <v>3</v>
      </c>
      <c r="O252" s="209">
        <v>674.68923076923068</v>
      </c>
      <c r="P252" s="210">
        <f t="shared" si="3"/>
        <v>2024.0676923076921</v>
      </c>
      <c r="Q252" s="62"/>
    </row>
    <row r="253" spans="1:17" ht="15.75" x14ac:dyDescent="0.25">
      <c r="A253" s="58"/>
      <c r="B253" s="59"/>
      <c r="C253" s="59"/>
      <c r="D253" s="60"/>
      <c r="E253" s="80"/>
      <c r="F253" s="81"/>
      <c r="G253" s="81"/>
      <c r="H253" s="53"/>
      <c r="I253" s="75"/>
      <c r="J253" s="75"/>
      <c r="K253" s="206" t="s">
        <v>951</v>
      </c>
      <c r="L253" s="207" t="s">
        <v>952</v>
      </c>
      <c r="M253" s="206" t="s">
        <v>34</v>
      </c>
      <c r="N253" s="208">
        <v>4</v>
      </c>
      <c r="O253" s="210">
        <v>1709</v>
      </c>
      <c r="P253" s="210">
        <f t="shared" si="3"/>
        <v>6836</v>
      </c>
      <c r="Q253" s="62"/>
    </row>
    <row r="254" spans="1:17" ht="15.75" x14ac:dyDescent="0.25">
      <c r="A254" s="58"/>
      <c r="B254" s="59"/>
      <c r="C254" s="59"/>
      <c r="D254" s="60"/>
      <c r="E254" s="80"/>
      <c r="F254" s="81"/>
      <c r="G254" s="81"/>
      <c r="H254" s="53"/>
      <c r="I254" s="75"/>
      <c r="J254" s="75"/>
      <c r="K254" s="206" t="s">
        <v>219</v>
      </c>
      <c r="L254" s="207" t="s">
        <v>220</v>
      </c>
      <c r="M254" s="206" t="s">
        <v>34</v>
      </c>
      <c r="N254" s="208">
        <v>9</v>
      </c>
      <c r="O254" s="210">
        <v>51.854693877551021</v>
      </c>
      <c r="P254" s="210">
        <f t="shared" si="3"/>
        <v>466.6922448979592</v>
      </c>
      <c r="Q254" s="62"/>
    </row>
    <row r="255" spans="1:17" ht="15.75" x14ac:dyDescent="0.25">
      <c r="A255" s="58"/>
      <c r="B255" s="59"/>
      <c r="C255" s="59"/>
      <c r="D255" s="60"/>
      <c r="E255" s="80"/>
      <c r="F255" s="81"/>
      <c r="G255" s="81"/>
      <c r="H255" s="53"/>
      <c r="I255" s="75"/>
      <c r="J255" s="75"/>
      <c r="K255" s="206" t="s">
        <v>1131</v>
      </c>
      <c r="L255" s="207" t="s">
        <v>1132</v>
      </c>
      <c r="M255" s="206" t="s">
        <v>34</v>
      </c>
      <c r="N255" s="208">
        <v>3</v>
      </c>
      <c r="O255" s="210">
        <v>494.16</v>
      </c>
      <c r="P255" s="210">
        <f t="shared" si="3"/>
        <v>1482.48</v>
      </c>
      <c r="Q255" s="62"/>
    </row>
    <row r="256" spans="1:17" ht="15.75" x14ac:dyDescent="0.25">
      <c r="A256" s="58"/>
      <c r="B256" s="59"/>
      <c r="C256" s="59"/>
      <c r="D256" s="60"/>
      <c r="E256" s="80"/>
      <c r="F256" s="81"/>
      <c r="G256" s="81"/>
      <c r="H256" s="53"/>
      <c r="I256" s="75"/>
      <c r="J256" s="75"/>
      <c r="K256" s="206" t="s">
        <v>510</v>
      </c>
      <c r="L256" s="207" t="s">
        <v>953</v>
      </c>
      <c r="M256" s="206" t="s">
        <v>34</v>
      </c>
      <c r="N256" s="208">
        <v>3</v>
      </c>
      <c r="O256" s="210">
        <v>168.30434782608697</v>
      </c>
      <c r="P256" s="210">
        <f t="shared" si="3"/>
        <v>504.91304347826087</v>
      </c>
      <c r="Q256" s="62"/>
    </row>
    <row r="257" spans="1:17" ht="15.75" x14ac:dyDescent="0.25">
      <c r="A257" s="58"/>
      <c r="B257" s="59"/>
      <c r="C257" s="59"/>
      <c r="D257" s="60"/>
      <c r="E257" s="80"/>
      <c r="F257" s="81"/>
      <c r="G257" s="81"/>
      <c r="H257" s="53"/>
      <c r="I257" s="75"/>
      <c r="J257" s="75"/>
      <c r="K257" s="206" t="s">
        <v>1133</v>
      </c>
      <c r="L257" s="207" t="s">
        <v>1134</v>
      </c>
      <c r="M257" s="206" t="s">
        <v>34</v>
      </c>
      <c r="N257" s="208">
        <v>14</v>
      </c>
      <c r="O257" s="210">
        <v>648.20416666666665</v>
      </c>
      <c r="P257" s="210">
        <f t="shared" si="3"/>
        <v>9074.8583333333336</v>
      </c>
      <c r="Q257" s="62"/>
    </row>
    <row r="258" spans="1:17" ht="15.75" x14ac:dyDescent="0.25">
      <c r="A258" s="58"/>
      <c r="B258" s="59"/>
      <c r="C258" s="59"/>
      <c r="D258" s="60"/>
      <c r="E258" s="80"/>
      <c r="F258" s="81"/>
      <c r="G258" s="81"/>
      <c r="H258" s="53"/>
      <c r="I258" s="75"/>
      <c r="J258" s="75"/>
      <c r="K258" s="206" t="s">
        <v>970</v>
      </c>
      <c r="L258" s="207" t="s">
        <v>978</v>
      </c>
      <c r="M258" s="206" t="s">
        <v>34</v>
      </c>
      <c r="N258" s="208">
        <v>1</v>
      </c>
      <c r="O258" s="210">
        <v>56.348333333333329</v>
      </c>
      <c r="P258" s="210">
        <f t="shared" si="3"/>
        <v>56.348333333333329</v>
      </c>
      <c r="Q258" s="62"/>
    </row>
    <row r="259" spans="1:17" ht="15.75" x14ac:dyDescent="0.25">
      <c r="A259" s="58"/>
      <c r="B259" s="59"/>
      <c r="C259" s="59"/>
      <c r="D259" s="60"/>
      <c r="E259" s="80"/>
      <c r="F259" s="81"/>
      <c r="G259" s="81"/>
      <c r="H259" s="53"/>
      <c r="I259" s="75"/>
      <c r="J259" s="75"/>
      <c r="K259" s="206" t="s">
        <v>1135</v>
      </c>
      <c r="L259" s="207" t="s">
        <v>1136</v>
      </c>
      <c r="M259" s="206" t="s">
        <v>34</v>
      </c>
      <c r="N259" s="208">
        <v>1</v>
      </c>
      <c r="O259" s="210">
        <v>105.82857142857142</v>
      </c>
      <c r="P259" s="210">
        <f t="shared" si="3"/>
        <v>105.82857142857142</v>
      </c>
      <c r="Q259" s="62"/>
    </row>
    <row r="260" spans="1:17" ht="15.75" x14ac:dyDescent="0.25">
      <c r="A260" s="58"/>
      <c r="B260" s="59"/>
      <c r="C260" s="59"/>
      <c r="D260" s="60"/>
      <c r="E260" s="80"/>
      <c r="F260" s="81"/>
      <c r="G260" s="81"/>
      <c r="H260" s="53"/>
      <c r="I260" s="75"/>
      <c r="J260" s="75"/>
      <c r="K260" s="206" t="s">
        <v>1137</v>
      </c>
      <c r="L260" s="207" t="s">
        <v>1138</v>
      </c>
      <c r="M260" s="206" t="s">
        <v>34</v>
      </c>
      <c r="N260" s="208">
        <v>1</v>
      </c>
      <c r="O260" s="210">
        <v>287</v>
      </c>
      <c r="P260" s="210">
        <f t="shared" si="3"/>
        <v>287</v>
      </c>
      <c r="Q260" s="62"/>
    </row>
    <row r="261" spans="1:17" ht="15.75" x14ac:dyDescent="0.25">
      <c r="A261" s="58"/>
      <c r="B261" s="59"/>
      <c r="C261" s="59"/>
      <c r="D261" s="60"/>
      <c r="E261" s="80"/>
      <c r="F261" s="81"/>
      <c r="G261" s="81"/>
      <c r="H261" s="53"/>
      <c r="I261" s="75"/>
      <c r="J261" s="75"/>
      <c r="K261" s="206" t="s">
        <v>469</v>
      </c>
      <c r="L261" s="207" t="s">
        <v>470</v>
      </c>
      <c r="M261" s="206" t="s">
        <v>34</v>
      </c>
      <c r="N261" s="208">
        <v>1</v>
      </c>
      <c r="O261" s="209">
        <v>24.400000000000002</v>
      </c>
      <c r="P261" s="210">
        <f t="shared" si="3"/>
        <v>24.400000000000002</v>
      </c>
      <c r="Q261" s="62"/>
    </row>
    <row r="262" spans="1:17" ht="15.75" x14ac:dyDescent="0.25">
      <c r="A262" s="58"/>
      <c r="B262" s="59"/>
      <c r="C262" s="59"/>
      <c r="D262" s="60"/>
      <c r="E262" s="80"/>
      <c r="F262" s="81"/>
      <c r="G262" s="81"/>
      <c r="H262" s="53"/>
      <c r="I262" s="75"/>
      <c r="J262" s="75"/>
      <c r="K262" s="206">
        <v>95</v>
      </c>
      <c r="L262" s="207" t="s">
        <v>1139</v>
      </c>
      <c r="M262" s="206" t="s">
        <v>34</v>
      </c>
      <c r="N262" s="208">
        <v>1</v>
      </c>
      <c r="O262" s="209">
        <v>27.3</v>
      </c>
      <c r="P262" s="210">
        <f t="shared" si="3"/>
        <v>27.3</v>
      </c>
      <c r="Q262" s="62"/>
    </row>
    <row r="263" spans="1:17" ht="15.75" x14ac:dyDescent="0.25">
      <c r="A263" s="58"/>
      <c r="B263" s="59"/>
      <c r="C263" s="59"/>
      <c r="D263" s="60"/>
      <c r="E263" s="80"/>
      <c r="F263" s="81"/>
      <c r="G263" s="81"/>
      <c r="H263" s="53"/>
      <c r="I263" s="75"/>
      <c r="J263" s="75"/>
      <c r="K263" s="206">
        <v>282</v>
      </c>
      <c r="L263" s="207" t="s">
        <v>1140</v>
      </c>
      <c r="M263" s="206" t="s">
        <v>34</v>
      </c>
      <c r="N263" s="208">
        <v>1</v>
      </c>
      <c r="O263" s="209">
        <v>31.7</v>
      </c>
      <c r="P263" s="210">
        <f t="shared" si="3"/>
        <v>31.7</v>
      </c>
      <c r="Q263" s="62"/>
    </row>
    <row r="264" spans="1:17" ht="15.75" x14ac:dyDescent="0.25">
      <c r="A264" s="58"/>
      <c r="B264" s="59"/>
      <c r="C264" s="59"/>
      <c r="D264" s="60"/>
      <c r="E264" s="80"/>
      <c r="F264" s="81"/>
      <c r="G264" s="81"/>
      <c r="H264" s="53"/>
      <c r="I264" s="75"/>
      <c r="J264" s="75"/>
      <c r="K264" s="206">
        <v>100</v>
      </c>
      <c r="L264" s="207" t="s">
        <v>472</v>
      </c>
      <c r="M264" s="206" t="s">
        <v>34</v>
      </c>
      <c r="N264" s="208">
        <v>7</v>
      </c>
      <c r="O264" s="209">
        <v>7.7</v>
      </c>
      <c r="P264" s="210">
        <f t="shared" si="3"/>
        <v>53.9</v>
      </c>
      <c r="Q264" s="62"/>
    </row>
    <row r="265" spans="1:17" ht="15.75" x14ac:dyDescent="0.25">
      <c r="A265" s="58"/>
      <c r="B265" s="59"/>
      <c r="C265" s="59"/>
      <c r="D265" s="60"/>
      <c r="E265" s="80"/>
      <c r="F265" s="81"/>
      <c r="G265" s="81"/>
      <c r="H265" s="53"/>
      <c r="I265" s="75"/>
      <c r="J265" s="75"/>
      <c r="K265" s="206">
        <v>101</v>
      </c>
      <c r="L265" s="207" t="s">
        <v>473</v>
      </c>
      <c r="M265" s="206" t="s">
        <v>34</v>
      </c>
      <c r="N265" s="208">
        <v>5</v>
      </c>
      <c r="O265" s="209">
        <v>69.400000000000006</v>
      </c>
      <c r="P265" s="210">
        <f t="shared" si="3"/>
        <v>347</v>
      </c>
      <c r="Q265" s="62"/>
    </row>
    <row r="266" spans="1:17" ht="30" x14ac:dyDescent="0.25">
      <c r="A266" s="58"/>
      <c r="B266" s="59"/>
      <c r="C266" s="59"/>
      <c r="D266" s="60"/>
      <c r="E266" s="80"/>
      <c r="F266" s="81"/>
      <c r="G266" s="81"/>
      <c r="H266" s="53"/>
      <c r="I266" s="75"/>
      <c r="J266" s="75"/>
      <c r="K266" s="222">
        <v>21710</v>
      </c>
      <c r="L266" s="223" t="s">
        <v>1141</v>
      </c>
      <c r="M266" s="222" t="s">
        <v>34</v>
      </c>
      <c r="N266" s="220">
        <v>1</v>
      </c>
      <c r="O266" s="224">
        <v>57.1</v>
      </c>
      <c r="P266" s="210">
        <f t="shared" si="3"/>
        <v>57.1</v>
      </c>
      <c r="Q266" s="62"/>
    </row>
    <row r="267" spans="1:17" ht="15.75" x14ac:dyDescent="0.25">
      <c r="A267" s="58"/>
      <c r="B267" s="59"/>
      <c r="C267" s="59"/>
      <c r="D267" s="60"/>
      <c r="E267" s="80"/>
      <c r="F267" s="81"/>
      <c r="G267" s="81"/>
      <c r="H267" s="53"/>
      <c r="I267" s="75"/>
      <c r="J267" s="75"/>
      <c r="K267" s="206">
        <v>19399</v>
      </c>
      <c r="L267" s="207" t="s">
        <v>1142</v>
      </c>
      <c r="M267" s="206" t="s">
        <v>39</v>
      </c>
      <c r="N267" s="208">
        <v>4.5</v>
      </c>
      <c r="O267" s="210">
        <v>30915.886763580718</v>
      </c>
      <c r="P267" s="210">
        <f t="shared" si="3"/>
        <v>139121.49043611324</v>
      </c>
      <c r="Q267" s="62"/>
    </row>
    <row r="268" spans="1:17" ht="15.75" x14ac:dyDescent="0.25">
      <c r="A268" s="58"/>
      <c r="B268" s="59"/>
      <c r="C268" s="59"/>
      <c r="D268" s="60"/>
      <c r="E268" s="80"/>
      <c r="F268" s="81"/>
      <c r="G268" s="81"/>
      <c r="H268" s="53"/>
      <c r="I268" s="75"/>
      <c r="J268" s="75"/>
      <c r="K268" s="206" t="s">
        <v>1143</v>
      </c>
      <c r="L268" s="207" t="s">
        <v>1144</v>
      </c>
      <c r="M268" s="206" t="s">
        <v>39</v>
      </c>
      <c r="N268" s="208">
        <v>6.6279260200419562E-2</v>
      </c>
      <c r="O268" s="209">
        <v>28808.47457627119</v>
      </c>
      <c r="P268" s="210">
        <f t="shared" si="3"/>
        <v>1909.40438241785</v>
      </c>
      <c r="Q268" s="62"/>
    </row>
    <row r="269" spans="1:17" ht="15.75" x14ac:dyDescent="0.25">
      <c r="A269" s="58"/>
      <c r="B269" s="59"/>
      <c r="C269" s="59"/>
      <c r="D269" s="60"/>
      <c r="E269" s="80"/>
      <c r="F269" s="81"/>
      <c r="G269" s="81"/>
      <c r="H269" s="53"/>
      <c r="I269" s="75"/>
      <c r="J269" s="75"/>
      <c r="K269" s="206" t="s">
        <v>521</v>
      </c>
      <c r="L269" s="207" t="s">
        <v>522</v>
      </c>
      <c r="M269" s="206" t="s">
        <v>39</v>
      </c>
      <c r="N269" s="208">
        <v>0.20763756938493022</v>
      </c>
      <c r="O269" s="209">
        <v>30991.091073038777</v>
      </c>
      <c r="P269" s="210">
        <f t="shared" si="3"/>
        <v>6434.9148229927805</v>
      </c>
      <c r="Q269" s="62"/>
    </row>
    <row r="270" spans="1:17" ht="15.75" x14ac:dyDescent="0.25">
      <c r="A270" s="58"/>
      <c r="B270" s="59"/>
      <c r="C270" s="59"/>
      <c r="D270" s="60"/>
      <c r="E270" s="80"/>
      <c r="F270" s="81"/>
      <c r="G270" s="81"/>
      <c r="H270" s="53"/>
      <c r="I270" s="75"/>
      <c r="J270" s="75"/>
      <c r="K270" s="206" t="s">
        <v>1145</v>
      </c>
      <c r="L270" s="207" t="s">
        <v>1146</v>
      </c>
      <c r="M270" s="206" t="s">
        <v>39</v>
      </c>
      <c r="N270" s="211">
        <v>0.28084432288313377</v>
      </c>
      <c r="O270" s="209">
        <v>29943.440000000002</v>
      </c>
      <c r="P270" s="210">
        <f t="shared" si="3"/>
        <v>8409.4451315917431</v>
      </c>
      <c r="Q270" s="62"/>
    </row>
    <row r="271" spans="1:17" ht="15.75" x14ac:dyDescent="0.25">
      <c r="A271" s="58"/>
      <c r="B271" s="59"/>
      <c r="C271" s="59"/>
      <c r="D271" s="60"/>
      <c r="E271" s="80"/>
      <c r="F271" s="81"/>
      <c r="G271" s="81"/>
      <c r="H271" s="53"/>
      <c r="I271" s="75"/>
      <c r="J271" s="75"/>
      <c r="K271" s="206" t="s">
        <v>1147</v>
      </c>
      <c r="L271" s="207" t="s">
        <v>1148</v>
      </c>
      <c r="M271" s="206" t="s">
        <v>39</v>
      </c>
      <c r="N271" s="208">
        <v>3.4450236940331072E-2</v>
      </c>
      <c r="O271" s="210">
        <v>29200</v>
      </c>
      <c r="P271" s="210">
        <f t="shared" si="3"/>
        <v>1005.9469186576673</v>
      </c>
      <c r="Q271" s="62"/>
    </row>
    <row r="272" spans="1:17" ht="15.75" x14ac:dyDescent="0.25">
      <c r="A272" s="58"/>
      <c r="B272" s="59"/>
      <c r="C272" s="59"/>
      <c r="D272" s="60"/>
      <c r="E272" s="80"/>
      <c r="F272" s="81"/>
      <c r="G272" s="81"/>
      <c r="H272" s="53"/>
      <c r="I272" s="75"/>
      <c r="J272" s="75"/>
      <c r="K272" s="206">
        <v>17316</v>
      </c>
      <c r="L272" s="207" t="s">
        <v>1149</v>
      </c>
      <c r="M272" s="206" t="s">
        <v>39</v>
      </c>
      <c r="N272" s="208">
        <v>0.28926965256962772</v>
      </c>
      <c r="O272" s="209">
        <v>30861.061488673138</v>
      </c>
      <c r="P272" s="210">
        <f t="shared" si="3"/>
        <v>8927.1685347583971</v>
      </c>
      <c r="Q272" s="62"/>
    </row>
    <row r="273" spans="1:17" ht="15.75" x14ac:dyDescent="0.25">
      <c r="A273" s="58"/>
      <c r="B273" s="59"/>
      <c r="C273" s="59"/>
      <c r="D273" s="60"/>
      <c r="E273" s="80"/>
      <c r="F273" s="81"/>
      <c r="G273" s="81"/>
      <c r="H273" s="53"/>
      <c r="I273" s="75"/>
      <c r="J273" s="75"/>
      <c r="K273" s="206" t="s">
        <v>1150</v>
      </c>
      <c r="L273" s="207" t="s">
        <v>1149</v>
      </c>
      <c r="M273" s="206" t="s">
        <v>57</v>
      </c>
      <c r="N273" s="208">
        <v>15</v>
      </c>
      <c r="O273" s="209">
        <v>100.75794871794872</v>
      </c>
      <c r="P273" s="210">
        <f t="shared" si="3"/>
        <v>1511.3692307692309</v>
      </c>
      <c r="Q273" s="62"/>
    </row>
    <row r="274" spans="1:17" ht="15.75" x14ac:dyDescent="0.25">
      <c r="A274" s="58"/>
      <c r="B274" s="59"/>
      <c r="C274" s="59"/>
      <c r="D274" s="60"/>
      <c r="E274" s="80"/>
      <c r="F274" s="81"/>
      <c r="G274" s="81"/>
      <c r="H274" s="53"/>
      <c r="I274" s="75"/>
      <c r="J274" s="75"/>
      <c r="K274" s="206" t="s">
        <v>38</v>
      </c>
      <c r="L274" s="207" t="s">
        <v>100</v>
      </c>
      <c r="M274" s="206" t="s">
        <v>37</v>
      </c>
      <c r="N274" s="208">
        <v>201</v>
      </c>
      <c r="O274" s="210">
        <v>70.003258845437614</v>
      </c>
      <c r="P274" s="210">
        <f t="shared" si="3"/>
        <v>14070.65502793296</v>
      </c>
      <c r="Q274" s="62"/>
    </row>
    <row r="275" spans="1:17" ht="15.75" x14ac:dyDescent="0.25">
      <c r="A275" s="58"/>
      <c r="B275" s="59"/>
      <c r="C275" s="59"/>
      <c r="D275" s="60"/>
      <c r="E275" s="80"/>
      <c r="F275" s="81"/>
      <c r="G275" s="81"/>
      <c r="H275" s="53"/>
      <c r="I275" s="75"/>
      <c r="J275" s="75"/>
      <c r="K275" s="206" t="s">
        <v>1151</v>
      </c>
      <c r="L275" s="207" t="s">
        <v>100</v>
      </c>
      <c r="M275" s="206" t="s">
        <v>39</v>
      </c>
      <c r="N275" s="208">
        <v>0.27616358416841486</v>
      </c>
      <c r="O275" s="209">
        <v>31447.233898305083</v>
      </c>
      <c r="P275" s="210">
        <f t="shared" si="3"/>
        <v>8684.5808255384054</v>
      </c>
      <c r="Q275" s="62"/>
    </row>
    <row r="276" spans="1:17" ht="15.75" x14ac:dyDescent="0.25">
      <c r="A276" s="58"/>
      <c r="B276" s="59"/>
      <c r="C276" s="59"/>
      <c r="D276" s="60"/>
      <c r="E276" s="80"/>
      <c r="F276" s="81"/>
      <c r="G276" s="81"/>
      <c r="H276" s="53"/>
      <c r="I276" s="75"/>
      <c r="J276" s="75"/>
      <c r="K276" s="206" t="s">
        <v>1152</v>
      </c>
      <c r="L276" s="207" t="s">
        <v>1153</v>
      </c>
      <c r="M276" s="206" t="s">
        <v>39</v>
      </c>
      <c r="N276" s="208">
        <v>4.2875566626825082E-2</v>
      </c>
      <c r="O276" s="210">
        <v>31212.838427947598</v>
      </c>
      <c r="P276" s="210">
        <f t="shared" ref="P276:P337" si="4">O276*N276</f>
        <v>1338.2681336297935</v>
      </c>
      <c r="Q276" s="62"/>
    </row>
    <row r="277" spans="1:17" ht="15.75" x14ac:dyDescent="0.25">
      <c r="A277" s="58"/>
      <c r="B277" s="59"/>
      <c r="C277" s="59"/>
      <c r="D277" s="60"/>
      <c r="E277" s="80"/>
      <c r="F277" s="81"/>
      <c r="G277" s="81"/>
      <c r="H277" s="53"/>
      <c r="I277" s="75"/>
      <c r="J277" s="75"/>
      <c r="K277" s="206" t="s">
        <v>1154</v>
      </c>
      <c r="L277" s="207" t="s">
        <v>1155</v>
      </c>
      <c r="M277" s="206" t="s">
        <v>63</v>
      </c>
      <c r="N277" s="208">
        <v>3.1267334614322226E-2</v>
      </c>
      <c r="O277" s="209">
        <v>29776.287425149701</v>
      </c>
      <c r="P277" s="210">
        <f t="shared" si="4"/>
        <v>931.02514249439093</v>
      </c>
      <c r="Q277" s="62"/>
    </row>
    <row r="278" spans="1:17" ht="15.75" x14ac:dyDescent="0.25">
      <c r="A278" s="58"/>
      <c r="B278" s="59"/>
      <c r="C278" s="59"/>
      <c r="D278" s="60"/>
      <c r="E278" s="80"/>
      <c r="F278" s="81"/>
      <c r="G278" s="81"/>
      <c r="H278" s="53"/>
      <c r="I278" s="75"/>
      <c r="J278" s="75"/>
      <c r="K278" s="206" t="s">
        <v>231</v>
      </c>
      <c r="L278" s="207" t="s">
        <v>232</v>
      </c>
      <c r="M278" s="206" t="s">
        <v>37</v>
      </c>
      <c r="N278" s="208">
        <v>392</v>
      </c>
      <c r="O278" s="209">
        <v>92.971179560649475</v>
      </c>
      <c r="P278" s="210">
        <f t="shared" si="4"/>
        <v>36444.702387774596</v>
      </c>
      <c r="Q278" s="62"/>
    </row>
    <row r="279" spans="1:17" ht="15.75" x14ac:dyDescent="0.25">
      <c r="A279" s="58"/>
      <c r="B279" s="59"/>
      <c r="C279" s="59"/>
      <c r="D279" s="60"/>
      <c r="E279" s="80"/>
      <c r="F279" s="81"/>
      <c r="G279" s="81"/>
      <c r="H279" s="53"/>
      <c r="I279" s="75"/>
      <c r="J279" s="75"/>
      <c r="K279" s="206">
        <v>22300</v>
      </c>
      <c r="L279" s="207" t="s">
        <v>1156</v>
      </c>
      <c r="M279" s="206" t="s">
        <v>39</v>
      </c>
      <c r="N279" s="208">
        <v>2.5337774810516325</v>
      </c>
      <c r="O279" s="210">
        <v>30822.51607182443</v>
      </c>
      <c r="P279" s="210">
        <f t="shared" si="4"/>
        <v>78097.397132140759</v>
      </c>
      <c r="Q279" s="62"/>
    </row>
    <row r="280" spans="1:17" ht="15.75" x14ac:dyDescent="0.25">
      <c r="A280" s="58"/>
      <c r="B280" s="59"/>
      <c r="C280" s="59"/>
      <c r="D280" s="60"/>
      <c r="E280" s="80"/>
      <c r="F280" s="81"/>
      <c r="G280" s="81"/>
      <c r="H280" s="53"/>
      <c r="I280" s="75"/>
      <c r="J280" s="75"/>
      <c r="K280" s="206" t="s">
        <v>1157</v>
      </c>
      <c r="L280" s="207" t="s">
        <v>1158</v>
      </c>
      <c r="M280" s="206" t="s">
        <v>39</v>
      </c>
      <c r="N280" s="208">
        <v>5.3547650896384164E-2</v>
      </c>
      <c r="O280" s="209">
        <v>28318.776223776225</v>
      </c>
      <c r="P280" s="210">
        <f t="shared" si="4"/>
        <v>1516.4039430435935</v>
      </c>
      <c r="Q280" s="62"/>
    </row>
    <row r="281" spans="1:17" ht="30" x14ac:dyDescent="0.25">
      <c r="A281" s="58"/>
      <c r="B281" s="59"/>
      <c r="C281" s="59"/>
      <c r="D281" s="60"/>
      <c r="E281" s="80"/>
      <c r="F281" s="81"/>
      <c r="G281" s="81"/>
      <c r="H281" s="53"/>
      <c r="I281" s="75"/>
      <c r="J281" s="75"/>
      <c r="K281" s="206">
        <v>17565</v>
      </c>
      <c r="L281" s="207" t="s">
        <v>1159</v>
      </c>
      <c r="M281" s="206" t="s">
        <v>63</v>
      </c>
      <c r="N281" s="208">
        <v>1.310606840121291E-2</v>
      </c>
      <c r="O281" s="209">
        <v>31639.857142857138</v>
      </c>
      <c r="P281" s="210">
        <f t="shared" si="4"/>
        <v>414.67413191889051</v>
      </c>
      <c r="Q281" s="62"/>
    </row>
    <row r="282" spans="1:17" ht="15.75" x14ac:dyDescent="0.25">
      <c r="A282" s="58"/>
      <c r="B282" s="59"/>
      <c r="C282" s="59"/>
      <c r="D282" s="60"/>
      <c r="E282" s="80"/>
      <c r="F282" s="81"/>
      <c r="G282" s="81"/>
      <c r="H282" s="53"/>
      <c r="I282" s="75"/>
      <c r="J282" s="75"/>
      <c r="K282" s="206" t="s">
        <v>1160</v>
      </c>
      <c r="L282" s="207" t="s">
        <v>1161</v>
      </c>
      <c r="M282" s="206" t="s">
        <v>37</v>
      </c>
      <c r="N282" s="208">
        <v>1</v>
      </c>
      <c r="O282" s="210">
        <v>166.46</v>
      </c>
      <c r="P282" s="210">
        <f t="shared" si="4"/>
        <v>166.46</v>
      </c>
      <c r="Q282" s="62"/>
    </row>
    <row r="283" spans="1:17" ht="15.75" x14ac:dyDescent="0.25">
      <c r="A283" s="58"/>
      <c r="B283" s="59"/>
      <c r="C283" s="59"/>
      <c r="D283" s="60"/>
      <c r="E283" s="80"/>
      <c r="F283" s="81"/>
      <c r="G283" s="81"/>
      <c r="H283" s="53"/>
      <c r="I283" s="75"/>
      <c r="J283" s="75"/>
      <c r="K283" s="206" t="s">
        <v>1162</v>
      </c>
      <c r="L283" s="207" t="s">
        <v>1163</v>
      </c>
      <c r="M283" s="206" t="s">
        <v>39</v>
      </c>
      <c r="N283" s="208">
        <v>4.1190500689526274E-3</v>
      </c>
      <c r="O283" s="209">
        <v>28296.363636363636</v>
      </c>
      <c r="P283" s="210">
        <f t="shared" si="4"/>
        <v>116.55413858747225</v>
      </c>
      <c r="Q283" s="62"/>
    </row>
    <row r="284" spans="1:17" ht="15.75" x14ac:dyDescent="0.25">
      <c r="A284" s="58"/>
      <c r="B284" s="59"/>
      <c r="C284" s="59"/>
      <c r="D284" s="60"/>
      <c r="E284" s="80"/>
      <c r="F284" s="81"/>
      <c r="G284" s="81"/>
      <c r="H284" s="53"/>
      <c r="I284" s="75"/>
      <c r="J284" s="75"/>
      <c r="K284" s="206" t="s">
        <v>475</v>
      </c>
      <c r="L284" s="207" t="s">
        <v>476</v>
      </c>
      <c r="M284" s="206" t="s">
        <v>34</v>
      </c>
      <c r="N284" s="208">
        <v>5</v>
      </c>
      <c r="O284" s="210">
        <v>275.86</v>
      </c>
      <c r="P284" s="210">
        <f t="shared" si="4"/>
        <v>1379.3000000000002</v>
      </c>
      <c r="Q284" s="62"/>
    </row>
    <row r="285" spans="1:17" ht="15.75" x14ac:dyDescent="0.25">
      <c r="A285" s="58"/>
      <c r="B285" s="59"/>
      <c r="C285" s="59"/>
      <c r="D285" s="60"/>
      <c r="E285" s="80"/>
      <c r="F285" s="81"/>
      <c r="G285" s="81"/>
      <c r="H285" s="53"/>
      <c r="I285" s="75"/>
      <c r="J285" s="75"/>
      <c r="K285" s="206">
        <v>15612</v>
      </c>
      <c r="L285" s="207" t="s">
        <v>1164</v>
      </c>
      <c r="M285" s="206" t="s">
        <v>39</v>
      </c>
      <c r="N285" s="208">
        <v>1.1795461561091618E-2</v>
      </c>
      <c r="O285" s="209">
        <v>32000</v>
      </c>
      <c r="P285" s="210">
        <f t="shared" si="4"/>
        <v>377.45476995493175</v>
      </c>
      <c r="Q285" s="62"/>
    </row>
    <row r="286" spans="1:17" ht="30" x14ac:dyDescent="0.25">
      <c r="A286" s="58"/>
      <c r="B286" s="59"/>
      <c r="C286" s="59"/>
      <c r="D286" s="60"/>
      <c r="E286" s="80"/>
      <c r="F286" s="81"/>
      <c r="G286" s="81"/>
      <c r="H286" s="53"/>
      <c r="I286" s="75"/>
      <c r="J286" s="75"/>
      <c r="K286" s="206" t="s">
        <v>234</v>
      </c>
      <c r="L286" s="207" t="s">
        <v>235</v>
      </c>
      <c r="M286" s="206" t="s">
        <v>34</v>
      </c>
      <c r="N286" s="208">
        <v>2</v>
      </c>
      <c r="O286" s="210">
        <v>141.34</v>
      </c>
      <c r="P286" s="210">
        <f t="shared" si="4"/>
        <v>282.68</v>
      </c>
      <c r="Q286" s="62"/>
    </row>
    <row r="287" spans="1:17" ht="15.75" x14ac:dyDescent="0.25">
      <c r="A287" s="58"/>
      <c r="B287" s="59"/>
      <c r="C287" s="59"/>
      <c r="D287" s="60"/>
      <c r="E287" s="80"/>
      <c r="F287" s="81"/>
      <c r="G287" s="81"/>
      <c r="H287" s="53"/>
      <c r="I287" s="75"/>
      <c r="J287" s="75"/>
      <c r="K287" s="206" t="s">
        <v>1165</v>
      </c>
      <c r="L287" s="207" t="s">
        <v>1166</v>
      </c>
      <c r="M287" s="206" t="s">
        <v>34</v>
      </c>
      <c r="N287" s="208">
        <v>1</v>
      </c>
      <c r="O287" s="209">
        <v>271</v>
      </c>
      <c r="P287" s="210">
        <f t="shared" si="4"/>
        <v>271</v>
      </c>
      <c r="Q287" s="62"/>
    </row>
    <row r="288" spans="1:17" ht="15.75" x14ac:dyDescent="0.25">
      <c r="A288" s="58"/>
      <c r="B288" s="59"/>
      <c r="C288" s="59"/>
      <c r="D288" s="60"/>
      <c r="E288" s="80"/>
      <c r="F288" s="81"/>
      <c r="G288" s="81"/>
      <c r="H288" s="53"/>
      <c r="I288" s="75"/>
      <c r="J288" s="75"/>
      <c r="K288" s="206" t="s">
        <v>1167</v>
      </c>
      <c r="L288" s="207" t="s">
        <v>1168</v>
      </c>
      <c r="M288" s="206" t="s">
        <v>34</v>
      </c>
      <c r="N288" s="208">
        <v>3</v>
      </c>
      <c r="O288" s="209">
        <v>410.27499999999998</v>
      </c>
      <c r="P288" s="210">
        <f t="shared" si="4"/>
        <v>1230.8249999999998</v>
      </c>
      <c r="Q288" s="62"/>
    </row>
    <row r="289" spans="1:17" ht="45" x14ac:dyDescent="0.25">
      <c r="A289" s="58"/>
      <c r="B289" s="59"/>
      <c r="C289" s="59"/>
      <c r="D289" s="60"/>
      <c r="E289" s="80"/>
      <c r="F289" s="81"/>
      <c r="G289" s="81"/>
      <c r="H289" s="53"/>
      <c r="I289" s="75"/>
      <c r="J289" s="75"/>
      <c r="K289" s="206" t="s">
        <v>238</v>
      </c>
      <c r="L289" s="207" t="s">
        <v>239</v>
      </c>
      <c r="M289" s="206" t="s">
        <v>57</v>
      </c>
      <c r="N289" s="208">
        <v>562</v>
      </c>
      <c r="O289" s="209">
        <v>7.1280000000000001</v>
      </c>
      <c r="P289" s="210">
        <f t="shared" si="4"/>
        <v>4005.9360000000001</v>
      </c>
      <c r="Q289" s="62"/>
    </row>
    <row r="290" spans="1:17" ht="15.75" x14ac:dyDescent="0.25">
      <c r="A290" s="58"/>
      <c r="B290" s="59"/>
      <c r="C290" s="59"/>
      <c r="D290" s="60"/>
      <c r="E290" s="80"/>
      <c r="F290" s="81"/>
      <c r="G290" s="81"/>
      <c r="H290" s="53"/>
      <c r="I290" s="75"/>
      <c r="J290" s="75"/>
      <c r="K290" s="206">
        <v>1914</v>
      </c>
      <c r="L290" s="207" t="s">
        <v>913</v>
      </c>
      <c r="M290" s="206" t="s">
        <v>37</v>
      </c>
      <c r="N290" s="208">
        <v>6</v>
      </c>
      <c r="O290" s="209">
        <v>28.3</v>
      </c>
      <c r="P290" s="210">
        <f t="shared" si="4"/>
        <v>169.8</v>
      </c>
      <c r="Q290" s="62"/>
    </row>
    <row r="291" spans="1:17" ht="30" x14ac:dyDescent="0.25">
      <c r="A291" s="58"/>
      <c r="B291" s="59"/>
      <c r="C291" s="59"/>
      <c r="D291" s="60"/>
      <c r="E291" s="80"/>
      <c r="F291" s="81"/>
      <c r="G291" s="81"/>
      <c r="H291" s="53"/>
      <c r="I291" s="75"/>
      <c r="J291" s="75"/>
      <c r="K291" s="206" t="s">
        <v>1169</v>
      </c>
      <c r="L291" s="207" t="s">
        <v>1170</v>
      </c>
      <c r="M291" s="206" t="s">
        <v>57</v>
      </c>
      <c r="N291" s="208">
        <v>17</v>
      </c>
      <c r="O291" s="209">
        <v>14.633333333333333</v>
      </c>
      <c r="P291" s="210">
        <f t="shared" si="4"/>
        <v>248.76666666666665</v>
      </c>
      <c r="Q291" s="62"/>
    </row>
    <row r="292" spans="1:17" ht="30" x14ac:dyDescent="0.25">
      <c r="A292" s="58"/>
      <c r="B292" s="59"/>
      <c r="C292" s="59"/>
      <c r="D292" s="60"/>
      <c r="E292" s="80"/>
      <c r="F292" s="81"/>
      <c r="G292" s="81"/>
      <c r="H292" s="53"/>
      <c r="I292" s="75"/>
      <c r="J292" s="75"/>
      <c r="K292" s="206" t="s">
        <v>1171</v>
      </c>
      <c r="L292" s="207" t="s">
        <v>1172</v>
      </c>
      <c r="M292" s="206" t="s">
        <v>57</v>
      </c>
      <c r="N292" s="208">
        <v>6</v>
      </c>
      <c r="O292" s="209">
        <v>18.8</v>
      </c>
      <c r="P292" s="210">
        <f t="shared" si="4"/>
        <v>112.80000000000001</v>
      </c>
      <c r="Q292" s="62"/>
    </row>
    <row r="293" spans="1:17" ht="30" x14ac:dyDescent="0.25">
      <c r="A293" s="58"/>
      <c r="B293" s="59"/>
      <c r="C293" s="59"/>
      <c r="D293" s="60"/>
      <c r="E293" s="80"/>
      <c r="F293" s="81"/>
      <c r="G293" s="81"/>
      <c r="H293" s="53"/>
      <c r="I293" s="75"/>
      <c r="J293" s="75"/>
      <c r="K293" s="206">
        <v>93</v>
      </c>
      <c r="L293" s="207" t="s">
        <v>1173</v>
      </c>
      <c r="M293" s="206" t="s">
        <v>34</v>
      </c>
      <c r="N293" s="208">
        <v>1</v>
      </c>
      <c r="O293" s="209">
        <v>143.65</v>
      </c>
      <c r="P293" s="210">
        <f t="shared" si="4"/>
        <v>143.65</v>
      </c>
      <c r="Q293" s="62"/>
    </row>
    <row r="294" spans="1:17" ht="30" x14ac:dyDescent="0.25">
      <c r="A294" s="58"/>
      <c r="B294" s="59"/>
      <c r="C294" s="59"/>
      <c r="D294" s="60"/>
      <c r="E294" s="80"/>
      <c r="F294" s="81"/>
      <c r="G294" s="81"/>
      <c r="H294" s="53"/>
      <c r="I294" s="75"/>
      <c r="J294" s="75"/>
      <c r="K294" s="206" t="s">
        <v>477</v>
      </c>
      <c r="L294" s="207" t="s">
        <v>478</v>
      </c>
      <c r="M294" s="206" t="s">
        <v>34</v>
      </c>
      <c r="N294" s="208">
        <v>1</v>
      </c>
      <c r="O294" s="209">
        <v>43.9</v>
      </c>
      <c r="P294" s="210">
        <f t="shared" si="4"/>
        <v>43.9</v>
      </c>
      <c r="Q294" s="62"/>
    </row>
    <row r="295" spans="1:17" ht="30" x14ac:dyDescent="0.25">
      <c r="A295" s="58"/>
      <c r="B295" s="59"/>
      <c r="C295" s="59"/>
      <c r="D295" s="60"/>
      <c r="E295" s="80"/>
      <c r="F295" s="81"/>
      <c r="G295" s="81"/>
      <c r="H295" s="53"/>
      <c r="I295" s="75"/>
      <c r="J295" s="75"/>
      <c r="K295" s="206" t="s">
        <v>479</v>
      </c>
      <c r="L295" s="207" t="s">
        <v>480</v>
      </c>
      <c r="M295" s="206" t="s">
        <v>34</v>
      </c>
      <c r="N295" s="208">
        <v>1</v>
      </c>
      <c r="O295" s="209">
        <v>73.7</v>
      </c>
      <c r="P295" s="210">
        <f t="shared" si="4"/>
        <v>73.7</v>
      </c>
      <c r="Q295" s="62"/>
    </row>
    <row r="296" spans="1:17" ht="30" x14ac:dyDescent="0.25">
      <c r="A296" s="58"/>
      <c r="B296" s="59"/>
      <c r="C296" s="59"/>
      <c r="D296" s="60"/>
      <c r="E296" s="80"/>
      <c r="F296" s="81"/>
      <c r="G296" s="81"/>
      <c r="H296" s="53"/>
      <c r="I296" s="75"/>
      <c r="J296" s="75"/>
      <c r="K296" s="206" t="s">
        <v>481</v>
      </c>
      <c r="L296" s="207" t="s">
        <v>482</v>
      </c>
      <c r="M296" s="206" t="s">
        <v>34</v>
      </c>
      <c r="N296" s="208">
        <v>1</v>
      </c>
      <c r="O296" s="209">
        <v>27.599999999999998</v>
      </c>
      <c r="P296" s="210">
        <f t="shared" si="4"/>
        <v>27.599999999999998</v>
      </c>
      <c r="Q296" s="62"/>
    </row>
    <row r="297" spans="1:17" ht="30" x14ac:dyDescent="0.25">
      <c r="A297" s="58"/>
      <c r="B297" s="59"/>
      <c r="C297" s="59"/>
      <c r="D297" s="60"/>
      <c r="E297" s="80"/>
      <c r="F297" s="81"/>
      <c r="G297" s="81"/>
      <c r="H297" s="53"/>
      <c r="I297" s="75"/>
      <c r="J297" s="75"/>
      <c r="K297" s="206">
        <v>91</v>
      </c>
      <c r="L297" s="207" t="s">
        <v>1174</v>
      </c>
      <c r="M297" s="206" t="s">
        <v>34</v>
      </c>
      <c r="N297" s="208">
        <v>3</v>
      </c>
      <c r="O297" s="209">
        <v>55</v>
      </c>
      <c r="P297" s="210">
        <f t="shared" si="4"/>
        <v>165</v>
      </c>
      <c r="Q297" s="62"/>
    </row>
    <row r="298" spans="1:17" ht="30" x14ac:dyDescent="0.25">
      <c r="A298" s="58"/>
      <c r="B298" s="59"/>
      <c r="C298" s="59"/>
      <c r="D298" s="60"/>
      <c r="E298" s="80"/>
      <c r="F298" s="81"/>
      <c r="G298" s="81"/>
      <c r="H298" s="53"/>
      <c r="I298" s="75"/>
      <c r="J298" s="75"/>
      <c r="K298" s="206">
        <v>92</v>
      </c>
      <c r="L298" s="207" t="s">
        <v>1175</v>
      </c>
      <c r="M298" s="206" t="s">
        <v>34</v>
      </c>
      <c r="N298" s="208">
        <v>1</v>
      </c>
      <c r="O298" s="209">
        <v>96.133333333333326</v>
      </c>
      <c r="P298" s="210">
        <f t="shared" si="4"/>
        <v>96.133333333333326</v>
      </c>
      <c r="Q298" s="62"/>
    </row>
    <row r="299" spans="1:17" ht="30" x14ac:dyDescent="0.25">
      <c r="A299" s="58"/>
      <c r="B299" s="59"/>
      <c r="C299" s="59"/>
      <c r="D299" s="60"/>
      <c r="E299" s="80"/>
      <c r="F299" s="81"/>
      <c r="G299" s="81"/>
      <c r="H299" s="53"/>
      <c r="I299" s="75"/>
      <c r="J299" s="75"/>
      <c r="K299" s="206">
        <v>90</v>
      </c>
      <c r="L299" s="207" t="s">
        <v>1176</v>
      </c>
      <c r="M299" s="206" t="s">
        <v>34</v>
      </c>
      <c r="N299" s="208">
        <v>3</v>
      </c>
      <c r="O299" s="209">
        <v>37.233333333333334</v>
      </c>
      <c r="P299" s="210">
        <f t="shared" si="4"/>
        <v>111.7</v>
      </c>
      <c r="Q299" s="62"/>
    </row>
    <row r="300" spans="1:17" ht="30" x14ac:dyDescent="0.25">
      <c r="A300" s="58"/>
      <c r="B300" s="59"/>
      <c r="C300" s="59"/>
      <c r="D300" s="60"/>
      <c r="E300" s="80"/>
      <c r="F300" s="81"/>
      <c r="G300" s="81"/>
      <c r="H300" s="53"/>
      <c r="I300" s="75"/>
      <c r="J300" s="75"/>
      <c r="K300" s="206">
        <v>589</v>
      </c>
      <c r="L300" s="207" t="s">
        <v>483</v>
      </c>
      <c r="M300" s="206" t="s">
        <v>57</v>
      </c>
      <c r="N300" s="208">
        <v>39</v>
      </c>
      <c r="O300" s="209">
        <v>28.70384615384615</v>
      </c>
      <c r="P300" s="210">
        <f t="shared" si="4"/>
        <v>1119.4499999999998</v>
      </c>
      <c r="Q300" s="62"/>
    </row>
    <row r="301" spans="1:17" ht="15.75" x14ac:dyDescent="0.25">
      <c r="A301" s="58"/>
      <c r="B301" s="59"/>
      <c r="C301" s="59"/>
      <c r="D301" s="60"/>
      <c r="E301" s="80"/>
      <c r="F301" s="81"/>
      <c r="G301" s="81"/>
      <c r="H301" s="53"/>
      <c r="I301" s="75"/>
      <c r="J301" s="75"/>
      <c r="K301" s="206" t="s">
        <v>1177</v>
      </c>
      <c r="L301" s="207" t="s">
        <v>1178</v>
      </c>
      <c r="M301" s="206" t="s">
        <v>39</v>
      </c>
      <c r="N301" s="208">
        <v>1.4978363887100467E-2</v>
      </c>
      <c r="O301" s="209">
        <v>28229.624999999996</v>
      </c>
      <c r="P301" s="210">
        <f t="shared" si="4"/>
        <v>422.83359564638846</v>
      </c>
      <c r="Q301" s="62"/>
    </row>
    <row r="302" spans="1:17" ht="15.75" x14ac:dyDescent="0.25">
      <c r="A302" s="58"/>
      <c r="B302" s="59"/>
      <c r="C302" s="59"/>
      <c r="D302" s="60"/>
      <c r="E302" s="80"/>
      <c r="F302" s="81"/>
      <c r="G302" s="81"/>
      <c r="H302" s="53"/>
      <c r="I302" s="75"/>
      <c r="J302" s="75"/>
      <c r="K302" s="206" t="s">
        <v>488</v>
      </c>
      <c r="L302" s="207" t="s">
        <v>489</v>
      </c>
      <c r="M302" s="206" t="s">
        <v>34</v>
      </c>
      <c r="N302" s="208">
        <v>2</v>
      </c>
      <c r="O302" s="209">
        <v>824.19999999999993</v>
      </c>
      <c r="P302" s="210">
        <f t="shared" si="4"/>
        <v>1648.3999999999999</v>
      </c>
      <c r="Q302" s="62"/>
    </row>
    <row r="303" spans="1:17" ht="15.75" x14ac:dyDescent="0.25">
      <c r="A303" s="58"/>
      <c r="B303" s="59"/>
      <c r="C303" s="59"/>
      <c r="D303" s="60"/>
      <c r="E303" s="80"/>
      <c r="F303" s="81"/>
      <c r="G303" s="81"/>
      <c r="H303" s="53"/>
      <c r="I303" s="75"/>
      <c r="J303" s="75"/>
      <c r="K303" s="206">
        <v>396</v>
      </c>
      <c r="L303" s="207" t="s">
        <v>105</v>
      </c>
      <c r="M303" s="206" t="s">
        <v>34</v>
      </c>
      <c r="N303" s="208">
        <v>1872</v>
      </c>
      <c r="O303" s="210">
        <v>0.54268000000000005</v>
      </c>
      <c r="P303" s="210">
        <f t="shared" si="4"/>
        <v>1015.8969600000001</v>
      </c>
      <c r="Q303" s="62"/>
    </row>
    <row r="304" spans="1:17" ht="15.75" x14ac:dyDescent="0.25">
      <c r="A304" s="58"/>
      <c r="B304" s="59"/>
      <c r="C304" s="59"/>
      <c r="D304" s="60"/>
      <c r="E304" s="80"/>
      <c r="F304" s="81"/>
      <c r="G304" s="81"/>
      <c r="H304" s="53"/>
      <c r="I304" s="75"/>
      <c r="J304" s="75"/>
      <c r="K304" s="206">
        <v>395</v>
      </c>
      <c r="L304" s="207" t="s">
        <v>106</v>
      </c>
      <c r="M304" s="206" t="s">
        <v>34</v>
      </c>
      <c r="N304" s="208">
        <v>3089</v>
      </c>
      <c r="O304" s="210">
        <v>0.70609030303030307</v>
      </c>
      <c r="P304" s="210">
        <f t="shared" si="4"/>
        <v>2181.1129460606062</v>
      </c>
      <c r="Q304" s="62"/>
    </row>
    <row r="305" spans="1:17" ht="15.75" x14ac:dyDescent="0.25">
      <c r="A305" s="58"/>
      <c r="B305" s="59"/>
      <c r="C305" s="59"/>
      <c r="D305" s="60"/>
      <c r="E305" s="80"/>
      <c r="F305" s="81"/>
      <c r="G305" s="81"/>
      <c r="H305" s="53"/>
      <c r="I305" s="75"/>
      <c r="J305" s="75"/>
      <c r="K305" s="206" t="s">
        <v>490</v>
      </c>
      <c r="L305" s="207" t="s">
        <v>491</v>
      </c>
      <c r="M305" s="206" t="s">
        <v>34</v>
      </c>
      <c r="N305" s="208">
        <v>2</v>
      </c>
      <c r="O305" s="210">
        <v>2859.45</v>
      </c>
      <c r="P305" s="210">
        <f t="shared" si="4"/>
        <v>5718.9</v>
      </c>
      <c r="Q305" s="62"/>
    </row>
    <row r="306" spans="1:17" ht="15.75" x14ac:dyDescent="0.25">
      <c r="A306" s="58"/>
      <c r="B306" s="59"/>
      <c r="C306" s="59"/>
      <c r="D306" s="60"/>
      <c r="E306" s="80"/>
      <c r="F306" s="81"/>
      <c r="G306" s="81"/>
      <c r="H306" s="53"/>
      <c r="I306" s="75"/>
      <c r="J306" s="75"/>
      <c r="K306" s="206" t="s">
        <v>1179</v>
      </c>
      <c r="L306" s="207" t="s">
        <v>1180</v>
      </c>
      <c r="M306" s="206" t="s">
        <v>34</v>
      </c>
      <c r="N306" s="208">
        <v>1</v>
      </c>
      <c r="O306" s="210">
        <v>105.4</v>
      </c>
      <c r="P306" s="210">
        <f t="shared" si="4"/>
        <v>105.4</v>
      </c>
      <c r="Q306" s="62"/>
    </row>
    <row r="307" spans="1:17" ht="30" x14ac:dyDescent="0.25">
      <c r="A307" s="58"/>
      <c r="B307" s="59"/>
      <c r="C307" s="59"/>
      <c r="D307" s="60"/>
      <c r="E307" s="80"/>
      <c r="F307" s="81"/>
      <c r="G307" s="81"/>
      <c r="H307" s="53"/>
      <c r="I307" s="75"/>
      <c r="J307" s="75"/>
      <c r="K307" s="206" t="s">
        <v>965</v>
      </c>
      <c r="L307" s="207" t="s">
        <v>973</v>
      </c>
      <c r="M307" s="206" t="s">
        <v>34</v>
      </c>
      <c r="N307" s="208">
        <v>1</v>
      </c>
      <c r="O307" s="210">
        <v>176.73</v>
      </c>
      <c r="P307" s="210">
        <f t="shared" si="4"/>
        <v>176.73</v>
      </c>
      <c r="Q307" s="62"/>
    </row>
    <row r="308" spans="1:17" ht="30" x14ac:dyDescent="0.25">
      <c r="A308" s="58"/>
      <c r="B308" s="59"/>
      <c r="C308" s="59"/>
      <c r="D308" s="60"/>
      <c r="E308" s="80"/>
      <c r="F308" s="81"/>
      <c r="G308" s="81"/>
      <c r="H308" s="53"/>
      <c r="I308" s="75"/>
      <c r="J308" s="75"/>
      <c r="K308" s="206">
        <v>357</v>
      </c>
      <c r="L308" s="207" t="s">
        <v>1181</v>
      </c>
      <c r="M308" s="206" t="s">
        <v>34</v>
      </c>
      <c r="N308" s="208">
        <v>3</v>
      </c>
      <c r="O308" s="209">
        <v>43.800000000000004</v>
      </c>
      <c r="P308" s="210">
        <f t="shared" si="4"/>
        <v>131.4</v>
      </c>
      <c r="Q308" s="62"/>
    </row>
    <row r="309" spans="1:17" ht="15.75" x14ac:dyDescent="0.25">
      <c r="A309" s="58"/>
      <c r="B309" s="59"/>
      <c r="C309" s="59"/>
      <c r="D309" s="60"/>
      <c r="E309" s="80"/>
      <c r="F309" s="81"/>
      <c r="G309" s="81"/>
      <c r="H309" s="53"/>
      <c r="I309" s="75"/>
      <c r="J309" s="75"/>
      <c r="K309" s="206" t="s">
        <v>954</v>
      </c>
      <c r="L309" s="207" t="s">
        <v>1182</v>
      </c>
      <c r="M309" s="206" t="s">
        <v>34</v>
      </c>
      <c r="N309" s="208">
        <v>1</v>
      </c>
      <c r="O309" s="209">
        <v>12575.79</v>
      </c>
      <c r="P309" s="210">
        <f t="shared" si="4"/>
        <v>12575.79</v>
      </c>
      <c r="Q309" s="62"/>
    </row>
    <row r="310" spans="1:17" ht="30" x14ac:dyDescent="0.25">
      <c r="A310" s="58"/>
      <c r="B310" s="59"/>
      <c r="C310" s="59"/>
      <c r="D310" s="60"/>
      <c r="E310" s="80"/>
      <c r="F310" s="81"/>
      <c r="G310" s="81"/>
      <c r="H310" s="53"/>
      <c r="I310" s="75"/>
      <c r="J310" s="75"/>
      <c r="K310" s="206">
        <v>104</v>
      </c>
      <c r="L310" s="207" t="s">
        <v>494</v>
      </c>
      <c r="M310" s="206" t="s">
        <v>34</v>
      </c>
      <c r="N310" s="208">
        <v>46</v>
      </c>
      <c r="O310" s="209">
        <v>2.2971659919028338</v>
      </c>
      <c r="P310" s="210">
        <f t="shared" si="4"/>
        <v>105.66963562753035</v>
      </c>
      <c r="Q310" s="62"/>
    </row>
    <row r="311" spans="1:17" ht="30" x14ac:dyDescent="0.25">
      <c r="A311" s="58"/>
      <c r="B311" s="59"/>
      <c r="C311" s="59"/>
      <c r="D311" s="60"/>
      <c r="E311" s="80"/>
      <c r="F311" s="81"/>
      <c r="G311" s="81"/>
      <c r="H311" s="53"/>
      <c r="I311" s="75"/>
      <c r="J311" s="75"/>
      <c r="K311" s="206">
        <v>21695</v>
      </c>
      <c r="L311" s="207" t="s">
        <v>1183</v>
      </c>
      <c r="M311" s="206" t="s">
        <v>34</v>
      </c>
      <c r="N311" s="208">
        <v>1</v>
      </c>
      <c r="O311" s="209">
        <v>109.7</v>
      </c>
      <c r="P311" s="210">
        <f t="shared" si="4"/>
        <v>109.7</v>
      </c>
      <c r="Q311" s="62"/>
    </row>
    <row r="312" spans="1:17" ht="15.75" x14ac:dyDescent="0.25">
      <c r="A312" s="58"/>
      <c r="B312" s="59"/>
      <c r="C312" s="59"/>
      <c r="D312" s="60"/>
      <c r="E312" s="80"/>
      <c r="F312" s="81"/>
      <c r="G312" s="81"/>
      <c r="H312" s="53"/>
      <c r="I312" s="75"/>
      <c r="J312" s="75"/>
      <c r="K312" s="206">
        <v>1551</v>
      </c>
      <c r="L312" s="207" t="s">
        <v>1184</v>
      </c>
      <c r="M312" s="206" t="s">
        <v>34</v>
      </c>
      <c r="N312" s="208">
        <v>0</v>
      </c>
      <c r="O312" s="209">
        <v>274.06</v>
      </c>
      <c r="P312" s="210">
        <f t="shared" si="4"/>
        <v>0</v>
      </c>
      <c r="Q312" s="62"/>
    </row>
    <row r="313" spans="1:17" ht="30" x14ac:dyDescent="0.25">
      <c r="A313" s="58"/>
      <c r="B313" s="59"/>
      <c r="C313" s="59"/>
      <c r="D313" s="60"/>
      <c r="E313" s="80"/>
      <c r="F313" s="81"/>
      <c r="G313" s="81"/>
      <c r="H313" s="53"/>
      <c r="I313" s="75"/>
      <c r="J313" s="75"/>
      <c r="K313" s="206" t="s">
        <v>47</v>
      </c>
      <c r="L313" s="207" t="s">
        <v>108</v>
      </c>
      <c r="M313" s="206" t="s">
        <v>34</v>
      </c>
      <c r="N313" s="208">
        <v>32</v>
      </c>
      <c r="O313" s="209">
        <v>5506.4507428571433</v>
      </c>
      <c r="P313" s="210">
        <f t="shared" si="4"/>
        <v>176206.42377142858</v>
      </c>
      <c r="Q313" s="62"/>
    </row>
    <row r="314" spans="1:17" ht="15.75" x14ac:dyDescent="0.25">
      <c r="A314" s="58"/>
      <c r="B314" s="59"/>
      <c r="C314" s="59"/>
      <c r="D314" s="60"/>
      <c r="E314" s="80"/>
      <c r="F314" s="81"/>
      <c r="G314" s="81"/>
      <c r="H314" s="53"/>
      <c r="I314" s="75"/>
      <c r="J314" s="75"/>
      <c r="K314" s="206">
        <v>5781</v>
      </c>
      <c r="L314" s="207" t="s">
        <v>1185</v>
      </c>
      <c r="M314" s="206" t="s">
        <v>34</v>
      </c>
      <c r="N314" s="208">
        <v>131</v>
      </c>
      <c r="O314" s="210">
        <v>0.65</v>
      </c>
      <c r="P314" s="210">
        <f t="shared" si="4"/>
        <v>85.15</v>
      </c>
      <c r="Q314" s="62"/>
    </row>
    <row r="315" spans="1:17" ht="15.75" x14ac:dyDescent="0.25">
      <c r="A315" s="58"/>
      <c r="B315" s="59"/>
      <c r="C315" s="59"/>
      <c r="D315" s="60"/>
      <c r="E315" s="80"/>
      <c r="F315" s="81"/>
      <c r="G315" s="81"/>
      <c r="H315" s="53"/>
      <c r="I315" s="75"/>
      <c r="J315" s="75"/>
      <c r="K315" s="206">
        <v>5782</v>
      </c>
      <c r="L315" s="207" t="s">
        <v>955</v>
      </c>
      <c r="M315" s="206" t="s">
        <v>34</v>
      </c>
      <c r="N315" s="208">
        <v>187</v>
      </c>
      <c r="O315" s="209">
        <v>1.2749999999999999</v>
      </c>
      <c r="P315" s="210">
        <f t="shared" si="4"/>
        <v>238.42499999999998</v>
      </c>
      <c r="Q315" s="62"/>
    </row>
    <row r="316" spans="1:17" ht="15.75" x14ac:dyDescent="0.25">
      <c r="A316" s="58"/>
      <c r="B316" s="59"/>
      <c r="C316" s="59"/>
      <c r="D316" s="60"/>
      <c r="E316" s="80"/>
      <c r="F316" s="81"/>
      <c r="G316" s="81"/>
      <c r="H316" s="53"/>
      <c r="I316" s="75"/>
      <c r="J316" s="75"/>
      <c r="K316" s="206" t="s">
        <v>956</v>
      </c>
      <c r="L316" s="207" t="s">
        <v>957</v>
      </c>
      <c r="M316" s="206" t="s">
        <v>34</v>
      </c>
      <c r="N316" s="208">
        <v>75</v>
      </c>
      <c r="O316" s="209">
        <v>1.85</v>
      </c>
      <c r="P316" s="210">
        <f t="shared" si="4"/>
        <v>138.75</v>
      </c>
      <c r="Q316" s="62"/>
    </row>
    <row r="317" spans="1:17" ht="15.75" x14ac:dyDescent="0.25">
      <c r="A317" s="58"/>
      <c r="B317" s="59"/>
      <c r="C317" s="59"/>
      <c r="D317" s="60"/>
      <c r="E317" s="80"/>
      <c r="F317" s="81"/>
      <c r="G317" s="81"/>
      <c r="H317" s="53"/>
      <c r="I317" s="75"/>
      <c r="J317" s="75"/>
      <c r="K317" s="206" t="s">
        <v>1186</v>
      </c>
      <c r="L317" s="207" t="s">
        <v>1187</v>
      </c>
      <c r="M317" s="206" t="s">
        <v>34</v>
      </c>
      <c r="N317" s="208">
        <v>150</v>
      </c>
      <c r="O317" s="209">
        <v>0.7</v>
      </c>
      <c r="P317" s="210">
        <f t="shared" si="4"/>
        <v>105</v>
      </c>
      <c r="Q317" s="62"/>
    </row>
    <row r="318" spans="1:17" ht="15.6" customHeight="1" x14ac:dyDescent="0.25">
      <c r="A318" s="58"/>
      <c r="B318" s="59"/>
      <c r="C318" s="59"/>
      <c r="D318" s="60"/>
      <c r="E318" s="80"/>
      <c r="F318" s="81"/>
      <c r="G318" s="81"/>
      <c r="H318" s="53"/>
      <c r="I318" s="75"/>
      <c r="J318" s="75"/>
      <c r="K318" s="206" t="s">
        <v>958</v>
      </c>
      <c r="L318" s="207" t="s">
        <v>959</v>
      </c>
      <c r="M318" s="206" t="s">
        <v>34</v>
      </c>
      <c r="N318" s="208">
        <v>4</v>
      </c>
      <c r="O318" s="209">
        <v>2625</v>
      </c>
      <c r="P318" s="210">
        <f t="shared" si="4"/>
        <v>10500</v>
      </c>
      <c r="Q318" s="62"/>
    </row>
    <row r="319" spans="1:17" ht="15.75" x14ac:dyDescent="0.25">
      <c r="A319" s="58"/>
      <c r="B319" s="59"/>
      <c r="C319" s="59"/>
      <c r="D319" s="60"/>
      <c r="E319" s="80"/>
      <c r="F319" s="81"/>
      <c r="G319" s="81"/>
      <c r="H319" s="53"/>
      <c r="I319" s="75"/>
      <c r="J319" s="75"/>
      <c r="K319" s="206" t="s">
        <v>960</v>
      </c>
      <c r="L319" s="207" t="s">
        <v>961</v>
      </c>
      <c r="M319" s="206" t="s">
        <v>34</v>
      </c>
      <c r="N319" s="208">
        <v>4</v>
      </c>
      <c r="O319" s="209">
        <v>2515.1937499999999</v>
      </c>
      <c r="P319" s="210">
        <f t="shared" si="4"/>
        <v>10060.775</v>
      </c>
      <c r="Q319" s="62"/>
    </row>
    <row r="320" spans="1:17" ht="15.75" x14ac:dyDescent="0.25">
      <c r="A320" s="58"/>
      <c r="B320" s="59"/>
      <c r="C320" s="59"/>
      <c r="D320" s="60"/>
      <c r="E320" s="80"/>
      <c r="F320" s="81"/>
      <c r="G320" s="81"/>
      <c r="H320" s="53"/>
      <c r="I320" s="75"/>
      <c r="J320" s="75"/>
      <c r="K320" s="206" t="s">
        <v>497</v>
      </c>
      <c r="L320" s="207" t="s">
        <v>498</v>
      </c>
      <c r="M320" s="206" t="s">
        <v>34</v>
      </c>
      <c r="N320" s="208">
        <v>1</v>
      </c>
      <c r="O320" s="209">
        <v>9215</v>
      </c>
      <c r="P320" s="210">
        <f t="shared" si="4"/>
        <v>9215</v>
      </c>
      <c r="Q320" s="62"/>
    </row>
    <row r="321" spans="1:17" ht="15.75" x14ac:dyDescent="0.25">
      <c r="A321" s="58"/>
      <c r="B321" s="59"/>
      <c r="C321" s="59"/>
      <c r="D321" s="60"/>
      <c r="E321" s="80"/>
      <c r="F321" s="81"/>
      <c r="G321" s="81"/>
      <c r="H321" s="53"/>
      <c r="I321" s="75"/>
      <c r="J321" s="75"/>
      <c r="K321" s="206" t="s">
        <v>499</v>
      </c>
      <c r="L321" s="207" t="s">
        <v>500</v>
      </c>
      <c r="M321" s="206" t="s">
        <v>34</v>
      </c>
      <c r="N321" s="211">
        <v>1</v>
      </c>
      <c r="O321" s="209">
        <v>10169</v>
      </c>
      <c r="P321" s="210">
        <f t="shared" si="4"/>
        <v>10169</v>
      </c>
      <c r="Q321" s="62"/>
    </row>
    <row r="322" spans="1:17" ht="15.75" x14ac:dyDescent="0.25">
      <c r="A322" s="58"/>
      <c r="B322" s="59"/>
      <c r="C322" s="59"/>
      <c r="D322" s="60"/>
      <c r="E322" s="80"/>
      <c r="F322" s="81"/>
      <c r="G322" s="81"/>
      <c r="H322" s="53"/>
      <c r="I322" s="75"/>
      <c r="J322" s="75"/>
      <c r="K322" s="206" t="s">
        <v>1188</v>
      </c>
      <c r="L322" s="207" t="s">
        <v>1189</v>
      </c>
      <c r="M322" s="206" t="s">
        <v>34</v>
      </c>
      <c r="N322" s="208">
        <v>1</v>
      </c>
      <c r="O322" s="209">
        <v>4222</v>
      </c>
      <c r="P322" s="210">
        <f t="shared" si="4"/>
        <v>4222</v>
      </c>
      <c r="Q322" s="62"/>
    </row>
    <row r="323" spans="1:17" ht="15.75" x14ac:dyDescent="0.25">
      <c r="A323" s="58"/>
      <c r="B323" s="59"/>
      <c r="C323" s="59"/>
      <c r="D323" s="60"/>
      <c r="E323" s="80"/>
      <c r="F323" s="81"/>
      <c r="G323" s="81"/>
      <c r="H323" s="53"/>
      <c r="I323" s="75"/>
      <c r="J323" s="75"/>
      <c r="K323" s="206">
        <v>15090</v>
      </c>
      <c r="L323" s="207" t="s">
        <v>501</v>
      </c>
      <c r="M323" s="206" t="s">
        <v>34</v>
      </c>
      <c r="N323" s="211">
        <v>4</v>
      </c>
      <c r="O323" s="209">
        <v>36.081250000000004</v>
      </c>
      <c r="P323" s="210">
        <f t="shared" si="4"/>
        <v>144.32500000000002</v>
      </c>
      <c r="Q323" s="62"/>
    </row>
    <row r="324" spans="1:17" ht="15.75" x14ac:dyDescent="0.25">
      <c r="A324" s="58"/>
      <c r="B324" s="59"/>
      <c r="C324" s="59"/>
      <c r="D324" s="60"/>
      <c r="E324" s="80"/>
      <c r="F324" s="81"/>
      <c r="G324" s="81"/>
      <c r="H324" s="53"/>
      <c r="I324" s="75"/>
      <c r="J324" s="75"/>
      <c r="K324" s="206" t="s">
        <v>1190</v>
      </c>
      <c r="L324" s="207" t="s">
        <v>1191</v>
      </c>
      <c r="M324" s="206" t="s">
        <v>34</v>
      </c>
      <c r="N324" s="208">
        <v>3</v>
      </c>
      <c r="O324" s="209">
        <v>36.080714285714286</v>
      </c>
      <c r="P324" s="210">
        <f t="shared" si="4"/>
        <v>108.24214285714285</v>
      </c>
      <c r="Q324" s="62"/>
    </row>
    <row r="325" spans="1:17" ht="15.75" x14ac:dyDescent="0.25">
      <c r="A325" s="58"/>
      <c r="B325" s="59"/>
      <c r="C325" s="59"/>
      <c r="D325" s="60"/>
      <c r="E325" s="80"/>
      <c r="F325" s="81"/>
      <c r="G325" s="81"/>
      <c r="H325" s="53"/>
      <c r="I325" s="75"/>
      <c r="J325" s="75"/>
      <c r="K325" s="206" t="s">
        <v>1192</v>
      </c>
      <c r="L325" s="207" t="s">
        <v>1193</v>
      </c>
      <c r="M325" s="206" t="s">
        <v>37</v>
      </c>
      <c r="N325" s="208">
        <v>4</v>
      </c>
      <c r="O325" s="209">
        <v>24.369999999999997</v>
      </c>
      <c r="P325" s="210">
        <f t="shared" si="4"/>
        <v>97.47999999999999</v>
      </c>
      <c r="Q325" s="62"/>
    </row>
    <row r="326" spans="1:17" ht="15.75" x14ac:dyDescent="0.25">
      <c r="A326" s="58"/>
      <c r="B326" s="59"/>
      <c r="C326" s="59"/>
      <c r="D326" s="60"/>
      <c r="E326" s="80"/>
      <c r="F326" s="81"/>
      <c r="G326" s="81"/>
      <c r="H326" s="53"/>
      <c r="I326" s="75"/>
      <c r="J326" s="75"/>
      <c r="K326" s="206" t="s">
        <v>1194</v>
      </c>
      <c r="L326" s="207" t="s">
        <v>1195</v>
      </c>
      <c r="M326" s="206" t="s">
        <v>37</v>
      </c>
      <c r="N326" s="208">
        <v>9</v>
      </c>
      <c r="O326" s="209">
        <v>36</v>
      </c>
      <c r="P326" s="210">
        <f t="shared" si="4"/>
        <v>324</v>
      </c>
      <c r="Q326" s="62"/>
    </row>
    <row r="327" spans="1:17" ht="15.75" x14ac:dyDescent="0.25">
      <c r="A327" s="58"/>
      <c r="B327" s="59"/>
      <c r="C327" s="59"/>
      <c r="D327" s="60"/>
      <c r="E327" s="80"/>
      <c r="F327" s="81"/>
      <c r="G327" s="81"/>
      <c r="H327" s="53"/>
      <c r="I327" s="75"/>
      <c r="J327" s="75"/>
      <c r="K327" s="206" t="s">
        <v>1196</v>
      </c>
      <c r="L327" s="207" t="s">
        <v>1197</v>
      </c>
      <c r="M327" s="206" t="s">
        <v>34</v>
      </c>
      <c r="N327" s="208">
        <v>1</v>
      </c>
      <c r="O327" s="210">
        <v>142.5</v>
      </c>
      <c r="P327" s="210">
        <f t="shared" si="4"/>
        <v>142.5</v>
      </c>
      <c r="Q327" s="62"/>
    </row>
    <row r="328" spans="1:17" ht="15.75" x14ac:dyDescent="0.25">
      <c r="A328" s="58"/>
      <c r="B328" s="59"/>
      <c r="C328" s="59"/>
      <c r="D328" s="60"/>
      <c r="E328" s="80"/>
      <c r="F328" s="81"/>
      <c r="G328" s="81"/>
      <c r="H328" s="53"/>
      <c r="I328" s="75"/>
      <c r="J328" s="75"/>
      <c r="K328" s="206" t="s">
        <v>504</v>
      </c>
      <c r="L328" s="207" t="s">
        <v>505</v>
      </c>
      <c r="M328" s="206" t="s">
        <v>34</v>
      </c>
      <c r="N328" s="208">
        <v>9</v>
      </c>
      <c r="O328" s="209">
        <v>2257.1666666666665</v>
      </c>
      <c r="P328" s="210">
        <f t="shared" si="4"/>
        <v>20314.5</v>
      </c>
      <c r="Q328" s="62"/>
    </row>
    <row r="329" spans="1:17" ht="15.75" x14ac:dyDescent="0.25">
      <c r="A329" s="58"/>
      <c r="B329" s="59"/>
      <c r="C329" s="59"/>
      <c r="D329" s="60"/>
      <c r="E329" s="80"/>
      <c r="F329" s="81"/>
      <c r="G329" s="81"/>
      <c r="H329" s="53"/>
      <c r="I329" s="75"/>
      <c r="J329" s="75"/>
      <c r="K329" s="206">
        <v>3039</v>
      </c>
      <c r="L329" s="207" t="s">
        <v>1198</v>
      </c>
      <c r="M329" s="206" t="s">
        <v>63</v>
      </c>
      <c r="N329" s="208">
        <v>5.6168864576626749E-3</v>
      </c>
      <c r="O329" s="209">
        <v>29583.666666666668</v>
      </c>
      <c r="P329" s="210">
        <f t="shared" si="4"/>
        <v>166.16809666800668</v>
      </c>
      <c r="Q329" s="62"/>
    </row>
    <row r="330" spans="1:17" ht="15.75" x14ac:dyDescent="0.25">
      <c r="A330" s="58"/>
      <c r="B330" s="59"/>
      <c r="C330" s="59"/>
      <c r="D330" s="60"/>
      <c r="E330" s="80"/>
      <c r="F330" s="81"/>
      <c r="G330" s="81"/>
      <c r="H330" s="53"/>
      <c r="I330" s="75"/>
      <c r="J330" s="75"/>
      <c r="K330" s="206" t="s">
        <v>1199</v>
      </c>
      <c r="L330" s="207" t="s">
        <v>1200</v>
      </c>
      <c r="M330" s="206" t="s">
        <v>34</v>
      </c>
      <c r="N330" s="208">
        <v>374</v>
      </c>
      <c r="O330" s="209">
        <v>0.24255000000000002</v>
      </c>
      <c r="P330" s="210">
        <f t="shared" si="4"/>
        <v>90.713700000000003</v>
      </c>
      <c r="Q330" s="62"/>
    </row>
    <row r="331" spans="1:17" ht="15.75" x14ac:dyDescent="0.25">
      <c r="A331" s="58"/>
      <c r="B331" s="59"/>
      <c r="C331" s="59"/>
      <c r="D331" s="60"/>
      <c r="E331" s="80"/>
      <c r="F331" s="81"/>
      <c r="G331" s="81"/>
      <c r="H331" s="53"/>
      <c r="I331" s="75"/>
      <c r="J331" s="75"/>
      <c r="K331" s="206">
        <v>4659</v>
      </c>
      <c r="L331" s="207" t="s">
        <v>109</v>
      </c>
      <c r="M331" s="206" t="s">
        <v>34</v>
      </c>
      <c r="N331" s="208">
        <v>936</v>
      </c>
      <c r="O331" s="209">
        <v>0.25578000000000001</v>
      </c>
      <c r="P331" s="210">
        <f t="shared" si="4"/>
        <v>239.41007999999999</v>
      </c>
      <c r="Q331" s="62"/>
    </row>
    <row r="332" spans="1:17" ht="15.75" x14ac:dyDescent="0.25">
      <c r="A332" s="58"/>
      <c r="B332" s="59"/>
      <c r="C332" s="59"/>
      <c r="D332" s="60"/>
      <c r="E332" s="80"/>
      <c r="F332" s="81"/>
      <c r="G332" s="81"/>
      <c r="H332" s="53"/>
      <c r="I332" s="75"/>
      <c r="J332" s="75"/>
      <c r="K332" s="206" t="s">
        <v>1201</v>
      </c>
      <c r="L332" s="207" t="s">
        <v>1202</v>
      </c>
      <c r="M332" s="206" t="s">
        <v>34</v>
      </c>
      <c r="N332" s="208">
        <v>2247</v>
      </c>
      <c r="O332" s="210">
        <v>0.441</v>
      </c>
      <c r="P332" s="210">
        <f t="shared" si="4"/>
        <v>990.92700000000002</v>
      </c>
      <c r="Q332" s="62"/>
    </row>
    <row r="333" spans="1:17" ht="15.75" x14ac:dyDescent="0.25">
      <c r="A333" s="58"/>
      <c r="B333" s="59"/>
      <c r="C333" s="59"/>
      <c r="D333" s="60"/>
      <c r="E333" s="80"/>
      <c r="F333" s="81"/>
      <c r="G333" s="81"/>
      <c r="H333" s="53"/>
      <c r="I333" s="75"/>
      <c r="J333" s="75"/>
      <c r="K333" s="206">
        <v>2054</v>
      </c>
      <c r="L333" s="207" t="s">
        <v>507</v>
      </c>
      <c r="M333" s="206" t="s">
        <v>34</v>
      </c>
      <c r="N333" s="208">
        <v>6179</v>
      </c>
      <c r="O333" s="210">
        <v>0.11711000000000001</v>
      </c>
      <c r="P333" s="210">
        <f t="shared" si="4"/>
        <v>723.62269000000003</v>
      </c>
      <c r="Q333" s="62"/>
    </row>
    <row r="334" spans="1:17" ht="30" x14ac:dyDescent="0.25">
      <c r="A334" s="58"/>
      <c r="B334" s="59"/>
      <c r="C334" s="59"/>
      <c r="D334" s="60"/>
      <c r="E334" s="80"/>
      <c r="F334" s="81"/>
      <c r="G334" s="81"/>
      <c r="H334" s="53"/>
      <c r="I334" s="75"/>
      <c r="J334" s="75"/>
      <c r="K334" s="206" t="s">
        <v>1203</v>
      </c>
      <c r="L334" s="207" t="s">
        <v>1204</v>
      </c>
      <c r="M334" s="206" t="s">
        <v>64</v>
      </c>
      <c r="N334" s="208">
        <v>1</v>
      </c>
      <c r="O334" s="209">
        <v>147.02000000000001</v>
      </c>
      <c r="P334" s="210">
        <f t="shared" si="4"/>
        <v>147.02000000000001</v>
      </c>
      <c r="Q334" s="62"/>
    </row>
    <row r="335" spans="1:17" ht="15.75" x14ac:dyDescent="0.25">
      <c r="A335" s="58"/>
      <c r="B335" s="59"/>
      <c r="C335" s="59"/>
      <c r="D335" s="60"/>
      <c r="E335" s="80"/>
      <c r="F335" s="81"/>
      <c r="G335" s="81"/>
      <c r="H335" s="53"/>
      <c r="I335" s="75"/>
      <c r="J335" s="75"/>
      <c r="K335" s="206" t="s">
        <v>740</v>
      </c>
      <c r="L335" s="207" t="s">
        <v>745</v>
      </c>
      <c r="M335" s="206" t="s">
        <v>1207</v>
      </c>
      <c r="N335" s="208">
        <v>0.20389297841315507</v>
      </c>
      <c r="O335" s="210">
        <v>3194.1781450872363</v>
      </c>
      <c r="P335" s="210">
        <f t="shared" si="4"/>
        <v>651.2704955840436</v>
      </c>
      <c r="Q335" s="62"/>
    </row>
    <row r="336" spans="1:17" ht="15.75" x14ac:dyDescent="0.25">
      <c r="A336" s="58"/>
      <c r="B336" s="59"/>
      <c r="C336" s="59"/>
      <c r="D336" s="60"/>
      <c r="E336" s="80"/>
      <c r="F336" s="81"/>
      <c r="G336" s="81"/>
      <c r="H336" s="53"/>
      <c r="I336" s="75"/>
      <c r="J336" s="75"/>
      <c r="K336" s="206" t="s">
        <v>1205</v>
      </c>
      <c r="L336" s="207" t="s">
        <v>1206</v>
      </c>
      <c r="M336" s="206" t="s">
        <v>1207</v>
      </c>
      <c r="N336" s="208">
        <v>0.20389297841315507</v>
      </c>
      <c r="O336" s="210">
        <v>2272.727272727273</v>
      </c>
      <c r="P336" s="210">
        <f t="shared" si="4"/>
        <v>463.39313275717063</v>
      </c>
      <c r="Q336" s="62"/>
    </row>
    <row r="337" spans="1:17" ht="16.5" thickBot="1" x14ac:dyDescent="0.3">
      <c r="A337" s="58"/>
      <c r="B337" s="59"/>
      <c r="C337" s="59"/>
      <c r="D337" s="60"/>
      <c r="E337" s="80"/>
      <c r="F337" s="81"/>
      <c r="G337" s="81"/>
      <c r="H337" s="53"/>
      <c r="I337" s="75"/>
      <c r="J337" s="75"/>
      <c r="K337" s="206" t="s">
        <v>55</v>
      </c>
      <c r="L337" s="207" t="s">
        <v>110</v>
      </c>
      <c r="M337" s="206" t="s">
        <v>34</v>
      </c>
      <c r="N337" s="208">
        <v>1</v>
      </c>
      <c r="O337" s="209">
        <v>133.38</v>
      </c>
      <c r="P337" s="210">
        <f t="shared" si="4"/>
        <v>133.38</v>
      </c>
      <c r="Q337" s="62"/>
    </row>
    <row r="338" spans="1:17" ht="21" thickBot="1" x14ac:dyDescent="0.3">
      <c r="A338" s="33"/>
      <c r="B338" s="34" t="s">
        <v>23</v>
      </c>
      <c r="C338" s="36"/>
      <c r="D338" s="36"/>
      <c r="E338" s="36"/>
      <c r="F338" s="36"/>
      <c r="G338" s="36">
        <f>SUM(G20:G337)</f>
        <v>0</v>
      </c>
      <c r="H338" s="76"/>
      <c r="I338" s="76"/>
      <c r="J338" s="76"/>
      <c r="K338" s="212"/>
      <c r="L338" s="213"/>
      <c r="M338" s="213"/>
      <c r="N338" s="214"/>
      <c r="O338" s="214"/>
      <c r="P338" s="214">
        <f>SUM(P19:P337)</f>
        <v>1860999.6075829158</v>
      </c>
      <c r="Q338" s="225"/>
    </row>
    <row r="339" spans="1:17" ht="18.75" x14ac:dyDescent="0.25">
      <c r="A339" s="20"/>
      <c r="B339" s="25"/>
      <c r="C339" s="49"/>
      <c r="D339" s="49"/>
      <c r="E339" s="80"/>
      <c r="F339" s="81"/>
      <c r="G339" s="81"/>
      <c r="H339" s="54"/>
      <c r="I339" s="54"/>
      <c r="J339" s="54"/>
      <c r="K339" s="206"/>
      <c r="L339" s="207"/>
      <c r="M339" s="206"/>
      <c r="N339" s="208"/>
      <c r="O339" s="209"/>
      <c r="P339" s="210"/>
      <c r="Q339" s="24"/>
    </row>
    <row r="340" spans="1:17" ht="18.75" x14ac:dyDescent="0.25">
      <c r="A340" s="20"/>
      <c r="B340" s="25"/>
      <c r="C340" s="49"/>
      <c r="D340" s="49"/>
      <c r="E340" s="80"/>
      <c r="F340" s="81"/>
      <c r="G340" s="81"/>
      <c r="H340" s="54"/>
      <c r="I340" s="54"/>
      <c r="J340" s="54"/>
      <c r="K340" s="206"/>
      <c r="L340" s="207"/>
      <c r="M340" s="206"/>
      <c r="N340" s="208"/>
      <c r="O340" s="209"/>
      <c r="P340" s="209"/>
      <c r="Q340" s="24"/>
    </row>
    <row r="341" spans="1:17" ht="18.75" x14ac:dyDescent="0.25">
      <c r="A341" s="20"/>
      <c r="B341" s="25"/>
      <c r="C341" s="49"/>
      <c r="D341" s="49"/>
      <c r="E341" s="80"/>
      <c r="F341" s="81"/>
      <c r="G341" s="81"/>
      <c r="H341" s="54"/>
      <c r="I341" s="54"/>
      <c r="J341" s="54"/>
      <c r="K341" s="206"/>
      <c r="L341" s="207"/>
      <c r="M341" s="206"/>
      <c r="N341" s="208"/>
      <c r="O341" s="209"/>
      <c r="P341" s="209"/>
      <c r="Q341" s="24"/>
    </row>
    <row r="342" spans="1:17" ht="18.75" x14ac:dyDescent="0.25">
      <c r="A342" s="20"/>
      <c r="B342" s="25"/>
      <c r="C342" s="49"/>
      <c r="D342" s="49"/>
      <c r="E342" s="80"/>
      <c r="F342" s="81"/>
      <c r="G342" s="81"/>
      <c r="H342" s="54"/>
      <c r="I342" s="54"/>
      <c r="J342" s="54"/>
      <c r="K342" s="206"/>
      <c r="L342" s="207"/>
      <c r="M342" s="206"/>
      <c r="N342" s="208"/>
      <c r="O342" s="209"/>
      <c r="P342" s="209"/>
      <c r="Q342" s="24"/>
    </row>
    <row r="343" spans="1:17" ht="18.75" x14ac:dyDescent="0.25">
      <c r="A343" s="20"/>
      <c r="B343" s="25"/>
      <c r="C343" s="49"/>
      <c r="D343" s="49"/>
      <c r="E343" s="80"/>
      <c r="F343" s="81"/>
      <c r="G343" s="81"/>
      <c r="H343" s="54"/>
      <c r="I343" s="54"/>
      <c r="J343" s="54"/>
      <c r="K343" s="206"/>
      <c r="L343" s="207"/>
      <c r="M343" s="206"/>
      <c r="N343" s="208"/>
      <c r="O343" s="209"/>
      <c r="P343" s="209"/>
      <c r="Q343" s="24"/>
    </row>
    <row r="344" spans="1:17" ht="18.75" x14ac:dyDescent="0.25">
      <c r="A344" s="20"/>
      <c r="B344" s="25"/>
      <c r="C344" s="49"/>
      <c r="D344" s="49"/>
      <c r="E344" s="80"/>
      <c r="F344" s="81"/>
      <c r="G344" s="81"/>
      <c r="H344" s="54"/>
      <c r="I344" s="54"/>
      <c r="J344" s="54"/>
      <c r="K344" s="206"/>
      <c r="L344" s="207"/>
      <c r="M344" s="206"/>
      <c r="N344" s="208"/>
      <c r="O344" s="209"/>
      <c r="P344" s="209"/>
      <c r="Q344" s="24"/>
    </row>
    <row r="345" spans="1:17" ht="18.75" x14ac:dyDescent="0.25">
      <c r="A345" s="20"/>
      <c r="B345" s="25"/>
      <c r="C345" s="49"/>
      <c r="D345" s="49"/>
      <c r="E345" s="80"/>
      <c r="F345" s="81"/>
      <c r="G345" s="81"/>
      <c r="H345" s="54"/>
      <c r="I345" s="54"/>
      <c r="J345" s="54"/>
      <c r="K345" s="206"/>
      <c r="L345" s="207"/>
      <c r="M345" s="206"/>
      <c r="N345" s="208"/>
      <c r="O345" s="209"/>
      <c r="P345" s="209"/>
      <c r="Q345" s="24"/>
    </row>
    <row r="346" spans="1:17" ht="18.75" x14ac:dyDescent="0.25">
      <c r="A346" s="20"/>
      <c r="B346" s="25"/>
      <c r="C346" s="49"/>
      <c r="D346" s="49"/>
      <c r="E346" s="80"/>
      <c r="F346" s="81"/>
      <c r="G346" s="81"/>
      <c r="H346" s="54"/>
      <c r="I346" s="54"/>
      <c r="J346" s="54"/>
      <c r="K346" s="206"/>
      <c r="L346" s="207"/>
      <c r="M346" s="206"/>
      <c r="N346" s="208"/>
      <c r="O346" s="209"/>
      <c r="P346" s="210"/>
      <c r="Q346" s="24"/>
    </row>
    <row r="347" spans="1:17" ht="18.75" x14ac:dyDescent="0.25">
      <c r="A347" s="20"/>
      <c r="B347" s="25"/>
      <c r="C347" s="49"/>
      <c r="D347" s="49"/>
      <c r="E347" s="80"/>
      <c r="F347" s="81"/>
      <c r="G347" s="81"/>
      <c r="H347" s="54"/>
      <c r="I347" s="54"/>
      <c r="J347" s="54"/>
      <c r="K347" s="206"/>
      <c r="L347" s="207"/>
      <c r="M347" s="206"/>
      <c r="N347" s="208"/>
      <c r="O347" s="209"/>
      <c r="P347" s="209"/>
      <c r="Q347" s="24"/>
    </row>
    <row r="348" spans="1:17" ht="18.75" x14ac:dyDescent="0.25">
      <c r="A348" s="20"/>
      <c r="B348" s="25"/>
      <c r="C348" s="49"/>
      <c r="D348" s="49"/>
      <c r="E348" s="80"/>
      <c r="F348" s="81"/>
      <c r="G348" s="81"/>
      <c r="H348" s="54"/>
      <c r="I348" s="54"/>
      <c r="J348" s="54"/>
      <c r="K348" s="206"/>
      <c r="L348" s="207"/>
      <c r="M348" s="206"/>
      <c r="N348" s="208"/>
      <c r="O348" s="209"/>
      <c r="P348" s="209"/>
      <c r="Q348" s="24"/>
    </row>
    <row r="349" spans="1:17" ht="18.75" x14ac:dyDescent="0.25">
      <c r="A349" s="20"/>
      <c r="B349" s="25"/>
      <c r="C349" s="49"/>
      <c r="D349" s="49"/>
      <c r="E349" s="80"/>
      <c r="F349" s="81"/>
      <c r="G349" s="81"/>
      <c r="H349" s="54"/>
      <c r="I349" s="54"/>
      <c r="J349" s="54"/>
      <c r="K349" s="206"/>
      <c r="L349" s="207"/>
      <c r="M349" s="206"/>
      <c r="N349" s="208"/>
      <c r="O349" s="209"/>
      <c r="P349" s="209"/>
      <c r="Q349" s="24"/>
    </row>
    <row r="350" spans="1:17" ht="18.75" x14ac:dyDescent="0.25">
      <c r="A350" s="20"/>
      <c r="B350" s="25"/>
      <c r="C350" s="49"/>
      <c r="D350" s="49"/>
      <c r="E350" s="80"/>
      <c r="F350" s="81"/>
      <c r="G350" s="81"/>
      <c r="H350" s="54"/>
      <c r="I350" s="54"/>
      <c r="J350" s="54"/>
      <c r="K350" s="206"/>
      <c r="L350" s="207"/>
      <c r="M350" s="206"/>
      <c r="N350" s="208"/>
      <c r="O350" s="209"/>
      <c r="P350" s="209"/>
      <c r="Q350" s="24"/>
    </row>
    <row r="351" spans="1:17" ht="18.75" x14ac:dyDescent="0.25">
      <c r="A351" s="20"/>
      <c r="B351" s="25"/>
      <c r="C351" s="49"/>
      <c r="D351" s="49"/>
      <c r="E351" s="80"/>
      <c r="F351" s="81"/>
      <c r="G351" s="81"/>
      <c r="H351" s="54"/>
      <c r="I351" s="54"/>
      <c r="J351" s="54"/>
      <c r="K351" s="206"/>
      <c r="L351" s="207"/>
      <c r="M351" s="206"/>
      <c r="N351" s="208"/>
      <c r="O351" s="209"/>
      <c r="P351" s="210"/>
      <c r="Q351" s="24"/>
    </row>
    <row r="352" spans="1:17" ht="18.75" x14ac:dyDescent="0.25">
      <c r="A352" s="20"/>
      <c r="B352" s="25"/>
      <c r="C352" s="49"/>
      <c r="D352" s="49"/>
      <c r="E352" s="80"/>
      <c r="F352" s="81"/>
      <c r="G352" s="81"/>
      <c r="H352" s="54"/>
      <c r="I352" s="54"/>
      <c r="J352" s="54"/>
      <c r="K352" s="206"/>
      <c r="L352" s="207"/>
      <c r="M352" s="206"/>
      <c r="N352" s="208"/>
      <c r="O352" s="209"/>
      <c r="P352" s="209"/>
      <c r="Q352" s="24"/>
    </row>
    <row r="353" spans="1:17" ht="18.75" x14ac:dyDescent="0.25">
      <c r="A353" s="20"/>
      <c r="B353" s="25"/>
      <c r="C353" s="49"/>
      <c r="D353" s="49"/>
      <c r="E353" s="80"/>
      <c r="F353" s="81"/>
      <c r="G353" s="81"/>
      <c r="H353" s="54"/>
      <c r="I353" s="54"/>
      <c r="J353" s="54"/>
      <c r="K353" s="206"/>
      <c r="L353" s="207"/>
      <c r="M353" s="206"/>
      <c r="N353" s="208"/>
      <c r="O353" s="209"/>
      <c r="P353" s="209"/>
      <c r="Q353" s="24"/>
    </row>
    <row r="354" spans="1:17" ht="18.75" x14ac:dyDescent="0.25">
      <c r="A354" s="20"/>
      <c r="B354" s="25"/>
      <c r="C354" s="49"/>
      <c r="D354" s="49"/>
      <c r="E354" s="80"/>
      <c r="F354" s="81"/>
      <c r="G354" s="81"/>
      <c r="H354" s="54"/>
      <c r="I354" s="54"/>
      <c r="J354" s="54"/>
      <c r="K354" s="206"/>
      <c r="L354" s="207"/>
      <c r="M354" s="206"/>
      <c r="N354" s="208"/>
      <c r="O354" s="209"/>
      <c r="P354" s="210"/>
      <c r="Q354" s="24"/>
    </row>
    <row r="355" spans="1:17" ht="18.75" x14ac:dyDescent="0.25">
      <c r="A355" s="20"/>
      <c r="B355" s="25"/>
      <c r="C355" s="49"/>
      <c r="D355" s="49"/>
      <c r="E355" s="80"/>
      <c r="F355" s="81"/>
      <c r="G355" s="81"/>
      <c r="H355" s="54"/>
      <c r="I355" s="54"/>
      <c r="J355" s="54"/>
      <c r="K355" s="206"/>
      <c r="L355" s="207"/>
      <c r="M355" s="206"/>
      <c r="N355" s="208"/>
      <c r="O355" s="209"/>
      <c r="P355" s="209"/>
      <c r="Q355" s="24"/>
    </row>
    <row r="356" spans="1:17" ht="18.75" x14ac:dyDescent="0.25">
      <c r="A356" s="20"/>
      <c r="B356" s="25"/>
      <c r="C356" s="49"/>
      <c r="D356" s="49"/>
      <c r="E356" s="80"/>
      <c r="F356" s="81"/>
      <c r="G356" s="81"/>
      <c r="H356" s="54"/>
      <c r="I356" s="54"/>
      <c r="J356" s="54"/>
      <c r="K356" s="206"/>
      <c r="L356" s="207"/>
      <c r="M356" s="206"/>
      <c r="N356" s="208"/>
      <c r="O356" s="209"/>
      <c r="P356" s="209"/>
      <c r="Q356" s="24"/>
    </row>
    <row r="357" spans="1:17" ht="18.75" x14ac:dyDescent="0.25">
      <c r="A357" s="20"/>
      <c r="B357" s="25"/>
      <c r="C357" s="49"/>
      <c r="D357" s="49"/>
      <c r="E357" s="80"/>
      <c r="F357" s="81"/>
      <c r="G357" s="81"/>
      <c r="H357" s="54"/>
      <c r="I357" s="54"/>
      <c r="J357" s="54"/>
      <c r="K357" s="206"/>
      <c r="L357" s="207"/>
      <c r="M357" s="206"/>
      <c r="N357" s="208"/>
      <c r="O357" s="209"/>
      <c r="P357" s="209"/>
      <c r="Q357" s="24"/>
    </row>
    <row r="358" spans="1:17" ht="18.75" x14ac:dyDescent="0.25">
      <c r="A358" s="20"/>
      <c r="B358" s="25"/>
      <c r="C358" s="49"/>
      <c r="D358" s="49"/>
      <c r="E358" s="80"/>
      <c r="F358" s="81"/>
      <c r="G358" s="81"/>
      <c r="H358" s="54"/>
      <c r="I358" s="54"/>
      <c r="J358" s="54"/>
      <c r="K358" s="206"/>
      <c r="L358" s="207"/>
      <c r="M358" s="206"/>
      <c r="N358" s="208"/>
      <c r="O358" s="209"/>
      <c r="P358" s="209"/>
      <c r="Q358" s="24"/>
    </row>
    <row r="359" spans="1:17" ht="18.75" x14ac:dyDescent="0.25">
      <c r="A359" s="20"/>
      <c r="B359" s="25"/>
      <c r="C359" s="49"/>
      <c r="D359" s="49"/>
      <c r="E359" s="80"/>
      <c r="F359" s="81"/>
      <c r="G359" s="81"/>
      <c r="H359" s="54"/>
      <c r="I359" s="54"/>
      <c r="J359" s="54"/>
      <c r="K359" s="206"/>
      <c r="L359" s="207"/>
      <c r="M359" s="206"/>
      <c r="N359" s="208"/>
      <c r="O359" s="209"/>
      <c r="P359" s="209"/>
      <c r="Q359" s="24"/>
    </row>
    <row r="360" spans="1:17" ht="18.75" x14ac:dyDescent="0.25">
      <c r="A360" s="20"/>
      <c r="B360" s="25"/>
      <c r="C360" s="49"/>
      <c r="D360" s="49"/>
      <c r="E360" s="80"/>
      <c r="F360" s="81"/>
      <c r="G360" s="81"/>
      <c r="H360" s="54"/>
      <c r="I360" s="54"/>
      <c r="J360" s="54"/>
      <c r="K360" s="206"/>
      <c r="L360" s="207"/>
      <c r="M360" s="206"/>
      <c r="N360" s="208"/>
      <c r="O360" s="209"/>
      <c r="P360" s="209"/>
      <c r="Q360" s="24"/>
    </row>
    <row r="361" spans="1:17" ht="18.75" x14ac:dyDescent="0.25">
      <c r="A361" s="20"/>
      <c r="B361" s="25"/>
      <c r="C361" s="49"/>
      <c r="D361" s="49"/>
      <c r="E361" s="80"/>
      <c r="F361" s="81"/>
      <c r="G361" s="81"/>
      <c r="H361" s="54"/>
      <c r="I361" s="54"/>
      <c r="J361" s="54"/>
      <c r="K361" s="206"/>
      <c r="L361" s="207"/>
      <c r="M361" s="206"/>
      <c r="N361" s="208"/>
      <c r="O361" s="209"/>
      <c r="P361" s="210"/>
      <c r="Q361" s="24"/>
    </row>
    <row r="362" spans="1:17" ht="18.75" x14ac:dyDescent="0.25">
      <c r="A362" s="20"/>
      <c r="B362" s="25"/>
      <c r="C362" s="49"/>
      <c r="D362" s="49"/>
      <c r="E362" s="80"/>
      <c r="F362" s="81"/>
      <c r="G362" s="81"/>
      <c r="H362" s="54"/>
      <c r="I362" s="54"/>
      <c r="J362" s="54"/>
      <c r="K362" s="206"/>
      <c r="L362" s="207"/>
      <c r="M362" s="206"/>
      <c r="N362" s="208"/>
      <c r="O362" s="209"/>
      <c r="P362" s="209"/>
      <c r="Q362" s="24"/>
    </row>
    <row r="363" spans="1:17" ht="18.75" x14ac:dyDescent="0.25">
      <c r="A363" s="20"/>
      <c r="B363" s="25"/>
      <c r="C363" s="49"/>
      <c r="D363" s="49"/>
      <c r="E363" s="80"/>
      <c r="F363" s="81"/>
      <c r="G363" s="81"/>
      <c r="H363" s="54"/>
      <c r="I363" s="54"/>
      <c r="J363" s="54"/>
      <c r="K363" s="206"/>
      <c r="L363" s="207"/>
      <c r="M363" s="206"/>
      <c r="N363" s="208"/>
      <c r="O363" s="209"/>
      <c r="P363" s="209"/>
      <c r="Q363" s="24"/>
    </row>
    <row r="364" spans="1:17" ht="18.75" x14ac:dyDescent="0.25">
      <c r="A364" s="20"/>
      <c r="B364" s="25"/>
      <c r="C364" s="49"/>
      <c r="D364" s="49"/>
      <c r="E364" s="80"/>
      <c r="F364" s="81"/>
      <c r="G364" s="81"/>
      <c r="H364" s="54"/>
      <c r="I364" s="54"/>
      <c r="J364" s="54"/>
      <c r="K364" s="206"/>
      <c r="L364" s="207"/>
      <c r="M364" s="206"/>
      <c r="N364" s="208"/>
      <c r="O364" s="209"/>
      <c r="P364" s="209"/>
      <c r="Q364" s="24"/>
    </row>
    <row r="365" spans="1:17" ht="18.75" x14ac:dyDescent="0.25">
      <c r="A365" s="20"/>
      <c r="B365" s="25"/>
      <c r="C365" s="49"/>
      <c r="D365" s="49"/>
      <c r="E365" s="80"/>
      <c r="F365" s="81"/>
      <c r="G365" s="81"/>
      <c r="H365" s="54"/>
      <c r="I365" s="54"/>
      <c r="J365" s="54"/>
      <c r="K365" s="206"/>
      <c r="L365" s="207"/>
      <c r="M365" s="206"/>
      <c r="N365" s="208"/>
      <c r="O365" s="209"/>
      <c r="P365" s="209"/>
      <c r="Q365" s="24"/>
    </row>
    <row r="366" spans="1:17" ht="18.75" x14ac:dyDescent="0.25">
      <c r="A366" s="20"/>
      <c r="B366" s="25"/>
      <c r="C366" s="49"/>
      <c r="D366" s="49"/>
      <c r="E366" s="80"/>
      <c r="F366" s="81"/>
      <c r="G366" s="81"/>
      <c r="H366" s="54"/>
      <c r="I366" s="54"/>
      <c r="J366" s="54"/>
      <c r="K366" s="206"/>
      <c r="L366" s="207"/>
      <c r="M366" s="206"/>
      <c r="N366" s="208"/>
      <c r="O366" s="209"/>
      <c r="P366" s="209"/>
      <c r="Q366" s="24"/>
    </row>
    <row r="367" spans="1:17" ht="18.75" x14ac:dyDescent="0.25">
      <c r="A367" s="20"/>
      <c r="B367" s="25"/>
      <c r="C367" s="49"/>
      <c r="D367" s="49"/>
      <c r="E367" s="80"/>
      <c r="F367" s="81"/>
      <c r="G367" s="81"/>
      <c r="H367" s="54"/>
      <c r="I367" s="54"/>
      <c r="J367" s="54"/>
      <c r="K367" s="206"/>
      <c r="L367" s="207"/>
      <c r="M367" s="206"/>
      <c r="N367" s="208"/>
      <c r="O367" s="209"/>
      <c r="P367" s="209"/>
      <c r="Q367" s="24"/>
    </row>
    <row r="368" spans="1:17" ht="18.75" x14ac:dyDescent="0.25">
      <c r="A368" s="20"/>
      <c r="B368" s="25"/>
      <c r="C368" s="49"/>
      <c r="D368" s="49"/>
      <c r="E368" s="80"/>
      <c r="F368" s="81"/>
      <c r="G368" s="81"/>
      <c r="H368" s="54"/>
      <c r="I368" s="54"/>
      <c r="J368" s="54"/>
      <c r="K368" s="206"/>
      <c r="L368" s="207"/>
      <c r="M368" s="206"/>
      <c r="N368" s="208"/>
      <c r="O368" s="209"/>
      <c r="P368" s="209"/>
      <c r="Q368" s="24"/>
    </row>
    <row r="369" spans="1:17" ht="18.75" x14ac:dyDescent="0.25">
      <c r="A369" s="20"/>
      <c r="B369" s="25"/>
      <c r="C369" s="49"/>
      <c r="D369" s="49"/>
      <c r="E369" s="80"/>
      <c r="F369" s="81"/>
      <c r="G369" s="81"/>
      <c r="H369" s="54"/>
      <c r="I369" s="54"/>
      <c r="J369" s="54"/>
      <c r="K369" s="206"/>
      <c r="L369" s="207"/>
      <c r="M369" s="206"/>
      <c r="N369" s="208"/>
      <c r="O369" s="209"/>
      <c r="P369" s="210"/>
      <c r="Q369" s="24"/>
    </row>
    <row r="370" spans="1:17" ht="18.75" x14ac:dyDescent="0.25">
      <c r="A370" s="20"/>
      <c r="B370" s="25"/>
      <c r="C370" s="49"/>
      <c r="D370" s="49"/>
      <c r="E370" s="80"/>
      <c r="F370" s="81"/>
      <c r="G370" s="81"/>
      <c r="H370" s="54"/>
      <c r="I370" s="54"/>
      <c r="J370" s="54"/>
      <c r="K370" s="206"/>
      <c r="L370" s="207"/>
      <c r="M370" s="206"/>
      <c r="N370" s="208"/>
      <c r="O370" s="209"/>
      <c r="P370" s="209"/>
      <c r="Q370" s="24"/>
    </row>
    <row r="371" spans="1:17" ht="18.75" x14ac:dyDescent="0.25">
      <c r="A371" s="20"/>
      <c r="B371" s="25"/>
      <c r="C371" s="49"/>
      <c r="D371" s="49"/>
      <c r="E371" s="80"/>
      <c r="F371" s="81"/>
      <c r="G371" s="81"/>
      <c r="H371" s="54"/>
      <c r="I371" s="54"/>
      <c r="J371" s="54"/>
      <c r="K371" s="206"/>
      <c r="L371" s="207"/>
      <c r="M371" s="206"/>
      <c r="N371" s="208"/>
      <c r="O371" s="209"/>
      <c r="P371" s="209"/>
      <c r="Q371" s="24"/>
    </row>
    <row r="372" spans="1:17" ht="18.75" x14ac:dyDescent="0.25">
      <c r="A372" s="20"/>
      <c r="B372" s="25"/>
      <c r="C372" s="49"/>
      <c r="D372" s="49"/>
      <c r="E372" s="80"/>
      <c r="F372" s="81"/>
      <c r="G372" s="81"/>
      <c r="H372" s="54"/>
      <c r="I372" s="54"/>
      <c r="J372" s="54"/>
      <c r="K372" s="206"/>
      <c r="L372" s="207"/>
      <c r="M372" s="206"/>
      <c r="N372" s="208"/>
      <c r="O372" s="209"/>
      <c r="P372" s="209"/>
      <c r="Q372" s="24"/>
    </row>
    <row r="373" spans="1:17" ht="18.75" x14ac:dyDescent="0.25">
      <c r="A373" s="20"/>
      <c r="B373" s="25"/>
      <c r="C373" s="49"/>
      <c r="D373" s="49"/>
      <c r="E373" s="80"/>
      <c r="F373" s="81"/>
      <c r="G373" s="81"/>
      <c r="H373" s="54"/>
      <c r="I373" s="54"/>
      <c r="J373" s="54"/>
      <c r="K373" s="206"/>
      <c r="L373" s="207"/>
      <c r="M373" s="206"/>
      <c r="N373" s="208"/>
      <c r="O373" s="209"/>
      <c r="P373" s="209"/>
      <c r="Q373" s="24"/>
    </row>
    <row r="374" spans="1:17" ht="18.75" x14ac:dyDescent="0.25">
      <c r="A374" s="20"/>
      <c r="B374" s="25"/>
      <c r="C374" s="49"/>
      <c r="D374" s="49"/>
      <c r="E374" s="80"/>
      <c r="F374" s="81"/>
      <c r="G374" s="81"/>
      <c r="H374" s="54"/>
      <c r="I374" s="54"/>
      <c r="J374" s="54"/>
      <c r="K374" s="206"/>
      <c r="L374" s="207"/>
      <c r="M374" s="206"/>
      <c r="N374" s="208"/>
      <c r="O374" s="209"/>
      <c r="P374" s="209"/>
      <c r="Q374" s="24"/>
    </row>
    <row r="375" spans="1:17" ht="18.75" x14ac:dyDescent="0.25">
      <c r="A375" s="20"/>
      <c r="B375" s="25"/>
      <c r="C375" s="49"/>
      <c r="D375" s="49"/>
      <c r="E375" s="80"/>
      <c r="F375" s="81"/>
      <c r="G375" s="81"/>
      <c r="H375" s="54"/>
      <c r="I375" s="54"/>
      <c r="J375" s="54"/>
      <c r="K375" s="206"/>
      <c r="L375" s="207"/>
      <c r="M375" s="206"/>
      <c r="N375" s="208"/>
      <c r="O375" s="209"/>
      <c r="P375" s="209"/>
      <c r="Q375" s="24"/>
    </row>
    <row r="376" spans="1:17" ht="18.75" x14ac:dyDescent="0.25">
      <c r="A376" s="20"/>
      <c r="B376" s="25"/>
      <c r="C376" s="49"/>
      <c r="D376" s="49"/>
      <c r="E376" s="80"/>
      <c r="F376" s="81"/>
      <c r="G376" s="81"/>
      <c r="H376" s="54"/>
      <c r="I376" s="54"/>
      <c r="J376" s="54"/>
      <c r="K376" s="206"/>
      <c r="L376" s="207"/>
      <c r="M376" s="206"/>
      <c r="N376" s="208"/>
      <c r="O376" s="209"/>
      <c r="P376" s="209"/>
      <c r="Q376" s="24"/>
    </row>
    <row r="377" spans="1:17" ht="18.75" x14ac:dyDescent="0.25">
      <c r="A377" s="20"/>
      <c r="B377" s="25"/>
      <c r="C377" s="49"/>
      <c r="D377" s="49"/>
      <c r="E377" s="80"/>
      <c r="F377" s="81"/>
      <c r="G377" s="81"/>
      <c r="H377" s="54"/>
      <c r="I377" s="54"/>
      <c r="J377" s="54"/>
      <c r="K377" s="206"/>
      <c r="L377" s="207"/>
      <c r="M377" s="206"/>
      <c r="N377" s="208"/>
      <c r="O377" s="209"/>
      <c r="P377" s="209"/>
      <c r="Q377" s="24"/>
    </row>
    <row r="378" spans="1:17" ht="18.75" x14ac:dyDescent="0.25">
      <c r="A378" s="20"/>
      <c r="B378" s="25"/>
      <c r="C378" s="49"/>
      <c r="D378" s="49"/>
      <c r="E378" s="80"/>
      <c r="F378" s="81"/>
      <c r="G378" s="81"/>
      <c r="H378" s="54"/>
      <c r="I378" s="54"/>
      <c r="J378" s="54"/>
      <c r="K378" s="206"/>
      <c r="L378" s="207"/>
      <c r="M378" s="206"/>
      <c r="N378" s="208"/>
      <c r="O378" s="209"/>
      <c r="P378" s="209"/>
      <c r="Q378" s="24"/>
    </row>
    <row r="379" spans="1:17" ht="18.75" x14ac:dyDescent="0.25">
      <c r="A379" s="20"/>
      <c r="B379" s="25"/>
      <c r="C379" s="49"/>
      <c r="D379" s="49"/>
      <c r="E379" s="80"/>
      <c r="F379" s="81"/>
      <c r="G379" s="81"/>
      <c r="H379" s="54"/>
      <c r="I379" s="54"/>
      <c r="J379" s="54"/>
      <c r="K379" s="206"/>
      <c r="L379" s="207"/>
      <c r="M379" s="206"/>
      <c r="N379" s="208"/>
      <c r="O379" s="209"/>
      <c r="P379" s="209"/>
      <c r="Q379" s="24"/>
    </row>
    <row r="380" spans="1:17" ht="18.75" x14ac:dyDescent="0.25">
      <c r="A380" s="20"/>
      <c r="B380" s="25"/>
      <c r="C380" s="49"/>
      <c r="D380" s="49"/>
      <c r="E380" s="80"/>
      <c r="F380" s="81"/>
      <c r="G380" s="81"/>
      <c r="H380" s="54"/>
      <c r="I380" s="54"/>
      <c r="J380" s="54"/>
      <c r="K380" s="206"/>
      <c r="L380" s="207"/>
      <c r="M380" s="206"/>
      <c r="N380" s="208"/>
      <c r="O380" s="209"/>
      <c r="P380" s="209"/>
      <c r="Q380" s="24"/>
    </row>
    <row r="381" spans="1:17" ht="18.75" x14ac:dyDescent="0.25">
      <c r="A381" s="20"/>
      <c r="B381" s="25"/>
      <c r="C381" s="49"/>
      <c r="D381" s="49"/>
      <c r="E381" s="80"/>
      <c r="F381" s="81"/>
      <c r="G381" s="81"/>
      <c r="H381" s="54"/>
      <c r="I381" s="54"/>
      <c r="J381" s="54"/>
      <c r="K381" s="206"/>
      <c r="L381" s="207"/>
      <c r="M381" s="206"/>
      <c r="N381" s="208"/>
      <c r="O381" s="209"/>
      <c r="P381" s="209"/>
      <c r="Q381" s="24"/>
    </row>
    <row r="382" spans="1:17" ht="18.75" x14ac:dyDescent="0.25">
      <c r="A382" s="20"/>
      <c r="B382" s="25"/>
      <c r="C382" s="49"/>
      <c r="D382" s="49"/>
      <c r="E382" s="80"/>
      <c r="F382" s="81"/>
      <c r="G382" s="81"/>
      <c r="H382" s="54"/>
      <c r="I382" s="54"/>
      <c r="J382" s="54"/>
      <c r="K382" s="206"/>
      <c r="L382" s="207"/>
      <c r="M382" s="206"/>
      <c r="N382" s="208"/>
      <c r="O382" s="209"/>
      <c r="P382" s="209"/>
      <c r="Q382" s="24"/>
    </row>
    <row r="383" spans="1:17" ht="18.75" x14ac:dyDescent="0.25">
      <c r="A383" s="20"/>
      <c r="B383" s="25"/>
      <c r="C383" s="49"/>
      <c r="D383" s="49"/>
      <c r="E383" s="80"/>
      <c r="F383" s="81"/>
      <c r="G383" s="81"/>
      <c r="H383" s="54"/>
      <c r="I383" s="54"/>
      <c r="J383" s="54"/>
      <c r="K383" s="206"/>
      <c r="L383" s="207"/>
      <c r="M383" s="206"/>
      <c r="N383" s="208"/>
      <c r="O383" s="209"/>
      <c r="P383" s="210"/>
      <c r="Q383" s="24"/>
    </row>
    <row r="384" spans="1:17" ht="18.75" x14ac:dyDescent="0.25">
      <c r="A384" s="20"/>
      <c r="B384" s="25"/>
      <c r="C384" s="49"/>
      <c r="D384" s="49"/>
      <c r="E384" s="80"/>
      <c r="F384" s="81"/>
      <c r="G384" s="81"/>
      <c r="H384" s="54"/>
      <c r="I384" s="54"/>
      <c r="J384" s="54"/>
      <c r="K384" s="206"/>
      <c r="L384" s="207"/>
      <c r="M384" s="206"/>
      <c r="N384" s="208"/>
      <c r="O384" s="209"/>
      <c r="P384" s="209"/>
      <c r="Q384" s="24"/>
    </row>
    <row r="385" spans="1:17" ht="18.75" x14ac:dyDescent="0.25">
      <c r="A385" s="20"/>
      <c r="B385" s="25"/>
      <c r="C385" s="49"/>
      <c r="D385" s="49"/>
      <c r="E385" s="80"/>
      <c r="F385" s="81"/>
      <c r="G385" s="81"/>
      <c r="H385" s="54"/>
      <c r="I385" s="54"/>
      <c r="J385" s="54"/>
      <c r="K385" s="206"/>
      <c r="L385" s="207"/>
      <c r="M385" s="206"/>
      <c r="N385" s="208"/>
      <c r="O385" s="209"/>
      <c r="P385" s="210"/>
      <c r="Q385" s="24"/>
    </row>
    <row r="386" spans="1:17" ht="18.75" x14ac:dyDescent="0.25">
      <c r="A386" s="20"/>
      <c r="B386" s="25"/>
      <c r="C386" s="49"/>
      <c r="D386" s="49"/>
      <c r="E386" s="80"/>
      <c r="F386" s="81"/>
      <c r="G386" s="81"/>
      <c r="H386" s="54"/>
      <c r="I386" s="54"/>
      <c r="J386" s="54"/>
      <c r="K386" s="206"/>
      <c r="L386" s="207"/>
      <c r="M386" s="206"/>
      <c r="N386" s="208"/>
      <c r="O386" s="209"/>
      <c r="P386" s="209"/>
      <c r="Q386" s="24"/>
    </row>
    <row r="387" spans="1:17" ht="18.75" x14ac:dyDescent="0.25">
      <c r="A387" s="20"/>
      <c r="B387" s="25"/>
      <c r="C387" s="49"/>
      <c r="D387" s="49"/>
      <c r="E387" s="80"/>
      <c r="F387" s="81"/>
      <c r="G387" s="81"/>
      <c r="H387" s="54"/>
      <c r="I387" s="54"/>
      <c r="J387" s="54"/>
      <c r="K387" s="206"/>
      <c r="L387" s="207"/>
      <c r="M387" s="206"/>
      <c r="N387" s="208"/>
      <c r="O387" s="209"/>
      <c r="P387" s="209"/>
      <c r="Q387" s="24"/>
    </row>
    <row r="388" spans="1:17" ht="18.75" x14ac:dyDescent="0.25">
      <c r="A388" s="20"/>
      <c r="B388" s="25"/>
      <c r="C388" s="49"/>
      <c r="D388" s="49"/>
      <c r="E388" s="80"/>
      <c r="F388" s="81"/>
      <c r="G388" s="81"/>
      <c r="H388" s="54"/>
      <c r="I388" s="54"/>
      <c r="J388" s="54"/>
      <c r="K388" s="206"/>
      <c r="L388" s="207"/>
      <c r="M388" s="206"/>
      <c r="N388" s="208"/>
      <c r="O388" s="209"/>
      <c r="P388" s="209"/>
      <c r="Q388" s="24"/>
    </row>
    <row r="389" spans="1:17" ht="18.75" x14ac:dyDescent="0.25">
      <c r="A389" s="20"/>
      <c r="B389" s="25"/>
      <c r="C389" s="49"/>
      <c r="D389" s="49"/>
      <c r="E389" s="80"/>
      <c r="F389" s="81"/>
      <c r="G389" s="81"/>
      <c r="H389" s="54"/>
      <c r="I389" s="54"/>
      <c r="J389" s="54"/>
      <c r="K389" s="206"/>
      <c r="L389" s="207"/>
      <c r="M389" s="206"/>
      <c r="N389" s="208"/>
      <c r="O389" s="209"/>
      <c r="P389" s="209"/>
      <c r="Q389" s="24"/>
    </row>
    <row r="390" spans="1:17" ht="18.75" x14ac:dyDescent="0.25">
      <c r="A390" s="20"/>
      <c r="B390" s="25"/>
      <c r="C390" s="49"/>
      <c r="D390" s="49"/>
      <c r="E390" s="80"/>
      <c r="F390" s="81"/>
      <c r="G390" s="81"/>
      <c r="H390" s="54"/>
      <c r="I390" s="54"/>
      <c r="J390" s="54"/>
      <c r="K390" s="206"/>
      <c r="L390" s="207"/>
      <c r="M390" s="206"/>
      <c r="N390" s="208"/>
      <c r="O390" s="209"/>
      <c r="P390" s="209"/>
      <c r="Q390" s="24"/>
    </row>
    <row r="391" spans="1:17" ht="18.75" x14ac:dyDescent="0.25">
      <c r="A391" s="20"/>
      <c r="B391" s="25"/>
      <c r="C391" s="49"/>
      <c r="D391" s="49"/>
      <c r="E391" s="80"/>
      <c r="F391" s="81"/>
      <c r="G391" s="81"/>
      <c r="H391" s="54"/>
      <c r="I391" s="54"/>
      <c r="J391" s="54"/>
      <c r="K391" s="206"/>
      <c r="L391" s="207"/>
      <c r="M391" s="206"/>
      <c r="N391" s="208"/>
      <c r="O391" s="209"/>
      <c r="P391" s="209"/>
      <c r="Q391" s="24"/>
    </row>
    <row r="392" spans="1:17" ht="18.75" x14ac:dyDescent="0.25">
      <c r="A392" s="20"/>
      <c r="B392" s="25"/>
      <c r="C392" s="49"/>
      <c r="D392" s="49"/>
      <c r="E392" s="80"/>
      <c r="F392" s="81"/>
      <c r="G392" s="81"/>
      <c r="H392" s="54"/>
      <c r="I392" s="54"/>
      <c r="J392" s="54"/>
      <c r="K392" s="206"/>
      <c r="L392" s="207"/>
      <c r="M392" s="206"/>
      <c r="N392" s="208"/>
      <c r="O392" s="209"/>
      <c r="P392" s="210"/>
      <c r="Q392" s="24"/>
    </row>
    <row r="393" spans="1:17" ht="18.75" x14ac:dyDescent="0.25">
      <c r="A393" s="20"/>
      <c r="B393" s="25"/>
      <c r="C393" s="49"/>
      <c r="D393" s="49"/>
      <c r="E393" s="80"/>
      <c r="F393" s="81"/>
      <c r="G393" s="81"/>
      <c r="H393" s="54"/>
      <c r="I393" s="54"/>
      <c r="J393" s="54"/>
      <c r="K393" s="206"/>
      <c r="L393" s="207"/>
      <c r="M393" s="206"/>
      <c r="N393" s="208"/>
      <c r="O393" s="209"/>
      <c r="P393" s="209"/>
      <c r="Q393" s="24"/>
    </row>
    <row r="394" spans="1:17" ht="18.75" x14ac:dyDescent="0.25">
      <c r="A394" s="20"/>
      <c r="B394" s="25"/>
      <c r="C394" s="49"/>
      <c r="D394" s="49"/>
      <c r="E394" s="80"/>
      <c r="F394" s="81"/>
      <c r="G394" s="81"/>
      <c r="H394" s="54"/>
      <c r="I394" s="54"/>
      <c r="J394" s="54"/>
      <c r="K394" s="206"/>
      <c r="L394" s="207"/>
      <c r="M394" s="206"/>
      <c r="N394" s="208"/>
      <c r="O394" s="209"/>
      <c r="P394" s="209"/>
      <c r="Q394" s="24"/>
    </row>
    <row r="395" spans="1:17" ht="18.75" x14ac:dyDescent="0.25">
      <c r="A395" s="20"/>
      <c r="B395" s="25"/>
      <c r="C395" s="49"/>
      <c r="D395" s="49"/>
      <c r="E395" s="80"/>
      <c r="F395" s="81"/>
      <c r="G395" s="81"/>
      <c r="H395" s="54"/>
      <c r="I395" s="54"/>
      <c r="J395" s="54"/>
      <c r="K395" s="206"/>
      <c r="L395" s="207"/>
      <c r="M395" s="206"/>
      <c r="N395" s="208"/>
      <c r="O395" s="209"/>
      <c r="P395" s="210"/>
      <c r="Q395" s="24"/>
    </row>
    <row r="396" spans="1:17" ht="18.75" x14ac:dyDescent="0.25">
      <c r="A396" s="20"/>
      <c r="B396" s="25"/>
      <c r="C396" s="49"/>
      <c r="D396" s="49"/>
      <c r="E396" s="80"/>
      <c r="F396" s="81"/>
      <c r="G396" s="81"/>
      <c r="H396" s="54"/>
      <c r="I396" s="54"/>
      <c r="J396" s="54"/>
      <c r="K396" s="206"/>
      <c r="L396" s="207"/>
      <c r="M396" s="206"/>
      <c r="N396" s="208"/>
      <c r="O396" s="209"/>
      <c r="P396" s="209"/>
      <c r="Q396" s="24"/>
    </row>
    <row r="397" spans="1:17" ht="18.75" x14ac:dyDescent="0.25">
      <c r="A397" s="20"/>
      <c r="B397" s="25"/>
      <c r="C397" s="49"/>
      <c r="D397" s="49"/>
      <c r="E397" s="80"/>
      <c r="F397" s="81"/>
      <c r="G397" s="81"/>
      <c r="H397" s="54"/>
      <c r="I397" s="54"/>
      <c r="J397" s="54"/>
      <c r="K397" s="206"/>
      <c r="L397" s="207"/>
      <c r="M397" s="206"/>
      <c r="N397" s="208"/>
      <c r="O397" s="209"/>
      <c r="P397" s="209"/>
      <c r="Q397" s="24"/>
    </row>
    <row r="398" spans="1:17" ht="18.75" x14ac:dyDescent="0.25">
      <c r="A398" s="20"/>
      <c r="B398" s="25"/>
      <c r="C398" s="49"/>
      <c r="D398" s="49"/>
      <c r="E398" s="80"/>
      <c r="F398" s="81"/>
      <c r="G398" s="81"/>
      <c r="H398" s="54"/>
      <c r="I398" s="54"/>
      <c r="J398" s="54"/>
      <c r="K398" s="206"/>
      <c r="L398" s="207"/>
      <c r="M398" s="206"/>
      <c r="N398" s="208"/>
      <c r="O398" s="209"/>
      <c r="P398" s="209"/>
      <c r="Q398" s="24"/>
    </row>
    <row r="399" spans="1:17" ht="18.75" x14ac:dyDescent="0.25">
      <c r="A399" s="20"/>
      <c r="B399" s="25"/>
      <c r="C399" s="49"/>
      <c r="D399" s="49"/>
      <c r="E399" s="80"/>
      <c r="F399" s="81"/>
      <c r="G399" s="81"/>
      <c r="H399" s="54"/>
      <c r="I399" s="54"/>
      <c r="J399" s="54"/>
      <c r="K399" s="206"/>
      <c r="L399" s="207"/>
      <c r="M399" s="206"/>
      <c r="N399" s="208"/>
      <c r="O399" s="210"/>
      <c r="P399" s="210"/>
      <c r="Q399" s="24"/>
    </row>
    <row r="400" spans="1:17" ht="18.75" x14ac:dyDescent="0.25">
      <c r="A400" s="20"/>
      <c r="B400" s="25"/>
      <c r="C400" s="49"/>
      <c r="D400" s="49"/>
      <c r="E400" s="80"/>
      <c r="F400" s="81"/>
      <c r="G400" s="81"/>
      <c r="H400" s="54"/>
      <c r="I400" s="54"/>
      <c r="J400" s="54"/>
      <c r="K400" s="206"/>
      <c r="L400" s="207"/>
      <c r="M400" s="206"/>
      <c r="N400" s="208"/>
      <c r="O400" s="209"/>
      <c r="P400" s="209"/>
      <c r="Q400" s="24"/>
    </row>
    <row r="401" spans="1:17" ht="18.75" x14ac:dyDescent="0.25">
      <c r="A401" s="20"/>
      <c r="B401" s="25"/>
      <c r="C401" s="49"/>
      <c r="D401" s="49"/>
      <c r="E401" s="80"/>
      <c r="F401" s="81"/>
      <c r="G401" s="81"/>
      <c r="H401" s="54"/>
      <c r="I401" s="54"/>
      <c r="J401" s="54"/>
      <c r="K401" s="206"/>
      <c r="L401" s="207"/>
      <c r="M401" s="206"/>
      <c r="N401" s="208"/>
      <c r="O401" s="209"/>
      <c r="P401" s="209"/>
      <c r="Q401" s="24"/>
    </row>
    <row r="402" spans="1:17" ht="18.75" x14ac:dyDescent="0.25">
      <c r="A402" s="20"/>
      <c r="B402" s="25"/>
      <c r="C402" s="49"/>
      <c r="D402" s="49"/>
      <c r="E402" s="80"/>
      <c r="F402" s="81"/>
      <c r="G402" s="81"/>
      <c r="H402" s="54"/>
      <c r="I402" s="54"/>
      <c r="J402" s="54"/>
      <c r="K402" s="206"/>
      <c r="L402" s="207"/>
      <c r="M402" s="206"/>
      <c r="N402" s="208"/>
      <c r="O402" s="209"/>
      <c r="P402" s="209"/>
      <c r="Q402" s="24"/>
    </row>
    <row r="403" spans="1:17" ht="18.75" x14ac:dyDescent="0.25">
      <c r="A403" s="20"/>
      <c r="B403" s="25"/>
      <c r="C403" s="49"/>
      <c r="D403" s="49"/>
      <c r="E403" s="80"/>
      <c r="F403" s="81"/>
      <c r="G403" s="81"/>
      <c r="H403" s="54"/>
      <c r="I403" s="54"/>
      <c r="J403" s="54"/>
      <c r="K403" s="206"/>
      <c r="L403" s="207"/>
      <c r="M403" s="206"/>
      <c r="N403" s="208"/>
      <c r="O403" s="209"/>
      <c r="P403" s="209"/>
      <c r="Q403" s="24"/>
    </row>
    <row r="404" spans="1:17" ht="18.75" x14ac:dyDescent="0.25">
      <c r="A404" s="20"/>
      <c r="B404" s="25"/>
      <c r="C404" s="49"/>
      <c r="D404" s="49"/>
      <c r="E404" s="80"/>
      <c r="F404" s="81"/>
      <c r="G404" s="81"/>
      <c r="H404" s="54"/>
      <c r="I404" s="54"/>
      <c r="J404" s="54"/>
      <c r="K404" s="206"/>
      <c r="L404" s="207"/>
      <c r="M404" s="206"/>
      <c r="N404" s="208"/>
      <c r="O404" s="209"/>
      <c r="P404" s="209"/>
      <c r="Q404" s="24"/>
    </row>
    <row r="405" spans="1:17" ht="18.75" x14ac:dyDescent="0.25">
      <c r="A405" s="20"/>
      <c r="B405" s="25"/>
      <c r="C405" s="49"/>
      <c r="D405" s="49"/>
      <c r="E405" s="80"/>
      <c r="F405" s="81"/>
      <c r="G405" s="81"/>
      <c r="H405" s="54"/>
      <c r="I405" s="54"/>
      <c r="J405" s="54"/>
      <c r="K405" s="206"/>
      <c r="L405" s="207"/>
      <c r="M405" s="206"/>
      <c r="N405" s="208"/>
      <c r="O405" s="209"/>
      <c r="P405" s="209"/>
      <c r="Q405" s="24"/>
    </row>
    <row r="406" spans="1:17" ht="18.75" x14ac:dyDescent="0.25">
      <c r="A406" s="20"/>
      <c r="B406" s="25"/>
      <c r="C406" s="49"/>
      <c r="D406" s="49"/>
      <c r="E406" s="80"/>
      <c r="F406" s="81"/>
      <c r="G406" s="81"/>
      <c r="H406" s="54"/>
      <c r="I406" s="54"/>
      <c r="J406" s="54"/>
      <c r="K406" s="206"/>
      <c r="L406" s="207"/>
      <c r="M406" s="206"/>
      <c r="N406" s="208"/>
      <c r="O406" s="209"/>
      <c r="P406" s="210"/>
      <c r="Q406" s="24"/>
    </row>
    <row r="407" spans="1:17" ht="18.75" x14ac:dyDescent="0.25">
      <c r="A407" s="20"/>
      <c r="B407" s="25"/>
      <c r="C407" s="49"/>
      <c r="D407" s="49"/>
      <c r="E407" s="80"/>
      <c r="F407" s="81"/>
      <c r="G407" s="81"/>
      <c r="H407" s="54"/>
      <c r="I407" s="54"/>
      <c r="J407" s="54"/>
      <c r="K407" s="206"/>
      <c r="L407" s="207"/>
      <c r="M407" s="206"/>
      <c r="N407" s="208"/>
      <c r="O407" s="209"/>
      <c r="P407" s="209"/>
      <c r="Q407" s="24"/>
    </row>
    <row r="408" spans="1:17" ht="18.75" x14ac:dyDescent="0.25">
      <c r="A408" s="20"/>
      <c r="B408" s="25"/>
      <c r="C408" s="49"/>
      <c r="D408" s="49"/>
      <c r="E408" s="80"/>
      <c r="F408" s="81"/>
      <c r="G408" s="81"/>
      <c r="H408" s="54"/>
      <c r="I408" s="54"/>
      <c r="J408" s="54"/>
      <c r="K408" s="206"/>
      <c r="L408" s="207"/>
      <c r="M408" s="206"/>
      <c r="N408" s="208"/>
      <c r="O408" s="209"/>
      <c r="P408" s="210"/>
      <c r="Q408" s="24"/>
    </row>
    <row r="409" spans="1:17" ht="18.75" x14ac:dyDescent="0.25">
      <c r="A409" s="20"/>
      <c r="B409" s="25"/>
      <c r="C409" s="49"/>
      <c r="D409" s="49"/>
      <c r="E409" s="80"/>
      <c r="F409" s="81"/>
      <c r="G409" s="81"/>
      <c r="H409" s="54"/>
      <c r="I409" s="54"/>
      <c r="J409" s="54"/>
      <c r="K409" s="206"/>
      <c r="L409" s="207"/>
      <c r="M409" s="206"/>
      <c r="N409" s="208"/>
      <c r="O409" s="209"/>
      <c r="P409" s="210"/>
      <c r="Q409" s="24"/>
    </row>
    <row r="410" spans="1:17" ht="18.75" x14ac:dyDescent="0.25">
      <c r="A410" s="20"/>
      <c r="B410" s="25"/>
      <c r="C410" s="49"/>
      <c r="D410" s="49"/>
      <c r="E410" s="80"/>
      <c r="F410" s="81"/>
      <c r="G410" s="81"/>
      <c r="H410" s="54"/>
      <c r="I410" s="54"/>
      <c r="J410" s="54"/>
      <c r="K410" s="206"/>
      <c r="L410" s="207"/>
      <c r="M410" s="206"/>
      <c r="N410" s="208"/>
      <c r="O410" s="209"/>
      <c r="P410" s="209"/>
      <c r="Q410" s="24"/>
    </row>
    <row r="411" spans="1:17" ht="18.75" x14ac:dyDescent="0.25">
      <c r="A411" s="20"/>
      <c r="B411" s="25"/>
      <c r="C411" s="49"/>
      <c r="D411" s="49"/>
      <c r="E411" s="80"/>
      <c r="F411" s="81"/>
      <c r="G411" s="81"/>
      <c r="H411" s="54"/>
      <c r="I411" s="54"/>
      <c r="J411" s="54"/>
      <c r="K411" s="206"/>
      <c r="L411" s="207"/>
      <c r="M411" s="206"/>
      <c r="N411" s="208"/>
      <c r="O411" s="209"/>
      <c r="P411" s="209"/>
      <c r="Q411" s="24"/>
    </row>
    <row r="412" spans="1:17" ht="18.75" x14ac:dyDescent="0.25">
      <c r="A412" s="20"/>
      <c r="B412" s="25"/>
      <c r="C412" s="49"/>
      <c r="D412" s="49"/>
      <c r="E412" s="80"/>
      <c r="F412" s="81"/>
      <c r="G412" s="81"/>
      <c r="H412" s="54"/>
      <c r="I412" s="54"/>
      <c r="J412" s="54"/>
      <c r="K412" s="206"/>
      <c r="L412" s="207"/>
      <c r="M412" s="206"/>
      <c r="N412" s="208"/>
      <c r="O412" s="209"/>
      <c r="P412" s="209"/>
      <c r="Q412" s="24"/>
    </row>
    <row r="413" spans="1:17" ht="18.75" x14ac:dyDescent="0.25">
      <c r="A413" s="20"/>
      <c r="B413" s="25"/>
      <c r="C413" s="49"/>
      <c r="D413" s="49"/>
      <c r="E413" s="80"/>
      <c r="F413" s="81"/>
      <c r="G413" s="81"/>
      <c r="H413" s="54"/>
      <c r="I413" s="54"/>
      <c r="J413" s="54"/>
      <c r="K413" s="206"/>
      <c r="L413" s="207"/>
      <c r="M413" s="206"/>
      <c r="N413" s="208"/>
      <c r="O413" s="209"/>
      <c r="P413" s="209"/>
      <c r="Q413" s="24"/>
    </row>
    <row r="414" spans="1:17" ht="18.75" x14ac:dyDescent="0.25">
      <c r="A414" s="20"/>
      <c r="B414" s="25"/>
      <c r="C414" s="49"/>
      <c r="D414" s="49"/>
      <c r="E414" s="80"/>
      <c r="F414" s="81"/>
      <c r="G414" s="81"/>
      <c r="H414" s="54"/>
      <c r="I414" s="54"/>
      <c r="J414" s="54"/>
      <c r="K414" s="206"/>
      <c r="L414" s="207"/>
      <c r="M414" s="206"/>
      <c r="N414" s="208"/>
      <c r="O414" s="209"/>
      <c r="P414" s="209"/>
      <c r="Q414" s="24"/>
    </row>
    <row r="415" spans="1:17" ht="18.75" x14ac:dyDescent="0.25">
      <c r="A415" s="20"/>
      <c r="B415" s="25"/>
      <c r="C415" s="49"/>
      <c r="D415" s="49"/>
      <c r="E415" s="80"/>
      <c r="F415" s="81"/>
      <c r="G415" s="81"/>
      <c r="H415" s="54"/>
      <c r="I415" s="54"/>
      <c r="J415" s="54"/>
      <c r="K415" s="206"/>
      <c r="L415" s="207"/>
      <c r="M415" s="206"/>
      <c r="N415" s="208"/>
      <c r="O415" s="209"/>
      <c r="P415" s="209"/>
      <c r="Q415" s="24"/>
    </row>
    <row r="416" spans="1:17" ht="18.75" x14ac:dyDescent="0.25">
      <c r="A416" s="20"/>
      <c r="B416" s="25"/>
      <c r="C416" s="49"/>
      <c r="D416" s="49"/>
      <c r="E416" s="80"/>
      <c r="F416" s="81"/>
      <c r="G416" s="81"/>
      <c r="H416" s="54"/>
      <c r="I416" s="54"/>
      <c r="J416" s="54"/>
      <c r="K416" s="206"/>
      <c r="L416" s="207"/>
      <c r="M416" s="206"/>
      <c r="N416" s="208"/>
      <c r="O416" s="209"/>
      <c r="P416" s="209"/>
      <c r="Q416" s="24"/>
    </row>
    <row r="417" spans="1:17" ht="18.75" x14ac:dyDescent="0.25">
      <c r="A417" s="20"/>
      <c r="B417" s="25"/>
      <c r="C417" s="49"/>
      <c r="D417" s="49"/>
      <c r="E417" s="80"/>
      <c r="F417" s="81"/>
      <c r="G417" s="81"/>
      <c r="H417" s="54"/>
      <c r="I417" s="54"/>
      <c r="J417" s="54"/>
      <c r="K417" s="206"/>
      <c r="L417" s="207"/>
      <c r="M417" s="206"/>
      <c r="N417" s="208"/>
      <c r="O417" s="209"/>
      <c r="P417" s="209"/>
      <c r="Q417" s="24"/>
    </row>
    <row r="418" spans="1:17" ht="18.75" x14ac:dyDescent="0.25">
      <c r="A418" s="20"/>
      <c r="B418" s="25"/>
      <c r="C418" s="49"/>
      <c r="D418" s="49"/>
      <c r="E418" s="80"/>
      <c r="F418" s="81"/>
      <c r="G418" s="81"/>
      <c r="H418" s="54"/>
      <c r="I418" s="54"/>
      <c r="J418" s="54"/>
      <c r="K418" s="206"/>
      <c r="L418" s="207"/>
      <c r="M418" s="206"/>
      <c r="N418" s="208"/>
      <c r="O418" s="209"/>
      <c r="P418" s="209"/>
      <c r="Q418" s="24"/>
    </row>
    <row r="419" spans="1:17" ht="18.75" x14ac:dyDescent="0.25">
      <c r="A419" s="20"/>
      <c r="B419" s="25"/>
      <c r="C419" s="49"/>
      <c r="D419" s="49"/>
      <c r="E419" s="80"/>
      <c r="F419" s="81"/>
      <c r="G419" s="81"/>
      <c r="H419" s="54"/>
      <c r="I419" s="54"/>
      <c r="J419" s="54"/>
      <c r="K419" s="206"/>
      <c r="L419" s="207"/>
      <c r="M419" s="206"/>
      <c r="N419" s="208"/>
      <c r="O419" s="209"/>
      <c r="P419" s="209"/>
      <c r="Q419" s="24"/>
    </row>
    <row r="420" spans="1:17" ht="18.75" x14ac:dyDescent="0.25">
      <c r="A420" s="20"/>
      <c r="B420" s="25"/>
      <c r="C420" s="49"/>
      <c r="D420" s="49"/>
      <c r="E420" s="80"/>
      <c r="F420" s="81"/>
      <c r="G420" s="81"/>
      <c r="H420" s="54"/>
      <c r="I420" s="54"/>
      <c r="J420" s="54"/>
      <c r="K420" s="206"/>
      <c r="L420" s="207"/>
      <c r="M420" s="206"/>
      <c r="N420" s="208"/>
      <c r="O420" s="209"/>
      <c r="P420" s="209"/>
      <c r="Q420" s="24"/>
    </row>
    <row r="421" spans="1:17" ht="18.75" x14ac:dyDescent="0.25">
      <c r="A421" s="20"/>
      <c r="B421" s="25"/>
      <c r="C421" s="49"/>
      <c r="D421" s="49"/>
      <c r="E421" s="80"/>
      <c r="F421" s="81"/>
      <c r="G421" s="81"/>
      <c r="H421" s="54"/>
      <c r="I421" s="54"/>
      <c r="J421" s="54"/>
      <c r="K421" s="206"/>
      <c r="L421" s="207"/>
      <c r="M421" s="206"/>
      <c r="N421" s="208"/>
      <c r="O421" s="209"/>
      <c r="P421" s="209"/>
      <c r="Q421" s="24"/>
    </row>
    <row r="422" spans="1:17" ht="18.75" x14ac:dyDescent="0.25">
      <c r="A422" s="20"/>
      <c r="B422" s="25"/>
      <c r="C422" s="49"/>
      <c r="D422" s="49"/>
      <c r="E422" s="80"/>
      <c r="F422" s="81"/>
      <c r="G422" s="81"/>
      <c r="H422" s="54"/>
      <c r="I422" s="54"/>
      <c r="J422" s="54"/>
      <c r="K422" s="206"/>
      <c r="L422" s="207"/>
      <c r="M422" s="206"/>
      <c r="N422" s="208"/>
      <c r="O422" s="209"/>
      <c r="P422" s="209"/>
      <c r="Q422" s="24"/>
    </row>
    <row r="423" spans="1:17" ht="18.75" x14ac:dyDescent="0.25">
      <c r="A423" s="20"/>
      <c r="B423" s="25"/>
      <c r="C423" s="49"/>
      <c r="D423" s="49"/>
      <c r="E423" s="80"/>
      <c r="F423" s="81"/>
      <c r="G423" s="81"/>
      <c r="H423" s="54"/>
      <c r="I423" s="54"/>
      <c r="J423" s="54"/>
      <c r="K423" s="206"/>
      <c r="L423" s="207"/>
      <c r="M423" s="206"/>
      <c r="N423" s="208"/>
      <c r="O423" s="209"/>
      <c r="P423" s="210"/>
      <c r="Q423" s="24"/>
    </row>
    <row r="424" spans="1:17" ht="18.75" x14ac:dyDescent="0.25">
      <c r="A424" s="20"/>
      <c r="B424" s="25"/>
      <c r="C424" s="49"/>
      <c r="D424" s="49"/>
      <c r="E424" s="80"/>
      <c r="F424" s="81"/>
      <c r="G424" s="81"/>
      <c r="H424" s="54"/>
      <c r="I424" s="54"/>
      <c r="J424" s="54"/>
      <c r="K424" s="206"/>
      <c r="L424" s="207"/>
      <c r="M424" s="206"/>
      <c r="N424" s="208"/>
      <c r="O424" s="209"/>
      <c r="P424" s="209"/>
      <c r="Q424" s="24"/>
    </row>
    <row r="425" spans="1:17" ht="18.75" x14ac:dyDescent="0.25">
      <c r="A425" s="20"/>
      <c r="B425" s="25"/>
      <c r="C425" s="49"/>
      <c r="D425" s="49"/>
      <c r="E425" s="80"/>
      <c r="F425" s="81"/>
      <c r="G425" s="81"/>
      <c r="H425" s="54"/>
      <c r="I425" s="54"/>
      <c r="J425" s="54"/>
      <c r="K425" s="206"/>
      <c r="L425" s="207"/>
      <c r="M425" s="206"/>
      <c r="N425" s="208"/>
      <c r="O425" s="209"/>
      <c r="P425" s="209"/>
      <c r="Q425" s="24"/>
    </row>
    <row r="426" spans="1:17" ht="18.75" x14ac:dyDescent="0.25">
      <c r="A426" s="20"/>
      <c r="B426" s="25"/>
      <c r="C426" s="49"/>
      <c r="D426" s="49"/>
      <c r="E426" s="80"/>
      <c r="F426" s="81"/>
      <c r="G426" s="81"/>
      <c r="H426" s="54"/>
      <c r="I426" s="54"/>
      <c r="J426" s="54"/>
      <c r="K426" s="206"/>
      <c r="L426" s="207"/>
      <c r="M426" s="206"/>
      <c r="N426" s="208"/>
      <c r="O426" s="209"/>
      <c r="P426" s="209"/>
      <c r="Q426" s="24"/>
    </row>
    <row r="427" spans="1:17" ht="18.75" x14ac:dyDescent="0.25">
      <c r="A427" s="20"/>
      <c r="B427" s="25"/>
      <c r="C427" s="49"/>
      <c r="D427" s="49"/>
      <c r="E427" s="80"/>
      <c r="F427" s="81"/>
      <c r="G427" s="81"/>
      <c r="H427" s="54"/>
      <c r="I427" s="54"/>
      <c r="J427" s="54"/>
      <c r="K427" s="206"/>
      <c r="L427" s="207"/>
      <c r="M427" s="206"/>
      <c r="N427" s="208"/>
      <c r="O427" s="209"/>
      <c r="P427" s="209"/>
      <c r="Q427" s="24"/>
    </row>
    <row r="428" spans="1:17" ht="18.75" x14ac:dyDescent="0.25">
      <c r="A428" s="20"/>
      <c r="B428" s="25"/>
      <c r="C428" s="49"/>
      <c r="D428" s="49"/>
      <c r="E428" s="80"/>
      <c r="F428" s="81"/>
      <c r="G428" s="81"/>
      <c r="H428" s="54"/>
      <c r="I428" s="54"/>
      <c r="J428" s="54"/>
      <c r="K428" s="206"/>
      <c r="L428" s="207"/>
      <c r="M428" s="206"/>
      <c r="N428" s="208"/>
      <c r="O428" s="209"/>
      <c r="P428" s="209"/>
      <c r="Q428" s="24"/>
    </row>
    <row r="429" spans="1:17" ht="18.75" x14ac:dyDescent="0.25">
      <c r="A429" s="20"/>
      <c r="B429" s="25"/>
      <c r="C429" s="49"/>
      <c r="D429" s="49"/>
      <c r="E429" s="80"/>
      <c r="F429" s="81"/>
      <c r="G429" s="81"/>
      <c r="H429" s="54"/>
      <c r="I429" s="54"/>
      <c r="J429" s="54"/>
      <c r="K429" s="206"/>
      <c r="L429" s="207"/>
      <c r="M429" s="206"/>
      <c r="N429" s="208"/>
      <c r="O429" s="209"/>
      <c r="P429" s="210"/>
      <c r="Q429" s="24"/>
    </row>
    <row r="430" spans="1:17" ht="18.75" x14ac:dyDescent="0.25">
      <c r="A430" s="20"/>
      <c r="B430" s="25"/>
      <c r="C430" s="49"/>
      <c r="D430" s="49"/>
      <c r="E430" s="80"/>
      <c r="F430" s="81"/>
      <c r="G430" s="81"/>
      <c r="H430" s="54"/>
      <c r="I430" s="54"/>
      <c r="J430" s="54"/>
      <c r="K430" s="206"/>
      <c r="L430" s="207"/>
      <c r="M430" s="206"/>
      <c r="N430" s="208"/>
      <c r="O430" s="209"/>
      <c r="P430" s="210"/>
      <c r="Q430" s="24"/>
    </row>
    <row r="431" spans="1:17" ht="18.75" x14ac:dyDescent="0.25">
      <c r="A431" s="20"/>
      <c r="B431" s="25"/>
      <c r="C431" s="49"/>
      <c r="D431" s="49"/>
      <c r="E431" s="80"/>
      <c r="F431" s="81"/>
      <c r="G431" s="81"/>
      <c r="H431" s="54"/>
      <c r="I431" s="54"/>
      <c r="J431" s="54"/>
      <c r="K431" s="206"/>
      <c r="L431" s="207"/>
      <c r="M431" s="206"/>
      <c r="N431" s="208"/>
      <c r="O431" s="209"/>
      <c r="P431" s="209"/>
      <c r="Q431" s="24"/>
    </row>
    <row r="432" spans="1:17" ht="18.75" x14ac:dyDescent="0.25">
      <c r="A432" s="20"/>
      <c r="B432" s="25"/>
      <c r="C432" s="49"/>
      <c r="D432" s="49"/>
      <c r="E432" s="80"/>
      <c r="F432" s="81"/>
      <c r="G432" s="81"/>
      <c r="H432" s="54"/>
      <c r="I432" s="54"/>
      <c r="J432" s="54"/>
      <c r="K432" s="206"/>
      <c r="L432" s="207"/>
      <c r="M432" s="206"/>
      <c r="N432" s="208"/>
      <c r="O432" s="209"/>
      <c r="P432" s="209"/>
      <c r="Q432" s="24"/>
    </row>
    <row r="433" spans="1:17" ht="18.75" x14ac:dyDescent="0.25">
      <c r="A433" s="20"/>
      <c r="B433" s="25"/>
      <c r="C433" s="49"/>
      <c r="D433" s="49"/>
      <c r="E433" s="80"/>
      <c r="F433" s="81"/>
      <c r="G433" s="81"/>
      <c r="H433" s="54"/>
      <c r="I433" s="54"/>
      <c r="J433" s="54"/>
      <c r="K433" s="206"/>
      <c r="L433" s="207"/>
      <c r="M433" s="206"/>
      <c r="N433" s="208"/>
      <c r="O433" s="209"/>
      <c r="P433" s="209"/>
      <c r="Q433" s="24"/>
    </row>
    <row r="434" spans="1:17" ht="18.75" x14ac:dyDescent="0.25">
      <c r="A434" s="20"/>
      <c r="B434" s="25"/>
      <c r="C434" s="49"/>
      <c r="D434" s="49"/>
      <c r="E434" s="80"/>
      <c r="F434" s="81"/>
      <c r="G434" s="81"/>
      <c r="H434" s="54"/>
      <c r="I434" s="54"/>
      <c r="J434" s="54"/>
      <c r="K434" s="206"/>
      <c r="L434" s="207"/>
      <c r="M434" s="206"/>
      <c r="N434" s="208"/>
      <c r="O434" s="209"/>
      <c r="P434" s="209"/>
      <c r="Q434" s="24"/>
    </row>
    <row r="435" spans="1:17" ht="18.75" x14ac:dyDescent="0.25">
      <c r="A435" s="20"/>
      <c r="B435" s="25"/>
      <c r="C435" s="49"/>
      <c r="D435" s="49"/>
      <c r="E435" s="80"/>
      <c r="F435" s="81"/>
      <c r="G435" s="81"/>
      <c r="H435" s="54"/>
      <c r="I435" s="54"/>
      <c r="J435" s="54"/>
      <c r="K435" s="206"/>
      <c r="L435" s="207"/>
      <c r="M435" s="206"/>
      <c r="N435" s="208"/>
      <c r="O435" s="209"/>
      <c r="P435" s="209"/>
      <c r="Q435" s="24"/>
    </row>
    <row r="436" spans="1:17" ht="18.75" x14ac:dyDescent="0.25">
      <c r="A436" s="20"/>
      <c r="B436" s="25"/>
      <c r="C436" s="49"/>
      <c r="D436" s="49"/>
      <c r="E436" s="80"/>
      <c r="F436" s="81"/>
      <c r="G436" s="81"/>
      <c r="H436" s="54"/>
      <c r="I436" s="54"/>
      <c r="J436" s="54"/>
      <c r="K436" s="206"/>
      <c r="L436" s="207"/>
      <c r="M436" s="206"/>
      <c r="N436" s="208"/>
      <c r="O436" s="209"/>
      <c r="P436" s="209"/>
      <c r="Q436" s="24"/>
    </row>
    <row r="437" spans="1:17" ht="18.75" x14ac:dyDescent="0.25">
      <c r="A437" s="20"/>
      <c r="B437" s="25"/>
      <c r="C437" s="49"/>
      <c r="D437" s="49"/>
      <c r="E437" s="80"/>
      <c r="F437" s="81"/>
      <c r="G437" s="81"/>
      <c r="H437" s="54"/>
      <c r="I437" s="54"/>
      <c r="J437" s="54"/>
      <c r="K437" s="206"/>
      <c r="L437" s="207"/>
      <c r="M437" s="206"/>
      <c r="N437" s="208"/>
      <c r="O437" s="209"/>
      <c r="P437" s="209"/>
      <c r="Q437" s="24"/>
    </row>
    <row r="438" spans="1:17" ht="18.75" x14ac:dyDescent="0.25">
      <c r="A438" s="20"/>
      <c r="B438" s="25"/>
      <c r="C438" s="49"/>
      <c r="D438" s="49"/>
      <c r="E438" s="80"/>
      <c r="F438" s="81"/>
      <c r="G438" s="81"/>
      <c r="H438" s="54"/>
      <c r="I438" s="54"/>
      <c r="J438" s="54"/>
      <c r="K438" s="206"/>
      <c r="L438" s="207"/>
      <c r="M438" s="206"/>
      <c r="N438" s="208"/>
      <c r="O438" s="209"/>
      <c r="P438" s="209"/>
      <c r="Q438" s="24"/>
    </row>
    <row r="439" spans="1:17" ht="18.75" x14ac:dyDescent="0.25">
      <c r="A439" s="20"/>
      <c r="B439" s="25"/>
      <c r="C439" s="49"/>
      <c r="D439" s="49"/>
      <c r="E439" s="80"/>
      <c r="F439" s="81"/>
      <c r="G439" s="81"/>
      <c r="H439" s="54"/>
      <c r="I439" s="54"/>
      <c r="J439" s="54"/>
      <c r="K439" s="206"/>
      <c r="L439" s="207"/>
      <c r="M439" s="206"/>
      <c r="N439" s="208"/>
      <c r="O439" s="209"/>
      <c r="P439" s="210"/>
      <c r="Q439" s="24"/>
    </row>
    <row r="440" spans="1:17" ht="18.75" x14ac:dyDescent="0.25">
      <c r="A440" s="20"/>
      <c r="B440" s="25"/>
      <c r="C440" s="49"/>
      <c r="D440" s="49"/>
      <c r="E440" s="80"/>
      <c r="F440" s="81"/>
      <c r="G440" s="81"/>
      <c r="H440" s="54"/>
      <c r="I440" s="54"/>
      <c r="J440" s="54"/>
      <c r="K440" s="206"/>
      <c r="L440" s="207"/>
      <c r="M440" s="206"/>
      <c r="N440" s="208"/>
      <c r="O440" s="209"/>
      <c r="P440" s="209"/>
      <c r="Q440" s="24"/>
    </row>
    <row r="441" spans="1:17" ht="18.75" x14ac:dyDescent="0.25">
      <c r="A441" s="20"/>
      <c r="B441" s="25"/>
      <c r="C441" s="49"/>
      <c r="D441" s="49"/>
      <c r="E441" s="80"/>
      <c r="F441" s="81"/>
      <c r="G441" s="81"/>
      <c r="H441" s="54"/>
      <c r="I441" s="54"/>
      <c r="J441" s="54"/>
      <c r="K441" s="206"/>
      <c r="L441" s="207"/>
      <c r="M441" s="206"/>
      <c r="N441" s="208"/>
      <c r="O441" s="209"/>
      <c r="P441" s="209"/>
      <c r="Q441" s="24"/>
    </row>
    <row r="442" spans="1:17" ht="18.75" x14ac:dyDescent="0.25">
      <c r="A442" s="20"/>
      <c r="B442" s="25"/>
      <c r="C442" s="49"/>
      <c r="D442" s="49"/>
      <c r="E442" s="80"/>
      <c r="F442" s="81"/>
      <c r="G442" s="81"/>
      <c r="H442" s="54"/>
      <c r="I442" s="54"/>
      <c r="J442" s="54"/>
      <c r="K442" s="206"/>
      <c r="L442" s="207"/>
      <c r="M442" s="206"/>
      <c r="N442" s="208"/>
      <c r="O442" s="209"/>
      <c r="P442" s="209"/>
      <c r="Q442" s="24"/>
    </row>
    <row r="443" spans="1:17" ht="18.75" x14ac:dyDescent="0.25">
      <c r="A443" s="20"/>
      <c r="B443" s="25"/>
      <c r="C443" s="49"/>
      <c r="D443" s="49"/>
      <c r="E443" s="80"/>
      <c r="F443" s="81"/>
      <c r="G443" s="81"/>
      <c r="H443" s="54"/>
      <c r="I443" s="54"/>
      <c r="J443" s="54"/>
      <c r="K443" s="206"/>
      <c r="L443" s="207"/>
      <c r="M443" s="206"/>
      <c r="N443" s="208"/>
      <c r="O443" s="209"/>
      <c r="P443" s="209"/>
      <c r="Q443" s="24"/>
    </row>
    <row r="444" spans="1:17" ht="18.75" x14ac:dyDescent="0.25">
      <c r="A444" s="20"/>
      <c r="B444" s="25"/>
      <c r="C444" s="49"/>
      <c r="D444" s="49"/>
      <c r="E444" s="80"/>
      <c r="F444" s="81"/>
      <c r="G444" s="81"/>
      <c r="H444" s="54"/>
      <c r="I444" s="54"/>
      <c r="J444" s="54"/>
      <c r="K444" s="206"/>
      <c r="L444" s="207"/>
      <c r="M444" s="206"/>
      <c r="N444" s="208"/>
      <c r="O444" s="210"/>
      <c r="P444" s="210"/>
      <c r="Q444" s="24"/>
    </row>
    <row r="445" spans="1:17" ht="18.75" x14ac:dyDescent="0.25">
      <c r="A445" s="20"/>
      <c r="B445" s="25"/>
      <c r="C445" s="49"/>
      <c r="D445" s="49"/>
      <c r="E445" s="80"/>
      <c r="F445" s="81"/>
      <c r="G445" s="81"/>
      <c r="H445" s="54"/>
      <c r="I445" s="54"/>
      <c r="J445" s="54"/>
      <c r="K445" s="206"/>
      <c r="L445" s="207"/>
      <c r="M445" s="206"/>
      <c r="N445" s="208"/>
      <c r="O445" s="209"/>
      <c r="P445" s="210"/>
      <c r="Q445" s="24"/>
    </row>
    <row r="446" spans="1:17" ht="18.75" x14ac:dyDescent="0.25">
      <c r="A446" s="20"/>
      <c r="B446" s="25"/>
      <c r="C446" s="49"/>
      <c r="D446" s="49"/>
      <c r="E446" s="80"/>
      <c r="F446" s="81"/>
      <c r="G446" s="81"/>
      <c r="H446" s="54"/>
      <c r="I446" s="54"/>
      <c r="J446" s="54"/>
      <c r="K446" s="206"/>
      <c r="L446" s="207"/>
      <c r="M446" s="206"/>
      <c r="N446" s="208"/>
      <c r="O446" s="209"/>
      <c r="P446" s="209"/>
      <c r="Q446" s="24"/>
    </row>
    <row r="447" spans="1:17" ht="18.75" x14ac:dyDescent="0.25">
      <c r="A447" s="20"/>
      <c r="B447" s="25"/>
      <c r="C447" s="49"/>
      <c r="D447" s="49"/>
      <c r="E447" s="80"/>
      <c r="F447" s="81"/>
      <c r="G447" s="81"/>
      <c r="H447" s="54"/>
      <c r="I447" s="54"/>
      <c r="J447" s="54"/>
      <c r="K447" s="206"/>
      <c r="L447" s="207"/>
      <c r="M447" s="206"/>
      <c r="N447" s="208"/>
      <c r="O447" s="209"/>
      <c r="P447" s="209"/>
      <c r="Q447" s="24"/>
    </row>
    <row r="448" spans="1:17" ht="18.75" x14ac:dyDescent="0.25">
      <c r="A448" s="20"/>
      <c r="B448" s="25"/>
      <c r="C448" s="49"/>
      <c r="D448" s="49"/>
      <c r="E448" s="80"/>
      <c r="F448" s="81"/>
      <c r="G448" s="81"/>
      <c r="H448" s="54"/>
      <c r="I448" s="54"/>
      <c r="J448" s="54"/>
      <c r="K448" s="206"/>
      <c r="L448" s="207"/>
      <c r="M448" s="206"/>
      <c r="N448" s="208"/>
      <c r="O448" s="209"/>
      <c r="P448" s="209"/>
      <c r="Q448" s="24"/>
    </row>
    <row r="449" spans="1:17" ht="18.75" x14ac:dyDescent="0.25">
      <c r="A449" s="20"/>
      <c r="B449" s="25"/>
      <c r="C449" s="49"/>
      <c r="D449" s="49"/>
      <c r="E449" s="80"/>
      <c r="F449" s="81"/>
      <c r="G449" s="81"/>
      <c r="H449" s="54"/>
      <c r="I449" s="54"/>
      <c r="J449" s="54"/>
      <c r="K449" s="206"/>
      <c r="L449" s="207"/>
      <c r="M449" s="206"/>
      <c r="N449" s="208"/>
      <c r="O449" s="209"/>
      <c r="P449" s="209"/>
      <c r="Q449" s="24"/>
    </row>
    <row r="450" spans="1:17" ht="18.75" x14ac:dyDescent="0.25">
      <c r="A450" s="20"/>
      <c r="B450" s="25"/>
      <c r="C450" s="49"/>
      <c r="D450" s="49"/>
      <c r="E450" s="80"/>
      <c r="F450" s="81"/>
      <c r="G450" s="81"/>
      <c r="H450" s="54"/>
      <c r="I450" s="54"/>
      <c r="J450" s="54"/>
      <c r="K450" s="206"/>
      <c r="L450" s="207"/>
      <c r="M450" s="206"/>
      <c r="N450" s="208"/>
      <c r="O450" s="209"/>
      <c r="P450" s="209"/>
      <c r="Q450" s="24"/>
    </row>
    <row r="451" spans="1:17" ht="18.75" x14ac:dyDescent="0.25">
      <c r="A451" s="20"/>
      <c r="B451" s="25"/>
      <c r="C451" s="49"/>
      <c r="D451" s="49"/>
      <c r="E451" s="80"/>
      <c r="F451" s="81"/>
      <c r="G451" s="81"/>
      <c r="H451" s="54"/>
      <c r="I451" s="54"/>
      <c r="J451" s="54"/>
      <c r="K451" s="215"/>
      <c r="L451" s="219"/>
      <c r="M451" s="216"/>
      <c r="N451" s="217"/>
      <c r="O451" s="218"/>
      <c r="P451" s="217"/>
      <c r="Q451" s="24"/>
    </row>
    <row r="452" spans="1:17" ht="19.5" thickBot="1" x14ac:dyDescent="0.3">
      <c r="A452" s="20"/>
      <c r="B452" s="25"/>
      <c r="C452" s="49"/>
      <c r="D452" s="49"/>
      <c r="E452" s="80"/>
      <c r="F452" s="81"/>
      <c r="G452" s="81"/>
      <c r="H452" s="54"/>
      <c r="I452" s="54"/>
      <c r="J452" s="54"/>
      <c r="K452" s="215"/>
      <c r="L452" s="219"/>
      <c r="M452" s="216"/>
      <c r="N452" s="217"/>
      <c r="O452" s="218"/>
      <c r="P452" s="217"/>
      <c r="Q452" s="24"/>
    </row>
    <row r="453" spans="1:17" ht="21.75" thickBot="1" x14ac:dyDescent="0.3">
      <c r="A453" s="33"/>
      <c r="B453" s="34" t="s">
        <v>29</v>
      </c>
      <c r="C453" s="36">
        <f>SUM(C338:C452)</f>
        <v>0</v>
      </c>
      <c r="D453" s="36"/>
      <c r="E453" s="76"/>
      <c r="F453" s="76"/>
      <c r="G453" s="76"/>
      <c r="H453" s="76"/>
      <c r="I453" s="76"/>
      <c r="J453" s="76"/>
      <c r="K453" s="37"/>
      <c r="L453" s="38"/>
      <c r="M453" s="38"/>
      <c r="N453" s="39"/>
      <c r="O453" s="39"/>
      <c r="P453" s="39">
        <f>SUM(P339:P452)</f>
        <v>0</v>
      </c>
      <c r="Q453" s="40"/>
    </row>
    <row r="454" spans="1:17" ht="21.75" thickBot="1" x14ac:dyDescent="0.3">
      <c r="A454" s="41"/>
      <c r="B454" s="42" t="s">
        <v>30</v>
      </c>
      <c r="C454" s="44">
        <f>C338+C453</f>
        <v>0</v>
      </c>
      <c r="D454" s="44"/>
      <c r="E454" s="78"/>
      <c r="F454" s="78"/>
      <c r="G454" s="78"/>
      <c r="H454" s="78"/>
      <c r="I454" s="78"/>
      <c r="J454" s="78"/>
      <c r="K454" s="45"/>
      <c r="L454" s="46"/>
      <c r="M454" s="46"/>
      <c r="N454" s="47"/>
      <c r="O454" s="47"/>
      <c r="P454" s="47">
        <f>P338+P453</f>
        <v>1860999.6075829158</v>
      </c>
      <c r="Q454" s="48"/>
    </row>
    <row r="455" spans="1:17" ht="25.15" customHeight="1" thickBot="1" x14ac:dyDescent="0.3">
      <c r="A455" s="158" t="s">
        <v>12</v>
      </c>
      <c r="B455" s="158"/>
      <c r="C455" s="158"/>
      <c r="D455" s="158"/>
      <c r="E455" s="158"/>
      <c r="F455" s="158"/>
      <c r="G455" s="158"/>
      <c r="H455" s="158"/>
      <c r="I455" s="158"/>
      <c r="J455" s="158"/>
    </row>
    <row r="456" spans="1:17" ht="25.15" customHeight="1" x14ac:dyDescent="0.35">
      <c r="A456" s="204" t="s">
        <v>13</v>
      </c>
      <c r="B456" s="204"/>
      <c r="C456" s="204"/>
      <c r="D456" s="204"/>
      <c r="E456" s="204"/>
      <c r="F456" s="204"/>
      <c r="G456" s="204"/>
      <c r="H456" s="204"/>
      <c r="I456" s="204"/>
      <c r="J456" s="204"/>
      <c r="K456" s="158"/>
      <c r="L456" s="158"/>
      <c r="M456" s="158"/>
      <c r="N456" s="142"/>
      <c r="O456" s="198"/>
      <c r="P456" s="185"/>
      <c r="Q456" s="186"/>
    </row>
    <row r="457" spans="1:17" ht="25.15" customHeight="1" x14ac:dyDescent="0.35">
      <c r="A457" s="205" t="s">
        <v>14</v>
      </c>
      <c r="B457" s="205"/>
      <c r="C457" s="205"/>
      <c r="D457" s="205"/>
      <c r="E457" s="205"/>
      <c r="F457" s="205"/>
      <c r="G457" s="205"/>
      <c r="H457" s="205"/>
      <c r="I457" s="205"/>
      <c r="J457" s="205"/>
      <c r="K457" s="204"/>
      <c r="L457" s="204"/>
      <c r="M457" s="204"/>
      <c r="N457" s="142"/>
      <c r="O457" s="198"/>
      <c r="P457" s="185"/>
      <c r="Q457" s="186"/>
    </row>
    <row r="458" spans="1:17" ht="25.15" customHeight="1" x14ac:dyDescent="0.35">
      <c r="A458" s="204" t="s">
        <v>15</v>
      </c>
      <c r="B458" s="204"/>
      <c r="C458" s="204"/>
      <c r="D458" s="204"/>
      <c r="E458" s="204"/>
      <c r="F458" s="204"/>
      <c r="G458" s="204"/>
      <c r="H458" s="204"/>
      <c r="I458" s="204"/>
      <c r="J458" s="204"/>
      <c r="K458" s="205"/>
      <c r="L458" s="205"/>
      <c r="M458" s="205"/>
      <c r="N458" s="143"/>
      <c r="O458" s="198"/>
      <c r="P458" s="187"/>
      <c r="Q458" s="186"/>
    </row>
    <row r="459" spans="1:17" ht="25.15" customHeight="1" x14ac:dyDescent="0.35">
      <c r="A459" s="204" t="s">
        <v>16</v>
      </c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142"/>
      <c r="O459" s="198"/>
      <c r="P459" s="185"/>
      <c r="Q459" s="186"/>
    </row>
    <row r="460" spans="1:17" ht="25.15" customHeight="1" x14ac:dyDescent="0.35">
      <c r="A460" s="204" t="s">
        <v>17</v>
      </c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142"/>
      <c r="O460" s="198"/>
      <c r="P460" s="185"/>
      <c r="Q460" s="186"/>
    </row>
    <row r="461" spans="1:17" ht="25.15" customHeight="1" x14ac:dyDescent="0.35">
      <c r="A461" s="204" t="s">
        <v>18</v>
      </c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142"/>
      <c r="O461" s="198"/>
      <c r="P461" s="185"/>
      <c r="Q461" s="186"/>
    </row>
    <row r="462" spans="1:17" ht="25.15" customHeight="1" x14ac:dyDescent="0.35">
      <c r="A462" s="204" t="s">
        <v>17</v>
      </c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142"/>
      <c r="O462" s="198"/>
      <c r="P462" s="185"/>
      <c r="Q462" s="186"/>
    </row>
    <row r="463" spans="1:17" ht="25.15" customHeight="1" x14ac:dyDescent="0.35">
      <c r="A463" s="204" t="s">
        <v>19</v>
      </c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142"/>
      <c r="O463" s="198"/>
      <c r="P463" s="185"/>
      <c r="Q463" s="186"/>
    </row>
    <row r="464" spans="1:17" ht="25.15" customHeight="1" x14ac:dyDescent="0.35">
      <c r="A464" s="204" t="s">
        <v>11</v>
      </c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142"/>
      <c r="O464" s="198"/>
      <c r="P464" s="185"/>
      <c r="Q464" s="186"/>
    </row>
    <row r="465" spans="1:17" ht="25.15" customHeight="1" x14ac:dyDescent="0.35">
      <c r="A465" s="204" t="s">
        <v>32</v>
      </c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142"/>
      <c r="O465" s="198"/>
      <c r="P465" s="185"/>
      <c r="Q465" s="186"/>
    </row>
    <row r="466" spans="1:17" ht="25.15" customHeight="1" x14ac:dyDescent="0.35">
      <c r="A466" s="201" t="s">
        <v>31</v>
      </c>
      <c r="B466" s="201"/>
      <c r="C466" s="201"/>
      <c r="D466" s="201"/>
      <c r="E466" s="201"/>
      <c r="F466" s="201"/>
      <c r="G466" s="201"/>
      <c r="H466" s="201"/>
      <c r="I466" s="201"/>
      <c r="J466" s="201"/>
      <c r="K466" s="204"/>
      <c r="L466" s="204"/>
      <c r="M466" s="204"/>
      <c r="N466" s="142"/>
      <c r="O466" s="198"/>
      <c r="P466" s="185"/>
      <c r="Q466" s="186"/>
    </row>
    <row r="467" spans="1:17" ht="36" customHeight="1" x14ac:dyDescent="0.35">
      <c r="K467" s="201"/>
      <c r="L467" s="201"/>
      <c r="M467" s="201"/>
      <c r="N467" s="203"/>
      <c r="O467" s="198"/>
      <c r="P467" s="188"/>
      <c r="Q467" s="186"/>
    </row>
  </sheetData>
  <autoFilter ref="K18:S466" xr:uid="{2CE7134D-7363-4B0E-ACE8-3B6BB043FFF0}"/>
  <mergeCells count="23">
    <mergeCell ref="I16:I17"/>
    <mergeCell ref="J16:J17"/>
    <mergeCell ref="L1:Q2"/>
    <mergeCell ref="L4:Q4"/>
    <mergeCell ref="L5:Q5"/>
    <mergeCell ref="L7:Q7"/>
    <mergeCell ref="A10:Q10"/>
    <mergeCell ref="A16:A17"/>
    <mergeCell ref="B16:B17"/>
    <mergeCell ref="C16:C17"/>
    <mergeCell ref="D16:D17"/>
    <mergeCell ref="A11:Q11"/>
    <mergeCell ref="A12:Q12"/>
    <mergeCell ref="A13:Q13"/>
    <mergeCell ref="A14:P14"/>
    <mergeCell ref="A15:J15"/>
    <mergeCell ref="K15:Q15"/>
    <mergeCell ref="L16:P16"/>
    <mergeCell ref="Q16:Q17"/>
    <mergeCell ref="E16:E17"/>
    <mergeCell ref="F16:F17"/>
    <mergeCell ref="G16:G17"/>
    <mergeCell ref="H16:H17"/>
  </mergeCells>
  <pageMargins left="0.25" right="0.25" top="0.75" bottom="0.75" header="0.3" footer="0.3"/>
  <pageSetup paperSize="9" scale="28" fitToHeight="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7AD2-BBED-4F4B-9681-D9C43E8C5ABC}">
  <sheetPr>
    <tabColor rgb="FFFFFF00"/>
    <pageSetUpPr fitToPage="1"/>
  </sheetPr>
  <dimension ref="A1:S467"/>
  <sheetViews>
    <sheetView zoomScale="55" zoomScaleNormal="55" workbookViewId="0">
      <selection activeCell="Z16" sqref="Z16"/>
    </sheetView>
  </sheetViews>
  <sheetFormatPr defaultRowHeight="15" x14ac:dyDescent="0.25"/>
  <cols>
    <col min="1" max="1" width="6.7109375" style="228" customWidth="1"/>
    <col min="2" max="2" width="63.140625" customWidth="1"/>
    <col min="3" max="3" width="11.140625" style="228" customWidth="1"/>
    <col min="4" max="4" width="5" style="228" customWidth="1"/>
    <col min="5" max="5" width="8.7109375" style="228" customWidth="1"/>
    <col min="6" max="6" width="8.28515625" style="228" customWidth="1"/>
    <col min="7" max="7" width="6" style="228" customWidth="1"/>
    <col min="8" max="8" width="5.42578125" style="228" customWidth="1"/>
    <col min="9" max="9" width="6.28515625" style="228" customWidth="1"/>
    <col min="10" max="10" width="6.85546875" style="228" customWidth="1"/>
    <col min="11" max="11" width="17.28515625" style="228" customWidth="1"/>
    <col min="12" max="12" width="47.28515625" customWidth="1"/>
    <col min="13" max="13" width="11.7109375" style="5" customWidth="1"/>
    <col min="14" max="14" width="14" style="5" customWidth="1"/>
    <col min="15" max="15" width="15.140625" style="189" customWidth="1"/>
    <col min="16" max="16" width="17.28515625" style="189" customWidth="1"/>
    <col min="17" max="17" width="35.42578125" style="182" customWidth="1"/>
  </cols>
  <sheetData>
    <row r="1" spans="1:17" ht="15.75" customHeight="1" x14ac:dyDescent="0.25">
      <c r="A1" s="2"/>
      <c r="B1" s="1"/>
      <c r="C1" s="3"/>
      <c r="D1" s="3"/>
      <c r="E1" s="3"/>
      <c r="F1" s="3"/>
      <c r="G1" s="3"/>
      <c r="H1" s="3"/>
      <c r="I1" s="3"/>
      <c r="J1" s="3"/>
      <c r="K1" s="3"/>
      <c r="L1" s="236" t="s">
        <v>26</v>
      </c>
      <c r="M1" s="236"/>
      <c r="N1" s="236"/>
      <c r="O1" s="236"/>
      <c r="P1" s="236"/>
      <c r="Q1" s="236"/>
    </row>
    <row r="2" spans="1:17" ht="15" customHeight="1" x14ac:dyDescent="0.25">
      <c r="A2" s="2"/>
      <c r="B2" s="1"/>
      <c r="C2" s="3"/>
      <c r="D2" s="3"/>
      <c r="E2" s="3"/>
      <c r="F2" s="3"/>
      <c r="G2" s="3"/>
      <c r="H2" s="3"/>
      <c r="I2" s="3"/>
      <c r="J2" s="3"/>
      <c r="K2" s="3"/>
      <c r="L2" s="237"/>
      <c r="M2" s="237"/>
      <c r="N2" s="237"/>
      <c r="O2" s="237"/>
      <c r="P2" s="237"/>
      <c r="Q2" s="237"/>
    </row>
    <row r="3" spans="1:17" ht="15.75" x14ac:dyDescent="0.25">
      <c r="A3" s="2"/>
      <c r="B3" s="1"/>
      <c r="C3" s="3"/>
      <c r="D3" s="3"/>
      <c r="E3" s="3"/>
      <c r="F3" s="3"/>
      <c r="G3" s="3"/>
      <c r="H3" s="3"/>
      <c r="I3" s="3"/>
      <c r="J3" s="3"/>
      <c r="K3" s="3"/>
      <c r="L3" s="230"/>
      <c r="M3" s="230"/>
      <c r="N3" s="230"/>
      <c r="O3" s="178"/>
      <c r="P3" s="178"/>
      <c r="Q3" s="178"/>
    </row>
    <row r="4" spans="1:17" ht="23.25" x14ac:dyDescent="0.35">
      <c r="A4" s="2"/>
      <c r="B4" s="1"/>
      <c r="C4" s="3"/>
      <c r="D4" s="3"/>
      <c r="E4" s="3"/>
      <c r="F4" s="3"/>
      <c r="G4" s="3"/>
      <c r="H4" s="3"/>
      <c r="I4" s="3"/>
      <c r="J4" s="3"/>
      <c r="K4" s="3"/>
      <c r="L4" s="240" t="s">
        <v>27</v>
      </c>
      <c r="M4" s="240"/>
      <c r="N4" s="240"/>
      <c r="O4" s="240"/>
      <c r="P4" s="240"/>
      <c r="Q4" s="240"/>
    </row>
    <row r="5" spans="1:17" ht="21" x14ac:dyDescent="0.35">
      <c r="A5" s="2"/>
      <c r="B5" s="1"/>
      <c r="C5" s="3"/>
      <c r="D5" s="3"/>
      <c r="E5" s="3"/>
      <c r="F5" s="3"/>
      <c r="G5" s="3"/>
      <c r="H5" s="3"/>
      <c r="I5" s="3"/>
      <c r="J5" s="3"/>
      <c r="K5" s="3"/>
      <c r="L5" s="241" t="s">
        <v>28</v>
      </c>
      <c r="M5" s="241"/>
      <c r="N5" s="241"/>
      <c r="O5" s="241"/>
      <c r="P5" s="241"/>
      <c r="Q5" s="241"/>
    </row>
    <row r="6" spans="1:17" x14ac:dyDescent="0.25">
      <c r="A6" s="2"/>
      <c r="B6" s="1"/>
      <c r="C6" s="3"/>
      <c r="D6" s="3"/>
      <c r="E6" s="3"/>
      <c r="F6" s="3"/>
      <c r="G6" s="3"/>
      <c r="H6" s="3"/>
      <c r="I6" s="3"/>
      <c r="J6" s="3"/>
      <c r="K6" s="3"/>
      <c r="L6" s="2"/>
      <c r="M6" s="14"/>
      <c r="N6" s="14"/>
      <c r="O6" s="197"/>
      <c r="P6" s="179"/>
      <c r="Q6" s="180"/>
    </row>
    <row r="7" spans="1:17" ht="18.75" x14ac:dyDescent="0.3">
      <c r="A7" s="2"/>
      <c r="B7" s="1"/>
      <c r="C7" s="3"/>
      <c r="D7" s="3"/>
      <c r="E7" s="3"/>
      <c r="F7" s="3"/>
      <c r="G7" s="3"/>
      <c r="H7" s="3"/>
      <c r="I7" s="3"/>
      <c r="J7" s="3"/>
      <c r="K7" s="3"/>
      <c r="L7" s="238" t="s">
        <v>33</v>
      </c>
      <c r="M7" s="238"/>
      <c r="N7" s="238"/>
      <c r="O7" s="238"/>
      <c r="P7" s="238"/>
      <c r="Q7" s="238"/>
    </row>
    <row r="8" spans="1:17" x14ac:dyDescent="0.25">
      <c r="A8" s="2"/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181"/>
      <c r="P8" s="181"/>
    </row>
    <row r="9" spans="1:17" x14ac:dyDescent="0.25">
      <c r="A9" s="2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181"/>
      <c r="P9" s="181"/>
    </row>
    <row r="10" spans="1:17" ht="18" customHeight="1" x14ac:dyDescent="0.25">
      <c r="A10" s="239" t="s">
        <v>0</v>
      </c>
      <c r="B10" s="239"/>
      <c r="C10" s="239"/>
      <c r="D10" s="239"/>
      <c r="E10" s="239"/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</row>
    <row r="11" spans="1:17" ht="18" customHeight="1" x14ac:dyDescent="0.25">
      <c r="A11" s="239" t="s">
        <v>1</v>
      </c>
      <c r="B11" s="239"/>
      <c r="C11" s="239"/>
      <c r="D11" s="239"/>
      <c r="E11" s="239"/>
      <c r="F11" s="239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39"/>
    </row>
    <row r="12" spans="1:17" ht="18" customHeight="1" x14ac:dyDescent="0.25">
      <c r="A12" s="239" t="s">
        <v>2</v>
      </c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</row>
    <row r="13" spans="1:17" ht="63.6" customHeight="1" x14ac:dyDescent="0.25">
      <c r="A13" s="234" t="s">
        <v>1208</v>
      </c>
      <c r="B13" s="235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</row>
    <row r="14" spans="1:17" ht="27" customHeight="1" thickBot="1" x14ac:dyDescent="0.3">
      <c r="A14" s="242" t="s">
        <v>36</v>
      </c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2"/>
    </row>
    <row r="15" spans="1:17" ht="30.6" customHeight="1" thickBot="1" x14ac:dyDescent="0.3">
      <c r="A15" s="243" t="s">
        <v>24</v>
      </c>
      <c r="B15" s="244"/>
      <c r="C15" s="244"/>
      <c r="D15" s="244"/>
      <c r="E15" s="244"/>
      <c r="F15" s="244"/>
      <c r="G15" s="244"/>
      <c r="H15" s="244"/>
      <c r="I15" s="244"/>
      <c r="J15" s="244"/>
      <c r="K15" s="245" t="s">
        <v>25</v>
      </c>
      <c r="L15" s="246"/>
      <c r="M15" s="246"/>
      <c r="N15" s="246"/>
      <c r="O15" s="246"/>
      <c r="P15" s="246"/>
      <c r="Q15" s="247"/>
    </row>
    <row r="16" spans="1:17" ht="15" customHeight="1" x14ac:dyDescent="0.25">
      <c r="A16" s="259" t="s">
        <v>3</v>
      </c>
      <c r="B16" s="261" t="s">
        <v>4</v>
      </c>
      <c r="C16" s="248" t="s">
        <v>5</v>
      </c>
      <c r="D16" s="261" t="s">
        <v>6</v>
      </c>
      <c r="E16" s="263"/>
      <c r="F16" s="248"/>
      <c r="G16" s="248"/>
      <c r="H16" s="251"/>
      <c r="I16" s="248" t="s">
        <v>21</v>
      </c>
      <c r="J16" s="253" t="s">
        <v>22</v>
      </c>
      <c r="K16" s="199"/>
      <c r="L16" s="264" t="s">
        <v>7</v>
      </c>
      <c r="M16" s="265"/>
      <c r="N16" s="265"/>
      <c r="O16" s="265"/>
      <c r="P16" s="266"/>
      <c r="Q16" s="267" t="s">
        <v>8</v>
      </c>
    </row>
    <row r="17" spans="1:19" ht="34.15" customHeight="1" x14ac:dyDescent="0.25">
      <c r="A17" s="260"/>
      <c r="B17" s="262"/>
      <c r="C17" s="249"/>
      <c r="D17" s="262"/>
      <c r="E17" s="249"/>
      <c r="F17" s="249"/>
      <c r="G17" s="249"/>
      <c r="H17" s="252"/>
      <c r="I17" s="249"/>
      <c r="J17" s="254"/>
      <c r="K17" s="22" t="s">
        <v>20</v>
      </c>
      <c r="L17" s="19" t="s">
        <v>9</v>
      </c>
      <c r="M17" s="23" t="s">
        <v>10</v>
      </c>
      <c r="N17" s="12" t="s">
        <v>6</v>
      </c>
      <c r="O17" s="13" t="s">
        <v>21</v>
      </c>
      <c r="P17" s="13" t="s">
        <v>22</v>
      </c>
      <c r="Q17" s="254"/>
    </row>
    <row r="18" spans="1:19" ht="15.75" thickBot="1" x14ac:dyDescent="0.3">
      <c r="A18" s="26">
        <v>1</v>
      </c>
      <c r="B18" s="27">
        <v>2</v>
      </c>
      <c r="C18" s="27">
        <v>3</v>
      </c>
      <c r="D18" s="27">
        <v>4</v>
      </c>
      <c r="E18" s="27"/>
      <c r="F18" s="27"/>
      <c r="G18" s="27"/>
      <c r="H18" s="79"/>
      <c r="I18" s="27">
        <v>5</v>
      </c>
      <c r="J18" s="28">
        <v>6</v>
      </c>
      <c r="K18" s="26">
        <v>7</v>
      </c>
      <c r="L18" s="27">
        <v>8</v>
      </c>
      <c r="M18" s="27">
        <v>9</v>
      </c>
      <c r="N18" s="27">
        <v>10</v>
      </c>
      <c r="O18" s="27">
        <v>11</v>
      </c>
      <c r="P18" s="27" t="s">
        <v>752</v>
      </c>
      <c r="Q18" s="28" t="s">
        <v>753</v>
      </c>
      <c r="R18" s="268">
        <v>1</v>
      </c>
      <c r="S18" s="163"/>
    </row>
    <row r="19" spans="1:19" ht="33.6" customHeight="1" x14ac:dyDescent="0.25">
      <c r="A19" s="65"/>
      <c r="B19" s="85" t="s">
        <v>1208</v>
      </c>
      <c r="C19" s="85" t="s">
        <v>34</v>
      </c>
      <c r="D19" s="85">
        <v>1</v>
      </c>
      <c r="E19" s="74"/>
      <c r="F19" s="74"/>
      <c r="G19" s="74"/>
      <c r="H19" s="74"/>
      <c r="I19" s="74"/>
      <c r="J19" s="74"/>
      <c r="K19" s="206" t="s">
        <v>914</v>
      </c>
      <c r="L19" s="207" t="s">
        <v>915</v>
      </c>
      <c r="M19" s="206" t="s">
        <v>64</v>
      </c>
      <c r="N19" s="208">
        <v>25</v>
      </c>
      <c r="O19" s="209">
        <v>736.66066282420752</v>
      </c>
      <c r="P19" s="210">
        <f>O19*N19</f>
        <v>18416.516570605188</v>
      </c>
      <c r="Q19" s="101"/>
    </row>
    <row r="20" spans="1:19" ht="30" x14ac:dyDescent="0.25">
      <c r="A20" s="56"/>
      <c r="B20" s="64"/>
      <c r="C20" s="66"/>
      <c r="D20" s="67"/>
      <c r="E20" s="80"/>
      <c r="F20" s="81"/>
      <c r="G20" s="81"/>
      <c r="H20" s="53"/>
      <c r="I20" s="53"/>
      <c r="J20" s="53"/>
      <c r="K20" s="206" t="s">
        <v>916</v>
      </c>
      <c r="L20" s="207" t="s">
        <v>917</v>
      </c>
      <c r="M20" s="206" t="s">
        <v>64</v>
      </c>
      <c r="N20" s="208">
        <v>30</v>
      </c>
      <c r="O20" s="209">
        <v>736.66666666666663</v>
      </c>
      <c r="P20" s="210">
        <f t="shared" ref="P20:P83" si="0">O20*N20</f>
        <v>22100</v>
      </c>
      <c r="Q20" s="89"/>
    </row>
    <row r="21" spans="1:19" ht="15.75" x14ac:dyDescent="0.25">
      <c r="A21" s="58"/>
      <c r="B21" s="59"/>
      <c r="C21" s="59"/>
      <c r="D21" s="60"/>
      <c r="E21" s="80"/>
      <c r="F21" s="81"/>
      <c r="G21" s="81"/>
      <c r="H21" s="53"/>
      <c r="I21" s="75"/>
      <c r="J21" s="75"/>
      <c r="K21" s="206" t="s">
        <v>983</v>
      </c>
      <c r="L21" s="207" t="s">
        <v>984</v>
      </c>
      <c r="M21" s="206" t="s">
        <v>34</v>
      </c>
      <c r="N21" s="208">
        <v>0</v>
      </c>
      <c r="O21" s="209">
        <v>2184</v>
      </c>
      <c r="P21" s="210">
        <f t="shared" si="0"/>
        <v>0</v>
      </c>
      <c r="Q21" s="62"/>
    </row>
    <row r="22" spans="1:19" ht="15.75" x14ac:dyDescent="0.25">
      <c r="A22" s="58"/>
      <c r="B22" s="59"/>
      <c r="C22" s="59"/>
      <c r="D22" s="60"/>
      <c r="E22" s="80"/>
      <c r="F22" s="81"/>
      <c r="G22" s="81"/>
      <c r="H22" s="53"/>
      <c r="I22" s="75"/>
      <c r="J22" s="75"/>
      <c r="K22" s="206" t="s">
        <v>271</v>
      </c>
      <c r="L22" s="207" t="s">
        <v>272</v>
      </c>
      <c r="M22" s="206" t="s">
        <v>34</v>
      </c>
      <c r="N22" s="211">
        <v>11</v>
      </c>
      <c r="O22" s="209">
        <v>52.784285714285708</v>
      </c>
      <c r="P22" s="210">
        <f t="shared" si="0"/>
        <v>580.62714285714276</v>
      </c>
      <c r="Q22" s="62"/>
    </row>
    <row r="23" spans="1:19" ht="15.75" x14ac:dyDescent="0.25">
      <c r="A23" s="58"/>
      <c r="B23" s="59"/>
      <c r="C23" s="59"/>
      <c r="D23" s="60"/>
      <c r="E23" s="80"/>
      <c r="F23" s="81"/>
      <c r="G23" s="81"/>
      <c r="H23" s="53"/>
      <c r="I23" s="75"/>
      <c r="J23" s="75"/>
      <c r="K23" s="206" t="s">
        <v>58</v>
      </c>
      <c r="L23" s="207" t="s">
        <v>67</v>
      </c>
      <c r="M23" s="206" t="s">
        <v>34</v>
      </c>
      <c r="N23" s="208">
        <v>12</v>
      </c>
      <c r="O23" s="210">
        <v>56.056697247706424</v>
      </c>
      <c r="P23" s="210">
        <f t="shared" si="0"/>
        <v>672.68036697247703</v>
      </c>
      <c r="Q23" s="62"/>
    </row>
    <row r="24" spans="1:19" ht="30" x14ac:dyDescent="0.25">
      <c r="A24" s="58"/>
      <c r="B24" s="59"/>
      <c r="C24" s="59"/>
      <c r="D24" s="60"/>
      <c r="E24" s="80"/>
      <c r="F24" s="81"/>
      <c r="G24" s="81"/>
      <c r="H24" s="53"/>
      <c r="I24" s="75"/>
      <c r="J24" s="75"/>
      <c r="K24" s="206" t="s">
        <v>273</v>
      </c>
      <c r="L24" s="207" t="s">
        <v>274</v>
      </c>
      <c r="M24" s="206" t="s">
        <v>34</v>
      </c>
      <c r="N24" s="208">
        <v>5</v>
      </c>
      <c r="O24" s="209">
        <v>54.970799999999997</v>
      </c>
      <c r="P24" s="210">
        <f t="shared" si="0"/>
        <v>274.85399999999998</v>
      </c>
      <c r="Q24" s="62"/>
    </row>
    <row r="25" spans="1:19" ht="15.75" x14ac:dyDescent="0.25">
      <c r="A25" s="58"/>
      <c r="B25" s="59"/>
      <c r="C25" s="59"/>
      <c r="D25" s="60"/>
      <c r="E25" s="80"/>
      <c r="F25" s="81"/>
      <c r="G25" s="81"/>
      <c r="H25" s="53"/>
      <c r="I25" s="75"/>
      <c r="J25" s="75"/>
      <c r="K25" s="206" t="s">
        <v>985</v>
      </c>
      <c r="L25" s="207" t="s">
        <v>986</v>
      </c>
      <c r="M25" s="206" t="s">
        <v>34</v>
      </c>
      <c r="N25" s="208">
        <v>0</v>
      </c>
      <c r="O25" s="209">
        <v>445.39</v>
      </c>
      <c r="P25" s="210">
        <f t="shared" si="0"/>
        <v>0</v>
      </c>
      <c r="Q25" s="62"/>
    </row>
    <row r="26" spans="1:19" ht="15.75" x14ac:dyDescent="0.25">
      <c r="A26" s="58"/>
      <c r="B26" s="59"/>
      <c r="C26" s="59"/>
      <c r="D26" s="60"/>
      <c r="E26" s="80"/>
      <c r="F26" s="81"/>
      <c r="G26" s="81"/>
      <c r="H26" s="53"/>
      <c r="I26" s="75"/>
      <c r="J26" s="75"/>
      <c r="K26" s="206">
        <v>6259</v>
      </c>
      <c r="L26" s="207" t="s">
        <v>987</v>
      </c>
      <c r="M26" s="206" t="s">
        <v>34</v>
      </c>
      <c r="N26" s="208">
        <v>37.5</v>
      </c>
      <c r="O26" s="209">
        <v>9.1999999999999993</v>
      </c>
      <c r="P26" s="210">
        <f t="shared" si="0"/>
        <v>345</v>
      </c>
      <c r="Q26" s="62"/>
    </row>
    <row r="27" spans="1:19" ht="15.75" x14ac:dyDescent="0.25">
      <c r="A27" s="58"/>
      <c r="B27" s="59"/>
      <c r="C27" s="59"/>
      <c r="D27" s="60"/>
      <c r="E27" s="80"/>
      <c r="F27" s="81"/>
      <c r="G27" s="81"/>
      <c r="H27" s="53"/>
      <c r="I27" s="75"/>
      <c r="J27" s="75"/>
      <c r="K27" s="222" t="s">
        <v>988</v>
      </c>
      <c r="L27" s="223" t="s">
        <v>989</v>
      </c>
      <c r="M27" s="222" t="s">
        <v>34</v>
      </c>
      <c r="N27" s="220">
        <v>17.5</v>
      </c>
      <c r="O27" s="221">
        <v>10.7</v>
      </c>
      <c r="P27" s="210">
        <f t="shared" si="0"/>
        <v>187.25</v>
      </c>
      <c r="Q27" s="62"/>
    </row>
    <row r="28" spans="1:19" ht="15.75" x14ac:dyDescent="0.25">
      <c r="A28" s="58"/>
      <c r="B28" s="59"/>
      <c r="C28" s="59"/>
      <c r="D28" s="60"/>
      <c r="E28" s="80"/>
      <c r="F28" s="81"/>
      <c r="G28" s="81"/>
      <c r="H28" s="53"/>
      <c r="I28" s="75"/>
      <c r="J28" s="75"/>
      <c r="K28" s="222">
        <v>7346</v>
      </c>
      <c r="L28" s="223" t="s">
        <v>990</v>
      </c>
      <c r="M28" s="222" t="s">
        <v>34</v>
      </c>
      <c r="N28" s="220">
        <v>9.1666666666666679</v>
      </c>
      <c r="O28" s="221">
        <v>14.55</v>
      </c>
      <c r="P28" s="210">
        <f t="shared" si="0"/>
        <v>133.37500000000003</v>
      </c>
      <c r="Q28" s="62"/>
    </row>
    <row r="29" spans="1:19" ht="15.75" x14ac:dyDescent="0.25">
      <c r="A29" s="58"/>
      <c r="B29" s="59"/>
      <c r="C29" s="59"/>
      <c r="D29" s="60"/>
      <c r="E29" s="80"/>
      <c r="F29" s="81"/>
      <c r="G29" s="81"/>
      <c r="H29" s="53"/>
      <c r="I29" s="75"/>
      <c r="J29" s="75"/>
      <c r="K29" s="206">
        <v>12184</v>
      </c>
      <c r="L29" s="207" t="s">
        <v>991</v>
      </c>
      <c r="M29" s="206" t="s">
        <v>34</v>
      </c>
      <c r="N29" s="208">
        <v>14.166666666666668</v>
      </c>
      <c r="O29" s="209">
        <v>20.5</v>
      </c>
      <c r="P29" s="210">
        <f t="shared" si="0"/>
        <v>290.41666666666669</v>
      </c>
      <c r="Q29" s="62"/>
    </row>
    <row r="30" spans="1:19" ht="15.75" x14ac:dyDescent="0.25">
      <c r="A30" s="58"/>
      <c r="B30" s="59"/>
      <c r="C30" s="59"/>
      <c r="D30" s="60"/>
      <c r="E30" s="80"/>
      <c r="F30" s="81"/>
      <c r="G30" s="81"/>
      <c r="H30" s="53"/>
      <c r="I30" s="75"/>
      <c r="J30" s="75"/>
      <c r="K30" s="206">
        <v>5355</v>
      </c>
      <c r="L30" s="207" t="s">
        <v>902</v>
      </c>
      <c r="M30" s="206" t="s">
        <v>34</v>
      </c>
      <c r="N30" s="208">
        <v>27.5</v>
      </c>
      <c r="O30" s="209">
        <v>25</v>
      </c>
      <c r="P30" s="210">
        <f t="shared" si="0"/>
        <v>687.5</v>
      </c>
      <c r="Q30" s="62"/>
    </row>
    <row r="31" spans="1:19" ht="15.75" x14ac:dyDescent="0.25">
      <c r="A31" s="58"/>
      <c r="B31" s="59"/>
      <c r="C31" s="59"/>
      <c r="D31" s="60"/>
      <c r="E31" s="80"/>
      <c r="F31" s="81"/>
      <c r="G31" s="81"/>
      <c r="H31" s="53"/>
      <c r="I31" s="75"/>
      <c r="J31" s="75"/>
      <c r="K31" s="206" t="s">
        <v>992</v>
      </c>
      <c r="L31" s="207" t="s">
        <v>993</v>
      </c>
      <c r="M31" s="206" t="s">
        <v>34</v>
      </c>
      <c r="N31" s="208">
        <v>4.166666666666667</v>
      </c>
      <c r="O31" s="209">
        <v>80.22</v>
      </c>
      <c r="P31" s="210">
        <f t="shared" si="0"/>
        <v>334.25</v>
      </c>
      <c r="Q31" s="62"/>
    </row>
    <row r="32" spans="1:19" ht="15.75" x14ac:dyDescent="0.25">
      <c r="A32" s="58"/>
      <c r="B32" s="59"/>
      <c r="C32" s="59"/>
      <c r="D32" s="60"/>
      <c r="E32" s="80"/>
      <c r="F32" s="81"/>
      <c r="G32" s="81"/>
      <c r="H32" s="53"/>
      <c r="I32" s="75"/>
      <c r="J32" s="75"/>
      <c r="K32" s="206">
        <v>2877</v>
      </c>
      <c r="L32" s="207" t="s">
        <v>918</v>
      </c>
      <c r="M32" s="206" t="s">
        <v>34</v>
      </c>
      <c r="N32" s="208">
        <v>28.333333333333336</v>
      </c>
      <c r="O32" s="209">
        <v>153.16708860759493</v>
      </c>
      <c r="P32" s="210">
        <f t="shared" si="0"/>
        <v>4339.7341772151904</v>
      </c>
      <c r="Q32" s="62"/>
    </row>
    <row r="33" spans="1:17" ht="15.75" x14ac:dyDescent="0.25">
      <c r="A33" s="58"/>
      <c r="B33" s="59"/>
      <c r="C33" s="59"/>
      <c r="D33" s="60"/>
      <c r="E33" s="80"/>
      <c r="F33" s="81"/>
      <c r="G33" s="81"/>
      <c r="H33" s="53"/>
      <c r="I33" s="75"/>
      <c r="J33" s="75"/>
      <c r="K33" s="206">
        <v>16433</v>
      </c>
      <c r="L33" s="207" t="s">
        <v>994</v>
      </c>
      <c r="M33" s="206" t="s">
        <v>1207</v>
      </c>
      <c r="N33" s="208">
        <v>0.185</v>
      </c>
      <c r="O33" s="209">
        <v>9211.0843373493972</v>
      </c>
      <c r="P33" s="210">
        <f t="shared" si="0"/>
        <v>1704.0506024096385</v>
      </c>
      <c r="Q33" s="62"/>
    </row>
    <row r="34" spans="1:17" ht="15.75" x14ac:dyDescent="0.25">
      <c r="A34" s="58"/>
      <c r="B34" s="59"/>
      <c r="C34" s="59"/>
      <c r="D34" s="60"/>
      <c r="E34" s="80"/>
      <c r="F34" s="81"/>
      <c r="G34" s="81"/>
      <c r="H34" s="53"/>
      <c r="I34" s="75"/>
      <c r="J34" s="75"/>
      <c r="K34" s="206" t="s">
        <v>995</v>
      </c>
      <c r="L34" s="207" t="s">
        <v>996</v>
      </c>
      <c r="M34" s="206" t="s">
        <v>214</v>
      </c>
      <c r="N34" s="208">
        <v>0.1</v>
      </c>
      <c r="O34" s="209">
        <v>9211.074074074073</v>
      </c>
      <c r="P34" s="210">
        <f t="shared" si="0"/>
        <v>921.10740740740732</v>
      </c>
      <c r="Q34" s="62"/>
    </row>
    <row r="35" spans="1:17" ht="15.75" x14ac:dyDescent="0.25">
      <c r="A35" s="58"/>
      <c r="B35" s="59"/>
      <c r="C35" s="59"/>
      <c r="D35" s="60"/>
      <c r="E35" s="80"/>
      <c r="F35" s="81"/>
      <c r="G35" s="81"/>
      <c r="H35" s="53"/>
      <c r="I35" s="75"/>
      <c r="J35" s="75"/>
      <c r="K35" s="206">
        <v>1557</v>
      </c>
      <c r="L35" s="207" t="s">
        <v>997</v>
      </c>
      <c r="M35" s="206" t="s">
        <v>1207</v>
      </c>
      <c r="N35" s="208">
        <v>1.1225000000000001</v>
      </c>
      <c r="O35" s="209">
        <v>12711.08206485771</v>
      </c>
      <c r="P35" s="210">
        <f t="shared" si="0"/>
        <v>14268.18961780278</v>
      </c>
      <c r="Q35" s="62"/>
    </row>
    <row r="36" spans="1:17" ht="15.75" x14ac:dyDescent="0.25">
      <c r="A36" s="58"/>
      <c r="B36" s="59"/>
      <c r="C36" s="59"/>
      <c r="D36" s="60"/>
      <c r="E36" s="80"/>
      <c r="F36" s="81"/>
      <c r="G36" s="81"/>
      <c r="H36" s="53"/>
      <c r="I36" s="75"/>
      <c r="J36" s="75"/>
      <c r="K36" s="206">
        <v>443</v>
      </c>
      <c r="L36" s="207" t="s">
        <v>998</v>
      </c>
      <c r="M36" s="206" t="s">
        <v>45</v>
      </c>
      <c r="N36" s="208">
        <v>8.3333333333333339</v>
      </c>
      <c r="O36" s="209">
        <v>180.2</v>
      </c>
      <c r="P36" s="210">
        <f t="shared" si="0"/>
        <v>1501.6666666666667</v>
      </c>
      <c r="Q36" s="62"/>
    </row>
    <row r="37" spans="1:17" ht="15.75" x14ac:dyDescent="0.25">
      <c r="A37" s="58"/>
      <c r="B37" s="59"/>
      <c r="C37" s="59"/>
      <c r="D37" s="60"/>
      <c r="E37" s="80"/>
      <c r="F37" s="81"/>
      <c r="G37" s="81"/>
      <c r="H37" s="53"/>
      <c r="I37" s="75"/>
      <c r="J37" s="75"/>
      <c r="K37" s="206">
        <v>18520</v>
      </c>
      <c r="L37" s="207" t="s">
        <v>70</v>
      </c>
      <c r="M37" s="206" t="s">
        <v>56</v>
      </c>
      <c r="N37" s="208">
        <v>0.30583333333333335</v>
      </c>
      <c r="O37" s="209">
        <v>27097.843256379103</v>
      </c>
      <c r="P37" s="210">
        <f t="shared" si="0"/>
        <v>8287.4237292426096</v>
      </c>
      <c r="Q37" s="62"/>
    </row>
    <row r="38" spans="1:17" ht="15.75" x14ac:dyDescent="0.25">
      <c r="A38" s="58"/>
      <c r="B38" s="59"/>
      <c r="C38" s="59"/>
      <c r="D38" s="60"/>
      <c r="E38" s="80"/>
      <c r="F38" s="81"/>
      <c r="G38" s="81"/>
      <c r="H38" s="53"/>
      <c r="I38" s="75"/>
      <c r="J38" s="75"/>
      <c r="K38" s="206">
        <v>18382</v>
      </c>
      <c r="L38" s="207" t="s">
        <v>71</v>
      </c>
      <c r="M38" s="206" t="s">
        <v>56</v>
      </c>
      <c r="N38" s="208">
        <v>0.50583333333333336</v>
      </c>
      <c r="O38" s="209">
        <v>43525.508256880734</v>
      </c>
      <c r="P38" s="210">
        <f t="shared" si="0"/>
        <v>22016.652926605504</v>
      </c>
      <c r="Q38" s="62"/>
    </row>
    <row r="39" spans="1:17" ht="15.75" x14ac:dyDescent="0.25">
      <c r="A39" s="58"/>
      <c r="B39" s="59"/>
      <c r="C39" s="59"/>
      <c r="D39" s="60"/>
      <c r="E39" s="80"/>
      <c r="F39" s="81"/>
      <c r="G39" s="81"/>
      <c r="H39" s="53"/>
      <c r="I39" s="75"/>
      <c r="J39" s="75"/>
      <c r="K39" s="206">
        <v>18518</v>
      </c>
      <c r="L39" s="207" t="s">
        <v>72</v>
      </c>
      <c r="M39" s="206" t="s">
        <v>56</v>
      </c>
      <c r="N39" s="208">
        <v>0.17249999999999999</v>
      </c>
      <c r="O39" s="209">
        <v>68174.210526315786</v>
      </c>
      <c r="P39" s="210">
        <f t="shared" si="0"/>
        <v>11760.051315789473</v>
      </c>
      <c r="Q39" s="62"/>
    </row>
    <row r="40" spans="1:17" ht="15.75" x14ac:dyDescent="0.25">
      <c r="A40" s="58"/>
      <c r="B40" s="59"/>
      <c r="C40" s="59"/>
      <c r="D40" s="60"/>
      <c r="E40" s="80"/>
      <c r="F40" s="81"/>
      <c r="G40" s="81"/>
      <c r="H40" s="53"/>
      <c r="I40" s="75"/>
      <c r="J40" s="75"/>
      <c r="K40" s="206" t="s">
        <v>999</v>
      </c>
      <c r="L40" s="207" t="s">
        <v>1000</v>
      </c>
      <c r="M40" s="206" t="s">
        <v>56</v>
      </c>
      <c r="N40" s="208">
        <v>9.1666666666666667E-3</v>
      </c>
      <c r="O40" s="209">
        <v>99990</v>
      </c>
      <c r="P40" s="210">
        <f t="shared" si="0"/>
        <v>916.57500000000005</v>
      </c>
      <c r="Q40" s="62"/>
    </row>
    <row r="41" spans="1:17" ht="30" x14ac:dyDescent="0.25">
      <c r="A41" s="58"/>
      <c r="B41" s="59"/>
      <c r="C41" s="59"/>
      <c r="D41" s="60"/>
      <c r="E41" s="80"/>
      <c r="F41" s="81"/>
      <c r="G41" s="81"/>
      <c r="H41" s="53"/>
      <c r="I41" s="75"/>
      <c r="J41" s="75"/>
      <c r="K41" s="206">
        <v>599</v>
      </c>
      <c r="L41" s="207" t="s">
        <v>73</v>
      </c>
      <c r="M41" s="206" t="s">
        <v>34</v>
      </c>
      <c r="N41" s="208">
        <v>5.8333333333333339</v>
      </c>
      <c r="O41" s="209">
        <v>377.87121212121212</v>
      </c>
      <c r="P41" s="210">
        <f t="shared" si="0"/>
        <v>2204.2487373737376</v>
      </c>
      <c r="Q41" s="62"/>
    </row>
    <row r="42" spans="1:17" ht="30" x14ac:dyDescent="0.25">
      <c r="A42" s="58"/>
      <c r="B42" s="59"/>
      <c r="C42" s="59"/>
      <c r="D42" s="60"/>
      <c r="E42" s="80"/>
      <c r="F42" s="81"/>
      <c r="G42" s="81"/>
      <c r="H42" s="53"/>
      <c r="I42" s="75"/>
      <c r="J42" s="75"/>
      <c r="K42" s="206">
        <v>616</v>
      </c>
      <c r="L42" s="207" t="s">
        <v>279</v>
      </c>
      <c r="M42" s="206" t="s">
        <v>34</v>
      </c>
      <c r="N42" s="208">
        <v>9.1666666666666679</v>
      </c>
      <c r="O42" s="209">
        <v>69.381</v>
      </c>
      <c r="P42" s="210">
        <f t="shared" si="0"/>
        <v>635.99250000000006</v>
      </c>
      <c r="Q42" s="62"/>
    </row>
    <row r="43" spans="1:17" ht="15.75" x14ac:dyDescent="0.25">
      <c r="A43" s="58"/>
      <c r="B43" s="59"/>
      <c r="C43" s="59"/>
      <c r="D43" s="60"/>
      <c r="E43" s="80"/>
      <c r="F43" s="81"/>
      <c r="G43" s="81"/>
      <c r="H43" s="53"/>
      <c r="I43" s="75"/>
      <c r="J43" s="75"/>
      <c r="K43" s="206" t="s">
        <v>919</v>
      </c>
      <c r="L43" s="207" t="s">
        <v>920</v>
      </c>
      <c r="M43" s="206" t="s">
        <v>34</v>
      </c>
      <c r="N43" s="208">
        <v>0</v>
      </c>
      <c r="O43" s="209">
        <v>310</v>
      </c>
      <c r="P43" s="210">
        <f t="shared" si="0"/>
        <v>0</v>
      </c>
      <c r="Q43" s="62"/>
    </row>
    <row r="44" spans="1:17" ht="15.75" x14ac:dyDescent="0.25">
      <c r="A44" s="58"/>
      <c r="B44" s="59"/>
      <c r="C44" s="59"/>
      <c r="D44" s="60"/>
      <c r="E44" s="80"/>
      <c r="F44" s="81"/>
      <c r="G44" s="81"/>
      <c r="H44" s="53"/>
      <c r="I44" s="75"/>
      <c r="J44" s="75"/>
      <c r="K44" s="206">
        <v>4252</v>
      </c>
      <c r="L44" s="207" t="s">
        <v>1001</v>
      </c>
      <c r="M44" s="206" t="s">
        <v>34</v>
      </c>
      <c r="N44" s="208">
        <v>1.6666666666666667</v>
      </c>
      <c r="O44" s="209">
        <v>17.53875</v>
      </c>
      <c r="P44" s="210">
        <f t="shared" si="0"/>
        <v>29.231250000000003</v>
      </c>
      <c r="Q44" s="62"/>
    </row>
    <row r="45" spans="1:17" ht="30" x14ac:dyDescent="0.25">
      <c r="A45" s="58"/>
      <c r="B45" s="59"/>
      <c r="C45" s="59"/>
      <c r="D45" s="60"/>
      <c r="E45" s="80"/>
      <c r="F45" s="81"/>
      <c r="G45" s="81"/>
      <c r="H45" s="53"/>
      <c r="I45" s="75"/>
      <c r="J45" s="75"/>
      <c r="K45" s="206" t="s">
        <v>164</v>
      </c>
      <c r="L45" s="207" t="s">
        <v>165</v>
      </c>
      <c r="M45" s="206" t="s">
        <v>34</v>
      </c>
      <c r="N45" s="208">
        <v>0.83333333333333337</v>
      </c>
      <c r="O45" s="209">
        <v>405.46799999999996</v>
      </c>
      <c r="P45" s="210">
        <f t="shared" si="0"/>
        <v>337.89</v>
      </c>
      <c r="Q45" s="62"/>
    </row>
    <row r="46" spans="1:17" ht="15.75" x14ac:dyDescent="0.25">
      <c r="A46" s="58"/>
      <c r="B46" s="59"/>
      <c r="C46" s="59"/>
      <c r="D46" s="60"/>
      <c r="E46" s="80"/>
      <c r="F46" s="81"/>
      <c r="G46" s="81"/>
      <c r="H46" s="53"/>
      <c r="I46" s="75"/>
      <c r="J46" s="75"/>
      <c r="K46" s="206" t="s">
        <v>282</v>
      </c>
      <c r="L46" s="207" t="s">
        <v>283</v>
      </c>
      <c r="M46" s="206" t="s">
        <v>34</v>
      </c>
      <c r="N46" s="208">
        <v>13</v>
      </c>
      <c r="O46" s="209">
        <v>81.599999999999994</v>
      </c>
      <c r="P46" s="210">
        <f t="shared" si="0"/>
        <v>1060.8</v>
      </c>
      <c r="Q46" s="62"/>
    </row>
    <row r="47" spans="1:17" ht="15.75" x14ac:dyDescent="0.25">
      <c r="A47" s="58"/>
      <c r="B47" s="59"/>
      <c r="C47" s="59"/>
      <c r="D47" s="60"/>
      <c r="E47" s="80"/>
      <c r="F47" s="81"/>
      <c r="G47" s="81"/>
      <c r="H47" s="53"/>
      <c r="I47" s="75"/>
      <c r="J47" s="75"/>
      <c r="K47" s="206">
        <v>486</v>
      </c>
      <c r="L47" s="207" t="s">
        <v>284</v>
      </c>
      <c r="M47" s="206" t="s">
        <v>34</v>
      </c>
      <c r="N47" s="208">
        <v>3</v>
      </c>
      <c r="O47" s="209">
        <v>84.36</v>
      </c>
      <c r="P47" s="210">
        <f t="shared" si="0"/>
        <v>253.07999999999998</v>
      </c>
      <c r="Q47" s="62"/>
    </row>
    <row r="48" spans="1:17" ht="15.75" x14ac:dyDescent="0.25">
      <c r="A48" s="58"/>
      <c r="B48" s="59"/>
      <c r="C48" s="59"/>
      <c r="D48" s="60"/>
      <c r="E48" s="80"/>
      <c r="F48" s="81"/>
      <c r="G48" s="81"/>
      <c r="H48" s="53"/>
      <c r="I48" s="75"/>
      <c r="J48" s="75"/>
      <c r="K48" s="206" t="s">
        <v>972</v>
      </c>
      <c r="L48" s="207" t="s">
        <v>980</v>
      </c>
      <c r="M48" s="206" t="s">
        <v>34</v>
      </c>
      <c r="N48" s="208">
        <v>1</v>
      </c>
      <c r="O48" s="209">
        <v>2815.77</v>
      </c>
      <c r="P48" s="210">
        <f t="shared" si="0"/>
        <v>2815.77</v>
      </c>
      <c r="Q48" s="62"/>
    </row>
    <row r="49" spans="1:17" ht="15.75" x14ac:dyDescent="0.25">
      <c r="A49" s="58"/>
      <c r="B49" s="59"/>
      <c r="C49" s="59"/>
      <c r="D49" s="60"/>
      <c r="E49" s="80"/>
      <c r="F49" s="81"/>
      <c r="G49" s="81"/>
      <c r="H49" s="53"/>
      <c r="I49" s="75"/>
      <c r="J49" s="75"/>
      <c r="K49" s="206">
        <v>17002</v>
      </c>
      <c r="L49" s="207" t="s">
        <v>285</v>
      </c>
      <c r="M49" s="206" t="s">
        <v>34</v>
      </c>
      <c r="N49" s="208">
        <v>4</v>
      </c>
      <c r="O49" s="209">
        <v>85.8</v>
      </c>
      <c r="P49" s="210">
        <f t="shared" si="0"/>
        <v>343.2</v>
      </c>
      <c r="Q49" s="62"/>
    </row>
    <row r="50" spans="1:17" ht="15.75" x14ac:dyDescent="0.25">
      <c r="A50" s="58"/>
      <c r="B50" s="59"/>
      <c r="C50" s="59"/>
      <c r="D50" s="60"/>
      <c r="E50" s="80"/>
      <c r="F50" s="81"/>
      <c r="G50" s="81"/>
      <c r="H50" s="53"/>
      <c r="I50" s="75"/>
      <c r="J50" s="75"/>
      <c r="K50" s="206">
        <v>17003</v>
      </c>
      <c r="L50" s="207" t="s">
        <v>1002</v>
      </c>
      <c r="M50" s="206" t="s">
        <v>34</v>
      </c>
      <c r="N50" s="208">
        <v>1</v>
      </c>
      <c r="O50" s="209">
        <v>15.033333333333333</v>
      </c>
      <c r="P50" s="210">
        <f t="shared" si="0"/>
        <v>15.033333333333333</v>
      </c>
      <c r="Q50" s="62"/>
    </row>
    <row r="51" spans="1:17" ht="15.75" x14ac:dyDescent="0.25">
      <c r="A51" s="58"/>
      <c r="B51" s="59"/>
      <c r="C51" s="59"/>
      <c r="D51" s="60"/>
      <c r="E51" s="80"/>
      <c r="F51" s="81"/>
      <c r="G51" s="81"/>
      <c r="H51" s="53"/>
      <c r="I51" s="75"/>
      <c r="J51" s="75"/>
      <c r="K51" s="206" t="s">
        <v>1003</v>
      </c>
      <c r="L51" s="207" t="s">
        <v>1004</v>
      </c>
      <c r="M51" s="206" t="s">
        <v>34</v>
      </c>
      <c r="N51" s="208">
        <v>1</v>
      </c>
      <c r="O51" s="209">
        <v>58.333333333333336</v>
      </c>
      <c r="P51" s="210">
        <f t="shared" si="0"/>
        <v>58.333333333333336</v>
      </c>
      <c r="Q51" s="62"/>
    </row>
    <row r="52" spans="1:17" ht="15.75" x14ac:dyDescent="0.25">
      <c r="A52" s="58"/>
      <c r="B52" s="59"/>
      <c r="C52" s="59"/>
      <c r="D52" s="60"/>
      <c r="E52" s="80"/>
      <c r="F52" s="81"/>
      <c r="G52" s="81"/>
      <c r="H52" s="53"/>
      <c r="I52" s="75"/>
      <c r="J52" s="75"/>
      <c r="K52" s="206" t="s">
        <v>286</v>
      </c>
      <c r="L52" s="207" t="s">
        <v>287</v>
      </c>
      <c r="M52" s="206" t="s">
        <v>34</v>
      </c>
      <c r="N52" s="208">
        <v>0</v>
      </c>
      <c r="O52" s="209">
        <v>15.4</v>
      </c>
      <c r="P52" s="210">
        <f t="shared" si="0"/>
        <v>0</v>
      </c>
      <c r="Q52" s="62"/>
    </row>
    <row r="53" spans="1:17" ht="15.75" x14ac:dyDescent="0.25">
      <c r="A53" s="58"/>
      <c r="B53" s="59"/>
      <c r="C53" s="59"/>
      <c r="D53" s="60"/>
      <c r="E53" s="80"/>
      <c r="F53" s="81"/>
      <c r="G53" s="81"/>
      <c r="H53" s="53"/>
      <c r="I53" s="75"/>
      <c r="J53" s="75"/>
      <c r="K53" s="206" t="s">
        <v>1005</v>
      </c>
      <c r="L53" s="207" t="s">
        <v>1006</v>
      </c>
      <c r="M53" s="206" t="s">
        <v>34</v>
      </c>
      <c r="N53" s="208">
        <v>1</v>
      </c>
      <c r="O53" s="209">
        <v>15.5</v>
      </c>
      <c r="P53" s="210">
        <f t="shared" si="0"/>
        <v>15.5</v>
      </c>
      <c r="Q53" s="62"/>
    </row>
    <row r="54" spans="1:17" ht="15.75" x14ac:dyDescent="0.25">
      <c r="A54" s="58"/>
      <c r="B54" s="59"/>
      <c r="C54" s="59"/>
      <c r="D54" s="60"/>
      <c r="E54" s="80"/>
      <c r="F54" s="81"/>
      <c r="G54" s="81"/>
      <c r="H54" s="53"/>
      <c r="I54" s="75"/>
      <c r="J54" s="75"/>
      <c r="K54" s="206" t="s">
        <v>921</v>
      </c>
      <c r="L54" s="207" t="s">
        <v>922</v>
      </c>
      <c r="M54" s="206" t="s">
        <v>34</v>
      </c>
      <c r="N54" s="208">
        <v>3</v>
      </c>
      <c r="O54" s="209">
        <v>1532.1274999999998</v>
      </c>
      <c r="P54" s="210">
        <f t="shared" si="0"/>
        <v>4596.3824999999997</v>
      </c>
      <c r="Q54" s="62"/>
    </row>
    <row r="55" spans="1:17" ht="15.75" x14ac:dyDescent="0.25">
      <c r="A55" s="58"/>
      <c r="B55" s="59"/>
      <c r="C55" s="59"/>
      <c r="D55" s="60"/>
      <c r="E55" s="80"/>
      <c r="F55" s="81"/>
      <c r="G55" s="81"/>
      <c r="H55" s="53"/>
      <c r="I55" s="75"/>
      <c r="J55" s="75"/>
      <c r="K55" s="206" t="s">
        <v>1007</v>
      </c>
      <c r="L55" s="207" t="s">
        <v>1008</v>
      </c>
      <c r="M55" s="206" t="s">
        <v>68</v>
      </c>
      <c r="N55" s="208">
        <v>3.4009999999999998</v>
      </c>
      <c r="O55" s="209">
        <v>3781.890439682852</v>
      </c>
      <c r="P55" s="210">
        <f t="shared" si="0"/>
        <v>12862.209385361379</v>
      </c>
      <c r="Q55" s="62"/>
    </row>
    <row r="56" spans="1:17" ht="15.75" x14ac:dyDescent="0.25">
      <c r="A56" s="58"/>
      <c r="B56" s="59"/>
      <c r="C56" s="59"/>
      <c r="D56" s="60"/>
      <c r="E56" s="80"/>
      <c r="F56" s="81"/>
      <c r="G56" s="81"/>
      <c r="H56" s="53"/>
      <c r="I56" s="75"/>
      <c r="J56" s="75"/>
      <c r="K56" s="206">
        <v>10911</v>
      </c>
      <c r="L56" s="207" t="s">
        <v>288</v>
      </c>
      <c r="M56" s="206" t="s">
        <v>34</v>
      </c>
      <c r="N56" s="208">
        <v>3</v>
      </c>
      <c r="O56" s="209">
        <v>1355.9991666666667</v>
      </c>
      <c r="P56" s="210">
        <f t="shared" si="0"/>
        <v>4067.9975000000004</v>
      </c>
      <c r="Q56" s="62"/>
    </row>
    <row r="57" spans="1:17" ht="15.75" x14ac:dyDescent="0.25">
      <c r="A57" s="58"/>
      <c r="B57" s="59"/>
      <c r="C57" s="59"/>
      <c r="D57" s="60"/>
      <c r="E57" s="80"/>
      <c r="F57" s="81"/>
      <c r="G57" s="81"/>
      <c r="H57" s="53"/>
      <c r="I57" s="75"/>
      <c r="J57" s="75"/>
      <c r="K57" s="206" t="s">
        <v>49</v>
      </c>
      <c r="L57" s="207" t="s">
        <v>74</v>
      </c>
      <c r="M57" s="206" t="s">
        <v>34</v>
      </c>
      <c r="N57" s="208">
        <v>25</v>
      </c>
      <c r="O57" s="209">
        <v>120</v>
      </c>
      <c r="P57" s="210">
        <f t="shared" si="0"/>
        <v>3000</v>
      </c>
      <c r="Q57" s="62"/>
    </row>
    <row r="58" spans="1:17" ht="15.75" x14ac:dyDescent="0.25">
      <c r="A58" s="58"/>
      <c r="B58" s="59"/>
      <c r="C58" s="59"/>
      <c r="D58" s="60"/>
      <c r="E58" s="80"/>
      <c r="F58" s="81"/>
      <c r="G58" s="81"/>
      <c r="H58" s="53"/>
      <c r="I58" s="75"/>
      <c r="J58" s="75"/>
      <c r="K58" s="206">
        <v>11950</v>
      </c>
      <c r="L58" s="207" t="s">
        <v>760</v>
      </c>
      <c r="M58" s="206" t="s">
        <v>34</v>
      </c>
      <c r="N58" s="208">
        <v>1</v>
      </c>
      <c r="O58" s="209">
        <v>547.83000000000004</v>
      </c>
      <c r="P58" s="210">
        <f t="shared" si="0"/>
        <v>547.83000000000004</v>
      </c>
      <c r="Q58" s="62"/>
    </row>
    <row r="59" spans="1:17" ht="30" x14ac:dyDescent="0.25">
      <c r="A59" s="58"/>
      <c r="B59" s="59"/>
      <c r="C59" s="59"/>
      <c r="D59" s="60"/>
      <c r="E59" s="80"/>
      <c r="F59" s="81"/>
      <c r="G59" s="81"/>
      <c r="H59" s="53"/>
      <c r="I59" s="75"/>
      <c r="J59" s="75"/>
      <c r="K59" s="206" t="s">
        <v>1009</v>
      </c>
      <c r="L59" s="207" t="s">
        <v>1010</v>
      </c>
      <c r="M59" s="206" t="s">
        <v>34</v>
      </c>
      <c r="N59" s="208">
        <v>2</v>
      </c>
      <c r="O59" s="209">
        <v>5017.8999999999996</v>
      </c>
      <c r="P59" s="210">
        <f t="shared" si="0"/>
        <v>10035.799999999999</v>
      </c>
      <c r="Q59" s="62"/>
    </row>
    <row r="60" spans="1:17" ht="15.75" x14ac:dyDescent="0.25">
      <c r="A60" s="58"/>
      <c r="B60" s="59"/>
      <c r="C60" s="59"/>
      <c r="D60" s="60"/>
      <c r="E60" s="80"/>
      <c r="F60" s="81"/>
      <c r="G60" s="81"/>
      <c r="H60" s="53"/>
      <c r="I60" s="75"/>
      <c r="J60" s="75"/>
      <c r="K60" s="206">
        <v>5990</v>
      </c>
      <c r="L60" s="207" t="s">
        <v>75</v>
      </c>
      <c r="M60" s="206" t="s">
        <v>34</v>
      </c>
      <c r="N60" s="208">
        <v>89</v>
      </c>
      <c r="O60" s="209">
        <v>1.85</v>
      </c>
      <c r="P60" s="210">
        <f t="shared" si="0"/>
        <v>164.65</v>
      </c>
      <c r="Q60" s="62"/>
    </row>
    <row r="61" spans="1:17" ht="15.75" x14ac:dyDescent="0.25">
      <c r="A61" s="58"/>
      <c r="B61" s="59"/>
      <c r="C61" s="59"/>
      <c r="D61" s="60"/>
      <c r="E61" s="80"/>
      <c r="F61" s="81"/>
      <c r="G61" s="81"/>
      <c r="H61" s="53"/>
      <c r="I61" s="75"/>
      <c r="J61" s="75"/>
      <c r="K61" s="206">
        <v>1660</v>
      </c>
      <c r="L61" s="207" t="s">
        <v>923</v>
      </c>
      <c r="M61" s="206" t="s">
        <v>34</v>
      </c>
      <c r="N61" s="208">
        <v>134</v>
      </c>
      <c r="O61" s="209">
        <v>4.4000000000000004</v>
      </c>
      <c r="P61" s="210">
        <f t="shared" si="0"/>
        <v>589.6</v>
      </c>
      <c r="Q61" s="62"/>
    </row>
    <row r="62" spans="1:17" ht="15.75" x14ac:dyDescent="0.25">
      <c r="A62" s="58"/>
      <c r="B62" s="59"/>
      <c r="C62" s="59"/>
      <c r="D62" s="60"/>
      <c r="E62" s="80"/>
      <c r="F62" s="81"/>
      <c r="G62" s="81"/>
      <c r="H62" s="53"/>
      <c r="I62" s="75"/>
      <c r="J62" s="75"/>
      <c r="K62" s="206">
        <v>8421</v>
      </c>
      <c r="L62" s="207" t="s">
        <v>1011</v>
      </c>
      <c r="M62" s="206" t="s">
        <v>34</v>
      </c>
      <c r="N62" s="208">
        <v>21</v>
      </c>
      <c r="O62" s="209">
        <v>8.19</v>
      </c>
      <c r="P62" s="210">
        <f t="shared" si="0"/>
        <v>171.98999999999998</v>
      </c>
      <c r="Q62" s="62"/>
    </row>
    <row r="63" spans="1:17" ht="15.75" x14ac:dyDescent="0.25">
      <c r="A63" s="58"/>
      <c r="B63" s="59"/>
      <c r="C63" s="59"/>
      <c r="D63" s="60"/>
      <c r="E63" s="80"/>
      <c r="F63" s="81"/>
      <c r="G63" s="81"/>
      <c r="H63" s="53"/>
      <c r="I63" s="75"/>
      <c r="J63" s="75"/>
      <c r="K63" s="206">
        <v>10963</v>
      </c>
      <c r="L63" s="207" t="s">
        <v>924</v>
      </c>
      <c r="M63" s="206" t="s">
        <v>34</v>
      </c>
      <c r="N63" s="208">
        <v>72</v>
      </c>
      <c r="O63" s="209">
        <v>19.169230769230769</v>
      </c>
      <c r="P63" s="210">
        <f t="shared" si="0"/>
        <v>1380.1846153846154</v>
      </c>
      <c r="Q63" s="62"/>
    </row>
    <row r="64" spans="1:17" ht="15.75" x14ac:dyDescent="0.25">
      <c r="A64" s="58"/>
      <c r="B64" s="59"/>
      <c r="C64" s="59"/>
      <c r="D64" s="60"/>
      <c r="E64" s="80"/>
      <c r="F64" s="81"/>
      <c r="G64" s="81"/>
      <c r="H64" s="53"/>
      <c r="I64" s="75"/>
      <c r="J64" s="75"/>
      <c r="K64" s="206">
        <v>11364</v>
      </c>
      <c r="L64" s="207" t="s">
        <v>925</v>
      </c>
      <c r="M64" s="206" t="s">
        <v>34</v>
      </c>
      <c r="N64" s="208">
        <v>31</v>
      </c>
      <c r="O64" s="209">
        <v>179.21928571428572</v>
      </c>
      <c r="P64" s="210">
        <f t="shared" si="0"/>
        <v>5555.7978571428575</v>
      </c>
      <c r="Q64" s="62"/>
    </row>
    <row r="65" spans="1:17" ht="15.75" x14ac:dyDescent="0.25">
      <c r="A65" s="58"/>
      <c r="B65" s="59"/>
      <c r="C65" s="59"/>
      <c r="D65" s="60"/>
      <c r="E65" s="80"/>
      <c r="F65" s="81"/>
      <c r="G65" s="81"/>
      <c r="H65" s="53"/>
      <c r="I65" s="75"/>
      <c r="J65" s="75"/>
      <c r="K65" s="206" t="s">
        <v>903</v>
      </c>
      <c r="L65" s="207" t="s">
        <v>904</v>
      </c>
      <c r="M65" s="206" t="s">
        <v>34</v>
      </c>
      <c r="N65" s="208">
        <v>446</v>
      </c>
      <c r="O65" s="209">
        <v>0.65855999999999992</v>
      </c>
      <c r="P65" s="210">
        <f t="shared" si="0"/>
        <v>293.71775999999994</v>
      </c>
      <c r="Q65" s="62"/>
    </row>
    <row r="66" spans="1:17" ht="15.75" x14ac:dyDescent="0.25">
      <c r="A66" s="58"/>
      <c r="B66" s="59"/>
      <c r="C66" s="59"/>
      <c r="D66" s="60"/>
      <c r="E66" s="80"/>
      <c r="F66" s="81"/>
      <c r="G66" s="81"/>
      <c r="H66" s="53"/>
      <c r="I66" s="75"/>
      <c r="J66" s="75"/>
      <c r="K66" s="206">
        <v>17039</v>
      </c>
      <c r="L66" s="207" t="s">
        <v>290</v>
      </c>
      <c r="M66" s="206" t="s">
        <v>34</v>
      </c>
      <c r="N66" s="208">
        <v>1</v>
      </c>
      <c r="O66" s="209">
        <v>75040.835000000006</v>
      </c>
      <c r="P66" s="210">
        <f t="shared" si="0"/>
        <v>75040.835000000006</v>
      </c>
      <c r="Q66" s="62"/>
    </row>
    <row r="67" spans="1:17" ht="15.75" x14ac:dyDescent="0.25">
      <c r="A67" s="58"/>
      <c r="B67" s="59"/>
      <c r="C67" s="59"/>
      <c r="D67" s="60"/>
      <c r="E67" s="80"/>
      <c r="F67" s="81"/>
      <c r="G67" s="81"/>
      <c r="H67" s="53"/>
      <c r="I67" s="75"/>
      <c r="J67" s="75"/>
      <c r="K67" s="206" t="s">
        <v>1012</v>
      </c>
      <c r="L67" s="207" t="s">
        <v>1013</v>
      </c>
      <c r="M67" s="206" t="s">
        <v>68</v>
      </c>
      <c r="N67" s="208">
        <v>0</v>
      </c>
      <c r="O67" s="209">
        <v>42</v>
      </c>
      <c r="P67" s="210">
        <f t="shared" si="0"/>
        <v>0</v>
      </c>
      <c r="Q67" s="62"/>
    </row>
    <row r="68" spans="1:17" ht="15.75" x14ac:dyDescent="0.25">
      <c r="A68" s="58"/>
      <c r="B68" s="59"/>
      <c r="C68" s="59"/>
      <c r="D68" s="60"/>
      <c r="E68" s="80"/>
      <c r="F68" s="81"/>
      <c r="G68" s="81"/>
      <c r="H68" s="53"/>
      <c r="I68" s="75"/>
      <c r="J68" s="75"/>
      <c r="K68" s="206" t="s">
        <v>926</v>
      </c>
      <c r="L68" s="207" t="s">
        <v>927</v>
      </c>
      <c r="M68" s="206" t="s">
        <v>34</v>
      </c>
      <c r="N68" s="208">
        <v>2</v>
      </c>
      <c r="O68" s="209">
        <v>110.21833333333332</v>
      </c>
      <c r="P68" s="210">
        <f t="shared" si="0"/>
        <v>220.43666666666664</v>
      </c>
      <c r="Q68" s="62"/>
    </row>
    <row r="69" spans="1:17" ht="15.75" x14ac:dyDescent="0.25">
      <c r="A69" s="58"/>
      <c r="B69" s="59"/>
      <c r="C69" s="59"/>
      <c r="D69" s="60"/>
      <c r="E69" s="80"/>
      <c r="F69" s="81"/>
      <c r="G69" s="81"/>
      <c r="H69" s="53"/>
      <c r="I69" s="75"/>
      <c r="J69" s="75"/>
      <c r="K69" s="206" t="s">
        <v>1014</v>
      </c>
      <c r="L69" s="207" t="s">
        <v>1015</v>
      </c>
      <c r="M69" s="206" t="s">
        <v>34</v>
      </c>
      <c r="N69" s="208">
        <v>1</v>
      </c>
      <c r="O69" s="209">
        <v>131.19999999999999</v>
      </c>
      <c r="P69" s="210">
        <f t="shared" si="0"/>
        <v>131.19999999999999</v>
      </c>
      <c r="Q69" s="62"/>
    </row>
    <row r="70" spans="1:17" ht="15.75" x14ac:dyDescent="0.25">
      <c r="A70" s="58"/>
      <c r="B70" s="59"/>
      <c r="C70" s="59"/>
      <c r="D70" s="60"/>
      <c r="E70" s="80"/>
      <c r="F70" s="81"/>
      <c r="G70" s="81"/>
      <c r="H70" s="53"/>
      <c r="I70" s="75"/>
      <c r="J70" s="75"/>
      <c r="K70" s="206">
        <v>82</v>
      </c>
      <c r="L70" s="207" t="s">
        <v>1016</v>
      </c>
      <c r="M70" s="206" t="s">
        <v>34</v>
      </c>
      <c r="N70" s="208">
        <v>1</v>
      </c>
      <c r="O70" s="209">
        <v>171.6</v>
      </c>
      <c r="P70" s="210">
        <f t="shared" si="0"/>
        <v>171.6</v>
      </c>
      <c r="Q70" s="62"/>
    </row>
    <row r="71" spans="1:17" ht="15.75" x14ac:dyDescent="0.25">
      <c r="A71" s="58"/>
      <c r="B71" s="59"/>
      <c r="C71" s="59"/>
      <c r="D71" s="60"/>
      <c r="E71" s="80"/>
      <c r="F71" s="81"/>
      <c r="G71" s="81"/>
      <c r="H71" s="53"/>
      <c r="I71" s="75"/>
      <c r="J71" s="75"/>
      <c r="K71" s="206" t="s">
        <v>1017</v>
      </c>
      <c r="L71" s="207" t="s">
        <v>1018</v>
      </c>
      <c r="M71" s="206" t="s">
        <v>34</v>
      </c>
      <c r="N71" s="208">
        <v>1</v>
      </c>
      <c r="O71" s="209">
        <v>166.79999999999998</v>
      </c>
      <c r="P71" s="210">
        <f t="shared" si="0"/>
        <v>166.79999999999998</v>
      </c>
      <c r="Q71" s="62"/>
    </row>
    <row r="72" spans="1:17" ht="15.75" x14ac:dyDescent="0.25">
      <c r="A72" s="58"/>
      <c r="B72" s="59"/>
      <c r="C72" s="59"/>
      <c r="D72" s="60"/>
      <c r="E72" s="80"/>
      <c r="F72" s="81"/>
      <c r="G72" s="81"/>
      <c r="H72" s="53"/>
      <c r="I72" s="75"/>
      <c r="J72" s="75"/>
      <c r="K72" s="206">
        <v>89</v>
      </c>
      <c r="L72" s="207" t="s">
        <v>294</v>
      </c>
      <c r="M72" s="206" t="s">
        <v>34</v>
      </c>
      <c r="N72" s="208">
        <v>0</v>
      </c>
      <c r="O72" s="209">
        <v>202.9</v>
      </c>
      <c r="P72" s="210">
        <f t="shared" si="0"/>
        <v>0</v>
      </c>
      <c r="Q72" s="62"/>
    </row>
    <row r="73" spans="1:17" ht="30" x14ac:dyDescent="0.25">
      <c r="A73" s="58"/>
      <c r="B73" s="59"/>
      <c r="C73" s="59"/>
      <c r="D73" s="60"/>
      <c r="E73" s="80"/>
      <c r="F73" s="81"/>
      <c r="G73" s="81"/>
      <c r="H73" s="53"/>
      <c r="I73" s="75"/>
      <c r="J73" s="75"/>
      <c r="K73" s="206">
        <v>19322</v>
      </c>
      <c r="L73" s="207" t="s">
        <v>296</v>
      </c>
      <c r="M73" s="206" t="s">
        <v>34</v>
      </c>
      <c r="N73" s="208">
        <v>11</v>
      </c>
      <c r="O73" s="209">
        <v>182.8</v>
      </c>
      <c r="P73" s="210">
        <f t="shared" si="0"/>
        <v>2010.8000000000002</v>
      </c>
      <c r="Q73" s="62"/>
    </row>
    <row r="74" spans="1:17" ht="15.75" x14ac:dyDescent="0.25">
      <c r="A74" s="58"/>
      <c r="B74" s="59"/>
      <c r="C74" s="59"/>
      <c r="D74" s="60"/>
      <c r="E74" s="80"/>
      <c r="F74" s="81"/>
      <c r="G74" s="81"/>
      <c r="H74" s="53"/>
      <c r="I74" s="75"/>
      <c r="J74" s="75"/>
      <c r="K74" s="206">
        <v>341</v>
      </c>
      <c r="L74" s="207" t="s">
        <v>297</v>
      </c>
      <c r="M74" s="206" t="s">
        <v>34</v>
      </c>
      <c r="N74" s="208">
        <v>7</v>
      </c>
      <c r="O74" s="209">
        <v>175.3</v>
      </c>
      <c r="P74" s="210">
        <f t="shared" si="0"/>
        <v>1227.1000000000001</v>
      </c>
      <c r="Q74" s="62"/>
    </row>
    <row r="75" spans="1:17" ht="15.75" x14ac:dyDescent="0.25">
      <c r="A75" s="58"/>
      <c r="B75" s="59"/>
      <c r="C75" s="59"/>
      <c r="D75" s="60"/>
      <c r="E75" s="80"/>
      <c r="F75" s="81"/>
      <c r="G75" s="81"/>
      <c r="H75" s="53"/>
      <c r="I75" s="75"/>
      <c r="J75" s="75"/>
      <c r="K75" s="206" t="s">
        <v>298</v>
      </c>
      <c r="L75" s="207" t="s">
        <v>299</v>
      </c>
      <c r="M75" s="206" t="s">
        <v>34</v>
      </c>
      <c r="N75" s="208">
        <v>7</v>
      </c>
      <c r="O75" s="209">
        <v>220.31242424242424</v>
      </c>
      <c r="P75" s="210">
        <f t="shared" si="0"/>
        <v>1542.1869696969698</v>
      </c>
      <c r="Q75" s="62"/>
    </row>
    <row r="76" spans="1:17" ht="15.75" x14ac:dyDescent="0.25">
      <c r="A76" s="58"/>
      <c r="B76" s="59"/>
      <c r="C76" s="59"/>
      <c r="D76" s="60"/>
      <c r="E76" s="80"/>
      <c r="F76" s="81"/>
      <c r="G76" s="81"/>
      <c r="H76" s="53"/>
      <c r="I76" s="75"/>
      <c r="J76" s="75"/>
      <c r="K76" s="206" t="s">
        <v>1019</v>
      </c>
      <c r="L76" s="207" t="s">
        <v>1020</v>
      </c>
      <c r="M76" s="206" t="s">
        <v>34</v>
      </c>
      <c r="N76" s="208">
        <v>4</v>
      </c>
      <c r="O76" s="209">
        <v>2911.4352941176471</v>
      </c>
      <c r="P76" s="210">
        <f t="shared" si="0"/>
        <v>11645.741176470588</v>
      </c>
      <c r="Q76" s="62"/>
    </row>
    <row r="77" spans="1:17" ht="15.75" x14ac:dyDescent="0.25">
      <c r="A77" s="58"/>
      <c r="B77" s="59"/>
      <c r="C77" s="59"/>
      <c r="D77" s="60"/>
      <c r="E77" s="80"/>
      <c r="F77" s="81"/>
      <c r="G77" s="81"/>
      <c r="H77" s="53"/>
      <c r="I77" s="75"/>
      <c r="J77" s="75"/>
      <c r="K77" s="206">
        <v>16915</v>
      </c>
      <c r="L77" s="207" t="s">
        <v>1021</v>
      </c>
      <c r="M77" s="206" t="s">
        <v>35</v>
      </c>
      <c r="N77" s="208">
        <v>55</v>
      </c>
      <c r="O77" s="209">
        <v>87.51</v>
      </c>
      <c r="P77" s="210">
        <f t="shared" si="0"/>
        <v>4813.05</v>
      </c>
      <c r="Q77" s="62"/>
    </row>
    <row r="78" spans="1:17" ht="15.75" x14ac:dyDescent="0.25">
      <c r="A78" s="58"/>
      <c r="B78" s="59"/>
      <c r="C78" s="59"/>
      <c r="D78" s="60"/>
      <c r="E78" s="80"/>
      <c r="F78" s="81"/>
      <c r="G78" s="81"/>
      <c r="H78" s="53"/>
      <c r="I78" s="75"/>
      <c r="J78" s="75"/>
      <c r="K78" s="206" t="s">
        <v>928</v>
      </c>
      <c r="L78" s="207" t="s">
        <v>1022</v>
      </c>
      <c r="M78" s="206" t="s">
        <v>34</v>
      </c>
      <c r="N78" s="208">
        <v>1</v>
      </c>
      <c r="O78" s="209">
        <v>16423.330000000002</v>
      </c>
      <c r="P78" s="210">
        <f t="shared" si="0"/>
        <v>16423.330000000002</v>
      </c>
      <c r="Q78" s="62"/>
    </row>
    <row r="79" spans="1:17" ht="15.75" x14ac:dyDescent="0.25">
      <c r="A79" s="58"/>
      <c r="B79" s="59"/>
      <c r="C79" s="59"/>
      <c r="D79" s="60"/>
      <c r="E79" s="80"/>
      <c r="F79" s="81"/>
      <c r="G79" s="81"/>
      <c r="H79" s="53"/>
      <c r="I79" s="75"/>
      <c r="J79" s="75"/>
      <c r="K79" s="206" t="s">
        <v>304</v>
      </c>
      <c r="L79" s="207" t="s">
        <v>305</v>
      </c>
      <c r="M79" s="206" t="s">
        <v>34</v>
      </c>
      <c r="N79" s="208">
        <v>40</v>
      </c>
      <c r="O79" s="209">
        <v>63.278145695364238</v>
      </c>
      <c r="P79" s="210">
        <f t="shared" si="0"/>
        <v>2531.1258278145697</v>
      </c>
      <c r="Q79" s="62"/>
    </row>
    <row r="80" spans="1:17" ht="15.75" x14ac:dyDescent="0.25">
      <c r="A80" s="58"/>
      <c r="B80" s="59"/>
      <c r="C80" s="59"/>
      <c r="D80" s="60"/>
      <c r="E80" s="80"/>
      <c r="F80" s="81"/>
      <c r="G80" s="81"/>
      <c r="H80" s="53"/>
      <c r="I80" s="75"/>
      <c r="J80" s="75"/>
      <c r="K80" s="206" t="s">
        <v>308</v>
      </c>
      <c r="L80" s="207" t="s">
        <v>309</v>
      </c>
      <c r="M80" s="206" t="s">
        <v>34</v>
      </c>
      <c r="N80" s="208">
        <v>48</v>
      </c>
      <c r="O80" s="209">
        <v>73.862803738317751</v>
      </c>
      <c r="P80" s="210">
        <f t="shared" si="0"/>
        <v>3545.4145794392521</v>
      </c>
      <c r="Q80" s="62"/>
    </row>
    <row r="81" spans="1:17" ht="15.75" x14ac:dyDescent="0.25">
      <c r="A81" s="58"/>
      <c r="B81" s="59"/>
      <c r="C81" s="59"/>
      <c r="D81" s="60"/>
      <c r="E81" s="80"/>
      <c r="F81" s="81"/>
      <c r="G81" s="81"/>
      <c r="H81" s="53"/>
      <c r="I81" s="75"/>
      <c r="J81" s="75"/>
      <c r="K81" s="206" t="s">
        <v>310</v>
      </c>
      <c r="L81" s="207" t="s">
        <v>311</v>
      </c>
      <c r="M81" s="206" t="s">
        <v>34</v>
      </c>
      <c r="N81" s="208">
        <v>8</v>
      </c>
      <c r="O81" s="209">
        <v>122.01414634146342</v>
      </c>
      <c r="P81" s="210">
        <f t="shared" si="0"/>
        <v>976.11317073170733</v>
      </c>
      <c r="Q81" s="62"/>
    </row>
    <row r="82" spans="1:17" ht="15.75" x14ac:dyDescent="0.25">
      <c r="A82" s="58"/>
      <c r="B82" s="59"/>
      <c r="C82" s="59"/>
      <c r="D82" s="60"/>
      <c r="E82" s="80"/>
      <c r="F82" s="81"/>
      <c r="G82" s="81"/>
      <c r="H82" s="53"/>
      <c r="I82" s="75"/>
      <c r="J82" s="75"/>
      <c r="K82" s="206" t="s">
        <v>1023</v>
      </c>
      <c r="L82" s="207" t="s">
        <v>1024</v>
      </c>
      <c r="M82" s="206" t="s">
        <v>34</v>
      </c>
      <c r="N82" s="208">
        <v>0</v>
      </c>
      <c r="O82" s="209">
        <v>1068.5450000000001</v>
      </c>
      <c r="P82" s="210">
        <f t="shared" si="0"/>
        <v>0</v>
      </c>
      <c r="Q82" s="62"/>
    </row>
    <row r="83" spans="1:17" ht="15.75" x14ac:dyDescent="0.25">
      <c r="A83" s="58"/>
      <c r="B83" s="59"/>
      <c r="C83" s="59"/>
      <c r="D83" s="60"/>
      <c r="E83" s="80"/>
      <c r="F83" s="81"/>
      <c r="G83" s="81"/>
      <c r="H83" s="53"/>
      <c r="I83" s="75"/>
      <c r="J83" s="75"/>
      <c r="K83" s="206" t="s">
        <v>929</v>
      </c>
      <c r="L83" s="207" t="s">
        <v>930</v>
      </c>
      <c r="M83" s="206" t="s">
        <v>34</v>
      </c>
      <c r="N83" s="208">
        <v>4</v>
      </c>
      <c r="O83" s="209">
        <v>6524.7620000000006</v>
      </c>
      <c r="P83" s="210">
        <f t="shared" si="0"/>
        <v>26099.048000000003</v>
      </c>
      <c r="Q83" s="62"/>
    </row>
    <row r="84" spans="1:17" ht="15.75" x14ac:dyDescent="0.25">
      <c r="A84" s="58"/>
      <c r="B84" s="59"/>
      <c r="C84" s="59"/>
      <c r="D84" s="60"/>
      <c r="E84" s="80"/>
      <c r="F84" s="81"/>
      <c r="G84" s="81"/>
      <c r="H84" s="53"/>
      <c r="I84" s="75"/>
      <c r="J84" s="75"/>
      <c r="K84" s="206" t="s">
        <v>900</v>
      </c>
      <c r="L84" s="207" t="s">
        <v>901</v>
      </c>
      <c r="M84" s="206" t="s">
        <v>34</v>
      </c>
      <c r="N84" s="208">
        <v>3</v>
      </c>
      <c r="O84" s="209">
        <v>259.77818181818179</v>
      </c>
      <c r="P84" s="210">
        <f t="shared" ref="P84:P147" si="1">O84*N84</f>
        <v>779.33454545454538</v>
      </c>
      <c r="Q84" s="62"/>
    </row>
    <row r="85" spans="1:17" ht="15.75" x14ac:dyDescent="0.25">
      <c r="A85" s="58"/>
      <c r="B85" s="59"/>
      <c r="C85" s="59"/>
      <c r="D85" s="60"/>
      <c r="E85" s="80"/>
      <c r="F85" s="81"/>
      <c r="G85" s="81"/>
      <c r="H85" s="53"/>
      <c r="I85" s="75"/>
      <c r="J85" s="75"/>
      <c r="K85" s="206" t="s">
        <v>312</v>
      </c>
      <c r="L85" s="207" t="s">
        <v>313</v>
      </c>
      <c r="M85" s="206" t="s">
        <v>34</v>
      </c>
      <c r="N85" s="208">
        <v>3</v>
      </c>
      <c r="O85" s="209">
        <v>336.99</v>
      </c>
      <c r="P85" s="210">
        <f t="shared" si="1"/>
        <v>1010.97</v>
      </c>
      <c r="Q85" s="62"/>
    </row>
    <row r="86" spans="1:17" ht="15.75" x14ac:dyDescent="0.25">
      <c r="A86" s="58"/>
      <c r="B86" s="59"/>
      <c r="C86" s="59"/>
      <c r="D86" s="60"/>
      <c r="E86" s="80"/>
      <c r="F86" s="81"/>
      <c r="G86" s="81"/>
      <c r="H86" s="53"/>
      <c r="I86" s="75"/>
      <c r="J86" s="75"/>
      <c r="K86" s="206" t="s">
        <v>523</v>
      </c>
      <c r="L86" s="207" t="s">
        <v>962</v>
      </c>
      <c r="M86" s="206" t="s">
        <v>34</v>
      </c>
      <c r="N86" s="208">
        <v>2</v>
      </c>
      <c r="O86" s="209">
        <v>293.34100000000001</v>
      </c>
      <c r="P86" s="210">
        <f t="shared" si="1"/>
        <v>586.68200000000002</v>
      </c>
      <c r="Q86" s="62"/>
    </row>
    <row r="87" spans="1:17" ht="15.75" x14ac:dyDescent="0.25">
      <c r="A87" s="58"/>
      <c r="B87" s="59"/>
      <c r="C87" s="59"/>
      <c r="D87" s="60"/>
      <c r="E87" s="80"/>
      <c r="F87" s="81"/>
      <c r="G87" s="81"/>
      <c r="H87" s="53"/>
      <c r="I87" s="75"/>
      <c r="J87" s="75"/>
      <c r="K87" s="206" t="s">
        <v>907</v>
      </c>
      <c r="L87" s="207" t="s">
        <v>908</v>
      </c>
      <c r="M87" s="206" t="s">
        <v>1207</v>
      </c>
      <c r="N87" s="208">
        <v>0.36899999999999999</v>
      </c>
      <c r="O87" s="209">
        <v>8163.04347826087</v>
      </c>
      <c r="P87" s="210">
        <f t="shared" si="1"/>
        <v>3012.163043478261</v>
      </c>
      <c r="Q87" s="62"/>
    </row>
    <row r="88" spans="1:17" ht="15.75" x14ac:dyDescent="0.25">
      <c r="A88" s="58"/>
      <c r="B88" s="59"/>
      <c r="C88" s="59"/>
      <c r="D88" s="60"/>
      <c r="E88" s="80"/>
      <c r="F88" s="81"/>
      <c r="G88" s="81"/>
      <c r="H88" s="53"/>
      <c r="I88" s="75"/>
      <c r="J88" s="75"/>
      <c r="K88" s="206">
        <v>9858</v>
      </c>
      <c r="L88" s="207" t="s">
        <v>178</v>
      </c>
      <c r="M88" s="206" t="s">
        <v>56</v>
      </c>
      <c r="N88" s="208">
        <v>8.0000000000000002E-3</v>
      </c>
      <c r="O88" s="209">
        <v>38882.647058823524</v>
      </c>
      <c r="P88" s="210">
        <f t="shared" si="1"/>
        <v>311.06117647058818</v>
      </c>
      <c r="Q88" s="62"/>
    </row>
    <row r="89" spans="1:17" ht="15.75" x14ac:dyDescent="0.25">
      <c r="A89" s="58"/>
      <c r="B89" s="59"/>
      <c r="C89" s="59"/>
      <c r="D89" s="60"/>
      <c r="E89" s="80"/>
      <c r="F89" s="81"/>
      <c r="G89" s="81"/>
      <c r="H89" s="53"/>
      <c r="I89" s="75"/>
      <c r="J89" s="75"/>
      <c r="K89" s="206">
        <v>6366</v>
      </c>
      <c r="L89" s="207" t="s">
        <v>1025</v>
      </c>
      <c r="M89" s="206" t="s">
        <v>56</v>
      </c>
      <c r="N89" s="208">
        <v>1E-3</v>
      </c>
      <c r="O89" s="209">
        <v>42480</v>
      </c>
      <c r="P89" s="210">
        <f t="shared" si="1"/>
        <v>42.480000000000004</v>
      </c>
      <c r="Q89" s="62"/>
    </row>
    <row r="90" spans="1:17" ht="15.75" x14ac:dyDescent="0.25">
      <c r="A90" s="58"/>
      <c r="B90" s="59"/>
      <c r="C90" s="59"/>
      <c r="D90" s="60"/>
      <c r="E90" s="80"/>
      <c r="F90" s="81"/>
      <c r="G90" s="81"/>
      <c r="H90" s="53"/>
      <c r="I90" s="75"/>
      <c r="J90" s="75"/>
      <c r="K90" s="206">
        <v>10853</v>
      </c>
      <c r="L90" s="207" t="s">
        <v>1026</v>
      </c>
      <c r="M90" s="206" t="s">
        <v>56</v>
      </c>
      <c r="N90" s="208">
        <v>1E-3</v>
      </c>
      <c r="O90" s="209">
        <v>45000</v>
      </c>
      <c r="P90" s="210">
        <f t="shared" si="1"/>
        <v>45</v>
      </c>
      <c r="Q90" s="62"/>
    </row>
    <row r="91" spans="1:17" ht="15.75" x14ac:dyDescent="0.25">
      <c r="A91" s="58"/>
      <c r="B91" s="59"/>
      <c r="C91" s="59"/>
      <c r="D91" s="60"/>
      <c r="E91" s="80"/>
      <c r="F91" s="81"/>
      <c r="G91" s="81"/>
      <c r="H91" s="53"/>
      <c r="I91" s="75"/>
      <c r="J91" s="75"/>
      <c r="K91" s="206" t="s">
        <v>758</v>
      </c>
      <c r="L91" s="207" t="s">
        <v>759</v>
      </c>
      <c r="M91" s="206" t="s">
        <v>34</v>
      </c>
      <c r="N91" s="208">
        <v>2</v>
      </c>
      <c r="O91" s="209">
        <v>11183.761818181818</v>
      </c>
      <c r="P91" s="210">
        <f t="shared" si="1"/>
        <v>22367.523636363636</v>
      </c>
      <c r="Q91" s="62"/>
    </row>
    <row r="92" spans="1:17" ht="15.75" x14ac:dyDescent="0.25">
      <c r="A92" s="58"/>
      <c r="B92" s="59"/>
      <c r="C92" s="59"/>
      <c r="D92" s="60"/>
      <c r="E92" s="80"/>
      <c r="F92" s="81"/>
      <c r="G92" s="81"/>
      <c r="H92" s="53"/>
      <c r="I92" s="75"/>
      <c r="J92" s="75"/>
      <c r="K92" s="206" t="s">
        <v>931</v>
      </c>
      <c r="L92" s="207" t="s">
        <v>932</v>
      </c>
      <c r="M92" s="206" t="s">
        <v>34</v>
      </c>
      <c r="N92" s="208">
        <v>1</v>
      </c>
      <c r="O92" s="209">
        <v>2759.8249999999998</v>
      </c>
      <c r="P92" s="210">
        <f t="shared" si="1"/>
        <v>2759.8249999999998</v>
      </c>
      <c r="Q92" s="62"/>
    </row>
    <row r="93" spans="1:17" ht="30" x14ac:dyDescent="0.25">
      <c r="A93" s="58"/>
      <c r="B93" s="59"/>
      <c r="C93" s="59"/>
      <c r="D93" s="60"/>
      <c r="E93" s="80"/>
      <c r="F93" s="81"/>
      <c r="G93" s="81"/>
      <c r="H93" s="53"/>
      <c r="I93" s="75"/>
      <c r="J93" s="75"/>
      <c r="K93" s="206" t="s">
        <v>322</v>
      </c>
      <c r="L93" s="207" t="s">
        <v>323</v>
      </c>
      <c r="M93" s="206" t="s">
        <v>34</v>
      </c>
      <c r="N93" s="208">
        <v>0</v>
      </c>
      <c r="O93" s="209">
        <v>4634.1000000000004</v>
      </c>
      <c r="P93" s="210">
        <f t="shared" si="1"/>
        <v>0</v>
      </c>
      <c r="Q93" s="62"/>
    </row>
    <row r="94" spans="1:17" ht="30" x14ac:dyDescent="0.25">
      <c r="A94" s="58"/>
      <c r="B94" s="59"/>
      <c r="C94" s="59"/>
      <c r="D94" s="60"/>
      <c r="E94" s="80"/>
      <c r="F94" s="81"/>
      <c r="G94" s="81"/>
      <c r="H94" s="53"/>
      <c r="I94" s="75"/>
      <c r="J94" s="75"/>
      <c r="K94" s="206" t="s">
        <v>324</v>
      </c>
      <c r="L94" s="207" t="s">
        <v>325</v>
      </c>
      <c r="M94" s="206" t="s">
        <v>34</v>
      </c>
      <c r="N94" s="208">
        <v>0</v>
      </c>
      <c r="O94" s="209">
        <v>3824.3</v>
      </c>
      <c r="P94" s="210">
        <f t="shared" si="1"/>
        <v>0</v>
      </c>
      <c r="Q94" s="62"/>
    </row>
    <row r="95" spans="1:17" ht="15.75" x14ac:dyDescent="0.25">
      <c r="A95" s="58"/>
      <c r="B95" s="59"/>
      <c r="C95" s="59"/>
      <c r="D95" s="60"/>
      <c r="E95" s="80"/>
      <c r="F95" s="81"/>
      <c r="G95" s="81"/>
      <c r="H95" s="53"/>
      <c r="I95" s="75"/>
      <c r="J95" s="75"/>
      <c r="K95" s="206" t="s">
        <v>933</v>
      </c>
      <c r="L95" s="207" t="s">
        <v>1027</v>
      </c>
      <c r="M95" s="206" t="s">
        <v>34</v>
      </c>
      <c r="N95" s="208">
        <v>1</v>
      </c>
      <c r="O95" s="209">
        <v>842.36500000000001</v>
      </c>
      <c r="P95" s="210">
        <f t="shared" si="1"/>
        <v>842.36500000000001</v>
      </c>
      <c r="Q95" s="62"/>
    </row>
    <row r="96" spans="1:17" ht="15.75" x14ac:dyDescent="0.25">
      <c r="A96" s="58"/>
      <c r="B96" s="59"/>
      <c r="C96" s="59"/>
      <c r="D96" s="60"/>
      <c r="E96" s="80"/>
      <c r="F96" s="81"/>
      <c r="G96" s="81"/>
      <c r="H96" s="53"/>
      <c r="I96" s="75"/>
      <c r="J96" s="75"/>
      <c r="K96" s="206" t="s">
        <v>326</v>
      </c>
      <c r="L96" s="207" t="s">
        <v>327</v>
      </c>
      <c r="M96" s="206" t="s">
        <v>34</v>
      </c>
      <c r="N96" s="208">
        <v>1</v>
      </c>
      <c r="O96" s="209">
        <v>7816.5</v>
      </c>
      <c r="P96" s="210">
        <f t="shared" si="1"/>
        <v>7816.5</v>
      </c>
      <c r="Q96" s="62"/>
    </row>
    <row r="97" spans="1:17" ht="15.75" x14ac:dyDescent="0.25">
      <c r="A97" s="58"/>
      <c r="B97" s="59"/>
      <c r="C97" s="59"/>
      <c r="D97" s="60"/>
      <c r="E97" s="80"/>
      <c r="F97" s="81"/>
      <c r="G97" s="81"/>
      <c r="H97" s="53"/>
      <c r="I97" s="75"/>
      <c r="J97" s="75"/>
      <c r="K97" s="206">
        <v>200</v>
      </c>
      <c r="L97" s="207" t="s">
        <v>1028</v>
      </c>
      <c r="M97" s="206" t="s">
        <v>34</v>
      </c>
      <c r="N97" s="208">
        <v>1</v>
      </c>
      <c r="O97" s="209">
        <v>54</v>
      </c>
      <c r="P97" s="210">
        <f t="shared" si="1"/>
        <v>54</v>
      </c>
      <c r="Q97" s="62"/>
    </row>
    <row r="98" spans="1:17" ht="15.75" x14ac:dyDescent="0.25">
      <c r="A98" s="58"/>
      <c r="B98" s="59"/>
      <c r="C98" s="59"/>
      <c r="D98" s="60"/>
      <c r="E98" s="80"/>
      <c r="F98" s="81"/>
      <c r="G98" s="81"/>
      <c r="H98" s="53"/>
      <c r="I98" s="75"/>
      <c r="J98" s="75"/>
      <c r="K98" s="206">
        <v>102</v>
      </c>
      <c r="L98" s="207" t="s">
        <v>328</v>
      </c>
      <c r="M98" s="206" t="s">
        <v>34</v>
      </c>
      <c r="N98" s="208">
        <v>28</v>
      </c>
      <c r="O98" s="209">
        <v>65.599999999999994</v>
      </c>
      <c r="P98" s="210">
        <f t="shared" si="1"/>
        <v>1836.7999999999997</v>
      </c>
      <c r="Q98" s="62"/>
    </row>
    <row r="99" spans="1:17" ht="15.75" x14ac:dyDescent="0.25">
      <c r="A99" s="58"/>
      <c r="B99" s="59"/>
      <c r="C99" s="59"/>
      <c r="D99" s="60"/>
      <c r="E99" s="80"/>
      <c r="F99" s="81"/>
      <c r="G99" s="81"/>
      <c r="H99" s="53"/>
      <c r="I99" s="75"/>
      <c r="J99" s="75"/>
      <c r="K99" s="206" t="s">
        <v>329</v>
      </c>
      <c r="L99" s="207" t="s">
        <v>330</v>
      </c>
      <c r="M99" s="206" t="s">
        <v>34</v>
      </c>
      <c r="N99" s="208">
        <v>5</v>
      </c>
      <c r="O99" s="209">
        <v>228.01</v>
      </c>
      <c r="P99" s="210">
        <f t="shared" si="1"/>
        <v>1140.05</v>
      </c>
      <c r="Q99" s="62"/>
    </row>
    <row r="100" spans="1:17" ht="15.75" x14ac:dyDescent="0.25">
      <c r="A100" s="58"/>
      <c r="B100" s="59"/>
      <c r="C100" s="59"/>
      <c r="D100" s="60"/>
      <c r="E100" s="80"/>
      <c r="F100" s="81"/>
      <c r="G100" s="81"/>
      <c r="H100" s="53"/>
      <c r="I100" s="75"/>
      <c r="J100" s="75"/>
      <c r="K100" s="206" t="s">
        <v>905</v>
      </c>
      <c r="L100" s="207" t="s">
        <v>906</v>
      </c>
      <c r="M100" s="206" t="s">
        <v>34</v>
      </c>
      <c r="N100" s="208">
        <v>3</v>
      </c>
      <c r="O100" s="209">
        <v>79.350000000000009</v>
      </c>
      <c r="P100" s="210">
        <f t="shared" si="1"/>
        <v>238.05</v>
      </c>
      <c r="Q100" s="62"/>
    </row>
    <row r="101" spans="1:17" ht="30" x14ac:dyDescent="0.25">
      <c r="A101" s="58"/>
      <c r="B101" s="59"/>
      <c r="C101" s="59"/>
      <c r="D101" s="60"/>
      <c r="E101" s="80"/>
      <c r="F101" s="81"/>
      <c r="G101" s="81"/>
      <c r="H101" s="53"/>
      <c r="I101" s="75"/>
      <c r="J101" s="75"/>
      <c r="K101" s="206" t="s">
        <v>331</v>
      </c>
      <c r="L101" s="207" t="s">
        <v>332</v>
      </c>
      <c r="M101" s="206" t="s">
        <v>34</v>
      </c>
      <c r="N101" s="208">
        <v>3</v>
      </c>
      <c r="O101" s="209">
        <v>143.54999999999998</v>
      </c>
      <c r="P101" s="210">
        <f t="shared" si="1"/>
        <v>430.65</v>
      </c>
      <c r="Q101" s="62"/>
    </row>
    <row r="102" spans="1:17" ht="30" x14ac:dyDescent="0.25">
      <c r="A102" s="58"/>
      <c r="B102" s="59"/>
      <c r="C102" s="59"/>
      <c r="D102" s="60"/>
      <c r="E102" s="80"/>
      <c r="F102" s="81"/>
      <c r="G102" s="81"/>
      <c r="H102" s="53"/>
      <c r="I102" s="75"/>
      <c r="J102" s="75"/>
      <c r="K102" s="206" t="s">
        <v>333</v>
      </c>
      <c r="L102" s="207" t="s">
        <v>334</v>
      </c>
      <c r="M102" s="206" t="s">
        <v>34</v>
      </c>
      <c r="N102" s="208">
        <v>5</v>
      </c>
      <c r="O102" s="209">
        <v>129.06923076923078</v>
      </c>
      <c r="P102" s="210">
        <f t="shared" si="1"/>
        <v>645.34615384615392</v>
      </c>
      <c r="Q102" s="62"/>
    </row>
    <row r="103" spans="1:17" ht="15.75" x14ac:dyDescent="0.25">
      <c r="A103" s="58"/>
      <c r="B103" s="59"/>
      <c r="C103" s="59"/>
      <c r="D103" s="60"/>
      <c r="E103" s="80"/>
      <c r="F103" s="81"/>
      <c r="G103" s="81"/>
      <c r="H103" s="53"/>
      <c r="I103" s="75"/>
      <c r="J103" s="75"/>
      <c r="K103" s="206" t="s">
        <v>969</v>
      </c>
      <c r="L103" s="207" t="s">
        <v>977</v>
      </c>
      <c r="M103" s="206" t="s">
        <v>34</v>
      </c>
      <c r="N103" s="208">
        <v>1</v>
      </c>
      <c r="O103" s="209">
        <v>205.755</v>
      </c>
      <c r="P103" s="210">
        <f t="shared" si="1"/>
        <v>205.755</v>
      </c>
      <c r="Q103" s="62"/>
    </row>
    <row r="104" spans="1:17" ht="15.75" x14ac:dyDescent="0.25">
      <c r="A104" s="58"/>
      <c r="B104" s="59"/>
      <c r="C104" s="59"/>
      <c r="D104" s="60"/>
      <c r="E104" s="80"/>
      <c r="F104" s="81"/>
      <c r="G104" s="81"/>
      <c r="H104" s="53"/>
      <c r="I104" s="75"/>
      <c r="J104" s="75"/>
      <c r="K104" s="206">
        <v>349</v>
      </c>
      <c r="L104" s="207" t="s">
        <v>1029</v>
      </c>
      <c r="M104" s="206" t="s">
        <v>34</v>
      </c>
      <c r="N104" s="208">
        <v>1</v>
      </c>
      <c r="O104" s="209">
        <v>22.9</v>
      </c>
      <c r="P104" s="210">
        <f t="shared" si="1"/>
        <v>22.9</v>
      </c>
      <c r="Q104" s="62"/>
    </row>
    <row r="105" spans="1:17" ht="15.75" x14ac:dyDescent="0.25">
      <c r="A105" s="58"/>
      <c r="B105" s="59"/>
      <c r="C105" s="59"/>
      <c r="D105" s="60"/>
      <c r="E105" s="80"/>
      <c r="F105" s="81"/>
      <c r="G105" s="81"/>
      <c r="H105" s="53"/>
      <c r="I105" s="75"/>
      <c r="J105" s="75"/>
      <c r="K105" s="206" t="s">
        <v>1030</v>
      </c>
      <c r="L105" s="207" t="s">
        <v>1031</v>
      </c>
      <c r="M105" s="206" t="s">
        <v>34</v>
      </c>
      <c r="N105" s="208">
        <v>163</v>
      </c>
      <c r="O105" s="209">
        <v>6.2903260869565223</v>
      </c>
      <c r="P105" s="210">
        <f t="shared" si="1"/>
        <v>1025.3231521739131</v>
      </c>
      <c r="Q105" s="62"/>
    </row>
    <row r="106" spans="1:17" ht="15.75" x14ac:dyDescent="0.25">
      <c r="A106" s="58"/>
      <c r="B106" s="59"/>
      <c r="C106" s="59"/>
      <c r="D106" s="60"/>
      <c r="E106" s="80"/>
      <c r="F106" s="81"/>
      <c r="G106" s="81"/>
      <c r="H106" s="53"/>
      <c r="I106" s="75"/>
      <c r="J106" s="75"/>
      <c r="K106" s="206">
        <v>20679</v>
      </c>
      <c r="L106" s="207" t="s">
        <v>909</v>
      </c>
      <c r="M106" s="206" t="s">
        <v>34</v>
      </c>
      <c r="N106" s="208">
        <v>2674</v>
      </c>
      <c r="O106" s="209">
        <v>0.26488</v>
      </c>
      <c r="P106" s="210">
        <f t="shared" si="1"/>
        <v>708.28912000000003</v>
      </c>
      <c r="Q106" s="62"/>
    </row>
    <row r="107" spans="1:17" ht="15.75" x14ac:dyDescent="0.25">
      <c r="A107" s="58"/>
      <c r="B107" s="59"/>
      <c r="C107" s="59"/>
      <c r="D107" s="60"/>
      <c r="E107" s="80"/>
      <c r="F107" s="81"/>
      <c r="G107" s="81"/>
      <c r="H107" s="53"/>
      <c r="I107" s="75"/>
      <c r="J107" s="75"/>
      <c r="K107" s="206">
        <v>3426</v>
      </c>
      <c r="L107" s="207" t="s">
        <v>183</v>
      </c>
      <c r="M107" s="206" t="s">
        <v>34</v>
      </c>
      <c r="N107" s="208">
        <v>0</v>
      </c>
      <c r="O107" s="209">
        <v>257</v>
      </c>
      <c r="P107" s="210">
        <f t="shared" si="1"/>
        <v>0</v>
      </c>
      <c r="Q107" s="62"/>
    </row>
    <row r="108" spans="1:17" ht="15.75" x14ac:dyDescent="0.25">
      <c r="A108" s="58"/>
      <c r="B108" s="59"/>
      <c r="C108" s="59"/>
      <c r="D108" s="60"/>
      <c r="E108" s="80"/>
      <c r="F108" s="81"/>
      <c r="G108" s="81"/>
      <c r="H108" s="53"/>
      <c r="I108" s="75"/>
      <c r="J108" s="75"/>
      <c r="K108" s="206" t="s">
        <v>1032</v>
      </c>
      <c r="L108" s="207" t="s">
        <v>1033</v>
      </c>
      <c r="M108" s="206" t="s">
        <v>34</v>
      </c>
      <c r="N108" s="208">
        <v>0</v>
      </c>
      <c r="O108" s="209">
        <v>2106</v>
      </c>
      <c r="P108" s="210">
        <f t="shared" si="1"/>
        <v>0</v>
      </c>
      <c r="Q108" s="62"/>
    </row>
    <row r="109" spans="1:17" ht="15.75" x14ac:dyDescent="0.25">
      <c r="A109" s="58"/>
      <c r="B109" s="59"/>
      <c r="C109" s="59"/>
      <c r="D109" s="60"/>
      <c r="E109" s="80"/>
      <c r="F109" s="81"/>
      <c r="G109" s="81"/>
      <c r="H109" s="53"/>
      <c r="I109" s="75"/>
      <c r="J109" s="75"/>
      <c r="K109" s="206" t="s">
        <v>1034</v>
      </c>
      <c r="L109" s="207" t="s">
        <v>1035</v>
      </c>
      <c r="M109" s="206" t="s">
        <v>442</v>
      </c>
      <c r="N109" s="208">
        <v>1</v>
      </c>
      <c r="O109" s="209">
        <v>182.5</v>
      </c>
      <c r="P109" s="210">
        <f t="shared" si="1"/>
        <v>182.5</v>
      </c>
      <c r="Q109" s="62"/>
    </row>
    <row r="110" spans="1:17" ht="30" x14ac:dyDescent="0.25">
      <c r="A110" s="58"/>
      <c r="B110" s="59"/>
      <c r="C110" s="59"/>
      <c r="D110" s="60"/>
      <c r="E110" s="80"/>
      <c r="F110" s="81"/>
      <c r="G110" s="81"/>
      <c r="H110" s="53"/>
      <c r="I110" s="75"/>
      <c r="J110" s="75"/>
      <c r="K110" s="206" t="s">
        <v>1036</v>
      </c>
      <c r="L110" s="207" t="s">
        <v>1037</v>
      </c>
      <c r="M110" s="206" t="s">
        <v>34</v>
      </c>
      <c r="N110" s="208">
        <v>2</v>
      </c>
      <c r="O110" s="209">
        <v>100.35714285714286</v>
      </c>
      <c r="P110" s="210">
        <f t="shared" si="1"/>
        <v>200.71428571428572</v>
      </c>
      <c r="Q110" s="62"/>
    </row>
    <row r="111" spans="1:17" ht="15.75" x14ac:dyDescent="0.25">
      <c r="A111" s="58"/>
      <c r="B111" s="59"/>
      <c r="C111" s="59"/>
      <c r="D111" s="60"/>
      <c r="E111" s="80"/>
      <c r="F111" s="81"/>
      <c r="G111" s="81"/>
      <c r="H111" s="53"/>
      <c r="I111" s="75"/>
      <c r="J111" s="75"/>
      <c r="K111" s="206" t="s">
        <v>340</v>
      </c>
      <c r="L111" s="207" t="s">
        <v>341</v>
      </c>
      <c r="M111" s="206" t="s">
        <v>34</v>
      </c>
      <c r="N111" s="208">
        <v>3</v>
      </c>
      <c r="O111" s="209">
        <v>1228.323076923077</v>
      </c>
      <c r="P111" s="210">
        <f t="shared" si="1"/>
        <v>3684.9692307692312</v>
      </c>
      <c r="Q111" s="62"/>
    </row>
    <row r="112" spans="1:17" ht="30" x14ac:dyDescent="0.25">
      <c r="A112" s="58"/>
      <c r="B112" s="59"/>
      <c r="C112" s="59"/>
      <c r="D112" s="60"/>
      <c r="E112" s="80"/>
      <c r="F112" s="81"/>
      <c r="G112" s="81"/>
      <c r="H112" s="53"/>
      <c r="I112" s="75"/>
      <c r="J112" s="75"/>
      <c r="K112" s="206" t="s">
        <v>1038</v>
      </c>
      <c r="L112" s="207" t="s">
        <v>1039</v>
      </c>
      <c r="M112" s="206" t="s">
        <v>34</v>
      </c>
      <c r="N112" s="208">
        <v>3</v>
      </c>
      <c r="O112" s="209">
        <v>261.41166666666669</v>
      </c>
      <c r="P112" s="210">
        <f t="shared" si="1"/>
        <v>784.23500000000013</v>
      </c>
      <c r="Q112" s="62"/>
    </row>
    <row r="113" spans="1:17" ht="15.75" x14ac:dyDescent="0.25">
      <c r="A113" s="58"/>
      <c r="B113" s="59"/>
      <c r="C113" s="59"/>
      <c r="D113" s="60"/>
      <c r="E113" s="80"/>
      <c r="F113" s="81"/>
      <c r="G113" s="81"/>
      <c r="H113" s="53"/>
      <c r="I113" s="75"/>
      <c r="J113" s="75"/>
      <c r="K113" s="206" t="s">
        <v>342</v>
      </c>
      <c r="L113" s="207" t="s">
        <v>343</v>
      </c>
      <c r="M113" s="206" t="s">
        <v>34</v>
      </c>
      <c r="N113" s="208">
        <v>2</v>
      </c>
      <c r="O113" s="209">
        <v>257.81272727272727</v>
      </c>
      <c r="P113" s="210">
        <f t="shared" si="1"/>
        <v>515.62545454545455</v>
      </c>
      <c r="Q113" s="62"/>
    </row>
    <row r="114" spans="1:17" ht="15.75" x14ac:dyDescent="0.25">
      <c r="A114" s="58"/>
      <c r="B114" s="59"/>
      <c r="C114" s="59"/>
      <c r="D114" s="60"/>
      <c r="E114" s="80"/>
      <c r="F114" s="81"/>
      <c r="G114" s="81"/>
      <c r="H114" s="53"/>
      <c r="I114" s="75"/>
      <c r="J114" s="75"/>
      <c r="K114" s="206" t="s">
        <v>968</v>
      </c>
      <c r="L114" s="207" t="s">
        <v>976</v>
      </c>
      <c r="M114" s="206" t="s">
        <v>34</v>
      </c>
      <c r="N114" s="208">
        <v>0</v>
      </c>
      <c r="O114" s="209">
        <v>849.49749999999995</v>
      </c>
      <c r="P114" s="210">
        <f t="shared" si="1"/>
        <v>0</v>
      </c>
      <c r="Q114" s="62"/>
    </row>
    <row r="115" spans="1:17" ht="15.75" x14ac:dyDescent="0.25">
      <c r="A115" s="58"/>
      <c r="B115" s="59"/>
      <c r="C115" s="59"/>
      <c r="D115" s="60"/>
      <c r="E115" s="80"/>
      <c r="F115" s="81"/>
      <c r="G115" s="81"/>
      <c r="H115" s="53"/>
      <c r="I115" s="75"/>
      <c r="J115" s="75"/>
      <c r="K115" s="206" t="s">
        <v>344</v>
      </c>
      <c r="L115" s="207" t="s">
        <v>345</v>
      </c>
      <c r="M115" s="206" t="s">
        <v>34</v>
      </c>
      <c r="N115" s="208">
        <v>1</v>
      </c>
      <c r="O115" s="209">
        <v>357.38142857142856</v>
      </c>
      <c r="P115" s="210">
        <f t="shared" si="1"/>
        <v>357.38142857142856</v>
      </c>
      <c r="Q115" s="62"/>
    </row>
    <row r="116" spans="1:17" ht="15.75" x14ac:dyDescent="0.25">
      <c r="A116" s="58"/>
      <c r="B116" s="59"/>
      <c r="C116" s="59"/>
      <c r="D116" s="60"/>
      <c r="E116" s="80"/>
      <c r="F116" s="81"/>
      <c r="G116" s="81"/>
      <c r="H116" s="53"/>
      <c r="I116" s="75"/>
      <c r="J116" s="75"/>
      <c r="K116" s="206" t="s">
        <v>726</v>
      </c>
      <c r="L116" s="207" t="s">
        <v>727</v>
      </c>
      <c r="M116" s="206" t="s">
        <v>34</v>
      </c>
      <c r="N116" s="208">
        <v>0</v>
      </c>
      <c r="O116" s="209">
        <v>3561.3850000000002</v>
      </c>
      <c r="P116" s="210">
        <f t="shared" si="1"/>
        <v>0</v>
      </c>
      <c r="Q116" s="62"/>
    </row>
    <row r="117" spans="1:17" ht="15.75" x14ac:dyDescent="0.25">
      <c r="A117" s="58"/>
      <c r="B117" s="59"/>
      <c r="C117" s="59"/>
      <c r="D117" s="60"/>
      <c r="E117" s="80"/>
      <c r="F117" s="81"/>
      <c r="G117" s="81"/>
      <c r="H117" s="53"/>
      <c r="I117" s="75"/>
      <c r="J117" s="75"/>
      <c r="K117" s="206">
        <v>21201</v>
      </c>
      <c r="L117" s="207" t="s">
        <v>346</v>
      </c>
      <c r="M117" s="206" t="s">
        <v>34</v>
      </c>
      <c r="N117" s="208">
        <v>2</v>
      </c>
      <c r="O117" s="209">
        <v>196.79999999999998</v>
      </c>
      <c r="P117" s="210">
        <f t="shared" si="1"/>
        <v>393.59999999999997</v>
      </c>
      <c r="Q117" s="62"/>
    </row>
    <row r="118" spans="1:17" ht="15.75" x14ac:dyDescent="0.25">
      <c r="A118" s="58"/>
      <c r="B118" s="59"/>
      <c r="C118" s="59"/>
      <c r="D118" s="60"/>
      <c r="E118" s="80"/>
      <c r="F118" s="81"/>
      <c r="G118" s="81"/>
      <c r="H118" s="53"/>
      <c r="I118" s="75"/>
      <c r="J118" s="75"/>
      <c r="K118" s="206">
        <v>21333</v>
      </c>
      <c r="L118" s="207" t="s">
        <v>910</v>
      </c>
      <c r="M118" s="206" t="s">
        <v>34</v>
      </c>
      <c r="N118" s="208">
        <v>10</v>
      </c>
      <c r="O118" s="209">
        <v>4092.1073170731706</v>
      </c>
      <c r="P118" s="210">
        <f t="shared" si="1"/>
        <v>40921.073170731703</v>
      </c>
      <c r="Q118" s="62"/>
    </row>
    <row r="119" spans="1:17" ht="15.75" x14ac:dyDescent="0.25">
      <c r="A119" s="58"/>
      <c r="B119" s="59"/>
      <c r="C119" s="59"/>
      <c r="D119" s="60"/>
      <c r="E119" s="80"/>
      <c r="F119" s="81"/>
      <c r="G119" s="81"/>
      <c r="H119" s="53"/>
      <c r="I119" s="75"/>
      <c r="J119" s="75"/>
      <c r="K119" s="206" t="s">
        <v>350</v>
      </c>
      <c r="L119" s="207" t="s">
        <v>351</v>
      </c>
      <c r="M119" s="206" t="s">
        <v>34</v>
      </c>
      <c r="N119" s="208">
        <v>89</v>
      </c>
      <c r="O119" s="209">
        <v>5.4850623441396511</v>
      </c>
      <c r="P119" s="210">
        <f t="shared" si="1"/>
        <v>488.17054862842895</v>
      </c>
      <c r="Q119" s="62"/>
    </row>
    <row r="120" spans="1:17" ht="15.75" x14ac:dyDescent="0.25">
      <c r="A120" s="58"/>
      <c r="B120" s="59"/>
      <c r="C120" s="59"/>
      <c r="D120" s="60"/>
      <c r="E120" s="80"/>
      <c r="F120" s="81"/>
      <c r="G120" s="81"/>
      <c r="H120" s="53"/>
      <c r="I120" s="75"/>
      <c r="J120" s="75"/>
      <c r="K120" s="206" t="s">
        <v>352</v>
      </c>
      <c r="L120" s="207" t="s">
        <v>353</v>
      </c>
      <c r="M120" s="206" t="s">
        <v>34</v>
      </c>
      <c r="N120" s="208">
        <v>71</v>
      </c>
      <c r="O120" s="209">
        <v>7.3256562499999998</v>
      </c>
      <c r="P120" s="210">
        <f t="shared" si="1"/>
        <v>520.12159374999999</v>
      </c>
      <c r="Q120" s="62"/>
    </row>
    <row r="121" spans="1:17" ht="15.75" x14ac:dyDescent="0.25">
      <c r="A121" s="58"/>
      <c r="B121" s="59"/>
      <c r="C121" s="59"/>
      <c r="D121" s="60"/>
      <c r="E121" s="80"/>
      <c r="F121" s="81"/>
      <c r="G121" s="81"/>
      <c r="H121" s="53"/>
      <c r="I121" s="75"/>
      <c r="J121" s="75"/>
      <c r="K121" s="206" t="s">
        <v>354</v>
      </c>
      <c r="L121" s="207" t="s">
        <v>355</v>
      </c>
      <c r="M121" s="206" t="s">
        <v>34</v>
      </c>
      <c r="N121" s="208">
        <v>46</v>
      </c>
      <c r="O121" s="209">
        <v>10.168104265402842</v>
      </c>
      <c r="P121" s="210">
        <f t="shared" si="1"/>
        <v>467.73279620853077</v>
      </c>
      <c r="Q121" s="62"/>
    </row>
    <row r="122" spans="1:17" ht="15.75" x14ac:dyDescent="0.25">
      <c r="A122" s="58"/>
      <c r="B122" s="59"/>
      <c r="C122" s="59"/>
      <c r="D122" s="60"/>
      <c r="E122" s="80"/>
      <c r="F122" s="81"/>
      <c r="G122" s="81"/>
      <c r="H122" s="53"/>
      <c r="I122" s="75"/>
      <c r="J122" s="75"/>
      <c r="K122" s="206" t="s">
        <v>730</v>
      </c>
      <c r="L122" s="207" t="s">
        <v>731</v>
      </c>
      <c r="M122" s="206" t="s">
        <v>34</v>
      </c>
      <c r="N122" s="208">
        <v>4</v>
      </c>
      <c r="O122" s="209">
        <v>220.04</v>
      </c>
      <c r="P122" s="210">
        <f t="shared" si="1"/>
        <v>880.16</v>
      </c>
      <c r="Q122" s="62"/>
    </row>
    <row r="123" spans="1:17" ht="15.75" x14ac:dyDescent="0.25">
      <c r="A123" s="58"/>
      <c r="B123" s="59"/>
      <c r="C123" s="59"/>
      <c r="D123" s="60"/>
      <c r="E123" s="80"/>
      <c r="F123" s="81"/>
      <c r="G123" s="81"/>
      <c r="H123" s="53"/>
      <c r="I123" s="75"/>
      <c r="J123" s="75"/>
      <c r="K123" s="206" t="s">
        <v>967</v>
      </c>
      <c r="L123" s="207" t="s">
        <v>975</v>
      </c>
      <c r="M123" s="206" t="s">
        <v>34</v>
      </c>
      <c r="N123" s="208">
        <v>1</v>
      </c>
      <c r="O123" s="209">
        <v>260.39999999999998</v>
      </c>
      <c r="P123" s="210">
        <f t="shared" si="1"/>
        <v>260.39999999999998</v>
      </c>
      <c r="Q123" s="62"/>
    </row>
    <row r="124" spans="1:17" ht="30" x14ac:dyDescent="0.25">
      <c r="A124" s="58"/>
      <c r="B124" s="59"/>
      <c r="C124" s="59"/>
      <c r="D124" s="60"/>
      <c r="E124" s="80"/>
      <c r="F124" s="81"/>
      <c r="G124" s="81"/>
      <c r="H124" s="53"/>
      <c r="I124" s="75"/>
      <c r="J124" s="75"/>
      <c r="K124" s="206" t="s">
        <v>966</v>
      </c>
      <c r="L124" s="207" t="s">
        <v>974</v>
      </c>
      <c r="M124" s="206" t="s">
        <v>34</v>
      </c>
      <c r="N124" s="208">
        <v>1</v>
      </c>
      <c r="O124" s="209">
        <v>245.88499999999999</v>
      </c>
      <c r="P124" s="210">
        <f t="shared" si="1"/>
        <v>245.88499999999999</v>
      </c>
      <c r="Q124" s="62"/>
    </row>
    <row r="125" spans="1:17" ht="30" x14ac:dyDescent="0.25">
      <c r="A125" s="58"/>
      <c r="B125" s="59"/>
      <c r="C125" s="59"/>
      <c r="D125" s="60"/>
      <c r="E125" s="80"/>
      <c r="F125" s="81"/>
      <c r="G125" s="81"/>
      <c r="H125" s="53"/>
      <c r="I125" s="75"/>
      <c r="J125" s="75"/>
      <c r="K125" s="206" t="s">
        <v>911</v>
      </c>
      <c r="L125" s="207" t="s">
        <v>912</v>
      </c>
      <c r="M125" s="206" t="s">
        <v>34</v>
      </c>
      <c r="N125" s="208">
        <v>3</v>
      </c>
      <c r="O125" s="209">
        <v>136</v>
      </c>
      <c r="P125" s="210">
        <f t="shared" si="1"/>
        <v>408</v>
      </c>
      <c r="Q125" s="62"/>
    </row>
    <row r="126" spans="1:17" ht="15.75" x14ac:dyDescent="0.25">
      <c r="A126" s="58"/>
      <c r="B126" s="59"/>
      <c r="C126" s="59"/>
      <c r="D126" s="60"/>
      <c r="E126" s="80"/>
      <c r="F126" s="81"/>
      <c r="G126" s="81"/>
      <c r="H126" s="53"/>
      <c r="I126" s="75"/>
      <c r="J126" s="75"/>
      <c r="K126" s="206" t="s">
        <v>1040</v>
      </c>
      <c r="L126" s="207" t="s">
        <v>1041</v>
      </c>
      <c r="M126" s="206" t="s">
        <v>34</v>
      </c>
      <c r="N126" s="208">
        <v>1</v>
      </c>
      <c r="O126" s="209">
        <v>90.333333333333329</v>
      </c>
      <c r="P126" s="210">
        <f t="shared" si="1"/>
        <v>90.333333333333329</v>
      </c>
      <c r="Q126" s="62"/>
    </row>
    <row r="127" spans="1:17" ht="30" x14ac:dyDescent="0.25">
      <c r="A127" s="58"/>
      <c r="B127" s="59"/>
      <c r="C127" s="59"/>
      <c r="D127" s="60"/>
      <c r="E127" s="80"/>
      <c r="F127" s="81"/>
      <c r="G127" s="81"/>
      <c r="H127" s="53"/>
      <c r="I127" s="75"/>
      <c r="J127" s="75"/>
      <c r="K127" s="206">
        <v>19376</v>
      </c>
      <c r="L127" s="207" t="s">
        <v>358</v>
      </c>
      <c r="M127" s="206" t="s">
        <v>34</v>
      </c>
      <c r="N127" s="208">
        <v>1</v>
      </c>
      <c r="O127" s="209">
        <v>271.95</v>
      </c>
      <c r="P127" s="210">
        <f t="shared" si="1"/>
        <v>271.95</v>
      </c>
      <c r="Q127" s="62"/>
    </row>
    <row r="128" spans="1:17" ht="30" x14ac:dyDescent="0.25">
      <c r="A128" s="58"/>
      <c r="B128" s="59"/>
      <c r="C128" s="59"/>
      <c r="D128" s="60"/>
      <c r="E128" s="80"/>
      <c r="F128" s="81"/>
      <c r="G128" s="81"/>
      <c r="H128" s="53"/>
      <c r="I128" s="75"/>
      <c r="J128" s="75"/>
      <c r="K128" s="206" t="s">
        <v>359</v>
      </c>
      <c r="L128" s="207" t="s">
        <v>360</v>
      </c>
      <c r="M128" s="206" t="s">
        <v>34</v>
      </c>
      <c r="N128" s="208">
        <v>1</v>
      </c>
      <c r="O128" s="209">
        <v>121</v>
      </c>
      <c r="P128" s="210">
        <f t="shared" si="1"/>
        <v>121</v>
      </c>
      <c r="Q128" s="62"/>
    </row>
    <row r="129" spans="1:17" ht="15.75" x14ac:dyDescent="0.25">
      <c r="A129" s="58"/>
      <c r="B129" s="59"/>
      <c r="C129" s="59"/>
      <c r="D129" s="60"/>
      <c r="E129" s="80"/>
      <c r="F129" s="81"/>
      <c r="G129" s="81"/>
      <c r="H129" s="53"/>
      <c r="I129" s="75"/>
      <c r="J129" s="75"/>
      <c r="K129" s="206" t="s">
        <v>361</v>
      </c>
      <c r="L129" s="207" t="s">
        <v>362</v>
      </c>
      <c r="M129" s="206" t="s">
        <v>34</v>
      </c>
      <c r="N129" s="208">
        <v>0</v>
      </c>
      <c r="O129" s="209">
        <v>2475</v>
      </c>
      <c r="P129" s="210">
        <f t="shared" si="1"/>
        <v>0</v>
      </c>
      <c r="Q129" s="62"/>
    </row>
    <row r="130" spans="1:17" ht="30" x14ac:dyDescent="0.25">
      <c r="A130" s="58"/>
      <c r="B130" s="59"/>
      <c r="C130" s="59"/>
      <c r="D130" s="60"/>
      <c r="E130" s="80"/>
      <c r="F130" s="81"/>
      <c r="G130" s="81"/>
      <c r="H130" s="53"/>
      <c r="I130" s="75"/>
      <c r="J130" s="75"/>
      <c r="K130" s="206">
        <v>354</v>
      </c>
      <c r="L130" s="207" t="s">
        <v>1042</v>
      </c>
      <c r="M130" s="206" t="s">
        <v>34</v>
      </c>
      <c r="N130" s="208">
        <v>20</v>
      </c>
      <c r="O130" s="209">
        <v>28.2</v>
      </c>
      <c r="P130" s="210">
        <f t="shared" si="1"/>
        <v>564</v>
      </c>
      <c r="Q130" s="62"/>
    </row>
    <row r="131" spans="1:17" ht="15.75" x14ac:dyDescent="0.25">
      <c r="A131" s="58"/>
      <c r="B131" s="59"/>
      <c r="C131" s="59"/>
      <c r="D131" s="60"/>
      <c r="E131" s="80"/>
      <c r="F131" s="81"/>
      <c r="G131" s="81"/>
      <c r="H131" s="53"/>
      <c r="I131" s="75"/>
      <c r="J131" s="75"/>
      <c r="K131" s="206" t="s">
        <v>363</v>
      </c>
      <c r="L131" s="207" t="s">
        <v>364</v>
      </c>
      <c r="M131" s="206" t="s">
        <v>34</v>
      </c>
      <c r="N131" s="208">
        <v>5</v>
      </c>
      <c r="O131" s="209">
        <v>95.100000000000009</v>
      </c>
      <c r="P131" s="210">
        <f t="shared" si="1"/>
        <v>475.50000000000006</v>
      </c>
      <c r="Q131" s="62"/>
    </row>
    <row r="132" spans="1:17" ht="15.75" x14ac:dyDescent="0.25">
      <c r="A132" s="58"/>
      <c r="B132" s="59"/>
      <c r="C132" s="59"/>
      <c r="D132" s="60"/>
      <c r="E132" s="80"/>
      <c r="F132" s="81"/>
      <c r="G132" s="81"/>
      <c r="H132" s="53"/>
      <c r="I132" s="75"/>
      <c r="J132" s="75"/>
      <c r="K132" s="206" t="s">
        <v>365</v>
      </c>
      <c r="L132" s="207" t="s">
        <v>366</v>
      </c>
      <c r="M132" s="206" t="s">
        <v>34</v>
      </c>
      <c r="N132" s="208">
        <v>5</v>
      </c>
      <c r="O132" s="209">
        <v>42.400000000000006</v>
      </c>
      <c r="P132" s="210">
        <f t="shared" si="1"/>
        <v>212.00000000000003</v>
      </c>
      <c r="Q132" s="62"/>
    </row>
    <row r="133" spans="1:17" ht="15.75" x14ac:dyDescent="0.25">
      <c r="A133" s="58"/>
      <c r="B133" s="59"/>
      <c r="C133" s="59"/>
      <c r="D133" s="60"/>
      <c r="E133" s="80"/>
      <c r="F133" s="81"/>
      <c r="G133" s="81"/>
      <c r="H133" s="53"/>
      <c r="I133" s="75"/>
      <c r="J133" s="75"/>
      <c r="K133" s="206" t="s">
        <v>188</v>
      </c>
      <c r="L133" s="207" t="s">
        <v>189</v>
      </c>
      <c r="M133" s="206" t="s">
        <v>34</v>
      </c>
      <c r="N133" s="208">
        <v>4</v>
      </c>
      <c r="O133" s="209">
        <v>49.333333333333336</v>
      </c>
      <c r="P133" s="210">
        <f t="shared" si="1"/>
        <v>197.33333333333334</v>
      </c>
      <c r="Q133" s="62"/>
    </row>
    <row r="134" spans="1:17" ht="15.75" x14ac:dyDescent="0.25">
      <c r="A134" s="58"/>
      <c r="B134" s="59"/>
      <c r="C134" s="59"/>
      <c r="D134" s="60"/>
      <c r="E134" s="80"/>
      <c r="F134" s="81"/>
      <c r="G134" s="81"/>
      <c r="H134" s="53"/>
      <c r="I134" s="75"/>
      <c r="J134" s="75"/>
      <c r="K134" s="206" t="s">
        <v>369</v>
      </c>
      <c r="L134" s="207" t="s">
        <v>370</v>
      </c>
      <c r="M134" s="206" t="s">
        <v>34</v>
      </c>
      <c r="N134" s="208">
        <v>5</v>
      </c>
      <c r="O134" s="209">
        <v>12930.235833333332</v>
      </c>
      <c r="P134" s="210">
        <f t="shared" si="1"/>
        <v>64651.179166666661</v>
      </c>
      <c r="Q134" s="62"/>
    </row>
    <row r="135" spans="1:17" ht="15.75" x14ac:dyDescent="0.25">
      <c r="A135" s="58"/>
      <c r="B135" s="59"/>
      <c r="C135" s="59"/>
      <c r="D135" s="60"/>
      <c r="E135" s="80"/>
      <c r="F135" s="81"/>
      <c r="G135" s="81"/>
      <c r="H135" s="53"/>
      <c r="I135" s="75"/>
      <c r="J135" s="75"/>
      <c r="K135" s="206" t="s">
        <v>371</v>
      </c>
      <c r="L135" s="207" t="s">
        <v>372</v>
      </c>
      <c r="M135" s="206" t="s">
        <v>34</v>
      </c>
      <c r="N135" s="208">
        <v>49</v>
      </c>
      <c r="O135" s="209">
        <v>15.769411764705882</v>
      </c>
      <c r="P135" s="210">
        <f t="shared" si="1"/>
        <v>772.70117647058828</v>
      </c>
      <c r="Q135" s="62"/>
    </row>
    <row r="136" spans="1:17" ht="30" x14ac:dyDescent="0.25">
      <c r="A136" s="58"/>
      <c r="B136" s="59"/>
      <c r="C136" s="59"/>
      <c r="D136" s="60"/>
      <c r="E136" s="80"/>
      <c r="F136" s="81"/>
      <c r="G136" s="81"/>
      <c r="H136" s="53"/>
      <c r="I136" s="75"/>
      <c r="J136" s="75"/>
      <c r="K136" s="206" t="s">
        <v>934</v>
      </c>
      <c r="L136" s="207" t="s">
        <v>935</v>
      </c>
      <c r="M136" s="206" t="s">
        <v>34</v>
      </c>
      <c r="N136" s="208">
        <v>0</v>
      </c>
      <c r="O136" s="209">
        <v>495.8125</v>
      </c>
      <c r="P136" s="210">
        <f t="shared" si="1"/>
        <v>0</v>
      </c>
      <c r="Q136" s="62"/>
    </row>
    <row r="137" spans="1:17" ht="30" x14ac:dyDescent="0.25">
      <c r="A137" s="58"/>
      <c r="B137" s="59"/>
      <c r="C137" s="59"/>
      <c r="D137" s="60"/>
      <c r="E137" s="80"/>
      <c r="F137" s="81"/>
      <c r="G137" s="81"/>
      <c r="H137" s="53"/>
      <c r="I137" s="75"/>
      <c r="J137" s="75"/>
      <c r="K137" s="206" t="s">
        <v>1043</v>
      </c>
      <c r="L137" s="207" t="s">
        <v>1044</v>
      </c>
      <c r="M137" s="206" t="s">
        <v>34</v>
      </c>
      <c r="N137" s="208">
        <v>5</v>
      </c>
      <c r="O137" s="209">
        <v>171.34</v>
      </c>
      <c r="P137" s="210">
        <f t="shared" si="1"/>
        <v>856.7</v>
      </c>
      <c r="Q137" s="62"/>
    </row>
    <row r="138" spans="1:17" ht="15.75" x14ac:dyDescent="0.25">
      <c r="A138" s="58"/>
      <c r="B138" s="59"/>
      <c r="C138" s="59"/>
      <c r="D138" s="60"/>
      <c r="E138" s="80"/>
      <c r="F138" s="81"/>
      <c r="G138" s="81"/>
      <c r="H138" s="53"/>
      <c r="I138" s="75"/>
      <c r="J138" s="75"/>
      <c r="K138" s="206" t="s">
        <v>373</v>
      </c>
      <c r="L138" s="207" t="s">
        <v>374</v>
      </c>
      <c r="M138" s="206" t="s">
        <v>34</v>
      </c>
      <c r="N138" s="208">
        <v>16</v>
      </c>
      <c r="O138" s="209">
        <v>16.881923076923076</v>
      </c>
      <c r="P138" s="210">
        <f t="shared" si="1"/>
        <v>270.11076923076922</v>
      </c>
      <c r="Q138" s="62"/>
    </row>
    <row r="139" spans="1:17" ht="30" x14ac:dyDescent="0.25">
      <c r="A139" s="58"/>
      <c r="B139" s="59"/>
      <c r="C139" s="59"/>
      <c r="D139" s="60"/>
      <c r="E139" s="80"/>
      <c r="F139" s="81"/>
      <c r="G139" s="81"/>
      <c r="H139" s="53"/>
      <c r="I139" s="75"/>
      <c r="J139" s="75"/>
      <c r="K139" s="206">
        <v>399</v>
      </c>
      <c r="L139" s="207" t="s">
        <v>1045</v>
      </c>
      <c r="M139" s="206" t="s">
        <v>34</v>
      </c>
      <c r="N139" s="208">
        <v>5</v>
      </c>
      <c r="O139" s="209">
        <v>12</v>
      </c>
      <c r="P139" s="210">
        <f t="shared" si="1"/>
        <v>60</v>
      </c>
      <c r="Q139" s="62"/>
    </row>
    <row r="140" spans="1:17" ht="30" x14ac:dyDescent="0.25">
      <c r="A140" s="58"/>
      <c r="B140" s="59"/>
      <c r="C140" s="59"/>
      <c r="D140" s="60"/>
      <c r="E140" s="80"/>
      <c r="F140" s="81"/>
      <c r="G140" s="81"/>
      <c r="H140" s="53"/>
      <c r="I140" s="75"/>
      <c r="J140" s="75"/>
      <c r="K140" s="206">
        <v>198</v>
      </c>
      <c r="L140" s="207" t="s">
        <v>936</v>
      </c>
      <c r="M140" s="206" t="s">
        <v>34</v>
      </c>
      <c r="N140" s="208">
        <v>0</v>
      </c>
      <c r="O140" s="209">
        <v>216.7</v>
      </c>
      <c r="P140" s="210">
        <f t="shared" si="1"/>
        <v>0</v>
      </c>
      <c r="Q140" s="62"/>
    </row>
    <row r="141" spans="1:17" ht="30" x14ac:dyDescent="0.25">
      <c r="A141" s="58"/>
      <c r="B141" s="59"/>
      <c r="C141" s="59"/>
      <c r="D141" s="60"/>
      <c r="E141" s="80"/>
      <c r="F141" s="81"/>
      <c r="G141" s="81"/>
      <c r="H141" s="53"/>
      <c r="I141" s="75"/>
      <c r="J141" s="75"/>
      <c r="K141" s="206">
        <v>21939</v>
      </c>
      <c r="L141" s="207" t="s">
        <v>375</v>
      </c>
      <c r="M141" s="206" t="s">
        <v>34</v>
      </c>
      <c r="N141" s="208">
        <v>15</v>
      </c>
      <c r="O141" s="209">
        <v>194.08695652173913</v>
      </c>
      <c r="P141" s="210">
        <f t="shared" si="1"/>
        <v>2911.304347826087</v>
      </c>
      <c r="Q141" s="62"/>
    </row>
    <row r="142" spans="1:17" ht="15.75" x14ac:dyDescent="0.25">
      <c r="A142" s="58"/>
      <c r="B142" s="59"/>
      <c r="C142" s="59"/>
      <c r="D142" s="60"/>
      <c r="E142" s="80"/>
      <c r="F142" s="81"/>
      <c r="G142" s="81"/>
      <c r="H142" s="53"/>
      <c r="I142" s="75"/>
      <c r="J142" s="75"/>
      <c r="K142" s="206" t="s">
        <v>1046</v>
      </c>
      <c r="L142" s="207" t="s">
        <v>1047</v>
      </c>
      <c r="M142" s="206" t="s">
        <v>34</v>
      </c>
      <c r="N142" s="208">
        <v>0</v>
      </c>
      <c r="O142" s="209">
        <v>210</v>
      </c>
      <c r="P142" s="210">
        <f t="shared" si="1"/>
        <v>0</v>
      </c>
      <c r="Q142" s="62"/>
    </row>
    <row r="143" spans="1:17" ht="30" x14ac:dyDescent="0.25">
      <c r="A143" s="58"/>
      <c r="B143" s="59"/>
      <c r="C143" s="59"/>
      <c r="D143" s="60"/>
      <c r="E143" s="80"/>
      <c r="F143" s="81"/>
      <c r="G143" s="81"/>
      <c r="H143" s="53"/>
      <c r="I143" s="75"/>
      <c r="J143" s="75"/>
      <c r="K143" s="206" t="s">
        <v>378</v>
      </c>
      <c r="L143" s="207" t="s">
        <v>379</v>
      </c>
      <c r="M143" s="206" t="s">
        <v>34</v>
      </c>
      <c r="N143" s="208">
        <v>3</v>
      </c>
      <c r="O143" s="209">
        <v>42.753846153846148</v>
      </c>
      <c r="P143" s="210">
        <f t="shared" si="1"/>
        <v>128.26153846153844</v>
      </c>
      <c r="Q143" s="62"/>
    </row>
    <row r="144" spans="1:17" ht="30" x14ac:dyDescent="0.25">
      <c r="A144" s="58"/>
      <c r="B144" s="59"/>
      <c r="C144" s="59"/>
      <c r="D144" s="60"/>
      <c r="E144" s="80"/>
      <c r="F144" s="81"/>
      <c r="G144" s="81"/>
      <c r="H144" s="53"/>
      <c r="I144" s="75"/>
      <c r="J144" s="75"/>
      <c r="K144" s="206">
        <v>689</v>
      </c>
      <c r="L144" s="207" t="s">
        <v>1048</v>
      </c>
      <c r="M144" s="206" t="s">
        <v>34</v>
      </c>
      <c r="N144" s="208">
        <v>2</v>
      </c>
      <c r="O144" s="209">
        <v>18.266666666666666</v>
      </c>
      <c r="P144" s="210">
        <f t="shared" si="1"/>
        <v>36.533333333333331</v>
      </c>
      <c r="Q144" s="62"/>
    </row>
    <row r="145" spans="1:17" ht="15.75" x14ac:dyDescent="0.25">
      <c r="A145" s="58"/>
      <c r="B145" s="59"/>
      <c r="C145" s="59"/>
      <c r="D145" s="60"/>
      <c r="E145" s="80"/>
      <c r="F145" s="81"/>
      <c r="G145" s="81"/>
      <c r="H145" s="53"/>
      <c r="I145" s="75"/>
      <c r="J145" s="75"/>
      <c r="K145" s="206" t="s">
        <v>380</v>
      </c>
      <c r="L145" s="207" t="s">
        <v>381</v>
      </c>
      <c r="M145" s="206" t="s">
        <v>34</v>
      </c>
      <c r="N145" s="208">
        <v>4</v>
      </c>
      <c r="O145" s="209">
        <v>2040.5991666666666</v>
      </c>
      <c r="P145" s="210">
        <f t="shared" si="1"/>
        <v>8162.3966666666665</v>
      </c>
      <c r="Q145" s="62"/>
    </row>
    <row r="146" spans="1:17" ht="15.75" x14ac:dyDescent="0.25">
      <c r="A146" s="58"/>
      <c r="B146" s="59"/>
      <c r="C146" s="59"/>
      <c r="D146" s="60"/>
      <c r="E146" s="80"/>
      <c r="F146" s="81"/>
      <c r="G146" s="81"/>
      <c r="H146" s="53"/>
      <c r="I146" s="75"/>
      <c r="J146" s="75"/>
      <c r="K146" s="206">
        <v>16267</v>
      </c>
      <c r="L146" s="207" t="s">
        <v>1049</v>
      </c>
      <c r="M146" s="206" t="s">
        <v>39</v>
      </c>
      <c r="N146" s="208">
        <v>2.1000000000000001E-2</v>
      </c>
      <c r="O146" s="209">
        <v>29891.666666666664</v>
      </c>
      <c r="P146" s="210">
        <f t="shared" si="1"/>
        <v>627.72500000000002</v>
      </c>
      <c r="Q146" s="62"/>
    </row>
    <row r="147" spans="1:17" ht="15.75" x14ac:dyDescent="0.25">
      <c r="A147" s="58"/>
      <c r="B147" s="59"/>
      <c r="C147" s="59"/>
      <c r="D147" s="60"/>
      <c r="E147" s="80"/>
      <c r="F147" s="81"/>
      <c r="G147" s="81"/>
      <c r="H147" s="53"/>
      <c r="I147" s="75"/>
      <c r="J147" s="75"/>
      <c r="K147" s="206" t="s">
        <v>1050</v>
      </c>
      <c r="L147" s="207" t="s">
        <v>1051</v>
      </c>
      <c r="M147" s="206" t="s">
        <v>34</v>
      </c>
      <c r="N147" s="208">
        <v>75</v>
      </c>
      <c r="O147" s="209">
        <v>6.7099408284023667</v>
      </c>
      <c r="P147" s="210">
        <f t="shared" si="1"/>
        <v>503.24556213017752</v>
      </c>
      <c r="Q147" s="62"/>
    </row>
    <row r="148" spans="1:17" ht="15.75" x14ac:dyDescent="0.25">
      <c r="A148" s="58"/>
      <c r="B148" s="59"/>
      <c r="C148" s="59"/>
      <c r="D148" s="60"/>
      <c r="E148" s="80"/>
      <c r="F148" s="81"/>
      <c r="G148" s="81"/>
      <c r="H148" s="53"/>
      <c r="I148" s="75"/>
      <c r="J148" s="75"/>
      <c r="K148" s="206" t="s">
        <v>1052</v>
      </c>
      <c r="L148" s="207" t="s">
        <v>1053</v>
      </c>
      <c r="M148" s="206" t="s">
        <v>34</v>
      </c>
      <c r="N148" s="208">
        <v>1</v>
      </c>
      <c r="O148" s="209">
        <v>80</v>
      </c>
      <c r="P148" s="210">
        <f t="shared" ref="P148:P211" si="2">O148*N148</f>
        <v>80</v>
      </c>
      <c r="Q148" s="62"/>
    </row>
    <row r="149" spans="1:17" ht="15.75" x14ac:dyDescent="0.25">
      <c r="A149" s="58"/>
      <c r="B149" s="59"/>
      <c r="C149" s="59"/>
      <c r="D149" s="60"/>
      <c r="E149" s="80"/>
      <c r="F149" s="81"/>
      <c r="G149" s="81"/>
      <c r="H149" s="53"/>
      <c r="I149" s="75"/>
      <c r="J149" s="75"/>
      <c r="K149" s="206" t="s">
        <v>53</v>
      </c>
      <c r="L149" s="207" t="s">
        <v>85</v>
      </c>
      <c r="M149" s="206" t="s">
        <v>34</v>
      </c>
      <c r="N149" s="208">
        <v>66</v>
      </c>
      <c r="O149" s="209">
        <v>47</v>
      </c>
      <c r="P149" s="210">
        <f t="shared" si="2"/>
        <v>3102</v>
      </c>
      <c r="Q149" s="62"/>
    </row>
    <row r="150" spans="1:17" ht="15.75" x14ac:dyDescent="0.25">
      <c r="A150" s="58"/>
      <c r="B150" s="59"/>
      <c r="C150" s="59"/>
      <c r="D150" s="60"/>
      <c r="E150" s="80"/>
      <c r="F150" s="81"/>
      <c r="G150" s="81"/>
      <c r="H150" s="53"/>
      <c r="I150" s="75"/>
      <c r="J150" s="75"/>
      <c r="K150" s="206" t="s">
        <v>54</v>
      </c>
      <c r="L150" s="207" t="s">
        <v>86</v>
      </c>
      <c r="M150" s="206" t="s">
        <v>34</v>
      </c>
      <c r="N150" s="208">
        <v>32</v>
      </c>
      <c r="O150" s="209">
        <v>85</v>
      </c>
      <c r="P150" s="210">
        <f t="shared" si="2"/>
        <v>2720</v>
      </c>
      <c r="Q150" s="62"/>
    </row>
    <row r="151" spans="1:17" ht="15.75" x14ac:dyDescent="0.25">
      <c r="A151" s="58"/>
      <c r="B151" s="59"/>
      <c r="C151" s="59"/>
      <c r="D151" s="60"/>
      <c r="E151" s="80"/>
      <c r="F151" s="81"/>
      <c r="G151" s="81"/>
      <c r="H151" s="53"/>
      <c r="I151" s="75"/>
      <c r="J151" s="75"/>
      <c r="K151" s="206">
        <v>5871</v>
      </c>
      <c r="L151" s="207" t="s">
        <v>1054</v>
      </c>
      <c r="M151" s="206" t="s">
        <v>39</v>
      </c>
      <c r="N151" s="208">
        <v>12.055999999999999</v>
      </c>
      <c r="O151" s="209">
        <v>76.798277232481198</v>
      </c>
      <c r="P151" s="210">
        <f t="shared" si="2"/>
        <v>925.8800303147932</v>
      </c>
      <c r="Q151" s="62"/>
    </row>
    <row r="152" spans="1:17" ht="15.75" x14ac:dyDescent="0.25">
      <c r="A152" s="58"/>
      <c r="B152" s="59"/>
      <c r="C152" s="59"/>
      <c r="D152" s="60"/>
      <c r="E152" s="80"/>
      <c r="F152" s="81"/>
      <c r="G152" s="81"/>
      <c r="H152" s="53"/>
      <c r="I152" s="75"/>
      <c r="J152" s="75"/>
      <c r="K152" s="206">
        <v>106</v>
      </c>
      <c r="L152" s="207" t="s">
        <v>382</v>
      </c>
      <c r="M152" s="206" t="s">
        <v>34</v>
      </c>
      <c r="N152" s="208">
        <v>25</v>
      </c>
      <c r="O152" s="209">
        <v>4.5642857142857141</v>
      </c>
      <c r="P152" s="210">
        <f t="shared" si="2"/>
        <v>114.10714285714285</v>
      </c>
      <c r="Q152" s="62"/>
    </row>
    <row r="153" spans="1:17" ht="15.75" x14ac:dyDescent="0.25">
      <c r="A153" s="58"/>
      <c r="B153" s="59"/>
      <c r="C153" s="59"/>
      <c r="D153" s="60"/>
      <c r="E153" s="80"/>
      <c r="F153" s="81"/>
      <c r="G153" s="81"/>
      <c r="H153" s="53"/>
      <c r="I153" s="75"/>
      <c r="J153" s="75"/>
      <c r="K153" s="206" t="s">
        <v>937</v>
      </c>
      <c r="L153" s="207" t="s">
        <v>938</v>
      </c>
      <c r="M153" s="206" t="s">
        <v>82</v>
      </c>
      <c r="N153" s="208">
        <v>1</v>
      </c>
      <c r="O153" s="209">
        <v>15990.5</v>
      </c>
      <c r="P153" s="210">
        <f t="shared" si="2"/>
        <v>15990.5</v>
      </c>
      <c r="Q153" s="62"/>
    </row>
    <row r="154" spans="1:17" ht="15.75" x14ac:dyDescent="0.25">
      <c r="A154" s="58"/>
      <c r="B154" s="59"/>
      <c r="C154" s="59"/>
      <c r="D154" s="60"/>
      <c r="E154" s="80"/>
      <c r="F154" s="81"/>
      <c r="G154" s="81"/>
      <c r="H154" s="53"/>
      <c r="I154" s="75"/>
      <c r="J154" s="75"/>
      <c r="K154" s="206" t="s">
        <v>963</v>
      </c>
      <c r="L154" s="207" t="s">
        <v>964</v>
      </c>
      <c r="M154" s="206" t="s">
        <v>34</v>
      </c>
      <c r="N154" s="208">
        <v>2</v>
      </c>
      <c r="O154" s="209">
        <v>3446.0466666666666</v>
      </c>
      <c r="P154" s="210">
        <f t="shared" si="2"/>
        <v>6892.0933333333332</v>
      </c>
      <c r="Q154" s="62"/>
    </row>
    <row r="155" spans="1:17" ht="15.75" x14ac:dyDescent="0.25">
      <c r="A155" s="58"/>
      <c r="B155" s="59"/>
      <c r="C155" s="59"/>
      <c r="D155" s="60"/>
      <c r="E155" s="80"/>
      <c r="F155" s="81"/>
      <c r="G155" s="81"/>
      <c r="H155" s="53"/>
      <c r="I155" s="75"/>
      <c r="J155" s="75"/>
      <c r="K155" s="206">
        <v>9893</v>
      </c>
      <c r="L155" s="207" t="s">
        <v>383</v>
      </c>
      <c r="M155" s="206" t="s">
        <v>34</v>
      </c>
      <c r="N155" s="208">
        <v>5</v>
      </c>
      <c r="O155" s="209">
        <v>43.846000000000004</v>
      </c>
      <c r="P155" s="210">
        <f t="shared" si="2"/>
        <v>219.23000000000002</v>
      </c>
      <c r="Q155" s="62"/>
    </row>
    <row r="156" spans="1:17" ht="30" x14ac:dyDescent="0.25">
      <c r="A156" s="58"/>
      <c r="B156" s="59"/>
      <c r="C156" s="59"/>
      <c r="D156" s="60"/>
      <c r="E156" s="80"/>
      <c r="F156" s="81"/>
      <c r="G156" s="81"/>
      <c r="H156" s="53"/>
      <c r="I156" s="75"/>
      <c r="J156" s="75"/>
      <c r="K156" s="206" t="s">
        <v>1055</v>
      </c>
      <c r="L156" s="207" t="s">
        <v>1056</v>
      </c>
      <c r="M156" s="206" t="s">
        <v>63</v>
      </c>
      <c r="N156" s="208">
        <v>0.105</v>
      </c>
      <c r="O156" s="209">
        <v>30109.851063829788</v>
      </c>
      <c r="P156" s="210">
        <f t="shared" si="2"/>
        <v>3161.5343617021276</v>
      </c>
      <c r="Q156" s="62"/>
    </row>
    <row r="157" spans="1:17" ht="15.75" x14ac:dyDescent="0.25">
      <c r="A157" s="58"/>
      <c r="B157" s="59"/>
      <c r="C157" s="59"/>
      <c r="D157" s="60"/>
      <c r="E157" s="80"/>
      <c r="F157" s="81"/>
      <c r="G157" s="81"/>
      <c r="H157" s="53"/>
      <c r="I157" s="75"/>
      <c r="J157" s="75"/>
      <c r="K157" s="206">
        <v>18033</v>
      </c>
      <c r="L157" s="207" t="s">
        <v>1057</v>
      </c>
      <c r="M157" s="206" t="s">
        <v>63</v>
      </c>
      <c r="N157" s="208">
        <v>4.1000000000000002E-2</v>
      </c>
      <c r="O157" s="209">
        <v>29285.769230769234</v>
      </c>
      <c r="P157" s="210">
        <f t="shared" si="2"/>
        <v>1200.7165384615387</v>
      </c>
      <c r="Q157" s="62"/>
    </row>
    <row r="158" spans="1:17" ht="15.75" x14ac:dyDescent="0.25">
      <c r="A158" s="58"/>
      <c r="B158" s="59"/>
      <c r="C158" s="59"/>
      <c r="D158" s="60"/>
      <c r="E158" s="80"/>
      <c r="F158" s="81"/>
      <c r="G158" s="81"/>
      <c r="H158" s="53"/>
      <c r="I158" s="75"/>
      <c r="J158" s="75"/>
      <c r="K158" s="206">
        <v>16975</v>
      </c>
      <c r="L158" s="207" t="s">
        <v>1058</v>
      </c>
      <c r="M158" s="206" t="s">
        <v>63</v>
      </c>
      <c r="N158" s="208">
        <v>0.11799999999999999</v>
      </c>
      <c r="O158" s="209">
        <v>28839.359698681732</v>
      </c>
      <c r="P158" s="210">
        <f t="shared" si="2"/>
        <v>3403.0444444444443</v>
      </c>
      <c r="Q158" s="62"/>
    </row>
    <row r="159" spans="1:17" ht="15.75" x14ac:dyDescent="0.25">
      <c r="A159" s="58"/>
      <c r="B159" s="59"/>
      <c r="C159" s="59"/>
      <c r="D159" s="60"/>
      <c r="E159" s="80"/>
      <c r="F159" s="81"/>
      <c r="G159" s="81"/>
      <c r="H159" s="53"/>
      <c r="I159" s="75"/>
      <c r="J159" s="75"/>
      <c r="K159" s="206" t="s">
        <v>1059</v>
      </c>
      <c r="L159" s="207" t="s">
        <v>1060</v>
      </c>
      <c r="M159" s="206" t="s">
        <v>63</v>
      </c>
      <c r="N159" s="208">
        <v>0.04</v>
      </c>
      <c r="O159" s="209">
        <v>29136.833333333336</v>
      </c>
      <c r="P159" s="210">
        <f t="shared" si="2"/>
        <v>1165.4733333333334</v>
      </c>
      <c r="Q159" s="62"/>
    </row>
    <row r="160" spans="1:17" ht="15.75" x14ac:dyDescent="0.25">
      <c r="A160" s="58"/>
      <c r="B160" s="59"/>
      <c r="C160" s="59"/>
      <c r="D160" s="60"/>
      <c r="E160" s="80"/>
      <c r="F160" s="81"/>
      <c r="G160" s="81"/>
      <c r="H160" s="53"/>
      <c r="I160" s="75"/>
      <c r="J160" s="75"/>
      <c r="K160" s="206">
        <v>17403</v>
      </c>
      <c r="L160" s="207" t="s">
        <v>192</v>
      </c>
      <c r="M160" s="206" t="s">
        <v>63</v>
      </c>
      <c r="N160" s="208">
        <v>3.2000000000000001E-2</v>
      </c>
      <c r="O160" s="209">
        <v>29495.448275862072</v>
      </c>
      <c r="P160" s="210">
        <f t="shared" si="2"/>
        <v>943.85434482758637</v>
      </c>
      <c r="Q160" s="62"/>
    </row>
    <row r="161" spans="1:17" ht="15.75" x14ac:dyDescent="0.25">
      <c r="A161" s="58"/>
      <c r="B161" s="59"/>
      <c r="C161" s="59"/>
      <c r="D161" s="60"/>
      <c r="E161" s="80"/>
      <c r="F161" s="81"/>
      <c r="G161" s="81"/>
      <c r="H161" s="53"/>
      <c r="I161" s="75"/>
      <c r="J161" s="75"/>
      <c r="K161" s="206">
        <v>2706</v>
      </c>
      <c r="L161" s="207" t="s">
        <v>1061</v>
      </c>
      <c r="M161" s="206" t="s">
        <v>63</v>
      </c>
      <c r="N161" s="208">
        <v>0.378</v>
      </c>
      <c r="O161" s="209">
        <v>29317.221238938055</v>
      </c>
      <c r="P161" s="210">
        <f t="shared" si="2"/>
        <v>11081.909628318585</v>
      </c>
      <c r="Q161" s="62"/>
    </row>
    <row r="162" spans="1:17" ht="15.75" x14ac:dyDescent="0.25">
      <c r="A162" s="58"/>
      <c r="B162" s="59"/>
      <c r="C162" s="59"/>
      <c r="D162" s="60"/>
      <c r="E162" s="80"/>
      <c r="F162" s="81"/>
      <c r="G162" s="81"/>
      <c r="H162" s="53"/>
      <c r="I162" s="75"/>
      <c r="J162" s="75"/>
      <c r="K162" s="206" t="s">
        <v>1062</v>
      </c>
      <c r="L162" s="207" t="s">
        <v>1063</v>
      </c>
      <c r="M162" s="206" t="s">
        <v>63</v>
      </c>
      <c r="N162" s="208">
        <v>9.8000000000000004E-2</v>
      </c>
      <c r="O162" s="209">
        <v>30983.272727272724</v>
      </c>
      <c r="P162" s="210">
        <f t="shared" si="2"/>
        <v>3036.3607272727272</v>
      </c>
      <c r="Q162" s="62"/>
    </row>
    <row r="163" spans="1:17" ht="15.75" x14ac:dyDescent="0.25">
      <c r="A163" s="58"/>
      <c r="B163" s="59"/>
      <c r="C163" s="59"/>
      <c r="D163" s="60"/>
      <c r="E163" s="80"/>
      <c r="F163" s="81"/>
      <c r="G163" s="81"/>
      <c r="H163" s="53"/>
      <c r="I163" s="75"/>
      <c r="J163" s="75"/>
      <c r="K163" s="206">
        <v>2878</v>
      </c>
      <c r="L163" s="207" t="s">
        <v>1064</v>
      </c>
      <c r="M163" s="206" t="s">
        <v>63</v>
      </c>
      <c r="N163" s="208">
        <v>6.8000000000000005E-2</v>
      </c>
      <c r="O163" s="209">
        <v>34608.852459016394</v>
      </c>
      <c r="P163" s="210">
        <f t="shared" si="2"/>
        <v>2353.4019672131149</v>
      </c>
      <c r="Q163" s="62"/>
    </row>
    <row r="164" spans="1:17" ht="15.75" x14ac:dyDescent="0.25">
      <c r="A164" s="58"/>
      <c r="B164" s="59"/>
      <c r="C164" s="59"/>
      <c r="D164" s="60"/>
      <c r="E164" s="80"/>
      <c r="F164" s="81"/>
      <c r="G164" s="81"/>
      <c r="H164" s="53"/>
      <c r="I164" s="75"/>
      <c r="J164" s="75"/>
      <c r="K164" s="206" t="s">
        <v>1065</v>
      </c>
      <c r="L164" s="207" t="s">
        <v>1066</v>
      </c>
      <c r="M164" s="206" t="s">
        <v>45</v>
      </c>
      <c r="N164" s="208">
        <v>112.877</v>
      </c>
      <c r="O164" s="209">
        <v>179.77129318854887</v>
      </c>
      <c r="P164" s="210">
        <f t="shared" si="2"/>
        <v>20292.044261243831</v>
      </c>
      <c r="Q164" s="62"/>
    </row>
    <row r="165" spans="1:17" ht="15.75" x14ac:dyDescent="0.25">
      <c r="A165" s="58"/>
      <c r="B165" s="59"/>
      <c r="C165" s="59"/>
      <c r="D165" s="60"/>
      <c r="E165" s="80"/>
      <c r="F165" s="81"/>
      <c r="G165" s="81"/>
      <c r="H165" s="53"/>
      <c r="I165" s="75"/>
      <c r="J165" s="75"/>
      <c r="K165" s="206" t="s">
        <v>939</v>
      </c>
      <c r="L165" s="207" t="s">
        <v>1067</v>
      </c>
      <c r="M165" s="206" t="s">
        <v>34</v>
      </c>
      <c r="N165" s="208">
        <v>8</v>
      </c>
      <c r="O165" s="209">
        <v>4150</v>
      </c>
      <c r="P165" s="210">
        <f t="shared" si="2"/>
        <v>33200</v>
      </c>
      <c r="Q165" s="62"/>
    </row>
    <row r="166" spans="1:17" ht="15.75" x14ac:dyDescent="0.25">
      <c r="A166" s="58"/>
      <c r="B166" s="59"/>
      <c r="C166" s="59"/>
      <c r="D166" s="60"/>
      <c r="E166" s="80"/>
      <c r="F166" s="81"/>
      <c r="G166" s="81"/>
      <c r="H166" s="53"/>
      <c r="I166" s="75"/>
      <c r="J166" s="75"/>
      <c r="K166" s="206" t="s">
        <v>385</v>
      </c>
      <c r="L166" s="207" t="s">
        <v>386</v>
      </c>
      <c r="M166" s="206" t="s">
        <v>34</v>
      </c>
      <c r="N166" s="208">
        <v>2</v>
      </c>
      <c r="O166" s="209">
        <v>308.10624999999999</v>
      </c>
      <c r="P166" s="210">
        <f t="shared" si="2"/>
        <v>616.21249999999998</v>
      </c>
      <c r="Q166" s="62"/>
    </row>
    <row r="167" spans="1:17" ht="15.75" x14ac:dyDescent="0.25">
      <c r="A167" s="58"/>
      <c r="B167" s="59"/>
      <c r="C167" s="59"/>
      <c r="D167" s="60"/>
      <c r="E167" s="80"/>
      <c r="F167" s="81"/>
      <c r="G167" s="81"/>
      <c r="H167" s="53"/>
      <c r="I167" s="75"/>
      <c r="J167" s="75"/>
      <c r="K167" s="206" t="s">
        <v>387</v>
      </c>
      <c r="L167" s="207" t="s">
        <v>388</v>
      </c>
      <c r="M167" s="206" t="s">
        <v>34</v>
      </c>
      <c r="N167" s="208">
        <v>1</v>
      </c>
      <c r="O167" s="209">
        <v>314.96333333333337</v>
      </c>
      <c r="P167" s="210">
        <f t="shared" si="2"/>
        <v>314.96333333333337</v>
      </c>
      <c r="Q167" s="62"/>
    </row>
    <row r="168" spans="1:17" ht="15.75" x14ac:dyDescent="0.25">
      <c r="A168" s="58"/>
      <c r="B168" s="59"/>
      <c r="C168" s="59"/>
      <c r="D168" s="60"/>
      <c r="E168" s="80"/>
      <c r="F168" s="81"/>
      <c r="G168" s="81"/>
      <c r="H168" s="53"/>
      <c r="I168" s="75"/>
      <c r="J168" s="75"/>
      <c r="K168" s="206">
        <v>614</v>
      </c>
      <c r="L168" s="207" t="s">
        <v>940</v>
      </c>
      <c r="M168" s="206" t="s">
        <v>45</v>
      </c>
      <c r="N168" s="208">
        <v>696</v>
      </c>
      <c r="O168" s="209">
        <v>288.54392967346581</v>
      </c>
      <c r="P168" s="210">
        <f t="shared" si="2"/>
        <v>200826.57505273219</v>
      </c>
      <c r="Q168" s="62"/>
    </row>
    <row r="169" spans="1:17" ht="15.75" x14ac:dyDescent="0.25">
      <c r="A169" s="58"/>
      <c r="B169" s="59"/>
      <c r="C169" s="59"/>
      <c r="D169" s="60"/>
      <c r="E169" s="80"/>
      <c r="F169" s="81"/>
      <c r="G169" s="81"/>
      <c r="H169" s="53"/>
      <c r="I169" s="75"/>
      <c r="J169" s="75"/>
      <c r="K169" s="206" t="s">
        <v>941</v>
      </c>
      <c r="L169" s="207" t="s">
        <v>942</v>
      </c>
      <c r="M169" s="206" t="s">
        <v>34</v>
      </c>
      <c r="N169" s="208">
        <v>1</v>
      </c>
      <c r="O169" s="209">
        <v>570</v>
      </c>
      <c r="P169" s="210">
        <f t="shared" si="2"/>
        <v>570</v>
      </c>
      <c r="Q169" s="62"/>
    </row>
    <row r="170" spans="1:17" ht="15.75" x14ac:dyDescent="0.25">
      <c r="A170" s="58"/>
      <c r="B170" s="59"/>
      <c r="C170" s="59"/>
      <c r="D170" s="60"/>
      <c r="E170" s="80"/>
      <c r="F170" s="81"/>
      <c r="G170" s="81"/>
      <c r="H170" s="53"/>
      <c r="I170" s="75"/>
      <c r="J170" s="75"/>
      <c r="K170" s="206" t="s">
        <v>943</v>
      </c>
      <c r="L170" s="207" t="s">
        <v>944</v>
      </c>
      <c r="M170" s="206" t="s">
        <v>34</v>
      </c>
      <c r="N170" s="208">
        <v>8</v>
      </c>
      <c r="O170" s="209">
        <v>2740</v>
      </c>
      <c r="P170" s="210">
        <f t="shared" si="2"/>
        <v>21920</v>
      </c>
      <c r="Q170" s="62"/>
    </row>
    <row r="171" spans="1:17" ht="15.75" x14ac:dyDescent="0.25">
      <c r="A171" s="58"/>
      <c r="B171" s="59"/>
      <c r="C171" s="59"/>
      <c r="D171" s="60"/>
      <c r="E171" s="80"/>
      <c r="F171" s="81"/>
      <c r="G171" s="81"/>
      <c r="H171" s="53"/>
      <c r="I171" s="75"/>
      <c r="J171" s="75"/>
      <c r="K171" s="206" t="s">
        <v>194</v>
      </c>
      <c r="L171" s="207" t="s">
        <v>195</v>
      </c>
      <c r="M171" s="206" t="s">
        <v>34</v>
      </c>
      <c r="N171" s="208">
        <v>5</v>
      </c>
      <c r="O171" s="209">
        <v>1500</v>
      </c>
      <c r="P171" s="210">
        <f t="shared" si="2"/>
        <v>7500</v>
      </c>
      <c r="Q171" s="62"/>
    </row>
    <row r="172" spans="1:17" ht="15.75" x14ac:dyDescent="0.25">
      <c r="A172" s="58"/>
      <c r="B172" s="59"/>
      <c r="C172" s="59"/>
      <c r="D172" s="60"/>
      <c r="E172" s="80"/>
      <c r="F172" s="81"/>
      <c r="G172" s="81"/>
      <c r="H172" s="53"/>
      <c r="I172" s="75"/>
      <c r="J172" s="75"/>
      <c r="K172" s="206" t="s">
        <v>1068</v>
      </c>
      <c r="L172" s="207" t="s">
        <v>1069</v>
      </c>
      <c r="M172" s="206" t="s">
        <v>269</v>
      </c>
      <c r="N172" s="208">
        <v>2</v>
      </c>
      <c r="O172" s="209">
        <v>1488</v>
      </c>
      <c r="P172" s="210">
        <f t="shared" si="2"/>
        <v>2976</v>
      </c>
      <c r="Q172" s="62"/>
    </row>
    <row r="173" spans="1:17" ht="15.75" x14ac:dyDescent="0.25">
      <c r="A173" s="58"/>
      <c r="B173" s="59"/>
      <c r="C173" s="59"/>
      <c r="D173" s="60"/>
      <c r="E173" s="80"/>
      <c r="F173" s="81"/>
      <c r="G173" s="81"/>
      <c r="H173" s="53"/>
      <c r="I173" s="75"/>
      <c r="J173" s="75"/>
      <c r="K173" s="206" t="s">
        <v>391</v>
      </c>
      <c r="L173" s="207" t="s">
        <v>392</v>
      </c>
      <c r="M173" s="206" t="s">
        <v>68</v>
      </c>
      <c r="N173" s="208">
        <v>35</v>
      </c>
      <c r="O173" s="209">
        <v>4523.813546371447</v>
      </c>
      <c r="P173" s="210">
        <f t="shared" si="2"/>
        <v>158333.47412300063</v>
      </c>
      <c r="Q173" s="62"/>
    </row>
    <row r="174" spans="1:17" ht="15.75" x14ac:dyDescent="0.25">
      <c r="A174" s="58"/>
      <c r="B174" s="59"/>
      <c r="C174" s="59"/>
      <c r="D174" s="60"/>
      <c r="E174" s="80"/>
      <c r="F174" s="81"/>
      <c r="G174" s="81"/>
      <c r="H174" s="53"/>
      <c r="I174" s="75"/>
      <c r="J174" s="75"/>
      <c r="K174" s="206" t="s">
        <v>945</v>
      </c>
      <c r="L174" s="207" t="s">
        <v>1070</v>
      </c>
      <c r="M174" s="206" t="s">
        <v>34</v>
      </c>
      <c r="N174" s="208">
        <v>1</v>
      </c>
      <c r="O174" s="209">
        <v>3627.895</v>
      </c>
      <c r="P174" s="210">
        <f t="shared" si="2"/>
        <v>3627.895</v>
      </c>
      <c r="Q174" s="62"/>
    </row>
    <row r="175" spans="1:17" ht="15.75" x14ac:dyDescent="0.25">
      <c r="A175" s="58"/>
      <c r="B175" s="59"/>
      <c r="C175" s="59"/>
      <c r="D175" s="60"/>
      <c r="E175" s="80"/>
      <c r="F175" s="81"/>
      <c r="G175" s="81"/>
      <c r="H175" s="53"/>
      <c r="I175" s="75"/>
      <c r="J175" s="75"/>
      <c r="K175" s="206" t="s">
        <v>1071</v>
      </c>
      <c r="L175" s="207" t="s">
        <v>1072</v>
      </c>
      <c r="M175" s="206" t="s">
        <v>34</v>
      </c>
      <c r="N175" s="208">
        <v>1</v>
      </c>
      <c r="O175" s="209">
        <v>101</v>
      </c>
      <c r="P175" s="210">
        <f t="shared" si="2"/>
        <v>101</v>
      </c>
      <c r="Q175" s="62"/>
    </row>
    <row r="176" spans="1:17" ht="15.75" x14ac:dyDescent="0.25">
      <c r="A176" s="58"/>
      <c r="B176" s="59"/>
      <c r="C176" s="59"/>
      <c r="D176" s="60"/>
      <c r="E176" s="80"/>
      <c r="F176" s="81"/>
      <c r="G176" s="81"/>
      <c r="H176" s="53"/>
      <c r="I176" s="75"/>
      <c r="J176" s="75"/>
      <c r="K176" s="206">
        <v>19338</v>
      </c>
      <c r="L176" s="207" t="s">
        <v>393</v>
      </c>
      <c r="M176" s="206" t="s">
        <v>34</v>
      </c>
      <c r="N176" s="208">
        <v>1</v>
      </c>
      <c r="O176" s="209">
        <v>32.166666666666664</v>
      </c>
      <c r="P176" s="210">
        <f t="shared" si="2"/>
        <v>32.166666666666664</v>
      </c>
      <c r="Q176" s="62"/>
    </row>
    <row r="177" spans="1:17" ht="15.75" x14ac:dyDescent="0.25">
      <c r="A177" s="58"/>
      <c r="B177" s="59"/>
      <c r="C177" s="59"/>
      <c r="D177" s="60"/>
      <c r="E177" s="80"/>
      <c r="F177" s="81"/>
      <c r="G177" s="81"/>
      <c r="H177" s="53"/>
      <c r="I177" s="75"/>
      <c r="J177" s="75"/>
      <c r="K177" s="206" t="s">
        <v>394</v>
      </c>
      <c r="L177" s="207" t="s">
        <v>395</v>
      </c>
      <c r="M177" s="206" t="s">
        <v>34</v>
      </c>
      <c r="N177" s="208">
        <v>1</v>
      </c>
      <c r="O177" s="209">
        <v>6398.2800000000007</v>
      </c>
      <c r="P177" s="210">
        <f t="shared" si="2"/>
        <v>6398.2800000000007</v>
      </c>
      <c r="Q177" s="62"/>
    </row>
    <row r="178" spans="1:17" ht="15.75" x14ac:dyDescent="0.25">
      <c r="A178" s="58"/>
      <c r="B178" s="59"/>
      <c r="C178" s="59"/>
      <c r="D178" s="60"/>
      <c r="E178" s="80"/>
      <c r="F178" s="81"/>
      <c r="G178" s="81"/>
      <c r="H178" s="53"/>
      <c r="I178" s="75"/>
      <c r="J178" s="75"/>
      <c r="K178" s="206">
        <v>345</v>
      </c>
      <c r="L178" s="207" t="s">
        <v>396</v>
      </c>
      <c r="M178" s="206" t="s">
        <v>34</v>
      </c>
      <c r="N178" s="208">
        <v>8</v>
      </c>
      <c r="O178" s="209">
        <v>45.926315789473684</v>
      </c>
      <c r="P178" s="210">
        <f t="shared" si="2"/>
        <v>367.41052631578947</v>
      </c>
      <c r="Q178" s="62"/>
    </row>
    <row r="179" spans="1:17" ht="15.75" x14ac:dyDescent="0.25">
      <c r="A179" s="58"/>
      <c r="B179" s="59"/>
      <c r="C179" s="59"/>
      <c r="D179" s="60"/>
      <c r="E179" s="80"/>
      <c r="F179" s="81"/>
      <c r="G179" s="81"/>
      <c r="H179" s="53"/>
      <c r="I179" s="75"/>
      <c r="J179" s="75"/>
      <c r="K179" s="206">
        <v>107</v>
      </c>
      <c r="L179" s="207" t="s">
        <v>397</v>
      </c>
      <c r="M179" s="206" t="s">
        <v>34</v>
      </c>
      <c r="N179" s="208">
        <v>4</v>
      </c>
      <c r="O179" s="209">
        <v>18.850000000000001</v>
      </c>
      <c r="P179" s="210">
        <f t="shared" si="2"/>
        <v>75.400000000000006</v>
      </c>
      <c r="Q179" s="62"/>
    </row>
    <row r="180" spans="1:17" ht="30" x14ac:dyDescent="0.25">
      <c r="A180" s="58"/>
      <c r="B180" s="59"/>
      <c r="C180" s="59"/>
      <c r="D180" s="60"/>
      <c r="E180" s="80"/>
      <c r="F180" s="81"/>
      <c r="G180" s="81"/>
      <c r="H180" s="53"/>
      <c r="I180" s="75"/>
      <c r="J180" s="75"/>
      <c r="K180" s="206">
        <v>21807</v>
      </c>
      <c r="L180" s="207" t="s">
        <v>398</v>
      </c>
      <c r="M180" s="206" t="s">
        <v>34</v>
      </c>
      <c r="N180" s="208">
        <v>22</v>
      </c>
      <c r="O180" s="209">
        <v>1290.8</v>
      </c>
      <c r="P180" s="210">
        <f t="shared" si="2"/>
        <v>28397.599999999999</v>
      </c>
      <c r="Q180" s="62"/>
    </row>
    <row r="181" spans="1:17" ht="15.75" x14ac:dyDescent="0.25">
      <c r="A181" s="58"/>
      <c r="B181" s="59"/>
      <c r="C181" s="59"/>
      <c r="D181" s="60"/>
      <c r="E181" s="80"/>
      <c r="F181" s="81"/>
      <c r="G181" s="81"/>
      <c r="H181" s="53"/>
      <c r="I181" s="75"/>
      <c r="J181" s="75"/>
      <c r="K181" s="206">
        <v>16131</v>
      </c>
      <c r="L181" s="207" t="s">
        <v>899</v>
      </c>
      <c r="M181" s="206" t="s">
        <v>34</v>
      </c>
      <c r="N181" s="208">
        <v>0</v>
      </c>
      <c r="O181" s="209">
        <v>148.33000000000001</v>
      </c>
      <c r="P181" s="210">
        <f t="shared" si="2"/>
        <v>0</v>
      </c>
      <c r="Q181" s="62"/>
    </row>
    <row r="182" spans="1:17" ht="15.75" x14ac:dyDescent="0.25">
      <c r="A182" s="58"/>
      <c r="B182" s="59"/>
      <c r="C182" s="59"/>
      <c r="D182" s="60"/>
      <c r="E182" s="80"/>
      <c r="F182" s="81"/>
      <c r="G182" s="81"/>
      <c r="H182" s="53"/>
      <c r="I182" s="75"/>
      <c r="J182" s="75"/>
      <c r="K182" s="206">
        <v>16815</v>
      </c>
      <c r="L182" s="207" t="s">
        <v>1073</v>
      </c>
      <c r="M182" s="206" t="s">
        <v>34</v>
      </c>
      <c r="N182" s="208">
        <v>6</v>
      </c>
      <c r="O182" s="209">
        <v>282.5</v>
      </c>
      <c r="P182" s="210">
        <f t="shared" si="2"/>
        <v>1695</v>
      </c>
      <c r="Q182" s="62"/>
    </row>
    <row r="183" spans="1:17" ht="15.75" x14ac:dyDescent="0.25">
      <c r="A183" s="58"/>
      <c r="B183" s="59"/>
      <c r="C183" s="59"/>
      <c r="D183" s="60"/>
      <c r="E183" s="80"/>
      <c r="F183" s="81"/>
      <c r="G183" s="81"/>
      <c r="H183" s="53"/>
      <c r="I183" s="75"/>
      <c r="J183" s="75"/>
      <c r="K183" s="206" t="s">
        <v>749</v>
      </c>
      <c r="L183" s="207" t="s">
        <v>91</v>
      </c>
      <c r="M183" s="206" t="s">
        <v>34</v>
      </c>
      <c r="N183" s="208">
        <v>1</v>
      </c>
      <c r="O183" s="209">
        <v>4916.67</v>
      </c>
      <c r="P183" s="210">
        <f t="shared" si="2"/>
        <v>4916.67</v>
      </c>
      <c r="Q183" s="62"/>
    </row>
    <row r="184" spans="1:17" ht="15.75" x14ac:dyDescent="0.25">
      <c r="A184" s="58"/>
      <c r="B184" s="59"/>
      <c r="C184" s="59"/>
      <c r="D184" s="60"/>
      <c r="E184" s="80"/>
      <c r="F184" s="81"/>
      <c r="G184" s="81"/>
      <c r="H184" s="53"/>
      <c r="I184" s="75"/>
      <c r="J184" s="75"/>
      <c r="K184" s="206" t="s">
        <v>761</v>
      </c>
      <c r="L184" s="207" t="s">
        <v>762</v>
      </c>
      <c r="M184" s="206" t="s">
        <v>68</v>
      </c>
      <c r="N184" s="208">
        <v>239.06899999999999</v>
      </c>
      <c r="O184" s="209">
        <v>170.15876951759498</v>
      </c>
      <c r="P184" s="210">
        <f t="shared" si="2"/>
        <v>40679.68686980191</v>
      </c>
      <c r="Q184" s="62"/>
    </row>
    <row r="185" spans="1:17" ht="15.75" x14ac:dyDescent="0.25">
      <c r="A185" s="58"/>
      <c r="B185" s="59"/>
      <c r="C185" s="59"/>
      <c r="D185" s="60"/>
      <c r="E185" s="80"/>
      <c r="F185" s="81"/>
      <c r="G185" s="81"/>
      <c r="H185" s="53"/>
      <c r="I185" s="75"/>
      <c r="J185" s="75"/>
      <c r="K185" s="206" t="s">
        <v>403</v>
      </c>
      <c r="L185" s="207" t="s">
        <v>404</v>
      </c>
      <c r="M185" s="206" t="s">
        <v>34</v>
      </c>
      <c r="N185" s="208">
        <v>2</v>
      </c>
      <c r="O185" s="209">
        <v>36.485714285714288</v>
      </c>
      <c r="P185" s="210">
        <f t="shared" si="2"/>
        <v>72.971428571428575</v>
      </c>
      <c r="Q185" s="62"/>
    </row>
    <row r="186" spans="1:17" ht="15.75" x14ac:dyDescent="0.25">
      <c r="A186" s="58"/>
      <c r="B186" s="59"/>
      <c r="C186" s="59"/>
      <c r="D186" s="60"/>
      <c r="E186" s="80"/>
      <c r="F186" s="81"/>
      <c r="G186" s="81"/>
      <c r="H186" s="53"/>
      <c r="I186" s="75"/>
      <c r="J186" s="75"/>
      <c r="K186" s="206" t="s">
        <v>405</v>
      </c>
      <c r="L186" s="207" t="s">
        <v>406</v>
      </c>
      <c r="M186" s="206" t="s">
        <v>34</v>
      </c>
      <c r="N186" s="208">
        <v>2</v>
      </c>
      <c r="O186" s="209">
        <v>43.672727272727272</v>
      </c>
      <c r="P186" s="210">
        <f t="shared" si="2"/>
        <v>87.345454545454544</v>
      </c>
      <c r="Q186" s="62"/>
    </row>
    <row r="187" spans="1:17" ht="15.75" x14ac:dyDescent="0.25">
      <c r="A187" s="58"/>
      <c r="B187" s="59"/>
      <c r="C187" s="59"/>
      <c r="D187" s="60"/>
      <c r="E187" s="80"/>
      <c r="F187" s="81"/>
      <c r="G187" s="81"/>
      <c r="H187" s="53"/>
      <c r="I187" s="75"/>
      <c r="J187" s="75"/>
      <c r="K187" s="206" t="s">
        <v>1074</v>
      </c>
      <c r="L187" s="207" t="s">
        <v>1075</v>
      </c>
      <c r="M187" s="206" t="s">
        <v>34</v>
      </c>
      <c r="N187" s="208">
        <v>0</v>
      </c>
      <c r="O187" s="209">
        <v>23.599999999999998</v>
      </c>
      <c r="P187" s="210">
        <f t="shared" si="2"/>
        <v>0</v>
      </c>
      <c r="Q187" s="62"/>
    </row>
    <row r="188" spans="1:17" ht="15.75" x14ac:dyDescent="0.25">
      <c r="A188" s="58"/>
      <c r="B188" s="59"/>
      <c r="C188" s="59"/>
      <c r="D188" s="60"/>
      <c r="E188" s="80"/>
      <c r="F188" s="81"/>
      <c r="G188" s="81"/>
      <c r="H188" s="53"/>
      <c r="I188" s="75"/>
      <c r="J188" s="75"/>
      <c r="K188" s="206" t="s">
        <v>202</v>
      </c>
      <c r="L188" s="207" t="s">
        <v>203</v>
      </c>
      <c r="M188" s="206" t="s">
        <v>34</v>
      </c>
      <c r="N188" s="208">
        <v>1</v>
      </c>
      <c r="O188" s="209">
        <v>111.7</v>
      </c>
      <c r="P188" s="210">
        <f t="shared" si="2"/>
        <v>111.7</v>
      </c>
      <c r="Q188" s="62"/>
    </row>
    <row r="189" spans="1:17" ht="15.75" x14ac:dyDescent="0.25">
      <c r="A189" s="58"/>
      <c r="B189" s="59"/>
      <c r="C189" s="59"/>
      <c r="D189" s="60"/>
      <c r="E189" s="80"/>
      <c r="F189" s="81"/>
      <c r="G189" s="81"/>
      <c r="H189" s="53"/>
      <c r="I189" s="75"/>
      <c r="J189" s="75"/>
      <c r="K189" s="206">
        <v>85</v>
      </c>
      <c r="L189" s="207" t="s">
        <v>407</v>
      </c>
      <c r="M189" s="206" t="s">
        <v>34</v>
      </c>
      <c r="N189" s="208">
        <v>1</v>
      </c>
      <c r="O189" s="209">
        <v>50.5</v>
      </c>
      <c r="P189" s="210">
        <f t="shared" si="2"/>
        <v>50.5</v>
      </c>
      <c r="Q189" s="62"/>
    </row>
    <row r="190" spans="1:17" ht="15.75" x14ac:dyDescent="0.25">
      <c r="A190" s="58"/>
      <c r="B190" s="59"/>
      <c r="C190" s="59"/>
      <c r="D190" s="60"/>
      <c r="E190" s="80"/>
      <c r="F190" s="81"/>
      <c r="G190" s="81"/>
      <c r="H190" s="53"/>
      <c r="I190" s="75"/>
      <c r="J190" s="75"/>
      <c r="K190" s="206" t="s">
        <v>1076</v>
      </c>
      <c r="L190" s="207" t="s">
        <v>1077</v>
      </c>
      <c r="M190" s="206" t="s">
        <v>34</v>
      </c>
      <c r="N190" s="208">
        <v>7</v>
      </c>
      <c r="O190" s="209">
        <v>35</v>
      </c>
      <c r="P190" s="210">
        <f t="shared" si="2"/>
        <v>245</v>
      </c>
      <c r="Q190" s="62"/>
    </row>
    <row r="191" spans="1:17" ht="15.75" x14ac:dyDescent="0.25">
      <c r="A191" s="58"/>
      <c r="B191" s="59"/>
      <c r="C191" s="59"/>
      <c r="D191" s="60"/>
      <c r="E191" s="80"/>
      <c r="F191" s="81"/>
      <c r="G191" s="81"/>
      <c r="H191" s="53"/>
      <c r="I191" s="75"/>
      <c r="J191" s="75"/>
      <c r="K191" s="206">
        <v>477</v>
      </c>
      <c r="L191" s="207" t="s">
        <v>93</v>
      </c>
      <c r="M191" s="206" t="s">
        <v>34</v>
      </c>
      <c r="N191" s="208">
        <v>3</v>
      </c>
      <c r="O191" s="209">
        <v>42</v>
      </c>
      <c r="P191" s="210">
        <f t="shared" si="2"/>
        <v>126</v>
      </c>
      <c r="Q191" s="62"/>
    </row>
    <row r="192" spans="1:17" ht="30" x14ac:dyDescent="0.25">
      <c r="A192" s="58"/>
      <c r="B192" s="59"/>
      <c r="C192" s="59"/>
      <c r="D192" s="60"/>
      <c r="E192" s="80"/>
      <c r="F192" s="81"/>
      <c r="G192" s="81"/>
      <c r="H192" s="53"/>
      <c r="I192" s="75"/>
      <c r="J192" s="75"/>
      <c r="K192" s="206" t="s">
        <v>411</v>
      </c>
      <c r="L192" s="207" t="s">
        <v>412</v>
      </c>
      <c r="M192" s="206" t="s">
        <v>34</v>
      </c>
      <c r="N192" s="208">
        <v>256</v>
      </c>
      <c r="O192" s="209">
        <v>59.607065972222216</v>
      </c>
      <c r="P192" s="210">
        <f t="shared" si="2"/>
        <v>15259.408888888887</v>
      </c>
      <c r="Q192" s="62"/>
    </row>
    <row r="193" spans="1:17" ht="15.75" x14ac:dyDescent="0.25">
      <c r="A193" s="58"/>
      <c r="B193" s="59"/>
      <c r="C193" s="59"/>
      <c r="D193" s="60"/>
      <c r="E193" s="80"/>
      <c r="F193" s="81"/>
      <c r="G193" s="81"/>
      <c r="H193" s="53"/>
      <c r="I193" s="75"/>
      <c r="J193" s="75"/>
      <c r="K193" s="206" t="s">
        <v>204</v>
      </c>
      <c r="L193" s="207" t="s">
        <v>205</v>
      </c>
      <c r="M193" s="206" t="s">
        <v>34</v>
      </c>
      <c r="N193" s="208">
        <v>449</v>
      </c>
      <c r="O193" s="209">
        <v>31.904761904761905</v>
      </c>
      <c r="P193" s="210">
        <f t="shared" si="2"/>
        <v>14325.238095238095</v>
      </c>
      <c r="Q193" s="62"/>
    </row>
    <row r="194" spans="1:17" ht="15.75" x14ac:dyDescent="0.25">
      <c r="A194" s="58"/>
      <c r="B194" s="59"/>
      <c r="C194" s="59"/>
      <c r="D194" s="60"/>
      <c r="E194" s="80"/>
      <c r="F194" s="81"/>
      <c r="G194" s="81"/>
      <c r="H194" s="53"/>
      <c r="I194" s="75"/>
      <c r="J194" s="75"/>
      <c r="K194" s="206">
        <v>18169</v>
      </c>
      <c r="L194" s="207" t="s">
        <v>1078</v>
      </c>
      <c r="M194" s="206" t="s">
        <v>1207</v>
      </c>
      <c r="N194" s="208">
        <v>6.7000000000000004E-2</v>
      </c>
      <c r="O194" s="209">
        <v>2389.2333333333336</v>
      </c>
      <c r="P194" s="210">
        <f t="shared" si="2"/>
        <v>160.07863333333336</v>
      </c>
      <c r="Q194" s="62"/>
    </row>
    <row r="195" spans="1:17" ht="30" x14ac:dyDescent="0.25">
      <c r="A195" s="58"/>
      <c r="B195" s="59"/>
      <c r="C195" s="59"/>
      <c r="D195" s="60"/>
      <c r="E195" s="80"/>
      <c r="F195" s="81"/>
      <c r="G195" s="81"/>
      <c r="H195" s="53"/>
      <c r="I195" s="75"/>
      <c r="J195" s="75"/>
      <c r="K195" s="206" t="s">
        <v>971</v>
      </c>
      <c r="L195" s="207" t="s">
        <v>979</v>
      </c>
      <c r="M195" s="206" t="s">
        <v>34</v>
      </c>
      <c r="N195" s="208">
        <v>0</v>
      </c>
      <c r="O195" s="209">
        <v>91.352500000000006</v>
      </c>
      <c r="P195" s="210">
        <f t="shared" si="2"/>
        <v>0</v>
      </c>
      <c r="Q195" s="62"/>
    </row>
    <row r="196" spans="1:17" ht="15.75" x14ac:dyDescent="0.25">
      <c r="A196" s="58"/>
      <c r="B196" s="59"/>
      <c r="C196" s="59"/>
      <c r="D196" s="60"/>
      <c r="E196" s="80"/>
      <c r="F196" s="81"/>
      <c r="G196" s="81"/>
      <c r="H196" s="53"/>
      <c r="I196" s="75"/>
      <c r="J196" s="75"/>
      <c r="K196" s="206">
        <v>3979</v>
      </c>
      <c r="L196" s="207" t="s">
        <v>1079</v>
      </c>
      <c r="M196" s="206" t="s">
        <v>34</v>
      </c>
      <c r="N196" s="208">
        <v>156</v>
      </c>
      <c r="O196" s="209">
        <v>301.20842329545457</v>
      </c>
      <c r="P196" s="210">
        <f t="shared" si="2"/>
        <v>46988.514034090913</v>
      </c>
      <c r="Q196" s="62"/>
    </row>
    <row r="197" spans="1:17" ht="15.75" x14ac:dyDescent="0.25">
      <c r="A197" s="58"/>
      <c r="B197" s="59"/>
      <c r="C197" s="59"/>
      <c r="D197" s="60"/>
      <c r="E197" s="80"/>
      <c r="F197" s="81"/>
      <c r="G197" s="81"/>
      <c r="H197" s="53"/>
      <c r="I197" s="75"/>
      <c r="J197" s="75"/>
      <c r="K197" s="206" t="s">
        <v>1080</v>
      </c>
      <c r="L197" s="207" t="s">
        <v>1081</v>
      </c>
      <c r="M197" s="206" t="s">
        <v>34</v>
      </c>
      <c r="N197" s="208">
        <v>27</v>
      </c>
      <c r="O197" s="209">
        <v>129.16999999999999</v>
      </c>
      <c r="P197" s="210">
        <f t="shared" si="2"/>
        <v>3487.5899999999997</v>
      </c>
      <c r="Q197" s="62"/>
    </row>
    <row r="198" spans="1:17" ht="15.75" x14ac:dyDescent="0.25">
      <c r="A198" s="58"/>
      <c r="B198" s="59"/>
      <c r="C198" s="59"/>
      <c r="D198" s="60"/>
      <c r="E198" s="80"/>
      <c r="F198" s="81"/>
      <c r="G198" s="81"/>
      <c r="H198" s="53"/>
      <c r="I198" s="75"/>
      <c r="J198" s="75"/>
      <c r="K198" s="206">
        <v>21537</v>
      </c>
      <c r="L198" s="207" t="s">
        <v>742</v>
      </c>
      <c r="M198" s="206" t="s">
        <v>269</v>
      </c>
      <c r="N198" s="208">
        <v>9</v>
      </c>
      <c r="O198" s="209">
        <v>787.38199999999995</v>
      </c>
      <c r="P198" s="210">
        <f t="shared" si="2"/>
        <v>7086.4379999999992</v>
      </c>
      <c r="Q198" s="62"/>
    </row>
    <row r="199" spans="1:17" ht="15.75" x14ac:dyDescent="0.25">
      <c r="A199" s="58"/>
      <c r="B199" s="59"/>
      <c r="C199" s="59"/>
      <c r="D199" s="60"/>
      <c r="E199" s="80"/>
      <c r="F199" s="81"/>
      <c r="G199" s="81"/>
      <c r="H199" s="53"/>
      <c r="I199" s="75"/>
      <c r="J199" s="75"/>
      <c r="K199" s="206">
        <v>6683</v>
      </c>
      <c r="L199" s="207" t="s">
        <v>743</v>
      </c>
      <c r="M199" s="206" t="s">
        <v>269</v>
      </c>
      <c r="N199" s="208">
        <v>8</v>
      </c>
      <c r="O199" s="209">
        <v>784.15048780487803</v>
      </c>
      <c r="P199" s="210">
        <f t="shared" si="2"/>
        <v>6273.2039024390242</v>
      </c>
      <c r="Q199" s="62"/>
    </row>
    <row r="200" spans="1:17" ht="15.75" x14ac:dyDescent="0.25">
      <c r="A200" s="58"/>
      <c r="B200" s="59"/>
      <c r="C200" s="59"/>
      <c r="D200" s="60"/>
      <c r="E200" s="80"/>
      <c r="F200" s="81"/>
      <c r="G200" s="81"/>
      <c r="H200" s="53"/>
      <c r="I200" s="75"/>
      <c r="J200" s="75"/>
      <c r="K200" s="206" t="s">
        <v>414</v>
      </c>
      <c r="L200" s="207" t="s">
        <v>415</v>
      </c>
      <c r="M200" s="206" t="s">
        <v>37</v>
      </c>
      <c r="N200" s="208">
        <v>142</v>
      </c>
      <c r="O200" s="209">
        <v>119.18812499999999</v>
      </c>
      <c r="P200" s="210">
        <f t="shared" si="2"/>
        <v>16924.713749999999</v>
      </c>
      <c r="Q200" s="62"/>
    </row>
    <row r="201" spans="1:17" ht="15.75" x14ac:dyDescent="0.25">
      <c r="A201" s="58"/>
      <c r="B201" s="59"/>
      <c r="C201" s="59"/>
      <c r="D201" s="60"/>
      <c r="E201" s="80"/>
      <c r="F201" s="81"/>
      <c r="G201" s="81"/>
      <c r="H201" s="53"/>
      <c r="I201" s="75"/>
      <c r="J201" s="75"/>
      <c r="K201" s="206" t="s">
        <v>1082</v>
      </c>
      <c r="L201" s="207" t="s">
        <v>1083</v>
      </c>
      <c r="M201" s="206" t="s">
        <v>34</v>
      </c>
      <c r="N201" s="208">
        <v>134</v>
      </c>
      <c r="O201" s="209">
        <v>142.87763333333334</v>
      </c>
      <c r="P201" s="210">
        <f t="shared" si="2"/>
        <v>19145.602866666668</v>
      </c>
      <c r="Q201" s="62"/>
    </row>
    <row r="202" spans="1:17" ht="15.75" x14ac:dyDescent="0.25">
      <c r="A202" s="58"/>
      <c r="B202" s="59"/>
      <c r="C202" s="59"/>
      <c r="D202" s="60"/>
      <c r="E202" s="80"/>
      <c r="F202" s="81"/>
      <c r="G202" s="81"/>
      <c r="H202" s="53"/>
      <c r="I202" s="75"/>
      <c r="J202" s="75"/>
      <c r="K202" s="206">
        <v>4683</v>
      </c>
      <c r="L202" s="207" t="s">
        <v>1084</v>
      </c>
      <c r="M202" s="206" t="s">
        <v>34</v>
      </c>
      <c r="N202" s="208">
        <v>0</v>
      </c>
      <c r="O202" s="209">
        <v>3441.92</v>
      </c>
      <c r="P202" s="210">
        <f t="shared" si="2"/>
        <v>0</v>
      </c>
      <c r="Q202" s="62"/>
    </row>
    <row r="203" spans="1:17" ht="15.75" x14ac:dyDescent="0.25">
      <c r="A203" s="58"/>
      <c r="B203" s="59"/>
      <c r="C203" s="59"/>
      <c r="D203" s="60"/>
      <c r="E203" s="80"/>
      <c r="F203" s="81"/>
      <c r="G203" s="81"/>
      <c r="H203" s="53"/>
      <c r="I203" s="75"/>
      <c r="J203" s="75"/>
      <c r="K203" s="206" t="s">
        <v>1085</v>
      </c>
      <c r="L203" s="207" t="s">
        <v>1086</v>
      </c>
      <c r="M203" s="206" t="s">
        <v>34</v>
      </c>
      <c r="N203" s="208">
        <v>3</v>
      </c>
      <c r="O203" s="209">
        <v>466.34750000000003</v>
      </c>
      <c r="P203" s="210">
        <f t="shared" si="2"/>
        <v>1399.0425</v>
      </c>
      <c r="Q203" s="62"/>
    </row>
    <row r="204" spans="1:17" ht="30" x14ac:dyDescent="0.25">
      <c r="A204" s="58"/>
      <c r="B204" s="59"/>
      <c r="C204" s="59"/>
      <c r="D204" s="60"/>
      <c r="E204" s="80"/>
      <c r="F204" s="81"/>
      <c r="G204" s="81"/>
      <c r="H204" s="53"/>
      <c r="I204" s="75"/>
      <c r="J204" s="75"/>
      <c r="K204" s="206" t="s">
        <v>981</v>
      </c>
      <c r="L204" s="207" t="s">
        <v>1087</v>
      </c>
      <c r="M204" s="206" t="s">
        <v>34</v>
      </c>
      <c r="N204" s="208">
        <v>1</v>
      </c>
      <c r="O204" s="209">
        <v>623</v>
      </c>
      <c r="P204" s="210">
        <f t="shared" si="2"/>
        <v>623</v>
      </c>
      <c r="Q204" s="62"/>
    </row>
    <row r="205" spans="1:17" ht="15.75" x14ac:dyDescent="0.25">
      <c r="A205" s="58"/>
      <c r="B205" s="59"/>
      <c r="C205" s="59"/>
      <c r="D205" s="60"/>
      <c r="E205" s="80"/>
      <c r="F205" s="81"/>
      <c r="G205" s="81"/>
      <c r="H205" s="53"/>
      <c r="I205" s="75"/>
      <c r="J205" s="75"/>
      <c r="K205" s="206">
        <v>8297</v>
      </c>
      <c r="L205" s="207" t="s">
        <v>1088</v>
      </c>
      <c r="M205" s="206" t="s">
        <v>34</v>
      </c>
      <c r="N205" s="208">
        <v>1</v>
      </c>
      <c r="O205" s="209">
        <v>705.8</v>
      </c>
      <c r="P205" s="210">
        <f t="shared" si="2"/>
        <v>705.8</v>
      </c>
      <c r="Q205" s="62"/>
    </row>
    <row r="206" spans="1:17" ht="15.75" x14ac:dyDescent="0.25">
      <c r="A206" s="58"/>
      <c r="B206" s="59"/>
      <c r="C206" s="59"/>
      <c r="D206" s="60"/>
      <c r="E206" s="80"/>
      <c r="F206" s="81"/>
      <c r="G206" s="81"/>
      <c r="H206" s="53"/>
      <c r="I206" s="75"/>
      <c r="J206" s="75"/>
      <c r="K206" s="206" t="s">
        <v>1089</v>
      </c>
      <c r="L206" s="207" t="s">
        <v>1090</v>
      </c>
      <c r="M206" s="206" t="s">
        <v>34</v>
      </c>
      <c r="N206" s="208">
        <v>0</v>
      </c>
      <c r="O206" s="209">
        <v>3538.9</v>
      </c>
      <c r="P206" s="210">
        <f t="shared" si="2"/>
        <v>0</v>
      </c>
      <c r="Q206" s="62"/>
    </row>
    <row r="207" spans="1:17" ht="15.75" x14ac:dyDescent="0.25">
      <c r="A207" s="58"/>
      <c r="B207" s="59"/>
      <c r="C207" s="59"/>
      <c r="D207" s="60"/>
      <c r="E207" s="80"/>
      <c r="F207" s="81"/>
      <c r="G207" s="81"/>
      <c r="H207" s="53"/>
      <c r="I207" s="75"/>
      <c r="J207" s="75"/>
      <c r="K207" s="206" t="s">
        <v>946</v>
      </c>
      <c r="L207" s="207" t="s">
        <v>947</v>
      </c>
      <c r="M207" s="206" t="s">
        <v>34</v>
      </c>
      <c r="N207" s="208">
        <v>1</v>
      </c>
      <c r="O207" s="209">
        <v>16752.900000000001</v>
      </c>
      <c r="P207" s="210">
        <f t="shared" si="2"/>
        <v>16752.900000000001</v>
      </c>
      <c r="Q207" s="62"/>
    </row>
    <row r="208" spans="1:17" ht="15.75" x14ac:dyDescent="0.25">
      <c r="A208" s="58"/>
      <c r="B208" s="59"/>
      <c r="C208" s="59"/>
      <c r="D208" s="60"/>
      <c r="E208" s="80"/>
      <c r="F208" s="81"/>
      <c r="G208" s="81"/>
      <c r="H208" s="53"/>
      <c r="I208" s="75"/>
      <c r="J208" s="75"/>
      <c r="K208" s="206" t="s">
        <v>420</v>
      </c>
      <c r="L208" s="207" t="s">
        <v>421</v>
      </c>
      <c r="M208" s="206" t="s">
        <v>37</v>
      </c>
      <c r="N208" s="208">
        <v>4</v>
      </c>
      <c r="O208" s="209">
        <v>70.81</v>
      </c>
      <c r="P208" s="210">
        <f t="shared" si="2"/>
        <v>283.24</v>
      </c>
      <c r="Q208" s="62"/>
    </row>
    <row r="209" spans="1:17" ht="15.75" x14ac:dyDescent="0.25">
      <c r="A209" s="58"/>
      <c r="B209" s="59"/>
      <c r="C209" s="59"/>
      <c r="D209" s="60"/>
      <c r="E209" s="80"/>
      <c r="F209" s="81"/>
      <c r="G209" s="81"/>
      <c r="H209" s="53"/>
      <c r="I209" s="75"/>
      <c r="J209" s="75"/>
      <c r="K209" s="206" t="s">
        <v>422</v>
      </c>
      <c r="L209" s="207" t="s">
        <v>423</v>
      </c>
      <c r="M209" s="206" t="s">
        <v>34</v>
      </c>
      <c r="N209" s="208">
        <v>2</v>
      </c>
      <c r="O209" s="209">
        <v>109.7</v>
      </c>
      <c r="P209" s="210">
        <f t="shared" si="2"/>
        <v>219.4</v>
      </c>
      <c r="Q209" s="62"/>
    </row>
    <row r="210" spans="1:17" ht="15.75" x14ac:dyDescent="0.25">
      <c r="A210" s="58"/>
      <c r="B210" s="59"/>
      <c r="C210" s="59"/>
      <c r="D210" s="60"/>
      <c r="E210" s="80"/>
      <c r="F210" s="81"/>
      <c r="G210" s="81"/>
      <c r="H210" s="53"/>
      <c r="I210" s="75"/>
      <c r="J210" s="75"/>
      <c r="K210" s="206" t="s">
        <v>424</v>
      </c>
      <c r="L210" s="207" t="s">
        <v>425</v>
      </c>
      <c r="M210" s="206" t="s">
        <v>34</v>
      </c>
      <c r="N210" s="208">
        <v>3</v>
      </c>
      <c r="O210" s="209">
        <v>198</v>
      </c>
      <c r="P210" s="210">
        <f t="shared" si="2"/>
        <v>594</v>
      </c>
      <c r="Q210" s="62"/>
    </row>
    <row r="211" spans="1:17" ht="15.75" x14ac:dyDescent="0.25">
      <c r="A211" s="58"/>
      <c r="B211" s="59"/>
      <c r="C211" s="59"/>
      <c r="D211" s="60"/>
      <c r="E211" s="80"/>
      <c r="F211" s="81"/>
      <c r="G211" s="81"/>
      <c r="H211" s="53"/>
      <c r="I211" s="75"/>
      <c r="J211" s="75"/>
      <c r="K211" s="206" t="s">
        <v>1091</v>
      </c>
      <c r="L211" s="207" t="s">
        <v>1092</v>
      </c>
      <c r="M211" s="206" t="s">
        <v>34</v>
      </c>
      <c r="N211" s="208">
        <v>9</v>
      </c>
      <c r="O211" s="209">
        <v>479.5</v>
      </c>
      <c r="P211" s="210">
        <f t="shared" si="2"/>
        <v>4315.5</v>
      </c>
      <c r="Q211" s="62"/>
    </row>
    <row r="212" spans="1:17" ht="30" x14ac:dyDescent="0.25">
      <c r="A212" s="58"/>
      <c r="B212" s="59"/>
      <c r="C212" s="59"/>
      <c r="D212" s="60"/>
      <c r="E212" s="80"/>
      <c r="F212" s="81"/>
      <c r="G212" s="81"/>
      <c r="H212" s="53"/>
      <c r="I212" s="75"/>
      <c r="J212" s="75"/>
      <c r="K212" s="206" t="s">
        <v>426</v>
      </c>
      <c r="L212" s="207" t="s">
        <v>427</v>
      </c>
      <c r="M212" s="206" t="s">
        <v>68</v>
      </c>
      <c r="N212" s="208">
        <v>133.583</v>
      </c>
      <c r="O212" s="209">
        <v>176.85940555077306</v>
      </c>
      <c r="P212" s="210">
        <f t="shared" ref="P212:P275" si="3">O212*N212</f>
        <v>23625.409971688918</v>
      </c>
      <c r="Q212" s="62"/>
    </row>
    <row r="213" spans="1:17" ht="15.75" x14ac:dyDescent="0.25">
      <c r="A213" s="58"/>
      <c r="B213" s="59"/>
      <c r="C213" s="59"/>
      <c r="D213" s="60"/>
      <c r="E213" s="80"/>
      <c r="F213" s="81"/>
      <c r="G213" s="81"/>
      <c r="H213" s="53"/>
      <c r="I213" s="75"/>
      <c r="J213" s="75"/>
      <c r="K213" s="206" t="s">
        <v>1093</v>
      </c>
      <c r="L213" s="207" t="s">
        <v>1094</v>
      </c>
      <c r="M213" s="206" t="s">
        <v>68</v>
      </c>
      <c r="N213" s="208">
        <v>205.346</v>
      </c>
      <c r="O213" s="209">
        <v>183.73737011979259</v>
      </c>
      <c r="P213" s="210">
        <f t="shared" si="3"/>
        <v>37729.734004618927</v>
      </c>
      <c r="Q213" s="62"/>
    </row>
    <row r="214" spans="1:17" ht="15.75" x14ac:dyDescent="0.25">
      <c r="A214" s="58"/>
      <c r="B214" s="59"/>
      <c r="C214" s="59"/>
      <c r="D214" s="60"/>
      <c r="E214" s="80"/>
      <c r="F214" s="81"/>
      <c r="G214" s="81"/>
      <c r="H214" s="53"/>
      <c r="I214" s="75"/>
      <c r="J214" s="75"/>
      <c r="K214" s="206">
        <v>11151</v>
      </c>
      <c r="L214" s="207" t="s">
        <v>1095</v>
      </c>
      <c r="M214" s="206" t="s">
        <v>68</v>
      </c>
      <c r="N214" s="208">
        <v>288.07100000000003</v>
      </c>
      <c r="O214" s="209">
        <v>174.36828693173905</v>
      </c>
      <c r="P214" s="210">
        <f t="shared" si="3"/>
        <v>50230.446784713007</v>
      </c>
      <c r="Q214" s="62"/>
    </row>
    <row r="215" spans="1:17" ht="15.75" x14ac:dyDescent="0.25">
      <c r="A215" s="58"/>
      <c r="B215" s="59"/>
      <c r="C215" s="59"/>
      <c r="D215" s="60"/>
      <c r="E215" s="80"/>
      <c r="F215" s="81"/>
      <c r="G215" s="81"/>
      <c r="H215" s="53"/>
      <c r="I215" s="75"/>
      <c r="J215" s="75"/>
      <c r="K215" s="206" t="s">
        <v>432</v>
      </c>
      <c r="L215" s="207" t="s">
        <v>433</v>
      </c>
      <c r="M215" s="206" t="s">
        <v>34</v>
      </c>
      <c r="N215" s="208">
        <v>2</v>
      </c>
      <c r="O215" s="209">
        <v>27.6</v>
      </c>
      <c r="P215" s="210">
        <f t="shared" si="3"/>
        <v>55.2</v>
      </c>
      <c r="Q215" s="62"/>
    </row>
    <row r="216" spans="1:17" ht="15.75" x14ac:dyDescent="0.25">
      <c r="A216" s="58"/>
      <c r="B216" s="59"/>
      <c r="C216" s="59"/>
      <c r="D216" s="60"/>
      <c r="E216" s="80"/>
      <c r="F216" s="81"/>
      <c r="G216" s="81"/>
      <c r="H216" s="53"/>
      <c r="I216" s="75"/>
      <c r="J216" s="75"/>
      <c r="K216" s="206" t="s">
        <v>1096</v>
      </c>
      <c r="L216" s="207" t="s">
        <v>1097</v>
      </c>
      <c r="M216" s="206" t="s">
        <v>34</v>
      </c>
      <c r="N216" s="208">
        <v>0</v>
      </c>
      <c r="O216" s="209">
        <v>46.860000000000007</v>
      </c>
      <c r="P216" s="210">
        <f t="shared" si="3"/>
        <v>0</v>
      </c>
      <c r="Q216" s="62"/>
    </row>
    <row r="217" spans="1:17" ht="15.75" x14ac:dyDescent="0.25">
      <c r="A217" s="58"/>
      <c r="B217" s="59"/>
      <c r="C217" s="59"/>
      <c r="D217" s="60"/>
      <c r="E217" s="80"/>
      <c r="F217" s="81"/>
      <c r="G217" s="81"/>
      <c r="H217" s="53"/>
      <c r="I217" s="75"/>
      <c r="J217" s="75"/>
      <c r="K217" s="206" t="s">
        <v>1098</v>
      </c>
      <c r="L217" s="207" t="s">
        <v>1099</v>
      </c>
      <c r="M217" s="206" t="s">
        <v>34</v>
      </c>
      <c r="N217" s="208">
        <v>1</v>
      </c>
      <c r="O217" s="209">
        <v>55.25</v>
      </c>
      <c r="P217" s="210">
        <f t="shared" si="3"/>
        <v>55.25</v>
      </c>
      <c r="Q217" s="62"/>
    </row>
    <row r="218" spans="1:17" ht="15.75" x14ac:dyDescent="0.25">
      <c r="A218" s="58"/>
      <c r="B218" s="59"/>
      <c r="C218" s="59"/>
      <c r="D218" s="60"/>
      <c r="E218" s="80"/>
      <c r="F218" s="81"/>
      <c r="G218" s="81"/>
      <c r="H218" s="53"/>
      <c r="I218" s="75"/>
      <c r="J218" s="75"/>
      <c r="K218" s="206" t="s">
        <v>1100</v>
      </c>
      <c r="L218" s="207" t="s">
        <v>1101</v>
      </c>
      <c r="M218" s="206" t="s">
        <v>214</v>
      </c>
      <c r="N218" s="208">
        <v>0.26700000000000002</v>
      </c>
      <c r="O218" s="209">
        <v>8833.3333333333339</v>
      </c>
      <c r="P218" s="210">
        <f t="shared" si="3"/>
        <v>2358.5000000000005</v>
      </c>
      <c r="Q218" s="62"/>
    </row>
    <row r="219" spans="1:17" ht="15.75" x14ac:dyDescent="0.25">
      <c r="A219" s="58"/>
      <c r="B219" s="59"/>
      <c r="C219" s="59"/>
      <c r="D219" s="60"/>
      <c r="E219" s="80"/>
      <c r="F219" s="81"/>
      <c r="G219" s="81"/>
      <c r="H219" s="53"/>
      <c r="I219" s="75"/>
      <c r="J219" s="75"/>
      <c r="K219" s="206">
        <v>21806</v>
      </c>
      <c r="L219" s="207" t="s">
        <v>1102</v>
      </c>
      <c r="M219" s="206" t="s">
        <v>1207</v>
      </c>
      <c r="N219" s="208">
        <v>0</v>
      </c>
      <c r="O219" s="209">
        <v>8511.9047619047615</v>
      </c>
      <c r="P219" s="210">
        <f t="shared" si="3"/>
        <v>0</v>
      </c>
      <c r="Q219" s="62"/>
    </row>
    <row r="220" spans="1:17" ht="15.75" x14ac:dyDescent="0.25">
      <c r="A220" s="58"/>
      <c r="B220" s="59"/>
      <c r="C220" s="59"/>
      <c r="D220" s="60"/>
      <c r="E220" s="80"/>
      <c r="F220" s="81"/>
      <c r="G220" s="81"/>
      <c r="H220" s="53"/>
      <c r="I220" s="75"/>
      <c r="J220" s="75"/>
      <c r="K220" s="206" t="s">
        <v>1103</v>
      </c>
      <c r="L220" s="207" t="s">
        <v>1104</v>
      </c>
      <c r="M220" s="206" t="s">
        <v>57</v>
      </c>
      <c r="N220" s="208">
        <v>0</v>
      </c>
      <c r="O220" s="209">
        <v>41.09</v>
      </c>
      <c r="P220" s="210">
        <f t="shared" si="3"/>
        <v>0</v>
      </c>
      <c r="Q220" s="62"/>
    </row>
    <row r="221" spans="1:17" ht="15.75" x14ac:dyDescent="0.25">
      <c r="A221" s="58"/>
      <c r="B221" s="59"/>
      <c r="C221" s="59"/>
      <c r="D221" s="60"/>
      <c r="E221" s="80"/>
      <c r="F221" s="81"/>
      <c r="G221" s="81"/>
      <c r="H221" s="53"/>
      <c r="I221" s="75"/>
      <c r="J221" s="75"/>
      <c r="K221" s="206" t="s">
        <v>1105</v>
      </c>
      <c r="L221" s="207" t="s">
        <v>65</v>
      </c>
      <c r="M221" s="206" t="s">
        <v>57</v>
      </c>
      <c r="N221" s="208">
        <v>2580</v>
      </c>
      <c r="O221" s="209">
        <v>53.788599078341015</v>
      </c>
      <c r="P221" s="210">
        <f t="shared" si="3"/>
        <v>138774.5856221198</v>
      </c>
      <c r="Q221" s="62"/>
    </row>
    <row r="222" spans="1:17" ht="15.75" x14ac:dyDescent="0.25">
      <c r="A222" s="58"/>
      <c r="B222" s="59"/>
      <c r="C222" s="59"/>
      <c r="D222" s="60"/>
      <c r="E222" s="80"/>
      <c r="F222" s="81"/>
      <c r="G222" s="81"/>
      <c r="H222" s="53"/>
      <c r="I222" s="75"/>
      <c r="J222" s="75"/>
      <c r="K222" s="206" t="s">
        <v>434</v>
      </c>
      <c r="L222" s="207" t="s">
        <v>435</v>
      </c>
      <c r="M222" s="206" t="s">
        <v>34</v>
      </c>
      <c r="N222" s="208">
        <v>6</v>
      </c>
      <c r="O222" s="209">
        <v>251.57517241379313</v>
      </c>
      <c r="P222" s="210">
        <f t="shared" si="3"/>
        <v>1509.4510344827588</v>
      </c>
      <c r="Q222" s="62"/>
    </row>
    <row r="223" spans="1:17" ht="30" x14ac:dyDescent="0.25">
      <c r="A223" s="58"/>
      <c r="B223" s="59"/>
      <c r="C223" s="59"/>
      <c r="D223" s="60"/>
      <c r="E223" s="80"/>
      <c r="F223" s="81"/>
      <c r="G223" s="81"/>
      <c r="H223" s="53"/>
      <c r="I223" s="75"/>
      <c r="J223" s="75"/>
      <c r="K223" s="206">
        <v>22062</v>
      </c>
      <c r="L223" s="207" t="s">
        <v>436</v>
      </c>
      <c r="M223" s="206" t="s">
        <v>34</v>
      </c>
      <c r="N223" s="208">
        <v>17</v>
      </c>
      <c r="O223" s="209">
        <v>96.18</v>
      </c>
      <c r="P223" s="210">
        <f t="shared" si="3"/>
        <v>1635.0600000000002</v>
      </c>
      <c r="Q223" s="62"/>
    </row>
    <row r="224" spans="1:17" ht="45" x14ac:dyDescent="0.25">
      <c r="A224" s="58"/>
      <c r="B224" s="59"/>
      <c r="C224" s="59"/>
      <c r="D224" s="60"/>
      <c r="E224" s="80"/>
      <c r="F224" s="81"/>
      <c r="G224" s="81"/>
      <c r="H224" s="53"/>
      <c r="I224" s="75"/>
      <c r="J224" s="75"/>
      <c r="K224" s="206">
        <v>19254</v>
      </c>
      <c r="L224" s="207" t="s">
        <v>95</v>
      </c>
      <c r="M224" s="206" t="s">
        <v>34</v>
      </c>
      <c r="N224" s="208">
        <v>6</v>
      </c>
      <c r="O224" s="209">
        <v>172.73</v>
      </c>
      <c r="P224" s="210">
        <f t="shared" si="3"/>
        <v>1036.3799999999999</v>
      </c>
      <c r="Q224" s="62"/>
    </row>
    <row r="225" spans="1:17" ht="15.75" x14ac:dyDescent="0.25">
      <c r="A225" s="58"/>
      <c r="B225" s="59"/>
      <c r="C225" s="59"/>
      <c r="D225" s="60"/>
      <c r="E225" s="80"/>
      <c r="F225" s="81"/>
      <c r="G225" s="81"/>
      <c r="H225" s="53"/>
      <c r="I225" s="75"/>
      <c r="J225" s="75"/>
      <c r="K225" s="206" t="s">
        <v>437</v>
      </c>
      <c r="L225" s="207" t="s">
        <v>438</v>
      </c>
      <c r="M225" s="206" t="s">
        <v>34</v>
      </c>
      <c r="N225" s="208">
        <v>23</v>
      </c>
      <c r="O225" s="209">
        <v>166.32</v>
      </c>
      <c r="P225" s="210">
        <f t="shared" si="3"/>
        <v>3825.3599999999997</v>
      </c>
      <c r="Q225" s="62"/>
    </row>
    <row r="226" spans="1:17" ht="30" x14ac:dyDescent="0.25">
      <c r="A226" s="58"/>
      <c r="B226" s="59"/>
      <c r="C226" s="59"/>
      <c r="D226" s="60"/>
      <c r="E226" s="80"/>
      <c r="F226" s="81"/>
      <c r="G226" s="81"/>
      <c r="H226" s="53"/>
      <c r="I226" s="75"/>
      <c r="J226" s="75"/>
      <c r="K226" s="206">
        <v>615</v>
      </c>
      <c r="L226" s="207" t="s">
        <v>439</v>
      </c>
      <c r="M226" s="206" t="s">
        <v>34</v>
      </c>
      <c r="N226" s="208">
        <v>13</v>
      </c>
      <c r="O226" s="209">
        <v>94.356206896551726</v>
      </c>
      <c r="P226" s="210">
        <f t="shared" si="3"/>
        <v>1226.6306896551723</v>
      </c>
      <c r="Q226" s="62"/>
    </row>
    <row r="227" spans="1:17" ht="15.75" x14ac:dyDescent="0.25">
      <c r="A227" s="58"/>
      <c r="B227" s="59"/>
      <c r="C227" s="59"/>
      <c r="D227" s="60"/>
      <c r="E227" s="80"/>
      <c r="F227" s="81"/>
      <c r="G227" s="81"/>
      <c r="H227" s="53"/>
      <c r="I227" s="75"/>
      <c r="J227" s="75"/>
      <c r="K227" s="206" t="s">
        <v>440</v>
      </c>
      <c r="L227" s="207" t="s">
        <v>441</v>
      </c>
      <c r="M227" s="206" t="s">
        <v>442</v>
      </c>
      <c r="N227" s="208">
        <v>11</v>
      </c>
      <c r="O227" s="209">
        <v>67.349999999999994</v>
      </c>
      <c r="P227" s="210">
        <f t="shared" si="3"/>
        <v>740.84999999999991</v>
      </c>
      <c r="Q227" s="62"/>
    </row>
    <row r="228" spans="1:17" ht="15.75" x14ac:dyDescent="0.25">
      <c r="A228" s="58"/>
      <c r="B228" s="59"/>
      <c r="C228" s="59"/>
      <c r="D228" s="60"/>
      <c r="E228" s="80"/>
      <c r="F228" s="81"/>
      <c r="G228" s="81"/>
      <c r="H228" s="53"/>
      <c r="I228" s="75"/>
      <c r="J228" s="75"/>
      <c r="K228" s="206" t="s">
        <v>1106</v>
      </c>
      <c r="L228" s="207" t="s">
        <v>1107</v>
      </c>
      <c r="M228" s="206" t="s">
        <v>34</v>
      </c>
      <c r="N228" s="208">
        <v>446</v>
      </c>
      <c r="O228" s="209">
        <v>0.25602999999999998</v>
      </c>
      <c r="P228" s="210">
        <f t="shared" si="3"/>
        <v>114.18937999999999</v>
      </c>
      <c r="Q228" s="62"/>
    </row>
    <row r="229" spans="1:17" ht="15.75" x14ac:dyDescent="0.25">
      <c r="A229" s="58"/>
      <c r="B229" s="59"/>
      <c r="C229" s="59"/>
      <c r="D229" s="60"/>
      <c r="E229" s="80"/>
      <c r="F229" s="81"/>
      <c r="G229" s="81"/>
      <c r="H229" s="53"/>
      <c r="I229" s="75"/>
      <c r="J229" s="75"/>
      <c r="K229" s="206" t="s">
        <v>1108</v>
      </c>
      <c r="L229" s="207" t="s">
        <v>1109</v>
      </c>
      <c r="M229" s="206" t="s">
        <v>34</v>
      </c>
      <c r="N229" s="208">
        <v>446</v>
      </c>
      <c r="O229" s="209">
        <v>1.7821300000000002</v>
      </c>
      <c r="P229" s="210">
        <f t="shared" si="3"/>
        <v>794.82998000000009</v>
      </c>
      <c r="Q229" s="62"/>
    </row>
    <row r="230" spans="1:17" ht="30" x14ac:dyDescent="0.25">
      <c r="A230" s="58"/>
      <c r="B230" s="59"/>
      <c r="C230" s="59"/>
      <c r="D230" s="60"/>
      <c r="E230" s="80"/>
      <c r="F230" s="81"/>
      <c r="G230" s="81"/>
      <c r="H230" s="53"/>
      <c r="I230" s="75"/>
      <c r="J230" s="75"/>
      <c r="K230" s="206" t="s">
        <v>1110</v>
      </c>
      <c r="L230" s="207" t="s">
        <v>1111</v>
      </c>
      <c r="M230" s="206" t="s">
        <v>34</v>
      </c>
      <c r="N230" s="208">
        <v>1114</v>
      </c>
      <c r="O230" s="209">
        <v>0.13377</v>
      </c>
      <c r="P230" s="210">
        <f t="shared" si="3"/>
        <v>149.01978</v>
      </c>
      <c r="Q230" s="62"/>
    </row>
    <row r="231" spans="1:17" ht="15.75" x14ac:dyDescent="0.25">
      <c r="A231" s="58"/>
      <c r="B231" s="59"/>
      <c r="C231" s="59"/>
      <c r="D231" s="60"/>
      <c r="E231" s="80"/>
      <c r="F231" s="81"/>
      <c r="G231" s="81"/>
      <c r="H231" s="53"/>
      <c r="I231" s="75"/>
      <c r="J231" s="75"/>
      <c r="K231" s="206" t="s">
        <v>1112</v>
      </c>
      <c r="L231" s="207" t="s">
        <v>1113</v>
      </c>
      <c r="M231" s="206" t="s">
        <v>34</v>
      </c>
      <c r="N231" s="208">
        <v>1449</v>
      </c>
      <c r="O231" s="209">
        <v>0.72307384615384607</v>
      </c>
      <c r="P231" s="210">
        <f t="shared" si="3"/>
        <v>1047.734003076923</v>
      </c>
      <c r="Q231" s="62"/>
    </row>
    <row r="232" spans="1:17" ht="15.75" x14ac:dyDescent="0.25">
      <c r="A232" s="58"/>
      <c r="B232" s="59"/>
      <c r="C232" s="59"/>
      <c r="D232" s="60"/>
      <c r="E232" s="80"/>
      <c r="F232" s="81"/>
      <c r="G232" s="81"/>
      <c r="H232" s="53"/>
      <c r="I232" s="75"/>
      <c r="J232" s="75"/>
      <c r="K232" s="206">
        <v>21844</v>
      </c>
      <c r="L232" s="207" t="s">
        <v>1114</v>
      </c>
      <c r="M232" s="206" t="s">
        <v>34</v>
      </c>
      <c r="N232" s="208">
        <v>2674</v>
      </c>
      <c r="O232" s="209">
        <v>0.69167000000000012</v>
      </c>
      <c r="P232" s="210">
        <f t="shared" si="3"/>
        <v>1849.5255800000002</v>
      </c>
      <c r="Q232" s="62"/>
    </row>
    <row r="233" spans="1:17" ht="30" x14ac:dyDescent="0.25">
      <c r="A233" s="58"/>
      <c r="B233" s="59"/>
      <c r="C233" s="59"/>
      <c r="D233" s="60"/>
      <c r="E233" s="80"/>
      <c r="F233" s="81"/>
      <c r="G233" s="81"/>
      <c r="H233" s="53"/>
      <c r="I233" s="75"/>
      <c r="J233" s="75"/>
      <c r="K233" s="206" t="s">
        <v>1115</v>
      </c>
      <c r="L233" s="207" t="s">
        <v>1116</v>
      </c>
      <c r="M233" s="206" t="s">
        <v>34</v>
      </c>
      <c r="N233" s="208">
        <v>2786</v>
      </c>
      <c r="O233" s="209">
        <v>0.64332959999999995</v>
      </c>
      <c r="P233" s="210">
        <f t="shared" si="3"/>
        <v>1792.3162656</v>
      </c>
      <c r="Q233" s="62"/>
    </row>
    <row r="234" spans="1:17" ht="15.75" x14ac:dyDescent="0.25">
      <c r="A234" s="58"/>
      <c r="B234" s="59"/>
      <c r="C234" s="59"/>
      <c r="D234" s="60"/>
      <c r="E234" s="80"/>
      <c r="F234" s="81"/>
      <c r="G234" s="81"/>
      <c r="H234" s="53"/>
      <c r="I234" s="75"/>
      <c r="J234" s="75"/>
      <c r="K234" s="206" t="s">
        <v>1117</v>
      </c>
      <c r="L234" s="207" t="s">
        <v>1118</v>
      </c>
      <c r="M234" s="206" t="s">
        <v>34</v>
      </c>
      <c r="N234" s="208">
        <v>1</v>
      </c>
      <c r="O234" s="209">
        <v>11.888888888888889</v>
      </c>
      <c r="P234" s="210">
        <f t="shared" si="3"/>
        <v>11.888888888888889</v>
      </c>
      <c r="Q234" s="62"/>
    </row>
    <row r="235" spans="1:17" ht="15.75" x14ac:dyDescent="0.25">
      <c r="A235" s="58"/>
      <c r="B235" s="59"/>
      <c r="C235" s="59"/>
      <c r="D235" s="60"/>
      <c r="E235" s="80"/>
      <c r="F235" s="81"/>
      <c r="G235" s="81"/>
      <c r="H235" s="53"/>
      <c r="I235" s="75"/>
      <c r="J235" s="75"/>
      <c r="K235" s="206" t="s">
        <v>445</v>
      </c>
      <c r="L235" s="207" t="s">
        <v>446</v>
      </c>
      <c r="M235" s="206" t="s">
        <v>34</v>
      </c>
      <c r="N235" s="208">
        <v>14</v>
      </c>
      <c r="O235" s="209">
        <v>598.5</v>
      </c>
      <c r="P235" s="210">
        <f t="shared" si="3"/>
        <v>8379</v>
      </c>
      <c r="Q235" s="62"/>
    </row>
    <row r="236" spans="1:17" ht="30" x14ac:dyDescent="0.25">
      <c r="A236" s="58"/>
      <c r="B236" s="59"/>
      <c r="C236" s="59"/>
      <c r="D236" s="60"/>
      <c r="E236" s="80"/>
      <c r="F236" s="81"/>
      <c r="G236" s="81"/>
      <c r="H236" s="53"/>
      <c r="I236" s="75"/>
      <c r="J236" s="75"/>
      <c r="K236" s="206">
        <v>22350</v>
      </c>
      <c r="L236" s="207" t="s">
        <v>447</v>
      </c>
      <c r="M236" s="206" t="s">
        <v>34</v>
      </c>
      <c r="N236" s="208">
        <v>12</v>
      </c>
      <c r="O236" s="209">
        <v>115.11218181818182</v>
      </c>
      <c r="P236" s="210">
        <f t="shared" si="3"/>
        <v>1381.3461818181818</v>
      </c>
      <c r="Q236" s="62"/>
    </row>
    <row r="237" spans="1:17" ht="15.75" x14ac:dyDescent="0.25">
      <c r="A237" s="58"/>
      <c r="B237" s="59"/>
      <c r="C237" s="59"/>
      <c r="D237" s="60"/>
      <c r="E237" s="80"/>
      <c r="F237" s="81"/>
      <c r="G237" s="81"/>
      <c r="H237" s="53"/>
      <c r="I237" s="75"/>
      <c r="J237" s="75"/>
      <c r="K237" s="206" t="s">
        <v>1119</v>
      </c>
      <c r="L237" s="207" t="s">
        <v>1120</v>
      </c>
      <c r="M237" s="206" t="s">
        <v>34</v>
      </c>
      <c r="N237" s="208">
        <v>1</v>
      </c>
      <c r="O237" s="209">
        <v>176</v>
      </c>
      <c r="P237" s="210">
        <f t="shared" si="3"/>
        <v>176</v>
      </c>
      <c r="Q237" s="62"/>
    </row>
    <row r="238" spans="1:17" ht="15.75" x14ac:dyDescent="0.25">
      <c r="A238" s="58"/>
      <c r="B238" s="59"/>
      <c r="C238" s="59"/>
      <c r="D238" s="60"/>
      <c r="E238" s="80"/>
      <c r="F238" s="81"/>
      <c r="G238" s="81"/>
      <c r="H238" s="53"/>
      <c r="I238" s="75"/>
      <c r="J238" s="75"/>
      <c r="K238" s="206" t="s">
        <v>448</v>
      </c>
      <c r="L238" s="207" t="s">
        <v>449</v>
      </c>
      <c r="M238" s="206" t="s">
        <v>34</v>
      </c>
      <c r="N238" s="208">
        <v>2</v>
      </c>
      <c r="O238" s="209">
        <v>237.37909090909091</v>
      </c>
      <c r="P238" s="210">
        <f t="shared" si="3"/>
        <v>474.75818181818181</v>
      </c>
      <c r="Q238" s="62"/>
    </row>
    <row r="239" spans="1:17" ht="15.75" x14ac:dyDescent="0.25">
      <c r="A239" s="58"/>
      <c r="B239" s="59"/>
      <c r="C239" s="59"/>
      <c r="D239" s="60"/>
      <c r="E239" s="80"/>
      <c r="F239" s="81"/>
      <c r="G239" s="81"/>
      <c r="H239" s="53"/>
      <c r="I239" s="75"/>
      <c r="J239" s="75"/>
      <c r="K239" s="206" t="s">
        <v>948</v>
      </c>
      <c r="L239" s="207" t="s">
        <v>1121</v>
      </c>
      <c r="M239" s="206" t="s">
        <v>34</v>
      </c>
      <c r="N239" s="208">
        <v>5</v>
      </c>
      <c r="O239" s="209">
        <v>335.79400000000004</v>
      </c>
      <c r="P239" s="210">
        <f t="shared" si="3"/>
        <v>1678.9700000000003</v>
      </c>
      <c r="Q239" s="62"/>
    </row>
    <row r="240" spans="1:17" ht="30" x14ac:dyDescent="0.25">
      <c r="A240" s="58"/>
      <c r="B240" s="59"/>
      <c r="C240" s="59"/>
      <c r="D240" s="60"/>
      <c r="E240" s="80"/>
      <c r="F240" s="81"/>
      <c r="G240" s="81"/>
      <c r="H240" s="53"/>
      <c r="I240" s="75"/>
      <c r="J240" s="75"/>
      <c r="K240" s="206" t="s">
        <v>1122</v>
      </c>
      <c r="L240" s="207" t="s">
        <v>1123</v>
      </c>
      <c r="M240" s="206" t="s">
        <v>34</v>
      </c>
      <c r="N240" s="208">
        <v>2</v>
      </c>
      <c r="O240" s="209">
        <v>189.441</v>
      </c>
      <c r="P240" s="210">
        <f t="shared" si="3"/>
        <v>378.88200000000001</v>
      </c>
      <c r="Q240" s="62"/>
    </row>
    <row r="241" spans="1:17" ht="15.75" x14ac:dyDescent="0.25">
      <c r="A241" s="58"/>
      <c r="B241" s="59"/>
      <c r="C241" s="59"/>
      <c r="D241" s="60"/>
      <c r="E241" s="80"/>
      <c r="F241" s="81"/>
      <c r="G241" s="81"/>
      <c r="H241" s="53"/>
      <c r="I241" s="75"/>
      <c r="J241" s="75"/>
      <c r="K241" s="206" t="s">
        <v>450</v>
      </c>
      <c r="L241" s="207" t="s">
        <v>451</v>
      </c>
      <c r="M241" s="206" t="s">
        <v>34</v>
      </c>
      <c r="N241" s="208">
        <v>0</v>
      </c>
      <c r="O241" s="209">
        <v>179.22</v>
      </c>
      <c r="P241" s="210">
        <f t="shared" si="3"/>
        <v>0</v>
      </c>
      <c r="Q241" s="62"/>
    </row>
    <row r="242" spans="1:17" ht="30" x14ac:dyDescent="0.25">
      <c r="A242" s="58"/>
      <c r="B242" s="59"/>
      <c r="C242" s="59"/>
      <c r="D242" s="60"/>
      <c r="E242" s="80"/>
      <c r="F242" s="81"/>
      <c r="G242" s="81"/>
      <c r="H242" s="53"/>
      <c r="I242" s="75"/>
      <c r="J242" s="75"/>
      <c r="K242" s="206" t="s">
        <v>452</v>
      </c>
      <c r="L242" s="207" t="s">
        <v>453</v>
      </c>
      <c r="M242" s="206" t="s">
        <v>34</v>
      </c>
      <c r="N242" s="208">
        <v>14</v>
      </c>
      <c r="O242" s="209">
        <v>217.5</v>
      </c>
      <c r="P242" s="210">
        <f t="shared" si="3"/>
        <v>3045</v>
      </c>
      <c r="Q242" s="62"/>
    </row>
    <row r="243" spans="1:17" ht="15.75" x14ac:dyDescent="0.25">
      <c r="A243" s="58"/>
      <c r="B243" s="59"/>
      <c r="C243" s="59"/>
      <c r="D243" s="60"/>
      <c r="E243" s="80"/>
      <c r="F243" s="81"/>
      <c r="G243" s="81"/>
      <c r="H243" s="53"/>
      <c r="I243" s="75"/>
      <c r="J243" s="75"/>
      <c r="K243" s="206">
        <v>19295</v>
      </c>
      <c r="L243" s="207" t="s">
        <v>454</v>
      </c>
      <c r="M243" s="206" t="s">
        <v>34</v>
      </c>
      <c r="N243" s="208">
        <v>7</v>
      </c>
      <c r="O243" s="209">
        <v>1544.6206451612902</v>
      </c>
      <c r="P243" s="210">
        <f t="shared" si="3"/>
        <v>10812.344516129031</v>
      </c>
      <c r="Q243" s="62"/>
    </row>
    <row r="244" spans="1:17" ht="15.75" x14ac:dyDescent="0.25">
      <c r="A244" s="58"/>
      <c r="B244" s="59"/>
      <c r="C244" s="59"/>
      <c r="D244" s="60"/>
      <c r="E244" s="80"/>
      <c r="F244" s="81"/>
      <c r="G244" s="81"/>
      <c r="H244" s="53"/>
      <c r="I244" s="75"/>
      <c r="J244" s="75"/>
      <c r="K244" s="206" t="s">
        <v>1124</v>
      </c>
      <c r="L244" s="207" t="s">
        <v>1125</v>
      </c>
      <c r="M244" s="206" t="s">
        <v>34</v>
      </c>
      <c r="N244" s="208">
        <v>0</v>
      </c>
      <c r="O244" s="209">
        <v>212.66666666666666</v>
      </c>
      <c r="P244" s="210">
        <f t="shared" si="3"/>
        <v>0</v>
      </c>
      <c r="Q244" s="62"/>
    </row>
    <row r="245" spans="1:17" ht="15.75" x14ac:dyDescent="0.25">
      <c r="A245" s="58"/>
      <c r="B245" s="59"/>
      <c r="C245" s="59"/>
      <c r="D245" s="60"/>
      <c r="E245" s="80"/>
      <c r="F245" s="81"/>
      <c r="G245" s="81"/>
      <c r="H245" s="53"/>
      <c r="I245" s="75"/>
      <c r="J245" s="75"/>
      <c r="K245" s="206" t="s">
        <v>1126</v>
      </c>
      <c r="L245" s="207" t="s">
        <v>1127</v>
      </c>
      <c r="M245" s="206" t="s">
        <v>34</v>
      </c>
      <c r="N245" s="208">
        <v>2</v>
      </c>
      <c r="O245" s="209">
        <v>623.5</v>
      </c>
      <c r="P245" s="210">
        <f t="shared" si="3"/>
        <v>1247</v>
      </c>
      <c r="Q245" s="62"/>
    </row>
    <row r="246" spans="1:17" ht="15.75" x14ac:dyDescent="0.25">
      <c r="A246" s="58"/>
      <c r="B246" s="59"/>
      <c r="C246" s="59"/>
      <c r="D246" s="60"/>
      <c r="E246" s="80"/>
      <c r="F246" s="81"/>
      <c r="G246" s="81"/>
      <c r="H246" s="53"/>
      <c r="I246" s="75"/>
      <c r="J246" s="75"/>
      <c r="K246" s="206" t="s">
        <v>1128</v>
      </c>
      <c r="L246" s="207" t="s">
        <v>1129</v>
      </c>
      <c r="M246" s="206" t="s">
        <v>34</v>
      </c>
      <c r="N246" s="208">
        <v>2</v>
      </c>
      <c r="O246" s="209">
        <v>216.6</v>
      </c>
      <c r="P246" s="210">
        <f t="shared" si="3"/>
        <v>433.2</v>
      </c>
      <c r="Q246" s="62"/>
    </row>
    <row r="247" spans="1:17" ht="30" x14ac:dyDescent="0.25">
      <c r="A247" s="58"/>
      <c r="B247" s="59"/>
      <c r="C247" s="59"/>
      <c r="D247" s="60"/>
      <c r="E247" s="80"/>
      <c r="F247" s="81"/>
      <c r="G247" s="81"/>
      <c r="H247" s="53"/>
      <c r="I247" s="75"/>
      <c r="J247" s="75"/>
      <c r="K247" s="206">
        <v>10967</v>
      </c>
      <c r="L247" s="207" t="s">
        <v>1130</v>
      </c>
      <c r="M247" s="206" t="s">
        <v>34</v>
      </c>
      <c r="N247" s="208">
        <v>2</v>
      </c>
      <c r="O247" s="209">
        <v>84.5</v>
      </c>
      <c r="P247" s="210">
        <f t="shared" si="3"/>
        <v>169</v>
      </c>
      <c r="Q247" s="62"/>
    </row>
    <row r="248" spans="1:17" ht="15.75" x14ac:dyDescent="0.25">
      <c r="A248" s="58"/>
      <c r="B248" s="59"/>
      <c r="C248" s="59"/>
      <c r="D248" s="60"/>
      <c r="E248" s="80"/>
      <c r="F248" s="81"/>
      <c r="G248" s="81"/>
      <c r="H248" s="53"/>
      <c r="I248" s="75"/>
      <c r="J248" s="75"/>
      <c r="K248" s="206" t="s">
        <v>455</v>
      </c>
      <c r="L248" s="207" t="s">
        <v>456</v>
      </c>
      <c r="M248" s="206" t="s">
        <v>34</v>
      </c>
      <c r="N248" s="208">
        <v>0</v>
      </c>
      <c r="O248" s="209">
        <v>286.13</v>
      </c>
      <c r="P248" s="210">
        <f t="shared" si="3"/>
        <v>0</v>
      </c>
      <c r="Q248" s="62"/>
    </row>
    <row r="249" spans="1:17" ht="15.75" x14ac:dyDescent="0.25">
      <c r="A249" s="58"/>
      <c r="B249" s="59"/>
      <c r="C249" s="59"/>
      <c r="D249" s="60"/>
      <c r="E249" s="80"/>
      <c r="F249" s="81"/>
      <c r="G249" s="81"/>
      <c r="H249" s="53"/>
      <c r="I249" s="75"/>
      <c r="J249" s="75"/>
      <c r="K249" s="206" t="s">
        <v>529</v>
      </c>
      <c r="L249" s="207" t="s">
        <v>530</v>
      </c>
      <c r="M249" s="206" t="s">
        <v>34</v>
      </c>
      <c r="N249" s="208">
        <v>2</v>
      </c>
      <c r="O249" s="209">
        <v>2810</v>
      </c>
      <c r="P249" s="210">
        <f t="shared" si="3"/>
        <v>5620</v>
      </c>
      <c r="Q249" s="62"/>
    </row>
    <row r="250" spans="1:17" ht="15.75" x14ac:dyDescent="0.25">
      <c r="A250" s="58"/>
      <c r="B250" s="59"/>
      <c r="C250" s="59"/>
      <c r="D250" s="60"/>
      <c r="E250" s="80"/>
      <c r="F250" s="81"/>
      <c r="G250" s="81"/>
      <c r="H250" s="53"/>
      <c r="I250" s="75"/>
      <c r="J250" s="75"/>
      <c r="K250" s="206" t="s">
        <v>459</v>
      </c>
      <c r="L250" s="207" t="s">
        <v>460</v>
      </c>
      <c r="M250" s="206" t="s">
        <v>34</v>
      </c>
      <c r="N250" s="208">
        <v>4</v>
      </c>
      <c r="O250" s="209">
        <v>2127.1240000000003</v>
      </c>
      <c r="P250" s="210">
        <f t="shared" si="3"/>
        <v>8508.496000000001</v>
      </c>
      <c r="Q250" s="62"/>
    </row>
    <row r="251" spans="1:17" ht="15.75" x14ac:dyDescent="0.25">
      <c r="A251" s="58"/>
      <c r="B251" s="59"/>
      <c r="C251" s="59"/>
      <c r="D251" s="60"/>
      <c r="E251" s="80"/>
      <c r="F251" s="81"/>
      <c r="G251" s="81"/>
      <c r="H251" s="53"/>
      <c r="I251" s="75"/>
      <c r="J251" s="75"/>
      <c r="K251" s="206" t="s">
        <v>949</v>
      </c>
      <c r="L251" s="207" t="s">
        <v>950</v>
      </c>
      <c r="M251" s="206" t="s">
        <v>34</v>
      </c>
      <c r="N251" s="208">
        <v>1</v>
      </c>
      <c r="O251" s="209">
        <v>7570</v>
      </c>
      <c r="P251" s="210">
        <f t="shared" si="3"/>
        <v>7570</v>
      </c>
      <c r="Q251" s="62"/>
    </row>
    <row r="252" spans="1:17" ht="15.75" x14ac:dyDescent="0.25">
      <c r="A252" s="58"/>
      <c r="B252" s="59"/>
      <c r="C252" s="59"/>
      <c r="D252" s="60"/>
      <c r="E252" s="80"/>
      <c r="F252" s="81"/>
      <c r="G252" s="81"/>
      <c r="H252" s="53"/>
      <c r="I252" s="75"/>
      <c r="J252" s="75"/>
      <c r="K252" s="206">
        <v>423</v>
      </c>
      <c r="L252" s="207" t="s">
        <v>461</v>
      </c>
      <c r="M252" s="206" t="s">
        <v>34</v>
      </c>
      <c r="N252" s="208">
        <v>4</v>
      </c>
      <c r="O252" s="209">
        <v>674.68923076923068</v>
      </c>
      <c r="P252" s="210">
        <f t="shared" si="3"/>
        <v>2698.7569230769227</v>
      </c>
      <c r="Q252" s="62"/>
    </row>
    <row r="253" spans="1:17" ht="15.75" x14ac:dyDescent="0.25">
      <c r="A253" s="58"/>
      <c r="B253" s="59"/>
      <c r="C253" s="59"/>
      <c r="D253" s="60"/>
      <c r="E253" s="80"/>
      <c r="F253" s="81"/>
      <c r="G253" s="81"/>
      <c r="H253" s="53"/>
      <c r="I253" s="75"/>
      <c r="J253" s="75"/>
      <c r="K253" s="206" t="s">
        <v>951</v>
      </c>
      <c r="L253" s="207" t="s">
        <v>952</v>
      </c>
      <c r="M253" s="206" t="s">
        <v>34</v>
      </c>
      <c r="N253" s="208">
        <v>4</v>
      </c>
      <c r="O253" s="210">
        <v>1709</v>
      </c>
      <c r="P253" s="210">
        <f t="shared" si="3"/>
        <v>6836</v>
      </c>
      <c r="Q253" s="62"/>
    </row>
    <row r="254" spans="1:17" ht="15.75" x14ac:dyDescent="0.25">
      <c r="A254" s="58"/>
      <c r="B254" s="59"/>
      <c r="C254" s="59"/>
      <c r="D254" s="60"/>
      <c r="E254" s="80"/>
      <c r="F254" s="81"/>
      <c r="G254" s="81"/>
      <c r="H254" s="53"/>
      <c r="I254" s="75"/>
      <c r="J254" s="75"/>
      <c r="K254" s="206" t="s">
        <v>219</v>
      </c>
      <c r="L254" s="207" t="s">
        <v>220</v>
      </c>
      <c r="M254" s="206" t="s">
        <v>34</v>
      </c>
      <c r="N254" s="208">
        <v>11</v>
      </c>
      <c r="O254" s="210">
        <v>51.854693877551021</v>
      </c>
      <c r="P254" s="210">
        <f t="shared" si="3"/>
        <v>570.40163265306126</v>
      </c>
      <c r="Q254" s="62"/>
    </row>
    <row r="255" spans="1:17" ht="15.75" x14ac:dyDescent="0.25">
      <c r="A255" s="58"/>
      <c r="B255" s="59"/>
      <c r="C255" s="59"/>
      <c r="D255" s="60"/>
      <c r="E255" s="80"/>
      <c r="F255" s="81"/>
      <c r="G255" s="81"/>
      <c r="H255" s="53"/>
      <c r="I255" s="75"/>
      <c r="J255" s="75"/>
      <c r="K255" s="206" t="s">
        <v>1131</v>
      </c>
      <c r="L255" s="207" t="s">
        <v>1132</v>
      </c>
      <c r="M255" s="206" t="s">
        <v>34</v>
      </c>
      <c r="N255" s="208">
        <v>4</v>
      </c>
      <c r="O255" s="210">
        <v>494.16</v>
      </c>
      <c r="P255" s="210">
        <f t="shared" si="3"/>
        <v>1976.64</v>
      </c>
      <c r="Q255" s="62"/>
    </row>
    <row r="256" spans="1:17" ht="15.75" x14ac:dyDescent="0.25">
      <c r="A256" s="58"/>
      <c r="B256" s="59"/>
      <c r="C256" s="59"/>
      <c r="D256" s="60"/>
      <c r="E256" s="80"/>
      <c r="F256" s="81"/>
      <c r="G256" s="81"/>
      <c r="H256" s="53"/>
      <c r="I256" s="75"/>
      <c r="J256" s="75"/>
      <c r="K256" s="206" t="s">
        <v>510</v>
      </c>
      <c r="L256" s="207" t="s">
        <v>953</v>
      </c>
      <c r="M256" s="206" t="s">
        <v>34</v>
      </c>
      <c r="N256" s="208">
        <v>13</v>
      </c>
      <c r="O256" s="210">
        <v>168.30434782608697</v>
      </c>
      <c r="P256" s="210">
        <f t="shared" si="3"/>
        <v>2187.9565217391305</v>
      </c>
      <c r="Q256" s="62"/>
    </row>
    <row r="257" spans="1:17" ht="15.75" x14ac:dyDescent="0.25">
      <c r="A257" s="58"/>
      <c r="B257" s="59"/>
      <c r="C257" s="59"/>
      <c r="D257" s="60"/>
      <c r="E257" s="80"/>
      <c r="F257" s="81"/>
      <c r="G257" s="81"/>
      <c r="H257" s="53"/>
      <c r="I257" s="75"/>
      <c r="J257" s="75"/>
      <c r="K257" s="206" t="s">
        <v>1133</v>
      </c>
      <c r="L257" s="207" t="s">
        <v>1134</v>
      </c>
      <c r="M257" s="206" t="s">
        <v>34</v>
      </c>
      <c r="N257" s="208">
        <v>22</v>
      </c>
      <c r="O257" s="210">
        <v>648.20416666666665</v>
      </c>
      <c r="P257" s="210">
        <f t="shared" si="3"/>
        <v>14260.491666666667</v>
      </c>
      <c r="Q257" s="62"/>
    </row>
    <row r="258" spans="1:17" ht="15.75" x14ac:dyDescent="0.25">
      <c r="A258" s="58"/>
      <c r="B258" s="59"/>
      <c r="C258" s="59"/>
      <c r="D258" s="60"/>
      <c r="E258" s="80"/>
      <c r="F258" s="81"/>
      <c r="G258" s="81"/>
      <c r="H258" s="53"/>
      <c r="I258" s="75"/>
      <c r="J258" s="75"/>
      <c r="K258" s="206" t="s">
        <v>970</v>
      </c>
      <c r="L258" s="207" t="s">
        <v>978</v>
      </c>
      <c r="M258" s="206" t="s">
        <v>34</v>
      </c>
      <c r="N258" s="208">
        <v>1</v>
      </c>
      <c r="O258" s="210">
        <v>56.348333333333329</v>
      </c>
      <c r="P258" s="210">
        <f t="shared" si="3"/>
        <v>56.348333333333329</v>
      </c>
      <c r="Q258" s="62"/>
    </row>
    <row r="259" spans="1:17" ht="15.75" x14ac:dyDescent="0.25">
      <c r="A259" s="58"/>
      <c r="B259" s="59"/>
      <c r="C259" s="59"/>
      <c r="D259" s="60"/>
      <c r="E259" s="80"/>
      <c r="F259" s="81"/>
      <c r="G259" s="81"/>
      <c r="H259" s="53"/>
      <c r="I259" s="75"/>
      <c r="J259" s="75"/>
      <c r="K259" s="206" t="s">
        <v>1135</v>
      </c>
      <c r="L259" s="207" t="s">
        <v>1136</v>
      </c>
      <c r="M259" s="206" t="s">
        <v>34</v>
      </c>
      <c r="N259" s="208">
        <v>2</v>
      </c>
      <c r="O259" s="210">
        <v>105.82857142857142</v>
      </c>
      <c r="P259" s="210">
        <f t="shared" si="3"/>
        <v>211.65714285714284</v>
      </c>
      <c r="Q259" s="62"/>
    </row>
    <row r="260" spans="1:17" ht="15.75" x14ac:dyDescent="0.25">
      <c r="A260" s="58"/>
      <c r="B260" s="59"/>
      <c r="C260" s="59"/>
      <c r="D260" s="60"/>
      <c r="E260" s="80"/>
      <c r="F260" s="81"/>
      <c r="G260" s="81"/>
      <c r="H260" s="53"/>
      <c r="I260" s="75"/>
      <c r="J260" s="75"/>
      <c r="K260" s="206" t="s">
        <v>1137</v>
      </c>
      <c r="L260" s="207" t="s">
        <v>1138</v>
      </c>
      <c r="M260" s="206" t="s">
        <v>34</v>
      </c>
      <c r="N260" s="208">
        <v>1</v>
      </c>
      <c r="O260" s="210">
        <v>287</v>
      </c>
      <c r="P260" s="210">
        <f t="shared" si="3"/>
        <v>287</v>
      </c>
      <c r="Q260" s="62"/>
    </row>
    <row r="261" spans="1:17" ht="15.75" x14ac:dyDescent="0.25">
      <c r="A261" s="58"/>
      <c r="B261" s="59"/>
      <c r="C261" s="59"/>
      <c r="D261" s="60"/>
      <c r="E261" s="80"/>
      <c r="F261" s="81"/>
      <c r="G261" s="81"/>
      <c r="H261" s="53"/>
      <c r="I261" s="75"/>
      <c r="J261" s="75"/>
      <c r="K261" s="206" t="s">
        <v>469</v>
      </c>
      <c r="L261" s="207" t="s">
        <v>470</v>
      </c>
      <c r="M261" s="206" t="s">
        <v>34</v>
      </c>
      <c r="N261" s="208">
        <v>1</v>
      </c>
      <c r="O261" s="209">
        <v>24.400000000000002</v>
      </c>
      <c r="P261" s="210">
        <f t="shared" si="3"/>
        <v>24.400000000000002</v>
      </c>
      <c r="Q261" s="62"/>
    </row>
    <row r="262" spans="1:17" ht="15.75" x14ac:dyDescent="0.25">
      <c r="A262" s="58"/>
      <c r="B262" s="59"/>
      <c r="C262" s="59"/>
      <c r="D262" s="60"/>
      <c r="E262" s="80"/>
      <c r="F262" s="81"/>
      <c r="G262" s="81"/>
      <c r="H262" s="53"/>
      <c r="I262" s="75"/>
      <c r="J262" s="75"/>
      <c r="K262" s="206">
        <v>95</v>
      </c>
      <c r="L262" s="207" t="s">
        <v>1139</v>
      </c>
      <c r="M262" s="206" t="s">
        <v>34</v>
      </c>
      <c r="N262" s="208">
        <v>0</v>
      </c>
      <c r="O262" s="209">
        <v>27.3</v>
      </c>
      <c r="P262" s="210">
        <f t="shared" si="3"/>
        <v>0</v>
      </c>
      <c r="Q262" s="62"/>
    </row>
    <row r="263" spans="1:17" ht="15.75" x14ac:dyDescent="0.25">
      <c r="A263" s="58"/>
      <c r="B263" s="59"/>
      <c r="C263" s="59"/>
      <c r="D263" s="60"/>
      <c r="E263" s="80"/>
      <c r="F263" s="81"/>
      <c r="G263" s="81"/>
      <c r="H263" s="53"/>
      <c r="I263" s="75"/>
      <c r="J263" s="75"/>
      <c r="K263" s="206">
        <v>282</v>
      </c>
      <c r="L263" s="207" t="s">
        <v>1140</v>
      </c>
      <c r="M263" s="206" t="s">
        <v>34</v>
      </c>
      <c r="N263" s="208">
        <v>1</v>
      </c>
      <c r="O263" s="209">
        <v>31.7</v>
      </c>
      <c r="P263" s="210">
        <f t="shared" si="3"/>
        <v>31.7</v>
      </c>
      <c r="Q263" s="62"/>
    </row>
    <row r="264" spans="1:17" ht="15.75" x14ac:dyDescent="0.25">
      <c r="A264" s="58"/>
      <c r="B264" s="59"/>
      <c r="C264" s="59"/>
      <c r="D264" s="60"/>
      <c r="E264" s="80"/>
      <c r="F264" s="81"/>
      <c r="G264" s="81"/>
      <c r="H264" s="53"/>
      <c r="I264" s="75"/>
      <c r="J264" s="75"/>
      <c r="K264" s="206">
        <v>100</v>
      </c>
      <c r="L264" s="207" t="s">
        <v>472</v>
      </c>
      <c r="M264" s="206" t="s">
        <v>34</v>
      </c>
      <c r="N264" s="208">
        <v>9</v>
      </c>
      <c r="O264" s="209">
        <v>7.7</v>
      </c>
      <c r="P264" s="210">
        <f t="shared" si="3"/>
        <v>69.3</v>
      </c>
      <c r="Q264" s="62"/>
    </row>
    <row r="265" spans="1:17" ht="15.75" x14ac:dyDescent="0.25">
      <c r="A265" s="58"/>
      <c r="B265" s="59"/>
      <c r="C265" s="59"/>
      <c r="D265" s="60"/>
      <c r="E265" s="80"/>
      <c r="F265" s="81"/>
      <c r="G265" s="81"/>
      <c r="H265" s="53"/>
      <c r="I265" s="75"/>
      <c r="J265" s="75"/>
      <c r="K265" s="206">
        <v>101</v>
      </c>
      <c r="L265" s="207" t="s">
        <v>473</v>
      </c>
      <c r="M265" s="206" t="s">
        <v>34</v>
      </c>
      <c r="N265" s="208">
        <v>5</v>
      </c>
      <c r="O265" s="209">
        <v>69.400000000000006</v>
      </c>
      <c r="P265" s="210">
        <f t="shared" si="3"/>
        <v>347</v>
      </c>
      <c r="Q265" s="62"/>
    </row>
    <row r="266" spans="1:17" ht="30" x14ac:dyDescent="0.25">
      <c r="A266" s="58"/>
      <c r="B266" s="59"/>
      <c r="C266" s="59"/>
      <c r="D266" s="60"/>
      <c r="E266" s="80"/>
      <c r="F266" s="81"/>
      <c r="G266" s="81"/>
      <c r="H266" s="53"/>
      <c r="I266" s="75"/>
      <c r="J266" s="75"/>
      <c r="K266" s="222">
        <v>21710</v>
      </c>
      <c r="L266" s="223" t="s">
        <v>1141</v>
      </c>
      <c r="M266" s="222" t="s">
        <v>34</v>
      </c>
      <c r="N266" s="220">
        <v>0</v>
      </c>
      <c r="O266" s="224">
        <v>57.1</v>
      </c>
      <c r="P266" s="210">
        <f t="shared" si="3"/>
        <v>0</v>
      </c>
      <c r="Q266" s="62"/>
    </row>
    <row r="267" spans="1:17" ht="15.75" x14ac:dyDescent="0.25">
      <c r="A267" s="58"/>
      <c r="B267" s="59"/>
      <c r="C267" s="59"/>
      <c r="D267" s="60"/>
      <c r="E267" s="80"/>
      <c r="F267" s="81"/>
      <c r="G267" s="81"/>
      <c r="H267" s="53"/>
      <c r="I267" s="75"/>
      <c r="J267" s="75"/>
      <c r="K267" s="206">
        <v>19399</v>
      </c>
      <c r="L267" s="207" t="s">
        <v>1142</v>
      </c>
      <c r="M267" s="206" t="s">
        <v>39</v>
      </c>
      <c r="N267" s="208">
        <v>5.0999999999999996</v>
      </c>
      <c r="O267" s="210">
        <v>30915.886763580718</v>
      </c>
      <c r="P267" s="210">
        <f t="shared" si="3"/>
        <v>157671.02249426165</v>
      </c>
      <c r="Q267" s="62"/>
    </row>
    <row r="268" spans="1:17" ht="15.75" x14ac:dyDescent="0.25">
      <c r="A268" s="58"/>
      <c r="B268" s="59"/>
      <c r="C268" s="59"/>
      <c r="D268" s="60"/>
      <c r="E268" s="80"/>
      <c r="F268" s="81"/>
      <c r="G268" s="81"/>
      <c r="H268" s="53"/>
      <c r="I268" s="75"/>
      <c r="J268" s="75"/>
      <c r="K268" s="206" t="s">
        <v>1143</v>
      </c>
      <c r="L268" s="207" t="s">
        <v>1144</v>
      </c>
      <c r="M268" s="206" t="s">
        <v>39</v>
      </c>
      <c r="N268" s="208">
        <v>7.9000000000000001E-2</v>
      </c>
      <c r="O268" s="209">
        <v>28808.47457627119</v>
      </c>
      <c r="P268" s="210">
        <f t="shared" si="3"/>
        <v>2275.8694915254241</v>
      </c>
      <c r="Q268" s="62"/>
    </row>
    <row r="269" spans="1:17" ht="15.75" x14ac:dyDescent="0.25">
      <c r="A269" s="58"/>
      <c r="B269" s="59"/>
      <c r="C269" s="59"/>
      <c r="D269" s="60"/>
      <c r="E269" s="80"/>
      <c r="F269" s="81"/>
      <c r="G269" s="81"/>
      <c r="H269" s="53"/>
      <c r="I269" s="75"/>
      <c r="J269" s="75"/>
      <c r="K269" s="206" t="s">
        <v>521</v>
      </c>
      <c r="L269" s="207" t="s">
        <v>522</v>
      </c>
      <c r="M269" s="206" t="s">
        <v>39</v>
      </c>
      <c r="N269" s="208">
        <v>0.247</v>
      </c>
      <c r="O269" s="209">
        <v>30991.091073038777</v>
      </c>
      <c r="P269" s="210">
        <f t="shared" si="3"/>
        <v>7654.7994950405782</v>
      </c>
      <c r="Q269" s="62"/>
    </row>
    <row r="270" spans="1:17" ht="15.75" x14ac:dyDescent="0.25">
      <c r="A270" s="58"/>
      <c r="B270" s="59"/>
      <c r="C270" s="59"/>
      <c r="D270" s="60"/>
      <c r="E270" s="80"/>
      <c r="F270" s="81"/>
      <c r="G270" s="81"/>
      <c r="H270" s="53"/>
      <c r="I270" s="75"/>
      <c r="J270" s="75"/>
      <c r="K270" s="206" t="s">
        <v>1145</v>
      </c>
      <c r="L270" s="207" t="s">
        <v>1146</v>
      </c>
      <c r="M270" s="206" t="s">
        <v>39</v>
      </c>
      <c r="N270" s="211">
        <v>0.33400000000000002</v>
      </c>
      <c r="O270" s="209">
        <v>29943.440000000002</v>
      </c>
      <c r="P270" s="210">
        <f t="shared" si="3"/>
        <v>10001.108960000001</v>
      </c>
      <c r="Q270" s="62"/>
    </row>
    <row r="271" spans="1:17" ht="15.75" x14ac:dyDescent="0.25">
      <c r="A271" s="58"/>
      <c r="B271" s="59"/>
      <c r="C271" s="59"/>
      <c r="D271" s="60"/>
      <c r="E271" s="80"/>
      <c r="F271" s="81"/>
      <c r="G271" s="81"/>
      <c r="H271" s="53"/>
      <c r="I271" s="75"/>
      <c r="J271" s="75"/>
      <c r="K271" s="206" t="s">
        <v>1147</v>
      </c>
      <c r="L271" s="207" t="s">
        <v>1148</v>
      </c>
      <c r="M271" s="206" t="s">
        <v>39</v>
      </c>
      <c r="N271" s="208">
        <v>4.1000000000000002E-2</v>
      </c>
      <c r="O271" s="210">
        <v>29200</v>
      </c>
      <c r="P271" s="210">
        <f t="shared" si="3"/>
        <v>1197.2</v>
      </c>
      <c r="Q271" s="62"/>
    </row>
    <row r="272" spans="1:17" ht="15.75" x14ac:dyDescent="0.25">
      <c r="A272" s="58"/>
      <c r="B272" s="59"/>
      <c r="C272" s="59"/>
      <c r="D272" s="60"/>
      <c r="E272" s="80"/>
      <c r="F272" s="81"/>
      <c r="G272" s="81"/>
      <c r="H272" s="53"/>
      <c r="I272" s="75"/>
      <c r="J272" s="75"/>
      <c r="K272" s="206">
        <v>17316</v>
      </c>
      <c r="L272" s="207" t="s">
        <v>1149</v>
      </c>
      <c r="M272" s="206" t="s">
        <v>39</v>
      </c>
      <c r="N272" s="208">
        <v>0.34399999999999997</v>
      </c>
      <c r="O272" s="209">
        <v>30861.061488673138</v>
      </c>
      <c r="P272" s="210">
        <f t="shared" si="3"/>
        <v>10616.205152103559</v>
      </c>
      <c r="Q272" s="62"/>
    </row>
    <row r="273" spans="1:17" ht="15.75" x14ac:dyDescent="0.25">
      <c r="A273" s="58"/>
      <c r="B273" s="59"/>
      <c r="C273" s="59"/>
      <c r="D273" s="60"/>
      <c r="E273" s="80"/>
      <c r="F273" s="81"/>
      <c r="G273" s="81"/>
      <c r="H273" s="53"/>
      <c r="I273" s="75"/>
      <c r="J273" s="75"/>
      <c r="K273" s="206" t="s">
        <v>1150</v>
      </c>
      <c r="L273" s="207" t="s">
        <v>1149</v>
      </c>
      <c r="M273" s="206" t="s">
        <v>57</v>
      </c>
      <c r="N273" s="208">
        <v>16</v>
      </c>
      <c r="O273" s="209">
        <v>100.75794871794872</v>
      </c>
      <c r="P273" s="210">
        <f t="shared" si="3"/>
        <v>1612.1271794871795</v>
      </c>
      <c r="Q273" s="62"/>
    </row>
    <row r="274" spans="1:17" ht="15.75" x14ac:dyDescent="0.25">
      <c r="A274" s="58"/>
      <c r="B274" s="59"/>
      <c r="C274" s="59"/>
      <c r="D274" s="60"/>
      <c r="E274" s="80"/>
      <c r="F274" s="81"/>
      <c r="G274" s="81"/>
      <c r="H274" s="53"/>
      <c r="I274" s="75"/>
      <c r="J274" s="75"/>
      <c r="K274" s="206" t="s">
        <v>38</v>
      </c>
      <c r="L274" s="207" t="s">
        <v>100</v>
      </c>
      <c r="M274" s="206" t="s">
        <v>37</v>
      </c>
      <c r="N274" s="208">
        <v>239</v>
      </c>
      <c r="O274" s="210">
        <v>70.003258845437614</v>
      </c>
      <c r="P274" s="210">
        <f t="shared" si="3"/>
        <v>16730.77886405959</v>
      </c>
      <c r="Q274" s="62"/>
    </row>
    <row r="275" spans="1:17" ht="15.75" x14ac:dyDescent="0.25">
      <c r="A275" s="58"/>
      <c r="B275" s="59"/>
      <c r="C275" s="59"/>
      <c r="D275" s="60"/>
      <c r="E275" s="80"/>
      <c r="F275" s="81"/>
      <c r="G275" s="81"/>
      <c r="H275" s="53"/>
      <c r="I275" s="75"/>
      <c r="J275" s="75"/>
      <c r="K275" s="206" t="s">
        <v>1151</v>
      </c>
      <c r="L275" s="207" t="s">
        <v>100</v>
      </c>
      <c r="M275" s="206" t="s">
        <v>39</v>
      </c>
      <c r="N275" s="208">
        <v>0.32900000000000001</v>
      </c>
      <c r="O275" s="209">
        <v>31447.233898305083</v>
      </c>
      <c r="P275" s="210">
        <f t="shared" si="3"/>
        <v>10346.139952542373</v>
      </c>
      <c r="Q275" s="62"/>
    </row>
    <row r="276" spans="1:17" ht="15.75" x14ac:dyDescent="0.25">
      <c r="A276" s="58"/>
      <c r="B276" s="59"/>
      <c r="C276" s="59"/>
      <c r="D276" s="60"/>
      <c r="E276" s="80"/>
      <c r="F276" s="81"/>
      <c r="G276" s="81"/>
      <c r="H276" s="53"/>
      <c r="I276" s="75"/>
      <c r="J276" s="75"/>
      <c r="K276" s="206" t="s">
        <v>1152</v>
      </c>
      <c r="L276" s="207" t="s">
        <v>1153</v>
      </c>
      <c r="M276" s="206" t="s">
        <v>39</v>
      </c>
      <c r="N276" s="208">
        <v>5.0999999999999997E-2</v>
      </c>
      <c r="O276" s="210">
        <v>31212.838427947598</v>
      </c>
      <c r="P276" s="210">
        <f t="shared" ref="P276:P337" si="4">O276*N276</f>
        <v>1591.8547598253274</v>
      </c>
      <c r="Q276" s="62"/>
    </row>
    <row r="277" spans="1:17" ht="15.75" x14ac:dyDescent="0.25">
      <c r="A277" s="58"/>
      <c r="B277" s="59"/>
      <c r="C277" s="59"/>
      <c r="D277" s="60"/>
      <c r="E277" s="80"/>
      <c r="F277" s="81"/>
      <c r="G277" s="81"/>
      <c r="H277" s="53"/>
      <c r="I277" s="75"/>
      <c r="J277" s="75"/>
      <c r="K277" s="206" t="s">
        <v>1154</v>
      </c>
      <c r="L277" s="207" t="s">
        <v>1155</v>
      </c>
      <c r="M277" s="206" t="s">
        <v>63</v>
      </c>
      <c r="N277" s="208">
        <v>3.6999999999999998E-2</v>
      </c>
      <c r="O277" s="209">
        <v>29776.287425149701</v>
      </c>
      <c r="P277" s="210">
        <f t="shared" si="4"/>
        <v>1101.7226347305389</v>
      </c>
      <c r="Q277" s="62"/>
    </row>
    <row r="278" spans="1:17" ht="15.75" x14ac:dyDescent="0.25">
      <c r="A278" s="58"/>
      <c r="B278" s="59"/>
      <c r="C278" s="59"/>
      <c r="D278" s="60"/>
      <c r="E278" s="80"/>
      <c r="F278" s="81"/>
      <c r="G278" s="81"/>
      <c r="H278" s="53"/>
      <c r="I278" s="75"/>
      <c r="J278" s="75"/>
      <c r="K278" s="206" t="s">
        <v>231</v>
      </c>
      <c r="L278" s="207" t="s">
        <v>232</v>
      </c>
      <c r="M278" s="206" t="s">
        <v>37</v>
      </c>
      <c r="N278" s="208">
        <v>467</v>
      </c>
      <c r="O278" s="209">
        <v>92.971179560649475</v>
      </c>
      <c r="P278" s="210">
        <f t="shared" si="4"/>
        <v>43417.540854823303</v>
      </c>
      <c r="Q278" s="62"/>
    </row>
    <row r="279" spans="1:17" ht="15.75" x14ac:dyDescent="0.25">
      <c r="A279" s="58"/>
      <c r="B279" s="59"/>
      <c r="C279" s="59"/>
      <c r="D279" s="60"/>
      <c r="E279" s="80"/>
      <c r="F279" s="81"/>
      <c r="G279" s="81"/>
      <c r="H279" s="53"/>
      <c r="I279" s="75"/>
      <c r="J279" s="75"/>
      <c r="K279" s="206">
        <v>22300</v>
      </c>
      <c r="L279" s="207" t="s">
        <v>1156</v>
      </c>
      <c r="M279" s="206" t="s">
        <v>39</v>
      </c>
      <c r="N279" s="208">
        <v>3.016</v>
      </c>
      <c r="O279" s="210">
        <v>30822.51607182443</v>
      </c>
      <c r="P279" s="210">
        <f t="shared" si="4"/>
        <v>92960.708472622486</v>
      </c>
      <c r="Q279" s="62"/>
    </row>
    <row r="280" spans="1:17" ht="15.75" x14ac:dyDescent="0.25">
      <c r="A280" s="58"/>
      <c r="B280" s="59"/>
      <c r="C280" s="59"/>
      <c r="D280" s="60"/>
      <c r="E280" s="80"/>
      <c r="F280" s="81"/>
      <c r="G280" s="81"/>
      <c r="H280" s="53"/>
      <c r="I280" s="75"/>
      <c r="J280" s="75"/>
      <c r="K280" s="206" t="s">
        <v>1157</v>
      </c>
      <c r="L280" s="207" t="s">
        <v>1158</v>
      </c>
      <c r="M280" s="206" t="s">
        <v>39</v>
      </c>
      <c r="N280" s="208">
        <v>6.4000000000000001E-2</v>
      </c>
      <c r="O280" s="209">
        <v>28318.776223776225</v>
      </c>
      <c r="P280" s="210">
        <f t="shared" si="4"/>
        <v>1812.4016783216784</v>
      </c>
      <c r="Q280" s="62"/>
    </row>
    <row r="281" spans="1:17" ht="30" x14ac:dyDescent="0.25">
      <c r="A281" s="58"/>
      <c r="B281" s="59"/>
      <c r="C281" s="59"/>
      <c r="D281" s="60"/>
      <c r="E281" s="80"/>
      <c r="F281" s="81"/>
      <c r="G281" s="81"/>
      <c r="H281" s="53"/>
      <c r="I281" s="75"/>
      <c r="J281" s="75"/>
      <c r="K281" s="206">
        <v>17565</v>
      </c>
      <c r="L281" s="207" t="s">
        <v>1159</v>
      </c>
      <c r="M281" s="206" t="s">
        <v>63</v>
      </c>
      <c r="N281" s="208">
        <v>1.6E-2</v>
      </c>
      <c r="O281" s="209">
        <v>31639.857142857138</v>
      </c>
      <c r="P281" s="210">
        <f t="shared" si="4"/>
        <v>506.23771428571422</v>
      </c>
      <c r="Q281" s="62"/>
    </row>
    <row r="282" spans="1:17" ht="15.75" x14ac:dyDescent="0.25">
      <c r="A282" s="58"/>
      <c r="B282" s="59"/>
      <c r="C282" s="59"/>
      <c r="D282" s="60"/>
      <c r="E282" s="80"/>
      <c r="F282" s="81"/>
      <c r="G282" s="81"/>
      <c r="H282" s="53"/>
      <c r="I282" s="75"/>
      <c r="J282" s="75"/>
      <c r="K282" s="206" t="s">
        <v>1160</v>
      </c>
      <c r="L282" s="207" t="s">
        <v>1161</v>
      </c>
      <c r="M282" s="206" t="s">
        <v>37</v>
      </c>
      <c r="N282" s="208">
        <v>2</v>
      </c>
      <c r="O282" s="210">
        <v>166.46</v>
      </c>
      <c r="P282" s="210">
        <f t="shared" si="4"/>
        <v>332.92</v>
      </c>
      <c r="Q282" s="62"/>
    </row>
    <row r="283" spans="1:17" ht="15.75" x14ac:dyDescent="0.25">
      <c r="A283" s="58"/>
      <c r="B283" s="59"/>
      <c r="C283" s="59"/>
      <c r="D283" s="60"/>
      <c r="E283" s="80"/>
      <c r="F283" s="81"/>
      <c r="G283" s="81"/>
      <c r="H283" s="53"/>
      <c r="I283" s="75"/>
      <c r="J283" s="75"/>
      <c r="K283" s="206" t="s">
        <v>1162</v>
      </c>
      <c r="L283" s="207" t="s">
        <v>1163</v>
      </c>
      <c r="M283" s="206" t="s">
        <v>39</v>
      </c>
      <c r="N283" s="208">
        <v>5.0000000000000001E-3</v>
      </c>
      <c r="O283" s="209">
        <v>28296.363636363636</v>
      </c>
      <c r="P283" s="210">
        <f t="shared" si="4"/>
        <v>141.48181818181817</v>
      </c>
      <c r="Q283" s="62"/>
    </row>
    <row r="284" spans="1:17" ht="15.75" x14ac:dyDescent="0.25">
      <c r="A284" s="58"/>
      <c r="B284" s="59"/>
      <c r="C284" s="59"/>
      <c r="D284" s="60"/>
      <c r="E284" s="80"/>
      <c r="F284" s="81"/>
      <c r="G284" s="81"/>
      <c r="H284" s="53"/>
      <c r="I284" s="75"/>
      <c r="J284" s="75"/>
      <c r="K284" s="206" t="s">
        <v>475</v>
      </c>
      <c r="L284" s="207" t="s">
        <v>476</v>
      </c>
      <c r="M284" s="206" t="s">
        <v>34</v>
      </c>
      <c r="N284" s="208">
        <v>6</v>
      </c>
      <c r="O284" s="210">
        <v>275.86</v>
      </c>
      <c r="P284" s="210">
        <f t="shared" si="4"/>
        <v>1655.16</v>
      </c>
      <c r="Q284" s="62"/>
    </row>
    <row r="285" spans="1:17" ht="15.75" x14ac:dyDescent="0.25">
      <c r="A285" s="58"/>
      <c r="B285" s="59"/>
      <c r="C285" s="59"/>
      <c r="D285" s="60"/>
      <c r="E285" s="80"/>
      <c r="F285" s="81"/>
      <c r="G285" s="81"/>
      <c r="H285" s="53"/>
      <c r="I285" s="75"/>
      <c r="J285" s="75"/>
      <c r="K285" s="206">
        <v>15612</v>
      </c>
      <c r="L285" s="207" t="s">
        <v>1164</v>
      </c>
      <c r="M285" s="206" t="s">
        <v>39</v>
      </c>
      <c r="N285" s="208">
        <v>1.4E-2</v>
      </c>
      <c r="O285" s="209">
        <v>32000</v>
      </c>
      <c r="P285" s="210">
        <f t="shared" si="4"/>
        <v>448</v>
      </c>
      <c r="Q285" s="62"/>
    </row>
    <row r="286" spans="1:17" ht="30" x14ac:dyDescent="0.25">
      <c r="A286" s="58"/>
      <c r="B286" s="59"/>
      <c r="C286" s="59"/>
      <c r="D286" s="60"/>
      <c r="E286" s="80"/>
      <c r="F286" s="81"/>
      <c r="G286" s="81"/>
      <c r="H286" s="53"/>
      <c r="I286" s="75"/>
      <c r="J286" s="75"/>
      <c r="K286" s="206" t="s">
        <v>234</v>
      </c>
      <c r="L286" s="207" t="s">
        <v>235</v>
      </c>
      <c r="M286" s="206" t="s">
        <v>34</v>
      </c>
      <c r="N286" s="208">
        <v>2</v>
      </c>
      <c r="O286" s="210">
        <v>141.34</v>
      </c>
      <c r="P286" s="210">
        <f t="shared" si="4"/>
        <v>282.68</v>
      </c>
      <c r="Q286" s="62"/>
    </row>
    <row r="287" spans="1:17" ht="15.75" x14ac:dyDescent="0.25">
      <c r="A287" s="58"/>
      <c r="B287" s="59"/>
      <c r="C287" s="59"/>
      <c r="D287" s="60"/>
      <c r="E287" s="80"/>
      <c r="F287" s="81"/>
      <c r="G287" s="81"/>
      <c r="H287" s="53"/>
      <c r="I287" s="75"/>
      <c r="J287" s="75"/>
      <c r="K287" s="206" t="s">
        <v>1165</v>
      </c>
      <c r="L287" s="207" t="s">
        <v>1166</v>
      </c>
      <c r="M287" s="206" t="s">
        <v>34</v>
      </c>
      <c r="N287" s="208">
        <v>1</v>
      </c>
      <c r="O287" s="209">
        <v>271</v>
      </c>
      <c r="P287" s="210">
        <f t="shared" si="4"/>
        <v>271</v>
      </c>
      <c r="Q287" s="62"/>
    </row>
    <row r="288" spans="1:17" ht="15.75" x14ac:dyDescent="0.25">
      <c r="A288" s="58"/>
      <c r="B288" s="59"/>
      <c r="C288" s="59"/>
      <c r="D288" s="60"/>
      <c r="E288" s="80"/>
      <c r="F288" s="81"/>
      <c r="G288" s="81"/>
      <c r="H288" s="53"/>
      <c r="I288" s="75"/>
      <c r="J288" s="75"/>
      <c r="K288" s="206" t="s">
        <v>1167</v>
      </c>
      <c r="L288" s="207" t="s">
        <v>1168</v>
      </c>
      <c r="M288" s="206" t="s">
        <v>34</v>
      </c>
      <c r="N288" s="208">
        <v>4</v>
      </c>
      <c r="O288" s="209">
        <v>410.27499999999998</v>
      </c>
      <c r="P288" s="210">
        <f t="shared" si="4"/>
        <v>1641.1</v>
      </c>
      <c r="Q288" s="62"/>
    </row>
    <row r="289" spans="1:17" ht="45" x14ac:dyDescent="0.25">
      <c r="A289" s="58"/>
      <c r="B289" s="59"/>
      <c r="C289" s="59"/>
      <c r="D289" s="60"/>
      <c r="E289" s="80"/>
      <c r="F289" s="81"/>
      <c r="G289" s="81"/>
      <c r="H289" s="53"/>
      <c r="I289" s="75"/>
      <c r="J289" s="75"/>
      <c r="K289" s="206" t="s">
        <v>238</v>
      </c>
      <c r="L289" s="207" t="s">
        <v>239</v>
      </c>
      <c r="M289" s="206" t="s">
        <v>57</v>
      </c>
      <c r="N289" s="208">
        <v>668</v>
      </c>
      <c r="O289" s="209">
        <v>7.1280000000000001</v>
      </c>
      <c r="P289" s="210">
        <f t="shared" si="4"/>
        <v>4761.5039999999999</v>
      </c>
      <c r="Q289" s="62"/>
    </row>
    <row r="290" spans="1:17" ht="15.75" x14ac:dyDescent="0.25">
      <c r="A290" s="58"/>
      <c r="B290" s="59"/>
      <c r="C290" s="59"/>
      <c r="D290" s="60"/>
      <c r="E290" s="80"/>
      <c r="F290" s="81"/>
      <c r="G290" s="81"/>
      <c r="H290" s="53"/>
      <c r="I290" s="75"/>
      <c r="J290" s="75"/>
      <c r="K290" s="206">
        <v>1914</v>
      </c>
      <c r="L290" s="207" t="s">
        <v>913</v>
      </c>
      <c r="M290" s="206" t="s">
        <v>37</v>
      </c>
      <c r="N290" s="208">
        <v>6</v>
      </c>
      <c r="O290" s="209">
        <v>28.3</v>
      </c>
      <c r="P290" s="210">
        <f t="shared" si="4"/>
        <v>169.8</v>
      </c>
      <c r="Q290" s="62"/>
    </row>
    <row r="291" spans="1:17" ht="30" x14ac:dyDescent="0.25">
      <c r="A291" s="58"/>
      <c r="B291" s="59"/>
      <c r="C291" s="59"/>
      <c r="D291" s="60"/>
      <c r="E291" s="80"/>
      <c r="F291" s="81"/>
      <c r="G291" s="81"/>
      <c r="H291" s="53"/>
      <c r="I291" s="75"/>
      <c r="J291" s="75"/>
      <c r="K291" s="206" t="s">
        <v>1169</v>
      </c>
      <c r="L291" s="207" t="s">
        <v>1170</v>
      </c>
      <c r="M291" s="206" t="s">
        <v>57</v>
      </c>
      <c r="N291" s="208">
        <v>20</v>
      </c>
      <c r="O291" s="209">
        <v>14.633333333333333</v>
      </c>
      <c r="P291" s="210">
        <f t="shared" si="4"/>
        <v>292.66666666666663</v>
      </c>
      <c r="Q291" s="62"/>
    </row>
    <row r="292" spans="1:17" ht="30" x14ac:dyDescent="0.25">
      <c r="A292" s="58"/>
      <c r="B292" s="59"/>
      <c r="C292" s="59"/>
      <c r="D292" s="60"/>
      <c r="E292" s="80"/>
      <c r="F292" s="81"/>
      <c r="G292" s="81"/>
      <c r="H292" s="53"/>
      <c r="I292" s="75"/>
      <c r="J292" s="75"/>
      <c r="K292" s="206" t="s">
        <v>1171</v>
      </c>
      <c r="L292" s="207" t="s">
        <v>1172</v>
      </c>
      <c r="M292" s="206" t="s">
        <v>57</v>
      </c>
      <c r="N292" s="208">
        <v>6</v>
      </c>
      <c r="O292" s="209">
        <v>18.8</v>
      </c>
      <c r="P292" s="210">
        <f t="shared" si="4"/>
        <v>112.80000000000001</v>
      </c>
      <c r="Q292" s="62"/>
    </row>
    <row r="293" spans="1:17" ht="30" x14ac:dyDescent="0.25">
      <c r="A293" s="58"/>
      <c r="B293" s="59"/>
      <c r="C293" s="59"/>
      <c r="D293" s="60"/>
      <c r="E293" s="80"/>
      <c r="F293" s="81"/>
      <c r="G293" s="81"/>
      <c r="H293" s="53"/>
      <c r="I293" s="75"/>
      <c r="J293" s="75"/>
      <c r="K293" s="206">
        <v>93</v>
      </c>
      <c r="L293" s="207" t="s">
        <v>1173</v>
      </c>
      <c r="M293" s="206" t="s">
        <v>34</v>
      </c>
      <c r="N293" s="208">
        <v>2</v>
      </c>
      <c r="O293" s="209">
        <v>143.65</v>
      </c>
      <c r="P293" s="210">
        <f t="shared" si="4"/>
        <v>287.3</v>
      </c>
      <c r="Q293" s="62"/>
    </row>
    <row r="294" spans="1:17" ht="30" x14ac:dyDescent="0.25">
      <c r="A294" s="58"/>
      <c r="B294" s="59"/>
      <c r="C294" s="59"/>
      <c r="D294" s="60"/>
      <c r="E294" s="80"/>
      <c r="F294" s="81"/>
      <c r="G294" s="81"/>
      <c r="H294" s="53"/>
      <c r="I294" s="75"/>
      <c r="J294" s="75"/>
      <c r="K294" s="206" t="s">
        <v>477</v>
      </c>
      <c r="L294" s="207" t="s">
        <v>478</v>
      </c>
      <c r="M294" s="206" t="s">
        <v>34</v>
      </c>
      <c r="N294" s="208">
        <v>0</v>
      </c>
      <c r="O294" s="209">
        <v>43.9</v>
      </c>
      <c r="P294" s="210">
        <f t="shared" si="4"/>
        <v>0</v>
      </c>
      <c r="Q294" s="62"/>
    </row>
    <row r="295" spans="1:17" ht="30" x14ac:dyDescent="0.25">
      <c r="A295" s="58"/>
      <c r="B295" s="59"/>
      <c r="C295" s="59"/>
      <c r="D295" s="60"/>
      <c r="E295" s="80"/>
      <c r="F295" s="81"/>
      <c r="G295" s="81"/>
      <c r="H295" s="53"/>
      <c r="I295" s="75"/>
      <c r="J295" s="75"/>
      <c r="K295" s="206" t="s">
        <v>479</v>
      </c>
      <c r="L295" s="207" t="s">
        <v>480</v>
      </c>
      <c r="M295" s="206" t="s">
        <v>34</v>
      </c>
      <c r="N295" s="208">
        <v>2</v>
      </c>
      <c r="O295" s="209">
        <v>73.7</v>
      </c>
      <c r="P295" s="210">
        <f t="shared" si="4"/>
        <v>147.4</v>
      </c>
      <c r="Q295" s="62"/>
    </row>
    <row r="296" spans="1:17" ht="30" x14ac:dyDescent="0.25">
      <c r="A296" s="58"/>
      <c r="B296" s="59"/>
      <c r="C296" s="59"/>
      <c r="D296" s="60"/>
      <c r="E296" s="80"/>
      <c r="F296" s="81"/>
      <c r="G296" s="81"/>
      <c r="H296" s="53"/>
      <c r="I296" s="75"/>
      <c r="J296" s="75"/>
      <c r="K296" s="206" t="s">
        <v>481</v>
      </c>
      <c r="L296" s="207" t="s">
        <v>482</v>
      </c>
      <c r="M296" s="206" t="s">
        <v>34</v>
      </c>
      <c r="N296" s="208">
        <v>2</v>
      </c>
      <c r="O296" s="209">
        <v>27.599999999999998</v>
      </c>
      <c r="P296" s="210">
        <f t="shared" si="4"/>
        <v>55.199999999999996</v>
      </c>
      <c r="Q296" s="62"/>
    </row>
    <row r="297" spans="1:17" ht="30" x14ac:dyDescent="0.25">
      <c r="A297" s="58"/>
      <c r="B297" s="59"/>
      <c r="C297" s="59"/>
      <c r="D297" s="60"/>
      <c r="E297" s="80"/>
      <c r="F297" s="81"/>
      <c r="G297" s="81"/>
      <c r="H297" s="53"/>
      <c r="I297" s="75"/>
      <c r="J297" s="75"/>
      <c r="K297" s="206">
        <v>91</v>
      </c>
      <c r="L297" s="207" t="s">
        <v>1174</v>
      </c>
      <c r="M297" s="206" t="s">
        <v>34</v>
      </c>
      <c r="N297" s="208">
        <v>3</v>
      </c>
      <c r="O297" s="209">
        <v>55</v>
      </c>
      <c r="P297" s="210">
        <f t="shared" si="4"/>
        <v>165</v>
      </c>
      <c r="Q297" s="62"/>
    </row>
    <row r="298" spans="1:17" ht="30" x14ac:dyDescent="0.25">
      <c r="A298" s="58"/>
      <c r="B298" s="59"/>
      <c r="C298" s="59"/>
      <c r="D298" s="60"/>
      <c r="E298" s="80"/>
      <c r="F298" s="81"/>
      <c r="G298" s="81"/>
      <c r="H298" s="53"/>
      <c r="I298" s="75"/>
      <c r="J298" s="75"/>
      <c r="K298" s="206">
        <v>92</v>
      </c>
      <c r="L298" s="207" t="s">
        <v>1175</v>
      </c>
      <c r="M298" s="206" t="s">
        <v>34</v>
      </c>
      <c r="N298" s="208">
        <v>0</v>
      </c>
      <c r="O298" s="209">
        <v>96.133333333333326</v>
      </c>
      <c r="P298" s="210">
        <f t="shared" si="4"/>
        <v>0</v>
      </c>
      <c r="Q298" s="62"/>
    </row>
    <row r="299" spans="1:17" ht="30" x14ac:dyDescent="0.25">
      <c r="A299" s="58"/>
      <c r="B299" s="59"/>
      <c r="C299" s="59"/>
      <c r="D299" s="60"/>
      <c r="E299" s="80"/>
      <c r="F299" s="81"/>
      <c r="G299" s="81"/>
      <c r="H299" s="53"/>
      <c r="I299" s="75"/>
      <c r="J299" s="75"/>
      <c r="K299" s="206">
        <v>90</v>
      </c>
      <c r="L299" s="207" t="s">
        <v>1176</v>
      </c>
      <c r="M299" s="206" t="s">
        <v>34</v>
      </c>
      <c r="N299" s="208">
        <v>4</v>
      </c>
      <c r="O299" s="209">
        <v>37.233333333333334</v>
      </c>
      <c r="P299" s="210">
        <f t="shared" si="4"/>
        <v>148.93333333333334</v>
      </c>
      <c r="Q299" s="62"/>
    </row>
    <row r="300" spans="1:17" ht="30" x14ac:dyDescent="0.25">
      <c r="A300" s="58"/>
      <c r="B300" s="59"/>
      <c r="C300" s="59"/>
      <c r="D300" s="60"/>
      <c r="E300" s="80"/>
      <c r="F300" s="81"/>
      <c r="G300" s="81"/>
      <c r="H300" s="53"/>
      <c r="I300" s="75"/>
      <c r="J300" s="75"/>
      <c r="K300" s="206">
        <v>589</v>
      </c>
      <c r="L300" s="207" t="s">
        <v>483</v>
      </c>
      <c r="M300" s="206" t="s">
        <v>57</v>
      </c>
      <c r="N300" s="208">
        <v>46</v>
      </c>
      <c r="O300" s="209">
        <v>28.70384615384615</v>
      </c>
      <c r="P300" s="210">
        <f t="shared" si="4"/>
        <v>1320.3769230769228</v>
      </c>
      <c r="Q300" s="62"/>
    </row>
    <row r="301" spans="1:17" ht="15.75" x14ac:dyDescent="0.25">
      <c r="A301" s="58"/>
      <c r="B301" s="59"/>
      <c r="C301" s="59"/>
      <c r="D301" s="60"/>
      <c r="E301" s="80"/>
      <c r="F301" s="81"/>
      <c r="G301" s="81"/>
      <c r="H301" s="53"/>
      <c r="I301" s="75"/>
      <c r="J301" s="75"/>
      <c r="K301" s="206" t="s">
        <v>1177</v>
      </c>
      <c r="L301" s="207" t="s">
        <v>1178</v>
      </c>
      <c r="M301" s="206" t="s">
        <v>39</v>
      </c>
      <c r="N301" s="208">
        <v>1.7999999999999999E-2</v>
      </c>
      <c r="O301" s="209">
        <v>28229.624999999996</v>
      </c>
      <c r="P301" s="210">
        <f t="shared" si="4"/>
        <v>508.13324999999992</v>
      </c>
      <c r="Q301" s="62"/>
    </row>
    <row r="302" spans="1:17" ht="15.75" x14ac:dyDescent="0.25">
      <c r="A302" s="58"/>
      <c r="B302" s="59"/>
      <c r="C302" s="59"/>
      <c r="D302" s="60"/>
      <c r="E302" s="80"/>
      <c r="F302" s="81"/>
      <c r="G302" s="81"/>
      <c r="H302" s="53"/>
      <c r="I302" s="75"/>
      <c r="J302" s="75"/>
      <c r="K302" s="206" t="s">
        <v>488</v>
      </c>
      <c r="L302" s="207" t="s">
        <v>489</v>
      </c>
      <c r="M302" s="206" t="s">
        <v>34</v>
      </c>
      <c r="N302" s="208">
        <v>2</v>
      </c>
      <c r="O302" s="209">
        <v>824.19999999999993</v>
      </c>
      <c r="P302" s="210">
        <f t="shared" si="4"/>
        <v>1648.3999999999999</v>
      </c>
      <c r="Q302" s="62"/>
    </row>
    <row r="303" spans="1:17" ht="15.75" x14ac:dyDescent="0.25">
      <c r="A303" s="58"/>
      <c r="B303" s="59"/>
      <c r="C303" s="59"/>
      <c r="D303" s="60"/>
      <c r="E303" s="80"/>
      <c r="F303" s="81"/>
      <c r="G303" s="81"/>
      <c r="H303" s="53"/>
      <c r="I303" s="75"/>
      <c r="J303" s="75"/>
      <c r="K303" s="206">
        <v>396</v>
      </c>
      <c r="L303" s="207" t="s">
        <v>105</v>
      </c>
      <c r="M303" s="206" t="s">
        <v>34</v>
      </c>
      <c r="N303" s="208">
        <v>2229</v>
      </c>
      <c r="O303" s="210">
        <v>0.54268000000000005</v>
      </c>
      <c r="P303" s="210">
        <f t="shared" si="4"/>
        <v>1209.63372</v>
      </c>
      <c r="Q303" s="62"/>
    </row>
    <row r="304" spans="1:17" ht="15.75" x14ac:dyDescent="0.25">
      <c r="A304" s="58"/>
      <c r="B304" s="59"/>
      <c r="C304" s="59"/>
      <c r="D304" s="60"/>
      <c r="E304" s="80"/>
      <c r="F304" s="81"/>
      <c r="G304" s="81"/>
      <c r="H304" s="53"/>
      <c r="I304" s="75"/>
      <c r="J304" s="75"/>
      <c r="K304" s="206">
        <v>395</v>
      </c>
      <c r="L304" s="207" t="s">
        <v>106</v>
      </c>
      <c r="M304" s="206" t="s">
        <v>34</v>
      </c>
      <c r="N304" s="208">
        <v>3677</v>
      </c>
      <c r="O304" s="210">
        <v>0.70609030303030307</v>
      </c>
      <c r="P304" s="210">
        <f t="shared" si="4"/>
        <v>2596.2940442424242</v>
      </c>
      <c r="Q304" s="62"/>
    </row>
    <row r="305" spans="1:17" ht="15.75" x14ac:dyDescent="0.25">
      <c r="A305" s="58"/>
      <c r="B305" s="59"/>
      <c r="C305" s="59"/>
      <c r="D305" s="60"/>
      <c r="E305" s="80"/>
      <c r="F305" s="81"/>
      <c r="G305" s="81"/>
      <c r="H305" s="53"/>
      <c r="I305" s="75"/>
      <c r="J305" s="75"/>
      <c r="K305" s="206" t="s">
        <v>490</v>
      </c>
      <c r="L305" s="207" t="s">
        <v>491</v>
      </c>
      <c r="M305" s="206" t="s">
        <v>34</v>
      </c>
      <c r="N305" s="208">
        <v>2</v>
      </c>
      <c r="O305" s="210">
        <v>2859.45</v>
      </c>
      <c r="P305" s="210">
        <f t="shared" si="4"/>
        <v>5718.9</v>
      </c>
      <c r="Q305" s="62"/>
    </row>
    <row r="306" spans="1:17" ht="15.75" x14ac:dyDescent="0.25">
      <c r="A306" s="58"/>
      <c r="B306" s="59"/>
      <c r="C306" s="59"/>
      <c r="D306" s="60"/>
      <c r="E306" s="80"/>
      <c r="F306" s="81"/>
      <c r="G306" s="81"/>
      <c r="H306" s="53"/>
      <c r="I306" s="75"/>
      <c r="J306" s="75"/>
      <c r="K306" s="206" t="s">
        <v>1179</v>
      </c>
      <c r="L306" s="207" t="s">
        <v>1180</v>
      </c>
      <c r="M306" s="206" t="s">
        <v>34</v>
      </c>
      <c r="N306" s="208">
        <v>1</v>
      </c>
      <c r="O306" s="210">
        <v>105.4</v>
      </c>
      <c r="P306" s="210">
        <f t="shared" si="4"/>
        <v>105.4</v>
      </c>
      <c r="Q306" s="62"/>
    </row>
    <row r="307" spans="1:17" ht="30" x14ac:dyDescent="0.25">
      <c r="A307" s="58"/>
      <c r="B307" s="59"/>
      <c r="C307" s="59"/>
      <c r="D307" s="60"/>
      <c r="E307" s="80"/>
      <c r="F307" s="81"/>
      <c r="G307" s="81"/>
      <c r="H307" s="53"/>
      <c r="I307" s="75"/>
      <c r="J307" s="75"/>
      <c r="K307" s="206" t="s">
        <v>965</v>
      </c>
      <c r="L307" s="207" t="s">
        <v>973</v>
      </c>
      <c r="M307" s="206" t="s">
        <v>34</v>
      </c>
      <c r="N307" s="208">
        <v>1</v>
      </c>
      <c r="O307" s="210">
        <v>176.73</v>
      </c>
      <c r="P307" s="210">
        <f t="shared" si="4"/>
        <v>176.73</v>
      </c>
      <c r="Q307" s="62"/>
    </row>
    <row r="308" spans="1:17" ht="30" x14ac:dyDescent="0.25">
      <c r="A308" s="58"/>
      <c r="B308" s="59"/>
      <c r="C308" s="59"/>
      <c r="D308" s="60"/>
      <c r="E308" s="80"/>
      <c r="F308" s="81"/>
      <c r="G308" s="81"/>
      <c r="H308" s="53"/>
      <c r="I308" s="75"/>
      <c r="J308" s="75"/>
      <c r="K308" s="206">
        <v>357</v>
      </c>
      <c r="L308" s="207" t="s">
        <v>1181</v>
      </c>
      <c r="M308" s="206" t="s">
        <v>34</v>
      </c>
      <c r="N308" s="208">
        <v>2</v>
      </c>
      <c r="O308" s="209">
        <v>43.800000000000004</v>
      </c>
      <c r="P308" s="210">
        <f t="shared" si="4"/>
        <v>87.600000000000009</v>
      </c>
      <c r="Q308" s="62"/>
    </row>
    <row r="309" spans="1:17" ht="15.75" x14ac:dyDescent="0.25">
      <c r="A309" s="58"/>
      <c r="B309" s="59"/>
      <c r="C309" s="59"/>
      <c r="D309" s="60"/>
      <c r="E309" s="80"/>
      <c r="F309" s="81"/>
      <c r="G309" s="81"/>
      <c r="H309" s="53"/>
      <c r="I309" s="75"/>
      <c r="J309" s="75"/>
      <c r="K309" s="206" t="s">
        <v>954</v>
      </c>
      <c r="L309" s="207" t="s">
        <v>1182</v>
      </c>
      <c r="M309" s="206" t="s">
        <v>34</v>
      </c>
      <c r="N309" s="208">
        <v>1</v>
      </c>
      <c r="O309" s="209">
        <v>12575.79</v>
      </c>
      <c r="P309" s="210">
        <f t="shared" si="4"/>
        <v>12575.79</v>
      </c>
      <c r="Q309" s="62"/>
    </row>
    <row r="310" spans="1:17" ht="30" x14ac:dyDescent="0.25">
      <c r="A310" s="58"/>
      <c r="B310" s="59"/>
      <c r="C310" s="59"/>
      <c r="D310" s="60"/>
      <c r="E310" s="80"/>
      <c r="F310" s="81"/>
      <c r="G310" s="81"/>
      <c r="H310" s="53"/>
      <c r="I310" s="75"/>
      <c r="J310" s="75"/>
      <c r="K310" s="206">
        <v>104</v>
      </c>
      <c r="L310" s="207" t="s">
        <v>494</v>
      </c>
      <c r="M310" s="206" t="s">
        <v>34</v>
      </c>
      <c r="N310" s="208">
        <v>55</v>
      </c>
      <c r="O310" s="209">
        <v>2.2971659919028338</v>
      </c>
      <c r="P310" s="210">
        <f t="shared" si="4"/>
        <v>126.34412955465585</v>
      </c>
      <c r="Q310" s="62"/>
    </row>
    <row r="311" spans="1:17" ht="30" x14ac:dyDescent="0.25">
      <c r="A311" s="58"/>
      <c r="B311" s="59"/>
      <c r="C311" s="59"/>
      <c r="D311" s="60"/>
      <c r="E311" s="80"/>
      <c r="F311" s="81"/>
      <c r="G311" s="81"/>
      <c r="H311" s="53"/>
      <c r="I311" s="75"/>
      <c r="J311" s="75"/>
      <c r="K311" s="206">
        <v>21695</v>
      </c>
      <c r="L311" s="207" t="s">
        <v>1183</v>
      </c>
      <c r="M311" s="206" t="s">
        <v>34</v>
      </c>
      <c r="N311" s="208">
        <v>1</v>
      </c>
      <c r="O311" s="209">
        <v>109.7</v>
      </c>
      <c r="P311" s="210">
        <f t="shared" si="4"/>
        <v>109.7</v>
      </c>
      <c r="Q311" s="62"/>
    </row>
    <row r="312" spans="1:17" ht="15.75" x14ac:dyDescent="0.25">
      <c r="A312" s="58"/>
      <c r="B312" s="59"/>
      <c r="C312" s="59"/>
      <c r="D312" s="60"/>
      <c r="E312" s="80"/>
      <c r="F312" s="81"/>
      <c r="G312" s="81"/>
      <c r="H312" s="53"/>
      <c r="I312" s="75"/>
      <c r="J312" s="75"/>
      <c r="K312" s="206">
        <v>1551</v>
      </c>
      <c r="L312" s="207" t="s">
        <v>1184</v>
      </c>
      <c r="M312" s="206" t="s">
        <v>34</v>
      </c>
      <c r="N312" s="208">
        <v>4</v>
      </c>
      <c r="O312" s="209">
        <v>274.06</v>
      </c>
      <c r="P312" s="210">
        <f t="shared" si="4"/>
        <v>1096.24</v>
      </c>
      <c r="Q312" s="62"/>
    </row>
    <row r="313" spans="1:17" ht="30" x14ac:dyDescent="0.25">
      <c r="A313" s="58"/>
      <c r="B313" s="59"/>
      <c r="C313" s="59"/>
      <c r="D313" s="60"/>
      <c r="E313" s="80"/>
      <c r="F313" s="81"/>
      <c r="G313" s="81"/>
      <c r="H313" s="53"/>
      <c r="I313" s="75"/>
      <c r="J313" s="75"/>
      <c r="K313" s="206" t="s">
        <v>47</v>
      </c>
      <c r="L313" s="207" t="s">
        <v>108</v>
      </c>
      <c r="M313" s="206" t="s">
        <v>34</v>
      </c>
      <c r="N313" s="208">
        <v>49</v>
      </c>
      <c r="O313" s="209">
        <v>5506.4507428571433</v>
      </c>
      <c r="P313" s="210">
        <f t="shared" si="4"/>
        <v>269816.08640000003</v>
      </c>
      <c r="Q313" s="62"/>
    </row>
    <row r="314" spans="1:17" ht="15.75" x14ac:dyDescent="0.25">
      <c r="A314" s="58"/>
      <c r="B314" s="59"/>
      <c r="C314" s="59"/>
      <c r="D314" s="60"/>
      <c r="E314" s="80"/>
      <c r="F314" s="81"/>
      <c r="G314" s="81"/>
      <c r="H314" s="53"/>
      <c r="I314" s="75"/>
      <c r="J314" s="75"/>
      <c r="K314" s="206">
        <v>5781</v>
      </c>
      <c r="L314" s="207" t="s">
        <v>1185</v>
      </c>
      <c r="M314" s="206" t="s">
        <v>34</v>
      </c>
      <c r="N314" s="208">
        <v>156</v>
      </c>
      <c r="O314" s="210">
        <v>0.65</v>
      </c>
      <c r="P314" s="210">
        <f t="shared" si="4"/>
        <v>101.4</v>
      </c>
      <c r="Q314" s="62"/>
    </row>
    <row r="315" spans="1:17" ht="15.75" x14ac:dyDescent="0.25">
      <c r="A315" s="58"/>
      <c r="B315" s="59"/>
      <c r="C315" s="59"/>
      <c r="D315" s="60"/>
      <c r="E315" s="80"/>
      <c r="F315" s="81"/>
      <c r="G315" s="81"/>
      <c r="H315" s="53"/>
      <c r="I315" s="75"/>
      <c r="J315" s="75"/>
      <c r="K315" s="206">
        <v>5782</v>
      </c>
      <c r="L315" s="207" t="s">
        <v>955</v>
      </c>
      <c r="M315" s="206" t="s">
        <v>34</v>
      </c>
      <c r="N315" s="208">
        <v>223</v>
      </c>
      <c r="O315" s="209">
        <v>1.2749999999999999</v>
      </c>
      <c r="P315" s="210">
        <f t="shared" si="4"/>
        <v>284.32499999999999</v>
      </c>
      <c r="Q315" s="62"/>
    </row>
    <row r="316" spans="1:17" ht="15.75" x14ac:dyDescent="0.25">
      <c r="A316" s="58"/>
      <c r="B316" s="59"/>
      <c r="C316" s="59"/>
      <c r="D316" s="60"/>
      <c r="E316" s="80"/>
      <c r="F316" s="81"/>
      <c r="G316" s="81"/>
      <c r="H316" s="53"/>
      <c r="I316" s="75"/>
      <c r="J316" s="75"/>
      <c r="K316" s="206" t="s">
        <v>956</v>
      </c>
      <c r="L316" s="207" t="s">
        <v>957</v>
      </c>
      <c r="M316" s="206" t="s">
        <v>34</v>
      </c>
      <c r="N316" s="208">
        <v>89</v>
      </c>
      <c r="O316" s="209">
        <v>1.85</v>
      </c>
      <c r="P316" s="210">
        <f t="shared" si="4"/>
        <v>164.65</v>
      </c>
      <c r="Q316" s="62"/>
    </row>
    <row r="317" spans="1:17" ht="15.75" x14ac:dyDescent="0.25">
      <c r="A317" s="58"/>
      <c r="B317" s="59"/>
      <c r="C317" s="59"/>
      <c r="D317" s="60"/>
      <c r="E317" s="80"/>
      <c r="F317" s="81"/>
      <c r="G317" s="81"/>
      <c r="H317" s="53"/>
      <c r="I317" s="75"/>
      <c r="J317" s="75"/>
      <c r="K317" s="206" t="s">
        <v>1186</v>
      </c>
      <c r="L317" s="207" t="s">
        <v>1187</v>
      </c>
      <c r="M317" s="206" t="s">
        <v>34</v>
      </c>
      <c r="N317" s="208">
        <v>178</v>
      </c>
      <c r="O317" s="209">
        <v>0.7</v>
      </c>
      <c r="P317" s="210">
        <f t="shared" si="4"/>
        <v>124.6</v>
      </c>
      <c r="Q317" s="62"/>
    </row>
    <row r="318" spans="1:17" ht="15.6" customHeight="1" x14ac:dyDescent="0.25">
      <c r="A318" s="58"/>
      <c r="B318" s="59"/>
      <c r="C318" s="59"/>
      <c r="D318" s="60"/>
      <c r="E318" s="80"/>
      <c r="F318" s="81"/>
      <c r="G318" s="81"/>
      <c r="H318" s="53"/>
      <c r="I318" s="75"/>
      <c r="J318" s="75"/>
      <c r="K318" s="206" t="s">
        <v>958</v>
      </c>
      <c r="L318" s="207" t="s">
        <v>959</v>
      </c>
      <c r="M318" s="206" t="s">
        <v>34</v>
      </c>
      <c r="N318" s="208">
        <v>8</v>
      </c>
      <c r="O318" s="209">
        <v>2625</v>
      </c>
      <c r="P318" s="210">
        <f t="shared" si="4"/>
        <v>21000</v>
      </c>
      <c r="Q318" s="62"/>
    </row>
    <row r="319" spans="1:17" ht="15.75" x14ac:dyDescent="0.25">
      <c r="A319" s="58"/>
      <c r="B319" s="59"/>
      <c r="C319" s="59"/>
      <c r="D319" s="60"/>
      <c r="E319" s="80"/>
      <c r="F319" s="81"/>
      <c r="G319" s="81"/>
      <c r="H319" s="53"/>
      <c r="I319" s="75"/>
      <c r="J319" s="75"/>
      <c r="K319" s="206" t="s">
        <v>960</v>
      </c>
      <c r="L319" s="207" t="s">
        <v>961</v>
      </c>
      <c r="M319" s="206" t="s">
        <v>34</v>
      </c>
      <c r="N319" s="208">
        <v>5</v>
      </c>
      <c r="O319" s="209">
        <v>2515.1937499999999</v>
      </c>
      <c r="P319" s="210">
        <f t="shared" si="4"/>
        <v>12575.96875</v>
      </c>
      <c r="Q319" s="62"/>
    </row>
    <row r="320" spans="1:17" ht="15.75" x14ac:dyDescent="0.25">
      <c r="A320" s="58"/>
      <c r="B320" s="59"/>
      <c r="C320" s="59"/>
      <c r="D320" s="60"/>
      <c r="E320" s="80"/>
      <c r="F320" s="81"/>
      <c r="G320" s="81"/>
      <c r="H320" s="53"/>
      <c r="I320" s="75"/>
      <c r="J320" s="75"/>
      <c r="K320" s="206" t="s">
        <v>497</v>
      </c>
      <c r="L320" s="207" t="s">
        <v>498</v>
      </c>
      <c r="M320" s="206" t="s">
        <v>34</v>
      </c>
      <c r="N320" s="208">
        <v>1</v>
      </c>
      <c r="O320" s="209">
        <v>9215</v>
      </c>
      <c r="P320" s="210">
        <f t="shared" si="4"/>
        <v>9215</v>
      </c>
      <c r="Q320" s="62"/>
    </row>
    <row r="321" spans="1:17" ht="15.75" x14ac:dyDescent="0.25">
      <c r="A321" s="58"/>
      <c r="B321" s="59"/>
      <c r="C321" s="59"/>
      <c r="D321" s="60"/>
      <c r="E321" s="80"/>
      <c r="F321" s="81"/>
      <c r="G321" s="81"/>
      <c r="H321" s="53"/>
      <c r="I321" s="75"/>
      <c r="J321" s="75"/>
      <c r="K321" s="206" t="s">
        <v>499</v>
      </c>
      <c r="L321" s="207" t="s">
        <v>500</v>
      </c>
      <c r="M321" s="206" t="s">
        <v>34</v>
      </c>
      <c r="N321" s="211">
        <v>1</v>
      </c>
      <c r="O321" s="209">
        <v>10169</v>
      </c>
      <c r="P321" s="210">
        <f t="shared" si="4"/>
        <v>10169</v>
      </c>
      <c r="Q321" s="62"/>
    </row>
    <row r="322" spans="1:17" ht="15.75" x14ac:dyDescent="0.25">
      <c r="A322" s="58"/>
      <c r="B322" s="59"/>
      <c r="C322" s="59"/>
      <c r="D322" s="60"/>
      <c r="E322" s="80"/>
      <c r="F322" s="81"/>
      <c r="G322" s="81"/>
      <c r="H322" s="53"/>
      <c r="I322" s="75"/>
      <c r="J322" s="75"/>
      <c r="K322" s="206" t="s">
        <v>1188</v>
      </c>
      <c r="L322" s="207" t="s">
        <v>1189</v>
      </c>
      <c r="M322" s="206" t="s">
        <v>34</v>
      </c>
      <c r="N322" s="208">
        <v>1</v>
      </c>
      <c r="O322" s="209">
        <v>4222</v>
      </c>
      <c r="P322" s="210">
        <f t="shared" si="4"/>
        <v>4222</v>
      </c>
      <c r="Q322" s="62"/>
    </row>
    <row r="323" spans="1:17" ht="15.75" x14ac:dyDescent="0.25">
      <c r="A323" s="58"/>
      <c r="B323" s="59"/>
      <c r="C323" s="59"/>
      <c r="D323" s="60"/>
      <c r="E323" s="80"/>
      <c r="F323" s="81"/>
      <c r="G323" s="81"/>
      <c r="H323" s="53"/>
      <c r="I323" s="75"/>
      <c r="J323" s="75"/>
      <c r="K323" s="206">
        <v>15090</v>
      </c>
      <c r="L323" s="207" t="s">
        <v>501</v>
      </c>
      <c r="M323" s="206" t="s">
        <v>34</v>
      </c>
      <c r="N323" s="211">
        <v>5</v>
      </c>
      <c r="O323" s="209">
        <v>36.081250000000004</v>
      </c>
      <c r="P323" s="210">
        <f t="shared" si="4"/>
        <v>180.40625000000003</v>
      </c>
      <c r="Q323" s="62"/>
    </row>
    <row r="324" spans="1:17" ht="15.75" x14ac:dyDescent="0.25">
      <c r="A324" s="58"/>
      <c r="B324" s="59"/>
      <c r="C324" s="59"/>
      <c r="D324" s="60"/>
      <c r="E324" s="80"/>
      <c r="F324" s="81"/>
      <c r="G324" s="81"/>
      <c r="H324" s="53"/>
      <c r="I324" s="75"/>
      <c r="J324" s="75"/>
      <c r="K324" s="206" t="s">
        <v>1190</v>
      </c>
      <c r="L324" s="207" t="s">
        <v>1191</v>
      </c>
      <c r="M324" s="206" t="s">
        <v>34</v>
      </c>
      <c r="N324" s="208">
        <v>2</v>
      </c>
      <c r="O324" s="209">
        <v>36.080714285714286</v>
      </c>
      <c r="P324" s="210">
        <f t="shared" si="4"/>
        <v>72.161428571428573</v>
      </c>
      <c r="Q324" s="62"/>
    </row>
    <row r="325" spans="1:17" ht="15.75" x14ac:dyDescent="0.25">
      <c r="A325" s="58"/>
      <c r="B325" s="59"/>
      <c r="C325" s="59"/>
      <c r="D325" s="60"/>
      <c r="E325" s="80"/>
      <c r="F325" s="81"/>
      <c r="G325" s="81"/>
      <c r="H325" s="53"/>
      <c r="I325" s="75"/>
      <c r="J325" s="75"/>
      <c r="K325" s="206" t="s">
        <v>1192</v>
      </c>
      <c r="L325" s="207" t="s">
        <v>1193</v>
      </c>
      <c r="M325" s="206" t="s">
        <v>37</v>
      </c>
      <c r="N325" s="208">
        <v>4</v>
      </c>
      <c r="O325" s="209">
        <v>24.369999999999997</v>
      </c>
      <c r="P325" s="210">
        <f t="shared" si="4"/>
        <v>97.47999999999999</v>
      </c>
      <c r="Q325" s="62"/>
    </row>
    <row r="326" spans="1:17" ht="15.75" x14ac:dyDescent="0.25">
      <c r="A326" s="58"/>
      <c r="B326" s="59"/>
      <c r="C326" s="59"/>
      <c r="D326" s="60"/>
      <c r="E326" s="80"/>
      <c r="F326" s="81"/>
      <c r="G326" s="81"/>
      <c r="H326" s="53"/>
      <c r="I326" s="75"/>
      <c r="J326" s="75"/>
      <c r="K326" s="206" t="s">
        <v>1194</v>
      </c>
      <c r="L326" s="207" t="s">
        <v>1195</v>
      </c>
      <c r="M326" s="206" t="s">
        <v>37</v>
      </c>
      <c r="N326" s="208">
        <v>11</v>
      </c>
      <c r="O326" s="209">
        <v>36</v>
      </c>
      <c r="P326" s="210">
        <f t="shared" si="4"/>
        <v>396</v>
      </c>
      <c r="Q326" s="62"/>
    </row>
    <row r="327" spans="1:17" ht="15.75" x14ac:dyDescent="0.25">
      <c r="A327" s="58"/>
      <c r="B327" s="59"/>
      <c r="C327" s="59"/>
      <c r="D327" s="60"/>
      <c r="E327" s="80"/>
      <c r="F327" s="81"/>
      <c r="G327" s="81"/>
      <c r="H327" s="53"/>
      <c r="I327" s="75"/>
      <c r="J327" s="75"/>
      <c r="K327" s="206" t="s">
        <v>1196</v>
      </c>
      <c r="L327" s="207" t="s">
        <v>1197</v>
      </c>
      <c r="M327" s="206" t="s">
        <v>34</v>
      </c>
      <c r="N327" s="208">
        <v>1</v>
      </c>
      <c r="O327" s="210">
        <v>142.5</v>
      </c>
      <c r="P327" s="210">
        <f t="shared" si="4"/>
        <v>142.5</v>
      </c>
      <c r="Q327" s="62"/>
    </row>
    <row r="328" spans="1:17" ht="15.75" x14ac:dyDescent="0.25">
      <c r="A328" s="58"/>
      <c r="B328" s="59"/>
      <c r="C328" s="59"/>
      <c r="D328" s="60"/>
      <c r="E328" s="80"/>
      <c r="F328" s="81"/>
      <c r="G328" s="81"/>
      <c r="H328" s="53"/>
      <c r="I328" s="75"/>
      <c r="J328" s="75"/>
      <c r="K328" s="206" t="s">
        <v>504</v>
      </c>
      <c r="L328" s="207" t="s">
        <v>505</v>
      </c>
      <c r="M328" s="206" t="s">
        <v>34</v>
      </c>
      <c r="N328" s="208">
        <v>19</v>
      </c>
      <c r="O328" s="209">
        <v>2257.1666666666665</v>
      </c>
      <c r="P328" s="210">
        <f t="shared" si="4"/>
        <v>42886.166666666664</v>
      </c>
      <c r="Q328" s="62"/>
    </row>
    <row r="329" spans="1:17" ht="15.75" x14ac:dyDescent="0.25">
      <c r="A329" s="58"/>
      <c r="B329" s="59"/>
      <c r="C329" s="59"/>
      <c r="D329" s="60"/>
      <c r="E329" s="80"/>
      <c r="F329" s="81"/>
      <c r="G329" s="81"/>
      <c r="H329" s="53"/>
      <c r="I329" s="75"/>
      <c r="J329" s="75"/>
      <c r="K329" s="206">
        <v>3039</v>
      </c>
      <c r="L329" s="207" t="s">
        <v>1198</v>
      </c>
      <c r="M329" s="206" t="s">
        <v>63</v>
      </c>
      <c r="N329" s="208">
        <v>7.0000000000000001E-3</v>
      </c>
      <c r="O329" s="209">
        <v>29583.666666666668</v>
      </c>
      <c r="P329" s="210">
        <f t="shared" si="4"/>
        <v>207.08566666666667</v>
      </c>
      <c r="Q329" s="62"/>
    </row>
    <row r="330" spans="1:17" ht="15.75" x14ac:dyDescent="0.25">
      <c r="A330" s="58"/>
      <c r="B330" s="59"/>
      <c r="C330" s="59"/>
      <c r="D330" s="60"/>
      <c r="E330" s="80"/>
      <c r="F330" s="81"/>
      <c r="G330" s="81"/>
      <c r="H330" s="53"/>
      <c r="I330" s="75"/>
      <c r="J330" s="75"/>
      <c r="K330" s="206" t="s">
        <v>1199</v>
      </c>
      <c r="L330" s="207" t="s">
        <v>1200</v>
      </c>
      <c r="M330" s="206" t="s">
        <v>34</v>
      </c>
      <c r="N330" s="208">
        <v>446</v>
      </c>
      <c r="O330" s="209">
        <v>0.24255000000000002</v>
      </c>
      <c r="P330" s="210">
        <f t="shared" si="4"/>
        <v>108.1773</v>
      </c>
      <c r="Q330" s="62"/>
    </row>
    <row r="331" spans="1:17" ht="15.75" x14ac:dyDescent="0.25">
      <c r="A331" s="58"/>
      <c r="B331" s="59"/>
      <c r="C331" s="59"/>
      <c r="D331" s="60"/>
      <c r="E331" s="80"/>
      <c r="F331" s="81"/>
      <c r="G331" s="81"/>
      <c r="H331" s="53"/>
      <c r="I331" s="75"/>
      <c r="J331" s="75"/>
      <c r="K331" s="206">
        <v>4659</v>
      </c>
      <c r="L331" s="207" t="s">
        <v>109</v>
      </c>
      <c r="M331" s="206" t="s">
        <v>34</v>
      </c>
      <c r="N331" s="208">
        <v>1114</v>
      </c>
      <c r="O331" s="209">
        <v>0.25578000000000001</v>
      </c>
      <c r="P331" s="210">
        <f t="shared" si="4"/>
        <v>284.93892</v>
      </c>
      <c r="Q331" s="62"/>
    </row>
    <row r="332" spans="1:17" ht="15.75" x14ac:dyDescent="0.25">
      <c r="A332" s="58"/>
      <c r="B332" s="59"/>
      <c r="C332" s="59"/>
      <c r="D332" s="60"/>
      <c r="E332" s="80"/>
      <c r="F332" s="81"/>
      <c r="G332" s="81"/>
      <c r="H332" s="53"/>
      <c r="I332" s="75"/>
      <c r="J332" s="75"/>
      <c r="K332" s="206" t="s">
        <v>1201</v>
      </c>
      <c r="L332" s="207" t="s">
        <v>1202</v>
      </c>
      <c r="M332" s="206" t="s">
        <v>34</v>
      </c>
      <c r="N332" s="208">
        <v>2674</v>
      </c>
      <c r="O332" s="210">
        <v>0.441</v>
      </c>
      <c r="P332" s="210">
        <f t="shared" si="4"/>
        <v>1179.2339999999999</v>
      </c>
      <c r="Q332" s="62"/>
    </row>
    <row r="333" spans="1:17" ht="15.75" x14ac:dyDescent="0.25">
      <c r="A333" s="58"/>
      <c r="B333" s="59"/>
      <c r="C333" s="59"/>
      <c r="D333" s="60"/>
      <c r="E333" s="80"/>
      <c r="F333" s="81"/>
      <c r="G333" s="81"/>
      <c r="H333" s="53"/>
      <c r="I333" s="75"/>
      <c r="J333" s="75"/>
      <c r="K333" s="206">
        <v>2054</v>
      </c>
      <c r="L333" s="207" t="s">
        <v>507</v>
      </c>
      <c r="M333" s="206" t="s">
        <v>34</v>
      </c>
      <c r="N333" s="208">
        <v>7353</v>
      </c>
      <c r="O333" s="210">
        <v>0.11711000000000001</v>
      </c>
      <c r="P333" s="210">
        <f t="shared" si="4"/>
        <v>861.10982999999999</v>
      </c>
      <c r="Q333" s="62"/>
    </row>
    <row r="334" spans="1:17" ht="30" x14ac:dyDescent="0.25">
      <c r="A334" s="58"/>
      <c r="B334" s="59"/>
      <c r="C334" s="59"/>
      <c r="D334" s="60"/>
      <c r="E334" s="80"/>
      <c r="F334" s="81"/>
      <c r="G334" s="81"/>
      <c r="H334" s="53"/>
      <c r="I334" s="75"/>
      <c r="J334" s="75"/>
      <c r="K334" s="206" t="s">
        <v>1203</v>
      </c>
      <c r="L334" s="207" t="s">
        <v>1204</v>
      </c>
      <c r="M334" s="206" t="s">
        <v>64</v>
      </c>
      <c r="N334" s="208">
        <v>0</v>
      </c>
      <c r="O334" s="209">
        <v>147.02000000000001</v>
      </c>
      <c r="P334" s="210">
        <f t="shared" si="4"/>
        <v>0</v>
      </c>
      <c r="Q334" s="62"/>
    </row>
    <row r="335" spans="1:17" ht="15.75" x14ac:dyDescent="0.25">
      <c r="A335" s="58"/>
      <c r="B335" s="59"/>
      <c r="C335" s="59"/>
      <c r="D335" s="60"/>
      <c r="E335" s="80"/>
      <c r="F335" s="81"/>
      <c r="G335" s="81"/>
      <c r="H335" s="53"/>
      <c r="I335" s="75"/>
      <c r="J335" s="75"/>
      <c r="K335" s="206" t="s">
        <v>740</v>
      </c>
      <c r="L335" s="207" t="s">
        <v>745</v>
      </c>
      <c r="M335" s="206" t="s">
        <v>1207</v>
      </c>
      <c r="N335" s="208">
        <v>0.24299999999999999</v>
      </c>
      <c r="O335" s="210">
        <v>3194.1781450872363</v>
      </c>
      <c r="P335" s="210">
        <f t="shared" si="4"/>
        <v>776.18528925619842</v>
      </c>
      <c r="Q335" s="62"/>
    </row>
    <row r="336" spans="1:17" ht="15.75" x14ac:dyDescent="0.25">
      <c r="A336" s="58"/>
      <c r="B336" s="59"/>
      <c r="C336" s="59"/>
      <c r="D336" s="60"/>
      <c r="E336" s="80"/>
      <c r="F336" s="81"/>
      <c r="G336" s="81"/>
      <c r="H336" s="53"/>
      <c r="I336" s="75"/>
      <c r="J336" s="75"/>
      <c r="K336" s="206" t="s">
        <v>1205</v>
      </c>
      <c r="L336" s="207" t="s">
        <v>1206</v>
      </c>
      <c r="M336" s="206" t="s">
        <v>1207</v>
      </c>
      <c r="N336" s="208">
        <v>0.24299999999999999</v>
      </c>
      <c r="O336" s="210">
        <v>2272.727272727273</v>
      </c>
      <c r="P336" s="210">
        <f t="shared" si="4"/>
        <v>552.27272727272737</v>
      </c>
      <c r="Q336" s="62"/>
    </row>
    <row r="337" spans="1:17" ht="16.5" thickBot="1" x14ac:dyDescent="0.3">
      <c r="A337" s="58"/>
      <c r="B337" s="59"/>
      <c r="C337" s="59"/>
      <c r="D337" s="60"/>
      <c r="E337" s="80"/>
      <c r="F337" s="81"/>
      <c r="G337" s="81"/>
      <c r="H337" s="53"/>
      <c r="I337" s="75"/>
      <c r="J337" s="75"/>
      <c r="K337" s="206" t="s">
        <v>55</v>
      </c>
      <c r="L337" s="207" t="s">
        <v>110</v>
      </c>
      <c r="M337" s="206" t="s">
        <v>34</v>
      </c>
      <c r="N337" s="208">
        <v>2</v>
      </c>
      <c r="O337" s="209">
        <v>133.38</v>
      </c>
      <c r="P337" s="210">
        <f t="shared" si="4"/>
        <v>266.76</v>
      </c>
      <c r="Q337" s="62"/>
    </row>
    <row r="338" spans="1:17" ht="21" thickBot="1" x14ac:dyDescent="0.3">
      <c r="A338" s="33"/>
      <c r="B338" s="34" t="s">
        <v>23</v>
      </c>
      <c r="C338" s="36"/>
      <c r="D338" s="36"/>
      <c r="E338" s="36"/>
      <c r="F338" s="36"/>
      <c r="G338" s="36">
        <f>SUM(G20:G337)</f>
        <v>0</v>
      </c>
      <c r="H338" s="76"/>
      <c r="I338" s="76"/>
      <c r="J338" s="76"/>
      <c r="K338" s="212"/>
      <c r="L338" s="213"/>
      <c r="M338" s="213"/>
      <c r="N338" s="214"/>
      <c r="O338" s="214"/>
      <c r="P338" s="214">
        <f>SUM(P19:P337)</f>
        <v>2350255.2485581501</v>
      </c>
      <c r="Q338" s="225"/>
    </row>
    <row r="339" spans="1:17" ht="18.75" x14ac:dyDescent="0.25">
      <c r="A339" s="20"/>
      <c r="B339" s="25"/>
      <c r="C339" s="49"/>
      <c r="D339" s="49"/>
      <c r="E339" s="80"/>
      <c r="F339" s="81"/>
      <c r="G339" s="81"/>
      <c r="H339" s="54"/>
      <c r="I339" s="54"/>
      <c r="J339" s="54"/>
      <c r="K339" s="206"/>
      <c r="L339" s="207"/>
      <c r="M339" s="206"/>
      <c r="N339" s="208"/>
      <c r="O339" s="209"/>
      <c r="P339" s="210"/>
      <c r="Q339" s="24"/>
    </row>
    <row r="340" spans="1:17" ht="18.75" x14ac:dyDescent="0.25">
      <c r="A340" s="20"/>
      <c r="B340" s="25"/>
      <c r="C340" s="49"/>
      <c r="D340" s="49"/>
      <c r="E340" s="80"/>
      <c r="F340" s="81"/>
      <c r="G340" s="81"/>
      <c r="H340" s="54"/>
      <c r="I340" s="54"/>
      <c r="J340" s="54"/>
      <c r="K340" s="206"/>
      <c r="L340" s="207"/>
      <c r="M340" s="206"/>
      <c r="N340" s="208"/>
      <c r="O340" s="209"/>
      <c r="P340" s="209"/>
      <c r="Q340" s="24"/>
    </row>
    <row r="341" spans="1:17" ht="18.75" x14ac:dyDescent="0.25">
      <c r="A341" s="20"/>
      <c r="B341" s="25"/>
      <c r="C341" s="49"/>
      <c r="D341" s="49"/>
      <c r="E341" s="80"/>
      <c r="F341" s="81"/>
      <c r="G341" s="81"/>
      <c r="H341" s="54"/>
      <c r="I341" s="54"/>
      <c r="J341" s="54"/>
      <c r="K341" s="206"/>
      <c r="L341" s="207"/>
      <c r="M341" s="206"/>
      <c r="N341" s="208"/>
      <c r="O341" s="209"/>
      <c r="P341" s="209"/>
      <c r="Q341" s="24"/>
    </row>
    <row r="342" spans="1:17" ht="18.75" x14ac:dyDescent="0.25">
      <c r="A342" s="20"/>
      <c r="B342" s="25"/>
      <c r="C342" s="49"/>
      <c r="D342" s="49"/>
      <c r="E342" s="80"/>
      <c r="F342" s="81"/>
      <c r="G342" s="81"/>
      <c r="H342" s="54"/>
      <c r="I342" s="54"/>
      <c r="J342" s="54"/>
      <c r="K342" s="206"/>
      <c r="L342" s="207"/>
      <c r="M342" s="206"/>
      <c r="N342" s="208"/>
      <c r="O342" s="209"/>
      <c r="P342" s="209"/>
      <c r="Q342" s="24"/>
    </row>
    <row r="343" spans="1:17" ht="18.75" x14ac:dyDescent="0.25">
      <c r="A343" s="20"/>
      <c r="B343" s="25"/>
      <c r="C343" s="49"/>
      <c r="D343" s="49"/>
      <c r="E343" s="80"/>
      <c r="F343" s="81"/>
      <c r="G343" s="81"/>
      <c r="H343" s="54"/>
      <c r="I343" s="54"/>
      <c r="J343" s="54"/>
      <c r="K343" s="206"/>
      <c r="L343" s="207"/>
      <c r="M343" s="206"/>
      <c r="N343" s="208"/>
      <c r="O343" s="209"/>
      <c r="P343" s="209"/>
      <c r="Q343" s="24"/>
    </row>
    <row r="344" spans="1:17" ht="18.75" x14ac:dyDescent="0.25">
      <c r="A344" s="20"/>
      <c r="B344" s="25"/>
      <c r="C344" s="49"/>
      <c r="D344" s="49"/>
      <c r="E344" s="80"/>
      <c r="F344" s="81"/>
      <c r="G344" s="81"/>
      <c r="H344" s="54"/>
      <c r="I344" s="54"/>
      <c r="J344" s="54"/>
      <c r="K344" s="206"/>
      <c r="L344" s="207"/>
      <c r="M344" s="206"/>
      <c r="N344" s="208"/>
      <c r="O344" s="209"/>
      <c r="P344" s="209"/>
      <c r="Q344" s="24"/>
    </row>
    <row r="345" spans="1:17" ht="18.75" x14ac:dyDescent="0.25">
      <c r="A345" s="20"/>
      <c r="B345" s="25"/>
      <c r="C345" s="49"/>
      <c r="D345" s="49"/>
      <c r="E345" s="80"/>
      <c r="F345" s="81"/>
      <c r="G345" s="81"/>
      <c r="H345" s="54"/>
      <c r="I345" s="54"/>
      <c r="J345" s="54"/>
      <c r="K345" s="206"/>
      <c r="L345" s="207"/>
      <c r="M345" s="206"/>
      <c r="N345" s="208"/>
      <c r="O345" s="209"/>
      <c r="P345" s="209"/>
      <c r="Q345" s="24"/>
    </row>
    <row r="346" spans="1:17" ht="18.75" x14ac:dyDescent="0.25">
      <c r="A346" s="20"/>
      <c r="B346" s="25"/>
      <c r="C346" s="49"/>
      <c r="D346" s="49"/>
      <c r="E346" s="80"/>
      <c r="F346" s="81"/>
      <c r="G346" s="81"/>
      <c r="H346" s="54"/>
      <c r="I346" s="54"/>
      <c r="J346" s="54"/>
      <c r="K346" s="206"/>
      <c r="L346" s="207"/>
      <c r="M346" s="206"/>
      <c r="N346" s="208"/>
      <c r="O346" s="209"/>
      <c r="P346" s="210"/>
      <c r="Q346" s="24"/>
    </row>
    <row r="347" spans="1:17" ht="18.75" x14ac:dyDescent="0.25">
      <c r="A347" s="20"/>
      <c r="B347" s="25"/>
      <c r="C347" s="49"/>
      <c r="D347" s="49"/>
      <c r="E347" s="80"/>
      <c r="F347" s="81"/>
      <c r="G347" s="81"/>
      <c r="H347" s="54"/>
      <c r="I347" s="54"/>
      <c r="J347" s="54"/>
      <c r="K347" s="206"/>
      <c r="L347" s="207"/>
      <c r="M347" s="206"/>
      <c r="N347" s="208"/>
      <c r="O347" s="209"/>
      <c r="P347" s="209"/>
      <c r="Q347" s="24"/>
    </row>
    <row r="348" spans="1:17" ht="18.75" x14ac:dyDescent="0.25">
      <c r="A348" s="20"/>
      <c r="B348" s="25"/>
      <c r="C348" s="49"/>
      <c r="D348" s="49"/>
      <c r="E348" s="80"/>
      <c r="F348" s="81"/>
      <c r="G348" s="81"/>
      <c r="H348" s="54"/>
      <c r="I348" s="54"/>
      <c r="J348" s="54"/>
      <c r="K348" s="206"/>
      <c r="L348" s="207"/>
      <c r="M348" s="206"/>
      <c r="N348" s="208"/>
      <c r="O348" s="209"/>
      <c r="P348" s="209"/>
      <c r="Q348" s="24"/>
    </row>
    <row r="349" spans="1:17" ht="18.75" x14ac:dyDescent="0.25">
      <c r="A349" s="20"/>
      <c r="B349" s="25"/>
      <c r="C349" s="49"/>
      <c r="D349" s="49"/>
      <c r="E349" s="80"/>
      <c r="F349" s="81"/>
      <c r="G349" s="81"/>
      <c r="H349" s="54"/>
      <c r="I349" s="54"/>
      <c r="J349" s="54"/>
      <c r="K349" s="206"/>
      <c r="L349" s="207"/>
      <c r="M349" s="206"/>
      <c r="N349" s="208"/>
      <c r="O349" s="209"/>
      <c r="P349" s="209"/>
      <c r="Q349" s="24"/>
    </row>
    <row r="350" spans="1:17" ht="18.75" x14ac:dyDescent="0.25">
      <c r="A350" s="20"/>
      <c r="B350" s="25"/>
      <c r="C350" s="49"/>
      <c r="D350" s="49"/>
      <c r="E350" s="80"/>
      <c r="F350" s="81"/>
      <c r="G350" s="81"/>
      <c r="H350" s="54"/>
      <c r="I350" s="54"/>
      <c r="J350" s="54"/>
      <c r="K350" s="206"/>
      <c r="L350" s="207"/>
      <c r="M350" s="206"/>
      <c r="N350" s="208"/>
      <c r="O350" s="209"/>
      <c r="P350" s="209"/>
      <c r="Q350" s="24"/>
    </row>
    <row r="351" spans="1:17" ht="18.75" x14ac:dyDescent="0.25">
      <c r="A351" s="20"/>
      <c r="B351" s="25"/>
      <c r="C351" s="49"/>
      <c r="D351" s="49"/>
      <c r="E351" s="80"/>
      <c r="F351" s="81"/>
      <c r="G351" s="81"/>
      <c r="H351" s="54"/>
      <c r="I351" s="54"/>
      <c r="J351" s="54"/>
      <c r="K351" s="206"/>
      <c r="L351" s="207"/>
      <c r="M351" s="206"/>
      <c r="N351" s="208"/>
      <c r="O351" s="209"/>
      <c r="P351" s="210"/>
      <c r="Q351" s="24"/>
    </row>
    <row r="352" spans="1:17" ht="18.75" x14ac:dyDescent="0.25">
      <c r="A352" s="20"/>
      <c r="B352" s="25"/>
      <c r="C352" s="49"/>
      <c r="D352" s="49"/>
      <c r="E352" s="80"/>
      <c r="F352" s="81"/>
      <c r="G352" s="81"/>
      <c r="H352" s="54"/>
      <c r="I352" s="54"/>
      <c r="J352" s="54"/>
      <c r="K352" s="206"/>
      <c r="L352" s="207"/>
      <c r="M352" s="206"/>
      <c r="N352" s="208"/>
      <c r="O352" s="209"/>
      <c r="P352" s="209"/>
      <c r="Q352" s="24"/>
    </row>
    <row r="353" spans="1:17" ht="18.75" x14ac:dyDescent="0.25">
      <c r="A353" s="20"/>
      <c r="B353" s="25"/>
      <c r="C353" s="49"/>
      <c r="D353" s="49"/>
      <c r="E353" s="80"/>
      <c r="F353" s="81"/>
      <c r="G353" s="81"/>
      <c r="H353" s="54"/>
      <c r="I353" s="54"/>
      <c r="J353" s="54"/>
      <c r="K353" s="206"/>
      <c r="L353" s="207"/>
      <c r="M353" s="206"/>
      <c r="N353" s="208"/>
      <c r="O353" s="209"/>
      <c r="P353" s="209"/>
      <c r="Q353" s="24"/>
    </row>
    <row r="354" spans="1:17" ht="18.75" x14ac:dyDescent="0.25">
      <c r="A354" s="20"/>
      <c r="B354" s="25"/>
      <c r="C354" s="49"/>
      <c r="D354" s="49"/>
      <c r="E354" s="80"/>
      <c r="F354" s="81"/>
      <c r="G354" s="81"/>
      <c r="H354" s="54"/>
      <c r="I354" s="54"/>
      <c r="J354" s="54"/>
      <c r="K354" s="206"/>
      <c r="L354" s="207"/>
      <c r="M354" s="206"/>
      <c r="N354" s="208"/>
      <c r="O354" s="209"/>
      <c r="P354" s="210"/>
      <c r="Q354" s="24"/>
    </row>
    <row r="355" spans="1:17" ht="18.75" x14ac:dyDescent="0.25">
      <c r="A355" s="20"/>
      <c r="B355" s="25"/>
      <c r="C355" s="49"/>
      <c r="D355" s="49"/>
      <c r="E355" s="80"/>
      <c r="F355" s="81"/>
      <c r="G355" s="81"/>
      <c r="H355" s="54"/>
      <c r="I355" s="54"/>
      <c r="J355" s="54"/>
      <c r="K355" s="206"/>
      <c r="L355" s="207"/>
      <c r="M355" s="206"/>
      <c r="N355" s="208"/>
      <c r="O355" s="209"/>
      <c r="P355" s="209"/>
      <c r="Q355" s="24"/>
    </row>
    <row r="356" spans="1:17" ht="18.75" x14ac:dyDescent="0.25">
      <c r="A356" s="20"/>
      <c r="B356" s="25"/>
      <c r="C356" s="49"/>
      <c r="D356" s="49"/>
      <c r="E356" s="80"/>
      <c r="F356" s="81"/>
      <c r="G356" s="81"/>
      <c r="H356" s="54"/>
      <c r="I356" s="54"/>
      <c r="J356" s="54"/>
      <c r="K356" s="206"/>
      <c r="L356" s="207"/>
      <c r="M356" s="206"/>
      <c r="N356" s="208"/>
      <c r="O356" s="209"/>
      <c r="P356" s="209"/>
      <c r="Q356" s="24"/>
    </row>
    <row r="357" spans="1:17" ht="18.75" x14ac:dyDescent="0.25">
      <c r="A357" s="20"/>
      <c r="B357" s="25"/>
      <c r="C357" s="49"/>
      <c r="D357" s="49"/>
      <c r="E357" s="80"/>
      <c r="F357" s="81"/>
      <c r="G357" s="81"/>
      <c r="H357" s="54"/>
      <c r="I357" s="54"/>
      <c r="J357" s="54"/>
      <c r="K357" s="206"/>
      <c r="L357" s="207"/>
      <c r="M357" s="206"/>
      <c r="N357" s="208"/>
      <c r="O357" s="209"/>
      <c r="P357" s="209"/>
      <c r="Q357" s="24"/>
    </row>
    <row r="358" spans="1:17" ht="18.75" x14ac:dyDescent="0.25">
      <c r="A358" s="20"/>
      <c r="B358" s="25"/>
      <c r="C358" s="49"/>
      <c r="D358" s="49"/>
      <c r="E358" s="80"/>
      <c r="F358" s="81"/>
      <c r="G358" s="81"/>
      <c r="H358" s="54"/>
      <c r="I358" s="54"/>
      <c r="J358" s="54"/>
      <c r="K358" s="206"/>
      <c r="L358" s="207"/>
      <c r="M358" s="206"/>
      <c r="N358" s="208"/>
      <c r="O358" s="209"/>
      <c r="P358" s="209"/>
      <c r="Q358" s="24"/>
    </row>
    <row r="359" spans="1:17" ht="18.75" x14ac:dyDescent="0.25">
      <c r="A359" s="20"/>
      <c r="B359" s="25"/>
      <c r="C359" s="49"/>
      <c r="D359" s="49"/>
      <c r="E359" s="80"/>
      <c r="F359" s="81"/>
      <c r="G359" s="81"/>
      <c r="H359" s="54"/>
      <c r="I359" s="54"/>
      <c r="J359" s="54"/>
      <c r="K359" s="206"/>
      <c r="L359" s="207"/>
      <c r="M359" s="206"/>
      <c r="N359" s="208"/>
      <c r="O359" s="209"/>
      <c r="P359" s="209"/>
      <c r="Q359" s="24"/>
    </row>
    <row r="360" spans="1:17" ht="18.75" x14ac:dyDescent="0.25">
      <c r="A360" s="20"/>
      <c r="B360" s="25"/>
      <c r="C360" s="49"/>
      <c r="D360" s="49"/>
      <c r="E360" s="80"/>
      <c r="F360" s="81"/>
      <c r="G360" s="81"/>
      <c r="H360" s="54"/>
      <c r="I360" s="54"/>
      <c r="J360" s="54"/>
      <c r="K360" s="206"/>
      <c r="L360" s="207"/>
      <c r="M360" s="206"/>
      <c r="N360" s="208"/>
      <c r="O360" s="209"/>
      <c r="P360" s="209"/>
      <c r="Q360" s="24"/>
    </row>
    <row r="361" spans="1:17" ht="18.75" x14ac:dyDescent="0.25">
      <c r="A361" s="20"/>
      <c r="B361" s="25"/>
      <c r="C361" s="49"/>
      <c r="D361" s="49"/>
      <c r="E361" s="80"/>
      <c r="F361" s="81"/>
      <c r="G361" s="81"/>
      <c r="H361" s="54"/>
      <c r="I361" s="54"/>
      <c r="J361" s="54"/>
      <c r="K361" s="206"/>
      <c r="L361" s="207"/>
      <c r="M361" s="206"/>
      <c r="N361" s="208"/>
      <c r="O361" s="209"/>
      <c r="P361" s="210"/>
      <c r="Q361" s="24"/>
    </row>
    <row r="362" spans="1:17" ht="18.75" x14ac:dyDescent="0.25">
      <c r="A362" s="20"/>
      <c r="B362" s="25"/>
      <c r="C362" s="49"/>
      <c r="D362" s="49"/>
      <c r="E362" s="80"/>
      <c r="F362" s="81"/>
      <c r="G362" s="81"/>
      <c r="H362" s="54"/>
      <c r="I362" s="54"/>
      <c r="J362" s="54"/>
      <c r="K362" s="206"/>
      <c r="L362" s="207"/>
      <c r="M362" s="206"/>
      <c r="N362" s="208"/>
      <c r="O362" s="209"/>
      <c r="P362" s="209"/>
      <c r="Q362" s="24"/>
    </row>
    <row r="363" spans="1:17" ht="18.75" x14ac:dyDescent="0.25">
      <c r="A363" s="20"/>
      <c r="B363" s="25"/>
      <c r="C363" s="49"/>
      <c r="D363" s="49"/>
      <c r="E363" s="80"/>
      <c r="F363" s="81"/>
      <c r="G363" s="81"/>
      <c r="H363" s="54"/>
      <c r="I363" s="54"/>
      <c r="J363" s="54"/>
      <c r="K363" s="206"/>
      <c r="L363" s="207"/>
      <c r="M363" s="206"/>
      <c r="N363" s="208"/>
      <c r="O363" s="209"/>
      <c r="P363" s="209"/>
      <c r="Q363" s="24"/>
    </row>
    <row r="364" spans="1:17" ht="18.75" x14ac:dyDescent="0.25">
      <c r="A364" s="20"/>
      <c r="B364" s="25"/>
      <c r="C364" s="49"/>
      <c r="D364" s="49"/>
      <c r="E364" s="80"/>
      <c r="F364" s="81"/>
      <c r="G364" s="81"/>
      <c r="H364" s="54"/>
      <c r="I364" s="54"/>
      <c r="J364" s="54"/>
      <c r="K364" s="206"/>
      <c r="L364" s="207"/>
      <c r="M364" s="206"/>
      <c r="N364" s="208"/>
      <c r="O364" s="209"/>
      <c r="P364" s="209"/>
      <c r="Q364" s="24"/>
    </row>
    <row r="365" spans="1:17" ht="18.75" x14ac:dyDescent="0.25">
      <c r="A365" s="20"/>
      <c r="B365" s="25"/>
      <c r="C365" s="49"/>
      <c r="D365" s="49"/>
      <c r="E365" s="80"/>
      <c r="F365" s="81"/>
      <c r="G365" s="81"/>
      <c r="H365" s="54"/>
      <c r="I365" s="54"/>
      <c r="J365" s="54"/>
      <c r="K365" s="206"/>
      <c r="L365" s="207"/>
      <c r="M365" s="206"/>
      <c r="N365" s="208"/>
      <c r="O365" s="209"/>
      <c r="P365" s="209"/>
      <c r="Q365" s="24"/>
    </row>
    <row r="366" spans="1:17" ht="18.75" x14ac:dyDescent="0.25">
      <c r="A366" s="20"/>
      <c r="B366" s="25"/>
      <c r="C366" s="49"/>
      <c r="D366" s="49"/>
      <c r="E366" s="80"/>
      <c r="F366" s="81"/>
      <c r="G366" s="81"/>
      <c r="H366" s="54"/>
      <c r="I366" s="54"/>
      <c r="J366" s="54"/>
      <c r="K366" s="206"/>
      <c r="L366" s="207"/>
      <c r="M366" s="206"/>
      <c r="N366" s="208"/>
      <c r="O366" s="209"/>
      <c r="P366" s="209"/>
      <c r="Q366" s="24"/>
    </row>
    <row r="367" spans="1:17" ht="18.75" x14ac:dyDescent="0.25">
      <c r="A367" s="20"/>
      <c r="B367" s="25"/>
      <c r="C367" s="49"/>
      <c r="D367" s="49"/>
      <c r="E367" s="80"/>
      <c r="F367" s="81"/>
      <c r="G367" s="81"/>
      <c r="H367" s="54"/>
      <c r="I367" s="54"/>
      <c r="J367" s="54"/>
      <c r="K367" s="206"/>
      <c r="L367" s="207"/>
      <c r="M367" s="206"/>
      <c r="N367" s="208"/>
      <c r="O367" s="209"/>
      <c r="P367" s="209"/>
      <c r="Q367" s="24"/>
    </row>
    <row r="368" spans="1:17" ht="18.75" x14ac:dyDescent="0.25">
      <c r="A368" s="20"/>
      <c r="B368" s="25"/>
      <c r="C368" s="49"/>
      <c r="D368" s="49"/>
      <c r="E368" s="80"/>
      <c r="F368" s="81"/>
      <c r="G368" s="81"/>
      <c r="H368" s="54"/>
      <c r="I368" s="54"/>
      <c r="J368" s="54"/>
      <c r="K368" s="206"/>
      <c r="L368" s="207"/>
      <c r="M368" s="206"/>
      <c r="N368" s="208"/>
      <c r="O368" s="209"/>
      <c r="P368" s="209"/>
      <c r="Q368" s="24"/>
    </row>
    <row r="369" spans="1:17" ht="18.75" x14ac:dyDescent="0.25">
      <c r="A369" s="20"/>
      <c r="B369" s="25"/>
      <c r="C369" s="49"/>
      <c r="D369" s="49"/>
      <c r="E369" s="80"/>
      <c r="F369" s="81"/>
      <c r="G369" s="81"/>
      <c r="H369" s="54"/>
      <c r="I369" s="54"/>
      <c r="J369" s="54"/>
      <c r="K369" s="206"/>
      <c r="L369" s="207"/>
      <c r="M369" s="206"/>
      <c r="N369" s="208"/>
      <c r="O369" s="209"/>
      <c r="P369" s="210"/>
      <c r="Q369" s="24"/>
    </row>
    <row r="370" spans="1:17" ht="18.75" x14ac:dyDescent="0.25">
      <c r="A370" s="20"/>
      <c r="B370" s="25"/>
      <c r="C370" s="49"/>
      <c r="D370" s="49"/>
      <c r="E370" s="80"/>
      <c r="F370" s="81"/>
      <c r="G370" s="81"/>
      <c r="H370" s="54"/>
      <c r="I370" s="54"/>
      <c r="J370" s="54"/>
      <c r="K370" s="206"/>
      <c r="L370" s="207"/>
      <c r="M370" s="206"/>
      <c r="N370" s="208"/>
      <c r="O370" s="209"/>
      <c r="P370" s="209"/>
      <c r="Q370" s="24"/>
    </row>
    <row r="371" spans="1:17" ht="18.75" x14ac:dyDescent="0.25">
      <c r="A371" s="20"/>
      <c r="B371" s="25"/>
      <c r="C371" s="49"/>
      <c r="D371" s="49"/>
      <c r="E371" s="80"/>
      <c r="F371" s="81"/>
      <c r="G371" s="81"/>
      <c r="H371" s="54"/>
      <c r="I371" s="54"/>
      <c r="J371" s="54"/>
      <c r="K371" s="206"/>
      <c r="L371" s="207"/>
      <c r="M371" s="206"/>
      <c r="N371" s="208"/>
      <c r="O371" s="209"/>
      <c r="P371" s="209"/>
      <c r="Q371" s="24"/>
    </row>
    <row r="372" spans="1:17" ht="18.75" x14ac:dyDescent="0.25">
      <c r="A372" s="20"/>
      <c r="B372" s="25"/>
      <c r="C372" s="49"/>
      <c r="D372" s="49"/>
      <c r="E372" s="80"/>
      <c r="F372" s="81"/>
      <c r="G372" s="81"/>
      <c r="H372" s="54"/>
      <c r="I372" s="54"/>
      <c r="J372" s="54"/>
      <c r="K372" s="206"/>
      <c r="L372" s="207"/>
      <c r="M372" s="206"/>
      <c r="N372" s="208"/>
      <c r="O372" s="209"/>
      <c r="P372" s="209"/>
      <c r="Q372" s="24"/>
    </row>
    <row r="373" spans="1:17" ht="18.75" x14ac:dyDescent="0.25">
      <c r="A373" s="20"/>
      <c r="B373" s="25"/>
      <c r="C373" s="49"/>
      <c r="D373" s="49"/>
      <c r="E373" s="80"/>
      <c r="F373" s="81"/>
      <c r="G373" s="81"/>
      <c r="H373" s="54"/>
      <c r="I373" s="54"/>
      <c r="J373" s="54"/>
      <c r="K373" s="206"/>
      <c r="L373" s="207"/>
      <c r="M373" s="206"/>
      <c r="N373" s="208"/>
      <c r="O373" s="209"/>
      <c r="P373" s="209"/>
      <c r="Q373" s="24"/>
    </row>
    <row r="374" spans="1:17" ht="18.75" x14ac:dyDescent="0.25">
      <c r="A374" s="20"/>
      <c r="B374" s="25"/>
      <c r="C374" s="49"/>
      <c r="D374" s="49"/>
      <c r="E374" s="80"/>
      <c r="F374" s="81"/>
      <c r="G374" s="81"/>
      <c r="H374" s="54"/>
      <c r="I374" s="54"/>
      <c r="J374" s="54"/>
      <c r="K374" s="206"/>
      <c r="L374" s="207"/>
      <c r="M374" s="206"/>
      <c r="N374" s="208"/>
      <c r="O374" s="209"/>
      <c r="P374" s="209"/>
      <c r="Q374" s="24"/>
    </row>
    <row r="375" spans="1:17" ht="18.75" x14ac:dyDescent="0.25">
      <c r="A375" s="20"/>
      <c r="B375" s="25"/>
      <c r="C375" s="49"/>
      <c r="D375" s="49"/>
      <c r="E375" s="80"/>
      <c r="F375" s="81"/>
      <c r="G375" s="81"/>
      <c r="H375" s="54"/>
      <c r="I375" s="54"/>
      <c r="J375" s="54"/>
      <c r="K375" s="206"/>
      <c r="L375" s="207"/>
      <c r="M375" s="206"/>
      <c r="N375" s="208"/>
      <c r="O375" s="209"/>
      <c r="P375" s="209"/>
      <c r="Q375" s="24"/>
    </row>
    <row r="376" spans="1:17" ht="18.75" x14ac:dyDescent="0.25">
      <c r="A376" s="20"/>
      <c r="B376" s="25"/>
      <c r="C376" s="49"/>
      <c r="D376" s="49"/>
      <c r="E376" s="80"/>
      <c r="F376" s="81"/>
      <c r="G376" s="81"/>
      <c r="H376" s="54"/>
      <c r="I376" s="54"/>
      <c r="J376" s="54"/>
      <c r="K376" s="206"/>
      <c r="L376" s="207"/>
      <c r="M376" s="206"/>
      <c r="N376" s="208"/>
      <c r="O376" s="209"/>
      <c r="P376" s="209"/>
      <c r="Q376" s="24"/>
    </row>
    <row r="377" spans="1:17" ht="18.75" x14ac:dyDescent="0.25">
      <c r="A377" s="20"/>
      <c r="B377" s="25"/>
      <c r="C377" s="49"/>
      <c r="D377" s="49"/>
      <c r="E377" s="80"/>
      <c r="F377" s="81"/>
      <c r="G377" s="81"/>
      <c r="H377" s="54"/>
      <c r="I377" s="54"/>
      <c r="J377" s="54"/>
      <c r="K377" s="206"/>
      <c r="L377" s="207"/>
      <c r="M377" s="206"/>
      <c r="N377" s="208"/>
      <c r="O377" s="209"/>
      <c r="P377" s="209"/>
      <c r="Q377" s="24"/>
    </row>
    <row r="378" spans="1:17" ht="18.75" x14ac:dyDescent="0.25">
      <c r="A378" s="20"/>
      <c r="B378" s="25"/>
      <c r="C378" s="49"/>
      <c r="D378" s="49"/>
      <c r="E378" s="80"/>
      <c r="F378" s="81"/>
      <c r="G378" s="81"/>
      <c r="H378" s="54"/>
      <c r="I378" s="54"/>
      <c r="J378" s="54"/>
      <c r="K378" s="206"/>
      <c r="L378" s="207"/>
      <c r="M378" s="206"/>
      <c r="N378" s="208"/>
      <c r="O378" s="209"/>
      <c r="P378" s="209"/>
      <c r="Q378" s="24"/>
    </row>
    <row r="379" spans="1:17" ht="18.75" x14ac:dyDescent="0.25">
      <c r="A379" s="20"/>
      <c r="B379" s="25"/>
      <c r="C379" s="49"/>
      <c r="D379" s="49"/>
      <c r="E379" s="80"/>
      <c r="F379" s="81"/>
      <c r="G379" s="81"/>
      <c r="H379" s="54"/>
      <c r="I379" s="54"/>
      <c r="J379" s="54"/>
      <c r="K379" s="206"/>
      <c r="L379" s="207"/>
      <c r="M379" s="206"/>
      <c r="N379" s="208"/>
      <c r="O379" s="209"/>
      <c r="P379" s="209"/>
      <c r="Q379" s="24"/>
    </row>
    <row r="380" spans="1:17" ht="18.75" x14ac:dyDescent="0.25">
      <c r="A380" s="20"/>
      <c r="B380" s="25"/>
      <c r="C380" s="49"/>
      <c r="D380" s="49"/>
      <c r="E380" s="80"/>
      <c r="F380" s="81"/>
      <c r="G380" s="81"/>
      <c r="H380" s="54"/>
      <c r="I380" s="54"/>
      <c r="J380" s="54"/>
      <c r="K380" s="206"/>
      <c r="L380" s="207"/>
      <c r="M380" s="206"/>
      <c r="N380" s="208"/>
      <c r="O380" s="209"/>
      <c r="P380" s="209"/>
      <c r="Q380" s="24"/>
    </row>
    <row r="381" spans="1:17" ht="18.75" x14ac:dyDescent="0.25">
      <c r="A381" s="20"/>
      <c r="B381" s="25"/>
      <c r="C381" s="49"/>
      <c r="D381" s="49"/>
      <c r="E381" s="80"/>
      <c r="F381" s="81"/>
      <c r="G381" s="81"/>
      <c r="H381" s="54"/>
      <c r="I381" s="54"/>
      <c r="J381" s="54"/>
      <c r="K381" s="206"/>
      <c r="L381" s="207"/>
      <c r="M381" s="206"/>
      <c r="N381" s="208"/>
      <c r="O381" s="209"/>
      <c r="P381" s="209"/>
      <c r="Q381" s="24"/>
    </row>
    <row r="382" spans="1:17" ht="18.75" x14ac:dyDescent="0.25">
      <c r="A382" s="20"/>
      <c r="B382" s="25"/>
      <c r="C382" s="49"/>
      <c r="D382" s="49"/>
      <c r="E382" s="80"/>
      <c r="F382" s="81"/>
      <c r="G382" s="81"/>
      <c r="H382" s="54"/>
      <c r="I382" s="54"/>
      <c r="J382" s="54"/>
      <c r="K382" s="206"/>
      <c r="L382" s="207"/>
      <c r="M382" s="206"/>
      <c r="N382" s="208"/>
      <c r="O382" s="209"/>
      <c r="P382" s="209"/>
      <c r="Q382" s="24"/>
    </row>
    <row r="383" spans="1:17" ht="18.75" x14ac:dyDescent="0.25">
      <c r="A383" s="20"/>
      <c r="B383" s="25"/>
      <c r="C383" s="49"/>
      <c r="D383" s="49"/>
      <c r="E383" s="80"/>
      <c r="F383" s="81"/>
      <c r="G383" s="81"/>
      <c r="H383" s="54"/>
      <c r="I383" s="54"/>
      <c r="J383" s="54"/>
      <c r="K383" s="206"/>
      <c r="L383" s="207"/>
      <c r="M383" s="206"/>
      <c r="N383" s="208"/>
      <c r="O383" s="209"/>
      <c r="P383" s="210"/>
      <c r="Q383" s="24"/>
    </row>
    <row r="384" spans="1:17" ht="18.75" x14ac:dyDescent="0.25">
      <c r="A384" s="20"/>
      <c r="B384" s="25"/>
      <c r="C384" s="49"/>
      <c r="D384" s="49"/>
      <c r="E384" s="80"/>
      <c r="F384" s="81"/>
      <c r="G384" s="81"/>
      <c r="H384" s="54"/>
      <c r="I384" s="54"/>
      <c r="J384" s="54"/>
      <c r="K384" s="206"/>
      <c r="L384" s="207"/>
      <c r="M384" s="206"/>
      <c r="N384" s="208"/>
      <c r="O384" s="209"/>
      <c r="P384" s="209"/>
      <c r="Q384" s="24"/>
    </row>
    <row r="385" spans="1:17" ht="18.75" x14ac:dyDescent="0.25">
      <c r="A385" s="20"/>
      <c r="B385" s="25"/>
      <c r="C385" s="49"/>
      <c r="D385" s="49"/>
      <c r="E385" s="80"/>
      <c r="F385" s="81"/>
      <c r="G385" s="81"/>
      <c r="H385" s="54"/>
      <c r="I385" s="54"/>
      <c r="J385" s="54"/>
      <c r="K385" s="206"/>
      <c r="L385" s="207"/>
      <c r="M385" s="206"/>
      <c r="N385" s="208"/>
      <c r="O385" s="209"/>
      <c r="P385" s="210"/>
      <c r="Q385" s="24"/>
    </row>
    <row r="386" spans="1:17" ht="18.75" x14ac:dyDescent="0.25">
      <c r="A386" s="20"/>
      <c r="B386" s="25"/>
      <c r="C386" s="49"/>
      <c r="D386" s="49"/>
      <c r="E386" s="80"/>
      <c r="F386" s="81"/>
      <c r="G386" s="81"/>
      <c r="H386" s="54"/>
      <c r="I386" s="54"/>
      <c r="J386" s="54"/>
      <c r="K386" s="206"/>
      <c r="L386" s="207"/>
      <c r="M386" s="206"/>
      <c r="N386" s="208"/>
      <c r="O386" s="209"/>
      <c r="P386" s="209"/>
      <c r="Q386" s="24"/>
    </row>
    <row r="387" spans="1:17" ht="18.75" x14ac:dyDescent="0.25">
      <c r="A387" s="20"/>
      <c r="B387" s="25"/>
      <c r="C387" s="49"/>
      <c r="D387" s="49"/>
      <c r="E387" s="80"/>
      <c r="F387" s="81"/>
      <c r="G387" s="81"/>
      <c r="H387" s="54"/>
      <c r="I387" s="54"/>
      <c r="J387" s="54"/>
      <c r="K387" s="206"/>
      <c r="L387" s="207"/>
      <c r="M387" s="206"/>
      <c r="N387" s="208"/>
      <c r="O387" s="209"/>
      <c r="P387" s="209"/>
      <c r="Q387" s="24"/>
    </row>
    <row r="388" spans="1:17" ht="18.75" x14ac:dyDescent="0.25">
      <c r="A388" s="20"/>
      <c r="B388" s="25"/>
      <c r="C388" s="49"/>
      <c r="D388" s="49"/>
      <c r="E388" s="80"/>
      <c r="F388" s="81"/>
      <c r="G388" s="81"/>
      <c r="H388" s="54"/>
      <c r="I388" s="54"/>
      <c r="J388" s="54"/>
      <c r="K388" s="206"/>
      <c r="L388" s="207"/>
      <c r="M388" s="206"/>
      <c r="N388" s="208"/>
      <c r="O388" s="209"/>
      <c r="P388" s="209"/>
      <c r="Q388" s="24"/>
    </row>
    <row r="389" spans="1:17" ht="18.75" x14ac:dyDescent="0.25">
      <c r="A389" s="20"/>
      <c r="B389" s="25"/>
      <c r="C389" s="49"/>
      <c r="D389" s="49"/>
      <c r="E389" s="80"/>
      <c r="F389" s="81"/>
      <c r="G389" s="81"/>
      <c r="H389" s="54"/>
      <c r="I389" s="54"/>
      <c r="J389" s="54"/>
      <c r="K389" s="206"/>
      <c r="L389" s="207"/>
      <c r="M389" s="206"/>
      <c r="N389" s="208"/>
      <c r="O389" s="209"/>
      <c r="P389" s="209"/>
      <c r="Q389" s="24"/>
    </row>
    <row r="390" spans="1:17" ht="18.75" x14ac:dyDescent="0.25">
      <c r="A390" s="20"/>
      <c r="B390" s="25"/>
      <c r="C390" s="49"/>
      <c r="D390" s="49"/>
      <c r="E390" s="80"/>
      <c r="F390" s="81"/>
      <c r="G390" s="81"/>
      <c r="H390" s="54"/>
      <c r="I390" s="54"/>
      <c r="J390" s="54"/>
      <c r="K390" s="206"/>
      <c r="L390" s="207"/>
      <c r="M390" s="206"/>
      <c r="N390" s="208"/>
      <c r="O390" s="209"/>
      <c r="P390" s="209"/>
      <c r="Q390" s="24"/>
    </row>
    <row r="391" spans="1:17" ht="18.75" x14ac:dyDescent="0.25">
      <c r="A391" s="20"/>
      <c r="B391" s="25"/>
      <c r="C391" s="49"/>
      <c r="D391" s="49"/>
      <c r="E391" s="80"/>
      <c r="F391" s="81"/>
      <c r="G391" s="81"/>
      <c r="H391" s="54"/>
      <c r="I391" s="54"/>
      <c r="J391" s="54"/>
      <c r="K391" s="206"/>
      <c r="L391" s="207"/>
      <c r="M391" s="206"/>
      <c r="N391" s="208"/>
      <c r="O391" s="209"/>
      <c r="P391" s="209"/>
      <c r="Q391" s="24"/>
    </row>
    <row r="392" spans="1:17" ht="18.75" x14ac:dyDescent="0.25">
      <c r="A392" s="20"/>
      <c r="B392" s="25"/>
      <c r="C392" s="49"/>
      <c r="D392" s="49"/>
      <c r="E392" s="80"/>
      <c r="F392" s="81"/>
      <c r="G392" s="81"/>
      <c r="H392" s="54"/>
      <c r="I392" s="54"/>
      <c r="J392" s="54"/>
      <c r="K392" s="206"/>
      <c r="L392" s="207"/>
      <c r="M392" s="206"/>
      <c r="N392" s="208"/>
      <c r="O392" s="209"/>
      <c r="P392" s="210"/>
      <c r="Q392" s="24"/>
    </row>
    <row r="393" spans="1:17" ht="18.75" x14ac:dyDescent="0.25">
      <c r="A393" s="20"/>
      <c r="B393" s="25"/>
      <c r="C393" s="49"/>
      <c r="D393" s="49"/>
      <c r="E393" s="80"/>
      <c r="F393" s="81"/>
      <c r="G393" s="81"/>
      <c r="H393" s="54"/>
      <c r="I393" s="54"/>
      <c r="J393" s="54"/>
      <c r="K393" s="206"/>
      <c r="L393" s="207"/>
      <c r="M393" s="206"/>
      <c r="N393" s="208"/>
      <c r="O393" s="209"/>
      <c r="P393" s="209"/>
      <c r="Q393" s="24"/>
    </row>
    <row r="394" spans="1:17" ht="18.75" x14ac:dyDescent="0.25">
      <c r="A394" s="20"/>
      <c r="B394" s="25"/>
      <c r="C394" s="49"/>
      <c r="D394" s="49"/>
      <c r="E394" s="80"/>
      <c r="F394" s="81"/>
      <c r="G394" s="81"/>
      <c r="H394" s="54"/>
      <c r="I394" s="54"/>
      <c r="J394" s="54"/>
      <c r="K394" s="206"/>
      <c r="L394" s="207"/>
      <c r="M394" s="206"/>
      <c r="N394" s="208"/>
      <c r="O394" s="209"/>
      <c r="P394" s="209"/>
      <c r="Q394" s="24"/>
    </row>
    <row r="395" spans="1:17" ht="18.75" x14ac:dyDescent="0.25">
      <c r="A395" s="20"/>
      <c r="B395" s="25"/>
      <c r="C395" s="49"/>
      <c r="D395" s="49"/>
      <c r="E395" s="80"/>
      <c r="F395" s="81"/>
      <c r="G395" s="81"/>
      <c r="H395" s="54"/>
      <c r="I395" s="54"/>
      <c r="J395" s="54"/>
      <c r="K395" s="206"/>
      <c r="L395" s="207"/>
      <c r="M395" s="206"/>
      <c r="N395" s="208"/>
      <c r="O395" s="209"/>
      <c r="P395" s="210"/>
      <c r="Q395" s="24"/>
    </row>
    <row r="396" spans="1:17" ht="18.75" x14ac:dyDescent="0.25">
      <c r="A396" s="20"/>
      <c r="B396" s="25"/>
      <c r="C396" s="49"/>
      <c r="D396" s="49"/>
      <c r="E396" s="80"/>
      <c r="F396" s="81"/>
      <c r="G396" s="81"/>
      <c r="H396" s="54"/>
      <c r="I396" s="54"/>
      <c r="J396" s="54"/>
      <c r="K396" s="206"/>
      <c r="L396" s="207"/>
      <c r="M396" s="206"/>
      <c r="N396" s="208"/>
      <c r="O396" s="209"/>
      <c r="P396" s="209"/>
      <c r="Q396" s="24"/>
    </row>
    <row r="397" spans="1:17" ht="18.75" x14ac:dyDescent="0.25">
      <c r="A397" s="20"/>
      <c r="B397" s="25"/>
      <c r="C397" s="49"/>
      <c r="D397" s="49"/>
      <c r="E397" s="80"/>
      <c r="F397" s="81"/>
      <c r="G397" s="81"/>
      <c r="H397" s="54"/>
      <c r="I397" s="54"/>
      <c r="J397" s="54"/>
      <c r="K397" s="206"/>
      <c r="L397" s="207"/>
      <c r="M397" s="206"/>
      <c r="N397" s="208"/>
      <c r="O397" s="209"/>
      <c r="P397" s="209"/>
      <c r="Q397" s="24"/>
    </row>
    <row r="398" spans="1:17" ht="18.75" x14ac:dyDescent="0.25">
      <c r="A398" s="20"/>
      <c r="B398" s="25"/>
      <c r="C398" s="49"/>
      <c r="D398" s="49"/>
      <c r="E398" s="80"/>
      <c r="F398" s="81"/>
      <c r="G398" s="81"/>
      <c r="H398" s="54"/>
      <c r="I398" s="54"/>
      <c r="J398" s="54"/>
      <c r="K398" s="206"/>
      <c r="L398" s="207"/>
      <c r="M398" s="206"/>
      <c r="N398" s="208"/>
      <c r="O398" s="209"/>
      <c r="P398" s="209"/>
      <c r="Q398" s="24"/>
    </row>
    <row r="399" spans="1:17" ht="18.75" x14ac:dyDescent="0.25">
      <c r="A399" s="20"/>
      <c r="B399" s="25"/>
      <c r="C399" s="49"/>
      <c r="D399" s="49"/>
      <c r="E399" s="80"/>
      <c r="F399" s="81"/>
      <c r="G399" s="81"/>
      <c r="H399" s="54"/>
      <c r="I399" s="54"/>
      <c r="J399" s="54"/>
      <c r="K399" s="206"/>
      <c r="L399" s="207"/>
      <c r="M399" s="206"/>
      <c r="N399" s="208"/>
      <c r="O399" s="210"/>
      <c r="P399" s="210"/>
      <c r="Q399" s="24"/>
    </row>
    <row r="400" spans="1:17" ht="18.75" x14ac:dyDescent="0.25">
      <c r="A400" s="20"/>
      <c r="B400" s="25"/>
      <c r="C400" s="49"/>
      <c r="D400" s="49"/>
      <c r="E400" s="80"/>
      <c r="F400" s="81"/>
      <c r="G400" s="81"/>
      <c r="H400" s="54"/>
      <c r="I400" s="54"/>
      <c r="J400" s="54"/>
      <c r="K400" s="206"/>
      <c r="L400" s="207"/>
      <c r="M400" s="206"/>
      <c r="N400" s="208"/>
      <c r="O400" s="209"/>
      <c r="P400" s="209"/>
      <c r="Q400" s="24"/>
    </row>
    <row r="401" spans="1:17" ht="18.75" x14ac:dyDescent="0.25">
      <c r="A401" s="20"/>
      <c r="B401" s="25"/>
      <c r="C401" s="49"/>
      <c r="D401" s="49"/>
      <c r="E401" s="80"/>
      <c r="F401" s="81"/>
      <c r="G401" s="81"/>
      <c r="H401" s="54"/>
      <c r="I401" s="54"/>
      <c r="J401" s="54"/>
      <c r="K401" s="206"/>
      <c r="L401" s="207"/>
      <c r="M401" s="206"/>
      <c r="N401" s="208"/>
      <c r="O401" s="209"/>
      <c r="P401" s="209"/>
      <c r="Q401" s="24"/>
    </row>
    <row r="402" spans="1:17" ht="18.75" x14ac:dyDescent="0.25">
      <c r="A402" s="20"/>
      <c r="B402" s="25"/>
      <c r="C402" s="49"/>
      <c r="D402" s="49"/>
      <c r="E402" s="80"/>
      <c r="F402" s="81"/>
      <c r="G402" s="81"/>
      <c r="H402" s="54"/>
      <c r="I402" s="54"/>
      <c r="J402" s="54"/>
      <c r="K402" s="206"/>
      <c r="L402" s="207"/>
      <c r="M402" s="206"/>
      <c r="N402" s="208"/>
      <c r="O402" s="209"/>
      <c r="P402" s="209"/>
      <c r="Q402" s="24"/>
    </row>
    <row r="403" spans="1:17" ht="18.75" x14ac:dyDescent="0.25">
      <c r="A403" s="20"/>
      <c r="B403" s="25"/>
      <c r="C403" s="49"/>
      <c r="D403" s="49"/>
      <c r="E403" s="80"/>
      <c r="F403" s="81"/>
      <c r="G403" s="81"/>
      <c r="H403" s="54"/>
      <c r="I403" s="54"/>
      <c r="J403" s="54"/>
      <c r="K403" s="206"/>
      <c r="L403" s="207"/>
      <c r="M403" s="206"/>
      <c r="N403" s="208"/>
      <c r="O403" s="209"/>
      <c r="P403" s="209"/>
      <c r="Q403" s="24"/>
    </row>
    <row r="404" spans="1:17" ht="18.75" x14ac:dyDescent="0.25">
      <c r="A404" s="20"/>
      <c r="B404" s="25"/>
      <c r="C404" s="49"/>
      <c r="D404" s="49"/>
      <c r="E404" s="80"/>
      <c r="F404" s="81"/>
      <c r="G404" s="81"/>
      <c r="H404" s="54"/>
      <c r="I404" s="54"/>
      <c r="J404" s="54"/>
      <c r="K404" s="206"/>
      <c r="L404" s="207"/>
      <c r="M404" s="206"/>
      <c r="N404" s="208"/>
      <c r="O404" s="209"/>
      <c r="P404" s="209"/>
      <c r="Q404" s="24"/>
    </row>
    <row r="405" spans="1:17" ht="18.75" x14ac:dyDescent="0.25">
      <c r="A405" s="20"/>
      <c r="B405" s="25"/>
      <c r="C405" s="49"/>
      <c r="D405" s="49"/>
      <c r="E405" s="80"/>
      <c r="F405" s="81"/>
      <c r="G405" s="81"/>
      <c r="H405" s="54"/>
      <c r="I405" s="54"/>
      <c r="J405" s="54"/>
      <c r="K405" s="206"/>
      <c r="L405" s="207"/>
      <c r="M405" s="206"/>
      <c r="N405" s="208"/>
      <c r="O405" s="209"/>
      <c r="P405" s="209"/>
      <c r="Q405" s="24"/>
    </row>
    <row r="406" spans="1:17" ht="18.75" x14ac:dyDescent="0.25">
      <c r="A406" s="20"/>
      <c r="B406" s="25"/>
      <c r="C406" s="49"/>
      <c r="D406" s="49"/>
      <c r="E406" s="80"/>
      <c r="F406" s="81"/>
      <c r="G406" s="81"/>
      <c r="H406" s="54"/>
      <c r="I406" s="54"/>
      <c r="J406" s="54"/>
      <c r="K406" s="206"/>
      <c r="L406" s="207"/>
      <c r="M406" s="206"/>
      <c r="N406" s="208"/>
      <c r="O406" s="209"/>
      <c r="P406" s="210"/>
      <c r="Q406" s="24"/>
    </row>
    <row r="407" spans="1:17" ht="18.75" x14ac:dyDescent="0.25">
      <c r="A407" s="20"/>
      <c r="B407" s="25"/>
      <c r="C407" s="49"/>
      <c r="D407" s="49"/>
      <c r="E407" s="80"/>
      <c r="F407" s="81"/>
      <c r="G407" s="81"/>
      <c r="H407" s="54"/>
      <c r="I407" s="54"/>
      <c r="J407" s="54"/>
      <c r="K407" s="206"/>
      <c r="L407" s="207"/>
      <c r="M407" s="206"/>
      <c r="N407" s="208"/>
      <c r="O407" s="209"/>
      <c r="P407" s="209"/>
      <c r="Q407" s="24"/>
    </row>
    <row r="408" spans="1:17" ht="18.75" x14ac:dyDescent="0.25">
      <c r="A408" s="20"/>
      <c r="B408" s="25"/>
      <c r="C408" s="49"/>
      <c r="D408" s="49"/>
      <c r="E408" s="80"/>
      <c r="F408" s="81"/>
      <c r="G408" s="81"/>
      <c r="H408" s="54"/>
      <c r="I408" s="54"/>
      <c r="J408" s="54"/>
      <c r="K408" s="206"/>
      <c r="L408" s="207"/>
      <c r="M408" s="206"/>
      <c r="N408" s="208"/>
      <c r="O408" s="209"/>
      <c r="P408" s="210"/>
      <c r="Q408" s="24"/>
    </row>
    <row r="409" spans="1:17" ht="18.75" x14ac:dyDescent="0.25">
      <c r="A409" s="20"/>
      <c r="B409" s="25"/>
      <c r="C409" s="49"/>
      <c r="D409" s="49"/>
      <c r="E409" s="80"/>
      <c r="F409" s="81"/>
      <c r="G409" s="81"/>
      <c r="H409" s="54"/>
      <c r="I409" s="54"/>
      <c r="J409" s="54"/>
      <c r="K409" s="206"/>
      <c r="L409" s="207"/>
      <c r="M409" s="206"/>
      <c r="N409" s="208"/>
      <c r="O409" s="209"/>
      <c r="P409" s="210"/>
      <c r="Q409" s="24"/>
    </row>
    <row r="410" spans="1:17" ht="18.75" x14ac:dyDescent="0.25">
      <c r="A410" s="20"/>
      <c r="B410" s="25"/>
      <c r="C410" s="49"/>
      <c r="D410" s="49"/>
      <c r="E410" s="80"/>
      <c r="F410" s="81"/>
      <c r="G410" s="81"/>
      <c r="H410" s="54"/>
      <c r="I410" s="54"/>
      <c r="J410" s="54"/>
      <c r="K410" s="206"/>
      <c r="L410" s="207"/>
      <c r="M410" s="206"/>
      <c r="N410" s="208"/>
      <c r="O410" s="209"/>
      <c r="P410" s="209"/>
      <c r="Q410" s="24"/>
    </row>
    <row r="411" spans="1:17" ht="18.75" x14ac:dyDescent="0.25">
      <c r="A411" s="20"/>
      <c r="B411" s="25"/>
      <c r="C411" s="49"/>
      <c r="D411" s="49"/>
      <c r="E411" s="80"/>
      <c r="F411" s="81"/>
      <c r="G411" s="81"/>
      <c r="H411" s="54"/>
      <c r="I411" s="54"/>
      <c r="J411" s="54"/>
      <c r="K411" s="206"/>
      <c r="L411" s="207"/>
      <c r="M411" s="206"/>
      <c r="N411" s="208"/>
      <c r="O411" s="209"/>
      <c r="P411" s="209"/>
      <c r="Q411" s="24"/>
    </row>
    <row r="412" spans="1:17" ht="18.75" x14ac:dyDescent="0.25">
      <c r="A412" s="20"/>
      <c r="B412" s="25"/>
      <c r="C412" s="49"/>
      <c r="D412" s="49"/>
      <c r="E412" s="80"/>
      <c r="F412" s="81"/>
      <c r="G412" s="81"/>
      <c r="H412" s="54"/>
      <c r="I412" s="54"/>
      <c r="J412" s="54"/>
      <c r="K412" s="206"/>
      <c r="L412" s="207"/>
      <c r="M412" s="206"/>
      <c r="N412" s="208"/>
      <c r="O412" s="209"/>
      <c r="P412" s="209"/>
      <c r="Q412" s="24"/>
    </row>
    <row r="413" spans="1:17" ht="18.75" x14ac:dyDescent="0.25">
      <c r="A413" s="20"/>
      <c r="B413" s="25"/>
      <c r="C413" s="49"/>
      <c r="D413" s="49"/>
      <c r="E413" s="80"/>
      <c r="F413" s="81"/>
      <c r="G413" s="81"/>
      <c r="H413" s="54"/>
      <c r="I413" s="54"/>
      <c r="J413" s="54"/>
      <c r="K413" s="206"/>
      <c r="L413" s="207"/>
      <c r="M413" s="206"/>
      <c r="N413" s="208"/>
      <c r="O413" s="209"/>
      <c r="P413" s="209"/>
      <c r="Q413" s="24"/>
    </row>
    <row r="414" spans="1:17" ht="18.75" x14ac:dyDescent="0.25">
      <c r="A414" s="20"/>
      <c r="B414" s="25"/>
      <c r="C414" s="49"/>
      <c r="D414" s="49"/>
      <c r="E414" s="80"/>
      <c r="F414" s="81"/>
      <c r="G414" s="81"/>
      <c r="H414" s="54"/>
      <c r="I414" s="54"/>
      <c r="J414" s="54"/>
      <c r="K414" s="206"/>
      <c r="L414" s="207"/>
      <c r="M414" s="206"/>
      <c r="N414" s="208"/>
      <c r="O414" s="209"/>
      <c r="P414" s="209"/>
      <c r="Q414" s="24"/>
    </row>
    <row r="415" spans="1:17" ht="18.75" x14ac:dyDescent="0.25">
      <c r="A415" s="20"/>
      <c r="B415" s="25"/>
      <c r="C415" s="49"/>
      <c r="D415" s="49"/>
      <c r="E415" s="80"/>
      <c r="F415" s="81"/>
      <c r="G415" s="81"/>
      <c r="H415" s="54"/>
      <c r="I415" s="54"/>
      <c r="J415" s="54"/>
      <c r="K415" s="206"/>
      <c r="L415" s="207"/>
      <c r="M415" s="206"/>
      <c r="N415" s="208"/>
      <c r="O415" s="209"/>
      <c r="P415" s="209"/>
      <c r="Q415" s="24"/>
    </row>
    <row r="416" spans="1:17" ht="18.75" x14ac:dyDescent="0.25">
      <c r="A416" s="20"/>
      <c r="B416" s="25"/>
      <c r="C416" s="49"/>
      <c r="D416" s="49"/>
      <c r="E416" s="80"/>
      <c r="F416" s="81"/>
      <c r="G416" s="81"/>
      <c r="H416" s="54"/>
      <c r="I416" s="54"/>
      <c r="J416" s="54"/>
      <c r="K416" s="206"/>
      <c r="L416" s="207"/>
      <c r="M416" s="206"/>
      <c r="N416" s="208"/>
      <c r="O416" s="209"/>
      <c r="P416" s="209"/>
      <c r="Q416" s="24"/>
    </row>
    <row r="417" spans="1:17" ht="18.75" x14ac:dyDescent="0.25">
      <c r="A417" s="20"/>
      <c r="B417" s="25"/>
      <c r="C417" s="49"/>
      <c r="D417" s="49"/>
      <c r="E417" s="80"/>
      <c r="F417" s="81"/>
      <c r="G417" s="81"/>
      <c r="H417" s="54"/>
      <c r="I417" s="54"/>
      <c r="J417" s="54"/>
      <c r="K417" s="206"/>
      <c r="L417" s="207"/>
      <c r="M417" s="206"/>
      <c r="N417" s="208"/>
      <c r="O417" s="209"/>
      <c r="P417" s="209"/>
      <c r="Q417" s="24"/>
    </row>
    <row r="418" spans="1:17" ht="18.75" x14ac:dyDescent="0.25">
      <c r="A418" s="20"/>
      <c r="B418" s="25"/>
      <c r="C418" s="49"/>
      <c r="D418" s="49"/>
      <c r="E418" s="80"/>
      <c r="F418" s="81"/>
      <c r="G418" s="81"/>
      <c r="H418" s="54"/>
      <c r="I418" s="54"/>
      <c r="J418" s="54"/>
      <c r="K418" s="206"/>
      <c r="L418" s="207"/>
      <c r="M418" s="206"/>
      <c r="N418" s="208"/>
      <c r="O418" s="209"/>
      <c r="P418" s="209"/>
      <c r="Q418" s="24"/>
    </row>
    <row r="419" spans="1:17" ht="18.75" x14ac:dyDescent="0.25">
      <c r="A419" s="20"/>
      <c r="B419" s="25"/>
      <c r="C419" s="49"/>
      <c r="D419" s="49"/>
      <c r="E419" s="80"/>
      <c r="F419" s="81"/>
      <c r="G419" s="81"/>
      <c r="H419" s="54"/>
      <c r="I419" s="54"/>
      <c r="J419" s="54"/>
      <c r="K419" s="206"/>
      <c r="L419" s="207"/>
      <c r="M419" s="206"/>
      <c r="N419" s="208"/>
      <c r="O419" s="209"/>
      <c r="P419" s="209"/>
      <c r="Q419" s="24"/>
    </row>
    <row r="420" spans="1:17" ht="18.75" x14ac:dyDescent="0.25">
      <c r="A420" s="20"/>
      <c r="B420" s="25"/>
      <c r="C420" s="49"/>
      <c r="D420" s="49"/>
      <c r="E420" s="80"/>
      <c r="F420" s="81"/>
      <c r="G420" s="81"/>
      <c r="H420" s="54"/>
      <c r="I420" s="54"/>
      <c r="J420" s="54"/>
      <c r="K420" s="206"/>
      <c r="L420" s="207"/>
      <c r="M420" s="206"/>
      <c r="N420" s="208"/>
      <c r="O420" s="209"/>
      <c r="P420" s="209"/>
      <c r="Q420" s="24"/>
    </row>
    <row r="421" spans="1:17" ht="18.75" x14ac:dyDescent="0.25">
      <c r="A421" s="20"/>
      <c r="B421" s="25"/>
      <c r="C421" s="49"/>
      <c r="D421" s="49"/>
      <c r="E421" s="80"/>
      <c r="F421" s="81"/>
      <c r="G421" s="81"/>
      <c r="H421" s="54"/>
      <c r="I421" s="54"/>
      <c r="J421" s="54"/>
      <c r="K421" s="206"/>
      <c r="L421" s="207"/>
      <c r="M421" s="206"/>
      <c r="N421" s="208"/>
      <c r="O421" s="209"/>
      <c r="P421" s="209"/>
      <c r="Q421" s="24"/>
    </row>
    <row r="422" spans="1:17" ht="18.75" x14ac:dyDescent="0.25">
      <c r="A422" s="20"/>
      <c r="B422" s="25"/>
      <c r="C422" s="49"/>
      <c r="D422" s="49"/>
      <c r="E422" s="80"/>
      <c r="F422" s="81"/>
      <c r="G422" s="81"/>
      <c r="H422" s="54"/>
      <c r="I422" s="54"/>
      <c r="J422" s="54"/>
      <c r="K422" s="206"/>
      <c r="L422" s="207"/>
      <c r="M422" s="206"/>
      <c r="N422" s="208"/>
      <c r="O422" s="209"/>
      <c r="P422" s="209"/>
      <c r="Q422" s="24"/>
    </row>
    <row r="423" spans="1:17" ht="18.75" x14ac:dyDescent="0.25">
      <c r="A423" s="20"/>
      <c r="B423" s="25"/>
      <c r="C423" s="49"/>
      <c r="D423" s="49"/>
      <c r="E423" s="80"/>
      <c r="F423" s="81"/>
      <c r="G423" s="81"/>
      <c r="H423" s="54"/>
      <c r="I423" s="54"/>
      <c r="J423" s="54"/>
      <c r="K423" s="206"/>
      <c r="L423" s="207"/>
      <c r="M423" s="206"/>
      <c r="N423" s="208"/>
      <c r="O423" s="209"/>
      <c r="P423" s="210"/>
      <c r="Q423" s="24"/>
    </row>
    <row r="424" spans="1:17" ht="18.75" x14ac:dyDescent="0.25">
      <c r="A424" s="20"/>
      <c r="B424" s="25"/>
      <c r="C424" s="49"/>
      <c r="D424" s="49"/>
      <c r="E424" s="80"/>
      <c r="F424" s="81"/>
      <c r="G424" s="81"/>
      <c r="H424" s="54"/>
      <c r="I424" s="54"/>
      <c r="J424" s="54"/>
      <c r="K424" s="206"/>
      <c r="L424" s="207"/>
      <c r="M424" s="206"/>
      <c r="N424" s="208"/>
      <c r="O424" s="209"/>
      <c r="P424" s="209"/>
      <c r="Q424" s="24"/>
    </row>
    <row r="425" spans="1:17" ht="18.75" x14ac:dyDescent="0.25">
      <c r="A425" s="20"/>
      <c r="B425" s="25"/>
      <c r="C425" s="49"/>
      <c r="D425" s="49"/>
      <c r="E425" s="80"/>
      <c r="F425" s="81"/>
      <c r="G425" s="81"/>
      <c r="H425" s="54"/>
      <c r="I425" s="54"/>
      <c r="J425" s="54"/>
      <c r="K425" s="206"/>
      <c r="L425" s="207"/>
      <c r="M425" s="206"/>
      <c r="N425" s="208"/>
      <c r="O425" s="209"/>
      <c r="P425" s="209"/>
      <c r="Q425" s="24"/>
    </row>
    <row r="426" spans="1:17" ht="18.75" x14ac:dyDescent="0.25">
      <c r="A426" s="20"/>
      <c r="B426" s="25"/>
      <c r="C426" s="49"/>
      <c r="D426" s="49"/>
      <c r="E426" s="80"/>
      <c r="F426" s="81"/>
      <c r="G426" s="81"/>
      <c r="H426" s="54"/>
      <c r="I426" s="54"/>
      <c r="J426" s="54"/>
      <c r="K426" s="206"/>
      <c r="L426" s="207"/>
      <c r="M426" s="206"/>
      <c r="N426" s="208"/>
      <c r="O426" s="209"/>
      <c r="P426" s="209"/>
      <c r="Q426" s="24"/>
    </row>
    <row r="427" spans="1:17" ht="18.75" x14ac:dyDescent="0.25">
      <c r="A427" s="20"/>
      <c r="B427" s="25"/>
      <c r="C427" s="49"/>
      <c r="D427" s="49"/>
      <c r="E427" s="80"/>
      <c r="F427" s="81"/>
      <c r="G427" s="81"/>
      <c r="H427" s="54"/>
      <c r="I427" s="54"/>
      <c r="J427" s="54"/>
      <c r="K427" s="206"/>
      <c r="L427" s="207"/>
      <c r="M427" s="206"/>
      <c r="N427" s="208"/>
      <c r="O427" s="209"/>
      <c r="P427" s="209"/>
      <c r="Q427" s="24"/>
    </row>
    <row r="428" spans="1:17" ht="18.75" x14ac:dyDescent="0.25">
      <c r="A428" s="20"/>
      <c r="B428" s="25"/>
      <c r="C428" s="49"/>
      <c r="D428" s="49"/>
      <c r="E428" s="80"/>
      <c r="F428" s="81"/>
      <c r="G428" s="81"/>
      <c r="H428" s="54"/>
      <c r="I428" s="54"/>
      <c r="J428" s="54"/>
      <c r="K428" s="206"/>
      <c r="L428" s="207"/>
      <c r="M428" s="206"/>
      <c r="N428" s="208"/>
      <c r="O428" s="209"/>
      <c r="P428" s="209"/>
      <c r="Q428" s="24"/>
    </row>
    <row r="429" spans="1:17" ht="18.75" x14ac:dyDescent="0.25">
      <c r="A429" s="20"/>
      <c r="B429" s="25"/>
      <c r="C429" s="49"/>
      <c r="D429" s="49"/>
      <c r="E429" s="80"/>
      <c r="F429" s="81"/>
      <c r="G429" s="81"/>
      <c r="H429" s="54"/>
      <c r="I429" s="54"/>
      <c r="J429" s="54"/>
      <c r="K429" s="206"/>
      <c r="L429" s="207"/>
      <c r="M429" s="206"/>
      <c r="N429" s="208"/>
      <c r="O429" s="209"/>
      <c r="P429" s="210"/>
      <c r="Q429" s="24"/>
    </row>
    <row r="430" spans="1:17" ht="18.75" x14ac:dyDescent="0.25">
      <c r="A430" s="20"/>
      <c r="B430" s="25"/>
      <c r="C430" s="49"/>
      <c r="D430" s="49"/>
      <c r="E430" s="80"/>
      <c r="F430" s="81"/>
      <c r="G430" s="81"/>
      <c r="H430" s="54"/>
      <c r="I430" s="54"/>
      <c r="J430" s="54"/>
      <c r="K430" s="206"/>
      <c r="L430" s="207"/>
      <c r="M430" s="206"/>
      <c r="N430" s="208"/>
      <c r="O430" s="209"/>
      <c r="P430" s="210"/>
      <c r="Q430" s="24"/>
    </row>
    <row r="431" spans="1:17" ht="18.75" x14ac:dyDescent="0.25">
      <c r="A431" s="20"/>
      <c r="B431" s="25"/>
      <c r="C431" s="49"/>
      <c r="D431" s="49"/>
      <c r="E431" s="80"/>
      <c r="F431" s="81"/>
      <c r="G431" s="81"/>
      <c r="H431" s="54"/>
      <c r="I431" s="54"/>
      <c r="J431" s="54"/>
      <c r="K431" s="206"/>
      <c r="L431" s="207"/>
      <c r="M431" s="206"/>
      <c r="N431" s="208"/>
      <c r="O431" s="209"/>
      <c r="P431" s="209"/>
      <c r="Q431" s="24"/>
    </row>
    <row r="432" spans="1:17" ht="18.75" x14ac:dyDescent="0.25">
      <c r="A432" s="20"/>
      <c r="B432" s="25"/>
      <c r="C432" s="49"/>
      <c r="D432" s="49"/>
      <c r="E432" s="80"/>
      <c r="F432" s="81"/>
      <c r="G432" s="81"/>
      <c r="H432" s="54"/>
      <c r="I432" s="54"/>
      <c r="J432" s="54"/>
      <c r="K432" s="206"/>
      <c r="L432" s="207"/>
      <c r="M432" s="206"/>
      <c r="N432" s="208"/>
      <c r="O432" s="209"/>
      <c r="P432" s="209"/>
      <c r="Q432" s="24"/>
    </row>
    <row r="433" spans="1:17" ht="18.75" x14ac:dyDescent="0.25">
      <c r="A433" s="20"/>
      <c r="B433" s="25"/>
      <c r="C433" s="49"/>
      <c r="D433" s="49"/>
      <c r="E433" s="80"/>
      <c r="F433" s="81"/>
      <c r="G433" s="81"/>
      <c r="H433" s="54"/>
      <c r="I433" s="54"/>
      <c r="J433" s="54"/>
      <c r="K433" s="206"/>
      <c r="L433" s="207"/>
      <c r="M433" s="206"/>
      <c r="N433" s="208"/>
      <c r="O433" s="209"/>
      <c r="P433" s="209"/>
      <c r="Q433" s="24"/>
    </row>
    <row r="434" spans="1:17" ht="18.75" x14ac:dyDescent="0.25">
      <c r="A434" s="20"/>
      <c r="B434" s="25"/>
      <c r="C434" s="49"/>
      <c r="D434" s="49"/>
      <c r="E434" s="80"/>
      <c r="F434" s="81"/>
      <c r="G434" s="81"/>
      <c r="H434" s="54"/>
      <c r="I434" s="54"/>
      <c r="J434" s="54"/>
      <c r="K434" s="206"/>
      <c r="L434" s="207"/>
      <c r="M434" s="206"/>
      <c r="N434" s="208"/>
      <c r="O434" s="209"/>
      <c r="P434" s="209"/>
      <c r="Q434" s="24"/>
    </row>
    <row r="435" spans="1:17" ht="18.75" x14ac:dyDescent="0.25">
      <c r="A435" s="20"/>
      <c r="B435" s="25"/>
      <c r="C435" s="49"/>
      <c r="D435" s="49"/>
      <c r="E435" s="80"/>
      <c r="F435" s="81"/>
      <c r="G435" s="81"/>
      <c r="H435" s="54"/>
      <c r="I435" s="54"/>
      <c r="J435" s="54"/>
      <c r="K435" s="206"/>
      <c r="L435" s="207"/>
      <c r="M435" s="206"/>
      <c r="N435" s="208"/>
      <c r="O435" s="209"/>
      <c r="P435" s="209"/>
      <c r="Q435" s="24"/>
    </row>
    <row r="436" spans="1:17" ht="18.75" x14ac:dyDescent="0.25">
      <c r="A436" s="20"/>
      <c r="B436" s="25"/>
      <c r="C436" s="49"/>
      <c r="D436" s="49"/>
      <c r="E436" s="80"/>
      <c r="F436" s="81"/>
      <c r="G436" s="81"/>
      <c r="H436" s="54"/>
      <c r="I436" s="54"/>
      <c r="J436" s="54"/>
      <c r="K436" s="206"/>
      <c r="L436" s="207"/>
      <c r="M436" s="206"/>
      <c r="N436" s="208"/>
      <c r="O436" s="209"/>
      <c r="P436" s="209"/>
      <c r="Q436" s="24"/>
    </row>
    <row r="437" spans="1:17" ht="18.75" x14ac:dyDescent="0.25">
      <c r="A437" s="20"/>
      <c r="B437" s="25"/>
      <c r="C437" s="49"/>
      <c r="D437" s="49"/>
      <c r="E437" s="80"/>
      <c r="F437" s="81"/>
      <c r="G437" s="81"/>
      <c r="H437" s="54"/>
      <c r="I437" s="54"/>
      <c r="J437" s="54"/>
      <c r="K437" s="206"/>
      <c r="L437" s="207"/>
      <c r="M437" s="206"/>
      <c r="N437" s="208"/>
      <c r="O437" s="209"/>
      <c r="P437" s="209"/>
      <c r="Q437" s="24"/>
    </row>
    <row r="438" spans="1:17" ht="18.75" x14ac:dyDescent="0.25">
      <c r="A438" s="20"/>
      <c r="B438" s="25"/>
      <c r="C438" s="49"/>
      <c r="D438" s="49"/>
      <c r="E438" s="80"/>
      <c r="F438" s="81"/>
      <c r="G438" s="81"/>
      <c r="H438" s="54"/>
      <c r="I438" s="54"/>
      <c r="J438" s="54"/>
      <c r="K438" s="206"/>
      <c r="L438" s="207"/>
      <c r="M438" s="206"/>
      <c r="N438" s="208"/>
      <c r="O438" s="209"/>
      <c r="P438" s="209"/>
      <c r="Q438" s="24"/>
    </row>
    <row r="439" spans="1:17" ht="18.75" x14ac:dyDescent="0.25">
      <c r="A439" s="20"/>
      <c r="B439" s="25"/>
      <c r="C439" s="49"/>
      <c r="D439" s="49"/>
      <c r="E439" s="80"/>
      <c r="F439" s="81"/>
      <c r="G439" s="81"/>
      <c r="H439" s="54"/>
      <c r="I439" s="54"/>
      <c r="J439" s="54"/>
      <c r="K439" s="206"/>
      <c r="L439" s="207"/>
      <c r="M439" s="206"/>
      <c r="N439" s="208"/>
      <c r="O439" s="209"/>
      <c r="P439" s="210"/>
      <c r="Q439" s="24"/>
    </row>
    <row r="440" spans="1:17" ht="18.75" x14ac:dyDescent="0.25">
      <c r="A440" s="20"/>
      <c r="B440" s="25"/>
      <c r="C440" s="49"/>
      <c r="D440" s="49"/>
      <c r="E440" s="80"/>
      <c r="F440" s="81"/>
      <c r="G440" s="81"/>
      <c r="H440" s="54"/>
      <c r="I440" s="54"/>
      <c r="J440" s="54"/>
      <c r="K440" s="206"/>
      <c r="L440" s="207"/>
      <c r="M440" s="206"/>
      <c r="N440" s="208"/>
      <c r="O440" s="209"/>
      <c r="P440" s="209"/>
      <c r="Q440" s="24"/>
    </row>
    <row r="441" spans="1:17" ht="18.75" x14ac:dyDescent="0.25">
      <c r="A441" s="20"/>
      <c r="B441" s="25"/>
      <c r="C441" s="49"/>
      <c r="D441" s="49"/>
      <c r="E441" s="80"/>
      <c r="F441" s="81"/>
      <c r="G441" s="81"/>
      <c r="H441" s="54"/>
      <c r="I441" s="54"/>
      <c r="J441" s="54"/>
      <c r="K441" s="206"/>
      <c r="L441" s="207"/>
      <c r="M441" s="206"/>
      <c r="N441" s="208"/>
      <c r="O441" s="209"/>
      <c r="P441" s="209"/>
      <c r="Q441" s="24"/>
    </row>
    <row r="442" spans="1:17" ht="18.75" x14ac:dyDescent="0.25">
      <c r="A442" s="20"/>
      <c r="B442" s="25"/>
      <c r="C442" s="49"/>
      <c r="D442" s="49"/>
      <c r="E442" s="80"/>
      <c r="F442" s="81"/>
      <c r="G442" s="81"/>
      <c r="H442" s="54"/>
      <c r="I442" s="54"/>
      <c r="J442" s="54"/>
      <c r="K442" s="206"/>
      <c r="L442" s="207"/>
      <c r="M442" s="206"/>
      <c r="N442" s="208"/>
      <c r="O442" s="209"/>
      <c r="P442" s="209"/>
      <c r="Q442" s="24"/>
    </row>
    <row r="443" spans="1:17" ht="18.75" x14ac:dyDescent="0.25">
      <c r="A443" s="20"/>
      <c r="B443" s="25"/>
      <c r="C443" s="49"/>
      <c r="D443" s="49"/>
      <c r="E443" s="80"/>
      <c r="F443" s="81"/>
      <c r="G443" s="81"/>
      <c r="H443" s="54"/>
      <c r="I443" s="54"/>
      <c r="J443" s="54"/>
      <c r="K443" s="206"/>
      <c r="L443" s="207"/>
      <c r="M443" s="206"/>
      <c r="N443" s="208"/>
      <c r="O443" s="209"/>
      <c r="P443" s="209"/>
      <c r="Q443" s="24"/>
    </row>
    <row r="444" spans="1:17" ht="18.75" x14ac:dyDescent="0.25">
      <c r="A444" s="20"/>
      <c r="B444" s="25"/>
      <c r="C444" s="49"/>
      <c r="D444" s="49"/>
      <c r="E444" s="80"/>
      <c r="F444" s="81"/>
      <c r="G444" s="81"/>
      <c r="H444" s="54"/>
      <c r="I444" s="54"/>
      <c r="J444" s="54"/>
      <c r="K444" s="206"/>
      <c r="L444" s="207"/>
      <c r="M444" s="206"/>
      <c r="N444" s="208"/>
      <c r="O444" s="210"/>
      <c r="P444" s="210"/>
      <c r="Q444" s="24"/>
    </row>
    <row r="445" spans="1:17" ht="18.75" x14ac:dyDescent="0.25">
      <c r="A445" s="20"/>
      <c r="B445" s="25"/>
      <c r="C445" s="49"/>
      <c r="D445" s="49"/>
      <c r="E445" s="80"/>
      <c r="F445" s="81"/>
      <c r="G445" s="81"/>
      <c r="H445" s="54"/>
      <c r="I445" s="54"/>
      <c r="J445" s="54"/>
      <c r="K445" s="206"/>
      <c r="L445" s="207"/>
      <c r="M445" s="206"/>
      <c r="N445" s="208"/>
      <c r="O445" s="209"/>
      <c r="P445" s="210"/>
      <c r="Q445" s="24"/>
    </row>
    <row r="446" spans="1:17" ht="18.75" x14ac:dyDescent="0.25">
      <c r="A446" s="20"/>
      <c r="B446" s="25"/>
      <c r="C446" s="49"/>
      <c r="D446" s="49"/>
      <c r="E446" s="80"/>
      <c r="F446" s="81"/>
      <c r="G446" s="81"/>
      <c r="H446" s="54"/>
      <c r="I446" s="54"/>
      <c r="J446" s="54"/>
      <c r="K446" s="206"/>
      <c r="L446" s="207"/>
      <c r="M446" s="206"/>
      <c r="N446" s="208"/>
      <c r="O446" s="209"/>
      <c r="P446" s="209"/>
      <c r="Q446" s="24"/>
    </row>
    <row r="447" spans="1:17" ht="18.75" x14ac:dyDescent="0.25">
      <c r="A447" s="20"/>
      <c r="B447" s="25"/>
      <c r="C447" s="49"/>
      <c r="D447" s="49"/>
      <c r="E447" s="80"/>
      <c r="F447" s="81"/>
      <c r="G447" s="81"/>
      <c r="H447" s="54"/>
      <c r="I447" s="54"/>
      <c r="J447" s="54"/>
      <c r="K447" s="206"/>
      <c r="L447" s="207"/>
      <c r="M447" s="206"/>
      <c r="N447" s="208"/>
      <c r="O447" s="209"/>
      <c r="P447" s="209"/>
      <c r="Q447" s="24"/>
    </row>
    <row r="448" spans="1:17" ht="18.75" x14ac:dyDescent="0.25">
      <c r="A448" s="20"/>
      <c r="B448" s="25"/>
      <c r="C448" s="49"/>
      <c r="D448" s="49"/>
      <c r="E448" s="80"/>
      <c r="F448" s="81"/>
      <c r="G448" s="81"/>
      <c r="H448" s="54"/>
      <c r="I448" s="54"/>
      <c r="J448" s="54"/>
      <c r="K448" s="206"/>
      <c r="L448" s="207"/>
      <c r="M448" s="206"/>
      <c r="N448" s="208"/>
      <c r="O448" s="209"/>
      <c r="P448" s="209"/>
      <c r="Q448" s="24"/>
    </row>
    <row r="449" spans="1:17" ht="18.75" x14ac:dyDescent="0.25">
      <c r="A449" s="20"/>
      <c r="B449" s="25"/>
      <c r="C449" s="49"/>
      <c r="D449" s="49"/>
      <c r="E449" s="80"/>
      <c r="F449" s="81"/>
      <c r="G449" s="81"/>
      <c r="H449" s="54"/>
      <c r="I449" s="54"/>
      <c r="J449" s="54"/>
      <c r="K449" s="206"/>
      <c r="L449" s="207"/>
      <c r="M449" s="206"/>
      <c r="N449" s="208"/>
      <c r="O449" s="209"/>
      <c r="P449" s="209"/>
      <c r="Q449" s="24"/>
    </row>
    <row r="450" spans="1:17" ht="18.75" x14ac:dyDescent="0.25">
      <c r="A450" s="20"/>
      <c r="B450" s="25"/>
      <c r="C450" s="49"/>
      <c r="D450" s="49"/>
      <c r="E450" s="80"/>
      <c r="F450" s="81"/>
      <c r="G450" s="81"/>
      <c r="H450" s="54"/>
      <c r="I450" s="54"/>
      <c r="J450" s="54"/>
      <c r="K450" s="206"/>
      <c r="L450" s="207"/>
      <c r="M450" s="206"/>
      <c r="N450" s="208"/>
      <c r="O450" s="209"/>
      <c r="P450" s="209"/>
      <c r="Q450" s="24"/>
    </row>
    <row r="451" spans="1:17" ht="18.75" x14ac:dyDescent="0.25">
      <c r="A451" s="20"/>
      <c r="B451" s="25"/>
      <c r="C451" s="49"/>
      <c r="D451" s="49"/>
      <c r="E451" s="80"/>
      <c r="F451" s="81"/>
      <c r="G451" s="81"/>
      <c r="H451" s="54"/>
      <c r="I451" s="54"/>
      <c r="J451" s="54"/>
      <c r="K451" s="215"/>
      <c r="L451" s="219"/>
      <c r="M451" s="216"/>
      <c r="N451" s="217"/>
      <c r="O451" s="218"/>
      <c r="P451" s="217"/>
      <c r="Q451" s="24"/>
    </row>
    <row r="452" spans="1:17" ht="19.5" thickBot="1" x14ac:dyDescent="0.3">
      <c r="A452" s="20"/>
      <c r="B452" s="25"/>
      <c r="C452" s="49"/>
      <c r="D452" s="49"/>
      <c r="E452" s="80"/>
      <c r="F452" s="81"/>
      <c r="G452" s="81"/>
      <c r="H452" s="54"/>
      <c r="I452" s="54"/>
      <c r="J452" s="54"/>
      <c r="K452" s="215"/>
      <c r="L452" s="219"/>
      <c r="M452" s="216"/>
      <c r="N452" s="217"/>
      <c r="O452" s="218"/>
      <c r="P452" s="217"/>
      <c r="Q452" s="24"/>
    </row>
    <row r="453" spans="1:17" ht="21.75" thickBot="1" x14ac:dyDescent="0.3">
      <c r="A453" s="33"/>
      <c r="B453" s="34" t="s">
        <v>29</v>
      </c>
      <c r="C453" s="36">
        <f>SUM(C338:C452)</f>
        <v>0</v>
      </c>
      <c r="D453" s="36"/>
      <c r="E453" s="76"/>
      <c r="F453" s="76"/>
      <c r="G453" s="76"/>
      <c r="H453" s="76"/>
      <c r="I453" s="76"/>
      <c r="J453" s="76"/>
      <c r="K453" s="37"/>
      <c r="L453" s="38"/>
      <c r="M453" s="38"/>
      <c r="N453" s="39"/>
      <c r="O453" s="39"/>
      <c r="P453" s="39">
        <f>SUM(P339:P452)</f>
        <v>0</v>
      </c>
      <c r="Q453" s="40"/>
    </row>
    <row r="454" spans="1:17" ht="21.75" thickBot="1" x14ac:dyDescent="0.3">
      <c r="A454" s="41"/>
      <c r="B454" s="42" t="s">
        <v>30</v>
      </c>
      <c r="C454" s="44">
        <f>C338+C453</f>
        <v>0</v>
      </c>
      <c r="D454" s="44"/>
      <c r="E454" s="78"/>
      <c r="F454" s="78"/>
      <c r="G454" s="78"/>
      <c r="H454" s="78"/>
      <c r="I454" s="78"/>
      <c r="J454" s="78"/>
      <c r="K454" s="45"/>
      <c r="L454" s="46"/>
      <c r="M454" s="46"/>
      <c r="N454" s="47"/>
      <c r="O454" s="47"/>
      <c r="P454" s="47">
        <f>P338+P453</f>
        <v>2350255.2485581501</v>
      </c>
      <c r="Q454" s="48"/>
    </row>
    <row r="455" spans="1:17" ht="25.15" customHeight="1" thickBot="1" x14ac:dyDescent="0.3">
      <c r="A455" s="158" t="s">
        <v>12</v>
      </c>
      <c r="B455" s="158"/>
      <c r="C455" s="158"/>
      <c r="D455" s="158"/>
      <c r="E455" s="158"/>
      <c r="F455" s="158"/>
      <c r="G455" s="158"/>
      <c r="H455" s="158"/>
      <c r="I455" s="158"/>
      <c r="J455" s="158"/>
    </row>
    <row r="456" spans="1:17" ht="25.15" customHeight="1" x14ac:dyDescent="0.35">
      <c r="A456" s="226" t="s">
        <v>13</v>
      </c>
      <c r="B456" s="226"/>
      <c r="C456" s="226"/>
      <c r="D456" s="226"/>
      <c r="E456" s="226"/>
      <c r="F456" s="226"/>
      <c r="G456" s="226"/>
      <c r="H456" s="226"/>
      <c r="I456" s="226"/>
      <c r="J456" s="226"/>
      <c r="K456" s="158"/>
      <c r="L456" s="158"/>
      <c r="M456" s="158"/>
      <c r="N456" s="142"/>
      <c r="O456" s="198"/>
      <c r="P456" s="185"/>
      <c r="Q456" s="186"/>
    </row>
    <row r="457" spans="1:17" ht="25.15" customHeight="1" x14ac:dyDescent="0.35">
      <c r="A457" s="227" t="s">
        <v>14</v>
      </c>
      <c r="B457" s="227"/>
      <c r="C457" s="227"/>
      <c r="D457" s="227"/>
      <c r="E457" s="227"/>
      <c r="F457" s="227"/>
      <c r="G457" s="227"/>
      <c r="H457" s="227"/>
      <c r="I457" s="227"/>
      <c r="J457" s="227"/>
      <c r="K457" s="226"/>
      <c r="L457" s="226"/>
      <c r="M457" s="226"/>
      <c r="N457" s="142"/>
      <c r="O457" s="198"/>
      <c r="P457" s="185"/>
      <c r="Q457" s="186"/>
    </row>
    <row r="458" spans="1:17" ht="25.15" customHeight="1" x14ac:dyDescent="0.35">
      <c r="A458" s="226" t="s">
        <v>15</v>
      </c>
      <c r="B458" s="226"/>
      <c r="C458" s="226"/>
      <c r="D458" s="226"/>
      <c r="E458" s="226"/>
      <c r="F458" s="226"/>
      <c r="G458" s="226"/>
      <c r="H458" s="226"/>
      <c r="I458" s="226"/>
      <c r="J458" s="226"/>
      <c r="K458" s="227"/>
      <c r="L458" s="227"/>
      <c r="M458" s="227"/>
      <c r="N458" s="143"/>
      <c r="O458" s="198"/>
      <c r="P458" s="187"/>
      <c r="Q458" s="186"/>
    </row>
    <row r="459" spans="1:17" ht="25.15" customHeight="1" x14ac:dyDescent="0.35">
      <c r="A459" s="226" t="s">
        <v>16</v>
      </c>
      <c r="B459" s="226"/>
      <c r="C459" s="226"/>
      <c r="D459" s="226"/>
      <c r="E459" s="226"/>
      <c r="F459" s="226"/>
      <c r="G459" s="226"/>
      <c r="H459" s="226"/>
      <c r="I459" s="226"/>
      <c r="J459" s="226"/>
      <c r="K459" s="226"/>
      <c r="L459" s="226"/>
      <c r="M459" s="226"/>
      <c r="N459" s="142"/>
      <c r="O459" s="198"/>
      <c r="P459" s="185"/>
      <c r="Q459" s="186"/>
    </row>
    <row r="460" spans="1:17" ht="25.15" customHeight="1" x14ac:dyDescent="0.35">
      <c r="A460" s="226" t="s">
        <v>17</v>
      </c>
      <c r="B460" s="226"/>
      <c r="C460" s="226"/>
      <c r="D460" s="226"/>
      <c r="E460" s="226"/>
      <c r="F460" s="226"/>
      <c r="G460" s="226"/>
      <c r="H460" s="226"/>
      <c r="I460" s="226"/>
      <c r="J460" s="226"/>
      <c r="K460" s="226"/>
      <c r="L460" s="226"/>
      <c r="M460" s="226"/>
      <c r="N460" s="142"/>
      <c r="O460" s="198"/>
      <c r="P460" s="185"/>
      <c r="Q460" s="186"/>
    </row>
    <row r="461" spans="1:17" ht="25.15" customHeight="1" x14ac:dyDescent="0.35">
      <c r="A461" s="226" t="s">
        <v>18</v>
      </c>
      <c r="B461" s="226"/>
      <c r="C461" s="226"/>
      <c r="D461" s="226"/>
      <c r="E461" s="226"/>
      <c r="F461" s="226"/>
      <c r="G461" s="226"/>
      <c r="H461" s="226"/>
      <c r="I461" s="226"/>
      <c r="J461" s="226"/>
      <c r="K461" s="226"/>
      <c r="L461" s="226"/>
      <c r="M461" s="226"/>
      <c r="N461" s="142"/>
      <c r="O461" s="198"/>
      <c r="P461" s="185"/>
      <c r="Q461" s="186"/>
    </row>
    <row r="462" spans="1:17" ht="25.15" customHeight="1" x14ac:dyDescent="0.35">
      <c r="A462" s="226" t="s">
        <v>17</v>
      </c>
      <c r="B462" s="226"/>
      <c r="C462" s="226"/>
      <c r="D462" s="226"/>
      <c r="E462" s="226"/>
      <c r="F462" s="226"/>
      <c r="G462" s="226"/>
      <c r="H462" s="226"/>
      <c r="I462" s="226"/>
      <c r="J462" s="226"/>
      <c r="K462" s="226"/>
      <c r="L462" s="226"/>
      <c r="M462" s="226"/>
      <c r="N462" s="142"/>
      <c r="O462" s="198"/>
      <c r="P462" s="185"/>
      <c r="Q462" s="186"/>
    </row>
    <row r="463" spans="1:17" ht="25.15" customHeight="1" x14ac:dyDescent="0.35">
      <c r="A463" s="226" t="s">
        <v>19</v>
      </c>
      <c r="B463" s="226"/>
      <c r="C463" s="226"/>
      <c r="D463" s="226"/>
      <c r="E463" s="226"/>
      <c r="F463" s="226"/>
      <c r="G463" s="226"/>
      <c r="H463" s="226"/>
      <c r="I463" s="226"/>
      <c r="J463" s="226"/>
      <c r="K463" s="226"/>
      <c r="L463" s="226"/>
      <c r="M463" s="226"/>
      <c r="N463" s="142"/>
      <c r="O463" s="198"/>
      <c r="P463" s="185"/>
      <c r="Q463" s="186"/>
    </row>
    <row r="464" spans="1:17" ht="25.15" customHeight="1" x14ac:dyDescent="0.35">
      <c r="A464" s="226" t="s">
        <v>11</v>
      </c>
      <c r="B464" s="226"/>
      <c r="C464" s="226"/>
      <c r="D464" s="226"/>
      <c r="E464" s="226"/>
      <c r="F464" s="226"/>
      <c r="G464" s="226"/>
      <c r="H464" s="226"/>
      <c r="I464" s="226"/>
      <c r="J464" s="226"/>
      <c r="K464" s="226"/>
      <c r="L464" s="226"/>
      <c r="M464" s="226"/>
      <c r="N464" s="142"/>
      <c r="O464" s="198"/>
      <c r="P464" s="185"/>
      <c r="Q464" s="186"/>
    </row>
    <row r="465" spans="1:17" ht="25.15" customHeight="1" x14ac:dyDescent="0.35">
      <c r="A465" s="226" t="s">
        <v>32</v>
      </c>
      <c r="B465" s="226"/>
      <c r="C465" s="226"/>
      <c r="D465" s="226"/>
      <c r="E465" s="226"/>
      <c r="F465" s="226"/>
      <c r="G465" s="226"/>
      <c r="H465" s="226"/>
      <c r="I465" s="226"/>
      <c r="J465" s="226"/>
      <c r="K465" s="226"/>
      <c r="L465" s="226"/>
      <c r="M465" s="226"/>
      <c r="N465" s="142"/>
      <c r="O465" s="198"/>
      <c r="P465" s="185"/>
      <c r="Q465" s="186"/>
    </row>
    <row r="466" spans="1:17" ht="25.15" customHeight="1" x14ac:dyDescent="0.35">
      <c r="A466" s="229" t="s">
        <v>31</v>
      </c>
      <c r="B466" s="229"/>
      <c r="C466" s="229"/>
      <c r="D466" s="229"/>
      <c r="E466" s="229"/>
      <c r="F466" s="229"/>
      <c r="G466" s="229"/>
      <c r="H466" s="229"/>
      <c r="I466" s="229"/>
      <c r="J466" s="229"/>
      <c r="K466" s="226"/>
      <c r="L466" s="226"/>
      <c r="M466" s="226"/>
      <c r="N466" s="142"/>
      <c r="O466" s="198"/>
      <c r="P466" s="185"/>
      <c r="Q466" s="186"/>
    </row>
    <row r="467" spans="1:17" ht="36" customHeight="1" x14ac:dyDescent="0.35">
      <c r="K467" s="229"/>
      <c r="L467" s="229"/>
      <c r="M467" s="229"/>
      <c r="N467" s="231"/>
      <c r="O467" s="198"/>
      <c r="P467" s="188"/>
      <c r="Q467" s="186"/>
    </row>
  </sheetData>
  <autoFilter ref="K18:S466" xr:uid="{2CE7134D-7363-4B0E-ACE8-3B6BB043FFF0}"/>
  <mergeCells count="23">
    <mergeCell ref="Q16:Q17"/>
    <mergeCell ref="F16:F17"/>
    <mergeCell ref="G16:G17"/>
    <mergeCell ref="H16:H17"/>
    <mergeCell ref="I16:I17"/>
    <mergeCell ref="J16:J17"/>
    <mergeCell ref="L16:P16"/>
    <mergeCell ref="A12:Q12"/>
    <mergeCell ref="A13:Q13"/>
    <mergeCell ref="A14:P14"/>
    <mergeCell ref="A15:J15"/>
    <mergeCell ref="K15:Q15"/>
    <mergeCell ref="A16:A17"/>
    <mergeCell ref="B16:B17"/>
    <mergeCell ref="C16:C17"/>
    <mergeCell ref="D16:D17"/>
    <mergeCell ref="E16:E17"/>
    <mergeCell ref="L1:Q2"/>
    <mergeCell ref="L4:Q4"/>
    <mergeCell ref="L5:Q5"/>
    <mergeCell ref="L7:Q7"/>
    <mergeCell ref="A10:Q10"/>
    <mergeCell ref="A11:Q11"/>
  </mergeCells>
  <pageMargins left="0.25" right="0.25" top="0.75" bottom="0.75" header="0.3" footer="0.3"/>
  <pageSetup paperSize="9" scale="28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2B74E-F74D-47EF-8575-AFD254DB16F3}">
  <sheetPr>
    <tabColor rgb="FFFFFF00"/>
    <pageSetUpPr fitToPage="1"/>
  </sheetPr>
  <dimension ref="A1:AI360"/>
  <sheetViews>
    <sheetView topLeftCell="A301" zoomScale="70" zoomScaleNormal="70" workbookViewId="0">
      <selection activeCell="J328" sqref="J328"/>
    </sheetView>
  </sheetViews>
  <sheetFormatPr defaultRowHeight="15" x14ac:dyDescent="0.25"/>
  <cols>
    <col min="1" max="1" width="6.7109375" style="170" customWidth="1"/>
    <col min="2" max="2" width="63.140625" customWidth="1"/>
    <col min="3" max="3" width="10.42578125" style="170" customWidth="1"/>
    <col min="4" max="4" width="11.140625" style="170" customWidth="1"/>
    <col min="5" max="5" width="13.140625" style="170" customWidth="1"/>
    <col min="6" max="6" width="20.140625" style="170" customWidth="1"/>
    <col min="7" max="11" width="13.140625" style="170" customWidth="1"/>
    <col min="12" max="12" width="17.28515625" style="170" customWidth="1"/>
    <col min="13" max="13" width="61" customWidth="1"/>
    <col min="14" max="14" width="11.7109375" style="5" customWidth="1"/>
    <col min="15" max="15" width="14" style="5" customWidth="1"/>
    <col min="16" max="16" width="11.7109375" style="5" customWidth="1"/>
    <col min="17" max="17" width="15.42578125" style="189" bestFit="1" customWidth="1"/>
    <col min="18" max="18" width="35.42578125" style="182" customWidth="1"/>
    <col min="19" max="19" width="13" customWidth="1"/>
    <col min="20" max="20" width="12.140625" bestFit="1" customWidth="1"/>
    <col min="22" max="22" width="9.85546875" bestFit="1" customWidth="1"/>
  </cols>
  <sheetData>
    <row r="1" spans="1:21" ht="15.75" customHeight="1" x14ac:dyDescent="0.25">
      <c r="A1" s="2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236" t="s">
        <v>26</v>
      </c>
      <c r="N1" s="236"/>
      <c r="O1" s="236"/>
      <c r="P1" s="236"/>
      <c r="Q1" s="236"/>
      <c r="R1" s="236"/>
      <c r="S1" s="173"/>
      <c r="T1" s="18"/>
      <c r="U1" s="18"/>
    </row>
    <row r="2" spans="1:21" ht="15" customHeight="1" x14ac:dyDescent="0.25">
      <c r="A2" s="2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237"/>
      <c r="N2" s="237"/>
      <c r="O2" s="237"/>
      <c r="P2" s="237"/>
      <c r="Q2" s="237"/>
      <c r="R2" s="237"/>
      <c r="S2" s="159"/>
      <c r="T2" s="18"/>
      <c r="U2" s="18"/>
    </row>
    <row r="3" spans="1:21" ht="15.75" x14ac:dyDescent="0.25">
      <c r="A3" s="2"/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174"/>
      <c r="N3" s="174"/>
      <c r="O3" s="174"/>
      <c r="P3" s="174"/>
      <c r="Q3" s="178"/>
      <c r="R3" s="178"/>
      <c r="S3" s="159"/>
      <c r="T3" s="18"/>
      <c r="U3" s="18"/>
    </row>
    <row r="4" spans="1:21" ht="23.25" x14ac:dyDescent="0.35">
      <c r="A4" s="2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240" t="s">
        <v>27</v>
      </c>
      <c r="N4" s="240"/>
      <c r="O4" s="240"/>
      <c r="P4" s="240"/>
      <c r="Q4" s="240"/>
      <c r="R4" s="240"/>
      <c r="S4" s="160"/>
      <c r="T4" s="18"/>
      <c r="U4" s="18"/>
    </row>
    <row r="5" spans="1:21" ht="21" x14ac:dyDescent="0.35">
      <c r="A5" s="2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241" t="s">
        <v>28</v>
      </c>
      <c r="N5" s="241"/>
      <c r="O5" s="241"/>
      <c r="P5" s="241"/>
      <c r="Q5" s="241"/>
      <c r="R5" s="241"/>
      <c r="S5" s="177"/>
      <c r="T5" s="18"/>
      <c r="U5" s="18"/>
    </row>
    <row r="6" spans="1:21" ht="15.75" x14ac:dyDescent="0.25">
      <c r="A6" s="2"/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2"/>
      <c r="N6" s="14"/>
      <c r="O6" s="14"/>
      <c r="P6" s="15"/>
      <c r="Q6" s="179"/>
      <c r="R6" s="180"/>
      <c r="S6" s="17"/>
      <c r="T6" s="18"/>
      <c r="U6" s="18"/>
    </row>
    <row r="7" spans="1:21" ht="18.75" x14ac:dyDescent="0.3">
      <c r="A7" s="2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238" t="s">
        <v>33</v>
      </c>
      <c r="N7" s="238"/>
      <c r="O7" s="238"/>
      <c r="P7" s="238"/>
      <c r="Q7" s="238"/>
      <c r="R7" s="238"/>
      <c r="S7" s="175"/>
      <c r="T7" s="18"/>
      <c r="U7" s="18"/>
    </row>
    <row r="8" spans="1:21" ht="15.75" x14ac:dyDescent="0.25">
      <c r="A8" s="2"/>
      <c r="B8" s="1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181"/>
      <c r="T8" s="18"/>
      <c r="U8" s="18"/>
    </row>
    <row r="9" spans="1:21" ht="15.75" x14ac:dyDescent="0.25">
      <c r="A9" s="2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181"/>
      <c r="T9" s="18"/>
      <c r="U9" s="18"/>
    </row>
    <row r="10" spans="1:21" ht="18" customHeight="1" x14ac:dyDescent="0.25">
      <c r="A10" s="239" t="s">
        <v>0</v>
      </c>
      <c r="B10" s="239"/>
      <c r="C10" s="239"/>
      <c r="D10" s="239"/>
      <c r="E10" s="239"/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176"/>
      <c r="T10" s="18"/>
      <c r="U10" s="18"/>
    </row>
    <row r="11" spans="1:21" ht="18" customHeight="1" x14ac:dyDescent="0.25">
      <c r="A11" s="239" t="s">
        <v>1</v>
      </c>
      <c r="B11" s="239"/>
      <c r="C11" s="239"/>
      <c r="D11" s="239"/>
      <c r="E11" s="239"/>
      <c r="F11" s="239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39"/>
      <c r="R11" s="239"/>
      <c r="S11" s="176"/>
      <c r="T11" s="18"/>
      <c r="U11" s="18"/>
    </row>
    <row r="12" spans="1:21" ht="18" customHeight="1" x14ac:dyDescent="0.25">
      <c r="A12" s="239" t="s">
        <v>2</v>
      </c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176"/>
      <c r="T12" s="18"/>
      <c r="U12" s="18"/>
    </row>
    <row r="13" spans="1:21" ht="63.6" customHeight="1" x14ac:dyDescent="0.25">
      <c r="A13" s="234" t="s">
        <v>898</v>
      </c>
      <c r="B13" s="235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172"/>
    </row>
    <row r="14" spans="1:21" ht="27" customHeight="1" thickBot="1" x14ac:dyDescent="0.3">
      <c r="A14" s="242" t="s">
        <v>36</v>
      </c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2"/>
      <c r="Q14" s="242"/>
    </row>
    <row r="15" spans="1:21" ht="30.6" customHeight="1" thickBot="1" x14ac:dyDescent="0.3">
      <c r="A15" s="243" t="s">
        <v>24</v>
      </c>
      <c r="B15" s="244"/>
      <c r="C15" s="244"/>
      <c r="D15" s="244"/>
      <c r="E15" s="244"/>
      <c r="F15" s="244"/>
      <c r="G15" s="244"/>
      <c r="H15" s="244"/>
      <c r="I15" s="244"/>
      <c r="J15" s="244"/>
      <c r="K15" s="244"/>
      <c r="L15" s="245" t="s">
        <v>25</v>
      </c>
      <c r="M15" s="246"/>
      <c r="N15" s="246"/>
      <c r="O15" s="246"/>
      <c r="P15" s="246"/>
      <c r="Q15" s="246"/>
      <c r="R15" s="247"/>
      <c r="S15" s="161"/>
    </row>
    <row r="16" spans="1:21" ht="15" customHeight="1" x14ac:dyDescent="0.25">
      <c r="A16" s="259" t="s">
        <v>3</v>
      </c>
      <c r="B16" s="261" t="s">
        <v>4</v>
      </c>
      <c r="C16" s="261"/>
      <c r="D16" s="248" t="s">
        <v>5</v>
      </c>
      <c r="E16" s="261" t="s">
        <v>6</v>
      </c>
      <c r="F16" s="263"/>
      <c r="G16" s="248"/>
      <c r="H16" s="248"/>
      <c r="I16" s="251"/>
      <c r="J16" s="248" t="s">
        <v>21</v>
      </c>
      <c r="K16" s="253" t="s">
        <v>22</v>
      </c>
      <c r="L16" s="21"/>
      <c r="M16" s="256" t="s">
        <v>7</v>
      </c>
      <c r="N16" s="257"/>
      <c r="O16" s="257"/>
      <c r="P16" s="257"/>
      <c r="Q16" s="258"/>
      <c r="R16" s="253" t="s">
        <v>8</v>
      </c>
      <c r="S16" s="162"/>
    </row>
    <row r="17" spans="1:19" ht="34.15" customHeight="1" x14ac:dyDescent="0.25">
      <c r="A17" s="260"/>
      <c r="B17" s="262"/>
      <c r="C17" s="262"/>
      <c r="D17" s="249"/>
      <c r="E17" s="262"/>
      <c r="F17" s="249"/>
      <c r="G17" s="249"/>
      <c r="H17" s="249"/>
      <c r="I17" s="252"/>
      <c r="J17" s="249"/>
      <c r="K17" s="254"/>
      <c r="L17" s="22" t="s">
        <v>20</v>
      </c>
      <c r="M17" s="19" t="s">
        <v>9</v>
      </c>
      <c r="N17" s="23" t="s">
        <v>10</v>
      </c>
      <c r="O17" s="12" t="s">
        <v>6</v>
      </c>
      <c r="P17" s="13" t="s">
        <v>21</v>
      </c>
      <c r="Q17" s="13" t="s">
        <v>22</v>
      </c>
      <c r="R17" s="254"/>
      <c r="S17" s="162"/>
    </row>
    <row r="18" spans="1:19" ht="15.75" thickBot="1" x14ac:dyDescent="0.3">
      <c r="A18" s="26">
        <v>1</v>
      </c>
      <c r="B18" s="27">
        <v>2</v>
      </c>
      <c r="C18" s="27"/>
      <c r="D18" s="27">
        <v>3</v>
      </c>
      <c r="E18" s="27">
        <v>4</v>
      </c>
      <c r="F18" s="27"/>
      <c r="G18" s="27"/>
      <c r="H18" s="27"/>
      <c r="I18" s="79"/>
      <c r="J18" s="27">
        <v>5</v>
      </c>
      <c r="K18" s="28">
        <v>6</v>
      </c>
      <c r="L18" s="88">
        <v>7</v>
      </c>
      <c r="M18" s="12">
        <v>8</v>
      </c>
      <c r="N18" s="12">
        <v>9</v>
      </c>
      <c r="O18" s="12">
        <v>10</v>
      </c>
      <c r="P18" s="19">
        <v>11</v>
      </c>
      <c r="Q18" s="19" t="s">
        <v>752</v>
      </c>
      <c r="R18" s="102" t="s">
        <v>753</v>
      </c>
      <c r="S18" s="163"/>
    </row>
    <row r="19" spans="1:19" ht="33.6" customHeight="1" x14ac:dyDescent="0.25">
      <c r="A19" s="65"/>
      <c r="B19" s="85" t="s">
        <v>897</v>
      </c>
      <c r="C19" s="85"/>
      <c r="D19" s="85" t="s">
        <v>34</v>
      </c>
      <c r="E19" s="85">
        <v>1</v>
      </c>
      <c r="F19" s="74"/>
      <c r="G19" s="74"/>
      <c r="H19" s="74"/>
      <c r="I19" s="74"/>
      <c r="J19" s="74"/>
      <c r="K19" s="74"/>
      <c r="L19" s="68"/>
      <c r="M19" s="57"/>
      <c r="N19" s="70"/>
      <c r="O19" s="70"/>
      <c r="P19" s="97"/>
      <c r="Q19" s="97"/>
      <c r="R19" s="101"/>
      <c r="S19" s="164"/>
    </row>
    <row r="20" spans="1:19" ht="15.75" x14ac:dyDescent="0.25">
      <c r="A20" s="56"/>
      <c r="B20" s="64"/>
      <c r="C20" s="52"/>
      <c r="D20" s="66"/>
      <c r="E20" s="67"/>
      <c r="F20" s="80"/>
      <c r="G20" s="81"/>
      <c r="H20" s="81"/>
      <c r="I20" s="53"/>
      <c r="J20" s="53"/>
      <c r="K20" s="53"/>
      <c r="L20" s="86"/>
      <c r="M20" s="87"/>
      <c r="N20" s="55"/>
      <c r="O20" s="89"/>
      <c r="P20" s="97"/>
      <c r="Q20" s="89"/>
      <c r="R20" s="89"/>
      <c r="S20" s="164"/>
    </row>
    <row r="21" spans="1:19" ht="15.75" x14ac:dyDescent="0.25">
      <c r="A21" s="56"/>
      <c r="B21" s="64"/>
      <c r="C21" s="52"/>
      <c r="D21" s="66"/>
      <c r="E21" s="67"/>
      <c r="F21" s="80"/>
      <c r="G21" s="81"/>
      <c r="H21" s="81"/>
      <c r="I21" s="53"/>
      <c r="J21" s="53"/>
      <c r="K21" s="53"/>
      <c r="L21" s="86"/>
      <c r="M21" s="87"/>
      <c r="N21" s="55"/>
      <c r="O21" s="89"/>
      <c r="P21" s="97"/>
      <c r="Q21" s="89"/>
      <c r="R21" s="89"/>
      <c r="S21" s="164"/>
    </row>
    <row r="22" spans="1:19" ht="15.75" x14ac:dyDescent="0.25">
      <c r="A22" s="56"/>
      <c r="B22" s="64"/>
      <c r="C22" s="52"/>
      <c r="D22" s="66"/>
      <c r="E22" s="67"/>
      <c r="F22" s="80"/>
      <c r="G22" s="81"/>
      <c r="H22" s="81"/>
      <c r="I22" s="53"/>
      <c r="J22" s="53"/>
      <c r="K22" s="53"/>
      <c r="L22" s="86"/>
      <c r="M22" s="87"/>
      <c r="N22" s="113"/>
      <c r="O22" s="89"/>
      <c r="P22" s="97"/>
      <c r="Q22" s="89"/>
      <c r="R22" s="89"/>
      <c r="S22" s="164"/>
    </row>
    <row r="23" spans="1:19" ht="15.75" x14ac:dyDescent="0.25">
      <c r="A23" s="58"/>
      <c r="B23" s="59"/>
      <c r="C23" s="59"/>
      <c r="D23" s="59"/>
      <c r="E23" s="60"/>
      <c r="F23" s="80"/>
      <c r="G23" s="81"/>
      <c r="H23" s="81"/>
      <c r="I23" s="53"/>
      <c r="J23" s="75"/>
      <c r="K23" s="75"/>
      <c r="L23" s="86"/>
      <c r="M23" s="61"/>
      <c r="N23" s="113"/>
      <c r="O23" s="62"/>
      <c r="P23" s="97"/>
      <c r="Q23" s="62"/>
      <c r="R23" s="62"/>
      <c r="S23" s="164"/>
    </row>
    <row r="24" spans="1:19" ht="15.75" x14ac:dyDescent="0.25">
      <c r="A24" s="58"/>
      <c r="B24" s="59"/>
      <c r="C24" s="59"/>
      <c r="D24" s="59"/>
      <c r="E24" s="60"/>
      <c r="F24" s="80"/>
      <c r="G24" s="81"/>
      <c r="H24" s="81"/>
      <c r="I24" s="53"/>
      <c r="J24" s="75"/>
      <c r="K24" s="75"/>
      <c r="L24" s="63"/>
      <c r="M24" s="61"/>
      <c r="N24" s="113"/>
      <c r="O24" s="62"/>
      <c r="P24" s="97"/>
      <c r="Q24" s="62"/>
      <c r="R24" s="62"/>
      <c r="S24" s="164"/>
    </row>
    <row r="25" spans="1:19" ht="15.75" x14ac:dyDescent="0.25">
      <c r="A25" s="58"/>
      <c r="B25" s="59"/>
      <c r="C25" s="59"/>
      <c r="D25" s="59"/>
      <c r="E25" s="60"/>
      <c r="F25" s="80"/>
      <c r="G25" s="81"/>
      <c r="H25" s="81"/>
      <c r="I25" s="53"/>
      <c r="J25" s="75"/>
      <c r="K25" s="75"/>
      <c r="L25" s="63"/>
      <c r="M25" s="61"/>
      <c r="N25" s="113"/>
      <c r="O25" s="62"/>
      <c r="P25" s="97"/>
      <c r="Q25" s="62"/>
      <c r="R25" s="62"/>
      <c r="S25" s="164"/>
    </row>
    <row r="26" spans="1:19" ht="15.75" x14ac:dyDescent="0.25">
      <c r="A26" s="58"/>
      <c r="B26" s="59"/>
      <c r="C26" s="59"/>
      <c r="D26" s="59"/>
      <c r="E26" s="60"/>
      <c r="F26" s="80"/>
      <c r="G26" s="81"/>
      <c r="H26" s="81"/>
      <c r="I26" s="53"/>
      <c r="J26" s="75"/>
      <c r="K26" s="75"/>
      <c r="L26" s="63"/>
      <c r="M26" s="61"/>
      <c r="N26" s="113"/>
      <c r="O26" s="62"/>
      <c r="P26" s="97"/>
      <c r="Q26" s="62"/>
      <c r="R26" s="62"/>
      <c r="S26" s="164"/>
    </row>
    <row r="27" spans="1:19" ht="15.75" x14ac:dyDescent="0.25">
      <c r="A27" s="58"/>
      <c r="B27" s="59"/>
      <c r="C27" s="59"/>
      <c r="D27" s="59"/>
      <c r="E27" s="60"/>
      <c r="F27" s="80"/>
      <c r="G27" s="81"/>
      <c r="H27" s="81"/>
      <c r="I27" s="53"/>
      <c r="J27" s="75"/>
      <c r="K27" s="75"/>
      <c r="L27" s="63"/>
      <c r="M27" s="61"/>
      <c r="N27" s="113"/>
      <c r="O27" s="62"/>
      <c r="P27" s="97"/>
      <c r="Q27" s="62"/>
      <c r="R27" s="62"/>
      <c r="S27" s="164"/>
    </row>
    <row r="28" spans="1:19" ht="15.75" x14ac:dyDescent="0.25">
      <c r="A28" s="58"/>
      <c r="B28" s="59"/>
      <c r="C28" s="59"/>
      <c r="D28" s="59"/>
      <c r="E28" s="60"/>
      <c r="F28" s="80"/>
      <c r="G28" s="81"/>
      <c r="H28" s="81"/>
      <c r="I28" s="53"/>
      <c r="J28" s="75"/>
      <c r="K28" s="75"/>
      <c r="L28" s="63"/>
      <c r="M28" s="61"/>
      <c r="N28" s="113"/>
      <c r="O28" s="62"/>
      <c r="P28" s="97"/>
      <c r="Q28" s="62"/>
      <c r="R28" s="62"/>
      <c r="S28" s="164"/>
    </row>
    <row r="29" spans="1:19" ht="15.75" x14ac:dyDescent="0.25">
      <c r="A29" s="58"/>
      <c r="B29" s="59"/>
      <c r="C29" s="59"/>
      <c r="D29" s="59"/>
      <c r="E29" s="60"/>
      <c r="F29" s="80"/>
      <c r="G29" s="81"/>
      <c r="H29" s="81"/>
      <c r="I29" s="53"/>
      <c r="J29" s="75"/>
      <c r="K29" s="75"/>
      <c r="L29" s="63"/>
      <c r="M29" s="61"/>
      <c r="N29" s="113"/>
      <c r="O29" s="62"/>
      <c r="P29" s="97"/>
      <c r="Q29" s="62"/>
      <c r="R29" s="62"/>
      <c r="S29" s="164"/>
    </row>
    <row r="30" spans="1:19" ht="15.75" x14ac:dyDescent="0.25">
      <c r="A30" s="58"/>
      <c r="B30" s="59"/>
      <c r="C30" s="59"/>
      <c r="D30" s="59"/>
      <c r="E30" s="60"/>
      <c r="F30" s="80"/>
      <c r="G30" s="81"/>
      <c r="H30" s="81"/>
      <c r="I30" s="53"/>
      <c r="J30" s="75"/>
      <c r="K30" s="75"/>
      <c r="L30" s="63"/>
      <c r="M30" s="61"/>
      <c r="N30" s="113"/>
      <c r="O30" s="62"/>
      <c r="P30" s="97"/>
      <c r="Q30" s="62"/>
      <c r="R30" s="62"/>
      <c r="S30" s="164"/>
    </row>
    <row r="31" spans="1:19" ht="15.75" x14ac:dyDescent="0.25">
      <c r="A31" s="58"/>
      <c r="B31" s="59"/>
      <c r="C31" s="59"/>
      <c r="D31" s="59"/>
      <c r="E31" s="60"/>
      <c r="F31" s="80"/>
      <c r="G31" s="81"/>
      <c r="H31" s="81"/>
      <c r="I31" s="53"/>
      <c r="J31" s="75"/>
      <c r="K31" s="75"/>
      <c r="L31" s="63"/>
      <c r="M31" s="61"/>
      <c r="N31" s="113"/>
      <c r="O31" s="62"/>
      <c r="P31" s="97"/>
      <c r="Q31" s="62"/>
      <c r="R31" s="62"/>
      <c r="S31" s="164"/>
    </row>
    <row r="32" spans="1:19" ht="15.75" x14ac:dyDescent="0.25">
      <c r="A32" s="58"/>
      <c r="B32" s="59"/>
      <c r="C32" s="59"/>
      <c r="D32" s="59"/>
      <c r="E32" s="60"/>
      <c r="F32" s="80"/>
      <c r="G32" s="81"/>
      <c r="H32" s="81"/>
      <c r="I32" s="53"/>
      <c r="J32" s="75"/>
      <c r="K32" s="75"/>
      <c r="L32" s="63"/>
      <c r="M32" s="61"/>
      <c r="N32" s="113"/>
      <c r="O32" s="62"/>
      <c r="P32" s="97"/>
      <c r="Q32" s="62"/>
      <c r="R32" s="62"/>
      <c r="S32" s="164"/>
    </row>
    <row r="33" spans="1:19" ht="15.75" x14ac:dyDescent="0.25">
      <c r="A33" s="58"/>
      <c r="B33" s="59"/>
      <c r="C33" s="59"/>
      <c r="D33" s="59"/>
      <c r="E33" s="60"/>
      <c r="F33" s="80"/>
      <c r="G33" s="81"/>
      <c r="H33" s="81"/>
      <c r="I33" s="53"/>
      <c r="J33" s="75"/>
      <c r="K33" s="75"/>
      <c r="L33" s="63"/>
      <c r="M33" s="61"/>
      <c r="N33" s="113"/>
      <c r="O33" s="62"/>
      <c r="P33" s="97"/>
      <c r="Q33" s="62"/>
      <c r="R33" s="62"/>
      <c r="S33" s="164"/>
    </row>
    <row r="34" spans="1:19" ht="15.75" x14ac:dyDescent="0.25">
      <c r="A34" s="58"/>
      <c r="B34" s="59"/>
      <c r="C34" s="59"/>
      <c r="D34" s="59"/>
      <c r="E34" s="60"/>
      <c r="F34" s="80"/>
      <c r="G34" s="81"/>
      <c r="H34" s="81"/>
      <c r="I34" s="53"/>
      <c r="J34" s="75"/>
      <c r="K34" s="75"/>
      <c r="L34" s="63"/>
      <c r="M34" s="61"/>
      <c r="N34" s="113"/>
      <c r="O34" s="62"/>
      <c r="P34" s="97"/>
      <c r="Q34" s="62"/>
      <c r="R34" s="62"/>
      <c r="S34" s="164"/>
    </row>
    <row r="35" spans="1:19" ht="15.75" x14ac:dyDescent="0.25">
      <c r="A35" s="58"/>
      <c r="B35" s="59"/>
      <c r="C35" s="59"/>
      <c r="D35" s="59"/>
      <c r="E35" s="60"/>
      <c r="F35" s="80"/>
      <c r="G35" s="81"/>
      <c r="H35" s="81"/>
      <c r="I35" s="53"/>
      <c r="J35" s="75"/>
      <c r="K35" s="75"/>
      <c r="L35" s="63"/>
      <c r="M35" s="61"/>
      <c r="N35" s="113"/>
      <c r="O35" s="62"/>
      <c r="P35" s="97"/>
      <c r="Q35" s="62"/>
      <c r="R35" s="62"/>
      <c r="S35" s="164"/>
    </row>
    <row r="36" spans="1:19" ht="15.75" x14ac:dyDescent="0.25">
      <c r="A36" s="58"/>
      <c r="B36" s="59"/>
      <c r="C36" s="59"/>
      <c r="D36" s="59"/>
      <c r="E36" s="60"/>
      <c r="F36" s="80"/>
      <c r="G36" s="81"/>
      <c r="H36" s="81"/>
      <c r="I36" s="53"/>
      <c r="J36" s="75"/>
      <c r="K36" s="75"/>
      <c r="L36" s="63"/>
      <c r="M36" s="61"/>
      <c r="N36" s="113"/>
      <c r="O36" s="62"/>
      <c r="P36" s="97"/>
      <c r="Q36" s="62"/>
      <c r="R36" s="62"/>
      <c r="S36" s="164"/>
    </row>
    <row r="37" spans="1:19" ht="15.75" x14ac:dyDescent="0.25">
      <c r="A37" s="58"/>
      <c r="B37" s="59"/>
      <c r="C37" s="59"/>
      <c r="D37" s="59"/>
      <c r="E37" s="60"/>
      <c r="F37" s="80"/>
      <c r="G37" s="81"/>
      <c r="H37" s="81"/>
      <c r="I37" s="53"/>
      <c r="J37" s="75"/>
      <c r="K37" s="75"/>
      <c r="L37" s="63"/>
      <c r="M37" s="61"/>
      <c r="N37" s="113"/>
      <c r="O37" s="62"/>
      <c r="P37" s="97"/>
      <c r="Q37" s="62"/>
      <c r="R37" s="62"/>
      <c r="S37" s="164"/>
    </row>
    <row r="38" spans="1:19" ht="15.75" x14ac:dyDescent="0.25">
      <c r="A38" s="58"/>
      <c r="B38" s="59"/>
      <c r="C38" s="59"/>
      <c r="D38" s="59"/>
      <c r="E38" s="60"/>
      <c r="F38" s="80"/>
      <c r="G38" s="81"/>
      <c r="H38" s="81"/>
      <c r="I38" s="53"/>
      <c r="J38" s="75"/>
      <c r="K38" s="75"/>
      <c r="L38" s="63"/>
      <c r="M38" s="61"/>
      <c r="N38" s="113"/>
      <c r="O38" s="62"/>
      <c r="P38" s="97"/>
      <c r="Q38" s="62"/>
      <c r="R38" s="62"/>
      <c r="S38" s="164"/>
    </row>
    <row r="39" spans="1:19" ht="15.75" x14ac:dyDescent="0.25">
      <c r="A39" s="58"/>
      <c r="B39" s="59"/>
      <c r="C39" s="59"/>
      <c r="D39" s="59"/>
      <c r="E39" s="60"/>
      <c r="F39" s="80"/>
      <c r="G39" s="81"/>
      <c r="H39" s="81"/>
      <c r="I39" s="53"/>
      <c r="J39" s="75"/>
      <c r="K39" s="75"/>
      <c r="L39" s="63"/>
      <c r="M39" s="61"/>
      <c r="N39" s="113"/>
      <c r="O39" s="62"/>
      <c r="P39" s="97"/>
      <c r="Q39" s="62"/>
      <c r="R39" s="62"/>
      <c r="S39" s="164"/>
    </row>
    <row r="40" spans="1:19" ht="15.75" x14ac:dyDescent="0.25">
      <c r="A40" s="58"/>
      <c r="B40" s="59"/>
      <c r="C40" s="59"/>
      <c r="D40" s="59"/>
      <c r="E40" s="60"/>
      <c r="F40" s="80"/>
      <c r="G40" s="81"/>
      <c r="H40" s="81"/>
      <c r="I40" s="53"/>
      <c r="J40" s="75"/>
      <c r="K40" s="75"/>
      <c r="L40" s="63"/>
      <c r="M40" s="61"/>
      <c r="N40" s="113"/>
      <c r="O40" s="62"/>
      <c r="P40" s="97"/>
      <c r="Q40" s="62"/>
      <c r="R40" s="62"/>
      <c r="S40" s="164"/>
    </row>
    <row r="41" spans="1:19" ht="15.75" x14ac:dyDescent="0.25">
      <c r="A41" s="58"/>
      <c r="B41" s="59"/>
      <c r="C41" s="59"/>
      <c r="D41" s="59"/>
      <c r="E41" s="60"/>
      <c r="F41" s="80"/>
      <c r="G41" s="81"/>
      <c r="H41" s="81"/>
      <c r="I41" s="53"/>
      <c r="J41" s="75"/>
      <c r="K41" s="75"/>
      <c r="L41" s="63"/>
      <c r="M41" s="61"/>
      <c r="N41" s="113"/>
      <c r="O41" s="62"/>
      <c r="P41" s="97"/>
      <c r="Q41" s="62"/>
      <c r="R41" s="62"/>
      <c r="S41" s="164"/>
    </row>
    <row r="42" spans="1:19" ht="15.75" x14ac:dyDescent="0.25">
      <c r="A42" s="58"/>
      <c r="B42" s="59"/>
      <c r="C42" s="59"/>
      <c r="D42" s="59"/>
      <c r="E42" s="60"/>
      <c r="F42" s="80"/>
      <c r="G42" s="81"/>
      <c r="H42" s="81"/>
      <c r="I42" s="53"/>
      <c r="J42" s="75"/>
      <c r="K42" s="75"/>
      <c r="L42" s="63"/>
      <c r="M42" s="61"/>
      <c r="N42" s="113"/>
      <c r="O42" s="62"/>
      <c r="P42" s="97"/>
      <c r="Q42" s="62"/>
      <c r="R42" s="62"/>
      <c r="S42" s="164"/>
    </row>
    <row r="43" spans="1:19" ht="15.75" x14ac:dyDescent="0.25">
      <c r="A43" s="58"/>
      <c r="B43" s="59"/>
      <c r="C43" s="59"/>
      <c r="D43" s="59"/>
      <c r="E43" s="60"/>
      <c r="F43" s="80"/>
      <c r="G43" s="81"/>
      <c r="H43" s="81"/>
      <c r="I43" s="53"/>
      <c r="J43" s="75"/>
      <c r="K43" s="75"/>
      <c r="L43" s="63"/>
      <c r="M43" s="61"/>
      <c r="N43" s="113"/>
      <c r="O43" s="62"/>
      <c r="P43" s="97"/>
      <c r="Q43" s="62"/>
      <c r="R43" s="62"/>
      <c r="S43" s="164"/>
    </row>
    <row r="44" spans="1:19" ht="15.75" x14ac:dyDescent="0.25">
      <c r="A44" s="58"/>
      <c r="B44" s="59"/>
      <c r="C44" s="59"/>
      <c r="D44" s="59"/>
      <c r="E44" s="60"/>
      <c r="F44" s="80"/>
      <c r="G44" s="81"/>
      <c r="H44" s="81"/>
      <c r="I44" s="53"/>
      <c r="J44" s="75"/>
      <c r="K44" s="75"/>
      <c r="L44" s="63"/>
      <c r="M44" s="61"/>
      <c r="N44" s="113"/>
      <c r="O44" s="62"/>
      <c r="P44" s="97"/>
      <c r="Q44" s="62"/>
      <c r="R44" s="62"/>
      <c r="S44" s="164"/>
    </row>
    <row r="45" spans="1:19" ht="15.75" x14ac:dyDescent="0.25">
      <c r="A45" s="58"/>
      <c r="B45" s="59"/>
      <c r="C45" s="59"/>
      <c r="D45" s="59"/>
      <c r="E45" s="60"/>
      <c r="F45" s="80"/>
      <c r="G45" s="81"/>
      <c r="H45" s="81"/>
      <c r="I45" s="53"/>
      <c r="J45" s="75"/>
      <c r="K45" s="75"/>
      <c r="L45" s="63"/>
      <c r="M45" s="61"/>
      <c r="N45" s="113"/>
      <c r="O45" s="62"/>
      <c r="P45" s="97"/>
      <c r="Q45" s="62"/>
      <c r="R45" s="62"/>
      <c r="S45" s="164"/>
    </row>
    <row r="46" spans="1:19" ht="15.75" x14ac:dyDescent="0.25">
      <c r="A46" s="58"/>
      <c r="B46" s="59"/>
      <c r="C46" s="59"/>
      <c r="D46" s="59"/>
      <c r="E46" s="60"/>
      <c r="F46" s="80"/>
      <c r="G46" s="81"/>
      <c r="H46" s="81"/>
      <c r="I46" s="53"/>
      <c r="J46" s="75"/>
      <c r="K46" s="75"/>
      <c r="L46" s="63"/>
      <c r="M46" s="61"/>
      <c r="N46" s="113"/>
      <c r="O46" s="62"/>
      <c r="P46" s="97"/>
      <c r="Q46" s="62"/>
      <c r="R46" s="62"/>
      <c r="S46" s="164"/>
    </row>
    <row r="47" spans="1:19" ht="15.75" x14ac:dyDescent="0.25">
      <c r="A47" s="58"/>
      <c r="B47" s="59"/>
      <c r="C47" s="59"/>
      <c r="D47" s="59"/>
      <c r="E47" s="60"/>
      <c r="F47" s="80"/>
      <c r="G47" s="81"/>
      <c r="H47" s="81"/>
      <c r="I47" s="53"/>
      <c r="J47" s="75"/>
      <c r="K47" s="75"/>
      <c r="L47" s="63"/>
      <c r="M47" s="61"/>
      <c r="N47" s="113"/>
      <c r="O47" s="62"/>
      <c r="P47" s="97"/>
      <c r="Q47" s="62"/>
      <c r="R47" s="62"/>
      <c r="S47" s="164"/>
    </row>
    <row r="48" spans="1:19" ht="15.75" x14ac:dyDescent="0.25">
      <c r="A48" s="58"/>
      <c r="B48" s="59"/>
      <c r="C48" s="59"/>
      <c r="D48" s="59"/>
      <c r="E48" s="60"/>
      <c r="F48" s="80"/>
      <c r="G48" s="81"/>
      <c r="H48" s="81"/>
      <c r="I48" s="53"/>
      <c r="J48" s="75"/>
      <c r="K48" s="75"/>
      <c r="L48" s="63"/>
      <c r="M48" s="61"/>
      <c r="N48" s="113"/>
      <c r="O48" s="62"/>
      <c r="P48" s="97"/>
      <c r="Q48" s="62"/>
      <c r="R48" s="62"/>
      <c r="S48" s="164"/>
    </row>
    <row r="49" spans="1:19" ht="15.75" x14ac:dyDescent="0.25">
      <c r="A49" s="58"/>
      <c r="B49" s="59"/>
      <c r="C49" s="59"/>
      <c r="D49" s="59"/>
      <c r="E49" s="60"/>
      <c r="F49" s="80"/>
      <c r="G49" s="81"/>
      <c r="H49" s="81"/>
      <c r="I49" s="53"/>
      <c r="J49" s="75"/>
      <c r="K49" s="75"/>
      <c r="L49" s="63"/>
      <c r="M49" s="61"/>
      <c r="N49" s="113"/>
      <c r="O49" s="62"/>
      <c r="P49" s="97"/>
      <c r="Q49" s="62"/>
      <c r="R49" s="62"/>
      <c r="S49" s="164"/>
    </row>
    <row r="50" spans="1:19" ht="15.75" x14ac:dyDescent="0.25">
      <c r="A50" s="58"/>
      <c r="B50" s="59"/>
      <c r="C50" s="59"/>
      <c r="D50" s="59"/>
      <c r="E50" s="60"/>
      <c r="F50" s="80"/>
      <c r="G50" s="81"/>
      <c r="H50" s="81"/>
      <c r="I50" s="53"/>
      <c r="J50" s="75"/>
      <c r="K50" s="75"/>
      <c r="L50" s="63"/>
      <c r="M50" s="61"/>
      <c r="N50" s="113"/>
      <c r="O50" s="62"/>
      <c r="P50" s="97"/>
      <c r="Q50" s="62"/>
      <c r="R50" s="62"/>
      <c r="S50" s="164"/>
    </row>
    <row r="51" spans="1:19" ht="15.75" x14ac:dyDescent="0.25">
      <c r="A51" s="58"/>
      <c r="B51" s="59"/>
      <c r="C51" s="59"/>
      <c r="D51" s="59"/>
      <c r="E51" s="60"/>
      <c r="F51" s="80"/>
      <c r="G51" s="81"/>
      <c r="H51" s="81"/>
      <c r="I51" s="53"/>
      <c r="J51" s="75"/>
      <c r="K51" s="75"/>
      <c r="L51" s="63"/>
      <c r="M51" s="61"/>
      <c r="N51" s="113"/>
      <c r="O51" s="62"/>
      <c r="P51" s="97"/>
      <c r="Q51" s="62"/>
      <c r="R51" s="62"/>
      <c r="S51" s="164"/>
    </row>
    <row r="52" spans="1:19" ht="15.75" x14ac:dyDescent="0.25">
      <c r="A52" s="58"/>
      <c r="B52" s="59"/>
      <c r="C52" s="59"/>
      <c r="D52" s="59"/>
      <c r="E52" s="60"/>
      <c r="F52" s="80"/>
      <c r="G52" s="81"/>
      <c r="H52" s="81"/>
      <c r="I52" s="53"/>
      <c r="J52" s="75"/>
      <c r="K52" s="75"/>
      <c r="L52" s="63"/>
      <c r="M52" s="61"/>
      <c r="N52" s="113"/>
      <c r="O52" s="62"/>
      <c r="P52" s="97"/>
      <c r="Q52" s="62"/>
      <c r="R52" s="62"/>
      <c r="S52" s="164"/>
    </row>
    <row r="53" spans="1:19" ht="15.75" x14ac:dyDescent="0.25">
      <c r="A53" s="58"/>
      <c r="B53" s="59"/>
      <c r="C53" s="59"/>
      <c r="D53" s="59"/>
      <c r="E53" s="60"/>
      <c r="F53" s="80"/>
      <c r="G53" s="81"/>
      <c r="H53" s="81"/>
      <c r="I53" s="53"/>
      <c r="J53" s="75"/>
      <c r="K53" s="75"/>
      <c r="L53" s="63"/>
      <c r="M53" s="61"/>
      <c r="N53" s="113"/>
      <c r="O53" s="62"/>
      <c r="P53" s="97"/>
      <c r="Q53" s="62"/>
      <c r="R53" s="62"/>
      <c r="S53" s="164"/>
    </row>
    <row r="54" spans="1:19" ht="15.75" x14ac:dyDescent="0.25">
      <c r="A54" s="58"/>
      <c r="B54" s="59"/>
      <c r="C54" s="59"/>
      <c r="D54" s="59"/>
      <c r="E54" s="60"/>
      <c r="F54" s="80"/>
      <c r="G54" s="81"/>
      <c r="H54" s="81"/>
      <c r="I54" s="53"/>
      <c r="J54" s="75"/>
      <c r="K54" s="75"/>
      <c r="L54" s="63"/>
      <c r="M54" s="61"/>
      <c r="N54" s="113"/>
      <c r="O54" s="62"/>
      <c r="P54" s="97"/>
      <c r="Q54" s="62"/>
      <c r="R54" s="62"/>
      <c r="S54" s="164"/>
    </row>
    <row r="55" spans="1:19" ht="15.75" x14ac:dyDescent="0.25">
      <c r="A55" s="58"/>
      <c r="B55" s="59"/>
      <c r="C55" s="59"/>
      <c r="D55" s="59"/>
      <c r="E55" s="60"/>
      <c r="F55" s="80"/>
      <c r="G55" s="81"/>
      <c r="H55" s="81"/>
      <c r="I55" s="53"/>
      <c r="J55" s="75"/>
      <c r="K55" s="75"/>
      <c r="L55" s="63"/>
      <c r="M55" s="61"/>
      <c r="N55" s="55"/>
      <c r="O55" s="62"/>
      <c r="P55" s="97"/>
      <c r="Q55" s="62"/>
      <c r="R55" s="62"/>
      <c r="S55" s="164"/>
    </row>
    <row r="56" spans="1:19" ht="15.75" x14ac:dyDescent="0.25">
      <c r="A56" s="58"/>
      <c r="B56" s="59"/>
      <c r="C56" s="59"/>
      <c r="D56" s="59"/>
      <c r="E56" s="60"/>
      <c r="F56" s="80"/>
      <c r="G56" s="81"/>
      <c r="H56" s="81"/>
      <c r="I56" s="53"/>
      <c r="J56" s="75"/>
      <c r="K56" s="75"/>
      <c r="L56" s="63"/>
      <c r="M56" s="61"/>
      <c r="N56" s="55"/>
      <c r="O56" s="62"/>
      <c r="P56" s="97"/>
      <c r="Q56" s="62"/>
      <c r="R56" s="62"/>
      <c r="S56" s="164"/>
    </row>
    <row r="57" spans="1:19" ht="15.75" x14ac:dyDescent="0.25">
      <c r="A57" s="58"/>
      <c r="B57" s="59"/>
      <c r="C57" s="59"/>
      <c r="D57" s="59"/>
      <c r="E57" s="60"/>
      <c r="F57" s="80"/>
      <c r="G57" s="81"/>
      <c r="H57" s="81"/>
      <c r="I57" s="53"/>
      <c r="J57" s="75"/>
      <c r="K57" s="75"/>
      <c r="L57" s="63"/>
      <c r="M57" s="61"/>
      <c r="N57" s="55"/>
      <c r="O57" s="62"/>
      <c r="P57" s="97"/>
      <c r="Q57" s="62"/>
      <c r="R57" s="62"/>
      <c r="S57" s="164"/>
    </row>
    <row r="58" spans="1:19" ht="15.75" x14ac:dyDescent="0.25">
      <c r="A58" s="58"/>
      <c r="B58" s="59"/>
      <c r="C58" s="59"/>
      <c r="D58" s="59"/>
      <c r="E58" s="60"/>
      <c r="F58" s="80"/>
      <c r="G58" s="81"/>
      <c r="H58" s="81"/>
      <c r="I58" s="53"/>
      <c r="J58" s="75"/>
      <c r="K58" s="75"/>
      <c r="L58" s="63"/>
      <c r="M58" s="61"/>
      <c r="N58" s="55"/>
      <c r="O58" s="62"/>
      <c r="P58" s="97"/>
      <c r="Q58" s="62"/>
      <c r="R58" s="62"/>
      <c r="S58" s="164"/>
    </row>
    <row r="59" spans="1:19" ht="15.75" x14ac:dyDescent="0.25">
      <c r="A59" s="58"/>
      <c r="B59" s="59"/>
      <c r="C59" s="59"/>
      <c r="D59" s="59"/>
      <c r="E59" s="60"/>
      <c r="F59" s="80"/>
      <c r="G59" s="81"/>
      <c r="H59" s="81"/>
      <c r="I59" s="53"/>
      <c r="J59" s="75"/>
      <c r="K59" s="75"/>
      <c r="L59" s="63"/>
      <c r="M59" s="61"/>
      <c r="N59" s="113"/>
      <c r="O59" s="62"/>
      <c r="P59" s="97"/>
      <c r="Q59" s="62"/>
      <c r="R59" s="62"/>
      <c r="S59" s="164"/>
    </row>
    <row r="60" spans="1:19" ht="15.75" x14ac:dyDescent="0.25">
      <c r="A60" s="58"/>
      <c r="B60" s="59"/>
      <c r="C60" s="59"/>
      <c r="D60" s="59"/>
      <c r="E60" s="60"/>
      <c r="F60" s="80"/>
      <c r="G60" s="81"/>
      <c r="H60" s="81"/>
      <c r="I60" s="53"/>
      <c r="J60" s="75"/>
      <c r="K60" s="75"/>
      <c r="L60" s="63"/>
      <c r="M60" s="61"/>
      <c r="N60" s="113"/>
      <c r="O60" s="62"/>
      <c r="P60" s="97"/>
      <c r="Q60" s="62"/>
      <c r="R60" s="62"/>
      <c r="S60" s="164"/>
    </row>
    <row r="61" spans="1:19" ht="15.75" x14ac:dyDescent="0.25">
      <c r="A61" s="58"/>
      <c r="B61" s="59"/>
      <c r="C61" s="59"/>
      <c r="D61" s="59"/>
      <c r="E61" s="60"/>
      <c r="F61" s="80"/>
      <c r="G61" s="81"/>
      <c r="H61" s="81"/>
      <c r="I61" s="53"/>
      <c r="J61" s="75"/>
      <c r="K61" s="75"/>
      <c r="L61" s="63"/>
      <c r="M61" s="61"/>
      <c r="N61" s="113"/>
      <c r="O61" s="62"/>
      <c r="P61" s="97"/>
      <c r="Q61" s="62"/>
      <c r="R61" s="62"/>
      <c r="S61" s="164"/>
    </row>
    <row r="62" spans="1:19" ht="15.75" x14ac:dyDescent="0.25">
      <c r="A62" s="58"/>
      <c r="B62" s="59"/>
      <c r="C62" s="59"/>
      <c r="D62" s="59"/>
      <c r="E62" s="60"/>
      <c r="F62" s="80"/>
      <c r="G62" s="81"/>
      <c r="H62" s="81"/>
      <c r="I62" s="53"/>
      <c r="J62" s="75"/>
      <c r="K62" s="75"/>
      <c r="L62" s="63"/>
      <c r="M62" s="61"/>
      <c r="N62" s="113"/>
      <c r="O62" s="62"/>
      <c r="P62" s="97"/>
      <c r="Q62" s="62"/>
      <c r="R62" s="62"/>
      <c r="S62" s="164"/>
    </row>
    <row r="63" spans="1:19" ht="15.75" x14ac:dyDescent="0.25">
      <c r="A63" s="58"/>
      <c r="B63" s="59"/>
      <c r="C63" s="59"/>
      <c r="D63" s="59"/>
      <c r="E63" s="60"/>
      <c r="F63" s="80"/>
      <c r="G63" s="81"/>
      <c r="H63" s="81"/>
      <c r="I63" s="53"/>
      <c r="J63" s="75"/>
      <c r="K63" s="75"/>
      <c r="L63" s="63"/>
      <c r="M63" s="61"/>
      <c r="N63" s="113"/>
      <c r="O63" s="62"/>
      <c r="P63" s="97"/>
      <c r="Q63" s="62"/>
      <c r="R63" s="62"/>
      <c r="S63" s="164"/>
    </row>
    <row r="64" spans="1:19" ht="15.75" x14ac:dyDescent="0.25">
      <c r="A64" s="58"/>
      <c r="B64" s="59"/>
      <c r="C64" s="59"/>
      <c r="D64" s="59"/>
      <c r="E64" s="60"/>
      <c r="F64" s="80"/>
      <c r="G64" s="81"/>
      <c r="H64" s="81"/>
      <c r="I64" s="53"/>
      <c r="J64" s="75"/>
      <c r="K64" s="75"/>
      <c r="L64" s="63"/>
      <c r="M64" s="61"/>
      <c r="N64" s="113"/>
      <c r="O64" s="62"/>
      <c r="P64" s="97"/>
      <c r="Q64" s="62"/>
      <c r="R64" s="62"/>
      <c r="S64" s="164"/>
    </row>
    <row r="65" spans="1:19" ht="15.75" x14ac:dyDescent="0.25">
      <c r="A65" s="58"/>
      <c r="B65" s="59"/>
      <c r="C65" s="59"/>
      <c r="D65" s="59"/>
      <c r="E65" s="60"/>
      <c r="F65" s="80"/>
      <c r="G65" s="81"/>
      <c r="H65" s="81"/>
      <c r="I65" s="53"/>
      <c r="J65" s="75"/>
      <c r="K65" s="75"/>
      <c r="L65" s="63"/>
      <c r="M65" s="61"/>
      <c r="N65" s="55"/>
      <c r="O65" s="62"/>
      <c r="P65" s="97"/>
      <c r="Q65" s="62"/>
      <c r="R65" s="62"/>
      <c r="S65" s="164"/>
    </row>
    <row r="66" spans="1:19" ht="15.75" x14ac:dyDescent="0.25">
      <c r="A66" s="58"/>
      <c r="B66" s="59"/>
      <c r="C66" s="59"/>
      <c r="D66" s="59"/>
      <c r="E66" s="60"/>
      <c r="F66" s="80"/>
      <c r="G66" s="81"/>
      <c r="H66" s="81"/>
      <c r="I66" s="53"/>
      <c r="J66" s="75"/>
      <c r="K66" s="75"/>
      <c r="L66" s="144"/>
      <c r="M66" s="61"/>
      <c r="N66" s="55"/>
      <c r="O66" s="138"/>
      <c r="P66" s="97"/>
      <c r="Q66" s="138"/>
      <c r="R66" s="138"/>
      <c r="S66" s="164"/>
    </row>
    <row r="67" spans="1:19" ht="15.75" x14ac:dyDescent="0.25">
      <c r="A67" s="58"/>
      <c r="B67" s="59"/>
      <c r="C67" s="59"/>
      <c r="D67" s="59"/>
      <c r="E67" s="60"/>
      <c r="F67" s="80"/>
      <c r="G67" s="81"/>
      <c r="H67" s="81"/>
      <c r="I67" s="53"/>
      <c r="J67" s="75"/>
      <c r="K67" s="75"/>
      <c r="L67" s="63"/>
      <c r="M67" s="61"/>
      <c r="N67" s="113"/>
      <c r="O67" s="62"/>
      <c r="P67" s="97"/>
      <c r="Q67" s="62"/>
      <c r="R67" s="62"/>
      <c r="S67" s="164"/>
    </row>
    <row r="68" spans="1:19" ht="15.75" x14ac:dyDescent="0.25">
      <c r="A68" s="58"/>
      <c r="B68" s="59"/>
      <c r="C68" s="59"/>
      <c r="D68" s="59"/>
      <c r="E68" s="60"/>
      <c r="F68" s="80"/>
      <c r="G68" s="81"/>
      <c r="H68" s="81"/>
      <c r="I68" s="53"/>
      <c r="J68" s="75"/>
      <c r="K68" s="75"/>
      <c r="L68" s="63"/>
      <c r="M68" s="61"/>
      <c r="N68" s="113"/>
      <c r="O68" s="62"/>
      <c r="P68" s="97"/>
      <c r="Q68" s="62"/>
      <c r="R68" s="62"/>
      <c r="S68" s="164"/>
    </row>
    <row r="69" spans="1:19" ht="15.75" x14ac:dyDescent="0.25">
      <c r="A69" s="58"/>
      <c r="B69" s="59"/>
      <c r="C69" s="59"/>
      <c r="D69" s="59"/>
      <c r="E69" s="60"/>
      <c r="F69" s="80"/>
      <c r="G69" s="81"/>
      <c r="H69" s="81"/>
      <c r="I69" s="53"/>
      <c r="J69" s="75"/>
      <c r="K69" s="75"/>
      <c r="L69" s="63"/>
      <c r="M69" s="61"/>
      <c r="N69" s="113"/>
      <c r="O69" s="62"/>
      <c r="P69" s="97"/>
      <c r="Q69" s="62"/>
      <c r="R69" s="62"/>
      <c r="S69" s="164"/>
    </row>
    <row r="70" spans="1:19" ht="15.75" x14ac:dyDescent="0.25">
      <c r="A70" s="58"/>
      <c r="B70" s="59"/>
      <c r="C70" s="59"/>
      <c r="D70" s="59"/>
      <c r="E70" s="60"/>
      <c r="F70" s="80"/>
      <c r="G70" s="81"/>
      <c r="H70" s="81"/>
      <c r="I70" s="53"/>
      <c r="J70" s="75"/>
      <c r="K70" s="75"/>
      <c r="L70" s="63"/>
      <c r="M70" s="61"/>
      <c r="N70" s="113"/>
      <c r="O70" s="62"/>
      <c r="P70" s="97"/>
      <c r="Q70" s="62"/>
      <c r="R70" s="62"/>
      <c r="S70" s="164"/>
    </row>
    <row r="71" spans="1:19" ht="15.75" x14ac:dyDescent="0.25">
      <c r="A71" s="58"/>
      <c r="B71" s="59"/>
      <c r="C71" s="59"/>
      <c r="D71" s="59"/>
      <c r="E71" s="60"/>
      <c r="F71" s="80"/>
      <c r="G71" s="81"/>
      <c r="H71" s="81"/>
      <c r="I71" s="53"/>
      <c r="J71" s="75"/>
      <c r="K71" s="75"/>
      <c r="L71" s="63"/>
      <c r="M71" s="61"/>
      <c r="N71" s="113"/>
      <c r="O71" s="62"/>
      <c r="P71" s="97"/>
      <c r="Q71" s="62"/>
      <c r="R71" s="62"/>
      <c r="S71" s="164"/>
    </row>
    <row r="72" spans="1:19" ht="15.75" x14ac:dyDescent="0.25">
      <c r="A72" s="58"/>
      <c r="B72" s="59"/>
      <c r="C72" s="59"/>
      <c r="D72" s="59"/>
      <c r="E72" s="60"/>
      <c r="F72" s="80"/>
      <c r="G72" s="81"/>
      <c r="H72" s="81"/>
      <c r="I72" s="53"/>
      <c r="J72" s="75"/>
      <c r="K72" s="75"/>
      <c r="L72" s="63"/>
      <c r="M72" s="61"/>
      <c r="N72" s="113"/>
      <c r="O72" s="62"/>
      <c r="P72" s="97"/>
      <c r="Q72" s="62"/>
      <c r="R72" s="62"/>
      <c r="S72" s="164"/>
    </row>
    <row r="73" spans="1:19" ht="15.75" x14ac:dyDescent="0.25">
      <c r="A73" s="58"/>
      <c r="B73" s="59"/>
      <c r="C73" s="59"/>
      <c r="D73" s="59"/>
      <c r="E73" s="60"/>
      <c r="F73" s="80"/>
      <c r="G73" s="81"/>
      <c r="H73" s="81"/>
      <c r="I73" s="53"/>
      <c r="J73" s="75"/>
      <c r="K73" s="75"/>
      <c r="L73" s="63"/>
      <c r="M73" s="61"/>
      <c r="N73" s="113"/>
      <c r="O73" s="62"/>
      <c r="P73" s="97"/>
      <c r="Q73" s="97"/>
      <c r="R73" s="101"/>
      <c r="S73" s="164"/>
    </row>
    <row r="74" spans="1:19" ht="15.75" x14ac:dyDescent="0.25">
      <c r="A74" s="58"/>
      <c r="B74" s="59"/>
      <c r="C74" s="59"/>
      <c r="D74" s="59"/>
      <c r="E74" s="60"/>
      <c r="F74" s="80"/>
      <c r="G74" s="81"/>
      <c r="H74" s="81"/>
      <c r="I74" s="53"/>
      <c r="J74" s="75"/>
      <c r="K74" s="75"/>
      <c r="L74" s="63"/>
      <c r="M74" s="61"/>
      <c r="N74" s="113"/>
      <c r="O74" s="62"/>
      <c r="P74" s="97"/>
      <c r="Q74" s="62"/>
      <c r="R74" s="62"/>
      <c r="S74" s="164"/>
    </row>
    <row r="75" spans="1:19" ht="15.75" x14ac:dyDescent="0.25">
      <c r="A75" s="58"/>
      <c r="B75" s="59"/>
      <c r="C75" s="59"/>
      <c r="D75" s="59"/>
      <c r="E75" s="60"/>
      <c r="F75" s="80"/>
      <c r="G75" s="81"/>
      <c r="H75" s="81"/>
      <c r="I75" s="53"/>
      <c r="J75" s="75"/>
      <c r="K75" s="75"/>
      <c r="L75" s="63"/>
      <c r="M75" s="61"/>
      <c r="N75" s="55"/>
      <c r="O75" s="62"/>
      <c r="P75" s="97"/>
      <c r="Q75" s="62"/>
      <c r="R75" s="62"/>
      <c r="S75" s="164"/>
    </row>
    <row r="76" spans="1:19" ht="15.75" x14ac:dyDescent="0.25">
      <c r="A76" s="58"/>
      <c r="B76" s="59"/>
      <c r="C76" s="59"/>
      <c r="D76" s="59"/>
      <c r="E76" s="60"/>
      <c r="F76" s="80"/>
      <c r="G76" s="81"/>
      <c r="H76" s="81"/>
      <c r="I76" s="53"/>
      <c r="J76" s="75"/>
      <c r="K76" s="75"/>
      <c r="L76" s="63"/>
      <c r="M76" s="61"/>
      <c r="N76" s="55"/>
      <c r="O76" s="62"/>
      <c r="P76" s="97"/>
      <c r="Q76" s="62"/>
      <c r="R76" s="62"/>
      <c r="S76" s="164"/>
    </row>
    <row r="77" spans="1:19" ht="15.75" x14ac:dyDescent="0.25">
      <c r="A77" s="58"/>
      <c r="B77" s="59"/>
      <c r="C77" s="59"/>
      <c r="D77" s="59"/>
      <c r="E77" s="60"/>
      <c r="F77" s="80"/>
      <c r="G77" s="81"/>
      <c r="H77" s="81"/>
      <c r="I77" s="53"/>
      <c r="J77" s="75"/>
      <c r="K77" s="75"/>
      <c r="L77" s="63"/>
      <c r="M77" s="61"/>
      <c r="N77" s="113"/>
      <c r="O77" s="62"/>
      <c r="P77" s="97"/>
      <c r="Q77" s="62"/>
      <c r="R77" s="62"/>
      <c r="S77" s="164"/>
    </row>
    <row r="78" spans="1:19" ht="15.75" x14ac:dyDescent="0.25">
      <c r="A78" s="58"/>
      <c r="B78" s="59"/>
      <c r="C78" s="59"/>
      <c r="D78" s="59"/>
      <c r="E78" s="60"/>
      <c r="F78" s="80"/>
      <c r="G78" s="81"/>
      <c r="H78" s="81"/>
      <c r="I78" s="53"/>
      <c r="J78" s="75"/>
      <c r="K78" s="75"/>
      <c r="L78" s="63"/>
      <c r="M78" s="61"/>
      <c r="N78" s="113"/>
      <c r="O78" s="62"/>
      <c r="P78" s="97"/>
      <c r="Q78" s="62"/>
      <c r="R78" s="62"/>
      <c r="S78" s="164"/>
    </row>
    <row r="79" spans="1:19" ht="15.75" x14ac:dyDescent="0.25">
      <c r="A79" s="58"/>
      <c r="B79" s="59"/>
      <c r="C79" s="59"/>
      <c r="D79" s="59"/>
      <c r="E79" s="60"/>
      <c r="F79" s="80"/>
      <c r="G79" s="81"/>
      <c r="H79" s="81"/>
      <c r="I79" s="53"/>
      <c r="J79" s="75"/>
      <c r="K79" s="75"/>
      <c r="L79" s="63"/>
      <c r="M79" s="61"/>
      <c r="N79" s="113"/>
      <c r="O79" s="62"/>
      <c r="P79" s="97"/>
      <c r="Q79" s="62"/>
      <c r="R79" s="62"/>
      <c r="S79" s="164"/>
    </row>
    <row r="80" spans="1:19" ht="15.75" x14ac:dyDescent="0.25">
      <c r="A80" s="58"/>
      <c r="B80" s="59"/>
      <c r="C80" s="59"/>
      <c r="D80" s="59"/>
      <c r="E80" s="60"/>
      <c r="F80" s="80"/>
      <c r="G80" s="81"/>
      <c r="H80" s="81"/>
      <c r="I80" s="53"/>
      <c r="J80" s="75"/>
      <c r="K80" s="75"/>
      <c r="L80" s="63"/>
      <c r="M80" s="61"/>
      <c r="N80" s="113"/>
      <c r="O80" s="62"/>
      <c r="P80" s="97"/>
      <c r="Q80" s="62"/>
      <c r="R80" s="62"/>
      <c r="S80" s="164"/>
    </row>
    <row r="81" spans="1:19" ht="15.75" x14ac:dyDescent="0.25">
      <c r="A81" s="58"/>
      <c r="B81" s="59"/>
      <c r="C81" s="59"/>
      <c r="D81" s="59"/>
      <c r="E81" s="60"/>
      <c r="F81" s="80"/>
      <c r="G81" s="81"/>
      <c r="H81" s="81"/>
      <c r="I81" s="53"/>
      <c r="J81" s="75"/>
      <c r="K81" s="75"/>
      <c r="L81" s="63"/>
      <c r="M81" s="61"/>
      <c r="N81" s="113"/>
      <c r="O81" s="62"/>
      <c r="P81" s="97"/>
      <c r="Q81" s="62"/>
      <c r="R81" s="62"/>
      <c r="S81" s="164"/>
    </row>
    <row r="82" spans="1:19" ht="15.75" x14ac:dyDescent="0.25">
      <c r="A82" s="58"/>
      <c r="B82" s="59"/>
      <c r="C82" s="59"/>
      <c r="D82" s="59"/>
      <c r="E82" s="60"/>
      <c r="F82" s="80"/>
      <c r="G82" s="81"/>
      <c r="H82" s="81"/>
      <c r="I82" s="53"/>
      <c r="J82" s="75"/>
      <c r="K82" s="75"/>
      <c r="L82" s="63"/>
      <c r="M82" s="61"/>
      <c r="N82" s="113"/>
      <c r="O82" s="62"/>
      <c r="P82" s="97"/>
      <c r="Q82" s="62"/>
      <c r="R82" s="62"/>
      <c r="S82" s="164"/>
    </row>
    <row r="83" spans="1:19" ht="15.75" x14ac:dyDescent="0.25">
      <c r="A83" s="58"/>
      <c r="B83" s="59"/>
      <c r="C83" s="59"/>
      <c r="D83" s="59"/>
      <c r="E83" s="60"/>
      <c r="F83" s="80"/>
      <c r="G83" s="81"/>
      <c r="H83" s="81"/>
      <c r="I83" s="53"/>
      <c r="J83" s="75"/>
      <c r="K83" s="75"/>
      <c r="L83" s="63"/>
      <c r="M83" s="61"/>
      <c r="N83" s="113"/>
      <c r="O83" s="62"/>
      <c r="P83" s="97"/>
      <c r="Q83" s="62"/>
      <c r="R83" s="62"/>
      <c r="S83" s="164"/>
    </row>
    <row r="84" spans="1:19" ht="15.75" x14ac:dyDescent="0.25">
      <c r="A84" s="58"/>
      <c r="B84" s="59"/>
      <c r="C84" s="59"/>
      <c r="D84" s="59"/>
      <c r="E84" s="60"/>
      <c r="F84" s="80"/>
      <c r="G84" s="81"/>
      <c r="H84" s="81"/>
      <c r="I84" s="53"/>
      <c r="J84" s="75"/>
      <c r="K84" s="75"/>
      <c r="L84" s="63"/>
      <c r="M84" s="61"/>
      <c r="N84" s="113"/>
      <c r="O84" s="62"/>
      <c r="P84" s="97"/>
      <c r="Q84" s="62"/>
      <c r="R84" s="62"/>
      <c r="S84" s="164"/>
    </row>
    <row r="85" spans="1:19" ht="15.75" x14ac:dyDescent="0.25">
      <c r="A85" s="58"/>
      <c r="B85" s="59"/>
      <c r="C85" s="59"/>
      <c r="D85" s="59"/>
      <c r="E85" s="60"/>
      <c r="F85" s="80"/>
      <c r="G85" s="81"/>
      <c r="H85" s="81"/>
      <c r="I85" s="53"/>
      <c r="J85" s="75"/>
      <c r="K85" s="75"/>
      <c r="L85" s="63"/>
      <c r="M85" s="61"/>
      <c r="N85" s="113"/>
      <c r="O85" s="62"/>
      <c r="P85" s="97"/>
      <c r="Q85" s="62"/>
      <c r="R85" s="62"/>
      <c r="S85" s="164"/>
    </row>
    <row r="86" spans="1:19" ht="15.75" x14ac:dyDescent="0.25">
      <c r="A86" s="58"/>
      <c r="B86" s="59"/>
      <c r="C86" s="59"/>
      <c r="D86" s="59"/>
      <c r="E86" s="60"/>
      <c r="F86" s="80"/>
      <c r="G86" s="81"/>
      <c r="H86" s="81"/>
      <c r="I86" s="53"/>
      <c r="J86" s="75"/>
      <c r="K86" s="75"/>
      <c r="L86" s="63"/>
      <c r="M86" s="61"/>
      <c r="N86" s="113"/>
      <c r="O86" s="62"/>
      <c r="P86" s="97"/>
      <c r="Q86" s="62"/>
      <c r="R86" s="62"/>
      <c r="S86" s="164"/>
    </row>
    <row r="87" spans="1:19" ht="15.75" x14ac:dyDescent="0.25">
      <c r="A87" s="58"/>
      <c r="B87" s="59"/>
      <c r="C87" s="59"/>
      <c r="D87" s="59"/>
      <c r="E87" s="60"/>
      <c r="F87" s="80"/>
      <c r="G87" s="81"/>
      <c r="H87" s="81"/>
      <c r="I87" s="53"/>
      <c r="J87" s="75"/>
      <c r="K87" s="75"/>
      <c r="L87" s="63"/>
      <c r="M87" s="61"/>
      <c r="N87" s="113"/>
      <c r="O87" s="62"/>
      <c r="P87" s="97"/>
      <c r="Q87" s="62"/>
      <c r="R87" s="62"/>
      <c r="S87" s="164"/>
    </row>
    <row r="88" spans="1:19" ht="15.75" x14ac:dyDescent="0.25">
      <c r="A88" s="58"/>
      <c r="B88" s="59"/>
      <c r="C88" s="59"/>
      <c r="D88" s="59"/>
      <c r="E88" s="60"/>
      <c r="F88" s="80"/>
      <c r="G88" s="81"/>
      <c r="H88" s="81"/>
      <c r="I88" s="53"/>
      <c r="J88" s="75"/>
      <c r="K88" s="75"/>
      <c r="L88" s="63"/>
      <c r="M88" s="61"/>
      <c r="N88" s="113"/>
      <c r="O88" s="62"/>
      <c r="P88" s="97"/>
      <c r="Q88" s="62"/>
      <c r="R88" s="62"/>
      <c r="S88" s="164"/>
    </row>
    <row r="89" spans="1:19" ht="15.75" x14ac:dyDescent="0.25">
      <c r="A89" s="58"/>
      <c r="B89" s="59"/>
      <c r="C89" s="59"/>
      <c r="D89" s="59"/>
      <c r="E89" s="60"/>
      <c r="F89" s="80"/>
      <c r="G89" s="81"/>
      <c r="H89" s="81"/>
      <c r="I89" s="53"/>
      <c r="J89" s="75"/>
      <c r="K89" s="75"/>
      <c r="L89" s="63"/>
      <c r="M89" s="61"/>
      <c r="N89" s="113"/>
      <c r="O89" s="62"/>
      <c r="P89" s="97"/>
      <c r="Q89" s="62"/>
      <c r="R89" s="62"/>
      <c r="S89" s="164"/>
    </row>
    <row r="90" spans="1:19" ht="15.75" x14ac:dyDescent="0.25">
      <c r="A90" s="58"/>
      <c r="B90" s="59"/>
      <c r="C90" s="59"/>
      <c r="D90" s="59"/>
      <c r="E90" s="60"/>
      <c r="F90" s="80"/>
      <c r="G90" s="81"/>
      <c r="H90" s="81"/>
      <c r="I90" s="53"/>
      <c r="J90" s="75"/>
      <c r="K90" s="75"/>
      <c r="L90" s="63"/>
      <c r="M90" s="61"/>
      <c r="N90" s="113"/>
      <c r="O90" s="62"/>
      <c r="P90" s="97"/>
      <c r="Q90" s="62"/>
      <c r="R90" s="62"/>
      <c r="S90" s="164"/>
    </row>
    <row r="91" spans="1:19" ht="15.75" x14ac:dyDescent="0.25">
      <c r="A91" s="58"/>
      <c r="B91" s="59"/>
      <c r="C91" s="59"/>
      <c r="D91" s="59"/>
      <c r="E91" s="60"/>
      <c r="F91" s="80"/>
      <c r="G91" s="81"/>
      <c r="H91" s="81"/>
      <c r="I91" s="53"/>
      <c r="J91" s="75"/>
      <c r="K91" s="75"/>
      <c r="L91" s="63"/>
      <c r="M91" s="61"/>
      <c r="N91" s="113"/>
      <c r="O91" s="62"/>
      <c r="P91" s="97"/>
      <c r="Q91" s="62"/>
      <c r="R91" s="62"/>
      <c r="S91" s="164"/>
    </row>
    <row r="92" spans="1:19" ht="15.75" x14ac:dyDescent="0.25">
      <c r="A92" s="58"/>
      <c r="B92" s="59"/>
      <c r="C92" s="59"/>
      <c r="D92" s="59"/>
      <c r="E92" s="60"/>
      <c r="F92" s="80"/>
      <c r="G92" s="81"/>
      <c r="H92" s="81"/>
      <c r="I92" s="53"/>
      <c r="J92" s="75"/>
      <c r="K92" s="75"/>
      <c r="L92" s="63"/>
      <c r="M92" s="61"/>
      <c r="N92" s="113"/>
      <c r="O92" s="62"/>
      <c r="P92" s="97"/>
      <c r="Q92" s="62"/>
      <c r="R92" s="62"/>
      <c r="S92" s="164"/>
    </row>
    <row r="93" spans="1:19" ht="15.75" x14ac:dyDescent="0.25">
      <c r="A93" s="58"/>
      <c r="B93" s="59"/>
      <c r="C93" s="59"/>
      <c r="D93" s="59"/>
      <c r="E93" s="60"/>
      <c r="F93" s="80"/>
      <c r="G93" s="81"/>
      <c r="H93" s="81"/>
      <c r="I93" s="53"/>
      <c r="J93" s="75"/>
      <c r="K93" s="75"/>
      <c r="L93" s="63"/>
      <c r="M93" s="61"/>
      <c r="N93" s="113"/>
      <c r="O93" s="62"/>
      <c r="P93" s="97"/>
      <c r="Q93" s="62"/>
      <c r="R93" s="62"/>
      <c r="S93" s="164"/>
    </row>
    <row r="94" spans="1:19" ht="15.75" x14ac:dyDescent="0.25">
      <c r="A94" s="58"/>
      <c r="B94" s="59"/>
      <c r="C94" s="59"/>
      <c r="D94" s="59"/>
      <c r="E94" s="60"/>
      <c r="F94" s="80"/>
      <c r="G94" s="81"/>
      <c r="H94" s="81"/>
      <c r="I94" s="53"/>
      <c r="J94" s="75"/>
      <c r="K94" s="75"/>
      <c r="L94" s="63"/>
      <c r="M94" s="61"/>
      <c r="N94" s="113"/>
      <c r="O94" s="62"/>
      <c r="P94" s="97"/>
      <c r="Q94" s="62"/>
      <c r="R94" s="62"/>
      <c r="S94" s="164"/>
    </row>
    <row r="95" spans="1:19" ht="15.75" x14ac:dyDescent="0.25">
      <c r="A95" s="58"/>
      <c r="B95" s="59"/>
      <c r="C95" s="59"/>
      <c r="D95" s="59"/>
      <c r="E95" s="60"/>
      <c r="F95" s="80"/>
      <c r="G95" s="81"/>
      <c r="H95" s="81"/>
      <c r="I95" s="53"/>
      <c r="J95" s="75"/>
      <c r="K95" s="75"/>
      <c r="L95" s="63"/>
      <c r="M95" s="61"/>
      <c r="N95" s="113"/>
      <c r="O95" s="62"/>
      <c r="P95" s="97"/>
      <c r="Q95" s="97"/>
      <c r="R95" s="101"/>
      <c r="S95" s="164"/>
    </row>
    <row r="96" spans="1:19" ht="15.75" x14ac:dyDescent="0.25">
      <c r="A96" s="58"/>
      <c r="B96" s="59"/>
      <c r="C96" s="59"/>
      <c r="D96" s="59"/>
      <c r="E96" s="60"/>
      <c r="F96" s="80"/>
      <c r="G96" s="81"/>
      <c r="H96" s="81"/>
      <c r="I96" s="53"/>
      <c r="J96" s="75"/>
      <c r="K96" s="75"/>
      <c r="L96" s="63"/>
      <c r="M96" s="61"/>
      <c r="N96" s="113"/>
      <c r="O96" s="62"/>
      <c r="P96" s="97"/>
      <c r="Q96" s="62"/>
      <c r="R96" s="62"/>
      <c r="S96" s="164"/>
    </row>
    <row r="97" spans="1:19" ht="15.75" x14ac:dyDescent="0.25">
      <c r="A97" s="58"/>
      <c r="B97" s="59"/>
      <c r="C97" s="59"/>
      <c r="D97" s="59"/>
      <c r="E97" s="60"/>
      <c r="F97" s="80"/>
      <c r="G97" s="81"/>
      <c r="H97" s="81"/>
      <c r="I97" s="53"/>
      <c r="J97" s="75"/>
      <c r="K97" s="75"/>
      <c r="L97" s="63"/>
      <c r="M97" s="61"/>
      <c r="N97" s="113"/>
      <c r="O97" s="62"/>
      <c r="P97" s="97"/>
      <c r="Q97" s="62"/>
      <c r="R97" s="62"/>
      <c r="S97" s="164"/>
    </row>
    <row r="98" spans="1:19" ht="15.75" x14ac:dyDescent="0.25">
      <c r="A98" s="58"/>
      <c r="B98" s="59"/>
      <c r="C98" s="59"/>
      <c r="D98" s="59"/>
      <c r="E98" s="60"/>
      <c r="F98" s="80"/>
      <c r="G98" s="81"/>
      <c r="H98" s="81"/>
      <c r="I98" s="53"/>
      <c r="J98" s="75"/>
      <c r="K98" s="75"/>
      <c r="L98" s="63"/>
      <c r="M98" s="61"/>
      <c r="N98" s="113"/>
      <c r="O98" s="62"/>
      <c r="P98" s="97"/>
      <c r="Q98" s="62"/>
      <c r="R98" s="62"/>
      <c r="S98" s="164"/>
    </row>
    <row r="99" spans="1:19" ht="15.75" x14ac:dyDescent="0.25">
      <c r="A99" s="58"/>
      <c r="B99" s="59"/>
      <c r="C99" s="59"/>
      <c r="D99" s="59"/>
      <c r="E99" s="60"/>
      <c r="F99" s="80"/>
      <c r="G99" s="81"/>
      <c r="H99" s="81"/>
      <c r="I99" s="53"/>
      <c r="J99" s="75"/>
      <c r="K99" s="75"/>
      <c r="L99" s="63"/>
      <c r="M99" s="61"/>
      <c r="N99" s="113"/>
      <c r="O99" s="62"/>
      <c r="P99" s="97"/>
      <c r="Q99" s="62"/>
      <c r="R99" s="62"/>
      <c r="S99" s="164"/>
    </row>
    <row r="100" spans="1:19" ht="15.75" x14ac:dyDescent="0.25">
      <c r="A100" s="58"/>
      <c r="B100" s="59"/>
      <c r="C100" s="59"/>
      <c r="D100" s="59"/>
      <c r="E100" s="60"/>
      <c r="F100" s="80"/>
      <c r="G100" s="81"/>
      <c r="H100" s="81"/>
      <c r="I100" s="53"/>
      <c r="J100" s="75"/>
      <c r="K100" s="75"/>
      <c r="L100" s="63"/>
      <c r="M100" s="61"/>
      <c r="N100" s="113"/>
      <c r="O100" s="62"/>
      <c r="P100" s="97"/>
      <c r="Q100" s="62"/>
      <c r="R100" s="62"/>
      <c r="S100" s="164"/>
    </row>
    <row r="101" spans="1:19" ht="15.75" x14ac:dyDescent="0.25">
      <c r="A101" s="58"/>
      <c r="B101" s="59"/>
      <c r="C101" s="59"/>
      <c r="D101" s="59"/>
      <c r="E101" s="60"/>
      <c r="F101" s="80"/>
      <c r="G101" s="81"/>
      <c r="H101" s="81"/>
      <c r="I101" s="53"/>
      <c r="J101" s="75"/>
      <c r="K101" s="75"/>
      <c r="L101" s="63"/>
      <c r="M101" s="61"/>
      <c r="N101" s="55"/>
      <c r="O101" s="62"/>
      <c r="P101" s="97"/>
      <c r="Q101" s="62"/>
      <c r="R101" s="62"/>
      <c r="S101" s="164"/>
    </row>
    <row r="102" spans="1:19" ht="15.75" x14ac:dyDescent="0.25">
      <c r="A102" s="58"/>
      <c r="B102" s="59"/>
      <c r="C102" s="59"/>
      <c r="D102" s="59"/>
      <c r="E102" s="60"/>
      <c r="F102" s="80"/>
      <c r="G102" s="81"/>
      <c r="H102" s="81"/>
      <c r="I102" s="53"/>
      <c r="J102" s="75"/>
      <c r="K102" s="75"/>
      <c r="L102" s="63"/>
      <c r="M102" s="61"/>
      <c r="N102" s="55"/>
      <c r="O102" s="62"/>
      <c r="P102" s="97"/>
      <c r="Q102" s="62"/>
      <c r="R102" s="62"/>
      <c r="S102" s="164"/>
    </row>
    <row r="103" spans="1:19" ht="15.75" x14ac:dyDescent="0.25">
      <c r="A103" s="58"/>
      <c r="B103" s="59"/>
      <c r="C103" s="59"/>
      <c r="D103" s="59"/>
      <c r="E103" s="60"/>
      <c r="F103" s="80"/>
      <c r="G103" s="81"/>
      <c r="H103" s="81"/>
      <c r="I103" s="53"/>
      <c r="J103" s="75"/>
      <c r="K103" s="75"/>
      <c r="L103" s="63"/>
      <c r="M103" s="61"/>
      <c r="N103" s="55"/>
      <c r="O103" s="62"/>
      <c r="P103" s="97"/>
      <c r="Q103" s="62"/>
      <c r="R103" s="62"/>
      <c r="S103" s="164"/>
    </row>
    <row r="104" spans="1:19" ht="15.75" x14ac:dyDescent="0.25">
      <c r="A104" s="58"/>
      <c r="B104" s="59"/>
      <c r="C104" s="59"/>
      <c r="D104" s="59"/>
      <c r="E104" s="60"/>
      <c r="F104" s="80"/>
      <c r="G104" s="81"/>
      <c r="H104" s="81"/>
      <c r="I104" s="53"/>
      <c r="J104" s="75"/>
      <c r="K104" s="75"/>
      <c r="L104" s="63"/>
      <c r="M104" s="61"/>
      <c r="N104" s="55"/>
      <c r="O104" s="62"/>
      <c r="P104" s="97"/>
      <c r="Q104" s="62"/>
      <c r="R104" s="62"/>
      <c r="S104" s="164"/>
    </row>
    <row r="105" spans="1:19" ht="15.75" x14ac:dyDescent="0.25">
      <c r="A105" s="58"/>
      <c r="B105" s="59"/>
      <c r="C105" s="59"/>
      <c r="D105" s="59"/>
      <c r="E105" s="60"/>
      <c r="F105" s="80"/>
      <c r="G105" s="81"/>
      <c r="H105" s="81"/>
      <c r="I105" s="53"/>
      <c r="J105" s="75"/>
      <c r="K105" s="75"/>
      <c r="L105" s="63"/>
      <c r="M105" s="61"/>
      <c r="N105" s="55"/>
      <c r="O105" s="62"/>
      <c r="P105" s="97"/>
      <c r="Q105" s="62"/>
      <c r="R105" s="62"/>
      <c r="S105" s="164"/>
    </row>
    <row r="106" spans="1:19" ht="15.75" x14ac:dyDescent="0.25">
      <c r="A106" s="58"/>
      <c r="B106" s="59"/>
      <c r="C106" s="59"/>
      <c r="D106" s="59"/>
      <c r="E106" s="60"/>
      <c r="F106" s="80"/>
      <c r="G106" s="81"/>
      <c r="H106" s="81"/>
      <c r="I106" s="53"/>
      <c r="J106" s="75"/>
      <c r="K106" s="75"/>
      <c r="L106" s="63"/>
      <c r="M106" s="61"/>
      <c r="N106" s="113"/>
      <c r="O106" s="62"/>
      <c r="P106" s="97"/>
      <c r="Q106" s="62"/>
      <c r="R106" s="62"/>
      <c r="S106" s="164"/>
    </row>
    <row r="107" spans="1:19" ht="15.75" x14ac:dyDescent="0.25">
      <c r="A107" s="58"/>
      <c r="B107" s="59"/>
      <c r="C107" s="59"/>
      <c r="D107" s="59"/>
      <c r="E107" s="60"/>
      <c r="F107" s="80"/>
      <c r="G107" s="81"/>
      <c r="H107" s="81"/>
      <c r="I107" s="53"/>
      <c r="J107" s="75"/>
      <c r="K107" s="75"/>
      <c r="L107" s="63"/>
      <c r="M107" s="61"/>
      <c r="N107" s="113"/>
      <c r="O107" s="62"/>
      <c r="P107" s="97"/>
      <c r="Q107" s="62"/>
      <c r="R107" s="62"/>
      <c r="S107" s="164"/>
    </row>
    <row r="108" spans="1:19" ht="15.75" x14ac:dyDescent="0.25">
      <c r="A108" s="58"/>
      <c r="B108" s="59"/>
      <c r="C108" s="59"/>
      <c r="D108" s="59"/>
      <c r="E108" s="60"/>
      <c r="F108" s="80"/>
      <c r="G108" s="81"/>
      <c r="H108" s="81"/>
      <c r="I108" s="53"/>
      <c r="J108" s="75"/>
      <c r="K108" s="75"/>
      <c r="L108" s="63"/>
      <c r="M108" s="61"/>
      <c r="N108" s="113"/>
      <c r="O108" s="62"/>
      <c r="P108" s="97"/>
      <c r="Q108" s="62"/>
      <c r="R108" s="62"/>
      <c r="S108" s="164"/>
    </row>
    <row r="109" spans="1:19" ht="15.75" x14ac:dyDescent="0.25">
      <c r="A109" s="58"/>
      <c r="B109" s="59"/>
      <c r="C109" s="59"/>
      <c r="D109" s="59"/>
      <c r="E109" s="60"/>
      <c r="F109" s="80"/>
      <c r="G109" s="81"/>
      <c r="H109" s="81"/>
      <c r="I109" s="53"/>
      <c r="J109" s="75"/>
      <c r="K109" s="75"/>
      <c r="L109" s="63"/>
      <c r="M109" s="61"/>
      <c r="N109" s="113"/>
      <c r="O109" s="62"/>
      <c r="P109" s="97"/>
      <c r="Q109" s="62"/>
      <c r="R109" s="62"/>
      <c r="S109" s="164"/>
    </row>
    <row r="110" spans="1:19" ht="15.75" x14ac:dyDescent="0.25">
      <c r="A110" s="58"/>
      <c r="B110" s="59"/>
      <c r="C110" s="59"/>
      <c r="D110" s="59"/>
      <c r="E110" s="60"/>
      <c r="F110" s="80"/>
      <c r="G110" s="81"/>
      <c r="H110" s="81"/>
      <c r="I110" s="53"/>
      <c r="J110" s="75"/>
      <c r="K110" s="75"/>
      <c r="L110" s="63"/>
      <c r="M110" s="61"/>
      <c r="N110" s="55"/>
      <c r="O110" s="62"/>
      <c r="P110" s="97"/>
      <c r="Q110" s="62"/>
      <c r="R110" s="62"/>
      <c r="S110" s="164"/>
    </row>
    <row r="111" spans="1:19" ht="15.75" x14ac:dyDescent="0.25">
      <c r="A111" s="58"/>
      <c r="B111" s="59"/>
      <c r="C111" s="59"/>
      <c r="D111" s="59"/>
      <c r="E111" s="60"/>
      <c r="F111" s="80"/>
      <c r="G111" s="81"/>
      <c r="H111" s="81"/>
      <c r="I111" s="53"/>
      <c r="J111" s="75"/>
      <c r="K111" s="75"/>
      <c r="L111" s="63"/>
      <c r="M111" s="61"/>
      <c r="N111" s="55"/>
      <c r="O111" s="62"/>
      <c r="P111" s="97"/>
      <c r="Q111" s="62"/>
      <c r="R111" s="62"/>
      <c r="S111" s="164"/>
    </row>
    <row r="112" spans="1:19" ht="15.75" x14ac:dyDescent="0.25">
      <c r="A112" s="58"/>
      <c r="B112" s="59"/>
      <c r="C112" s="59"/>
      <c r="D112" s="59"/>
      <c r="E112" s="60"/>
      <c r="F112" s="80"/>
      <c r="G112" s="81"/>
      <c r="H112" s="81"/>
      <c r="I112" s="53"/>
      <c r="J112" s="75"/>
      <c r="K112" s="75"/>
      <c r="L112" s="144"/>
      <c r="M112" s="61"/>
      <c r="N112" s="55"/>
      <c r="O112" s="62"/>
      <c r="P112" s="97"/>
      <c r="Q112" s="62"/>
      <c r="R112" s="62"/>
      <c r="S112" s="164"/>
    </row>
    <row r="113" spans="1:19" ht="15.75" x14ac:dyDescent="0.25">
      <c r="A113" s="58"/>
      <c r="B113" s="59"/>
      <c r="C113" s="59"/>
      <c r="D113" s="59"/>
      <c r="E113" s="60"/>
      <c r="F113" s="80"/>
      <c r="G113" s="81"/>
      <c r="H113" s="81"/>
      <c r="I113" s="53"/>
      <c r="J113" s="75"/>
      <c r="K113" s="75"/>
      <c r="L113" s="63"/>
      <c r="M113" s="61"/>
      <c r="N113" s="55"/>
      <c r="O113" s="62"/>
      <c r="P113" s="97"/>
      <c r="Q113" s="62"/>
      <c r="R113" s="62"/>
      <c r="S113" s="164"/>
    </row>
    <row r="114" spans="1:19" ht="15.75" x14ac:dyDescent="0.25">
      <c r="A114" s="58"/>
      <c r="B114" s="59"/>
      <c r="C114" s="59"/>
      <c r="D114" s="59"/>
      <c r="E114" s="60"/>
      <c r="F114" s="80"/>
      <c r="G114" s="81"/>
      <c r="H114" s="81"/>
      <c r="I114" s="53"/>
      <c r="J114" s="75"/>
      <c r="K114" s="75"/>
      <c r="L114" s="63"/>
      <c r="M114" s="61"/>
      <c r="N114" s="55"/>
      <c r="O114" s="62"/>
      <c r="P114" s="97"/>
      <c r="Q114" s="62"/>
      <c r="R114" s="62"/>
      <c r="S114" s="164"/>
    </row>
    <row r="115" spans="1:19" ht="15.75" x14ac:dyDescent="0.25">
      <c r="A115" s="58"/>
      <c r="B115" s="59"/>
      <c r="C115" s="59"/>
      <c r="D115" s="59"/>
      <c r="E115" s="60"/>
      <c r="F115" s="80"/>
      <c r="G115" s="81"/>
      <c r="H115" s="81"/>
      <c r="I115" s="53"/>
      <c r="J115" s="75"/>
      <c r="K115" s="75"/>
      <c r="L115" s="63"/>
      <c r="M115" s="61"/>
      <c r="N115" s="55"/>
      <c r="O115" s="62"/>
      <c r="P115" s="97"/>
      <c r="Q115" s="62"/>
      <c r="R115" s="62"/>
      <c r="S115" s="164"/>
    </row>
    <row r="116" spans="1:19" ht="15.75" x14ac:dyDescent="0.25">
      <c r="A116" s="58"/>
      <c r="B116" s="59"/>
      <c r="C116" s="59"/>
      <c r="D116" s="59"/>
      <c r="E116" s="60"/>
      <c r="F116" s="80"/>
      <c r="G116" s="81"/>
      <c r="H116" s="81"/>
      <c r="I116" s="53"/>
      <c r="J116" s="75"/>
      <c r="K116" s="75"/>
      <c r="L116" s="63"/>
      <c r="M116" s="61"/>
      <c r="N116" s="55"/>
      <c r="O116" s="62"/>
      <c r="P116" s="97"/>
      <c r="Q116" s="97"/>
      <c r="R116" s="101"/>
      <c r="S116" s="164"/>
    </row>
    <row r="117" spans="1:19" ht="15.75" x14ac:dyDescent="0.25">
      <c r="A117" s="58"/>
      <c r="B117" s="59"/>
      <c r="C117" s="59"/>
      <c r="D117" s="59"/>
      <c r="E117" s="60"/>
      <c r="F117" s="80"/>
      <c r="G117" s="81"/>
      <c r="H117" s="81"/>
      <c r="I117" s="53"/>
      <c r="J117" s="75"/>
      <c r="K117" s="75"/>
      <c r="L117" s="63"/>
      <c r="M117" s="61"/>
      <c r="N117" s="55"/>
      <c r="O117" s="62"/>
      <c r="P117" s="97"/>
      <c r="Q117" s="62"/>
      <c r="R117" s="62"/>
      <c r="S117" s="164"/>
    </row>
    <row r="118" spans="1:19" ht="15.75" x14ac:dyDescent="0.25">
      <c r="A118" s="58"/>
      <c r="B118" s="59"/>
      <c r="C118" s="59"/>
      <c r="D118" s="59"/>
      <c r="E118" s="60"/>
      <c r="F118" s="80"/>
      <c r="G118" s="81"/>
      <c r="H118" s="81"/>
      <c r="I118" s="53"/>
      <c r="J118" s="75"/>
      <c r="K118" s="75"/>
      <c r="L118" s="63"/>
      <c r="M118" s="61"/>
      <c r="N118" s="55"/>
      <c r="O118" s="62"/>
      <c r="P118" s="97"/>
      <c r="Q118" s="62"/>
      <c r="R118" s="62"/>
      <c r="S118" s="164"/>
    </row>
    <row r="119" spans="1:19" ht="15.75" x14ac:dyDescent="0.25">
      <c r="A119" s="58"/>
      <c r="B119" s="59"/>
      <c r="C119" s="59"/>
      <c r="D119" s="59"/>
      <c r="E119" s="60"/>
      <c r="F119" s="80"/>
      <c r="G119" s="81"/>
      <c r="H119" s="81"/>
      <c r="I119" s="53"/>
      <c r="J119" s="75"/>
      <c r="K119" s="75"/>
      <c r="L119" s="63"/>
      <c r="M119" s="61"/>
      <c r="N119" s="55"/>
      <c r="O119" s="62"/>
      <c r="P119" s="97"/>
      <c r="Q119" s="62"/>
      <c r="R119" s="62"/>
      <c r="S119" s="164"/>
    </row>
    <row r="120" spans="1:19" ht="15.75" x14ac:dyDescent="0.25">
      <c r="A120" s="58"/>
      <c r="B120" s="59"/>
      <c r="C120" s="59"/>
      <c r="D120" s="59"/>
      <c r="E120" s="60"/>
      <c r="F120" s="80"/>
      <c r="G120" s="81"/>
      <c r="H120" s="81"/>
      <c r="I120" s="53"/>
      <c r="J120" s="75"/>
      <c r="K120" s="75"/>
      <c r="L120" s="63"/>
      <c r="M120" s="61"/>
      <c r="N120" s="113"/>
      <c r="O120" s="62"/>
      <c r="P120" s="97"/>
      <c r="Q120" s="62"/>
      <c r="R120" s="62"/>
      <c r="S120" s="164"/>
    </row>
    <row r="121" spans="1:19" ht="15.75" x14ac:dyDescent="0.25">
      <c r="A121" s="58"/>
      <c r="B121" s="59"/>
      <c r="C121" s="59"/>
      <c r="D121" s="59"/>
      <c r="E121" s="60"/>
      <c r="F121" s="80"/>
      <c r="G121" s="81"/>
      <c r="H121" s="81"/>
      <c r="I121" s="53"/>
      <c r="J121" s="75"/>
      <c r="K121" s="75"/>
      <c r="L121" s="63"/>
      <c r="M121" s="61"/>
      <c r="N121" s="113"/>
      <c r="O121" s="62"/>
      <c r="P121" s="97"/>
      <c r="Q121" s="62"/>
      <c r="R121" s="62"/>
      <c r="S121" s="164"/>
    </row>
    <row r="122" spans="1:19" ht="15.75" x14ac:dyDescent="0.25">
      <c r="A122" s="58"/>
      <c r="B122" s="59"/>
      <c r="C122" s="59"/>
      <c r="D122" s="59"/>
      <c r="E122" s="60"/>
      <c r="F122" s="80"/>
      <c r="G122" s="81"/>
      <c r="H122" s="81"/>
      <c r="I122" s="53"/>
      <c r="J122" s="75"/>
      <c r="K122" s="75"/>
      <c r="L122" s="63"/>
      <c r="M122" s="61"/>
      <c r="N122" s="113"/>
      <c r="O122" s="62"/>
      <c r="P122" s="97"/>
      <c r="Q122" s="62"/>
      <c r="R122" s="62"/>
      <c r="S122" s="164"/>
    </row>
    <row r="123" spans="1:19" ht="15.75" x14ac:dyDescent="0.25">
      <c r="A123" s="58"/>
      <c r="B123" s="59"/>
      <c r="C123" s="59"/>
      <c r="D123" s="59"/>
      <c r="E123" s="60"/>
      <c r="F123" s="80"/>
      <c r="G123" s="81"/>
      <c r="H123" s="81"/>
      <c r="I123" s="53"/>
      <c r="J123" s="75"/>
      <c r="K123" s="75"/>
      <c r="L123" s="63"/>
      <c r="M123" s="61"/>
      <c r="N123" s="113"/>
      <c r="O123" s="62"/>
      <c r="P123" s="97"/>
      <c r="Q123" s="62"/>
      <c r="R123" s="62"/>
      <c r="S123" s="164"/>
    </row>
    <row r="124" spans="1:19" ht="15.75" x14ac:dyDescent="0.25">
      <c r="A124" s="58"/>
      <c r="B124" s="59"/>
      <c r="C124" s="59"/>
      <c r="D124" s="59"/>
      <c r="E124" s="60"/>
      <c r="F124" s="80"/>
      <c r="G124" s="81"/>
      <c r="H124" s="81"/>
      <c r="I124" s="53"/>
      <c r="J124" s="75"/>
      <c r="K124" s="75"/>
      <c r="L124" s="63"/>
      <c r="M124" s="61"/>
      <c r="N124" s="113"/>
      <c r="O124" s="62"/>
      <c r="P124" s="97"/>
      <c r="Q124" s="62"/>
      <c r="R124" s="62"/>
      <c r="S124" s="164"/>
    </row>
    <row r="125" spans="1:19" ht="15.75" x14ac:dyDescent="0.25">
      <c r="A125" s="58"/>
      <c r="B125" s="59"/>
      <c r="C125" s="59"/>
      <c r="D125" s="59"/>
      <c r="E125" s="60"/>
      <c r="F125" s="80"/>
      <c r="G125" s="81"/>
      <c r="H125" s="81"/>
      <c r="I125" s="53"/>
      <c r="J125" s="75"/>
      <c r="K125" s="75"/>
      <c r="L125" s="63"/>
      <c r="M125" s="61"/>
      <c r="N125" s="113"/>
      <c r="O125" s="62"/>
      <c r="P125" s="97"/>
      <c r="Q125" s="62"/>
      <c r="R125" s="62"/>
      <c r="S125" s="164"/>
    </row>
    <row r="126" spans="1:19" ht="15.75" x14ac:dyDescent="0.25">
      <c r="A126" s="58"/>
      <c r="B126" s="59"/>
      <c r="C126" s="59"/>
      <c r="D126" s="59"/>
      <c r="E126" s="60"/>
      <c r="F126" s="80"/>
      <c r="G126" s="81"/>
      <c r="H126" s="81"/>
      <c r="I126" s="53"/>
      <c r="J126" s="75"/>
      <c r="K126" s="75"/>
      <c r="L126" s="63"/>
      <c r="M126" s="61"/>
      <c r="N126" s="113"/>
      <c r="O126" s="62"/>
      <c r="P126" s="97"/>
      <c r="Q126" s="62"/>
      <c r="R126" s="62"/>
      <c r="S126" s="164"/>
    </row>
    <row r="127" spans="1:19" ht="15.75" x14ac:dyDescent="0.25">
      <c r="A127" s="58"/>
      <c r="B127" s="59"/>
      <c r="C127" s="59"/>
      <c r="D127" s="59"/>
      <c r="E127" s="60"/>
      <c r="F127" s="80"/>
      <c r="G127" s="81"/>
      <c r="H127" s="81"/>
      <c r="I127" s="53"/>
      <c r="J127" s="75"/>
      <c r="K127" s="75"/>
      <c r="L127" s="63"/>
      <c r="M127" s="61"/>
      <c r="N127" s="55"/>
      <c r="O127" s="62"/>
      <c r="P127" s="97"/>
      <c r="Q127" s="62"/>
      <c r="R127" s="62"/>
      <c r="S127" s="164"/>
    </row>
    <row r="128" spans="1:19" ht="15.75" x14ac:dyDescent="0.25">
      <c r="A128" s="58"/>
      <c r="B128" s="59"/>
      <c r="C128" s="59"/>
      <c r="D128" s="59"/>
      <c r="E128" s="60"/>
      <c r="F128" s="80"/>
      <c r="G128" s="81"/>
      <c r="H128" s="81"/>
      <c r="I128" s="53"/>
      <c r="J128" s="75"/>
      <c r="K128" s="75"/>
      <c r="L128" s="63"/>
      <c r="M128" s="61"/>
      <c r="N128" s="55"/>
      <c r="O128" s="62"/>
      <c r="P128" s="97"/>
      <c r="Q128" s="97"/>
      <c r="R128" s="101"/>
      <c r="S128" s="164"/>
    </row>
    <row r="129" spans="1:19" ht="15.75" x14ac:dyDescent="0.25">
      <c r="A129" s="58"/>
      <c r="B129" s="59"/>
      <c r="C129" s="59"/>
      <c r="D129" s="59"/>
      <c r="E129" s="60"/>
      <c r="F129" s="80"/>
      <c r="G129" s="81"/>
      <c r="H129" s="81"/>
      <c r="I129" s="53"/>
      <c r="J129" s="75"/>
      <c r="K129" s="75"/>
      <c r="L129" s="63"/>
      <c r="M129" s="61"/>
      <c r="N129" s="55"/>
      <c r="O129" s="62"/>
      <c r="P129" s="97"/>
      <c r="Q129" s="62"/>
      <c r="R129" s="62"/>
      <c r="S129" s="164"/>
    </row>
    <row r="130" spans="1:19" ht="15.75" x14ac:dyDescent="0.25">
      <c r="A130" s="58"/>
      <c r="B130" s="59"/>
      <c r="C130" s="59"/>
      <c r="D130" s="59"/>
      <c r="E130" s="60"/>
      <c r="F130" s="80"/>
      <c r="G130" s="81"/>
      <c r="H130" s="81"/>
      <c r="I130" s="53"/>
      <c r="J130" s="75"/>
      <c r="K130" s="75"/>
      <c r="L130" s="63"/>
      <c r="M130" s="61"/>
      <c r="N130" s="55"/>
      <c r="O130" s="62"/>
      <c r="P130" s="97"/>
      <c r="Q130" s="62"/>
      <c r="R130" s="62"/>
      <c r="S130" s="164"/>
    </row>
    <row r="131" spans="1:19" ht="15.75" x14ac:dyDescent="0.25">
      <c r="A131" s="58"/>
      <c r="B131" s="59"/>
      <c r="C131" s="59"/>
      <c r="D131" s="59"/>
      <c r="E131" s="60"/>
      <c r="F131" s="80"/>
      <c r="G131" s="81"/>
      <c r="H131" s="81"/>
      <c r="I131" s="53"/>
      <c r="J131" s="75"/>
      <c r="K131" s="75"/>
      <c r="L131" s="63"/>
      <c r="M131" s="61"/>
      <c r="N131" s="55"/>
      <c r="O131" s="62"/>
      <c r="P131" s="97"/>
      <c r="Q131" s="62"/>
      <c r="R131" s="62"/>
      <c r="S131" s="164"/>
    </row>
    <row r="132" spans="1:19" ht="15.75" x14ac:dyDescent="0.25">
      <c r="A132" s="58"/>
      <c r="B132" s="59"/>
      <c r="C132" s="59"/>
      <c r="D132" s="59"/>
      <c r="E132" s="60"/>
      <c r="F132" s="80"/>
      <c r="G132" s="81"/>
      <c r="H132" s="81"/>
      <c r="I132" s="53"/>
      <c r="J132" s="75"/>
      <c r="K132" s="75"/>
      <c r="L132" s="144"/>
      <c r="M132" s="61"/>
      <c r="N132" s="55"/>
      <c r="O132" s="62"/>
      <c r="P132" s="97"/>
      <c r="Q132" s="62"/>
      <c r="R132" s="62"/>
      <c r="S132" s="164"/>
    </row>
    <row r="133" spans="1:19" ht="15.75" x14ac:dyDescent="0.25">
      <c r="A133" s="58"/>
      <c r="B133" s="59"/>
      <c r="C133" s="59"/>
      <c r="D133" s="59"/>
      <c r="E133" s="60"/>
      <c r="F133" s="80"/>
      <c r="G133" s="81"/>
      <c r="H133" s="81"/>
      <c r="I133" s="53"/>
      <c r="J133" s="75"/>
      <c r="K133" s="75"/>
      <c r="L133" s="144"/>
      <c r="M133" s="61"/>
      <c r="N133" s="55"/>
      <c r="O133" s="62"/>
      <c r="P133" s="97"/>
      <c r="Q133" s="62"/>
      <c r="R133" s="62"/>
      <c r="S133" s="164"/>
    </row>
    <row r="134" spans="1:19" ht="15.75" x14ac:dyDescent="0.25">
      <c r="A134" s="58"/>
      <c r="B134" s="59"/>
      <c r="C134" s="59"/>
      <c r="D134" s="59"/>
      <c r="E134" s="60"/>
      <c r="F134" s="80"/>
      <c r="G134" s="81"/>
      <c r="H134" s="81"/>
      <c r="I134" s="53"/>
      <c r="J134" s="75"/>
      <c r="K134" s="75"/>
      <c r="L134" s="63"/>
      <c r="M134" s="61"/>
      <c r="N134" s="55"/>
      <c r="O134" s="62"/>
      <c r="P134" s="97"/>
      <c r="Q134" s="62"/>
      <c r="R134" s="62"/>
      <c r="S134" s="164"/>
    </row>
    <row r="135" spans="1:19" ht="15.75" x14ac:dyDescent="0.25">
      <c r="A135" s="58"/>
      <c r="B135" s="59"/>
      <c r="C135" s="59"/>
      <c r="D135" s="59"/>
      <c r="E135" s="60"/>
      <c r="F135" s="80"/>
      <c r="G135" s="81"/>
      <c r="H135" s="81"/>
      <c r="I135" s="53"/>
      <c r="J135" s="75"/>
      <c r="K135" s="75"/>
      <c r="L135" s="63"/>
      <c r="M135" s="61"/>
      <c r="N135" s="55"/>
      <c r="O135" s="62"/>
      <c r="P135" s="97"/>
      <c r="Q135" s="62"/>
      <c r="R135" s="62"/>
      <c r="S135" s="164"/>
    </row>
    <row r="136" spans="1:19" ht="15.75" x14ac:dyDescent="0.25">
      <c r="A136" s="58"/>
      <c r="B136" s="59"/>
      <c r="C136" s="59"/>
      <c r="D136" s="59"/>
      <c r="E136" s="60"/>
      <c r="F136" s="80"/>
      <c r="G136" s="81"/>
      <c r="H136" s="81"/>
      <c r="I136" s="53"/>
      <c r="J136" s="75"/>
      <c r="K136" s="75"/>
      <c r="L136" s="63"/>
      <c r="M136" s="61"/>
      <c r="N136" s="55"/>
      <c r="O136" s="62"/>
      <c r="P136" s="97"/>
      <c r="Q136" s="62"/>
      <c r="R136" s="62"/>
      <c r="S136" s="164"/>
    </row>
    <row r="137" spans="1:19" ht="15.75" x14ac:dyDescent="0.25">
      <c r="A137" s="58"/>
      <c r="B137" s="59"/>
      <c r="C137" s="59"/>
      <c r="D137" s="59"/>
      <c r="E137" s="60"/>
      <c r="F137" s="80"/>
      <c r="G137" s="81"/>
      <c r="H137" s="81"/>
      <c r="I137" s="53"/>
      <c r="J137" s="75"/>
      <c r="K137" s="75"/>
      <c r="L137" s="63"/>
      <c r="M137" s="61"/>
      <c r="N137" s="55"/>
      <c r="O137" s="62"/>
      <c r="P137" s="97"/>
      <c r="Q137" s="62"/>
      <c r="R137" s="62"/>
      <c r="S137" s="164"/>
    </row>
    <row r="138" spans="1:19" ht="15.75" x14ac:dyDescent="0.25">
      <c r="A138" s="58"/>
      <c r="B138" s="59"/>
      <c r="C138" s="59"/>
      <c r="D138" s="59"/>
      <c r="E138" s="60"/>
      <c r="F138" s="80"/>
      <c r="G138" s="81"/>
      <c r="H138" s="81"/>
      <c r="I138" s="53"/>
      <c r="J138" s="75"/>
      <c r="K138" s="75"/>
      <c r="L138" s="63"/>
      <c r="M138" s="61"/>
      <c r="N138" s="55"/>
      <c r="O138" s="62"/>
      <c r="P138" s="97"/>
      <c r="Q138" s="62"/>
      <c r="R138" s="62"/>
      <c r="S138" s="164"/>
    </row>
    <row r="139" spans="1:19" ht="15.75" x14ac:dyDescent="0.25">
      <c r="A139" s="58"/>
      <c r="B139" s="59"/>
      <c r="C139" s="59"/>
      <c r="D139" s="59"/>
      <c r="E139" s="60"/>
      <c r="F139" s="80"/>
      <c r="G139" s="81"/>
      <c r="H139" s="81"/>
      <c r="I139" s="53"/>
      <c r="J139" s="75"/>
      <c r="K139" s="75"/>
      <c r="L139" s="63"/>
      <c r="M139" s="61"/>
      <c r="N139" s="113"/>
      <c r="O139" s="62"/>
      <c r="P139" s="97"/>
      <c r="Q139" s="62"/>
      <c r="R139" s="62"/>
      <c r="S139" s="164"/>
    </row>
    <row r="140" spans="1:19" ht="15.75" x14ac:dyDescent="0.25">
      <c r="A140" s="58"/>
      <c r="B140" s="59"/>
      <c r="C140" s="59"/>
      <c r="D140" s="59"/>
      <c r="E140" s="60"/>
      <c r="F140" s="80"/>
      <c r="G140" s="81"/>
      <c r="H140" s="81"/>
      <c r="I140" s="53"/>
      <c r="J140" s="75"/>
      <c r="K140" s="75"/>
      <c r="L140" s="63"/>
      <c r="M140" s="61"/>
      <c r="N140" s="113"/>
      <c r="O140" s="62"/>
      <c r="P140" s="97"/>
      <c r="Q140" s="62"/>
      <c r="R140" s="62"/>
      <c r="S140" s="164"/>
    </row>
    <row r="141" spans="1:19" ht="15.75" x14ac:dyDescent="0.25">
      <c r="A141" s="58"/>
      <c r="B141" s="59"/>
      <c r="C141" s="59"/>
      <c r="D141" s="59"/>
      <c r="E141" s="60"/>
      <c r="F141" s="80"/>
      <c r="G141" s="81"/>
      <c r="H141" s="81"/>
      <c r="I141" s="53"/>
      <c r="J141" s="75"/>
      <c r="K141" s="75"/>
      <c r="L141" s="63"/>
      <c r="M141" s="61"/>
      <c r="N141" s="113"/>
      <c r="O141" s="62"/>
      <c r="P141" s="97"/>
      <c r="Q141" s="62"/>
      <c r="R141" s="62"/>
      <c r="S141" s="164"/>
    </row>
    <row r="142" spans="1:19" ht="15.75" x14ac:dyDescent="0.25">
      <c r="A142" s="58"/>
      <c r="B142" s="59"/>
      <c r="C142" s="59"/>
      <c r="D142" s="59"/>
      <c r="E142" s="60"/>
      <c r="F142" s="80"/>
      <c r="G142" s="81"/>
      <c r="H142" s="81"/>
      <c r="I142" s="53"/>
      <c r="J142" s="75"/>
      <c r="K142" s="75"/>
      <c r="L142" s="63"/>
      <c r="M142" s="61"/>
      <c r="N142" s="113"/>
      <c r="O142" s="62"/>
      <c r="P142" s="97"/>
      <c r="Q142" s="62"/>
      <c r="R142" s="62"/>
      <c r="S142" s="164"/>
    </row>
    <row r="143" spans="1:19" ht="15.75" x14ac:dyDescent="0.25">
      <c r="A143" s="58"/>
      <c r="B143" s="59"/>
      <c r="C143" s="59"/>
      <c r="D143" s="59"/>
      <c r="E143" s="60"/>
      <c r="F143" s="80"/>
      <c r="G143" s="81"/>
      <c r="H143" s="81"/>
      <c r="I143" s="53"/>
      <c r="J143" s="75"/>
      <c r="K143" s="75"/>
      <c r="L143" s="63"/>
      <c r="M143" s="61"/>
      <c r="N143" s="113"/>
      <c r="O143" s="62"/>
      <c r="P143" s="97"/>
      <c r="Q143" s="62"/>
      <c r="R143" s="62"/>
      <c r="S143" s="164"/>
    </row>
    <row r="144" spans="1:19" ht="15.75" x14ac:dyDescent="0.25">
      <c r="A144" s="58"/>
      <c r="B144" s="59"/>
      <c r="C144" s="59"/>
      <c r="D144" s="59"/>
      <c r="E144" s="60"/>
      <c r="F144" s="80"/>
      <c r="G144" s="81"/>
      <c r="H144" s="81"/>
      <c r="I144" s="53"/>
      <c r="J144" s="75"/>
      <c r="K144" s="75"/>
      <c r="L144" s="63"/>
      <c r="M144" s="61"/>
      <c r="N144" s="113"/>
      <c r="O144" s="62"/>
      <c r="P144" s="97"/>
      <c r="Q144" s="62"/>
      <c r="R144" s="62"/>
      <c r="S144" s="164"/>
    </row>
    <row r="145" spans="1:19" ht="15.75" x14ac:dyDescent="0.25">
      <c r="A145" s="58"/>
      <c r="B145" s="59"/>
      <c r="C145" s="59"/>
      <c r="D145" s="59"/>
      <c r="E145" s="60"/>
      <c r="F145" s="80"/>
      <c r="G145" s="81"/>
      <c r="H145" s="81"/>
      <c r="I145" s="53"/>
      <c r="J145" s="75"/>
      <c r="K145" s="75"/>
      <c r="L145" s="63"/>
      <c r="M145" s="61"/>
      <c r="N145" s="113"/>
      <c r="O145" s="62"/>
      <c r="P145" s="97"/>
      <c r="Q145" s="62"/>
      <c r="R145" s="62"/>
      <c r="S145" s="164"/>
    </row>
    <row r="146" spans="1:19" ht="15.75" x14ac:dyDescent="0.25">
      <c r="A146" s="58"/>
      <c r="B146" s="59"/>
      <c r="C146" s="59"/>
      <c r="D146" s="59"/>
      <c r="E146" s="60"/>
      <c r="F146" s="80"/>
      <c r="G146" s="81"/>
      <c r="H146" s="81"/>
      <c r="I146" s="53"/>
      <c r="J146" s="75"/>
      <c r="K146" s="75"/>
      <c r="L146" s="63"/>
      <c r="M146" s="61"/>
      <c r="N146" s="113"/>
      <c r="O146" s="62"/>
      <c r="P146" s="97"/>
      <c r="Q146" s="62"/>
      <c r="R146" s="62"/>
      <c r="S146" s="164"/>
    </row>
    <row r="147" spans="1:19" ht="15.75" x14ac:dyDescent="0.25">
      <c r="A147" s="58"/>
      <c r="B147" s="59"/>
      <c r="C147" s="59"/>
      <c r="D147" s="59"/>
      <c r="E147" s="60"/>
      <c r="F147" s="80"/>
      <c r="G147" s="81"/>
      <c r="H147" s="81"/>
      <c r="I147" s="53"/>
      <c r="J147" s="75"/>
      <c r="K147" s="75"/>
      <c r="L147" s="63"/>
      <c r="M147" s="61"/>
      <c r="N147" s="113"/>
      <c r="O147" s="62"/>
      <c r="P147" s="97"/>
      <c r="Q147" s="62"/>
      <c r="R147" s="62"/>
      <c r="S147" s="164"/>
    </row>
    <row r="148" spans="1:19" ht="15.75" x14ac:dyDescent="0.25">
      <c r="A148" s="58"/>
      <c r="B148" s="59"/>
      <c r="C148" s="59"/>
      <c r="D148" s="59"/>
      <c r="E148" s="60"/>
      <c r="F148" s="80"/>
      <c r="G148" s="81"/>
      <c r="H148" s="81"/>
      <c r="I148" s="53"/>
      <c r="J148" s="75"/>
      <c r="K148" s="75"/>
      <c r="L148" s="144"/>
      <c r="M148" s="61"/>
      <c r="N148" s="55"/>
      <c r="O148" s="62"/>
      <c r="P148" s="97"/>
      <c r="Q148" s="62"/>
      <c r="R148" s="62"/>
      <c r="S148" s="164"/>
    </row>
    <row r="149" spans="1:19" ht="15.75" x14ac:dyDescent="0.25">
      <c r="A149" s="58"/>
      <c r="B149" s="59"/>
      <c r="C149" s="59"/>
      <c r="D149" s="59"/>
      <c r="E149" s="60"/>
      <c r="F149" s="80"/>
      <c r="G149" s="81"/>
      <c r="H149" s="81"/>
      <c r="I149" s="53"/>
      <c r="J149" s="75"/>
      <c r="K149" s="75"/>
      <c r="L149" s="63"/>
      <c r="M149" s="61"/>
      <c r="N149" s="55"/>
      <c r="O149" s="62"/>
      <c r="P149" s="97"/>
      <c r="Q149" s="62"/>
      <c r="R149" s="62"/>
      <c r="S149" s="164"/>
    </row>
    <row r="150" spans="1:19" ht="15.75" x14ac:dyDescent="0.25">
      <c r="A150" s="58"/>
      <c r="B150" s="59"/>
      <c r="C150" s="59"/>
      <c r="D150" s="59"/>
      <c r="E150" s="60"/>
      <c r="F150" s="80"/>
      <c r="G150" s="81"/>
      <c r="H150" s="81"/>
      <c r="I150" s="53"/>
      <c r="J150" s="75"/>
      <c r="K150" s="75"/>
      <c r="L150" s="63"/>
      <c r="M150" s="61"/>
      <c r="N150" s="113"/>
      <c r="O150" s="62"/>
      <c r="P150" s="97"/>
      <c r="Q150" s="62"/>
      <c r="R150" s="62"/>
      <c r="S150" s="164"/>
    </row>
    <row r="151" spans="1:19" ht="15.75" x14ac:dyDescent="0.25">
      <c r="A151" s="58"/>
      <c r="B151" s="59"/>
      <c r="C151" s="59"/>
      <c r="D151" s="59"/>
      <c r="E151" s="60"/>
      <c r="F151" s="80"/>
      <c r="G151" s="81"/>
      <c r="H151" s="81"/>
      <c r="I151" s="53"/>
      <c r="J151" s="75"/>
      <c r="K151" s="75"/>
      <c r="L151" s="63"/>
      <c r="M151" s="61"/>
      <c r="N151" s="113"/>
      <c r="O151" s="62"/>
      <c r="P151" s="97"/>
      <c r="Q151" s="62"/>
      <c r="R151" s="62"/>
      <c r="S151" s="164"/>
    </row>
    <row r="152" spans="1:19" ht="15.75" x14ac:dyDescent="0.25">
      <c r="A152" s="58"/>
      <c r="B152" s="59"/>
      <c r="C152" s="59"/>
      <c r="D152" s="59"/>
      <c r="E152" s="60"/>
      <c r="F152" s="80"/>
      <c r="G152" s="81"/>
      <c r="H152" s="81"/>
      <c r="I152" s="53"/>
      <c r="J152" s="75"/>
      <c r="K152" s="75"/>
      <c r="L152" s="63"/>
      <c r="M152" s="61"/>
      <c r="N152" s="113"/>
      <c r="O152" s="62"/>
      <c r="P152" s="97"/>
      <c r="Q152" s="62"/>
      <c r="R152" s="62"/>
      <c r="S152" s="164"/>
    </row>
    <row r="153" spans="1:19" ht="15.75" x14ac:dyDescent="0.25">
      <c r="A153" s="58"/>
      <c r="B153" s="59"/>
      <c r="C153" s="59"/>
      <c r="D153" s="59"/>
      <c r="E153" s="60"/>
      <c r="F153" s="80"/>
      <c r="G153" s="81"/>
      <c r="H153" s="81"/>
      <c r="I153" s="53"/>
      <c r="J153" s="75"/>
      <c r="K153" s="75"/>
      <c r="L153" s="63"/>
      <c r="M153" s="61"/>
      <c r="N153" s="113"/>
      <c r="O153" s="62"/>
      <c r="P153" s="97"/>
      <c r="Q153" s="62"/>
      <c r="R153" s="62"/>
      <c r="S153" s="164"/>
    </row>
    <row r="154" spans="1:19" ht="15.75" x14ac:dyDescent="0.25">
      <c r="A154" s="58"/>
      <c r="B154" s="59"/>
      <c r="C154" s="59"/>
      <c r="D154" s="59"/>
      <c r="E154" s="60"/>
      <c r="F154" s="80"/>
      <c r="G154" s="81"/>
      <c r="H154" s="81"/>
      <c r="I154" s="53"/>
      <c r="J154" s="75"/>
      <c r="K154" s="75"/>
      <c r="L154" s="63"/>
      <c r="M154" s="61"/>
      <c r="N154" s="55"/>
      <c r="O154" s="62"/>
      <c r="P154" s="97"/>
      <c r="Q154" s="62"/>
      <c r="R154" s="62"/>
      <c r="S154" s="164"/>
    </row>
    <row r="155" spans="1:19" ht="15.75" x14ac:dyDescent="0.25">
      <c r="A155" s="58"/>
      <c r="B155" s="59"/>
      <c r="C155" s="59"/>
      <c r="D155" s="59"/>
      <c r="E155" s="60"/>
      <c r="F155" s="80"/>
      <c r="G155" s="81"/>
      <c r="H155" s="81"/>
      <c r="I155" s="53"/>
      <c r="J155" s="75"/>
      <c r="K155" s="75"/>
      <c r="L155" s="63"/>
      <c r="M155" s="61"/>
      <c r="N155" s="55"/>
      <c r="O155" s="62"/>
      <c r="P155" s="97"/>
      <c r="Q155" s="62"/>
      <c r="R155" s="62"/>
      <c r="S155" s="164"/>
    </row>
    <row r="156" spans="1:19" ht="15.75" x14ac:dyDescent="0.25">
      <c r="A156" s="58"/>
      <c r="B156" s="59"/>
      <c r="C156" s="59"/>
      <c r="D156" s="59"/>
      <c r="E156" s="60"/>
      <c r="F156" s="80"/>
      <c r="G156" s="81"/>
      <c r="H156" s="81"/>
      <c r="I156" s="53"/>
      <c r="J156" s="75"/>
      <c r="K156" s="75"/>
      <c r="L156" s="63"/>
      <c r="M156" s="61"/>
      <c r="N156" s="55"/>
      <c r="O156" s="62"/>
      <c r="P156" s="97"/>
      <c r="Q156" s="62"/>
      <c r="R156" s="62"/>
      <c r="S156" s="164"/>
    </row>
    <row r="157" spans="1:19" ht="15.75" x14ac:dyDescent="0.25">
      <c r="A157" s="58"/>
      <c r="B157" s="59"/>
      <c r="C157" s="59"/>
      <c r="D157" s="59"/>
      <c r="E157" s="60"/>
      <c r="F157" s="80"/>
      <c r="G157" s="81"/>
      <c r="H157" s="81"/>
      <c r="I157" s="53"/>
      <c r="J157" s="75"/>
      <c r="K157" s="75"/>
      <c r="L157" s="63"/>
      <c r="M157" s="61"/>
      <c r="N157" s="55"/>
      <c r="O157" s="62"/>
      <c r="P157" s="97"/>
      <c r="Q157" s="62"/>
      <c r="R157" s="62"/>
      <c r="S157" s="164"/>
    </row>
    <row r="158" spans="1:19" ht="15.75" x14ac:dyDescent="0.25">
      <c r="A158" s="58"/>
      <c r="B158" s="59"/>
      <c r="C158" s="59"/>
      <c r="D158" s="59"/>
      <c r="E158" s="60"/>
      <c r="F158" s="80"/>
      <c r="G158" s="81"/>
      <c r="H158" s="81"/>
      <c r="I158" s="53"/>
      <c r="J158" s="75"/>
      <c r="K158" s="75"/>
      <c r="L158" s="63"/>
      <c r="M158" s="61"/>
      <c r="N158" s="55"/>
      <c r="O158" s="62"/>
      <c r="P158" s="97"/>
      <c r="Q158" s="62"/>
      <c r="R158" s="62"/>
      <c r="S158" s="164"/>
    </row>
    <row r="159" spans="1:19" ht="15.75" x14ac:dyDescent="0.25">
      <c r="A159" s="58"/>
      <c r="B159" s="59"/>
      <c r="C159" s="59"/>
      <c r="D159" s="59"/>
      <c r="E159" s="60"/>
      <c r="F159" s="80"/>
      <c r="G159" s="81"/>
      <c r="H159" s="81"/>
      <c r="I159" s="53"/>
      <c r="J159" s="75"/>
      <c r="K159" s="75"/>
      <c r="L159" s="63"/>
      <c r="M159" s="61"/>
      <c r="N159" s="55"/>
      <c r="O159" s="62"/>
      <c r="P159" s="97"/>
      <c r="Q159" s="62"/>
      <c r="R159" s="62"/>
      <c r="S159" s="164"/>
    </row>
    <row r="160" spans="1:19" ht="15.75" x14ac:dyDescent="0.25">
      <c r="A160" s="58"/>
      <c r="B160" s="59"/>
      <c r="C160" s="59"/>
      <c r="D160" s="59"/>
      <c r="E160" s="60"/>
      <c r="F160" s="80"/>
      <c r="G160" s="81"/>
      <c r="H160" s="81"/>
      <c r="I160" s="53"/>
      <c r="J160" s="75"/>
      <c r="K160" s="75"/>
      <c r="L160" s="63"/>
      <c r="M160" s="61"/>
      <c r="N160" s="55"/>
      <c r="O160" s="62"/>
      <c r="P160" s="97"/>
      <c r="Q160" s="62"/>
      <c r="R160" s="62"/>
      <c r="S160" s="164"/>
    </row>
    <row r="161" spans="1:19" ht="15.75" x14ac:dyDescent="0.25">
      <c r="A161" s="58"/>
      <c r="B161" s="59"/>
      <c r="C161" s="59"/>
      <c r="D161" s="59"/>
      <c r="E161" s="60"/>
      <c r="F161" s="80"/>
      <c r="G161" s="81"/>
      <c r="H161" s="81"/>
      <c r="I161" s="53"/>
      <c r="J161" s="75"/>
      <c r="K161" s="75"/>
      <c r="L161" s="63"/>
      <c r="M161" s="61"/>
      <c r="N161" s="55"/>
      <c r="O161" s="62"/>
      <c r="P161" s="97"/>
      <c r="Q161" s="62"/>
      <c r="R161" s="62"/>
      <c r="S161" s="164"/>
    </row>
    <row r="162" spans="1:19" ht="15.75" x14ac:dyDescent="0.25">
      <c r="A162" s="58"/>
      <c r="B162" s="59"/>
      <c r="C162" s="59"/>
      <c r="D162" s="59"/>
      <c r="E162" s="60"/>
      <c r="F162" s="80"/>
      <c r="G162" s="81"/>
      <c r="H162" s="81"/>
      <c r="I162" s="53"/>
      <c r="J162" s="75"/>
      <c r="K162" s="75"/>
      <c r="L162" s="63"/>
      <c r="M162" s="61"/>
      <c r="N162" s="55"/>
      <c r="O162" s="62"/>
      <c r="P162" s="97"/>
      <c r="Q162" s="62"/>
      <c r="R162" s="62"/>
      <c r="S162" s="164"/>
    </row>
    <row r="163" spans="1:19" ht="15.75" x14ac:dyDescent="0.25">
      <c r="A163" s="58"/>
      <c r="B163" s="59"/>
      <c r="C163" s="59"/>
      <c r="D163" s="59"/>
      <c r="E163" s="60"/>
      <c r="F163" s="80"/>
      <c r="G163" s="81"/>
      <c r="H163" s="81"/>
      <c r="I163" s="53"/>
      <c r="J163" s="75"/>
      <c r="K163" s="75"/>
      <c r="L163" s="63"/>
      <c r="M163" s="61"/>
      <c r="N163" s="55"/>
      <c r="O163" s="62"/>
      <c r="P163" s="97"/>
      <c r="Q163" s="62"/>
      <c r="R163" s="62"/>
      <c r="S163" s="164"/>
    </row>
    <row r="164" spans="1:19" ht="15.75" x14ac:dyDescent="0.25">
      <c r="A164" s="58"/>
      <c r="B164" s="59"/>
      <c r="C164" s="59"/>
      <c r="D164" s="59"/>
      <c r="E164" s="60"/>
      <c r="F164" s="80"/>
      <c r="G164" s="81"/>
      <c r="H164" s="81"/>
      <c r="I164" s="53"/>
      <c r="J164" s="75"/>
      <c r="K164" s="75"/>
      <c r="L164" s="63"/>
      <c r="M164" s="61"/>
      <c r="N164" s="55"/>
      <c r="O164" s="62"/>
      <c r="P164" s="97"/>
      <c r="Q164" s="62"/>
      <c r="R164" s="62"/>
      <c r="S164" s="164"/>
    </row>
    <row r="165" spans="1:19" ht="15.75" x14ac:dyDescent="0.25">
      <c r="A165" s="58"/>
      <c r="B165" s="59"/>
      <c r="C165" s="59"/>
      <c r="D165" s="59"/>
      <c r="E165" s="60"/>
      <c r="F165" s="80"/>
      <c r="G165" s="81"/>
      <c r="H165" s="81"/>
      <c r="I165" s="53"/>
      <c r="J165" s="75"/>
      <c r="K165" s="75"/>
      <c r="L165" s="114"/>
      <c r="M165" s="115"/>
      <c r="N165" s="55"/>
      <c r="O165" s="139"/>
      <c r="P165" s="97"/>
      <c r="Q165" s="62"/>
      <c r="R165" s="62"/>
      <c r="S165" s="164"/>
    </row>
    <row r="166" spans="1:19" ht="15.75" x14ac:dyDescent="0.25">
      <c r="A166" s="58"/>
      <c r="B166" s="59"/>
      <c r="C166" s="59"/>
      <c r="D166" s="59"/>
      <c r="E166" s="60"/>
      <c r="F166" s="80"/>
      <c r="G166" s="81"/>
      <c r="H166" s="81"/>
      <c r="I166" s="53"/>
      <c r="J166" s="75"/>
      <c r="K166" s="75"/>
      <c r="L166" s="63"/>
      <c r="M166" s="61"/>
      <c r="N166" s="55"/>
      <c r="O166" s="62"/>
      <c r="P166" s="97"/>
      <c r="Q166" s="62"/>
      <c r="R166" s="62"/>
      <c r="S166" s="164"/>
    </row>
    <row r="167" spans="1:19" ht="15.75" x14ac:dyDescent="0.25">
      <c r="A167" s="58"/>
      <c r="B167" s="59"/>
      <c r="C167" s="59"/>
      <c r="D167" s="59"/>
      <c r="E167" s="60"/>
      <c r="F167" s="80"/>
      <c r="G167" s="81"/>
      <c r="H167" s="81"/>
      <c r="I167" s="53"/>
      <c r="J167" s="75"/>
      <c r="K167" s="75"/>
      <c r="L167" s="63"/>
      <c r="M167" s="61"/>
      <c r="N167" s="55"/>
      <c r="O167" s="62"/>
      <c r="P167" s="97"/>
      <c r="Q167" s="62"/>
      <c r="R167" s="62"/>
      <c r="S167" s="164"/>
    </row>
    <row r="168" spans="1:19" ht="15.75" x14ac:dyDescent="0.25">
      <c r="A168" s="58"/>
      <c r="B168" s="59"/>
      <c r="C168" s="59"/>
      <c r="D168" s="59"/>
      <c r="E168" s="60"/>
      <c r="F168" s="80"/>
      <c r="G168" s="81"/>
      <c r="H168" s="81"/>
      <c r="I168" s="53"/>
      <c r="J168" s="75"/>
      <c r="K168" s="75"/>
      <c r="L168" s="63"/>
      <c r="M168" s="61"/>
      <c r="N168" s="55"/>
      <c r="O168" s="62"/>
      <c r="P168" s="97"/>
      <c r="Q168" s="62"/>
      <c r="R168" s="62"/>
      <c r="S168" s="164"/>
    </row>
    <row r="169" spans="1:19" ht="15.75" x14ac:dyDescent="0.25">
      <c r="A169" s="58"/>
      <c r="B169" s="59"/>
      <c r="C169" s="59"/>
      <c r="D169" s="59"/>
      <c r="E169" s="60"/>
      <c r="F169" s="80"/>
      <c r="G169" s="81"/>
      <c r="H169" s="81"/>
      <c r="I169" s="53"/>
      <c r="J169" s="75"/>
      <c r="K169" s="75"/>
      <c r="L169" s="63"/>
      <c r="M169" s="61"/>
      <c r="N169" s="113"/>
      <c r="O169" s="62"/>
      <c r="P169" s="97"/>
      <c r="Q169" s="62"/>
      <c r="R169" s="62"/>
      <c r="S169" s="164"/>
    </row>
    <row r="170" spans="1:19" ht="15.75" x14ac:dyDescent="0.25">
      <c r="A170" s="58"/>
      <c r="B170" s="59"/>
      <c r="C170" s="59"/>
      <c r="D170" s="59"/>
      <c r="E170" s="60"/>
      <c r="F170" s="80"/>
      <c r="G170" s="81"/>
      <c r="H170" s="81"/>
      <c r="I170" s="53"/>
      <c r="J170" s="75"/>
      <c r="K170" s="75"/>
      <c r="L170" s="63"/>
      <c r="M170" s="61"/>
      <c r="N170" s="113"/>
      <c r="O170" s="62"/>
      <c r="P170" s="97"/>
      <c r="Q170" s="62"/>
      <c r="R170" s="62"/>
      <c r="S170" s="164"/>
    </row>
    <row r="171" spans="1:19" ht="15.75" x14ac:dyDescent="0.25">
      <c r="A171" s="58"/>
      <c r="B171" s="59"/>
      <c r="C171" s="59"/>
      <c r="D171" s="59"/>
      <c r="E171" s="60"/>
      <c r="F171" s="80"/>
      <c r="G171" s="81"/>
      <c r="H171" s="81"/>
      <c r="I171" s="53"/>
      <c r="J171" s="75"/>
      <c r="K171" s="75"/>
      <c r="L171" s="63"/>
      <c r="M171" s="61"/>
      <c r="N171" s="113"/>
      <c r="O171" s="62"/>
      <c r="P171" s="97"/>
      <c r="Q171" s="62"/>
      <c r="R171" s="62"/>
      <c r="S171" s="164"/>
    </row>
    <row r="172" spans="1:19" ht="15.75" x14ac:dyDescent="0.25">
      <c r="A172" s="58"/>
      <c r="B172" s="59"/>
      <c r="C172" s="59"/>
      <c r="D172" s="59"/>
      <c r="E172" s="60"/>
      <c r="F172" s="80"/>
      <c r="G172" s="81"/>
      <c r="H172" s="81"/>
      <c r="I172" s="53"/>
      <c r="J172" s="75"/>
      <c r="K172" s="75"/>
      <c r="L172" s="63"/>
      <c r="M172" s="145"/>
      <c r="N172" s="113"/>
      <c r="O172" s="62"/>
      <c r="P172" s="97"/>
      <c r="Q172" s="62"/>
      <c r="R172" s="62"/>
      <c r="S172" s="164"/>
    </row>
    <row r="173" spans="1:19" ht="15.75" x14ac:dyDescent="0.25">
      <c r="A173" s="58"/>
      <c r="B173" s="59"/>
      <c r="C173" s="59"/>
      <c r="D173" s="59"/>
      <c r="E173" s="60"/>
      <c r="F173" s="80"/>
      <c r="G173" s="81"/>
      <c r="H173" s="81"/>
      <c r="I173" s="53"/>
      <c r="J173" s="75"/>
      <c r="K173" s="75"/>
      <c r="L173" s="63"/>
      <c r="M173" s="61"/>
      <c r="N173" s="113"/>
      <c r="O173" s="62"/>
      <c r="P173" s="97"/>
      <c r="Q173" s="62"/>
      <c r="R173" s="62"/>
      <c r="S173" s="164"/>
    </row>
    <row r="174" spans="1:19" ht="15.75" x14ac:dyDescent="0.25">
      <c r="A174" s="58"/>
      <c r="B174" s="59"/>
      <c r="C174" s="59"/>
      <c r="D174" s="59"/>
      <c r="E174" s="60"/>
      <c r="F174" s="80"/>
      <c r="G174" s="81"/>
      <c r="H174" s="81"/>
      <c r="I174" s="53"/>
      <c r="J174" s="75"/>
      <c r="K174" s="75"/>
      <c r="L174" s="63"/>
      <c r="M174" s="61"/>
      <c r="N174" s="113"/>
      <c r="O174" s="62"/>
      <c r="P174" s="97"/>
      <c r="Q174" s="62"/>
      <c r="R174" s="62"/>
      <c r="S174" s="164"/>
    </row>
    <row r="175" spans="1:19" ht="15.75" x14ac:dyDescent="0.25">
      <c r="A175" s="58"/>
      <c r="B175" s="59"/>
      <c r="C175" s="59"/>
      <c r="D175" s="59"/>
      <c r="E175" s="60"/>
      <c r="F175" s="80"/>
      <c r="G175" s="81"/>
      <c r="H175" s="81"/>
      <c r="I175" s="53"/>
      <c r="J175" s="75"/>
      <c r="K175" s="75"/>
      <c r="L175" s="63"/>
      <c r="M175" s="61"/>
      <c r="N175" s="55"/>
      <c r="O175" s="62"/>
      <c r="P175" s="97"/>
      <c r="Q175" s="62"/>
      <c r="R175" s="62"/>
      <c r="S175" s="164"/>
    </row>
    <row r="176" spans="1:19" ht="15.75" x14ac:dyDescent="0.25">
      <c r="A176" s="58"/>
      <c r="B176" s="59"/>
      <c r="C176" s="59"/>
      <c r="D176" s="59"/>
      <c r="E176" s="60"/>
      <c r="F176" s="80"/>
      <c r="G176" s="81"/>
      <c r="H176" s="81"/>
      <c r="I176" s="53"/>
      <c r="J176" s="75"/>
      <c r="K176" s="75"/>
      <c r="L176" s="63"/>
      <c r="M176" s="61"/>
      <c r="N176" s="55"/>
      <c r="O176" s="62"/>
      <c r="P176" s="97"/>
      <c r="Q176" s="62"/>
      <c r="R176" s="62"/>
      <c r="S176" s="164"/>
    </row>
    <row r="177" spans="1:19" ht="15.75" x14ac:dyDescent="0.25">
      <c r="A177" s="58"/>
      <c r="B177" s="59"/>
      <c r="C177" s="59"/>
      <c r="D177" s="59"/>
      <c r="E177" s="60"/>
      <c r="F177" s="80"/>
      <c r="G177" s="81"/>
      <c r="H177" s="81"/>
      <c r="I177" s="53"/>
      <c r="J177" s="75"/>
      <c r="K177" s="75"/>
      <c r="L177" s="63"/>
      <c r="M177" s="61"/>
      <c r="N177" s="55"/>
      <c r="O177" s="62"/>
      <c r="P177" s="97"/>
      <c r="Q177" s="62"/>
      <c r="R177" s="62"/>
      <c r="S177" s="164"/>
    </row>
    <row r="178" spans="1:19" ht="15.75" x14ac:dyDescent="0.25">
      <c r="A178" s="58"/>
      <c r="B178" s="59"/>
      <c r="C178" s="59"/>
      <c r="D178" s="59"/>
      <c r="E178" s="60"/>
      <c r="F178" s="80"/>
      <c r="G178" s="81"/>
      <c r="H178" s="81"/>
      <c r="I178" s="53"/>
      <c r="J178" s="75"/>
      <c r="K178" s="75"/>
      <c r="L178" s="63"/>
      <c r="M178" s="61"/>
      <c r="N178" s="55"/>
      <c r="O178" s="62"/>
      <c r="P178" s="97"/>
      <c r="Q178" s="62"/>
      <c r="R178" s="62"/>
      <c r="S178" s="164"/>
    </row>
    <row r="179" spans="1:19" ht="15.75" x14ac:dyDescent="0.25">
      <c r="A179" s="58"/>
      <c r="B179" s="59"/>
      <c r="C179" s="59"/>
      <c r="D179" s="59"/>
      <c r="E179" s="60"/>
      <c r="F179" s="80"/>
      <c r="G179" s="81"/>
      <c r="H179" s="81"/>
      <c r="I179" s="53"/>
      <c r="J179" s="75"/>
      <c r="K179" s="75"/>
      <c r="L179" s="63"/>
      <c r="M179" s="61"/>
      <c r="N179" s="55"/>
      <c r="O179" s="62"/>
      <c r="P179" s="97"/>
      <c r="Q179" s="62"/>
      <c r="R179" s="62"/>
      <c r="S179" s="164"/>
    </row>
    <row r="180" spans="1:19" ht="15.75" x14ac:dyDescent="0.25">
      <c r="A180" s="58"/>
      <c r="B180" s="59"/>
      <c r="C180" s="59"/>
      <c r="D180" s="59"/>
      <c r="E180" s="60"/>
      <c r="F180" s="80"/>
      <c r="G180" s="81"/>
      <c r="H180" s="81"/>
      <c r="I180" s="53"/>
      <c r="J180" s="75"/>
      <c r="K180" s="75"/>
      <c r="L180" s="63"/>
      <c r="M180" s="61"/>
      <c r="N180" s="55"/>
      <c r="O180" s="62"/>
      <c r="P180" s="97"/>
      <c r="Q180" s="62"/>
      <c r="R180" s="62"/>
      <c r="S180" s="164"/>
    </row>
    <row r="181" spans="1:19" ht="15.75" x14ac:dyDescent="0.25">
      <c r="A181" s="58"/>
      <c r="B181" s="59"/>
      <c r="C181" s="59"/>
      <c r="D181" s="59"/>
      <c r="E181" s="60"/>
      <c r="F181" s="80"/>
      <c r="G181" s="81"/>
      <c r="H181" s="81"/>
      <c r="I181" s="53"/>
      <c r="J181" s="75"/>
      <c r="K181" s="75"/>
      <c r="L181" s="114"/>
      <c r="M181" s="115"/>
      <c r="N181" s="55"/>
      <c r="O181" s="139"/>
      <c r="P181" s="97"/>
      <c r="Q181" s="62"/>
      <c r="R181" s="62"/>
      <c r="S181" s="164"/>
    </row>
    <row r="182" spans="1:19" ht="15.75" x14ac:dyDescent="0.25">
      <c r="A182" s="58"/>
      <c r="B182" s="59"/>
      <c r="C182" s="59"/>
      <c r="D182" s="59"/>
      <c r="E182" s="60"/>
      <c r="F182" s="80"/>
      <c r="G182" s="81"/>
      <c r="H182" s="81"/>
      <c r="I182" s="53"/>
      <c r="J182" s="75"/>
      <c r="K182" s="75"/>
      <c r="L182" s="114"/>
      <c r="M182" s="115"/>
      <c r="N182" s="55"/>
      <c r="O182" s="139"/>
      <c r="P182" s="97"/>
      <c r="Q182" s="62"/>
      <c r="R182" s="62"/>
      <c r="S182" s="164"/>
    </row>
    <row r="183" spans="1:19" ht="15.75" x14ac:dyDescent="0.25">
      <c r="A183" s="58"/>
      <c r="B183" s="59"/>
      <c r="C183" s="59"/>
      <c r="D183" s="59"/>
      <c r="E183" s="60"/>
      <c r="F183" s="80"/>
      <c r="G183" s="81"/>
      <c r="H183" s="81"/>
      <c r="I183" s="53"/>
      <c r="J183" s="75"/>
      <c r="K183" s="75"/>
      <c r="L183" s="114"/>
      <c r="M183" s="115"/>
      <c r="N183" s="55"/>
      <c r="O183" s="139"/>
      <c r="P183" s="97"/>
      <c r="Q183" s="62"/>
      <c r="R183" s="62"/>
      <c r="S183" s="164"/>
    </row>
    <row r="184" spans="1:19" ht="15.75" x14ac:dyDescent="0.25">
      <c r="A184" s="58"/>
      <c r="B184" s="59"/>
      <c r="C184" s="59"/>
      <c r="D184" s="59"/>
      <c r="E184" s="60"/>
      <c r="F184" s="80"/>
      <c r="G184" s="81"/>
      <c r="H184" s="81"/>
      <c r="I184" s="53"/>
      <c r="J184" s="75"/>
      <c r="K184" s="75"/>
      <c r="L184" s="114"/>
      <c r="M184" s="115"/>
      <c r="N184" s="55"/>
      <c r="O184" s="139"/>
      <c r="P184" s="97"/>
      <c r="Q184" s="62"/>
      <c r="R184" s="62"/>
      <c r="S184" s="164"/>
    </row>
    <row r="185" spans="1:19" ht="15.75" x14ac:dyDescent="0.25">
      <c r="A185" s="58"/>
      <c r="B185" s="59"/>
      <c r="C185" s="59"/>
      <c r="D185" s="59"/>
      <c r="E185" s="60"/>
      <c r="F185" s="80"/>
      <c r="G185" s="81"/>
      <c r="H185" s="81"/>
      <c r="I185" s="53"/>
      <c r="J185" s="75"/>
      <c r="K185" s="75"/>
      <c r="L185" s="114"/>
      <c r="M185" s="115"/>
      <c r="N185" s="55"/>
      <c r="O185" s="139"/>
      <c r="P185" s="97"/>
      <c r="Q185" s="62"/>
      <c r="R185" s="62"/>
      <c r="S185" s="164"/>
    </row>
    <row r="186" spans="1:19" ht="15.75" x14ac:dyDescent="0.25">
      <c r="A186" s="58"/>
      <c r="B186" s="59"/>
      <c r="C186" s="59"/>
      <c r="D186" s="59"/>
      <c r="E186" s="60"/>
      <c r="F186" s="80"/>
      <c r="G186" s="81"/>
      <c r="H186" s="81"/>
      <c r="I186" s="53"/>
      <c r="J186" s="75"/>
      <c r="K186" s="75"/>
      <c r="L186" s="63"/>
      <c r="M186" s="61"/>
      <c r="N186" s="55"/>
      <c r="O186" s="62"/>
      <c r="P186" s="97"/>
      <c r="Q186" s="62"/>
      <c r="R186" s="62"/>
      <c r="S186" s="164"/>
    </row>
    <row r="187" spans="1:19" ht="15.75" x14ac:dyDescent="0.25">
      <c r="A187" s="58"/>
      <c r="B187" s="59"/>
      <c r="C187" s="59"/>
      <c r="D187" s="59"/>
      <c r="E187" s="60"/>
      <c r="F187" s="80"/>
      <c r="G187" s="81"/>
      <c r="H187" s="81"/>
      <c r="I187" s="53"/>
      <c r="J187" s="75"/>
      <c r="K187" s="75"/>
      <c r="L187" s="63"/>
      <c r="M187" s="61"/>
      <c r="N187" s="55"/>
      <c r="O187" s="62"/>
      <c r="P187" s="97"/>
      <c r="Q187" s="62"/>
      <c r="R187" s="62"/>
      <c r="S187" s="164"/>
    </row>
    <row r="188" spans="1:19" ht="15.75" x14ac:dyDescent="0.25">
      <c r="A188" s="58"/>
      <c r="B188" s="59"/>
      <c r="C188" s="59"/>
      <c r="D188" s="59"/>
      <c r="E188" s="60"/>
      <c r="F188" s="80"/>
      <c r="G188" s="81"/>
      <c r="H188" s="81"/>
      <c r="I188" s="53"/>
      <c r="J188" s="75"/>
      <c r="K188" s="75"/>
      <c r="L188" s="63"/>
      <c r="M188" s="61"/>
      <c r="N188" s="55"/>
      <c r="O188" s="62"/>
      <c r="P188" s="97"/>
      <c r="Q188" s="62"/>
      <c r="R188" s="62"/>
      <c r="S188" s="164"/>
    </row>
    <row r="189" spans="1:19" ht="15.75" x14ac:dyDescent="0.25">
      <c r="A189" s="58"/>
      <c r="B189" s="59"/>
      <c r="C189" s="59"/>
      <c r="D189" s="59"/>
      <c r="E189" s="60"/>
      <c r="F189" s="80"/>
      <c r="G189" s="81"/>
      <c r="H189" s="81"/>
      <c r="I189" s="53"/>
      <c r="J189" s="75"/>
      <c r="K189" s="75"/>
      <c r="L189" s="63"/>
      <c r="M189" s="61"/>
      <c r="N189" s="55"/>
      <c r="O189" s="62"/>
      <c r="P189" s="97"/>
      <c r="Q189" s="62"/>
      <c r="R189" s="62"/>
      <c r="S189" s="164"/>
    </row>
    <row r="190" spans="1:19" ht="15.75" x14ac:dyDescent="0.25">
      <c r="A190" s="58"/>
      <c r="B190" s="59"/>
      <c r="C190" s="59"/>
      <c r="D190" s="59"/>
      <c r="E190" s="60"/>
      <c r="F190" s="80"/>
      <c r="G190" s="81"/>
      <c r="H190" s="81"/>
      <c r="I190" s="53"/>
      <c r="J190" s="75"/>
      <c r="K190" s="75"/>
      <c r="L190" s="63"/>
      <c r="M190" s="61"/>
      <c r="N190" s="55"/>
      <c r="O190" s="62"/>
      <c r="P190" s="97"/>
      <c r="Q190" s="62"/>
      <c r="R190" s="62"/>
      <c r="S190" s="164"/>
    </row>
    <row r="191" spans="1:19" ht="15.75" x14ac:dyDescent="0.25">
      <c r="A191" s="58"/>
      <c r="B191" s="59"/>
      <c r="C191" s="59"/>
      <c r="D191" s="59"/>
      <c r="E191" s="60"/>
      <c r="F191" s="80"/>
      <c r="G191" s="81"/>
      <c r="H191" s="81"/>
      <c r="I191" s="53"/>
      <c r="J191" s="75"/>
      <c r="K191" s="75"/>
      <c r="L191" s="63"/>
      <c r="M191" s="61"/>
      <c r="N191" s="55"/>
      <c r="O191" s="62"/>
      <c r="P191" s="97"/>
      <c r="Q191" s="62"/>
      <c r="R191" s="62"/>
      <c r="S191" s="164"/>
    </row>
    <row r="192" spans="1:19" ht="15.75" x14ac:dyDescent="0.25">
      <c r="A192" s="58"/>
      <c r="B192" s="59"/>
      <c r="C192" s="59"/>
      <c r="D192" s="59"/>
      <c r="E192" s="60"/>
      <c r="F192" s="80"/>
      <c r="G192" s="81"/>
      <c r="H192" s="81"/>
      <c r="I192" s="53"/>
      <c r="J192" s="75"/>
      <c r="K192" s="75"/>
      <c r="L192" s="63"/>
      <c r="M192" s="61"/>
      <c r="N192" s="55"/>
      <c r="O192" s="62"/>
      <c r="P192" s="97"/>
      <c r="Q192" s="62"/>
      <c r="R192" s="62"/>
      <c r="S192" s="164"/>
    </row>
    <row r="193" spans="1:19" ht="15.75" x14ac:dyDescent="0.25">
      <c r="A193" s="58"/>
      <c r="B193" s="59"/>
      <c r="C193" s="59"/>
      <c r="D193" s="59"/>
      <c r="E193" s="60"/>
      <c r="F193" s="80"/>
      <c r="G193" s="81"/>
      <c r="H193" s="81"/>
      <c r="I193" s="53"/>
      <c r="J193" s="75"/>
      <c r="K193" s="75"/>
      <c r="L193" s="63"/>
      <c r="M193" s="61"/>
      <c r="N193" s="55"/>
      <c r="O193" s="62"/>
      <c r="P193" s="97"/>
      <c r="Q193" s="62"/>
      <c r="R193" s="62"/>
      <c r="S193" s="164"/>
    </row>
    <row r="194" spans="1:19" ht="15.75" x14ac:dyDescent="0.25">
      <c r="A194" s="58"/>
      <c r="B194" s="59"/>
      <c r="C194" s="59"/>
      <c r="D194" s="59"/>
      <c r="E194" s="60"/>
      <c r="F194" s="80"/>
      <c r="G194" s="81"/>
      <c r="H194" s="81"/>
      <c r="I194" s="53"/>
      <c r="J194" s="75"/>
      <c r="K194" s="75"/>
      <c r="L194" s="63"/>
      <c r="M194" s="61"/>
      <c r="N194" s="55"/>
      <c r="O194" s="62"/>
      <c r="P194" s="97"/>
      <c r="Q194" s="62"/>
      <c r="R194" s="62"/>
      <c r="S194" s="164"/>
    </row>
    <row r="195" spans="1:19" ht="15.75" x14ac:dyDescent="0.25">
      <c r="A195" s="58"/>
      <c r="B195" s="59"/>
      <c r="C195" s="59"/>
      <c r="D195" s="59"/>
      <c r="E195" s="60"/>
      <c r="F195" s="80"/>
      <c r="G195" s="81"/>
      <c r="H195" s="81"/>
      <c r="I195" s="53"/>
      <c r="J195" s="75"/>
      <c r="K195" s="75"/>
      <c r="L195" s="63"/>
      <c r="M195" s="61"/>
      <c r="N195" s="55"/>
      <c r="O195" s="62"/>
      <c r="P195" s="97"/>
      <c r="Q195" s="62"/>
      <c r="R195" s="62"/>
      <c r="S195" s="164"/>
    </row>
    <row r="196" spans="1:19" ht="15.75" x14ac:dyDescent="0.25">
      <c r="A196" s="58"/>
      <c r="B196" s="59"/>
      <c r="C196" s="59"/>
      <c r="D196" s="59"/>
      <c r="E196" s="60"/>
      <c r="F196" s="80"/>
      <c r="G196" s="81"/>
      <c r="H196" s="81"/>
      <c r="I196" s="53"/>
      <c r="J196" s="75"/>
      <c r="K196" s="75"/>
      <c r="L196" s="63"/>
      <c r="M196" s="61"/>
      <c r="N196" s="55"/>
      <c r="O196" s="62"/>
      <c r="P196" s="97"/>
      <c r="Q196" s="62"/>
      <c r="R196" s="62"/>
      <c r="S196" s="164"/>
    </row>
    <row r="197" spans="1:19" ht="15.75" x14ac:dyDescent="0.25">
      <c r="A197" s="58"/>
      <c r="B197" s="59"/>
      <c r="C197" s="59"/>
      <c r="D197" s="59"/>
      <c r="E197" s="60"/>
      <c r="F197" s="80"/>
      <c r="G197" s="81"/>
      <c r="H197" s="81"/>
      <c r="I197" s="53"/>
      <c r="J197" s="75"/>
      <c r="K197" s="75"/>
      <c r="L197" s="114"/>
      <c r="M197" s="115"/>
      <c r="N197" s="55"/>
      <c r="O197" s="139"/>
      <c r="P197" s="97"/>
      <c r="Q197" s="62"/>
      <c r="R197" s="62"/>
      <c r="S197" s="164"/>
    </row>
    <row r="198" spans="1:19" ht="15.75" x14ac:dyDescent="0.25">
      <c r="A198" s="58"/>
      <c r="B198" s="59"/>
      <c r="C198" s="59"/>
      <c r="D198" s="59"/>
      <c r="E198" s="60"/>
      <c r="F198" s="80"/>
      <c r="G198" s="81"/>
      <c r="H198" s="81"/>
      <c r="I198" s="53"/>
      <c r="J198" s="75"/>
      <c r="K198" s="75"/>
      <c r="L198" s="114"/>
      <c r="M198" s="115"/>
      <c r="N198" s="55"/>
      <c r="O198" s="139"/>
      <c r="P198" s="97"/>
      <c r="Q198" s="62"/>
      <c r="R198" s="62"/>
      <c r="S198" s="164"/>
    </row>
    <row r="199" spans="1:19" ht="15.75" x14ac:dyDescent="0.25">
      <c r="A199" s="58"/>
      <c r="B199" s="59"/>
      <c r="C199" s="59"/>
      <c r="D199" s="59"/>
      <c r="E199" s="60"/>
      <c r="F199" s="80"/>
      <c r="G199" s="81"/>
      <c r="H199" s="81"/>
      <c r="I199" s="53"/>
      <c r="J199" s="75"/>
      <c r="K199" s="75"/>
      <c r="L199" s="114"/>
      <c r="M199" s="115"/>
      <c r="N199" s="55"/>
      <c r="O199" s="139"/>
      <c r="P199" s="97"/>
      <c r="Q199" s="62"/>
      <c r="R199" s="62"/>
      <c r="S199" s="164"/>
    </row>
    <row r="200" spans="1:19" ht="15.75" x14ac:dyDescent="0.25">
      <c r="A200" s="58"/>
      <c r="B200" s="59"/>
      <c r="C200" s="59"/>
      <c r="D200" s="59"/>
      <c r="E200" s="60"/>
      <c r="F200" s="80"/>
      <c r="G200" s="81"/>
      <c r="H200" s="81"/>
      <c r="I200" s="53"/>
      <c r="J200" s="75"/>
      <c r="K200" s="75"/>
      <c r="L200" s="114"/>
      <c r="M200" s="115"/>
      <c r="N200" s="55"/>
      <c r="O200" s="139"/>
      <c r="P200" s="97"/>
      <c r="Q200" s="62"/>
      <c r="R200" s="62"/>
      <c r="S200" s="164"/>
    </row>
    <row r="201" spans="1:19" ht="15.75" x14ac:dyDescent="0.25">
      <c r="A201" s="58"/>
      <c r="B201" s="59"/>
      <c r="C201" s="59"/>
      <c r="D201" s="59"/>
      <c r="E201" s="60"/>
      <c r="F201" s="80"/>
      <c r="G201" s="81"/>
      <c r="H201" s="81"/>
      <c r="I201" s="53"/>
      <c r="J201" s="75"/>
      <c r="K201" s="75"/>
      <c r="L201" s="114"/>
      <c r="M201" s="115"/>
      <c r="N201" s="55"/>
      <c r="O201" s="139"/>
      <c r="P201" s="97"/>
      <c r="Q201" s="62"/>
      <c r="R201" s="62"/>
      <c r="S201" s="164"/>
    </row>
    <row r="202" spans="1:19" ht="15.75" x14ac:dyDescent="0.25">
      <c r="A202" s="58"/>
      <c r="B202" s="59"/>
      <c r="C202" s="59"/>
      <c r="D202" s="59"/>
      <c r="E202" s="60"/>
      <c r="F202" s="80"/>
      <c r="G202" s="81"/>
      <c r="H202" s="81"/>
      <c r="I202" s="53"/>
      <c r="J202" s="75"/>
      <c r="K202" s="75"/>
      <c r="L202" s="114"/>
      <c r="M202" s="115"/>
      <c r="N202" s="55"/>
      <c r="O202" s="139"/>
      <c r="P202" s="97"/>
      <c r="Q202" s="62"/>
      <c r="R202" s="62"/>
      <c r="S202" s="164"/>
    </row>
    <row r="203" spans="1:19" ht="15.75" x14ac:dyDescent="0.25">
      <c r="A203" s="58"/>
      <c r="B203" s="59"/>
      <c r="C203" s="59"/>
      <c r="D203" s="59"/>
      <c r="E203" s="60"/>
      <c r="F203" s="80"/>
      <c r="G203" s="81"/>
      <c r="H203" s="81"/>
      <c r="I203" s="53"/>
      <c r="J203" s="75"/>
      <c r="K203" s="75"/>
      <c r="L203" s="114"/>
      <c r="M203" s="115"/>
      <c r="N203" s="55"/>
      <c r="O203" s="139"/>
      <c r="P203" s="97"/>
      <c r="Q203" s="62"/>
      <c r="R203" s="62"/>
      <c r="S203" s="164"/>
    </row>
    <row r="204" spans="1:19" ht="15.75" x14ac:dyDescent="0.25">
      <c r="A204" s="58"/>
      <c r="B204" s="59"/>
      <c r="C204" s="59"/>
      <c r="D204" s="59"/>
      <c r="E204" s="60"/>
      <c r="F204" s="80"/>
      <c r="G204" s="81"/>
      <c r="H204" s="81"/>
      <c r="I204" s="53"/>
      <c r="J204" s="75"/>
      <c r="K204" s="75"/>
      <c r="L204" s="114"/>
      <c r="M204" s="115"/>
      <c r="N204" s="55"/>
      <c r="O204" s="139"/>
      <c r="P204" s="97"/>
      <c r="Q204" s="62"/>
      <c r="R204" s="62"/>
      <c r="S204" s="164"/>
    </row>
    <row r="205" spans="1:19" ht="15.75" x14ac:dyDescent="0.25">
      <c r="A205" s="58"/>
      <c r="B205" s="59"/>
      <c r="C205" s="59"/>
      <c r="D205" s="59"/>
      <c r="E205" s="60"/>
      <c r="F205" s="80"/>
      <c r="G205" s="81"/>
      <c r="H205" s="81"/>
      <c r="I205" s="53"/>
      <c r="J205" s="75"/>
      <c r="K205" s="75"/>
      <c r="L205" s="63"/>
      <c r="M205" s="61"/>
      <c r="N205" s="55"/>
      <c r="O205" s="62"/>
      <c r="P205" s="97"/>
      <c r="Q205" s="62"/>
      <c r="R205" s="62"/>
      <c r="S205" s="164"/>
    </row>
    <row r="206" spans="1:19" ht="15.75" x14ac:dyDescent="0.25">
      <c r="A206" s="58"/>
      <c r="B206" s="59"/>
      <c r="C206" s="59"/>
      <c r="D206" s="59"/>
      <c r="E206" s="60"/>
      <c r="F206" s="80"/>
      <c r="G206" s="81"/>
      <c r="H206" s="81"/>
      <c r="I206" s="53"/>
      <c r="J206" s="75"/>
      <c r="K206" s="75"/>
      <c r="L206" s="63"/>
      <c r="M206" s="61"/>
      <c r="N206" s="55"/>
      <c r="O206" s="62"/>
      <c r="P206" s="97"/>
      <c r="Q206" s="62"/>
      <c r="R206" s="62"/>
      <c r="S206" s="164"/>
    </row>
    <row r="207" spans="1:19" ht="15.75" x14ac:dyDescent="0.25">
      <c r="A207" s="58"/>
      <c r="B207" s="59"/>
      <c r="C207" s="59"/>
      <c r="D207" s="59"/>
      <c r="E207" s="60"/>
      <c r="F207" s="80"/>
      <c r="G207" s="81"/>
      <c r="H207" s="81"/>
      <c r="I207" s="53"/>
      <c r="J207" s="75"/>
      <c r="K207" s="75"/>
      <c r="L207" s="63"/>
      <c r="M207" s="61"/>
      <c r="N207" s="55"/>
      <c r="O207" s="62"/>
      <c r="P207" s="97"/>
      <c r="Q207" s="62"/>
      <c r="R207" s="62"/>
      <c r="S207" s="164"/>
    </row>
    <row r="208" spans="1:19" ht="15.75" x14ac:dyDescent="0.25">
      <c r="A208" s="58"/>
      <c r="B208" s="59"/>
      <c r="C208" s="59"/>
      <c r="D208" s="59"/>
      <c r="E208" s="60"/>
      <c r="F208" s="80"/>
      <c r="G208" s="81"/>
      <c r="H208" s="81"/>
      <c r="I208" s="53"/>
      <c r="J208" s="75"/>
      <c r="K208" s="75"/>
      <c r="L208" s="63"/>
      <c r="M208" s="61"/>
      <c r="N208" s="55"/>
      <c r="O208" s="62"/>
      <c r="P208" s="97"/>
      <c r="Q208" s="62"/>
      <c r="R208" s="62"/>
      <c r="S208" s="164"/>
    </row>
    <row r="209" spans="1:19" ht="15.75" x14ac:dyDescent="0.25">
      <c r="A209" s="58"/>
      <c r="B209" s="59"/>
      <c r="C209" s="59"/>
      <c r="D209" s="59"/>
      <c r="E209" s="60"/>
      <c r="F209" s="80"/>
      <c r="G209" s="81"/>
      <c r="H209" s="81"/>
      <c r="I209" s="53"/>
      <c r="J209" s="75"/>
      <c r="K209" s="75"/>
      <c r="L209" s="63"/>
      <c r="M209" s="61"/>
      <c r="N209" s="55"/>
      <c r="O209" s="62"/>
      <c r="P209" s="97"/>
      <c r="Q209" s="62"/>
      <c r="R209" s="62"/>
      <c r="S209" s="164"/>
    </row>
    <row r="210" spans="1:19" ht="15.75" x14ac:dyDescent="0.25">
      <c r="A210" s="58"/>
      <c r="B210" s="59"/>
      <c r="C210" s="59"/>
      <c r="D210" s="59"/>
      <c r="E210" s="60"/>
      <c r="F210" s="80"/>
      <c r="G210" s="81"/>
      <c r="H210" s="81"/>
      <c r="I210" s="53"/>
      <c r="J210" s="75"/>
      <c r="K210" s="75"/>
      <c r="L210" s="63"/>
      <c r="M210" s="61"/>
      <c r="N210" s="55"/>
      <c r="O210" s="62"/>
      <c r="P210" s="97"/>
      <c r="Q210" s="62"/>
      <c r="R210" s="62"/>
      <c r="S210" s="164"/>
    </row>
    <row r="211" spans="1:19" ht="15.75" x14ac:dyDescent="0.25">
      <c r="A211" s="58"/>
      <c r="B211" s="59"/>
      <c r="C211" s="59"/>
      <c r="D211" s="59"/>
      <c r="E211" s="60"/>
      <c r="F211" s="80"/>
      <c r="G211" s="81"/>
      <c r="H211" s="81"/>
      <c r="I211" s="53"/>
      <c r="J211" s="75"/>
      <c r="K211" s="75"/>
      <c r="L211" s="63"/>
      <c r="M211" s="61"/>
      <c r="N211" s="55"/>
      <c r="O211" s="62"/>
      <c r="P211" s="97"/>
      <c r="Q211" s="62"/>
      <c r="R211" s="62"/>
      <c r="S211" s="164"/>
    </row>
    <row r="212" spans="1:19" ht="15.75" x14ac:dyDescent="0.25">
      <c r="A212" s="58"/>
      <c r="B212" s="59"/>
      <c r="C212" s="59"/>
      <c r="D212" s="59"/>
      <c r="E212" s="60"/>
      <c r="F212" s="80"/>
      <c r="G212" s="81"/>
      <c r="H212" s="81"/>
      <c r="I212" s="53"/>
      <c r="J212" s="75"/>
      <c r="K212" s="75"/>
      <c r="L212" s="63"/>
      <c r="M212" s="61"/>
      <c r="N212" s="55"/>
      <c r="O212" s="139"/>
      <c r="P212" s="97"/>
      <c r="Q212" s="62"/>
      <c r="R212" s="62"/>
      <c r="S212" s="164"/>
    </row>
    <row r="213" spans="1:19" ht="15.75" x14ac:dyDescent="0.25">
      <c r="A213" s="58"/>
      <c r="B213" s="59"/>
      <c r="C213" s="59"/>
      <c r="D213" s="59"/>
      <c r="E213" s="60"/>
      <c r="F213" s="80"/>
      <c r="G213" s="81"/>
      <c r="H213" s="81"/>
      <c r="I213" s="53"/>
      <c r="J213" s="75"/>
      <c r="K213" s="75"/>
      <c r="L213" s="63"/>
      <c r="M213" s="61"/>
      <c r="N213" s="55"/>
      <c r="O213" s="139"/>
      <c r="P213" s="97"/>
      <c r="Q213" s="62"/>
      <c r="R213" s="62"/>
      <c r="S213" s="164"/>
    </row>
    <row r="214" spans="1:19" ht="15.75" x14ac:dyDescent="0.25">
      <c r="A214" s="58"/>
      <c r="B214" s="59"/>
      <c r="C214" s="59"/>
      <c r="D214" s="59"/>
      <c r="E214" s="60"/>
      <c r="F214" s="80"/>
      <c r="G214" s="81"/>
      <c r="H214" s="81"/>
      <c r="I214" s="53"/>
      <c r="J214" s="75"/>
      <c r="K214" s="75"/>
      <c r="L214" s="63"/>
      <c r="M214" s="61"/>
      <c r="N214" s="55"/>
      <c r="O214" s="139"/>
      <c r="P214" s="97"/>
      <c r="Q214" s="62"/>
      <c r="R214" s="62"/>
      <c r="S214" s="164"/>
    </row>
    <row r="215" spans="1:19" ht="15.75" x14ac:dyDescent="0.25">
      <c r="A215" s="58"/>
      <c r="B215" s="59"/>
      <c r="C215" s="59"/>
      <c r="D215" s="59"/>
      <c r="E215" s="60"/>
      <c r="F215" s="80"/>
      <c r="G215" s="81"/>
      <c r="H215" s="81"/>
      <c r="I215" s="53"/>
      <c r="J215" s="75"/>
      <c r="K215" s="75"/>
      <c r="L215" s="63"/>
      <c r="M215" s="61"/>
      <c r="N215" s="55"/>
      <c r="O215" s="139"/>
      <c r="P215" s="97"/>
      <c r="Q215" s="62"/>
      <c r="R215" s="62"/>
      <c r="S215" s="164"/>
    </row>
    <row r="216" spans="1:19" ht="15.75" x14ac:dyDescent="0.25">
      <c r="A216" s="58"/>
      <c r="B216" s="59"/>
      <c r="C216" s="59"/>
      <c r="D216" s="59"/>
      <c r="E216" s="60"/>
      <c r="F216" s="80"/>
      <c r="G216" s="81"/>
      <c r="H216" s="81"/>
      <c r="I216" s="53"/>
      <c r="J216" s="75"/>
      <c r="K216" s="75"/>
      <c r="L216" s="63"/>
      <c r="M216" s="61"/>
      <c r="N216" s="55"/>
      <c r="O216" s="139"/>
      <c r="P216" s="97"/>
      <c r="Q216" s="62"/>
      <c r="R216" s="62"/>
      <c r="S216" s="164"/>
    </row>
    <row r="217" spans="1:19" ht="15.75" x14ac:dyDescent="0.25">
      <c r="A217" s="58"/>
      <c r="B217" s="59"/>
      <c r="C217" s="59"/>
      <c r="D217" s="59"/>
      <c r="E217" s="60"/>
      <c r="F217" s="80"/>
      <c r="G217" s="81"/>
      <c r="H217" s="81"/>
      <c r="I217" s="53"/>
      <c r="J217" s="75"/>
      <c r="K217" s="75"/>
      <c r="L217" s="63"/>
      <c r="M217" s="61"/>
      <c r="N217" s="55"/>
      <c r="O217" s="139"/>
      <c r="P217" s="97"/>
      <c r="Q217" s="62"/>
      <c r="R217" s="62"/>
      <c r="S217" s="164"/>
    </row>
    <row r="218" spans="1:19" ht="15.75" x14ac:dyDescent="0.25">
      <c r="A218" s="58"/>
      <c r="B218" s="59"/>
      <c r="C218" s="59"/>
      <c r="D218" s="59"/>
      <c r="E218" s="60"/>
      <c r="F218" s="80"/>
      <c r="G218" s="81"/>
      <c r="H218" s="81"/>
      <c r="I218" s="53"/>
      <c r="J218" s="75"/>
      <c r="K218" s="75"/>
      <c r="L218" s="63"/>
      <c r="M218" s="61"/>
      <c r="N218" s="55"/>
      <c r="O218" s="139"/>
      <c r="P218" s="97"/>
      <c r="Q218" s="62"/>
      <c r="R218" s="62"/>
      <c r="S218" s="164"/>
    </row>
    <row r="219" spans="1:19" ht="15.75" x14ac:dyDescent="0.25">
      <c r="A219" s="58"/>
      <c r="B219" s="59"/>
      <c r="C219" s="59"/>
      <c r="D219" s="59"/>
      <c r="E219" s="60"/>
      <c r="F219" s="80"/>
      <c r="G219" s="81"/>
      <c r="H219" s="81"/>
      <c r="I219" s="53"/>
      <c r="J219" s="75"/>
      <c r="K219" s="75"/>
      <c r="L219" s="63"/>
      <c r="M219" s="61"/>
      <c r="N219" s="55"/>
      <c r="O219" s="139"/>
      <c r="P219" s="97"/>
      <c r="Q219" s="62"/>
      <c r="R219" s="62"/>
      <c r="S219" s="164"/>
    </row>
    <row r="220" spans="1:19" ht="15.75" x14ac:dyDescent="0.25">
      <c r="A220" s="90"/>
      <c r="B220" s="59"/>
      <c r="C220" s="59"/>
      <c r="D220" s="59"/>
      <c r="E220" s="60"/>
      <c r="F220" s="91"/>
      <c r="G220" s="92"/>
      <c r="H220" s="92"/>
      <c r="I220" s="53"/>
      <c r="J220" s="75"/>
      <c r="K220" s="75"/>
      <c r="L220" s="114"/>
      <c r="M220" s="115"/>
      <c r="N220" s="55"/>
      <c r="O220" s="139"/>
      <c r="P220" s="97"/>
      <c r="Q220" s="62"/>
      <c r="R220" s="62"/>
      <c r="S220" s="164"/>
    </row>
    <row r="221" spans="1:19" ht="15.75" x14ac:dyDescent="0.25">
      <c r="A221" s="90"/>
      <c r="B221" s="59"/>
      <c r="C221" s="59"/>
      <c r="D221" s="59"/>
      <c r="E221" s="60"/>
      <c r="F221" s="91"/>
      <c r="G221" s="92"/>
      <c r="H221" s="92"/>
      <c r="I221" s="53"/>
      <c r="J221" s="75"/>
      <c r="K221" s="75"/>
      <c r="L221" s="111"/>
      <c r="M221" s="112"/>
      <c r="N221" s="95"/>
      <c r="O221" s="140"/>
      <c r="P221" s="97"/>
      <c r="Q221" s="141"/>
      <c r="R221" s="141"/>
      <c r="S221" s="164"/>
    </row>
    <row r="222" spans="1:19" ht="15.75" x14ac:dyDescent="0.25">
      <c r="A222" s="90"/>
      <c r="B222" s="59"/>
      <c r="C222" s="59"/>
      <c r="D222" s="59"/>
      <c r="E222" s="60"/>
      <c r="F222" s="91"/>
      <c r="G222" s="92"/>
      <c r="H222" s="92"/>
      <c r="I222" s="53"/>
      <c r="J222" s="75"/>
      <c r="K222" s="75"/>
      <c r="L222" s="111"/>
      <c r="M222" s="112"/>
      <c r="N222" s="95"/>
      <c r="O222" s="140"/>
      <c r="P222" s="97"/>
      <c r="Q222" s="141"/>
      <c r="R222" s="141"/>
      <c r="S222" s="164"/>
    </row>
    <row r="223" spans="1:19" ht="15.75" x14ac:dyDescent="0.25">
      <c r="A223" s="90"/>
      <c r="B223" s="59"/>
      <c r="C223" s="59"/>
      <c r="D223" s="59"/>
      <c r="E223" s="60"/>
      <c r="F223" s="91"/>
      <c r="G223" s="92"/>
      <c r="H223" s="92"/>
      <c r="I223" s="53"/>
      <c r="J223" s="75"/>
      <c r="K223" s="75"/>
      <c r="L223" s="93"/>
      <c r="M223" s="94"/>
      <c r="N223" s="95"/>
      <c r="O223" s="140"/>
      <c r="P223" s="97"/>
      <c r="Q223" s="141"/>
      <c r="R223" s="141"/>
      <c r="S223" s="164"/>
    </row>
    <row r="224" spans="1:19" ht="15.75" x14ac:dyDescent="0.25">
      <c r="A224" s="90"/>
      <c r="B224" s="59"/>
      <c r="C224" s="59"/>
      <c r="D224" s="59"/>
      <c r="E224" s="60"/>
      <c r="F224" s="91"/>
      <c r="G224" s="92"/>
      <c r="H224" s="92"/>
      <c r="I224" s="53"/>
      <c r="J224" s="75"/>
      <c r="K224" s="75"/>
      <c r="L224" s="111"/>
      <c r="M224" s="112"/>
      <c r="N224" s="95"/>
      <c r="O224" s="140"/>
      <c r="P224" s="97"/>
      <c r="Q224" s="141"/>
      <c r="R224" s="141"/>
      <c r="S224" s="164"/>
    </row>
    <row r="225" spans="1:19" ht="15.75" x14ac:dyDescent="0.25">
      <c r="A225" s="90"/>
      <c r="B225" s="59"/>
      <c r="C225" s="59"/>
      <c r="D225" s="59"/>
      <c r="E225" s="60"/>
      <c r="F225" s="91"/>
      <c r="G225" s="92"/>
      <c r="H225" s="92"/>
      <c r="I225" s="53"/>
      <c r="J225" s="75"/>
      <c r="K225" s="75"/>
      <c r="L225" s="111"/>
      <c r="M225" s="112"/>
      <c r="N225" s="95"/>
      <c r="O225" s="140"/>
      <c r="P225" s="97"/>
      <c r="Q225" s="141"/>
      <c r="R225" s="141"/>
      <c r="S225" s="164"/>
    </row>
    <row r="226" spans="1:19" ht="15.75" x14ac:dyDescent="0.25">
      <c r="A226" s="90"/>
      <c r="B226" s="59"/>
      <c r="C226" s="59"/>
      <c r="D226" s="59"/>
      <c r="E226" s="60"/>
      <c r="F226" s="91"/>
      <c r="G226" s="92"/>
      <c r="H226" s="92"/>
      <c r="I226" s="53"/>
      <c r="J226" s="75"/>
      <c r="K226" s="75"/>
      <c r="L226" s="111"/>
      <c r="M226" s="112"/>
      <c r="N226" s="95"/>
      <c r="O226" s="140"/>
      <c r="P226" s="97"/>
      <c r="Q226" s="141"/>
      <c r="R226" s="141"/>
      <c r="S226" s="164"/>
    </row>
    <row r="227" spans="1:19" ht="15.75" x14ac:dyDescent="0.25">
      <c r="A227" s="90"/>
      <c r="B227" s="59"/>
      <c r="C227" s="59"/>
      <c r="D227" s="59"/>
      <c r="E227" s="60"/>
      <c r="F227" s="91"/>
      <c r="G227" s="92"/>
      <c r="H227" s="92"/>
      <c r="I227" s="53"/>
      <c r="J227" s="75"/>
      <c r="K227" s="75"/>
      <c r="L227" s="111"/>
      <c r="M227" s="112"/>
      <c r="N227" s="95"/>
      <c r="O227" s="140"/>
      <c r="P227" s="97"/>
      <c r="Q227" s="97"/>
      <c r="R227" s="101"/>
      <c r="S227" s="164"/>
    </row>
    <row r="228" spans="1:19" ht="15.75" x14ac:dyDescent="0.25">
      <c r="A228" s="90"/>
      <c r="B228" s="59"/>
      <c r="C228" s="59"/>
      <c r="D228" s="59"/>
      <c r="E228" s="60"/>
      <c r="F228" s="91"/>
      <c r="G228" s="92"/>
      <c r="H228" s="92"/>
      <c r="I228" s="53"/>
      <c r="J228" s="75"/>
      <c r="K228" s="75"/>
      <c r="L228" s="111"/>
      <c r="M228" s="112"/>
      <c r="N228" s="95"/>
      <c r="O228" s="140"/>
      <c r="P228" s="97"/>
      <c r="Q228" s="141"/>
      <c r="R228" s="141"/>
      <c r="S228" s="164"/>
    </row>
    <row r="229" spans="1:19" ht="15.75" x14ac:dyDescent="0.25">
      <c r="A229" s="90"/>
      <c r="B229" s="59"/>
      <c r="C229" s="59"/>
      <c r="D229" s="59"/>
      <c r="E229" s="60"/>
      <c r="F229" s="91"/>
      <c r="G229" s="92"/>
      <c r="H229" s="92"/>
      <c r="I229" s="53"/>
      <c r="J229" s="75"/>
      <c r="K229" s="75"/>
      <c r="L229" s="111"/>
      <c r="M229" s="112"/>
      <c r="N229" s="95"/>
      <c r="O229" s="140"/>
      <c r="P229" s="97"/>
      <c r="Q229" s="141"/>
      <c r="R229" s="141"/>
      <c r="S229" s="164"/>
    </row>
    <row r="230" spans="1:19" ht="15.75" x14ac:dyDescent="0.25">
      <c r="A230" s="90"/>
      <c r="B230" s="59"/>
      <c r="C230" s="59"/>
      <c r="D230" s="59"/>
      <c r="E230" s="60"/>
      <c r="F230" s="91"/>
      <c r="G230" s="92"/>
      <c r="H230" s="92"/>
      <c r="I230" s="53"/>
      <c r="J230" s="75"/>
      <c r="K230" s="75"/>
      <c r="L230" s="111"/>
      <c r="M230" s="112"/>
      <c r="N230" s="95"/>
      <c r="O230" s="140"/>
      <c r="P230" s="97"/>
      <c r="Q230" s="141"/>
      <c r="R230" s="141"/>
      <c r="S230" s="164"/>
    </row>
    <row r="231" spans="1:19" ht="15.75" x14ac:dyDescent="0.25">
      <c r="A231" s="90"/>
      <c r="B231" s="59"/>
      <c r="C231" s="59"/>
      <c r="D231" s="59"/>
      <c r="E231" s="60"/>
      <c r="F231" s="91"/>
      <c r="G231" s="92"/>
      <c r="H231" s="92"/>
      <c r="I231" s="53"/>
      <c r="J231" s="75"/>
      <c r="K231" s="75"/>
      <c r="L231" s="93"/>
      <c r="M231" s="94"/>
      <c r="N231" s="95"/>
      <c r="O231" s="141"/>
      <c r="P231" s="97"/>
      <c r="Q231" s="141"/>
      <c r="R231" s="141"/>
      <c r="S231" s="164"/>
    </row>
    <row r="232" spans="1:19" ht="15.75" x14ac:dyDescent="0.25">
      <c r="A232" s="90"/>
      <c r="B232" s="59"/>
      <c r="C232" s="59"/>
      <c r="D232" s="59"/>
      <c r="E232" s="60"/>
      <c r="F232" s="91"/>
      <c r="G232" s="92"/>
      <c r="H232" s="92"/>
      <c r="I232" s="53"/>
      <c r="J232" s="75"/>
      <c r="K232" s="75"/>
      <c r="L232" s="93"/>
      <c r="M232" s="94"/>
      <c r="N232" s="95"/>
      <c r="O232" s="141"/>
      <c r="P232" s="97"/>
      <c r="Q232" s="141"/>
      <c r="R232" s="141"/>
      <c r="S232" s="164"/>
    </row>
    <row r="233" spans="1:19" ht="15.75" x14ac:dyDescent="0.25">
      <c r="A233" s="90"/>
      <c r="B233" s="59"/>
      <c r="C233" s="59"/>
      <c r="D233" s="59"/>
      <c r="E233" s="60"/>
      <c r="F233" s="91"/>
      <c r="G233" s="92"/>
      <c r="H233" s="92"/>
      <c r="I233" s="53"/>
      <c r="J233" s="75"/>
      <c r="K233" s="75"/>
      <c r="L233" s="93"/>
      <c r="M233" s="94"/>
      <c r="N233" s="95"/>
      <c r="O233" s="141"/>
      <c r="P233" s="97"/>
      <c r="Q233" s="141"/>
      <c r="R233" s="141"/>
      <c r="S233" s="164"/>
    </row>
    <row r="234" spans="1:19" ht="15.75" x14ac:dyDescent="0.25">
      <c r="A234" s="90"/>
      <c r="B234" s="59"/>
      <c r="C234" s="59"/>
      <c r="D234" s="59"/>
      <c r="E234" s="60"/>
      <c r="F234" s="91"/>
      <c r="G234" s="92"/>
      <c r="H234" s="92"/>
      <c r="I234" s="53"/>
      <c r="J234" s="75"/>
      <c r="K234" s="75"/>
      <c r="L234" s="93"/>
      <c r="M234" s="94"/>
      <c r="N234" s="95"/>
      <c r="O234" s="141"/>
      <c r="P234" s="97"/>
      <c r="Q234" s="141"/>
      <c r="R234" s="141"/>
      <c r="S234" s="164"/>
    </row>
    <row r="235" spans="1:19" ht="15.75" x14ac:dyDescent="0.25">
      <c r="A235" s="90"/>
      <c r="B235" s="59"/>
      <c r="C235" s="59"/>
      <c r="D235" s="59"/>
      <c r="E235" s="60"/>
      <c r="F235" s="91"/>
      <c r="G235" s="92"/>
      <c r="H235" s="92"/>
      <c r="I235" s="53"/>
      <c r="J235" s="75"/>
      <c r="K235" s="75"/>
      <c r="L235" s="93"/>
      <c r="M235" s="94"/>
      <c r="N235" s="95"/>
      <c r="O235" s="141"/>
      <c r="P235" s="97"/>
      <c r="Q235" s="141"/>
      <c r="R235" s="141"/>
      <c r="S235" s="164"/>
    </row>
    <row r="236" spans="1:19" ht="15.75" x14ac:dyDescent="0.25">
      <c r="A236" s="90"/>
      <c r="B236" s="59"/>
      <c r="C236" s="59"/>
      <c r="D236" s="59"/>
      <c r="E236" s="60"/>
      <c r="F236" s="91"/>
      <c r="G236" s="92"/>
      <c r="H236" s="92"/>
      <c r="I236" s="53"/>
      <c r="J236" s="75"/>
      <c r="K236" s="75"/>
      <c r="L236" s="93"/>
      <c r="M236" s="94"/>
      <c r="N236" s="95"/>
      <c r="O236" s="141"/>
      <c r="P236" s="97"/>
      <c r="Q236" s="141"/>
      <c r="R236" s="141"/>
      <c r="S236" s="164"/>
    </row>
    <row r="237" spans="1:19" ht="15.75" x14ac:dyDescent="0.25">
      <c r="A237" s="90"/>
      <c r="B237" s="59"/>
      <c r="C237" s="59"/>
      <c r="D237" s="59"/>
      <c r="E237" s="60"/>
      <c r="F237" s="91"/>
      <c r="G237" s="92"/>
      <c r="H237" s="92"/>
      <c r="I237" s="53"/>
      <c r="J237" s="75"/>
      <c r="K237" s="75"/>
      <c r="L237" s="146"/>
      <c r="M237" s="94"/>
      <c r="N237" s="95"/>
      <c r="O237" s="141"/>
      <c r="P237" s="97"/>
      <c r="Q237" s="141"/>
      <c r="R237" s="141"/>
      <c r="S237" s="164"/>
    </row>
    <row r="238" spans="1:19" ht="15.75" x14ac:dyDescent="0.25">
      <c r="A238" s="90"/>
      <c r="B238" s="59"/>
      <c r="C238" s="59"/>
      <c r="D238" s="59"/>
      <c r="E238" s="60"/>
      <c r="F238" s="91"/>
      <c r="G238" s="92"/>
      <c r="H238" s="92"/>
      <c r="I238" s="53"/>
      <c r="J238" s="75"/>
      <c r="K238" s="75"/>
      <c r="L238" s="146"/>
      <c r="M238" s="94"/>
      <c r="N238" s="95"/>
      <c r="O238" s="141"/>
      <c r="P238" s="97"/>
      <c r="Q238" s="141"/>
      <c r="R238" s="141"/>
      <c r="S238" s="164"/>
    </row>
    <row r="239" spans="1:19" ht="15.75" x14ac:dyDescent="0.25">
      <c r="A239" s="90"/>
      <c r="B239" s="59"/>
      <c r="C239" s="59"/>
      <c r="D239" s="59"/>
      <c r="E239" s="60"/>
      <c r="F239" s="91"/>
      <c r="G239" s="92"/>
      <c r="H239" s="92"/>
      <c r="I239" s="53"/>
      <c r="J239" s="75"/>
      <c r="K239" s="75"/>
      <c r="L239" s="146"/>
      <c r="M239" s="94"/>
      <c r="N239" s="95"/>
      <c r="O239" s="141"/>
      <c r="P239" s="97"/>
      <c r="Q239" s="141"/>
      <c r="R239" s="141"/>
      <c r="S239" s="164"/>
    </row>
    <row r="240" spans="1:19" ht="15.75" x14ac:dyDescent="0.25">
      <c r="A240" s="90"/>
      <c r="B240" s="59"/>
      <c r="C240" s="59"/>
      <c r="D240" s="59"/>
      <c r="E240" s="60"/>
      <c r="F240" s="91"/>
      <c r="G240" s="92"/>
      <c r="H240" s="92"/>
      <c r="I240" s="53"/>
      <c r="J240" s="75"/>
      <c r="K240" s="75"/>
      <c r="L240" s="146"/>
      <c r="M240" s="94"/>
      <c r="N240" s="95"/>
      <c r="O240" s="141"/>
      <c r="P240" s="97"/>
      <c r="Q240" s="141"/>
      <c r="R240" s="141"/>
      <c r="S240" s="164"/>
    </row>
    <row r="241" spans="1:35" ht="15.75" x14ac:dyDescent="0.25">
      <c r="A241" s="90"/>
      <c r="B241" s="59"/>
      <c r="C241" s="59"/>
      <c r="D241" s="59"/>
      <c r="E241" s="60"/>
      <c r="F241" s="91"/>
      <c r="G241" s="92"/>
      <c r="H241" s="92"/>
      <c r="I241" s="53"/>
      <c r="J241" s="75"/>
      <c r="K241" s="75"/>
      <c r="L241" s="146"/>
      <c r="M241" s="94"/>
      <c r="N241" s="95"/>
      <c r="O241" s="141"/>
      <c r="P241" s="97"/>
      <c r="Q241" s="141"/>
      <c r="R241" s="141"/>
      <c r="S241" s="164"/>
    </row>
    <row r="242" spans="1:35" ht="15.75" x14ac:dyDescent="0.25">
      <c r="A242" s="90"/>
      <c r="B242" s="59"/>
      <c r="C242" s="59"/>
      <c r="D242" s="59"/>
      <c r="E242" s="60"/>
      <c r="F242" s="91"/>
      <c r="G242" s="92"/>
      <c r="H242" s="92"/>
      <c r="I242" s="53"/>
      <c r="J242" s="75"/>
      <c r="K242" s="75"/>
      <c r="L242" s="146"/>
      <c r="M242" s="112"/>
      <c r="N242" s="95"/>
      <c r="O242" s="140"/>
      <c r="P242" s="97"/>
      <c r="Q242" s="141"/>
      <c r="R242" s="141"/>
      <c r="S242" s="164"/>
    </row>
    <row r="243" spans="1:35" ht="15.75" x14ac:dyDescent="0.25">
      <c r="A243" s="90"/>
      <c r="B243" s="59"/>
      <c r="C243" s="59"/>
      <c r="D243" s="59"/>
      <c r="E243" s="60"/>
      <c r="F243" s="91"/>
      <c r="G243" s="92"/>
      <c r="H243" s="92"/>
      <c r="I243" s="53"/>
      <c r="J243" s="75"/>
      <c r="K243" s="75"/>
      <c r="L243" s="111"/>
      <c r="M243" s="112"/>
      <c r="N243" s="95"/>
      <c r="O243" s="140"/>
      <c r="P243" s="97"/>
      <c r="Q243" s="141"/>
      <c r="R243" s="141"/>
      <c r="S243" s="164"/>
    </row>
    <row r="244" spans="1:35" ht="15.75" x14ac:dyDescent="0.25">
      <c r="A244" s="90"/>
      <c r="B244" s="59"/>
      <c r="C244" s="59"/>
      <c r="D244" s="59"/>
      <c r="E244" s="60"/>
      <c r="F244" s="91"/>
      <c r="G244" s="92"/>
      <c r="H244" s="92"/>
      <c r="I244" s="53"/>
      <c r="J244" s="75"/>
      <c r="K244" s="75"/>
      <c r="L244" s="157"/>
      <c r="M244" s="112"/>
      <c r="N244" s="95"/>
      <c r="O244" s="140"/>
      <c r="P244" s="97"/>
      <c r="Q244" s="141"/>
      <c r="R244" s="141"/>
      <c r="S244" s="164"/>
    </row>
    <row r="245" spans="1:35" ht="15.75" x14ac:dyDescent="0.25">
      <c r="A245" s="128"/>
      <c r="B245" s="129"/>
      <c r="C245" s="129"/>
      <c r="D245" s="129"/>
      <c r="E245" s="130"/>
      <c r="F245" s="131"/>
      <c r="G245" s="132"/>
      <c r="H245" s="132"/>
      <c r="I245" s="133"/>
      <c r="J245" s="134"/>
      <c r="K245" s="134"/>
      <c r="L245" s="111"/>
      <c r="M245" s="112"/>
      <c r="N245" s="95"/>
      <c r="O245" s="140"/>
      <c r="P245" s="97"/>
      <c r="Q245" s="141"/>
      <c r="R245" s="141"/>
      <c r="S245" s="164"/>
      <c r="AA245" s="135"/>
      <c r="AB245" s="135"/>
      <c r="AC245" s="135"/>
      <c r="AD245" s="135"/>
      <c r="AE245" s="135"/>
      <c r="AF245" s="135"/>
      <c r="AG245" s="135"/>
      <c r="AH245" s="135"/>
      <c r="AI245" s="135"/>
    </row>
    <row r="246" spans="1:35" ht="15.75" x14ac:dyDescent="0.25">
      <c r="A246" s="128"/>
      <c r="B246" s="129"/>
      <c r="C246" s="129"/>
      <c r="D246" s="129"/>
      <c r="E246" s="130"/>
      <c r="F246" s="131"/>
      <c r="G246" s="132"/>
      <c r="H246" s="132"/>
      <c r="I246" s="133"/>
      <c r="J246" s="134"/>
      <c r="K246" s="134"/>
      <c r="L246" s="157"/>
      <c r="M246" s="112"/>
      <c r="N246" s="95"/>
      <c r="O246" s="140"/>
      <c r="P246" s="97"/>
      <c r="Q246" s="141"/>
      <c r="R246" s="141"/>
      <c r="S246" s="164"/>
      <c r="U246" s="135"/>
      <c r="V246" s="135"/>
      <c r="W246" s="135"/>
      <c r="X246" s="135"/>
      <c r="Y246" s="135"/>
      <c r="Z246" s="135"/>
      <c r="AA246" s="135"/>
      <c r="AB246" s="135"/>
      <c r="AC246" s="135"/>
      <c r="AD246" s="135"/>
      <c r="AE246" s="135"/>
      <c r="AF246" s="135"/>
      <c r="AG246" s="135"/>
      <c r="AH246" s="135"/>
      <c r="AI246" s="135"/>
    </row>
    <row r="247" spans="1:35" ht="15.75" x14ac:dyDescent="0.25">
      <c r="A247" s="128"/>
      <c r="B247" s="129"/>
      <c r="C247" s="129"/>
      <c r="D247" s="129"/>
      <c r="E247" s="130"/>
      <c r="F247" s="131"/>
      <c r="G247" s="132"/>
      <c r="H247" s="132"/>
      <c r="I247" s="133"/>
      <c r="J247" s="134"/>
      <c r="K247" s="134"/>
      <c r="L247" s="157"/>
      <c r="M247" s="112"/>
      <c r="N247" s="95"/>
      <c r="O247" s="140"/>
      <c r="P247" s="97"/>
      <c r="Q247" s="141"/>
      <c r="R247" s="141"/>
      <c r="S247" s="164"/>
      <c r="U247" s="135"/>
      <c r="V247" s="135"/>
      <c r="W247" s="135"/>
      <c r="X247" s="135"/>
      <c r="Y247" s="135"/>
      <c r="Z247" s="135"/>
      <c r="AA247" s="135"/>
      <c r="AB247" s="135"/>
      <c r="AC247" s="135"/>
      <c r="AD247" s="135"/>
      <c r="AE247" s="135"/>
      <c r="AF247" s="135"/>
      <c r="AG247" s="135"/>
      <c r="AH247" s="135"/>
      <c r="AI247" s="135"/>
    </row>
    <row r="248" spans="1:35" ht="15.75" x14ac:dyDescent="0.25">
      <c r="A248" s="190"/>
      <c r="B248" s="191"/>
      <c r="C248" s="191"/>
      <c r="D248" s="191"/>
      <c r="E248" s="192"/>
      <c r="F248" s="131"/>
      <c r="G248" s="193"/>
      <c r="H248" s="193"/>
      <c r="I248" s="194"/>
      <c r="J248" s="192"/>
      <c r="K248" s="192"/>
      <c r="L248" s="157"/>
      <c r="M248" s="112"/>
      <c r="N248" s="95"/>
      <c r="O248" s="140"/>
      <c r="P248" s="97"/>
      <c r="Q248" s="141"/>
      <c r="R248" s="141"/>
      <c r="S248" s="164"/>
      <c r="T248" s="196"/>
      <c r="U248" s="135"/>
      <c r="V248" s="135"/>
      <c r="W248" s="135"/>
      <c r="X248" s="135"/>
      <c r="Y248" s="135"/>
      <c r="Z248" s="135"/>
      <c r="AA248" s="195"/>
      <c r="AB248" s="195"/>
      <c r="AC248" s="195"/>
      <c r="AD248" s="195"/>
      <c r="AE248" s="195"/>
      <c r="AF248" s="195"/>
      <c r="AG248" s="195"/>
      <c r="AH248" s="195"/>
      <c r="AI248" s="195"/>
    </row>
    <row r="249" spans="1:35" ht="16.5" thickBot="1" x14ac:dyDescent="0.3">
      <c r="L249" s="111"/>
      <c r="M249" s="112"/>
      <c r="N249" s="95"/>
      <c r="O249" s="140"/>
      <c r="P249" s="97"/>
      <c r="Q249" s="141"/>
      <c r="R249" s="141"/>
      <c r="S249" s="164"/>
      <c r="U249" s="135"/>
      <c r="V249" s="135"/>
      <c r="W249" s="135"/>
      <c r="X249" s="135"/>
      <c r="Y249" s="135"/>
      <c r="Z249" s="135"/>
    </row>
    <row r="250" spans="1:35" ht="21.75" thickBot="1" x14ac:dyDescent="0.3">
      <c r="A250" s="33"/>
      <c r="B250" s="34" t="s">
        <v>23</v>
      </c>
      <c r="C250" s="35"/>
      <c r="D250" s="36"/>
      <c r="E250" s="36"/>
      <c r="F250" s="36"/>
      <c r="G250" s="36"/>
      <c r="H250" s="36">
        <f>SUM(H20:H219)</f>
        <v>0</v>
      </c>
      <c r="I250" s="76"/>
      <c r="J250" s="76"/>
      <c r="K250" s="76"/>
      <c r="L250" s="37"/>
      <c r="M250" s="38"/>
      <c r="N250" s="38"/>
      <c r="O250" s="39"/>
      <c r="P250" s="39"/>
      <c r="Q250" s="183">
        <f>SUM(Q19:Q245)</f>
        <v>0</v>
      </c>
      <c r="R250" s="184"/>
      <c r="S250" s="165"/>
    </row>
    <row r="251" spans="1:35" ht="18.75" x14ac:dyDescent="0.25">
      <c r="A251" s="20"/>
      <c r="B251" s="25"/>
      <c r="C251" s="11"/>
      <c r="D251" s="49"/>
      <c r="E251" s="49"/>
      <c r="F251" s="80"/>
      <c r="G251" s="81"/>
      <c r="H251" s="81"/>
      <c r="I251" s="54"/>
      <c r="J251" s="54"/>
      <c r="K251" s="54"/>
      <c r="L251" s="72" t="s">
        <v>779</v>
      </c>
      <c r="M251" s="73" t="s">
        <v>780</v>
      </c>
      <c r="N251" s="73" t="s">
        <v>34</v>
      </c>
      <c r="O251" s="50">
        <v>2</v>
      </c>
      <c r="P251" s="50"/>
      <c r="Q251" s="50"/>
      <c r="R251" s="24"/>
      <c r="S251" s="166"/>
      <c r="U251" s="5"/>
      <c r="V251" s="5"/>
    </row>
    <row r="252" spans="1:35" ht="18.75" x14ac:dyDescent="0.25">
      <c r="A252" s="20"/>
      <c r="B252" s="25"/>
      <c r="C252" s="11"/>
      <c r="D252" s="49"/>
      <c r="E252" s="49"/>
      <c r="F252" s="80"/>
      <c r="G252" s="81"/>
      <c r="H252" s="81"/>
      <c r="I252" s="54"/>
      <c r="J252" s="54"/>
      <c r="K252" s="54"/>
      <c r="L252" s="72">
        <v>3014</v>
      </c>
      <c r="M252" s="73" t="s">
        <v>781</v>
      </c>
      <c r="N252" s="73" t="s">
        <v>34</v>
      </c>
      <c r="O252" s="50">
        <v>1</v>
      </c>
      <c r="P252" s="50"/>
      <c r="Q252" s="50"/>
      <c r="R252" s="24"/>
      <c r="S252" s="166"/>
      <c r="U252" s="5"/>
      <c r="V252" s="5"/>
    </row>
    <row r="253" spans="1:35" ht="18.75" x14ac:dyDescent="0.25">
      <c r="A253" s="20"/>
      <c r="B253" s="25"/>
      <c r="C253" s="11"/>
      <c r="D253" s="49"/>
      <c r="E253" s="49"/>
      <c r="F253" s="80"/>
      <c r="G253" s="81"/>
      <c r="H253" s="81"/>
      <c r="I253" s="54"/>
      <c r="J253" s="54"/>
      <c r="K253" s="54"/>
      <c r="L253" s="72">
        <v>2475</v>
      </c>
      <c r="M253" s="73" t="s">
        <v>117</v>
      </c>
      <c r="N253" s="73" t="s">
        <v>34</v>
      </c>
      <c r="O253" s="50">
        <v>1</v>
      </c>
      <c r="P253" s="50"/>
      <c r="Q253" s="50"/>
      <c r="R253" s="24"/>
      <c r="S253" s="166"/>
      <c r="U253" s="5"/>
      <c r="V253" s="5"/>
    </row>
    <row r="254" spans="1:35" ht="18.75" x14ac:dyDescent="0.25">
      <c r="A254" s="20"/>
      <c r="B254" s="25"/>
      <c r="C254" s="11"/>
      <c r="D254" s="49"/>
      <c r="E254" s="49"/>
      <c r="F254" s="80"/>
      <c r="G254" s="81"/>
      <c r="H254" s="81"/>
      <c r="I254" s="54"/>
      <c r="J254" s="54"/>
      <c r="K254" s="54"/>
      <c r="L254" s="72">
        <v>4752</v>
      </c>
      <c r="M254" s="73" t="s">
        <v>782</v>
      </c>
      <c r="N254" s="73" t="s">
        <v>34</v>
      </c>
      <c r="O254" s="50">
        <v>1</v>
      </c>
      <c r="P254" s="50"/>
      <c r="Q254" s="50"/>
      <c r="R254" s="24"/>
      <c r="S254" s="166"/>
      <c r="U254" s="5"/>
      <c r="V254" s="5"/>
    </row>
    <row r="255" spans="1:35" ht="18.75" x14ac:dyDescent="0.25">
      <c r="A255" s="20"/>
      <c r="B255" s="25"/>
      <c r="C255" s="11"/>
      <c r="D255" s="49"/>
      <c r="E255" s="49"/>
      <c r="F255" s="80"/>
      <c r="G255" s="81"/>
      <c r="H255" s="81"/>
      <c r="I255" s="54"/>
      <c r="J255" s="54"/>
      <c r="K255" s="54"/>
      <c r="L255" s="72">
        <v>4395</v>
      </c>
      <c r="M255" s="73" t="s">
        <v>783</v>
      </c>
      <c r="N255" s="73" t="s">
        <v>34</v>
      </c>
      <c r="O255" s="50">
        <v>1</v>
      </c>
      <c r="P255" s="50"/>
      <c r="Q255" s="50"/>
      <c r="R255" s="24"/>
      <c r="S255" s="166"/>
      <c r="U255" s="5"/>
      <c r="V255" s="5"/>
    </row>
    <row r="256" spans="1:35" ht="18.75" x14ac:dyDescent="0.25">
      <c r="A256" s="20"/>
      <c r="B256" s="25"/>
      <c r="C256" s="11"/>
      <c r="D256" s="49"/>
      <c r="E256" s="49"/>
      <c r="F256" s="80"/>
      <c r="G256" s="81"/>
      <c r="H256" s="81"/>
      <c r="I256" s="54"/>
      <c r="J256" s="54"/>
      <c r="K256" s="54"/>
      <c r="L256" s="72">
        <v>3652</v>
      </c>
      <c r="M256" s="73" t="s">
        <v>784</v>
      </c>
      <c r="N256" s="73" t="s">
        <v>34</v>
      </c>
      <c r="O256" s="50">
        <v>1</v>
      </c>
      <c r="P256" s="50"/>
      <c r="Q256" s="50"/>
      <c r="R256" s="24"/>
      <c r="S256" s="166"/>
      <c r="U256" s="5"/>
      <c r="V256" s="5"/>
    </row>
    <row r="257" spans="1:22" ht="18.75" x14ac:dyDescent="0.25">
      <c r="A257" s="20"/>
      <c r="B257" s="25"/>
      <c r="C257" s="11"/>
      <c r="D257" s="49"/>
      <c r="E257" s="49"/>
      <c r="F257" s="80"/>
      <c r="G257" s="81"/>
      <c r="H257" s="81"/>
      <c r="I257" s="54"/>
      <c r="J257" s="54"/>
      <c r="K257" s="54"/>
      <c r="L257" s="72" t="s">
        <v>785</v>
      </c>
      <c r="M257" s="73" t="s">
        <v>786</v>
      </c>
      <c r="N257" s="73" t="s">
        <v>34</v>
      </c>
      <c r="O257" s="50">
        <v>1</v>
      </c>
      <c r="P257" s="50"/>
      <c r="Q257" s="50"/>
      <c r="R257" s="24"/>
      <c r="S257" s="166"/>
      <c r="U257" s="5"/>
      <c r="V257" s="5"/>
    </row>
    <row r="258" spans="1:22" ht="18.75" x14ac:dyDescent="0.25">
      <c r="A258" s="20"/>
      <c r="B258" s="25"/>
      <c r="C258" s="11"/>
      <c r="D258" s="49"/>
      <c r="E258" s="49"/>
      <c r="F258" s="80"/>
      <c r="G258" s="81"/>
      <c r="H258" s="81"/>
      <c r="I258" s="54"/>
      <c r="J258" s="54"/>
      <c r="K258" s="54"/>
      <c r="L258" s="72" t="s">
        <v>118</v>
      </c>
      <c r="M258" s="73" t="s">
        <v>119</v>
      </c>
      <c r="N258" s="73" t="s">
        <v>34</v>
      </c>
      <c r="O258" s="50">
        <v>19</v>
      </c>
      <c r="P258" s="50"/>
      <c r="Q258" s="50"/>
      <c r="R258" s="24"/>
      <c r="S258" s="166"/>
      <c r="U258" s="5"/>
      <c r="V258" s="5"/>
    </row>
    <row r="259" spans="1:22" ht="18.75" x14ac:dyDescent="0.25">
      <c r="A259" s="20"/>
      <c r="B259" s="25"/>
      <c r="C259" s="11"/>
      <c r="D259" s="49"/>
      <c r="E259" s="49"/>
      <c r="F259" s="80"/>
      <c r="G259" s="81"/>
      <c r="H259" s="81"/>
      <c r="I259" s="54"/>
      <c r="J259" s="54"/>
      <c r="K259" s="54"/>
      <c r="L259" s="72">
        <v>2140</v>
      </c>
      <c r="M259" s="73" t="s">
        <v>253</v>
      </c>
      <c r="N259" s="73" t="s">
        <v>34</v>
      </c>
      <c r="O259" s="50">
        <v>1</v>
      </c>
      <c r="P259" s="50"/>
      <c r="Q259" s="50"/>
      <c r="R259" s="24"/>
      <c r="S259" s="166"/>
      <c r="U259" s="5"/>
      <c r="V259" s="5"/>
    </row>
    <row r="260" spans="1:22" ht="18.75" x14ac:dyDescent="0.25">
      <c r="A260" s="20"/>
      <c r="B260" s="25"/>
      <c r="C260" s="11"/>
      <c r="D260" s="49"/>
      <c r="E260" s="49"/>
      <c r="F260" s="80"/>
      <c r="G260" s="81"/>
      <c r="H260" s="81"/>
      <c r="I260" s="54"/>
      <c r="J260" s="54"/>
      <c r="K260" s="54"/>
      <c r="L260" s="72">
        <v>3164</v>
      </c>
      <c r="M260" s="73" t="s">
        <v>122</v>
      </c>
      <c r="N260" s="73" t="s">
        <v>34</v>
      </c>
      <c r="O260" s="50">
        <v>2</v>
      </c>
      <c r="P260" s="50"/>
      <c r="Q260" s="50"/>
      <c r="R260" s="24"/>
      <c r="S260" s="166"/>
      <c r="U260" s="5"/>
      <c r="V260" s="5"/>
    </row>
    <row r="261" spans="1:22" ht="18.75" x14ac:dyDescent="0.25">
      <c r="A261" s="20"/>
      <c r="B261" s="25"/>
      <c r="C261" s="11"/>
      <c r="D261" s="49"/>
      <c r="E261" s="49"/>
      <c r="F261" s="80"/>
      <c r="G261" s="81"/>
      <c r="H261" s="81"/>
      <c r="I261" s="54"/>
      <c r="J261" s="54"/>
      <c r="K261" s="54"/>
      <c r="L261" s="72">
        <v>16608</v>
      </c>
      <c r="M261" s="73" t="s">
        <v>787</v>
      </c>
      <c r="N261" s="73" t="s">
        <v>34</v>
      </c>
      <c r="O261" s="50">
        <v>1</v>
      </c>
      <c r="P261" s="50"/>
      <c r="Q261" s="50"/>
      <c r="R261" s="24"/>
      <c r="S261" s="166"/>
      <c r="U261" s="5"/>
      <c r="V261" s="5"/>
    </row>
    <row r="262" spans="1:22" ht="18.75" x14ac:dyDescent="0.25">
      <c r="A262" s="20"/>
      <c r="B262" s="25"/>
      <c r="C262" s="11"/>
      <c r="D262" s="49"/>
      <c r="E262" s="49"/>
      <c r="F262" s="80"/>
      <c r="G262" s="81"/>
      <c r="H262" s="81"/>
      <c r="I262" s="54"/>
      <c r="J262" s="54"/>
      <c r="K262" s="54"/>
      <c r="L262" s="72" t="s">
        <v>788</v>
      </c>
      <c r="M262" s="73" t="s">
        <v>789</v>
      </c>
      <c r="N262" s="73" t="s">
        <v>790</v>
      </c>
      <c r="O262" s="50">
        <v>2</v>
      </c>
      <c r="P262" s="50"/>
      <c r="Q262" s="50"/>
      <c r="R262" s="24"/>
      <c r="S262" s="166"/>
      <c r="U262" s="5"/>
      <c r="V262" s="5"/>
    </row>
    <row r="263" spans="1:22" ht="18.75" x14ac:dyDescent="0.25">
      <c r="A263" s="20"/>
      <c r="B263" s="25"/>
      <c r="C263" s="11"/>
      <c r="D263" s="49"/>
      <c r="E263" s="49"/>
      <c r="F263" s="80"/>
      <c r="G263" s="81"/>
      <c r="H263" s="81"/>
      <c r="I263" s="54"/>
      <c r="J263" s="54"/>
      <c r="K263" s="54"/>
      <c r="L263" s="72" t="s">
        <v>791</v>
      </c>
      <c r="M263" s="73" t="s">
        <v>792</v>
      </c>
      <c r="N263" s="73" t="s">
        <v>34</v>
      </c>
      <c r="O263" s="50">
        <v>1</v>
      </c>
      <c r="P263" s="50"/>
      <c r="Q263" s="50"/>
      <c r="R263" s="24"/>
      <c r="S263" s="166"/>
      <c r="U263" s="5"/>
      <c r="V263" s="5"/>
    </row>
    <row r="264" spans="1:22" ht="18.75" x14ac:dyDescent="0.25">
      <c r="A264" s="20"/>
      <c r="B264" s="25"/>
      <c r="C264" s="11"/>
      <c r="D264" s="49"/>
      <c r="E264" s="49"/>
      <c r="F264" s="80"/>
      <c r="G264" s="81"/>
      <c r="H264" s="81"/>
      <c r="I264" s="54"/>
      <c r="J264" s="54"/>
      <c r="K264" s="54"/>
      <c r="L264" s="72">
        <v>3161</v>
      </c>
      <c r="M264" s="73" t="s">
        <v>125</v>
      </c>
      <c r="N264" s="73" t="s">
        <v>34</v>
      </c>
      <c r="O264" s="50">
        <v>1</v>
      </c>
      <c r="P264" s="50"/>
      <c r="Q264" s="50"/>
      <c r="R264" s="24"/>
      <c r="S264" s="166"/>
      <c r="U264" s="5"/>
      <c r="V264" s="5"/>
    </row>
    <row r="265" spans="1:22" ht="18.75" x14ac:dyDescent="0.25">
      <c r="A265" s="20"/>
      <c r="B265" s="25"/>
      <c r="C265" s="11"/>
      <c r="D265" s="49"/>
      <c r="E265" s="49"/>
      <c r="F265" s="80"/>
      <c r="G265" s="81"/>
      <c r="H265" s="81"/>
      <c r="I265" s="54"/>
      <c r="J265" s="54"/>
      <c r="K265" s="54"/>
      <c r="L265" s="72" t="s">
        <v>793</v>
      </c>
      <c r="M265" s="73" t="s">
        <v>794</v>
      </c>
      <c r="N265" s="73" t="s">
        <v>34</v>
      </c>
      <c r="O265" s="50">
        <v>1</v>
      </c>
      <c r="P265" s="50"/>
      <c r="Q265" s="50"/>
      <c r="R265" s="24"/>
      <c r="S265" s="166"/>
      <c r="U265" s="5"/>
      <c r="V265" s="5"/>
    </row>
    <row r="266" spans="1:22" ht="18.75" x14ac:dyDescent="0.25">
      <c r="A266" s="20"/>
      <c r="B266" s="25"/>
      <c r="C266" s="11"/>
      <c r="D266" s="49"/>
      <c r="E266" s="49"/>
      <c r="F266" s="80"/>
      <c r="G266" s="81"/>
      <c r="H266" s="81"/>
      <c r="I266" s="54"/>
      <c r="J266" s="54"/>
      <c r="K266" s="54"/>
      <c r="L266" s="72" t="s">
        <v>795</v>
      </c>
      <c r="M266" s="73" t="s">
        <v>796</v>
      </c>
      <c r="N266" s="73" t="s">
        <v>34</v>
      </c>
      <c r="O266" s="50">
        <v>3</v>
      </c>
      <c r="P266" s="50"/>
      <c r="Q266" s="50"/>
      <c r="R266" s="24"/>
      <c r="S266" s="166"/>
      <c r="U266" s="5"/>
      <c r="V266" s="5"/>
    </row>
    <row r="267" spans="1:22" ht="18.75" x14ac:dyDescent="0.25">
      <c r="A267" s="20"/>
      <c r="B267" s="25"/>
      <c r="C267" s="11"/>
      <c r="D267" s="49"/>
      <c r="E267" s="49"/>
      <c r="F267" s="80"/>
      <c r="G267" s="81"/>
      <c r="H267" s="81"/>
      <c r="I267" s="54"/>
      <c r="J267" s="54"/>
      <c r="K267" s="54"/>
      <c r="L267" s="72" t="s">
        <v>797</v>
      </c>
      <c r="M267" s="73" t="s">
        <v>798</v>
      </c>
      <c r="N267" s="73" t="s">
        <v>34</v>
      </c>
      <c r="O267" s="50">
        <v>2</v>
      </c>
      <c r="P267" s="50"/>
      <c r="Q267" s="50"/>
      <c r="R267" s="24"/>
      <c r="S267" s="166"/>
      <c r="U267" s="5"/>
      <c r="V267" s="5"/>
    </row>
    <row r="268" spans="1:22" ht="18.75" x14ac:dyDescent="0.25">
      <c r="A268" s="20"/>
      <c r="B268" s="25"/>
      <c r="C268" s="11"/>
      <c r="D268" s="49"/>
      <c r="E268" s="49"/>
      <c r="F268" s="80"/>
      <c r="G268" s="81"/>
      <c r="H268" s="81"/>
      <c r="I268" s="54"/>
      <c r="J268" s="54"/>
      <c r="K268" s="54"/>
      <c r="L268" s="72">
        <v>8556</v>
      </c>
      <c r="M268" s="73" t="s">
        <v>799</v>
      </c>
      <c r="N268" s="73" t="s">
        <v>34</v>
      </c>
      <c r="O268" s="50">
        <v>19</v>
      </c>
      <c r="P268" s="50"/>
      <c r="Q268" s="50"/>
      <c r="R268" s="24"/>
      <c r="S268" s="166"/>
      <c r="U268" s="5"/>
      <c r="V268" s="5"/>
    </row>
    <row r="269" spans="1:22" ht="18.75" x14ac:dyDescent="0.25">
      <c r="A269" s="20"/>
      <c r="B269" s="25"/>
      <c r="C269" s="11"/>
      <c r="D269" s="49"/>
      <c r="E269" s="49"/>
      <c r="F269" s="80"/>
      <c r="G269" s="81"/>
      <c r="H269" s="81"/>
      <c r="I269" s="54"/>
      <c r="J269" s="54"/>
      <c r="K269" s="54"/>
      <c r="L269" s="72">
        <v>2748</v>
      </c>
      <c r="M269" s="73" t="s">
        <v>129</v>
      </c>
      <c r="N269" s="73" t="s">
        <v>34</v>
      </c>
      <c r="O269" s="50">
        <v>9</v>
      </c>
      <c r="P269" s="50"/>
      <c r="Q269" s="50"/>
      <c r="R269" s="24"/>
      <c r="S269" s="166"/>
      <c r="U269" s="5"/>
      <c r="V269" s="5"/>
    </row>
    <row r="270" spans="1:22" ht="18.75" x14ac:dyDescent="0.25">
      <c r="A270" s="20"/>
      <c r="B270" s="25"/>
      <c r="C270" s="11"/>
      <c r="D270" s="49"/>
      <c r="E270" s="49"/>
      <c r="F270" s="80"/>
      <c r="G270" s="81"/>
      <c r="H270" s="81"/>
      <c r="I270" s="54"/>
      <c r="J270" s="54"/>
      <c r="K270" s="54"/>
      <c r="L270" s="72">
        <v>13695</v>
      </c>
      <c r="M270" s="73" t="s">
        <v>800</v>
      </c>
      <c r="N270" s="73" t="s">
        <v>34</v>
      </c>
      <c r="O270" s="50">
        <v>9</v>
      </c>
      <c r="P270" s="50"/>
      <c r="Q270" s="50"/>
      <c r="R270" s="24"/>
      <c r="S270" s="166"/>
      <c r="U270" s="5"/>
      <c r="V270" s="5"/>
    </row>
    <row r="271" spans="1:22" ht="18.75" x14ac:dyDescent="0.25">
      <c r="A271" s="20"/>
      <c r="B271" s="25"/>
      <c r="C271" s="11"/>
      <c r="D271" s="49"/>
      <c r="E271" s="49"/>
      <c r="F271" s="80"/>
      <c r="G271" s="81"/>
      <c r="H271" s="81"/>
      <c r="I271" s="54"/>
      <c r="J271" s="54"/>
      <c r="K271" s="54"/>
      <c r="L271" s="72" t="s">
        <v>801</v>
      </c>
      <c r="M271" s="73" t="s">
        <v>802</v>
      </c>
      <c r="N271" s="73" t="s">
        <v>34</v>
      </c>
      <c r="O271" s="50">
        <v>4</v>
      </c>
      <c r="P271" s="50"/>
      <c r="Q271" s="50"/>
      <c r="R271" s="24"/>
      <c r="S271" s="166"/>
      <c r="U271" s="5"/>
      <c r="V271" s="5"/>
    </row>
    <row r="272" spans="1:22" ht="18.75" x14ac:dyDescent="0.25">
      <c r="A272" s="20"/>
      <c r="B272" s="25"/>
      <c r="C272" s="11"/>
      <c r="D272" s="49"/>
      <c r="E272" s="49"/>
      <c r="F272" s="80"/>
      <c r="G272" s="81"/>
      <c r="H272" s="81"/>
      <c r="I272" s="54"/>
      <c r="J272" s="54"/>
      <c r="K272" s="54"/>
      <c r="L272" s="72">
        <v>12683</v>
      </c>
      <c r="M272" s="73" t="s">
        <v>803</v>
      </c>
      <c r="N272" s="73" t="s">
        <v>34</v>
      </c>
      <c r="O272" s="50">
        <v>2</v>
      </c>
      <c r="P272" s="50"/>
      <c r="Q272" s="50"/>
      <c r="R272" s="24"/>
      <c r="S272" s="166"/>
      <c r="U272" s="5"/>
      <c r="V272" s="5"/>
    </row>
    <row r="273" spans="1:22" ht="18.75" x14ac:dyDescent="0.25">
      <c r="A273" s="20"/>
      <c r="B273" s="25"/>
      <c r="C273" s="11"/>
      <c r="D273" s="49"/>
      <c r="E273" s="49"/>
      <c r="F273" s="80"/>
      <c r="G273" s="81"/>
      <c r="H273" s="81"/>
      <c r="I273" s="54"/>
      <c r="J273" s="54"/>
      <c r="K273" s="54"/>
      <c r="L273" s="72">
        <v>5639</v>
      </c>
      <c r="M273" s="73" t="s">
        <v>804</v>
      </c>
      <c r="N273" s="73" t="s">
        <v>34</v>
      </c>
      <c r="O273" s="50">
        <v>1</v>
      </c>
      <c r="P273" s="50"/>
      <c r="Q273" s="50"/>
      <c r="R273" s="24"/>
      <c r="S273" s="166"/>
      <c r="U273" s="5"/>
      <c r="V273" s="5"/>
    </row>
    <row r="274" spans="1:22" ht="18.75" x14ac:dyDescent="0.25">
      <c r="A274" s="20"/>
      <c r="B274" s="25"/>
      <c r="C274" s="11"/>
      <c r="D274" s="49"/>
      <c r="E274" s="49"/>
      <c r="F274" s="80"/>
      <c r="G274" s="81"/>
      <c r="H274" s="81"/>
      <c r="I274" s="54"/>
      <c r="J274" s="54"/>
      <c r="K274" s="54"/>
      <c r="L274" s="72" t="s">
        <v>805</v>
      </c>
      <c r="M274" s="73" t="s">
        <v>806</v>
      </c>
      <c r="N274" s="73" t="s">
        <v>34</v>
      </c>
      <c r="O274" s="50">
        <v>1</v>
      </c>
      <c r="P274" s="50"/>
      <c r="Q274" s="50"/>
      <c r="R274" s="24"/>
      <c r="S274" s="166"/>
      <c r="U274" s="5"/>
      <c r="V274" s="5"/>
    </row>
    <row r="275" spans="1:22" ht="18.75" x14ac:dyDescent="0.25">
      <c r="A275" s="20"/>
      <c r="B275" s="25"/>
      <c r="C275" s="11"/>
      <c r="D275" s="49"/>
      <c r="E275" s="49"/>
      <c r="F275" s="80"/>
      <c r="G275" s="81"/>
      <c r="H275" s="81"/>
      <c r="I275" s="54"/>
      <c r="J275" s="54"/>
      <c r="K275" s="54"/>
      <c r="L275" s="72">
        <v>3311</v>
      </c>
      <c r="M275" s="73" t="s">
        <v>807</v>
      </c>
      <c r="N275" s="73" t="s">
        <v>34</v>
      </c>
      <c r="O275" s="50">
        <v>4</v>
      </c>
      <c r="P275" s="50"/>
      <c r="Q275" s="50"/>
      <c r="R275" s="24"/>
      <c r="S275" s="166"/>
      <c r="U275" s="5"/>
      <c r="V275" s="5"/>
    </row>
    <row r="276" spans="1:22" ht="18.75" x14ac:dyDescent="0.25">
      <c r="A276" s="20"/>
      <c r="B276" s="25"/>
      <c r="C276" s="11"/>
      <c r="D276" s="49"/>
      <c r="E276" s="49"/>
      <c r="F276" s="80"/>
      <c r="G276" s="81"/>
      <c r="H276" s="81"/>
      <c r="I276" s="54"/>
      <c r="J276" s="54"/>
      <c r="K276" s="54"/>
      <c r="L276" s="72">
        <v>3312</v>
      </c>
      <c r="M276" s="73" t="s">
        <v>808</v>
      </c>
      <c r="N276" s="73" t="s">
        <v>34</v>
      </c>
      <c r="O276" s="50">
        <v>6</v>
      </c>
      <c r="P276" s="50"/>
      <c r="Q276" s="50"/>
      <c r="R276" s="24"/>
      <c r="S276" s="166"/>
      <c r="U276" s="5"/>
      <c r="V276" s="5"/>
    </row>
    <row r="277" spans="1:22" ht="18.75" x14ac:dyDescent="0.25">
      <c r="A277" s="20"/>
      <c r="B277" s="25"/>
      <c r="C277" s="11"/>
      <c r="D277" s="49"/>
      <c r="E277" s="49"/>
      <c r="F277" s="80"/>
      <c r="G277" s="81"/>
      <c r="H277" s="81"/>
      <c r="I277" s="54"/>
      <c r="J277" s="54"/>
      <c r="K277" s="54"/>
      <c r="L277" s="72" t="s">
        <v>809</v>
      </c>
      <c r="M277" s="73" t="s">
        <v>810</v>
      </c>
      <c r="N277" s="73" t="s">
        <v>64</v>
      </c>
      <c r="O277" s="50">
        <v>2</v>
      </c>
      <c r="P277" s="50"/>
      <c r="Q277" s="50"/>
      <c r="R277" s="24"/>
      <c r="S277" s="166"/>
      <c r="U277" s="5"/>
      <c r="V277" s="5"/>
    </row>
    <row r="278" spans="1:22" ht="18.75" x14ac:dyDescent="0.25">
      <c r="A278" s="20"/>
      <c r="B278" s="25"/>
      <c r="C278" s="11"/>
      <c r="D278" s="49"/>
      <c r="E278" s="49"/>
      <c r="F278" s="80"/>
      <c r="G278" s="81"/>
      <c r="H278" s="81"/>
      <c r="I278" s="54"/>
      <c r="J278" s="54"/>
      <c r="K278" s="54"/>
      <c r="L278" s="72">
        <v>1717</v>
      </c>
      <c r="M278" s="73" t="s">
        <v>811</v>
      </c>
      <c r="N278" s="73" t="s">
        <v>34</v>
      </c>
      <c r="O278" s="50">
        <v>1</v>
      </c>
      <c r="P278" s="50"/>
      <c r="Q278" s="50"/>
      <c r="R278" s="24"/>
      <c r="S278" s="166"/>
      <c r="U278" s="5"/>
      <c r="V278" s="5"/>
    </row>
    <row r="279" spans="1:22" ht="18.75" x14ac:dyDescent="0.25">
      <c r="A279" s="20"/>
      <c r="B279" s="25"/>
      <c r="C279" s="11"/>
      <c r="D279" s="49"/>
      <c r="E279" s="49"/>
      <c r="F279" s="80"/>
      <c r="G279" s="81"/>
      <c r="H279" s="81"/>
      <c r="I279" s="54"/>
      <c r="J279" s="54"/>
      <c r="K279" s="54"/>
      <c r="L279" s="72" t="s">
        <v>812</v>
      </c>
      <c r="M279" s="73" t="s">
        <v>813</v>
      </c>
      <c r="N279" s="73" t="s">
        <v>34</v>
      </c>
      <c r="O279" s="50">
        <v>1</v>
      </c>
      <c r="P279" s="50"/>
      <c r="Q279" s="50"/>
      <c r="R279" s="24"/>
      <c r="S279" s="166"/>
      <c r="U279" s="5"/>
      <c r="V279" s="5"/>
    </row>
    <row r="280" spans="1:22" ht="18.75" x14ac:dyDescent="0.25">
      <c r="A280" s="20"/>
      <c r="B280" s="25"/>
      <c r="C280" s="11"/>
      <c r="D280" s="49"/>
      <c r="E280" s="49"/>
      <c r="F280" s="80"/>
      <c r="G280" s="81"/>
      <c r="H280" s="81"/>
      <c r="I280" s="54"/>
      <c r="J280" s="54"/>
      <c r="K280" s="54"/>
      <c r="L280" s="72">
        <v>6552</v>
      </c>
      <c r="M280" s="73" t="s">
        <v>608</v>
      </c>
      <c r="N280" s="73" t="s">
        <v>34</v>
      </c>
      <c r="O280" s="50">
        <v>7</v>
      </c>
      <c r="P280" s="50"/>
      <c r="Q280" s="50"/>
      <c r="R280" s="24"/>
      <c r="S280" s="166"/>
      <c r="U280" s="5"/>
      <c r="V280" s="5"/>
    </row>
    <row r="281" spans="1:22" ht="18.75" x14ac:dyDescent="0.25">
      <c r="A281" s="20"/>
      <c r="B281" s="25"/>
      <c r="C281" s="11"/>
      <c r="D281" s="49"/>
      <c r="E281" s="49"/>
      <c r="F281" s="80"/>
      <c r="G281" s="81"/>
      <c r="H281" s="81"/>
      <c r="I281" s="54"/>
      <c r="J281" s="54"/>
      <c r="K281" s="54"/>
      <c r="L281" s="72">
        <v>10085</v>
      </c>
      <c r="M281" s="73" t="s">
        <v>814</v>
      </c>
      <c r="N281" s="73" t="s">
        <v>34</v>
      </c>
      <c r="O281" s="50">
        <v>1</v>
      </c>
      <c r="P281" s="50"/>
      <c r="Q281" s="50"/>
      <c r="R281" s="24"/>
      <c r="S281" s="166"/>
      <c r="U281" s="5"/>
      <c r="V281" s="5"/>
    </row>
    <row r="282" spans="1:22" ht="18.75" x14ac:dyDescent="0.25">
      <c r="A282" s="20"/>
      <c r="B282" s="25"/>
      <c r="C282" s="11"/>
      <c r="D282" s="49"/>
      <c r="E282" s="49"/>
      <c r="F282" s="80"/>
      <c r="G282" s="81"/>
      <c r="H282" s="81"/>
      <c r="I282" s="54"/>
      <c r="J282" s="54"/>
      <c r="K282" s="54"/>
      <c r="L282" s="72">
        <v>2293</v>
      </c>
      <c r="M282" s="73" t="s">
        <v>815</v>
      </c>
      <c r="N282" s="73" t="s">
        <v>34</v>
      </c>
      <c r="O282" s="50">
        <v>3</v>
      </c>
      <c r="P282" s="50"/>
      <c r="Q282" s="50"/>
      <c r="R282" s="24"/>
      <c r="S282" s="166"/>
      <c r="U282" s="5"/>
      <c r="V282" s="5"/>
    </row>
    <row r="283" spans="1:22" ht="18.75" x14ac:dyDescent="0.25">
      <c r="A283" s="20"/>
      <c r="B283" s="25"/>
      <c r="C283" s="11"/>
      <c r="D283" s="49"/>
      <c r="E283" s="49"/>
      <c r="F283" s="80"/>
      <c r="G283" s="81"/>
      <c r="H283" s="81"/>
      <c r="I283" s="54"/>
      <c r="J283" s="54"/>
      <c r="K283" s="54"/>
      <c r="L283" s="72">
        <v>4936</v>
      </c>
      <c r="M283" s="73" t="s">
        <v>816</v>
      </c>
      <c r="N283" s="73" t="s">
        <v>34</v>
      </c>
      <c r="O283" s="50">
        <v>1</v>
      </c>
      <c r="P283" s="50"/>
      <c r="Q283" s="50"/>
      <c r="R283" s="24"/>
      <c r="S283" s="166"/>
      <c r="U283" s="5"/>
      <c r="V283" s="5"/>
    </row>
    <row r="284" spans="1:22" ht="30" x14ac:dyDescent="0.25">
      <c r="A284" s="20"/>
      <c r="B284" s="25"/>
      <c r="C284" s="11"/>
      <c r="D284" s="49"/>
      <c r="E284" s="49"/>
      <c r="F284" s="80"/>
      <c r="G284" s="81"/>
      <c r="H284" s="81"/>
      <c r="I284" s="54"/>
      <c r="J284" s="54"/>
      <c r="K284" s="54"/>
      <c r="L284" s="72">
        <v>17528</v>
      </c>
      <c r="M284" s="73" t="s">
        <v>817</v>
      </c>
      <c r="N284" s="73" t="s">
        <v>34</v>
      </c>
      <c r="O284" s="50">
        <v>5</v>
      </c>
      <c r="P284" s="50"/>
      <c r="Q284" s="50"/>
      <c r="R284" s="24"/>
      <c r="S284" s="166"/>
      <c r="U284" s="5"/>
      <c r="V284" s="5"/>
    </row>
    <row r="285" spans="1:22" ht="18.75" x14ac:dyDescent="0.25">
      <c r="A285" s="20"/>
      <c r="B285" s="25"/>
      <c r="C285" s="11"/>
      <c r="D285" s="49"/>
      <c r="E285" s="49"/>
      <c r="F285" s="80"/>
      <c r="G285" s="81"/>
      <c r="H285" s="81"/>
      <c r="I285" s="54"/>
      <c r="J285" s="54"/>
      <c r="K285" s="54"/>
      <c r="L285" s="72" t="s">
        <v>818</v>
      </c>
      <c r="M285" s="73" t="s">
        <v>819</v>
      </c>
      <c r="N285" s="73" t="s">
        <v>34</v>
      </c>
      <c r="O285" s="50">
        <v>6</v>
      </c>
      <c r="P285" s="50"/>
      <c r="Q285" s="50"/>
      <c r="R285" s="24"/>
      <c r="S285" s="166"/>
      <c r="U285" s="5"/>
      <c r="V285" s="5"/>
    </row>
    <row r="286" spans="1:22" ht="18.75" x14ac:dyDescent="0.25">
      <c r="A286" s="20"/>
      <c r="B286" s="25"/>
      <c r="C286" s="11"/>
      <c r="D286" s="49"/>
      <c r="E286" s="49"/>
      <c r="F286" s="80"/>
      <c r="G286" s="81"/>
      <c r="H286" s="81"/>
      <c r="I286" s="54"/>
      <c r="J286" s="54"/>
      <c r="K286" s="54"/>
      <c r="L286" s="72">
        <v>5513</v>
      </c>
      <c r="M286" s="73" t="s">
        <v>820</v>
      </c>
      <c r="N286" s="73" t="s">
        <v>34</v>
      </c>
      <c r="O286" s="50">
        <v>1</v>
      </c>
      <c r="P286" s="50"/>
      <c r="Q286" s="50"/>
      <c r="R286" s="24"/>
      <c r="S286" s="166"/>
      <c r="U286" s="5"/>
      <c r="V286" s="5"/>
    </row>
    <row r="287" spans="1:22" ht="18.75" x14ac:dyDescent="0.25">
      <c r="A287" s="20"/>
      <c r="B287" s="25"/>
      <c r="C287" s="11"/>
      <c r="D287" s="49"/>
      <c r="E287" s="49"/>
      <c r="F287" s="80"/>
      <c r="G287" s="81"/>
      <c r="H287" s="81"/>
      <c r="I287" s="54"/>
      <c r="J287" s="54"/>
      <c r="K287" s="54"/>
      <c r="L287" s="72">
        <v>12877</v>
      </c>
      <c r="M287" s="73" t="s">
        <v>823</v>
      </c>
      <c r="N287" s="73" t="s">
        <v>34</v>
      </c>
      <c r="O287" s="50">
        <v>1</v>
      </c>
      <c r="P287" s="50"/>
      <c r="Q287" s="50"/>
      <c r="R287" s="24"/>
      <c r="S287" s="166"/>
      <c r="U287" s="5"/>
      <c r="V287" s="5"/>
    </row>
    <row r="288" spans="1:22" ht="18.75" x14ac:dyDescent="0.25">
      <c r="A288" s="20"/>
      <c r="B288" s="25"/>
      <c r="C288" s="11"/>
      <c r="D288" s="49"/>
      <c r="E288" s="49"/>
      <c r="F288" s="80"/>
      <c r="G288" s="81"/>
      <c r="H288" s="81"/>
      <c r="I288" s="54"/>
      <c r="J288" s="54"/>
      <c r="K288" s="54"/>
      <c r="L288" s="72" t="s">
        <v>824</v>
      </c>
      <c r="M288" s="73" t="s">
        <v>825</v>
      </c>
      <c r="N288" s="73" t="s">
        <v>34</v>
      </c>
      <c r="O288" s="50">
        <v>1</v>
      </c>
      <c r="P288" s="50"/>
      <c r="Q288" s="50"/>
      <c r="R288" s="24"/>
      <c r="S288" s="166"/>
      <c r="U288" s="5"/>
      <c r="V288" s="5"/>
    </row>
    <row r="289" spans="1:22" ht="18.75" x14ac:dyDescent="0.25">
      <c r="A289" s="20"/>
      <c r="B289" s="25"/>
      <c r="C289" s="11"/>
      <c r="D289" s="49"/>
      <c r="E289" s="49"/>
      <c r="F289" s="80"/>
      <c r="G289" s="81"/>
      <c r="H289" s="81"/>
      <c r="I289" s="54"/>
      <c r="J289" s="54"/>
      <c r="K289" s="54"/>
      <c r="L289" s="72">
        <v>2496</v>
      </c>
      <c r="M289" s="73" t="s">
        <v>139</v>
      </c>
      <c r="N289" s="73" t="s">
        <v>34</v>
      </c>
      <c r="O289" s="50">
        <v>1</v>
      </c>
      <c r="P289" s="50"/>
      <c r="Q289" s="50"/>
      <c r="R289" s="24"/>
      <c r="S289" s="166"/>
      <c r="U289" s="5"/>
      <c r="V289" s="5"/>
    </row>
    <row r="290" spans="1:22" ht="18.75" x14ac:dyDescent="0.25">
      <c r="A290" s="20"/>
      <c r="B290" s="25"/>
      <c r="C290" s="11"/>
      <c r="D290" s="49"/>
      <c r="E290" s="49"/>
      <c r="F290" s="80"/>
      <c r="G290" s="81"/>
      <c r="H290" s="81"/>
      <c r="I290" s="54"/>
      <c r="J290" s="54"/>
      <c r="K290" s="54"/>
      <c r="L290" s="72" t="s">
        <v>826</v>
      </c>
      <c r="M290" s="73" t="s">
        <v>827</v>
      </c>
      <c r="N290" s="73" t="s">
        <v>34</v>
      </c>
      <c r="O290" s="50">
        <v>1</v>
      </c>
      <c r="P290" s="50"/>
      <c r="Q290" s="50"/>
      <c r="R290" s="24"/>
      <c r="S290" s="166"/>
      <c r="U290" s="5"/>
      <c r="V290" s="5"/>
    </row>
    <row r="291" spans="1:22" ht="18.75" x14ac:dyDescent="0.25">
      <c r="A291" s="20"/>
      <c r="B291" s="25"/>
      <c r="C291" s="11"/>
      <c r="D291" s="49"/>
      <c r="E291" s="49"/>
      <c r="F291" s="80"/>
      <c r="G291" s="81"/>
      <c r="H291" s="81"/>
      <c r="I291" s="54"/>
      <c r="J291" s="54"/>
      <c r="K291" s="54"/>
      <c r="L291" s="72">
        <v>17163</v>
      </c>
      <c r="M291" s="73" t="s">
        <v>828</v>
      </c>
      <c r="N291" s="73" t="s">
        <v>34</v>
      </c>
      <c r="O291" s="50">
        <v>2</v>
      </c>
      <c r="P291" s="50"/>
      <c r="Q291" s="50"/>
      <c r="R291" s="24"/>
      <c r="S291" s="166"/>
      <c r="U291" s="5"/>
      <c r="V291" s="5"/>
    </row>
    <row r="292" spans="1:22" ht="18.75" x14ac:dyDescent="0.25">
      <c r="A292" s="20"/>
      <c r="B292" s="25"/>
      <c r="C292" s="11"/>
      <c r="D292" s="49"/>
      <c r="E292" s="49"/>
      <c r="F292" s="80"/>
      <c r="G292" s="81"/>
      <c r="H292" s="81"/>
      <c r="I292" s="54"/>
      <c r="J292" s="54"/>
      <c r="K292" s="54"/>
      <c r="L292" s="72">
        <v>2830</v>
      </c>
      <c r="M292" s="73" t="s">
        <v>829</v>
      </c>
      <c r="N292" s="73" t="s">
        <v>34</v>
      </c>
      <c r="O292" s="50">
        <v>1</v>
      </c>
      <c r="P292" s="50"/>
      <c r="Q292" s="50"/>
      <c r="R292" s="24"/>
      <c r="S292" s="166"/>
      <c r="U292" s="5"/>
      <c r="V292" s="5"/>
    </row>
    <row r="293" spans="1:22" ht="18.75" x14ac:dyDescent="0.25">
      <c r="A293" s="20"/>
      <c r="B293" s="25"/>
      <c r="C293" s="11"/>
      <c r="D293" s="49"/>
      <c r="E293" s="49"/>
      <c r="F293" s="80"/>
      <c r="G293" s="81"/>
      <c r="H293" s="81"/>
      <c r="I293" s="54"/>
      <c r="J293" s="54"/>
      <c r="K293" s="54"/>
      <c r="L293" s="72">
        <v>8024</v>
      </c>
      <c r="M293" s="73" t="s">
        <v>830</v>
      </c>
      <c r="N293" s="73" t="s">
        <v>34</v>
      </c>
      <c r="O293" s="50">
        <v>1</v>
      </c>
      <c r="P293" s="50"/>
      <c r="Q293" s="50"/>
      <c r="R293" s="24"/>
      <c r="S293" s="166"/>
      <c r="U293" s="5"/>
      <c r="V293" s="5"/>
    </row>
    <row r="294" spans="1:22" ht="18.75" x14ac:dyDescent="0.25">
      <c r="A294" s="20"/>
      <c r="B294" s="25"/>
      <c r="C294" s="11"/>
      <c r="D294" s="49"/>
      <c r="E294" s="49"/>
      <c r="F294" s="80"/>
      <c r="G294" s="81"/>
      <c r="H294" s="81"/>
      <c r="I294" s="54"/>
      <c r="J294" s="54"/>
      <c r="K294" s="54"/>
      <c r="L294" s="72">
        <v>3504</v>
      </c>
      <c r="M294" s="73" t="s">
        <v>831</v>
      </c>
      <c r="N294" s="73" t="s">
        <v>34</v>
      </c>
      <c r="O294" s="50">
        <v>1</v>
      </c>
      <c r="P294" s="50"/>
      <c r="Q294" s="50"/>
      <c r="R294" s="24"/>
      <c r="S294" s="166"/>
      <c r="U294" s="5"/>
      <c r="V294" s="5"/>
    </row>
    <row r="295" spans="1:22" ht="18.75" x14ac:dyDescent="0.25">
      <c r="A295" s="20"/>
      <c r="B295" s="25"/>
      <c r="C295" s="11"/>
      <c r="D295" s="49"/>
      <c r="E295" s="49"/>
      <c r="F295" s="80"/>
      <c r="G295" s="81"/>
      <c r="H295" s="81"/>
      <c r="I295" s="54"/>
      <c r="J295" s="54"/>
      <c r="K295" s="54"/>
      <c r="L295" s="72" t="s">
        <v>832</v>
      </c>
      <c r="M295" s="73" t="s">
        <v>833</v>
      </c>
      <c r="N295" s="73" t="s">
        <v>34</v>
      </c>
      <c r="O295" s="50">
        <v>1</v>
      </c>
      <c r="P295" s="50"/>
      <c r="Q295" s="50"/>
      <c r="R295" s="24"/>
      <c r="S295" s="166"/>
      <c r="U295" s="5"/>
      <c r="V295" s="5"/>
    </row>
    <row r="296" spans="1:22" ht="18.75" x14ac:dyDescent="0.25">
      <c r="A296" s="20"/>
      <c r="B296" s="25"/>
      <c r="C296" s="11"/>
      <c r="D296" s="49"/>
      <c r="E296" s="49"/>
      <c r="F296" s="80"/>
      <c r="G296" s="81"/>
      <c r="H296" s="81"/>
      <c r="I296" s="54"/>
      <c r="J296" s="54"/>
      <c r="K296" s="54"/>
      <c r="L296" s="72">
        <v>12638</v>
      </c>
      <c r="M296" s="73" t="s">
        <v>834</v>
      </c>
      <c r="N296" s="73" t="s">
        <v>34</v>
      </c>
      <c r="O296" s="50">
        <v>1</v>
      </c>
      <c r="P296" s="50"/>
      <c r="Q296" s="50"/>
      <c r="R296" s="24"/>
      <c r="S296" s="166"/>
      <c r="U296" s="5"/>
      <c r="V296" s="5"/>
    </row>
    <row r="297" spans="1:22" ht="18.75" x14ac:dyDescent="0.25">
      <c r="A297" s="20"/>
      <c r="B297" s="25"/>
      <c r="C297" s="11"/>
      <c r="D297" s="49"/>
      <c r="E297" s="49"/>
      <c r="F297" s="80"/>
      <c r="G297" s="81"/>
      <c r="H297" s="81"/>
      <c r="I297" s="54"/>
      <c r="J297" s="54"/>
      <c r="K297" s="54"/>
      <c r="L297" s="72">
        <v>10881</v>
      </c>
      <c r="M297" s="73" t="s">
        <v>148</v>
      </c>
      <c r="N297" s="73" t="s">
        <v>147</v>
      </c>
      <c r="O297" s="50">
        <v>1</v>
      </c>
      <c r="P297" s="50"/>
      <c r="Q297" s="50"/>
      <c r="R297" s="24"/>
      <c r="S297" s="166"/>
      <c r="U297" s="5"/>
      <c r="V297" s="5"/>
    </row>
    <row r="298" spans="1:22" ht="18.75" x14ac:dyDescent="0.25">
      <c r="A298" s="20"/>
      <c r="B298" s="25"/>
      <c r="C298" s="11"/>
      <c r="D298" s="49"/>
      <c r="E298" s="49"/>
      <c r="F298" s="80"/>
      <c r="G298" s="81"/>
      <c r="H298" s="81"/>
      <c r="I298" s="54"/>
      <c r="J298" s="54"/>
      <c r="K298" s="54"/>
      <c r="L298" s="72">
        <v>2888</v>
      </c>
      <c r="M298" s="73" t="s">
        <v>835</v>
      </c>
      <c r="N298" s="73" t="s">
        <v>147</v>
      </c>
      <c r="O298" s="50">
        <v>1</v>
      </c>
      <c r="P298" s="50"/>
      <c r="Q298" s="50"/>
      <c r="R298" s="24"/>
      <c r="S298" s="166"/>
      <c r="U298" s="5"/>
      <c r="V298" s="5"/>
    </row>
    <row r="299" spans="1:22" ht="18.75" x14ac:dyDescent="0.25">
      <c r="A299" s="20"/>
      <c r="B299" s="25"/>
      <c r="C299" s="11"/>
      <c r="D299" s="49"/>
      <c r="E299" s="49"/>
      <c r="F299" s="80"/>
      <c r="G299" s="81"/>
      <c r="H299" s="81"/>
      <c r="I299" s="54"/>
      <c r="J299" s="54"/>
      <c r="K299" s="54"/>
      <c r="L299" s="72">
        <v>3743</v>
      </c>
      <c r="M299" s="73" t="s">
        <v>836</v>
      </c>
      <c r="N299" s="73" t="s">
        <v>147</v>
      </c>
      <c r="O299" s="50">
        <v>1</v>
      </c>
      <c r="P299" s="50"/>
      <c r="Q299" s="50"/>
      <c r="R299" s="24"/>
      <c r="S299" s="166"/>
      <c r="U299" s="5"/>
      <c r="V299" s="5"/>
    </row>
    <row r="300" spans="1:22" ht="18.75" x14ac:dyDescent="0.25">
      <c r="A300" s="20"/>
      <c r="B300" s="25"/>
      <c r="C300" s="11"/>
      <c r="D300" s="49"/>
      <c r="E300" s="49"/>
      <c r="F300" s="80"/>
      <c r="G300" s="81"/>
      <c r="H300" s="81"/>
      <c r="I300" s="54"/>
      <c r="J300" s="54"/>
      <c r="K300" s="54"/>
      <c r="L300" s="72">
        <v>4402</v>
      </c>
      <c r="M300" s="73" t="s">
        <v>837</v>
      </c>
      <c r="N300" s="73" t="s">
        <v>147</v>
      </c>
      <c r="O300" s="50">
        <v>2</v>
      </c>
      <c r="P300" s="50"/>
      <c r="Q300" s="50"/>
      <c r="R300" s="24"/>
      <c r="S300" s="166"/>
      <c r="U300" s="5"/>
      <c r="V300" s="5"/>
    </row>
    <row r="301" spans="1:22" ht="18.75" x14ac:dyDescent="0.25">
      <c r="A301" s="20"/>
      <c r="B301" s="25"/>
      <c r="C301" s="11"/>
      <c r="D301" s="49"/>
      <c r="E301" s="49"/>
      <c r="F301" s="80"/>
      <c r="G301" s="81"/>
      <c r="H301" s="81"/>
      <c r="I301" s="54"/>
      <c r="J301" s="54"/>
      <c r="K301" s="54"/>
      <c r="L301" s="72">
        <v>3662</v>
      </c>
      <c r="M301" s="73" t="s">
        <v>838</v>
      </c>
      <c r="N301" s="73" t="s">
        <v>34</v>
      </c>
      <c r="O301" s="50">
        <v>7</v>
      </c>
      <c r="P301" s="50"/>
      <c r="Q301" s="50"/>
      <c r="R301" s="24"/>
      <c r="S301" s="166"/>
      <c r="U301" s="5"/>
      <c r="V301" s="5"/>
    </row>
    <row r="302" spans="1:22" ht="18.75" x14ac:dyDescent="0.25">
      <c r="A302" s="20"/>
      <c r="B302" s="25"/>
      <c r="C302" s="11"/>
      <c r="D302" s="49"/>
      <c r="E302" s="49"/>
      <c r="F302" s="80"/>
      <c r="G302" s="81"/>
      <c r="H302" s="81"/>
      <c r="I302" s="54"/>
      <c r="J302" s="54"/>
      <c r="K302" s="54"/>
      <c r="L302" s="72">
        <v>13138</v>
      </c>
      <c r="M302" s="73" t="s">
        <v>659</v>
      </c>
      <c r="N302" s="73" t="s">
        <v>34</v>
      </c>
      <c r="O302" s="50">
        <v>1</v>
      </c>
      <c r="P302" s="50"/>
      <c r="Q302" s="50"/>
      <c r="R302" s="24"/>
      <c r="S302" s="166"/>
      <c r="U302" s="5"/>
      <c r="V302" s="5"/>
    </row>
    <row r="303" spans="1:22" ht="18.75" x14ac:dyDescent="0.25">
      <c r="A303" s="20"/>
      <c r="B303" s="25"/>
      <c r="C303" s="11"/>
      <c r="D303" s="49"/>
      <c r="E303" s="49"/>
      <c r="F303" s="80"/>
      <c r="G303" s="81"/>
      <c r="H303" s="81"/>
      <c r="I303" s="54"/>
      <c r="J303" s="54"/>
      <c r="K303" s="54"/>
      <c r="L303" s="72">
        <v>2450</v>
      </c>
      <c r="M303" s="73" t="s">
        <v>839</v>
      </c>
      <c r="N303" s="73" t="s">
        <v>147</v>
      </c>
      <c r="O303" s="50">
        <v>1</v>
      </c>
      <c r="P303" s="50"/>
      <c r="Q303" s="50"/>
      <c r="R303" s="24"/>
      <c r="S303" s="166"/>
      <c r="U303" s="5"/>
      <c r="V303" s="5"/>
    </row>
    <row r="304" spans="1:22" ht="30" x14ac:dyDescent="0.25">
      <c r="A304" s="20"/>
      <c r="B304" s="25"/>
      <c r="C304" s="11"/>
      <c r="D304" s="49"/>
      <c r="E304" s="49"/>
      <c r="F304" s="80"/>
      <c r="G304" s="81"/>
      <c r="H304" s="81"/>
      <c r="I304" s="54"/>
      <c r="J304" s="54"/>
      <c r="K304" s="54"/>
      <c r="L304" s="72">
        <v>17512</v>
      </c>
      <c r="M304" s="73" t="s">
        <v>840</v>
      </c>
      <c r="N304" s="73" t="s">
        <v>147</v>
      </c>
      <c r="O304" s="50">
        <v>3</v>
      </c>
      <c r="P304" s="50"/>
      <c r="Q304" s="50"/>
      <c r="R304" s="24"/>
      <c r="S304" s="166"/>
      <c r="U304" s="5"/>
      <c r="V304" s="5"/>
    </row>
    <row r="305" spans="1:22" ht="18.75" x14ac:dyDescent="0.25">
      <c r="A305" s="20"/>
      <c r="B305" s="25"/>
      <c r="C305" s="11"/>
      <c r="D305" s="49"/>
      <c r="E305" s="49"/>
      <c r="F305" s="80"/>
      <c r="G305" s="81"/>
      <c r="H305" s="81"/>
      <c r="I305" s="54"/>
      <c r="J305" s="54"/>
      <c r="K305" s="54"/>
      <c r="L305" s="72">
        <v>3498</v>
      </c>
      <c r="M305" s="73" t="s">
        <v>841</v>
      </c>
      <c r="N305" s="73" t="s">
        <v>147</v>
      </c>
      <c r="O305" s="50">
        <v>1</v>
      </c>
      <c r="P305" s="50"/>
      <c r="Q305" s="50"/>
      <c r="R305" s="24"/>
      <c r="S305" s="166"/>
      <c r="U305" s="5"/>
      <c r="V305" s="5"/>
    </row>
    <row r="306" spans="1:22" ht="18.75" x14ac:dyDescent="0.25">
      <c r="A306" s="20"/>
      <c r="B306" s="25"/>
      <c r="C306" s="11"/>
      <c r="D306" s="49"/>
      <c r="E306" s="49"/>
      <c r="F306" s="80"/>
      <c r="G306" s="81"/>
      <c r="H306" s="81"/>
      <c r="I306" s="54"/>
      <c r="J306" s="54"/>
      <c r="K306" s="54"/>
      <c r="L306" s="72" t="s">
        <v>842</v>
      </c>
      <c r="M306" s="73" t="s">
        <v>843</v>
      </c>
      <c r="N306" s="73" t="s">
        <v>34</v>
      </c>
      <c r="O306" s="50">
        <v>4</v>
      </c>
      <c r="P306" s="50"/>
      <c r="Q306" s="50"/>
      <c r="R306" s="24"/>
      <c r="S306" s="166"/>
      <c r="U306" s="5"/>
      <c r="V306" s="5"/>
    </row>
    <row r="307" spans="1:22" ht="18.75" x14ac:dyDescent="0.25">
      <c r="A307" s="20"/>
      <c r="B307" s="25"/>
      <c r="C307" s="11"/>
      <c r="D307" s="49"/>
      <c r="E307" s="49"/>
      <c r="F307" s="80"/>
      <c r="G307" s="81"/>
      <c r="H307" s="81"/>
      <c r="I307" s="54"/>
      <c r="J307" s="54"/>
      <c r="K307" s="54"/>
      <c r="L307" s="72">
        <v>9099</v>
      </c>
      <c r="M307" s="73" t="s">
        <v>844</v>
      </c>
      <c r="N307" s="73" t="s">
        <v>34</v>
      </c>
      <c r="O307" s="50">
        <v>1</v>
      </c>
      <c r="P307" s="50"/>
      <c r="Q307" s="50"/>
      <c r="R307" s="24"/>
      <c r="S307" s="166"/>
      <c r="U307" s="5"/>
      <c r="V307" s="5"/>
    </row>
    <row r="308" spans="1:22" ht="18.75" x14ac:dyDescent="0.25">
      <c r="A308" s="20"/>
      <c r="B308" s="25"/>
      <c r="C308" s="11"/>
      <c r="D308" s="49"/>
      <c r="E308" s="49"/>
      <c r="F308" s="80"/>
      <c r="G308" s="81"/>
      <c r="H308" s="81"/>
      <c r="I308" s="54"/>
      <c r="J308" s="54"/>
      <c r="K308" s="54"/>
      <c r="L308" s="72">
        <v>3333</v>
      </c>
      <c r="M308" s="73" t="s">
        <v>845</v>
      </c>
      <c r="N308" s="73" t="s">
        <v>34</v>
      </c>
      <c r="O308" s="50">
        <v>1</v>
      </c>
      <c r="P308" s="50"/>
      <c r="Q308" s="50"/>
      <c r="R308" s="24"/>
      <c r="S308" s="166"/>
      <c r="U308" s="5"/>
      <c r="V308" s="5"/>
    </row>
    <row r="309" spans="1:22" ht="18.75" x14ac:dyDescent="0.25">
      <c r="A309" s="20"/>
      <c r="B309" s="25"/>
      <c r="C309" s="11"/>
      <c r="D309" s="49"/>
      <c r="E309" s="49"/>
      <c r="F309" s="80"/>
      <c r="G309" s="81"/>
      <c r="H309" s="81"/>
      <c r="I309" s="54"/>
      <c r="J309" s="54"/>
      <c r="K309" s="54"/>
      <c r="L309" s="72" t="s">
        <v>846</v>
      </c>
      <c r="M309" s="73" t="s">
        <v>847</v>
      </c>
      <c r="N309" s="73" t="s">
        <v>34</v>
      </c>
      <c r="O309" s="50">
        <v>1</v>
      </c>
      <c r="P309" s="50"/>
      <c r="Q309" s="50"/>
      <c r="R309" s="24"/>
      <c r="S309" s="166"/>
      <c r="U309" s="5"/>
      <c r="V309" s="5"/>
    </row>
    <row r="310" spans="1:22" ht="18.75" x14ac:dyDescent="0.25">
      <c r="A310" s="20"/>
      <c r="B310" s="25"/>
      <c r="C310" s="11"/>
      <c r="D310" s="49"/>
      <c r="E310" s="49"/>
      <c r="F310" s="80"/>
      <c r="G310" s="81"/>
      <c r="H310" s="81"/>
      <c r="I310" s="54"/>
      <c r="J310" s="54"/>
      <c r="K310" s="54"/>
      <c r="L310" s="72">
        <v>18267</v>
      </c>
      <c r="M310" s="73" t="s">
        <v>848</v>
      </c>
      <c r="N310" s="73" t="s">
        <v>34</v>
      </c>
      <c r="O310" s="50">
        <v>1</v>
      </c>
      <c r="P310" s="50"/>
      <c r="Q310" s="50"/>
      <c r="R310" s="24"/>
      <c r="S310" s="166"/>
      <c r="U310" s="5"/>
      <c r="V310" s="5"/>
    </row>
    <row r="311" spans="1:22" ht="18.75" x14ac:dyDescent="0.25">
      <c r="A311" s="20"/>
      <c r="B311" s="25"/>
      <c r="C311" s="11"/>
      <c r="D311" s="49"/>
      <c r="E311" s="49"/>
      <c r="F311" s="80"/>
      <c r="G311" s="81"/>
      <c r="H311" s="81"/>
      <c r="I311" s="54"/>
      <c r="J311" s="54"/>
      <c r="K311" s="54"/>
      <c r="L311" s="72" t="s">
        <v>849</v>
      </c>
      <c r="M311" s="73" t="s">
        <v>850</v>
      </c>
      <c r="N311" s="73" t="s">
        <v>34</v>
      </c>
      <c r="O311" s="50">
        <v>1</v>
      </c>
      <c r="P311" s="50"/>
      <c r="Q311" s="50"/>
      <c r="R311" s="24"/>
      <c r="S311" s="166"/>
      <c r="U311" s="5"/>
      <c r="V311" s="5"/>
    </row>
    <row r="312" spans="1:22" ht="18.75" x14ac:dyDescent="0.25">
      <c r="A312" s="20"/>
      <c r="B312" s="25"/>
      <c r="C312" s="11"/>
      <c r="D312" s="49"/>
      <c r="E312" s="49"/>
      <c r="F312" s="80"/>
      <c r="G312" s="81"/>
      <c r="H312" s="81"/>
      <c r="I312" s="54"/>
      <c r="J312" s="54"/>
      <c r="K312" s="54"/>
      <c r="L312" s="72">
        <v>12663</v>
      </c>
      <c r="M312" s="73" t="s">
        <v>851</v>
      </c>
      <c r="N312" s="73" t="s">
        <v>34</v>
      </c>
      <c r="O312" s="50">
        <v>1</v>
      </c>
      <c r="P312" s="50"/>
      <c r="Q312" s="50"/>
      <c r="R312" s="24"/>
      <c r="S312" s="166"/>
      <c r="U312" s="5"/>
      <c r="V312" s="5"/>
    </row>
    <row r="313" spans="1:22" ht="18.75" x14ac:dyDescent="0.25">
      <c r="A313" s="20"/>
      <c r="B313" s="25"/>
      <c r="C313" s="11"/>
      <c r="D313" s="49"/>
      <c r="E313" s="49"/>
      <c r="F313" s="80"/>
      <c r="G313" s="81"/>
      <c r="H313" s="81"/>
      <c r="I313" s="54"/>
      <c r="J313" s="54"/>
      <c r="K313" s="54"/>
      <c r="L313" s="72" t="s">
        <v>150</v>
      </c>
      <c r="M313" s="73" t="s">
        <v>852</v>
      </c>
      <c r="N313" s="73" t="s">
        <v>34</v>
      </c>
      <c r="O313" s="50">
        <v>1</v>
      </c>
      <c r="P313" s="50"/>
      <c r="Q313" s="50"/>
      <c r="R313" s="24"/>
      <c r="S313" s="166"/>
      <c r="U313" s="5"/>
      <c r="V313" s="5"/>
    </row>
    <row r="314" spans="1:22" ht="18.75" x14ac:dyDescent="0.25">
      <c r="A314" s="20"/>
      <c r="B314" s="25"/>
      <c r="C314" s="11"/>
      <c r="D314" s="49"/>
      <c r="E314" s="49"/>
      <c r="F314" s="80"/>
      <c r="G314" s="81"/>
      <c r="H314" s="81"/>
      <c r="I314" s="54"/>
      <c r="J314" s="54"/>
      <c r="K314" s="54"/>
      <c r="L314" s="72" t="s">
        <v>853</v>
      </c>
      <c r="M314" s="73" t="s">
        <v>854</v>
      </c>
      <c r="N314" s="73" t="s">
        <v>34</v>
      </c>
      <c r="O314" s="50">
        <v>1</v>
      </c>
      <c r="P314" s="50"/>
      <c r="Q314" s="50"/>
      <c r="R314" s="24"/>
      <c r="S314" s="166"/>
      <c r="U314" s="5"/>
      <c r="V314" s="5"/>
    </row>
    <row r="315" spans="1:22" ht="18.75" x14ac:dyDescent="0.25">
      <c r="A315" s="20"/>
      <c r="B315" s="25"/>
      <c r="C315" s="11"/>
      <c r="D315" s="49"/>
      <c r="E315" s="49"/>
      <c r="F315" s="80"/>
      <c r="G315" s="81"/>
      <c r="H315" s="81"/>
      <c r="I315" s="54"/>
      <c r="J315" s="54"/>
      <c r="K315" s="54"/>
      <c r="L315" s="72" t="s">
        <v>855</v>
      </c>
      <c r="M315" s="73" t="s">
        <v>856</v>
      </c>
      <c r="N315" s="73" t="s">
        <v>34</v>
      </c>
      <c r="O315" s="50">
        <v>1</v>
      </c>
      <c r="P315" s="50"/>
      <c r="Q315" s="50"/>
      <c r="R315" s="24"/>
      <c r="S315" s="166"/>
      <c r="U315" s="5"/>
      <c r="V315" s="5"/>
    </row>
    <row r="316" spans="1:22" ht="18.75" x14ac:dyDescent="0.25">
      <c r="A316" s="20"/>
      <c r="B316" s="25"/>
      <c r="C316" s="11"/>
      <c r="D316" s="49"/>
      <c r="E316" s="49"/>
      <c r="F316" s="80"/>
      <c r="G316" s="81"/>
      <c r="H316" s="81"/>
      <c r="I316" s="54"/>
      <c r="J316" s="54"/>
      <c r="K316" s="54"/>
      <c r="L316" s="72" t="s">
        <v>857</v>
      </c>
      <c r="M316" s="73" t="s">
        <v>858</v>
      </c>
      <c r="N316" s="73" t="s">
        <v>34</v>
      </c>
      <c r="O316" s="50">
        <v>2</v>
      </c>
      <c r="P316" s="50"/>
      <c r="Q316" s="50"/>
      <c r="R316" s="24"/>
      <c r="S316" s="166"/>
      <c r="U316" s="5"/>
      <c r="V316" s="5"/>
    </row>
    <row r="317" spans="1:22" ht="18.75" x14ac:dyDescent="0.25">
      <c r="A317" s="20"/>
      <c r="B317" s="25"/>
      <c r="C317" s="11"/>
      <c r="D317" s="49"/>
      <c r="E317" s="49"/>
      <c r="F317" s="80"/>
      <c r="G317" s="81"/>
      <c r="H317" s="81"/>
      <c r="I317" s="54"/>
      <c r="J317" s="54"/>
      <c r="K317" s="54"/>
      <c r="L317" s="72" t="s">
        <v>859</v>
      </c>
      <c r="M317" s="73" t="s">
        <v>860</v>
      </c>
      <c r="N317" s="73" t="s">
        <v>34</v>
      </c>
      <c r="O317" s="50">
        <v>4</v>
      </c>
      <c r="P317" s="50"/>
      <c r="Q317" s="50"/>
      <c r="R317" s="24"/>
      <c r="S317" s="166"/>
      <c r="U317" s="5"/>
      <c r="V317" s="5"/>
    </row>
    <row r="318" spans="1:22" ht="18.75" x14ac:dyDescent="0.25">
      <c r="A318" s="20"/>
      <c r="B318" s="25"/>
      <c r="C318" s="11"/>
      <c r="D318" s="49"/>
      <c r="E318" s="49"/>
      <c r="F318" s="80"/>
      <c r="G318" s="81"/>
      <c r="H318" s="81"/>
      <c r="I318" s="54"/>
      <c r="J318" s="54"/>
      <c r="K318" s="54"/>
      <c r="L318" s="72" t="s">
        <v>861</v>
      </c>
      <c r="M318" s="73" t="s">
        <v>862</v>
      </c>
      <c r="N318" s="73" t="s">
        <v>34</v>
      </c>
      <c r="O318" s="50">
        <v>2</v>
      </c>
      <c r="P318" s="50"/>
      <c r="Q318" s="50"/>
      <c r="R318" s="24"/>
      <c r="S318" s="166"/>
      <c r="U318" s="5"/>
      <c r="V318" s="5"/>
    </row>
    <row r="319" spans="1:22" ht="18.75" x14ac:dyDescent="0.25">
      <c r="A319" s="20"/>
      <c r="B319" s="25"/>
      <c r="C319" s="11"/>
      <c r="D319" s="49"/>
      <c r="E319" s="49"/>
      <c r="F319" s="80"/>
      <c r="G319" s="81"/>
      <c r="H319" s="81"/>
      <c r="I319" s="54"/>
      <c r="J319" s="54"/>
      <c r="K319" s="54"/>
      <c r="L319" s="72" t="s">
        <v>863</v>
      </c>
      <c r="M319" s="73" t="s">
        <v>864</v>
      </c>
      <c r="N319" s="73" t="s">
        <v>34</v>
      </c>
      <c r="O319" s="50">
        <v>3</v>
      </c>
      <c r="P319" s="50"/>
      <c r="Q319" s="50"/>
      <c r="R319" s="24"/>
      <c r="S319" s="166"/>
      <c r="U319" s="5"/>
      <c r="V319" s="5"/>
    </row>
    <row r="320" spans="1:22" ht="18.75" x14ac:dyDescent="0.25">
      <c r="A320" s="20"/>
      <c r="B320" s="25"/>
      <c r="C320" s="11"/>
      <c r="D320" s="49"/>
      <c r="E320" s="49"/>
      <c r="F320" s="80"/>
      <c r="G320" s="81"/>
      <c r="H320" s="81"/>
      <c r="I320" s="54"/>
      <c r="J320" s="54"/>
      <c r="K320" s="54"/>
      <c r="L320" s="72" t="s">
        <v>865</v>
      </c>
      <c r="M320" s="73" t="s">
        <v>866</v>
      </c>
      <c r="N320" s="73" t="s">
        <v>34</v>
      </c>
      <c r="O320" s="50">
        <v>6</v>
      </c>
      <c r="P320" s="50"/>
      <c r="Q320" s="50"/>
      <c r="R320" s="24"/>
      <c r="S320" s="166"/>
      <c r="U320" s="5"/>
      <c r="V320" s="5"/>
    </row>
    <row r="321" spans="1:22" ht="18.75" x14ac:dyDescent="0.25">
      <c r="A321" s="20"/>
      <c r="B321" s="25"/>
      <c r="C321" s="11"/>
      <c r="D321" s="49"/>
      <c r="E321" s="49"/>
      <c r="F321" s="80"/>
      <c r="G321" s="81"/>
      <c r="H321" s="81"/>
      <c r="I321" s="54"/>
      <c r="J321" s="54"/>
      <c r="K321" s="54"/>
      <c r="L321" s="72">
        <v>19775</v>
      </c>
      <c r="M321" s="73" t="s">
        <v>867</v>
      </c>
      <c r="N321" s="73" t="s">
        <v>34</v>
      </c>
      <c r="O321" s="50">
        <v>1</v>
      </c>
      <c r="P321" s="50"/>
      <c r="Q321" s="50"/>
      <c r="R321" s="24"/>
      <c r="S321" s="166"/>
      <c r="U321" s="5"/>
      <c r="V321" s="5"/>
    </row>
    <row r="322" spans="1:22" ht="18.75" x14ac:dyDescent="0.25">
      <c r="A322" s="20"/>
      <c r="B322" s="25"/>
      <c r="C322" s="11"/>
      <c r="D322" s="49"/>
      <c r="E322" s="49"/>
      <c r="F322" s="80"/>
      <c r="G322" s="81"/>
      <c r="H322" s="81"/>
      <c r="I322" s="54"/>
      <c r="J322" s="54"/>
      <c r="K322" s="54"/>
      <c r="L322" s="72" t="s">
        <v>868</v>
      </c>
      <c r="M322" s="73" t="s">
        <v>869</v>
      </c>
      <c r="N322" s="73" t="s">
        <v>64</v>
      </c>
      <c r="O322" s="50">
        <v>2</v>
      </c>
      <c r="P322" s="50"/>
      <c r="Q322" s="50"/>
      <c r="R322" s="24"/>
      <c r="S322" s="166"/>
      <c r="U322" s="5"/>
      <c r="V322" s="5"/>
    </row>
    <row r="323" spans="1:22" ht="18.75" x14ac:dyDescent="0.25">
      <c r="A323" s="20"/>
      <c r="B323" s="25"/>
      <c r="C323" s="11"/>
      <c r="D323" s="49"/>
      <c r="E323" s="49"/>
      <c r="F323" s="80"/>
      <c r="G323" s="81"/>
      <c r="H323" s="81"/>
      <c r="I323" s="54"/>
      <c r="J323" s="54"/>
      <c r="K323" s="54"/>
      <c r="L323" s="72">
        <v>13182</v>
      </c>
      <c r="M323" s="73" t="s">
        <v>675</v>
      </c>
      <c r="N323" s="73" t="s">
        <v>34</v>
      </c>
      <c r="O323" s="50">
        <v>4</v>
      </c>
      <c r="P323" s="50"/>
      <c r="Q323" s="50"/>
      <c r="R323" s="24"/>
      <c r="S323" s="166"/>
      <c r="U323" s="5"/>
      <c r="V323" s="5"/>
    </row>
    <row r="324" spans="1:22" ht="18.75" x14ac:dyDescent="0.25">
      <c r="A324" s="20"/>
      <c r="B324" s="25"/>
      <c r="C324" s="11"/>
      <c r="D324" s="49"/>
      <c r="E324" s="49"/>
      <c r="F324" s="80"/>
      <c r="G324" s="81"/>
      <c r="H324" s="81"/>
      <c r="I324" s="54"/>
      <c r="J324" s="54"/>
      <c r="K324" s="54"/>
      <c r="L324" s="72">
        <v>13183</v>
      </c>
      <c r="M324" s="73" t="s">
        <v>152</v>
      </c>
      <c r="N324" s="73" t="s">
        <v>34</v>
      </c>
      <c r="O324" s="50">
        <v>1</v>
      </c>
      <c r="P324" s="50"/>
      <c r="Q324" s="50"/>
      <c r="R324" s="24"/>
      <c r="S324" s="166"/>
      <c r="U324" s="5"/>
      <c r="V324" s="5"/>
    </row>
    <row r="325" spans="1:22" ht="18.75" x14ac:dyDescent="0.25">
      <c r="A325" s="20"/>
      <c r="B325" s="25"/>
      <c r="C325" s="11"/>
      <c r="D325" s="49"/>
      <c r="E325" s="49"/>
      <c r="F325" s="80"/>
      <c r="G325" s="81"/>
      <c r="H325" s="81"/>
      <c r="I325" s="54"/>
      <c r="J325" s="54"/>
      <c r="K325" s="54"/>
      <c r="L325" s="72" t="s">
        <v>870</v>
      </c>
      <c r="M325" s="73" t="s">
        <v>871</v>
      </c>
      <c r="N325" s="73" t="s">
        <v>34</v>
      </c>
      <c r="O325" s="50">
        <v>4</v>
      </c>
      <c r="P325" s="50"/>
      <c r="Q325" s="50"/>
      <c r="R325" s="24"/>
      <c r="S325" s="166"/>
      <c r="U325" s="5"/>
      <c r="V325" s="5"/>
    </row>
    <row r="326" spans="1:22" ht="18.75" x14ac:dyDescent="0.25">
      <c r="A326" s="20"/>
      <c r="B326" s="25"/>
      <c r="C326" s="11"/>
      <c r="D326" s="49"/>
      <c r="E326" s="49"/>
      <c r="F326" s="80"/>
      <c r="G326" s="81"/>
      <c r="H326" s="81"/>
      <c r="I326" s="54"/>
      <c r="J326" s="54"/>
      <c r="K326" s="54"/>
      <c r="L326" s="72" t="s">
        <v>872</v>
      </c>
      <c r="M326" s="73" t="s">
        <v>873</v>
      </c>
      <c r="N326" s="73" t="s">
        <v>34</v>
      </c>
      <c r="O326" s="50">
        <v>4</v>
      </c>
      <c r="P326" s="50"/>
      <c r="Q326" s="50"/>
      <c r="R326" s="24"/>
      <c r="S326" s="166"/>
      <c r="U326" s="5"/>
      <c r="V326" s="5"/>
    </row>
    <row r="327" spans="1:22" ht="18.75" x14ac:dyDescent="0.25">
      <c r="A327" s="20"/>
      <c r="B327" s="25"/>
      <c r="C327" s="11"/>
      <c r="D327" s="49"/>
      <c r="E327" s="49"/>
      <c r="F327" s="80"/>
      <c r="G327" s="81"/>
      <c r="H327" s="81"/>
      <c r="I327" s="54"/>
      <c r="J327" s="54"/>
      <c r="K327" s="54"/>
      <c r="L327" s="72" t="s">
        <v>874</v>
      </c>
      <c r="M327" s="73" t="s">
        <v>875</v>
      </c>
      <c r="N327" s="73" t="s">
        <v>34</v>
      </c>
      <c r="O327" s="50">
        <v>9</v>
      </c>
      <c r="P327" s="50"/>
      <c r="Q327" s="50"/>
      <c r="R327" s="24"/>
      <c r="S327" s="166"/>
      <c r="U327" s="5"/>
      <c r="V327" s="5"/>
    </row>
    <row r="328" spans="1:22" ht="18.75" x14ac:dyDescent="0.25">
      <c r="A328" s="20"/>
      <c r="B328" s="25"/>
      <c r="C328" s="11"/>
      <c r="D328" s="49"/>
      <c r="E328" s="49"/>
      <c r="F328" s="80"/>
      <c r="G328" s="81"/>
      <c r="H328" s="81"/>
      <c r="I328" s="54"/>
      <c r="J328" s="54"/>
      <c r="K328" s="54"/>
      <c r="L328" s="72">
        <v>14995</v>
      </c>
      <c r="M328" s="73" t="s">
        <v>876</v>
      </c>
      <c r="N328" s="73" t="s">
        <v>34</v>
      </c>
      <c r="O328" s="50">
        <v>2</v>
      </c>
      <c r="P328" s="50"/>
      <c r="Q328" s="50"/>
      <c r="R328" s="24"/>
      <c r="S328" s="166"/>
      <c r="U328" s="5"/>
      <c r="V328" s="5"/>
    </row>
    <row r="329" spans="1:22" ht="18.75" x14ac:dyDescent="0.25">
      <c r="A329" s="20"/>
      <c r="B329" s="25"/>
      <c r="C329" s="11"/>
      <c r="D329" s="49"/>
      <c r="E329" s="49"/>
      <c r="F329" s="80"/>
      <c r="G329" s="81"/>
      <c r="H329" s="81"/>
      <c r="I329" s="54"/>
      <c r="J329" s="54"/>
      <c r="K329" s="54"/>
      <c r="L329" s="72">
        <v>14993</v>
      </c>
      <c r="M329" s="73" t="s">
        <v>877</v>
      </c>
      <c r="N329" s="73" t="s">
        <v>34</v>
      </c>
      <c r="O329" s="50">
        <v>2</v>
      </c>
      <c r="P329" s="50"/>
      <c r="Q329" s="50"/>
      <c r="R329" s="24"/>
      <c r="S329" s="166"/>
      <c r="U329" s="5"/>
      <c r="V329" s="5"/>
    </row>
    <row r="330" spans="1:22" ht="18.75" x14ac:dyDescent="0.25">
      <c r="A330" s="20"/>
      <c r="B330" s="25"/>
      <c r="C330" s="11"/>
      <c r="D330" s="49"/>
      <c r="E330" s="49"/>
      <c r="F330" s="80"/>
      <c r="G330" s="81"/>
      <c r="H330" s="81"/>
      <c r="I330" s="54"/>
      <c r="J330" s="54"/>
      <c r="K330" s="54"/>
      <c r="L330" s="72" t="s">
        <v>878</v>
      </c>
      <c r="M330" s="73" t="s">
        <v>879</v>
      </c>
      <c r="N330" s="73" t="s">
        <v>34</v>
      </c>
      <c r="O330" s="50">
        <v>5</v>
      </c>
      <c r="P330" s="50"/>
      <c r="Q330" s="50"/>
      <c r="R330" s="24"/>
      <c r="S330" s="166"/>
      <c r="U330" s="5"/>
      <c r="V330" s="5"/>
    </row>
    <row r="331" spans="1:22" ht="18.75" x14ac:dyDescent="0.25">
      <c r="A331" s="20"/>
      <c r="B331" s="25"/>
      <c r="C331" s="11"/>
      <c r="D331" s="49"/>
      <c r="E331" s="49"/>
      <c r="F331" s="80"/>
      <c r="G331" s="81"/>
      <c r="H331" s="81"/>
      <c r="I331" s="54"/>
      <c r="J331" s="54"/>
      <c r="K331" s="54"/>
      <c r="L331" s="72">
        <v>7594</v>
      </c>
      <c r="M331" s="73" t="s">
        <v>880</v>
      </c>
      <c r="N331" s="73" t="s">
        <v>34</v>
      </c>
      <c r="O331" s="50">
        <v>2</v>
      </c>
      <c r="P331" s="50"/>
      <c r="Q331" s="50"/>
      <c r="R331" s="24"/>
      <c r="S331" s="166"/>
      <c r="U331" s="5"/>
      <c r="V331" s="5"/>
    </row>
    <row r="332" spans="1:22" ht="18.75" x14ac:dyDescent="0.25">
      <c r="A332" s="20"/>
      <c r="B332" s="25"/>
      <c r="C332" s="11"/>
      <c r="D332" s="49"/>
      <c r="E332" s="49"/>
      <c r="F332" s="80"/>
      <c r="G332" s="81"/>
      <c r="H332" s="81"/>
      <c r="I332" s="54"/>
      <c r="J332" s="54"/>
      <c r="K332" s="54"/>
      <c r="L332" s="72">
        <v>21892</v>
      </c>
      <c r="M332" s="73" t="s">
        <v>97</v>
      </c>
      <c r="N332" s="73" t="s">
        <v>34</v>
      </c>
      <c r="O332" s="50">
        <v>6</v>
      </c>
      <c r="P332" s="50"/>
      <c r="Q332" s="50"/>
      <c r="R332" s="24"/>
      <c r="S332" s="166"/>
      <c r="U332" s="5"/>
      <c r="V332" s="5"/>
    </row>
    <row r="333" spans="1:22" ht="18.75" x14ac:dyDescent="0.25">
      <c r="A333" s="20"/>
      <c r="B333" s="25"/>
      <c r="C333" s="11"/>
      <c r="D333" s="49"/>
      <c r="E333" s="49"/>
      <c r="F333" s="80"/>
      <c r="G333" s="81"/>
      <c r="H333" s="81"/>
      <c r="I333" s="54"/>
      <c r="J333" s="54"/>
      <c r="K333" s="54"/>
      <c r="L333" s="72">
        <v>8068</v>
      </c>
      <c r="M333" s="73" t="s">
        <v>881</v>
      </c>
      <c r="N333" s="73" t="s">
        <v>34</v>
      </c>
      <c r="O333" s="50">
        <v>20</v>
      </c>
      <c r="P333" s="50"/>
      <c r="Q333" s="50"/>
      <c r="R333" s="24"/>
      <c r="S333" s="166"/>
      <c r="U333" s="5"/>
      <c r="V333" s="5"/>
    </row>
    <row r="334" spans="1:22" ht="18.75" x14ac:dyDescent="0.25">
      <c r="A334" s="20"/>
      <c r="B334" s="25"/>
      <c r="C334" s="11"/>
      <c r="D334" s="49"/>
      <c r="E334" s="49"/>
      <c r="F334" s="80"/>
      <c r="G334" s="81"/>
      <c r="H334" s="81"/>
      <c r="I334" s="54"/>
      <c r="J334" s="54"/>
      <c r="K334" s="54"/>
      <c r="L334" s="72" t="s">
        <v>882</v>
      </c>
      <c r="M334" s="73" t="s">
        <v>883</v>
      </c>
      <c r="N334" s="73" t="s">
        <v>34</v>
      </c>
      <c r="O334" s="50">
        <v>2</v>
      </c>
      <c r="P334" s="50"/>
      <c r="Q334" s="50"/>
      <c r="R334" s="24"/>
      <c r="S334" s="166"/>
      <c r="U334" s="5"/>
      <c r="V334" s="5"/>
    </row>
    <row r="335" spans="1:22" ht="18.75" x14ac:dyDescent="0.25">
      <c r="A335" s="20"/>
      <c r="B335" s="25"/>
      <c r="C335" s="11"/>
      <c r="D335" s="49"/>
      <c r="E335" s="49"/>
      <c r="F335" s="80"/>
      <c r="G335" s="81"/>
      <c r="H335" s="81"/>
      <c r="I335" s="54"/>
      <c r="J335" s="54"/>
      <c r="K335" s="54"/>
      <c r="L335" s="72">
        <v>9223</v>
      </c>
      <c r="M335" s="73" t="s">
        <v>884</v>
      </c>
      <c r="N335" s="73" t="s">
        <v>34</v>
      </c>
      <c r="O335" s="50">
        <v>2</v>
      </c>
      <c r="P335" s="50"/>
      <c r="Q335" s="50"/>
      <c r="R335" s="24"/>
      <c r="S335" s="166"/>
      <c r="U335" s="5"/>
      <c r="V335" s="5"/>
    </row>
    <row r="336" spans="1:22" ht="18.75" x14ac:dyDescent="0.25">
      <c r="A336" s="20"/>
      <c r="B336" s="25"/>
      <c r="C336" s="11"/>
      <c r="D336" s="49"/>
      <c r="E336" s="49"/>
      <c r="F336" s="80"/>
      <c r="G336" s="81"/>
      <c r="H336" s="81"/>
      <c r="I336" s="54"/>
      <c r="J336" s="54"/>
      <c r="K336" s="54"/>
      <c r="L336" s="72">
        <v>14443</v>
      </c>
      <c r="M336" s="73" t="s">
        <v>885</v>
      </c>
      <c r="N336" s="73" t="s">
        <v>34</v>
      </c>
      <c r="O336" s="50">
        <v>1</v>
      </c>
      <c r="P336" s="50"/>
      <c r="Q336" s="50"/>
      <c r="R336" s="24"/>
      <c r="S336" s="166"/>
      <c r="U336" s="5"/>
      <c r="V336" s="5"/>
    </row>
    <row r="337" spans="1:22" ht="18.75" x14ac:dyDescent="0.25">
      <c r="A337" s="20"/>
      <c r="B337" s="25"/>
      <c r="C337" s="11"/>
      <c r="D337" s="49"/>
      <c r="E337" s="49"/>
      <c r="F337" s="80"/>
      <c r="G337" s="81"/>
      <c r="H337" s="81"/>
      <c r="I337" s="54"/>
      <c r="J337" s="54"/>
      <c r="K337" s="54"/>
      <c r="L337" s="72">
        <v>511</v>
      </c>
      <c r="M337" s="73" t="s">
        <v>886</v>
      </c>
      <c r="N337" s="73" t="s">
        <v>34</v>
      </c>
      <c r="O337" s="50">
        <v>3</v>
      </c>
      <c r="P337" s="50"/>
      <c r="Q337" s="50"/>
      <c r="R337" s="24"/>
      <c r="S337" s="166"/>
      <c r="U337" s="5"/>
      <c r="V337" s="5"/>
    </row>
    <row r="338" spans="1:22" ht="18.75" x14ac:dyDescent="0.25">
      <c r="A338" s="20"/>
      <c r="B338" s="25"/>
      <c r="C338" s="11"/>
      <c r="D338" s="49"/>
      <c r="E338" s="49"/>
      <c r="F338" s="80"/>
      <c r="G338" s="81"/>
      <c r="H338" s="81"/>
      <c r="I338" s="54"/>
      <c r="J338" s="54"/>
      <c r="K338" s="54"/>
      <c r="L338" s="72" t="s">
        <v>710</v>
      </c>
      <c r="M338" s="73" t="s">
        <v>711</v>
      </c>
      <c r="N338" s="73" t="s">
        <v>34</v>
      </c>
      <c r="O338" s="50">
        <v>2</v>
      </c>
      <c r="P338" s="50"/>
      <c r="Q338" s="50"/>
      <c r="R338" s="24"/>
      <c r="S338" s="166"/>
      <c r="U338" s="5"/>
      <c r="V338" s="5"/>
    </row>
    <row r="339" spans="1:22" ht="18.75" x14ac:dyDescent="0.25">
      <c r="A339" s="20"/>
      <c r="B339" s="25"/>
      <c r="C339" s="11"/>
      <c r="D339" s="49"/>
      <c r="E339" s="49"/>
      <c r="F339" s="80"/>
      <c r="G339" s="81"/>
      <c r="H339" s="81"/>
      <c r="I339" s="54"/>
      <c r="J339" s="54"/>
      <c r="K339" s="54"/>
      <c r="L339" s="72">
        <v>4664</v>
      </c>
      <c r="M339" s="73" t="s">
        <v>887</v>
      </c>
      <c r="N339" s="73" t="s">
        <v>34</v>
      </c>
      <c r="O339" s="50">
        <v>5</v>
      </c>
      <c r="P339" s="50"/>
      <c r="Q339" s="50"/>
      <c r="R339" s="24"/>
      <c r="S339" s="166"/>
      <c r="U339" s="5"/>
      <c r="V339" s="5"/>
    </row>
    <row r="340" spans="1:22" ht="18.75" x14ac:dyDescent="0.25">
      <c r="A340" s="20"/>
      <c r="B340" s="25"/>
      <c r="C340" s="11"/>
      <c r="D340" s="49"/>
      <c r="E340" s="49"/>
      <c r="F340" s="80"/>
      <c r="G340" s="81"/>
      <c r="H340" s="81"/>
      <c r="I340" s="54"/>
      <c r="J340" s="54"/>
      <c r="K340" s="54"/>
      <c r="L340" s="72" t="s">
        <v>888</v>
      </c>
      <c r="M340" s="73" t="s">
        <v>889</v>
      </c>
      <c r="N340" s="73" t="s">
        <v>34</v>
      </c>
      <c r="O340" s="50">
        <v>10</v>
      </c>
      <c r="P340" s="50"/>
      <c r="Q340" s="50"/>
      <c r="R340" s="24"/>
      <c r="S340" s="166"/>
      <c r="U340" s="5"/>
      <c r="V340" s="5"/>
    </row>
    <row r="341" spans="1:22" ht="18.75" x14ac:dyDescent="0.25">
      <c r="A341" s="20"/>
      <c r="B341" s="25"/>
      <c r="C341" s="11"/>
      <c r="D341" s="49"/>
      <c r="E341" s="49"/>
      <c r="F341" s="80"/>
      <c r="G341" s="81"/>
      <c r="H341" s="81"/>
      <c r="I341" s="54"/>
      <c r="J341" s="54"/>
      <c r="K341" s="54"/>
      <c r="L341" s="72">
        <v>10067</v>
      </c>
      <c r="M341" s="73" t="s">
        <v>890</v>
      </c>
      <c r="N341" s="73" t="s">
        <v>34</v>
      </c>
      <c r="O341" s="50">
        <v>1</v>
      </c>
      <c r="P341" s="50"/>
      <c r="Q341" s="50"/>
      <c r="R341" s="24"/>
      <c r="S341" s="166"/>
      <c r="U341" s="5"/>
      <c r="V341" s="5"/>
    </row>
    <row r="342" spans="1:22" ht="18.75" x14ac:dyDescent="0.25">
      <c r="A342" s="20"/>
      <c r="B342" s="25"/>
      <c r="C342" s="11"/>
      <c r="D342" s="49"/>
      <c r="E342" s="49"/>
      <c r="F342" s="80"/>
      <c r="G342" s="81"/>
      <c r="H342" s="81"/>
      <c r="I342" s="54"/>
      <c r="J342" s="54"/>
      <c r="K342" s="54"/>
      <c r="L342" s="72">
        <v>3828</v>
      </c>
      <c r="M342" s="73" t="s">
        <v>892</v>
      </c>
      <c r="N342" s="73" t="s">
        <v>34</v>
      </c>
      <c r="O342" s="50">
        <v>1</v>
      </c>
      <c r="P342" s="50"/>
      <c r="Q342" s="50"/>
      <c r="R342" s="24"/>
      <c r="S342" s="166"/>
      <c r="U342" s="5"/>
      <c r="V342" s="5"/>
    </row>
    <row r="343" spans="1:22" ht="18.75" x14ac:dyDescent="0.25">
      <c r="A343" s="20"/>
      <c r="B343" s="25"/>
      <c r="C343" s="11"/>
      <c r="D343" s="49"/>
      <c r="E343" s="49"/>
      <c r="F343" s="80"/>
      <c r="G343" s="81"/>
      <c r="H343" s="81"/>
      <c r="I343" s="54"/>
      <c r="J343" s="54"/>
      <c r="K343" s="54"/>
      <c r="L343" s="72">
        <v>1795</v>
      </c>
      <c r="M343" s="73" t="s">
        <v>893</v>
      </c>
      <c r="N343" s="73" t="s">
        <v>34</v>
      </c>
      <c r="O343" s="50">
        <v>1</v>
      </c>
      <c r="P343" s="50"/>
      <c r="Q343" s="50"/>
      <c r="R343" s="24"/>
      <c r="S343" s="166"/>
      <c r="U343" s="5"/>
      <c r="V343" s="5"/>
    </row>
    <row r="344" spans="1:22" ht="18.75" x14ac:dyDescent="0.25">
      <c r="A344" s="20"/>
      <c r="B344" s="25"/>
      <c r="C344" s="11"/>
      <c r="D344" s="49"/>
      <c r="E344" s="49"/>
      <c r="F344" s="80"/>
      <c r="G344" s="81"/>
      <c r="H344" s="81"/>
      <c r="I344" s="54"/>
      <c r="J344" s="54"/>
      <c r="K344" s="54"/>
      <c r="L344" s="72">
        <v>3949</v>
      </c>
      <c r="M344" s="73" t="s">
        <v>894</v>
      </c>
      <c r="N344" s="73" t="s">
        <v>34</v>
      </c>
      <c r="O344" s="50">
        <v>1</v>
      </c>
      <c r="P344" s="50"/>
      <c r="Q344" s="50"/>
      <c r="R344" s="24"/>
      <c r="S344" s="166"/>
      <c r="U344" s="5"/>
      <c r="V344" s="5"/>
    </row>
    <row r="345" spans="1:22" ht="19.5" thickBot="1" x14ac:dyDescent="0.3">
      <c r="A345" s="20"/>
      <c r="B345" s="25"/>
      <c r="C345" s="11"/>
      <c r="D345" s="49"/>
      <c r="E345" s="49"/>
      <c r="F345" s="80"/>
      <c r="G345" s="81"/>
      <c r="H345" s="81"/>
      <c r="I345" s="54"/>
      <c r="J345" s="54"/>
      <c r="K345" s="54"/>
      <c r="L345" s="72" t="s">
        <v>895</v>
      </c>
      <c r="M345" s="73" t="s">
        <v>896</v>
      </c>
      <c r="N345" s="73" t="s">
        <v>34</v>
      </c>
      <c r="O345" s="50">
        <v>1</v>
      </c>
      <c r="P345" s="50"/>
      <c r="Q345" s="50"/>
      <c r="R345" s="24"/>
      <c r="S345" s="166"/>
      <c r="U345" s="5"/>
      <c r="V345" s="5"/>
    </row>
    <row r="346" spans="1:22" ht="21.75" thickBot="1" x14ac:dyDescent="0.3">
      <c r="A346" s="33"/>
      <c r="B346" s="34" t="s">
        <v>29</v>
      </c>
      <c r="C346" s="35"/>
      <c r="D346" s="36">
        <f>SUM(D250:D345)</f>
        <v>0</v>
      </c>
      <c r="E346" s="36"/>
      <c r="F346" s="76"/>
      <c r="G346" s="76"/>
      <c r="H346" s="76"/>
      <c r="I346" s="76"/>
      <c r="J346" s="76"/>
      <c r="K346" s="76"/>
      <c r="L346" s="37"/>
      <c r="M346" s="38"/>
      <c r="N346" s="38"/>
      <c r="O346" s="39">
        <f>SUM(O251:O345)</f>
        <v>275</v>
      </c>
      <c r="P346" s="39">
        <f>SUM(P251:P345)</f>
        <v>0</v>
      </c>
      <c r="Q346" s="183">
        <f>SUM(Q251:Q345)</f>
        <v>0</v>
      </c>
      <c r="R346" s="184"/>
      <c r="S346" s="165"/>
      <c r="U346" s="5"/>
      <c r="V346" s="5"/>
    </row>
    <row r="347" spans="1:22" ht="21.75" thickBot="1" x14ac:dyDescent="0.3">
      <c r="A347" s="41"/>
      <c r="B347" s="42" t="s">
        <v>30</v>
      </c>
      <c r="C347" s="43"/>
      <c r="D347" s="44">
        <f>D250+D346</f>
        <v>0</v>
      </c>
      <c r="E347" s="44"/>
      <c r="F347" s="78"/>
      <c r="G347" s="78"/>
      <c r="H347" s="78"/>
      <c r="I347" s="78"/>
      <c r="J347" s="78"/>
      <c r="K347" s="78"/>
      <c r="L347" s="45"/>
      <c r="M347" s="46"/>
      <c r="N347" s="46"/>
      <c r="O347" s="47">
        <f>O250+O346</f>
        <v>275</v>
      </c>
      <c r="P347" s="47">
        <f>P250+P346</f>
        <v>0</v>
      </c>
      <c r="Q347" s="183">
        <f>Q250+Q346</f>
        <v>0</v>
      </c>
      <c r="R347" s="184"/>
      <c r="S347" s="167"/>
    </row>
    <row r="348" spans="1:22" ht="25.15" customHeight="1" thickBot="1" x14ac:dyDescent="0.3">
      <c r="A348" s="158" t="s">
        <v>12</v>
      </c>
      <c r="B348" s="158"/>
      <c r="C348" s="158"/>
      <c r="D348" s="158"/>
      <c r="E348" s="158"/>
      <c r="F348" s="158"/>
      <c r="G348" s="158"/>
      <c r="H348" s="158"/>
      <c r="I348" s="158"/>
      <c r="J348" s="158"/>
      <c r="K348" s="158"/>
    </row>
    <row r="349" spans="1:22" ht="25.15" customHeight="1" x14ac:dyDescent="0.35">
      <c r="A349" s="168" t="s">
        <v>13</v>
      </c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58"/>
      <c r="M349" s="158"/>
      <c r="N349" s="158"/>
      <c r="O349" s="142"/>
      <c r="P349" s="142"/>
      <c r="Q349" s="185"/>
      <c r="R349" s="186"/>
      <c r="S349" s="6"/>
    </row>
    <row r="350" spans="1:22" ht="25.15" customHeight="1" x14ac:dyDescent="0.35">
      <c r="A350" s="169" t="s">
        <v>14</v>
      </c>
      <c r="B350" s="169"/>
      <c r="C350" s="169"/>
      <c r="D350" s="169"/>
      <c r="E350" s="169"/>
      <c r="F350" s="169"/>
      <c r="G350" s="169"/>
      <c r="H350" s="169"/>
      <c r="I350" s="169"/>
      <c r="J350" s="169"/>
      <c r="K350" s="169"/>
      <c r="L350" s="168"/>
      <c r="M350" s="168"/>
      <c r="N350" s="168"/>
      <c r="O350" s="142"/>
      <c r="P350" s="142"/>
      <c r="Q350" s="185"/>
      <c r="R350" s="186"/>
      <c r="S350" s="6"/>
    </row>
    <row r="351" spans="1:22" ht="25.15" customHeight="1" x14ac:dyDescent="0.35">
      <c r="A351" s="168" t="s">
        <v>15</v>
      </c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9"/>
      <c r="M351" s="169"/>
      <c r="N351" s="169"/>
      <c r="O351" s="143"/>
      <c r="P351" s="142"/>
      <c r="Q351" s="187"/>
      <c r="R351" s="186"/>
      <c r="S351" s="6"/>
    </row>
    <row r="352" spans="1:22" ht="25.15" customHeight="1" x14ac:dyDescent="0.35">
      <c r="A352" s="168" t="s">
        <v>16</v>
      </c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42"/>
      <c r="P352" s="142"/>
      <c r="Q352" s="185"/>
      <c r="R352" s="186"/>
      <c r="S352" s="6"/>
    </row>
    <row r="353" spans="1:19" ht="25.15" customHeight="1" x14ac:dyDescent="0.35">
      <c r="A353" s="168" t="s">
        <v>17</v>
      </c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42"/>
      <c r="P353" s="142"/>
      <c r="Q353" s="185"/>
      <c r="R353" s="186"/>
      <c r="S353" s="6"/>
    </row>
    <row r="354" spans="1:19" ht="25.15" customHeight="1" x14ac:dyDescent="0.35">
      <c r="A354" s="168" t="s">
        <v>18</v>
      </c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42"/>
      <c r="P354" s="142"/>
      <c r="Q354" s="185"/>
      <c r="R354" s="186"/>
      <c r="S354" s="6"/>
    </row>
    <row r="355" spans="1:19" ht="25.15" customHeight="1" x14ac:dyDescent="0.35">
      <c r="A355" s="168" t="s">
        <v>17</v>
      </c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42"/>
      <c r="P355" s="142"/>
      <c r="Q355" s="185"/>
      <c r="R355" s="186"/>
      <c r="S355" s="6"/>
    </row>
    <row r="356" spans="1:19" ht="25.15" customHeight="1" x14ac:dyDescent="0.35">
      <c r="A356" s="168" t="s">
        <v>19</v>
      </c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42"/>
      <c r="P356" s="142"/>
      <c r="Q356" s="185"/>
      <c r="R356" s="186"/>
      <c r="S356" s="6"/>
    </row>
    <row r="357" spans="1:19" ht="25.15" customHeight="1" x14ac:dyDescent="0.35">
      <c r="A357" s="168" t="s">
        <v>11</v>
      </c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42"/>
      <c r="P357" s="142"/>
      <c r="Q357" s="185"/>
      <c r="R357" s="186"/>
      <c r="S357" s="6"/>
    </row>
    <row r="358" spans="1:19" ht="25.15" customHeight="1" x14ac:dyDescent="0.35">
      <c r="A358" s="168" t="s">
        <v>32</v>
      </c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42"/>
      <c r="P358" s="142"/>
      <c r="Q358" s="185"/>
      <c r="R358" s="186"/>
      <c r="S358" s="6"/>
    </row>
    <row r="359" spans="1:19" ht="25.15" customHeight="1" x14ac:dyDescent="0.35">
      <c r="A359" s="171" t="s">
        <v>31</v>
      </c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68"/>
      <c r="M359" s="168"/>
      <c r="N359" s="168"/>
      <c r="O359" s="142"/>
      <c r="P359" s="142"/>
      <c r="Q359" s="185"/>
      <c r="R359" s="186"/>
      <c r="S359" s="6"/>
    </row>
    <row r="360" spans="1:19" ht="36" customHeight="1" x14ac:dyDescent="0.35">
      <c r="L360" s="171"/>
      <c r="M360" s="171"/>
      <c r="N360" s="171"/>
      <c r="O360" s="177"/>
      <c r="P360" s="142"/>
      <c r="Q360" s="188"/>
      <c r="R360" s="186"/>
      <c r="S360" s="6"/>
    </row>
  </sheetData>
  <autoFilter ref="L250:O345" xr:uid="{8C92B74E-F74D-47EF-8575-AFD254DB16F3}"/>
  <mergeCells count="24">
    <mergeCell ref="M16:Q16"/>
    <mergeCell ref="R16:R17"/>
    <mergeCell ref="F16:F17"/>
    <mergeCell ref="G16:G17"/>
    <mergeCell ref="H16:H17"/>
    <mergeCell ref="I16:I17"/>
    <mergeCell ref="J16:J17"/>
    <mergeCell ref="K16:K17"/>
    <mergeCell ref="A12:R12"/>
    <mergeCell ref="A13:R13"/>
    <mergeCell ref="A14:Q14"/>
    <mergeCell ref="A15:K15"/>
    <mergeCell ref="L15:R15"/>
    <mergeCell ref="A16:A17"/>
    <mergeCell ref="B16:B17"/>
    <mergeCell ref="C16:C17"/>
    <mergeCell ref="D16:D17"/>
    <mergeCell ref="E16:E17"/>
    <mergeCell ref="A11:R11"/>
    <mergeCell ref="M1:R2"/>
    <mergeCell ref="M4:R4"/>
    <mergeCell ref="M5:R5"/>
    <mergeCell ref="M7:R7"/>
    <mergeCell ref="A10:R10"/>
  </mergeCells>
  <conditionalFormatting sqref="T1:T18 T250:T1048576">
    <cfRule type="cellIs" dxfId="0" priority="1" operator="lessThan">
      <formula>0</formula>
    </cfRule>
  </conditionalFormatting>
  <pageMargins left="0.25" right="0.25" top="0.75" bottom="0.75" header="0.3" footer="0.3"/>
  <pageSetup paperSize="9" scale="28" fitToHeight="0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0AB7-BC9F-4F6E-B493-F16DAF672D62}">
  <dimension ref="A1:G33"/>
  <sheetViews>
    <sheetView zoomScale="85" zoomScaleNormal="85" workbookViewId="0">
      <selection activeCell="D34" sqref="D34"/>
    </sheetView>
  </sheetViews>
  <sheetFormatPr defaultRowHeight="15" x14ac:dyDescent="0.25"/>
  <cols>
    <col min="1" max="1" width="20.85546875" customWidth="1"/>
    <col min="2" max="2" width="52.85546875" customWidth="1"/>
    <col min="4" max="4" width="11.5703125" customWidth="1"/>
  </cols>
  <sheetData>
    <row r="1" spans="1:7" ht="15.75" x14ac:dyDescent="0.25">
      <c r="A1" s="103" t="s">
        <v>42</v>
      </c>
      <c r="B1" s="104" t="s">
        <v>76</v>
      </c>
      <c r="C1" s="105" t="s">
        <v>34</v>
      </c>
      <c r="D1" s="104">
        <v>1050</v>
      </c>
      <c r="E1" s="106"/>
      <c r="F1" s="106"/>
      <c r="G1" s="107"/>
    </row>
    <row r="2" spans="1:7" ht="15.75" x14ac:dyDescent="0.25">
      <c r="A2" s="103" t="s">
        <v>41</v>
      </c>
      <c r="B2" s="104" t="s">
        <v>78</v>
      </c>
      <c r="C2" s="105" t="s">
        <v>34</v>
      </c>
      <c r="D2" s="104">
        <v>2200</v>
      </c>
      <c r="E2" s="106"/>
      <c r="F2" s="106"/>
      <c r="G2" s="107"/>
    </row>
    <row r="3" spans="1:7" ht="15.75" x14ac:dyDescent="0.25">
      <c r="A3" s="103">
        <v>5936</v>
      </c>
      <c r="B3" s="104" t="s">
        <v>77</v>
      </c>
      <c r="C3" s="105" t="s">
        <v>34</v>
      </c>
      <c r="D3" s="104">
        <v>750</v>
      </c>
      <c r="E3" s="106"/>
      <c r="F3" s="106"/>
      <c r="G3" s="107"/>
    </row>
    <row r="4" spans="1:7" ht="15.75" x14ac:dyDescent="0.25">
      <c r="A4" s="103" t="s">
        <v>308</v>
      </c>
      <c r="B4" s="104" t="s">
        <v>309</v>
      </c>
      <c r="C4" s="105" t="s">
        <v>34</v>
      </c>
      <c r="D4" s="104">
        <v>32</v>
      </c>
      <c r="E4" s="106"/>
      <c r="F4" s="106"/>
      <c r="G4" s="107"/>
    </row>
    <row r="5" spans="1:7" ht="15.75" x14ac:dyDescent="0.25">
      <c r="A5" s="103" t="s">
        <v>310</v>
      </c>
      <c r="B5" s="104" t="s">
        <v>311</v>
      </c>
      <c r="C5" s="105" t="s">
        <v>34</v>
      </c>
      <c r="D5" s="104">
        <v>8</v>
      </c>
      <c r="E5" s="106"/>
      <c r="F5" s="106"/>
      <c r="G5" s="107"/>
    </row>
    <row r="6" spans="1:7" ht="15.75" x14ac:dyDescent="0.25">
      <c r="A6" s="103" t="s">
        <v>329</v>
      </c>
      <c r="B6" s="104" t="s">
        <v>330</v>
      </c>
      <c r="C6" s="105" t="s">
        <v>34</v>
      </c>
      <c r="D6" s="104">
        <v>2</v>
      </c>
      <c r="E6" s="106"/>
      <c r="F6" s="106"/>
      <c r="G6" s="107"/>
    </row>
    <row r="7" spans="1:7" ht="15.75" x14ac:dyDescent="0.25">
      <c r="A7" s="103" t="s">
        <v>385</v>
      </c>
      <c r="B7" s="104" t="s">
        <v>386</v>
      </c>
      <c r="C7" s="105" t="s">
        <v>34</v>
      </c>
      <c r="D7" s="104">
        <v>2</v>
      </c>
      <c r="E7" s="106"/>
      <c r="F7" s="106"/>
      <c r="G7" s="107"/>
    </row>
    <row r="8" spans="1:7" ht="15.75" x14ac:dyDescent="0.25">
      <c r="A8" s="103" t="s">
        <v>387</v>
      </c>
      <c r="B8" s="104" t="s">
        <v>388</v>
      </c>
      <c r="C8" s="105" t="s">
        <v>34</v>
      </c>
      <c r="D8" s="104">
        <v>2</v>
      </c>
      <c r="E8" s="106"/>
      <c r="F8" s="106"/>
      <c r="G8" s="107"/>
    </row>
    <row r="9" spans="1:7" ht="15.75" x14ac:dyDescent="0.25">
      <c r="A9" s="103" t="s">
        <v>184</v>
      </c>
      <c r="B9" s="104" t="s">
        <v>516</v>
      </c>
      <c r="C9" s="105" t="s">
        <v>34</v>
      </c>
      <c r="D9" s="104">
        <v>1</v>
      </c>
      <c r="E9" s="106"/>
      <c r="F9" s="106"/>
      <c r="G9" s="107"/>
    </row>
    <row r="10" spans="1:7" ht="15.75" x14ac:dyDescent="0.25">
      <c r="A10" s="103" t="s">
        <v>207</v>
      </c>
      <c r="B10" s="104" t="s">
        <v>513</v>
      </c>
      <c r="C10" s="105" t="s">
        <v>68</v>
      </c>
      <c r="D10" s="104">
        <v>120</v>
      </c>
      <c r="E10" s="106"/>
      <c r="F10" s="106"/>
      <c r="G10" s="107"/>
    </row>
    <row r="11" spans="1:7" ht="15.75" x14ac:dyDescent="0.25">
      <c r="A11" s="103" t="s">
        <v>43</v>
      </c>
      <c r="B11" s="104" t="s">
        <v>96</v>
      </c>
      <c r="C11" s="105" t="s">
        <v>34</v>
      </c>
      <c r="D11" s="104">
        <v>330</v>
      </c>
      <c r="E11" s="106"/>
      <c r="F11" s="106"/>
      <c r="G11" s="107"/>
    </row>
    <row r="12" spans="1:7" ht="15.75" x14ac:dyDescent="0.25">
      <c r="A12" s="103" t="s">
        <v>459</v>
      </c>
      <c r="B12" s="104" t="s">
        <v>460</v>
      </c>
      <c r="C12" s="105" t="s">
        <v>34</v>
      </c>
      <c r="D12" s="104">
        <v>3</v>
      </c>
      <c r="E12" s="106"/>
      <c r="F12" s="106"/>
      <c r="G12" s="107"/>
    </row>
    <row r="13" spans="1:7" ht="15.75" x14ac:dyDescent="0.25">
      <c r="A13" s="103" t="s">
        <v>475</v>
      </c>
      <c r="B13" s="104" t="s">
        <v>476</v>
      </c>
      <c r="C13" s="105" t="s">
        <v>34</v>
      </c>
      <c r="D13" s="104">
        <v>4</v>
      </c>
      <c r="E13" s="106"/>
      <c r="F13" s="106"/>
      <c r="G13" s="107"/>
    </row>
    <row r="14" spans="1:7" ht="15.75" x14ac:dyDescent="0.25">
      <c r="A14" s="103" t="s">
        <v>46</v>
      </c>
      <c r="B14" s="104" t="s">
        <v>107</v>
      </c>
      <c r="C14" s="105" t="s">
        <v>64</v>
      </c>
      <c r="D14" s="104">
        <v>25</v>
      </c>
      <c r="E14" s="106"/>
      <c r="F14" s="106"/>
      <c r="G14" s="107"/>
    </row>
    <row r="15" spans="1:7" ht="15.75" x14ac:dyDescent="0.25">
      <c r="A15" s="108" t="s">
        <v>246</v>
      </c>
      <c r="B15" s="109" t="s">
        <v>247</v>
      </c>
      <c r="C15" s="110" t="s">
        <v>34</v>
      </c>
      <c r="D15" s="109">
        <v>1</v>
      </c>
      <c r="E15" s="106"/>
      <c r="F15" s="106"/>
      <c r="G15" s="107"/>
    </row>
    <row r="16" spans="1:7" ht="15.75" x14ac:dyDescent="0.25">
      <c r="A16" s="108" t="s">
        <v>47</v>
      </c>
      <c r="B16" s="109" t="s">
        <v>108</v>
      </c>
      <c r="C16" s="110" t="s">
        <v>34</v>
      </c>
      <c r="D16" s="109">
        <v>21</v>
      </c>
      <c r="E16" s="106"/>
      <c r="F16" s="106"/>
      <c r="G16" s="107"/>
    </row>
    <row r="17" spans="1:7" ht="15.75" x14ac:dyDescent="0.25">
      <c r="A17" s="108" t="s">
        <v>495</v>
      </c>
      <c r="B17" s="109" t="s">
        <v>496</v>
      </c>
      <c r="C17" s="110" t="s">
        <v>34</v>
      </c>
      <c r="D17" s="109">
        <v>3</v>
      </c>
      <c r="E17" s="106"/>
      <c r="F17" s="106"/>
      <c r="G17" s="107"/>
    </row>
    <row r="18" spans="1:7" ht="15.75" x14ac:dyDescent="0.25">
      <c r="A18" s="108" t="s">
        <v>497</v>
      </c>
      <c r="B18" s="109" t="s">
        <v>498</v>
      </c>
      <c r="C18" s="110" t="s">
        <v>34</v>
      </c>
      <c r="D18" s="109">
        <v>2</v>
      </c>
      <c r="E18" s="106"/>
      <c r="F18" s="106"/>
      <c r="G18" s="107"/>
    </row>
    <row r="19" spans="1:7" ht="15.75" x14ac:dyDescent="0.25">
      <c r="A19" s="108" t="s">
        <v>504</v>
      </c>
      <c r="B19" s="109" t="s">
        <v>505</v>
      </c>
      <c r="C19" s="110" t="s">
        <v>34</v>
      </c>
      <c r="D19" s="109">
        <v>4</v>
      </c>
      <c r="E19" s="106"/>
      <c r="F19" s="106"/>
      <c r="G19" s="107"/>
    </row>
    <row r="20" spans="1:7" ht="15.75" x14ac:dyDescent="0.25">
      <c r="A20" s="108" t="s">
        <v>722</v>
      </c>
      <c r="B20" s="109" t="s">
        <v>723</v>
      </c>
      <c r="C20" s="110" t="s">
        <v>34</v>
      </c>
      <c r="D20" s="109">
        <v>1</v>
      </c>
      <c r="E20" s="106"/>
      <c r="F20" s="106"/>
      <c r="G20" s="107"/>
    </row>
    <row r="21" spans="1:7" ht="15.75" x14ac:dyDescent="0.25">
      <c r="A21" s="108" t="s">
        <v>724</v>
      </c>
      <c r="B21" s="109" t="s">
        <v>725</v>
      </c>
      <c r="C21" s="110" t="s">
        <v>34</v>
      </c>
      <c r="D21" s="109">
        <v>1</v>
      </c>
      <c r="E21" s="106"/>
      <c r="F21" s="106"/>
      <c r="G21" s="107"/>
    </row>
    <row r="22" spans="1:7" ht="15.75" x14ac:dyDescent="0.25">
      <c r="A22" s="108" t="s">
        <v>726</v>
      </c>
      <c r="B22" s="109" t="s">
        <v>727</v>
      </c>
      <c r="C22" s="110" t="s">
        <v>34</v>
      </c>
      <c r="D22" s="109">
        <v>1</v>
      </c>
      <c r="E22" s="106"/>
      <c r="F22" s="106"/>
      <c r="G22" s="107"/>
    </row>
    <row r="23" spans="1:7" ht="15.75" x14ac:dyDescent="0.25">
      <c r="A23" s="103">
        <v>3979</v>
      </c>
      <c r="B23" s="104" t="s">
        <v>206</v>
      </c>
      <c r="C23" s="105" t="s">
        <v>34</v>
      </c>
      <c r="D23" s="104">
        <v>72</v>
      </c>
    </row>
    <row r="24" spans="1:7" ht="15.75" x14ac:dyDescent="0.25">
      <c r="A24" s="103" t="s">
        <v>728</v>
      </c>
      <c r="B24" s="104" t="s">
        <v>729</v>
      </c>
      <c r="C24" s="105" t="s">
        <v>34</v>
      </c>
      <c r="D24" s="104">
        <v>0.2280000000000002</v>
      </c>
    </row>
    <row r="25" spans="1:7" ht="15.75" x14ac:dyDescent="0.25">
      <c r="A25" s="103" t="s">
        <v>728</v>
      </c>
      <c r="B25" s="104" t="s">
        <v>729</v>
      </c>
      <c r="C25" s="105" t="s">
        <v>34</v>
      </c>
      <c r="D25" s="104">
        <v>2.5469999999999997</v>
      </c>
    </row>
    <row r="26" spans="1:7" ht="15.75" x14ac:dyDescent="0.25">
      <c r="A26" s="103" t="s">
        <v>730</v>
      </c>
      <c r="B26" s="104" t="s">
        <v>731</v>
      </c>
      <c r="C26" s="105" t="s">
        <v>34</v>
      </c>
      <c r="D26" s="104">
        <v>4</v>
      </c>
    </row>
    <row r="27" spans="1:7" ht="15.75" x14ac:dyDescent="0.25">
      <c r="A27" s="103" t="s">
        <v>732</v>
      </c>
      <c r="B27" s="104" t="s">
        <v>733</v>
      </c>
      <c r="C27" s="105" t="s">
        <v>34</v>
      </c>
      <c r="D27" s="104">
        <v>1</v>
      </c>
    </row>
    <row r="28" spans="1:7" ht="15.75" x14ac:dyDescent="0.25">
      <c r="A28" s="103" t="s">
        <v>732</v>
      </c>
      <c r="B28" s="104" t="s">
        <v>733</v>
      </c>
      <c r="C28" s="105" t="s">
        <v>34</v>
      </c>
      <c r="D28" s="104">
        <v>2</v>
      </c>
    </row>
    <row r="29" spans="1:7" ht="15.75" x14ac:dyDescent="0.25">
      <c r="A29" s="103" t="s">
        <v>734</v>
      </c>
      <c r="B29" s="104" t="s">
        <v>92</v>
      </c>
      <c r="C29" s="105" t="s">
        <v>68</v>
      </c>
      <c r="D29" s="104">
        <v>49</v>
      </c>
    </row>
    <row r="30" spans="1:7" ht="15.75" x14ac:dyDescent="0.25">
      <c r="A30" s="103" t="s">
        <v>411</v>
      </c>
      <c r="B30" s="104" t="s">
        <v>412</v>
      </c>
      <c r="C30" s="105" t="s">
        <v>34</v>
      </c>
      <c r="D30" s="104">
        <v>136</v>
      </c>
    </row>
    <row r="31" spans="1:7" ht="15.75" x14ac:dyDescent="0.25">
      <c r="A31" s="103" t="s">
        <v>204</v>
      </c>
      <c r="B31" s="104" t="s">
        <v>735</v>
      </c>
      <c r="C31" s="105" t="s">
        <v>34</v>
      </c>
      <c r="D31" s="104">
        <v>158</v>
      </c>
    </row>
    <row r="32" spans="1:7" ht="15.75" x14ac:dyDescent="0.25">
      <c r="A32" s="103" t="s">
        <v>302</v>
      </c>
      <c r="B32" s="104" t="s">
        <v>303</v>
      </c>
      <c r="C32" s="105" t="s">
        <v>35</v>
      </c>
      <c r="D32" s="104">
        <v>3</v>
      </c>
    </row>
    <row r="33" spans="1:4" ht="15.75" x14ac:dyDescent="0.25">
      <c r="A33" s="103" t="s">
        <v>434</v>
      </c>
      <c r="B33" s="104" t="s">
        <v>435</v>
      </c>
      <c r="C33" s="105" t="s">
        <v>34</v>
      </c>
      <c r="D33" s="104">
        <v>5</v>
      </c>
    </row>
  </sheetData>
  <phoneticPr fontId="4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М29 №1</vt:lpstr>
      <vt:lpstr>М29 №1 (2)</vt:lpstr>
      <vt:lpstr>М29 №1 (3)</vt:lpstr>
      <vt:lpstr>М29 №4</vt:lpstr>
      <vt:lpstr>М29 №5</vt:lpstr>
      <vt:lpstr>М29 №6</vt:lpstr>
      <vt:lpstr>М29 МАЛ №2</vt:lpstr>
      <vt:lpstr>М29 вел №1</vt:lpstr>
      <vt:lpstr>М29 №1 BIG (тільки мшп)</vt:lpstr>
      <vt:lpstr>ПЕРЕВЕСТИ НА ВИРОБНИЧИЙ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2025-04-25T15:00:20Z</dcterms:modified>
</cp:coreProperties>
</file>
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 tabRatio="878"/>
  </bookViews>
  <sheets>
    <sheet name="Свод" sheetId="1" r:id="rId1"/>
    <sheet name="АПК" sheetId="2" r:id="rId2"/>
    <sheet name="ГП мытный" sheetId="3" r:id="rId3"/>
    <sheet name="ГП Стена" sheetId="4" r:id="rId4"/>
    <sheet name="Глобине-2" sheetId="5" r:id="rId5"/>
    <sheet name="Котельна" sheetId="6" r:id="rId6"/>
    <sheet name="Насосна " sheetId="7" r:id="rId7"/>
    <sheet name="Пожежний" sheetId="8" r:id="rId8"/>
    <sheet name=" бігбегах" sheetId="9" r:id="rId9"/>
    <sheet name="розчинника" sheetId="10" r:id="rId10"/>
    <sheet name="меляси" sheetId="11" r:id="rId11"/>
    <sheet name="СПК" sheetId="12" r:id="rId12"/>
    <sheet name="екстракції" sheetId="13" r:id="rId13"/>
    <sheet name="Цех_Глобино" sheetId="14" r:id="rId14"/>
  </sheets>
  <definedNames>
    <definedName name="_xlnm._FilterDatabase" localSheetId="8" hidden="1">' бігбегах'!$B$1:$D$2</definedName>
    <definedName name="_xlnm._FilterDatabase" localSheetId="1" hidden="1">АПК!$B$1:$D$40</definedName>
    <definedName name="_xlnm._FilterDatabase" localSheetId="4" hidden="1">'Глобине-2'!$B$1:$D$204</definedName>
    <definedName name="_xlnm._FilterDatabase" localSheetId="2" hidden="1">'ГП мытный'!$B$1:$D$67</definedName>
    <definedName name="_xlnm._FilterDatabase" localSheetId="3" hidden="1">'ГП Стена'!$B$1:$D$21</definedName>
    <definedName name="_xlnm._FilterDatabase" localSheetId="12" hidden="1">екстракції!$B$1:$D$717</definedName>
    <definedName name="_xlnm._FilterDatabase" localSheetId="5" hidden="1">Котельна!$B$1:$D$162</definedName>
    <definedName name="_xlnm._FilterDatabase" localSheetId="10" hidden="1">меляси!$B$1:$D$36</definedName>
    <definedName name="_xlnm._FilterDatabase" localSheetId="6" hidden="1">'Насосна '!$B$1:$D$94</definedName>
    <definedName name="_xlnm._FilterDatabase" localSheetId="9" hidden="1">розчинника!$B$1:$D$29</definedName>
    <definedName name="_xlnm._FilterDatabase" localSheetId="11" hidden="1">СПК!$B$1:$D$268</definedName>
    <definedName name="_xlnm._FilterDatabase" localSheetId="13" hidden="1">Цех_Глобино!$B$1:$D$31</definedName>
  </definedNames>
  <calcPr calcId="144525"/>
</workbook>
</file>

<file path=xl/calcChain.xml><?xml version="1.0" encoding="utf-8"?>
<calcChain xmlns="http://schemas.openxmlformats.org/spreadsheetml/2006/main">
  <c r="C15" i="1" l="1"/>
  <c r="C14" i="1"/>
  <c r="C13" i="1"/>
  <c r="C12" i="1"/>
  <c r="C11" i="1"/>
  <c r="C10" i="1"/>
  <c r="C7" i="1"/>
  <c r="C6" i="1"/>
  <c r="C5" i="1"/>
  <c r="C4" i="1"/>
  <c r="C3" i="1"/>
  <c r="J33" i="14"/>
  <c r="J719" i="13"/>
  <c r="J270" i="12"/>
  <c r="J38" i="11"/>
  <c r="J206" i="5"/>
  <c r="J31" i="10"/>
  <c r="J96" i="7"/>
  <c r="J164" i="6"/>
  <c r="J23" i="4"/>
  <c r="J69" i="3"/>
</calcChain>
</file>

<file path=xl/sharedStrings.xml><?xml version="1.0" encoding="utf-8"?>
<sst xmlns="http://schemas.openxmlformats.org/spreadsheetml/2006/main" count="13374" uniqueCount="1354">
  <si>
    <t>АПК (Глобине)</t>
  </si>
  <si>
    <t>Генплан митний склад (Глобине)</t>
  </si>
  <si>
    <t>Генплан підпірна стінка (Глобине)</t>
  </si>
  <si>
    <t>Глобине-2</t>
  </si>
  <si>
    <t>Котельна (Глобине)</t>
  </si>
  <si>
    <t>Насосна Градирня (Глобине)</t>
  </si>
  <si>
    <t>Пожежений резервуар (Глобине)</t>
  </si>
  <si>
    <t>Пункт фасування та зберігання в бігбегах (Глобине)</t>
  </si>
  <si>
    <t>Резервуар для зберігання розчинника(Глобине)</t>
  </si>
  <si>
    <t>Резервуарний парк соєвої меляси (Глобине)</t>
  </si>
  <si>
    <t>СПК (Глобине)</t>
  </si>
  <si>
    <t>Цех екстракції (Глобине)</t>
  </si>
  <si>
    <t>Цех_Глобино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</si>
  <si>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</si>
  <si>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</si>
  <si>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</si>
  <si>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</si>
  <si>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</si>
  <si>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</si>
  <si>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</si>
  <si>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</si>
  <si>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Сальдо на початок</t>
  </si>
  <si>
    <t>Д</t>
  </si>
  <si>
    <t>03.03.2025</t>
  </si>
  <si>
    <t>Надходження товарів і послуг ІБ00-000851 від 03.03.2025 18:09:07
Оприходованы ТМЦ</t>
  </si>
  <si>
    <t>Обл. НДС
Прокат сталевий круглий (кл. А240С) ф8мм, ст.3пс, міра 6м
Надходження товарів і послуг ІБ00-000851 від 03.03.2025 18:09:07
АПК (Глобине)</t>
  </si>
  <si>
    <t>ВІКАНТ фірма ТОВ
10/04-1 від 10.04.2022_Глобине-2 
Рахунок на оплату постачальника ІБ00-000686 від 27.02.2025 21:38:52</t>
  </si>
  <si>
    <t>205</t>
  </si>
  <si>
    <t>631</t>
  </si>
  <si>
    <t xml:space="preserve"> </t>
  </si>
  <si>
    <t>Обл. НДС
Прокат сталевий круглий (кл. А240С) ф12мм, ст.3пс, міра 6м
Надходження товарів і послуг ІБ00-000851 від 03.03.2025 18:09:07
АПК (Глобине)</t>
  </si>
  <si>
    <t>Обл. НДС
Прокат арматурний №12 мм  А500С 6м
Надходження товарів і послуг ІБ00-000851 від 03.03.2025 18:09:07
АПК (Глобине)</t>
  </si>
  <si>
    <t>Обл. НДС
Прокат арматурний №14 мм  А500С, 12 м
Надходження товарів і послуг ІБ00-000851 від 03.03.2025 18:09:07
АПК (Глобине)</t>
  </si>
  <si>
    <t>Обл. НДС
Прокат арматурний №25 мм  А500С  12м
Надходження товарів і послуг ІБ00-000851 від 03.03.2025 18:09:07
АПК (Глобине)</t>
  </si>
  <si>
    <t>Обл. НДС
Кутик 100*100*7мм ст. 3Пс МІРА
Надходження товарів і послуг ІБ00-000851 від 03.03.2025 18:09:07
АПК (Глобине)</t>
  </si>
  <si>
    <t>Обл. НДС
Дріт 1,2 мм термооброблений
Надходження товарів і послуг ІБ00-000851 від 03.03.2025 18:09:07
АПК (Глобине)</t>
  </si>
  <si>
    <t>04.03.2025</t>
  </si>
  <si>
    <t>Надходження товарів і послуг ІБ00-000819 від 04.03.2025 17:40:12
Оприходованы ТМЦ</t>
  </si>
  <si>
    <t>Обл. НДС
Прокат арматурний №18 мм  А500С
Надходження товарів і послуг ІБ00-000819 від 04.03.2025 17:40:12
АПК (Глобине)</t>
  </si>
  <si>
    <t>Надходження товарів і послуг ІБ00-000820 від 04.03.2025 17:40:13
Оприходованы ТМЦ</t>
  </si>
  <si>
    <t>Обл. НДС
Прокат арматурний №14 мм  А500С, 12 м
Надходження товарів і послуг ІБ00-000820 від 04.03.2025 17:40:13
АПК (Глобине)</t>
  </si>
  <si>
    <t>Обл. НДС
Прокат арматурний №18 мм  А500С
Надходження товарів і послуг ІБ00-000820 від 04.03.2025 17:40:13
АПК (Глобине)</t>
  </si>
  <si>
    <t>05.03.2025</t>
  </si>
  <si>
    <t>Надходження товарів і послуг ІБ00-001071 від 05.03.2025 18:40:09
Оприходованы ТМЦ</t>
  </si>
  <si>
    <t>Обл. НДС
Щебінь 70-120
Надходження товарів і послуг ІБ00-001071 від 05.03.2025 18:40:09
АПК (Глобине)</t>
  </si>
  <si>
    <t>Венкрас Авто ПП
Договір 05/09/2024 від 05.09.2024_Глобине-2
Рахунок на оплату постачальника ІБ00-000881 від 05.03.2025 18:40:08</t>
  </si>
  <si>
    <t>Надходження дод. витрат ІБ00-000149 від 05.03.2025 18:40:10
Доп. расходы при поступлении товаров</t>
  </si>
  <si>
    <t>06.03.2025</t>
  </si>
  <si>
    <t>Переміщення товарів ІБ00-000220 від 06.03.2025 22:00:39
Перемещение ТМЦ</t>
  </si>
  <si>
    <t>Обл. НДС
Щебінь 80-120
Надходження товарів і послуг ІБ00-001121 від 06.03.2025 22:00:38
АПК (Глобине)</t>
  </si>
  <si>
    <t>Обл. НДС
Щебінь 80-120
Надходження товарів і послуг ІБ00-001121 від 06.03.2025 22:00:38
Глобине-2</t>
  </si>
  <si>
    <t>13.03.2025</t>
  </si>
  <si>
    <t>Переміщення товарів ІБ00-000293 від 13.03.2025 11:10:00
Перемещение ТМЦ</t>
  </si>
  <si>
    <t>Обл. НДС
Щебінь 40-70
Надходження товарів і послуг ІБ00-001478 від 13.03.2025 11:00:00
АПК (Глобине)</t>
  </si>
  <si>
    <t>Обл. НДС
Щебінь 40-70
Надходження товарів і послуг ІБ00-001478 від 13.03.2025 11:00:00
Глобине-2</t>
  </si>
  <si>
    <t>14.03.2025</t>
  </si>
  <si>
    <t>Надходження товарів і послуг ІБ00-001481 від 14.03.2025 11:00:00
Оприходованы ТМЦ</t>
  </si>
  <si>
    <t>Обл. НДС
Щебінь 40-70
Надходження товарів і послуг ІБ00-001481 від 14.03.2025 11:00:00
АПК (Глобине)</t>
  </si>
  <si>
    <t>Енергія Логістик ТОВ
№28/10-2024 ВІД 28/10/24_Глобине-2
Рахунок на оплату постачальника ІБ00-001156 від 14.03.2025 17:51:28</t>
  </si>
  <si>
    <t>Надходження дод. витрат ІБ00-000225 від 14.03.2025 11:05:00
Доп. расходы при поступлении товаров</t>
  </si>
  <si>
    <t>18.03.2025</t>
  </si>
  <si>
    <t>Переміщення товарів ІБ00-000299 від 18.03.2025 11:10:00
Перемещение ТМЦ</t>
  </si>
  <si>
    <t>Обл. НДС
Щебінь 40-70
Надходження товарів і послуг ІБ00-001482 від 18.03.2025 11:00:00
АПК (Глобине)</t>
  </si>
  <si>
    <t>Обл. НДС
Щебінь 40-70
Надходження товарів і послуг ІБ00-001482 від 18.03.2025 11:00:00
Глобине-2</t>
  </si>
  <si>
    <t>21.03.2025</t>
  </si>
  <si>
    <t>Надходження товарів і послуг ІБ00-001194 від 21.03.2025 19:26:05
Оприходованы ТМЦ (Зачет аванса поставщику)</t>
  </si>
  <si>
    <t>Обл. НДС
Бетон С  8/10 Р4
Надходження товарів і послуг ІБ00-001194 від 21.03.2025 19:26:05
АПК (Глобине)</t>
  </si>
  <si>
    <t>Кременчуцький річковий порт ПРАТ
Договір 112/Б від 15.10.2024_Глобине-2
Списання з банківського рахунку 00000023745 від 14.03.2025 09:14:23</t>
  </si>
  <si>
    <t>Надходження дод. витрат ІБ00-000161 від 21.03.2025 19:26:06
Доп. расходы при поступлении товаров (Зачет аванса поставщику)</t>
  </si>
  <si>
    <t>Кременчуцький річковий порт ПРАТ
Договір 112/Б від 15.10.2024_Глобине-2
Списання з банківського рахунку 00000024157 від 21.03.2025 17:06:46</t>
  </si>
  <si>
    <t>Переміщення товарів ІБ00-000234 від 21.03.2025 20:00:00
Перемещение ТМЦ</t>
  </si>
  <si>
    <t>Обл. НДС
Шуруп г/к по дереву 3,5*55 мм
Надходження товарів і послуг ІБ00-000711 від 18.02.2025 20:00:44
АПК (Глобине)</t>
  </si>
  <si>
    <t>Обл. НДС
Шуруп г/к по дереву 3,5*55 мм
Надходження товарів і послуг ІБ00-000711 від 18.02.2025 20:00:44
Глобине-2</t>
  </si>
  <si>
    <t>Обл. НДС
Піна монтажна  750 мл 
Надходження товарів і послуг ІБ00-001198 від 21.03.2025 19:26:08
АПК (Глобине)</t>
  </si>
  <si>
    <t>Обл. НДС
Піна монтажна  750 мл 
Надходження товарів і послуг ІБ00-001198 від 21.03.2025 19:26:08
Глобине-2</t>
  </si>
  <si>
    <t>Обл. НДС
Шуруп г/к по дереву 4,2*76 мм
Надходження товарів і послуг ІБ00-000711 від 18.02.2025 20:00:44
АПК (Глобине)</t>
  </si>
  <si>
    <t>Обл. НДС
Шуруп г/к по дереву 4,2*76 мм
Надходження товарів і послуг ІБ00-000711 від 18.02.2025 20:00:44
Глобине-2</t>
  </si>
  <si>
    <t>22.03.2025</t>
  </si>
  <si>
    <t>Переміщення товарів ІБ00-000287 від 22.03.2025 12:00:03
Перемещение ТМЦ</t>
  </si>
  <si>
    <t>Обл. НДС
Бетон С  8/10 Р4
Надходження товарів і послуг ІБ00-001449 від 22.03.2025 12:00:01
АПК (Глобине)</t>
  </si>
  <si>
    <t>Обл. НДС
Бетон С  8/10 Р4
Надходження товарів і послуг ІБ00-001449 від 22.03.2025 12:00:01
Глобине-2</t>
  </si>
  <si>
    <t>26.03.2025</t>
  </si>
  <si>
    <t>Надходження товарів і послуг ІБ00-001528 від 26.03.2025 11:00:00
Оприходованы ТМЦ (Зачет аванса поставщику)</t>
  </si>
  <si>
    <t>Обл. НДС
Плівка п/е рукав 1500*200 мкм
Надходження товарів і послуг ІБ00-001528 від 26.03.2025 11:00:00
АПК (Глобине)</t>
  </si>
  <si>
    <t>ЗАВОД ПОЛІМЕРНИХ МАТЕРІАЛІВ "МІКРОН" ТОВ
РАХУНКИ_Глобине 2
Рахунок на оплату постачальника ІБ00-000968 від 25.03.2025 09:00:00</t>
  </si>
  <si>
    <t>28.03.2025</t>
  </si>
  <si>
    <t>Переміщення товарів ІБ00-000262 від 28.03.2025 10:00:00
Перемещение ТМЦ</t>
  </si>
  <si>
    <t>Обл. НДС
Щебінь 80-120
Надходження товарів і послуг ІБ00-001121 від 06.03.2025 22:00:38
Генплан митний склад (Глобине)</t>
  </si>
  <si>
    <t>Надходження товарів і послуг ІБ00-001377 від 28.03.2025 20:00:14
Оприходованы ТМЦ</t>
  </si>
  <si>
    <t>Обл. НДС
Труба КАН тришар 110/2000 2,7мм
Надходження товарів і послуг ІБ00-001377 від 28.03.2025 20:00:14
АПК (Глобине)</t>
  </si>
  <si>
    <t>Лук'янець Аліна Василівна ФОП
РАХУНКИ_Глобине 2
Рахунок на оплату постачальника ІБ00-001089 від 28.03.2025 20:00:13</t>
  </si>
  <si>
    <t>Обл. НДС
Труба КАН внутр 110/1500 
Надходження товарів і послуг ІБ00-001377 від 28.03.2025 20:00:14
АПК (Глобине)</t>
  </si>
  <si>
    <t>Обл. НДС
Труба КАН внутр 50/1000 1,8мм
Надходження товарів і послуг ІБ00-001377 від 28.03.2025 20:00:14
АПК (Глобине)</t>
  </si>
  <si>
    <t>Обл. НДС
Коліно 110/90° внутр КАН
Надходження товарів і послуг ІБ00-001377 від 28.03.2025 20:00:14
АПК (Глобине)</t>
  </si>
  <si>
    <t>Обл. НДС
Трійник 110/110/90° 
Надходження товарів і послуг ІБ00-001377 від 28.03.2025 20:00:14
АПК (Глобине)</t>
  </si>
  <si>
    <t>Обл. НДС
Трійник 110/50/90° 
Надходження товарів і послуг ІБ00-001377 від 28.03.2025 20:00:14
АПК (Глобине)</t>
  </si>
  <si>
    <t>Обл. НДС
Трійник 50/50/90° внутр
Надходження товарів і послуг ІБ00-001377 від 28.03.2025 20:00:14
АПК (Глобине)</t>
  </si>
  <si>
    <t>Обл. НДС
Коліно каналіз. 50/90
Надходження товарів і послуг ІБ00-001377 від 28.03.2025 20:00:14
АПК (Глобине)</t>
  </si>
  <si>
    <t>Обл. НДС
Труба ППР 40*5,5 P16Ek SDR7.6
Надходження товарів і послуг ІБ00-001377 від 28.03.2025 20:00:14
АПК (Глобине)</t>
  </si>
  <si>
    <t>Обл. НДС
Труба ППР 50*8,3 PN20Ek SDR6
Надходження товарів і послуг ІБ00-001377 від 28.03.2025 20:00:14
АПК (Глобине)</t>
  </si>
  <si>
    <t>Обл. НДС
Кут ППР 40*90°
Надходження товарів і послуг ІБ00-001377 від 28.03.2025 20:00:14
АПК (Глобине)</t>
  </si>
  <si>
    <t>Обл. НДС
Кут ППР 50*90°
Надходження товарів і послуг ІБ00-001377 від 28.03.2025 20:00:14
АПК (Глобине)</t>
  </si>
  <si>
    <t>Обороти за період та сальдо на кінець</t>
  </si>
  <si>
    <t>Переміщення товарів ІБ00-000221 від 06.03.2025 22:00:40
Перемещение ТМЦ</t>
  </si>
  <si>
    <t>07.03.2025</t>
  </si>
  <si>
    <t>Надходження товарів і послуг ІБ00-001122 від 07.03.2025 20:00:21
Оприходованы ТМЦ</t>
  </si>
  <si>
    <t>Обл. НДС
Щебінь 80-120
Надходження товарів і послуг ІБ00-001122 від 07.03.2025 20:00:21
Генплан митний склад (Глобине)</t>
  </si>
  <si>
    <t>ДІОРИТ ТОВ
№06/04-11 від 04.11.2024 Глобине-2
Рахунок на оплату постачальника ІБ00-000908 від 06.03.2025 22:00:37</t>
  </si>
  <si>
    <t>10.03.2025</t>
  </si>
  <si>
    <t>Надходження товарів і послуг ІБ00-001124 від 10.03.2025 20:00:32
Оприходованы ТМЦ</t>
  </si>
  <si>
    <t>Обл. НДС
Щебінь 80-120
Надходження товарів і послуг ІБ00-001124 від 10.03.2025 20:00:32
Генплан митний склад (Глобине)</t>
  </si>
  <si>
    <t>11.03.2025</t>
  </si>
  <si>
    <t>Надходження товарів і послуг ІБ00-001123 від 11.03.2025 19:00:18
Оприходованы ТМЦ</t>
  </si>
  <si>
    <t>Обл. НДС
Щебінь 80-120
Надходження товарів і послуг ІБ00-001123 від 11.03.2025 19:00:18
Генплан митний склад (Глобине)</t>
  </si>
  <si>
    <t>12.03.2025</t>
  </si>
  <si>
    <t>Переміщення товарів ІБ00-000200 від 12.03.2025 18:45:22
Перемещение ТМЦ</t>
  </si>
  <si>
    <t>Обл. НДС
Провід ПВС 3*2,5 бухта 100м 
Надходження товарів і послуг ІБ00-001045 від 12.03.2025 18:45:21
Генплан митний склад (Глобине)</t>
  </si>
  <si>
    <t>Обл. НДС
Провід ПВС 3*2,5 бухта 100м 
Надходження товарів і послуг ІБ00-001045 від 12.03.2025 18:45:21
Глобине-2</t>
  </si>
  <si>
    <t>Переміщення товарів ІБ00-000294 від 13.03.2025 11:10:00
Перемещение ТМЦ</t>
  </si>
  <si>
    <t>Обл. НДС
Щебінь 10-20
Надходження товарів і послуг ІБ00-001478 від 13.03.2025 11:00:00
Генплан митний склад (Глобине)</t>
  </si>
  <si>
    <t>Обл. НДС
Щебінь 10-20
Надходження товарів і послуг ІБ00-001478 від 13.03.2025 11:00:00
Глобине-2</t>
  </si>
  <si>
    <t>Надходження товарів і послуг ІБ00-001074 від 14.03.2025 17:50:42
Оприходованы ТМЦ</t>
  </si>
  <si>
    <t>Обл. НДС
Завіса точена  20*100 прес
Надходження товарів і послуг ІБ00-001074 від 14.03.2025 17:50:42
Генплан митний склад (Глобине)</t>
  </si>
  <si>
    <t>Моноліт - Центр" ТОВ
Рахунки_Глобине-2
Рахунок на оплату постачальника ІБ00-000883 від 13.03.2025 18:54:58</t>
  </si>
  <si>
    <t>Обл. НДС
Сітка рабиця д=2,0мм яч 50*50мм оц 2,0*10м
Надходження товарів і послуг ІБ00-001074 від 14.03.2025 17:50:42
Генплан митний склад (Глобине)</t>
  </si>
  <si>
    <t>Обл. НДС
Прожектор LED200W 6000К 16000Lm
Надходження товарів і послуг ІБ00-001074 від 14.03.2025 17:50:42
Генплан митний склад (Глобине)</t>
  </si>
  <si>
    <t>Надходження товарів і послуг ІБ00-001214 від 14.03.2025 17:51:06
Оприходованы ТМЦ (Зачет аванса поставщику)</t>
  </si>
  <si>
    <t>Обл. НДС
Дріт колючо-ріжуч спіраль діам кільця=500мм/3скоби 10м
Надходження товарів і послуг ІБ00-001214 від 14.03.2025 17:51:06
Генплан митний склад (Глобине)</t>
  </si>
  <si>
    <t>Сітка Захід Україна ТОВ
Договір 19/09/24 від 19.09.2024_Глобине 2
Рахунок на оплату постачальника ІБ00-000851 від 12.03.2025 18:45:14</t>
  </si>
  <si>
    <t>Обл. НДС
Наконечник Г-подібний 500мм 60*40мм/1,7мм оц 6005 зелений
Надходження товарів і послуг ІБ00-001214 від 14.03.2025 17:51:06
Генплан митний склад (Глобине)</t>
  </si>
  <si>
    <t>Надходження товарів і послуг ІБ00-001215 від 14.03.2025 17:51:07
Оприходованы ТМЦ (Зачет аванса поставщику)</t>
  </si>
  <si>
    <t>Обл. НДС
Секція 200*50 мм 4,00мм/4,00 мм 2,43м/2,5 м оц зелений 6005
Надходження товарів і послуг ІБ00-001215 від 14.03.2025 17:51:07
Генплан митний склад (Глобине)</t>
  </si>
  <si>
    <t>Сітка Захід Україна ТОВ
Договір 19/09/24 від 19.09.2024_Глобине 2
Рахунок на оплату постачальника ІБ00-000849 від 12.03.2025 18:45:13</t>
  </si>
  <si>
    <t>Обл. НДС
Стовп 60*40 мм*3,0м оц 6005 зелений 1,2мм 6 отв
Надходження товарів і послуг ІБ00-001215 від 14.03.2025 17:51:07
Генплан митний склад (Глобине)</t>
  </si>
  <si>
    <t>Обл. НДС
Кріплення 60*40 мм оц 6005 зелений
Надходження товарів і послуг ІБ00-001215 від 14.03.2025 17:51:07
Генплан митний склад (Глобине)</t>
  </si>
  <si>
    <t>Надходження товарів і послуг ІБ00-001215 від 14.03.2025 17:51:07
Оприходованы ТМЦ</t>
  </si>
  <si>
    <t>Обл. НДС
Наконечник Г-подібний 500мм 60*40мм/1,7мм оц 6005 зелений
Надходження товарів і послуг ІБ00-001215 від 14.03.2025 17:51:07
Генплан митний склад (Глобине)</t>
  </si>
  <si>
    <t>Надходження дод. витрат ІБ00-000164 від 14.03.2025 17:51:08
Доп. расходы при поступлении товаров</t>
  </si>
  <si>
    <t>19.03.2025</t>
  </si>
  <si>
    <t>Переміщення товарів ІБ00-000224 від 19.03.2025 17:35:46
Перемещение ТМЦ</t>
  </si>
  <si>
    <t>Обл. НДС
Бетон С20/25 W6 F75 P4 доб-5
Надходження товарів і послуг ІБ00-001137 від 19.03.2025 17:35:43
Генплан митний склад (Глобине)</t>
  </si>
  <si>
    <t>Обл. НДС
Бетон С20/25 W6 F75 P4 доб-5
Надходження товарів і послуг ІБ00-001137 від 19.03.2025 17:35:43
Глобине-2</t>
  </si>
  <si>
    <t>20.03.2025</t>
  </si>
  <si>
    <t>Переміщення товарів ІБ00-000291 від 20.03.2025 12:30:00
Перемещение ТМЦ</t>
  </si>
  <si>
    <t>Обл. НДС
Бетон С 20/25  F75 W6 Р4
Надходження товарів і послуг ІБ00-001450 від 20.03.2025 12:16:00
Генплан митний склад (Глобине)</t>
  </si>
  <si>
    <t>Обл. НДС
Бетон С 20/25  F75 W6 Р4
Надходження товарів і послуг ІБ00-001450 від 20.03.2025 12:16:00
Глобине-2</t>
  </si>
  <si>
    <t>Надходження товарів і послуг ІБ00-001193 від 21.03.2025 19:26:03
Оприходованы ТМЦ</t>
  </si>
  <si>
    <t>Обл. НДС
Щебінь 10-20
Надходження товарів і послуг ІБ00-001193 від 21.03.2025 19:26:03
Генплан митний склад (Глобине)</t>
  </si>
  <si>
    <t>Енергія Логістик ТОВ
№28/10-2024 ВІД 28/10/24_Глобине-2
Рахунок на оплату постачальника ІБ00-000953 від 21.03.2025 19:26:02</t>
  </si>
  <si>
    <t>Надходження дод. витрат ІБ00-000160 від 21.03.2025 19:26:04
Доп. расходы при поступлении товаров</t>
  </si>
  <si>
    <t>Переміщення товарів ІБ00-000240 від 21.03.2025 20:00:00
Перемещение ТМЦ</t>
  </si>
  <si>
    <t>Обл. НДС
Хомут нейлон. 4,8х350мм ІЕК
Надходження товарів і послуг ІБ00-001198 від 21.03.2025 19:26:08
Генплан митний склад (Глобине)</t>
  </si>
  <si>
    <t>Обл. НДС
Хомут нейлон. 4,8х350мм ІЕК
Надходження товарів і послуг ІБ00-001198 від 21.03.2025 19:26:08
Глобине-2</t>
  </si>
  <si>
    <t>Переміщення товарів ІБ00-000306 від 22.03.2025 11:10:00
Перемещение ТМЦ</t>
  </si>
  <si>
    <t>Обл. НДС
Щебінь 10-20
Надходження товарів і послуг ІБ00-001506 від 22.03.2025 11:00:00
Генплан митний склад (Глобине)</t>
  </si>
  <si>
    <t>Обл. НДС
Щебінь 10-20
Надходження товарів і послуг ІБ00-001506 від 22.03.2025 11:00:00
Глобине-2</t>
  </si>
  <si>
    <t>24.03.2025</t>
  </si>
  <si>
    <t>Переміщення товарів ІБ00-000297 від 24.03.2025 11:10:00
Перемещение ТМЦ</t>
  </si>
  <si>
    <t>Обл. НДС
Щебінь 10-20
Надходження товарів і послуг ІБ00-001479 від 24.03.2025 11:00:00
Генплан митний склад (Глобине)</t>
  </si>
  <si>
    <t>Обл. НДС
Щебінь 10-20
Надходження товарів і послуг ІБ00-001479 від 24.03.2025 11:00:00
Глобине-2</t>
  </si>
  <si>
    <t>27.03.2025</t>
  </si>
  <si>
    <t>Надходження товарів і послуг ІБ00-001388 від 27.03.2025 19:00:10
Оприходованы ТМЦ</t>
  </si>
  <si>
    <t>Обл. НДС
Щебінь 10-20
Надходження товарів і послуг ІБ00-001388 від 27.03.2025 19:00:10
Генплан митний склад (Глобине)</t>
  </si>
  <si>
    <t>Венкрас Авто ПП
Договір 05/09/2024 від 05.09.2024_Глобине-2
Рахунок на оплату постачальника ІБ00-001095 від 27.03.2025 19:00:09</t>
  </si>
  <si>
    <t>Надходження дод. витрат ІБ00-000198 від 27.03.2025 19:00:11
Доп. расходы при поступлении товаров</t>
  </si>
  <si>
    <t>Переміщення товарів ІБ00-000263 від 28.03.2025 10:00:00
Перемещение ТМЦ</t>
  </si>
  <si>
    <t>Обл. НДС
Бетон С20/25 W6 F75 P4
Надходження товарів і послуг ІБ00-001293 від 27.03.2025 18:14:54
Генплан митний склад (Глобине)</t>
  </si>
  <si>
    <t>Обл. НДС
Бетон С20/25 W6 F75 P4
Надходження товарів і послуг ІБ00-001293 від 27.03.2025 18:14:54
Глобине-2</t>
  </si>
  <si>
    <t>Переміщення товарів ІБ00-000264 від 28.03.2025 10:00:00
Перемещение ТМЦ</t>
  </si>
  <si>
    <t>Обл. НДС
Бетон С20/25 W6 F75 P4 доб-5
Надходження товарів і послуг ІБ00-001137 від 19.03.2025 17:35:43
Цех екстракції (Глобине)</t>
  </si>
  <si>
    <t>Переміщення товарів ІБ00-000265 від 28.03.2025 10:00:00
Перемещение ТМЦ</t>
  </si>
  <si>
    <t>Обл. НДС
Плита OSB 18 мм
Надходження товарів і послуг ІБ00-000072 від 01.01.2025 18:00:10
Генплан митний склад (Глобине)</t>
  </si>
  <si>
    <t>Обл. НДС
Плита OSB 18 мм
Надходження товарів і послуг ІБ00-000072 від 01.01.2025 18:00:10
Котельна (Глобине)</t>
  </si>
  <si>
    <t>Вимога-накладна ІБ00-000239 від 28.03.2025 20:00:00
Списаны ТМЦ</t>
  </si>
  <si>
    <t>Обл. НДС
Виробничий (Глобине-2)
Глобине-2
Прямі материальні виробничі витрати крім зворотніх відходів</t>
  </si>
  <si>
    <t>231</t>
  </si>
  <si>
    <t>Надходження товарів і послуг ІБ00-001387 від 28.03.2025 20:00:20
Оприходованы ТМЦ</t>
  </si>
  <si>
    <t>Обл. НДС
Щебінь 10-20
Надходження товарів і послуг ІБ00-001387 від 28.03.2025 20:00:20
Генплан митний склад (Глобине)</t>
  </si>
  <si>
    <t>Венкрас Авто ПП
Договір 05/09/2024 від 05.09.2024_Глобине-2
Рахунок на оплату постачальника ІБ00-001094 від 28.03.2025 20:00:19</t>
  </si>
  <si>
    <t>Надходження дод. витрат ІБ00-000197 від 28.03.2025 20:00:21
Доп. расходы при поступлении товаров</t>
  </si>
  <si>
    <t>Надходження товарів і послуг ІБ00-001429 від 28.03.2025 20:00:27
Оприходованы ТМЦ (Зачет аванса поставщику)</t>
  </si>
  <si>
    <t>Обл. НДС
Емаль ПФ-115 RAL 6005
Надходження товарів і послуг ІБ00-001429 від 28.03.2025 20:00:27
Генплан митний склад (Глобине)</t>
  </si>
  <si>
    <t>Синтез ЛКМ
РАХУНКИ_Глобино-2
Рахунок на оплату постачальника ІБ00-001034 від 27.03.2025 18:14:41</t>
  </si>
  <si>
    <t>Обл. НДС
Розчинник "White Spirit" (л)
Надходження товарів і послуг ІБ00-001429 від 28.03.2025 20:00:27
Генплан митний склад (Глобине)</t>
  </si>
  <si>
    <t>01.03.2025</t>
  </si>
  <si>
    <t>Переміщення товарів ІБ00-000154 від 01.03.2025 18:15:00
Перемещение ТМЦ</t>
  </si>
  <si>
    <t>Обл. НДС
Бетон С20/25 W6 F75 P4 доб-10 з фіброю
Надходження товарів і послуг ІБ00-000752 від 01.03.2025 18:10:01
Генплан підпірна стінка (Глобине)</t>
  </si>
  <si>
    <t>Обл. НДС
Бетон С20/25 W6 F75 P4 доб-10 з фіброю
Надходження товарів і послуг ІБ00-000752 від 01.03.2025 18:10:01
Глобине-2</t>
  </si>
  <si>
    <t>Надходження товарів і послуг ІБ00-001072 від 01.03.2025 18:17:15
Оприходованы ТМЦ</t>
  </si>
  <si>
    <t>Обл. НДС
Фібра поліпропілен 12мм
Надходження товарів і послуг ІБ00-001072 від 01.03.2025 18:17:15
Генплан підпірна стінка (Глобине)</t>
  </si>
  <si>
    <t>ПРОТЕК-С ТОВ
Дог поставки № 217 від 20.01.21 р. Рах_Глобине-2
Рахунок на оплату постачальника ІБ00-000882 від 01.03.2025 18:17:14</t>
  </si>
  <si>
    <t>Вимога-накладна ІБ00-000144 від 05.03.2025 00:00:00
Списаны ТМЦ</t>
  </si>
  <si>
    <t>Обл. НДС
Щебінь 20-40
Надходження товарів і послуг ІБ00-006317 від 18.12.2024 18:00:25
Генплан підпірна стінка (Глобине)</t>
  </si>
  <si>
    <t>Обл. НДС
Щебінь 20-40
Надходження товарів і послуг ІБ00-000759 від 21.02.2025 18:26:12
Генплан підпірна стінка (Глобине)</t>
  </si>
  <si>
    <t>Обл. НДС
Щебінь 20-40
Надходження товарів і послуг ІБ00-000760 від 21.02.2025 18:26:15
Генплан підпірна стінка (Глобине)</t>
  </si>
  <si>
    <t>Обл. НДС
Щебінь 20-40
Надходження товарів і послуг ІБ00-000761 від 22.02.2025 20:10:02
Генплан підпірна стінка (Глобине)</t>
  </si>
  <si>
    <t>Обл. НДС
Щебінь 40-70
Надходження товарів і послуг ІБ00-000486 від 24.01.2025 22:10:39
Генплан підпірна стінка (Глобине)</t>
  </si>
  <si>
    <t>Обл. НДС
Щебінь 40-70
Надходження товарів і послуг ІБ00-000485 від 25.01.2025 18:00:05
Генплан підпірна стінка (Глобине)</t>
  </si>
  <si>
    <t>Обл. НДС
Пісок з відсіву дроблення щебеню фр. 0-5мм.
Надходження товарів і послуг ІБ00-000257 від 27.01.2025 18:19:37
Генплан підпірна стінка (Глобине)</t>
  </si>
  <si>
    <t>Переміщення товарів ІБ00-000213 від 13.03.2025 18:55:03
Перемещение ТМЦ</t>
  </si>
  <si>
    <t>Обл. НДС
Бетон С20/25 W6 F75 P4
Надходження товарів і послуг ІБ00-001088 від 12.03.2025 18:45:33
Генплан підпірна стінка (Глобине)</t>
  </si>
  <si>
    <t>Обл. НДС
Бетон С20/25 W6 F75 P4
Надходження товарів і послуг ІБ00-001088 від 12.03.2025 18:45:33
Глобине-2</t>
  </si>
  <si>
    <t>Обл. НДС
Бетон С20/25 W6 F75 P4
Надходження товарів і послуг ІБ00-001089 від 13.03.2025 18:55:01
Генплан підпірна стінка (Глобине)</t>
  </si>
  <si>
    <t>Обл. НДС
Бетон С20/25 W6 F75 P4
Надходження товарів і послуг ІБ00-001089 від 13.03.2025 18:55:01
Глобине-2</t>
  </si>
  <si>
    <t>Переміщення товарів ІБ00-000301 від 18.03.2025 11:10:00
Перемещение ТМЦ</t>
  </si>
  <si>
    <t>Обл. НДС
Щебінь 20-40
Надходження товарів і послуг ІБ00-001482 від 18.03.2025 11:00:00
Генплан підпірна стінка (Глобине)</t>
  </si>
  <si>
    <t>Обл. НДС
Щебінь 20-40
Надходження товарів і послуг ІБ00-001482 від 18.03.2025 11:00:00
Глобине-2</t>
  </si>
  <si>
    <t>Вимога-накладна ІБ00-000227 від 28.03.2025 08:12:06
Списаны ТМЦ</t>
  </si>
  <si>
    <t>Списання товарів ІБ00-000159 від 28.03.2025 08:16:03
Списаны ТМЦ</t>
  </si>
  <si>
    <t>Обл. НДС
Шуруп г/к по дереву 3,5*55 мм
Надходження товарів і послуг ІБ00-000200 від 21.01.2025 18:10:15
Генплан підпірна стінка (Глобине)</t>
  </si>
  <si>
    <t>Обл. НДС
Шуруп г/к по дереву 4,2*76 мм
Надходження товарів і послуг ІБ00-000200 від 21.01.2025 18:10:15
Генплан підпірна стінка (Глобине)</t>
  </si>
  <si>
    <t>Надходження товарів і послуг ІБ00-000751 від 01.03.2025 18:00:01
Оприходованы ТМЦ (Зачет аванса поставщику)</t>
  </si>
  <si>
    <t>Обл. НДС
Бетон С20/25 W6 F75 P4 доб-10
Надходження товарів і послуг ІБ00-000751 від 01.03.2025 18:00:01
Глобине-2</t>
  </si>
  <si>
    <t>Кременчуцький річковий порт ПРАТ
Договір 112/Б від 15.10.2024_Глобине-2
Списання з банківського рахунку 00000002483 від 28.02.2025 16:06:07</t>
  </si>
  <si>
    <t>Кременчуцький річковий порт ПРАТ
Договір 112/Б від 15.10.2024_Глобине-2
Списання з банківського рахунку 00000001686 від 07.02.2025 17:38:53</t>
  </si>
  <si>
    <t>Надходження дод. витрат ІБ00-000105 від 01.03.2025 18:00:02
Доп. расходы при поступлении товаров (Зачет аванса поставщику)</t>
  </si>
  <si>
    <t>Переміщення товарів ІБ00-000151 від 01.03.2025 18:10:00
Перемещение ТМЦ</t>
  </si>
  <si>
    <t>Обл. НДС
Бетон С20/25 W6 F75 P4 доб-10
Надходження товарів і послуг ІБ00-000545 від 15.02.2025 10:00:05
Резервуар для зберігання розчинника(Глобине)</t>
  </si>
  <si>
    <t>Обл. НДС
Бетон С20/25 W6 F75 P4 доб-10
Надходження товарів і послуг ІБ00-000545 від 15.02.2025 10:00:05
Глобине-2</t>
  </si>
  <si>
    <t>Обл. НДС
Бетон С20/25 W6 F75 P4 доб-10
Надходження товарів і послуг ІБ00-000751 від 01.03.2025 18:00:01
Резервуар для зберігання розчинника(Глобине)</t>
  </si>
  <si>
    <t>Переміщення товарів ІБ00-000152 від 01.03.2025 18:10:00
Перемещение ТМЦ</t>
  </si>
  <si>
    <t>Обл. НДС
Бетон С20/25 W6 F75 P4 доб-10
Надходження товарів і послуг ІБ00-000751 від 01.03.2025 18:00:01
Резервуарний парк соєвої меляси (Глобине)</t>
  </si>
  <si>
    <t>Переміщення товарів ІБ00-000153 від 01.03.2025 18:10:00
Перемещение ТМЦ</t>
  </si>
  <si>
    <t>Обл. НДС
Бетон С20/25 W6 F75 P4 доб-10
Надходження товарів і послуг ІБ00-000751 від 01.03.2025 18:00:01
Котельна (Глобине)</t>
  </si>
  <si>
    <t>Надходження товарів і послуг ІБ00-000752 від 01.03.2025 18:10:01
Оприходованы ТМЦ</t>
  </si>
  <si>
    <t>Кременчуцький річковий порт ПРАТ
Договір 112/Б від 15.10.2024_Глобине-2
Надходження товарів і послуг ІБ00-000752 від 01.03.2025 18:10:01</t>
  </si>
  <si>
    <t>Надходження дод. витрат ІБ00-000106 від 01.03.2025 18:10:02
Доп. расходы при поступлении товаров</t>
  </si>
  <si>
    <t>Кременчуцький річковий порт ПРАТ
Договір 112/Б від 15.10.2024_Глобине-2
Надходження дод. витрат ІБ00-000106 від 01.03.2025 18:10:02</t>
  </si>
  <si>
    <t>Переміщення товарів ІБ00-000155 від 01.03.2025 18:15:00
Перемещение ТМЦ</t>
  </si>
  <si>
    <t>Обл. НДС
Бетон С20/25 W6 F75 P4 доб-10 з фіброю
Надходження товарів і послуг ІБ00-000752 від 01.03.2025 18:10:01
Резервуарний парк соєвої меляси (Глобине)</t>
  </si>
  <si>
    <t>Надходження товарів і послуг ІБ00-000755 від 03.03.2025 18:08:02
Оприходованы ТМЦ</t>
  </si>
  <si>
    <t>Обл. НДС
Бетон С20/25 W6 F75 P4 доб-5
Надходження товарів і послуг ІБ00-000755 від 03.03.2025 18:08:02
Глобине-2</t>
  </si>
  <si>
    <t>Кременчуцький річковий порт ПРАТ
Договір 112/Б від 15.10.2024_Глобине-2
Надходження товарів і послуг ІБ00-000755 від 03.03.2025 18:08:02</t>
  </si>
  <si>
    <t>Надходження дод. витрат ІБ00-000107 від 03.03.2025 18:08:03
Доп. расходы при поступлении товаров</t>
  </si>
  <si>
    <t>Кременчуцький річковий порт ПРАТ
Договір 112/Б від 15.10.2024_Глобине-2
Надходження дод. витрат ІБ00-000107 від 03.03.2025 18:08:03</t>
  </si>
  <si>
    <t>Переміщення товарів ІБ00-000156 від 03.03.2025 18:08:04
Перемещение ТМЦ</t>
  </si>
  <si>
    <t>Обл. НДС
Бетон С20/25 W6 F75 P4 доб-5
Надходження товарів і послуг ІБ00-000755 від 03.03.2025 18:08:02
Насосна Градирня (Глобине)</t>
  </si>
  <si>
    <t>Переміщення товарів ІБ00-000157 від 03.03.2025 18:08:05
Перемещение ТМЦ</t>
  </si>
  <si>
    <t>Обл. НДС
Бетон С20/25 W6 F75 P4 доб-5
Надходження товарів і послуг ІБ00-000755 від 03.03.2025 18:08:02
Котельна (Глобине)</t>
  </si>
  <si>
    <t>Переміщення товарів ІБ00-000158 від 03.03.2025 18:08:06
Перемещение ТМЦ</t>
  </si>
  <si>
    <t>Обл. НДС
Бетон С20/25 W6 F75 P4 доб-5
Надходження товарів і послуг ІБ00-000755 від 03.03.2025 18:08:02
Цех екстракції (Глобине)</t>
  </si>
  <si>
    <t>Авансовий звіт ІБ00-000046 від 03.03.2025 18:09:12
Оприходованы ТМЦ</t>
  </si>
  <si>
    <t>Обл. НДС
Самонаріз 5,5х25 кріпл мет профілю легк мет констр-цій (9006 сріблястий (250шт.))
Авансовий звіт ІБ00-000046 від 03.03.2025 18:09:12
Глобине-2</t>
  </si>
  <si>
    <t>Штиченко Олександр Володимирович</t>
  </si>
  <si>
    <t>3721</t>
  </si>
  <si>
    <t>Обл. НДС
Лампа  A50 100W E27
Авансовий звіт ІБ00-000046 від 03.03.2025 18:09:12
Глобине-2</t>
  </si>
  <si>
    <t>Обл. НДС
Шайба
Авансовий звіт ІБ00-000046 від 03.03.2025 18:09:12
Глобине-2</t>
  </si>
  <si>
    <t>Обл. НДС
Пензлик малярний 
Авансовий звіт ІБ00-000046 від 03.03.2025 18:09:12
Глобине-2</t>
  </si>
  <si>
    <t>Обл. НДС
бочка 35л
Авансовий звіт ІБ00-000046 від 03.03.2025 18:09:12
Глобине-2</t>
  </si>
  <si>
    <t>Обл. НДС
Біта *8 мм
Авансовий звіт ІБ00-000046 від 03.03.2025 18:09:12
Глобине-2</t>
  </si>
  <si>
    <t>Надходження товарів і послуг ІБ00-000862 від 06.03.2025 20:05:58
Оприходованы ТМЦ</t>
  </si>
  <si>
    <t>Обл. НДС
Бетон С20/25 W6 F75 P4
Надходження товарів і послуг ІБ00-000862 від 06.03.2025 20:05:58
Глобине-2</t>
  </si>
  <si>
    <t>Кременчуцький річковий порт ПРАТ
Договір 112/Б від 15.10.2024_Глобине-2
Надходження товарів і послуг ІБ00-000862 від 06.03.2025 20:05:58</t>
  </si>
  <si>
    <t>Надходження дод. витрат ІБ00-000123 від 06.03.2025 20:05:59
Доп. расходы при поступлении товаров</t>
  </si>
  <si>
    <t>Кременчуцький річковий порт ПРАТ
Договір 112/Б від 15.10.2024_Глобине-2
Надходження дод. витрат ІБ00-000123 від 06.03.2025 20:05:59</t>
  </si>
  <si>
    <t>Переміщення товарів ІБ00-000167 від 06.03.2025 20:10:00
Перемещение ТМЦ</t>
  </si>
  <si>
    <t>Обл. НДС
Бетон С20/25 W6 F75 P4
Надходження товарів і послуг ІБ00-000368 від 31.01.2025 16:00:16
Котельна (Глобине)</t>
  </si>
  <si>
    <t>Обл. НДС
Бетон С20/25 W6 F75 P4
Надходження товарів і послуг ІБ00-000368 від 31.01.2025 16:00:16
Глобине-2</t>
  </si>
  <si>
    <t>Обл. НДС
Бетон С20/25 W6 F75 P4
Надходження товарів і послуг ІБ00-000862 від 06.03.2025 20:05:58
Котельна (Глобине)</t>
  </si>
  <si>
    <t>Переміщення товарів ІБ00-000168 від 06.03.2025 20:10:00
Перемещение ТМЦ</t>
  </si>
  <si>
    <t>Обл. НДС
Бетон С20/25 W6 F75 P4
Надходження товарів і послуг ІБ00-000862 від 06.03.2025 20:05:58
Цех екстракції (Глобине)</t>
  </si>
  <si>
    <t>Переміщення товарів ІБ00-000169 від 06.03.2025 20:10:00
Перемещение ТМЦ</t>
  </si>
  <si>
    <t>Обл. НДС
Бетон С20/25 W6 F75 P4
Надходження товарів і послуг ІБ00-000862 від 06.03.2025 20:05:58
Резервуарний парк соєвої меляси (Глобине)</t>
  </si>
  <si>
    <t>Надходження товарів і послуг ІБ00-001121 від 06.03.2025 22:00:38
Оприходованы ТМЦ</t>
  </si>
  <si>
    <t>08.03.2025</t>
  </si>
  <si>
    <t>Надходження товарів і послуг ІБ00-000960 від 08.03.2025 18:00:04
Оприходованы ТМЦ</t>
  </si>
  <si>
    <t>Обл. НДС
Бетон С20/25 W6 F75 P4
Надходження товарів і послуг ІБ00-000960 від 08.03.2025 18:00:04
Глобине-2</t>
  </si>
  <si>
    <t>Кременчуцький річковий порт ПРАТ
Договір 112/Б від 15.10.2024_Глобине-2
Надходження товарів і послуг ІБ00-000960 від 08.03.2025 18:00:04</t>
  </si>
  <si>
    <t>Надходження дод. витрат ІБ00-000127 від 08.03.2025 18:00:05
Доп. расходы при поступлении товаров</t>
  </si>
  <si>
    <t>Кременчуцький річковий порт ПРАТ
Договір 112/Б від 15.10.2024_Глобине-2
Надходження дод. витрат ІБ00-000127 від 08.03.2025 18:00:05</t>
  </si>
  <si>
    <t>Переміщення товарів ІБ00-000179 від 08.03.2025 18:10:00
Перемещение ТМЦ</t>
  </si>
  <si>
    <t>Обл. НДС
Бетон С20/25 W6 F75 P4
Надходження товарів і послуг ІБ00-000960 від 08.03.2025 18:00:04
Котельна (Глобине)</t>
  </si>
  <si>
    <t>Переміщення товарів ІБ00-000180 від 08.03.2025 18:10:00
Перемещение ТМЦ</t>
  </si>
  <si>
    <t>Обл. НДС
Бетон С20/25 W6 F75 P4
Надходження товарів і послуг ІБ00-000960 від 08.03.2025 18:00:04
Цех екстракції (Глобине)</t>
  </si>
  <si>
    <t>Надходження товарів і послуг ІБ00-001338 від 10.03.2025 20:00:39
Оприходованы ТМЦ</t>
  </si>
  <si>
    <t>Обл. НДС
Труба п/е 25вт (2 м)
Надходження товарів і послуг ІБ00-001338 від 10.03.2025 20:00:39
Глобине-2</t>
  </si>
  <si>
    <t>ПРОТЕКС УКРАЇНА
Договір 9  від 11.12.2023_Глобине 2
Рахунок на оплату постачальника ІБ00-000965 від 06.03.2025 22:00:42</t>
  </si>
  <si>
    <t>Переміщення товарів ІБ00-000255 від 10.03.2025 20:00:40
Перемещение ТМЦ</t>
  </si>
  <si>
    <t>Обл. НДС
Труба п/е 25вт (2 м)
Надходження товарів і послуг ІБ00-001338 від 10.03.2025 20:00:39
Цех екстракції (Глобине)</t>
  </si>
  <si>
    <t>Надходження товарів і послуг ІБ00-001087 від 11.03.2025 19:00:13
Оприходованы ТМЦ</t>
  </si>
  <si>
    <t>Обл. НДС
Бетон С20/25 W6 F75 P4
Надходження товарів і послуг ІБ00-001087 від 11.03.2025 19:00:13
Глобине-2</t>
  </si>
  <si>
    <t>Кременчуцький річковий порт ПРАТ
Договір 112/Б від 15.10.2024_Глобине-2
Надходження товарів і послуг ІБ00-001087 від 11.03.2025 19:00:13</t>
  </si>
  <si>
    <t>Надходження дод. витрат ІБ00-000151 від 11.03.2025 19:00:14
Доп. расходы при поступлении товаров</t>
  </si>
  <si>
    <t>Кременчуцький річковий порт ПРАТ
Договір 112/Б від 15.10.2024_Глобине-2
Надходження дод. витрат ІБ00-000151 від 11.03.2025 19:00:14</t>
  </si>
  <si>
    <t>Переміщення товарів ІБ00-000208 від 11.03.2025 19:00:15
Перемещение ТМЦ</t>
  </si>
  <si>
    <t>Обл. НДС
Бетон С20/25 W6 F75 P4
Надходження товарів і послуг ІБ00-001087 від 11.03.2025 19:00:13
Котельна (Глобине)</t>
  </si>
  <si>
    <t>Переміщення товарів ІБ00-000209 від 11.03.2025 19:00:16
Перемещение ТМЦ</t>
  </si>
  <si>
    <t>Обл. НДС
Бетон С20/25 W6 F75 P4
Надходження товарів і послуг ІБ00-001087 від 11.03.2025 19:00:13
СПК (Глобине)</t>
  </si>
  <si>
    <t>Переміщення товарів ІБ00-000210 від 11.03.2025 19:00:17
Перемещение ТМЦ</t>
  </si>
  <si>
    <t>Обл. НДС
Бетон С20/25 W6 F75 P4
Надходження товарів і послуг ІБ00-001087 від 11.03.2025 19:00:13
Пункт фасування та зберігання в бігбегах (Глобине)</t>
  </si>
  <si>
    <t>Надходження товарів і послуг ІБ00-001045 від 12.03.2025 18:45:21
Оприходованы ТМЦ</t>
  </si>
  <si>
    <t>Лук'ян Михайло Федорович ФОП
22/08-24-1 от 22.08.2024 (РАХУНКИ)_Глобине-2
Рахунок на оплату постачальника ІБ00-000876 від 12.03.2025 18:45:20</t>
  </si>
  <si>
    <t>Обл. НДС
Плівка п/е рукав 1500*200 мкм
Надходження товарів і послуг ІБ00-001045 від 12.03.2025 18:45:21
Глобине-2</t>
  </si>
  <si>
    <t>Переміщення товарів ІБ00-000201 від 12.03.2025 18:45:23
Перемещение ТМЦ</t>
  </si>
  <si>
    <t>Обл. НДС
Плівка п/е рукав 1500*200 мкм
Надходження товарів і послуг ІБ00-001045 від 12.03.2025 18:45:21
Цех екстракції (Глобине)</t>
  </si>
  <si>
    <t>Надходження товарів і послуг ІБ00-001088 від 12.03.2025 18:45:33
Оприходованы ТМЦ (Зачет аванса поставщику)</t>
  </si>
  <si>
    <t>Кременчуцький річковий порт ПРАТ
Договір 112/Б від 15.10.2024_Глобине-2
Списання з банківського рахунку 00000023475 від 12.03.2025 10:01:10</t>
  </si>
  <si>
    <t>Надходження дод. витрат ІБ00-000152 від 12.03.2025 18:45:34
Доп. расходы при поступлении товаров</t>
  </si>
  <si>
    <t>Кременчуцький річковий порт ПРАТ
Договір 112/Б від 15.10.2024_Глобине-2
Надходження дод. витрат ІБ00-000152 від 12.03.2025 18:45:34</t>
  </si>
  <si>
    <t>Надходження дод. витрат ІБ00-000152 від 12.03.2025 18:45:34
Доп. расходы при поступлении товаров (Зачет аванса поставщику)</t>
  </si>
  <si>
    <t>Переміщення товарів ІБ00-000211 від 12.03.2025 18:45:35
Перемещение ТМЦ</t>
  </si>
  <si>
    <t>Обл. НДС
Бетон С20/25 W6 F75 P4
Надходження товарів і послуг ІБ00-001087 від 11.03.2025 19:00:13
Цех екстракції (Глобине)</t>
  </si>
  <si>
    <t>Обл. НДС
Бетон С20/25 W6 F75 P4
Надходження товарів і послуг ІБ00-001088 від 12.03.2025 18:45:33
Цех екстракції (Глобине)</t>
  </si>
  <si>
    <t>Переміщення товарів ІБ00-000212 від 12.03.2025 18:45:36
Перемещение ТМЦ</t>
  </si>
  <si>
    <t>Обл. НДС
Бетон С20/25 W6 F75 P4
Надходження товарів і послуг ІБ00-001088 від 12.03.2025 18:45:33
СПК (Глобине)</t>
  </si>
  <si>
    <t>Надходження товарів і послуг ІБ00-001478 від 13.03.2025 11:00:00
Оприходованы ТМЦ</t>
  </si>
  <si>
    <t>Енергія Логістик ТОВ
№28/10-2024 ВІД 28/10/24_Глобине-2
Рахунок на оплату постачальника ІБ00-001153 від 13.03.2025 18:55:33</t>
  </si>
  <si>
    <t>Надходження дод. витрат ІБ00-000222 від 13.03.2025 11:05:00
Доп. расходы при поступлении товаров</t>
  </si>
  <si>
    <t>Переміщення товарів ІБ00-000199 від 13.03.2025 18:54:55
Перемещение ТМЦ</t>
  </si>
  <si>
    <t>Обл. НДС
Праймер бітумний Техноніколь №1 (20л)
Надходження товарів і послуг ІБ00-006494 від 20.12.2024 18:18:17
Глобине-2</t>
  </si>
  <si>
    <t>Обл. НДС
Праймер бітумний Техноніколь №1 (20л)
Надходження товарів і послуг ІБ00-006494 від 20.12.2024 18:18:17
Путрівка КМД</t>
  </si>
  <si>
    <t>Надходження товарів і послуг ІБ00-001089 від 13.03.2025 18:55:01
Оприходованы ТМЦ</t>
  </si>
  <si>
    <t>Кременчуцький річковий порт ПРАТ
Договір 112/Б від 15.10.2024_Глобине-2
Надходження товарів і послуг ІБ00-001089 від 13.03.2025 18:55:01</t>
  </si>
  <si>
    <t>Надходження дод. витрат ІБ00-000153 від 13.03.2025 18:55:02
Доп. расходы при поступлении товаров</t>
  </si>
  <si>
    <t>Кременчуцький річковий порт ПРАТ
Договір 112/Б від 15.10.2024_Глобине-2
Надходження дод. витрат ІБ00-000153 від 13.03.2025 18:55:02</t>
  </si>
  <si>
    <t>Переміщення товарів ІБ00-000214 від 13.03.2025 18:55:04
Перемещение ТМЦ</t>
  </si>
  <si>
    <t>Обл. НДС
Бетон С20/25 W6 F75 P4
Надходження товарів і послуг ІБ00-001089 від 13.03.2025 18:55:01
Котельна (Глобине)</t>
  </si>
  <si>
    <t>Переміщення товарів ІБ00-000215 від 13.03.2025 18:55:05
Перемещение ТМЦ</t>
  </si>
  <si>
    <t>Обл. НДС
Бетон С20/25 W6 F75 P4
Надходження товарів і послуг ІБ00-001089 від 13.03.2025 18:55:01
Пункт фасування та зберігання в бігбегах (Глобине)</t>
  </si>
  <si>
    <t>Авансовий звіт ІБ00-000059 від 14.03.2025 17:50:55
Оприходованы ТМЦ</t>
  </si>
  <si>
    <t>Обл. НДС
Корпус для кнопок
Авансовий звіт ІБ00-000059 від 14.03.2025 17:50:55
Глобине-2</t>
  </si>
  <si>
    <t>Обл. НДС
Кнопка ХB2 "Старт" зелена без фіксації
Авансовий звіт ІБ00-000059 від 14.03.2025 17:50:55
Глобине-2</t>
  </si>
  <si>
    <t>Обл. НДС
Замок та завіс
Авансовий звіт ІБ00-000059 від 14.03.2025 17:50:55
Глобине-2</t>
  </si>
  <si>
    <t>15.03.2025</t>
  </si>
  <si>
    <t>Надходження товарів і послуг ІБ00-001090 від 15.03.2025 12:00:00
Оприходованы ТМЦ (Зачет аванса поставщику)</t>
  </si>
  <si>
    <t>Обл. НДС
Бетон С20/25 W6 F75 P4
Надходження товарів і послуг ІБ00-001090 від 15.03.2025 12:00:00
Глобине-2</t>
  </si>
  <si>
    <t>Надходження дод. витрат ІБ00-000154 від 15.03.2025 12:00:01
Доп. расходы при поступлении товаров (Зачет аванса поставщику)</t>
  </si>
  <si>
    <t>Переміщення товарів ІБ00-000216 від 15.03.2025 12:00:02
Перемещение ТМЦ</t>
  </si>
  <si>
    <t>Обл. НДС
Бетон С20/25 W6 F75 P4
Надходження товарів і послуг ІБ00-001090 від 15.03.2025 12:00:00
Котельна (Глобине)</t>
  </si>
  <si>
    <t>Переміщення товарів ІБ00-000217 від 15.03.2025 12:00:03
Перемещение ТМЦ</t>
  </si>
  <si>
    <t>Обл. НДС
Бетон С20/25 W6 F75 P4
Надходження товарів і послуг ІБ00-001090 від 15.03.2025 12:00:00
Пункт фасування та зберігання в бігбегах (Глобине)</t>
  </si>
  <si>
    <t>17.03.2025</t>
  </si>
  <si>
    <t>Надходження товарів і послуг ІБ00-001086 від 17.03.2025 17:20:12
Оприходованы ТМЦ (Зачет аванса поставщику)</t>
  </si>
  <si>
    <t>Обл. НДС
Бетон С20/25 W6 F75 P4 доб-5
Надходження товарів і послуг ІБ00-001086 від 17.03.2025 17:20:12
Глобине-2</t>
  </si>
  <si>
    <t>Надходження дод. витрат ІБ00-000150 від 17.03.2025 17:20:13
Доп. расходы при поступлении товаров (Зачет аванса поставщику)</t>
  </si>
  <si>
    <t>Переміщення товарів ІБ00-000206 від 17.03.2025 17:20:14
Перемещение ТМЦ</t>
  </si>
  <si>
    <t>Обл. НДС
Бетон С20/25 W6 F75 P4 доб-5
Надходження товарів і послуг ІБ00-001086 від 17.03.2025 17:20:12
Пункт фасування та зберігання в бігбегах (Глобине)</t>
  </si>
  <si>
    <t>Переміщення товарів ІБ00-000207 від 17.03.2025 17:20:15
Перемещение ТМЦ</t>
  </si>
  <si>
    <t>Обл. НДС
Бетон С20/25 W6 F75 P4 доб-5
Надходження товарів і послуг ІБ00-001086 від 17.03.2025 17:20:12
СПК (Глобине)</t>
  </si>
  <si>
    <t>Переміщення товарів ІБ00-000204 від 18.03.2025 10:00:00
Перемещение ТМЦ</t>
  </si>
  <si>
    <t>Обл. НДС
Бетон С20/25 W6 F75 P4 доб-10
Надходження товарів і послуг ІБ00-000751 від 01.03.2025 18:00:01
Цех екстракції (Глобине)</t>
  </si>
  <si>
    <t>Переміщення товарів ІБ00-000205 від 18.03.2025 10:00:00
Перемещение ТМЦ</t>
  </si>
  <si>
    <t>Обл. НДС
Бетон С 8/10 Р4 доб-10
Надходження товарів і послуг ІБ00-000728 від 22.02.2025 20:00:06
Резервуарний парк соєвої меляси (Глобине)</t>
  </si>
  <si>
    <t>Обл. НДС
Бетон С 8/10 Р4 доб-10
Надходження товарів і послуг ІБ00-000728 від 22.02.2025 20:00:06
Глобине-2</t>
  </si>
  <si>
    <t>Надходження товарів і послуг ІБ00-001482 від 18.03.2025 11:00:00
Оприходованы ТМЦ</t>
  </si>
  <si>
    <t>Енергія Логістик ТОВ
№28/10-2024 ВІД 28/10/24_Глобине-2
Рахунок на оплату постачальника ІБ00-001157 від 18.03.2025 23:13:02</t>
  </si>
  <si>
    <t>Обл. НДС
Пісок з відсіву дроблення щебеню фр. 0-5мм.
Надходження товарів і послуг ІБ00-001482 від 18.03.2025 11:00:00
Глобине-2</t>
  </si>
  <si>
    <t>Надходження дод. витрат ІБ00-000226 від 18.03.2025 11:05:00
Доп. расходы при поступлении товаров</t>
  </si>
  <si>
    <t>Переміщення товарів ІБ00-000300 від 18.03.2025 11:10:00
Перемещение ТМЦ</t>
  </si>
  <si>
    <t>Обл. НДС
Щебінь 20-40
Надходження товарів і послуг ІБ00-001482 від 18.03.2025 11:00:00
Цех екстракції (Глобине)</t>
  </si>
  <si>
    <t>Переміщення товарів ІБ00-000302 від 18.03.2025 11:10:00
Перемещение ТМЦ</t>
  </si>
  <si>
    <t>Обл. НДС
Пісок з відсіву дроблення щебеню фр. 0-5мм.
Надходження товарів і послуг ІБ00-001482 від 18.03.2025 11:00:00
Цех екстракції (Глобине)</t>
  </si>
  <si>
    <t>Списання товарів ІБ00-000136 від 18.03.2025 14:37:14
Списаны ТМЦ</t>
  </si>
  <si>
    <t>Обл. НДС
З"єднання дуб леон 60 мм 2,5м №356
Надходження товарів і послуг ІБ00-000475 від 06.02.2025 18:36:14
Глобине-2</t>
  </si>
  <si>
    <t>Обл. НДС
Заглушка ліва дуб леон 60 мм 2,5м №356
Надходження товарів і послуг ІБ00-000475 від 06.02.2025 18:36:14
Глобине-2</t>
  </si>
  <si>
    <t>Обл. НДС
Заглушка права дуб леон 60 мм 2,5м №356
Надходження товарів і послуг ІБ00-000475 від 06.02.2025 18:36:14
Глобине-2</t>
  </si>
  <si>
    <t>Обл. НДС
Кут внутр дуб леон 60 мм 2,5м №356
Надходження товарів і послуг ІБ00-000475 від 06.02.2025 18:36:14
Глобине-2</t>
  </si>
  <si>
    <t>Списання товарів ІБ00-000137 від 18.03.2025 15:00:48
Списаны ТМЦ</t>
  </si>
  <si>
    <t>Обл. НДС
Провід ПВС 2*2,5 бухта 100м
Надходження товарів і послуг ІБ00-003776 від 30.08.2024 18:46:57
Глобине-2</t>
  </si>
  <si>
    <t>Надходження товарів і послуг ІБ00-001137 від 19.03.2025 17:35:43
Оприходованы ТМЦ (Зачет аванса поставщику)</t>
  </si>
  <si>
    <t>Надходження дод. витрат ІБ00-000156 від 19.03.2025 17:35:44
Доп. расходы при поступлении товаров (Зачет аванса поставщику)</t>
  </si>
  <si>
    <t>Переміщення товарів ІБ00-000223 від 19.03.2025 17:35:45
Перемещение ТМЦ</t>
  </si>
  <si>
    <t>Переміщення товарів ІБ00-000225 від 19.03.2025 17:35:47
Перемещение ТМЦ</t>
  </si>
  <si>
    <t>Обл. НДС
Бетон С20/25 W6 F75 P4 доб-5
Надходження товарів і послуг ІБ00-001137 від 19.03.2025 17:35:43
Котельна (Глобине)</t>
  </si>
  <si>
    <t>Надходження товарів і послуг ІБ00-001450 від 20.03.2025 12:16:00
Оприходованы ТМЦ (Зачет аванса поставщику)</t>
  </si>
  <si>
    <t>Надходження дод. витрат ІБ00-000218 від 20.03.2025 12:25:00
Доп. расходы при поступлении товаров (Зачет аванса поставщику)</t>
  </si>
  <si>
    <t>Переміщення товарів ІБ00-000290 від 20.03.2025 12:30:00
Перемещение ТМЦ</t>
  </si>
  <si>
    <t>Обл. НДС
Бетон С 20/25  F75 W6 Р4
Надходження товарів і послуг ІБ00-001450 від 20.03.2025 12:16:00
Пункт фасування та зберігання в бігбегах (Глобине)</t>
  </si>
  <si>
    <t>Переміщення товарів ІБ00-000292 від 20.03.2025 12:30:00
Перемещение ТМЦ</t>
  </si>
  <si>
    <t>Обл. НДС
Бетон С 20/25  F75 W6 Р4
Надходження товарів і послуг ІБ00-001450 від 20.03.2025 12:16:00
Цех екстракції (Глобине)</t>
  </si>
  <si>
    <t>Надходження товарів і послуг ІБ00-001198 від 21.03.2025 19:26:08
Оприходованы ТМЦ</t>
  </si>
  <si>
    <t>Обл. НДС
Шуруп г/к по дереву 3,5*55 мм
Надходження товарів і послуг ІБ00-001198 від 21.03.2025 19:26:08
Глобине-2</t>
  </si>
  <si>
    <t>Лук'ян Михайло Федорович ФОП
22/08-24-1 от 22.08.2024 (РАХУНКИ)_Глобине-2
Рахунок на оплату постачальника ІБ00-000956 від 21.03.2025 19:26:07</t>
  </si>
  <si>
    <t>Обл. НДС
Шуруп г/к по дереву 4,2*76 мм
Надходження товарів і послуг ІБ00-001198 від 21.03.2025 19:26:08
Глобине-2</t>
  </si>
  <si>
    <t>Обл. НДС
Хомут нейлон. 3,6х150мм ІЕК
Надходження товарів і послуг ІБ00-001198 від 21.03.2025 19:26:08
Глобине-2</t>
  </si>
  <si>
    <t>Обл. НДС
Цвяхи 100*4,0
Надходження товарів і послуг ІБ00-001198 від 21.03.2025 19:26:08
Глобине-2</t>
  </si>
  <si>
    <t>Обл. НДС
Цвяхи 70*3
Надходження товарів і послуг ІБ00-001198 від 21.03.2025 19:26:08
Глобине-2</t>
  </si>
  <si>
    <t>Переміщення товарів ІБ00-000235 від 21.03.2025 20:00:00
Перемещение ТМЦ</t>
  </si>
  <si>
    <t>Обл. НДС
Шуруп г/к по дереву 3,5*55 мм
Надходження товарів і послуг ІБ00-000711 від 18.02.2025 20:00:44
Цех екстракції (Глобине)</t>
  </si>
  <si>
    <t>Обл. НДС
Піна монтажна  750 мл 
Надходження товарів і послуг ІБ00-001198 від 21.03.2025 19:26:08
Цех екстракції (Глобине)</t>
  </si>
  <si>
    <t>Обл. НДС
Шуруп г/к по дереву 4,2*76 мм
Надходження товарів і послуг ІБ00-000711 від 18.02.2025 20:00:44
Цех екстракції (Глобине)</t>
  </si>
  <si>
    <t>Обл. НДС
Цвяхи 100*4,0
Надходження товарів і послуг ІБ00-001198 від 21.03.2025 19:26:08
Цех екстракції (Глобине)</t>
  </si>
  <si>
    <t>Обл. НДС
Цвяхи 70*3
Надходження товарів і послуг ІБ00-001198 від 21.03.2025 19:26:08
Цех екстракції (Глобине)</t>
  </si>
  <si>
    <t>Переміщення товарів ІБ00-000236 від 21.03.2025 20:00:00
Перемещение ТМЦ</t>
  </si>
  <si>
    <t>Обл. НДС
Шуруп г/к по дереву 3,5*55 мм
Надходження товарів і послуг ІБ00-000711 від 18.02.2025 20:00:44
Резервуар для зберігання розчинника(Глобине)</t>
  </si>
  <si>
    <t>Обл. НДС
Піна монтажна  750 мл 
Надходження товарів і послуг ІБ00-001198 від 21.03.2025 19:26:08
Резервуар для зберігання розчинника(Глобине)</t>
  </si>
  <si>
    <t>Обл. НДС
Шуруп г/к по дереву 4,2*76 мм
Надходження товарів і послуг ІБ00-000711 від 18.02.2025 20:00:44
Резервуар для зберігання розчинника(Глобине)</t>
  </si>
  <si>
    <t>Переміщення товарів ІБ00-000237 від 21.03.2025 20:00:00
Перемещение ТМЦ</t>
  </si>
  <si>
    <t>Обл. НДС
Шуруп г/к по дереву 3,5*55 мм
Надходження товарів і послуг ІБ00-000711 від 18.02.2025 20:00:44
Пункт фасування та зберігання в бігбегах (Глобине)</t>
  </si>
  <si>
    <t>Обл. НДС
Піна монтажна  750 мл 
Надходження товарів і послуг ІБ00-001198 від 21.03.2025 19:26:08
Пункт фасування та зберігання в бігбегах (Глобине)</t>
  </si>
  <si>
    <t>Обл. НДС
Шуруп г/к по дереву 4,2*76 мм
Надходження товарів і послуг ІБ00-000748 від 25.02.2025 18:19:56
Пункт фасування та зберігання в бігбегах (Глобине)</t>
  </si>
  <si>
    <t>Обл. НДС
Шуруп г/к по дереву 4,2*76 мм
Надходження товарів і послуг ІБ00-000748 від 25.02.2025 18:19:56
Глобине-2</t>
  </si>
  <si>
    <t>Переміщення товарів ІБ00-000238 від 21.03.2025 20:00:00
Перемещение ТМЦ</t>
  </si>
  <si>
    <t>Обл. НДС
Шуруп г/к по дереву 3,5*55 мм
Надходження товарів і послуг ІБ00-000711 від 18.02.2025 20:00:44
Котельна (Глобине)</t>
  </si>
  <si>
    <t>Обл. НДС
Піна монтажна  750 мл 
Надходження товарів і послуг ІБ00-001198 від 21.03.2025 19:26:08
Котельна (Глобине)</t>
  </si>
  <si>
    <t>Обл. НДС
Шуруп г/к по дереву 4,2*76 мм
Надходження товарів і послуг ІБ00-001198 від 21.03.2025 19:26:08
Котельна (Глобине)</t>
  </si>
  <si>
    <t>Обл. НДС
Цвяхи 100*4,0
Надходження товарів і послуг ІБ00-001198 від 21.03.2025 19:26:08
Котельна (Глобине)</t>
  </si>
  <si>
    <t>Обл. НДС
Цвяхи 70*3
Надходження товарів і послуг ІБ00-001198 від 21.03.2025 19:26:08
Котельна (Глобине)</t>
  </si>
  <si>
    <t>Переміщення товарів ІБ00-000241 від 21.03.2025 20:00:00
Перемещение ТМЦ</t>
  </si>
  <si>
    <t>Обл. НДС
Хомут нейлон. 3,6х150мм ІЕК
Надходження товарів і послуг ІБ00-001198 від 21.03.2025 19:26:08
Підготовчі роботи та тимчасові споруди (Глобине)</t>
  </si>
  <si>
    <t>Надходження товарів і послуг ІБ00-001506 від 22.03.2025 11:00:00
Оприходованы ТМЦ</t>
  </si>
  <si>
    <t>Енергія Логістик ТОВ
№28/10-2024 ВІД 28/10/24_Глобине-2
Рахунок на оплату постачальника ІБ00-001189 від 22.03.2025 12:00:06</t>
  </si>
  <si>
    <t>Обл. НДС
Пісок з відсіву дроблення щебеню фр. 0-5мм.
Надходження товарів і послуг ІБ00-001506 від 22.03.2025 11:00:00
Глобине-2</t>
  </si>
  <si>
    <t>Надходження дод. витрат ІБ00-000232 від 22.03.2025 11:05:00
Доп. расходы при поступлении товаров</t>
  </si>
  <si>
    <t>Переміщення товарів ІБ00-000307 від 22.03.2025 11:10:00
Перемещение ТМЦ</t>
  </si>
  <si>
    <t>Обл. НДС
Пісок з відсіву дроблення щебеню фр. 0-5мм.
Надходження товарів і послуг ІБ00-001506 від 22.03.2025 11:00:00
Цех екстракції (Глобине)</t>
  </si>
  <si>
    <t>Надходження товарів і послуг ІБ00-001449 від 22.03.2025 12:00:01
Оприходованы ТМЦ (Зачет аванса поставщику)</t>
  </si>
  <si>
    <t>Обл. НДС
Бетон С 20/25  F75 W6 Р4
Надходження товарів і послуг ІБ00-001449 від 22.03.2025 12:00:01
Глобине-2</t>
  </si>
  <si>
    <t>Надходження дод. витрат ІБ00-000217 від 22.03.2025 12:00:02
Доп. расходы при поступлении товаров (Зачет аванса поставщику)</t>
  </si>
  <si>
    <t>Переміщення товарів ІБ00-000288 від 22.03.2025 12:00:04
Перемещение ТМЦ</t>
  </si>
  <si>
    <t>Обл. НДС
Бетон С  8/10 Р4
Надходження товарів і послуг ІБ00-001449 від 22.03.2025 12:00:01
Пункт фасування та зберігання в бігбегах (Глобине)</t>
  </si>
  <si>
    <t>Переміщення товарів ІБ00-000289 від 22.03.2025 12:00:05
Перемещение ТМЦ</t>
  </si>
  <si>
    <t>Обл. НДС
Бетон С 20/25  F75 W6 Р4
Надходження товарів і послуг ІБ00-001449 від 22.03.2025 12:00:01
Цех екстракції (Глобине)</t>
  </si>
  <si>
    <t>Надходження товарів і послуг ІБ00-001479 від 24.03.2025 11:00:00
Оприходованы ТМЦ</t>
  </si>
  <si>
    <t>Енергія Логістик ТОВ
№28/10-2024 ВІД 28/10/24_Глобине-2
Рахунок на оплату постачальника ІБ00-001154 від 24.03.2025 23:35:01</t>
  </si>
  <si>
    <t>Обл. НДС
Щебінь 20-40
Надходження товарів і послуг ІБ00-001479 від 24.03.2025 11:00:00
Глобине-2</t>
  </si>
  <si>
    <t>Надходження дод. витрат ІБ00-000223 від 24.03.2025 11:05:00
Доп. расходы при поступлении товаров</t>
  </si>
  <si>
    <t>Переміщення товарів ІБ00-000298 від 24.03.2025 11:10:00
Перемещение ТМЦ</t>
  </si>
  <si>
    <t>Обл. НДС
Щебінь 20-40
Надходження товарів і послуг ІБ00-001479 від 24.03.2025 11:00:00
Резервуар для зберігання розчинника(Глобине)</t>
  </si>
  <si>
    <t>Надходження товарів і послуг ІБ00-001358 від 24.03.2025 18:31:10
Оприходованы ТМЦ (Зачет аванса поставщику)</t>
  </si>
  <si>
    <t>Обл. НДС
Бетон С 20/25  F75 W6 Р4
Надходження товарів і послуг ІБ00-001358 від 24.03.2025 18:31:10
Глобине-2</t>
  </si>
  <si>
    <t>Надходження дод. витрат ІБ00-000195 від 24.03.2025 18:31:11
Доп. расходы при поступлении товаров (Зачет аванса поставщику)</t>
  </si>
  <si>
    <t>Переміщення товарів ІБ00-000266 від 24.03.2025 18:31:12
Перемещение ТМЦ</t>
  </si>
  <si>
    <t>Обл. НДС
Бетон С 20/25  F75 W6 Р4
Надходження товарів і послуг ІБ00-001358 від 24.03.2025 18:31:10
Пункт фасування та зберігання в бігбегах (Глобине)</t>
  </si>
  <si>
    <t>Переміщення товарів ІБ00-000267 від 24.03.2025 18:31:13
Перемещение ТМЦ</t>
  </si>
  <si>
    <t>Обл. НДС
Бетон С 20/25  F75 W6 Р4
Надходження товарів і послуг ІБ00-001358 від 24.03.2025 18:31:10
Цех екстракції (Глобине)</t>
  </si>
  <si>
    <t>Списання товарів ІБ00-000151 від 26.03.2025 14:06:48
Списаны ТМЦ</t>
  </si>
  <si>
    <t>Списання товарів ІБ00-000152 від 26.03.2025 14:28:36
Списаны ТМЦ</t>
  </si>
  <si>
    <t>Обл. НДС
Фіксатор конус
Надходження товарів і послуг ІБ00-000525 від 04.02.2025 18:00:08
Глобине-2</t>
  </si>
  <si>
    <t>Списання товарів ІБ00-000153 від 26.03.2025 14:57:11
Списаны ТМЦ</t>
  </si>
  <si>
    <t>Обл. НДС
Дюбель цвях 4,5*60
Надходження товарів і послуг ІБ00-002443 від 02.07.2024 17:11:37
Глобине-2</t>
  </si>
  <si>
    <t>Обл. НДС
Провід ПВС 2*1,5
Надходження товарів і послуг ІБ00-000475 від 06.02.2025 18:36:14
Глобине-2</t>
  </si>
  <si>
    <t>Списання товарів ІБ00-000155 від 26.03.2025 15:16:34
Списаны ТМЦ</t>
  </si>
  <si>
    <t>Обл. НДС
Фіксатор зірочка 25
Надходження товарів і послуг ІБ00-000525 від 04.02.2025 18:00:08
Глобине-2</t>
  </si>
  <si>
    <t>Обл. НДС
Фіксатор Стілець 50/8-24
Надходження товарів і послуг ІБ00-000525 від 04.02.2025 18:00:08
Глобине-2</t>
  </si>
  <si>
    <t>Списання товарів ІБ00-000157 від 27.03.2025 14:04:49
Списаны ТМЦ</t>
  </si>
  <si>
    <t>Обл. НДС
Фанера ламінована 1250*2500*21 мм гл/гл
Надходження товарів і послуг ІБ00-004394 від 20.09.2024 18:19:40
Глобине-2</t>
  </si>
  <si>
    <t>Списання товарів ІБ00-000158 від 27.03.2025 14:16:37
Списаны ТМЦ</t>
  </si>
  <si>
    <t>Обл. НДС
Провід ПВС 3*2,5 (м)
Надходження товарів і послуг ІБ00-001404 від 12.04.2024 17:23:03
Глобине-2</t>
  </si>
  <si>
    <t>Обл. НДС
Рідке скло 7кг/5л
Надходження товарів і послуг ІБ00-000348 від 08.01.2024 20:00:04
Глобине-2</t>
  </si>
  <si>
    <t>Переміщення товарів ІБ00-000250 від 27.03.2025 18:14:50
Перемещение ТМЦ</t>
  </si>
  <si>
    <t>Обл. НДС
Емульсія бітумна Igoflex-101 каністра 32л
Надходження товарів і послуг ІБ00-000606 від 21.02.2024 23:54:14
Глобине-2</t>
  </si>
  <si>
    <t>Обл. НДС
Емульсія бітумна Igoflex-101 каністра 32л
Надходження товарів і послуг ІБ00-000606 від 21.02.2024 23:54:14
Вулиця</t>
  </si>
  <si>
    <t>Обл. НДС
Емульсія бітумна Igoflex-101 каністра 32л
Надходження товарів і послуг ІБ00-001108 від 22.03.2024 17:34:05
Глобине-2</t>
  </si>
  <si>
    <t>Обл. НДС
Емульсія бітумна Igoflex-101 каністра 32л
Надходження товарів і послуг ІБ00-001108 від 22.03.2024 17:34:05
Вулиця</t>
  </si>
  <si>
    <t>Обл. НДС
Емульсія бітумна Р-10 EN каністра 20л
Надходження товарів і послуг ІБ00-002088 від 19.12.2023 18:21:48
Глобине-2</t>
  </si>
  <si>
    <t>Обл. НДС
Емульсія бітумна Р-10 EN каністра 20л
Надходження товарів і послуг ІБ00-002088 від 19.12.2023 18:21:48
Вулиця</t>
  </si>
  <si>
    <t>Обл. НДС
Плита пінополістирольна екструзійна 1180х580х100мм уп4шт/1шт-0,06844 куб м
Надходження товарів і послуг ІБ00-000575 від 20.02.2024 18:03:01
Глобине-2</t>
  </si>
  <si>
    <t>Обл. НДС
Плита пінополістирольна екструзійна 1180х580х100мм уп4шт/1шт-0,06844 куб м
Надходження товарів і послуг ІБ00-000575 від 20.02.2024 18:03:01
Вулиця</t>
  </si>
  <si>
    <t>Надходження товарів і послуг ІБ00-001293 від 27.03.2025 18:14:54
Оприходованы ТМЦ (Зачет аванса поставщику)</t>
  </si>
  <si>
    <t>Надходження дод. витрат ІБ00-000190 від 27.03.2025 18:14:55
Доп. расходы при поступлении товаров (Зачет аванса поставщику)</t>
  </si>
  <si>
    <t>Переміщення товарів ІБ00-000253 від 27.03.2025 19:00:00
Перемещение ТМЦ</t>
  </si>
  <si>
    <t>Обл. НДС
Бетон С20/25 W6 F75 P4
Надходження товарів і послуг ІБ00-001090 від 15.03.2025 12:00:00
Цех екстракції (Глобине)</t>
  </si>
  <si>
    <t>Обл. НДС
Бетон С20/25 W6 F75 P4
Надходження товарів і послуг ІБ00-001293 від 27.03.2025 18:14:54
Цех екстракції (Глобине)</t>
  </si>
  <si>
    <t>Переміщення товарів ІБ00-000254 від 27.03.2025 19:00:00
Перемещение ТМЦ</t>
  </si>
  <si>
    <t>Обл. НДС
Бетон С20/25 W6 F75 P4
Надходження товарів і послуг ІБ00-001293 від 27.03.2025 18:14:54
Пункт фасування та зберігання в бігбегах (Глобине)</t>
  </si>
  <si>
    <t>Списання товарів ІБ00-000160 від 28.03.2025 08:52:24
Списаны ТМЦ</t>
  </si>
  <si>
    <t>Надходження товарів і послуг ІБ00-001292 від 28.03.2025 17:56:31
Оприходованы ТМЦ (Зачет аванса поставщику)</t>
  </si>
  <si>
    <t>Обл. НДС
Бетон С  8/10 Р4
Надходження товарів і послуг ІБ00-001292 від 28.03.2025 17:56:31
Глобине-2</t>
  </si>
  <si>
    <t>Надходження дод. витрат ІБ00-000189 від 28.03.2025 17:56:32
Доп. расходы при поступлении товаров (Зачет аванса поставщику)</t>
  </si>
  <si>
    <t>Переміщення товарів ІБ00-000251 від 28.03.2025 18:00:00
Перемещение ТМЦ</t>
  </si>
  <si>
    <t>Обл. НДС
Бетон С  8/10 Р4
Надходження товарів і послуг ІБ00-001292 від 28.03.2025 17:56:31
Резервуар для зберігання розчинника(Глобине)</t>
  </si>
  <si>
    <t>Переміщення товарів ІБ00-000252 від 28.03.2025 18:00:00
Перемещение ТМЦ</t>
  </si>
  <si>
    <t>Обл. НДС
Бетон С  8/10 Р4
Надходження товарів і послуг ІБ00-001292 від 28.03.2025 17:56:31
Пункт фасування та зберігання в бігбегах (Глобине)</t>
  </si>
  <si>
    <t>Списання товарів ІБ00-000167 від 28.03.2025 20:00:01
Списаны ТМЦ</t>
  </si>
  <si>
    <t>Обл. НДС
Змішувач д/ EPOFIX (хім.анкера)
Надходження товарів і послуг ІБ00-005517 від 05.11.2024 17:28:15
Глобине-2</t>
  </si>
  <si>
    <t>Обл. НДС
Шуруп г/к по дереву 3,5*55 мм
Надходження товарів і послуг ІБ00-000748 від 25.02.2025 18:19:56
Глобине-2</t>
  </si>
  <si>
    <t>Обл. НДС
Патрон монтаж. 6,8*11 мм червоні
Надходження товарів і послуг ІБ00-006244 від 12.12.2024 18:00:40
Глобине-2</t>
  </si>
  <si>
    <t>31.03.2025</t>
  </si>
  <si>
    <t>Надходження товарів і послуг ІБ00-001356 від 31.03.2025 18:59:59
Оприходованы ТМЦ (Зачет аванса поставщику)</t>
  </si>
  <si>
    <t>Обл. НДС
Бетон С 20/25  F75 W6 Р4
Надходження товарів і послуг ІБ00-001356 від 31.03.2025 18:59:59
Глобине-2</t>
  </si>
  <si>
    <t>Надходження дод. витрат ІБ00-000194 від 31.03.2025 19:05:00
Доп. расходы при поступлении товаров (Зачет аванса поставщику)</t>
  </si>
  <si>
    <t>Переміщення товарів ІБ00-000257 від 31.03.2025 19:15:00
Перемещение ТМЦ</t>
  </si>
  <si>
    <t>Обл. НДС
Бетон С 20/25  F75 W6 Р4
Надходження товарів і послуг ІБ00-001356 від 31.03.2025 18:59:59
Резервуар для зберігання розчинника(Глобине)</t>
  </si>
  <si>
    <t>Переміщення товарів ІБ00-000258 від 31.03.2025 19:15:00
Перемещение ТМЦ</t>
  </si>
  <si>
    <t>Обл. НДС
Бетон С 20/25  F75 W6 Р4
Надходження товарів і послуг ІБ00-001356 від 31.03.2025 18:59:59
Пункт фасування та зберігання в бігбегах (Глобине)</t>
  </si>
  <si>
    <t>Надходження товарів і послуг ІБ00-001037 від 01.03.2025 18:17:06
Оприходованы ТМЦ</t>
  </si>
  <si>
    <t>Обл. НДС
Труба  80*80*4  ст1-3 пс L=12000
Надходження товарів і послуг ІБ00-001037 від 01.03.2025 18:17:06
Котельна (Глобине)</t>
  </si>
  <si>
    <t>МЕТАЛ ХОЛДІНГ ТРЕЙД ТОВ
Договір 01/467/24 від 06.09.2024_Глобине-2
Рахунок на оплату постачальника ІБ00-000868 від 01.03.2025 18:17:05</t>
  </si>
  <si>
    <t>Обл. НДС
Кутик 75*75*6мм ст.3ПС МІРА 12 м
Надходження товарів і послуг ІБ00-001037 від 01.03.2025 18:17:06
Котельна (Глобине)</t>
  </si>
  <si>
    <t>Обл. НДС
Швелер 16П (160 12,05 8240 3пс)
Надходження товарів і послуг ІБ00-001037 від 01.03.2025 18:17:06
Котельна (Глобине)</t>
  </si>
  <si>
    <t>Обл. НДС
Швелер 18П  (180 12,05 8240 3пс5)
Надходження товарів і послуг ІБ00-001037 від 01.03.2025 18:17:06
Котельна (Глобине)</t>
  </si>
  <si>
    <t>Обл. НДС
Балка 20  L=12000
Надходження товарів і послуг ІБ00-001037 від 01.03.2025 18:17:06
Котельна (Глобине)</t>
  </si>
  <si>
    <t>Обл. НДС
Лист г/к  4,0*1500*6000 мм; ст.3 сп/пс
Надходження товарів і послуг ІБ00-001037 від 01.03.2025 18:17:06
Котельна (Глобине)</t>
  </si>
  <si>
    <t>Обл. НДС
Лист г/к 10*2000*6000 1-3 сп/пс
Надходження товарів і послуг ІБ00-001037 від 01.03.2025 18:17:06
Котельна (Глобине)</t>
  </si>
  <si>
    <t>Надходження дод. витрат ІБ00-000147 від 01.03.2025 18:17:07
Доп. расходы при поступлении товаров</t>
  </si>
  <si>
    <t>Надходження товарів і послуг ІБ00-001038 від 01.03.2025 18:17:09
Оприходованы ТМЦ</t>
  </si>
  <si>
    <t>Обл. НДС
Лист рифлений 3*1500*6000 
Надходження товарів і послуг ІБ00-001038 від 01.03.2025 18:17:09
Котельна (Глобине)</t>
  </si>
  <si>
    <t>МЕТАЛ ХОЛДІНГ ТРЕЙД ТОВ
Договір 01/467/24 від 06.09.2024_Глобине-2
Рахунок на оплату постачальника ІБ00-000871 від 01.03.2025 18:17:08</t>
  </si>
  <si>
    <t>Переміщення товарів ІБ00-000245 від 01.03.2025 18:17:53
Перемещение ТМЦ</t>
  </si>
  <si>
    <t>Обл. НДС
Прокат арматурний №12 мм  А500С  12м
Надходження товарів і послуг ІБ00-000546 від 14.02.2025 10:00:00
Котельна (Глобине)</t>
  </si>
  <si>
    <t>Обл. НДС
Прокат арматурний №12 мм  А500С  12м
Надходження товарів і послуг ІБ00-000546 від 14.02.2025 10:00:00
Пожежений резервуар (Глобине)</t>
  </si>
  <si>
    <t>Надходження товарів і послуг ІБ00-001238 від 01.03.2025 18:17:56
Оприходованы ТМЦ (Зачет аванса поставщику)</t>
  </si>
  <si>
    <t>Обл. НДС
Труба каналізаційна ПП 110х2,7х2000 вн
Надходження товарів і послуг ІБ00-001238 від 01.03.2025 18:17:56
Котельна (Глобине)</t>
  </si>
  <si>
    <t>ТСПЛ ТОВ
Дог пост № 26/04-21 від 26.04.2021 р._Глобине-2
Рахунок на оплату постачальника ІБ00-000272 від 08.01.2025 18:05:21</t>
  </si>
  <si>
    <t>Обл. НДС
Труба каналізаційна ПП 50х1,8х2000 вн
Надходження товарів і послуг ІБ00-001238 від 01.03.2025 18:17:56
Котельна (Глобине)</t>
  </si>
  <si>
    <t>Обл. НДС
Трійник каналіз 110х110х90° вн
Надходження товарів і послуг ІБ00-001238 від 01.03.2025 18:17:56
Котельна (Глобине)</t>
  </si>
  <si>
    <t>Обл. НДС
Трійник каналіз 110х50х90° вн
Надходження товарів і послуг ІБ00-001238 від 01.03.2025 18:17:56
Котельна (Глобине)</t>
  </si>
  <si>
    <t>Обл. НДС
Коліно 110/90  КАН
Надходження товарів і послуг ІБ00-001238 від 01.03.2025 18:17:56
Котельна (Глобине)</t>
  </si>
  <si>
    <t>Обл. НДС
РЕДУКЦІЯ звичайна 110х50, Plastimex
Надходження товарів і послуг ІБ00-001238 від 01.03.2025 18:17:56
Котельна (Глобине)</t>
  </si>
  <si>
    <t>Обл. НДС
Труба 110х2,7х1000 Htplus Magnaplast (4/60)
Надходження товарів і послуг ІБ00-001238 від 01.03.2025 18:17:56
Котельна (Глобине)</t>
  </si>
  <si>
    <t>Обл. НДС
Коліно терморез. ПЕ Ду40
Надходження товарів і послуг ІБ00-001238 від 01.03.2025 18:17:56
Котельна (Глобине)</t>
  </si>
  <si>
    <t>Обл. НДС
Коліно стикове Дн 160 SDR 11 лите
Надходження товарів і послуг ІБ00-001238 від 01.03.2025 18:17:56
Котельна (Глобине)</t>
  </si>
  <si>
    <t>Надходження товарів і послуг ІБ00-000841 від 03.03.2025 18:09:05
Оприходованы ТМЦ (Зачет аванса поставщику)</t>
  </si>
  <si>
    <t>Обл. НДС
Решітковий настил KOZ 34*38/30*3/оц/ 1045*1000
Надходження товарів і послуг ІБ00-000841 від 03.03.2025 18:09:05
Котельна (Глобине)</t>
  </si>
  <si>
    <t>Червоноградський завод металоконструкцій
Договір поставки № 44 від 11.06.2020 р._Глобино-2
Рахунок на оплату постачальника ІБ00-000398 від 05.02.2025 18:00:07</t>
  </si>
  <si>
    <t>Обл. НДС
Решітковий настил KOZ 34*38/30*3/оц/ 1045*1386
Надходження товарів і послуг ІБ00-000841 від 03.03.2025 18:09:05
Котельна (Глобине)</t>
  </si>
  <si>
    <t>Надходження товарів і послуг ІБ00-000841 від 03.03.2025 18:09:05
Оприходованы ТМЦ</t>
  </si>
  <si>
    <t>Обл. НДС
Сходинки SOZ/34*38/30*3/оц/800*205
Надходження товарів і послуг ІБ00-000841 від 03.03.2025 18:09:05
Котельна (Глобине)</t>
  </si>
  <si>
    <t>Обл. НДС
Кріплення стандартні
Надходження товарів і послуг ІБ00-000841 від 03.03.2025 18:09:05
Котельна (Глобине)</t>
  </si>
  <si>
    <t>Обл. НДС
Кріплення для сходинок
Надходження товарів і послуг ІБ00-000841 від 03.03.2025 18:09:05
Котельна (Глобине)</t>
  </si>
  <si>
    <t>Надходження товарів і послуг ІБ00-000860 від 04.03.2025 10:00:00
Оприходованы ТМЦ</t>
  </si>
  <si>
    <t>Обл. НДС
Клей для газобетону ХСМ МР2 (25 кг)
Надходження товарів і послуг ІБ00-000860 від 04.03.2025 10:00:00
Котельна (Глобине)</t>
  </si>
  <si>
    <t>СТАНДАРТ БУД ГРУП
РАХУНКИ_Глобино-2
Рахунок на оплату постачальника ІБ00-000671 від 03.03.2025 18:08:39</t>
  </si>
  <si>
    <t>Обл. НДС
Газоблок 300*200*600 D500
Надходження товарів і послуг ІБ00-000860 від 04.03.2025 10:00:00
Котельна (Глобине)</t>
  </si>
  <si>
    <t>Надходження товарів і послуг ІБ00-000840 від 05.03.2025 18:37:39
Оприходованы ТМЦ (Зачет аванса поставщику)</t>
  </si>
  <si>
    <t>Обл. НДС
Труба КАН тришар 110/2000 2,7мм
Надходження товарів і послуг ІБ00-000840 від 05.03.2025 18:37:39
Котельна (Глобине)</t>
  </si>
  <si>
    <t>Лук'янець Аліна Василівна ФОП
РАХУНКИ_Глобине 2
Рахунок на оплату постачальника ІБ00-000602 від 27.02.2025 20:32:03</t>
  </si>
  <si>
    <t>Обл. НДС
Труба КАН тришар 110/1500 2,7мм
Надходження товарів і послуг ІБ00-000840 від 05.03.2025 18:37:39
Котельна (Глобине)</t>
  </si>
  <si>
    <t>Обл. НДС
Труба КАН тришар 110/1000 2,7мм
Надходження товарів і послуг ІБ00-000840 від 05.03.2025 18:37:39
Котельна (Глобине)</t>
  </si>
  <si>
    <t>Обл. НДС
Коліно 110/90  КАН
Надходження товарів і послуг ІБ00-000840 від 05.03.2025 18:37:39
Котельна (Глобине)</t>
  </si>
  <si>
    <t>Обл. НДС
Труба ПЕТ 63*3,8 6атм
Надходження товарів і послуг ІБ00-000840 від 05.03.2025 18:37:39
Котельна (Глобине)</t>
  </si>
  <si>
    <t>Обл. НДС
Коліно ПЕТ 63*63
Надходження товарів і послуг ІБ00-000840 від 05.03.2025 18:37:39
Котельна (Глобине)</t>
  </si>
  <si>
    <t>Вимога-накладна ІБ00-000146 від 06.03.2025 20:20:00
Списаны ТМЦ</t>
  </si>
  <si>
    <t>Обл. НДС
Щебінь 20-40
Надходження товарів і послуг ІБ00-006356 від 19.12.2024 12:14:15
Котельна (Глобине)</t>
  </si>
  <si>
    <t>Обл. НДС
Плівка п/е рукав 1500*100
Надходження товарів і послуг ІБ00-005781 від 19.11.2024 17:51:41
Котельна (Глобине)</t>
  </si>
  <si>
    <t>Обл. НДС
Бетон С20/25 W6 F75 P4 доб-10
Надходження товарів і послуг ІБ00-000481 від 06.02.2025 18:36:18
Котельна (Глобине)</t>
  </si>
  <si>
    <t>Обл. НДС
Бетон С20/25 W6 F75 P4 доб-10
Надходження товарів і послуг ІБ00-000522 від 08.02.2025 10:00:03
Котельна (Глобине)</t>
  </si>
  <si>
    <t>Обл. НДС
Пінополістирол екструдований  20х600х1200мм
Надходження товарів і послуг ІБ00-006461 від 20.12.2024 18:18:13
Котельна (Глобине)</t>
  </si>
  <si>
    <t>Обл. НДС
Пінополістирол фасад шаршавий 1200х600х20мм 0,264 куб м
Надходження товарів і послуг ІБ00-000464 від 06.02.2025 18:36:11
Котельна (Глобине)</t>
  </si>
  <si>
    <t>Вимога-накладна ІБ00-000150 від 06.03.2025 22:00:00
Списаны ТМЦ</t>
  </si>
  <si>
    <t>Надходження товарів і послуг ІБ00-000950 від 06.03.2025 22:00:06
Оприходованы ТМЦ</t>
  </si>
  <si>
    <t>Обл. НДС
DIN933  Болт М12х65 5.8 цб пр
Надходження товарів і послуг ІБ00-000950 від 06.03.2025 22:00:06
Котельна (Глобине)</t>
  </si>
  <si>
    <t>Солді і Ко ПАТ
Дог № 378542-55/19 від 21.01.2019 р. РАХ_Глобине-2
Рахунок на оплату постачальника ІБ00-000791 від 06.03.2025 22:00:05</t>
  </si>
  <si>
    <t>Надходження товарів і послуг ІБ00-000861 від 07.03.2025 18:55:25
Оприходованы ТМЦ (Зачет аванса поставщику)</t>
  </si>
  <si>
    <t>Обл. НДС
Мапеграут 450 Тіксо/25
Надходження товарів і послуг ІБ00-000861 від 07.03.2025 18:55:25
Котельна (Глобине)</t>
  </si>
  <si>
    <t>СЛОН-М ТОВ
РАХУНКИ_Глобино-2
Рахунок на оплату постачальника ІБ00-000669 від 04.03.2025 00:00:00</t>
  </si>
  <si>
    <t>Надходження дод. витрат ІБ00-000122 від 07.03.2025 18:55:26
Доп. расходы при поступлении товаров (Зачет аванса поставщику)</t>
  </si>
  <si>
    <t>Надходження товарів і послуг ІБ00-001044 від 12.03.2025 18:45:19
Оприходованы ТМЦ (Зачет аванса поставщику)</t>
  </si>
  <si>
    <t>Обл. НДС
Відведення 89/160 попередньоізол сталь/ПЕ ПТ3 х/к
Надходження товарів і послуг ІБ00-001044 від 12.03.2025 18:45:19
Котельна (Глобине)</t>
  </si>
  <si>
    <t>Надходження товарів і послуг ІБ00-001044 від 12.03.2025 18:45:19
Оприходованы ТМЦ</t>
  </si>
  <si>
    <t>Обл. НДС
Труба 89/160 попередньоізол сталь/ПЕ ПТ3 х/к
Надходження товарів і послуг ІБ00-001044 від 12.03.2025 18:45:19
Котельна (Глобине)</t>
  </si>
  <si>
    <t>Переміщення товарів ІБ00-000244 від 12.03.2025 18:45:41
Перемещение ТМЦ</t>
  </si>
  <si>
    <t>Обл. НДС
Пінополістирол фасад шаршавий 1200х600х20мм 0,264 куб м
Надходження товарів і послуг ІБ00-000464 від 06.02.2025 18:36:11
Резервуарний парк соєвої меляси (Глобине)</t>
  </si>
  <si>
    <t>Надходження товарів і послуг ІБ00-001149 від 14.03.2025 17:50:57
Оприходованы ТМЦ (Зачет аванса поставщику)</t>
  </si>
  <si>
    <t>Обл. НДС
Сендвіч-панель ТПК стінова 100мм МВ 1150мм відкр замок С0,5 PS/C 0.5 PS 6,24м трапеція 9006 срібл/тр
Надходження товарів і послуг ІБ00-001149 від 14.03.2025 17:50:57
Котельна (Глобине)</t>
  </si>
  <si>
    <t>ТПК-ЦЕНТР ТОВ
Договір 13/20/П/011від 21.07.2020_Глобино-2
Рахунок на оплату постачальника ІБ00-000346 від 20.01.2025 18:00:56</t>
  </si>
  <si>
    <t>Обл. НДС
Сендвіч-панель ТПК стінова 100мм МВ 1150мм відкр замок С0,5 PS/C 0.5 PS 6,14м трапеція 9006 срібл/тр
Надходження товарів і послуг ІБ00-001149 від 14.03.2025 17:50:57
Котельна (Глобине)</t>
  </si>
  <si>
    <t>Обл. НДС
Сендвіч-панель ТПК стінова 100мм МВ 1150мм відкр замок С0,5 PS/C 0.5 PS 5,98м трапеція 9006 срібл/тр
Надходження товарів і послуг ІБ00-001149 від 14.03.2025 17:50:57
Котельна (Глобине)</t>
  </si>
  <si>
    <t>Обл. НДС
Сендвіч-панель ТПК стінова 100мм МВ 1000мм відкр замок С0,5 PS/C 0.5 PS 5,98м трапеція 9006 срібл/тр
Надходження товарів і послуг ІБ00-001149 від 14.03.2025 17:50:57
Котельна (Глобине)</t>
  </si>
  <si>
    <t>Обл. НДС
Сендвіч-панель ТПК стінова 100мм МВ 1000мм відкр замок С0,5 PS/C 0.5 PS 6,24м трапеція 9006 срібл/тр
Надходження товарів і послуг ІБ00-001149 від 14.03.2025 17:50:57
Котельна (Глобине)</t>
  </si>
  <si>
    <t>Обл. НДС
Сендвіч-панель ТПК стінова 100мм МВ 1000мм відкр замок С0,5 PS/C 0.5 PS 3,74м трапеція 9006 срібл/тр
Надходження товарів і послуг ІБ00-001149 від 14.03.2025 17:50:57
Котельна (Глобине)</t>
  </si>
  <si>
    <t>Обл. НДС
Сендвіч-панель ТПК стінова 100мм МВ 1000мм відкр замок С0,5 PS/C 0.5 PS 4,98м трапеція 9006 срібл/тр
Надходження товарів і послуг ІБ00-001149 від 14.03.2025 17:50:57
Котельна (Глобине)</t>
  </si>
  <si>
    <t>Обл. НДС
Клей-герметик д/сендвіч-панелей, 600 мл
Надходження товарів і послуг ІБ00-001149 від 14.03.2025 17:50:57
Котельна (Глобине)</t>
  </si>
  <si>
    <t>Обл. НДС
Самонаріз до сендвіч-панелей 6,3/7*215 синій 5005 до 16мм з гол
Надходження товарів і послуг ІБ00-001149 від 14.03.2025 17:50:57
Котельна (Глобине)</t>
  </si>
  <si>
    <t>Обл. НДС
Самонаріз до сендвіч-панелей 6,3/7*215 срібло 9006 до 16мм з гол
Надходження товарів і послуг ІБ00-001149 від 14.03.2025 17:50:57
Котельна (Глобине)</t>
  </si>
  <si>
    <t>Обл. НДС
Самонаріз до сендвіч-панелей 6,3/7*155 синій 5005 до 16мм з гол
Надходження товарів і послуг ІБ00-001149 від 14.03.2025 17:50:57
Котельна (Глобине)</t>
  </si>
  <si>
    <t>Обл. НДС
Самонаріз до сендвіч-панелей 6,3/7*155 срібло 9006 до 16мм з гол
Надходження товарів і послуг ІБ00-001149 від 14.03.2025 17:50:57
Котельна (Глобине)</t>
  </si>
  <si>
    <t>Обл. НДС
Стрічка ущільнювальна ТПК УП-1 ППЕ НХ (5*50 мм 20 м)
Надходження товарів і послуг ІБ00-001149 від 14.03.2025 17:50:57
Котельна (Глобине)</t>
  </si>
  <si>
    <t>Надходження товарів і послуг ІБ00-001142 від 17.03.2025 17:20:37
Оприходованы ТМЦ (Зачет аванса поставщику)</t>
  </si>
  <si>
    <t>Обл. НДС
Сендвіч-панель ТПК стінова 100мм МВ 1000мм відкр замок С0,5 PS/C 0.5 PS 2,00м трапеція 9006 срібл/тр
Надходження товарів і послуг ІБ00-001142 від 17.03.2025 17:20:37
Котельна (Глобине)</t>
  </si>
  <si>
    <t>Обл. НДС
Сендвіч-панель ТПК стінова 100мм МВ 1000мм відкр замок С0,5 PS/C 0.5 PS 2,30м трапеція 9006 срібл/тр
Надходження товарів і послуг ІБ00-001142 від 17.03.2025 17:20:37
Котельна (Глобине)</t>
  </si>
  <si>
    <t>Обл. НДС
Сендвіч-панель ТПК стінова 100мм МВ 1000мм відкр замок С0,5 PS/C 0.5 PS 2,39м трапеція 9006 срібл/тр
Надходження товарів і послуг ІБ00-001142 від 17.03.2025 17:20:37
Котельна (Глобине)</t>
  </si>
  <si>
    <t>Обл. НДС
Сендвіч-панель ТПК стінова 100мм МВ 1000мм відкр замок С0,5 PS/C 0.5 PS 2,47м трапеція 9006 срібл/тр
Надходження товарів і послуг ІБ00-001142 від 17.03.2025 17:20:37
Котельна (Глобине)</t>
  </si>
  <si>
    <t>Обл. НДС
Сендвіч-панель ТПК стінова 100мм МВ 1000мм відкр замок С0,5 PS/C 0.5 PS 2,49м трапеція 9006 срібл/тр
Надходження товарів і послуг ІБ00-001142 від 17.03.2025 17:20:37
Котельна (Глобине)</t>
  </si>
  <si>
    <t>Обл. НДС
Сендвіч-панель ТПК стінова 100мм МВ 1000мм відкр замок С0,5 PS/C 0.5 PS 2,65м трапеція 9006 срібл/тр
Надходження товарів і послуг ІБ00-001142 від 17.03.2025 17:20:37
Котельна (Глобине)</t>
  </si>
  <si>
    <t>Обл. НДС
Сендвіч-панель ТПК стінова 100мм МВ 1000мм відкр замок С0,5 PS/C 0.5 PS 3,00м трапеція 9006 срібл/тр
Надходження товарів і послуг ІБ00-001142 від 17.03.2025 17:20:37
Котельна (Глобине)</t>
  </si>
  <si>
    <t>Обл. НДС
Сендвіч-панель ТПК стінова 100мм МВ 1000мм відкр замок С0,5 PS/C 0.5 PS 3,18м трапеція 9006 срібл/тр
Надходження товарів і послуг ІБ00-001142 від 17.03.2025 17:20:37
Котельна (Глобине)</t>
  </si>
  <si>
    <t>Обл. НДС
Сендвіч-панель ТПК стінова 100мм МВ 1000мм відкр замок С0,5 PS/C 0.5 PS 3,25м трапеція 9006 срібл/тр
Надходження товарів і послуг ІБ00-001142 від 17.03.2025 17:20:37
Котельна (Глобине)</t>
  </si>
  <si>
    <t>Обл. НДС
Сендвіч-панель ТПК стінова 100мм МВ 1000мм відкр замок С0,5 PS/C 0.5 PS 3,30м трапеція 9006 срібл/тр
Надходження товарів і послуг ІБ00-001142 від 17.03.2025 17:20:37
Котельна (Глобине)</t>
  </si>
  <si>
    <t>Обл. НДС
Сендвіч-панель ТПК стінова 100мм МВ 1000мм відкр замок С0,5 PS/C 0.5 PS 3,74м трапеція 9006 срібл/тр
Надходження товарів і послуг ІБ00-001142 від 17.03.2025 17:20:37
Котельна (Глобине)</t>
  </si>
  <si>
    <t>Обл. НДС
Сендвіч-панель ТПК стінова 100мм МВ 1000мм відкр замок С0,5 PS/C 0.5 PS 3,80м трапеція 9006 срібл/тр
Надходження товарів і послуг ІБ00-001142 від 17.03.2025 17:20:37
Котельна (Глобине)</t>
  </si>
  <si>
    <t>Обл. НДС
Сендвіч-панель ТПК стінова 150мм МВ 1000мм термо замок С0,5 PS/C 0.5 PS 2,40м трапеція 9006 срібл/тр
Надходження товарів і послуг ІБ00-001142 від 17.03.2025 17:20:37
Котельна (Глобине)</t>
  </si>
  <si>
    <t>Обл. НДС
Сендвіч-панель ТПК стінова 150мм МВ 1000мм термо замок С0,5 PS/C 0.5 PS 2,49м трапеція 9006 срібл/тр
Надходження товарів і послуг ІБ00-001142 від 17.03.2025 17:20:37
Котельна (Глобине)</t>
  </si>
  <si>
    <t>Обл. НДС
Сендвіч-панель ТПК стінова 150мм МВ 1000мм термо замок С0,5 PS/C 0.5 PS 2,90м трапеція 9006 срібл/тр
Надходження товарів і послуг ІБ00-001142 від 17.03.2025 17:20:37
Котельна (Глобине)</t>
  </si>
  <si>
    <t>Обл. НДС
Сендвіч-панель ТПК стінова 150мм МВ 1000мм термо замок С0,5 PS/C 0.5 PS 2,93м трапеція 9006 срібл/тр
Надходження товарів і послуг ІБ00-001142 від 17.03.2025 17:20:37
Котельна (Глобине)</t>
  </si>
  <si>
    <t>Обл. НДС
Сендвіч-панель ТПК стінова 150мм МВ 1000мм термо замок С0,5 PS/C 0.5 PS 3,64м трапеція 9006 срібл/тр
Надходження товарів і послуг ІБ00-001142 від 17.03.2025 17:20:37
Котельна (Глобине)</t>
  </si>
  <si>
    <t>Обл. НДС
Сендвіч-панель ТПК стінова 150мм МВ 1000мм термо замок С0,5 PS/C 0.5 PS 3,65м трапеція 9006 срібл/тр
Надходження товарів і послуг ІБ00-001142 від 17.03.2025 17:20:37
Котельна (Глобине)</t>
  </si>
  <si>
    <t>Обл. НДС
Сендвіч-панель ТПК стінова 150мм МВ 1000мм термо замок С0,5 PS/C 0.5 PS 3,80м трапеція 9006 срібл/тр
Надходження товарів і послуг ІБ00-001142 від 17.03.2025 17:20:37
Котельна (Глобине)</t>
  </si>
  <si>
    <t>Обл. НДС
Сендвіч-панель ТПК стінова 150мм МВ 1000мм термо замок С0,5 PS/C 0.5 PS 4,00м трапеція 9006 срібл/тр
Надходження товарів і послуг ІБ00-001142 від 17.03.2025 17:20:37
Котельна (Глобине)</t>
  </si>
  <si>
    <t>Обл. НДС
Сендвіч-панель ТПК стінова 150мм МВ 1000мм термо замок С0,5 PS/C 0.5 PS 5,98м трапеція 9006 срібл/тр
Надходження товарів і послуг ІБ00-001142 від 17.03.2025 17:20:37
Котельна (Глобине)</t>
  </si>
  <si>
    <t>Обл. НДС
Сендвіч-панель ТПК стінова 150мм МВ 1000мм термо замок С0,5 PS/C 0.5 PS 2,06м трапеція 9006 срібл/тр
Надходження товарів і послуг ІБ00-001142 від 17.03.2025 17:20:37
Котельна (Глобине)</t>
  </si>
  <si>
    <t>Надходження товарів і послуг ІБ00-001144 від 17.03.2025 17:20:38
Оприходованы ТМЦ (Зачет аванса поставщику)</t>
  </si>
  <si>
    <t>Обл. НДС
Сендвіч-панель ТПК стінова 100мм МВ 1150мм відкр замок С0,5 PS/C 0.5 PS 5,98м трапеція 9006 срібл/тр
Надходження товарів і послуг ІБ00-001144 від 17.03.2025 17:20:38
Котельна (Глобине)</t>
  </si>
  <si>
    <t>Обл. НДС
Сендвіч-панель ТПК стінова 150мм МВ 1000мм термо замок С0,5 PS/C 0.5 PS 4,95м трапеція 9006 срібл/тр
Надходження товарів і послуг ІБ00-001144 від 17.03.2025 17:20:38
Котельна (Глобине)</t>
  </si>
  <si>
    <t>Надходження товарів і послуг ІБ00-001144 від 17.03.2025 17:20:38
Оприходованы ТМЦ</t>
  </si>
  <si>
    <t>Обл. НДС
Сендвіч-панель ТПК стінова 150мм МВ 1000мм термо замок С0,5 PS/C 0.5 PS 5,98м трапеція 9006 срібл/тр
Надходження товарів і послуг ІБ00-001144 від 17.03.2025 17:20:38
Котельна (Глобине)</t>
  </si>
  <si>
    <t>Обл. НДС
Сендвіч-панель ТПК стінова 150мм МВ 1000мм термо замок С0,5 PS/C 0.5 PS 6,14м трапеція 9006 срібл/тр
Надходження товарів і послуг ІБ00-001144 від 17.03.2025 17:20:38
Котельна (Глобине)</t>
  </si>
  <si>
    <t>Обл. НДС
Сендвіч-панель ТПК стінова 150мм МВ 1000мм термо замок С0,5 PS/C 0.5 PS 6,29м трапеція 9006 срібл/тр
Надходження товарів і послуг ІБ00-001144 від 17.03.2025 17:20:38
Котельна (Глобине)</t>
  </si>
  <si>
    <t>Обл. НДС
Сендвіч-панель ТПК стінова 150мм МВ 1000мм термо замок С0,5 PS/C 0.5 PS 4,47м трапеція 9006 срібл/тр
Надходження товарів і послуг ІБ00-001144 від 17.03.2025 17:20:38
Котельна (Глобине)</t>
  </si>
  <si>
    <t>Обл. НДС
Сендвіч-панель ТПК стінова 150мм МВ 1000мм термо замок С0,5 PS/C 0.5 PS 5,61м трапеція 9006 срібл/тр
Надходження товарів і послуг ІБ00-001144 від 17.03.2025 17:20:38
Котельна (Глобине)</t>
  </si>
  <si>
    <t>Обл. НДС
Сендвіч-панель ТПК стінова 150мм МВ 1000мм термо замок С0,5 PS/C 0.5 PS 6,10м трапеція 9006 срібл/тр
Надходження товарів і послуг ІБ00-001144 від 17.03.2025 17:20:38
Котельна (Глобине)</t>
  </si>
  <si>
    <t>Надходження товарів і послуг ІБ00-001145 від 17.03.2025 17:20:39
Оприходованы ТМЦ</t>
  </si>
  <si>
    <t>Обл. НДС
Сендвіч-панель ТПК стінова 100мм МВ 1000мм відкр замок С0,5 PS/C 0.5 PS 4,60м трапеція 9006 срібл/тр
Надходження товарів і послуг ІБ00-001145 від 17.03.2025 17:20:39
Котельна (Глобине)</t>
  </si>
  <si>
    <t>Обл. НДС
Сендвіч-панель ТПК стінова 100мм МВ 1000мм відкр замок С0,5 PS/C 0.5 PS 4,64м трапеція 9006 срібл/тр
Надходження товарів і послуг ІБ00-001145 від 17.03.2025 17:20:39
Котельна (Глобине)</t>
  </si>
  <si>
    <t>Обл. НДС
Сендвіч-панель ТПК стінова 100мм МВ 1000мм відкр замок С0,5 PS/C 0.5 PS 4,98м трапеція 9006 срібл/тр
Надходження товарів і послуг ІБ00-001145 від 17.03.2025 17:20:39
Котельна (Глобине)</t>
  </si>
  <si>
    <t>Обл. НДС
Сендвіч-панель ТПК стінова 100мм МВ 1150мм відкр замок С0,5 PS/C 0.5 PS 5,98м трапеція 9006 срібл/тр
Надходження товарів і послуг ІБ00-001145 від 17.03.2025 17:20:39
Котельна (Глобине)</t>
  </si>
  <si>
    <t>Обл. НДС
Сендвіч-панель ТПК стінова 100мм МВ 1150мм відкр замок С0,5 PS/C 0.5 PS 6,24м трапеція 9006 срібл/тр
Надходження товарів і послуг ІБ00-001145 від 17.03.2025 17:20:39
Котельна (Глобине)</t>
  </si>
  <si>
    <t>Вимога-накладна ІБ00-000199 від 18.03.2025 14:58:04
Списаны ТМЦ</t>
  </si>
  <si>
    <t>Обл. НДС
Сходи СС-11Б 1050*330*145
Надходження товарів і послуг ІБ00-000710 від 21.02.2025 18:25:53
Котельна (Глобине)</t>
  </si>
  <si>
    <t>Надходження товарів і послуг ІБ00-001157 від 20.03.2025 23:15:31
Оприходованы ТМЦ</t>
  </si>
  <si>
    <t>Обл. НДС
Планка цоколь п13 ніжній ел-т 2000мм
Надходження товарів і послуг ІБ00-001157 від 20.03.2025 23:15:31
Котельна (Глобине)</t>
  </si>
  <si>
    <t>ТПК-ЦЕНТР ТОВ
Договір 13/20/П/011від 21.07.2020_Глобино-2
Рахунок на оплату постачальника ІБ00-000923 від 18.03.2025 23:12:34</t>
  </si>
  <si>
    <t>Вимога-накладна ІБ00-000219 від 26.03.2025 15:03:50
Списаны ТМЦ</t>
  </si>
  <si>
    <t>Списання товарів ІБ00-000154 від 26.03.2025 15:09:47
Списаны ТМЦ</t>
  </si>
  <si>
    <t>Переміщення товарів ІБ00-000247 від 27.03.2025 10:00:00
Перемещение ТМЦ</t>
  </si>
  <si>
    <t>Обл. НДС
Бетон С20/25 W6 F75 P4
Надходження товарів і послуг ІБ00-001088 від 12.03.2025 18:45:33
Котельна (Глобине)</t>
  </si>
  <si>
    <t>Переміщення товарів ІБ00-000246 від 27.03.2025 10:57:34
Перемещение ТМЦ</t>
  </si>
  <si>
    <t>Вимога-накладна ІБ00-000224 від 27.03.2025 13:54:56
Списаны ТМЦ</t>
  </si>
  <si>
    <t>Обл. НДС
Плівка п/е 100 мк, 100 м 300м кв/рулон
Надходження товарів і послуг ІБ00-000490 від 31.01.2025 23:20:33
Котельна (Глобине)</t>
  </si>
  <si>
    <t>Обл. НДС
Труба 219*6 зварна
Надходження товарів і послуг ІБ00-000060 від 10.01.2025 18:00:10
Котельна (Глобине)</t>
  </si>
  <si>
    <t>Обл. НДС
Труба 273*6,0
Надходження товарів і послуг ІБ00-000060 від 10.01.2025 18:00:10
Котельна (Глобине)</t>
  </si>
  <si>
    <t>Обл. НДС
Труба 89*4 
Надходження товарів і послуг ІБ00-000060 від 10.01.2025 18:00:10
Котельна (Глобине)</t>
  </si>
  <si>
    <t>Обл. НДС
Відвід  89х4,0 безшовний
Надходження товарів і послуг ІБ00-000060 від 10.01.2025 18:00:10
Котельна (Глобине)</t>
  </si>
  <si>
    <t>Списання товарів ІБ00-000156 від 27.03.2025 14:00:39
Списаны ТМЦ</t>
  </si>
  <si>
    <t>Надходження товарів і послуг ІБ00-000843 від 03.03.2025 18:09:06
Оприходованы ТМЦ (Зачет аванса поставщику)</t>
  </si>
  <si>
    <t>Обл. НДС
Решітковий настил KOZ 34*38/30*3/оц/1086*1000
Надходження товарів і послуг ІБ00-000843 від 03.03.2025 18:09:06
Насосна Градирня (Глобине)</t>
  </si>
  <si>
    <t>Червоноградський завод металоконструкцій
Договір поставки № 44 від 11.06.2020 р._Глобино-2
Рахунок на оплату постачальника ІБ00-000397 від 05.02.2025 18:00:06</t>
  </si>
  <si>
    <t>Обл. НДС
Решітковий настил KOZ 34*38/30*3/оц/1086*928
Надходження товарів і послуг ІБ00-000843 від 03.03.2025 18:09:06
Насосна Градирня (Глобине)</t>
  </si>
  <si>
    <t>Обл. НДС
Решітковий настил KOZ 34*38/30*3/оц/1086*1228
Надходження товарів і послуг ІБ00-000843 від 03.03.2025 18:09:06
Насосна Градирня (Глобине)</t>
  </si>
  <si>
    <t>Обл. НДС
Решітковий настил KOZ 34*38/40*3/оц/985*1000
Надходження товарів і послуг ІБ00-000843 від 03.03.2025 18:09:06
Насосна Градирня (Глобине)</t>
  </si>
  <si>
    <t>Надходження товарів і послуг ІБ00-000843 від 03.03.2025 18:09:06
Оприходованы ТМЦ</t>
  </si>
  <si>
    <t>Обл. НДС
Решітковий настил KOZ 34*38/40*3/оц/985*1406
Надходження товарів і послуг ІБ00-000843 від 03.03.2025 18:09:06
Насосна Градирня (Глобине)</t>
  </si>
  <si>
    <t>Обл. НДС
Решітковий настил KOZ 34*38/40*3/оц/986*1000
Надходження товарів і послуг ІБ00-000843 від 03.03.2025 18:09:06
Насосна Градирня (Глобине)</t>
  </si>
  <si>
    <t>Обл. НДС
Решітковий настил KOZ 34*38/40*3/оц/986*963
Надходження товарів і послуг ІБ00-000843 від 03.03.2025 18:09:06
Насосна Градирня (Глобине)</t>
  </si>
  <si>
    <t>Обл. НДС
Решітковий настил KOZ 34*38/40*3/оц/986*1043
Надходження товарів і послуг ІБ00-000843 від 03.03.2025 18:09:06
Насосна Градирня (Глобине)</t>
  </si>
  <si>
    <t>Обл. НДС
Решітковий настил KOZ 34*38/30*3/оц/1665*781
Надходження товарів і послуг ІБ00-000843 від 03.03.2025 18:09:06
Насосна Градирня (Глобине)</t>
  </si>
  <si>
    <t>Обл. НДС
Решітковий настил KOZ 34*38/30*3/оц/1665*1000
Надходження товарів і послуг ІБ00-000843 від 03.03.2025 18:09:06
Насосна Градирня (Глобине)</t>
  </si>
  <si>
    <t>Обл. НДС
Решітковий настил KOZ 34*38/40*3/оц/985*585
Надходження товарів і послуг ІБ00-000843 від 03.03.2025 18:09:06
Насосна Градирня (Глобине)</t>
  </si>
  <si>
    <t>Обл. НДС
Решітковий настил KOZ 34*38/40*3/оц/1566*1000
Надходження товарів і послуг ІБ00-000843 від 03.03.2025 18:09:06
Насосна Градирня (Глобине)</t>
  </si>
  <si>
    <t>Обл. НДС
Решітковий настил KOZ 34*38/40*3/оц/1566*682
Надходження товарів і послуг ІБ00-000843 від 03.03.2025 18:09:06
Насосна Градирня (Глобине)</t>
  </si>
  <si>
    <t>Обл. НДС
Сходинки SOZ/34*38/30*3/оц/800*205
Надходження товарів і послуг ІБ00-000843 від 03.03.2025 18:09:06
Насосна Градирня (Глобине)</t>
  </si>
  <si>
    <t>Обл. НДС
Кріплення стандартні
Надходження товарів і послуг ІБ00-000843 від 03.03.2025 18:09:06
Насосна Градирня (Глобине)</t>
  </si>
  <si>
    <t>Обл. НДС
Кріплення для сходинок
Надходження товарів і послуг ІБ00-000843 від 03.03.2025 18:09:06
Насосна Градирня (Глобине)</t>
  </si>
  <si>
    <t>Надходження товарів і послуг ІБ00-000889 від 06.03.2025 20:10:10
Оприходованы ТМЦ</t>
  </si>
  <si>
    <t>Обл. НДС
Грунт-емаль АК-100 ЖИДКИЙ ЦИНК
Надходження товарів і послуг ІБ00-000889 від 06.03.2025 20:10:10
Насосна Градирня (Глобине)</t>
  </si>
  <si>
    <t>ДНІПРО-СПЕЦЕМАЛЬ НВП ТОВ
Рахунки_Глобине-2
Рахунок на оплату постачальника ІБ00-000750 від 04.03.2025 17:40:27</t>
  </si>
  <si>
    <t>Надходження товарів і послуг ІБ00-001073 від 06.03.2025 22:00:30
Оприходованы ТМЦ</t>
  </si>
  <si>
    <t>Обл. НДС
Стрижень М 12 8.8 1м цб  DIN 975
Надходження товарів і послуг ІБ00-001073 від 06.03.2025 22:00:30
Насосна Градирня (Глобине)</t>
  </si>
  <si>
    <t>Солді і Ко ПАТ
Дог № 378542-55/19 від 21.01.2019 р. РАХ_Глобине-2
Рахунок на оплату постачальника ІБ00-000852 від 06.03.2025 22:00:21</t>
  </si>
  <si>
    <t>Обл. НДС
Гайка DIN934 M 12
Надходження товарів і послуг ІБ00-001073 від 06.03.2025 22:00:30
Насосна Градирня (Глобине)</t>
  </si>
  <si>
    <t>Обл. НДС
Шайба 12 цб 140 HVдо кл.м.4.6-8.8
Надходження товарів і послуг ІБ00-001073 від 06.03.2025 22:00:30
Насосна Градирня (Глобине)</t>
  </si>
  <si>
    <t>Обл. НДС
Болт М12*65  DIN 933
Надходження товарів і послуг ІБ00-001073 від 06.03.2025 22:00:30
Насосна Градирня (Глобине)</t>
  </si>
  <si>
    <t>Обл. НДС
Болт М12*35 DIN 933 
Надходження товарів і послуг ІБ00-001073 від 06.03.2025 22:00:30
Насосна Градирня (Глобине)</t>
  </si>
  <si>
    <t>Надходження товарів і послуг ІБ00-001020 від 12.03.2025 18:45:16
Оприходованы ТМЦ (Зачет аванса поставщику)</t>
  </si>
  <si>
    <t>Обл. НДС
Грунт-емаль 3 в 1 антикороз RAL7024 25 кг
Надходження товарів і послуг ІБ00-001020 від 12.03.2025 18:45:16
Насосна Градирня (Глобине)</t>
  </si>
  <si>
    <t>Надходження товарів і послуг ІБ00-001148 від 14.03.2025 17:50:56
Оприходованы ТМЦ</t>
  </si>
  <si>
    <t>Обл. НДС
Сендвіч-панель ТПК стінова 100мм МВ 1000мм відкр замок С0,5 PS/C 0.5 PS 6,80м трапеція 9006 срібл/тр
Надходження товарів і послуг ІБ00-001148 від 14.03.2025 17:50:56
Насосна Градирня (Глобине)</t>
  </si>
  <si>
    <t>ТПК-ЦЕНТР ТОВ
Договір 13/20/П/011від 21.07.2020_Глобино-2
Рахунок на оплату постачальника ІБ00-000347 від 30.01.2025 23:20:06</t>
  </si>
  <si>
    <t>Надходження товарів і послуг ІБ00-001148 від 14.03.2025 17:50:56
Оприходованы ТМЦ (Зачет аванса поставщику)</t>
  </si>
  <si>
    <t>Обл. НДС
Стрічка ущільнювальна ТПК УП-1 ППЕ НХ (5*50 мм 20 м)
Надходження товарів і послуг ІБ00-001148 від 14.03.2025 17:50:56
Насосна Градирня (Глобине)</t>
  </si>
  <si>
    <t>Обл. НДС
Клей-герметик д/сендвіч-панелей, 600 мл
Надходження товарів і послуг ІБ00-001148 від 14.03.2025 17:50:56
Насосна Градирня (Глобине)</t>
  </si>
  <si>
    <t>Обл. НДС
Самонаріз в метал до сендвіч-панелей 5,5*6,3/150 9003 білий
Надходження товарів і послуг ІБ00-001148 від 14.03.2025 17:50:56
Насосна Градирня (Глобине)</t>
  </si>
  <si>
    <t>Надходження товарів і послуг ІБ00-001150 від 14.03.2025 17:50:58
Оприходованы ТМЦ (Зачет аванса поставщику)</t>
  </si>
  <si>
    <t>Обл. НДС
Сендвіч-панель ТПК стінова 100мм МВ 1180мм відкр замок С0,5 PS/C 0.5 PS 7,04м трапеція 9006 срібл/тр
Надходження товарів і послуг ІБ00-001150 від 14.03.2025 17:50:58
Насосна Градирня (Глобине)</t>
  </si>
  <si>
    <t>ТПК-ЦЕНТР ТОВ
Договір 13/20/П/011від 21.07.2020_Глобино-2
Рахунок на оплату постачальника ІБ00-000345 від 20.01.2025 18:00:55</t>
  </si>
  <si>
    <t>Обл. НДС
Сендвіч-панель ТПК стінова 100мм МВ 1180мм відкр замок С0,5 PS/C 0.5 PS 6,56м трапеція 9006 срібл/тр
Надходження товарів і послуг ІБ00-001150 від 14.03.2025 17:50:58
Насосна Градирня (Глобине)</t>
  </si>
  <si>
    <t>Обл. НДС
Сендвіч-панель ТПК стінова 100мм МВ 1180мм відкр замок С0,5 PS/C 0.5 PS 6,48м трапеція 9006 срібл/тр
Надходження товарів і послуг ІБ00-001150 від 14.03.2025 17:50:58
Насосна Градирня (Глобине)</t>
  </si>
  <si>
    <t>Обл. НДС
Сендвіч-панель ТПК стінова 100мм МВ 1000мм відкр замок С0,5 PS/C 0.5 PS 7,04м трапеція 5005 синій/90
Надходження товарів і послуг ІБ00-001150 від 14.03.2025 17:50:58
Насосна Градирня (Глобине)</t>
  </si>
  <si>
    <t>Обл. НДС
Сендвіч-панель ТПК стінова 100мм МВ 1000мм відкр замок С0,5 PS/C 0.5 PS 6,56м трапеція 5005 синій/90
Надходження товарів і послуг ІБ00-001150 від 14.03.2025 17:50:58
Насосна Градирня (Глобине)</t>
  </si>
  <si>
    <t>Обл. НДС
Сендвіч-панель ТПК стінова 100мм МВ 1000мм відкр замок С0,5 PS/C 0.5 PS 6,48м трапеція 5005 синій/90
Надходження товарів і послуг ІБ00-001150 від 14.03.2025 17:50:58
Насосна Градирня (Глобине)</t>
  </si>
  <si>
    <t>Обл. НДС
Сендвіч-панель ТПК стінова 100мм МВ 1000мм відкр замок С0,5 PS/C 0.5 PS 3,50м трапеція 5005 синій/90
Надходження товарів і послуг ІБ00-001150 від 14.03.2025 17:50:58
Насосна Градирня (Глобине)</t>
  </si>
  <si>
    <t>Обл. НДС
Сендвіч-панель ТПК стінова 100мм МВ 1000мм відкр замок С0,5 PS/C 0.5 PS 2,50м трапеція 5005 синій/90
Надходження товарів і послуг ІБ00-001150 від 14.03.2025 17:50:58
Насосна Градирня (Глобине)</t>
  </si>
  <si>
    <t>Обл. НДС
Сендвіч-панель ТПК стінова 100мм МВ 1000мм відкр замок С0,5 PS/C 0.5 PS 3,56м трапеція 5005 синій/90
Надходження товарів і послуг ІБ00-001150 від 14.03.2025 17:50:58
Насосна Градирня (Глобине)</t>
  </si>
  <si>
    <t>Обл. НДС
Сендвіч-панель ТПК стінова 100мм МВ 1000мм відкр замок С0,5 PS/C 0.5 PS 3,04м трапеція 5005 синій/90
Надходження товарів і послуг ІБ00-001150 від 14.03.2025 17:50:58
Насосна Градирня (Глобине)</t>
  </si>
  <si>
    <t>Обл. НДС
Сендвіч-панель ТПК стінова 100мм МВ 1000мм відкр замок С0,5 PS/C 0.5 PS 2,56м трапеція 5005 синій/90
Надходження товарів і послуг ІБ00-001150 від 14.03.2025 17:50:58
Насосна Градирня (Глобине)</t>
  </si>
  <si>
    <t>Обл. НДС
Стрічка ущільнювальна ТПК УП-1 ППЕ НХ (5*50 мм 20 м)
Надходження товарів і послуг ІБ00-001150 від 14.03.2025 17:50:58
Насосна Градирня (Глобине)</t>
  </si>
  <si>
    <t>Обл. НДС
Клей-герметик д/сендвіч-панелей, 600 мл
Надходження товарів і послуг ІБ00-001150 від 14.03.2025 17:50:58
Насосна Градирня (Глобине)</t>
  </si>
  <si>
    <t>Обл. НДС
Самонаріз в метал до сендвіч-панелей 5,5*6,3/150 9006 срібло
Надходження товарів і послуг ІБ00-001150 від 14.03.2025 17:50:58
Насосна Градирня (Глобине)</t>
  </si>
  <si>
    <t>Обл. НДС
Самонаріз в метал до сендвіч-панелей 5,5*6,3/150 5005 синій
Надходження товарів і послуг ІБ00-001150 від 14.03.2025 17:50:58
Насосна Градирня (Глобине)</t>
  </si>
  <si>
    <t>Надходження товарів і послуг ІБ00-001146 від 17.03.2025 17:20:40
Оприходованы ТМЦ</t>
  </si>
  <si>
    <t>Обл. НДС
Сендвіч-панель ТПК стінова 100мм МВ 1000мм відкр замок С0,5 PS/C 0.5 PS 7,04м трапеція 9006 срібл/тр
Надходження товарів і послуг ІБ00-001146 від 17.03.2025 17:20:40
Насосна Градирня (Глобине)</t>
  </si>
  <si>
    <t>Обл. НДС
Сендвіч-панель ТПК стінова 100мм МВ 1000мм відкр замок С0,5 PS/C 0.5 PS 6,56м трапеція 9006 срібл/тр
Надходження товарів і послуг ІБ00-001146 від 17.03.2025 17:20:40
Насосна Градирня (Глобине)</t>
  </si>
  <si>
    <t>Обл. НДС
Сендвіч-панель ТПК стінова 100мм МВ 1000мм відкр замок С0,5 PS/C 0.5 PS 6,48м трапеція 9006 срібл/тр
Надходження товарів і послуг ІБ00-001146 від 17.03.2025 17:20:40
Насосна Градирня (Глобине)</t>
  </si>
  <si>
    <t>Надходження товарів і послуг ІБ00-001147 від 17.03.2025 17:20:41
Оприходованы ТМЦ</t>
  </si>
  <si>
    <t>Обл. НДС
Сендвіч-панель ТПК стінова 100мм МВ 1180мм відкр замок С0,5 PS/C 0.5 PS 3,50м трапеція 9006 срібл/тр
Надходження товарів і послуг ІБ00-001147 від 17.03.2025 17:20:41
Насосна Градирня (Глобине)</t>
  </si>
  <si>
    <t>Обл. НДС
Сендвіч-панель ТПК стінова 100мм МВ 1180мм відкр замок С0,5 PS/C 0.5 PS 3,56м трапеція 9006 срібл/тр
Надходження товарів і послуг ІБ00-001147 від 17.03.2025 17:20:41
Насосна Градирня (Глобине)</t>
  </si>
  <si>
    <t>Списання товарів ІБ00-000125 від 18.03.2025 15:00:00
Списаны ТМЦ</t>
  </si>
  <si>
    <t>Надходження товарів і послуг ІБ00-001158 від 20.03.2025 23:15:32
Оприходованы ТМЦ (Зачет аванса поставщику)</t>
  </si>
  <si>
    <t>Обл. НДС
Стрічка ущільнювальна ТПК УП-1 ППЕ НХ (5*50 мм 20 м)
Надходження товарів і послуг ІБ00-001158 від 20.03.2025 23:15:32
Насосна Градирня (Глобине)</t>
  </si>
  <si>
    <t>ТПК-ЦЕНТР ТОВ
Договір 13/20/П/011від 21.07.2020_Глобино-2
Рахунок на оплату постачальника ІБ00-000878 від 20.01.2025 18:01:06</t>
  </si>
  <si>
    <t>Обл. НДС
Стрічка ущільнювальна ТПК УП-4 ППЕ 3*15мм 30м
Надходження товарів і послуг ІБ00-001158 від 20.03.2025 23:15:32
Насосна Градирня (Глобине)</t>
  </si>
  <si>
    <t>Обл. НДС
Клей-герметик д/сендвіч-панелей, 600 мл
Надходження товарів і послуг ІБ00-001158 від 20.03.2025 23:15:32
Насосна Градирня (Глобине)</t>
  </si>
  <si>
    <t>Обл. НДС
Ущільнювач КН для с/п 1 м ППЕ НХ
Надходження товарів і послуг ІБ00-001158 від 20.03.2025 23:15:32
Насосна Градирня (Глобине)</t>
  </si>
  <si>
    <t>Обл. НДС
Самонаріз в метал до сендвіч-панелей 5,5*6,3/150 5005 синій
Надходження товарів і послуг ІБ00-001158 від 20.03.2025 23:15:32
Насосна Градирня (Глобине)</t>
  </si>
  <si>
    <t>Обл. НДС
Саморіз  4,8*19 RAL 5005
Надходження товарів і послуг ІБ00-001158 від 20.03.2025 23:15:32
Насосна Градирня (Глобине)</t>
  </si>
  <si>
    <t>Надходження товарів і послуг ІБ00-001158 від 20.03.2025 23:15:32
Оприходованы ТМЦ</t>
  </si>
  <si>
    <t>Обл. НДС
Сендвіч-панель ТПК стінова 100мм МВ 1000мм С0,5 PS/C 0.5 PS 1070мм 7,70м трапеція 5005 синій/90
Надходження товарів і послуг ІБ00-001158 від 20.03.2025 23:15:32
Насосна Градирня (Глобине)</t>
  </si>
  <si>
    <t>Надходження товарів і послуг ІБ00-001195 від 20.03.2025 23:15:43
Оприходованы ТМЦ</t>
  </si>
  <si>
    <t>Обл. НДС
Грунт-емаль АК-100 ЖИДКИЙ ЦИНК
Надходження товарів і послуг ІБ00-001195 від 20.03.2025 23:15:43
Насосна Градирня (Глобине)</t>
  </si>
  <si>
    <t>ДНІПРО-СПЕЦЕМАЛЬ НВП ТОВ
Рахунки_Глобине-2
Рахунок на оплату постачальника ІБ00-000954 від 19.03.2025 23:12:44</t>
  </si>
  <si>
    <t>Вимога-накладна ІБ00-000215 від 26.03.2025 13:49:28
Списаны ТМЦ</t>
  </si>
  <si>
    <t>Обл. НДС
Болт М16*45  DIN 933
Надходження товарів і послуг ІБ00-000206 від 22.01.2025 19:00:01
Насосна Градирня (Глобине)</t>
  </si>
  <si>
    <t>Обл. НДС
Болт М16*50  DIN 933 оц. 5,8
Надходження товарів і послуг ІБ00-000206 від 22.01.2025 19:00:01
Насосна Градирня (Глобине)</t>
  </si>
  <si>
    <t>Обл. НДС
Гайка М16  DIN 934 
Надходження товарів і послуг ІБ00-000206 від 22.01.2025 19:00:01
Насосна Градирня (Глобине)</t>
  </si>
  <si>
    <t>Обл. НДС
Шайба 16  DIN125
Надходження товарів і послуг ІБ00-000206 від 22.01.2025 19:00:01
Насосна Градирня (Глобине)</t>
  </si>
  <si>
    <t>Вимога-накладна ІБ00-000216 від 26.03.2025 14:17:04
Списаны ТМЦ</t>
  </si>
  <si>
    <t>Переміщення товарів ІБ00-000261 від 28.03.2025 10:00:00
Перемещение ТМЦ</t>
  </si>
  <si>
    <t>Обл. НДС
Пісок з відсіву дроблення щебеню фр. 0-5мм.
Надходження товарів і послуг ІБ00-005729 від 11.11.2024 18:00:18
Цех екстракції (Глобине)</t>
  </si>
  <si>
    <t>Обл. НДС
Пісок з відсіву дроблення щебеню фр. 0-5мм.
Надходження товарів і послуг ІБ00-005729 від 11.11.2024 18:00:18
Насосна Градирня (Глобине)</t>
  </si>
  <si>
    <t>Переміщення товарів ІБ00-000203 від 18.03.2025 10:00:00
Перемещение ТМЦ</t>
  </si>
  <si>
    <t>Обл. НДС
Прокат сталевий круглий (кл. А240С) ф10мм, ст.3пс, міра 6м
Надходження товарів і послуг ІБ00-000546 від 14.02.2025 10:00:00
Цех екстракції (Глобине)</t>
  </si>
  <si>
    <t>Обл. НДС
Прокат сталевий круглий (кл. А240С) ф10мм, ст.3пс, міра 6м
Надходження товарів і послуг ІБ00-000546 від 14.02.2025 10:00:00
Пункт фасування та зберігання в бігбегах (Глобине)</t>
  </si>
  <si>
    <t>Обл. НДС
Прокат арматурний №14 мм  А500С, 12 м
Надходження товарів і послуг ІБ00-000546 від 14.02.2025 10:00:00
Цех екстракції (Глобине)</t>
  </si>
  <si>
    <t>Обл. НДС
Прокат арматурний №14 мм  А500С, 12 м
Надходження товарів і послуг ІБ00-000546 від 14.02.2025 10:00:00
Пункт фасування та зберігання в бігбегах (Глобине)</t>
  </si>
  <si>
    <t>Надходження товарів і послуг ІБ00-001480 від 19.03.2025 11:00:00
Оприходованы ТМЦ</t>
  </si>
  <si>
    <t>Обл. НДС
Щебінь 20-40
Надходження товарів і послуг ІБ00-001480 від 19.03.2025 11:00:00
Резервуар для зберігання розчинника(Глобине)</t>
  </si>
  <si>
    <t>Енергія Логістик ТОВ
№28/10-2024 ВІД 28/10/24_Глобине-2
Рахунок на оплату постачальника ІБ00-001155 від 19.03.2025 23:12:53</t>
  </si>
  <si>
    <t>Надходження дод. витрат ІБ00-000224 від 19.03.2025 11:05:00
Доп. расходы при поступлении товаров</t>
  </si>
  <si>
    <t>Вимога-накладна ІБ00-000217 від 26.03.2025 14:21:27
Списаны ТМЦ</t>
  </si>
  <si>
    <t>Обл. НДС
Кутик 50х50х5мм ст 3пс МІРА
Надходження товарів і послуг ІБ00-000546 від 14.02.2025 10:00:00
Резервуар для зберігання розчинника(Глобине)</t>
  </si>
  <si>
    <t>Обл. НДС
Бетон С20/25 W6 F75 P4 доб-10
Надходження товарів і послуг ІБ00-000481 від 06.02.2025 18:36:18
Резервуар для зберігання розчинника(Глобине)</t>
  </si>
  <si>
    <t>Переміщення товарів ІБ00-000248 від 28.03.2025 10:00:00
Перемещение ТМЦ</t>
  </si>
  <si>
    <t>Обл. НДС
Бетон С  8/10 доб-10
Надходження товарів і послуг ІБ00-005899 від 27.11.2024 18:37:16
Резервуар для зберігання розчинника(Глобине)</t>
  </si>
  <si>
    <t>Обл. НДС
Бетон С  8/10 доб-10
Надходження товарів і послуг ІБ00-005899 від 27.11.2024 18:37:16
СПК (Глобине)</t>
  </si>
  <si>
    <t>Обл. НДС
Бетон С20/25 W6 F75 P4 доб-10
Надходження товарів і послуг ІБ00-000727 від 24.02.2025 23:35:26
Резервуар для зберігання розчинника(Глобине)</t>
  </si>
  <si>
    <t>Обл. НДС
Бетон С20/25 W6 F75 P4 доб-10
Надходження товарів і послуг ІБ00-000727 від 24.02.2025 23:35:26
СПК (Глобине)</t>
  </si>
  <si>
    <t>Обл. НДС
Бетон С20/25 W6 F75 P4 доб-5
Надходження товарів і послуг ІБ00-001086 від 17.03.2025 17:20:12
Резервуар для зберігання розчинника(Глобине)</t>
  </si>
  <si>
    <t>Переміщення товарів ІБ00-000249 від 28.03.2025 10:00:00
Перемещение ТМЦ</t>
  </si>
  <si>
    <t>Обл. НДС
Бетон С20/25 W6 F75 P4 доб-15
Надходження товарів і послуг ІБ00-000678 від 18.02.2025 20:00:41
Резервуар для зберігання розчинника(Глобине)</t>
  </si>
  <si>
    <t>Обл. НДС
Бетон С20/25 W6 F75 P4 доб-15
Надходження товарів і послуг ІБ00-000678 від 18.02.2025 20:00:41
Резервуарний парк соєвої меляси (Глобине)</t>
  </si>
  <si>
    <t>Вимога-накладна ІБ00-000228 від 28.03.2025 11:24:02
Списаны ТМЦ</t>
  </si>
  <si>
    <t>Обл. НДС
Труба Дн 273 стал. 8,0мм
Надходження товарів і послуг ІБ00-000655 від 14.02.2025 00:00:00
Резервуар для зберігання розчинника(Глобине)</t>
  </si>
  <si>
    <t>Надходження товарів і послуг ІБ00-000847 від 05.03.2025 18:37:48
Оприходованы ТМЦ</t>
  </si>
  <si>
    <t>Обл. НДС
Труба 108*4,0 чор мет стальна водогазопровідна
Надходження товарів і послуг ІБ00-000847 від 05.03.2025 18:37:48
Резервуарний парк соєвої меляси (Глобине)</t>
  </si>
  <si>
    <t>Лук'янець Аліна Василівна ФОП
РАХУНКИ_Глобине 2
Рахунок на оплату постачальника ІБ00-000667 від 27.02.2025 21:38:45</t>
  </si>
  <si>
    <t>Надходження товарів і послуг ІБ00-000847 від 05.03.2025 18:37:48
Оприходованы ТМЦ (Зачет аванса поставщику)</t>
  </si>
  <si>
    <t>Обл. НДС
Відведення сталевий 108х6 4" безшов DN100 чор мет
Надходження товарів і послуг ІБ00-000847 від 05.03.2025 18:37:48
Резервуарний парк соєвої меляси (Глобине)</t>
  </si>
  <si>
    <t>Вимога-накладна ІБ00-000198 від 18.03.2025 15:00:00
Списаны ТМЦ</t>
  </si>
  <si>
    <t>Обл. НДС
Кутик 40x40x4.0 міра L=6000.00мм
Надходження товарів і послуг ІБ00-000054 від 10.01.2025 18:00:05
Резервуарний парк соєвої меляси (Глобине)</t>
  </si>
  <si>
    <t>Обл. НДС
Кутики 100х100х7 мм; ст. 3пс5; 12 м
Надходження товарів і послуг ІБ00-000054 від 10.01.2025 18:00:05
Резервуарний парк соєвої меляси (Глобине)</t>
  </si>
  <si>
    <t>Обл. НДС
Щебінь 20-40
Надходження товарів і послуг ІБ00-000761 від 22.02.2025 20:10:02
Резервуарний парк соєвої меляси (Глобине)</t>
  </si>
  <si>
    <t>Обл. НДС
Бетон С  8/10 Р4  (-5*)
Надходження товарів і послуг ІБ00-000175 від 20.01.2025 18:00:24
Резервуарний парк соєвої меляси (Глобине)</t>
  </si>
  <si>
    <t>Обл. НДС
Бетон С20/25 W6 F75 P4
Надходження товарів і послуг ІБ00-000363 від 30.01.2025 20:41:51
Резервуарний парк соєвої меляси (Глобине)</t>
  </si>
  <si>
    <t>Обл. НДС
Бетон С20/25 W6 F75 P4 доб-15
Надходження товарів і послуг ІБ00-000541 від 13.02.2025 18:05:07
Резервуарний парк соєвої меляси (Глобине)</t>
  </si>
  <si>
    <t>25.03.2025</t>
  </si>
  <si>
    <t>Надходження товарів і послуг ІБ00-001296 від 25.03.2025 17:56:41
Оприходованы ТМЦ</t>
  </si>
  <si>
    <t>Обл. НДС
Герметик поліуритановий hydroflex 40FC 600 мл
Надходження товарів і послуг ІБ00-001296 від 25.03.2025 17:56:41
Резервуарний парк соєвої меляси (Глобине)</t>
  </si>
  <si>
    <t>АРФЕН УКРАЇНА
РАХУНКИ_Глобине-2
Рахунок на оплату постачальника ІБ00-001050 від 19.03.2025 23:12:51</t>
  </si>
  <si>
    <t>Надходження товарів і послуг ІБ00-001298 від 25.03.2025 17:56:43
Оприходованы ТМЦ</t>
  </si>
  <si>
    <t>Обл. НДС
Грунтовка однокомп праймер 200  4кг
Надходження товарів і послуг ІБ00-001298 від 25.03.2025 17:56:43
Резервуарний парк соєвої меляси (Глобине)</t>
  </si>
  <si>
    <t>ПРОТЕКС УКРАЇНА
Договір 9  від 11.12.2023_Глобине 2
Рахунок на оплату постачальника ІБ00-001051 від 19.03.2025 23:12:52</t>
  </si>
  <si>
    <t>Обл. НДС
Джгут TS-6 (500м/п)
Надходження товарів і послуг ІБ00-001298 від 25.03.2025 17:56:43
Резервуарний парк соєвої меляси (Глобине)</t>
  </si>
  <si>
    <t>Вимога-накладна ІБ00-000218 від 26.03.2025 14:51:51
Списаны ТМЦ</t>
  </si>
  <si>
    <t>Обл. НДС
Щебінь 20-40
Надходження товарів і послуг ІБ00-000762 від 22.02.2025 20:10:05
Резервуарний парк соєвої меляси (Глобине)</t>
  </si>
  <si>
    <t>Обл. НДС
Щебінь 20-40
Надходження товарів і послуг ІБ00-000763 від 24.02.2025 23:35:30
Резервуарний парк соєвої меляси (Глобине)</t>
  </si>
  <si>
    <t>Обл. НДС
Щебінь 20-40
Надходження товарів і послуг ІБ00-000765 від 24.02.2025 23:35:33
Резервуарний парк соєвої меляси (Глобине)</t>
  </si>
  <si>
    <t>Переміщення товарів ІБ00-000260 від 28.03.2025 10:00:00
Перемещение ТМЦ</t>
  </si>
  <si>
    <t>Обл. НДС
Пісок з відсіву дроблення щебеню фр. 0-5мм.
Надходження товарів і послуг ІБ00-000352 від 01.02.2025 18:00:02
Цех екстракції (Глобине)</t>
  </si>
  <si>
    <t>Обл. НДС
Пісок з відсіву дроблення щебеню фр. 0-5мм.
Надходження товарів і послуг ІБ00-000352 від 01.02.2025 18:00:02
Резервуарний парк соєвої меляси (Глобине)</t>
  </si>
  <si>
    <t>Надходження товарів і послуг ІБ00-000753 від 03.03.2025 18:08:00
Оприходованы ТМЦ (Зачет аванса поставщику)</t>
  </si>
  <si>
    <t>Обл. НДС
Ригель Р5 2Р6.3.83-5 L=6740
Надходження товарів і послуг ІБ00-000753 від 03.03.2025 18:08:00
СПК (Глобине)</t>
  </si>
  <si>
    <t>БМЗ БЕТОН ПП
Договір ПП/М 221-2 від 14.01.2025 _Глобино-2
Рахунок на оплату постачальника ІБ00-000358 від 28.01.2025 23:21:44</t>
  </si>
  <si>
    <t>Обл. НДС
Плита перекриття ПП1 3ПГ 12-1АІІІв L=6660
Надходження товарів і послуг ІБ00-000753 від 03.03.2025 18:08:00
СПК (Глобине)</t>
  </si>
  <si>
    <t>Обл. НДС
Ригель Р4 1Р6.3.83-2 L=6740
Надходження товарів і послуг ІБ00-000753 від 03.03.2025 18:08:00
СПК (Глобине)</t>
  </si>
  <si>
    <t>Надходження товарів і послуг ІБ00-000754 від 03.03.2025 18:08:01
Оприходованы ТМЦ (Зачет аванса поставщику)</t>
  </si>
  <si>
    <t>Обл. НДС
Ригель Р5 2Р6.3.83-5 L=6740
Надходження товарів і послуг ІБ00-000754 від 03.03.2025 18:08:01
СПК (Глобине)</t>
  </si>
  <si>
    <t>Обл. НДС
Плита перекриття ПП1 3ПГ 12-1АІІІв L=6660
Надходження товарів і послуг ІБ00-000754 від 03.03.2025 18:08:01
СПК (Глобине)</t>
  </si>
  <si>
    <t>Надходження дод. витрат ІБ00-000129 від 03.03.2025 18:15:00
Доп. расходы при поступлении товаров (Зачет аванса поставщику)</t>
  </si>
  <si>
    <t>Надходження дод. витрат ІБ00-000128 від 03.03.2025 18:20:00
Доп. расходы при поступлении товаров (Зачет аванса поставщику)</t>
  </si>
  <si>
    <t>Надходження товарів і послуг ІБ00-000848 від 05.03.2025 18:37:49
Оприходованы ТМЦ (Зачет аванса поставщику)</t>
  </si>
  <si>
    <t>Обл. НДС
Колона К19н 2КН 48.124-13 L=10650
Надходження товарів і послуг ІБ00-000848 від 05.03.2025 18:37:49
СПК (Глобине)</t>
  </si>
  <si>
    <t>Обл. НДС
Колона К20н 2КН 48.124-13 L=10650
Надходження товарів і послуг ІБ00-000848 від 05.03.2025 18:37:49
СПК (Глобине)</t>
  </si>
  <si>
    <t>Обл. НДС
Колона К30н 4КН 48.124-13-13 L=10650
Надходження товарів і послуг ІБ00-000848 від 05.03.2025 18:37:49
СПК (Глобине)</t>
  </si>
  <si>
    <t>Обл. НДС
Колона К31н 4КН 48.124-13 L=10650
Надходження товарів і послуг ІБ00-000848 від 05.03.2025 18:37:49
СПК (Глобине)</t>
  </si>
  <si>
    <t>Надходження товарів і послуг ІБ00-000850 від 05.03.2025 18:37:52
Оприходованы ТМЦ (Зачет аванса поставщику)</t>
  </si>
  <si>
    <t>Обл. НДС
Клин монтажний Кл-1
Надходження товарів і послуг ІБ00-000850 від 05.03.2025 18:37:52
СПК (Глобине)</t>
  </si>
  <si>
    <t>Надходження дод. витрат ІБ00-000130 від 05.03.2025 18:40:00
Доп. расходы при поступлении товаров (Зачет аванса поставщику)</t>
  </si>
  <si>
    <t>Надходження дод. витрат ІБ00-000131 від 05.03.2025 18:40:00
Доп. расходы при поступлении товаров (Зачет аванса поставщику)</t>
  </si>
  <si>
    <t>Надходження товарів і послуг ІБ00-000946 від 07.03.2025 19:00:24
Оприходованы ТМЦ (Зачет аванса поставщику)</t>
  </si>
  <si>
    <t>Обл. НДС
Клин монтажний Кл-1
Надходження товарів і послуг ІБ00-000946 від 07.03.2025 19:00:24
СПК (Глобине)</t>
  </si>
  <si>
    <t>Надходження товарів і послуг ІБ00-000949 від 07.03.2025 19:00:25
Оприходованы ТМЦ (Зачет аванса поставщику)</t>
  </si>
  <si>
    <t>Обл. НДС
Колона К10н 4КН 48.124-13-7 L=10650
Надходження товарів і послуг ІБ00-000949 від 07.03.2025 19:00:25
СПК (Глобине)</t>
  </si>
  <si>
    <t>Обл. НДС
Колона К21н 2КН 48.124-13 L=10650
Надходження товарів і послуг ІБ00-000949 від 07.03.2025 19:00:25
СПК (Глобине)</t>
  </si>
  <si>
    <t>Обл. НДС
Колона К22н 3КН 48.124-13 L=10650
Надходження товарів і послуг ІБ00-000949 від 07.03.2025 19:00:25
СПК (Глобине)</t>
  </si>
  <si>
    <t>Обл. НДС
Колона К33н 5КН 48.124-13-Н L=10650
Надходження товарів і послуг ІБ00-000949 від 07.03.2025 19:00:25
СПК (Глобине)</t>
  </si>
  <si>
    <t>Надходження дод. витрат ІБ00-000132 від 07.03.2025 19:10:00
Доп. расходы при поступлении товаров (Зачет аванса поставщику)</t>
  </si>
  <si>
    <t>Надходження дод. витрат ІБ00-000133 від 07.03.2025 19:20:00
Доп. расходы при поступлении товаров (Зачет аванса поставщику)</t>
  </si>
  <si>
    <t>Надходження товарів і послуг ІБ00-000945 від 10.03.2025 18:00:05
Оприходованы ТМЦ (Зачет аванса поставщику)</t>
  </si>
  <si>
    <t>Обл. НДС
Колона К4н 4КН 48.124-13-1 L=10650
Надходження товарів і послуг ІБ00-000945 від 10.03.2025 18:00:05
СПК (Глобине)</t>
  </si>
  <si>
    <t>Обл. НДС
Колона К5н 4КН 48.124-13-2 L=10650
Надходження товарів і послуг ІБ00-000945 від 10.03.2025 18:00:05
СПК (Глобине)</t>
  </si>
  <si>
    <t>Обл. НДС
Колона К11н 5КН 48.124-13-1 L=10650
Надходження товарів і послуг ІБ00-000945 від 10.03.2025 18:00:05
СПК (Глобине)</t>
  </si>
  <si>
    <t>Обл. НДС
Колона К32н 4КН 48.124-13 L=10650
Надходження товарів і послуг ІБ00-000945 від 10.03.2025 18:00:05
СПК (Глобине)</t>
  </si>
  <si>
    <t>Надходження товарів і послуг ІБ00-000947 від 10.03.2025 18:00:06
Оприходованы ТМЦ (Зачет аванса поставщику)</t>
  </si>
  <si>
    <t>Обл. НДС
Колона К2н 4КН 48.124-13 L=10650
Надходження товарів і послуг ІБ00-000947 від 10.03.2025 18:00:06
СПК (Глобине)</t>
  </si>
  <si>
    <t>Обл. НДС
Колона К3н 4КН 48.124-13-1 L=10650
Надходження товарів і послуг ІБ00-000947 від 10.03.2025 18:00:06
СПК (Глобине)</t>
  </si>
  <si>
    <t>Обл. НДС
Колона К15н 2КН 48.124-13 L=10650
Надходження товарів і послуг ІБ00-000947 від 10.03.2025 18:00:06
СПК (Глобине)</t>
  </si>
  <si>
    <t>Обл. НДС
Колона К16н 2КН 48.124-13 L=10650
Надходження товарів і послуг ІБ00-000947 від 10.03.2025 18:00:06
СПК (Глобине)</t>
  </si>
  <si>
    <t>Надходження товарів і послуг ІБ00-000948 від 10.03.2025 18:00:07
Оприходованы ТМЦ (Зачет аванса поставщику)</t>
  </si>
  <si>
    <t>Обл. НДС
Клин монтажний Кл-1
Надходження товарів і послуг ІБ00-000948 від 10.03.2025 18:00:07
СПК (Глобине)</t>
  </si>
  <si>
    <t>Надходження дод. витрат ІБ00-000134 від 10.03.2025 18:10:00
Доп. расходы при поступлении товаров (Зачет аванса поставщику)</t>
  </si>
  <si>
    <t>Надходження дод. витрат ІБ00-000135 від 10.03.2025 18:10:00
Доп. расходы при поступлении товаров (Зачет аванса поставщику)</t>
  </si>
  <si>
    <t>Надходження дод. витрат ІБ00-000136 від 10.03.2025 18:10:00
Доп. расходы при поступлении товаров (Зачет аванса поставщику)</t>
  </si>
  <si>
    <t>Надходження товарів і послуг ІБ00-001084 від 12.03.2025 18:45:31
Оприходованы ТМЦ (Зачет аванса поставщику)</t>
  </si>
  <si>
    <t>Обл. НДС
Колона К13н 2КН 48.124-13 L=10650
Надходження товарів і послуг ІБ00-001084 від 12.03.2025 18:45:31
СПК (Глобине)</t>
  </si>
  <si>
    <t>Обл. НДС
Колона К14н 2КН 48.124-13 L=10650
Надходження товарів і послуг ІБ00-001084 від 12.03.2025 18:45:31
СПК (Глобине)</t>
  </si>
  <si>
    <t>Обл. НДС
Колона К26н 4КН 48.124-13-9 L=10650
Надходження товарів і послуг ІБ00-001084 від 12.03.2025 18:45:31
СПК (Глобине)</t>
  </si>
  <si>
    <t>Обл. НДС
Колона К27н 4КН 48.124-13-10 L=10650
Надходження товарів і послуг ІБ00-001084 від 12.03.2025 18:45:31
СПК (Глобине)</t>
  </si>
  <si>
    <t>Надходження дод. витрат ІБ00-000175 від 12.03.2025 18:45:44
Доп. расходы при поступлении товаров (Зачет аванса поставщику)</t>
  </si>
  <si>
    <t>Надходження товарів і послуг ІБ00-001081 від 14.03.2025 17:50:46
Оприходованы ТМЦ (Зачет аванса поставщику)</t>
  </si>
  <si>
    <t>Обл. НДС
Клин монтажний Кл-1
Надходження товарів і послуг ІБ00-001081 від 14.03.2025 17:50:46
СПК (Глобине)</t>
  </si>
  <si>
    <t>Надходження товарів і послуг ІБ00-001082 від 14.03.2025 17:50:47
Оприходованы ТМЦ (Зачет аванса поставщику)</t>
  </si>
  <si>
    <t>Обл. НДС
Колона К23н 5КН 48.124-13н L=10650
Надходження товарів і послуг ІБ00-001082 від 14.03.2025 17:50:47
СПК (Глобине)</t>
  </si>
  <si>
    <t>Обл. НДС
Колона К24н 4КН 48.124-13-8 L=10650
Надходження товарів і послуг ІБ00-001082 від 14.03.2025 17:50:47
СПК (Глобине)</t>
  </si>
  <si>
    <t>Обл. НДС
Колона К25н 4КН 48.124-13-9 L=10650
Надходження товарів і послуг ІБ00-001082 від 14.03.2025 17:50:47
СПК (Глобине)</t>
  </si>
  <si>
    <t>Обл. НДС
Плита ребриста РП1 РП 6.2.65-2 L=6240
Надходження товарів і послуг ІБ00-001082 від 14.03.2025 17:50:47
СПК (Глобине)</t>
  </si>
  <si>
    <t>Надходження товарів і послуг ІБ00-001083 від 14.03.2025 17:50:48
Оприходованы ТМЦ (Зачет аванса поставщику)</t>
  </si>
  <si>
    <t>Обл. НДС
Колона К1н 5КН 48.124-13 L=10650
Надходження товарів і послуг ІБ00-001083 від 14.03.2025 17:50:48
СПК (Глобине)</t>
  </si>
  <si>
    <t>Обл. НДС
Колона К12н 3КН 48.124-13 L=10650
Надходження товарів і послуг ІБ00-001083 від 14.03.2025 17:50:48
СПК (Глобине)</t>
  </si>
  <si>
    <t>Обл. НДС
Колона К17н 2КН 48.124-13 L=10650
Надходження товарів і послуг ІБ00-001083 від 14.03.2025 17:50:48
СПК (Глобине)</t>
  </si>
  <si>
    <t>Обл. НДС
Колона К18н 2КН 48.124-13 L=10650
Надходження товарів і послуг ІБ00-001083 від 14.03.2025 17:50:48
СПК (Глобине)</t>
  </si>
  <si>
    <t>Надходження дод. витрат ІБ00-000176 від 14.03.2025 17:51:11
Доп. расходы при поступлении товаров (Зачет аванса поставщику)</t>
  </si>
  <si>
    <t>Надходження дод. витрат ІБ00-000177 від 14.03.2025 17:51:12
Доп. расходы при поступлении товаров (Зачет аванса поставщику)</t>
  </si>
  <si>
    <t>Надходження дод. витрат ІБ00-000178 від 14.03.2025 17:51:13
Доп. расходы при поступлении товаров (Зачет аванса поставщику)</t>
  </si>
  <si>
    <t>Надходження товарів і послуг ІБ00-001154 від 17.03.2025 17:20:42
Оприходованы ТМЦ (Зачет аванса поставщику)</t>
  </si>
  <si>
    <t>Обл. НДС
Плита ребриста РП1а РП 6.2.65-2 L=6240
Надходження товарів і послуг ІБ00-001154 від 17.03.2025 17:20:42
СПК (Глобине)</t>
  </si>
  <si>
    <t>Надходження товарів і послуг ІБ00-001155 від 17.03.2025 17:20:43
Оприходованы ТМЦ (Зачет аванса поставщику)</t>
  </si>
  <si>
    <t>Обл. НДС
Плита ребриста РП1 РП 6.2.65-2 L=6240
Надходження товарів і послуг ІБ00-001155 від 17.03.2025 17:20:43
СПК (Глобине)</t>
  </si>
  <si>
    <t>Обл. НДС
Ригель Р4 1Р6.3.83-2 L=6740
Надходження товарів і послуг ІБ00-001155 від 17.03.2025 17:20:43
СПК (Глобине)</t>
  </si>
  <si>
    <t>Надходження товарів і послуг ІБ00-001156 від 17.03.2025 17:20:44
Оприходованы ТМЦ (Зачет аванса поставщику)</t>
  </si>
  <si>
    <t>Обл. НДС
Заготовка арматури
Надходження товарів і послуг ІБ00-001156 від 17.03.2025 17:20:44
СПК (Глобине)</t>
  </si>
  <si>
    <t>Повернення товарів постачальнику ІБ00-000014 від 17.03.2025 18:00:00
Возврат ТМЦ</t>
  </si>
  <si>
    <t>Надходження дод. витрат ІБ00-000179 від 17.03.2025 18:00:22
Доп. расходы при поступлении товаров (Зачет аванса поставщику)</t>
  </si>
  <si>
    <t>Надходження дод. витрат ІБ00-000180 від 17.03.2025 18:00:23
Доп. расходы при поступлении товаров (Зачет аванса поставщику)</t>
  </si>
  <si>
    <t>Надходження дод. витрат ІБ00-000181 від 17.03.2025 18:00:24
Доп. расходы при поступлении товаров (Зачет аванса поставщику)</t>
  </si>
  <si>
    <t>Вимога-накладна ІБ00-000200 від 18.03.2025 15:00:00
Списаны ТМЦ</t>
  </si>
  <si>
    <t>Обл. НДС
Колона К6н 4КН 48.124-13-3 L=10650
Надходження товарів і послуг ІБ00-000830 від 24.02.2025 23:35:38
СПК (Глобине)</t>
  </si>
  <si>
    <t>Обл. НДС
Колона К7н 4КН 48.124-13-4 L=10650
Надходження товарів і послуг ІБ00-000830 від 24.02.2025 23:35:38
СПК (Глобине)</t>
  </si>
  <si>
    <t>Обл. НДС
Колона К8н 4КН 48.124-13-5 L=10650
Надходження товарів і послуг ІБ00-000951 від 28.02.2025 18:00:00
СПК (Глобине)</t>
  </si>
  <si>
    <t>Обл. НДС
Колона К9н 4КН 48.124-13-6 L=10650
Надходження товарів і послуг ІБ00-000951 від 28.02.2025 18:00:00
СПК (Глобине)</t>
  </si>
  <si>
    <t>Обл. НДС
Колона К28н 4КН 48.124-13-11 L=10650
Надходження товарів і послуг ІБ00-000951 від 28.02.2025 18:00:00
СПК (Глобине)</t>
  </si>
  <si>
    <t>Обл. НДС
Колона К29н 4КН 48.124-13-12 L=10650
Надходження товарів і послуг ІБ00-000951 від 28.02.2025 18:00:00
СПК (Глобине)</t>
  </si>
  <si>
    <t>Обл. НДС
Ригель Р5 2Р6.3.83-5 L=6740
Надходження товарів і послуг ІБ00-000829 від 24.02.2025 23:35:37
СПК (Глобине)</t>
  </si>
  <si>
    <t>Обл. НДС
Ригель Р5 2Р6.3.83-5 L=6740
Надходження товарів і послуг ІБ00-000830 від 24.02.2025 23:35:38
СПК (Глобине)</t>
  </si>
  <si>
    <t>Обл. НДС
Плита ребриста РП1 РП 6.2.65-2 L=6240
Надходження товарів і послуг ІБ00-000828 від 27.02.2025 21:38:54
СПК (Глобине)</t>
  </si>
  <si>
    <t>Обл. НДС
Плита ребриста РП1 РП 6.2.65-2 L=6240
Надходження товарів і послуг ІБ00-001010 від 28.02.2025 18:00:00
СПК (Глобине)</t>
  </si>
  <si>
    <t>Обл. НДС
Плита ребриста РП1а РП 6.2.65-2 L=6240
Надходження товарів і послуг ІБ00-000829 від 24.02.2025 23:35:37
СПК (Глобине)</t>
  </si>
  <si>
    <t>Обл. НДС
Плита ребриста РП1а РП 6.2.65-2 L=6240
Надходження товарів і послуг ІБ00-000827 від 27.02.2025 21:38:53
СПК (Глобине)</t>
  </si>
  <si>
    <t>Обл. НДС
Плита ребриста РП1а РП 6.2.65-2 L=6240
Надходження товарів і послуг ІБ00-000828 від 27.02.2025 21:38:54
СПК (Глобине)</t>
  </si>
  <si>
    <t>Обл. НДС
Плита ребриста РП1а РП 6.2.65-2 L=6240
Надходження товарів і послуг ІБ00-001010 від 28.02.2025 18:00:00
СПК (Глобине)</t>
  </si>
  <si>
    <t>Обл. НДС
Плита ребриста РП2 РП 6.2.53-2 
Надходження товарів і послуг ІБ00-000830 від 24.02.2025 23:35:38
СПК (Глобине)</t>
  </si>
  <si>
    <t>Обл. НДС
Плита ребриста РП2а РП 6.2.53-2 
Надходження товарів і послуг ІБ00-000829 від 24.02.2025 23:35:37
СПК (Глобине)</t>
  </si>
  <si>
    <t>Обл. НДС
Плита перекриття ПП1 3ПГ 12-1АІІІв L=6660
Надходження товарів і послуг ІБ00-000827 від 27.02.2025 21:38:53
СПК (Глобине)</t>
  </si>
  <si>
    <t>Обл. НДС
Плита перекриття ПП1 3ПГ 12-1АІІІв L=6660
Надходження товарів і послуг ІБ00-000828 від 27.02.2025 21:38:54
СПК (Глобине)</t>
  </si>
  <si>
    <t>Обл. НДС
Плита перекриття ПП1 3ПГ 12-1АІІІв L=6660
Надходження товарів і послуг ІБ00-001010 від 28.02.2025 18:00:00
СПК (Глобине)</t>
  </si>
  <si>
    <t>Обл. НДС
Плита перекриття ПП2 3ПГ 12-1АІІІв  В=1200 L=6660
Надходження товарів і послуг ІБ00-000827 від 27.02.2025 21:38:53
СПК (Глобине)</t>
  </si>
  <si>
    <t>Обл. НДС
Плита перекриття ПП2 3ПГ 12-1АІІІв  В=1200 L=6660
Надходження товарів і послуг ІБ00-000828 від 27.02.2025 21:38:54
СПК (Глобине)</t>
  </si>
  <si>
    <t>Обл. НДС
Плита перекриття ПП2 3ПГ 12-1АІІІв  В=1200 L=6660
Надходження товарів і послуг ІБ00-001010 від 28.02.2025 18:00:00
СПК (Глобине)</t>
  </si>
  <si>
    <t>Надходження товарів і послуг ІБ00-001153 від 18.03.2025 16:12:31
Оприходованы ТМЦ (Зачет аванса поставщику)</t>
  </si>
  <si>
    <t>Обл. НДС
Ригель Р5 2Р6.3.83-5 L=6740
Надходження товарів і послуг ІБ00-001153 від 18.03.2025 16:12:31
СПК (Глобине)</t>
  </si>
  <si>
    <t>Обл. НДС
Плита ребриста РП1а РП 6.2.65-2 L=6240
Надходження товарів і послуг ІБ00-001153 від 18.03.2025 16:12:31
СПК (Глобине)</t>
  </si>
  <si>
    <t>Повернення товарів постачальнику ІБ00-000015 від 18.03.2025 18:00:00
Возврат ТМЦ</t>
  </si>
  <si>
    <t>Надходження дод. витрат ІБ00-000182 від 18.03.2025 23:12:54
Доп. расходы при поступлении товаров (Зачет аванса поставщику)</t>
  </si>
  <si>
    <t>Надходження товарів і послуг ІБ00-001152 від 19.03.2025 12:00:00
Оприходованы ТМЦ (Зачет аванса поставщику)</t>
  </si>
  <si>
    <t>Обл. НДС
Плита ребриста РП2 РП 6.2.53-2 
Надходження товарів і послуг ІБ00-001152 від 19.03.2025 12:00:00
СПК (Глобине)</t>
  </si>
  <si>
    <t>Обл. НДС
Плита перекриття ПП1 3ПГ 12-1АІІІв L=6660
Надходження товарів і послуг ІБ00-001152 від 19.03.2025 12:00:00
СПК (Глобине)</t>
  </si>
  <si>
    <t>Надходження дод. витрат ІБ00-000183 від 19.03.2025 23:12:50
Доп. расходы при поступлении товаров (Зачет аванса поставщику)</t>
  </si>
  <si>
    <t>Вимога-накладна ІБ00-000206 від 20.03.2025 08:20:25
Списаны ТМЦ</t>
  </si>
  <si>
    <t>Обл. НДС
Пісок з відсіву дроблення щебеню фр. 0-5мм.
Надходження товарів і послуг ІБ00-000257 від 27.01.2025 18:19:37
СПК (Глобине)</t>
  </si>
  <si>
    <t>Обл. НДС
Пісок з відсіву дроблення щебеню фр. 0-5мм.
Надходження товарів і послуг ІБ00-000419 від 04.02.2025 17:50:11
СПК (Глобине)</t>
  </si>
  <si>
    <t>Обл. НДС
Пісок з відсіву дроблення щебеню фр. 0-5мм.
Надходження товарів і послуг ІБ00-000491 від 07.02.2025 18:30:12
СПК (Глобине)</t>
  </si>
  <si>
    <t>Надходження товарів і послуг ІБ00-001169 від 21.03.2025 19:25:57
Оприходованы ТМЦ (Зачет аванса поставщику)</t>
  </si>
  <si>
    <t>Обл. НДС
Дужка-накладка д/стикування арматури ф32
Надходження товарів і послуг ІБ00-001169 від 21.03.2025 19:25:57
СПК (Глобине)</t>
  </si>
  <si>
    <t>Обл. НДС
Дужка-накладка д/стикування арматури ф25
Надходження товарів і послуг ІБ00-001169 від 21.03.2025 19:25:57
СПК (Глобине)</t>
  </si>
  <si>
    <t>Обл. НДС
Дужка-накладка д/стикування арматури ф20
Надходження товарів і послуг ІБ00-001169 від 21.03.2025 19:25:57
СПК (Глобине)</t>
  </si>
  <si>
    <t>Надходження товарів і послуг ІБ00-001170 від 21.03.2025 19:25:58
Оприходованы ТМЦ (Зачет аванса поставщику)</t>
  </si>
  <si>
    <t>Обл. НДС
Плита ребриста РП2 РП 6.2.53-2 
Надходження товарів і послуг ІБ00-001170 від 21.03.2025 19:25:58
СПК (Глобине)</t>
  </si>
  <si>
    <t>Обл. НДС
Плита перекриття ПП1 3ПГ 12-1АІІІв L=6660
Надходження товарів і послуг ІБ00-001170 від 21.03.2025 19:25:58
СПК (Глобине)</t>
  </si>
  <si>
    <t>Обл. НДС
Плита перекриття ПП2 3ПГ 12-1АІІІв  В=1200 L=6660
Надходження товарів і послуг ІБ00-001170 від 21.03.2025 19:25:58
СПК (Глобине)</t>
  </si>
  <si>
    <t>Надходження товарів і послуг ІБ00-001171 від 21.03.2025 19:25:59
Оприходованы ТМЦ (Зачет аванса поставщику)</t>
  </si>
  <si>
    <t>Обл. НДС
Заготовка арматури
Надходження товарів і послуг ІБ00-001171 від 21.03.2025 19:25:59
СПК (Глобине)</t>
  </si>
  <si>
    <t>Обл. НДС
Закладна деталь МН 540
Надходження товарів і послуг ІБ00-001171 від 21.03.2025 19:25:59
СПК (Глобине)</t>
  </si>
  <si>
    <t>Надходження товарів і послуг ІБ00-001172 від 21.03.2025 19:26:00
Оприходованы ТМЦ (Зачет аванса поставщику)</t>
  </si>
  <si>
    <t>Обл. НДС
Плита ребриста РП2 РП 6.2.53-2 
Надходження товарів і послуг ІБ00-001172 від 21.03.2025 19:26:00
СПК (Глобине)</t>
  </si>
  <si>
    <t>Обл. НДС
Колона К17н 2КН 48.124-13 L=10650
Надходження товарів і послуг ІБ00-001172 від 21.03.2025 19:26:00
СПК (Глобине)</t>
  </si>
  <si>
    <t>Обл. НДС
Колона К18н 2КН 48.124-13 L=10650
Надходження товарів і послуг ІБ00-001172 від 21.03.2025 19:26:00
СПК (Глобине)</t>
  </si>
  <si>
    <t>Надходження дод. витрат ІБ00-000184 від 21.03.2025 20:00:08
Доп. расходы при поступлении товаров (Зачет аванса поставщику)</t>
  </si>
  <si>
    <t>Надходження дод. витрат ІБ00-000185 від 21.03.2025 20:00:09
Доп. расходы при поступлении товаров (Зачет аванса поставщику)</t>
  </si>
  <si>
    <t>Надходження дод. витрат ІБ00-000186 від 21.03.2025 20:00:10
Доп. расходы при поступлении товаров (Зачет аванса поставщику)</t>
  </si>
  <si>
    <t>Надходження дод. витрат ІБ00-000187 від 21.03.2025 20:00:11
Доп. расходы при поступлении товаров (Зачет аванса поставщику)</t>
  </si>
  <si>
    <t>Надходження товарів і послуг ІБ00-001339 від 21.03.2025 20:00:14
Оприходованы ТМЦ (Зачет аванса поставщику)</t>
  </si>
  <si>
    <t>Обл. НДС
Плита ребриста РП1 РП 6.2.65-2 L=6240
Надходження товарів і послуг ІБ00-001339 від 21.03.2025 20:00:14
СПК (Глобине)</t>
  </si>
  <si>
    <t>Обл. НДС
Плита ребриста РП1а РП 6.2.65-2 L=6240
Надходження товарів і послуг ІБ00-001339 від 21.03.2025 20:00:14
СПК (Глобине)</t>
  </si>
  <si>
    <t>Обл. НДС
Плита перекриття ПП1 3ПГ 12-1АІІІв L=6660
Надходження товарів і послуг ІБ00-001339 від 21.03.2025 20:00:14
СПК (Глобине)</t>
  </si>
  <si>
    <t>Обл. НДС
Плита перекриття ПП2 3ПГ 12-1АІІІв  В=1200 L=6660
Надходження товарів і послуг ІБ00-001339 від 21.03.2025 20:00:14
СПК (Глобине)</t>
  </si>
  <si>
    <t>Надходження дод. витрат ІБ00-000193 від 21.03.2025 20:30:00
Доп. расходы при поступлении товаров (Зачет аванса поставщику)</t>
  </si>
  <si>
    <t>Надходження товарів і послуг ІБ00-001235 від 24.03.2025 17:30:49
Оприходованы ТМЦ (Зачет аванса поставщику)</t>
  </si>
  <si>
    <t>Обл. НДС
МН4
Надходження товарів і послуг ІБ00-001235 від 24.03.2025 17:30:49
СПК (Глобине)</t>
  </si>
  <si>
    <t>Надходження товарів і послуг ІБ00-001236 від 24.03.2025 17:30:50
Оприходованы ТМЦ (Зачет аванса поставщику)</t>
  </si>
  <si>
    <t>Обл. НДС
Ригель Р5 2Р6.3.83-5 L=6740
Надходження товарів і послуг ІБ00-001236 від 24.03.2025 17:30:50
СПК (Глобине)</t>
  </si>
  <si>
    <t>Обл. НДС
Плита перекриття ПП1 3ПГ 12-1АІІІв L=6660
Надходження товарів і послуг ІБ00-001236 від 24.03.2025 17:30:50
СПК (Глобине)</t>
  </si>
  <si>
    <t>Обл. НДС
Плита перекриття ПП2 3ПГ 12-1АІІІв  В=1200 L=6660
Надходження товарів і послуг ІБ00-001236 від 24.03.2025 17:30:50
СПК (Глобине)</t>
  </si>
  <si>
    <t>Надходження товарів і послуг ІБ00-001237 від 24.03.2025 17:30:51
Оприходованы ТМЦ (Зачет аванса поставщику)</t>
  </si>
  <si>
    <t>Обл. НДС
Ригель Р5 2Р6.3.83-5 L=6740
Надходження товарів і послуг ІБ00-001237 від 24.03.2025 17:30:51
СПК (Глобине)</t>
  </si>
  <si>
    <t>Обл. НДС
Плита перекриття ПП1 3ПГ 12-1АІІІв L=6660
Надходження товарів і послуг ІБ00-001237 від 24.03.2025 17:30:51
СПК (Глобине)</t>
  </si>
  <si>
    <t>Обл. НДС
Плита перекриття ПП2 3ПГ 12-1АІІІв  В=1200 L=6660
Надходження товарів і послуг ІБ00-001237 від 24.03.2025 17:30:51
СПК (Глобине)</t>
  </si>
  <si>
    <t>Надходження дод. витрат ІБ00-000199 від 24.03.2025 17:40:00
Доп. расходы при поступлении товаров (Зачет аванса поставщику)</t>
  </si>
  <si>
    <t>Надходження дод. витрат ІБ00-000200 від 24.03.2025 17:40:00
Доп. расходы при поступлении товаров (Зачет аванса поставщику)</t>
  </si>
  <si>
    <t>Надходження дод. витрат ІБ00-000201 від 24.03.2025 17:40:00
Доп. расходы при поступлении товаров (Зачет аванса поставщику)</t>
  </si>
  <si>
    <t>Надходження товарів і послуг ІБ00-001318 від 24.03.2025 18:31:00
Оприходованы ТМЦ (Зачет аванса поставщику)</t>
  </si>
  <si>
    <t>Обл. НДС
Ригель Р5 2Р6.3.83-5 L=6740
Надходження товарів і послуг ІБ00-001318 від 24.03.2025 18:31:00
СПК (Глобине)</t>
  </si>
  <si>
    <t>Обл. НДС
Плита перекриття ПП1 3ПГ 12-1АІІІв L=6660
Надходження товарів і послуг ІБ00-001318 від 24.03.2025 18:31:00
СПК (Глобине)</t>
  </si>
  <si>
    <t>Надходження дод. витрат ІБ00-000202 від 24.03.2025 18:40:00
Доп. расходы при поступлении товаров (Зачет аванса поставщику)</t>
  </si>
  <si>
    <t>Надходження товарів і послуг ІБ00-001310 від 25.03.2025 17:56:44
Оприходованы ТМЦ (Зачет аванса поставщику)</t>
  </si>
  <si>
    <t>Обл. НДС
Ригель Р5 2Р6.3.83-5 L=6740
Надходження товарів і послуг ІБ00-001310 від 25.03.2025 17:56:44
СПК (Глобине)</t>
  </si>
  <si>
    <t>Обл. НДС
Плита перекриття ПП1 3ПГ 12-1АІІІв L=6660
Надходження товарів і послуг ІБ00-001310 від 25.03.2025 17:56:44
СПК (Глобине)</t>
  </si>
  <si>
    <t>Обл. НДС
Плита перекриття ПП2 3ПГ 12-1АІІІв  В=1200 L=6660
Надходження товарів і послуг ІБ00-001310 від 25.03.2025 17:56:44
СПК (Глобине)</t>
  </si>
  <si>
    <t>Обл. НДС
Ригель Р1 2Р6 3.83-10 L=6740
Надходження товарів і послуг ІБ00-001310 від 25.03.2025 17:56:44
СПК (Глобине)</t>
  </si>
  <si>
    <t>Надходження товарів і послуг ІБ00-001311 від 25.03.2025 17:56:45
Оприходованы ТМЦ (Зачет аванса поставщику)</t>
  </si>
  <si>
    <t>Обл. НДС
МН4
Надходження товарів і послуг ІБ00-001311 від 25.03.2025 17:56:45
СПК (Глобине)</t>
  </si>
  <si>
    <t>Надходження дод. витрат ІБ00-000203 від 25.03.2025 18:00:00
Доп. расходы при поступлении товаров (Зачет аванса поставщику)</t>
  </si>
  <si>
    <t>Надходження дод. витрат ІБ00-000204 від 25.03.2025 18:00:00
Доп. расходы при поступлении товаров (Зачет аванса поставщику)</t>
  </si>
  <si>
    <t>Вимога-накладна ІБ00-000222 від 26.03.2025 16:33:09
Списаны ТМЦ</t>
  </si>
  <si>
    <t>Надходження товарів і послуг ІБ00-001312 від 26.03.2025 22:32:02
Оприходованы ТМЦ (Зачет аванса поставщику)</t>
  </si>
  <si>
    <t>Обл. НДС
Плита перекриття ПП1 3ПГ 12-1АІІІв L=6660
Надходження товарів і послуг ІБ00-001312 від 26.03.2025 22:32:02
СПК (Глобине)</t>
  </si>
  <si>
    <t>Обл. НДС
Ригель Р1 2Р6 3.83-10 L=6740
Надходження товарів і послуг ІБ00-001312 від 26.03.2025 22:32:02
СПК (Глобине)</t>
  </si>
  <si>
    <t>Надходження дод. витрат ІБ00-000205 від 26.03.2025 22:40:00
Доп. расходы при поступлении товаров (Зачет аванса поставщику)</t>
  </si>
  <si>
    <t>Вимога-накладна ІБ00-000223 від 27.03.2025 13:48:10
Списаны ТМЦ</t>
  </si>
  <si>
    <t>Надходження товарів і послуг ІБ00-001313 від 27.03.2025 19:00:01
Оприходованы ТМЦ (Зачет аванса поставщику)</t>
  </si>
  <si>
    <t>Обл. НДС
Заготовка арматури
Надходження товарів і послуг ІБ00-001313 від 27.03.2025 19:00:01
СПК (Глобине)</t>
  </si>
  <si>
    <t>Надходження товарів і послуг ІБ00-001314 від 27.03.2025 19:00:02
Оприходованы ТМЦ (Зачет аванса поставщику)</t>
  </si>
  <si>
    <t>Обл. НДС
Плита перекриття ПП1 3ПГ 12-1АІІІв L=6660
Надходження товарів і послуг ІБ00-001314 від 27.03.2025 19:00:02
СПК (Глобине)</t>
  </si>
  <si>
    <t>Обл. НДС
Плита перекриття ПП2 3ПГ 12-1АІІІв  В=1200 L=6660
Надходження товарів і послуг ІБ00-001314 від 27.03.2025 19:00:02
СПК (Глобине)</t>
  </si>
  <si>
    <t>Надходження товарів і послуг ІБ00-001314 від 27.03.2025 19:00:02
Оприходованы ТМЦ</t>
  </si>
  <si>
    <t>Обл. НДС
Ригель Р1 2Р6 3.83-10 L=6740
Надходження товарів і послуг ІБ00-001314 від 27.03.2025 19:00:02
СПК (Глобине)</t>
  </si>
  <si>
    <t>Надходження дод. витрат ІБ00-000206 від 27.03.2025 19:10:00
Доп. расходы при поступлении товаров</t>
  </si>
  <si>
    <t>Надходження дод. витрат ІБ00-000207 від 27.03.2025 19:10:00
Доп. расходы при поступлении товаров</t>
  </si>
  <si>
    <t>Переміщення товарів ІБ00-000259 від 28.03.2025 10:00:00
Перемещение ТМЦ</t>
  </si>
  <si>
    <t>Обл. НДС
Пісок з відсіву дроблення щебеню фр. 0-5мм.
Надходження товарів і послуг ІБ00-000491 від 07.02.2025 18:30:12
Цех екстракції (Глобине)</t>
  </si>
  <si>
    <t>Надходження товарів і послуг ІБ00-001315 від 28.03.2025 18:00:05
Оприходованы ТМЦ</t>
  </si>
  <si>
    <t>Обл. НДС
Плита перекриття ПП1 3ПГ 12-1АІІІв L=6660
Надходження товарів і послуг ІБ00-001315 від 28.03.2025 18:00:05
СПК (Глобине)</t>
  </si>
  <si>
    <t>Обл. НДС
Плита перекриття ПП2 3ПГ 12-1АІІІв  В=1200 L=6660
Надходження товарів і послуг ІБ00-001315 від 28.03.2025 18:00:05
СПК (Глобине)</t>
  </si>
  <si>
    <t>Обл. НДС
Колона К32с-1 4КС 60.60-13 L=5820
Надходження товарів і послуг ІБ00-001315 від 28.03.2025 18:00:05
СПК (Глобине)</t>
  </si>
  <si>
    <t>Обл. НДС
Колона К33с-1 5КС 60.60-13-н L=5820
Надходження товарів і послуг ІБ00-001315 від 28.03.2025 18:00:05
СПК (Глобине)</t>
  </si>
  <si>
    <t>Надходження товарів і послуг ІБ00-001316 від 28.03.2025 18:00:06
Оприходованы ТМЦ</t>
  </si>
  <si>
    <t>Обл. НДС
Плита перекриття ПП2 3ПГ 12-1АІІІв  В=1200 L=6660
Надходження товарів і послуг ІБ00-001316 від 28.03.2025 18:00:06
СПК (Глобине)</t>
  </si>
  <si>
    <t>Обл. НДС
Колона К28с 4КС 60.60-13 L=5820
Надходження товарів і послуг ІБ00-001316 від 28.03.2025 18:00:06
СПК (Глобине)</t>
  </si>
  <si>
    <t>Обл. НДС
Колона К29с-1 4КС 60.60-13 L=5820
Надходження товарів і послуг ІБ00-001316 від 28.03.2025 18:00:06
СПК (Глобине)</t>
  </si>
  <si>
    <t>Обл. НДС
Колона К30с-1 4КС 60.60-13 L=5820
Надходження товарів і послуг ІБ00-001316 від 28.03.2025 18:00:06
СПК (Глобине)</t>
  </si>
  <si>
    <t>Обл. НДС
Колона К31с-1 4КС 60.60-13 L=5820
Надходження товарів і послуг ІБ00-001316 від 28.03.2025 18:00:06
СПК (Глобине)</t>
  </si>
  <si>
    <t>Надходження дод. витрат ІБ00-000208 від 28.03.2025 18:10:00
Доп. расходы при поступлении товаров</t>
  </si>
  <si>
    <t>Надходження дод. витрат ІБ00-000209 від 28.03.2025 18:10:00
Доп. расходы при поступлении товаров</t>
  </si>
  <si>
    <t>Вимога-накладна ІБ00-000240 від 28.03.2025 20:00:04
Списаны ТМЦ</t>
  </si>
  <si>
    <t>Надходження товарів і послуг ІБ00-000920 від 01.03.2025 18:15:08
Оприходованы ТМЦ</t>
  </si>
  <si>
    <t>Обл. НДС
Балка 20 ст3 пс 5 L=12,04 м
Надходження товарів і послуг ІБ00-000920 від 01.03.2025 18:15:08
Цех екстракції (Глобине)</t>
  </si>
  <si>
    <t>МЕТАЛ ХОЛДІНГ ТРЕЙД ТОВ
Договір 01/467/24 від 06.09.2024_Глобине-2
Рахунок на оплату постачальника ІБ00-000788 від 01.03.2025 18:15:07</t>
  </si>
  <si>
    <t>Обл. НДС
Балка 30 (ІРЕ 300) S275 JR, 12 м
Надходження товарів і послуг ІБ00-000920 від 01.03.2025 18:15:08
Цех екстракції (Глобине)</t>
  </si>
  <si>
    <t>Обл. НДС
Балка 36 міра 1-3 сп/пс 5 кат.L=12 м
Надходження товарів і послуг ІБ00-000920 від 01.03.2025 18:15:08
Цех екстракції (Глобине)</t>
  </si>
  <si>
    <t>Надходження дод. витрат ІБ00-000124 від 01.03.2025 18:16:09
Доп. расходы при поступлении товаров</t>
  </si>
  <si>
    <t>Надходження товарів і послуг ІБ00-000855 від 03.03.2025 18:09:09
Оприходованы ТМЦ (Зачет аванса поставщику)</t>
  </si>
  <si>
    <t>Обл. НДС
Решітковий настил KOZ/34x38/30x3 оц./2095X1000
Надходження товарів і послуг ІБ00-000855 від 03.03.2025 18:09:09
Цех екстракції (Глобине)</t>
  </si>
  <si>
    <t>Червоноградський завод металоконструкцій
Договір поставки № 44 від 11.06.2020 р._Глобино-2
Рахунок на оплату постачальника ІБ00-000395 від 29.01.2025 18:20:05</t>
  </si>
  <si>
    <t>Обл. НДС
Решітковий настил KOZ/34x38/30x3 оц. /  2094X1135
Надходження товарів і послуг ІБ00-000855 від 03.03.2025 18:09:09
Цех екстракції (Глобине)</t>
  </si>
  <si>
    <t>Обл. НДС
Решітковий настил KOZ 34*38/30*3/оц/2000*1000
Надходження товарів і послуг ІБ00-000855 від 03.03.2025 18:09:09
Цех екстракції (Глобине)</t>
  </si>
  <si>
    <t>Обл. НДС
Решітковий настил KOZ 34*38/40*3/оц/ 2000*1135
Надходження товарів і послуг ІБ00-000855 від 03.03.2025 18:09:09
Цех екстракції (Глобине)</t>
  </si>
  <si>
    <t>Обл. НДС
Решітковий настил KOZ 34*38/30*3/оц/1900*1000
Надходження товарів і послуг ІБ00-000855 від 03.03.2025 18:09:09
Цех екстракції (Глобине)</t>
  </si>
  <si>
    <t>Обл. НДС
Решітковий настил KOZ 34*38/30*3/оц/1900*1135
Надходження товарів і послуг ІБ00-000855 від 03.03.2025 18:09:09
Цех екстракції (Глобине)</t>
  </si>
  <si>
    <t>Обл. НДС
Решітковий настил KOZ 34*38/40*3/оц/2200*1000
Надходження товарів і послуг ІБ00-000855 від 03.03.2025 18:09:09
Цех екстракції (Глобине)</t>
  </si>
  <si>
    <t>Обл. НДС
Решітковий настил KOZ 34*38/40*3/оц/2200*1135
Надходження товарів і послуг ІБ00-000855 від 03.03.2025 18:09:09
Цех екстракції (Глобине)</t>
  </si>
  <si>
    <t>Обл. НДС
Решітковий настил KOZ/34x38/30x3 оц. /  1984X1000
Надходження товарів і послуг ІБ00-000855 від 03.03.2025 18:09:09
Цех екстракції (Глобине)</t>
  </si>
  <si>
    <t>Обл. НДС
Решітковий настил KOZ/34x38/30x3 оц. /  2031X1000
Надходження товарів і послуг ІБ00-000855 від 03.03.2025 18:09:09
Цех екстракції (Глобине)</t>
  </si>
  <si>
    <t>Обл. НДС
Решітковий настил KOZ/34x38/30x3 оц. /  2031X1367
Надходження товарів і послуг ІБ00-000855 від 03.03.2025 18:09:09
Цех екстракції (Глобине)</t>
  </si>
  <si>
    <t>Обл. НДС
Решітковий настил KOZ/34x38/30x3 оц. /1900*1367
Надходження товарів і послуг ІБ00-000855 від 03.03.2025 18:09:09
Цех екстракції (Глобине)</t>
  </si>
  <si>
    <t>Обл. НДС
Решітковий настил KOZ/34x38/30x3 оц. /  1984X1135
Надходження товарів і послуг ІБ00-000855 від 03.03.2025 18:09:09
Цех екстракції (Глобине)</t>
  </si>
  <si>
    <t>Обл. НДС
Решітковий настил KOZ/34x38/30x3 оц. /  1785X1000
Надходження товарів і послуг ІБ00-000855 від 03.03.2025 18:09:09
Цех екстракції (Глобине)</t>
  </si>
  <si>
    <t>Обл. НДС
Решітковий настил KOZ/34x38/30x3 оц. /  1785X1367
Надходження товарів і послуг ІБ00-000855 від 03.03.2025 18:09:09
Цех екстракції (Глобине)</t>
  </si>
  <si>
    <t>Обл. НДС
Решітковий настил KOZ/34x38/30x3 оц. /  1940X1000
Надходження товарів і послуг ІБ00-000855 від 03.03.2025 18:09:09
Цех екстракції (Глобине)</t>
  </si>
  <si>
    <t>Обл. НДС
Решітковий настил KOZ/34x38/30x3 оц. /  1940X1135
Надходження товарів і послуг ІБ00-000855 від 03.03.2025 18:09:09
Цех екстракції (Глобине)</t>
  </si>
  <si>
    <t>Обл. НДС
Решітковий настил KOZ/34x38/30x3 оц. /  1940X525
Надходження товарів і послуг ІБ00-000855 від 03.03.2025 18:09:09
Цех екстракції (Глобине)</t>
  </si>
  <si>
    <t>Обл. НДС
Решітковий настил KOZ/34x38/30x3 оц. /2000X525
Надходження товарів і послуг ІБ00-000855 від 03.03.2025 18:09:09
Цех екстракції (Глобине)</t>
  </si>
  <si>
    <t>Обл. НДС
Решітковий настил KOZ/34x38/30x3 оц. /  1785X525
Надходження товарів і послуг ІБ00-000855 від 03.03.2025 18:09:09
Цех екстракції (Глобине)</t>
  </si>
  <si>
    <t>Обл. НДС
Решітковий настил KOZ/34x38/30x3 оц. /  2235X1000
Надходження товарів і послуг ІБ00-000855 від 03.03.2025 18:09:09
Цех екстракції (Глобине)</t>
  </si>
  <si>
    <t>Обл. НДС
Решітковий настил KOZ/34x38/30x3 оц. /  2235X1135
Надходження товарів і послуг ІБ00-000855 від 03.03.2025 18:09:09
Цех екстракції (Глобине)</t>
  </si>
  <si>
    <t>Обл. НДС
Решітковий настил KOZ/34x38/30x3 оц. /  1850X1000
Надходження товарів і послуг ІБ00-000855 від 03.03.2025 18:09:09
Цех екстракції (Глобине)</t>
  </si>
  <si>
    <t>Обл. НДС
Решітковий настил KOZ/34x38/30x3 оц. /  1850X1135
Надходження товарів і послуг ІБ00-000855 від 03.03.2025 18:09:09
Цех екстракції (Глобине)</t>
  </si>
  <si>
    <t>Обл. НДС
Решітковий настил KOZ 34*38/30*3/оц/1000*1000
Надходження товарів і послуг ІБ00-000855 від 03.03.2025 18:09:09
Цех екстракції (Глобине)</t>
  </si>
  <si>
    <t>Обл. НДС
Решітковий настил KOZ/34x38/30x3 оц. /  1588X1600
Надходження товарів і послуг ІБ00-000855 від 03.03.2025 18:09:09
Цех екстракції (Глобине)</t>
  </si>
  <si>
    <t>Обл. НДС
Решітковий настил KOZ/34x38/30x3 оц. /  2600X1412
Надходження товарів і послуг ІБ00-000855 від 03.03.2025 18:09:09
Цех екстракції (Глобине)</t>
  </si>
  <si>
    <t>Обл. НДС
Решітковий настил KOZ/34x38/30x3 оц. /  2600X1000
Надходження товарів і послуг ІБ00-000855 від 03.03.2025 18:09:09
Цех екстракції (Глобине)</t>
  </si>
  <si>
    <t>Обл. НДС
Решітковий настил KOZ/34x38/30x3 оц. /  2600X1300
Надходження товарів і послуг ІБ00-000855 від 03.03.2025 18:09:09
Цех екстракції (Глобине)</t>
  </si>
  <si>
    <t>Обл. НДС
Решітковий настил KOZ/34x38/30x3 оц. /  3450X1000
Надходження товарів і послуг ІБ00-000855 від 03.03.2025 18:09:09
Цех екстракції (Глобине)</t>
  </si>
  <si>
    <t>Обл. НДС
Решітковий настил KOZ/34x38/30x3 оц. /  3850X1000
Надходження товарів і послуг ІБ00-000855 від 03.03.2025 18:09:09
Цех екстракції (Глобине)</t>
  </si>
  <si>
    <t>Обл. НДС
Решітковий настил KOZ/34x38/30x3 оц. /  1529X1000
Надходження товарів і послуг ІБ00-000855 від 03.03.2025 18:09:09
Цех екстракції (Глобине)</t>
  </si>
  <si>
    <t>Обл. НДС
Решітковий настил KOZ/34x38/30x3 оц. /  1929X1000
Надходження товарів і послуг ІБ00-000855 від 03.03.2025 18:09:09
Цех екстракції (Глобине)</t>
  </si>
  <si>
    <t>Обл. НДС
Решітковий настил KOZ 34*38/30*3/оц/1023*1000
Надходження товарів і послуг ІБ00-000855 від 03.03.2025 18:09:09
Цех екстракції (Глобине)</t>
  </si>
  <si>
    <t>Обл. НДС
Решітковий настил KOZ/34x38/30x3 оц. /  1423X1000
Надходження товарів і послуг ІБ00-000855 від 03.03.2025 18:09:09
Цех екстракції (Глобине)</t>
  </si>
  <si>
    <t>Обл. НДС
Решітковий настил KOZ 34*38/30*3/оц/ 1379*1000
Надходження товарів і послуг ІБ00-000855 від 03.03.2025 18:09:09
Цех екстракції (Глобине)</t>
  </si>
  <si>
    <t>Обл. НДС
Решітковий настил KOZ/34x38/30x3 оц. /  1779X1000
Надходження товарів і послуг ІБ00-000855 від 03.03.2025 18:09:09
Цех екстракції (Глобине)</t>
  </si>
  <si>
    <t>Обл. НДС
Решітковий настил KOZ/34x38/30x3 оц. /  3450X1200
Надходження товарів і послуг ІБ00-000855 від 03.03.2025 18:09:09
Цех екстракції (Глобине)</t>
  </si>
  <si>
    <t>Обл. НДС
Решітковий настил KOZ/34x38/30x3 оц. /  3850X1200
Надходження товарів і послуг ІБ00-000855 від 03.03.2025 18:09:09
Цех екстракції (Глобине)</t>
  </si>
  <si>
    <t>Обл. НДС
Решітковий настил KOZ/34x38/30x3 оц. /  1295X1000
Надходження товарів і послуг ІБ00-000855 від 03.03.2025 18:09:09
Цех екстракції (Глобине)</t>
  </si>
  <si>
    <t>Обл. НДС
Решітковий настил KOZ/34x38/30x3 оц. /  1295X1300
Надходження товарів і послуг ІБ00-000855 від 03.03.2025 18:09:09
Цех екстракції (Глобине)</t>
  </si>
  <si>
    <t>Обл. НДС
Решітковий настил KOZ/34x38/30x3 оц. /  1693X1000
Надходження товарів і послуг ІБ00-000855 від 03.03.2025 18:09:09
Цех екстракції (Глобине)</t>
  </si>
  <si>
    <t>Надходження товарів і послуг ІБ00-000855 від 03.03.2025 18:09:09
Оприходованы ТМЦ</t>
  </si>
  <si>
    <t>Обл. НДС
Решітковий настил KOZ/34x38/30x3 оц. /  2363X1000
Надходження товарів і послуг ІБ00-000855 від 03.03.2025 18:09:09
Цех екстракції (Глобине)</t>
  </si>
  <si>
    <t>Обл. НДС
Решітковий настил KOZ/34x38/30x3 оц. /  1964X1000
Надходження товарів і послуг ІБ00-000855 від 03.03.2025 18:09:09
Цех екстракції (Глобине)</t>
  </si>
  <si>
    <t>Обл. НДС
Решітковий настил KOZ/34x38/30x3 оц. /  1692X1000
Надходження товарів і послуг ІБ00-000855 від 03.03.2025 18:09:09
Цех екстракції (Глобине)</t>
  </si>
  <si>
    <t>Обл. НДС
Решітковий настил KOZ/34x38/30x3 оц. /  1915X1000
Надходження товарів і послуг ІБ00-000855 від 03.03.2025 18:09:09
Цех екстракції (Глобине)</t>
  </si>
  <si>
    <t>Обл. НДС
Решітковий настил KOZ/34x38/30x3 оц. /  2085X1000
Надходження товарів і послуг ІБ00-000855 від 03.03.2025 18:09:09
Цех екстракції (Глобине)</t>
  </si>
  <si>
    <t>Обл. НДС
Решітковий настил KOZ/34x38/30x3 оц. /  1905X1000
Надходження товарів і послуг ІБ00-000855 від 03.03.2025 18:09:09
Цех екстракції (Глобине)</t>
  </si>
  <si>
    <t>Обл. НДС
Решітковий настил KOZ/34x38/30x3 оц. /  389X1000
Надходження товарів і послуг ІБ00-000855 від 03.03.2025 18:09:09
Цех екстракції (Глобине)</t>
  </si>
  <si>
    <t>Обл. НДС
Решітковий настил KOZ/34x38/30x3 оц. /  2400X1000
Надходження товарів і послуг ІБ00-000855 від 03.03.2025 18:09:09
Цех екстракції (Глобине)</t>
  </si>
  <si>
    <t>Обл. НДС
Решітковий настил KOZ/34x38/30x3 оц. /  2971X1000
Надходження товарів і послуг ІБ00-000855 від 03.03.2025 18:09:09
Цех екстракції (Глобине)</t>
  </si>
  <si>
    <t>Обл. НДС
Решітковий настил KOZ/34x38/30x3 оц. /  2572X1000
Надходження товарів і послуг ІБ00-000855 від 03.03.2025 18:09:09
Цех екстракції (Глобине)</t>
  </si>
  <si>
    <t>Обл. НДС
Решітковий настил KOZ/34x38/30x3 оц. /  1950X1000
Надходження товарів і послуг ІБ00-000855 від 03.03.2025 18:09:09
Цех екстракції (Глобине)</t>
  </si>
  <si>
    <t>Обл. НДС
Решітковий настил KOZ 34*38/30*3/оц/2203*1000
Надходження товарів і послуг ІБ00-000855 від 03.03.2025 18:09:09
Цех екстракції (Глобине)</t>
  </si>
  <si>
    <t>Обл. НДС
Решітковий настил KOZ/34x38/30x3 оц. /  1915X1100
Надходження товарів і послуг ІБ00-000855 від 03.03.2025 18:09:09
Цех екстракції (Глобине)</t>
  </si>
  <si>
    <t>Обл. НДС
Решітковий настил KOZ/34x38/30x3 оц. /  3085X688
Надходження товарів і послуг ІБ00-000855 від 03.03.2025 18:09:09
Цех екстракції (Глобине)</t>
  </si>
  <si>
    <t>Обл. НДС
Решітковий настил KOZ/34x38/30x3 оц. /  2081X1724
Надходження товарів і послуг ІБ00-000855 від 03.03.2025 18:09:09
Цех екстракції (Глобине)</t>
  </si>
  <si>
    <t>Обл. НДС
Решітковий настил KOZ/34x38/30x3 оц. /1000X688
Надходження товарів і послуг ІБ00-000855 від 03.03.2025 18:09:09
Цех екстракції (Глобине)</t>
  </si>
  <si>
    <t>Обл. НДС
Решітковий настил KOZ/34x38/30x3 оц. /  1892X1000
Надходження товарів і послуг ІБ00-000855 від 03.03.2025 18:09:09
Цех екстракції (Глобине)</t>
  </si>
  <si>
    <t>Обл. НДС
Решітковий настил KOZ/34x38/30x3 оц. /  1893X1000
Надходження товарів і послуг ІБ00-000855 від 03.03.2025 18:09:09
Цех екстракції (Глобине)</t>
  </si>
  <si>
    <t>Обл. НДС
Решітковий настил KOZ/34x38/30x3 оц. /  1890X1000
Надходження товарів і послуг ІБ00-000855 від 03.03.2025 18:09:09
Цех екстракції (Глобине)</t>
  </si>
  <si>
    <t>Обл. НДС
Решітковий настил KOZ/34x38/30x3 оц. /  1797X999
Надходження товарів і послуг ІБ00-000855 від 03.03.2025 18:09:09
Цех екстракції (Глобине)</t>
  </si>
  <si>
    <t>Обл. НДС
Решітковий настил KOZ/34x38/30x3 оц. /  2059X1000
Надходження товарів і послуг ІБ00-000855 від 03.03.2025 18:09:09
Цех екстракції (Глобине)</t>
  </si>
  <si>
    <t>Обл. НДС
Решітковий настил KOZ/34x38/30x3 оц. /  2099X1000
Надходження товарів і послуг ІБ00-000855 від 03.03.2025 18:09:09
Цех екстракції (Глобине)</t>
  </si>
  <si>
    <t>Обл. НДС
Решітковий настил KOZ/34x38/30x3 оц. /  2099X1155
Надходження товарів і послуг ІБ00-000855 від 03.03.2025 18:09:09
Цех екстракції (Глобине)</t>
  </si>
  <si>
    <t>Обл. НДС
Решітковий настил KOZ/34x38/30x3 оц. /  2098X1131
Надходження товарів і послуг ІБ00-000855 від 03.03.2025 18:09:09
Цех екстракції (Глобине)</t>
  </si>
  <si>
    <t>Обл. НДС
Решітковий настил KOZ/34x38/30x3 оц. /  2098X869
Надходження товарів і послуг ІБ00-000855 від 03.03.2025 18:09:09
Цех екстракції (Глобине)</t>
  </si>
  <si>
    <t>Обл. НДС
Решітковий настил KOZ 34*38/30*3/оц/2100*1000
Надходження товарів і послуг ІБ00-000855 від 03.03.2025 18:09:09
Цех екстракції (Глобине)</t>
  </si>
  <si>
    <t>Обл. НДС
Решітковий настил KOZ/34x38/30x3 оц. /  2716X1326
Надходження товарів і послуг ІБ00-000855 від 03.03.2025 18:09:09
Цех екстракції (Глобине)</t>
  </si>
  <si>
    <t>Обл. НДС
Решітковий настил KOZ/34x38/30x3 оц. /  2265X1000
Надходження товарів і послуг ІБ00-000855 від 03.03.2025 18:09:09
Цех екстракції (Глобине)</t>
  </si>
  <si>
    <t>Обл. НДС
Решітковий настил KOZ/34x38/30x3 оц. /  2265X517
Надходження товарів і послуг ІБ00-000855 від 03.03.2025 18:09:09
Цех екстракції (Глобине)</t>
  </si>
  <si>
    <t>Обл. НДС
Решітковий настил KOZ/34x38/30x3 оц. /  796X1015
Надходження товарів і послуг ІБ00-000855 від 03.03.2025 18:09:09
Цех екстракції (Глобине)</t>
  </si>
  <si>
    <t>Обл. НДС
Решітковий настил KOZ/34x38/30x3 оц. /  796X1250
Надходження товарів і послуг ІБ00-000855 від 03.03.2025 18:09:09
Цех екстракції (Глобине)</t>
  </si>
  <si>
    <t>Обл. НДС
Решітковий настил KOZ/34x38/30x3 оц. /  2265X688
Надходження товарів і послуг ІБ00-000855 від 03.03.2025 18:09:09
Цех екстракції (Глобине)</t>
  </si>
  <si>
    <t>Обл. НДС
Решітковий настил KOZ/34x38/30x3 оц. /  2165X1000
Надходження товарів і послуг ІБ00-000855 від 03.03.2025 18:09:09
Цех екстракції (Глобине)</t>
  </si>
  <si>
    <t>Обл. НДС
Решітковий настил KOZ/34x38/30x3 оц. /  2125X1000
Надходження товарів і послуг ІБ00-000855 від 03.03.2025 18:09:09
Цех екстракції (Глобине)</t>
  </si>
  <si>
    <t>Обл. НДС
Решітковий настил KOZ 34*38/30*3/оц/ 1000*800
Надходження товарів і послуг ІБ00-000855 від 03.03.2025 18:09:09
Цех екстракції (Глобине)</t>
  </si>
  <si>
    <t>Обл. НДС
Решітковий настил KOZ 34*38/30*3/оц/ 1615*900
Надходження товарів і послуг ІБ00-000855 від 03.03.2025 18:09:09
Цех екстракції (Глобине)</t>
  </si>
  <si>
    <t>Обл. НДС
Решітковий настил KOZ/34x38/30x3 оц. /  2595X551
Надходження товарів і послуг ІБ00-000855 від 03.03.2025 18:09:09
Цех екстракції (Глобине)</t>
  </si>
  <si>
    <t>Обл. НДС
Решітковий настил KOZ/34x38/30x3 оц. /  1787X1798
Надходження товарів і послуг ІБ00-000855 від 03.03.2025 18:09:09
Цех екстракції (Глобине)</t>
  </si>
  <si>
    <t>Обл. НДС
Решітковий настил KOZ/34x38/30x3 оц. /  2609X551
Надходження товарів і послуг ІБ00-000855 від 03.03.2025 18:09:09
Цех екстракції (Глобине)</t>
  </si>
  <si>
    <t>Обл. НДС
Решітковий настил KOZ/34x38/30x3 оц. /  2006X1000
Надходження товарів і послуг ІБ00-000855 від 03.03.2025 18:09:09
Цех екстракції (Глобине)</t>
  </si>
  <si>
    <t>Обл. НДС
Решітковий настил KOZ 34*38/30*3/оц/1003*1000
Надходження товарів і послуг ІБ00-000855 від 03.03.2025 18:09:09
Цех екстракції (Глобине)</t>
  </si>
  <si>
    <t>Обл. НДС
Решітковий настил KOZ 34*38/30*3/оц/2020*900
Надходження товарів і послуг ІБ00-000855 від 03.03.2025 18:09:09
Цех екстракції (Глобине)</t>
  </si>
  <si>
    <t>Обл. НДС
Решітковий настил KOZ/34x38/30x3 оц. /  2252X1000
Надходження товарів і послуг ІБ00-000855 від 03.03.2025 18:09:09
Цех екстракції (Глобине)</t>
  </si>
  <si>
    <t>Обл. НДС
Решітковий настил KOZ 34*38/30*3/оц/1865*1000
Надходження товарів і послуг ІБ00-000855 від 03.03.2025 18:09:09
Цех екстракції (Глобине)</t>
  </si>
  <si>
    <t>Обл. НДС
Решітковий настил KOZ 34*38/30*3/оц/1865*517
Надходження товарів і послуг ІБ00-000855 від 03.03.2025 18:09:09
Цех екстракції (Глобине)</t>
  </si>
  <si>
    <t>Обл. НДС
Решітковий настил KOZ/34x38/30x3 оц. /  762X865
Надходження товарів і послуг ІБ00-000855 від 03.03.2025 18:09:09
Цех екстракції (Глобине)</t>
  </si>
  <si>
    <t>Обл. НДС
Решітковий настил KOZ/34x38/30x3 оц. /  762X1000
Надходження товарів і послуг ІБ00-000855 від 03.03.2025 18:09:09
Цех екстракції (Глобине)</t>
  </si>
  <si>
    <t>Обл. НДС
Решітковий настил KOZ 34*38/30*3/оц/1865*722
Надходження товарів і послуг ІБ00-000855 від 03.03.2025 18:09:09
Цех екстракції (Глобине)</t>
  </si>
  <si>
    <t>Обл. НДС
Решітковий настил KOZ/34x38/30x3 оц. /  2056X860
Надходження товарів і послуг ІБ00-000855 від 03.03.2025 18:09:09
Цех екстракції (Глобине)</t>
  </si>
  <si>
    <t>Обл. НДС
Решітковий настил KOZ/34x38/30x3 оц. /  2056X894
Надходження товарів і послуг ІБ00-000855 від 03.03.2025 18:09:09
Цех екстракції (Глобине)</t>
  </si>
  <si>
    <t>Обл. НДС
Решітковий настил KOZ/34x38/30x3 оц. /  2550X860
Надходження товарів і послуг ІБ00-000855 від 03.03.2025 18:09:09
Цех екстракції (Глобине)</t>
  </si>
  <si>
    <t>Обл. НДС
Решітковий настил KOZ/34x38/30x3 оц. /  2550X894
Надходження товарів і послуг ІБ00-000855 від 03.03.2025 18:09:09
Цех екстракції (Глобине)</t>
  </si>
  <si>
    <t>Обл. НДС
Решітковий настил KOZ/34x38/30x3 оц. /  2394X860
Надходження товарів і послуг ІБ00-000855 від 03.03.2025 18:09:09
Цех екстракції (Глобине)</t>
  </si>
  <si>
    <t>Обл. НДС
Решітковий настил KOZ/34x38/30x3 оц. /  2394X894
Надходження товарів і послуг ІБ00-000855 від 03.03.2025 18:09:09
Цех екстракції (Глобине)</t>
  </si>
  <si>
    <t>Обл. НДС
Решітковий настил KOZ/34x38/30x3 оц. /  997X1000
Надходження товарів і послуг ІБ00-000855 від 03.03.2025 18:09:09
Цех екстракції (Глобине)</t>
  </si>
  <si>
    <t>Обл. НДС
Решітковий настил KOZ/34x38/30x3 оц. /  1510X1000
Надходження товарів і послуг ІБ00-000855 від 03.03.2025 18:09:09
Цех екстракції (Глобине)</t>
  </si>
  <si>
    <t>Обл. НДС
Решітковий настил KOZ/34x38/30x3 оц. /  997X1001
Надходження товарів і послуг ІБ00-000855 від 03.03.2025 18:09:09
Цех екстракції (Глобине)</t>
  </si>
  <si>
    <t>Обл. НДС
Решітковий настил KOZ/34x38/30x3 оц. /  1915X757
Надходження товарів і послуг ІБ00-000855 від 03.03.2025 18:09:09
Цех екстракції (Глобине)</t>
  </si>
  <si>
    <t>Обл. НДС
Решітковий настил KOZ/34x38/30x3 оц. /  2085X757
Надходження товарів і послуг ІБ00-000855 від 03.03.2025 18:09:09
Цех екстракції (Глобине)</t>
  </si>
  <si>
    <t>Обл. НДС
Решітковий настил KOZ 34*38/40*3/оц/ 2001*1000
Надходження товарів і послуг ІБ00-000855 від 03.03.2025 18:09:09
Цех екстракції (Глобине)</t>
  </si>
  <si>
    <t>Обл. НДС
Решітковий настил KOZ 34*38/40*3/оц/ 2001*757
Надходження товарів і послуг ІБ00-000855 від 03.03.2025 18:09:09
Цех екстракції (Глобине)</t>
  </si>
  <si>
    <t>Обл. НДС
Решітковий настил KOZ/34x38/30x3 оц. /  1487X1000
Надходження товарів і послуг ІБ00-000855 від 03.03.2025 18:09:09
Цех екстракції (Глобине)</t>
  </si>
  <si>
    <t>Обл. НДС
Решітковий настил KOZ 34*38/40*3/оц/ 2500*1000
Надходження товарів і послуг ІБ00-000855 від 03.03.2025 18:09:09
Цех екстракції (Глобине)</t>
  </si>
  <si>
    <t>Обл. НДС
Решітковий настил KOZ/34x38/30x3 оц. /  1487X1001
Надходження товарів і послуг ІБ00-000855 від 03.03.2025 18:09:09
Цех екстракції (Глобине)</t>
  </si>
  <si>
    <t>Обл. НДС
Решітковий настил KOZ/34x38/30x3 оц. /  1446X1000
Надходження товарів і послуг ІБ00-000855 від 03.03.2025 18:09:09
Цех екстракції (Глобине)</t>
  </si>
  <si>
    <t>Обл. НДС
Решітковий настил KOZ/34x38/30x3 оц. /  2058X1000
Надходження товарів і послуг ІБ00-000855 від 03.03.2025 18:09:09
Цех екстракції (Глобине)</t>
  </si>
  <si>
    <t>Обл. НДС
Решітковий настил KOZ/34x38/30x3 оц. /  1738X1000
Надходження товарів і послуг ІБ00-000855 від 03.03.2025 18:09:09
Цех екстракції (Глобине)</t>
  </si>
  <si>
    <t>Обл. НДС
Решітковий настил KOZ/34x38/30x3 оц. /  1815X1000
Надходження товарів і послуг ІБ00-000855 від 03.03.2025 18:09:09
Цех екстракції (Глобине)</t>
  </si>
  <si>
    <t>Обл. НДС
Решітковий настил KOZ/34x38/30x3 оц. /  1815X800
Надходження товарів і послуг ІБ00-000855 від 03.03.2025 18:09:09
Цех екстракції (Глобине)</t>
  </si>
  <si>
    <t>Обл. НДС
Решітковий настил KOZ/34x38/30x3 оц. /  2185X1000
Надходження товарів і послуг ІБ00-000855 від 03.03.2025 18:09:09
Цех екстракції (Глобине)</t>
  </si>
  <si>
    <t>Обл. НДС
Решітковий настил KOZ/34x38/30x3 оц. /  2196X1000
Надходження товарів і послуг ІБ00-000855 від 03.03.2025 18:09:09
Цех екстракції (Глобине)</t>
  </si>
  <si>
    <t>Обл. НДС
Решітковий настил KOZ/34x38/30x3 оц. /  1644X800
Надходження товарів і послуг ІБ00-000855 від 03.03.2025 18:09:09
Цех екстракції (Глобине)</t>
  </si>
  <si>
    <t>Обл. НДС
Решітковий настил KOZ 34*38/30*3/оц/410*1000
Надходження товарів і послуг ІБ00-000855 від 03.03.2025 18:09:09
Цех екстракції (Глобине)</t>
  </si>
  <si>
    <t>Обл. НДС
Решітковий настил KOZ/34x38/30x3 оц. /  1756X800
Надходження товарів і послуг ІБ00-000855 від 03.03.2025 18:09:09
Цех екстракції (Глобине)</t>
  </si>
  <si>
    <t>Обл. НДС
Решітковий настил KOZ/34x38/30x3 оц. /  2565X1000
Надходження товарів і послуг ІБ00-000855 від 03.03.2025 18:09:09
Цех екстракції (Глобине)</t>
  </si>
  <si>
    <t>Обл. НДС
Решітковий настил KOZ/34x38/30x3 оц. /  1887X1000
Надходження товарів і послуг ІБ00-000855 від 03.03.2025 18:09:09
Цех екстракції (Глобине)</t>
  </si>
  <si>
    <t>Обл. НДС
Решітковий настил KOZ/34x38/30x3 оц. /  2475X1000
Надходження товарів і послуг ІБ00-000855 від 03.03.2025 18:09:09
Цех екстракції (Глобине)</t>
  </si>
  <si>
    <t>Обл. НДС
Решітковий настил KOZ/34x38/30x3 оц. /  1887X1166
Надходження товарів і послуг ІБ00-000855 від 03.03.2025 18:09:09
Цех екстракції (Глобине)</t>
  </si>
  <si>
    <t>Обл. НДС
Решітковий настил KOZ 34*38/30*3/оц/1665*1000
Надходження товарів і послуг ІБ00-000855 від 03.03.2025 18:09:09
Цех екстракції (Глобине)</t>
  </si>
  <si>
    <t>Обл. НДС
Решітковий настил KOZ 34*38/30*3/оц/1665*1166
Надходження товарів і послуг ІБ00-000855 від 03.03.2025 18:09:09
Цех екстракції (Глобине)</t>
  </si>
  <si>
    <t>Обл. НДС
Решітковий настил KOZ/34x38/30x3 оц. /  2015X1000
Надходження товарів і послуг ІБ00-000855 від 03.03.2025 18:09:09
Цех екстракції (Глобине)</t>
  </si>
  <si>
    <t>Обл. НДС
Решітковий настил KOZ/34x38/30x3 оц. /  2015X585
Надходження товарів і послуг ІБ00-000855 від 03.03.2025 18:09:09
Цех екстракції (Глобине)</t>
  </si>
  <si>
    <t>Обл. НДС
Решітковий настил KOZ/34x38/30x3 оц. /  2985X1000
Надходження товарів і послуг ІБ00-000855 від 03.03.2025 18:09:09
Цех екстракції (Глобине)</t>
  </si>
  <si>
    <t>Обл. НДС
Решітковий настил KOZ 34*38/40*3/оц/1315*1000
Надходження товарів і послуг ІБ00-000855 від 03.03.2025 18:09:09
Цех екстракції (Глобине)</t>
  </si>
  <si>
    <t>Обл. НДС
Решітковий настил KOZ/34x38/30x3 оц. /  1246X1000
Надходження товарів і послуг ІБ00-000855 від 03.03.2025 18:09:09
Цех екстракції (Глобине)</t>
  </si>
  <si>
    <t>Обл. НДС
Решітковий настил KOZ/34x38/30x3 оц. /  2526X1000
Надходження товарів і послуг ІБ00-000855 від 03.03.2025 18:09:09
Цех екстракції (Глобине)</t>
  </si>
  <si>
    <t>Обл. НДС
Решітковий настил KOZ/34x38/30x3 оц. /  2526X585
Надходження товарів і послуг ІБ00-000855 від 03.03.2025 18:09:09
Цех екстракції (Глобине)</t>
  </si>
  <si>
    <t>Обл. НДС
Решітковий настил KOZ/34x38/30x3 оц. /  2459X585
Надходження товарів і послуг ІБ00-000855 від 03.03.2025 18:09:09
Цех екстракції (Глобине)</t>
  </si>
  <si>
    <t>Обл. НДС
Решітковий настил KOZ/34x38/30x3 оц. /  1488X1243
Надходження товарів і послуг ІБ00-000855 від 03.03.2025 18:09:09
Цех екстракції (Глобине)</t>
  </si>
  <si>
    <t>Обл. НДС
Решітковий настил KOZ/34x38/30x3 оц. /  2915X1000
Надходження товарів і послуг ІБ00-000855 від 03.03.2025 18:09:09
Цех екстракції (Глобине)</t>
  </si>
  <si>
    <t>Обл. НДС
Решітковий настил KOZ/34x38/30x3 оц. /  1193X1000
Надходження товарів і послуг ІБ00-000855 від 03.03.2025 18:09:09
Цех екстракції (Глобине)</t>
  </si>
  <si>
    <t>Обл. НДС
Решітковий настил KOZ 34*38/30*3/оц/1015*757
Надходження товарів і послуг ІБ00-000855 від 03.03.2025 18:09:09
Цех екстракції (Глобине)</t>
  </si>
  <si>
    <t>Обл. НДС
Решітковий настил KOZ 34*38/40*3/оц/ 1800*757
Надходження товарів і послуг ІБ00-000855 від 03.03.2025 18:09:09
Цех екстракції (Глобине)</t>
  </si>
  <si>
    <t>Обл. НДС
Решітковий настил KOZ/34x38/30x3 оц. /  2191X1000
Надходження товарів і послуг ІБ00-000855 від 03.03.2025 18:09:09
Цех екстракції (Глобине)</t>
  </si>
  <si>
    <t>Обл. НДС
Решітковий настил KOZ/34x38/30x3 оц. /  1089X1000
Надходження товарів і послуг ІБ00-000855 від 03.03.2025 18:09:09
Цех екстракції (Глобине)</t>
  </si>
  <si>
    <t>Обл. НДС
Решітковий настил KOZ/34x38/30x3 оц. /  2191X757
Надходження товарів і послуг ІБ00-000855 від 03.03.2025 18:09:09
Цех екстракції (Глобине)</t>
  </si>
  <si>
    <t>Обл. НДС
Решітковий настил KOZ/34x38/30x3 оц. /  2259X1000
Надходження товарів і послуг ІБ00-000855 від 03.03.2025 18:09:09
Цех екстракції (Глобине)</t>
  </si>
  <si>
    <t>Обл. НДС
Решітковий настил KOZ/34x38/30x3 оц. /  1158X1000
Надходження товарів і послуг ІБ00-000855 від 03.03.2025 18:09:09
Цех екстракції (Глобине)</t>
  </si>
  <si>
    <t>Обл. НДС
Решітковий настил KOZ/34x38/30x3 оц. /  2259X757
Надходження товарів і послуг ІБ00-000855 від 03.03.2025 18:09:09
Цех екстракції (Глобине)</t>
  </si>
  <si>
    <t>Обл. НДС
Решітковий настил KOZ/34x38/30x3 оц. /  1693X1166
Надходження товарів і послуг ІБ00-000855 від 03.03.2025 18:09:09
Цех екстракції (Глобине)</t>
  </si>
  <si>
    <t>Обл. НДС
Решітковий настил KOZ/34x38/30x3 оц. /  1985X1135
Надходження товарів і послуг ІБ00-000855 від 03.03.2025 18:09:09
Цех екстракції (Глобине)</t>
  </si>
  <si>
    <t>Обл. НДС
Решітковий настил KOZ/34x38/30x3 оц. /  1985X1000
Надходження товарів і послуг ІБ00-000855 від 03.03.2025 18:09:09
Цех екстракції (Глобине)</t>
  </si>
  <si>
    <t>Обл. НДС
Решітковий настил KOZ/34x38/30x3 оц. /  1985X1166
Надходження товарів і послуг ІБ00-000855 від 03.03.2025 18:09:09
Цех екстракції (Глобине)</t>
  </si>
  <si>
    <t>Обл. НДС
Решітковий настил KOZ 34*38/40*3/оц/ 2024*1135
Надходження товарів і послуг ІБ00-000855 від 03.03.2025 18:09:09
Цех екстракції (Глобине)</t>
  </si>
  <si>
    <t>Обл. НДС
Решітковий настил KOZ 34*38/40*3/оц/ 2024*1000
Надходження товарів і послуг ІБ00-000855 від 03.03.2025 18:09:09
Цех екстракції (Глобине)</t>
  </si>
  <si>
    <t>Обл. НДС
Решітковий настил KOZ 34*38/40*3/оц/ 2024*1166
Надходження товарів і послуг ІБ00-000855 від 03.03.2025 18:09:09
Цех екстракції (Глобине)</t>
  </si>
  <si>
    <t>Обл. НДС
Решітковий настил KOZ 34*38/30*3/оц/671*1287
Надходження товарів і послуг ІБ00-000855 від 03.03.2025 18:09:09
Цех екстракції (Глобине)</t>
  </si>
  <si>
    <t>Обл. НДС
Решітковий настил KOZ 34*38/30*3/оц/745*1287
Надходження товарів і послуг ІБ00-000855 від 03.03.2025 18:09:09
Цех екстракції (Глобине)</t>
  </si>
  <si>
    <t>Обл. НДС
Решітковий настил KOZ/34x38/30x3 оц. /  1416X1000
Надходження товарів і послуг ІБ00-000855 від 03.03.2025 18:09:09
Цех екстракції (Глобине)</t>
  </si>
  <si>
    <t>Обл. НДС
Решітковий настил KOZ 34*38/30*3/оц/1545*616
Надходження товарів і послуг ІБ00-000855 від 03.03.2025 18:09:09
Цех екстракції (Глобине)</t>
  </si>
  <si>
    <t>Обл. НДС
Решітковий настил KOZ 34*38/30*3/оц/1545*844
Надходження товарів і послуг ІБ00-000855 від 03.03.2025 18:09:09
Цех екстракції (Глобине)</t>
  </si>
  <si>
    <t>Обл. НДС
Решітковий настил KOZ 34*38/30*3/оц/1415*1000 
Надходження товарів і послуг ІБ00-000855 від 03.03.2025 18:09:09
Цех екстракції (Глобине)</t>
  </si>
  <si>
    <t>Обл. НДС
Решітковий настил KOZ 34*38/30*3/оц/1415*1136
Надходження товарів і послуг ІБ00-000855 від 03.03.2025 18:09:09
Цех екстракції (Глобине)</t>
  </si>
  <si>
    <t>Обл. НДС
Решітковий настил KOZ 34*38/30*3/оц/1415*1220
Надходження товарів і послуг ІБ00-000855 від 03.03.2025 18:09:09
Цех екстракції (Глобине)</t>
  </si>
  <si>
    <t>Обл. НДС
Решітковий настил KOZ 34*38/30*3/оц/1415*757
Надходження товарів і послуг ІБ00-000855 від 03.03.2025 18:09:09
Цех екстракції (Глобине)</t>
  </si>
  <si>
    <t>Обл. НДС
Решітковий настил KOZ 34*38/30*3/оц/1415*1306
Надходження товарів і послуг ІБ00-000855 від 03.03.2025 18:09:09
Цех екстракції (Глобине)</t>
  </si>
  <si>
    <t>Обл. НДС
Решітковий настил KOZ/34x38/30x3 оц. /  2090X1267
Надходження товарів і послуг ІБ00-000855 від 03.03.2025 18:09:09
Цех екстракції (Глобине)</t>
  </si>
  <si>
    <t>Обл. НДС
Решітковий настил KOZ/34x38/30x3 оц. /  2540X1081
Надходження товарів і послуг ІБ00-000855 від 03.03.2025 18:09:09
Цех екстракції (Глобине)</t>
  </si>
  <si>
    <t>Обл. НДС
Решітковий настил KOZ/34x38/30x3 оц. /  2090X870
Надходження товарів і послуг ІБ00-000855 від 03.03.2025 18:09:09
Цех екстракції (Глобине)</t>
  </si>
  <si>
    <t>Обл. НДС
Решітковий настил KOZ/34x38/30x3 оц. /  1648X755
Надходження товарів і послуг ІБ00-000855 від 03.03.2025 18:09:09
Цех екстракції (Глобине)</t>
  </si>
  <si>
    <t>Обл. НДС
Решітковий настил KOZ 34*38/30*3/оц/892*755
Надходження товарів і послуг ІБ00-000855 від 03.03.2025 18:09:09
Цех екстракції (Глобине)</t>
  </si>
  <si>
    <t>Обл. НДС
Решітковий настил KOZ/34x38/30x3 оц. /  1825X1000
Надходження товарів і послуг ІБ00-000855 від 03.03.2025 18:09:09
Цех екстракції (Глобине)</t>
  </si>
  <si>
    <t>Обл. НДС
Решітковий настил KOZ/34x38/30x3 оц. /  1825X630
Надходження товарів і послуг ІБ00-000855 від 03.03.2025 18:09:09
Цех екстракції (Глобине)</t>
  </si>
  <si>
    <t>Обл. НДС
Решітковий настил KOZ/34x38/30x3 оц. /  2525X1000
Надходження товарів і послуг ІБ00-000855 від 03.03.2025 18:09:09
Цех екстракції (Глобине)</t>
  </si>
  <si>
    <t>Обл. НДС
Решітковий настил KOZ/34x38/30x3 оц. /  2525X630
Надходження товарів і послуг ІБ00-000855 від 03.03.2025 18:09:09
Цех екстракції (Глобине)</t>
  </si>
  <si>
    <t>Обл. НДС
Решітковий настил KOZ/34x38/30x3 оц. /  1985X630
Надходження товарів і послуг ІБ00-000855 від 03.03.2025 18:09:09
Цех екстракції (Глобине)</t>
  </si>
  <si>
    <t>Обл. НДС
Решітковий настил KOZ/34x38/30x3 оц. /  3031X1001
Надходження товарів і послуг ІБ00-000855 від 03.03.2025 18:09:09
Цех екстракції (Глобине)</t>
  </si>
  <si>
    <t>Обл. НДС
Решітковий настил KOZ 34*38/30*3/оц/1615*1001
Надходження товарів і послуг ІБ00-000855 від 03.03.2025 18:09:09
Цех екстракції (Глобине)</t>
  </si>
  <si>
    <t>Обл. НДС
Решітковий настил KOZ/34x38/30x3 оц. /  726X780
Надходження товарів і послуг ІБ00-000855 від 03.03.2025 18:09:09
Цех екстракції (Глобине)</t>
  </si>
  <si>
    <t>Обл. НДС
Решітковий настил KOZ/34x38/30x3 оц. /  638X1485
Надходження товарів і послуг ІБ00-000855 від 03.03.2025 18:09:09
Цех екстракції (Глобине)</t>
  </si>
  <si>
    <t>Обл. НДС
Решітковий настил KOZ/34x38/30x3 оц. /  1714X1233
Надходження товарів і послуг ІБ00-000855 від 03.03.2025 18:09:09
Цех екстракції (Глобине)</t>
  </si>
  <si>
    <t>Обл. НДС
Решітковий настил KOZ/34x38/30x3 оц. /  4385X1182
Надходження товарів і послуг ІБ00-000855 від 03.03.2025 18:09:09
Цех екстракції (Глобине)</t>
  </si>
  <si>
    <t>Обл. НДС
Решітковий настил KOZ/34x38/30x3 оц. /  1635X1000
Надходження товарів і послуг ІБ00-000855 від 03.03.2025 18:09:09
Цех екстракції (Глобине)</t>
  </si>
  <si>
    <t>Обл. НДС
Решітковий настил KOZ/34x38/30x3 оц. /  1785X1126
Надходження товарів і послуг ІБ00-000855 від 03.03.2025 18:09:09
Цех екстракції (Глобине)</t>
  </si>
  <si>
    <t>Обл. НДС
Решітковий настил KOZ/34x38/30x3 оц. /  1785X948
Надходження товарів і послуг ІБ00-000855 від 03.03.2025 18:09:09
Цех екстракції (Глобине)</t>
  </si>
  <si>
    <t>Обл. НДС
Решітковий настил KOZ/34x38/30x3 оц. /  1785X1297
Надходження товарів і послуг ІБ00-000855 від 03.03.2025 18:09:09
Цех екстракції (Глобине)</t>
  </si>
  <si>
    <t>Обл. НДС
Решітковий настил SP/34*38/40*3/ос/1800*1000
Надходження товарів і послуг ІБ00-000855 від 03.03.2025 18:09:09
Цех екстракції (Глобине)</t>
  </si>
  <si>
    <t>Обл. НДС
Решітковий настил KOZ 34*38/40*3/оц/ 1800*1125
Надходження товарів і послуг ІБ00-000855 від 03.03.2025 18:09:09
Цех екстракції (Глобине)</t>
  </si>
  <si>
    <t>Обл. НДС
Решітковий настил KOZ/34x38/30x3 оц. /  2700X1000
Надходження товарів і послуг ІБ00-000855 від 03.03.2025 18:09:09
Цех екстракції (Глобине)</t>
  </si>
  <si>
    <t>Обл. НДС
Решітковий настил KOZ 34*38/30*3/оц/1185*1000
Надходження товарів і послуг ІБ00-000855 від 03.03.2025 18:09:09
Цех екстракції (Глобине)</t>
  </si>
  <si>
    <t>Обл. НДС
Решітковий настил KOZ/34x38/30x3 оц. /  2700X1126
Надходження товарів і послуг ІБ00-000855 від 03.03.2025 18:09:09
Цех екстракції (Глобине)</t>
  </si>
  <si>
    <t>Обл. НДС
Решітковий настил KOZ/34x38/30x3 оц. /  3665X1160
Надходження товарів і послуг ІБ00-000855 від 03.03.2025 18:09:09
Цех екстракції (Глобине)</t>
  </si>
  <si>
    <t>Обл. НДС
Решітковий настил KOZ/34x38/30x3 оц. /  2414X1000
Надходження товарів і послуг ІБ00-000855 від 03.03.2025 18:09:09
Цех екстракції (Глобине)</t>
  </si>
  <si>
    <t>Обл. НДС
Решітковий настил KOZ 34*38/40*3/оц/ 1638*1000
Надходження товарів і послуг ІБ00-000855 від 03.03.2025 18:09:09
Цех екстракції (Глобине)</t>
  </si>
  <si>
    <t>Обл. НДС
Решітковий настил KOZ/34x38/30x3 оц. /1326*1000
Надходження товарів і послуг ІБ00-000855 від 03.03.2025 18:09:09
Цех екстракції (Глобине)</t>
  </si>
  <si>
    <t>Обл. НДС
Решітковий настил KOZ/34x38/30x3 оц. /  1654X1000
Надходження товарів і послуг ІБ00-000855 від 03.03.2025 18:09:09
Цех екстракції (Глобине)</t>
  </si>
  <si>
    <t>Обл. НДС
Решітковий настил KOZ/34x38/30x3 оц. /  2449X1000
Надходження товарів і послуг ІБ00-000855 від 03.03.2025 18:09:09
Цех екстракції (Глобине)</t>
  </si>
  <si>
    <t>Обл. НДС
Решітковий настил KOZ/34x38/30x3 оц. /  3785X1000
Надходження товарів і послуг ІБ00-000855 від 03.03.2025 18:09:09
Цех екстракції (Глобине)</t>
  </si>
  <si>
    <t>Обл. НДС
Решітковий настил KOZ/34x38/30x3 оц. /  1885X1000
Надходження товарів і послуг ІБ00-000855 від 03.03.2025 18:09:09
Цех екстракції (Глобине)</t>
  </si>
  <si>
    <t>Обл. НДС
Решітковий настил KOZ/34x38/30x3 оц. /  1970X1000
Надходження товарів і послуг ІБ00-000855 від 03.03.2025 18:09:09
Цех екстракції (Глобине)</t>
  </si>
  <si>
    <t>Обл. НДС
Решітковий настил KOZ/34x38/30x3 оц. /  1885X1126
Надходження товарів і послуг ІБ00-000855 від 03.03.2025 18:09:09
Цех екстракції (Глобине)</t>
  </si>
  <si>
    <t>Обл. НДС
Решітковий настил KOZ 34*38/30*3/оц/1300*800
Надходження товарів і послуг ІБ00-000855 від 03.03.2025 18:09:09
Цех екстракції (Глобине)</t>
  </si>
  <si>
    <t>Обл. НДС
Кріплення стандартні
Надходження товарів і послуг ІБ00-000855 від 03.03.2025 18:09:09
Цех екстракції (Глобине)</t>
  </si>
  <si>
    <t>Обл. НДС
Кріплення гакове до швелера 24
Надходження товарів і послуг ІБ00-000855 від 03.03.2025 18:09:09
Цех екстракції (Глобине)</t>
  </si>
  <si>
    <t>Надходження товарів і послуг ІБ00-000890 від 04.03.2025 17:40:28
Оприходованы ТМЦ</t>
  </si>
  <si>
    <t>Обл. НДС
Болт М20*100  DIN 6914 
Надходження товарів і послуг ІБ00-000890 від 04.03.2025 17:40:28
Цех екстракції (Глобине)</t>
  </si>
  <si>
    <t>Солді і Ко ПАТ
Дог № 378542-55/19 від 21.01.2019 р. РАХ_Глобине-2
Рахунок на оплату постачальника ІБ00-000751 від 03.03.2025 18:09:14</t>
  </si>
  <si>
    <t>Обл. НДС
Болт М20*100  ЕN 14399/4
Надходження товарів і послуг ІБ00-000890 від 04.03.2025 17:40:28
Цех екстракції (Глобине)</t>
  </si>
  <si>
    <t>Обл. НДС
Болт М20*75  DIN 6914 цб
Надходження товарів і послуг ІБ00-000890 від 04.03.2025 17:40:28
Цех екстракції (Глобине)</t>
  </si>
  <si>
    <t>Обл. НДС
Болт М24*100  ЕN 14399/4
Надходження товарів і послуг ІБ00-000890 від 04.03.2025 17:40:28
Цех екстракції (Глобине)</t>
  </si>
  <si>
    <t>Обл. НДС
Гайка М20  ЕN 14399/4Мо
Надходження товарів і послуг ІБ00-000890 від 04.03.2025 17:40:28
Цех екстракції (Глобине)</t>
  </si>
  <si>
    <t>Обл. НДС
Гайка М24  ЕN 14399/4Мо
Надходження товарів і послуг ІБ00-000890 від 04.03.2025 17:40:28
Цех екстракції (Глобине)</t>
  </si>
  <si>
    <t>Обл. НДС
Шайба 20  DIN6916
Надходження товарів і послуг ІБ00-000890 від 04.03.2025 17:40:28
Цех екстракції (Глобине)</t>
  </si>
  <si>
    <t>Обл. НДС
Шайба 24  ЕN14399/6 
Надходження товарів і послуг ІБ00-000890 від 04.03.2025 17:40:28
Цех екстракції (Глобине)</t>
  </si>
  <si>
    <t>Обл. НДС
Болт М24*130  DIN 931
Надходження товарів і послуг ІБ00-000890 від 04.03.2025 17:40:28
Цех екстракції (Глобине)</t>
  </si>
  <si>
    <t>Обл. НДС
Гайка М24  DIN 934 шестигранна цб
Надходження товарів і послуг ІБ00-000890 від 04.03.2025 17:40:28
Цех екстракції (Глобине)</t>
  </si>
  <si>
    <t>Надходження товарів і послуг ІБ00-000918 від 04.03.2025 17:40:38
Оприходованы ТМЦ</t>
  </si>
  <si>
    <t>Обл. НДС
Гайка М20  ЕN 14399/4Мо
Надходження товарів і послуг ІБ00-000918 від 04.03.2025 17:40:38
Цех екстракції (Глобине)</t>
  </si>
  <si>
    <t>Солді і Ко ПАТ
Дог № 378542-55/19 від 21.01.2019 р. РАХ_Глобине-2
Рахунок на оплату постачальника ІБ00-000770 від 07.02.2025 20:00:29</t>
  </si>
  <si>
    <t>Обл. НДС
Шайба 20  DIN6916
Надходження товарів і послуг ІБ00-000918 від 04.03.2025 17:40:38
Цех екстракції (Глобине)</t>
  </si>
  <si>
    <t>Обл. НДС
Болт М20*95  DIN 6914 цб
Надходження товарів і послуг ІБ00-000918 від 04.03.2025 17:40:38
Цех екстракції (Глобине)</t>
  </si>
  <si>
    <t>Надходження товарів і послуг ІБ00-001032 від 04.03.2025 18:00:05
Оприходованы ТМЦ</t>
  </si>
  <si>
    <t>Обл. НДС
Балка 16  1-3 сп/пс 5 кат.L=12 м
Надходження товарів і послуг ІБ00-001032 від 04.03.2025 18:00:05
Цех екстракції (Глобине)</t>
  </si>
  <si>
    <t>МЕТАЛ ХОЛДІНГ ТРЕЙД ТОВ
Договір 01/467/24 від 06.09.2024_Глобине-2
Рахунок на оплату постачальника ІБ00-000737 від 26.02.2025 18:00:43</t>
  </si>
  <si>
    <t>Обл. НДС
Балка 20 ст3 сп/пс L=12 м
Надходження товарів і послуг ІБ00-001032 від 04.03.2025 18:00:05
Цех екстракції (Глобине)</t>
  </si>
  <si>
    <t>Обл. НДС
Балка 30 1-3 сп/пс 5 кат.L=12000
Надходження товарів і послуг ІБ00-001032 від 04.03.2025 18:00:05
Цех екстракції (Глобине)</t>
  </si>
  <si>
    <t>Обл. НДС
Лист г/к 20*2000*6000 мм
Надходження товарів і послуг ІБ00-001032 від 04.03.2025 18:00:05
Цех екстракції (Глобине)</t>
  </si>
  <si>
    <t>Надходження дод. витрат ІБ00-000144 від 04.03.2025 18:00:06
Доп. расходы при поступлении товаров</t>
  </si>
  <si>
    <t>Надходження товарів і послуг ІБ00-001034 від 04.03.2025 18:00:07
Оприходованы ТМЦ</t>
  </si>
  <si>
    <t>Обл. НДС
Балка 16  1-3 сп/пс 5 кат.L=12 м
Надходження товарів і послуг ІБ00-001034 від 04.03.2025 18:00:07
Цех екстракції (Глобине)</t>
  </si>
  <si>
    <t>МЕТАЛ ХОЛДІНГ ТРЕЙД ТОВ
Договір 01/467/24 від 06.09.2024_Глобине-2
Рахунок на оплату постачальника ІБ00-000867 від 01.03.2025 18:17:04</t>
  </si>
  <si>
    <t>Обл. НДС
Лист г/к 10 мм, 1500*6000, S355 J2
Надходження товарів і послуг ІБ00-001034 від 04.03.2025 18:00:07
Цех екстракції (Глобине)</t>
  </si>
  <si>
    <t>Обл. НДС
Лист г/к 10*2000*6000 1-3 сп/пс
Надходження товарів і послуг ІБ00-001034 від 04.03.2025 18:00:07
Цех екстракції (Глобине)</t>
  </si>
  <si>
    <t>Обл. НДС
Лист г/к 16*1500*6000 мм 
Надходження товарів і послуг ІБ00-001034 від 04.03.2025 18:00:07
Цех екстракції (Глобине)</t>
  </si>
  <si>
    <t>Обл. НДС
Лист г/к 20*1500*6000, S355J2
Надходження товарів і послуг ІБ00-001034 від 04.03.2025 18:00:07
Цех екстракції (Глобине)</t>
  </si>
  <si>
    <t>Обл. НДС
Лист г/к 20,0мм 2000*6000, S235JR
Надходження товарів і послуг ІБ00-001034 від 04.03.2025 18:00:07
Цех екстракції (Глобине)</t>
  </si>
  <si>
    <t>Обл. НДС
Лист г/к 40*1500*6000, S235JR
Надходження товарів і послуг ІБ00-001034 від 04.03.2025 18:00:07
Цех екстракції (Глобине)</t>
  </si>
  <si>
    <t>Обл. НДС
Лист г/к 40*2000*6000, 3 сп 5 кат.
Надходження товарів і послуг ІБ00-001034 від 04.03.2025 18:00:07
Цех екстракції (Глобине)</t>
  </si>
  <si>
    <t>Надходження дод. витрат ІБ00-000145 від 04.03.2025 18:00:08
Доп. расходы при поступлении товаров</t>
  </si>
  <si>
    <t>Вимога-накладна ІБ00-000148 від 06.03.2025 22:00:00
Списаны ТМЦ</t>
  </si>
  <si>
    <t>Обл. НДС
Бетон С20/25 W6 F75 P4 доб-10
Надходження товарів і послуг ІБ00-000725 від 27.02.2025 20:32:07
Цех екстракції (Глобине)</t>
  </si>
  <si>
    <t>Обл. НДС
Труба 114*6,0
Надходження товарів і послуг ІБ00-000060 від 10.01.2025 18:00:10
Цех екстракції (Глобине)</t>
  </si>
  <si>
    <t>Обл. НДС
Відвід 90 ° 114*6мм
Надходження товарів і послуг ІБ00-000060 від 10.01.2025 18:00:10
Цех екстракції (Глобине)</t>
  </si>
  <si>
    <t>Надходження товарів і послуг ІБ00-001031 від 06.03.2025 22:00:28
Оприходованы ТМЦ</t>
  </si>
  <si>
    <t>Обл. НДС
Лист г/к 20*2000*6000 мм
Надходження товарів і послуг ІБ00-001031 від 06.03.2025 22:00:28
Цех екстракції (Глобине)</t>
  </si>
  <si>
    <t>Надходження товарів і послуг ІБ00-000977 від 07.03.2025 20:00:01
Оприходованы ТМЦ</t>
  </si>
  <si>
    <t>Обл. НДС
Шуруп г/к по дереву 3,5*55 мм
Надходження товарів і послуг ІБ00-000977 від 07.03.2025 20:00:01
Цех екстракції (Глобине)</t>
  </si>
  <si>
    <t>СКАЙ-ЕНЕРДЖИ
Рахунки_Глобине-2
Рахунок на оплату постачальника ІБ00-000822 від 07.03.2025 19:00:33</t>
  </si>
  <si>
    <t>Надходження товарів і послуг ІБ00-001029 від 07.03.2025 20:00:07
Оприходованы ТМЦ</t>
  </si>
  <si>
    <t>Обл. НДС
Балка 36 ІРЕ360 12м S275JR
Надходження товарів і послуг ІБ00-001029 від 07.03.2025 20:00:07
Цех екстракції (Глобине)</t>
  </si>
  <si>
    <t>Надходження товарів і послуг ІБ00-001030 від 07.03.2025 20:00:08
Оприходованы ТМЦ</t>
  </si>
  <si>
    <t>Обл. НДС
Лист г/к 16*1500*6000, S355 J2
Надходження товарів і послуг ІБ00-001030 від 07.03.2025 20:00:08
Цех екстракції (Глобине)</t>
  </si>
  <si>
    <t>Обл. НДС
Лист г/к 40*2000*6000, 3 сп 5 кат.
Надходження товарів і послуг ІБ00-001030 від 07.03.2025 20:00:08
Цех екстракції (Глобине)</t>
  </si>
  <si>
    <t>Надходження дод. витрат ІБ00-000143 від 07.03.2025 20:00:09
Доп. расходы при поступлении товаров</t>
  </si>
  <si>
    <t>Надходження товарів і послуг ІБ00-001035 від 07.03.2025 20:00:10
Оприходованы ТМЦ</t>
  </si>
  <si>
    <t>Обл. НДС
Лист г/к 18*1500*6000, S235 JR
Надходження товарів і послуг ІБ00-001035 від 07.03.2025 20:00:10
Цех екстракції (Глобине)</t>
  </si>
  <si>
    <t>Обл. НДС
Лист г/к 30*2000*6000, 1-3пс/сп 5 кат.
Надходження товарів і послуг ІБ00-001035 від 07.03.2025 20:00:10
Цех екстракції (Глобине)</t>
  </si>
  <si>
    <t>Надходження дод. витрат ІБ00-000146 від 07.03.2025 20:00:11
Доп. расходы при поступлении товаров</t>
  </si>
  <si>
    <t>Надходження товарів і послуг ІБ00-000983 від 12.03.2025 10:00:00
Оприходованы ТМЦ</t>
  </si>
  <si>
    <t>Обл. НДС
Лист г/к 16,0 мм 1500*6000, S235 JR
Надходження товарів і послуг ІБ00-000983 від 12.03.2025 10:00:00
Цех екстракції (Глобине)</t>
  </si>
  <si>
    <t>АВ МЕТАЛ ГРУП ТОВ
Дог 2420/Р от 05.10.2023від 05.10.2023_Глобино-2
Рахунок на оплату постачальника ІБ00-000824 від 11.03.2025 19:00:01</t>
  </si>
  <si>
    <t>Обл. НДС
Швелер 16П  S275JR,12 м
Надходження товарів і послуг ІБ00-000983 від 12.03.2025 10:00:00
Цех екстракції (Глобине)</t>
  </si>
  <si>
    <t>Обл. НДС
Швелер 22П ст.1-3сп/пс 5, L= 12м
Надходження товарів і послуг ІБ00-000983 від 12.03.2025 10:00:00
Цех екстракції (Глобине)</t>
  </si>
  <si>
    <t>Обл. НДС
Швелер 24П ст.3сп/пс 5, 12 м
Надходження товарів і послуг ІБ00-000983 від 12.03.2025 10:00:00
Цех екстракції (Глобине)</t>
  </si>
  <si>
    <t>Надходження товарів і послуг ІБ00-001075 від 14.03.2025 17:50:43
Оприходованы ТМЦ</t>
  </si>
  <si>
    <t>Обл. НДС
Шуруп 5х40
Надходження товарів і послуг ІБ00-001075 від 14.03.2025 17:50:43
Цех екстракції (Глобине)</t>
  </si>
  <si>
    <t>Обл. НДС
Плівка п/е рукав 1500*200
Надходження товарів і послуг ІБ00-001075 від 14.03.2025 17:50:43
Цех екстракції (Глобине)</t>
  </si>
  <si>
    <t>Надходження товарів і послуг ІБ00-001485 від 17.03.2025 11:00:00
Оприходованы ТМЦ</t>
  </si>
  <si>
    <t>Обл. НДС
Пісок з відсіву дроблення щебеню фр. 0-5мм.
Надходження товарів і послуг ІБ00-001485 від 17.03.2025 11:00:00
Цех екстракції (Глобине)</t>
  </si>
  <si>
    <t>Енергія Логістик ТОВ
№28/10-2024 ВІД 28/10/24_Глобине-2
Рахунок на оплату постачальника ІБ00-001158 від 17.03.2025 18:00:30</t>
  </si>
  <si>
    <t>Надходження дод. витрат ІБ00-000227 від 17.03.2025 11:05:00
Доп. расходы при поступлении товаров</t>
  </si>
  <si>
    <t>Списання товарів ІБ00-000135 від 18.03.2025 14:14:55
Списаны ТМЦ</t>
  </si>
  <si>
    <t>Обл. НДС
Клей-піна монтажна , 860 мл
Надходження товарів і послуг ІБ00-000776 від 06.02.2025 18:36:51
Цех екстракції (Глобине)</t>
  </si>
  <si>
    <t>Вимога-накладна ІБ00-000197 від 18.03.2025 15:00:00
Списаны ТМЦ</t>
  </si>
  <si>
    <t>Обл. НДС
Бетон С 8/10 Р4 доб-10
Надходження товарів і послуг ІБ00-000454 від 05.02.2025 18:00:12
Цех екстракції (Глобине)</t>
  </si>
  <si>
    <t>Обл. НДС
Бетон С 8/10 Р4 доб-10
Надходження товарів і послуг ІБ00-000728 від 22.02.2025 20:00:06
Цех екстракції (Глобине)</t>
  </si>
  <si>
    <t>Обл. НДС
Плівка п/е 100 мк, 100 м 300м кв/рулон
Надходження товарів і послуг ІБ00-000490 від 31.01.2025 23:20:33
Цех екстракції (Глобине)</t>
  </si>
  <si>
    <t>Обл. НДС
Пінополістирол фасад шаршавий 1200х600х20мм 0,264 куб м
Надходження товарів і послуг ІБ00-000464 від 06.02.2025 18:36:11
Цех екстракції (Глобине)</t>
  </si>
  <si>
    <t>Вимога-накладна ІБ00-000220 від 26.03.2025 15:24:24
Списаны ТМЦ</t>
  </si>
  <si>
    <t>Вимога-накладна ІБ00-000221 від 26.03.2025 16:24:30
Списаны ТМЦ</t>
  </si>
  <si>
    <t>Обл. НДС
Щебінь 20-40
Надходження товарів і послуг ІБ00-006356 від 19.12.2024 12:14:15
Цех екстракції (Глобине)</t>
  </si>
  <si>
    <t>Надходження товарів і послуг ІБ00-001443 від 27.03.2025 19:10:01
Оприходованы ТМЦ (Зачет аванса поставщику)</t>
  </si>
  <si>
    <t>Обл. НДС
Балка 30 ІРЕ (12.15 EN 10024 S235/ S275)
Надходження товарів і послуг ІБ00-001443 від 27.03.2025 19:10:01
Цех екстракції (Глобине)</t>
  </si>
  <si>
    <t>МЕТАЛ ХОЛДІНГ ТРЕЙД ТОВ
Договір 01/467/24 від 06.09.2024_Глобине-2
Рахунок на оплату постачальника ІБ00-000736 від 26.02.2025 18:00:42</t>
  </si>
  <si>
    <t>Надходження товарів і послуг ІБ00-001443 від 27.03.2025 19:10:01
Оприходованы ТМЦ</t>
  </si>
  <si>
    <t>Обл. НДС
балка №36 ИПН  S275 JR L=12,1 м
Надходження товарів і послуг ІБ00-001443 від 27.03.2025 19:10:01
Цех екстракції (Глобине)</t>
  </si>
  <si>
    <t>Надходження дод. витрат ІБ00-000214 від 27.03.2025 19:10:02
Доп. расходы при поступлении товаров</t>
  </si>
  <si>
    <t>Надходження товарів і послуг ІБ00-001444 від 27.03.2025 19:10:03
Оприходованы ТМЦ</t>
  </si>
  <si>
    <t>Обл. НДС
Труба профільна 120*120*5 L=12000 мм ст1-3 сп/пс
Надходження товарів і послуг ІБ00-001444 від 27.03.2025 19:10:03
Цех екстракції (Глобине)</t>
  </si>
  <si>
    <t>МЕТАЛ ХОЛДІНГ ТРЕЙД ТОВ
Договір 01/467/24 від 06.09.2024_Глобине-2
Рахунок на оплату постачальника ІБ00-001145 від 12.03.2025 18:45:51</t>
  </si>
  <si>
    <t>Обл. НДС
Круг 18 мм 6,05-S235/S272
Надходження товарів і послуг ІБ00-001444 від 27.03.2025 19:10:03
Цех екстракції (Глобине)</t>
  </si>
  <si>
    <t>Вимога-накладна ІБ00-000241 від 28.03.2025 00:00:00
Списаны ТМЦ</t>
  </si>
  <si>
    <t>Обл. НДС
Болт М16*55  DIN 933 8,8 цб пр
Надходження товарів і послуг ІБ00-000540 від 13.02.2025 18:05:06
Цех екстракції (Глобине)</t>
  </si>
  <si>
    <t>Обл. НДС
Болт М16*55  DIN 931 8,8 цб пр
Надходження товарів і послуг ІБ00-000540 від 13.02.2025 18:05:06
Цех екстракції (Глобине)</t>
  </si>
  <si>
    <t>Обл. НДС
Болт М16*60 DIN931
Надходження товарів і послуг ІБ00-000540 від 13.02.2025 18:05:06
Цех екстракції (Глобине)</t>
  </si>
  <si>
    <t>Обл. НДС
Болт М16*65  з шест.голівкою пов.різьба цб
Надходження товарів і послуг ІБ00-000540 від 13.02.2025 18:05:06
Цех екстракції (Глобине)</t>
  </si>
  <si>
    <t>Обл. НДС
Болт М16*70  DIN 931
Надходження товарів і послуг ІБ00-000540 від 13.02.2025 18:05:06
Цех екстракції (Глобине)</t>
  </si>
  <si>
    <t>Обл. НДС
Болт М16*80  DIN 931
Надходження товарів і послуг ІБ00-000540 від 13.02.2025 18:05:06
Цех екстракції (Глобине)</t>
  </si>
  <si>
    <t>Обл. НДС
Болт М20*65  DIN 931
Надходження товарів і послуг ІБ00-000540 від 13.02.2025 18:05:06
Цех екстракції (Глобине)</t>
  </si>
  <si>
    <t>Обл. НДС
Болт М20*75  DIN 931 цб
Надходження товарів і послуг ІБ00-000540 від 13.02.2025 18:05:06
Цех екстракції (Глобине)</t>
  </si>
  <si>
    <t>Обл. НДС
Болт М20*80  DIN 931
Надходження товарів і послуг ІБ00-000540 від 13.02.2025 18:05:06
Цех екстракції (Глобине)</t>
  </si>
  <si>
    <t>Обл. НДС
Болт М20*85  DIN 931
Надходження товарів і послуг ІБ00-000540 від 13.02.2025 18:05:06
Цех екстракції (Глобине)</t>
  </si>
  <si>
    <t>Обл. НДС
Болт М20*140  DIN 931
Надходження товарів і послуг ІБ00-000540 від 13.02.2025 18:05:06
Цех екстракції (Глобине)</t>
  </si>
  <si>
    <t>Обл. НДС
Болт М20*150  DIN 931
Надходження товарів і послуг ІБ00-000540 від 13.02.2025 18:05:06
Цех екстракції (Глобине)</t>
  </si>
  <si>
    <t>Обл. НДС
Гайка М16 8 цб
Надходження товарів і послуг ІБ00-000540 від 13.02.2025 18:05:06
Цех екстракції (Глобине)</t>
  </si>
  <si>
    <t>Обл. НДС
Гайка М20
Надходження товарів і послуг ІБ00-000540 від 13.02.2025 18:05:06
Цех екстракції (Глобине)</t>
  </si>
  <si>
    <t>Обл. НДС
Шайба 16  DIN125
Надходження товарів і послуг ІБ00-000540 від 13.02.2025 18:05:06
Цех екстракції (Глобине)</t>
  </si>
  <si>
    <t>Обл. НДС
Шайба 20  DIN125 цб
Надходження товарів і послуг ІБ00-000540 від 13.02.2025 18:05:06
Цех екстракції (Глобине)</t>
  </si>
  <si>
    <t>Обл. НДС
Болт М20*65
Надходження товарів і послуг ІБ00-000540 від 13.02.2025 18:05:06
Цех екстракції (Глобине)</t>
  </si>
  <si>
    <t>Обл. НДС
Болт М20*70  DIN 6914
Надходження товарів і послуг ІБ00-000540 від 13.02.2025 18:05:06
Цех екстракції (Глобине)</t>
  </si>
  <si>
    <t>Обл. НДС
Болт М20*70  ЕN14399/4
Надходження товарів і послуг ІБ00-000540 від 13.02.2025 18:05:06
Цех екстракції (Глобине)</t>
  </si>
  <si>
    <t>Обл. НДС
Болт М20*75
Надходження товарів і послуг ІБ00-000540 від 13.02.2025 18:05:06
Цех екстракції (Глобине)</t>
  </si>
  <si>
    <t>Обл. НДС
Болт М20*90  ЕN14399/4
Надходження товарів і послуг ІБ00-000540 від 13.02.2025 18:05:06
Цех екстракції (Глобине)</t>
  </si>
  <si>
    <t>Обл. НДС
Болт М20*95  ЕN14399/4
Надходження товарів і послуг ІБ00-000540 від 13.02.2025 18:05:06
Цех екстракції (Глобине)</t>
  </si>
  <si>
    <t>Обл. НДС
Гайка М20 ЕN14399/4 гц
Надходження товарів і послуг ІБ00-000540 від 13.02.2025 18:05:06
Цех екстракції (Глобине)</t>
  </si>
  <si>
    <t>Обл. НДС
Гайка М20 ЕN14399/4 бп
Надходження товарів і послуг ІБ00-000540 від 13.02.2025 18:05:06
Цех екстракції (Глобине)</t>
  </si>
  <si>
    <t>Обл. НДС
Шайба М20 ЕN14399/4 гц
Надходження товарів і послуг ІБ00-000540 від 13.02.2025 18:05:06
Цех екстракції (Глобине)</t>
  </si>
  <si>
    <t>Обл. НДС
Шайба М20
Надходження товарів і послуг ІБ00-000540 від 13.02.2025 18:05:06
Цех екстракції (Глобине)</t>
  </si>
  <si>
    <t>Вимога-накладна ІБ00-000226 від 28.03.2025 08:05:10
Списаны ТМЦ</t>
  </si>
  <si>
    <t>Обл. НДС
Щебінь 20-40
Надходження товарів і послуг ІБ00-006546 від 25.12.2024 12:00:00
Цех екстракції (Глобине)</t>
  </si>
  <si>
    <t>Вимога-накладна ІБ00-000229 від 28.03.2025 09:19:15
Списаны ТМЦ</t>
  </si>
  <si>
    <t>Обл. НДС
Труба 100х100х5 мм; ст. 3пс5; 12 м
Надходження товарів і послуг ІБ00-000379 від 29.01.2025 18:20:01
Цех екстракції (Глобине)</t>
  </si>
  <si>
    <t>Обл. НДС
Труба 100х100х5 мм; ст. 3пс5; 12 м
Надходження товарів і послуг ІБ00-000718 від 18.02.2025 20:00:45
Цех екстракції (Глобине)</t>
  </si>
  <si>
    <t>Обл. НДС
Лист г/к  6*1500*6000 1-3 сп/пс
Надходження товарів і послуг ІБ00-005544 від 07.11.2024 17:17:34
Цех екстракції (Глобине)</t>
  </si>
  <si>
    <t>Обл. НДС
Лист г/к  4,0*1500*6000 мм; ст.3 сп/пс 5 кат.необ.кр.
Надходження товарів і послуг ІБ00-000181 від 15.01.2025 22:00:08
Цех екстракції (Глобине)</t>
  </si>
  <si>
    <t>Обл. НДС
Лист г/к  6*1500*6000 1-3 сп/пс
Надходження товарів і послуг ІБ00-000720 від 18.02.2025 20:00:46
Цех екстракції (Глобине)</t>
  </si>
  <si>
    <t>Обл. НДС
Лист г/к  8*1500*6000 1-3 сп/пс
Надходження товарів і послуг ІБ00-000720 від 18.02.2025 20:00:46
Цех екстракції (Глобине)</t>
  </si>
  <si>
    <t>Обл. НДС
Лист г/к  8*1500*6000 мм; ст.3 сп/пс 5 кат.необр.кромка
Надходження товарів і послуг ІБ00-000181 від 15.01.2025 22:00:08
Цех екстракції (Глобине)</t>
  </si>
  <si>
    <t>Обл. НДС
Лист г/к  8*1500*6000 1-3 сп/пс
Надходження товарів і послуг ІБ00-000721 від 18.02.2025 20:00:47
Цех екстракції (Глобине)</t>
  </si>
  <si>
    <t>Обл. НДС
Лист г/к 10*1500*6000 1-3 сп/пс
Надходження товарів і послуг ІБ00-000720 від 18.02.2025 20:00:46
Цех екстракції (Глобине)</t>
  </si>
  <si>
    <t>Обл. НДС
Лист г/к 10*1500*6000 мм
Надходження товарів і послуг ІБ00-000537 від 13.02.2025 18:05:04
Цех екстракції (Глобине)</t>
  </si>
  <si>
    <t>Обл. НДС
Лист г/к 10*2000*12000, 1-3пс/сп 5 кат.
Надходження товарів і послуг ІБ00-000181 від 15.01.2025 22:00:08
Цех екстракції (Глобине)</t>
  </si>
  <si>
    <t>Обл. НДС
Лист 12*1590*12000 необр кромка
Надходження товарів і послуг ІБ00-005546 від 06.11.2024 17:20:16
Цех екстракції (Глобине)</t>
  </si>
  <si>
    <t>Обл. НДС
Лист г/к 12,0 мм 1500*6000, S235 JR
Надходження товарів і послуг ІБ00-000275 від 22.01.2025 19:00:25
Цех екстракції (Глобине)</t>
  </si>
  <si>
    <t>Обл. НДС
Лист 12*1500*6000 3 сп/пс5
Надходження товарів і послуг ІБ00-000720 від 18.02.2025 20:00:46
Цех екстракції (Глобине)</t>
  </si>
  <si>
    <t>Обл. НДС
Лист г/к 14*2000*12000, 1-3 пс/сп 5 кат.
Надходження товарів і послуг ІБ00-000721 від 18.02.2025 20:00:47
Цех екстракції (Глобине)</t>
  </si>
  <si>
    <t>Обл. НДС
Лист г/к 16*1500*6000 мм 3 пс
Надходження товарів і послуг ІБ00-000715 від 21.02.2025 18:25:56
Цех екстракції (Глобине)</t>
  </si>
  <si>
    <t>Обл. НДС
Лист г/к 16*1500*6000 мм; ст.3 сп/пс 5 кат.необр.кромка
Надходження товарів і послуг ІБ00-000722 від 19.02.2025 18:22:48
Цех екстракції (Глобине)</t>
  </si>
  <si>
    <t>Обл. НДС
Лист г/к 16*1500*6000 мм; ст.3 сп/пс 5 кат.необр.кромка
Надходження товарів і послуг ІБ00-000723 від 19.02.2025 18:22:50
Цех екстракції (Глобине)</t>
  </si>
  <si>
    <t>Обл. НДС
Лист г/к 20,0 мм 2000*6000, S235 JR
Надходження товарів і послуг ІБ00-006501 від 30.12.2024 12:00:00
Цех екстракції (Глобине)</t>
  </si>
  <si>
    <t>Обл. НДС
Лист г/к 40*2000*6000, 3 сп 5 кат.
Надходження товарів і послуг ІБ00-005547 від 05.11.2024 17:28:27
Цех екстракції (Глобине)</t>
  </si>
  <si>
    <t>Обл. НДС
Лист г/к 40*1500*6000, S355JR
Надходження товарів і послуг ІБ00-000146 від 15.01.2025 22:00:01
Цех екстракції (Глобине)</t>
  </si>
  <si>
    <t>Обл. НДС
Круг г/к 18 мм 6м ст1-3сп/пс
Надходження товарів і послуг ІБ00-000536 від 13.02.2025 18:05:03
Цех екстракції (Глобине)</t>
  </si>
  <si>
    <t>Обл. НДС
Труба  40*40*3 мм  08кп/1-3 пс, L=6 м
Надходження товарів і послуг ІБ00-000716 від 19.02.2025 18:22:45
Цех екстракції (Глобине)</t>
  </si>
  <si>
    <t>Обл. НДС
Кутник 75*75 мм  6,0 мм, S235 JR 12 м
Надходження товарів і послуг ІБ00-000717 від 19.02.2025 18:22:46
Цех екстракції (Глобине)</t>
  </si>
  <si>
    <t>Обл. НДС
Швелер 16П  7216
Надходження товарів і послуг ІБ00-005352 від 30.10.2024 20:04:12
Цех екстракції (Глобине)</t>
  </si>
  <si>
    <t>Обл. НДС
Швелер 16П міра  12,00 м
Надходження товарів і послуг ІБ00-006404 від 23.12.2024 17:16:10
Цех екстракції (Глобине)</t>
  </si>
  <si>
    <t>Обл. НДС
Лист г/к  6*1500*6000 мм; 1-3 сп/пс, 5 кат.необр.кром
Надходження товарів і послуг ІБ00-000537 від 13.02.2025 18:05:04
Цех екстракції (Глобине)</t>
  </si>
  <si>
    <t>Обл. НДС
Лист г/к 10,0 мм 1500*6000, S235 JR
Надходження товарів і послуг ІБ00-006503 від 30.12.2024 12:00:00
Цех екстракції (Глобине)</t>
  </si>
  <si>
    <t>Обл. НДС
Балка 20 ІРЕ200 12м S275JR
Надходження товарів і послуг ІБ00-000378 від 28.01.2025 23:21:42
Цех екстракції (Глобине)</t>
  </si>
  <si>
    <t>Обл. НДС
Балка 36 ІРЕ360 12м S275JR
Надходження товарів і послуг ІБ00-005351 від 30.10.2024 20:04:11
Цех екстракції (Глобине)</t>
  </si>
  <si>
    <t>Обл. НДС
Балка 36 ІРЕ360 12м S275JR
Надходження товарів і послуг ІБ00-000093 від 03.01.2025 18:00:13
Цех екстракції (Глобине)</t>
  </si>
  <si>
    <t>Обл. НДС
Труба 40*20*2  L=6 м стS235JRH
Надходження товарів і послуг ІБ00-000716 від 19.02.2025 18:22:45
Цех екстракції (Глобине)</t>
  </si>
  <si>
    <t>Обл. НДС
Кутики 100х100х7 мм; ст. 3пс5; 12 м
Надходження товарів і послуг ІБ00-000720 від 18.02.2025 20:00:46
Цех екстракції (Глобине)</t>
  </si>
  <si>
    <t>Обл. НДС
Лист г/к 12,0 мм 1500х6000, S235JR
Надходження товарів і послуг ІБ00-006404 від 23.12.2024 17:16:10
Цех екстракції (Глобине)</t>
  </si>
  <si>
    <t>Обл. НДС
Лист г/к 12*1500*6000 мм 3 пс
Надходження товарів і послуг ІБ00-000717 від 19.02.2025 18:22:46
Цех екстракції (Глобине)</t>
  </si>
  <si>
    <t>Обл. НДС
Лист г/к 14*1500*6000, 1-3 пс/сп 5 кат
Надходження товарів і послуг ІБ00-000722 від 19.02.2025 18:22:48
Цех екстракції (Глобине)</t>
  </si>
  <si>
    <t>Обл. НДС
Лист г/к 16,0 мм 1500*6000, S235 JR
Надходження товарів і послуг ІБ00-000179 від 16.01.2025 17:55:15
Цех екстракції (Глобине)</t>
  </si>
  <si>
    <t>Обл. НДС
Лист г/к 18*2000*6000, S235 JR
Надходження товарів і послуг ІБ00-005330 від 29.10.2024 22:00:05
Цех екстракції (Глобине)</t>
  </si>
  <si>
    <t>Обл. НДС
Лист г/к 18*2000*6000, S235 JR
Надходження товарів і послуг ІБ00-000721 від 18.02.2025 20:00:47
Цех екстракції (Глобине)</t>
  </si>
  <si>
    <t>Обл. НДС
Лист г/к 20*1500*6000, S355J2
Надходження товарів і послуг ІБ00-000180 від 17.01.2025 19:00:05
Цех екстракції (Глобине)</t>
  </si>
  <si>
    <t>Обл. НДС
Лист г/к 30*2000*6000, 1-3пс/сп 5 кат.
Надходження товарів і послуг ІБ00-005544 від 07.11.2024 17:17:34
Цех екстракції (Глобине)</t>
  </si>
  <si>
    <t>Обл. НДС
Лист г/к 30*2000*6000, 1-3пс/сп 5 кат.
Надходження товарів і послуг ІБ00-000712 від 20.02.2025 18:11:44
Цех екстракції (Глобине)</t>
  </si>
  <si>
    <t>Обл. НДС
Кутик 75х75х6 мм С255-5 12м
Надходження товарів і послуг ІБ00-000720 від 18.02.2025 20:00:46
Цех екстракції (Глобине)</t>
  </si>
  <si>
    <t>Обл. НДС
Швелер 22П ст.1-3сп/пс 5, L= 12м
Надходження товарів і послуг ІБ00-000712 від 20.02.2025 18:11:44
Цех екстракції (Глобине)</t>
  </si>
  <si>
    <t>Обл. НДС
Швелер 22П ст.1-3сп/пс 5, L= 12м
Надходження товарів і послуг ІБ00-000713 від 20.02.2025 18:11:45
Цех екстракції (Глобине)</t>
  </si>
  <si>
    <t>Обл. НДС
Швелер 24П міра 12,00 м 
Надходження товарів і послуг ІБ00-000712 від 20.02.2025 18:11:44
Цех екстракції (Глобине)</t>
  </si>
  <si>
    <t>Обл. НДС
Швелер № 24 П міра 12,00 м
Надходження товарів і послуг ІБ00-006502 від 27.12.2024 12:00:00
Цех екстракції (Глобине)</t>
  </si>
  <si>
    <t>Обл. НДС
Лист г/к  10*1280*12000 необр кромка
Надходження товарів і послуг ІБ00-005545 від 07.11.2024 17:17:36
Цех екстракції (Глобине)</t>
  </si>
  <si>
    <t>Обл. НДС
Лист г/к 14*1500*6000, 1-3 пс/сп 5 кат
Надходження товарів і послуг ІБ00-000714 від 21.02.2025 18:25:55
Цех екстракції (Глобине)</t>
  </si>
  <si>
    <t>Обл. НДС
Лист г/к 20*2000*6000, 1-3 пс/сп 5 кат.
Надходження товарів і послуг ІБ00-000720 від 18.02.2025 20:00:46
Цех екстракції (Глобине)</t>
  </si>
  <si>
    <t>Вимога-накладна ІБ00-000238 від 28.03.2025 18:00:31
Списаны ТМЦ</t>
  </si>
  <si>
    <t>Списання товарів ІБ00-000166 від 28.03.2025 18:00:32
Списаны ТМЦ</t>
  </si>
  <si>
    <t>29.03.2025</t>
  </si>
  <si>
    <t>Надходження товарів і послуг ІБ00-001291 від 29.03.2025 12:00:00
Оприходованы ТМЦ (Зачет аванса поставщику)</t>
  </si>
  <si>
    <t>Обл. НДС
Бетон С20/25 W6 F75 P4
Надходження товарів і послуг ІБ00-001291 від 29.03.2025 12:00:00
Цех екстракції (Глобине)</t>
  </si>
  <si>
    <t>Надходження дод. витрат ІБ00-000188 від 29.03.2025 12:00:01
Доп. расходы при поступлении товаров (Зачет аванса поставщику)</t>
  </si>
  <si>
    <t>Вимога-накладна ІБ00-000129 від 03.03.2025 00:00:00
Списаны ТМЦ</t>
  </si>
  <si>
    <t>Обл. НДС
Виробничий (Глобине-2)
Цех Глобино
Прямі материальні виробничі витрати крім зворотніх відходів</t>
  </si>
  <si>
    <t>Обл. НДС
Швелер 16У (160 12,05- 8240 3пс)
Надходження товарів і послуг ІБ00-006577 від 30.12.2024 21:00:07
Цех_Глобино</t>
  </si>
  <si>
    <t>Обл. НДС
Швелер 16У (160 12,05- 8240 3пс)
Надходження товарів і послуг ІБ00-000065 від 10.01.2025 18:15:17
Цех_Глобино</t>
  </si>
  <si>
    <t>Обл. НДС
Швелер 16У (160 12,05- 8240 3пс)
Надходження товарів і послуг ІБ00-000587 від 07.02.2025 20:00:11
Цех_Глобино</t>
  </si>
  <si>
    <t>Обл. НДС
Лист г/к 10*2000*6000, 1-3пс/сп 5 кат.
Надходження товарів і послуг ІБ00-000587 від 07.02.2025 20:00:11
Цех_Глобино</t>
  </si>
  <si>
    <t>Обл. НДС
Лист 8 (г.к)  (1,5х6) ((1,5*6,0) 14637 3сп5)
Надходження товарів і послуг ІБ00-006577 від 30.12.2024 21:00:07
Цех_Глобино</t>
  </si>
  <si>
    <t>Обл. НДС
Труба 40*40*3 мм ст.1-3пс, 6 м
Надходження товарів і послуг ІБ00-006577 від 30.12.2024 21:00:07
Цех_Глобино</t>
  </si>
  <si>
    <t>Обл. НДС
Труба 40х20х2
Надходження товарів і послуг ІБ00-006577 від 30.12.2024 21:00:07
Цех_Глобино</t>
  </si>
  <si>
    <t>Обл. НДС
Лист 4 (г.к)  (1,5х6) ((1,5*6,0) 14637 3сп5)
Надходження товарів і послуг ІБ00-006577 від 30.12.2024 21:00:07
Цех_Глобино</t>
  </si>
  <si>
    <t>Обл. НДС
Лист 4 (г.к)  (1,5х6) ((1,5*6,0) 14637 3сп5)
Надходження товарів і послуг ІБ00-000587 від 07.02.2025 20:00:11
Цех_Глобино</t>
  </si>
  <si>
    <t>Обл. НДС
Труба 50х30х3 (6,05- S235/S275)
Надходження товарів і послуг ІБ00-006577 від 30.12.2024 21:00:07
Цех_Глобино</t>
  </si>
  <si>
    <t>Обл. НДС
труба 100х100х3 мм; ст. 1-3 пс; 12 м
Надходження товарів і послуг ІБ00-006577 від 30.12.2024 21:00:07
Цех_Глобино</t>
  </si>
  <si>
    <t>Обл. НДС
Лист г/к 20*1500*6000, S355J2
Надходження товарів і послуг ІБ00-000587 від 07.02.2025 20:00:11
Цех_Глобино</t>
  </si>
  <si>
    <t>Вимога-накладна ІБ00-000131 від 03.03.2025 00:00:00
Списаны ТМЦ</t>
  </si>
  <si>
    <t>Обл. НДС
Труба 273*6,0
Надходження товарів і послуг ІБ00-000534 від 14.02.2025 18:25:46
Цех_Глобино</t>
  </si>
  <si>
    <t>Обл. НДС
Кутник 63х63х6
Надходження товарів і послуг ІБ00-000587 від 07.02.2025 20:00:11
Цех_Глобино</t>
  </si>
  <si>
    <t>Обл. НДС
Труба 60х60х4,0мм МІРА 6м
Надходження товарів і послуг ІБ00-000587 від 07.02.2025 20:00:11
Цех_Глобино</t>
  </si>
  <si>
    <t>Обл. НДС
Труба 80х80х4 (12,05- 8940:2019 08кп/1-3пс)
Надходження товарів і послуг ІБ00-000587 від 07.02.2025 20:00:11
Цех_Глобино</t>
  </si>
  <si>
    <t>Обл. НДС
труба 100*100*4,0мм 12м
Надходження товарів і послуг ІБ00-000587 від 07.02.2025 20:00:11
Цех_Глобино</t>
  </si>
  <si>
    <t>Обл. НДС
Балка №36
Надходження товарів і послуг ІБ00-000519 від 12.02.2025 18:02:32
Цех_Глобино</t>
  </si>
  <si>
    <t>Обл. НДС
Балка 30
Надходження товарів і послуг ІБ00-000587 від 07.02.2025 20:00:11
Цех_Глобино</t>
  </si>
  <si>
    <t>Обл. НДС
Балка 30
Надходження товарів і послуг ІБ00-000519 від 12.02.2025 18:02:32
Цех_Глобино</t>
  </si>
  <si>
    <t>Обл. НДС
Швелер 24П ст.3сп/пс 5, 12 м
Надходження товарів і послуг ІБ00-000587 від 07.02.2025 20:00:11
Цех_Глобино</t>
  </si>
  <si>
    <t>Обл. НДС
Швелер 20П
Надходження товарів і послуг ІБ00-000587 від 07.02.2025 20:00:11
Цех_Глобино</t>
  </si>
  <si>
    <t>Переміщення товарів ІБ00-000166 від 03.03.2025 18:08:58
Перемещение ТМЦ</t>
  </si>
  <si>
    <t>Обл. НДС
Швелер 24П ст.3сп/пс 5, 12 м
Надходження товарів і послуг ІБ00-006559 від 30.12.2024 21:00:00
Цех_Глобино</t>
  </si>
  <si>
    <t>Обл. НДС
Швелер 24П ст.3сп/пс 5, 12 м
Надходження товарів і послуг ІБ00-006559 від 30.12.2024 21:00:00
Цех_Кернел кухня</t>
  </si>
  <si>
    <t>Обл. НДС
Лист 3 (рифл) ((1,0*6,0) 8568-77 3пс)
Надходження товарів і послуг ІБ00-006559 від 30.12.2024 21:00:00
Цех_Глобино</t>
  </si>
  <si>
    <t>Обл. НДС
Лист 3 (рифл) ((1,0*6,0) 8568-77 3пс)
Надходження товарів і послуг ІБ00-006559 від 30.12.2024 21:00:00
Цех_Кернел кухня</t>
  </si>
  <si>
    <t>Переміщення товарів ІБ00-000295 від 31.03.2025 23:59:59
Перемещение ТМЦ</t>
  </si>
  <si>
    <t>Обл. НДС
Балка ІРN 240
Надходження товарів і послуг ІБ00-000156 від 20.01.2025 17:50:00
Цех_Катеринопіль МХП(олійно екстракційний)</t>
  </si>
  <si>
    <t>Обл. НДС
Балка ІРN 240
Надходження товарів і послуг ІБ00-000156 від 20.01.2025 17:50:00
Цех_Глобино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</si>
</sst>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color indexed="21"/>
      <name val="Arial"/>
      <family val="2"/>
      <charset val="204"/>
    </font>
    <font>
      <sz val="10"/>
      <color indexed="21"/>
      <name val="Arial"/>
      <family val="2"/>
      <charset val="204"/>
    </font>
    <font>
      <sz val="8"/>
      <name val="Arial"/>
      <family val="2"/>
      <charset val="204"/>
    </font>
    <font>
      <b/>
      <sz val="10"/>
      <color indexed="2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0"/>
      </left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/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365">
    <xf numFmtId="0" fontId="0" fillId="0" borderId="0" xfId="0"/>
    <xf numFmtId="0" fontId="3" fillId="2" borderId="1" xfId="1" applyNumberFormat="1" applyFont="1" applyFill="1" applyBorder="1" applyAlignment="1">
      <alignment vertical="top" wrapText="1" indent="1"/>
    </xf>
    <xf numFmtId="0" fontId="4" fillId="2" borderId="2" xfId="2" applyNumberFormat="1" applyFont="1" applyFill="1" applyBorder="1" applyAlignment="1">
      <alignment vertical="top"/>
    </xf>
    <xf numFmtId="0" fontId="4" fillId="2" borderId="3" xfId="2" applyNumberFormat="1" applyFont="1" applyFill="1" applyBorder="1" applyAlignment="1">
      <alignment vertical="top"/>
    </xf>
    <xf numFmtId="0" fontId="4" fillId="2" borderId="4" xfId="2" applyNumberFormat="1" applyFont="1" applyFill="1" applyBorder="1" applyAlignment="1">
      <alignment vertical="top"/>
    </xf>
    <xf numFmtId="0" fontId="4" fillId="2" borderId="3" xfId="2" applyNumberFormat="1" applyFont="1" applyFill="1" applyBorder="1" applyAlignment="1">
      <alignment horizontal="center" vertical="top"/>
    </xf>
    <xf numFmtId="0" fontId="4" fillId="2" borderId="5" xfId="2" applyNumberFormat="1" applyFont="1" applyFill="1" applyBorder="1" applyAlignment="1">
      <alignment horizontal="center" vertical="top"/>
    </xf>
    <xf numFmtId="0" fontId="4" fillId="2" borderId="6" xfId="2" applyNumberFormat="1" applyFont="1" applyFill="1" applyBorder="1" applyAlignment="1">
      <alignment vertical="top"/>
    </xf>
    <xf numFmtId="0" fontId="4" fillId="2" borderId="7" xfId="2" applyNumberFormat="1" applyFont="1" applyFill="1" applyBorder="1" applyAlignment="1">
      <alignment vertical="top"/>
    </xf>
    <xf numFmtId="0" fontId="4" fillId="2" borderId="8" xfId="2" applyNumberFormat="1" applyFont="1" applyFill="1" applyBorder="1" applyAlignment="1">
      <alignment vertical="top"/>
    </xf>
    <xf numFmtId="0" fontId="4" fillId="2" borderId="5" xfId="2" applyNumberFormat="1" applyFont="1" applyFill="1" applyBorder="1" applyAlignment="1">
      <alignment vertical="top"/>
    </xf>
    <xf numFmtId="0" fontId="4" fillId="2" borderId="9" xfId="2" applyNumberFormat="1" applyFont="1" applyFill="1" applyBorder="1" applyAlignment="1">
      <alignment vertical="top"/>
    </xf>
    <xf numFmtId="0" fontId="4" fillId="2" borderId="9" xfId="2" applyNumberFormat="1" applyFont="1" applyFill="1" applyBorder="1" applyAlignment="1">
      <alignment vertical="top"/>
    </xf>
    <xf numFmtId="0" fontId="4" fillId="2" borderId="10" xfId="2" applyNumberFormat="1" applyFont="1" applyFill="1" applyBorder="1" applyAlignment="1">
      <alignment vertical="top"/>
    </xf>
    <xf numFmtId="0" fontId="4" fillId="2" borderId="11" xfId="2" applyNumberFormat="1" applyFont="1" applyFill="1" applyBorder="1" applyAlignment="1">
      <alignment vertical="top"/>
    </xf>
    <xf numFmtId="0" fontId="5" fillId="0" borderId="1" xfId="2" applyNumberFormat="1" applyFont="1" applyBorder="1" applyAlignment="1">
      <alignment vertical="top"/>
    </xf>
    <xf numFmtId="0" fontId="5" fillId="0" borderId="1" xfId="2" applyNumberFormat="1" applyFont="1" applyBorder="1" applyAlignment="1">
      <alignment vertical="top" wrapText="1"/>
    </xf>
    <xf numFmtId="0" fontId="5" fillId="0" borderId="1" xfId="2" applyNumberFormat="1" applyFont="1" applyBorder="1" applyAlignment="1">
      <alignment horizontal="left" vertical="top"/>
    </xf>
    <xf numFmtId="4" fontId="5" fillId="0" borderId="1" xfId="2" applyNumberFormat="1" applyFont="1" applyBorder="1" applyAlignment="1">
      <alignment horizontal="right" vertical="top" wrapText="1"/>
    </xf>
    <xf numFmtId="0" fontId="5" fillId="0" borderId="13" xfId="2" applyNumberFormat="1" applyFont="1" applyBorder="1" applyAlignment="1">
      <alignment horizontal="right" vertical="top" wrapText="1"/>
    </xf>
    <xf numFmtId="0" fontId="5" fillId="0" borderId="12" xfId="2" applyNumberFormat="1" applyFont="1" applyBorder="1" applyAlignment="1">
      <alignment horizontal="center" vertical="top"/>
    </xf>
    <xf numFmtId="4" fontId="5" fillId="0" borderId="13" xfId="2" applyNumberFormat="1" applyFont="1" applyBorder="1" applyAlignment="1">
      <alignment horizontal="right" vertical="top" wrapText="1"/>
    </xf>
    <xf numFmtId="2" fontId="5" fillId="0" borderId="1" xfId="2" applyNumberFormat="1" applyFont="1" applyBorder="1" applyAlignment="1">
      <alignment horizontal="right" vertical="top" wrapText="1"/>
    </xf>
    <xf numFmtId="0" fontId="5" fillId="0" borderId="1" xfId="2" applyNumberFormat="1" applyFont="1" applyBorder="1" applyAlignment="1">
      <alignment horizontal="right" vertical="top" wrapText="1"/>
    </xf>
    <xf numFmtId="4" fontId="5" fillId="0" borderId="13" xfId="2" applyNumberFormat="1" applyFont="1" applyBorder="1" applyAlignment="1">
      <alignment horizontal="right" vertical="top" wrapText="1"/>
    </xf>
    <xf numFmtId="0" fontId="6" fillId="2" borderId="1" xfId="2" applyNumberFormat="1" applyFont="1" applyFill="1" applyBorder="1" applyAlignment="1">
      <alignment vertical="top"/>
    </xf>
    <xf numFmtId="4" fontId="6" fillId="2" borderId="1" xfId="2" applyNumberFormat="1" applyFont="1" applyFill="1" applyBorder="1" applyAlignment="1">
      <alignment horizontal="right" vertical="top" wrapText="1"/>
    </xf>
    <xf numFmtId="0" fontId="6" fillId="2" borderId="12" xfId="2" applyNumberFormat="1" applyFont="1" applyFill="1" applyBorder="1" applyAlignment="1">
      <alignment horizontal="center" vertical="top"/>
    </xf>
    <xf numFmtId="4" fontId="6" fillId="2" borderId="13" xfId="2" applyNumberFormat="1" applyFont="1" applyFill="1" applyBorder="1" applyAlignment="1">
      <alignment horizontal="right" vertical="top" wrapText="1"/>
    </xf>
    <xf numFmtId="0" fontId="4" fillId="2" borderId="2" xfId="3" applyNumberFormat="1" applyFont="1" applyFill="1" applyBorder="1" applyAlignment="1">
      <alignment vertical="top"/>
    </xf>
    <xf numFmtId="0" fontId="4" fillId="2" borderId="3" xfId="3" applyNumberFormat="1" applyFont="1" applyFill="1" applyBorder="1" applyAlignment="1">
      <alignment vertical="top"/>
    </xf>
    <xf numFmtId="0" fontId="4" fillId="2" borderId="4" xfId="3" applyNumberFormat="1" applyFont="1" applyFill="1" applyBorder="1" applyAlignment="1">
      <alignment vertical="top"/>
    </xf>
    <xf numFmtId="0" fontId="4" fillId="2" borderId="3" xfId="3" applyNumberFormat="1" applyFont="1" applyFill="1" applyBorder="1" applyAlignment="1">
      <alignment horizontal="center" vertical="top"/>
    </xf>
    <xf numFmtId="0" fontId="4" fillId="2" borderId="5" xfId="3" applyNumberFormat="1" applyFont="1" applyFill="1" applyBorder="1" applyAlignment="1">
      <alignment horizontal="center" vertical="top"/>
    </xf>
    <xf numFmtId="0" fontId="4" fillId="2" borderId="6" xfId="3" applyNumberFormat="1" applyFont="1" applyFill="1" applyBorder="1" applyAlignment="1">
      <alignment vertical="top"/>
    </xf>
    <xf numFmtId="0" fontId="4" fillId="2" borderId="7" xfId="3" applyNumberFormat="1" applyFont="1" applyFill="1" applyBorder="1" applyAlignment="1">
      <alignment vertical="top"/>
    </xf>
    <xf numFmtId="0" fontId="4" fillId="2" borderId="8" xfId="3" applyNumberFormat="1" applyFont="1" applyFill="1" applyBorder="1" applyAlignment="1">
      <alignment vertical="top"/>
    </xf>
    <xf numFmtId="0" fontId="4" fillId="2" borderId="5" xfId="3" applyNumberFormat="1" applyFont="1" applyFill="1" applyBorder="1" applyAlignment="1">
      <alignment vertical="top"/>
    </xf>
    <xf numFmtId="0" fontId="4" fillId="2" borderId="9" xfId="3" applyNumberFormat="1" applyFont="1" applyFill="1" applyBorder="1" applyAlignment="1">
      <alignment vertical="top"/>
    </xf>
    <xf numFmtId="0" fontId="4" fillId="2" borderId="9" xfId="3" applyNumberFormat="1" applyFont="1" applyFill="1" applyBorder="1" applyAlignment="1">
      <alignment vertical="top"/>
    </xf>
    <xf numFmtId="0" fontId="4" fillId="2" borderId="10" xfId="3" applyNumberFormat="1" applyFont="1" applyFill="1" applyBorder="1" applyAlignment="1">
      <alignment vertical="top"/>
    </xf>
    <xf numFmtId="0" fontId="4" fillId="2" borderId="11" xfId="3" applyNumberFormat="1" applyFont="1" applyFill="1" applyBorder="1" applyAlignment="1">
      <alignment vertical="top"/>
    </xf>
    <xf numFmtId="0" fontId="5" fillId="0" borderId="1" xfId="3" applyNumberFormat="1" applyFont="1" applyBorder="1" applyAlignment="1">
      <alignment vertical="top"/>
    </xf>
    <xf numFmtId="0" fontId="5" fillId="0" borderId="1" xfId="3" applyNumberFormat="1" applyFont="1" applyBorder="1" applyAlignment="1">
      <alignment vertical="top" wrapText="1"/>
    </xf>
    <xf numFmtId="0" fontId="5" fillId="0" borderId="1" xfId="3" applyNumberFormat="1" applyFont="1" applyBorder="1" applyAlignment="1">
      <alignment horizontal="left" vertical="top"/>
    </xf>
    <xf numFmtId="4" fontId="5" fillId="0" borderId="1" xfId="3" applyNumberFormat="1" applyFont="1" applyBorder="1" applyAlignment="1">
      <alignment horizontal="right" vertical="top" wrapText="1"/>
    </xf>
    <xf numFmtId="0" fontId="5" fillId="0" borderId="13" xfId="3" applyNumberFormat="1" applyFont="1" applyBorder="1" applyAlignment="1">
      <alignment horizontal="right" vertical="top" wrapText="1"/>
    </xf>
    <xf numFmtId="0" fontId="5" fillId="0" borderId="12" xfId="3" applyNumberFormat="1" applyFont="1" applyBorder="1" applyAlignment="1">
      <alignment horizontal="center" vertical="top"/>
    </xf>
    <xf numFmtId="4" fontId="5" fillId="0" borderId="13" xfId="3" applyNumberFormat="1" applyFont="1" applyBorder="1" applyAlignment="1">
      <alignment horizontal="right" vertical="top" wrapText="1"/>
    </xf>
    <xf numFmtId="2" fontId="5" fillId="0" borderId="1" xfId="3" applyNumberFormat="1" applyFont="1" applyBorder="1" applyAlignment="1">
      <alignment horizontal="right" vertical="top" wrapText="1"/>
    </xf>
    <xf numFmtId="0" fontId="5" fillId="0" borderId="1" xfId="3" applyNumberFormat="1" applyFont="1" applyBorder="1" applyAlignment="1">
      <alignment horizontal="right" vertical="top" wrapText="1"/>
    </xf>
    <xf numFmtId="4" fontId="5" fillId="0" borderId="13" xfId="3" applyNumberFormat="1" applyFont="1" applyBorder="1" applyAlignment="1">
      <alignment horizontal="right" vertical="top" wrapText="1"/>
    </xf>
    <xf numFmtId="2" fontId="5" fillId="0" borderId="13" xfId="3" applyNumberFormat="1" applyFont="1" applyBorder="1" applyAlignment="1">
      <alignment horizontal="right" vertical="top" wrapText="1"/>
    </xf>
    <xf numFmtId="0" fontId="6" fillId="2" borderId="1" xfId="3" applyNumberFormat="1" applyFont="1" applyFill="1" applyBorder="1" applyAlignment="1">
      <alignment vertical="top"/>
    </xf>
    <xf numFmtId="4" fontId="6" fillId="2" borderId="1" xfId="3" applyNumberFormat="1" applyFont="1" applyFill="1" applyBorder="1" applyAlignment="1">
      <alignment horizontal="right" vertical="top" wrapText="1"/>
    </xf>
    <xf numFmtId="0" fontId="6" fillId="2" borderId="12" xfId="3" applyNumberFormat="1" applyFont="1" applyFill="1" applyBorder="1" applyAlignment="1">
      <alignment horizontal="center" vertical="top"/>
    </xf>
    <xf numFmtId="4" fontId="6" fillId="2" borderId="13" xfId="3" applyNumberFormat="1" applyFont="1" applyFill="1" applyBorder="1" applyAlignment="1">
      <alignment horizontal="right" vertical="top" wrapText="1"/>
    </xf>
    <xf numFmtId="0" fontId="4" fillId="2" borderId="2" xfId="4" applyNumberFormat="1" applyFont="1" applyFill="1" applyBorder="1" applyAlignment="1">
      <alignment vertical="top"/>
    </xf>
    <xf numFmtId="0" fontId="4" fillId="2" borderId="3" xfId="4" applyNumberFormat="1" applyFont="1" applyFill="1" applyBorder="1" applyAlignment="1">
      <alignment vertical="top"/>
    </xf>
    <xf numFmtId="0" fontId="4" fillId="2" borderId="4" xfId="4" applyNumberFormat="1" applyFont="1" applyFill="1" applyBorder="1" applyAlignment="1">
      <alignment vertical="top"/>
    </xf>
    <xf numFmtId="0" fontId="4" fillId="2" borderId="3" xfId="4" applyNumberFormat="1" applyFont="1" applyFill="1" applyBorder="1" applyAlignment="1">
      <alignment horizontal="center" vertical="top"/>
    </xf>
    <xf numFmtId="0" fontId="4" fillId="2" borderId="5" xfId="4" applyNumberFormat="1" applyFont="1" applyFill="1" applyBorder="1" applyAlignment="1">
      <alignment horizontal="center" vertical="top"/>
    </xf>
    <xf numFmtId="0" fontId="4" fillId="2" borderId="6" xfId="4" applyNumberFormat="1" applyFont="1" applyFill="1" applyBorder="1" applyAlignment="1">
      <alignment vertical="top"/>
    </xf>
    <xf numFmtId="0" fontId="4" fillId="2" borderId="7" xfId="4" applyNumberFormat="1" applyFont="1" applyFill="1" applyBorder="1" applyAlignment="1">
      <alignment vertical="top"/>
    </xf>
    <xf numFmtId="0" fontId="4" fillId="2" borderId="8" xfId="4" applyNumberFormat="1" applyFont="1" applyFill="1" applyBorder="1" applyAlignment="1">
      <alignment vertical="top"/>
    </xf>
    <xf numFmtId="0" fontId="4" fillId="2" borderId="5" xfId="4" applyNumberFormat="1" applyFont="1" applyFill="1" applyBorder="1" applyAlignment="1">
      <alignment vertical="top"/>
    </xf>
    <xf numFmtId="0" fontId="4" fillId="2" borderId="9" xfId="4" applyNumberFormat="1" applyFont="1" applyFill="1" applyBorder="1" applyAlignment="1">
      <alignment vertical="top"/>
    </xf>
    <xf numFmtId="0" fontId="4" fillId="2" borderId="9" xfId="4" applyNumberFormat="1" applyFont="1" applyFill="1" applyBorder="1" applyAlignment="1">
      <alignment vertical="top"/>
    </xf>
    <xf numFmtId="0" fontId="4" fillId="2" borderId="10" xfId="4" applyNumberFormat="1" applyFont="1" applyFill="1" applyBorder="1" applyAlignment="1">
      <alignment vertical="top"/>
    </xf>
    <xf numFmtId="0" fontId="4" fillId="2" borderId="11" xfId="4" applyNumberFormat="1" applyFont="1" applyFill="1" applyBorder="1" applyAlignment="1">
      <alignment vertical="top"/>
    </xf>
    <xf numFmtId="0" fontId="5" fillId="0" borderId="1" xfId="4" applyNumberFormat="1" applyFont="1" applyBorder="1" applyAlignment="1">
      <alignment vertical="top"/>
    </xf>
    <xf numFmtId="0" fontId="5" fillId="0" borderId="1" xfId="4" applyNumberFormat="1" applyFont="1" applyBorder="1" applyAlignment="1">
      <alignment vertical="top" wrapText="1"/>
    </xf>
    <xf numFmtId="0" fontId="5" fillId="0" borderId="1" xfId="4" applyNumberFormat="1" applyFont="1" applyBorder="1" applyAlignment="1">
      <alignment horizontal="left" vertical="top"/>
    </xf>
    <xf numFmtId="4" fontId="5" fillId="0" borderId="1" xfId="4" applyNumberFormat="1" applyFont="1" applyBorder="1" applyAlignment="1">
      <alignment horizontal="right" vertical="top" wrapText="1"/>
    </xf>
    <xf numFmtId="0" fontId="5" fillId="0" borderId="13" xfId="4" applyNumberFormat="1" applyFont="1" applyBorder="1" applyAlignment="1">
      <alignment horizontal="right" vertical="top" wrapText="1"/>
    </xf>
    <xf numFmtId="0" fontId="5" fillId="0" borderId="12" xfId="4" applyNumberFormat="1" applyFont="1" applyBorder="1" applyAlignment="1">
      <alignment horizontal="center" vertical="top"/>
    </xf>
    <xf numFmtId="4" fontId="5" fillId="0" borderId="13" xfId="4" applyNumberFormat="1" applyFont="1" applyBorder="1" applyAlignment="1">
      <alignment horizontal="right" vertical="top" wrapText="1"/>
    </xf>
    <xf numFmtId="0" fontId="5" fillId="0" borderId="1" xfId="4" applyNumberFormat="1" applyFont="1" applyBorder="1" applyAlignment="1">
      <alignment horizontal="right" vertical="top" wrapText="1"/>
    </xf>
    <xf numFmtId="4" fontId="5" fillId="0" borderId="13" xfId="4" applyNumberFormat="1" applyFont="1" applyBorder="1" applyAlignment="1">
      <alignment horizontal="right" vertical="top" wrapText="1"/>
    </xf>
    <xf numFmtId="2" fontId="5" fillId="0" borderId="13" xfId="4" applyNumberFormat="1" applyFont="1" applyBorder="1" applyAlignment="1">
      <alignment horizontal="right" vertical="top" wrapText="1"/>
    </xf>
    <xf numFmtId="0" fontId="6" fillId="2" borderId="1" xfId="4" applyNumberFormat="1" applyFont="1" applyFill="1" applyBorder="1" applyAlignment="1">
      <alignment vertical="top"/>
    </xf>
    <xf numFmtId="4" fontId="6" fillId="2" borderId="1" xfId="4" applyNumberFormat="1" applyFont="1" applyFill="1" applyBorder="1" applyAlignment="1">
      <alignment horizontal="right" vertical="top" wrapText="1"/>
    </xf>
    <xf numFmtId="0" fontId="6" fillId="2" borderId="12" xfId="4" applyNumberFormat="1" applyFont="1" applyFill="1" applyBorder="1" applyAlignment="1">
      <alignment horizontal="center" vertical="top"/>
    </xf>
    <xf numFmtId="4" fontId="6" fillId="2" borderId="13" xfId="4" applyNumberFormat="1" applyFont="1" applyFill="1" applyBorder="1" applyAlignment="1">
      <alignment horizontal="right" vertical="top" wrapText="1"/>
    </xf>
    <xf numFmtId="0" fontId="4" fillId="2" borderId="2" xfId="5" applyNumberFormat="1" applyFont="1" applyFill="1" applyBorder="1" applyAlignment="1">
      <alignment vertical="top"/>
    </xf>
    <xf numFmtId="0" fontId="4" fillId="2" borderId="3" xfId="5" applyNumberFormat="1" applyFont="1" applyFill="1" applyBorder="1" applyAlignment="1">
      <alignment vertical="top"/>
    </xf>
    <xf numFmtId="0" fontId="4" fillId="2" borderId="4" xfId="5" applyNumberFormat="1" applyFont="1" applyFill="1" applyBorder="1" applyAlignment="1">
      <alignment vertical="top"/>
    </xf>
    <xf numFmtId="0" fontId="4" fillId="2" borderId="3" xfId="5" applyNumberFormat="1" applyFont="1" applyFill="1" applyBorder="1" applyAlignment="1">
      <alignment horizontal="center" vertical="top"/>
    </xf>
    <xf numFmtId="0" fontId="4" fillId="2" borderId="5" xfId="5" applyNumberFormat="1" applyFont="1" applyFill="1" applyBorder="1" applyAlignment="1">
      <alignment horizontal="center" vertical="top"/>
    </xf>
    <xf numFmtId="0" fontId="4" fillId="2" borderId="6" xfId="5" applyNumberFormat="1" applyFont="1" applyFill="1" applyBorder="1" applyAlignment="1">
      <alignment vertical="top"/>
    </xf>
    <xf numFmtId="0" fontId="4" fillId="2" borderId="7" xfId="5" applyNumberFormat="1" applyFont="1" applyFill="1" applyBorder="1" applyAlignment="1">
      <alignment vertical="top"/>
    </xf>
    <xf numFmtId="0" fontId="4" fillId="2" borderId="8" xfId="5" applyNumberFormat="1" applyFont="1" applyFill="1" applyBorder="1" applyAlignment="1">
      <alignment vertical="top"/>
    </xf>
    <xf numFmtId="0" fontId="4" fillId="2" borderId="5" xfId="5" applyNumberFormat="1" applyFont="1" applyFill="1" applyBorder="1" applyAlignment="1">
      <alignment vertical="top"/>
    </xf>
    <xf numFmtId="0" fontId="4" fillId="2" borderId="9" xfId="5" applyNumberFormat="1" applyFont="1" applyFill="1" applyBorder="1" applyAlignment="1">
      <alignment vertical="top"/>
    </xf>
    <xf numFmtId="0" fontId="4" fillId="2" borderId="9" xfId="5" applyNumberFormat="1" applyFont="1" applyFill="1" applyBorder="1" applyAlignment="1">
      <alignment vertical="top"/>
    </xf>
    <xf numFmtId="0" fontId="4" fillId="2" borderId="10" xfId="5" applyNumberFormat="1" applyFont="1" applyFill="1" applyBorder="1" applyAlignment="1">
      <alignment vertical="top"/>
    </xf>
    <xf numFmtId="0" fontId="4" fillId="2" borderId="11" xfId="5" applyNumberFormat="1" applyFont="1" applyFill="1" applyBorder="1" applyAlignment="1">
      <alignment vertical="top"/>
    </xf>
    <xf numFmtId="0" fontId="5" fillId="0" borderId="1" xfId="5" applyNumberFormat="1" applyFont="1" applyBorder="1" applyAlignment="1">
      <alignment vertical="top"/>
    </xf>
    <xf numFmtId="0" fontId="5" fillId="0" borderId="1" xfId="5" applyNumberFormat="1" applyFont="1" applyBorder="1" applyAlignment="1">
      <alignment vertical="top" wrapText="1"/>
    </xf>
    <xf numFmtId="0" fontId="5" fillId="0" borderId="1" xfId="5" applyNumberFormat="1" applyFont="1" applyBorder="1" applyAlignment="1">
      <alignment horizontal="left" vertical="top"/>
    </xf>
    <xf numFmtId="4" fontId="5" fillId="0" borderId="1" xfId="5" applyNumberFormat="1" applyFont="1" applyBorder="1" applyAlignment="1">
      <alignment horizontal="right" vertical="top" wrapText="1"/>
    </xf>
    <xf numFmtId="0" fontId="5" fillId="0" borderId="13" xfId="5" applyNumberFormat="1" applyFont="1" applyBorder="1" applyAlignment="1">
      <alignment horizontal="right" vertical="top" wrapText="1"/>
    </xf>
    <xf numFmtId="0" fontId="5" fillId="0" borderId="12" xfId="5" applyNumberFormat="1" applyFont="1" applyBorder="1" applyAlignment="1">
      <alignment horizontal="center" vertical="top"/>
    </xf>
    <xf numFmtId="4" fontId="5" fillId="0" borderId="13" xfId="5" applyNumberFormat="1" applyFont="1" applyBorder="1" applyAlignment="1">
      <alignment horizontal="right" vertical="top" wrapText="1"/>
    </xf>
    <xf numFmtId="0" fontId="5" fillId="0" borderId="1" xfId="5" applyNumberFormat="1" applyFont="1" applyBorder="1" applyAlignment="1">
      <alignment horizontal="right" vertical="top" wrapText="1"/>
    </xf>
    <xf numFmtId="4" fontId="5" fillId="0" borderId="13" xfId="5" applyNumberFormat="1" applyFont="1" applyBorder="1" applyAlignment="1">
      <alignment horizontal="right" vertical="top" wrapText="1"/>
    </xf>
    <xf numFmtId="2" fontId="5" fillId="0" borderId="13" xfId="5" applyNumberFormat="1" applyFont="1" applyBorder="1" applyAlignment="1">
      <alignment horizontal="right" vertical="top" wrapText="1"/>
    </xf>
    <xf numFmtId="2" fontId="5" fillId="0" borderId="1" xfId="5" applyNumberFormat="1" applyFont="1" applyBorder="1" applyAlignment="1">
      <alignment horizontal="right" vertical="top" wrapText="1"/>
    </xf>
    <xf numFmtId="0" fontId="6" fillId="2" borderId="1" xfId="5" applyNumberFormat="1" applyFont="1" applyFill="1" applyBorder="1" applyAlignment="1">
      <alignment vertical="top"/>
    </xf>
    <xf numFmtId="4" fontId="6" fillId="2" borderId="1" xfId="5" applyNumberFormat="1" applyFont="1" applyFill="1" applyBorder="1" applyAlignment="1">
      <alignment horizontal="right" vertical="top" wrapText="1"/>
    </xf>
    <xf numFmtId="0" fontId="6" fillId="2" borderId="12" xfId="5" applyNumberFormat="1" applyFont="1" applyFill="1" applyBorder="1" applyAlignment="1">
      <alignment horizontal="center" vertical="top"/>
    </xf>
    <xf numFmtId="4" fontId="6" fillId="2" borderId="13" xfId="5" applyNumberFormat="1" applyFont="1" applyFill="1" applyBorder="1" applyAlignment="1">
      <alignment horizontal="right" vertical="top" wrapText="1"/>
    </xf>
    <xf numFmtId="0" fontId="4" fillId="2" borderId="2" xfId="6" applyNumberFormat="1" applyFont="1" applyFill="1" applyBorder="1" applyAlignment="1">
      <alignment vertical="top"/>
    </xf>
    <xf numFmtId="0" fontId="4" fillId="2" borderId="3" xfId="6" applyNumberFormat="1" applyFont="1" applyFill="1" applyBorder="1" applyAlignment="1">
      <alignment vertical="top"/>
    </xf>
    <xf numFmtId="0" fontId="4" fillId="2" borderId="4" xfId="6" applyNumberFormat="1" applyFont="1" applyFill="1" applyBorder="1" applyAlignment="1">
      <alignment vertical="top"/>
    </xf>
    <xf numFmtId="0" fontId="4" fillId="2" borderId="3" xfId="6" applyNumberFormat="1" applyFont="1" applyFill="1" applyBorder="1" applyAlignment="1">
      <alignment horizontal="center" vertical="top"/>
    </xf>
    <xf numFmtId="0" fontId="4" fillId="2" borderId="5" xfId="6" applyNumberFormat="1" applyFont="1" applyFill="1" applyBorder="1" applyAlignment="1">
      <alignment horizontal="center" vertical="top"/>
    </xf>
    <xf numFmtId="0" fontId="4" fillId="2" borderId="6" xfId="6" applyNumberFormat="1" applyFont="1" applyFill="1" applyBorder="1" applyAlignment="1">
      <alignment vertical="top"/>
    </xf>
    <xf numFmtId="0" fontId="4" fillId="2" borderId="7" xfId="6" applyNumberFormat="1" applyFont="1" applyFill="1" applyBorder="1" applyAlignment="1">
      <alignment vertical="top"/>
    </xf>
    <xf numFmtId="0" fontId="4" fillId="2" borderId="8" xfId="6" applyNumberFormat="1" applyFont="1" applyFill="1" applyBorder="1" applyAlignment="1">
      <alignment vertical="top"/>
    </xf>
    <xf numFmtId="0" fontId="4" fillId="2" borderId="5" xfId="6" applyNumberFormat="1" applyFont="1" applyFill="1" applyBorder="1" applyAlignment="1">
      <alignment vertical="top"/>
    </xf>
    <xf numFmtId="0" fontId="4" fillId="2" borderId="9" xfId="6" applyNumberFormat="1" applyFont="1" applyFill="1" applyBorder="1" applyAlignment="1">
      <alignment vertical="top"/>
    </xf>
    <xf numFmtId="0" fontId="4" fillId="2" borderId="9" xfId="6" applyNumberFormat="1" applyFont="1" applyFill="1" applyBorder="1" applyAlignment="1">
      <alignment vertical="top"/>
    </xf>
    <xf numFmtId="0" fontId="4" fillId="2" borderId="10" xfId="6" applyNumberFormat="1" applyFont="1" applyFill="1" applyBorder="1" applyAlignment="1">
      <alignment vertical="top"/>
    </xf>
    <xf numFmtId="0" fontId="4" fillId="2" borderId="11" xfId="6" applyNumberFormat="1" applyFont="1" applyFill="1" applyBorder="1" applyAlignment="1">
      <alignment vertical="top"/>
    </xf>
    <xf numFmtId="0" fontId="5" fillId="0" borderId="1" xfId="6" applyNumberFormat="1" applyFont="1" applyBorder="1" applyAlignment="1">
      <alignment vertical="top"/>
    </xf>
    <xf numFmtId="0" fontId="5" fillId="0" borderId="1" xfId="6" applyNumberFormat="1" applyFont="1" applyBorder="1" applyAlignment="1">
      <alignment vertical="top" wrapText="1"/>
    </xf>
    <xf numFmtId="0" fontId="5" fillId="0" borderId="1" xfId="6" applyNumberFormat="1" applyFont="1" applyBorder="1" applyAlignment="1">
      <alignment horizontal="left" vertical="top"/>
    </xf>
    <xf numFmtId="4" fontId="5" fillId="0" borderId="1" xfId="6" applyNumberFormat="1" applyFont="1" applyBorder="1" applyAlignment="1">
      <alignment horizontal="right" vertical="top" wrapText="1"/>
    </xf>
    <xf numFmtId="0" fontId="5" fillId="0" borderId="13" xfId="6" applyNumberFormat="1" applyFont="1" applyBorder="1" applyAlignment="1">
      <alignment horizontal="right" vertical="top" wrapText="1"/>
    </xf>
    <xf numFmtId="0" fontId="5" fillId="0" borderId="12" xfId="6" applyNumberFormat="1" applyFont="1" applyBorder="1" applyAlignment="1">
      <alignment horizontal="center" vertical="top"/>
    </xf>
    <xf numFmtId="4" fontId="5" fillId="0" borderId="13" xfId="6" applyNumberFormat="1" applyFont="1" applyBorder="1" applyAlignment="1">
      <alignment horizontal="right" vertical="top" wrapText="1"/>
    </xf>
    <xf numFmtId="2" fontId="5" fillId="0" borderId="1" xfId="6" applyNumberFormat="1" applyFont="1" applyBorder="1" applyAlignment="1">
      <alignment horizontal="right" vertical="top" wrapText="1"/>
    </xf>
    <xf numFmtId="0" fontId="5" fillId="0" borderId="1" xfId="6" applyNumberFormat="1" applyFont="1" applyBorder="1" applyAlignment="1">
      <alignment horizontal="right" vertical="top" wrapText="1"/>
    </xf>
    <xf numFmtId="4" fontId="5" fillId="0" borderId="13" xfId="6" applyNumberFormat="1" applyFont="1" applyBorder="1" applyAlignment="1">
      <alignment horizontal="right" vertical="top" wrapText="1"/>
    </xf>
    <xf numFmtId="2" fontId="5" fillId="0" borderId="13" xfId="6" applyNumberFormat="1" applyFont="1" applyBorder="1" applyAlignment="1">
      <alignment horizontal="right" vertical="top" wrapText="1"/>
    </xf>
    <xf numFmtId="0" fontId="6" fillId="2" borderId="1" xfId="6" applyNumberFormat="1" applyFont="1" applyFill="1" applyBorder="1" applyAlignment="1">
      <alignment vertical="top"/>
    </xf>
    <xf numFmtId="4" fontId="6" fillId="2" borderId="1" xfId="6" applyNumberFormat="1" applyFont="1" applyFill="1" applyBorder="1" applyAlignment="1">
      <alignment horizontal="right" vertical="top" wrapText="1"/>
    </xf>
    <xf numFmtId="0" fontId="6" fillId="2" borderId="12" xfId="6" applyNumberFormat="1" applyFont="1" applyFill="1" applyBorder="1" applyAlignment="1">
      <alignment horizontal="center" vertical="top"/>
    </xf>
    <xf numFmtId="4" fontId="6" fillId="2" borderId="13" xfId="6" applyNumberFormat="1" applyFont="1" applyFill="1" applyBorder="1" applyAlignment="1">
      <alignment horizontal="right" vertical="top" wrapText="1"/>
    </xf>
    <xf numFmtId="0" fontId="4" fillId="2" borderId="2" xfId="7" applyNumberFormat="1" applyFont="1" applyFill="1" applyBorder="1" applyAlignment="1">
      <alignment vertical="top"/>
    </xf>
    <xf numFmtId="0" fontId="4" fillId="2" borderId="3" xfId="7" applyNumberFormat="1" applyFont="1" applyFill="1" applyBorder="1" applyAlignment="1">
      <alignment vertical="top"/>
    </xf>
    <xf numFmtId="0" fontId="4" fillId="2" borderId="4" xfId="7" applyNumberFormat="1" applyFont="1" applyFill="1" applyBorder="1" applyAlignment="1">
      <alignment vertical="top"/>
    </xf>
    <xf numFmtId="0" fontId="4" fillId="2" borderId="3" xfId="7" applyNumberFormat="1" applyFont="1" applyFill="1" applyBorder="1" applyAlignment="1">
      <alignment horizontal="center" vertical="top"/>
    </xf>
    <xf numFmtId="0" fontId="4" fillId="2" borderId="5" xfId="7" applyNumberFormat="1" applyFont="1" applyFill="1" applyBorder="1" applyAlignment="1">
      <alignment horizontal="center" vertical="top"/>
    </xf>
    <xf numFmtId="0" fontId="4" fillId="2" borderId="6" xfId="7" applyNumberFormat="1" applyFont="1" applyFill="1" applyBorder="1" applyAlignment="1">
      <alignment vertical="top"/>
    </xf>
    <xf numFmtId="0" fontId="4" fillId="2" borderId="7" xfId="7" applyNumberFormat="1" applyFont="1" applyFill="1" applyBorder="1" applyAlignment="1">
      <alignment vertical="top"/>
    </xf>
    <xf numFmtId="0" fontId="4" fillId="2" borderId="8" xfId="7" applyNumberFormat="1" applyFont="1" applyFill="1" applyBorder="1" applyAlignment="1">
      <alignment vertical="top"/>
    </xf>
    <xf numFmtId="0" fontId="4" fillId="2" borderId="5" xfId="7" applyNumberFormat="1" applyFont="1" applyFill="1" applyBorder="1" applyAlignment="1">
      <alignment vertical="top"/>
    </xf>
    <xf numFmtId="0" fontId="4" fillId="2" borderId="9" xfId="7" applyNumberFormat="1" applyFont="1" applyFill="1" applyBorder="1" applyAlignment="1">
      <alignment vertical="top"/>
    </xf>
    <xf numFmtId="0" fontId="4" fillId="2" borderId="9" xfId="7" applyNumberFormat="1" applyFont="1" applyFill="1" applyBorder="1" applyAlignment="1">
      <alignment vertical="top"/>
    </xf>
    <xf numFmtId="0" fontId="4" fillId="2" borderId="10" xfId="7" applyNumberFormat="1" applyFont="1" applyFill="1" applyBorder="1" applyAlignment="1">
      <alignment vertical="top"/>
    </xf>
    <xf numFmtId="0" fontId="4" fillId="2" borderId="11" xfId="7" applyNumberFormat="1" applyFont="1" applyFill="1" applyBorder="1" applyAlignment="1">
      <alignment vertical="top"/>
    </xf>
    <xf numFmtId="0" fontId="5" fillId="0" borderId="1" xfId="7" applyNumberFormat="1" applyFont="1" applyBorder="1" applyAlignment="1">
      <alignment vertical="top"/>
    </xf>
    <xf numFmtId="0" fontId="5" fillId="0" borderId="1" xfId="7" applyNumberFormat="1" applyFont="1" applyBorder="1" applyAlignment="1">
      <alignment vertical="top" wrapText="1"/>
    </xf>
    <xf numFmtId="0" fontId="5" fillId="0" borderId="1" xfId="7" applyNumberFormat="1" applyFont="1" applyBorder="1" applyAlignment="1">
      <alignment horizontal="left" vertical="top"/>
    </xf>
    <xf numFmtId="4" fontId="5" fillId="0" borderId="1" xfId="7" applyNumberFormat="1" applyFont="1" applyBorder="1" applyAlignment="1">
      <alignment horizontal="right" vertical="top" wrapText="1"/>
    </xf>
    <xf numFmtId="0" fontId="5" fillId="0" borderId="13" xfId="7" applyNumberFormat="1" applyFont="1" applyBorder="1" applyAlignment="1">
      <alignment horizontal="right" vertical="top" wrapText="1"/>
    </xf>
    <xf numFmtId="0" fontId="5" fillId="0" borderId="12" xfId="7" applyNumberFormat="1" applyFont="1" applyBorder="1" applyAlignment="1">
      <alignment horizontal="center" vertical="top"/>
    </xf>
    <xf numFmtId="4" fontId="5" fillId="0" borderId="13" xfId="7" applyNumberFormat="1" applyFont="1" applyBorder="1" applyAlignment="1">
      <alignment horizontal="right" vertical="top" wrapText="1"/>
    </xf>
    <xf numFmtId="2" fontId="5" fillId="0" borderId="1" xfId="7" applyNumberFormat="1" applyFont="1" applyBorder="1" applyAlignment="1">
      <alignment horizontal="right" vertical="top" wrapText="1"/>
    </xf>
    <xf numFmtId="0" fontId="5" fillId="0" borderId="1" xfId="7" applyNumberFormat="1" applyFont="1" applyBorder="1" applyAlignment="1">
      <alignment horizontal="right" vertical="top" wrapText="1"/>
    </xf>
    <xf numFmtId="2" fontId="5" fillId="0" borderId="13" xfId="7" applyNumberFormat="1" applyFont="1" applyBorder="1" applyAlignment="1">
      <alignment horizontal="right" vertical="top" wrapText="1"/>
    </xf>
    <xf numFmtId="4" fontId="5" fillId="0" borderId="13" xfId="7" applyNumberFormat="1" applyFont="1" applyBorder="1" applyAlignment="1">
      <alignment horizontal="right" vertical="top" wrapText="1"/>
    </xf>
    <xf numFmtId="0" fontId="6" fillId="2" borderId="1" xfId="7" applyNumberFormat="1" applyFont="1" applyFill="1" applyBorder="1" applyAlignment="1">
      <alignment vertical="top"/>
    </xf>
    <xf numFmtId="4" fontId="6" fillId="2" borderId="1" xfId="7" applyNumberFormat="1" applyFont="1" applyFill="1" applyBorder="1" applyAlignment="1">
      <alignment horizontal="right" vertical="top" wrapText="1"/>
    </xf>
    <xf numFmtId="0" fontId="6" fillId="2" borderId="12" xfId="7" applyNumberFormat="1" applyFont="1" applyFill="1" applyBorder="1" applyAlignment="1">
      <alignment horizontal="center" vertical="top"/>
    </xf>
    <xf numFmtId="4" fontId="6" fillId="2" borderId="13" xfId="7" applyNumberFormat="1" applyFont="1" applyFill="1" applyBorder="1" applyAlignment="1">
      <alignment horizontal="right" vertical="top" wrapText="1"/>
    </xf>
    <xf numFmtId="0" fontId="4" fillId="2" borderId="2" xfId="8" applyNumberFormat="1" applyFont="1" applyFill="1" applyBorder="1" applyAlignment="1">
      <alignment vertical="top"/>
    </xf>
    <xf numFmtId="0" fontId="4" fillId="2" borderId="3" xfId="8" applyNumberFormat="1" applyFont="1" applyFill="1" applyBorder="1" applyAlignment="1">
      <alignment vertical="top"/>
    </xf>
    <xf numFmtId="0" fontId="4" fillId="2" borderId="4" xfId="8" applyNumberFormat="1" applyFont="1" applyFill="1" applyBorder="1" applyAlignment="1">
      <alignment vertical="top"/>
    </xf>
    <xf numFmtId="0" fontId="4" fillId="2" borderId="3" xfId="8" applyNumberFormat="1" applyFont="1" applyFill="1" applyBorder="1" applyAlignment="1">
      <alignment horizontal="center" vertical="top"/>
    </xf>
    <xf numFmtId="0" fontId="4" fillId="2" borderId="5" xfId="8" applyNumberFormat="1" applyFont="1" applyFill="1" applyBorder="1" applyAlignment="1">
      <alignment horizontal="center" vertical="top"/>
    </xf>
    <xf numFmtId="0" fontId="4" fillId="2" borderId="6" xfId="8" applyNumberFormat="1" applyFont="1" applyFill="1" applyBorder="1" applyAlignment="1">
      <alignment vertical="top"/>
    </xf>
    <xf numFmtId="0" fontId="4" fillId="2" borderId="7" xfId="8" applyNumberFormat="1" applyFont="1" applyFill="1" applyBorder="1" applyAlignment="1">
      <alignment vertical="top"/>
    </xf>
    <xf numFmtId="0" fontId="4" fillId="2" borderId="8" xfId="8" applyNumberFormat="1" applyFont="1" applyFill="1" applyBorder="1" applyAlignment="1">
      <alignment vertical="top"/>
    </xf>
    <xf numFmtId="0" fontId="4" fillId="2" borderId="5" xfId="8" applyNumberFormat="1" applyFont="1" applyFill="1" applyBorder="1" applyAlignment="1">
      <alignment vertical="top"/>
    </xf>
    <xf numFmtId="0" fontId="4" fillId="2" borderId="9" xfId="8" applyNumberFormat="1" applyFont="1" applyFill="1" applyBorder="1" applyAlignment="1">
      <alignment vertical="top"/>
    </xf>
    <xf numFmtId="0" fontId="4" fillId="2" borderId="9" xfId="8" applyNumberFormat="1" applyFont="1" applyFill="1" applyBorder="1" applyAlignment="1">
      <alignment vertical="top"/>
    </xf>
    <xf numFmtId="0" fontId="4" fillId="2" borderId="10" xfId="8" applyNumberFormat="1" applyFont="1" applyFill="1" applyBorder="1" applyAlignment="1">
      <alignment vertical="top"/>
    </xf>
    <xf numFmtId="0" fontId="4" fillId="2" borderId="11" xfId="8" applyNumberFormat="1" applyFont="1" applyFill="1" applyBorder="1" applyAlignment="1">
      <alignment vertical="top"/>
    </xf>
    <xf numFmtId="0" fontId="4" fillId="2" borderId="1" xfId="8" applyNumberFormat="1" applyFont="1" applyFill="1" applyBorder="1" applyAlignment="1">
      <alignment vertical="top"/>
    </xf>
    <xf numFmtId="0" fontId="4" fillId="2" borderId="1" xfId="8" applyNumberFormat="1" applyFont="1" applyFill="1" applyBorder="1" applyAlignment="1">
      <alignment horizontal="right" vertical="top"/>
    </xf>
    <xf numFmtId="0" fontId="4" fillId="2" borderId="12" xfId="8" applyNumberFormat="1" applyFont="1" applyFill="1" applyBorder="1" applyAlignment="1">
      <alignment horizontal="center" vertical="top"/>
    </xf>
    <xf numFmtId="4" fontId="4" fillId="2" borderId="13" xfId="8" applyNumberFormat="1" applyFont="1" applyFill="1" applyBorder="1" applyAlignment="1">
      <alignment horizontal="right" vertical="top" wrapText="1"/>
    </xf>
    <xf numFmtId="0" fontId="5" fillId="0" borderId="1" xfId="8" applyNumberFormat="1" applyFont="1" applyBorder="1" applyAlignment="1">
      <alignment vertical="top"/>
    </xf>
    <xf numFmtId="0" fontId="5" fillId="0" borderId="1" xfId="8" applyNumberFormat="1" applyFont="1" applyBorder="1" applyAlignment="1">
      <alignment vertical="top" wrapText="1"/>
    </xf>
    <xf numFmtId="0" fontId="5" fillId="0" borderId="1" xfId="8" applyNumberFormat="1" applyFont="1" applyBorder="1" applyAlignment="1">
      <alignment horizontal="left" vertical="top"/>
    </xf>
    <xf numFmtId="0" fontId="5" fillId="0" borderId="1" xfId="8" applyNumberFormat="1" applyFont="1" applyBorder="1" applyAlignment="1">
      <alignment horizontal="right" vertical="top" wrapText="1"/>
    </xf>
    <xf numFmtId="4" fontId="5" fillId="0" borderId="13" xfId="8" applyNumberFormat="1" applyFont="1" applyBorder="1" applyAlignment="1">
      <alignment horizontal="right" vertical="top" wrapText="1"/>
    </xf>
    <xf numFmtId="0" fontId="5" fillId="0" borderId="12" xfId="8" applyNumberFormat="1" applyFont="1" applyBorder="1" applyAlignment="1">
      <alignment horizontal="center" vertical="top"/>
    </xf>
    <xf numFmtId="4" fontId="5" fillId="0" borderId="13" xfId="8" applyNumberFormat="1" applyFont="1" applyBorder="1" applyAlignment="1">
      <alignment horizontal="right" vertical="top" wrapText="1"/>
    </xf>
    <xf numFmtId="0" fontId="6" fillId="2" borderId="1" xfId="8" applyNumberFormat="1" applyFont="1" applyFill="1" applyBorder="1" applyAlignment="1">
      <alignment vertical="top"/>
    </xf>
    <xf numFmtId="2" fontId="6" fillId="2" borderId="1" xfId="8" applyNumberFormat="1" applyFont="1" applyFill="1" applyBorder="1" applyAlignment="1">
      <alignment horizontal="right" vertical="top" wrapText="1"/>
    </xf>
    <xf numFmtId="4" fontId="6" fillId="2" borderId="1" xfId="8" applyNumberFormat="1" applyFont="1" applyFill="1" applyBorder="1" applyAlignment="1">
      <alignment horizontal="right" vertical="top" wrapText="1"/>
    </xf>
    <xf numFmtId="0" fontId="6" fillId="2" borderId="12" xfId="8" applyNumberFormat="1" applyFont="1" applyFill="1" applyBorder="1" applyAlignment="1">
      <alignment horizontal="center" vertical="top"/>
    </xf>
    <xf numFmtId="4" fontId="6" fillId="2" borderId="13" xfId="8" applyNumberFormat="1" applyFont="1" applyFill="1" applyBorder="1" applyAlignment="1">
      <alignment horizontal="right" vertical="top" wrapText="1"/>
    </xf>
    <xf numFmtId="0" fontId="4" fillId="2" borderId="2" xfId="9" applyNumberFormat="1" applyFont="1" applyFill="1" applyBorder="1" applyAlignment="1">
      <alignment vertical="top"/>
    </xf>
    <xf numFmtId="0" fontId="4" fillId="2" borderId="3" xfId="9" applyNumberFormat="1" applyFont="1" applyFill="1" applyBorder="1" applyAlignment="1">
      <alignment vertical="top"/>
    </xf>
    <xf numFmtId="0" fontId="4" fillId="2" borderId="4" xfId="9" applyNumberFormat="1" applyFont="1" applyFill="1" applyBorder="1" applyAlignment="1">
      <alignment vertical="top"/>
    </xf>
    <xf numFmtId="0" fontId="4" fillId="2" borderId="3" xfId="9" applyNumberFormat="1" applyFont="1" applyFill="1" applyBorder="1" applyAlignment="1">
      <alignment horizontal="center" vertical="top"/>
    </xf>
    <xf numFmtId="0" fontId="4" fillId="2" borderId="5" xfId="9" applyNumberFormat="1" applyFont="1" applyFill="1" applyBorder="1" applyAlignment="1">
      <alignment horizontal="center" vertical="top"/>
    </xf>
    <xf numFmtId="0" fontId="4" fillId="2" borderId="6" xfId="9" applyNumberFormat="1" applyFont="1" applyFill="1" applyBorder="1" applyAlignment="1">
      <alignment vertical="top"/>
    </xf>
    <xf numFmtId="0" fontId="4" fillId="2" borderId="7" xfId="9" applyNumberFormat="1" applyFont="1" applyFill="1" applyBorder="1" applyAlignment="1">
      <alignment vertical="top"/>
    </xf>
    <xf numFmtId="0" fontId="4" fillId="2" borderId="8" xfId="9" applyNumberFormat="1" applyFont="1" applyFill="1" applyBorder="1" applyAlignment="1">
      <alignment vertical="top"/>
    </xf>
    <xf numFmtId="0" fontId="4" fillId="2" borderId="5" xfId="9" applyNumberFormat="1" applyFont="1" applyFill="1" applyBorder="1" applyAlignment="1">
      <alignment vertical="top"/>
    </xf>
    <xf numFmtId="0" fontId="4" fillId="2" borderId="9" xfId="9" applyNumberFormat="1" applyFont="1" applyFill="1" applyBorder="1" applyAlignment="1">
      <alignment vertical="top"/>
    </xf>
    <xf numFmtId="0" fontId="4" fillId="2" borderId="9" xfId="9" applyNumberFormat="1" applyFont="1" applyFill="1" applyBorder="1" applyAlignment="1">
      <alignment vertical="top"/>
    </xf>
    <xf numFmtId="0" fontId="4" fillId="2" borderId="10" xfId="9" applyNumberFormat="1" applyFont="1" applyFill="1" applyBorder="1" applyAlignment="1">
      <alignment vertical="top"/>
    </xf>
    <xf numFmtId="0" fontId="4" fillId="2" borderId="11" xfId="9" applyNumberFormat="1" applyFont="1" applyFill="1" applyBorder="1" applyAlignment="1">
      <alignment vertical="top"/>
    </xf>
    <xf numFmtId="0" fontId="5" fillId="0" borderId="1" xfId="9" applyNumberFormat="1" applyFont="1" applyBorder="1" applyAlignment="1">
      <alignment vertical="top"/>
    </xf>
    <xf numFmtId="0" fontId="5" fillId="0" borderId="1" xfId="9" applyNumberFormat="1" applyFont="1" applyBorder="1" applyAlignment="1">
      <alignment vertical="top" wrapText="1"/>
    </xf>
    <xf numFmtId="0" fontId="5" fillId="0" borderId="1" xfId="9" applyNumberFormat="1" applyFont="1" applyBorder="1" applyAlignment="1">
      <alignment horizontal="left" vertical="top"/>
    </xf>
    <xf numFmtId="4" fontId="5" fillId="0" borderId="1" xfId="9" applyNumberFormat="1" applyFont="1" applyBorder="1" applyAlignment="1">
      <alignment horizontal="right" vertical="top" wrapText="1"/>
    </xf>
    <xf numFmtId="0" fontId="5" fillId="0" borderId="13" xfId="9" applyNumberFormat="1" applyFont="1" applyBorder="1" applyAlignment="1">
      <alignment horizontal="right" vertical="top" wrapText="1"/>
    </xf>
    <xf numFmtId="0" fontId="5" fillId="0" borderId="12" xfId="9" applyNumberFormat="1" applyFont="1" applyBorder="1" applyAlignment="1">
      <alignment horizontal="center" vertical="top"/>
    </xf>
    <xf numFmtId="4" fontId="5" fillId="0" borderId="13" xfId="9" applyNumberFormat="1" applyFont="1" applyBorder="1" applyAlignment="1">
      <alignment horizontal="right" vertical="top" wrapText="1"/>
    </xf>
    <xf numFmtId="0" fontId="5" fillId="0" borderId="1" xfId="9" applyNumberFormat="1" applyFont="1" applyBorder="1" applyAlignment="1">
      <alignment horizontal="right" vertical="top" wrapText="1"/>
    </xf>
    <xf numFmtId="4" fontId="5" fillId="0" borderId="13" xfId="9" applyNumberFormat="1" applyFont="1" applyBorder="1" applyAlignment="1">
      <alignment horizontal="right" vertical="top" wrapText="1"/>
    </xf>
    <xf numFmtId="2" fontId="5" fillId="0" borderId="1" xfId="9" applyNumberFormat="1" applyFont="1" applyBorder="1" applyAlignment="1">
      <alignment horizontal="right" vertical="top" wrapText="1"/>
    </xf>
    <xf numFmtId="0" fontId="6" fillId="2" borderId="1" xfId="9" applyNumberFormat="1" applyFont="1" applyFill="1" applyBorder="1" applyAlignment="1">
      <alignment vertical="top"/>
    </xf>
    <xf numFmtId="4" fontId="6" fillId="2" borderId="1" xfId="9" applyNumberFormat="1" applyFont="1" applyFill="1" applyBorder="1" applyAlignment="1">
      <alignment horizontal="right" vertical="top" wrapText="1"/>
    </xf>
    <xf numFmtId="0" fontId="6" fillId="2" borderId="12" xfId="9" applyNumberFormat="1" applyFont="1" applyFill="1" applyBorder="1" applyAlignment="1">
      <alignment horizontal="center" vertical="top"/>
    </xf>
    <xf numFmtId="4" fontId="6" fillId="2" borderId="13" xfId="9" applyNumberFormat="1" applyFont="1" applyFill="1" applyBorder="1" applyAlignment="1">
      <alignment horizontal="right" vertical="top" wrapText="1"/>
    </xf>
    <xf numFmtId="0" fontId="4" fillId="2" borderId="2" xfId="10" applyNumberFormat="1" applyFont="1" applyFill="1" applyBorder="1" applyAlignment="1">
      <alignment vertical="top"/>
    </xf>
    <xf numFmtId="0" fontId="4" fillId="2" borderId="3" xfId="10" applyNumberFormat="1" applyFont="1" applyFill="1" applyBorder="1" applyAlignment="1">
      <alignment vertical="top"/>
    </xf>
    <xf numFmtId="0" fontId="4" fillId="2" borderId="4" xfId="10" applyNumberFormat="1" applyFont="1" applyFill="1" applyBorder="1" applyAlignment="1">
      <alignment vertical="top"/>
    </xf>
    <xf numFmtId="0" fontId="4" fillId="2" borderId="3" xfId="10" applyNumberFormat="1" applyFont="1" applyFill="1" applyBorder="1" applyAlignment="1">
      <alignment horizontal="center" vertical="top"/>
    </xf>
    <xf numFmtId="0" fontId="4" fillId="2" borderId="5" xfId="10" applyNumberFormat="1" applyFont="1" applyFill="1" applyBorder="1" applyAlignment="1">
      <alignment horizontal="center" vertical="top"/>
    </xf>
    <xf numFmtId="0" fontId="4" fillId="2" borderId="6" xfId="10" applyNumberFormat="1" applyFont="1" applyFill="1" applyBorder="1" applyAlignment="1">
      <alignment vertical="top"/>
    </xf>
    <xf numFmtId="0" fontId="4" fillId="2" borderId="7" xfId="10" applyNumberFormat="1" applyFont="1" applyFill="1" applyBorder="1" applyAlignment="1">
      <alignment vertical="top"/>
    </xf>
    <xf numFmtId="0" fontId="4" fillId="2" borderId="8" xfId="10" applyNumberFormat="1" applyFont="1" applyFill="1" applyBorder="1" applyAlignment="1">
      <alignment vertical="top"/>
    </xf>
    <xf numFmtId="0" fontId="4" fillId="2" borderId="5" xfId="10" applyNumberFormat="1" applyFont="1" applyFill="1" applyBorder="1" applyAlignment="1">
      <alignment vertical="top"/>
    </xf>
    <xf numFmtId="0" fontId="4" fillId="2" borderId="9" xfId="10" applyNumberFormat="1" applyFont="1" applyFill="1" applyBorder="1" applyAlignment="1">
      <alignment vertical="top"/>
    </xf>
    <xf numFmtId="0" fontId="4" fillId="2" borderId="9" xfId="10" applyNumberFormat="1" applyFont="1" applyFill="1" applyBorder="1" applyAlignment="1">
      <alignment vertical="top"/>
    </xf>
    <xf numFmtId="0" fontId="4" fillId="2" borderId="10" xfId="10" applyNumberFormat="1" applyFont="1" applyFill="1" applyBorder="1" applyAlignment="1">
      <alignment vertical="top"/>
    </xf>
    <xf numFmtId="0" fontId="4" fillId="2" borderId="11" xfId="10" applyNumberFormat="1" applyFont="1" applyFill="1" applyBorder="1" applyAlignment="1">
      <alignment vertical="top"/>
    </xf>
    <xf numFmtId="0" fontId="5" fillId="0" borderId="1" xfId="10" applyNumberFormat="1" applyFont="1" applyBorder="1" applyAlignment="1">
      <alignment vertical="top"/>
    </xf>
    <xf numFmtId="0" fontId="5" fillId="0" borderId="1" xfId="10" applyNumberFormat="1" applyFont="1" applyBorder="1" applyAlignment="1">
      <alignment vertical="top" wrapText="1"/>
    </xf>
    <xf numFmtId="0" fontId="5" fillId="0" borderId="1" xfId="10" applyNumberFormat="1" applyFont="1" applyBorder="1" applyAlignment="1">
      <alignment horizontal="left" vertical="top"/>
    </xf>
    <xf numFmtId="4" fontId="5" fillId="0" borderId="1" xfId="10" applyNumberFormat="1" applyFont="1" applyBorder="1" applyAlignment="1">
      <alignment horizontal="right" vertical="top" wrapText="1"/>
    </xf>
    <xf numFmtId="0" fontId="5" fillId="0" borderId="13" xfId="10" applyNumberFormat="1" applyFont="1" applyBorder="1" applyAlignment="1">
      <alignment horizontal="right" vertical="top" wrapText="1"/>
    </xf>
    <xf numFmtId="0" fontId="5" fillId="0" borderId="12" xfId="10" applyNumberFormat="1" applyFont="1" applyBorder="1" applyAlignment="1">
      <alignment horizontal="center" vertical="top"/>
    </xf>
    <xf numFmtId="4" fontId="5" fillId="0" borderId="13" xfId="10" applyNumberFormat="1" applyFont="1" applyBorder="1" applyAlignment="1">
      <alignment horizontal="right" vertical="top" wrapText="1"/>
    </xf>
    <xf numFmtId="2" fontId="5" fillId="0" borderId="1" xfId="10" applyNumberFormat="1" applyFont="1" applyBorder="1" applyAlignment="1">
      <alignment horizontal="right" vertical="top" wrapText="1"/>
    </xf>
    <xf numFmtId="0" fontId="5" fillId="0" borderId="1" xfId="10" applyNumberFormat="1" applyFont="1" applyBorder="1" applyAlignment="1">
      <alignment horizontal="right" vertical="top" wrapText="1"/>
    </xf>
    <xf numFmtId="4" fontId="5" fillId="0" borderId="13" xfId="10" applyNumberFormat="1" applyFont="1" applyBorder="1" applyAlignment="1">
      <alignment horizontal="right" vertical="top" wrapText="1"/>
    </xf>
    <xf numFmtId="2" fontId="5" fillId="0" borderId="13" xfId="10" applyNumberFormat="1" applyFont="1" applyBorder="1" applyAlignment="1">
      <alignment horizontal="right" vertical="top" wrapText="1"/>
    </xf>
    <xf numFmtId="0" fontId="6" fillId="2" borderId="1" xfId="10" applyNumberFormat="1" applyFont="1" applyFill="1" applyBorder="1" applyAlignment="1">
      <alignment vertical="top"/>
    </xf>
    <xf numFmtId="4" fontId="6" fillId="2" borderId="1" xfId="10" applyNumberFormat="1" applyFont="1" applyFill="1" applyBorder="1" applyAlignment="1">
      <alignment horizontal="right" vertical="top" wrapText="1"/>
    </xf>
    <xf numFmtId="0" fontId="6" fillId="2" borderId="12" xfId="10" applyNumberFormat="1" applyFont="1" applyFill="1" applyBorder="1" applyAlignment="1">
      <alignment horizontal="center" vertical="top"/>
    </xf>
    <xf numFmtId="4" fontId="6" fillId="2" borderId="13" xfId="10" applyNumberFormat="1" applyFont="1" applyFill="1" applyBorder="1" applyAlignment="1">
      <alignment horizontal="right" vertical="top" wrapText="1"/>
    </xf>
    <xf numFmtId="0" fontId="4" fillId="2" borderId="2" xfId="11" applyNumberFormat="1" applyFont="1" applyFill="1" applyBorder="1" applyAlignment="1">
      <alignment vertical="top"/>
    </xf>
    <xf numFmtId="0" fontId="4" fillId="2" borderId="3" xfId="11" applyNumberFormat="1" applyFont="1" applyFill="1" applyBorder="1" applyAlignment="1">
      <alignment vertical="top"/>
    </xf>
    <xf numFmtId="0" fontId="4" fillId="2" borderId="4" xfId="11" applyNumberFormat="1" applyFont="1" applyFill="1" applyBorder="1" applyAlignment="1">
      <alignment vertical="top"/>
    </xf>
    <xf numFmtId="0" fontId="4" fillId="2" borderId="3" xfId="11" applyNumberFormat="1" applyFont="1" applyFill="1" applyBorder="1" applyAlignment="1">
      <alignment horizontal="center" vertical="top"/>
    </xf>
    <xf numFmtId="0" fontId="4" fillId="2" borderId="5" xfId="11" applyNumberFormat="1" applyFont="1" applyFill="1" applyBorder="1" applyAlignment="1">
      <alignment horizontal="center" vertical="top"/>
    </xf>
    <xf numFmtId="0" fontId="4" fillId="2" borderId="6" xfId="11" applyNumberFormat="1" applyFont="1" applyFill="1" applyBorder="1" applyAlignment="1">
      <alignment vertical="top"/>
    </xf>
    <xf numFmtId="0" fontId="4" fillId="2" borderId="7" xfId="11" applyNumberFormat="1" applyFont="1" applyFill="1" applyBorder="1" applyAlignment="1">
      <alignment vertical="top"/>
    </xf>
    <xf numFmtId="0" fontId="4" fillId="2" borderId="8" xfId="11" applyNumberFormat="1" applyFont="1" applyFill="1" applyBorder="1" applyAlignment="1">
      <alignment vertical="top"/>
    </xf>
    <xf numFmtId="0" fontId="4" fillId="2" borderId="5" xfId="11" applyNumberFormat="1" applyFont="1" applyFill="1" applyBorder="1" applyAlignment="1">
      <alignment vertical="top"/>
    </xf>
    <xf numFmtId="0" fontId="4" fillId="2" borderId="9" xfId="11" applyNumberFormat="1" applyFont="1" applyFill="1" applyBorder="1" applyAlignment="1">
      <alignment vertical="top"/>
    </xf>
    <xf numFmtId="0" fontId="4" fillId="2" borderId="9" xfId="11" applyNumberFormat="1" applyFont="1" applyFill="1" applyBorder="1" applyAlignment="1">
      <alignment vertical="top"/>
    </xf>
    <xf numFmtId="0" fontId="4" fillId="2" borderId="10" xfId="11" applyNumberFormat="1" applyFont="1" applyFill="1" applyBorder="1" applyAlignment="1">
      <alignment vertical="top"/>
    </xf>
    <xf numFmtId="0" fontId="4" fillId="2" borderId="11" xfId="11" applyNumberFormat="1" applyFont="1" applyFill="1" applyBorder="1" applyAlignment="1">
      <alignment vertical="top"/>
    </xf>
    <xf numFmtId="0" fontId="5" fillId="0" borderId="1" xfId="11" applyNumberFormat="1" applyFont="1" applyBorder="1" applyAlignment="1">
      <alignment vertical="top"/>
    </xf>
    <xf numFmtId="0" fontId="5" fillId="0" borderId="1" xfId="11" applyNumberFormat="1" applyFont="1" applyBorder="1" applyAlignment="1">
      <alignment vertical="top" wrapText="1"/>
    </xf>
    <xf numFmtId="0" fontId="5" fillId="0" borderId="1" xfId="11" applyNumberFormat="1" applyFont="1" applyBorder="1" applyAlignment="1">
      <alignment horizontal="left" vertical="top"/>
    </xf>
    <xf numFmtId="4" fontId="5" fillId="0" borderId="1" xfId="11" applyNumberFormat="1" applyFont="1" applyBorder="1" applyAlignment="1">
      <alignment horizontal="right" vertical="top" wrapText="1"/>
    </xf>
    <xf numFmtId="0" fontId="5" fillId="0" borderId="13" xfId="11" applyNumberFormat="1" applyFont="1" applyBorder="1" applyAlignment="1">
      <alignment horizontal="right" vertical="top" wrapText="1"/>
    </xf>
    <xf numFmtId="0" fontId="5" fillId="0" borderId="12" xfId="11" applyNumberFormat="1" applyFont="1" applyBorder="1" applyAlignment="1">
      <alignment horizontal="center" vertical="top"/>
    </xf>
    <xf numFmtId="4" fontId="5" fillId="0" borderId="13" xfId="11" applyNumberFormat="1" applyFont="1" applyBorder="1" applyAlignment="1">
      <alignment horizontal="right" vertical="top" wrapText="1"/>
    </xf>
    <xf numFmtId="2" fontId="5" fillId="0" borderId="1" xfId="11" applyNumberFormat="1" applyFont="1" applyBorder="1" applyAlignment="1">
      <alignment horizontal="right" vertical="top" wrapText="1"/>
    </xf>
    <xf numFmtId="0" fontId="5" fillId="0" borderId="1" xfId="11" applyNumberFormat="1" applyFont="1" applyBorder="1" applyAlignment="1">
      <alignment horizontal="right" vertical="top" wrapText="1"/>
    </xf>
    <xf numFmtId="4" fontId="5" fillId="0" borderId="13" xfId="11" applyNumberFormat="1" applyFont="1" applyBorder="1" applyAlignment="1">
      <alignment horizontal="right" vertical="top" wrapText="1"/>
    </xf>
    <xf numFmtId="2" fontId="5" fillId="0" borderId="13" xfId="11" applyNumberFormat="1" applyFont="1" applyBorder="1" applyAlignment="1">
      <alignment horizontal="right" vertical="top" wrapText="1"/>
    </xf>
    <xf numFmtId="0" fontId="6" fillId="2" borderId="1" xfId="11" applyNumberFormat="1" applyFont="1" applyFill="1" applyBorder="1" applyAlignment="1">
      <alignment vertical="top"/>
    </xf>
    <xf numFmtId="4" fontId="6" fillId="2" borderId="1" xfId="11" applyNumberFormat="1" applyFont="1" applyFill="1" applyBorder="1" applyAlignment="1">
      <alignment horizontal="right" vertical="top" wrapText="1"/>
    </xf>
    <xf numFmtId="0" fontId="6" fillId="2" borderId="12" xfId="11" applyNumberFormat="1" applyFont="1" applyFill="1" applyBorder="1" applyAlignment="1">
      <alignment horizontal="center" vertical="top"/>
    </xf>
    <xf numFmtId="4" fontId="6" fillId="2" borderId="13" xfId="11" applyNumberFormat="1" applyFont="1" applyFill="1" applyBorder="1" applyAlignment="1">
      <alignment horizontal="right" vertical="top" wrapText="1"/>
    </xf>
    <xf numFmtId="0" fontId="4" fillId="2" borderId="2" xfId="12" applyNumberFormat="1" applyFont="1" applyFill="1" applyBorder="1" applyAlignment="1">
      <alignment vertical="top"/>
    </xf>
    <xf numFmtId="0" fontId="4" fillId="2" borderId="3" xfId="12" applyNumberFormat="1" applyFont="1" applyFill="1" applyBorder="1" applyAlignment="1">
      <alignment vertical="top"/>
    </xf>
    <xf numFmtId="0" fontId="4" fillId="2" borderId="4" xfId="12" applyNumberFormat="1" applyFont="1" applyFill="1" applyBorder="1" applyAlignment="1">
      <alignment vertical="top"/>
    </xf>
    <xf numFmtId="0" fontId="4" fillId="2" borderId="3" xfId="12" applyNumberFormat="1" applyFont="1" applyFill="1" applyBorder="1" applyAlignment="1">
      <alignment horizontal="center" vertical="top"/>
    </xf>
    <xf numFmtId="0" fontId="4" fillId="2" borderId="5" xfId="12" applyNumberFormat="1" applyFont="1" applyFill="1" applyBorder="1" applyAlignment="1">
      <alignment horizontal="center" vertical="top"/>
    </xf>
    <xf numFmtId="0" fontId="4" fillId="2" borderId="6" xfId="12" applyNumberFormat="1" applyFont="1" applyFill="1" applyBorder="1" applyAlignment="1">
      <alignment vertical="top"/>
    </xf>
    <xf numFmtId="0" fontId="4" fillId="2" borderId="7" xfId="12" applyNumberFormat="1" applyFont="1" applyFill="1" applyBorder="1" applyAlignment="1">
      <alignment vertical="top"/>
    </xf>
    <xf numFmtId="0" fontId="4" fillId="2" borderId="8" xfId="12" applyNumberFormat="1" applyFont="1" applyFill="1" applyBorder="1" applyAlignment="1">
      <alignment vertical="top"/>
    </xf>
    <xf numFmtId="0" fontId="4" fillId="2" borderId="5" xfId="12" applyNumberFormat="1" applyFont="1" applyFill="1" applyBorder="1" applyAlignment="1">
      <alignment vertical="top"/>
    </xf>
    <xf numFmtId="0" fontId="4" fillId="2" borderId="9" xfId="12" applyNumberFormat="1" applyFont="1" applyFill="1" applyBorder="1" applyAlignment="1">
      <alignment vertical="top"/>
    </xf>
    <xf numFmtId="0" fontId="4" fillId="2" borderId="9" xfId="12" applyNumberFormat="1" applyFont="1" applyFill="1" applyBorder="1" applyAlignment="1">
      <alignment vertical="top"/>
    </xf>
    <xf numFmtId="0" fontId="4" fillId="2" borderId="10" xfId="12" applyNumberFormat="1" applyFont="1" applyFill="1" applyBorder="1" applyAlignment="1">
      <alignment vertical="top"/>
    </xf>
    <xf numFmtId="0" fontId="4" fillId="2" borderId="11" xfId="12" applyNumberFormat="1" applyFont="1" applyFill="1" applyBorder="1" applyAlignment="1">
      <alignment vertical="top"/>
    </xf>
    <xf numFmtId="0" fontId="5" fillId="0" borderId="1" xfId="12" applyNumberFormat="1" applyFont="1" applyBorder="1" applyAlignment="1">
      <alignment vertical="top"/>
    </xf>
    <xf numFmtId="0" fontId="5" fillId="0" borderId="1" xfId="12" applyNumberFormat="1" applyFont="1" applyBorder="1" applyAlignment="1">
      <alignment vertical="top" wrapText="1"/>
    </xf>
    <xf numFmtId="0" fontId="5" fillId="0" borderId="1" xfId="12" applyNumberFormat="1" applyFont="1" applyBorder="1" applyAlignment="1">
      <alignment horizontal="left" vertical="top"/>
    </xf>
    <xf numFmtId="4" fontId="5" fillId="0" borderId="1" xfId="12" applyNumberFormat="1" applyFont="1" applyBorder="1" applyAlignment="1">
      <alignment horizontal="right" vertical="top" wrapText="1"/>
    </xf>
    <xf numFmtId="0" fontId="5" fillId="0" borderId="13" xfId="12" applyNumberFormat="1" applyFont="1" applyBorder="1" applyAlignment="1">
      <alignment horizontal="right" vertical="top" wrapText="1"/>
    </xf>
    <xf numFmtId="0" fontId="5" fillId="0" borderId="12" xfId="12" applyNumberFormat="1" applyFont="1" applyBorder="1" applyAlignment="1">
      <alignment horizontal="center" vertical="top"/>
    </xf>
    <xf numFmtId="4" fontId="5" fillId="0" borderId="13" xfId="12" applyNumberFormat="1" applyFont="1" applyBorder="1" applyAlignment="1">
      <alignment horizontal="right" vertical="top" wrapText="1"/>
    </xf>
    <xf numFmtId="2" fontId="5" fillId="0" borderId="1" xfId="12" applyNumberFormat="1" applyFont="1" applyBorder="1" applyAlignment="1">
      <alignment horizontal="right" vertical="top" wrapText="1"/>
    </xf>
    <xf numFmtId="0" fontId="5" fillId="0" borderId="1" xfId="12" applyNumberFormat="1" applyFont="1" applyBorder="1" applyAlignment="1">
      <alignment horizontal="right" vertical="top" wrapText="1"/>
    </xf>
    <xf numFmtId="4" fontId="5" fillId="0" borderId="13" xfId="12" applyNumberFormat="1" applyFont="1" applyBorder="1" applyAlignment="1">
      <alignment horizontal="right" vertical="top" wrapText="1"/>
    </xf>
    <xf numFmtId="2" fontId="5" fillId="0" borderId="13" xfId="12" applyNumberFormat="1" applyFont="1" applyBorder="1" applyAlignment="1">
      <alignment horizontal="right" vertical="top" wrapText="1"/>
    </xf>
    <xf numFmtId="0" fontId="6" fillId="2" borderId="1" xfId="12" applyNumberFormat="1" applyFont="1" applyFill="1" applyBorder="1" applyAlignment="1">
      <alignment vertical="top"/>
    </xf>
    <xf numFmtId="4" fontId="6" fillId="2" borderId="1" xfId="12" applyNumberFormat="1" applyFont="1" applyFill="1" applyBorder="1" applyAlignment="1">
      <alignment horizontal="right" vertical="top" wrapText="1"/>
    </xf>
    <xf numFmtId="0" fontId="6" fillId="2" borderId="12" xfId="12" applyNumberFormat="1" applyFont="1" applyFill="1" applyBorder="1" applyAlignment="1">
      <alignment horizontal="center" vertical="top"/>
    </xf>
    <xf numFmtId="4" fontId="6" fillId="2" borderId="13" xfId="12" applyNumberFormat="1" applyFont="1" applyFill="1" applyBorder="1" applyAlignment="1">
      <alignment horizontal="right" vertical="top" wrapText="1"/>
    </xf>
    <xf numFmtId="0" fontId="4" fillId="2" borderId="2" xfId="13" applyNumberFormat="1" applyFont="1" applyFill="1" applyBorder="1" applyAlignment="1">
      <alignment vertical="top"/>
    </xf>
    <xf numFmtId="0" fontId="4" fillId="2" borderId="3" xfId="13" applyNumberFormat="1" applyFont="1" applyFill="1" applyBorder="1" applyAlignment="1">
      <alignment vertical="top"/>
    </xf>
    <xf numFmtId="0" fontId="4" fillId="2" borderId="4" xfId="13" applyNumberFormat="1" applyFont="1" applyFill="1" applyBorder="1" applyAlignment="1">
      <alignment vertical="top"/>
    </xf>
    <xf numFmtId="0" fontId="4" fillId="2" borderId="3" xfId="13" applyNumberFormat="1" applyFont="1" applyFill="1" applyBorder="1" applyAlignment="1">
      <alignment horizontal="center" vertical="top"/>
    </xf>
    <xf numFmtId="0" fontId="4" fillId="2" borderId="5" xfId="13" applyNumberFormat="1" applyFont="1" applyFill="1" applyBorder="1" applyAlignment="1">
      <alignment horizontal="center" vertical="top"/>
    </xf>
    <xf numFmtId="0" fontId="4" fillId="2" borderId="6" xfId="13" applyNumberFormat="1" applyFont="1" applyFill="1" applyBorder="1" applyAlignment="1">
      <alignment vertical="top"/>
    </xf>
    <xf numFmtId="0" fontId="4" fillId="2" borderId="7" xfId="13" applyNumberFormat="1" applyFont="1" applyFill="1" applyBorder="1" applyAlignment="1">
      <alignment vertical="top"/>
    </xf>
    <xf numFmtId="0" fontId="4" fillId="2" borderId="8" xfId="13" applyNumberFormat="1" applyFont="1" applyFill="1" applyBorder="1" applyAlignment="1">
      <alignment vertical="top"/>
    </xf>
    <xf numFmtId="0" fontId="4" fillId="2" borderId="5" xfId="13" applyNumberFormat="1" applyFont="1" applyFill="1" applyBorder="1" applyAlignment="1">
      <alignment vertical="top"/>
    </xf>
    <xf numFmtId="0" fontId="4" fillId="2" borderId="9" xfId="13" applyNumberFormat="1" applyFont="1" applyFill="1" applyBorder="1" applyAlignment="1">
      <alignment vertical="top"/>
    </xf>
    <xf numFmtId="0" fontId="4" fillId="2" borderId="9" xfId="13" applyNumberFormat="1" applyFont="1" applyFill="1" applyBorder="1" applyAlignment="1">
      <alignment vertical="top"/>
    </xf>
    <xf numFmtId="0" fontId="4" fillId="2" borderId="10" xfId="13" applyNumberFormat="1" applyFont="1" applyFill="1" applyBorder="1" applyAlignment="1">
      <alignment vertical="top"/>
    </xf>
    <xf numFmtId="0" fontId="4" fillId="2" borderId="11" xfId="13" applyNumberFormat="1" applyFont="1" applyFill="1" applyBorder="1" applyAlignment="1">
      <alignment vertical="top"/>
    </xf>
    <xf numFmtId="0" fontId="5" fillId="0" borderId="1" xfId="13" applyNumberFormat="1" applyFont="1" applyBorder="1" applyAlignment="1">
      <alignment vertical="top"/>
    </xf>
    <xf numFmtId="0" fontId="5" fillId="0" borderId="1" xfId="13" applyNumberFormat="1" applyFont="1" applyBorder="1" applyAlignment="1">
      <alignment vertical="top" wrapText="1"/>
    </xf>
    <xf numFmtId="0" fontId="5" fillId="0" borderId="1" xfId="13" applyNumberFormat="1" applyFont="1" applyBorder="1" applyAlignment="1">
      <alignment horizontal="left" vertical="top"/>
    </xf>
    <xf numFmtId="4" fontId="5" fillId="0" borderId="1" xfId="13" applyNumberFormat="1" applyFont="1" applyBorder="1" applyAlignment="1">
      <alignment horizontal="right" vertical="top" wrapText="1"/>
    </xf>
    <xf numFmtId="0" fontId="5" fillId="0" borderId="13" xfId="13" applyNumberFormat="1" applyFont="1" applyBorder="1" applyAlignment="1">
      <alignment horizontal="right" vertical="top" wrapText="1"/>
    </xf>
    <xf numFmtId="0" fontId="5" fillId="0" borderId="12" xfId="13" applyNumberFormat="1" applyFont="1" applyBorder="1" applyAlignment="1">
      <alignment horizontal="center" vertical="top"/>
    </xf>
    <xf numFmtId="4" fontId="5" fillId="0" borderId="13" xfId="13" applyNumberFormat="1" applyFont="1" applyBorder="1" applyAlignment="1">
      <alignment horizontal="right" vertical="top" wrapText="1"/>
    </xf>
    <xf numFmtId="2" fontId="5" fillId="0" borderId="1" xfId="13" applyNumberFormat="1" applyFont="1" applyBorder="1" applyAlignment="1">
      <alignment horizontal="right" vertical="top" wrapText="1"/>
    </xf>
    <xf numFmtId="0" fontId="5" fillId="0" borderId="1" xfId="13" applyNumberFormat="1" applyFont="1" applyBorder="1" applyAlignment="1">
      <alignment horizontal="right" vertical="top" wrapText="1"/>
    </xf>
    <xf numFmtId="4" fontId="5" fillId="0" borderId="13" xfId="13" applyNumberFormat="1" applyFont="1" applyBorder="1" applyAlignment="1">
      <alignment horizontal="right" vertical="top" wrapText="1"/>
    </xf>
    <xf numFmtId="2" fontId="5" fillId="0" borderId="13" xfId="13" applyNumberFormat="1" applyFont="1" applyBorder="1" applyAlignment="1">
      <alignment horizontal="right" vertical="top" wrapText="1"/>
    </xf>
    <xf numFmtId="0" fontId="6" fillId="2" borderId="1" xfId="13" applyNumberFormat="1" applyFont="1" applyFill="1" applyBorder="1" applyAlignment="1">
      <alignment vertical="top"/>
    </xf>
    <xf numFmtId="4" fontId="6" fillId="2" borderId="1" xfId="13" applyNumberFormat="1" applyFont="1" applyFill="1" applyBorder="1" applyAlignment="1">
      <alignment horizontal="right" vertical="top" wrapText="1"/>
    </xf>
    <xf numFmtId="0" fontId="6" fillId="2" borderId="12" xfId="13" applyNumberFormat="1" applyFont="1" applyFill="1" applyBorder="1" applyAlignment="1">
      <alignment horizontal="center" vertical="top"/>
    </xf>
    <xf numFmtId="4" fontId="6" fillId="2" borderId="13" xfId="13" applyNumberFormat="1" applyFont="1" applyFill="1" applyBorder="1" applyAlignment="1">
      <alignment horizontal="right" vertical="top" wrapText="1"/>
    </xf>
    <xf numFmtId="0" fontId="4" fillId="2" borderId="2" xfId="14" applyNumberFormat="1" applyFont="1" applyFill="1" applyBorder="1" applyAlignment="1">
      <alignment vertical="top"/>
    </xf>
    <xf numFmtId="0" fontId="4" fillId="2" borderId="3" xfId="14" applyNumberFormat="1" applyFont="1" applyFill="1" applyBorder="1" applyAlignment="1">
      <alignment vertical="top"/>
    </xf>
    <xf numFmtId="0" fontId="4" fillId="2" borderId="4" xfId="14" applyNumberFormat="1" applyFont="1" applyFill="1" applyBorder="1" applyAlignment="1">
      <alignment vertical="top"/>
    </xf>
    <xf numFmtId="0" fontId="4" fillId="2" borderId="3" xfId="14" applyNumberFormat="1" applyFont="1" applyFill="1" applyBorder="1" applyAlignment="1">
      <alignment horizontal="center" vertical="top"/>
    </xf>
    <xf numFmtId="0" fontId="4" fillId="2" borderId="5" xfId="14" applyNumberFormat="1" applyFont="1" applyFill="1" applyBorder="1" applyAlignment="1">
      <alignment horizontal="center" vertical="top"/>
    </xf>
    <xf numFmtId="0" fontId="4" fillId="2" borderId="6" xfId="14" applyNumberFormat="1" applyFont="1" applyFill="1" applyBorder="1" applyAlignment="1">
      <alignment vertical="top"/>
    </xf>
    <xf numFmtId="0" fontId="4" fillId="2" borderId="7" xfId="14" applyNumberFormat="1" applyFont="1" applyFill="1" applyBorder="1" applyAlignment="1">
      <alignment vertical="top"/>
    </xf>
    <xf numFmtId="0" fontId="4" fillId="2" borderId="8" xfId="14" applyNumberFormat="1" applyFont="1" applyFill="1" applyBorder="1" applyAlignment="1">
      <alignment vertical="top"/>
    </xf>
    <xf numFmtId="0" fontId="4" fillId="2" borderId="5" xfId="14" applyNumberFormat="1" applyFont="1" applyFill="1" applyBorder="1" applyAlignment="1">
      <alignment vertical="top"/>
    </xf>
    <xf numFmtId="0" fontId="4" fillId="2" borderId="9" xfId="14" applyNumberFormat="1" applyFont="1" applyFill="1" applyBorder="1" applyAlignment="1">
      <alignment vertical="top"/>
    </xf>
    <xf numFmtId="0" fontId="4" fillId="2" borderId="9" xfId="14" applyNumberFormat="1" applyFont="1" applyFill="1" applyBorder="1" applyAlignment="1">
      <alignment vertical="top"/>
    </xf>
    <xf numFmtId="0" fontId="4" fillId="2" borderId="10" xfId="14" applyNumberFormat="1" applyFont="1" applyFill="1" applyBorder="1" applyAlignment="1">
      <alignment vertical="top"/>
    </xf>
    <xf numFmtId="0" fontId="4" fillId="2" borderId="11" xfId="14" applyNumberFormat="1" applyFont="1" applyFill="1" applyBorder="1" applyAlignment="1">
      <alignment vertical="top"/>
    </xf>
    <xf numFmtId="0" fontId="5" fillId="0" borderId="1" xfId="14" applyNumberFormat="1" applyFont="1" applyBorder="1" applyAlignment="1">
      <alignment vertical="top"/>
    </xf>
    <xf numFmtId="0" fontId="5" fillId="0" borderId="1" xfId="14" applyNumberFormat="1" applyFont="1" applyBorder="1" applyAlignment="1">
      <alignment vertical="top" wrapText="1"/>
    </xf>
    <xf numFmtId="0" fontId="5" fillId="0" borderId="1" xfId="14" applyNumberFormat="1" applyFont="1" applyBorder="1" applyAlignment="1">
      <alignment horizontal="left" vertical="top"/>
    </xf>
    <xf numFmtId="0" fontId="5" fillId="0" borderId="1" xfId="14" applyNumberFormat="1" applyFont="1" applyBorder="1" applyAlignment="1">
      <alignment horizontal="right" vertical="top" wrapText="1"/>
    </xf>
    <xf numFmtId="4" fontId="5" fillId="0" borderId="13" xfId="14" applyNumberFormat="1" applyFont="1" applyBorder="1" applyAlignment="1">
      <alignment horizontal="right" vertical="top" wrapText="1"/>
    </xf>
    <xf numFmtId="0" fontId="5" fillId="0" borderId="12" xfId="14" applyNumberFormat="1" applyFont="1" applyBorder="1" applyAlignment="1">
      <alignment horizontal="center" vertical="top"/>
    </xf>
    <xf numFmtId="4" fontId="5" fillId="0" borderId="13" xfId="14" applyNumberFormat="1" applyFont="1" applyBorder="1" applyAlignment="1">
      <alignment horizontal="right" vertical="top" wrapText="1"/>
    </xf>
    <xf numFmtId="2" fontId="5" fillId="0" borderId="13" xfId="14" applyNumberFormat="1" applyFont="1" applyBorder="1" applyAlignment="1">
      <alignment horizontal="right" vertical="top" wrapText="1"/>
    </xf>
    <xf numFmtId="4" fontId="5" fillId="0" borderId="1" xfId="14" applyNumberFormat="1" applyFont="1" applyBorder="1" applyAlignment="1">
      <alignment horizontal="right" vertical="top" wrapText="1"/>
    </xf>
    <xf numFmtId="0" fontId="5" fillId="0" borderId="13" xfId="14" applyNumberFormat="1" applyFont="1" applyBorder="1" applyAlignment="1">
      <alignment horizontal="right" vertical="top" wrapText="1"/>
    </xf>
    <xf numFmtId="0" fontId="6" fillId="2" borderId="1" xfId="14" applyNumberFormat="1" applyFont="1" applyFill="1" applyBorder="1" applyAlignment="1">
      <alignment vertical="top"/>
    </xf>
    <xf numFmtId="4" fontId="6" fillId="2" borderId="1" xfId="14" applyNumberFormat="1" applyFont="1" applyFill="1" applyBorder="1" applyAlignment="1">
      <alignment horizontal="right" vertical="top" wrapText="1"/>
    </xf>
    <xf numFmtId="0" fontId="6" fillId="2" borderId="12" xfId="14" applyNumberFormat="1" applyFont="1" applyFill="1" applyBorder="1" applyAlignment="1">
      <alignment horizontal="center" vertical="top"/>
    </xf>
    <xf numFmtId="4" fontId="6" fillId="2" borderId="13" xfId="14" applyNumberFormat="1" applyFont="1" applyFill="1" applyBorder="1" applyAlignment="1">
      <alignment horizontal="right" vertical="top" wrapText="1"/>
    </xf>
    <xf numFmtId="4" fontId="0" fillId="0" borderId="0" xfId="0" applyNumberFormat="1"/>
    <xf numFmtId="4" fontId="1" fillId="0" borderId="0" xfId="0" applyNumberFormat="1" applyFont="1"/>
  </cellXfs>
  <cellStyles count="15">
    <cellStyle name="Обычный" xfId="0" builtinId="0"/>
    <cellStyle name="Обычный_АПК" xfId="2"/>
    <cellStyle name="Обычный_бігбегах" xfId="9"/>
    <cellStyle name="Обычный_Глобине-2" xfId="5"/>
    <cellStyle name="Обычный_ГП мытный" xfId="3"/>
    <cellStyle name="Обычный_ГП Стена" xfId="4"/>
    <cellStyle name="Обычный_екстракції" xfId="13"/>
    <cellStyle name="Обычный_Котельна" xfId="6"/>
    <cellStyle name="Обычный_Лист1" xfId="1"/>
    <cellStyle name="Обычный_меляси" xfId="11"/>
    <cellStyle name="Обычный_Насосна" xfId="7"/>
    <cellStyle name="Обычный_Пожежений" xfId="8"/>
    <cellStyle name="Обычный_розчинника" xfId="10"/>
    <cellStyle name="Обычный_СПК" xfId="12"/>
    <cellStyle name="Обычный_Цех_Глобино" xfId="1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5"/>
  <sheetViews>
    <sheetView tabSelected="1" workbookViewId="0">
      <selection activeCell="C15" sqref="C15"/>
    </sheetView>
  </sheetViews>
  <sheetFormatPr defaultRowHeight="14.4" x14ac:dyDescent="0.3"/>
  <cols>
    <col min="1" max="1" width="4" customWidth="1"/>
    <col min="2" max="2" width="49.44140625" customWidth="1"/>
    <col min="3" max="3" width="12.33203125" bestFit="1" customWidth="1"/>
  </cols>
  <sheetData>
    <row r="2" spans="2:3" x14ac:dyDescent="0.3">
      <c r="B2" s="1" t="s">
        <v>0</v>
      </c>
      <c r="C2" s="363">
        <v>0</v>
      </c>
    </row>
    <row r="3" spans="2:3" x14ac:dyDescent="0.3">
      <c r="B3" s="1" t="s">
        <v>1</v>
      </c>
      <c r="C3" s="363">
        <f>'ГП мытный'!J69*1.2</f>
        <v>637114.93199999991</v>
      </c>
    </row>
    <row r="4" spans="2:3" x14ac:dyDescent="0.3">
      <c r="B4" s="1" t="s">
        <v>2</v>
      </c>
      <c r="C4" s="363">
        <f>'ГП Стена'!J23*1.2</f>
        <v>121113.75599999999</v>
      </c>
    </row>
    <row r="5" spans="2:3" x14ac:dyDescent="0.3">
      <c r="B5" s="1" t="s">
        <v>3</v>
      </c>
      <c r="C5" s="363">
        <f>'Глобине-2'!J206*1.2</f>
        <v>26904.071999999993</v>
      </c>
    </row>
    <row r="6" spans="2:3" x14ac:dyDescent="0.3">
      <c r="B6" s="1" t="s">
        <v>4</v>
      </c>
      <c r="C6" s="363">
        <f>Котельна!J164*1.2</f>
        <v>900672.83999999962</v>
      </c>
    </row>
    <row r="7" spans="2:3" x14ac:dyDescent="0.3">
      <c r="B7" s="1" t="s">
        <v>5</v>
      </c>
      <c r="C7" s="363">
        <f>'Насосна '!J96*1.2</f>
        <v>107773.33199999999</v>
      </c>
    </row>
    <row r="8" spans="2:3" x14ac:dyDescent="0.3">
      <c r="B8" s="1" t="s">
        <v>6</v>
      </c>
      <c r="C8" s="363">
        <v>0</v>
      </c>
    </row>
    <row r="9" spans="2:3" x14ac:dyDescent="0.3">
      <c r="B9" s="1" t="s">
        <v>7</v>
      </c>
      <c r="C9" s="363">
        <v>0</v>
      </c>
    </row>
    <row r="10" spans="2:3" x14ac:dyDescent="0.3">
      <c r="B10" s="1" t="s">
        <v>8</v>
      </c>
      <c r="C10" s="363">
        <f>розчинника!J31*1.2</f>
        <v>241612.42799999999</v>
      </c>
    </row>
    <row r="11" spans="2:3" x14ac:dyDescent="0.3">
      <c r="B11" s="1" t="s">
        <v>9</v>
      </c>
      <c r="C11" s="363">
        <f>меляси!J38*1.2</f>
        <v>509111.24399999989</v>
      </c>
    </row>
    <row r="12" spans="2:3" x14ac:dyDescent="0.3">
      <c r="B12" s="1" t="s">
        <v>10</v>
      </c>
      <c r="C12" s="363">
        <f>СПК!J270*1.2</f>
        <v>5641979.6999999974</v>
      </c>
    </row>
    <row r="13" spans="2:3" x14ac:dyDescent="0.3">
      <c r="B13" s="1" t="s">
        <v>11</v>
      </c>
      <c r="C13" s="363">
        <f>екстракції!J719*1.2</f>
        <v>9190517.6639999971</v>
      </c>
    </row>
    <row r="14" spans="2:3" x14ac:dyDescent="0.3">
      <c r="B14" s="1" t="s">
        <v>12</v>
      </c>
      <c r="C14" s="363">
        <f>Цех_Глобино!J33*1.2</f>
        <v>585034.95599999989</v>
      </c>
    </row>
    <row r="15" spans="2:3" x14ac:dyDescent="0.3">
      <c r="C15" s="364">
        <f>SUM(C2:C14)</f>
        <v>17961834.923999995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40"/>
  <sheetViews>
    <sheetView workbookViewId="0">
      <selection activeCell="G43" sqref="G43"/>
    </sheetView>
  </sheetViews>
  <sheetFormatPr defaultRowHeight="14.4" x14ac:dyDescent="0.3"/>
  <cols>
    <col min="2" max="4" width="23.88671875" customWidth="1"/>
  </cols>
  <sheetData>
    <row r="1" spans="1:12" x14ac:dyDescent="0.3">
      <c r="A1" s="2" t="s">
        <v>13</v>
      </c>
      <c r="B1" s="3" t="s">
        <v>14</v>
      </c>
      <c r="C1" s="3" t="s">
        <v>15</v>
      </c>
      <c r="D1" s="4" t="s">
        <v>16</v>
      </c>
      <c r="E1" s="5" t="s">
        <v>17</v>
      </c>
      <c r="F1" s="5"/>
      <c r="G1" s="5"/>
      <c r="H1" s="6" t="s">
        <v>18</v>
      </c>
      <c r="I1" s="6"/>
      <c r="J1" s="6"/>
      <c r="K1" s="3" t="s">
        <v>19</v>
      </c>
      <c r="L1" s="3"/>
    </row>
    <row r="2" spans="1:12" hidden="1" x14ac:dyDescent="0.3">
      <c r="A2" s="7"/>
      <c r="B2" s="8"/>
      <c r="C2" s="8"/>
      <c r="D2" s="9"/>
      <c r="E2" s="10" t="s">
        <v>20</v>
      </c>
      <c r="F2" s="11"/>
      <c r="G2" s="11"/>
      <c r="H2" s="12" t="s">
        <v>20</v>
      </c>
      <c r="I2" s="13"/>
      <c r="J2" s="13"/>
      <c r="K2" s="7"/>
      <c r="L2" s="14"/>
    </row>
    <row r="3" spans="1:12" ht="71.400000000000006" hidden="1" x14ac:dyDescent="0.3">
      <c r="A3" s="15" t="s">
        <v>23</v>
      </c>
      <c r="B3" s="16" t="s">
        <v>24</v>
      </c>
      <c r="C3" s="16" t="s">
        <v>25</v>
      </c>
      <c r="D3" s="16" t="s">
        <v>26</v>
      </c>
      <c r="E3" s="17" t="s">
        <v>27</v>
      </c>
      <c r="F3" s="18">
        <v>2666.67</v>
      </c>
      <c r="G3" s="18"/>
      <c r="H3" s="17" t="s">
        <v>28</v>
      </c>
      <c r="I3" s="19" t="s">
        <v>29</v>
      </c>
      <c r="J3" s="19"/>
      <c r="K3" s="20" t="s">
        <v>22</v>
      </c>
      <c r="L3" s="21">
        <v>12936.92</v>
      </c>
    </row>
    <row r="4" spans="1:12" ht="71.400000000000006" hidden="1" x14ac:dyDescent="0.3">
      <c r="A4" s="15" t="s">
        <v>23</v>
      </c>
      <c r="B4" s="16" t="s">
        <v>24</v>
      </c>
      <c r="C4" s="16" t="s">
        <v>30</v>
      </c>
      <c r="D4" s="16" t="s">
        <v>26</v>
      </c>
      <c r="E4" s="17" t="s">
        <v>27</v>
      </c>
      <c r="F4" s="18">
        <v>69200</v>
      </c>
      <c r="G4" s="18"/>
      <c r="H4" s="17" t="s">
        <v>28</v>
      </c>
      <c r="I4" s="19" t="s">
        <v>29</v>
      </c>
      <c r="J4" s="19"/>
      <c r="K4" s="20" t="s">
        <v>22</v>
      </c>
      <c r="L4" s="21">
        <v>82136.92</v>
      </c>
    </row>
    <row r="5" spans="1:12" ht="71.400000000000006" hidden="1" x14ac:dyDescent="0.3">
      <c r="A5" s="15" t="s">
        <v>23</v>
      </c>
      <c r="B5" s="16" t="s">
        <v>24</v>
      </c>
      <c r="C5" s="16" t="s">
        <v>31</v>
      </c>
      <c r="D5" s="16" t="s">
        <v>26</v>
      </c>
      <c r="E5" s="17" t="s">
        <v>27</v>
      </c>
      <c r="F5" s="18">
        <v>108420</v>
      </c>
      <c r="G5" s="18"/>
      <c r="H5" s="17" t="s">
        <v>28</v>
      </c>
      <c r="I5" s="19" t="s">
        <v>29</v>
      </c>
      <c r="J5" s="19"/>
      <c r="K5" s="20" t="s">
        <v>22</v>
      </c>
      <c r="L5" s="21">
        <v>190556.92</v>
      </c>
    </row>
    <row r="6" spans="1:12" ht="71.400000000000006" hidden="1" x14ac:dyDescent="0.3">
      <c r="A6" s="15" t="s">
        <v>23</v>
      </c>
      <c r="B6" s="16" t="s">
        <v>24</v>
      </c>
      <c r="C6" s="16" t="s">
        <v>32</v>
      </c>
      <c r="D6" s="16" t="s">
        <v>26</v>
      </c>
      <c r="E6" s="17" t="s">
        <v>27</v>
      </c>
      <c r="F6" s="18">
        <v>292500</v>
      </c>
      <c r="G6" s="18"/>
      <c r="H6" s="17" t="s">
        <v>28</v>
      </c>
      <c r="I6" s="19" t="s">
        <v>29</v>
      </c>
      <c r="J6" s="19"/>
      <c r="K6" s="20" t="s">
        <v>22</v>
      </c>
      <c r="L6" s="21">
        <v>483056.92</v>
      </c>
    </row>
    <row r="7" spans="1:12" ht="71.400000000000006" hidden="1" x14ac:dyDescent="0.3">
      <c r="A7" s="15" t="s">
        <v>23</v>
      </c>
      <c r="B7" s="16" t="s">
        <v>24</v>
      </c>
      <c r="C7" s="16" t="s">
        <v>33</v>
      </c>
      <c r="D7" s="16" t="s">
        <v>26</v>
      </c>
      <c r="E7" s="17" t="s">
        <v>27</v>
      </c>
      <c r="F7" s="18">
        <v>10686</v>
      </c>
      <c r="G7" s="18"/>
      <c r="H7" s="17" t="s">
        <v>28</v>
      </c>
      <c r="I7" s="19" t="s">
        <v>29</v>
      </c>
      <c r="J7" s="19"/>
      <c r="K7" s="20" t="s">
        <v>22</v>
      </c>
      <c r="L7" s="21">
        <v>493742.92</v>
      </c>
    </row>
    <row r="8" spans="1:12" ht="61.2" hidden="1" x14ac:dyDescent="0.3">
      <c r="A8" s="15" t="s">
        <v>23</v>
      </c>
      <c r="B8" s="16" t="s">
        <v>24</v>
      </c>
      <c r="C8" s="16" t="s">
        <v>34</v>
      </c>
      <c r="D8" s="16" t="s">
        <v>26</v>
      </c>
      <c r="E8" s="17" t="s">
        <v>27</v>
      </c>
      <c r="F8" s="18">
        <v>7470</v>
      </c>
      <c r="G8" s="18"/>
      <c r="H8" s="17" t="s">
        <v>28</v>
      </c>
      <c r="I8" s="19" t="s">
        <v>29</v>
      </c>
      <c r="J8" s="19"/>
      <c r="K8" s="20" t="s">
        <v>22</v>
      </c>
      <c r="L8" s="21">
        <v>501212.92</v>
      </c>
    </row>
    <row r="9" spans="1:12" ht="61.2" hidden="1" x14ac:dyDescent="0.3">
      <c r="A9" s="15" t="s">
        <v>23</v>
      </c>
      <c r="B9" s="16" t="s">
        <v>24</v>
      </c>
      <c r="C9" s="16" t="s">
        <v>35</v>
      </c>
      <c r="D9" s="16" t="s">
        <v>26</v>
      </c>
      <c r="E9" s="17" t="s">
        <v>27</v>
      </c>
      <c r="F9" s="18">
        <v>19415.5</v>
      </c>
      <c r="G9" s="18"/>
      <c r="H9" s="17" t="s">
        <v>28</v>
      </c>
      <c r="I9" s="19" t="s">
        <v>29</v>
      </c>
      <c r="J9" s="19"/>
      <c r="K9" s="20" t="s">
        <v>22</v>
      </c>
      <c r="L9" s="21">
        <v>520628.42</v>
      </c>
    </row>
    <row r="10" spans="1:12" ht="71.400000000000006" hidden="1" x14ac:dyDescent="0.3">
      <c r="A10" s="15" t="s">
        <v>36</v>
      </c>
      <c r="B10" s="16" t="s">
        <v>37</v>
      </c>
      <c r="C10" s="16" t="s">
        <v>38</v>
      </c>
      <c r="D10" s="16" t="s">
        <v>26</v>
      </c>
      <c r="E10" s="17" t="s">
        <v>27</v>
      </c>
      <c r="F10" s="18">
        <v>538278</v>
      </c>
      <c r="G10" s="18"/>
      <c r="H10" s="17" t="s">
        <v>28</v>
      </c>
      <c r="I10" s="19" t="s">
        <v>29</v>
      </c>
      <c r="J10" s="19"/>
      <c r="K10" s="20" t="s">
        <v>22</v>
      </c>
      <c r="L10" s="21">
        <v>1058906.42</v>
      </c>
    </row>
    <row r="11" spans="1:12" ht="71.400000000000006" hidden="1" x14ac:dyDescent="0.3">
      <c r="A11" s="15" t="s">
        <v>36</v>
      </c>
      <c r="B11" s="16" t="s">
        <v>39</v>
      </c>
      <c r="C11" s="16" t="s">
        <v>40</v>
      </c>
      <c r="D11" s="16" t="s">
        <v>26</v>
      </c>
      <c r="E11" s="17" t="s">
        <v>27</v>
      </c>
      <c r="F11" s="18">
        <v>77220</v>
      </c>
      <c r="G11" s="18"/>
      <c r="H11" s="17" t="s">
        <v>28</v>
      </c>
      <c r="I11" s="19" t="s">
        <v>29</v>
      </c>
      <c r="J11" s="19"/>
      <c r="K11" s="20" t="s">
        <v>22</v>
      </c>
      <c r="L11" s="21">
        <v>1136126.42</v>
      </c>
    </row>
    <row r="12" spans="1:12" ht="71.400000000000006" hidden="1" x14ac:dyDescent="0.3">
      <c r="A12" s="15" t="s">
        <v>36</v>
      </c>
      <c r="B12" s="16" t="s">
        <v>39</v>
      </c>
      <c r="C12" s="16" t="s">
        <v>41</v>
      </c>
      <c r="D12" s="16" t="s">
        <v>26</v>
      </c>
      <c r="E12" s="17" t="s">
        <v>27</v>
      </c>
      <c r="F12" s="18">
        <v>415480</v>
      </c>
      <c r="G12" s="18"/>
      <c r="H12" s="17" t="s">
        <v>28</v>
      </c>
      <c r="I12" s="19" t="s">
        <v>29</v>
      </c>
      <c r="J12" s="19"/>
      <c r="K12" s="20" t="s">
        <v>22</v>
      </c>
      <c r="L12" s="21">
        <v>1551606.42</v>
      </c>
    </row>
    <row r="13" spans="1:12" ht="61.2" hidden="1" x14ac:dyDescent="0.3">
      <c r="A13" s="15" t="s">
        <v>42</v>
      </c>
      <c r="B13" s="16" t="s">
        <v>43</v>
      </c>
      <c r="C13" s="16" t="s">
        <v>44</v>
      </c>
      <c r="D13" s="16" t="s">
        <v>45</v>
      </c>
      <c r="E13" s="17" t="s">
        <v>27</v>
      </c>
      <c r="F13" s="18">
        <v>104880</v>
      </c>
      <c r="G13" s="18"/>
      <c r="H13" s="17" t="s">
        <v>28</v>
      </c>
      <c r="I13" s="19" t="s">
        <v>29</v>
      </c>
      <c r="J13" s="19"/>
      <c r="K13" s="20" t="s">
        <v>22</v>
      </c>
      <c r="L13" s="21">
        <v>1656486.42</v>
      </c>
    </row>
    <row r="14" spans="1:12" ht="61.2" x14ac:dyDescent="0.3">
      <c r="A14" s="15" t="s">
        <v>42</v>
      </c>
      <c r="B14" s="16" t="s">
        <v>46</v>
      </c>
      <c r="C14" s="16" t="s">
        <v>44</v>
      </c>
      <c r="D14" s="16" t="s">
        <v>45</v>
      </c>
      <c r="E14" s="17" t="s">
        <v>27</v>
      </c>
      <c r="F14" s="18">
        <v>52440</v>
      </c>
      <c r="G14" s="18"/>
      <c r="H14" s="17" t="s">
        <v>28</v>
      </c>
      <c r="I14" s="19" t="s">
        <v>29</v>
      </c>
      <c r="J14" s="19"/>
      <c r="K14" s="20" t="s">
        <v>22</v>
      </c>
      <c r="L14" s="21">
        <v>1708926.42</v>
      </c>
    </row>
    <row r="15" spans="1:12" ht="61.2" hidden="1" x14ac:dyDescent="0.3">
      <c r="A15" s="15" t="s">
        <v>47</v>
      </c>
      <c r="B15" s="16" t="s">
        <v>48</v>
      </c>
      <c r="C15" s="16" t="s">
        <v>49</v>
      </c>
      <c r="D15" s="16" t="s">
        <v>50</v>
      </c>
      <c r="E15" s="17" t="s">
        <v>27</v>
      </c>
      <c r="F15" s="18">
        <v>65840</v>
      </c>
      <c r="G15" s="18"/>
      <c r="H15" s="17" t="s">
        <v>27</v>
      </c>
      <c r="I15" s="19" t="s">
        <v>29</v>
      </c>
      <c r="J15" s="19"/>
      <c r="K15" s="20" t="s">
        <v>22</v>
      </c>
      <c r="L15" s="21">
        <v>1774766.42</v>
      </c>
    </row>
    <row r="16" spans="1:12" ht="61.2" hidden="1" x14ac:dyDescent="0.3">
      <c r="A16" s="15" t="s">
        <v>51</v>
      </c>
      <c r="B16" s="16" t="s">
        <v>52</v>
      </c>
      <c r="C16" s="16" t="s">
        <v>53</v>
      </c>
      <c r="D16" s="16" t="s">
        <v>54</v>
      </c>
      <c r="E16" s="17" t="s">
        <v>27</v>
      </c>
      <c r="F16" s="18">
        <v>33967.300000000003</v>
      </c>
      <c r="G16" s="18"/>
      <c r="H16" s="17" t="s">
        <v>27</v>
      </c>
      <c r="I16" s="19" t="s">
        <v>29</v>
      </c>
      <c r="J16" s="19"/>
      <c r="K16" s="20" t="s">
        <v>22</v>
      </c>
      <c r="L16" s="21">
        <v>1808733.72</v>
      </c>
    </row>
    <row r="17" spans="1:12" ht="61.2" hidden="1" x14ac:dyDescent="0.3">
      <c r="A17" s="15" t="s">
        <v>55</v>
      </c>
      <c r="B17" s="16" t="s">
        <v>56</v>
      </c>
      <c r="C17" s="16" t="s">
        <v>57</v>
      </c>
      <c r="D17" s="16" t="s">
        <v>58</v>
      </c>
      <c r="E17" s="17" t="s">
        <v>27</v>
      </c>
      <c r="F17" s="18">
        <v>12675.83</v>
      </c>
      <c r="G17" s="18"/>
      <c r="H17" s="17" t="s">
        <v>28</v>
      </c>
      <c r="I17" s="19" t="s">
        <v>29</v>
      </c>
      <c r="J17" s="19"/>
      <c r="K17" s="20" t="s">
        <v>22</v>
      </c>
      <c r="L17" s="21">
        <v>1821409.55</v>
      </c>
    </row>
    <row r="18" spans="1:12" ht="61.2" x14ac:dyDescent="0.3">
      <c r="A18" s="15" t="s">
        <v>55</v>
      </c>
      <c r="B18" s="16" t="s">
        <v>59</v>
      </c>
      <c r="C18" s="16" t="s">
        <v>57</v>
      </c>
      <c r="D18" s="16" t="s">
        <v>58</v>
      </c>
      <c r="E18" s="17" t="s">
        <v>27</v>
      </c>
      <c r="F18" s="18">
        <v>12985</v>
      </c>
      <c r="G18" s="18"/>
      <c r="H18" s="17" t="s">
        <v>28</v>
      </c>
      <c r="I18" s="19" t="s">
        <v>29</v>
      </c>
      <c r="J18" s="19"/>
      <c r="K18" s="20" t="s">
        <v>22</v>
      </c>
      <c r="L18" s="21">
        <v>1834394.55</v>
      </c>
    </row>
    <row r="19" spans="1:12" ht="61.2" hidden="1" x14ac:dyDescent="0.3">
      <c r="A19" s="15" t="s">
        <v>60</v>
      </c>
      <c r="B19" s="16" t="s">
        <v>61</v>
      </c>
      <c r="C19" s="16" t="s">
        <v>62</v>
      </c>
      <c r="D19" s="16" t="s">
        <v>63</v>
      </c>
      <c r="E19" s="17" t="s">
        <v>27</v>
      </c>
      <c r="F19" s="18">
        <v>40817.199999999997</v>
      </c>
      <c r="G19" s="18"/>
      <c r="H19" s="17" t="s">
        <v>27</v>
      </c>
      <c r="I19" s="19" t="s">
        <v>29</v>
      </c>
      <c r="J19" s="19"/>
      <c r="K19" s="20" t="s">
        <v>22</v>
      </c>
      <c r="L19" s="21">
        <v>1875211.75</v>
      </c>
    </row>
    <row r="20" spans="1:12" ht="71.400000000000006" hidden="1" x14ac:dyDescent="0.3">
      <c r="A20" s="15" t="s">
        <v>64</v>
      </c>
      <c r="B20" s="16" t="s">
        <v>65</v>
      </c>
      <c r="C20" s="16" t="s">
        <v>66</v>
      </c>
      <c r="D20" s="16" t="s">
        <v>67</v>
      </c>
      <c r="E20" s="17" t="s">
        <v>27</v>
      </c>
      <c r="F20" s="18">
        <v>75870</v>
      </c>
      <c r="G20" s="18"/>
      <c r="H20" s="17" t="s">
        <v>28</v>
      </c>
      <c r="I20" s="19" t="s">
        <v>29</v>
      </c>
      <c r="J20" s="19"/>
      <c r="K20" s="20" t="s">
        <v>22</v>
      </c>
      <c r="L20" s="21">
        <v>1951081.75</v>
      </c>
    </row>
    <row r="21" spans="1:12" ht="71.400000000000006" x14ac:dyDescent="0.3">
      <c r="A21" s="15" t="s">
        <v>64</v>
      </c>
      <c r="B21" s="16" t="s">
        <v>68</v>
      </c>
      <c r="C21" s="16" t="s">
        <v>66</v>
      </c>
      <c r="D21" s="16" t="s">
        <v>69</v>
      </c>
      <c r="E21" s="17" t="s">
        <v>27</v>
      </c>
      <c r="F21" s="18">
        <v>30938</v>
      </c>
      <c r="G21" s="18"/>
      <c r="H21" s="17" t="s">
        <v>28</v>
      </c>
      <c r="I21" s="19" t="s">
        <v>29</v>
      </c>
      <c r="J21" s="19"/>
      <c r="K21" s="20" t="s">
        <v>22</v>
      </c>
      <c r="L21" s="21">
        <v>1982019.75</v>
      </c>
    </row>
    <row r="22" spans="1:12" ht="61.2" hidden="1" x14ac:dyDescent="0.3">
      <c r="A22" s="15" t="s">
        <v>64</v>
      </c>
      <c r="B22" s="16" t="s">
        <v>70</v>
      </c>
      <c r="C22" s="16" t="s">
        <v>71</v>
      </c>
      <c r="D22" s="16" t="s">
        <v>72</v>
      </c>
      <c r="E22" s="17" t="s">
        <v>27</v>
      </c>
      <c r="F22" s="22">
        <v>99.05</v>
      </c>
      <c r="G22" s="22"/>
      <c r="H22" s="17" t="s">
        <v>27</v>
      </c>
      <c r="I22" s="19" t="s">
        <v>29</v>
      </c>
      <c r="J22" s="19"/>
      <c r="K22" s="20" t="s">
        <v>22</v>
      </c>
      <c r="L22" s="21">
        <v>1982118.8</v>
      </c>
    </row>
    <row r="23" spans="1:12" ht="61.2" hidden="1" x14ac:dyDescent="0.3">
      <c r="A23" s="15" t="s">
        <v>64</v>
      </c>
      <c r="B23" s="16" t="s">
        <v>70</v>
      </c>
      <c r="C23" s="16" t="s">
        <v>73</v>
      </c>
      <c r="D23" s="16" t="s">
        <v>74</v>
      </c>
      <c r="E23" s="17" t="s">
        <v>27</v>
      </c>
      <c r="F23" s="22">
        <v>810</v>
      </c>
      <c r="G23" s="22"/>
      <c r="H23" s="17" t="s">
        <v>27</v>
      </c>
      <c r="I23" s="19" t="s">
        <v>29</v>
      </c>
      <c r="J23" s="19"/>
      <c r="K23" s="20" t="s">
        <v>22</v>
      </c>
      <c r="L23" s="21">
        <v>1982928.8</v>
      </c>
    </row>
    <row r="24" spans="1:12" ht="61.2" hidden="1" x14ac:dyDescent="0.3">
      <c r="A24" s="15" t="s">
        <v>64</v>
      </c>
      <c r="B24" s="16" t="s">
        <v>70</v>
      </c>
      <c r="C24" s="16" t="s">
        <v>75</v>
      </c>
      <c r="D24" s="16" t="s">
        <v>76</v>
      </c>
      <c r="E24" s="17" t="s">
        <v>27</v>
      </c>
      <c r="F24" s="22">
        <v>91.25</v>
      </c>
      <c r="G24" s="22"/>
      <c r="H24" s="17" t="s">
        <v>27</v>
      </c>
      <c r="I24" s="19" t="s">
        <v>29</v>
      </c>
      <c r="J24" s="19"/>
      <c r="K24" s="20" t="s">
        <v>22</v>
      </c>
      <c r="L24" s="21">
        <v>1983020.05</v>
      </c>
    </row>
    <row r="25" spans="1:12" ht="61.2" hidden="1" x14ac:dyDescent="0.3">
      <c r="A25" s="15" t="s">
        <v>77</v>
      </c>
      <c r="B25" s="16" t="s">
        <v>78</v>
      </c>
      <c r="C25" s="16" t="s">
        <v>79</v>
      </c>
      <c r="D25" s="16" t="s">
        <v>80</v>
      </c>
      <c r="E25" s="17" t="s">
        <v>27</v>
      </c>
      <c r="F25" s="18">
        <v>40408.04</v>
      </c>
      <c r="G25" s="18"/>
      <c r="H25" s="17" t="s">
        <v>27</v>
      </c>
      <c r="I25" s="19" t="s">
        <v>29</v>
      </c>
      <c r="J25" s="19"/>
      <c r="K25" s="20" t="s">
        <v>22</v>
      </c>
      <c r="L25" s="21">
        <v>2023428.09</v>
      </c>
    </row>
    <row r="26" spans="1:12" ht="61.2" hidden="1" x14ac:dyDescent="0.3">
      <c r="A26" s="15" t="s">
        <v>81</v>
      </c>
      <c r="B26" s="16" t="s">
        <v>82</v>
      </c>
      <c r="C26" s="16" t="s">
        <v>83</v>
      </c>
      <c r="D26" s="16" t="s">
        <v>84</v>
      </c>
      <c r="E26" s="17" t="s">
        <v>27</v>
      </c>
      <c r="F26" s="18">
        <v>11546.72</v>
      </c>
      <c r="G26" s="18"/>
      <c r="H26" s="17" t="s">
        <v>28</v>
      </c>
      <c r="I26" s="19" t="s">
        <v>29</v>
      </c>
      <c r="J26" s="19"/>
      <c r="K26" s="20" t="s">
        <v>22</v>
      </c>
      <c r="L26" s="21">
        <v>2034974.81</v>
      </c>
    </row>
    <row r="27" spans="1:12" ht="61.2" hidden="1" x14ac:dyDescent="0.3">
      <c r="A27" s="15" t="s">
        <v>85</v>
      </c>
      <c r="B27" s="16" t="s">
        <v>86</v>
      </c>
      <c r="C27" s="16" t="s">
        <v>87</v>
      </c>
      <c r="D27" s="16" t="s">
        <v>49</v>
      </c>
      <c r="E27" s="17" t="s">
        <v>27</v>
      </c>
      <c r="F27" s="23" t="s">
        <v>29</v>
      </c>
      <c r="G27" s="23"/>
      <c r="H27" s="17" t="s">
        <v>27</v>
      </c>
      <c r="I27" s="24">
        <v>65840</v>
      </c>
      <c r="J27" s="24"/>
      <c r="K27" s="20" t="s">
        <v>22</v>
      </c>
      <c r="L27" s="21">
        <v>1969134.81</v>
      </c>
    </row>
    <row r="28" spans="1:12" ht="71.400000000000006" hidden="1" x14ac:dyDescent="0.3">
      <c r="A28" s="15" t="s">
        <v>85</v>
      </c>
      <c r="B28" s="16" t="s">
        <v>88</v>
      </c>
      <c r="C28" s="16" t="s">
        <v>89</v>
      </c>
      <c r="D28" s="16" t="s">
        <v>90</v>
      </c>
      <c r="E28" s="17" t="s">
        <v>27</v>
      </c>
      <c r="F28" s="18">
        <v>1470</v>
      </c>
      <c r="G28" s="18"/>
      <c r="H28" s="17" t="s">
        <v>28</v>
      </c>
      <c r="I28" s="19" t="s">
        <v>29</v>
      </c>
      <c r="J28" s="19"/>
      <c r="K28" s="20" t="s">
        <v>22</v>
      </c>
      <c r="L28" s="21">
        <v>1970604.81</v>
      </c>
    </row>
    <row r="29" spans="1:12" ht="61.2" hidden="1" x14ac:dyDescent="0.3">
      <c r="A29" s="15" t="s">
        <v>85</v>
      </c>
      <c r="B29" s="16" t="s">
        <v>88</v>
      </c>
      <c r="C29" s="16" t="s">
        <v>91</v>
      </c>
      <c r="D29" s="16" t="s">
        <v>90</v>
      </c>
      <c r="E29" s="17" t="s">
        <v>27</v>
      </c>
      <c r="F29" s="18">
        <v>2046</v>
      </c>
      <c r="G29" s="18"/>
      <c r="H29" s="17" t="s">
        <v>28</v>
      </c>
      <c r="I29" s="19" t="s">
        <v>29</v>
      </c>
      <c r="J29" s="19"/>
      <c r="K29" s="20" t="s">
        <v>22</v>
      </c>
      <c r="L29" s="21">
        <v>1972650.81</v>
      </c>
    </row>
    <row r="30" spans="1:12" ht="61.2" hidden="1" x14ac:dyDescent="0.3">
      <c r="A30" s="15" t="s">
        <v>85</v>
      </c>
      <c r="B30" s="16" t="s">
        <v>88</v>
      </c>
      <c r="C30" s="16" t="s">
        <v>92</v>
      </c>
      <c r="D30" s="16" t="s">
        <v>90</v>
      </c>
      <c r="E30" s="17" t="s">
        <v>27</v>
      </c>
      <c r="F30" s="22">
        <v>444</v>
      </c>
      <c r="G30" s="22"/>
      <c r="H30" s="17" t="s">
        <v>28</v>
      </c>
      <c r="I30" s="19" t="s">
        <v>29</v>
      </c>
      <c r="J30" s="19"/>
      <c r="K30" s="20" t="s">
        <v>22</v>
      </c>
      <c r="L30" s="21">
        <v>1973094.81</v>
      </c>
    </row>
    <row r="31" spans="1:12" ht="61.2" hidden="1" x14ac:dyDescent="0.3">
      <c r="A31" s="15" t="s">
        <v>85</v>
      </c>
      <c r="B31" s="16" t="s">
        <v>88</v>
      </c>
      <c r="C31" s="16" t="s">
        <v>93</v>
      </c>
      <c r="D31" s="16" t="s">
        <v>90</v>
      </c>
      <c r="E31" s="17" t="s">
        <v>27</v>
      </c>
      <c r="F31" s="22">
        <v>166</v>
      </c>
      <c r="G31" s="22"/>
      <c r="H31" s="17" t="s">
        <v>28</v>
      </c>
      <c r="I31" s="19" t="s">
        <v>29</v>
      </c>
      <c r="J31" s="19"/>
      <c r="K31" s="20" t="s">
        <v>22</v>
      </c>
      <c r="L31" s="21">
        <v>1973260.81</v>
      </c>
    </row>
    <row r="32" spans="1:12" ht="61.2" hidden="1" x14ac:dyDescent="0.3">
      <c r="A32" s="15" t="s">
        <v>85</v>
      </c>
      <c r="B32" s="16" t="s">
        <v>88</v>
      </c>
      <c r="C32" s="16" t="s">
        <v>94</v>
      </c>
      <c r="D32" s="16" t="s">
        <v>90</v>
      </c>
      <c r="E32" s="17" t="s">
        <v>27</v>
      </c>
      <c r="F32" s="22">
        <v>385.5</v>
      </c>
      <c r="G32" s="22"/>
      <c r="H32" s="17" t="s">
        <v>28</v>
      </c>
      <c r="I32" s="19" t="s">
        <v>29</v>
      </c>
      <c r="J32" s="19"/>
      <c r="K32" s="20" t="s">
        <v>22</v>
      </c>
      <c r="L32" s="21">
        <v>1973646.31</v>
      </c>
    </row>
    <row r="33" spans="1:12" ht="61.2" hidden="1" x14ac:dyDescent="0.3">
      <c r="A33" s="15" t="s">
        <v>85</v>
      </c>
      <c r="B33" s="16" t="s">
        <v>88</v>
      </c>
      <c r="C33" s="16" t="s">
        <v>95</v>
      </c>
      <c r="D33" s="16" t="s">
        <v>90</v>
      </c>
      <c r="E33" s="17" t="s">
        <v>27</v>
      </c>
      <c r="F33" s="22">
        <v>191</v>
      </c>
      <c r="G33" s="22"/>
      <c r="H33" s="17" t="s">
        <v>28</v>
      </c>
      <c r="I33" s="19" t="s">
        <v>29</v>
      </c>
      <c r="J33" s="19"/>
      <c r="K33" s="20" t="s">
        <v>22</v>
      </c>
      <c r="L33" s="21">
        <v>1973837.31</v>
      </c>
    </row>
    <row r="34" spans="1:12" ht="61.2" hidden="1" x14ac:dyDescent="0.3">
      <c r="A34" s="15" t="s">
        <v>85</v>
      </c>
      <c r="B34" s="16" t="s">
        <v>88</v>
      </c>
      <c r="C34" s="16" t="s">
        <v>96</v>
      </c>
      <c r="D34" s="16" t="s">
        <v>90</v>
      </c>
      <c r="E34" s="17" t="s">
        <v>27</v>
      </c>
      <c r="F34" s="22">
        <v>75</v>
      </c>
      <c r="G34" s="22"/>
      <c r="H34" s="17" t="s">
        <v>28</v>
      </c>
      <c r="I34" s="19" t="s">
        <v>29</v>
      </c>
      <c r="J34" s="19"/>
      <c r="K34" s="20" t="s">
        <v>22</v>
      </c>
      <c r="L34" s="21">
        <v>1973912.31</v>
      </c>
    </row>
    <row r="35" spans="1:12" ht="61.2" hidden="1" x14ac:dyDescent="0.3">
      <c r="A35" s="15" t="s">
        <v>85</v>
      </c>
      <c r="B35" s="16" t="s">
        <v>88</v>
      </c>
      <c r="C35" s="16" t="s">
        <v>97</v>
      </c>
      <c r="D35" s="16" t="s">
        <v>90</v>
      </c>
      <c r="E35" s="17" t="s">
        <v>27</v>
      </c>
      <c r="F35" s="22">
        <v>52</v>
      </c>
      <c r="G35" s="22"/>
      <c r="H35" s="17" t="s">
        <v>28</v>
      </c>
      <c r="I35" s="19" t="s">
        <v>29</v>
      </c>
      <c r="J35" s="19"/>
      <c r="K35" s="20" t="s">
        <v>22</v>
      </c>
      <c r="L35" s="21">
        <v>1973964.31</v>
      </c>
    </row>
    <row r="36" spans="1:12" ht="61.2" hidden="1" x14ac:dyDescent="0.3">
      <c r="A36" s="15" t="s">
        <v>85</v>
      </c>
      <c r="B36" s="16" t="s">
        <v>88</v>
      </c>
      <c r="C36" s="16" t="s">
        <v>98</v>
      </c>
      <c r="D36" s="16" t="s">
        <v>90</v>
      </c>
      <c r="E36" s="17" t="s">
        <v>27</v>
      </c>
      <c r="F36" s="18">
        <v>1404</v>
      </c>
      <c r="G36" s="18"/>
      <c r="H36" s="17" t="s">
        <v>28</v>
      </c>
      <c r="I36" s="19" t="s">
        <v>29</v>
      </c>
      <c r="J36" s="19"/>
      <c r="K36" s="20" t="s">
        <v>22</v>
      </c>
      <c r="L36" s="21">
        <v>1975368.31</v>
      </c>
    </row>
    <row r="37" spans="1:12" ht="61.2" hidden="1" x14ac:dyDescent="0.3">
      <c r="A37" s="15" t="s">
        <v>85</v>
      </c>
      <c r="B37" s="16" t="s">
        <v>88</v>
      </c>
      <c r="C37" s="16" t="s">
        <v>99</v>
      </c>
      <c r="D37" s="16" t="s">
        <v>90</v>
      </c>
      <c r="E37" s="17" t="s">
        <v>27</v>
      </c>
      <c r="F37" s="18">
        <v>2445</v>
      </c>
      <c r="G37" s="18"/>
      <c r="H37" s="17" t="s">
        <v>28</v>
      </c>
      <c r="I37" s="19" t="s">
        <v>29</v>
      </c>
      <c r="J37" s="19"/>
      <c r="K37" s="20" t="s">
        <v>22</v>
      </c>
      <c r="L37" s="21">
        <v>1977813.31</v>
      </c>
    </row>
    <row r="38" spans="1:12" ht="61.2" hidden="1" x14ac:dyDescent="0.3">
      <c r="A38" s="15" t="s">
        <v>85</v>
      </c>
      <c r="B38" s="16" t="s">
        <v>88</v>
      </c>
      <c r="C38" s="16" t="s">
        <v>100</v>
      </c>
      <c r="D38" s="16" t="s">
        <v>90</v>
      </c>
      <c r="E38" s="17" t="s">
        <v>27</v>
      </c>
      <c r="F38" s="22">
        <v>324</v>
      </c>
      <c r="G38" s="22"/>
      <c r="H38" s="17" t="s">
        <v>28</v>
      </c>
      <c r="I38" s="19" t="s">
        <v>29</v>
      </c>
      <c r="J38" s="19"/>
      <c r="K38" s="20" t="s">
        <v>22</v>
      </c>
      <c r="L38" s="21">
        <v>1978137.31</v>
      </c>
    </row>
    <row r="39" spans="1:12" ht="61.2" hidden="1" x14ac:dyDescent="0.3">
      <c r="A39" s="15" t="s">
        <v>85</v>
      </c>
      <c r="B39" s="16" t="s">
        <v>88</v>
      </c>
      <c r="C39" s="16" t="s">
        <v>101</v>
      </c>
      <c r="D39" s="16" t="s">
        <v>90</v>
      </c>
      <c r="E39" s="17" t="s">
        <v>27</v>
      </c>
      <c r="F39" s="22">
        <v>420</v>
      </c>
      <c r="G39" s="22"/>
      <c r="H39" s="17" t="s">
        <v>28</v>
      </c>
      <c r="I39" s="19" t="s">
        <v>29</v>
      </c>
      <c r="J39" s="19"/>
      <c r="K39" s="20" t="s">
        <v>22</v>
      </c>
      <c r="L39" s="21">
        <v>1978557.31</v>
      </c>
    </row>
    <row r="40" spans="1:12" hidden="1" x14ac:dyDescent="0.3">
      <c r="A40" s="25" t="s">
        <v>102</v>
      </c>
      <c r="B40" s="25"/>
      <c r="C40" s="25"/>
      <c r="D40" s="25"/>
      <c r="E40" s="26">
        <v>2034127.06</v>
      </c>
      <c r="F40" s="26"/>
      <c r="G40" s="26"/>
      <c r="H40" s="26">
        <v>65840</v>
      </c>
      <c r="I40" s="26"/>
      <c r="J40" s="26"/>
      <c r="K40" s="27" t="s">
        <v>22</v>
      </c>
      <c r="L40" s="28">
        <v>1978557.31</v>
      </c>
    </row>
  </sheetData>
  <autoFilter ref="B1:D40">
    <filterColumn colId="0">
      <filters>
        <filter val="Надходження дод. витрат ІБ00-000149 від 05.03.2025 18:40:10_x000a_Доп. расходы при поступлении товаров"/>
        <filter val="Надходження дод. витрат ІБ00-000161 від 21.03.2025 19:26:06_x000a_Доп. расходы при поступлении товаров (Зачет аванса поставщику)"/>
        <filter val="Надходження дод. витрат ІБ00-000225 від 14.03.2025 11:05:00_x000a_Доп. расходы при поступлении товаров"/>
      </filters>
    </filterColumn>
  </autoFilter>
  <mergeCells count="86">
    <mergeCell ref="A40:D40"/>
    <mergeCell ref="E40:G40"/>
    <mergeCell ref="H40:J40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69"/>
  <sheetViews>
    <sheetView topLeftCell="A64" workbookViewId="0">
      <selection activeCell="J69" sqref="J69"/>
    </sheetView>
  </sheetViews>
  <sheetFormatPr defaultRowHeight="14.4" x14ac:dyDescent="0.3"/>
  <cols>
    <col min="2" max="4" width="25.33203125" customWidth="1"/>
  </cols>
  <sheetData>
    <row r="1" spans="1:12" x14ac:dyDescent="0.3">
      <c r="A1" s="29" t="s">
        <v>13</v>
      </c>
      <c r="B1" s="30" t="s">
        <v>14</v>
      </c>
      <c r="C1" s="30" t="s">
        <v>15</v>
      </c>
      <c r="D1" s="31" t="s">
        <v>16</v>
      </c>
      <c r="E1" s="32" t="s">
        <v>17</v>
      </c>
      <c r="F1" s="32"/>
      <c r="G1" s="32"/>
      <c r="H1" s="33" t="s">
        <v>18</v>
      </c>
      <c r="I1" s="33"/>
      <c r="J1" s="33"/>
      <c r="K1" s="30" t="s">
        <v>19</v>
      </c>
      <c r="L1" s="30"/>
    </row>
    <row r="2" spans="1:12" hidden="1" x14ac:dyDescent="0.3">
      <c r="A2" s="34"/>
      <c r="B2" s="35"/>
      <c r="C2" s="35"/>
      <c r="D2" s="36"/>
      <c r="E2" s="37" t="s">
        <v>20</v>
      </c>
      <c r="F2" s="38"/>
      <c r="G2" s="38"/>
      <c r="H2" s="39" t="s">
        <v>20</v>
      </c>
      <c r="I2" s="40"/>
      <c r="J2" s="40"/>
      <c r="K2" s="34"/>
      <c r="L2" s="41"/>
    </row>
    <row r="3" spans="1:12" ht="51" hidden="1" x14ac:dyDescent="0.3">
      <c r="A3" s="42" t="s">
        <v>47</v>
      </c>
      <c r="B3" s="43" t="s">
        <v>103</v>
      </c>
      <c r="C3" s="43" t="s">
        <v>87</v>
      </c>
      <c r="D3" s="43" t="s">
        <v>50</v>
      </c>
      <c r="E3" s="44" t="s">
        <v>27</v>
      </c>
      <c r="F3" s="45">
        <v>5115.7700000000004</v>
      </c>
      <c r="G3" s="45"/>
      <c r="H3" s="44" t="s">
        <v>27</v>
      </c>
      <c r="I3" s="46" t="s">
        <v>29</v>
      </c>
      <c r="J3" s="46"/>
      <c r="K3" s="47" t="s">
        <v>22</v>
      </c>
      <c r="L3" s="48">
        <v>5115.7700000000004</v>
      </c>
    </row>
    <row r="4" spans="1:12" ht="51" hidden="1" x14ac:dyDescent="0.3">
      <c r="A4" s="42" t="s">
        <v>104</v>
      </c>
      <c r="B4" s="43" t="s">
        <v>105</v>
      </c>
      <c r="C4" s="43" t="s">
        <v>106</v>
      </c>
      <c r="D4" s="43" t="s">
        <v>107</v>
      </c>
      <c r="E4" s="44" t="s">
        <v>27</v>
      </c>
      <c r="F4" s="45">
        <v>71851.19</v>
      </c>
      <c r="G4" s="45"/>
      <c r="H4" s="44" t="s">
        <v>28</v>
      </c>
      <c r="I4" s="46" t="s">
        <v>29</v>
      </c>
      <c r="J4" s="46"/>
      <c r="K4" s="47" t="s">
        <v>22</v>
      </c>
      <c r="L4" s="48">
        <v>76966.960000000006</v>
      </c>
    </row>
    <row r="5" spans="1:12" ht="51" hidden="1" x14ac:dyDescent="0.3">
      <c r="A5" s="42" t="s">
        <v>108</v>
      </c>
      <c r="B5" s="43" t="s">
        <v>109</v>
      </c>
      <c r="C5" s="43" t="s">
        <v>110</v>
      </c>
      <c r="D5" s="43" t="s">
        <v>107</v>
      </c>
      <c r="E5" s="44" t="s">
        <v>27</v>
      </c>
      <c r="F5" s="45">
        <v>70672.66</v>
      </c>
      <c r="G5" s="45"/>
      <c r="H5" s="44" t="s">
        <v>28</v>
      </c>
      <c r="I5" s="46" t="s">
        <v>29</v>
      </c>
      <c r="J5" s="46"/>
      <c r="K5" s="47" t="s">
        <v>22</v>
      </c>
      <c r="L5" s="48">
        <v>147639.62</v>
      </c>
    </row>
    <row r="6" spans="1:12" ht="51" hidden="1" x14ac:dyDescent="0.3">
      <c r="A6" s="42" t="s">
        <v>111</v>
      </c>
      <c r="B6" s="43" t="s">
        <v>112</v>
      </c>
      <c r="C6" s="43" t="s">
        <v>113</v>
      </c>
      <c r="D6" s="43" t="s">
        <v>107</v>
      </c>
      <c r="E6" s="44" t="s">
        <v>27</v>
      </c>
      <c r="F6" s="45">
        <v>71831.44</v>
      </c>
      <c r="G6" s="45"/>
      <c r="H6" s="44" t="s">
        <v>28</v>
      </c>
      <c r="I6" s="46" t="s">
        <v>29</v>
      </c>
      <c r="J6" s="46"/>
      <c r="K6" s="47" t="s">
        <v>22</v>
      </c>
      <c r="L6" s="48">
        <v>219471.06</v>
      </c>
    </row>
    <row r="7" spans="1:12" ht="51" hidden="1" x14ac:dyDescent="0.3">
      <c r="A7" s="42" t="s">
        <v>114</v>
      </c>
      <c r="B7" s="43" t="s">
        <v>115</v>
      </c>
      <c r="C7" s="43" t="s">
        <v>116</v>
      </c>
      <c r="D7" s="43" t="s">
        <v>117</v>
      </c>
      <c r="E7" s="44" t="s">
        <v>27</v>
      </c>
      <c r="F7" s="45">
        <v>13384.35</v>
      </c>
      <c r="G7" s="45"/>
      <c r="H7" s="44" t="s">
        <v>27</v>
      </c>
      <c r="I7" s="46" t="s">
        <v>29</v>
      </c>
      <c r="J7" s="46"/>
      <c r="K7" s="47" t="s">
        <v>22</v>
      </c>
      <c r="L7" s="48">
        <v>232855.41</v>
      </c>
    </row>
    <row r="8" spans="1:12" ht="51" hidden="1" x14ac:dyDescent="0.3">
      <c r="A8" s="42" t="s">
        <v>51</v>
      </c>
      <c r="B8" s="43" t="s">
        <v>118</v>
      </c>
      <c r="C8" s="43" t="s">
        <v>119</v>
      </c>
      <c r="D8" s="43" t="s">
        <v>120</v>
      </c>
      <c r="E8" s="44" t="s">
        <v>27</v>
      </c>
      <c r="F8" s="45">
        <v>38140.28</v>
      </c>
      <c r="G8" s="45"/>
      <c r="H8" s="44" t="s">
        <v>27</v>
      </c>
      <c r="I8" s="46" t="s">
        <v>29</v>
      </c>
      <c r="J8" s="46"/>
      <c r="K8" s="47" t="s">
        <v>22</v>
      </c>
      <c r="L8" s="48">
        <v>270995.69</v>
      </c>
    </row>
    <row r="9" spans="1:12" ht="51" hidden="1" x14ac:dyDescent="0.3">
      <c r="A9" s="42" t="s">
        <v>55</v>
      </c>
      <c r="B9" s="43" t="s">
        <v>121</v>
      </c>
      <c r="C9" s="43" t="s">
        <v>122</v>
      </c>
      <c r="D9" s="43" t="s">
        <v>123</v>
      </c>
      <c r="E9" s="44" t="s">
        <v>27</v>
      </c>
      <c r="F9" s="49">
        <v>633.6</v>
      </c>
      <c r="G9" s="49"/>
      <c r="H9" s="44" t="s">
        <v>28</v>
      </c>
      <c r="I9" s="46" t="s">
        <v>29</v>
      </c>
      <c r="J9" s="46"/>
      <c r="K9" s="47" t="s">
        <v>22</v>
      </c>
      <c r="L9" s="48">
        <v>271629.28999999998</v>
      </c>
    </row>
    <row r="10" spans="1:12" ht="61.2" hidden="1" x14ac:dyDescent="0.3">
      <c r="A10" s="42" t="s">
        <v>55</v>
      </c>
      <c r="B10" s="43" t="s">
        <v>121</v>
      </c>
      <c r="C10" s="43" t="s">
        <v>124</v>
      </c>
      <c r="D10" s="43" t="s">
        <v>123</v>
      </c>
      <c r="E10" s="44" t="s">
        <v>27</v>
      </c>
      <c r="F10" s="45">
        <v>35616.400000000001</v>
      </c>
      <c r="G10" s="45"/>
      <c r="H10" s="44" t="s">
        <v>28</v>
      </c>
      <c r="I10" s="46" t="s">
        <v>29</v>
      </c>
      <c r="J10" s="46"/>
      <c r="K10" s="47" t="s">
        <v>22</v>
      </c>
      <c r="L10" s="48">
        <v>307245.69</v>
      </c>
    </row>
    <row r="11" spans="1:12" ht="61.2" hidden="1" x14ac:dyDescent="0.3">
      <c r="A11" s="42" t="s">
        <v>55</v>
      </c>
      <c r="B11" s="43" t="s">
        <v>121</v>
      </c>
      <c r="C11" s="43" t="s">
        <v>125</v>
      </c>
      <c r="D11" s="43" t="s">
        <v>123</v>
      </c>
      <c r="E11" s="44" t="s">
        <v>27</v>
      </c>
      <c r="F11" s="45">
        <v>16569.95</v>
      </c>
      <c r="G11" s="45"/>
      <c r="H11" s="44" t="s">
        <v>28</v>
      </c>
      <c r="I11" s="46" t="s">
        <v>29</v>
      </c>
      <c r="J11" s="46"/>
      <c r="K11" s="47" t="s">
        <v>22</v>
      </c>
      <c r="L11" s="48">
        <v>323815.64</v>
      </c>
    </row>
    <row r="12" spans="1:12" ht="61.2" hidden="1" x14ac:dyDescent="0.3">
      <c r="A12" s="42" t="s">
        <v>55</v>
      </c>
      <c r="B12" s="43" t="s">
        <v>126</v>
      </c>
      <c r="C12" s="43" t="s">
        <v>127</v>
      </c>
      <c r="D12" s="43" t="s">
        <v>128</v>
      </c>
      <c r="E12" s="44" t="s">
        <v>27</v>
      </c>
      <c r="F12" s="45">
        <v>15750</v>
      </c>
      <c r="G12" s="45"/>
      <c r="H12" s="44" t="s">
        <v>28</v>
      </c>
      <c r="I12" s="46" t="s">
        <v>29</v>
      </c>
      <c r="J12" s="46"/>
      <c r="K12" s="47" t="s">
        <v>22</v>
      </c>
      <c r="L12" s="48">
        <v>339565.64</v>
      </c>
    </row>
    <row r="13" spans="1:12" ht="61.2" hidden="1" x14ac:dyDescent="0.3">
      <c r="A13" s="42" t="s">
        <v>55</v>
      </c>
      <c r="B13" s="43" t="s">
        <v>126</v>
      </c>
      <c r="C13" s="43" t="s">
        <v>129</v>
      </c>
      <c r="D13" s="43" t="s">
        <v>128</v>
      </c>
      <c r="E13" s="44" t="s">
        <v>27</v>
      </c>
      <c r="F13" s="45">
        <v>7881.61</v>
      </c>
      <c r="G13" s="45"/>
      <c r="H13" s="44" t="s">
        <v>28</v>
      </c>
      <c r="I13" s="46" t="s">
        <v>29</v>
      </c>
      <c r="J13" s="46"/>
      <c r="K13" s="47" t="s">
        <v>22</v>
      </c>
      <c r="L13" s="48">
        <v>347447.25</v>
      </c>
    </row>
    <row r="14" spans="1:12" ht="61.2" hidden="1" x14ac:dyDescent="0.3">
      <c r="A14" s="42" t="s">
        <v>55</v>
      </c>
      <c r="B14" s="43" t="s">
        <v>130</v>
      </c>
      <c r="C14" s="43" t="s">
        <v>131</v>
      </c>
      <c r="D14" s="43" t="s">
        <v>132</v>
      </c>
      <c r="E14" s="44" t="s">
        <v>27</v>
      </c>
      <c r="F14" s="45">
        <v>33156.01</v>
      </c>
      <c r="G14" s="45"/>
      <c r="H14" s="44" t="s">
        <v>28</v>
      </c>
      <c r="I14" s="46" t="s">
        <v>29</v>
      </c>
      <c r="J14" s="46"/>
      <c r="K14" s="47" t="s">
        <v>22</v>
      </c>
      <c r="L14" s="48">
        <v>380603.26</v>
      </c>
    </row>
    <row r="15" spans="1:12" ht="61.2" hidden="1" x14ac:dyDescent="0.3">
      <c r="A15" s="42" t="s">
        <v>55</v>
      </c>
      <c r="B15" s="43" t="s">
        <v>130</v>
      </c>
      <c r="C15" s="43" t="s">
        <v>133</v>
      </c>
      <c r="D15" s="43" t="s">
        <v>132</v>
      </c>
      <c r="E15" s="44" t="s">
        <v>27</v>
      </c>
      <c r="F15" s="45">
        <v>14180.02</v>
      </c>
      <c r="G15" s="45"/>
      <c r="H15" s="44" t="s">
        <v>28</v>
      </c>
      <c r="I15" s="46" t="s">
        <v>29</v>
      </c>
      <c r="J15" s="46"/>
      <c r="K15" s="47" t="s">
        <v>22</v>
      </c>
      <c r="L15" s="48">
        <v>394783.28</v>
      </c>
    </row>
    <row r="16" spans="1:12" ht="61.2" hidden="1" x14ac:dyDescent="0.3">
      <c r="A16" s="42" t="s">
        <v>55</v>
      </c>
      <c r="B16" s="43" t="s">
        <v>130</v>
      </c>
      <c r="C16" s="43" t="s">
        <v>134</v>
      </c>
      <c r="D16" s="43" t="s">
        <v>132</v>
      </c>
      <c r="E16" s="44" t="s">
        <v>27</v>
      </c>
      <c r="F16" s="45">
        <v>1861.1</v>
      </c>
      <c r="G16" s="45"/>
      <c r="H16" s="44" t="s">
        <v>28</v>
      </c>
      <c r="I16" s="46" t="s">
        <v>29</v>
      </c>
      <c r="J16" s="46"/>
      <c r="K16" s="47" t="s">
        <v>22</v>
      </c>
      <c r="L16" s="48">
        <v>396644.38</v>
      </c>
    </row>
    <row r="17" spans="1:12" ht="61.2" hidden="1" x14ac:dyDescent="0.3">
      <c r="A17" s="42" t="s">
        <v>55</v>
      </c>
      <c r="B17" s="43" t="s">
        <v>135</v>
      </c>
      <c r="C17" s="43" t="s">
        <v>136</v>
      </c>
      <c r="D17" s="43" t="s">
        <v>132</v>
      </c>
      <c r="E17" s="44" t="s">
        <v>27</v>
      </c>
      <c r="F17" s="45">
        <v>4115.55</v>
      </c>
      <c r="G17" s="45"/>
      <c r="H17" s="44" t="s">
        <v>28</v>
      </c>
      <c r="I17" s="46" t="s">
        <v>29</v>
      </c>
      <c r="J17" s="46"/>
      <c r="K17" s="47" t="s">
        <v>22</v>
      </c>
      <c r="L17" s="48">
        <v>400759.93</v>
      </c>
    </row>
    <row r="18" spans="1:12" ht="61.2" hidden="1" x14ac:dyDescent="0.3">
      <c r="A18" s="42" t="s">
        <v>55</v>
      </c>
      <c r="B18" s="43" t="s">
        <v>130</v>
      </c>
      <c r="C18" s="43" t="s">
        <v>136</v>
      </c>
      <c r="D18" s="43" t="s">
        <v>132</v>
      </c>
      <c r="E18" s="44" t="s">
        <v>27</v>
      </c>
      <c r="F18" s="45">
        <v>3590.32</v>
      </c>
      <c r="G18" s="45"/>
      <c r="H18" s="44" t="s">
        <v>28</v>
      </c>
      <c r="I18" s="46" t="s">
        <v>29</v>
      </c>
      <c r="J18" s="46"/>
      <c r="K18" s="47" t="s">
        <v>22</v>
      </c>
      <c r="L18" s="48">
        <v>404350.25</v>
      </c>
    </row>
    <row r="19" spans="1:12" ht="61.2" x14ac:dyDescent="0.3">
      <c r="A19" s="42" t="s">
        <v>55</v>
      </c>
      <c r="B19" s="43" t="s">
        <v>137</v>
      </c>
      <c r="C19" s="43" t="s">
        <v>131</v>
      </c>
      <c r="D19" s="43" t="s">
        <v>132</v>
      </c>
      <c r="E19" s="44" t="s">
        <v>27</v>
      </c>
      <c r="F19" s="45">
        <v>4855.63</v>
      </c>
      <c r="G19" s="45"/>
      <c r="H19" s="44" t="s">
        <v>28</v>
      </c>
      <c r="I19" s="46" t="s">
        <v>29</v>
      </c>
      <c r="J19" s="46"/>
      <c r="K19" s="47" t="s">
        <v>22</v>
      </c>
      <c r="L19" s="48">
        <v>409205.88</v>
      </c>
    </row>
    <row r="20" spans="1:12" ht="61.2" x14ac:dyDescent="0.3">
      <c r="A20" s="42" t="s">
        <v>55</v>
      </c>
      <c r="B20" s="43" t="s">
        <v>137</v>
      </c>
      <c r="C20" s="43" t="s">
        <v>133</v>
      </c>
      <c r="D20" s="43" t="s">
        <v>132</v>
      </c>
      <c r="E20" s="44" t="s">
        <v>27</v>
      </c>
      <c r="F20" s="45">
        <v>2076.63</v>
      </c>
      <c r="G20" s="45"/>
      <c r="H20" s="44" t="s">
        <v>28</v>
      </c>
      <c r="I20" s="46" t="s">
        <v>29</v>
      </c>
      <c r="J20" s="46"/>
      <c r="K20" s="47" t="s">
        <v>22</v>
      </c>
      <c r="L20" s="48">
        <v>411282.51</v>
      </c>
    </row>
    <row r="21" spans="1:12" ht="61.2" x14ac:dyDescent="0.3">
      <c r="A21" s="42" t="s">
        <v>55</v>
      </c>
      <c r="B21" s="43" t="s">
        <v>137</v>
      </c>
      <c r="C21" s="43" t="s">
        <v>134</v>
      </c>
      <c r="D21" s="43" t="s">
        <v>132</v>
      </c>
      <c r="E21" s="44" t="s">
        <v>27</v>
      </c>
      <c r="F21" s="49">
        <v>272.56</v>
      </c>
      <c r="G21" s="49"/>
      <c r="H21" s="44" t="s">
        <v>28</v>
      </c>
      <c r="I21" s="46" t="s">
        <v>29</v>
      </c>
      <c r="J21" s="46"/>
      <c r="K21" s="47" t="s">
        <v>22</v>
      </c>
      <c r="L21" s="48">
        <v>411555.07</v>
      </c>
    </row>
    <row r="22" spans="1:12" ht="61.2" x14ac:dyDescent="0.3">
      <c r="A22" s="42" t="s">
        <v>55</v>
      </c>
      <c r="B22" s="43" t="s">
        <v>137</v>
      </c>
      <c r="C22" s="43" t="s">
        <v>136</v>
      </c>
      <c r="D22" s="43" t="s">
        <v>132</v>
      </c>
      <c r="E22" s="44" t="s">
        <v>27</v>
      </c>
      <c r="F22" s="45">
        <v>1128.51</v>
      </c>
      <c r="G22" s="45"/>
      <c r="H22" s="44" t="s">
        <v>28</v>
      </c>
      <c r="I22" s="46" t="s">
        <v>29</v>
      </c>
      <c r="J22" s="46"/>
      <c r="K22" s="47" t="s">
        <v>22</v>
      </c>
      <c r="L22" s="48">
        <v>412683.58</v>
      </c>
    </row>
    <row r="23" spans="1:12" ht="51" hidden="1" x14ac:dyDescent="0.3">
      <c r="A23" s="42" t="s">
        <v>138</v>
      </c>
      <c r="B23" s="43" t="s">
        <v>139</v>
      </c>
      <c r="C23" s="43" t="s">
        <v>140</v>
      </c>
      <c r="D23" s="43" t="s">
        <v>141</v>
      </c>
      <c r="E23" s="44" t="s">
        <v>27</v>
      </c>
      <c r="F23" s="45">
        <v>15869.31</v>
      </c>
      <c r="G23" s="45"/>
      <c r="H23" s="44" t="s">
        <v>27</v>
      </c>
      <c r="I23" s="46" t="s">
        <v>29</v>
      </c>
      <c r="J23" s="46"/>
      <c r="K23" s="47" t="s">
        <v>22</v>
      </c>
      <c r="L23" s="48">
        <v>428552.89</v>
      </c>
    </row>
    <row r="24" spans="1:12" ht="51" hidden="1" x14ac:dyDescent="0.3">
      <c r="A24" s="42" t="s">
        <v>142</v>
      </c>
      <c r="B24" s="43" t="s">
        <v>143</v>
      </c>
      <c r="C24" s="43" t="s">
        <v>144</v>
      </c>
      <c r="D24" s="43" t="s">
        <v>145</v>
      </c>
      <c r="E24" s="44" t="s">
        <v>27</v>
      </c>
      <c r="F24" s="45">
        <v>5035.45</v>
      </c>
      <c r="G24" s="45"/>
      <c r="H24" s="44" t="s">
        <v>27</v>
      </c>
      <c r="I24" s="46" t="s">
        <v>29</v>
      </c>
      <c r="J24" s="46"/>
      <c r="K24" s="47" t="s">
        <v>22</v>
      </c>
      <c r="L24" s="48">
        <v>433588.34</v>
      </c>
    </row>
    <row r="25" spans="1:12" ht="51" hidden="1" x14ac:dyDescent="0.3">
      <c r="A25" s="42" t="s">
        <v>64</v>
      </c>
      <c r="B25" s="43" t="s">
        <v>146</v>
      </c>
      <c r="C25" s="43" t="s">
        <v>147</v>
      </c>
      <c r="D25" s="43" t="s">
        <v>148</v>
      </c>
      <c r="E25" s="44" t="s">
        <v>27</v>
      </c>
      <c r="F25" s="45">
        <v>30338</v>
      </c>
      <c r="G25" s="45"/>
      <c r="H25" s="44" t="s">
        <v>28</v>
      </c>
      <c r="I25" s="46" t="s">
        <v>29</v>
      </c>
      <c r="J25" s="46"/>
      <c r="K25" s="47" t="s">
        <v>22</v>
      </c>
      <c r="L25" s="48">
        <v>463926.34</v>
      </c>
    </row>
    <row r="26" spans="1:12" ht="51" x14ac:dyDescent="0.3">
      <c r="A26" s="42" t="s">
        <v>64</v>
      </c>
      <c r="B26" s="43" t="s">
        <v>149</v>
      </c>
      <c r="C26" s="43" t="s">
        <v>147</v>
      </c>
      <c r="D26" s="43" t="s">
        <v>148</v>
      </c>
      <c r="E26" s="44" t="s">
        <v>27</v>
      </c>
      <c r="F26" s="45">
        <v>19306</v>
      </c>
      <c r="G26" s="45"/>
      <c r="H26" s="44" t="s">
        <v>28</v>
      </c>
      <c r="I26" s="46" t="s">
        <v>29</v>
      </c>
      <c r="J26" s="46"/>
      <c r="K26" s="47" t="s">
        <v>22</v>
      </c>
      <c r="L26" s="48">
        <v>483232.34</v>
      </c>
    </row>
    <row r="27" spans="1:12" ht="51" hidden="1" x14ac:dyDescent="0.3">
      <c r="A27" s="42" t="s">
        <v>64</v>
      </c>
      <c r="B27" s="43" t="s">
        <v>150</v>
      </c>
      <c r="C27" s="43" t="s">
        <v>151</v>
      </c>
      <c r="D27" s="43" t="s">
        <v>152</v>
      </c>
      <c r="E27" s="44" t="s">
        <v>27</v>
      </c>
      <c r="F27" s="49">
        <v>358.6</v>
      </c>
      <c r="G27" s="49"/>
      <c r="H27" s="44" t="s">
        <v>27</v>
      </c>
      <c r="I27" s="46" t="s">
        <v>29</v>
      </c>
      <c r="J27" s="46"/>
      <c r="K27" s="47" t="s">
        <v>22</v>
      </c>
      <c r="L27" s="48">
        <v>483590.94</v>
      </c>
    </row>
    <row r="28" spans="1:12" ht="51" hidden="1" x14ac:dyDescent="0.3">
      <c r="A28" s="42" t="s">
        <v>77</v>
      </c>
      <c r="B28" s="43" t="s">
        <v>153</v>
      </c>
      <c r="C28" s="43" t="s">
        <v>154</v>
      </c>
      <c r="D28" s="43" t="s">
        <v>155</v>
      </c>
      <c r="E28" s="44" t="s">
        <v>27</v>
      </c>
      <c r="F28" s="45">
        <v>23441.119999999999</v>
      </c>
      <c r="G28" s="45"/>
      <c r="H28" s="44" t="s">
        <v>27</v>
      </c>
      <c r="I28" s="46" t="s">
        <v>29</v>
      </c>
      <c r="J28" s="46"/>
      <c r="K28" s="47" t="s">
        <v>22</v>
      </c>
      <c r="L28" s="48">
        <v>507032.06</v>
      </c>
    </row>
    <row r="29" spans="1:12" ht="51" hidden="1" x14ac:dyDescent="0.3">
      <c r="A29" s="42" t="s">
        <v>156</v>
      </c>
      <c r="B29" s="43" t="s">
        <v>157</v>
      </c>
      <c r="C29" s="43" t="s">
        <v>158</v>
      </c>
      <c r="D29" s="43" t="s">
        <v>159</v>
      </c>
      <c r="E29" s="44" t="s">
        <v>27</v>
      </c>
      <c r="F29" s="45">
        <v>20230.55</v>
      </c>
      <c r="G29" s="45"/>
      <c r="H29" s="44" t="s">
        <v>27</v>
      </c>
      <c r="I29" s="46" t="s">
        <v>29</v>
      </c>
      <c r="J29" s="46"/>
      <c r="K29" s="47" t="s">
        <v>22</v>
      </c>
      <c r="L29" s="48">
        <v>527262.61</v>
      </c>
    </row>
    <row r="30" spans="1:12" ht="51" hidden="1" x14ac:dyDescent="0.3">
      <c r="A30" s="42" t="s">
        <v>160</v>
      </c>
      <c r="B30" s="43" t="s">
        <v>161</v>
      </c>
      <c r="C30" s="43" t="s">
        <v>162</v>
      </c>
      <c r="D30" s="43" t="s">
        <v>163</v>
      </c>
      <c r="E30" s="44" t="s">
        <v>27</v>
      </c>
      <c r="F30" s="45">
        <v>9881.67</v>
      </c>
      <c r="G30" s="45"/>
      <c r="H30" s="44" t="s">
        <v>28</v>
      </c>
      <c r="I30" s="46" t="s">
        <v>29</v>
      </c>
      <c r="J30" s="46"/>
      <c r="K30" s="47" t="s">
        <v>22</v>
      </c>
      <c r="L30" s="48">
        <v>537144.28</v>
      </c>
    </row>
    <row r="31" spans="1:12" ht="51" x14ac:dyDescent="0.3">
      <c r="A31" s="42" t="s">
        <v>160</v>
      </c>
      <c r="B31" s="43" t="s">
        <v>164</v>
      </c>
      <c r="C31" s="43" t="s">
        <v>162</v>
      </c>
      <c r="D31" s="43" t="s">
        <v>163</v>
      </c>
      <c r="E31" s="44" t="s">
        <v>27</v>
      </c>
      <c r="F31" s="45">
        <v>5364.33</v>
      </c>
      <c r="G31" s="45"/>
      <c r="H31" s="44" t="s">
        <v>28</v>
      </c>
      <c r="I31" s="46" t="s">
        <v>29</v>
      </c>
      <c r="J31" s="46"/>
      <c r="K31" s="47" t="s">
        <v>22</v>
      </c>
      <c r="L31" s="48">
        <v>542508.61</v>
      </c>
    </row>
    <row r="32" spans="1:12" ht="51" hidden="1" x14ac:dyDescent="0.3">
      <c r="A32" s="42" t="s">
        <v>85</v>
      </c>
      <c r="B32" s="43" t="s">
        <v>86</v>
      </c>
      <c r="C32" s="43" t="s">
        <v>87</v>
      </c>
      <c r="D32" s="43" t="s">
        <v>49</v>
      </c>
      <c r="E32" s="44" t="s">
        <v>27</v>
      </c>
      <c r="F32" s="45">
        <v>65840</v>
      </c>
      <c r="G32" s="45"/>
      <c r="H32" s="44" t="s">
        <v>27</v>
      </c>
      <c r="I32" s="46" t="s">
        <v>29</v>
      </c>
      <c r="J32" s="46"/>
      <c r="K32" s="47" t="s">
        <v>22</v>
      </c>
      <c r="L32" s="48">
        <v>608348.61</v>
      </c>
    </row>
    <row r="33" spans="1:12" ht="51" hidden="1" x14ac:dyDescent="0.3">
      <c r="A33" s="42" t="s">
        <v>85</v>
      </c>
      <c r="B33" s="43" t="s">
        <v>165</v>
      </c>
      <c r="C33" s="43" t="s">
        <v>166</v>
      </c>
      <c r="D33" s="43" t="s">
        <v>167</v>
      </c>
      <c r="E33" s="44" t="s">
        <v>27</v>
      </c>
      <c r="F33" s="45">
        <v>1981.98</v>
      </c>
      <c r="G33" s="45"/>
      <c r="H33" s="44" t="s">
        <v>27</v>
      </c>
      <c r="I33" s="46" t="s">
        <v>29</v>
      </c>
      <c r="J33" s="46"/>
      <c r="K33" s="47" t="s">
        <v>22</v>
      </c>
      <c r="L33" s="48">
        <v>610330.59</v>
      </c>
    </row>
    <row r="34" spans="1:12" ht="51" hidden="1" x14ac:dyDescent="0.3">
      <c r="A34" s="42" t="s">
        <v>85</v>
      </c>
      <c r="B34" s="43" t="s">
        <v>165</v>
      </c>
      <c r="C34" s="43" t="s">
        <v>140</v>
      </c>
      <c r="D34" s="43" t="s">
        <v>141</v>
      </c>
      <c r="E34" s="44" t="s">
        <v>27</v>
      </c>
      <c r="F34" s="45">
        <v>11901.98</v>
      </c>
      <c r="G34" s="45"/>
      <c r="H34" s="44" t="s">
        <v>27</v>
      </c>
      <c r="I34" s="46" t="s">
        <v>29</v>
      </c>
      <c r="J34" s="46"/>
      <c r="K34" s="47" t="s">
        <v>22</v>
      </c>
      <c r="L34" s="48">
        <v>622232.56999999995</v>
      </c>
    </row>
    <row r="35" spans="1:12" ht="51" hidden="1" x14ac:dyDescent="0.3">
      <c r="A35" s="42" t="s">
        <v>85</v>
      </c>
      <c r="B35" s="43" t="s">
        <v>168</v>
      </c>
      <c r="C35" s="43" t="s">
        <v>140</v>
      </c>
      <c r="D35" s="43" t="s">
        <v>169</v>
      </c>
      <c r="E35" s="44" t="s">
        <v>27</v>
      </c>
      <c r="F35" s="45">
        <v>5950.99</v>
      </c>
      <c r="G35" s="45"/>
      <c r="H35" s="44" t="s">
        <v>27</v>
      </c>
      <c r="I35" s="46" t="s">
        <v>29</v>
      </c>
      <c r="J35" s="46"/>
      <c r="K35" s="47" t="s">
        <v>22</v>
      </c>
      <c r="L35" s="48">
        <v>628183.56000000006</v>
      </c>
    </row>
    <row r="36" spans="1:12" ht="51" hidden="1" x14ac:dyDescent="0.3">
      <c r="A36" s="42" t="s">
        <v>85</v>
      </c>
      <c r="B36" s="43" t="s">
        <v>170</v>
      </c>
      <c r="C36" s="43" t="s">
        <v>171</v>
      </c>
      <c r="D36" s="43" t="s">
        <v>172</v>
      </c>
      <c r="E36" s="44" t="s">
        <v>27</v>
      </c>
      <c r="F36" s="45">
        <v>3596</v>
      </c>
      <c r="G36" s="45"/>
      <c r="H36" s="44" t="s">
        <v>27</v>
      </c>
      <c r="I36" s="46" t="s">
        <v>29</v>
      </c>
      <c r="J36" s="46"/>
      <c r="K36" s="47" t="s">
        <v>22</v>
      </c>
      <c r="L36" s="48">
        <v>631779.56000000006</v>
      </c>
    </row>
    <row r="37" spans="1:12" ht="51" x14ac:dyDescent="0.3">
      <c r="A37" s="42" t="s">
        <v>85</v>
      </c>
      <c r="B37" s="43" t="s">
        <v>173</v>
      </c>
      <c r="C37" s="43" t="s">
        <v>174</v>
      </c>
      <c r="D37" s="43" t="s">
        <v>87</v>
      </c>
      <c r="E37" s="44" t="s">
        <v>175</v>
      </c>
      <c r="F37" s="50" t="s">
        <v>29</v>
      </c>
      <c r="G37" s="50"/>
      <c r="H37" s="44" t="s">
        <v>27</v>
      </c>
      <c r="I37" s="51">
        <v>70672.66</v>
      </c>
      <c r="J37" s="51"/>
      <c r="K37" s="47" t="s">
        <v>22</v>
      </c>
      <c r="L37" s="48">
        <v>561106.9</v>
      </c>
    </row>
    <row r="38" spans="1:12" ht="51" x14ac:dyDescent="0.3">
      <c r="A38" s="42" t="s">
        <v>85</v>
      </c>
      <c r="B38" s="43" t="s">
        <v>173</v>
      </c>
      <c r="C38" s="43" t="s">
        <v>174</v>
      </c>
      <c r="D38" s="43" t="s">
        <v>87</v>
      </c>
      <c r="E38" s="44" t="s">
        <v>175</v>
      </c>
      <c r="F38" s="50" t="s">
        <v>29</v>
      </c>
      <c r="G38" s="50"/>
      <c r="H38" s="44" t="s">
        <v>27</v>
      </c>
      <c r="I38" s="52">
        <v>283.11</v>
      </c>
      <c r="J38" s="52"/>
      <c r="K38" s="47" t="s">
        <v>22</v>
      </c>
      <c r="L38" s="48">
        <v>560823.79</v>
      </c>
    </row>
    <row r="39" spans="1:12" ht="51" x14ac:dyDescent="0.3">
      <c r="A39" s="42" t="s">
        <v>85</v>
      </c>
      <c r="B39" s="43" t="s">
        <v>173</v>
      </c>
      <c r="C39" s="43" t="s">
        <v>174</v>
      </c>
      <c r="D39" s="43" t="s">
        <v>106</v>
      </c>
      <c r="E39" s="44" t="s">
        <v>175</v>
      </c>
      <c r="F39" s="50" t="s">
        <v>29</v>
      </c>
      <c r="G39" s="50"/>
      <c r="H39" s="44" t="s">
        <v>27</v>
      </c>
      <c r="I39" s="51">
        <v>71548.33</v>
      </c>
      <c r="J39" s="51"/>
      <c r="K39" s="47" t="s">
        <v>22</v>
      </c>
      <c r="L39" s="48">
        <v>489275.46</v>
      </c>
    </row>
    <row r="40" spans="1:12" ht="51" x14ac:dyDescent="0.3">
      <c r="A40" s="42" t="s">
        <v>85</v>
      </c>
      <c r="B40" s="43" t="s">
        <v>173</v>
      </c>
      <c r="C40" s="43" t="s">
        <v>174</v>
      </c>
      <c r="D40" s="43" t="s">
        <v>106</v>
      </c>
      <c r="E40" s="44" t="s">
        <v>175</v>
      </c>
      <c r="F40" s="50" t="s">
        <v>29</v>
      </c>
      <c r="G40" s="50"/>
      <c r="H40" s="44" t="s">
        <v>27</v>
      </c>
      <c r="I40" s="52">
        <v>302.86</v>
      </c>
      <c r="J40" s="52"/>
      <c r="K40" s="47" t="s">
        <v>22</v>
      </c>
      <c r="L40" s="48">
        <v>488972.6</v>
      </c>
    </row>
    <row r="41" spans="1:12" ht="51" x14ac:dyDescent="0.3">
      <c r="A41" s="42" t="s">
        <v>85</v>
      </c>
      <c r="B41" s="43" t="s">
        <v>173</v>
      </c>
      <c r="C41" s="43" t="s">
        <v>174</v>
      </c>
      <c r="D41" s="43" t="s">
        <v>110</v>
      </c>
      <c r="E41" s="44" t="s">
        <v>175</v>
      </c>
      <c r="F41" s="50" t="s">
        <v>29</v>
      </c>
      <c r="G41" s="50"/>
      <c r="H41" s="44" t="s">
        <v>27</v>
      </c>
      <c r="I41" s="51">
        <v>4812.8999999999996</v>
      </c>
      <c r="J41" s="51"/>
      <c r="K41" s="47" t="s">
        <v>22</v>
      </c>
      <c r="L41" s="48">
        <v>484159.7</v>
      </c>
    </row>
    <row r="42" spans="1:12" ht="51" x14ac:dyDescent="0.3">
      <c r="A42" s="42" t="s">
        <v>85</v>
      </c>
      <c r="B42" s="43" t="s">
        <v>173</v>
      </c>
      <c r="C42" s="43" t="s">
        <v>174</v>
      </c>
      <c r="D42" s="43" t="s">
        <v>110</v>
      </c>
      <c r="E42" s="44" t="s">
        <v>175</v>
      </c>
      <c r="F42" s="50" t="s">
        <v>29</v>
      </c>
      <c r="G42" s="50"/>
      <c r="H42" s="44" t="s">
        <v>27</v>
      </c>
      <c r="I42" s="51">
        <v>65859.759999999995</v>
      </c>
      <c r="J42" s="51"/>
      <c r="K42" s="47" t="s">
        <v>22</v>
      </c>
      <c r="L42" s="48">
        <v>418299.94</v>
      </c>
    </row>
    <row r="43" spans="1:12" ht="51" x14ac:dyDescent="0.3">
      <c r="A43" s="42" t="s">
        <v>85</v>
      </c>
      <c r="B43" s="43" t="s">
        <v>173</v>
      </c>
      <c r="C43" s="43" t="s">
        <v>174</v>
      </c>
      <c r="D43" s="43" t="s">
        <v>113</v>
      </c>
      <c r="E43" s="44" t="s">
        <v>175</v>
      </c>
      <c r="F43" s="50" t="s">
        <v>29</v>
      </c>
      <c r="G43" s="50"/>
      <c r="H43" s="44" t="s">
        <v>27</v>
      </c>
      <c r="I43" s="51">
        <v>5991.44</v>
      </c>
      <c r="J43" s="51"/>
      <c r="K43" s="47" t="s">
        <v>22</v>
      </c>
      <c r="L43" s="48">
        <v>412308.5</v>
      </c>
    </row>
    <row r="44" spans="1:12" ht="51" x14ac:dyDescent="0.3">
      <c r="A44" s="42" t="s">
        <v>85</v>
      </c>
      <c r="B44" s="43" t="s">
        <v>173</v>
      </c>
      <c r="C44" s="43" t="s">
        <v>174</v>
      </c>
      <c r="D44" s="43" t="s">
        <v>113</v>
      </c>
      <c r="E44" s="44" t="s">
        <v>175</v>
      </c>
      <c r="F44" s="50" t="s">
        <v>29</v>
      </c>
      <c r="G44" s="50"/>
      <c r="H44" s="44" t="s">
        <v>27</v>
      </c>
      <c r="I44" s="51">
        <v>65840</v>
      </c>
      <c r="J44" s="51"/>
      <c r="K44" s="47" t="s">
        <v>22</v>
      </c>
      <c r="L44" s="48">
        <v>346468.5</v>
      </c>
    </row>
    <row r="45" spans="1:12" ht="51" x14ac:dyDescent="0.3">
      <c r="A45" s="42" t="s">
        <v>85</v>
      </c>
      <c r="B45" s="43" t="s">
        <v>173</v>
      </c>
      <c r="C45" s="43" t="s">
        <v>174</v>
      </c>
      <c r="D45" s="43" t="s">
        <v>119</v>
      </c>
      <c r="E45" s="44" t="s">
        <v>175</v>
      </c>
      <c r="F45" s="50" t="s">
        <v>29</v>
      </c>
      <c r="G45" s="50"/>
      <c r="H45" s="44" t="s">
        <v>27</v>
      </c>
      <c r="I45" s="51">
        <v>38140.28</v>
      </c>
      <c r="J45" s="51"/>
      <c r="K45" s="47" t="s">
        <v>22</v>
      </c>
      <c r="L45" s="48">
        <v>308328.21999999997</v>
      </c>
    </row>
    <row r="46" spans="1:12" ht="51" x14ac:dyDescent="0.3">
      <c r="A46" s="42" t="s">
        <v>85</v>
      </c>
      <c r="B46" s="43" t="s">
        <v>173</v>
      </c>
      <c r="C46" s="43" t="s">
        <v>174</v>
      </c>
      <c r="D46" s="43" t="s">
        <v>147</v>
      </c>
      <c r="E46" s="44" t="s">
        <v>175</v>
      </c>
      <c r="F46" s="50" t="s">
        <v>29</v>
      </c>
      <c r="G46" s="50"/>
      <c r="H46" s="44" t="s">
        <v>27</v>
      </c>
      <c r="I46" s="51">
        <v>15336</v>
      </c>
      <c r="J46" s="51"/>
      <c r="K46" s="47" t="s">
        <v>22</v>
      </c>
      <c r="L46" s="48">
        <v>292992.21999999997</v>
      </c>
    </row>
    <row r="47" spans="1:12" ht="51" x14ac:dyDescent="0.3">
      <c r="A47" s="42" t="s">
        <v>85</v>
      </c>
      <c r="B47" s="43" t="s">
        <v>173</v>
      </c>
      <c r="C47" s="43" t="s">
        <v>174</v>
      </c>
      <c r="D47" s="43" t="s">
        <v>122</v>
      </c>
      <c r="E47" s="44" t="s">
        <v>175</v>
      </c>
      <c r="F47" s="50" t="s">
        <v>29</v>
      </c>
      <c r="G47" s="50"/>
      <c r="H47" s="44" t="s">
        <v>27</v>
      </c>
      <c r="I47" s="52">
        <v>633.6</v>
      </c>
      <c r="J47" s="52"/>
      <c r="K47" s="47" t="s">
        <v>22</v>
      </c>
      <c r="L47" s="48">
        <v>292358.62</v>
      </c>
    </row>
    <row r="48" spans="1:12" ht="61.2" x14ac:dyDescent="0.3">
      <c r="A48" s="42" t="s">
        <v>85</v>
      </c>
      <c r="B48" s="43" t="s">
        <v>173</v>
      </c>
      <c r="C48" s="43" t="s">
        <v>174</v>
      </c>
      <c r="D48" s="43" t="s">
        <v>124</v>
      </c>
      <c r="E48" s="44" t="s">
        <v>175</v>
      </c>
      <c r="F48" s="50" t="s">
        <v>29</v>
      </c>
      <c r="G48" s="50"/>
      <c r="H48" s="44" t="s">
        <v>27</v>
      </c>
      <c r="I48" s="51">
        <v>35616.400000000001</v>
      </c>
      <c r="J48" s="51"/>
      <c r="K48" s="47" t="s">
        <v>22</v>
      </c>
      <c r="L48" s="48">
        <v>256742.22</v>
      </c>
    </row>
    <row r="49" spans="1:12" ht="51" x14ac:dyDescent="0.3">
      <c r="A49" s="42" t="s">
        <v>85</v>
      </c>
      <c r="B49" s="43" t="s">
        <v>173</v>
      </c>
      <c r="C49" s="43" t="s">
        <v>174</v>
      </c>
      <c r="D49" s="43" t="s">
        <v>140</v>
      </c>
      <c r="E49" s="44" t="s">
        <v>175</v>
      </c>
      <c r="F49" s="50" t="s">
        <v>29</v>
      </c>
      <c r="G49" s="50"/>
      <c r="H49" s="44" t="s">
        <v>27</v>
      </c>
      <c r="I49" s="51">
        <v>15869.31</v>
      </c>
      <c r="J49" s="51"/>
      <c r="K49" s="47" t="s">
        <v>22</v>
      </c>
      <c r="L49" s="48">
        <v>240872.91</v>
      </c>
    </row>
    <row r="50" spans="1:12" ht="51" x14ac:dyDescent="0.3">
      <c r="A50" s="42" t="s">
        <v>85</v>
      </c>
      <c r="B50" s="43" t="s">
        <v>173</v>
      </c>
      <c r="C50" s="43" t="s">
        <v>174</v>
      </c>
      <c r="D50" s="43" t="s">
        <v>166</v>
      </c>
      <c r="E50" s="44" t="s">
        <v>175</v>
      </c>
      <c r="F50" s="50" t="s">
        <v>29</v>
      </c>
      <c r="G50" s="50"/>
      <c r="H50" s="44" t="s">
        <v>27</v>
      </c>
      <c r="I50" s="51">
        <v>1981.98</v>
      </c>
      <c r="J50" s="51"/>
      <c r="K50" s="47" t="s">
        <v>22</v>
      </c>
      <c r="L50" s="48">
        <v>238890.93</v>
      </c>
    </row>
    <row r="51" spans="1:12" ht="51" x14ac:dyDescent="0.3">
      <c r="A51" s="42" t="s">
        <v>85</v>
      </c>
      <c r="B51" s="43" t="s">
        <v>173</v>
      </c>
      <c r="C51" s="43" t="s">
        <v>174</v>
      </c>
      <c r="D51" s="43" t="s">
        <v>140</v>
      </c>
      <c r="E51" s="44" t="s">
        <v>175</v>
      </c>
      <c r="F51" s="50" t="s">
        <v>29</v>
      </c>
      <c r="G51" s="50"/>
      <c r="H51" s="44" t="s">
        <v>27</v>
      </c>
      <c r="I51" s="51">
        <v>11901.98</v>
      </c>
      <c r="J51" s="51"/>
      <c r="K51" s="47" t="s">
        <v>22</v>
      </c>
      <c r="L51" s="48">
        <v>226988.95</v>
      </c>
    </row>
    <row r="52" spans="1:12" ht="51" x14ac:dyDescent="0.3">
      <c r="A52" s="42" t="s">
        <v>85</v>
      </c>
      <c r="B52" s="43" t="s">
        <v>173</v>
      </c>
      <c r="C52" s="43" t="s">
        <v>174</v>
      </c>
      <c r="D52" s="43" t="s">
        <v>140</v>
      </c>
      <c r="E52" s="44" t="s">
        <v>175</v>
      </c>
      <c r="F52" s="50" t="s">
        <v>29</v>
      </c>
      <c r="G52" s="50"/>
      <c r="H52" s="44" t="s">
        <v>27</v>
      </c>
      <c r="I52" s="51">
        <v>5950.99</v>
      </c>
      <c r="J52" s="51"/>
      <c r="K52" s="47" t="s">
        <v>22</v>
      </c>
      <c r="L52" s="48">
        <v>221037.96</v>
      </c>
    </row>
    <row r="53" spans="1:12" ht="61.2" x14ac:dyDescent="0.3">
      <c r="A53" s="42" t="s">
        <v>85</v>
      </c>
      <c r="B53" s="43" t="s">
        <v>173</v>
      </c>
      <c r="C53" s="43" t="s">
        <v>174</v>
      </c>
      <c r="D53" s="43" t="s">
        <v>131</v>
      </c>
      <c r="E53" s="44" t="s">
        <v>175</v>
      </c>
      <c r="F53" s="50" t="s">
        <v>29</v>
      </c>
      <c r="G53" s="50"/>
      <c r="H53" s="44" t="s">
        <v>27</v>
      </c>
      <c r="I53" s="51">
        <v>38011.64</v>
      </c>
      <c r="J53" s="51"/>
      <c r="K53" s="47" t="s">
        <v>22</v>
      </c>
      <c r="L53" s="48">
        <v>183026.32</v>
      </c>
    </row>
    <row r="54" spans="1:12" ht="61.2" x14ac:dyDescent="0.3">
      <c r="A54" s="42" t="s">
        <v>85</v>
      </c>
      <c r="B54" s="43" t="s">
        <v>173</v>
      </c>
      <c r="C54" s="43" t="s">
        <v>174</v>
      </c>
      <c r="D54" s="43" t="s">
        <v>133</v>
      </c>
      <c r="E54" s="44" t="s">
        <v>175</v>
      </c>
      <c r="F54" s="50" t="s">
        <v>29</v>
      </c>
      <c r="G54" s="50"/>
      <c r="H54" s="44" t="s">
        <v>27</v>
      </c>
      <c r="I54" s="51">
        <v>16256.65</v>
      </c>
      <c r="J54" s="51"/>
      <c r="K54" s="47" t="s">
        <v>22</v>
      </c>
      <c r="L54" s="48">
        <v>166769.67000000001</v>
      </c>
    </row>
    <row r="55" spans="1:12" ht="61.2" x14ac:dyDescent="0.3">
      <c r="A55" s="42" t="s">
        <v>85</v>
      </c>
      <c r="B55" s="43" t="s">
        <v>173</v>
      </c>
      <c r="C55" s="43" t="s">
        <v>174</v>
      </c>
      <c r="D55" s="43" t="s">
        <v>134</v>
      </c>
      <c r="E55" s="44" t="s">
        <v>175</v>
      </c>
      <c r="F55" s="50" t="s">
        <v>29</v>
      </c>
      <c r="G55" s="50"/>
      <c r="H55" s="44" t="s">
        <v>27</v>
      </c>
      <c r="I55" s="51">
        <v>2133.66</v>
      </c>
      <c r="J55" s="51"/>
      <c r="K55" s="47" t="s">
        <v>22</v>
      </c>
      <c r="L55" s="48">
        <v>164636.01</v>
      </c>
    </row>
    <row r="56" spans="1:12" ht="61.2" x14ac:dyDescent="0.3">
      <c r="A56" s="42" t="s">
        <v>85</v>
      </c>
      <c r="B56" s="43" t="s">
        <v>173</v>
      </c>
      <c r="C56" s="43" t="s">
        <v>174</v>
      </c>
      <c r="D56" s="43" t="s">
        <v>129</v>
      </c>
      <c r="E56" s="44" t="s">
        <v>175</v>
      </c>
      <c r="F56" s="50" t="s">
        <v>29</v>
      </c>
      <c r="G56" s="50"/>
      <c r="H56" s="44" t="s">
        <v>27</v>
      </c>
      <c r="I56" s="51">
        <v>7881.61</v>
      </c>
      <c r="J56" s="51"/>
      <c r="K56" s="47" t="s">
        <v>22</v>
      </c>
      <c r="L56" s="48">
        <v>156754.4</v>
      </c>
    </row>
    <row r="57" spans="1:12" ht="61.2" x14ac:dyDescent="0.3">
      <c r="A57" s="42" t="s">
        <v>85</v>
      </c>
      <c r="B57" s="43" t="s">
        <v>173</v>
      </c>
      <c r="C57" s="43" t="s">
        <v>174</v>
      </c>
      <c r="D57" s="43" t="s">
        <v>136</v>
      </c>
      <c r="E57" s="44" t="s">
        <v>175</v>
      </c>
      <c r="F57" s="50" t="s">
        <v>29</v>
      </c>
      <c r="G57" s="50"/>
      <c r="H57" s="44" t="s">
        <v>27</v>
      </c>
      <c r="I57" s="52">
        <v>238.77</v>
      </c>
      <c r="J57" s="52"/>
      <c r="K57" s="47" t="s">
        <v>22</v>
      </c>
      <c r="L57" s="48">
        <v>156515.63</v>
      </c>
    </row>
    <row r="58" spans="1:12" ht="61.2" x14ac:dyDescent="0.3">
      <c r="A58" s="42" t="s">
        <v>85</v>
      </c>
      <c r="B58" s="43" t="s">
        <v>173</v>
      </c>
      <c r="C58" s="43" t="s">
        <v>174</v>
      </c>
      <c r="D58" s="43" t="s">
        <v>127</v>
      </c>
      <c r="E58" s="44" t="s">
        <v>175</v>
      </c>
      <c r="F58" s="50" t="s">
        <v>29</v>
      </c>
      <c r="G58" s="50"/>
      <c r="H58" s="44" t="s">
        <v>27</v>
      </c>
      <c r="I58" s="51">
        <v>15750</v>
      </c>
      <c r="J58" s="51"/>
      <c r="K58" s="47" t="s">
        <v>22</v>
      </c>
      <c r="L58" s="48">
        <v>140765.63</v>
      </c>
    </row>
    <row r="59" spans="1:12" ht="61.2" x14ac:dyDescent="0.3">
      <c r="A59" s="42" t="s">
        <v>85</v>
      </c>
      <c r="B59" s="43" t="s">
        <v>173</v>
      </c>
      <c r="C59" s="43" t="s">
        <v>174</v>
      </c>
      <c r="D59" s="43" t="s">
        <v>136</v>
      </c>
      <c r="E59" s="44" t="s">
        <v>175</v>
      </c>
      <c r="F59" s="50" t="s">
        <v>29</v>
      </c>
      <c r="G59" s="50"/>
      <c r="H59" s="44" t="s">
        <v>27</v>
      </c>
      <c r="I59" s="51">
        <v>8595.61</v>
      </c>
      <c r="J59" s="51"/>
      <c r="K59" s="47" t="s">
        <v>22</v>
      </c>
      <c r="L59" s="48">
        <v>132170.01999999999</v>
      </c>
    </row>
    <row r="60" spans="1:12" ht="51" x14ac:dyDescent="0.3">
      <c r="A60" s="42" t="s">
        <v>85</v>
      </c>
      <c r="B60" s="43" t="s">
        <v>173</v>
      </c>
      <c r="C60" s="43" t="s">
        <v>174</v>
      </c>
      <c r="D60" s="43" t="s">
        <v>171</v>
      </c>
      <c r="E60" s="44" t="s">
        <v>175</v>
      </c>
      <c r="F60" s="50" t="s">
        <v>29</v>
      </c>
      <c r="G60" s="50"/>
      <c r="H60" s="44" t="s">
        <v>27</v>
      </c>
      <c r="I60" s="51">
        <v>3596</v>
      </c>
      <c r="J60" s="51"/>
      <c r="K60" s="47" t="s">
        <v>22</v>
      </c>
      <c r="L60" s="48">
        <v>128574.02</v>
      </c>
    </row>
    <row r="61" spans="1:12" ht="61.2" x14ac:dyDescent="0.3">
      <c r="A61" s="42" t="s">
        <v>85</v>
      </c>
      <c r="B61" s="43" t="s">
        <v>173</v>
      </c>
      <c r="C61" s="43" t="s">
        <v>174</v>
      </c>
      <c r="D61" s="43" t="s">
        <v>125</v>
      </c>
      <c r="E61" s="44" t="s">
        <v>175</v>
      </c>
      <c r="F61" s="50" t="s">
        <v>29</v>
      </c>
      <c r="G61" s="50"/>
      <c r="H61" s="44" t="s">
        <v>27</v>
      </c>
      <c r="I61" s="51">
        <v>16569.95</v>
      </c>
      <c r="J61" s="51"/>
      <c r="K61" s="47" t="s">
        <v>22</v>
      </c>
      <c r="L61" s="48">
        <v>112004.07</v>
      </c>
    </row>
    <row r="62" spans="1:12" ht="51" x14ac:dyDescent="0.3">
      <c r="A62" s="42" t="s">
        <v>85</v>
      </c>
      <c r="B62" s="43" t="s">
        <v>173</v>
      </c>
      <c r="C62" s="43" t="s">
        <v>174</v>
      </c>
      <c r="D62" s="43" t="s">
        <v>116</v>
      </c>
      <c r="E62" s="44" t="s">
        <v>175</v>
      </c>
      <c r="F62" s="50" t="s">
        <v>29</v>
      </c>
      <c r="G62" s="50"/>
      <c r="H62" s="44" t="s">
        <v>27</v>
      </c>
      <c r="I62" s="51">
        <v>11153.62</v>
      </c>
      <c r="J62" s="51"/>
      <c r="K62" s="47" t="s">
        <v>22</v>
      </c>
      <c r="L62" s="48">
        <v>100850.45</v>
      </c>
    </row>
    <row r="63" spans="1:12" ht="51" hidden="1" x14ac:dyDescent="0.3">
      <c r="A63" s="42" t="s">
        <v>85</v>
      </c>
      <c r="B63" s="43" t="s">
        <v>176</v>
      </c>
      <c r="C63" s="43" t="s">
        <v>177</v>
      </c>
      <c r="D63" s="43" t="s">
        <v>178</v>
      </c>
      <c r="E63" s="44" t="s">
        <v>27</v>
      </c>
      <c r="F63" s="45">
        <v>9310</v>
      </c>
      <c r="G63" s="45"/>
      <c r="H63" s="44" t="s">
        <v>28</v>
      </c>
      <c r="I63" s="46" t="s">
        <v>29</v>
      </c>
      <c r="J63" s="46"/>
      <c r="K63" s="47" t="s">
        <v>22</v>
      </c>
      <c r="L63" s="48">
        <v>110160.45</v>
      </c>
    </row>
    <row r="64" spans="1:12" ht="51" x14ac:dyDescent="0.3">
      <c r="A64" s="42" t="s">
        <v>85</v>
      </c>
      <c r="B64" s="43" t="s">
        <v>179</v>
      </c>
      <c r="C64" s="43" t="s">
        <v>177</v>
      </c>
      <c r="D64" s="43" t="s">
        <v>178</v>
      </c>
      <c r="E64" s="44" t="s">
        <v>27</v>
      </c>
      <c r="F64" s="45">
        <v>5054</v>
      </c>
      <c r="G64" s="45"/>
      <c r="H64" s="44" t="s">
        <v>28</v>
      </c>
      <c r="I64" s="46" t="s">
        <v>29</v>
      </c>
      <c r="J64" s="46"/>
      <c r="K64" s="47" t="s">
        <v>22</v>
      </c>
      <c r="L64" s="48">
        <v>115214.45</v>
      </c>
    </row>
    <row r="65" spans="1:12" ht="51" hidden="1" x14ac:dyDescent="0.3">
      <c r="A65" s="42" t="s">
        <v>85</v>
      </c>
      <c r="B65" s="43" t="s">
        <v>180</v>
      </c>
      <c r="C65" s="43" t="s">
        <v>181</v>
      </c>
      <c r="D65" s="43" t="s">
        <v>182</v>
      </c>
      <c r="E65" s="44" t="s">
        <v>27</v>
      </c>
      <c r="F65" s="49">
        <v>591.65</v>
      </c>
      <c r="G65" s="49"/>
      <c r="H65" s="44" t="s">
        <v>28</v>
      </c>
      <c r="I65" s="46" t="s">
        <v>29</v>
      </c>
      <c r="J65" s="46"/>
      <c r="K65" s="47" t="s">
        <v>22</v>
      </c>
      <c r="L65" s="48">
        <v>115806.1</v>
      </c>
    </row>
    <row r="66" spans="1:12" ht="51" hidden="1" x14ac:dyDescent="0.3">
      <c r="A66" s="42" t="s">
        <v>85</v>
      </c>
      <c r="B66" s="43" t="s">
        <v>180</v>
      </c>
      <c r="C66" s="43" t="s">
        <v>183</v>
      </c>
      <c r="D66" s="43" t="s">
        <v>182</v>
      </c>
      <c r="E66" s="44" t="s">
        <v>27</v>
      </c>
      <c r="F66" s="45">
        <v>3542</v>
      </c>
      <c r="G66" s="45"/>
      <c r="H66" s="44" t="s">
        <v>28</v>
      </c>
      <c r="I66" s="46" t="s">
        <v>29</v>
      </c>
      <c r="J66" s="46"/>
      <c r="K66" s="47" t="s">
        <v>22</v>
      </c>
      <c r="L66" s="48">
        <v>119348.1</v>
      </c>
    </row>
    <row r="67" spans="1:12" hidden="1" x14ac:dyDescent="0.3">
      <c r="A67" s="53" t="s">
        <v>102</v>
      </c>
      <c r="B67" s="53"/>
      <c r="C67" s="53"/>
      <c r="D67" s="53"/>
      <c r="E67" s="54">
        <v>650277.21</v>
      </c>
      <c r="F67" s="54"/>
      <c r="G67" s="54"/>
      <c r="H67" s="54">
        <v>530929.11</v>
      </c>
      <c r="I67" s="54"/>
      <c r="J67" s="54"/>
      <c r="K67" s="55" t="s">
        <v>22</v>
      </c>
      <c r="L67" s="56">
        <v>119348.1</v>
      </c>
    </row>
    <row r="69" spans="1:12" x14ac:dyDescent="0.3">
      <c r="J69">
        <f>SUBTOTAL(9,I19:J64)</f>
        <v>530929.11</v>
      </c>
    </row>
  </sheetData>
  <autoFilter ref="B1:D67">
    <filterColumn colId="0">
      <filters>
        <filter val="Вимога-накладна ІБ00-000239 від 28.03.2025 20:00:00_x000a_Списаны ТМЦ"/>
        <filter val="Надходження дод. витрат ІБ00-000160 від 21.03.2025 19:26:04_x000a_Доп. расходы при поступлении товаров"/>
        <filter val="Надходження дод. витрат ІБ00-000164 від 14.03.2025 17:51:08_x000a_Доп. расходы при поступлении товаров"/>
        <filter val="Надходження дод. витрат ІБ00-000197 від 28.03.2025 20:00:21_x000a_Доп. расходы при поступлении товаров"/>
        <filter val="Надходження дод. витрат ІБ00-000198 від 27.03.2025 19:00:11_x000a_Доп. расходы при поступлении товаров"/>
      </filters>
    </filterColumn>
  </autoFilter>
  <mergeCells count="140">
    <mergeCell ref="A67:D67"/>
    <mergeCell ref="E67:G67"/>
    <mergeCell ref="H67:J67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23"/>
  <sheetViews>
    <sheetView topLeftCell="A17" workbookViewId="0">
      <selection activeCell="J23" sqref="J23"/>
    </sheetView>
  </sheetViews>
  <sheetFormatPr defaultRowHeight="14.4" x14ac:dyDescent="0.3"/>
  <cols>
    <col min="2" max="4" width="18.21875" customWidth="1"/>
  </cols>
  <sheetData>
    <row r="1" spans="1:12" x14ac:dyDescent="0.3">
      <c r="A1" s="57" t="s">
        <v>13</v>
      </c>
      <c r="B1" s="58" t="s">
        <v>14</v>
      </c>
      <c r="C1" s="58" t="s">
        <v>15</v>
      </c>
      <c r="D1" s="59" t="s">
        <v>16</v>
      </c>
      <c r="E1" s="60" t="s">
        <v>17</v>
      </c>
      <c r="F1" s="60"/>
      <c r="G1" s="60"/>
      <c r="H1" s="61" t="s">
        <v>18</v>
      </c>
      <c r="I1" s="61"/>
      <c r="J1" s="61"/>
      <c r="K1" s="58" t="s">
        <v>19</v>
      </c>
      <c r="L1" s="58"/>
    </row>
    <row r="2" spans="1:12" hidden="1" x14ac:dyDescent="0.3">
      <c r="A2" s="62"/>
      <c r="B2" s="63"/>
      <c r="C2" s="63"/>
      <c r="D2" s="64"/>
      <c r="E2" s="65" t="s">
        <v>20</v>
      </c>
      <c r="F2" s="66"/>
      <c r="G2" s="66"/>
      <c r="H2" s="67" t="s">
        <v>20</v>
      </c>
      <c r="I2" s="68"/>
      <c r="J2" s="68"/>
      <c r="K2" s="62"/>
      <c r="L2" s="69"/>
    </row>
    <row r="3" spans="1:12" ht="81.599999999999994" hidden="1" x14ac:dyDescent="0.3">
      <c r="A3" s="70" t="s">
        <v>184</v>
      </c>
      <c r="B3" s="71" t="s">
        <v>185</v>
      </c>
      <c r="C3" s="71" t="s">
        <v>186</v>
      </c>
      <c r="D3" s="71" t="s">
        <v>187</v>
      </c>
      <c r="E3" s="72" t="s">
        <v>27</v>
      </c>
      <c r="F3" s="73">
        <v>32716.13</v>
      </c>
      <c r="G3" s="73"/>
      <c r="H3" s="72" t="s">
        <v>27</v>
      </c>
      <c r="I3" s="74" t="s">
        <v>29</v>
      </c>
      <c r="J3" s="74"/>
      <c r="K3" s="75" t="s">
        <v>22</v>
      </c>
      <c r="L3" s="76">
        <v>99176.49</v>
      </c>
    </row>
    <row r="4" spans="1:12" ht="81.599999999999994" hidden="1" x14ac:dyDescent="0.3">
      <c r="A4" s="70" t="s">
        <v>184</v>
      </c>
      <c r="B4" s="71" t="s">
        <v>188</v>
      </c>
      <c r="C4" s="71" t="s">
        <v>189</v>
      </c>
      <c r="D4" s="71" t="s">
        <v>190</v>
      </c>
      <c r="E4" s="72" t="s">
        <v>27</v>
      </c>
      <c r="F4" s="73">
        <v>8491.5</v>
      </c>
      <c r="G4" s="73"/>
      <c r="H4" s="72" t="s">
        <v>28</v>
      </c>
      <c r="I4" s="74" t="s">
        <v>29</v>
      </c>
      <c r="J4" s="74"/>
      <c r="K4" s="75" t="s">
        <v>22</v>
      </c>
      <c r="L4" s="76">
        <v>107667.99</v>
      </c>
    </row>
    <row r="5" spans="1:12" ht="71.400000000000006" x14ac:dyDescent="0.3">
      <c r="A5" s="70" t="s">
        <v>42</v>
      </c>
      <c r="B5" s="71" t="s">
        <v>191</v>
      </c>
      <c r="C5" s="71" t="s">
        <v>174</v>
      </c>
      <c r="D5" s="71" t="s">
        <v>192</v>
      </c>
      <c r="E5" s="72" t="s">
        <v>175</v>
      </c>
      <c r="F5" s="77" t="s">
        <v>29</v>
      </c>
      <c r="G5" s="77"/>
      <c r="H5" s="72" t="s">
        <v>27</v>
      </c>
      <c r="I5" s="78">
        <v>28317.33</v>
      </c>
      <c r="J5" s="78"/>
      <c r="K5" s="75" t="s">
        <v>22</v>
      </c>
      <c r="L5" s="76">
        <v>79350.66</v>
      </c>
    </row>
    <row r="6" spans="1:12" ht="71.400000000000006" x14ac:dyDescent="0.3">
      <c r="A6" s="70" t="s">
        <v>42</v>
      </c>
      <c r="B6" s="71" t="s">
        <v>191</v>
      </c>
      <c r="C6" s="71" t="s">
        <v>174</v>
      </c>
      <c r="D6" s="71" t="s">
        <v>193</v>
      </c>
      <c r="E6" s="72" t="s">
        <v>175</v>
      </c>
      <c r="F6" s="77" t="s">
        <v>29</v>
      </c>
      <c r="G6" s="77"/>
      <c r="H6" s="72" t="s">
        <v>27</v>
      </c>
      <c r="I6" s="78">
        <v>1982.67</v>
      </c>
      <c r="J6" s="78"/>
      <c r="K6" s="75" t="s">
        <v>22</v>
      </c>
      <c r="L6" s="76">
        <v>77367.990000000005</v>
      </c>
    </row>
    <row r="7" spans="1:12" ht="71.400000000000006" x14ac:dyDescent="0.3">
      <c r="A7" s="70" t="s">
        <v>42</v>
      </c>
      <c r="B7" s="71" t="s">
        <v>191</v>
      </c>
      <c r="C7" s="71" t="s">
        <v>174</v>
      </c>
      <c r="D7" s="71" t="s">
        <v>193</v>
      </c>
      <c r="E7" s="72" t="s">
        <v>175</v>
      </c>
      <c r="F7" s="77" t="s">
        <v>29</v>
      </c>
      <c r="G7" s="77"/>
      <c r="H7" s="72" t="s">
        <v>27</v>
      </c>
      <c r="I7" s="78">
        <v>14090.66</v>
      </c>
      <c r="J7" s="78"/>
      <c r="K7" s="75" t="s">
        <v>22</v>
      </c>
      <c r="L7" s="76">
        <v>63277.33</v>
      </c>
    </row>
    <row r="8" spans="1:12" ht="71.400000000000006" x14ac:dyDescent="0.3">
      <c r="A8" s="70" t="s">
        <v>42</v>
      </c>
      <c r="B8" s="71" t="s">
        <v>191</v>
      </c>
      <c r="C8" s="71" t="s">
        <v>174</v>
      </c>
      <c r="D8" s="71" t="s">
        <v>194</v>
      </c>
      <c r="E8" s="72" t="s">
        <v>175</v>
      </c>
      <c r="F8" s="77" t="s">
        <v>29</v>
      </c>
      <c r="G8" s="77"/>
      <c r="H8" s="72" t="s">
        <v>27</v>
      </c>
      <c r="I8" s="78">
        <v>8145.83</v>
      </c>
      <c r="J8" s="78"/>
      <c r="K8" s="75" t="s">
        <v>22</v>
      </c>
      <c r="L8" s="76">
        <v>55131.5</v>
      </c>
    </row>
    <row r="9" spans="1:12" ht="71.400000000000006" x14ac:dyDescent="0.3">
      <c r="A9" s="70" t="s">
        <v>42</v>
      </c>
      <c r="B9" s="71" t="s">
        <v>191</v>
      </c>
      <c r="C9" s="71" t="s">
        <v>174</v>
      </c>
      <c r="D9" s="71" t="s">
        <v>195</v>
      </c>
      <c r="E9" s="72" t="s">
        <v>175</v>
      </c>
      <c r="F9" s="77" t="s">
        <v>29</v>
      </c>
      <c r="G9" s="77"/>
      <c r="H9" s="72" t="s">
        <v>27</v>
      </c>
      <c r="I9" s="79">
        <v>60</v>
      </c>
      <c r="J9" s="79"/>
      <c r="K9" s="75" t="s">
        <v>22</v>
      </c>
      <c r="L9" s="76">
        <v>55071.5</v>
      </c>
    </row>
    <row r="10" spans="1:12" ht="71.400000000000006" x14ac:dyDescent="0.3">
      <c r="A10" s="70" t="s">
        <v>42</v>
      </c>
      <c r="B10" s="71" t="s">
        <v>191</v>
      </c>
      <c r="C10" s="71" t="s">
        <v>174</v>
      </c>
      <c r="D10" s="71" t="s">
        <v>196</v>
      </c>
      <c r="E10" s="72" t="s">
        <v>175</v>
      </c>
      <c r="F10" s="77" t="s">
        <v>29</v>
      </c>
      <c r="G10" s="77"/>
      <c r="H10" s="72" t="s">
        <v>27</v>
      </c>
      <c r="I10" s="78">
        <v>3864</v>
      </c>
      <c r="J10" s="78"/>
      <c r="K10" s="75" t="s">
        <v>22</v>
      </c>
      <c r="L10" s="76">
        <v>51207.5</v>
      </c>
    </row>
    <row r="11" spans="1:12" ht="71.400000000000006" x14ac:dyDescent="0.3">
      <c r="A11" s="70" t="s">
        <v>42</v>
      </c>
      <c r="B11" s="71" t="s">
        <v>191</v>
      </c>
      <c r="C11" s="71" t="s">
        <v>174</v>
      </c>
      <c r="D11" s="71" t="s">
        <v>196</v>
      </c>
      <c r="E11" s="72" t="s">
        <v>175</v>
      </c>
      <c r="F11" s="77" t="s">
        <v>29</v>
      </c>
      <c r="G11" s="77"/>
      <c r="H11" s="72" t="s">
        <v>27</v>
      </c>
      <c r="I11" s="78">
        <v>4124.67</v>
      </c>
      <c r="J11" s="78"/>
      <c r="K11" s="75" t="s">
        <v>22</v>
      </c>
      <c r="L11" s="76">
        <v>47082.83</v>
      </c>
    </row>
    <row r="12" spans="1:12" ht="71.400000000000006" x14ac:dyDescent="0.3">
      <c r="A12" s="70" t="s">
        <v>42</v>
      </c>
      <c r="B12" s="71" t="s">
        <v>191</v>
      </c>
      <c r="C12" s="71" t="s">
        <v>174</v>
      </c>
      <c r="D12" s="71" t="s">
        <v>197</v>
      </c>
      <c r="E12" s="72" t="s">
        <v>175</v>
      </c>
      <c r="F12" s="77" t="s">
        <v>29</v>
      </c>
      <c r="G12" s="77"/>
      <c r="H12" s="72" t="s">
        <v>27</v>
      </c>
      <c r="I12" s="78">
        <v>3864</v>
      </c>
      <c r="J12" s="78"/>
      <c r="K12" s="75" t="s">
        <v>22</v>
      </c>
      <c r="L12" s="76">
        <v>43218.83</v>
      </c>
    </row>
    <row r="13" spans="1:12" ht="91.8" x14ac:dyDescent="0.3">
      <c r="A13" s="70" t="s">
        <v>42</v>
      </c>
      <c r="B13" s="71" t="s">
        <v>191</v>
      </c>
      <c r="C13" s="71" t="s">
        <v>174</v>
      </c>
      <c r="D13" s="71" t="s">
        <v>198</v>
      </c>
      <c r="E13" s="72" t="s">
        <v>175</v>
      </c>
      <c r="F13" s="77" t="s">
        <v>29</v>
      </c>
      <c r="G13" s="77"/>
      <c r="H13" s="72" t="s">
        <v>27</v>
      </c>
      <c r="I13" s="78">
        <v>1250</v>
      </c>
      <c r="J13" s="78"/>
      <c r="K13" s="75" t="s">
        <v>22</v>
      </c>
      <c r="L13" s="76">
        <v>41968.83</v>
      </c>
    </row>
    <row r="14" spans="1:12" ht="71.400000000000006" hidden="1" x14ac:dyDescent="0.3">
      <c r="A14" s="70" t="s">
        <v>51</v>
      </c>
      <c r="B14" s="71" t="s">
        <v>199</v>
      </c>
      <c r="C14" s="71" t="s">
        <v>200</v>
      </c>
      <c r="D14" s="71" t="s">
        <v>201</v>
      </c>
      <c r="E14" s="72" t="s">
        <v>27</v>
      </c>
      <c r="F14" s="73">
        <v>1751.64</v>
      </c>
      <c r="G14" s="73"/>
      <c r="H14" s="72" t="s">
        <v>27</v>
      </c>
      <c r="I14" s="74" t="s">
        <v>29</v>
      </c>
      <c r="J14" s="74"/>
      <c r="K14" s="75" t="s">
        <v>22</v>
      </c>
      <c r="L14" s="76">
        <v>43720.47</v>
      </c>
    </row>
    <row r="15" spans="1:12" ht="71.400000000000006" hidden="1" x14ac:dyDescent="0.3">
      <c r="A15" s="70" t="s">
        <v>51</v>
      </c>
      <c r="B15" s="71" t="s">
        <v>199</v>
      </c>
      <c r="C15" s="71" t="s">
        <v>202</v>
      </c>
      <c r="D15" s="71" t="s">
        <v>203</v>
      </c>
      <c r="E15" s="72" t="s">
        <v>27</v>
      </c>
      <c r="F15" s="73">
        <v>125374.85</v>
      </c>
      <c r="G15" s="73"/>
      <c r="H15" s="72" t="s">
        <v>27</v>
      </c>
      <c r="I15" s="74" t="s">
        <v>29</v>
      </c>
      <c r="J15" s="74"/>
      <c r="K15" s="75" t="s">
        <v>22</v>
      </c>
      <c r="L15" s="76">
        <v>169095.32</v>
      </c>
    </row>
    <row r="16" spans="1:12" ht="71.400000000000006" hidden="1" x14ac:dyDescent="0.3">
      <c r="A16" s="70" t="s">
        <v>60</v>
      </c>
      <c r="B16" s="71" t="s">
        <v>204</v>
      </c>
      <c r="C16" s="71" t="s">
        <v>205</v>
      </c>
      <c r="D16" s="71" t="s">
        <v>206</v>
      </c>
      <c r="E16" s="72" t="s">
        <v>27</v>
      </c>
      <c r="F16" s="73">
        <v>27724.19</v>
      </c>
      <c r="G16" s="73"/>
      <c r="H16" s="72" t="s">
        <v>27</v>
      </c>
      <c r="I16" s="74" t="s">
        <v>29</v>
      </c>
      <c r="J16" s="74"/>
      <c r="K16" s="75" t="s">
        <v>22</v>
      </c>
      <c r="L16" s="76">
        <v>196819.51</v>
      </c>
    </row>
    <row r="17" spans="1:12" ht="81.599999999999994" x14ac:dyDescent="0.3">
      <c r="A17" s="70" t="s">
        <v>85</v>
      </c>
      <c r="B17" s="71" t="s">
        <v>207</v>
      </c>
      <c r="C17" s="71" t="s">
        <v>174</v>
      </c>
      <c r="D17" s="71" t="s">
        <v>186</v>
      </c>
      <c r="E17" s="72" t="s">
        <v>175</v>
      </c>
      <c r="F17" s="77" t="s">
        <v>29</v>
      </c>
      <c r="G17" s="77"/>
      <c r="H17" s="72" t="s">
        <v>27</v>
      </c>
      <c r="I17" s="78">
        <v>32716.13</v>
      </c>
      <c r="J17" s="78"/>
      <c r="K17" s="75" t="s">
        <v>22</v>
      </c>
      <c r="L17" s="76">
        <v>164103.38</v>
      </c>
    </row>
    <row r="18" spans="1:12" ht="71.400000000000006" x14ac:dyDescent="0.3">
      <c r="A18" s="70" t="s">
        <v>85</v>
      </c>
      <c r="B18" s="71" t="s">
        <v>207</v>
      </c>
      <c r="C18" s="71" t="s">
        <v>174</v>
      </c>
      <c r="D18" s="71" t="s">
        <v>200</v>
      </c>
      <c r="E18" s="72" t="s">
        <v>175</v>
      </c>
      <c r="F18" s="77" t="s">
        <v>29</v>
      </c>
      <c r="G18" s="77"/>
      <c r="H18" s="72" t="s">
        <v>27</v>
      </c>
      <c r="I18" s="78">
        <v>1751.64</v>
      </c>
      <c r="J18" s="78"/>
      <c r="K18" s="75" t="s">
        <v>22</v>
      </c>
      <c r="L18" s="76">
        <v>162351.74</v>
      </c>
    </row>
    <row r="19" spans="1:12" ht="81.599999999999994" x14ac:dyDescent="0.3">
      <c r="A19" s="70" t="s">
        <v>85</v>
      </c>
      <c r="B19" s="71" t="s">
        <v>208</v>
      </c>
      <c r="C19" s="71" t="s">
        <v>174</v>
      </c>
      <c r="D19" s="71" t="s">
        <v>209</v>
      </c>
      <c r="E19" s="72" t="s">
        <v>175</v>
      </c>
      <c r="F19" s="77" t="s">
        <v>29</v>
      </c>
      <c r="G19" s="77"/>
      <c r="H19" s="72" t="s">
        <v>27</v>
      </c>
      <c r="I19" s="79">
        <v>396.2</v>
      </c>
      <c r="J19" s="79"/>
      <c r="K19" s="75" t="s">
        <v>22</v>
      </c>
      <c r="L19" s="76">
        <v>161955.54</v>
      </c>
    </row>
    <row r="20" spans="1:12" ht="81.599999999999994" x14ac:dyDescent="0.3">
      <c r="A20" s="70" t="s">
        <v>85</v>
      </c>
      <c r="B20" s="71" t="s">
        <v>208</v>
      </c>
      <c r="C20" s="71" t="s">
        <v>174</v>
      </c>
      <c r="D20" s="71" t="s">
        <v>210</v>
      </c>
      <c r="E20" s="72" t="s">
        <v>175</v>
      </c>
      <c r="F20" s="77" t="s">
        <v>29</v>
      </c>
      <c r="G20" s="77"/>
      <c r="H20" s="72" t="s">
        <v>27</v>
      </c>
      <c r="I20" s="79">
        <v>365</v>
      </c>
      <c r="J20" s="79"/>
      <c r="K20" s="75" t="s">
        <v>22</v>
      </c>
      <c r="L20" s="76">
        <v>161590.54</v>
      </c>
    </row>
    <row r="21" spans="1:12" hidden="1" x14ac:dyDescent="0.3">
      <c r="A21" s="80" t="s">
        <v>102</v>
      </c>
      <c r="B21" s="80"/>
      <c r="C21" s="80"/>
      <c r="D21" s="80"/>
      <c r="E21" s="81">
        <v>196058.31</v>
      </c>
      <c r="F21" s="81"/>
      <c r="G21" s="81"/>
      <c r="H21" s="81">
        <v>100928.13</v>
      </c>
      <c r="I21" s="81"/>
      <c r="J21" s="81"/>
      <c r="K21" s="82" t="s">
        <v>22</v>
      </c>
      <c r="L21" s="83">
        <v>161590.54</v>
      </c>
    </row>
    <row r="23" spans="1:12" x14ac:dyDescent="0.3">
      <c r="J23">
        <f>SUBTOTAL(9,I5:J20)</f>
        <v>100928.13</v>
      </c>
    </row>
  </sheetData>
  <autoFilter ref="B1:D21">
    <filterColumn colId="0">
      <filters>
        <filter val="Вимога-накладна ІБ00-000144 від 05.03.2025 00:00:00_x000a_Списаны ТМЦ"/>
        <filter val="Вимога-накладна ІБ00-000227 від 28.03.2025 08:12:06_x000a_Списаны ТМЦ"/>
        <filter val="Списання товарів ІБ00-000159 від 28.03.2025 08:16:03_x000a_Списаны ТМЦ"/>
      </filters>
    </filterColumn>
  </autoFilter>
  <mergeCells count="48">
    <mergeCell ref="F19:G19"/>
    <mergeCell ref="I19:J19"/>
    <mergeCell ref="F20:G20"/>
    <mergeCell ref="I20:J20"/>
    <mergeCell ref="A21:D21"/>
    <mergeCell ref="E21:G21"/>
    <mergeCell ref="H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206"/>
  <sheetViews>
    <sheetView topLeftCell="A197" workbookViewId="0">
      <selection activeCell="J207" sqref="J207"/>
    </sheetView>
  </sheetViews>
  <sheetFormatPr defaultRowHeight="14.4" x14ac:dyDescent="0.3"/>
  <cols>
    <col min="2" max="4" width="25.21875" customWidth="1"/>
  </cols>
  <sheetData>
    <row r="1" spans="1:12" x14ac:dyDescent="0.3">
      <c r="A1" s="84" t="s">
        <v>13</v>
      </c>
      <c r="B1" s="85" t="s">
        <v>14</v>
      </c>
      <c r="C1" s="85" t="s">
        <v>15</v>
      </c>
      <c r="D1" s="86" t="s">
        <v>16</v>
      </c>
      <c r="E1" s="87" t="s">
        <v>17</v>
      </c>
      <c r="F1" s="87"/>
      <c r="G1" s="87"/>
      <c r="H1" s="88" t="s">
        <v>18</v>
      </c>
      <c r="I1" s="88"/>
      <c r="J1" s="88"/>
      <c r="K1" s="85" t="s">
        <v>19</v>
      </c>
      <c r="L1" s="85"/>
    </row>
    <row r="2" spans="1:12" hidden="1" x14ac:dyDescent="0.3">
      <c r="A2" s="89"/>
      <c r="B2" s="90"/>
      <c r="C2" s="90"/>
      <c r="D2" s="91"/>
      <c r="E2" s="92" t="s">
        <v>20</v>
      </c>
      <c r="F2" s="93"/>
      <c r="G2" s="93"/>
      <c r="H2" s="94" t="s">
        <v>20</v>
      </c>
      <c r="I2" s="95"/>
      <c r="J2" s="95"/>
      <c r="K2" s="89"/>
      <c r="L2" s="96"/>
    </row>
    <row r="3" spans="1:12" ht="61.2" hidden="1" x14ac:dyDescent="0.3">
      <c r="A3" s="97" t="s">
        <v>184</v>
      </c>
      <c r="B3" s="98" t="s">
        <v>211</v>
      </c>
      <c r="C3" s="98" t="s">
        <v>212</v>
      </c>
      <c r="D3" s="98" t="s">
        <v>213</v>
      </c>
      <c r="E3" s="99" t="s">
        <v>27</v>
      </c>
      <c r="F3" s="100">
        <v>98089</v>
      </c>
      <c r="G3" s="100"/>
      <c r="H3" s="99" t="s">
        <v>28</v>
      </c>
      <c r="I3" s="101" t="s">
        <v>29</v>
      </c>
      <c r="J3" s="101"/>
      <c r="K3" s="102" t="s">
        <v>22</v>
      </c>
      <c r="L3" s="103">
        <v>330496.68</v>
      </c>
    </row>
    <row r="4" spans="1:12" ht="61.2" hidden="1" x14ac:dyDescent="0.3">
      <c r="A4" s="97" t="s">
        <v>184</v>
      </c>
      <c r="B4" s="98" t="s">
        <v>211</v>
      </c>
      <c r="C4" s="98" t="s">
        <v>212</v>
      </c>
      <c r="D4" s="98" t="s">
        <v>214</v>
      </c>
      <c r="E4" s="99" t="s">
        <v>27</v>
      </c>
      <c r="F4" s="100">
        <v>39681</v>
      </c>
      <c r="G4" s="100"/>
      <c r="H4" s="99" t="s">
        <v>28</v>
      </c>
      <c r="I4" s="101" t="s">
        <v>29</v>
      </c>
      <c r="J4" s="101"/>
      <c r="K4" s="102" t="s">
        <v>22</v>
      </c>
      <c r="L4" s="103">
        <v>370177.68</v>
      </c>
    </row>
    <row r="5" spans="1:12" ht="61.2" hidden="1" x14ac:dyDescent="0.3">
      <c r="A5" s="97" t="s">
        <v>184</v>
      </c>
      <c r="B5" s="98" t="s">
        <v>215</v>
      </c>
      <c r="C5" s="98" t="s">
        <v>212</v>
      </c>
      <c r="D5" s="98" t="s">
        <v>213</v>
      </c>
      <c r="E5" s="99" t="s">
        <v>27</v>
      </c>
      <c r="F5" s="100">
        <v>41129.5</v>
      </c>
      <c r="G5" s="100"/>
      <c r="H5" s="99" t="s">
        <v>28</v>
      </c>
      <c r="I5" s="101" t="s">
        <v>29</v>
      </c>
      <c r="J5" s="101"/>
      <c r="K5" s="102" t="s">
        <v>22</v>
      </c>
      <c r="L5" s="103">
        <v>411307.18</v>
      </c>
    </row>
    <row r="6" spans="1:12" ht="61.2" hidden="1" x14ac:dyDescent="0.3">
      <c r="A6" s="97" t="s">
        <v>184</v>
      </c>
      <c r="B6" s="98" t="s">
        <v>216</v>
      </c>
      <c r="C6" s="98" t="s">
        <v>217</v>
      </c>
      <c r="D6" s="98" t="s">
        <v>218</v>
      </c>
      <c r="E6" s="99" t="s">
        <v>27</v>
      </c>
      <c r="F6" s="104" t="s">
        <v>29</v>
      </c>
      <c r="G6" s="104"/>
      <c r="H6" s="99" t="s">
        <v>27</v>
      </c>
      <c r="I6" s="105">
        <v>3599.86</v>
      </c>
      <c r="J6" s="105"/>
      <c r="K6" s="102" t="s">
        <v>22</v>
      </c>
      <c r="L6" s="103">
        <v>407707.32</v>
      </c>
    </row>
    <row r="7" spans="1:12" ht="61.2" hidden="1" x14ac:dyDescent="0.3">
      <c r="A7" s="97" t="s">
        <v>184</v>
      </c>
      <c r="B7" s="98" t="s">
        <v>216</v>
      </c>
      <c r="C7" s="98" t="s">
        <v>219</v>
      </c>
      <c r="D7" s="98" t="s">
        <v>212</v>
      </c>
      <c r="E7" s="99" t="s">
        <v>27</v>
      </c>
      <c r="F7" s="104" t="s">
        <v>29</v>
      </c>
      <c r="G7" s="104"/>
      <c r="H7" s="99" t="s">
        <v>27</v>
      </c>
      <c r="I7" s="105">
        <v>65702.789999999994</v>
      </c>
      <c r="J7" s="105"/>
      <c r="K7" s="102" t="s">
        <v>22</v>
      </c>
      <c r="L7" s="103">
        <v>342004.53</v>
      </c>
    </row>
    <row r="8" spans="1:12" ht="61.2" hidden="1" x14ac:dyDescent="0.3">
      <c r="A8" s="97" t="s">
        <v>184</v>
      </c>
      <c r="B8" s="98" t="s">
        <v>220</v>
      </c>
      <c r="C8" s="98" t="s">
        <v>221</v>
      </c>
      <c r="D8" s="98" t="s">
        <v>212</v>
      </c>
      <c r="E8" s="99" t="s">
        <v>27</v>
      </c>
      <c r="F8" s="104" t="s">
        <v>29</v>
      </c>
      <c r="G8" s="104"/>
      <c r="H8" s="99" t="s">
        <v>27</v>
      </c>
      <c r="I8" s="105">
        <v>101894.93</v>
      </c>
      <c r="J8" s="105"/>
      <c r="K8" s="102" t="s">
        <v>22</v>
      </c>
      <c r="L8" s="103">
        <v>240109.6</v>
      </c>
    </row>
    <row r="9" spans="1:12" ht="51" hidden="1" x14ac:dyDescent="0.3">
      <c r="A9" s="97" t="s">
        <v>184</v>
      </c>
      <c r="B9" s="98" t="s">
        <v>222</v>
      </c>
      <c r="C9" s="98" t="s">
        <v>223</v>
      </c>
      <c r="D9" s="98" t="s">
        <v>212</v>
      </c>
      <c r="E9" s="99" t="s">
        <v>27</v>
      </c>
      <c r="F9" s="104" t="s">
        <v>29</v>
      </c>
      <c r="G9" s="104"/>
      <c r="H9" s="99" t="s">
        <v>27</v>
      </c>
      <c r="I9" s="105">
        <v>7389.33</v>
      </c>
      <c r="J9" s="105"/>
      <c r="K9" s="102" t="s">
        <v>22</v>
      </c>
      <c r="L9" s="103">
        <v>232720.27</v>
      </c>
    </row>
    <row r="10" spans="1:12" ht="61.2" hidden="1" x14ac:dyDescent="0.3">
      <c r="A10" s="97" t="s">
        <v>184</v>
      </c>
      <c r="B10" s="98" t="s">
        <v>224</v>
      </c>
      <c r="C10" s="98" t="s">
        <v>187</v>
      </c>
      <c r="D10" s="98" t="s">
        <v>225</v>
      </c>
      <c r="E10" s="99" t="s">
        <v>27</v>
      </c>
      <c r="F10" s="100">
        <v>24160</v>
      </c>
      <c r="G10" s="100"/>
      <c r="H10" s="99" t="s">
        <v>28</v>
      </c>
      <c r="I10" s="101" t="s">
        <v>29</v>
      </c>
      <c r="J10" s="101"/>
      <c r="K10" s="102" t="s">
        <v>22</v>
      </c>
      <c r="L10" s="103">
        <v>256880.27</v>
      </c>
    </row>
    <row r="11" spans="1:12" ht="61.2" hidden="1" x14ac:dyDescent="0.3">
      <c r="A11" s="97" t="s">
        <v>184</v>
      </c>
      <c r="B11" s="98" t="s">
        <v>226</v>
      </c>
      <c r="C11" s="98" t="s">
        <v>187</v>
      </c>
      <c r="D11" s="98" t="s">
        <v>227</v>
      </c>
      <c r="E11" s="99" t="s">
        <v>27</v>
      </c>
      <c r="F11" s="100">
        <v>9395</v>
      </c>
      <c r="G11" s="100"/>
      <c r="H11" s="99" t="s">
        <v>28</v>
      </c>
      <c r="I11" s="101" t="s">
        <v>29</v>
      </c>
      <c r="J11" s="101"/>
      <c r="K11" s="102" t="s">
        <v>22</v>
      </c>
      <c r="L11" s="103">
        <v>266275.27</v>
      </c>
    </row>
    <row r="12" spans="1:12" ht="61.2" hidden="1" x14ac:dyDescent="0.3">
      <c r="A12" s="97" t="s">
        <v>184</v>
      </c>
      <c r="B12" s="98" t="s">
        <v>185</v>
      </c>
      <c r="C12" s="98" t="s">
        <v>186</v>
      </c>
      <c r="D12" s="98" t="s">
        <v>187</v>
      </c>
      <c r="E12" s="99" t="s">
        <v>27</v>
      </c>
      <c r="F12" s="104" t="s">
        <v>29</v>
      </c>
      <c r="G12" s="104"/>
      <c r="H12" s="99" t="s">
        <v>27</v>
      </c>
      <c r="I12" s="105">
        <v>32716.13</v>
      </c>
      <c r="J12" s="105"/>
      <c r="K12" s="102" t="s">
        <v>22</v>
      </c>
      <c r="L12" s="103">
        <v>233559.14</v>
      </c>
    </row>
    <row r="13" spans="1:12" ht="71.400000000000006" hidden="1" x14ac:dyDescent="0.3">
      <c r="A13" s="97" t="s">
        <v>184</v>
      </c>
      <c r="B13" s="98" t="s">
        <v>228</v>
      </c>
      <c r="C13" s="98" t="s">
        <v>229</v>
      </c>
      <c r="D13" s="98" t="s">
        <v>187</v>
      </c>
      <c r="E13" s="99" t="s">
        <v>27</v>
      </c>
      <c r="F13" s="104" t="s">
        <v>29</v>
      </c>
      <c r="G13" s="104"/>
      <c r="H13" s="99" t="s">
        <v>27</v>
      </c>
      <c r="I13" s="106">
        <v>838.87</v>
      </c>
      <c r="J13" s="106"/>
      <c r="K13" s="102" t="s">
        <v>22</v>
      </c>
      <c r="L13" s="103">
        <v>232720.27</v>
      </c>
    </row>
    <row r="14" spans="1:12" ht="51" hidden="1" x14ac:dyDescent="0.3">
      <c r="A14" s="97" t="s">
        <v>23</v>
      </c>
      <c r="B14" s="98" t="s">
        <v>230</v>
      </c>
      <c r="C14" s="98" t="s">
        <v>231</v>
      </c>
      <c r="D14" s="98" t="s">
        <v>232</v>
      </c>
      <c r="E14" s="99" t="s">
        <v>27</v>
      </c>
      <c r="F14" s="100">
        <v>26730</v>
      </c>
      <c r="G14" s="100"/>
      <c r="H14" s="99" t="s">
        <v>28</v>
      </c>
      <c r="I14" s="101" t="s">
        <v>29</v>
      </c>
      <c r="J14" s="101"/>
      <c r="K14" s="102" t="s">
        <v>22</v>
      </c>
      <c r="L14" s="103">
        <v>259450.27</v>
      </c>
    </row>
    <row r="15" spans="1:12" ht="51" hidden="1" x14ac:dyDescent="0.3">
      <c r="A15" s="97" t="s">
        <v>23</v>
      </c>
      <c r="B15" s="98" t="s">
        <v>233</v>
      </c>
      <c r="C15" s="98" t="s">
        <v>231</v>
      </c>
      <c r="D15" s="98" t="s">
        <v>234</v>
      </c>
      <c r="E15" s="99" t="s">
        <v>27</v>
      </c>
      <c r="F15" s="100">
        <v>10974.5</v>
      </c>
      <c r="G15" s="100"/>
      <c r="H15" s="99" t="s">
        <v>28</v>
      </c>
      <c r="I15" s="101" t="s">
        <v>29</v>
      </c>
      <c r="J15" s="101"/>
      <c r="K15" s="102" t="s">
        <v>22</v>
      </c>
      <c r="L15" s="103">
        <v>270424.77</v>
      </c>
    </row>
    <row r="16" spans="1:12" ht="51" hidden="1" x14ac:dyDescent="0.3">
      <c r="A16" s="97" t="s">
        <v>23</v>
      </c>
      <c r="B16" s="98" t="s">
        <v>235</v>
      </c>
      <c r="C16" s="98" t="s">
        <v>236</v>
      </c>
      <c r="D16" s="98" t="s">
        <v>231</v>
      </c>
      <c r="E16" s="99" t="s">
        <v>27</v>
      </c>
      <c r="F16" s="104" t="s">
        <v>29</v>
      </c>
      <c r="G16" s="104"/>
      <c r="H16" s="99" t="s">
        <v>27</v>
      </c>
      <c r="I16" s="105">
        <v>6284.08</v>
      </c>
      <c r="J16" s="105"/>
      <c r="K16" s="102" t="s">
        <v>22</v>
      </c>
      <c r="L16" s="103">
        <v>264140.69</v>
      </c>
    </row>
    <row r="17" spans="1:12" ht="51" hidden="1" x14ac:dyDescent="0.3">
      <c r="A17" s="97" t="s">
        <v>23</v>
      </c>
      <c r="B17" s="98" t="s">
        <v>237</v>
      </c>
      <c r="C17" s="98" t="s">
        <v>238</v>
      </c>
      <c r="D17" s="98" t="s">
        <v>231</v>
      </c>
      <c r="E17" s="99" t="s">
        <v>27</v>
      </c>
      <c r="F17" s="104" t="s">
        <v>29</v>
      </c>
      <c r="G17" s="104"/>
      <c r="H17" s="99" t="s">
        <v>27</v>
      </c>
      <c r="I17" s="105">
        <v>4189.3900000000003</v>
      </c>
      <c r="J17" s="105"/>
      <c r="K17" s="102" t="s">
        <v>22</v>
      </c>
      <c r="L17" s="103">
        <v>259951.3</v>
      </c>
    </row>
    <row r="18" spans="1:12" ht="51" hidden="1" x14ac:dyDescent="0.3">
      <c r="A18" s="97" t="s">
        <v>23</v>
      </c>
      <c r="B18" s="98" t="s">
        <v>239</v>
      </c>
      <c r="C18" s="98" t="s">
        <v>240</v>
      </c>
      <c r="D18" s="98" t="s">
        <v>231</v>
      </c>
      <c r="E18" s="99" t="s">
        <v>27</v>
      </c>
      <c r="F18" s="104" t="s">
        <v>29</v>
      </c>
      <c r="G18" s="104"/>
      <c r="H18" s="99" t="s">
        <v>27</v>
      </c>
      <c r="I18" s="105">
        <v>27231.03</v>
      </c>
      <c r="J18" s="105"/>
      <c r="K18" s="102" t="s">
        <v>22</v>
      </c>
      <c r="L18" s="103">
        <v>232720.27</v>
      </c>
    </row>
    <row r="19" spans="1:12" ht="71.400000000000006" hidden="1" x14ac:dyDescent="0.3">
      <c r="A19" s="97" t="s">
        <v>23</v>
      </c>
      <c r="B19" s="98" t="s">
        <v>241</v>
      </c>
      <c r="C19" s="98" t="s">
        <v>242</v>
      </c>
      <c r="D19" s="98" t="s">
        <v>243</v>
      </c>
      <c r="E19" s="99" t="s">
        <v>27</v>
      </c>
      <c r="F19" s="107">
        <v>200</v>
      </c>
      <c r="G19" s="107"/>
      <c r="H19" s="99" t="s">
        <v>244</v>
      </c>
      <c r="I19" s="101" t="s">
        <v>29</v>
      </c>
      <c r="J19" s="101"/>
      <c r="K19" s="102" t="s">
        <v>22</v>
      </c>
      <c r="L19" s="103">
        <v>232920.27</v>
      </c>
    </row>
    <row r="20" spans="1:12" ht="51" hidden="1" x14ac:dyDescent="0.3">
      <c r="A20" s="97" t="s">
        <v>23</v>
      </c>
      <c r="B20" s="98" t="s">
        <v>241</v>
      </c>
      <c r="C20" s="98" t="s">
        <v>245</v>
      </c>
      <c r="D20" s="98" t="s">
        <v>243</v>
      </c>
      <c r="E20" s="99" t="s">
        <v>27</v>
      </c>
      <c r="F20" s="107">
        <v>36</v>
      </c>
      <c r="G20" s="107"/>
      <c r="H20" s="99" t="s">
        <v>244</v>
      </c>
      <c r="I20" s="101" t="s">
        <v>29</v>
      </c>
      <c r="J20" s="101"/>
      <c r="K20" s="102" t="s">
        <v>22</v>
      </c>
      <c r="L20" s="103">
        <v>232956.27</v>
      </c>
    </row>
    <row r="21" spans="1:12" ht="51" hidden="1" x14ac:dyDescent="0.3">
      <c r="A21" s="97" t="s">
        <v>23</v>
      </c>
      <c r="B21" s="98" t="s">
        <v>241</v>
      </c>
      <c r="C21" s="98" t="s">
        <v>246</v>
      </c>
      <c r="D21" s="98" t="s">
        <v>243</v>
      </c>
      <c r="E21" s="99" t="s">
        <v>27</v>
      </c>
      <c r="F21" s="107">
        <v>60</v>
      </c>
      <c r="G21" s="107"/>
      <c r="H21" s="99" t="s">
        <v>244</v>
      </c>
      <c r="I21" s="101" t="s">
        <v>29</v>
      </c>
      <c r="J21" s="101"/>
      <c r="K21" s="102" t="s">
        <v>22</v>
      </c>
      <c r="L21" s="103">
        <v>233016.27</v>
      </c>
    </row>
    <row r="22" spans="1:12" ht="51" hidden="1" x14ac:dyDescent="0.3">
      <c r="A22" s="97" t="s">
        <v>23</v>
      </c>
      <c r="B22" s="98" t="s">
        <v>241</v>
      </c>
      <c r="C22" s="98" t="s">
        <v>247</v>
      </c>
      <c r="D22" s="98" t="s">
        <v>243</v>
      </c>
      <c r="E22" s="99" t="s">
        <v>27</v>
      </c>
      <c r="F22" s="107">
        <v>24</v>
      </c>
      <c r="G22" s="107"/>
      <c r="H22" s="99" t="s">
        <v>244</v>
      </c>
      <c r="I22" s="101" t="s">
        <v>29</v>
      </c>
      <c r="J22" s="101"/>
      <c r="K22" s="102" t="s">
        <v>22</v>
      </c>
      <c r="L22" s="103">
        <v>233040.27</v>
      </c>
    </row>
    <row r="23" spans="1:12" ht="51" hidden="1" x14ac:dyDescent="0.3">
      <c r="A23" s="97" t="s">
        <v>23</v>
      </c>
      <c r="B23" s="98" t="s">
        <v>241</v>
      </c>
      <c r="C23" s="98" t="s">
        <v>248</v>
      </c>
      <c r="D23" s="98" t="s">
        <v>243</v>
      </c>
      <c r="E23" s="99" t="s">
        <v>27</v>
      </c>
      <c r="F23" s="107">
        <v>378</v>
      </c>
      <c r="G23" s="107"/>
      <c r="H23" s="99" t="s">
        <v>244</v>
      </c>
      <c r="I23" s="101" t="s">
        <v>29</v>
      </c>
      <c r="J23" s="101"/>
      <c r="K23" s="102" t="s">
        <v>22</v>
      </c>
      <c r="L23" s="103">
        <v>233418.27</v>
      </c>
    </row>
    <row r="24" spans="1:12" ht="51" hidden="1" x14ac:dyDescent="0.3">
      <c r="A24" s="97" t="s">
        <v>23</v>
      </c>
      <c r="B24" s="98" t="s">
        <v>241</v>
      </c>
      <c r="C24" s="98" t="s">
        <v>249</v>
      </c>
      <c r="D24" s="98" t="s">
        <v>243</v>
      </c>
      <c r="E24" s="99" t="s">
        <v>27</v>
      </c>
      <c r="F24" s="107">
        <v>41</v>
      </c>
      <c r="G24" s="107"/>
      <c r="H24" s="99" t="s">
        <v>244</v>
      </c>
      <c r="I24" s="101" t="s">
        <v>29</v>
      </c>
      <c r="J24" s="101"/>
      <c r="K24" s="102" t="s">
        <v>22</v>
      </c>
      <c r="L24" s="103">
        <v>233459.27</v>
      </c>
    </row>
    <row r="25" spans="1:12" ht="51" hidden="1" x14ac:dyDescent="0.3">
      <c r="A25" s="97" t="s">
        <v>47</v>
      </c>
      <c r="B25" s="98" t="s">
        <v>250</v>
      </c>
      <c r="C25" s="98" t="s">
        <v>251</v>
      </c>
      <c r="D25" s="98" t="s">
        <v>252</v>
      </c>
      <c r="E25" s="99" t="s">
        <v>27</v>
      </c>
      <c r="F25" s="100">
        <v>221920</v>
      </c>
      <c r="G25" s="100"/>
      <c r="H25" s="99" t="s">
        <v>28</v>
      </c>
      <c r="I25" s="101" t="s">
        <v>29</v>
      </c>
      <c r="J25" s="101"/>
      <c r="K25" s="102" t="s">
        <v>22</v>
      </c>
      <c r="L25" s="103">
        <v>455379.27</v>
      </c>
    </row>
    <row r="26" spans="1:12" ht="51" hidden="1" x14ac:dyDescent="0.3">
      <c r="A26" s="97" t="s">
        <v>47</v>
      </c>
      <c r="B26" s="98" t="s">
        <v>253</v>
      </c>
      <c r="C26" s="98" t="s">
        <v>251</v>
      </c>
      <c r="D26" s="98" t="s">
        <v>254</v>
      </c>
      <c r="E26" s="99" t="s">
        <v>27</v>
      </c>
      <c r="F26" s="100">
        <v>59527</v>
      </c>
      <c r="G26" s="100"/>
      <c r="H26" s="99" t="s">
        <v>28</v>
      </c>
      <c r="I26" s="101" t="s">
        <v>29</v>
      </c>
      <c r="J26" s="101"/>
      <c r="K26" s="102" t="s">
        <v>22</v>
      </c>
      <c r="L26" s="103">
        <v>514906.27</v>
      </c>
    </row>
    <row r="27" spans="1:12" ht="51" hidden="1" x14ac:dyDescent="0.3">
      <c r="A27" s="97" t="s">
        <v>47</v>
      </c>
      <c r="B27" s="98" t="s">
        <v>255</v>
      </c>
      <c r="C27" s="98" t="s">
        <v>256</v>
      </c>
      <c r="D27" s="98" t="s">
        <v>257</v>
      </c>
      <c r="E27" s="99" t="s">
        <v>27</v>
      </c>
      <c r="F27" s="104" t="s">
        <v>29</v>
      </c>
      <c r="G27" s="104"/>
      <c r="H27" s="99" t="s">
        <v>27</v>
      </c>
      <c r="I27" s="105">
        <v>1855.12</v>
      </c>
      <c r="J27" s="105"/>
      <c r="K27" s="102" t="s">
        <v>22</v>
      </c>
      <c r="L27" s="103">
        <v>513051.15</v>
      </c>
    </row>
    <row r="28" spans="1:12" ht="51" hidden="1" x14ac:dyDescent="0.3">
      <c r="A28" s="97" t="s">
        <v>47</v>
      </c>
      <c r="B28" s="98" t="s">
        <v>255</v>
      </c>
      <c r="C28" s="98" t="s">
        <v>258</v>
      </c>
      <c r="D28" s="98" t="s">
        <v>251</v>
      </c>
      <c r="E28" s="99" t="s">
        <v>27</v>
      </c>
      <c r="F28" s="104" t="s">
        <v>29</v>
      </c>
      <c r="G28" s="104"/>
      <c r="H28" s="99" t="s">
        <v>27</v>
      </c>
      <c r="I28" s="105">
        <v>259227.5</v>
      </c>
      <c r="J28" s="105"/>
      <c r="K28" s="102" t="s">
        <v>22</v>
      </c>
      <c r="L28" s="103">
        <v>253823.65</v>
      </c>
    </row>
    <row r="29" spans="1:12" ht="51" hidden="1" x14ac:dyDescent="0.3">
      <c r="A29" s="97" t="s">
        <v>47</v>
      </c>
      <c r="B29" s="98" t="s">
        <v>259</v>
      </c>
      <c r="C29" s="98" t="s">
        <v>260</v>
      </c>
      <c r="D29" s="98" t="s">
        <v>251</v>
      </c>
      <c r="E29" s="99" t="s">
        <v>27</v>
      </c>
      <c r="F29" s="104" t="s">
        <v>29</v>
      </c>
      <c r="G29" s="104"/>
      <c r="H29" s="99" t="s">
        <v>27</v>
      </c>
      <c r="I29" s="105">
        <v>16664.63</v>
      </c>
      <c r="J29" s="105"/>
      <c r="K29" s="102" t="s">
        <v>22</v>
      </c>
      <c r="L29" s="103">
        <v>237159.02</v>
      </c>
    </row>
    <row r="30" spans="1:12" ht="61.2" hidden="1" x14ac:dyDescent="0.3">
      <c r="A30" s="97" t="s">
        <v>47</v>
      </c>
      <c r="B30" s="98" t="s">
        <v>261</v>
      </c>
      <c r="C30" s="98" t="s">
        <v>262</v>
      </c>
      <c r="D30" s="98" t="s">
        <v>251</v>
      </c>
      <c r="E30" s="99" t="s">
        <v>27</v>
      </c>
      <c r="F30" s="104" t="s">
        <v>29</v>
      </c>
      <c r="G30" s="104"/>
      <c r="H30" s="99" t="s">
        <v>27</v>
      </c>
      <c r="I30" s="105">
        <v>3703.25</v>
      </c>
      <c r="J30" s="105"/>
      <c r="K30" s="102" t="s">
        <v>22</v>
      </c>
      <c r="L30" s="103">
        <v>233455.77</v>
      </c>
    </row>
    <row r="31" spans="1:12" ht="51" hidden="1" x14ac:dyDescent="0.3">
      <c r="A31" s="97" t="s">
        <v>47</v>
      </c>
      <c r="B31" s="98" t="s">
        <v>263</v>
      </c>
      <c r="C31" s="98" t="s">
        <v>50</v>
      </c>
      <c r="D31" s="98" t="s">
        <v>107</v>
      </c>
      <c r="E31" s="99" t="s">
        <v>27</v>
      </c>
      <c r="F31" s="100">
        <v>70955.77</v>
      </c>
      <c r="G31" s="100"/>
      <c r="H31" s="99" t="s">
        <v>28</v>
      </c>
      <c r="I31" s="101" t="s">
        <v>29</v>
      </c>
      <c r="J31" s="101"/>
      <c r="K31" s="102" t="s">
        <v>22</v>
      </c>
      <c r="L31" s="103">
        <v>304411.53999999998</v>
      </c>
    </row>
    <row r="32" spans="1:12" ht="51" hidden="1" x14ac:dyDescent="0.3">
      <c r="A32" s="97" t="s">
        <v>47</v>
      </c>
      <c r="B32" s="98" t="s">
        <v>48</v>
      </c>
      <c r="C32" s="98" t="s">
        <v>49</v>
      </c>
      <c r="D32" s="98" t="s">
        <v>50</v>
      </c>
      <c r="E32" s="99" t="s">
        <v>27</v>
      </c>
      <c r="F32" s="104" t="s">
        <v>29</v>
      </c>
      <c r="G32" s="104"/>
      <c r="H32" s="99" t="s">
        <v>27</v>
      </c>
      <c r="I32" s="105">
        <v>65840</v>
      </c>
      <c r="J32" s="105"/>
      <c r="K32" s="102" t="s">
        <v>22</v>
      </c>
      <c r="L32" s="103">
        <v>238571.54</v>
      </c>
    </row>
    <row r="33" spans="1:12" ht="51" hidden="1" x14ac:dyDescent="0.3">
      <c r="A33" s="97" t="s">
        <v>47</v>
      </c>
      <c r="B33" s="98" t="s">
        <v>103</v>
      </c>
      <c r="C33" s="98" t="s">
        <v>87</v>
      </c>
      <c r="D33" s="98" t="s">
        <v>50</v>
      </c>
      <c r="E33" s="99" t="s">
        <v>27</v>
      </c>
      <c r="F33" s="104" t="s">
        <v>29</v>
      </c>
      <c r="G33" s="104"/>
      <c r="H33" s="99" t="s">
        <v>27</v>
      </c>
      <c r="I33" s="105">
        <v>5115.7700000000004</v>
      </c>
      <c r="J33" s="105"/>
      <c r="K33" s="102" t="s">
        <v>22</v>
      </c>
      <c r="L33" s="103">
        <v>233455.77</v>
      </c>
    </row>
    <row r="34" spans="1:12" ht="51" hidden="1" x14ac:dyDescent="0.3">
      <c r="A34" s="97" t="s">
        <v>264</v>
      </c>
      <c r="B34" s="98" t="s">
        <v>265</v>
      </c>
      <c r="C34" s="98" t="s">
        <v>266</v>
      </c>
      <c r="D34" s="98" t="s">
        <v>267</v>
      </c>
      <c r="E34" s="99" t="s">
        <v>27</v>
      </c>
      <c r="F34" s="100">
        <v>39420</v>
      </c>
      <c r="G34" s="100"/>
      <c r="H34" s="99" t="s">
        <v>28</v>
      </c>
      <c r="I34" s="101" t="s">
        <v>29</v>
      </c>
      <c r="J34" s="101"/>
      <c r="K34" s="102" t="s">
        <v>22</v>
      </c>
      <c r="L34" s="103">
        <v>272875.77</v>
      </c>
    </row>
    <row r="35" spans="1:12" ht="51" hidden="1" x14ac:dyDescent="0.3">
      <c r="A35" s="97" t="s">
        <v>264</v>
      </c>
      <c r="B35" s="98" t="s">
        <v>268</v>
      </c>
      <c r="C35" s="98" t="s">
        <v>266</v>
      </c>
      <c r="D35" s="98" t="s">
        <v>269</v>
      </c>
      <c r="E35" s="99" t="s">
        <v>27</v>
      </c>
      <c r="F35" s="100">
        <v>16994.5</v>
      </c>
      <c r="G35" s="100"/>
      <c r="H35" s="99" t="s">
        <v>28</v>
      </c>
      <c r="I35" s="101" t="s">
        <v>29</v>
      </c>
      <c r="J35" s="101"/>
      <c r="K35" s="102" t="s">
        <v>22</v>
      </c>
      <c r="L35" s="103">
        <v>289870.27</v>
      </c>
    </row>
    <row r="36" spans="1:12" ht="51" hidden="1" x14ac:dyDescent="0.3">
      <c r="A36" s="97" t="s">
        <v>264</v>
      </c>
      <c r="B36" s="98" t="s">
        <v>270</v>
      </c>
      <c r="C36" s="98" t="s">
        <v>258</v>
      </c>
      <c r="D36" s="98" t="s">
        <v>251</v>
      </c>
      <c r="E36" s="99" t="s">
        <v>27</v>
      </c>
      <c r="F36" s="104" t="s">
        <v>29</v>
      </c>
      <c r="G36" s="104"/>
      <c r="H36" s="99" t="s">
        <v>27</v>
      </c>
      <c r="I36" s="105">
        <v>1851.62</v>
      </c>
      <c r="J36" s="105"/>
      <c r="K36" s="102" t="s">
        <v>22</v>
      </c>
      <c r="L36" s="103">
        <v>288018.65000000002</v>
      </c>
    </row>
    <row r="37" spans="1:12" ht="51" hidden="1" x14ac:dyDescent="0.3">
      <c r="A37" s="97" t="s">
        <v>264</v>
      </c>
      <c r="B37" s="98" t="s">
        <v>270</v>
      </c>
      <c r="C37" s="98" t="s">
        <v>271</v>
      </c>
      <c r="D37" s="98" t="s">
        <v>266</v>
      </c>
      <c r="E37" s="99" t="s">
        <v>27</v>
      </c>
      <c r="F37" s="104" t="s">
        <v>29</v>
      </c>
      <c r="G37" s="104"/>
      <c r="H37" s="99" t="s">
        <v>27</v>
      </c>
      <c r="I37" s="105">
        <v>44295.83</v>
      </c>
      <c r="J37" s="105"/>
      <c r="K37" s="102" t="s">
        <v>22</v>
      </c>
      <c r="L37" s="103">
        <v>243722.82</v>
      </c>
    </row>
    <row r="38" spans="1:12" ht="51" hidden="1" x14ac:dyDescent="0.3">
      <c r="A38" s="97" t="s">
        <v>264</v>
      </c>
      <c r="B38" s="98" t="s">
        <v>272</v>
      </c>
      <c r="C38" s="98" t="s">
        <v>273</v>
      </c>
      <c r="D38" s="98" t="s">
        <v>266</v>
      </c>
      <c r="E38" s="99" t="s">
        <v>27</v>
      </c>
      <c r="F38" s="104" t="s">
        <v>29</v>
      </c>
      <c r="G38" s="104"/>
      <c r="H38" s="99" t="s">
        <v>27</v>
      </c>
      <c r="I38" s="105">
        <v>10029.24</v>
      </c>
      <c r="J38" s="105"/>
      <c r="K38" s="102" t="s">
        <v>22</v>
      </c>
      <c r="L38" s="103">
        <v>233693.58</v>
      </c>
    </row>
    <row r="39" spans="1:12" ht="51" hidden="1" x14ac:dyDescent="0.3">
      <c r="A39" s="97" t="s">
        <v>108</v>
      </c>
      <c r="B39" s="98" t="s">
        <v>274</v>
      </c>
      <c r="C39" s="98" t="s">
        <v>275</v>
      </c>
      <c r="D39" s="98" t="s">
        <v>276</v>
      </c>
      <c r="E39" s="99" t="s">
        <v>27</v>
      </c>
      <c r="F39" s="100">
        <v>1750</v>
      </c>
      <c r="G39" s="100"/>
      <c r="H39" s="99" t="s">
        <v>28</v>
      </c>
      <c r="I39" s="101" t="s">
        <v>29</v>
      </c>
      <c r="J39" s="101"/>
      <c r="K39" s="102" t="s">
        <v>22</v>
      </c>
      <c r="L39" s="103">
        <v>235443.58</v>
      </c>
    </row>
    <row r="40" spans="1:12" ht="51" hidden="1" x14ac:dyDescent="0.3">
      <c r="A40" s="97" t="s">
        <v>108</v>
      </c>
      <c r="B40" s="98" t="s">
        <v>277</v>
      </c>
      <c r="C40" s="98" t="s">
        <v>278</v>
      </c>
      <c r="D40" s="98" t="s">
        <v>275</v>
      </c>
      <c r="E40" s="99" t="s">
        <v>27</v>
      </c>
      <c r="F40" s="104" t="s">
        <v>29</v>
      </c>
      <c r="G40" s="104"/>
      <c r="H40" s="99" t="s">
        <v>27</v>
      </c>
      <c r="I40" s="105">
        <v>1750</v>
      </c>
      <c r="J40" s="105"/>
      <c r="K40" s="102" t="s">
        <v>22</v>
      </c>
      <c r="L40" s="103">
        <v>233693.58</v>
      </c>
    </row>
    <row r="41" spans="1:12" ht="51" hidden="1" x14ac:dyDescent="0.3">
      <c r="A41" s="97" t="s">
        <v>111</v>
      </c>
      <c r="B41" s="98" t="s">
        <v>279</v>
      </c>
      <c r="C41" s="98" t="s">
        <v>280</v>
      </c>
      <c r="D41" s="98" t="s">
        <v>281</v>
      </c>
      <c r="E41" s="99" t="s">
        <v>27</v>
      </c>
      <c r="F41" s="100">
        <v>54020</v>
      </c>
      <c r="G41" s="100"/>
      <c r="H41" s="99" t="s">
        <v>28</v>
      </c>
      <c r="I41" s="101" t="s">
        <v>29</v>
      </c>
      <c r="J41" s="101"/>
      <c r="K41" s="102" t="s">
        <v>22</v>
      </c>
      <c r="L41" s="103">
        <v>287713.58</v>
      </c>
    </row>
    <row r="42" spans="1:12" ht="51" hidden="1" x14ac:dyDescent="0.3">
      <c r="A42" s="97" t="s">
        <v>111</v>
      </c>
      <c r="B42" s="98" t="s">
        <v>282</v>
      </c>
      <c r="C42" s="98" t="s">
        <v>280</v>
      </c>
      <c r="D42" s="98" t="s">
        <v>283</v>
      </c>
      <c r="E42" s="99" t="s">
        <v>27</v>
      </c>
      <c r="F42" s="100">
        <v>17102.5</v>
      </c>
      <c r="G42" s="100"/>
      <c r="H42" s="99" t="s">
        <v>28</v>
      </c>
      <c r="I42" s="101" t="s">
        <v>29</v>
      </c>
      <c r="J42" s="101"/>
      <c r="K42" s="102" t="s">
        <v>22</v>
      </c>
      <c r="L42" s="103">
        <v>304816.08</v>
      </c>
    </row>
    <row r="43" spans="1:12" ht="51" hidden="1" x14ac:dyDescent="0.3">
      <c r="A43" s="97" t="s">
        <v>111</v>
      </c>
      <c r="B43" s="98" t="s">
        <v>284</v>
      </c>
      <c r="C43" s="98" t="s">
        <v>271</v>
      </c>
      <c r="D43" s="98" t="s">
        <v>266</v>
      </c>
      <c r="E43" s="99" t="s">
        <v>27</v>
      </c>
      <c r="F43" s="104" t="s">
        <v>29</v>
      </c>
      <c r="G43" s="104"/>
      <c r="H43" s="99" t="s">
        <v>27</v>
      </c>
      <c r="I43" s="105">
        <v>2089.4299999999998</v>
      </c>
      <c r="J43" s="105"/>
      <c r="K43" s="102" t="s">
        <v>22</v>
      </c>
      <c r="L43" s="103">
        <v>302726.65000000002</v>
      </c>
    </row>
    <row r="44" spans="1:12" ht="51" hidden="1" x14ac:dyDescent="0.3">
      <c r="A44" s="97" t="s">
        <v>111</v>
      </c>
      <c r="B44" s="98" t="s">
        <v>284</v>
      </c>
      <c r="C44" s="98" t="s">
        <v>285</v>
      </c>
      <c r="D44" s="98" t="s">
        <v>280</v>
      </c>
      <c r="E44" s="99" t="s">
        <v>27</v>
      </c>
      <c r="F44" s="104" t="s">
        <v>29</v>
      </c>
      <c r="G44" s="104"/>
      <c r="H44" s="99" t="s">
        <v>27</v>
      </c>
      <c r="I44" s="105">
        <v>49977.97</v>
      </c>
      <c r="J44" s="105"/>
      <c r="K44" s="102" t="s">
        <v>22</v>
      </c>
      <c r="L44" s="103">
        <v>252748.68</v>
      </c>
    </row>
    <row r="45" spans="1:12" ht="51" hidden="1" x14ac:dyDescent="0.3">
      <c r="A45" s="97" t="s">
        <v>111</v>
      </c>
      <c r="B45" s="98" t="s">
        <v>286</v>
      </c>
      <c r="C45" s="98" t="s">
        <v>287</v>
      </c>
      <c r="D45" s="98" t="s">
        <v>280</v>
      </c>
      <c r="E45" s="99" t="s">
        <v>27</v>
      </c>
      <c r="F45" s="104" t="s">
        <v>29</v>
      </c>
      <c r="G45" s="104"/>
      <c r="H45" s="99" t="s">
        <v>27</v>
      </c>
      <c r="I45" s="105">
        <v>11533.38</v>
      </c>
      <c r="J45" s="105"/>
      <c r="K45" s="102" t="s">
        <v>22</v>
      </c>
      <c r="L45" s="103">
        <v>241215.3</v>
      </c>
    </row>
    <row r="46" spans="1:12" ht="61.2" hidden="1" x14ac:dyDescent="0.3">
      <c r="A46" s="97" t="s">
        <v>111</v>
      </c>
      <c r="B46" s="98" t="s">
        <v>288</v>
      </c>
      <c r="C46" s="98" t="s">
        <v>289</v>
      </c>
      <c r="D46" s="98" t="s">
        <v>280</v>
      </c>
      <c r="E46" s="99" t="s">
        <v>27</v>
      </c>
      <c r="F46" s="104" t="s">
        <v>29</v>
      </c>
      <c r="G46" s="104"/>
      <c r="H46" s="99" t="s">
        <v>27</v>
      </c>
      <c r="I46" s="105">
        <v>7688.92</v>
      </c>
      <c r="J46" s="105"/>
      <c r="K46" s="102" t="s">
        <v>22</v>
      </c>
      <c r="L46" s="103">
        <v>233526.38</v>
      </c>
    </row>
    <row r="47" spans="1:12" ht="51" hidden="1" x14ac:dyDescent="0.3">
      <c r="A47" s="97" t="s">
        <v>114</v>
      </c>
      <c r="B47" s="98" t="s">
        <v>290</v>
      </c>
      <c r="C47" s="98" t="s">
        <v>117</v>
      </c>
      <c r="D47" s="98" t="s">
        <v>291</v>
      </c>
      <c r="E47" s="99" t="s">
        <v>27</v>
      </c>
      <c r="F47" s="100">
        <v>13384.35</v>
      </c>
      <c r="G47" s="100"/>
      <c r="H47" s="99" t="s">
        <v>28</v>
      </c>
      <c r="I47" s="101" t="s">
        <v>29</v>
      </c>
      <c r="J47" s="101"/>
      <c r="K47" s="102" t="s">
        <v>22</v>
      </c>
      <c r="L47" s="103">
        <v>246910.73</v>
      </c>
    </row>
    <row r="48" spans="1:12" ht="51" hidden="1" x14ac:dyDescent="0.3">
      <c r="A48" s="97" t="s">
        <v>114</v>
      </c>
      <c r="B48" s="98" t="s">
        <v>290</v>
      </c>
      <c r="C48" s="98" t="s">
        <v>292</v>
      </c>
      <c r="D48" s="98" t="s">
        <v>291</v>
      </c>
      <c r="E48" s="99" t="s">
        <v>27</v>
      </c>
      <c r="F48" s="100">
        <v>14553</v>
      </c>
      <c r="G48" s="100"/>
      <c r="H48" s="99" t="s">
        <v>28</v>
      </c>
      <c r="I48" s="101" t="s">
        <v>29</v>
      </c>
      <c r="J48" s="101"/>
      <c r="K48" s="102" t="s">
        <v>22</v>
      </c>
      <c r="L48" s="103">
        <v>261463.73</v>
      </c>
    </row>
    <row r="49" spans="1:12" ht="51" hidden="1" x14ac:dyDescent="0.3">
      <c r="A49" s="97" t="s">
        <v>114</v>
      </c>
      <c r="B49" s="98" t="s">
        <v>115</v>
      </c>
      <c r="C49" s="98" t="s">
        <v>116</v>
      </c>
      <c r="D49" s="98" t="s">
        <v>117</v>
      </c>
      <c r="E49" s="99" t="s">
        <v>27</v>
      </c>
      <c r="F49" s="104" t="s">
        <v>29</v>
      </c>
      <c r="G49" s="104"/>
      <c r="H49" s="99" t="s">
        <v>27</v>
      </c>
      <c r="I49" s="105">
        <v>13384.35</v>
      </c>
      <c r="J49" s="105"/>
      <c r="K49" s="102" t="s">
        <v>22</v>
      </c>
      <c r="L49" s="103">
        <v>248079.38</v>
      </c>
    </row>
    <row r="50" spans="1:12" ht="51" hidden="1" x14ac:dyDescent="0.3">
      <c r="A50" s="97" t="s">
        <v>114</v>
      </c>
      <c r="B50" s="98" t="s">
        <v>293</v>
      </c>
      <c r="C50" s="98" t="s">
        <v>294</v>
      </c>
      <c r="D50" s="98" t="s">
        <v>292</v>
      </c>
      <c r="E50" s="99" t="s">
        <v>27</v>
      </c>
      <c r="F50" s="104" t="s">
        <v>29</v>
      </c>
      <c r="G50" s="104"/>
      <c r="H50" s="99" t="s">
        <v>27</v>
      </c>
      <c r="I50" s="105">
        <v>14553</v>
      </c>
      <c r="J50" s="105"/>
      <c r="K50" s="102" t="s">
        <v>22</v>
      </c>
      <c r="L50" s="103">
        <v>233526.38</v>
      </c>
    </row>
    <row r="51" spans="1:12" ht="61.2" hidden="1" x14ac:dyDescent="0.3">
      <c r="A51" s="97" t="s">
        <v>114</v>
      </c>
      <c r="B51" s="98" t="s">
        <v>295</v>
      </c>
      <c r="C51" s="98" t="s">
        <v>201</v>
      </c>
      <c r="D51" s="98" t="s">
        <v>296</v>
      </c>
      <c r="E51" s="99" t="s">
        <v>27</v>
      </c>
      <c r="F51" s="100">
        <v>55480</v>
      </c>
      <c r="G51" s="100"/>
      <c r="H51" s="99" t="s">
        <v>28</v>
      </c>
      <c r="I51" s="101" t="s">
        <v>29</v>
      </c>
      <c r="J51" s="101"/>
      <c r="K51" s="102" t="s">
        <v>22</v>
      </c>
      <c r="L51" s="103">
        <v>289006.38</v>
      </c>
    </row>
    <row r="52" spans="1:12" ht="51" hidden="1" x14ac:dyDescent="0.3">
      <c r="A52" s="97" t="s">
        <v>114</v>
      </c>
      <c r="B52" s="98" t="s">
        <v>297</v>
      </c>
      <c r="C52" s="98" t="s">
        <v>201</v>
      </c>
      <c r="D52" s="98" t="s">
        <v>298</v>
      </c>
      <c r="E52" s="99" t="s">
        <v>27</v>
      </c>
      <c r="F52" s="100">
        <v>9664.2199999999993</v>
      </c>
      <c r="G52" s="100"/>
      <c r="H52" s="99" t="s">
        <v>28</v>
      </c>
      <c r="I52" s="101" t="s">
        <v>29</v>
      </c>
      <c r="J52" s="101"/>
      <c r="K52" s="102" t="s">
        <v>22</v>
      </c>
      <c r="L52" s="103">
        <v>298670.59999999998</v>
      </c>
    </row>
    <row r="53" spans="1:12" ht="61.2" hidden="1" x14ac:dyDescent="0.3">
      <c r="A53" s="97" t="s">
        <v>114</v>
      </c>
      <c r="B53" s="98" t="s">
        <v>299</v>
      </c>
      <c r="C53" s="98" t="s">
        <v>201</v>
      </c>
      <c r="D53" s="98" t="s">
        <v>296</v>
      </c>
      <c r="E53" s="99" t="s">
        <v>27</v>
      </c>
      <c r="F53" s="100">
        <v>1418.28</v>
      </c>
      <c r="G53" s="100"/>
      <c r="H53" s="99" t="s">
        <v>28</v>
      </c>
      <c r="I53" s="101" t="s">
        <v>29</v>
      </c>
      <c r="J53" s="101"/>
      <c r="K53" s="102" t="s">
        <v>22</v>
      </c>
      <c r="L53" s="103">
        <v>300088.88</v>
      </c>
    </row>
    <row r="54" spans="1:12" ht="51" hidden="1" x14ac:dyDescent="0.3">
      <c r="A54" s="97" t="s">
        <v>114</v>
      </c>
      <c r="B54" s="98" t="s">
        <v>300</v>
      </c>
      <c r="C54" s="98" t="s">
        <v>301</v>
      </c>
      <c r="D54" s="98" t="s">
        <v>280</v>
      </c>
      <c r="E54" s="99" t="s">
        <v>27</v>
      </c>
      <c r="F54" s="104" t="s">
        <v>29</v>
      </c>
      <c r="G54" s="104"/>
      <c r="H54" s="99" t="s">
        <v>27</v>
      </c>
      <c r="I54" s="105">
        <v>1922.23</v>
      </c>
      <c r="J54" s="105"/>
      <c r="K54" s="102" t="s">
        <v>22</v>
      </c>
      <c r="L54" s="103">
        <v>298166.65000000002</v>
      </c>
    </row>
    <row r="55" spans="1:12" ht="51" hidden="1" x14ac:dyDescent="0.3">
      <c r="A55" s="97" t="s">
        <v>114</v>
      </c>
      <c r="B55" s="98" t="s">
        <v>300</v>
      </c>
      <c r="C55" s="98" t="s">
        <v>302</v>
      </c>
      <c r="D55" s="98" t="s">
        <v>201</v>
      </c>
      <c r="E55" s="99" t="s">
        <v>27</v>
      </c>
      <c r="F55" s="104" t="s">
        <v>29</v>
      </c>
      <c r="G55" s="104"/>
      <c r="H55" s="99" t="s">
        <v>27</v>
      </c>
      <c r="I55" s="105">
        <v>57804.28</v>
      </c>
      <c r="J55" s="105"/>
      <c r="K55" s="102" t="s">
        <v>22</v>
      </c>
      <c r="L55" s="103">
        <v>240362.37</v>
      </c>
    </row>
    <row r="56" spans="1:12" ht="51" hidden="1" x14ac:dyDescent="0.3">
      <c r="A56" s="97" t="s">
        <v>114</v>
      </c>
      <c r="B56" s="98" t="s">
        <v>303</v>
      </c>
      <c r="C56" s="98" t="s">
        <v>304</v>
      </c>
      <c r="D56" s="98" t="s">
        <v>201</v>
      </c>
      <c r="E56" s="99" t="s">
        <v>27</v>
      </c>
      <c r="F56" s="104" t="s">
        <v>29</v>
      </c>
      <c r="G56" s="104"/>
      <c r="H56" s="99" t="s">
        <v>27</v>
      </c>
      <c r="I56" s="105">
        <v>7006.58</v>
      </c>
      <c r="J56" s="105"/>
      <c r="K56" s="102" t="s">
        <v>22</v>
      </c>
      <c r="L56" s="103">
        <v>233355.79</v>
      </c>
    </row>
    <row r="57" spans="1:12" ht="51" hidden="1" x14ac:dyDescent="0.3">
      <c r="A57" s="97" t="s">
        <v>51</v>
      </c>
      <c r="B57" s="98" t="s">
        <v>305</v>
      </c>
      <c r="C57" s="98" t="s">
        <v>54</v>
      </c>
      <c r="D57" s="98" t="s">
        <v>306</v>
      </c>
      <c r="E57" s="99" t="s">
        <v>27</v>
      </c>
      <c r="F57" s="100">
        <v>18672.080000000002</v>
      </c>
      <c r="G57" s="100"/>
      <c r="H57" s="99" t="s">
        <v>28</v>
      </c>
      <c r="I57" s="101" t="s">
        <v>29</v>
      </c>
      <c r="J57" s="101"/>
      <c r="K57" s="102" t="s">
        <v>22</v>
      </c>
      <c r="L57" s="103">
        <v>252027.87</v>
      </c>
    </row>
    <row r="58" spans="1:12" ht="51" hidden="1" x14ac:dyDescent="0.3">
      <c r="A58" s="97" t="s">
        <v>51</v>
      </c>
      <c r="B58" s="98" t="s">
        <v>305</v>
      </c>
      <c r="C58" s="98" t="s">
        <v>120</v>
      </c>
      <c r="D58" s="98" t="s">
        <v>306</v>
      </c>
      <c r="E58" s="99" t="s">
        <v>27</v>
      </c>
      <c r="F58" s="100">
        <v>20966</v>
      </c>
      <c r="G58" s="100"/>
      <c r="H58" s="99" t="s">
        <v>28</v>
      </c>
      <c r="I58" s="101" t="s">
        <v>29</v>
      </c>
      <c r="J58" s="101"/>
      <c r="K58" s="102" t="s">
        <v>22</v>
      </c>
      <c r="L58" s="103">
        <v>272993.87</v>
      </c>
    </row>
    <row r="59" spans="1:12" ht="51" hidden="1" x14ac:dyDescent="0.3">
      <c r="A59" s="97" t="s">
        <v>51</v>
      </c>
      <c r="B59" s="98" t="s">
        <v>307</v>
      </c>
      <c r="C59" s="98" t="s">
        <v>54</v>
      </c>
      <c r="D59" s="98" t="s">
        <v>306</v>
      </c>
      <c r="E59" s="99" t="s">
        <v>27</v>
      </c>
      <c r="F59" s="100">
        <v>15295.22</v>
      </c>
      <c r="G59" s="100"/>
      <c r="H59" s="99" t="s">
        <v>28</v>
      </c>
      <c r="I59" s="101" t="s">
        <v>29</v>
      </c>
      <c r="J59" s="101"/>
      <c r="K59" s="102" t="s">
        <v>22</v>
      </c>
      <c r="L59" s="103">
        <v>288289.09000000003</v>
      </c>
    </row>
    <row r="60" spans="1:12" ht="51" hidden="1" x14ac:dyDescent="0.3">
      <c r="A60" s="97" t="s">
        <v>51</v>
      </c>
      <c r="B60" s="98" t="s">
        <v>307</v>
      </c>
      <c r="C60" s="98" t="s">
        <v>120</v>
      </c>
      <c r="D60" s="98" t="s">
        <v>306</v>
      </c>
      <c r="E60" s="99" t="s">
        <v>27</v>
      </c>
      <c r="F60" s="100">
        <v>17174.28</v>
      </c>
      <c r="G60" s="100"/>
      <c r="H60" s="99" t="s">
        <v>28</v>
      </c>
      <c r="I60" s="101" t="s">
        <v>29</v>
      </c>
      <c r="J60" s="101"/>
      <c r="K60" s="102" t="s">
        <v>22</v>
      </c>
      <c r="L60" s="103">
        <v>305463.37</v>
      </c>
    </row>
    <row r="61" spans="1:12" ht="51" hidden="1" x14ac:dyDescent="0.3">
      <c r="A61" s="97" t="s">
        <v>51</v>
      </c>
      <c r="B61" s="98" t="s">
        <v>52</v>
      </c>
      <c r="C61" s="98" t="s">
        <v>53</v>
      </c>
      <c r="D61" s="98" t="s">
        <v>54</v>
      </c>
      <c r="E61" s="99" t="s">
        <v>27</v>
      </c>
      <c r="F61" s="104" t="s">
        <v>29</v>
      </c>
      <c r="G61" s="104"/>
      <c r="H61" s="99" t="s">
        <v>27</v>
      </c>
      <c r="I61" s="105">
        <v>33967.300000000003</v>
      </c>
      <c r="J61" s="105"/>
      <c r="K61" s="102" t="s">
        <v>22</v>
      </c>
      <c r="L61" s="103">
        <v>271496.07</v>
      </c>
    </row>
    <row r="62" spans="1:12" ht="51" hidden="1" x14ac:dyDescent="0.3">
      <c r="A62" s="97" t="s">
        <v>51</v>
      </c>
      <c r="B62" s="98" t="s">
        <v>118</v>
      </c>
      <c r="C62" s="98" t="s">
        <v>119</v>
      </c>
      <c r="D62" s="98" t="s">
        <v>120</v>
      </c>
      <c r="E62" s="99" t="s">
        <v>27</v>
      </c>
      <c r="F62" s="104" t="s">
        <v>29</v>
      </c>
      <c r="G62" s="104"/>
      <c r="H62" s="99" t="s">
        <v>27</v>
      </c>
      <c r="I62" s="105">
        <v>38140.28</v>
      </c>
      <c r="J62" s="105"/>
      <c r="K62" s="102" t="s">
        <v>22</v>
      </c>
      <c r="L62" s="103">
        <v>233355.79</v>
      </c>
    </row>
    <row r="63" spans="1:12" ht="61.2" hidden="1" x14ac:dyDescent="0.3">
      <c r="A63" s="97" t="s">
        <v>51</v>
      </c>
      <c r="B63" s="98" t="s">
        <v>308</v>
      </c>
      <c r="C63" s="98" t="s">
        <v>309</v>
      </c>
      <c r="D63" s="98" t="s">
        <v>310</v>
      </c>
      <c r="E63" s="99" t="s">
        <v>27</v>
      </c>
      <c r="F63" s="100">
        <v>3378.62</v>
      </c>
      <c r="G63" s="100"/>
      <c r="H63" s="99" t="s">
        <v>27</v>
      </c>
      <c r="I63" s="101" t="s">
        <v>29</v>
      </c>
      <c r="J63" s="101"/>
      <c r="K63" s="102" t="s">
        <v>22</v>
      </c>
      <c r="L63" s="103">
        <v>236734.41</v>
      </c>
    </row>
    <row r="64" spans="1:12" ht="51" hidden="1" x14ac:dyDescent="0.3">
      <c r="A64" s="97" t="s">
        <v>51</v>
      </c>
      <c r="B64" s="98" t="s">
        <v>311</v>
      </c>
      <c r="C64" s="98" t="s">
        <v>203</v>
      </c>
      <c r="D64" s="98" t="s">
        <v>312</v>
      </c>
      <c r="E64" s="99" t="s">
        <v>27</v>
      </c>
      <c r="F64" s="100">
        <v>151840</v>
      </c>
      <c r="G64" s="100"/>
      <c r="H64" s="99" t="s">
        <v>28</v>
      </c>
      <c r="I64" s="101" t="s">
        <v>29</v>
      </c>
      <c r="J64" s="101"/>
      <c r="K64" s="102" t="s">
        <v>22</v>
      </c>
      <c r="L64" s="103">
        <v>388574.41</v>
      </c>
    </row>
    <row r="65" spans="1:12" ht="51" hidden="1" x14ac:dyDescent="0.3">
      <c r="A65" s="97" t="s">
        <v>51</v>
      </c>
      <c r="B65" s="98" t="s">
        <v>313</v>
      </c>
      <c r="C65" s="98" t="s">
        <v>203</v>
      </c>
      <c r="D65" s="98" t="s">
        <v>314</v>
      </c>
      <c r="E65" s="99" t="s">
        <v>27</v>
      </c>
      <c r="F65" s="100">
        <v>55128</v>
      </c>
      <c r="G65" s="100"/>
      <c r="H65" s="99" t="s">
        <v>28</v>
      </c>
      <c r="I65" s="101" t="s">
        <v>29</v>
      </c>
      <c r="J65" s="101"/>
      <c r="K65" s="102" t="s">
        <v>22</v>
      </c>
      <c r="L65" s="103">
        <v>443702.41</v>
      </c>
    </row>
    <row r="66" spans="1:12" ht="51" hidden="1" x14ac:dyDescent="0.3">
      <c r="A66" s="97" t="s">
        <v>51</v>
      </c>
      <c r="B66" s="98" t="s">
        <v>199</v>
      </c>
      <c r="C66" s="98" t="s">
        <v>200</v>
      </c>
      <c r="D66" s="98" t="s">
        <v>201</v>
      </c>
      <c r="E66" s="99" t="s">
        <v>27</v>
      </c>
      <c r="F66" s="104" t="s">
        <v>29</v>
      </c>
      <c r="G66" s="104"/>
      <c r="H66" s="99" t="s">
        <v>27</v>
      </c>
      <c r="I66" s="105">
        <v>1751.64</v>
      </c>
      <c r="J66" s="105"/>
      <c r="K66" s="102" t="s">
        <v>22</v>
      </c>
      <c r="L66" s="103">
        <v>441950.77</v>
      </c>
    </row>
    <row r="67" spans="1:12" ht="51" hidden="1" x14ac:dyDescent="0.3">
      <c r="A67" s="97" t="s">
        <v>51</v>
      </c>
      <c r="B67" s="98" t="s">
        <v>199</v>
      </c>
      <c r="C67" s="98" t="s">
        <v>202</v>
      </c>
      <c r="D67" s="98" t="s">
        <v>203</v>
      </c>
      <c r="E67" s="99" t="s">
        <v>27</v>
      </c>
      <c r="F67" s="104" t="s">
        <v>29</v>
      </c>
      <c r="G67" s="104"/>
      <c r="H67" s="99" t="s">
        <v>27</v>
      </c>
      <c r="I67" s="105">
        <v>125374.85</v>
      </c>
      <c r="J67" s="105"/>
      <c r="K67" s="102" t="s">
        <v>22</v>
      </c>
      <c r="L67" s="103">
        <v>316575.92</v>
      </c>
    </row>
    <row r="68" spans="1:12" ht="51" hidden="1" x14ac:dyDescent="0.3">
      <c r="A68" s="97" t="s">
        <v>51</v>
      </c>
      <c r="B68" s="98" t="s">
        <v>315</v>
      </c>
      <c r="C68" s="98" t="s">
        <v>316</v>
      </c>
      <c r="D68" s="98" t="s">
        <v>203</v>
      </c>
      <c r="E68" s="99" t="s">
        <v>27</v>
      </c>
      <c r="F68" s="104" t="s">
        <v>29</v>
      </c>
      <c r="G68" s="104"/>
      <c r="H68" s="99" t="s">
        <v>27</v>
      </c>
      <c r="I68" s="105">
        <v>75224.899999999994</v>
      </c>
      <c r="J68" s="105"/>
      <c r="K68" s="102" t="s">
        <v>22</v>
      </c>
      <c r="L68" s="103">
        <v>241351.02</v>
      </c>
    </row>
    <row r="69" spans="1:12" ht="61.2" hidden="1" x14ac:dyDescent="0.3">
      <c r="A69" s="97" t="s">
        <v>51</v>
      </c>
      <c r="B69" s="98" t="s">
        <v>317</v>
      </c>
      <c r="C69" s="98" t="s">
        <v>318</v>
      </c>
      <c r="D69" s="98" t="s">
        <v>203</v>
      </c>
      <c r="E69" s="99" t="s">
        <v>27</v>
      </c>
      <c r="F69" s="104" t="s">
        <v>29</v>
      </c>
      <c r="G69" s="104"/>
      <c r="H69" s="99" t="s">
        <v>27</v>
      </c>
      <c r="I69" s="105">
        <v>4378.17</v>
      </c>
      <c r="J69" s="105"/>
      <c r="K69" s="102" t="s">
        <v>22</v>
      </c>
      <c r="L69" s="103">
        <v>236972.85</v>
      </c>
    </row>
    <row r="70" spans="1:12" ht="51" hidden="1" x14ac:dyDescent="0.3">
      <c r="A70" s="97" t="s">
        <v>55</v>
      </c>
      <c r="B70" s="98" t="s">
        <v>319</v>
      </c>
      <c r="C70" s="98" t="s">
        <v>320</v>
      </c>
      <c r="D70" s="98" t="s">
        <v>243</v>
      </c>
      <c r="E70" s="99" t="s">
        <v>27</v>
      </c>
      <c r="F70" s="107">
        <v>76</v>
      </c>
      <c r="G70" s="107"/>
      <c r="H70" s="99" t="s">
        <v>244</v>
      </c>
      <c r="I70" s="101" t="s">
        <v>29</v>
      </c>
      <c r="J70" s="101"/>
      <c r="K70" s="102" t="s">
        <v>22</v>
      </c>
      <c r="L70" s="103">
        <v>237048.85</v>
      </c>
    </row>
    <row r="71" spans="1:12" ht="61.2" hidden="1" x14ac:dyDescent="0.3">
      <c r="A71" s="97" t="s">
        <v>55</v>
      </c>
      <c r="B71" s="98" t="s">
        <v>319</v>
      </c>
      <c r="C71" s="98" t="s">
        <v>321</v>
      </c>
      <c r="D71" s="98" t="s">
        <v>243</v>
      </c>
      <c r="E71" s="99" t="s">
        <v>27</v>
      </c>
      <c r="F71" s="107">
        <v>27</v>
      </c>
      <c r="G71" s="107"/>
      <c r="H71" s="99" t="s">
        <v>244</v>
      </c>
      <c r="I71" s="101" t="s">
        <v>29</v>
      </c>
      <c r="J71" s="101"/>
      <c r="K71" s="102" t="s">
        <v>22</v>
      </c>
      <c r="L71" s="103">
        <v>237075.85</v>
      </c>
    </row>
    <row r="72" spans="1:12" ht="51" hidden="1" x14ac:dyDescent="0.3">
      <c r="A72" s="97" t="s">
        <v>55</v>
      </c>
      <c r="B72" s="98" t="s">
        <v>319</v>
      </c>
      <c r="C72" s="98" t="s">
        <v>322</v>
      </c>
      <c r="D72" s="98" t="s">
        <v>243</v>
      </c>
      <c r="E72" s="99" t="s">
        <v>27</v>
      </c>
      <c r="F72" s="107">
        <v>194</v>
      </c>
      <c r="G72" s="107"/>
      <c r="H72" s="99" t="s">
        <v>244</v>
      </c>
      <c r="I72" s="101" t="s">
        <v>29</v>
      </c>
      <c r="J72" s="101"/>
      <c r="K72" s="102" t="s">
        <v>22</v>
      </c>
      <c r="L72" s="103">
        <v>237269.85</v>
      </c>
    </row>
    <row r="73" spans="1:12" ht="61.2" hidden="1" x14ac:dyDescent="0.3">
      <c r="A73" s="97" t="s">
        <v>323</v>
      </c>
      <c r="B73" s="98" t="s">
        <v>324</v>
      </c>
      <c r="C73" s="98" t="s">
        <v>325</v>
      </c>
      <c r="D73" s="98" t="s">
        <v>67</v>
      </c>
      <c r="E73" s="99" t="s">
        <v>27</v>
      </c>
      <c r="F73" s="100">
        <v>37960</v>
      </c>
      <c r="G73" s="100"/>
      <c r="H73" s="99" t="s">
        <v>28</v>
      </c>
      <c r="I73" s="101" t="s">
        <v>29</v>
      </c>
      <c r="J73" s="101"/>
      <c r="K73" s="102" t="s">
        <v>22</v>
      </c>
      <c r="L73" s="103">
        <v>275229.84999999998</v>
      </c>
    </row>
    <row r="74" spans="1:12" ht="61.2" hidden="1" x14ac:dyDescent="0.3">
      <c r="A74" s="97" t="s">
        <v>323</v>
      </c>
      <c r="B74" s="98" t="s">
        <v>326</v>
      </c>
      <c r="C74" s="98" t="s">
        <v>325</v>
      </c>
      <c r="D74" s="98" t="s">
        <v>67</v>
      </c>
      <c r="E74" s="99" t="s">
        <v>27</v>
      </c>
      <c r="F74" s="100">
        <v>14740</v>
      </c>
      <c r="G74" s="100"/>
      <c r="H74" s="99" t="s">
        <v>28</v>
      </c>
      <c r="I74" s="101" t="s">
        <v>29</v>
      </c>
      <c r="J74" s="101"/>
      <c r="K74" s="102" t="s">
        <v>22</v>
      </c>
      <c r="L74" s="103">
        <v>289969.84999999998</v>
      </c>
    </row>
    <row r="75" spans="1:12" ht="51" hidden="1" x14ac:dyDescent="0.3">
      <c r="A75" s="97" t="s">
        <v>323</v>
      </c>
      <c r="B75" s="98" t="s">
        <v>327</v>
      </c>
      <c r="C75" s="98" t="s">
        <v>316</v>
      </c>
      <c r="D75" s="98" t="s">
        <v>203</v>
      </c>
      <c r="E75" s="99" t="s">
        <v>27</v>
      </c>
      <c r="F75" s="104" t="s">
        <v>29</v>
      </c>
      <c r="G75" s="104"/>
      <c r="H75" s="99" t="s">
        <v>27</v>
      </c>
      <c r="I75" s="105">
        <v>1990.08</v>
      </c>
      <c r="J75" s="105"/>
      <c r="K75" s="102" t="s">
        <v>22</v>
      </c>
      <c r="L75" s="103">
        <v>287979.77</v>
      </c>
    </row>
    <row r="76" spans="1:12" ht="51" hidden="1" x14ac:dyDescent="0.3">
      <c r="A76" s="97" t="s">
        <v>323</v>
      </c>
      <c r="B76" s="98" t="s">
        <v>327</v>
      </c>
      <c r="C76" s="98" t="s">
        <v>328</v>
      </c>
      <c r="D76" s="98" t="s">
        <v>325</v>
      </c>
      <c r="E76" s="99" t="s">
        <v>27</v>
      </c>
      <c r="F76" s="104" t="s">
        <v>29</v>
      </c>
      <c r="G76" s="104"/>
      <c r="H76" s="99" t="s">
        <v>27</v>
      </c>
      <c r="I76" s="105">
        <v>42565.38</v>
      </c>
      <c r="J76" s="105"/>
      <c r="K76" s="102" t="s">
        <v>22</v>
      </c>
      <c r="L76" s="103">
        <v>245414.39</v>
      </c>
    </row>
    <row r="77" spans="1:12" ht="61.2" hidden="1" x14ac:dyDescent="0.3">
      <c r="A77" s="97" t="s">
        <v>323</v>
      </c>
      <c r="B77" s="98" t="s">
        <v>329</v>
      </c>
      <c r="C77" s="98" t="s">
        <v>330</v>
      </c>
      <c r="D77" s="98" t="s">
        <v>325</v>
      </c>
      <c r="E77" s="99" t="s">
        <v>27</v>
      </c>
      <c r="F77" s="104" t="s">
        <v>29</v>
      </c>
      <c r="G77" s="104"/>
      <c r="H77" s="99" t="s">
        <v>27</v>
      </c>
      <c r="I77" s="105">
        <v>8107.7</v>
      </c>
      <c r="J77" s="105"/>
      <c r="K77" s="102" t="s">
        <v>22</v>
      </c>
      <c r="L77" s="103">
        <v>237306.69</v>
      </c>
    </row>
    <row r="78" spans="1:12" ht="61.2" hidden="1" x14ac:dyDescent="0.3">
      <c r="A78" s="97" t="s">
        <v>331</v>
      </c>
      <c r="B78" s="98" t="s">
        <v>332</v>
      </c>
      <c r="C78" s="98" t="s">
        <v>333</v>
      </c>
      <c r="D78" s="98" t="s">
        <v>67</v>
      </c>
      <c r="E78" s="99" t="s">
        <v>27</v>
      </c>
      <c r="F78" s="100">
        <v>20790</v>
      </c>
      <c r="G78" s="100"/>
      <c r="H78" s="99" t="s">
        <v>28</v>
      </c>
      <c r="I78" s="101" t="s">
        <v>29</v>
      </c>
      <c r="J78" s="101"/>
      <c r="K78" s="102" t="s">
        <v>22</v>
      </c>
      <c r="L78" s="103">
        <v>258096.69</v>
      </c>
    </row>
    <row r="79" spans="1:12" ht="61.2" hidden="1" x14ac:dyDescent="0.3">
      <c r="A79" s="97" t="s">
        <v>331</v>
      </c>
      <c r="B79" s="98" t="s">
        <v>334</v>
      </c>
      <c r="C79" s="98" t="s">
        <v>333</v>
      </c>
      <c r="D79" s="98" t="s">
        <v>67</v>
      </c>
      <c r="E79" s="99" t="s">
        <v>27</v>
      </c>
      <c r="F79" s="100">
        <v>8274.5</v>
      </c>
      <c r="G79" s="100"/>
      <c r="H79" s="99" t="s">
        <v>28</v>
      </c>
      <c r="I79" s="101" t="s">
        <v>29</v>
      </c>
      <c r="J79" s="101"/>
      <c r="K79" s="102" t="s">
        <v>22</v>
      </c>
      <c r="L79" s="103">
        <v>266371.19</v>
      </c>
    </row>
    <row r="80" spans="1:12" ht="61.2" hidden="1" x14ac:dyDescent="0.3">
      <c r="A80" s="97" t="s">
        <v>331</v>
      </c>
      <c r="B80" s="98" t="s">
        <v>335</v>
      </c>
      <c r="C80" s="98" t="s">
        <v>336</v>
      </c>
      <c r="D80" s="98" t="s">
        <v>333</v>
      </c>
      <c r="E80" s="99" t="s">
        <v>27</v>
      </c>
      <c r="F80" s="104" t="s">
        <v>29</v>
      </c>
      <c r="G80" s="104"/>
      <c r="H80" s="99" t="s">
        <v>27</v>
      </c>
      <c r="I80" s="105">
        <v>24912.43</v>
      </c>
      <c r="J80" s="105"/>
      <c r="K80" s="102" t="s">
        <v>22</v>
      </c>
      <c r="L80" s="103">
        <v>241458.76</v>
      </c>
    </row>
    <row r="81" spans="1:12" ht="51" hidden="1" x14ac:dyDescent="0.3">
      <c r="A81" s="97" t="s">
        <v>331</v>
      </c>
      <c r="B81" s="98" t="s">
        <v>337</v>
      </c>
      <c r="C81" s="98" t="s">
        <v>338</v>
      </c>
      <c r="D81" s="98" t="s">
        <v>333</v>
      </c>
      <c r="E81" s="99" t="s">
        <v>27</v>
      </c>
      <c r="F81" s="104" t="s">
        <v>29</v>
      </c>
      <c r="G81" s="104"/>
      <c r="H81" s="99" t="s">
        <v>27</v>
      </c>
      <c r="I81" s="105">
        <v>4152.07</v>
      </c>
      <c r="J81" s="105"/>
      <c r="K81" s="102" t="s">
        <v>22</v>
      </c>
      <c r="L81" s="103">
        <v>237306.69</v>
      </c>
    </row>
    <row r="82" spans="1:12" ht="51" hidden="1" x14ac:dyDescent="0.3">
      <c r="A82" s="97" t="s">
        <v>60</v>
      </c>
      <c r="B82" s="98" t="s">
        <v>339</v>
      </c>
      <c r="C82" s="98" t="s">
        <v>340</v>
      </c>
      <c r="D82" s="98" t="s">
        <v>212</v>
      </c>
      <c r="E82" s="99" t="s">
        <v>27</v>
      </c>
      <c r="F82" s="104" t="s">
        <v>29</v>
      </c>
      <c r="G82" s="104"/>
      <c r="H82" s="99" t="s">
        <v>27</v>
      </c>
      <c r="I82" s="105">
        <v>3912.45</v>
      </c>
      <c r="J82" s="105"/>
      <c r="K82" s="102" t="s">
        <v>22</v>
      </c>
      <c r="L82" s="103">
        <v>233394.24</v>
      </c>
    </row>
    <row r="83" spans="1:12" ht="61.2" hidden="1" x14ac:dyDescent="0.3">
      <c r="A83" s="97" t="s">
        <v>60</v>
      </c>
      <c r="B83" s="98" t="s">
        <v>341</v>
      </c>
      <c r="C83" s="98" t="s">
        <v>342</v>
      </c>
      <c r="D83" s="98" t="s">
        <v>343</v>
      </c>
      <c r="E83" s="99" t="s">
        <v>27</v>
      </c>
      <c r="F83" s="104" t="s">
        <v>29</v>
      </c>
      <c r="G83" s="104"/>
      <c r="H83" s="99" t="s">
        <v>27</v>
      </c>
      <c r="I83" s="105">
        <v>33947.199999999997</v>
      </c>
      <c r="J83" s="105"/>
      <c r="K83" s="102" t="s">
        <v>22</v>
      </c>
      <c r="L83" s="103">
        <v>199447.04000000001</v>
      </c>
    </row>
    <row r="84" spans="1:12" ht="51" hidden="1" x14ac:dyDescent="0.3">
      <c r="A84" s="97" t="s">
        <v>60</v>
      </c>
      <c r="B84" s="98" t="s">
        <v>344</v>
      </c>
      <c r="C84" s="98" t="s">
        <v>63</v>
      </c>
      <c r="D84" s="98" t="s">
        <v>345</v>
      </c>
      <c r="E84" s="99" t="s">
        <v>27</v>
      </c>
      <c r="F84" s="100">
        <v>18767.75</v>
      </c>
      <c r="G84" s="100"/>
      <c r="H84" s="99" t="s">
        <v>28</v>
      </c>
      <c r="I84" s="101" t="s">
        <v>29</v>
      </c>
      <c r="J84" s="101"/>
      <c r="K84" s="102" t="s">
        <v>22</v>
      </c>
      <c r="L84" s="103">
        <v>218214.79</v>
      </c>
    </row>
    <row r="85" spans="1:12" ht="51" hidden="1" x14ac:dyDescent="0.3">
      <c r="A85" s="97" t="s">
        <v>60</v>
      </c>
      <c r="B85" s="98" t="s">
        <v>344</v>
      </c>
      <c r="C85" s="98" t="s">
        <v>206</v>
      </c>
      <c r="D85" s="98" t="s">
        <v>345</v>
      </c>
      <c r="E85" s="99" t="s">
        <v>27</v>
      </c>
      <c r="F85" s="100">
        <v>19088.919999999998</v>
      </c>
      <c r="G85" s="100"/>
      <c r="H85" s="99" t="s">
        <v>28</v>
      </c>
      <c r="I85" s="101" t="s">
        <v>29</v>
      </c>
      <c r="J85" s="101"/>
      <c r="K85" s="102" t="s">
        <v>22</v>
      </c>
      <c r="L85" s="103">
        <v>237303.71</v>
      </c>
    </row>
    <row r="86" spans="1:12" ht="61.2" hidden="1" x14ac:dyDescent="0.3">
      <c r="A86" s="97" t="s">
        <v>60</v>
      </c>
      <c r="B86" s="98" t="s">
        <v>344</v>
      </c>
      <c r="C86" s="98" t="s">
        <v>346</v>
      </c>
      <c r="D86" s="98" t="s">
        <v>345</v>
      </c>
      <c r="E86" s="99" t="s">
        <v>27</v>
      </c>
      <c r="F86" s="100">
        <v>4917</v>
      </c>
      <c r="G86" s="100"/>
      <c r="H86" s="99" t="s">
        <v>28</v>
      </c>
      <c r="I86" s="101" t="s">
        <v>29</v>
      </c>
      <c r="J86" s="101"/>
      <c r="K86" s="102" t="s">
        <v>22</v>
      </c>
      <c r="L86" s="103">
        <v>242220.71</v>
      </c>
    </row>
    <row r="87" spans="1:12" ht="51" hidden="1" x14ac:dyDescent="0.3">
      <c r="A87" s="97" t="s">
        <v>60</v>
      </c>
      <c r="B87" s="98" t="s">
        <v>347</v>
      </c>
      <c r="C87" s="98" t="s">
        <v>63</v>
      </c>
      <c r="D87" s="98" t="s">
        <v>345</v>
      </c>
      <c r="E87" s="99" t="s">
        <v>27</v>
      </c>
      <c r="F87" s="100">
        <v>22049.45</v>
      </c>
      <c r="G87" s="100"/>
      <c r="H87" s="99" t="s">
        <v>28</v>
      </c>
      <c r="I87" s="101" t="s">
        <v>29</v>
      </c>
      <c r="J87" s="101"/>
      <c r="K87" s="102" t="s">
        <v>22</v>
      </c>
      <c r="L87" s="103">
        <v>264270.15999999997</v>
      </c>
    </row>
    <row r="88" spans="1:12" ht="51" hidden="1" x14ac:dyDescent="0.3">
      <c r="A88" s="97" t="s">
        <v>60</v>
      </c>
      <c r="B88" s="98" t="s">
        <v>347</v>
      </c>
      <c r="C88" s="98" t="s">
        <v>206</v>
      </c>
      <c r="D88" s="98" t="s">
        <v>345</v>
      </c>
      <c r="E88" s="99" t="s">
        <v>27</v>
      </c>
      <c r="F88" s="100">
        <v>22426.77</v>
      </c>
      <c r="G88" s="100"/>
      <c r="H88" s="99" t="s">
        <v>28</v>
      </c>
      <c r="I88" s="101" t="s">
        <v>29</v>
      </c>
      <c r="J88" s="101"/>
      <c r="K88" s="102" t="s">
        <v>22</v>
      </c>
      <c r="L88" s="103">
        <v>286696.93</v>
      </c>
    </row>
    <row r="89" spans="1:12" ht="61.2" hidden="1" x14ac:dyDescent="0.3">
      <c r="A89" s="97" t="s">
        <v>60</v>
      </c>
      <c r="B89" s="98" t="s">
        <v>347</v>
      </c>
      <c r="C89" s="98" t="s">
        <v>346</v>
      </c>
      <c r="D89" s="98" t="s">
        <v>345</v>
      </c>
      <c r="E89" s="99" t="s">
        <v>27</v>
      </c>
      <c r="F89" s="100">
        <v>5776.78</v>
      </c>
      <c r="G89" s="100"/>
      <c r="H89" s="99" t="s">
        <v>28</v>
      </c>
      <c r="I89" s="101" t="s">
        <v>29</v>
      </c>
      <c r="J89" s="101"/>
      <c r="K89" s="102" t="s">
        <v>22</v>
      </c>
      <c r="L89" s="103">
        <v>292473.71000000002</v>
      </c>
    </row>
    <row r="90" spans="1:12" ht="51" hidden="1" x14ac:dyDescent="0.3">
      <c r="A90" s="97" t="s">
        <v>60</v>
      </c>
      <c r="B90" s="98" t="s">
        <v>61</v>
      </c>
      <c r="C90" s="98" t="s">
        <v>62</v>
      </c>
      <c r="D90" s="98" t="s">
        <v>63</v>
      </c>
      <c r="E90" s="99" t="s">
        <v>27</v>
      </c>
      <c r="F90" s="104" t="s">
        <v>29</v>
      </c>
      <c r="G90" s="104"/>
      <c r="H90" s="99" t="s">
        <v>27</v>
      </c>
      <c r="I90" s="105">
        <v>40817.199999999997</v>
      </c>
      <c r="J90" s="105"/>
      <c r="K90" s="102" t="s">
        <v>22</v>
      </c>
      <c r="L90" s="103">
        <v>251656.51</v>
      </c>
    </row>
    <row r="91" spans="1:12" ht="51" hidden="1" x14ac:dyDescent="0.3">
      <c r="A91" s="97" t="s">
        <v>60</v>
      </c>
      <c r="B91" s="98" t="s">
        <v>348</v>
      </c>
      <c r="C91" s="98" t="s">
        <v>349</v>
      </c>
      <c r="D91" s="98" t="s">
        <v>206</v>
      </c>
      <c r="E91" s="99" t="s">
        <v>27</v>
      </c>
      <c r="F91" s="104" t="s">
        <v>29</v>
      </c>
      <c r="G91" s="104"/>
      <c r="H91" s="99" t="s">
        <v>27</v>
      </c>
      <c r="I91" s="105">
        <v>13791.5</v>
      </c>
      <c r="J91" s="105"/>
      <c r="K91" s="102" t="s">
        <v>22</v>
      </c>
      <c r="L91" s="103">
        <v>237865.01</v>
      </c>
    </row>
    <row r="92" spans="1:12" ht="51" hidden="1" x14ac:dyDescent="0.3">
      <c r="A92" s="97" t="s">
        <v>60</v>
      </c>
      <c r="B92" s="98" t="s">
        <v>204</v>
      </c>
      <c r="C92" s="98" t="s">
        <v>205</v>
      </c>
      <c r="D92" s="98" t="s">
        <v>206</v>
      </c>
      <c r="E92" s="99" t="s">
        <v>27</v>
      </c>
      <c r="F92" s="104" t="s">
        <v>29</v>
      </c>
      <c r="G92" s="104"/>
      <c r="H92" s="99" t="s">
        <v>27</v>
      </c>
      <c r="I92" s="105">
        <v>27724.19</v>
      </c>
      <c r="J92" s="105"/>
      <c r="K92" s="102" t="s">
        <v>22</v>
      </c>
      <c r="L92" s="103">
        <v>210140.82</v>
      </c>
    </row>
    <row r="93" spans="1:12" ht="61.2" hidden="1" x14ac:dyDescent="0.3">
      <c r="A93" s="97" t="s">
        <v>60</v>
      </c>
      <c r="B93" s="98" t="s">
        <v>350</v>
      </c>
      <c r="C93" s="98" t="s">
        <v>351</v>
      </c>
      <c r="D93" s="98" t="s">
        <v>346</v>
      </c>
      <c r="E93" s="99" t="s">
        <v>27</v>
      </c>
      <c r="F93" s="104" t="s">
        <v>29</v>
      </c>
      <c r="G93" s="104"/>
      <c r="H93" s="99" t="s">
        <v>27</v>
      </c>
      <c r="I93" s="105">
        <v>10693.78</v>
      </c>
      <c r="J93" s="105"/>
      <c r="K93" s="102" t="s">
        <v>22</v>
      </c>
      <c r="L93" s="103">
        <v>199447.04000000001</v>
      </c>
    </row>
    <row r="94" spans="1:12" ht="51" x14ac:dyDescent="0.3">
      <c r="A94" s="97" t="s">
        <v>60</v>
      </c>
      <c r="B94" s="98" t="s">
        <v>352</v>
      </c>
      <c r="C94" s="98" t="s">
        <v>174</v>
      </c>
      <c r="D94" s="98" t="s">
        <v>249</v>
      </c>
      <c r="E94" s="99" t="s">
        <v>175</v>
      </c>
      <c r="F94" s="104" t="s">
        <v>29</v>
      </c>
      <c r="G94" s="104"/>
      <c r="H94" s="99" t="s">
        <v>27</v>
      </c>
      <c r="I94" s="106">
        <v>41</v>
      </c>
      <c r="J94" s="106"/>
      <c r="K94" s="102" t="s">
        <v>22</v>
      </c>
      <c r="L94" s="103">
        <v>199406.04</v>
      </c>
    </row>
    <row r="95" spans="1:12" ht="61.2" x14ac:dyDescent="0.3">
      <c r="A95" s="97" t="s">
        <v>60</v>
      </c>
      <c r="B95" s="98" t="s">
        <v>352</v>
      </c>
      <c r="C95" s="98" t="s">
        <v>174</v>
      </c>
      <c r="D95" s="98" t="s">
        <v>353</v>
      </c>
      <c r="E95" s="99" t="s">
        <v>175</v>
      </c>
      <c r="F95" s="104" t="s">
        <v>29</v>
      </c>
      <c r="G95" s="104"/>
      <c r="H95" s="99" t="s">
        <v>27</v>
      </c>
      <c r="I95" s="106">
        <v>160</v>
      </c>
      <c r="J95" s="106"/>
      <c r="K95" s="102" t="s">
        <v>22</v>
      </c>
      <c r="L95" s="103">
        <v>199246.04</v>
      </c>
    </row>
    <row r="96" spans="1:12" ht="61.2" x14ac:dyDescent="0.3">
      <c r="A96" s="97" t="s">
        <v>60</v>
      </c>
      <c r="B96" s="98" t="s">
        <v>352</v>
      </c>
      <c r="C96" s="98" t="s">
        <v>174</v>
      </c>
      <c r="D96" s="98" t="s">
        <v>354</v>
      </c>
      <c r="E96" s="99" t="s">
        <v>175</v>
      </c>
      <c r="F96" s="104" t="s">
        <v>29</v>
      </c>
      <c r="G96" s="104"/>
      <c r="H96" s="99" t="s">
        <v>27</v>
      </c>
      <c r="I96" s="106">
        <v>16</v>
      </c>
      <c r="J96" s="106"/>
      <c r="K96" s="102" t="s">
        <v>22</v>
      </c>
      <c r="L96" s="103">
        <v>199230.04</v>
      </c>
    </row>
    <row r="97" spans="1:12" ht="61.2" x14ac:dyDescent="0.3">
      <c r="A97" s="97" t="s">
        <v>60</v>
      </c>
      <c r="B97" s="98" t="s">
        <v>352</v>
      </c>
      <c r="C97" s="98" t="s">
        <v>174</v>
      </c>
      <c r="D97" s="98" t="s">
        <v>355</v>
      </c>
      <c r="E97" s="99" t="s">
        <v>175</v>
      </c>
      <c r="F97" s="104" t="s">
        <v>29</v>
      </c>
      <c r="G97" s="104"/>
      <c r="H97" s="99" t="s">
        <v>27</v>
      </c>
      <c r="I97" s="106">
        <v>16</v>
      </c>
      <c r="J97" s="106"/>
      <c r="K97" s="102" t="s">
        <v>22</v>
      </c>
      <c r="L97" s="103">
        <v>199214.04</v>
      </c>
    </row>
    <row r="98" spans="1:12" ht="61.2" x14ac:dyDescent="0.3">
      <c r="A98" s="97" t="s">
        <v>60</v>
      </c>
      <c r="B98" s="98" t="s">
        <v>352</v>
      </c>
      <c r="C98" s="98" t="s">
        <v>174</v>
      </c>
      <c r="D98" s="98" t="s">
        <v>356</v>
      </c>
      <c r="E98" s="99" t="s">
        <v>175</v>
      </c>
      <c r="F98" s="104" t="s">
        <v>29</v>
      </c>
      <c r="G98" s="104"/>
      <c r="H98" s="99" t="s">
        <v>27</v>
      </c>
      <c r="I98" s="106">
        <v>64</v>
      </c>
      <c r="J98" s="106"/>
      <c r="K98" s="102" t="s">
        <v>22</v>
      </c>
      <c r="L98" s="103">
        <v>199150.04</v>
      </c>
    </row>
    <row r="99" spans="1:12" ht="51" x14ac:dyDescent="0.3">
      <c r="A99" s="97" t="s">
        <v>60</v>
      </c>
      <c r="B99" s="98" t="s">
        <v>352</v>
      </c>
      <c r="C99" s="98" t="s">
        <v>174</v>
      </c>
      <c r="D99" s="98" t="s">
        <v>245</v>
      </c>
      <c r="E99" s="99" t="s">
        <v>175</v>
      </c>
      <c r="F99" s="104" t="s">
        <v>29</v>
      </c>
      <c r="G99" s="104"/>
      <c r="H99" s="99" t="s">
        <v>27</v>
      </c>
      <c r="I99" s="106">
        <v>36</v>
      </c>
      <c r="J99" s="106"/>
      <c r="K99" s="102" t="s">
        <v>22</v>
      </c>
      <c r="L99" s="103">
        <v>199114.04</v>
      </c>
    </row>
    <row r="100" spans="1:12" ht="51" x14ac:dyDescent="0.3">
      <c r="A100" s="97" t="s">
        <v>60</v>
      </c>
      <c r="B100" s="98" t="s">
        <v>352</v>
      </c>
      <c r="C100" s="98" t="s">
        <v>174</v>
      </c>
      <c r="D100" s="98" t="s">
        <v>247</v>
      </c>
      <c r="E100" s="99" t="s">
        <v>175</v>
      </c>
      <c r="F100" s="104" t="s">
        <v>29</v>
      </c>
      <c r="G100" s="104"/>
      <c r="H100" s="99" t="s">
        <v>27</v>
      </c>
      <c r="I100" s="106">
        <v>24</v>
      </c>
      <c r="J100" s="106"/>
      <c r="K100" s="102" t="s">
        <v>22</v>
      </c>
      <c r="L100" s="103">
        <v>199090.04</v>
      </c>
    </row>
    <row r="101" spans="1:12" ht="51" x14ac:dyDescent="0.3">
      <c r="A101" s="97" t="s">
        <v>60</v>
      </c>
      <c r="B101" s="98" t="s">
        <v>357</v>
      </c>
      <c r="C101" s="98" t="s">
        <v>174</v>
      </c>
      <c r="D101" s="98" t="s">
        <v>358</v>
      </c>
      <c r="E101" s="99" t="s">
        <v>175</v>
      </c>
      <c r="F101" s="104" t="s">
        <v>29</v>
      </c>
      <c r="G101" s="104"/>
      <c r="H101" s="99" t="s">
        <v>27</v>
      </c>
      <c r="I101" s="105">
        <v>2988.75</v>
      </c>
      <c r="J101" s="105"/>
      <c r="K101" s="102" t="s">
        <v>22</v>
      </c>
      <c r="L101" s="103">
        <v>196101.29</v>
      </c>
    </row>
    <row r="102" spans="1:12" ht="61.2" hidden="1" x14ac:dyDescent="0.3">
      <c r="A102" s="97" t="s">
        <v>138</v>
      </c>
      <c r="B102" s="98" t="s">
        <v>359</v>
      </c>
      <c r="C102" s="98" t="s">
        <v>141</v>
      </c>
      <c r="D102" s="98" t="s">
        <v>67</v>
      </c>
      <c r="E102" s="99" t="s">
        <v>27</v>
      </c>
      <c r="F102" s="100">
        <v>77220</v>
      </c>
      <c r="G102" s="100"/>
      <c r="H102" s="99" t="s">
        <v>28</v>
      </c>
      <c r="I102" s="101" t="s">
        <v>29</v>
      </c>
      <c r="J102" s="101"/>
      <c r="K102" s="102" t="s">
        <v>22</v>
      </c>
      <c r="L102" s="103">
        <v>273321.28999999998</v>
      </c>
    </row>
    <row r="103" spans="1:12" ht="61.2" hidden="1" x14ac:dyDescent="0.3">
      <c r="A103" s="97" t="s">
        <v>138</v>
      </c>
      <c r="B103" s="98" t="s">
        <v>360</v>
      </c>
      <c r="C103" s="98" t="s">
        <v>141</v>
      </c>
      <c r="D103" s="98" t="s">
        <v>67</v>
      </c>
      <c r="E103" s="99" t="s">
        <v>27</v>
      </c>
      <c r="F103" s="100">
        <v>25930.5</v>
      </c>
      <c r="G103" s="100"/>
      <c r="H103" s="99" t="s">
        <v>28</v>
      </c>
      <c r="I103" s="101" t="s">
        <v>29</v>
      </c>
      <c r="J103" s="101"/>
      <c r="K103" s="102" t="s">
        <v>22</v>
      </c>
      <c r="L103" s="103">
        <v>299251.78999999998</v>
      </c>
    </row>
    <row r="104" spans="1:12" ht="51" hidden="1" x14ac:dyDescent="0.3">
      <c r="A104" s="97" t="s">
        <v>138</v>
      </c>
      <c r="B104" s="98" t="s">
        <v>361</v>
      </c>
      <c r="C104" s="98" t="s">
        <v>169</v>
      </c>
      <c r="D104" s="98" t="s">
        <v>141</v>
      </c>
      <c r="E104" s="99" t="s">
        <v>27</v>
      </c>
      <c r="F104" s="104" t="s">
        <v>29</v>
      </c>
      <c r="G104" s="104"/>
      <c r="H104" s="99" t="s">
        <v>27</v>
      </c>
      <c r="I104" s="105">
        <v>73395.55</v>
      </c>
      <c r="J104" s="105"/>
      <c r="K104" s="102" t="s">
        <v>22</v>
      </c>
      <c r="L104" s="103">
        <v>225856.24</v>
      </c>
    </row>
    <row r="105" spans="1:12" ht="51" hidden="1" x14ac:dyDescent="0.3">
      <c r="A105" s="97" t="s">
        <v>138</v>
      </c>
      <c r="B105" s="98" t="s">
        <v>139</v>
      </c>
      <c r="C105" s="98" t="s">
        <v>140</v>
      </c>
      <c r="D105" s="98" t="s">
        <v>141</v>
      </c>
      <c r="E105" s="99" t="s">
        <v>27</v>
      </c>
      <c r="F105" s="104" t="s">
        <v>29</v>
      </c>
      <c r="G105" s="104"/>
      <c r="H105" s="99" t="s">
        <v>27</v>
      </c>
      <c r="I105" s="105">
        <v>15869.31</v>
      </c>
      <c r="J105" s="105"/>
      <c r="K105" s="102" t="s">
        <v>22</v>
      </c>
      <c r="L105" s="103">
        <v>209986.93</v>
      </c>
    </row>
    <row r="106" spans="1:12" ht="51" hidden="1" x14ac:dyDescent="0.3">
      <c r="A106" s="97" t="s">
        <v>138</v>
      </c>
      <c r="B106" s="98" t="s">
        <v>362</v>
      </c>
      <c r="C106" s="98" t="s">
        <v>363</v>
      </c>
      <c r="D106" s="98" t="s">
        <v>141</v>
      </c>
      <c r="E106" s="99" t="s">
        <v>27</v>
      </c>
      <c r="F106" s="104" t="s">
        <v>29</v>
      </c>
      <c r="G106" s="104"/>
      <c r="H106" s="99" t="s">
        <v>27</v>
      </c>
      <c r="I106" s="105">
        <v>1983.66</v>
      </c>
      <c r="J106" s="105"/>
      <c r="K106" s="102" t="s">
        <v>22</v>
      </c>
      <c r="L106" s="103">
        <v>208003.27</v>
      </c>
    </row>
    <row r="107" spans="1:12" ht="61.2" hidden="1" x14ac:dyDescent="0.3">
      <c r="A107" s="97" t="s">
        <v>142</v>
      </c>
      <c r="B107" s="98" t="s">
        <v>364</v>
      </c>
      <c r="C107" s="98" t="s">
        <v>145</v>
      </c>
      <c r="D107" s="98" t="s">
        <v>67</v>
      </c>
      <c r="E107" s="99" t="s">
        <v>27</v>
      </c>
      <c r="F107" s="100">
        <v>27740</v>
      </c>
      <c r="G107" s="100"/>
      <c r="H107" s="99" t="s">
        <v>28</v>
      </c>
      <c r="I107" s="101" t="s">
        <v>29</v>
      </c>
      <c r="J107" s="101"/>
      <c r="K107" s="102" t="s">
        <v>22</v>
      </c>
      <c r="L107" s="103">
        <v>235743.27</v>
      </c>
    </row>
    <row r="108" spans="1:12" ht="61.2" hidden="1" x14ac:dyDescent="0.3">
      <c r="A108" s="97" t="s">
        <v>142</v>
      </c>
      <c r="B108" s="98" t="s">
        <v>365</v>
      </c>
      <c r="C108" s="98" t="s">
        <v>145</v>
      </c>
      <c r="D108" s="98" t="s">
        <v>67</v>
      </c>
      <c r="E108" s="99" t="s">
        <v>27</v>
      </c>
      <c r="F108" s="100">
        <v>9057.5</v>
      </c>
      <c r="G108" s="100"/>
      <c r="H108" s="99" t="s">
        <v>28</v>
      </c>
      <c r="I108" s="101" t="s">
        <v>29</v>
      </c>
      <c r="J108" s="101"/>
      <c r="K108" s="102" t="s">
        <v>22</v>
      </c>
      <c r="L108" s="103">
        <v>244800.77</v>
      </c>
    </row>
    <row r="109" spans="1:12" ht="61.2" hidden="1" x14ac:dyDescent="0.3">
      <c r="A109" s="97" t="s">
        <v>142</v>
      </c>
      <c r="B109" s="98" t="s">
        <v>366</v>
      </c>
      <c r="C109" s="98" t="s">
        <v>367</v>
      </c>
      <c r="D109" s="98" t="s">
        <v>145</v>
      </c>
      <c r="E109" s="99" t="s">
        <v>27</v>
      </c>
      <c r="F109" s="104" t="s">
        <v>29</v>
      </c>
      <c r="G109" s="104"/>
      <c r="H109" s="99" t="s">
        <v>27</v>
      </c>
      <c r="I109" s="105">
        <v>25564.58</v>
      </c>
      <c r="J109" s="105"/>
      <c r="K109" s="102" t="s">
        <v>22</v>
      </c>
      <c r="L109" s="103">
        <v>219236.19</v>
      </c>
    </row>
    <row r="110" spans="1:12" ht="51" hidden="1" x14ac:dyDescent="0.3">
      <c r="A110" s="97" t="s">
        <v>142</v>
      </c>
      <c r="B110" s="98" t="s">
        <v>143</v>
      </c>
      <c r="C110" s="98" t="s">
        <v>144</v>
      </c>
      <c r="D110" s="98" t="s">
        <v>145</v>
      </c>
      <c r="E110" s="99" t="s">
        <v>27</v>
      </c>
      <c r="F110" s="104" t="s">
        <v>29</v>
      </c>
      <c r="G110" s="104"/>
      <c r="H110" s="99" t="s">
        <v>27</v>
      </c>
      <c r="I110" s="105">
        <v>5035.45</v>
      </c>
      <c r="J110" s="105"/>
      <c r="K110" s="102" t="s">
        <v>22</v>
      </c>
      <c r="L110" s="103">
        <v>214200.74</v>
      </c>
    </row>
    <row r="111" spans="1:12" ht="51" hidden="1" x14ac:dyDescent="0.3">
      <c r="A111" s="97" t="s">
        <v>142</v>
      </c>
      <c r="B111" s="98" t="s">
        <v>368</v>
      </c>
      <c r="C111" s="98" t="s">
        <v>369</v>
      </c>
      <c r="D111" s="98" t="s">
        <v>145</v>
      </c>
      <c r="E111" s="99" t="s">
        <v>27</v>
      </c>
      <c r="F111" s="104" t="s">
        <v>29</v>
      </c>
      <c r="G111" s="104"/>
      <c r="H111" s="99" t="s">
        <v>27</v>
      </c>
      <c r="I111" s="105">
        <v>6197.47</v>
      </c>
      <c r="J111" s="105"/>
      <c r="K111" s="102" t="s">
        <v>22</v>
      </c>
      <c r="L111" s="103">
        <v>208003.27</v>
      </c>
    </row>
    <row r="112" spans="1:12" ht="51" hidden="1" x14ac:dyDescent="0.3">
      <c r="A112" s="97" t="s">
        <v>64</v>
      </c>
      <c r="B112" s="98" t="s">
        <v>370</v>
      </c>
      <c r="C112" s="98" t="s">
        <v>371</v>
      </c>
      <c r="D112" s="98" t="s">
        <v>372</v>
      </c>
      <c r="E112" s="99" t="s">
        <v>27</v>
      </c>
      <c r="F112" s="107">
        <v>594.29999999999995</v>
      </c>
      <c r="G112" s="107"/>
      <c r="H112" s="99" t="s">
        <v>28</v>
      </c>
      <c r="I112" s="101" t="s">
        <v>29</v>
      </c>
      <c r="J112" s="101"/>
      <c r="K112" s="102" t="s">
        <v>22</v>
      </c>
      <c r="L112" s="103">
        <v>208597.57</v>
      </c>
    </row>
    <row r="113" spans="1:12" ht="51" hidden="1" x14ac:dyDescent="0.3">
      <c r="A113" s="97" t="s">
        <v>64</v>
      </c>
      <c r="B113" s="98" t="s">
        <v>370</v>
      </c>
      <c r="C113" s="98" t="s">
        <v>74</v>
      </c>
      <c r="D113" s="98" t="s">
        <v>372</v>
      </c>
      <c r="E113" s="99" t="s">
        <v>27</v>
      </c>
      <c r="F113" s="100">
        <v>4050</v>
      </c>
      <c r="G113" s="100"/>
      <c r="H113" s="99" t="s">
        <v>28</v>
      </c>
      <c r="I113" s="101" t="s">
        <v>29</v>
      </c>
      <c r="J113" s="101"/>
      <c r="K113" s="102" t="s">
        <v>22</v>
      </c>
      <c r="L113" s="103">
        <v>212647.57</v>
      </c>
    </row>
    <row r="114" spans="1:12" ht="51" hidden="1" x14ac:dyDescent="0.3">
      <c r="A114" s="97" t="s">
        <v>64</v>
      </c>
      <c r="B114" s="98" t="s">
        <v>370</v>
      </c>
      <c r="C114" s="98" t="s">
        <v>373</v>
      </c>
      <c r="D114" s="98" t="s">
        <v>372</v>
      </c>
      <c r="E114" s="99" t="s">
        <v>27</v>
      </c>
      <c r="F114" s="107">
        <v>456.25</v>
      </c>
      <c r="G114" s="107"/>
      <c r="H114" s="99" t="s">
        <v>28</v>
      </c>
      <c r="I114" s="101" t="s">
        <v>29</v>
      </c>
      <c r="J114" s="101"/>
      <c r="K114" s="102" t="s">
        <v>22</v>
      </c>
      <c r="L114" s="103">
        <v>213103.82</v>
      </c>
    </row>
    <row r="115" spans="1:12" ht="51" hidden="1" x14ac:dyDescent="0.3">
      <c r="A115" s="97" t="s">
        <v>64</v>
      </c>
      <c r="B115" s="98" t="s">
        <v>370</v>
      </c>
      <c r="C115" s="98" t="s">
        <v>152</v>
      </c>
      <c r="D115" s="98" t="s">
        <v>372</v>
      </c>
      <c r="E115" s="99" t="s">
        <v>27</v>
      </c>
      <c r="F115" s="107">
        <v>358.6</v>
      </c>
      <c r="G115" s="107"/>
      <c r="H115" s="99" t="s">
        <v>28</v>
      </c>
      <c r="I115" s="101" t="s">
        <v>29</v>
      </c>
      <c r="J115" s="101"/>
      <c r="K115" s="102" t="s">
        <v>22</v>
      </c>
      <c r="L115" s="103">
        <v>213462.42</v>
      </c>
    </row>
    <row r="116" spans="1:12" ht="51" hidden="1" x14ac:dyDescent="0.3">
      <c r="A116" s="97" t="s">
        <v>64</v>
      </c>
      <c r="B116" s="98" t="s">
        <v>370</v>
      </c>
      <c r="C116" s="98" t="s">
        <v>374</v>
      </c>
      <c r="D116" s="98" t="s">
        <v>372</v>
      </c>
      <c r="E116" s="99" t="s">
        <v>27</v>
      </c>
      <c r="F116" s="107">
        <v>154.80000000000001</v>
      </c>
      <c r="G116" s="107"/>
      <c r="H116" s="99" t="s">
        <v>28</v>
      </c>
      <c r="I116" s="101" t="s">
        <v>29</v>
      </c>
      <c r="J116" s="101"/>
      <c r="K116" s="102" t="s">
        <v>22</v>
      </c>
      <c r="L116" s="103">
        <v>213617.22</v>
      </c>
    </row>
    <row r="117" spans="1:12" ht="51" hidden="1" x14ac:dyDescent="0.3">
      <c r="A117" s="97" t="s">
        <v>64</v>
      </c>
      <c r="B117" s="98" t="s">
        <v>370</v>
      </c>
      <c r="C117" s="98" t="s">
        <v>375</v>
      </c>
      <c r="D117" s="98" t="s">
        <v>372</v>
      </c>
      <c r="E117" s="99" t="s">
        <v>27</v>
      </c>
      <c r="F117" s="107">
        <v>250.75</v>
      </c>
      <c r="G117" s="107"/>
      <c r="H117" s="99" t="s">
        <v>28</v>
      </c>
      <c r="I117" s="101" t="s">
        <v>29</v>
      </c>
      <c r="J117" s="101"/>
      <c r="K117" s="102" t="s">
        <v>22</v>
      </c>
      <c r="L117" s="103">
        <v>213867.97</v>
      </c>
    </row>
    <row r="118" spans="1:12" ht="51" hidden="1" x14ac:dyDescent="0.3">
      <c r="A118" s="97" t="s">
        <v>64</v>
      </c>
      <c r="B118" s="98" t="s">
        <v>370</v>
      </c>
      <c r="C118" s="98" t="s">
        <v>376</v>
      </c>
      <c r="D118" s="98" t="s">
        <v>372</v>
      </c>
      <c r="E118" s="99" t="s">
        <v>27</v>
      </c>
      <c r="F118" s="107">
        <v>238.75</v>
      </c>
      <c r="G118" s="107"/>
      <c r="H118" s="99" t="s">
        <v>28</v>
      </c>
      <c r="I118" s="101" t="s">
        <v>29</v>
      </c>
      <c r="J118" s="101"/>
      <c r="K118" s="102" t="s">
        <v>22</v>
      </c>
      <c r="L118" s="103">
        <v>214106.72</v>
      </c>
    </row>
    <row r="119" spans="1:12" ht="51" hidden="1" x14ac:dyDescent="0.3">
      <c r="A119" s="97" t="s">
        <v>64</v>
      </c>
      <c r="B119" s="98" t="s">
        <v>70</v>
      </c>
      <c r="C119" s="98" t="s">
        <v>71</v>
      </c>
      <c r="D119" s="98" t="s">
        <v>72</v>
      </c>
      <c r="E119" s="99" t="s">
        <v>27</v>
      </c>
      <c r="F119" s="104" t="s">
        <v>29</v>
      </c>
      <c r="G119" s="104"/>
      <c r="H119" s="99" t="s">
        <v>27</v>
      </c>
      <c r="I119" s="106">
        <v>99.05</v>
      </c>
      <c r="J119" s="106"/>
      <c r="K119" s="102" t="s">
        <v>22</v>
      </c>
      <c r="L119" s="103">
        <v>214007.67</v>
      </c>
    </row>
    <row r="120" spans="1:12" ht="51" hidden="1" x14ac:dyDescent="0.3">
      <c r="A120" s="97" t="s">
        <v>64</v>
      </c>
      <c r="B120" s="98" t="s">
        <v>70</v>
      </c>
      <c r="C120" s="98" t="s">
        <v>73</v>
      </c>
      <c r="D120" s="98" t="s">
        <v>74</v>
      </c>
      <c r="E120" s="99" t="s">
        <v>27</v>
      </c>
      <c r="F120" s="104" t="s">
        <v>29</v>
      </c>
      <c r="G120" s="104"/>
      <c r="H120" s="99" t="s">
        <v>27</v>
      </c>
      <c r="I120" s="106">
        <v>810</v>
      </c>
      <c r="J120" s="106"/>
      <c r="K120" s="102" t="s">
        <v>22</v>
      </c>
      <c r="L120" s="103">
        <v>213197.67</v>
      </c>
    </row>
    <row r="121" spans="1:12" ht="51" hidden="1" x14ac:dyDescent="0.3">
      <c r="A121" s="97" t="s">
        <v>64</v>
      </c>
      <c r="B121" s="98" t="s">
        <v>70</v>
      </c>
      <c r="C121" s="98" t="s">
        <v>75</v>
      </c>
      <c r="D121" s="98" t="s">
        <v>76</v>
      </c>
      <c r="E121" s="99" t="s">
        <v>27</v>
      </c>
      <c r="F121" s="104" t="s">
        <v>29</v>
      </c>
      <c r="G121" s="104"/>
      <c r="H121" s="99" t="s">
        <v>27</v>
      </c>
      <c r="I121" s="106">
        <v>91.25</v>
      </c>
      <c r="J121" s="106"/>
      <c r="K121" s="102" t="s">
        <v>22</v>
      </c>
      <c r="L121" s="103">
        <v>213106.42</v>
      </c>
    </row>
    <row r="122" spans="1:12" ht="51" hidden="1" x14ac:dyDescent="0.3">
      <c r="A122" s="97" t="s">
        <v>64</v>
      </c>
      <c r="B122" s="98" t="s">
        <v>377</v>
      </c>
      <c r="C122" s="98" t="s">
        <v>378</v>
      </c>
      <c r="D122" s="98" t="s">
        <v>72</v>
      </c>
      <c r="E122" s="99" t="s">
        <v>27</v>
      </c>
      <c r="F122" s="104" t="s">
        <v>29</v>
      </c>
      <c r="G122" s="104"/>
      <c r="H122" s="99" t="s">
        <v>27</v>
      </c>
      <c r="I122" s="106">
        <v>198.1</v>
      </c>
      <c r="J122" s="106"/>
      <c r="K122" s="102" t="s">
        <v>22</v>
      </c>
      <c r="L122" s="103">
        <v>212908.32</v>
      </c>
    </row>
    <row r="123" spans="1:12" ht="51" hidden="1" x14ac:dyDescent="0.3">
      <c r="A123" s="97" t="s">
        <v>64</v>
      </c>
      <c r="B123" s="98" t="s">
        <v>377</v>
      </c>
      <c r="C123" s="98" t="s">
        <v>379</v>
      </c>
      <c r="D123" s="98" t="s">
        <v>74</v>
      </c>
      <c r="E123" s="99" t="s">
        <v>27</v>
      </c>
      <c r="F123" s="104" t="s">
        <v>29</v>
      </c>
      <c r="G123" s="104"/>
      <c r="H123" s="99" t="s">
        <v>27</v>
      </c>
      <c r="I123" s="106">
        <v>810</v>
      </c>
      <c r="J123" s="106"/>
      <c r="K123" s="102" t="s">
        <v>22</v>
      </c>
      <c r="L123" s="103">
        <v>212098.32</v>
      </c>
    </row>
    <row r="124" spans="1:12" ht="51" hidden="1" x14ac:dyDescent="0.3">
      <c r="A124" s="97" t="s">
        <v>64</v>
      </c>
      <c r="B124" s="98" t="s">
        <v>377</v>
      </c>
      <c r="C124" s="98" t="s">
        <v>380</v>
      </c>
      <c r="D124" s="98" t="s">
        <v>76</v>
      </c>
      <c r="E124" s="99" t="s">
        <v>27</v>
      </c>
      <c r="F124" s="104" t="s">
        <v>29</v>
      </c>
      <c r="G124" s="104"/>
      <c r="H124" s="99" t="s">
        <v>27</v>
      </c>
      <c r="I124" s="106">
        <v>91.25</v>
      </c>
      <c r="J124" s="106"/>
      <c r="K124" s="102" t="s">
        <v>22</v>
      </c>
      <c r="L124" s="103">
        <v>212007.07</v>
      </c>
    </row>
    <row r="125" spans="1:12" ht="51" hidden="1" x14ac:dyDescent="0.3">
      <c r="A125" s="97" t="s">
        <v>64</v>
      </c>
      <c r="B125" s="98" t="s">
        <v>377</v>
      </c>
      <c r="C125" s="98" t="s">
        <v>381</v>
      </c>
      <c r="D125" s="98" t="s">
        <v>375</v>
      </c>
      <c r="E125" s="99" t="s">
        <v>27</v>
      </c>
      <c r="F125" s="104" t="s">
        <v>29</v>
      </c>
      <c r="G125" s="104"/>
      <c r="H125" s="99" t="s">
        <v>27</v>
      </c>
      <c r="I125" s="106">
        <v>125.38</v>
      </c>
      <c r="J125" s="106"/>
      <c r="K125" s="102" t="s">
        <v>22</v>
      </c>
      <c r="L125" s="103">
        <v>211881.69</v>
      </c>
    </row>
    <row r="126" spans="1:12" ht="51" hidden="1" x14ac:dyDescent="0.3">
      <c r="A126" s="97" t="s">
        <v>64</v>
      </c>
      <c r="B126" s="98" t="s">
        <v>377</v>
      </c>
      <c r="C126" s="98" t="s">
        <v>382</v>
      </c>
      <c r="D126" s="98" t="s">
        <v>376</v>
      </c>
      <c r="E126" s="99" t="s">
        <v>27</v>
      </c>
      <c r="F126" s="104" t="s">
        <v>29</v>
      </c>
      <c r="G126" s="104"/>
      <c r="H126" s="99" t="s">
        <v>27</v>
      </c>
      <c r="I126" s="106">
        <v>119.38</v>
      </c>
      <c r="J126" s="106"/>
      <c r="K126" s="102" t="s">
        <v>22</v>
      </c>
      <c r="L126" s="103">
        <v>211762.31</v>
      </c>
    </row>
    <row r="127" spans="1:12" ht="61.2" hidden="1" x14ac:dyDescent="0.3">
      <c r="A127" s="97" t="s">
        <v>64</v>
      </c>
      <c r="B127" s="98" t="s">
        <v>383</v>
      </c>
      <c r="C127" s="98" t="s">
        <v>384</v>
      </c>
      <c r="D127" s="98" t="s">
        <v>72</v>
      </c>
      <c r="E127" s="99" t="s">
        <v>27</v>
      </c>
      <c r="F127" s="104" t="s">
        <v>29</v>
      </c>
      <c r="G127" s="104"/>
      <c r="H127" s="99" t="s">
        <v>27</v>
      </c>
      <c r="I127" s="106">
        <v>99.05</v>
      </c>
      <c r="J127" s="106"/>
      <c r="K127" s="102" t="s">
        <v>22</v>
      </c>
      <c r="L127" s="103">
        <v>211663.26</v>
      </c>
    </row>
    <row r="128" spans="1:12" ht="61.2" hidden="1" x14ac:dyDescent="0.3">
      <c r="A128" s="97" t="s">
        <v>64</v>
      </c>
      <c r="B128" s="98" t="s">
        <v>383</v>
      </c>
      <c r="C128" s="98" t="s">
        <v>385</v>
      </c>
      <c r="D128" s="98" t="s">
        <v>74</v>
      </c>
      <c r="E128" s="99" t="s">
        <v>27</v>
      </c>
      <c r="F128" s="104" t="s">
        <v>29</v>
      </c>
      <c r="G128" s="104"/>
      <c r="H128" s="99" t="s">
        <v>27</v>
      </c>
      <c r="I128" s="106">
        <v>810</v>
      </c>
      <c r="J128" s="106"/>
      <c r="K128" s="102" t="s">
        <v>22</v>
      </c>
      <c r="L128" s="103">
        <v>210853.26</v>
      </c>
    </row>
    <row r="129" spans="1:12" ht="61.2" hidden="1" x14ac:dyDescent="0.3">
      <c r="A129" s="97" t="s">
        <v>64</v>
      </c>
      <c r="B129" s="98" t="s">
        <v>383</v>
      </c>
      <c r="C129" s="98" t="s">
        <v>386</v>
      </c>
      <c r="D129" s="98" t="s">
        <v>76</v>
      </c>
      <c r="E129" s="99" t="s">
        <v>27</v>
      </c>
      <c r="F129" s="104" t="s">
        <v>29</v>
      </c>
      <c r="G129" s="104"/>
      <c r="H129" s="99" t="s">
        <v>27</v>
      </c>
      <c r="I129" s="106">
        <v>91.25</v>
      </c>
      <c r="J129" s="106"/>
      <c r="K129" s="102" t="s">
        <v>22</v>
      </c>
      <c r="L129" s="103">
        <v>210762.01</v>
      </c>
    </row>
    <row r="130" spans="1:12" ht="61.2" hidden="1" x14ac:dyDescent="0.3">
      <c r="A130" s="97" t="s">
        <v>64</v>
      </c>
      <c r="B130" s="98" t="s">
        <v>387</v>
      </c>
      <c r="C130" s="98" t="s">
        <v>388</v>
      </c>
      <c r="D130" s="98" t="s">
        <v>72</v>
      </c>
      <c r="E130" s="99" t="s">
        <v>27</v>
      </c>
      <c r="F130" s="104" t="s">
        <v>29</v>
      </c>
      <c r="G130" s="104"/>
      <c r="H130" s="99" t="s">
        <v>27</v>
      </c>
      <c r="I130" s="106">
        <v>99.05</v>
      </c>
      <c r="J130" s="106"/>
      <c r="K130" s="102" t="s">
        <v>22</v>
      </c>
      <c r="L130" s="103">
        <v>210662.96</v>
      </c>
    </row>
    <row r="131" spans="1:12" ht="61.2" hidden="1" x14ac:dyDescent="0.3">
      <c r="A131" s="97" t="s">
        <v>64</v>
      </c>
      <c r="B131" s="98" t="s">
        <v>387</v>
      </c>
      <c r="C131" s="98" t="s">
        <v>389</v>
      </c>
      <c r="D131" s="98" t="s">
        <v>74</v>
      </c>
      <c r="E131" s="99" t="s">
        <v>27</v>
      </c>
      <c r="F131" s="104" t="s">
        <v>29</v>
      </c>
      <c r="G131" s="104"/>
      <c r="H131" s="99" t="s">
        <v>27</v>
      </c>
      <c r="I131" s="106">
        <v>810</v>
      </c>
      <c r="J131" s="106"/>
      <c r="K131" s="102" t="s">
        <v>22</v>
      </c>
      <c r="L131" s="103">
        <v>209852.96</v>
      </c>
    </row>
    <row r="132" spans="1:12" ht="61.2" hidden="1" x14ac:dyDescent="0.3">
      <c r="A132" s="97" t="s">
        <v>64</v>
      </c>
      <c r="B132" s="98" t="s">
        <v>387</v>
      </c>
      <c r="C132" s="98" t="s">
        <v>390</v>
      </c>
      <c r="D132" s="98" t="s">
        <v>391</v>
      </c>
      <c r="E132" s="99" t="s">
        <v>27</v>
      </c>
      <c r="F132" s="104" t="s">
        <v>29</v>
      </c>
      <c r="G132" s="104"/>
      <c r="H132" s="99" t="s">
        <v>27</v>
      </c>
      <c r="I132" s="106">
        <v>365</v>
      </c>
      <c r="J132" s="106"/>
      <c r="K132" s="102" t="s">
        <v>22</v>
      </c>
      <c r="L132" s="103">
        <v>209487.96</v>
      </c>
    </row>
    <row r="133" spans="1:12" ht="51" hidden="1" x14ac:dyDescent="0.3">
      <c r="A133" s="97" t="s">
        <v>64</v>
      </c>
      <c r="B133" s="98" t="s">
        <v>392</v>
      </c>
      <c r="C133" s="98" t="s">
        <v>393</v>
      </c>
      <c r="D133" s="98" t="s">
        <v>72</v>
      </c>
      <c r="E133" s="99" t="s">
        <v>27</v>
      </c>
      <c r="F133" s="104" t="s">
        <v>29</v>
      </c>
      <c r="G133" s="104"/>
      <c r="H133" s="99" t="s">
        <v>27</v>
      </c>
      <c r="I133" s="106">
        <v>99.05</v>
      </c>
      <c r="J133" s="106"/>
      <c r="K133" s="102" t="s">
        <v>22</v>
      </c>
      <c r="L133" s="103">
        <v>209388.91</v>
      </c>
    </row>
    <row r="134" spans="1:12" ht="51" hidden="1" x14ac:dyDescent="0.3">
      <c r="A134" s="97" t="s">
        <v>64</v>
      </c>
      <c r="B134" s="98" t="s">
        <v>392</v>
      </c>
      <c r="C134" s="98" t="s">
        <v>394</v>
      </c>
      <c r="D134" s="98" t="s">
        <v>74</v>
      </c>
      <c r="E134" s="99" t="s">
        <v>27</v>
      </c>
      <c r="F134" s="104" t="s">
        <v>29</v>
      </c>
      <c r="G134" s="104"/>
      <c r="H134" s="99" t="s">
        <v>27</v>
      </c>
      <c r="I134" s="106">
        <v>810</v>
      </c>
      <c r="J134" s="106"/>
      <c r="K134" s="102" t="s">
        <v>22</v>
      </c>
      <c r="L134" s="103">
        <v>208578.91</v>
      </c>
    </row>
    <row r="135" spans="1:12" ht="51" hidden="1" x14ac:dyDescent="0.3">
      <c r="A135" s="97" t="s">
        <v>64</v>
      </c>
      <c r="B135" s="98" t="s">
        <v>392</v>
      </c>
      <c r="C135" s="98" t="s">
        <v>395</v>
      </c>
      <c r="D135" s="98" t="s">
        <v>373</v>
      </c>
      <c r="E135" s="99" t="s">
        <v>27</v>
      </c>
      <c r="F135" s="104" t="s">
        <v>29</v>
      </c>
      <c r="G135" s="104"/>
      <c r="H135" s="99" t="s">
        <v>27</v>
      </c>
      <c r="I135" s="106">
        <v>91.25</v>
      </c>
      <c r="J135" s="106"/>
      <c r="K135" s="102" t="s">
        <v>22</v>
      </c>
      <c r="L135" s="103">
        <v>208487.66</v>
      </c>
    </row>
    <row r="136" spans="1:12" ht="51" hidden="1" x14ac:dyDescent="0.3">
      <c r="A136" s="97" t="s">
        <v>64</v>
      </c>
      <c r="B136" s="98" t="s">
        <v>392</v>
      </c>
      <c r="C136" s="98" t="s">
        <v>396</v>
      </c>
      <c r="D136" s="98" t="s">
        <v>375</v>
      </c>
      <c r="E136" s="99" t="s">
        <v>27</v>
      </c>
      <c r="F136" s="104" t="s">
        <v>29</v>
      </c>
      <c r="G136" s="104"/>
      <c r="H136" s="99" t="s">
        <v>27</v>
      </c>
      <c r="I136" s="106">
        <v>125.37</v>
      </c>
      <c r="J136" s="106"/>
      <c r="K136" s="102" t="s">
        <v>22</v>
      </c>
      <c r="L136" s="103">
        <v>208362.29</v>
      </c>
    </row>
    <row r="137" spans="1:12" ht="51" hidden="1" x14ac:dyDescent="0.3">
      <c r="A137" s="97" t="s">
        <v>64</v>
      </c>
      <c r="B137" s="98" t="s">
        <v>392</v>
      </c>
      <c r="C137" s="98" t="s">
        <v>397</v>
      </c>
      <c r="D137" s="98" t="s">
        <v>376</v>
      </c>
      <c r="E137" s="99" t="s">
        <v>27</v>
      </c>
      <c r="F137" s="104" t="s">
        <v>29</v>
      </c>
      <c r="G137" s="104"/>
      <c r="H137" s="99" t="s">
        <v>27</v>
      </c>
      <c r="I137" s="106">
        <v>119.37</v>
      </c>
      <c r="J137" s="106"/>
      <c r="K137" s="102" t="s">
        <v>22</v>
      </c>
      <c r="L137" s="103">
        <v>208242.92</v>
      </c>
    </row>
    <row r="138" spans="1:12" ht="51" hidden="1" x14ac:dyDescent="0.3">
      <c r="A138" s="97" t="s">
        <v>64</v>
      </c>
      <c r="B138" s="98" t="s">
        <v>150</v>
      </c>
      <c r="C138" s="98" t="s">
        <v>151</v>
      </c>
      <c r="D138" s="98" t="s">
        <v>152</v>
      </c>
      <c r="E138" s="99" t="s">
        <v>27</v>
      </c>
      <c r="F138" s="104" t="s">
        <v>29</v>
      </c>
      <c r="G138" s="104"/>
      <c r="H138" s="99" t="s">
        <v>27</v>
      </c>
      <c r="I138" s="106">
        <v>358.6</v>
      </c>
      <c r="J138" s="106"/>
      <c r="K138" s="102" t="s">
        <v>22</v>
      </c>
      <c r="L138" s="103">
        <v>207884.32</v>
      </c>
    </row>
    <row r="139" spans="1:12" ht="61.2" hidden="1" x14ac:dyDescent="0.3">
      <c r="A139" s="97" t="s">
        <v>64</v>
      </c>
      <c r="B139" s="98" t="s">
        <v>398</v>
      </c>
      <c r="C139" s="98" t="s">
        <v>399</v>
      </c>
      <c r="D139" s="98" t="s">
        <v>374</v>
      </c>
      <c r="E139" s="99" t="s">
        <v>27</v>
      </c>
      <c r="F139" s="104" t="s">
        <v>29</v>
      </c>
      <c r="G139" s="104"/>
      <c r="H139" s="99" t="s">
        <v>27</v>
      </c>
      <c r="I139" s="106">
        <v>154.80000000000001</v>
      </c>
      <c r="J139" s="106"/>
      <c r="K139" s="102" t="s">
        <v>22</v>
      </c>
      <c r="L139" s="103">
        <v>207729.52</v>
      </c>
    </row>
    <row r="140" spans="1:12" ht="51" hidden="1" x14ac:dyDescent="0.3">
      <c r="A140" s="97" t="s">
        <v>77</v>
      </c>
      <c r="B140" s="98" t="s">
        <v>400</v>
      </c>
      <c r="C140" s="98" t="s">
        <v>155</v>
      </c>
      <c r="D140" s="98" t="s">
        <v>401</v>
      </c>
      <c r="E140" s="99" t="s">
        <v>27</v>
      </c>
      <c r="F140" s="100">
        <v>10675.5</v>
      </c>
      <c r="G140" s="100"/>
      <c r="H140" s="99" t="s">
        <v>28</v>
      </c>
      <c r="I140" s="101" t="s">
        <v>29</v>
      </c>
      <c r="J140" s="101"/>
      <c r="K140" s="102" t="s">
        <v>22</v>
      </c>
      <c r="L140" s="103">
        <v>218405.02</v>
      </c>
    </row>
    <row r="141" spans="1:12" ht="61.2" hidden="1" x14ac:dyDescent="0.3">
      <c r="A141" s="97" t="s">
        <v>77</v>
      </c>
      <c r="B141" s="98" t="s">
        <v>400</v>
      </c>
      <c r="C141" s="98" t="s">
        <v>402</v>
      </c>
      <c r="D141" s="98" t="s">
        <v>401</v>
      </c>
      <c r="E141" s="99" t="s">
        <v>27</v>
      </c>
      <c r="F141" s="100">
        <v>5250</v>
      </c>
      <c r="G141" s="100"/>
      <c r="H141" s="99" t="s">
        <v>28</v>
      </c>
      <c r="I141" s="101" t="s">
        <v>29</v>
      </c>
      <c r="J141" s="101"/>
      <c r="K141" s="102" t="s">
        <v>22</v>
      </c>
      <c r="L141" s="103">
        <v>223655.02</v>
      </c>
    </row>
    <row r="142" spans="1:12" ht="51" hidden="1" x14ac:dyDescent="0.3">
      <c r="A142" s="97" t="s">
        <v>77</v>
      </c>
      <c r="B142" s="98" t="s">
        <v>403</v>
      </c>
      <c r="C142" s="98" t="s">
        <v>155</v>
      </c>
      <c r="D142" s="98" t="s">
        <v>401</v>
      </c>
      <c r="E142" s="99" t="s">
        <v>27</v>
      </c>
      <c r="F142" s="100">
        <v>12765.62</v>
      </c>
      <c r="G142" s="100"/>
      <c r="H142" s="99" t="s">
        <v>28</v>
      </c>
      <c r="I142" s="101" t="s">
        <v>29</v>
      </c>
      <c r="J142" s="101"/>
      <c r="K142" s="102" t="s">
        <v>22</v>
      </c>
      <c r="L142" s="103">
        <v>236420.64</v>
      </c>
    </row>
    <row r="143" spans="1:12" ht="61.2" hidden="1" x14ac:dyDescent="0.3">
      <c r="A143" s="97" t="s">
        <v>77</v>
      </c>
      <c r="B143" s="98" t="s">
        <v>403</v>
      </c>
      <c r="C143" s="98" t="s">
        <v>402</v>
      </c>
      <c r="D143" s="98" t="s">
        <v>401</v>
      </c>
      <c r="E143" s="99" t="s">
        <v>27</v>
      </c>
      <c r="F143" s="100">
        <v>6277.88</v>
      </c>
      <c r="G143" s="100"/>
      <c r="H143" s="99" t="s">
        <v>28</v>
      </c>
      <c r="I143" s="101" t="s">
        <v>29</v>
      </c>
      <c r="J143" s="101"/>
      <c r="K143" s="102" t="s">
        <v>22</v>
      </c>
      <c r="L143" s="103">
        <v>242698.52</v>
      </c>
    </row>
    <row r="144" spans="1:12" ht="51" hidden="1" x14ac:dyDescent="0.3">
      <c r="A144" s="97" t="s">
        <v>77</v>
      </c>
      <c r="B144" s="98" t="s">
        <v>153</v>
      </c>
      <c r="C144" s="98" t="s">
        <v>154</v>
      </c>
      <c r="D144" s="98" t="s">
        <v>155</v>
      </c>
      <c r="E144" s="99" t="s">
        <v>27</v>
      </c>
      <c r="F144" s="104" t="s">
        <v>29</v>
      </c>
      <c r="G144" s="104"/>
      <c r="H144" s="99" t="s">
        <v>27</v>
      </c>
      <c r="I144" s="105">
        <v>23441.119999999999</v>
      </c>
      <c r="J144" s="105"/>
      <c r="K144" s="102" t="s">
        <v>22</v>
      </c>
      <c r="L144" s="103">
        <v>219257.4</v>
      </c>
    </row>
    <row r="145" spans="1:12" ht="61.2" hidden="1" x14ac:dyDescent="0.3">
      <c r="A145" s="97" t="s">
        <v>77</v>
      </c>
      <c r="B145" s="98" t="s">
        <v>404</v>
      </c>
      <c r="C145" s="98" t="s">
        <v>405</v>
      </c>
      <c r="D145" s="98" t="s">
        <v>402</v>
      </c>
      <c r="E145" s="99" t="s">
        <v>27</v>
      </c>
      <c r="F145" s="104" t="s">
        <v>29</v>
      </c>
      <c r="G145" s="104"/>
      <c r="H145" s="99" t="s">
        <v>27</v>
      </c>
      <c r="I145" s="105">
        <v>11527.88</v>
      </c>
      <c r="J145" s="105"/>
      <c r="K145" s="102" t="s">
        <v>22</v>
      </c>
      <c r="L145" s="103">
        <v>207729.52</v>
      </c>
    </row>
    <row r="146" spans="1:12" ht="61.2" hidden="1" x14ac:dyDescent="0.3">
      <c r="A146" s="97" t="s">
        <v>77</v>
      </c>
      <c r="B146" s="98" t="s">
        <v>406</v>
      </c>
      <c r="C146" s="98" t="s">
        <v>80</v>
      </c>
      <c r="D146" s="98" t="s">
        <v>69</v>
      </c>
      <c r="E146" s="99" t="s">
        <v>27</v>
      </c>
      <c r="F146" s="100">
        <v>37935</v>
      </c>
      <c r="G146" s="100"/>
      <c r="H146" s="99" t="s">
        <v>28</v>
      </c>
      <c r="I146" s="101" t="s">
        <v>29</v>
      </c>
      <c r="J146" s="101"/>
      <c r="K146" s="102" t="s">
        <v>22</v>
      </c>
      <c r="L146" s="103">
        <v>245664.52</v>
      </c>
    </row>
    <row r="147" spans="1:12" ht="61.2" hidden="1" x14ac:dyDescent="0.3">
      <c r="A147" s="97" t="s">
        <v>77</v>
      </c>
      <c r="B147" s="98" t="s">
        <v>406</v>
      </c>
      <c r="C147" s="98" t="s">
        <v>407</v>
      </c>
      <c r="D147" s="98" t="s">
        <v>69</v>
      </c>
      <c r="E147" s="99" t="s">
        <v>27</v>
      </c>
      <c r="F147" s="100">
        <v>71540</v>
      </c>
      <c r="G147" s="100"/>
      <c r="H147" s="99" t="s">
        <v>28</v>
      </c>
      <c r="I147" s="101" t="s">
        <v>29</v>
      </c>
      <c r="J147" s="101"/>
      <c r="K147" s="102" t="s">
        <v>22</v>
      </c>
      <c r="L147" s="103">
        <v>317204.52</v>
      </c>
    </row>
    <row r="148" spans="1:12" ht="61.2" hidden="1" x14ac:dyDescent="0.3">
      <c r="A148" s="97" t="s">
        <v>77</v>
      </c>
      <c r="B148" s="98" t="s">
        <v>408</v>
      </c>
      <c r="C148" s="98" t="s">
        <v>80</v>
      </c>
      <c r="D148" s="98" t="s">
        <v>69</v>
      </c>
      <c r="E148" s="99" t="s">
        <v>27</v>
      </c>
      <c r="F148" s="100">
        <v>14018.19</v>
      </c>
      <c r="G148" s="100"/>
      <c r="H148" s="99" t="s">
        <v>28</v>
      </c>
      <c r="I148" s="101" t="s">
        <v>29</v>
      </c>
      <c r="J148" s="101"/>
      <c r="K148" s="102" t="s">
        <v>22</v>
      </c>
      <c r="L148" s="103">
        <v>331222.71000000002</v>
      </c>
    </row>
    <row r="149" spans="1:12" ht="61.2" hidden="1" x14ac:dyDescent="0.3">
      <c r="A149" s="97" t="s">
        <v>77</v>
      </c>
      <c r="B149" s="98" t="s">
        <v>408</v>
      </c>
      <c r="C149" s="98" t="s">
        <v>407</v>
      </c>
      <c r="D149" s="98" t="s">
        <v>69</v>
      </c>
      <c r="E149" s="99" t="s">
        <v>27</v>
      </c>
      <c r="F149" s="100">
        <v>26436.31</v>
      </c>
      <c r="G149" s="100"/>
      <c r="H149" s="99" t="s">
        <v>28</v>
      </c>
      <c r="I149" s="101" t="s">
        <v>29</v>
      </c>
      <c r="J149" s="101"/>
      <c r="K149" s="102" t="s">
        <v>22</v>
      </c>
      <c r="L149" s="103">
        <v>357659.02</v>
      </c>
    </row>
    <row r="150" spans="1:12" ht="51" hidden="1" x14ac:dyDescent="0.3">
      <c r="A150" s="97" t="s">
        <v>77</v>
      </c>
      <c r="B150" s="98" t="s">
        <v>78</v>
      </c>
      <c r="C150" s="98" t="s">
        <v>79</v>
      </c>
      <c r="D150" s="98" t="s">
        <v>80</v>
      </c>
      <c r="E150" s="99" t="s">
        <v>27</v>
      </c>
      <c r="F150" s="104" t="s">
        <v>29</v>
      </c>
      <c r="G150" s="104"/>
      <c r="H150" s="99" t="s">
        <v>27</v>
      </c>
      <c r="I150" s="105">
        <v>40408.04</v>
      </c>
      <c r="J150" s="105"/>
      <c r="K150" s="102" t="s">
        <v>22</v>
      </c>
      <c r="L150" s="103">
        <v>317250.98</v>
      </c>
    </row>
    <row r="151" spans="1:12" ht="61.2" hidden="1" x14ac:dyDescent="0.3">
      <c r="A151" s="97" t="s">
        <v>77</v>
      </c>
      <c r="B151" s="98" t="s">
        <v>409</v>
      </c>
      <c r="C151" s="98" t="s">
        <v>410</v>
      </c>
      <c r="D151" s="98" t="s">
        <v>80</v>
      </c>
      <c r="E151" s="99" t="s">
        <v>27</v>
      </c>
      <c r="F151" s="104" t="s">
        <v>29</v>
      </c>
      <c r="G151" s="104"/>
      <c r="H151" s="99" t="s">
        <v>27</v>
      </c>
      <c r="I151" s="105">
        <v>11545.15</v>
      </c>
      <c r="J151" s="105"/>
      <c r="K151" s="102" t="s">
        <v>22</v>
      </c>
      <c r="L151" s="103">
        <v>305705.83</v>
      </c>
    </row>
    <row r="152" spans="1:12" ht="51" hidden="1" x14ac:dyDescent="0.3">
      <c r="A152" s="97" t="s">
        <v>77</v>
      </c>
      <c r="B152" s="98" t="s">
        <v>411</v>
      </c>
      <c r="C152" s="98" t="s">
        <v>412</v>
      </c>
      <c r="D152" s="98" t="s">
        <v>407</v>
      </c>
      <c r="E152" s="99" t="s">
        <v>27</v>
      </c>
      <c r="F152" s="104" t="s">
        <v>29</v>
      </c>
      <c r="G152" s="104"/>
      <c r="H152" s="99" t="s">
        <v>27</v>
      </c>
      <c r="I152" s="105">
        <v>97976.31</v>
      </c>
      <c r="J152" s="105"/>
      <c r="K152" s="102" t="s">
        <v>22</v>
      </c>
      <c r="L152" s="103">
        <v>207729.52</v>
      </c>
    </row>
    <row r="153" spans="1:12" ht="51" hidden="1" x14ac:dyDescent="0.3">
      <c r="A153" s="97" t="s">
        <v>156</v>
      </c>
      <c r="B153" s="98" t="s">
        <v>413</v>
      </c>
      <c r="C153" s="98" t="s">
        <v>159</v>
      </c>
      <c r="D153" s="98" t="s">
        <v>414</v>
      </c>
      <c r="E153" s="99" t="s">
        <v>27</v>
      </c>
      <c r="F153" s="100">
        <v>10334.5</v>
      </c>
      <c r="G153" s="100"/>
      <c r="H153" s="99" t="s">
        <v>28</v>
      </c>
      <c r="I153" s="101" t="s">
        <v>29</v>
      </c>
      <c r="J153" s="101"/>
      <c r="K153" s="102" t="s">
        <v>22</v>
      </c>
      <c r="L153" s="103">
        <v>218064.02</v>
      </c>
    </row>
    <row r="154" spans="1:12" ht="51" hidden="1" x14ac:dyDescent="0.3">
      <c r="A154" s="97" t="s">
        <v>156</v>
      </c>
      <c r="B154" s="98" t="s">
        <v>413</v>
      </c>
      <c r="C154" s="98" t="s">
        <v>415</v>
      </c>
      <c r="D154" s="98" t="s">
        <v>414</v>
      </c>
      <c r="E154" s="99" t="s">
        <v>27</v>
      </c>
      <c r="F154" s="100">
        <v>49681.75</v>
      </c>
      <c r="G154" s="100"/>
      <c r="H154" s="99" t="s">
        <v>28</v>
      </c>
      <c r="I154" s="101" t="s">
        <v>29</v>
      </c>
      <c r="J154" s="101"/>
      <c r="K154" s="102" t="s">
        <v>22</v>
      </c>
      <c r="L154" s="103">
        <v>267745.77</v>
      </c>
    </row>
    <row r="155" spans="1:12" ht="51" hidden="1" x14ac:dyDescent="0.3">
      <c r="A155" s="97" t="s">
        <v>156</v>
      </c>
      <c r="B155" s="98" t="s">
        <v>416</v>
      </c>
      <c r="C155" s="98" t="s">
        <v>159</v>
      </c>
      <c r="D155" s="98" t="s">
        <v>414</v>
      </c>
      <c r="E155" s="99" t="s">
        <v>27</v>
      </c>
      <c r="F155" s="100">
        <v>9896.0499999999993</v>
      </c>
      <c r="G155" s="100"/>
      <c r="H155" s="99" t="s">
        <v>28</v>
      </c>
      <c r="I155" s="101" t="s">
        <v>29</v>
      </c>
      <c r="J155" s="101"/>
      <c r="K155" s="102" t="s">
        <v>22</v>
      </c>
      <c r="L155" s="103">
        <v>277641.82</v>
      </c>
    </row>
    <row r="156" spans="1:12" ht="51" hidden="1" x14ac:dyDescent="0.3">
      <c r="A156" s="97" t="s">
        <v>156</v>
      </c>
      <c r="B156" s="98" t="s">
        <v>416</v>
      </c>
      <c r="C156" s="98" t="s">
        <v>415</v>
      </c>
      <c r="D156" s="98" t="s">
        <v>414</v>
      </c>
      <c r="E156" s="99" t="s">
        <v>27</v>
      </c>
      <c r="F156" s="100">
        <v>47573.95</v>
      </c>
      <c r="G156" s="100"/>
      <c r="H156" s="99" t="s">
        <v>28</v>
      </c>
      <c r="I156" s="101" t="s">
        <v>29</v>
      </c>
      <c r="J156" s="101"/>
      <c r="K156" s="102" t="s">
        <v>22</v>
      </c>
      <c r="L156" s="103">
        <v>325215.77</v>
      </c>
    </row>
    <row r="157" spans="1:12" ht="51" hidden="1" x14ac:dyDescent="0.3">
      <c r="A157" s="97" t="s">
        <v>156</v>
      </c>
      <c r="B157" s="98" t="s">
        <v>157</v>
      </c>
      <c r="C157" s="98" t="s">
        <v>158</v>
      </c>
      <c r="D157" s="98" t="s">
        <v>159</v>
      </c>
      <c r="E157" s="99" t="s">
        <v>27</v>
      </c>
      <c r="F157" s="104" t="s">
        <v>29</v>
      </c>
      <c r="G157" s="104"/>
      <c r="H157" s="99" t="s">
        <v>27</v>
      </c>
      <c r="I157" s="105">
        <v>20230.55</v>
      </c>
      <c r="J157" s="105"/>
      <c r="K157" s="102" t="s">
        <v>22</v>
      </c>
      <c r="L157" s="103">
        <v>304985.21999999997</v>
      </c>
    </row>
    <row r="158" spans="1:12" ht="61.2" hidden="1" x14ac:dyDescent="0.3">
      <c r="A158" s="97" t="s">
        <v>156</v>
      </c>
      <c r="B158" s="98" t="s">
        <v>417</v>
      </c>
      <c r="C158" s="98" t="s">
        <v>418</v>
      </c>
      <c r="D158" s="98" t="s">
        <v>415</v>
      </c>
      <c r="E158" s="99" t="s">
        <v>27</v>
      </c>
      <c r="F158" s="104" t="s">
        <v>29</v>
      </c>
      <c r="G158" s="104"/>
      <c r="H158" s="99" t="s">
        <v>27</v>
      </c>
      <c r="I158" s="105">
        <v>97255.7</v>
      </c>
      <c r="J158" s="105"/>
      <c r="K158" s="102" t="s">
        <v>22</v>
      </c>
      <c r="L158" s="103">
        <v>207729.52</v>
      </c>
    </row>
    <row r="159" spans="1:12" ht="61.2" hidden="1" x14ac:dyDescent="0.3">
      <c r="A159" s="97" t="s">
        <v>156</v>
      </c>
      <c r="B159" s="98" t="s">
        <v>419</v>
      </c>
      <c r="C159" s="98" t="s">
        <v>420</v>
      </c>
      <c r="D159" s="98" t="s">
        <v>69</v>
      </c>
      <c r="E159" s="99" t="s">
        <v>27</v>
      </c>
      <c r="F159" s="100">
        <v>39420</v>
      </c>
      <c r="G159" s="100"/>
      <c r="H159" s="99" t="s">
        <v>28</v>
      </c>
      <c r="I159" s="101" t="s">
        <v>29</v>
      </c>
      <c r="J159" s="101"/>
      <c r="K159" s="102" t="s">
        <v>22</v>
      </c>
      <c r="L159" s="103">
        <v>247149.52</v>
      </c>
    </row>
    <row r="160" spans="1:12" ht="61.2" hidden="1" x14ac:dyDescent="0.3">
      <c r="A160" s="97" t="s">
        <v>156</v>
      </c>
      <c r="B160" s="98" t="s">
        <v>421</v>
      </c>
      <c r="C160" s="98" t="s">
        <v>420</v>
      </c>
      <c r="D160" s="98" t="s">
        <v>69</v>
      </c>
      <c r="E160" s="99" t="s">
        <v>27</v>
      </c>
      <c r="F160" s="100">
        <v>16994.5</v>
      </c>
      <c r="G160" s="100"/>
      <c r="H160" s="99" t="s">
        <v>28</v>
      </c>
      <c r="I160" s="101" t="s">
        <v>29</v>
      </c>
      <c r="J160" s="101"/>
      <c r="K160" s="102" t="s">
        <v>22</v>
      </c>
      <c r="L160" s="103">
        <v>264144.02</v>
      </c>
    </row>
    <row r="161" spans="1:12" ht="61.2" hidden="1" x14ac:dyDescent="0.3">
      <c r="A161" s="97" t="s">
        <v>156</v>
      </c>
      <c r="B161" s="98" t="s">
        <v>422</v>
      </c>
      <c r="C161" s="98" t="s">
        <v>423</v>
      </c>
      <c r="D161" s="98" t="s">
        <v>420</v>
      </c>
      <c r="E161" s="99" t="s">
        <v>27</v>
      </c>
      <c r="F161" s="104" t="s">
        <v>29</v>
      </c>
      <c r="G161" s="104"/>
      <c r="H161" s="99" t="s">
        <v>27</v>
      </c>
      <c r="I161" s="105">
        <v>49310.45</v>
      </c>
      <c r="J161" s="105"/>
      <c r="K161" s="102" t="s">
        <v>22</v>
      </c>
      <c r="L161" s="103">
        <v>214833.57</v>
      </c>
    </row>
    <row r="162" spans="1:12" ht="51" hidden="1" x14ac:dyDescent="0.3">
      <c r="A162" s="97" t="s">
        <v>156</v>
      </c>
      <c r="B162" s="98" t="s">
        <v>424</v>
      </c>
      <c r="C162" s="98" t="s">
        <v>425</v>
      </c>
      <c r="D162" s="98" t="s">
        <v>420</v>
      </c>
      <c r="E162" s="99" t="s">
        <v>27</v>
      </c>
      <c r="F162" s="104" t="s">
        <v>29</v>
      </c>
      <c r="G162" s="104"/>
      <c r="H162" s="99" t="s">
        <v>27</v>
      </c>
      <c r="I162" s="105">
        <v>7104.05</v>
      </c>
      <c r="J162" s="105"/>
      <c r="K162" s="102" t="s">
        <v>22</v>
      </c>
      <c r="L162" s="103">
        <v>207729.52</v>
      </c>
    </row>
    <row r="163" spans="1:12" ht="61.2" x14ac:dyDescent="0.3">
      <c r="A163" s="97" t="s">
        <v>81</v>
      </c>
      <c r="B163" s="98" t="s">
        <v>426</v>
      </c>
      <c r="C163" s="98" t="s">
        <v>174</v>
      </c>
      <c r="D163" s="98" t="s">
        <v>321</v>
      </c>
      <c r="E163" s="99" t="s">
        <v>175</v>
      </c>
      <c r="F163" s="104" t="s">
        <v>29</v>
      </c>
      <c r="G163" s="104"/>
      <c r="H163" s="99" t="s">
        <v>27</v>
      </c>
      <c r="I163" s="106">
        <v>27</v>
      </c>
      <c r="J163" s="106"/>
      <c r="K163" s="102" t="s">
        <v>22</v>
      </c>
      <c r="L163" s="103">
        <v>207702.52</v>
      </c>
    </row>
    <row r="164" spans="1:12" ht="51" x14ac:dyDescent="0.3">
      <c r="A164" s="97" t="s">
        <v>81</v>
      </c>
      <c r="B164" s="98" t="s">
        <v>426</v>
      </c>
      <c r="C164" s="98" t="s">
        <v>174</v>
      </c>
      <c r="D164" s="98" t="s">
        <v>320</v>
      </c>
      <c r="E164" s="99" t="s">
        <v>175</v>
      </c>
      <c r="F164" s="104" t="s">
        <v>29</v>
      </c>
      <c r="G164" s="104"/>
      <c r="H164" s="99" t="s">
        <v>27</v>
      </c>
      <c r="I164" s="106">
        <v>76</v>
      </c>
      <c r="J164" s="106"/>
      <c r="K164" s="102" t="s">
        <v>22</v>
      </c>
      <c r="L164" s="103">
        <v>207626.52</v>
      </c>
    </row>
    <row r="165" spans="1:12" ht="51" x14ac:dyDescent="0.3">
      <c r="A165" s="97" t="s">
        <v>81</v>
      </c>
      <c r="B165" s="98" t="s">
        <v>427</v>
      </c>
      <c r="C165" s="98" t="s">
        <v>174</v>
      </c>
      <c r="D165" s="98" t="s">
        <v>428</v>
      </c>
      <c r="E165" s="99" t="s">
        <v>175</v>
      </c>
      <c r="F165" s="104" t="s">
        <v>29</v>
      </c>
      <c r="G165" s="104"/>
      <c r="H165" s="99" t="s">
        <v>27</v>
      </c>
      <c r="I165" s="106">
        <v>900</v>
      </c>
      <c r="J165" s="106"/>
      <c r="K165" s="102" t="s">
        <v>22</v>
      </c>
      <c r="L165" s="103">
        <v>206726.52</v>
      </c>
    </row>
    <row r="166" spans="1:12" ht="51" x14ac:dyDescent="0.3">
      <c r="A166" s="97" t="s">
        <v>81</v>
      </c>
      <c r="B166" s="98" t="s">
        <v>429</v>
      </c>
      <c r="C166" s="98" t="s">
        <v>174</v>
      </c>
      <c r="D166" s="98" t="s">
        <v>430</v>
      </c>
      <c r="E166" s="99" t="s">
        <v>175</v>
      </c>
      <c r="F166" s="104" t="s">
        <v>29</v>
      </c>
      <c r="G166" s="104"/>
      <c r="H166" s="99" t="s">
        <v>27</v>
      </c>
      <c r="I166" s="106">
        <v>472.9</v>
      </c>
      <c r="J166" s="106"/>
      <c r="K166" s="102" t="s">
        <v>22</v>
      </c>
      <c r="L166" s="103">
        <v>206253.62</v>
      </c>
    </row>
    <row r="167" spans="1:12" ht="51" x14ac:dyDescent="0.3">
      <c r="A167" s="97" t="s">
        <v>81</v>
      </c>
      <c r="B167" s="98" t="s">
        <v>429</v>
      </c>
      <c r="C167" s="98" t="s">
        <v>174</v>
      </c>
      <c r="D167" s="98" t="s">
        <v>431</v>
      </c>
      <c r="E167" s="99" t="s">
        <v>175</v>
      </c>
      <c r="F167" s="104" t="s">
        <v>29</v>
      </c>
      <c r="G167" s="104"/>
      <c r="H167" s="99" t="s">
        <v>27</v>
      </c>
      <c r="I167" s="106">
        <v>750</v>
      </c>
      <c r="J167" s="106"/>
      <c r="K167" s="102" t="s">
        <v>22</v>
      </c>
      <c r="L167" s="103">
        <v>205503.62</v>
      </c>
    </row>
    <row r="168" spans="1:12" ht="51" x14ac:dyDescent="0.3">
      <c r="A168" s="97" t="s">
        <v>81</v>
      </c>
      <c r="B168" s="98" t="s">
        <v>432</v>
      </c>
      <c r="C168" s="98" t="s">
        <v>174</v>
      </c>
      <c r="D168" s="98" t="s">
        <v>430</v>
      </c>
      <c r="E168" s="99" t="s">
        <v>175</v>
      </c>
      <c r="F168" s="104" t="s">
        <v>29</v>
      </c>
      <c r="G168" s="104"/>
      <c r="H168" s="99" t="s">
        <v>27</v>
      </c>
      <c r="I168" s="105">
        <v>1655.15</v>
      </c>
      <c r="J168" s="105"/>
      <c r="K168" s="102" t="s">
        <v>22</v>
      </c>
      <c r="L168" s="103">
        <v>203848.47</v>
      </c>
    </row>
    <row r="169" spans="1:12" ht="51" x14ac:dyDescent="0.3">
      <c r="A169" s="97" t="s">
        <v>81</v>
      </c>
      <c r="B169" s="98" t="s">
        <v>432</v>
      </c>
      <c r="C169" s="98" t="s">
        <v>174</v>
      </c>
      <c r="D169" s="98" t="s">
        <v>433</v>
      </c>
      <c r="E169" s="99" t="s">
        <v>175</v>
      </c>
      <c r="F169" s="104" t="s">
        <v>29</v>
      </c>
      <c r="G169" s="104"/>
      <c r="H169" s="99" t="s">
        <v>27</v>
      </c>
      <c r="I169" s="106">
        <v>766.7</v>
      </c>
      <c r="J169" s="106"/>
      <c r="K169" s="102" t="s">
        <v>22</v>
      </c>
      <c r="L169" s="103">
        <v>203081.77</v>
      </c>
    </row>
    <row r="170" spans="1:12" ht="51" x14ac:dyDescent="0.3">
      <c r="A170" s="97" t="s">
        <v>81</v>
      </c>
      <c r="B170" s="98" t="s">
        <v>432</v>
      </c>
      <c r="C170" s="98" t="s">
        <v>174</v>
      </c>
      <c r="D170" s="98" t="s">
        <v>246</v>
      </c>
      <c r="E170" s="99" t="s">
        <v>175</v>
      </c>
      <c r="F170" s="104" t="s">
        <v>29</v>
      </c>
      <c r="G170" s="104"/>
      <c r="H170" s="99" t="s">
        <v>27</v>
      </c>
      <c r="I170" s="106">
        <v>60</v>
      </c>
      <c r="J170" s="106"/>
      <c r="K170" s="102" t="s">
        <v>22</v>
      </c>
      <c r="L170" s="103">
        <v>203021.77</v>
      </c>
    </row>
    <row r="171" spans="1:12" ht="51" x14ac:dyDescent="0.3">
      <c r="A171" s="97" t="s">
        <v>81</v>
      </c>
      <c r="B171" s="98" t="s">
        <v>432</v>
      </c>
      <c r="C171" s="98" t="s">
        <v>174</v>
      </c>
      <c r="D171" s="98" t="s">
        <v>434</v>
      </c>
      <c r="E171" s="99" t="s">
        <v>175</v>
      </c>
      <c r="F171" s="104" t="s">
        <v>29</v>
      </c>
      <c r="G171" s="104"/>
      <c r="H171" s="99" t="s">
        <v>27</v>
      </c>
      <c r="I171" s="106">
        <v>975</v>
      </c>
      <c r="J171" s="106"/>
      <c r="K171" s="102" t="s">
        <v>22</v>
      </c>
      <c r="L171" s="103">
        <v>202046.77</v>
      </c>
    </row>
    <row r="172" spans="1:12" ht="61.2" x14ac:dyDescent="0.3">
      <c r="A172" s="97" t="s">
        <v>160</v>
      </c>
      <c r="B172" s="98" t="s">
        <v>435</v>
      </c>
      <c r="C172" s="98" t="s">
        <v>174</v>
      </c>
      <c r="D172" s="98" t="s">
        <v>436</v>
      </c>
      <c r="E172" s="99" t="s">
        <v>175</v>
      </c>
      <c r="F172" s="104" t="s">
        <v>29</v>
      </c>
      <c r="G172" s="104"/>
      <c r="H172" s="99" t="s">
        <v>27</v>
      </c>
      <c r="I172" s="105">
        <v>2579.23</v>
      </c>
      <c r="J172" s="105"/>
      <c r="K172" s="102" t="s">
        <v>22</v>
      </c>
      <c r="L172" s="103">
        <v>199467.54</v>
      </c>
    </row>
    <row r="173" spans="1:12" ht="51" x14ac:dyDescent="0.3">
      <c r="A173" s="97" t="s">
        <v>160</v>
      </c>
      <c r="B173" s="98" t="s">
        <v>435</v>
      </c>
      <c r="C173" s="98" t="s">
        <v>174</v>
      </c>
      <c r="D173" s="98" t="s">
        <v>434</v>
      </c>
      <c r="E173" s="99" t="s">
        <v>175</v>
      </c>
      <c r="F173" s="104" t="s">
        <v>29</v>
      </c>
      <c r="G173" s="104"/>
      <c r="H173" s="99" t="s">
        <v>27</v>
      </c>
      <c r="I173" s="106">
        <v>975</v>
      </c>
      <c r="J173" s="106"/>
      <c r="K173" s="102" t="s">
        <v>22</v>
      </c>
      <c r="L173" s="103">
        <v>198492.54</v>
      </c>
    </row>
    <row r="174" spans="1:12" ht="51" x14ac:dyDescent="0.3">
      <c r="A174" s="97" t="s">
        <v>160</v>
      </c>
      <c r="B174" s="98" t="s">
        <v>437</v>
      </c>
      <c r="C174" s="98" t="s">
        <v>174</v>
      </c>
      <c r="D174" s="98" t="s">
        <v>438</v>
      </c>
      <c r="E174" s="99" t="s">
        <v>175</v>
      </c>
      <c r="F174" s="104" t="s">
        <v>29</v>
      </c>
      <c r="G174" s="104"/>
      <c r="H174" s="99" t="s">
        <v>27</v>
      </c>
      <c r="I174" s="105">
        <v>3082.48</v>
      </c>
      <c r="J174" s="105"/>
      <c r="K174" s="102" t="s">
        <v>22</v>
      </c>
      <c r="L174" s="103">
        <v>195410.06</v>
      </c>
    </row>
    <row r="175" spans="1:12" ht="51" x14ac:dyDescent="0.3">
      <c r="A175" s="97" t="s">
        <v>160</v>
      </c>
      <c r="B175" s="98" t="s">
        <v>437</v>
      </c>
      <c r="C175" s="98" t="s">
        <v>174</v>
      </c>
      <c r="D175" s="98" t="s">
        <v>439</v>
      </c>
      <c r="E175" s="99" t="s">
        <v>175</v>
      </c>
      <c r="F175" s="104" t="s">
        <v>29</v>
      </c>
      <c r="G175" s="104"/>
      <c r="H175" s="99" t="s">
        <v>27</v>
      </c>
      <c r="I175" s="105">
        <v>1518</v>
      </c>
      <c r="J175" s="105"/>
      <c r="K175" s="102" t="s">
        <v>22</v>
      </c>
      <c r="L175" s="103">
        <v>193892.06</v>
      </c>
    </row>
    <row r="176" spans="1:12" ht="61.2" hidden="1" x14ac:dyDescent="0.3">
      <c r="A176" s="97" t="s">
        <v>160</v>
      </c>
      <c r="B176" s="98" t="s">
        <v>440</v>
      </c>
      <c r="C176" s="98" t="s">
        <v>441</v>
      </c>
      <c r="D176" s="98" t="s">
        <v>442</v>
      </c>
      <c r="E176" s="99" t="s">
        <v>27</v>
      </c>
      <c r="F176" s="100">
        <v>2507.38</v>
      </c>
      <c r="G176" s="100"/>
      <c r="H176" s="99" t="s">
        <v>27</v>
      </c>
      <c r="I176" s="101" t="s">
        <v>29</v>
      </c>
      <c r="J176" s="101"/>
      <c r="K176" s="102" t="s">
        <v>22</v>
      </c>
      <c r="L176" s="103">
        <v>196399.44</v>
      </c>
    </row>
    <row r="177" spans="1:12" ht="61.2" hidden="1" x14ac:dyDescent="0.3">
      <c r="A177" s="97" t="s">
        <v>160</v>
      </c>
      <c r="B177" s="98" t="s">
        <v>440</v>
      </c>
      <c r="C177" s="98" t="s">
        <v>443</v>
      </c>
      <c r="D177" s="98" t="s">
        <v>444</v>
      </c>
      <c r="E177" s="99" t="s">
        <v>27</v>
      </c>
      <c r="F177" s="100">
        <v>93456</v>
      </c>
      <c r="G177" s="100"/>
      <c r="H177" s="99" t="s">
        <v>27</v>
      </c>
      <c r="I177" s="101" t="s">
        <v>29</v>
      </c>
      <c r="J177" s="101"/>
      <c r="K177" s="102" t="s">
        <v>22</v>
      </c>
      <c r="L177" s="103">
        <v>289855.44</v>
      </c>
    </row>
    <row r="178" spans="1:12" ht="61.2" hidden="1" x14ac:dyDescent="0.3">
      <c r="A178" s="97" t="s">
        <v>160</v>
      </c>
      <c r="B178" s="98" t="s">
        <v>440</v>
      </c>
      <c r="C178" s="98" t="s">
        <v>445</v>
      </c>
      <c r="D178" s="98" t="s">
        <v>446</v>
      </c>
      <c r="E178" s="99" t="s">
        <v>27</v>
      </c>
      <c r="F178" s="100">
        <v>80580</v>
      </c>
      <c r="G178" s="100"/>
      <c r="H178" s="99" t="s">
        <v>27</v>
      </c>
      <c r="I178" s="101" t="s">
        <v>29</v>
      </c>
      <c r="J178" s="101"/>
      <c r="K178" s="102" t="s">
        <v>22</v>
      </c>
      <c r="L178" s="103">
        <v>370435.44</v>
      </c>
    </row>
    <row r="179" spans="1:12" ht="71.400000000000006" hidden="1" x14ac:dyDescent="0.3">
      <c r="A179" s="97" t="s">
        <v>160</v>
      </c>
      <c r="B179" s="98" t="s">
        <v>440</v>
      </c>
      <c r="C179" s="98" t="s">
        <v>447</v>
      </c>
      <c r="D179" s="98" t="s">
        <v>448</v>
      </c>
      <c r="E179" s="99" t="s">
        <v>27</v>
      </c>
      <c r="F179" s="100">
        <v>36274.14</v>
      </c>
      <c r="G179" s="100"/>
      <c r="H179" s="99" t="s">
        <v>27</v>
      </c>
      <c r="I179" s="101" t="s">
        <v>29</v>
      </c>
      <c r="J179" s="101"/>
      <c r="K179" s="102" t="s">
        <v>22</v>
      </c>
      <c r="L179" s="103">
        <v>406709.58</v>
      </c>
    </row>
    <row r="180" spans="1:12" ht="61.2" hidden="1" x14ac:dyDescent="0.3">
      <c r="A180" s="97" t="s">
        <v>160</v>
      </c>
      <c r="B180" s="98" t="s">
        <v>449</v>
      </c>
      <c r="C180" s="98" t="s">
        <v>167</v>
      </c>
      <c r="D180" s="98" t="s">
        <v>69</v>
      </c>
      <c r="E180" s="99" t="s">
        <v>27</v>
      </c>
      <c r="F180" s="100">
        <v>93440</v>
      </c>
      <c r="G180" s="100"/>
      <c r="H180" s="99" t="s">
        <v>28</v>
      </c>
      <c r="I180" s="101" t="s">
        <v>29</v>
      </c>
      <c r="J180" s="101"/>
      <c r="K180" s="102" t="s">
        <v>22</v>
      </c>
      <c r="L180" s="103">
        <v>500149.58</v>
      </c>
    </row>
    <row r="181" spans="1:12" ht="61.2" hidden="1" x14ac:dyDescent="0.3">
      <c r="A181" s="97" t="s">
        <v>160</v>
      </c>
      <c r="B181" s="98" t="s">
        <v>450</v>
      </c>
      <c r="C181" s="98" t="s">
        <v>167</v>
      </c>
      <c r="D181" s="98" t="s">
        <v>69</v>
      </c>
      <c r="E181" s="99" t="s">
        <v>27</v>
      </c>
      <c r="F181" s="100">
        <v>33407</v>
      </c>
      <c r="G181" s="100"/>
      <c r="H181" s="99" t="s">
        <v>28</v>
      </c>
      <c r="I181" s="101" t="s">
        <v>29</v>
      </c>
      <c r="J181" s="101"/>
      <c r="K181" s="102" t="s">
        <v>22</v>
      </c>
      <c r="L181" s="103">
        <v>533556.57999999996</v>
      </c>
    </row>
    <row r="182" spans="1:12" ht="51" hidden="1" x14ac:dyDescent="0.3">
      <c r="A182" s="97" t="s">
        <v>160</v>
      </c>
      <c r="B182" s="98" t="s">
        <v>451</v>
      </c>
      <c r="C182" s="98" t="s">
        <v>452</v>
      </c>
      <c r="D182" s="98" t="s">
        <v>325</v>
      </c>
      <c r="E182" s="99" t="s">
        <v>27</v>
      </c>
      <c r="F182" s="104" t="s">
        <v>29</v>
      </c>
      <c r="G182" s="104"/>
      <c r="H182" s="99" t="s">
        <v>27</v>
      </c>
      <c r="I182" s="105">
        <v>2026.92</v>
      </c>
      <c r="J182" s="105"/>
      <c r="K182" s="102" t="s">
        <v>22</v>
      </c>
      <c r="L182" s="103">
        <v>531529.66</v>
      </c>
    </row>
    <row r="183" spans="1:12" ht="51" hidden="1" x14ac:dyDescent="0.3">
      <c r="A183" s="97" t="s">
        <v>160</v>
      </c>
      <c r="B183" s="98" t="s">
        <v>451</v>
      </c>
      <c r="C183" s="98" t="s">
        <v>453</v>
      </c>
      <c r="D183" s="98" t="s">
        <v>167</v>
      </c>
      <c r="E183" s="99" t="s">
        <v>27</v>
      </c>
      <c r="F183" s="104" t="s">
        <v>29</v>
      </c>
      <c r="G183" s="104"/>
      <c r="H183" s="99" t="s">
        <v>27</v>
      </c>
      <c r="I183" s="105">
        <v>81261.36</v>
      </c>
      <c r="J183" s="105"/>
      <c r="K183" s="102" t="s">
        <v>22</v>
      </c>
      <c r="L183" s="103">
        <v>450268.3</v>
      </c>
    </row>
    <row r="184" spans="1:12" ht="61.2" hidden="1" x14ac:dyDescent="0.3">
      <c r="A184" s="97" t="s">
        <v>160</v>
      </c>
      <c r="B184" s="98" t="s">
        <v>454</v>
      </c>
      <c r="C184" s="98" t="s">
        <v>455</v>
      </c>
      <c r="D184" s="98" t="s">
        <v>167</v>
      </c>
      <c r="E184" s="99" t="s">
        <v>27</v>
      </c>
      <c r="F184" s="104" t="s">
        <v>29</v>
      </c>
      <c r="G184" s="104"/>
      <c r="H184" s="99" t="s">
        <v>27</v>
      </c>
      <c r="I184" s="105">
        <v>43603.66</v>
      </c>
      <c r="J184" s="105"/>
      <c r="K184" s="102" t="s">
        <v>22</v>
      </c>
      <c r="L184" s="103">
        <v>406664.64</v>
      </c>
    </row>
    <row r="185" spans="1:12" ht="61.2" x14ac:dyDescent="0.3">
      <c r="A185" s="97" t="s">
        <v>85</v>
      </c>
      <c r="B185" s="98" t="s">
        <v>456</v>
      </c>
      <c r="C185" s="98" t="s">
        <v>174</v>
      </c>
      <c r="D185" s="98" t="s">
        <v>436</v>
      </c>
      <c r="E185" s="99" t="s">
        <v>175</v>
      </c>
      <c r="F185" s="104" t="s">
        <v>29</v>
      </c>
      <c r="G185" s="104"/>
      <c r="H185" s="99" t="s">
        <v>27</v>
      </c>
      <c r="I185" s="105">
        <v>2579.23</v>
      </c>
      <c r="J185" s="105"/>
      <c r="K185" s="102" t="s">
        <v>22</v>
      </c>
      <c r="L185" s="103">
        <v>404085.41</v>
      </c>
    </row>
    <row r="186" spans="1:12" ht="51" hidden="1" x14ac:dyDescent="0.3">
      <c r="A186" s="97" t="s">
        <v>85</v>
      </c>
      <c r="B186" s="98" t="s">
        <v>165</v>
      </c>
      <c r="C186" s="98" t="s">
        <v>166</v>
      </c>
      <c r="D186" s="98" t="s">
        <v>167</v>
      </c>
      <c r="E186" s="99" t="s">
        <v>27</v>
      </c>
      <c r="F186" s="104" t="s">
        <v>29</v>
      </c>
      <c r="G186" s="104"/>
      <c r="H186" s="99" t="s">
        <v>27</v>
      </c>
      <c r="I186" s="105">
        <v>1981.98</v>
      </c>
      <c r="J186" s="105"/>
      <c r="K186" s="102" t="s">
        <v>22</v>
      </c>
      <c r="L186" s="103">
        <v>402103.43</v>
      </c>
    </row>
    <row r="187" spans="1:12" ht="51" hidden="1" x14ac:dyDescent="0.3">
      <c r="A187" s="97" t="s">
        <v>85</v>
      </c>
      <c r="B187" s="98" t="s">
        <v>165</v>
      </c>
      <c r="C187" s="98" t="s">
        <v>140</v>
      </c>
      <c r="D187" s="98" t="s">
        <v>141</v>
      </c>
      <c r="E187" s="99" t="s">
        <v>27</v>
      </c>
      <c r="F187" s="104" t="s">
        <v>29</v>
      </c>
      <c r="G187" s="104"/>
      <c r="H187" s="99" t="s">
        <v>27</v>
      </c>
      <c r="I187" s="105">
        <v>11901.98</v>
      </c>
      <c r="J187" s="105"/>
      <c r="K187" s="102" t="s">
        <v>22</v>
      </c>
      <c r="L187" s="103">
        <v>390201.45</v>
      </c>
    </row>
    <row r="188" spans="1:12" ht="61.2" hidden="1" x14ac:dyDescent="0.3">
      <c r="A188" s="97" t="s">
        <v>85</v>
      </c>
      <c r="B188" s="98" t="s">
        <v>457</v>
      </c>
      <c r="C188" s="98" t="s">
        <v>458</v>
      </c>
      <c r="D188" s="98" t="s">
        <v>69</v>
      </c>
      <c r="E188" s="99" t="s">
        <v>27</v>
      </c>
      <c r="F188" s="100">
        <v>9483.75</v>
      </c>
      <c r="G188" s="100"/>
      <c r="H188" s="99" t="s">
        <v>28</v>
      </c>
      <c r="I188" s="101" t="s">
        <v>29</v>
      </c>
      <c r="J188" s="101"/>
      <c r="K188" s="102" t="s">
        <v>22</v>
      </c>
      <c r="L188" s="103">
        <v>399685.2</v>
      </c>
    </row>
    <row r="189" spans="1:12" ht="61.2" hidden="1" x14ac:dyDescent="0.3">
      <c r="A189" s="97" t="s">
        <v>85</v>
      </c>
      <c r="B189" s="98" t="s">
        <v>459</v>
      </c>
      <c r="C189" s="98" t="s">
        <v>458</v>
      </c>
      <c r="D189" s="98" t="s">
        <v>69</v>
      </c>
      <c r="E189" s="99" t="s">
        <v>27</v>
      </c>
      <c r="F189" s="100">
        <v>7370</v>
      </c>
      <c r="G189" s="100"/>
      <c r="H189" s="99" t="s">
        <v>28</v>
      </c>
      <c r="I189" s="101" t="s">
        <v>29</v>
      </c>
      <c r="J189" s="101"/>
      <c r="K189" s="102" t="s">
        <v>22</v>
      </c>
      <c r="L189" s="103">
        <v>407055.2</v>
      </c>
    </row>
    <row r="190" spans="1:12" ht="61.2" hidden="1" x14ac:dyDescent="0.3">
      <c r="A190" s="97" t="s">
        <v>85</v>
      </c>
      <c r="B190" s="98" t="s">
        <v>460</v>
      </c>
      <c r="C190" s="98" t="s">
        <v>461</v>
      </c>
      <c r="D190" s="98" t="s">
        <v>458</v>
      </c>
      <c r="E190" s="99" t="s">
        <v>27</v>
      </c>
      <c r="F190" s="104" t="s">
        <v>29</v>
      </c>
      <c r="G190" s="104"/>
      <c r="H190" s="99" t="s">
        <v>27</v>
      </c>
      <c r="I190" s="105">
        <v>14981.11</v>
      </c>
      <c r="J190" s="105"/>
      <c r="K190" s="102" t="s">
        <v>22</v>
      </c>
      <c r="L190" s="103">
        <v>392074.09</v>
      </c>
    </row>
    <row r="191" spans="1:12" ht="61.2" hidden="1" x14ac:dyDescent="0.3">
      <c r="A191" s="97" t="s">
        <v>85</v>
      </c>
      <c r="B191" s="98" t="s">
        <v>462</v>
      </c>
      <c r="C191" s="98" t="s">
        <v>463</v>
      </c>
      <c r="D191" s="98" t="s">
        <v>458</v>
      </c>
      <c r="E191" s="99" t="s">
        <v>27</v>
      </c>
      <c r="F191" s="104" t="s">
        <v>29</v>
      </c>
      <c r="G191" s="104"/>
      <c r="H191" s="99" t="s">
        <v>27</v>
      </c>
      <c r="I191" s="105">
        <v>1872.64</v>
      </c>
      <c r="J191" s="105"/>
      <c r="K191" s="102" t="s">
        <v>22</v>
      </c>
      <c r="L191" s="103">
        <v>390201.45</v>
      </c>
    </row>
    <row r="192" spans="1:12" ht="51" x14ac:dyDescent="0.3">
      <c r="A192" s="97" t="s">
        <v>85</v>
      </c>
      <c r="B192" s="98" t="s">
        <v>464</v>
      </c>
      <c r="C192" s="98" t="s">
        <v>174</v>
      </c>
      <c r="D192" s="98" t="s">
        <v>248</v>
      </c>
      <c r="E192" s="99" t="s">
        <v>175</v>
      </c>
      <c r="F192" s="104" t="s">
        <v>29</v>
      </c>
      <c r="G192" s="104"/>
      <c r="H192" s="99" t="s">
        <v>27</v>
      </c>
      <c r="I192" s="106">
        <v>378</v>
      </c>
      <c r="J192" s="106"/>
      <c r="K192" s="102" t="s">
        <v>22</v>
      </c>
      <c r="L192" s="103">
        <v>389823.45</v>
      </c>
    </row>
    <row r="193" spans="1:12" ht="51" x14ac:dyDescent="0.3">
      <c r="A193" s="97" t="s">
        <v>85</v>
      </c>
      <c r="B193" s="98" t="s">
        <v>464</v>
      </c>
      <c r="C193" s="98" t="s">
        <v>174</v>
      </c>
      <c r="D193" s="98" t="s">
        <v>322</v>
      </c>
      <c r="E193" s="99" t="s">
        <v>175</v>
      </c>
      <c r="F193" s="104" t="s">
        <v>29</v>
      </c>
      <c r="G193" s="104"/>
      <c r="H193" s="99" t="s">
        <v>27</v>
      </c>
      <c r="I193" s="106">
        <v>194</v>
      </c>
      <c r="J193" s="106"/>
      <c r="K193" s="102" t="s">
        <v>22</v>
      </c>
      <c r="L193" s="103">
        <v>389629.45</v>
      </c>
    </row>
    <row r="194" spans="1:12" ht="51" x14ac:dyDescent="0.3">
      <c r="A194" s="97" t="s">
        <v>85</v>
      </c>
      <c r="B194" s="98" t="s">
        <v>464</v>
      </c>
      <c r="C194" s="98" t="s">
        <v>174</v>
      </c>
      <c r="D194" s="98" t="s">
        <v>465</v>
      </c>
      <c r="E194" s="99" t="s">
        <v>175</v>
      </c>
      <c r="F194" s="104" t="s">
        <v>29</v>
      </c>
      <c r="G194" s="104"/>
      <c r="H194" s="99" t="s">
        <v>27</v>
      </c>
      <c r="I194" s="106">
        <v>96.3</v>
      </c>
      <c r="J194" s="106"/>
      <c r="K194" s="102" t="s">
        <v>22</v>
      </c>
      <c r="L194" s="103">
        <v>389533.15</v>
      </c>
    </row>
    <row r="195" spans="1:12" ht="51" x14ac:dyDescent="0.3">
      <c r="A195" s="97" t="s">
        <v>85</v>
      </c>
      <c r="B195" s="98" t="s">
        <v>464</v>
      </c>
      <c r="C195" s="98" t="s">
        <v>174</v>
      </c>
      <c r="D195" s="98" t="s">
        <v>72</v>
      </c>
      <c r="E195" s="99" t="s">
        <v>175</v>
      </c>
      <c r="F195" s="104" t="s">
        <v>29</v>
      </c>
      <c r="G195" s="104"/>
      <c r="H195" s="99" t="s">
        <v>27</v>
      </c>
      <c r="I195" s="106">
        <v>198.1</v>
      </c>
      <c r="J195" s="106"/>
      <c r="K195" s="102" t="s">
        <v>22</v>
      </c>
      <c r="L195" s="103">
        <v>389335.05</v>
      </c>
    </row>
    <row r="196" spans="1:12" ht="51" x14ac:dyDescent="0.3">
      <c r="A196" s="97" t="s">
        <v>85</v>
      </c>
      <c r="B196" s="98" t="s">
        <v>464</v>
      </c>
      <c r="C196" s="98" t="s">
        <v>174</v>
      </c>
      <c r="D196" s="98" t="s">
        <v>466</v>
      </c>
      <c r="E196" s="99" t="s">
        <v>175</v>
      </c>
      <c r="F196" s="104" t="s">
        <v>29</v>
      </c>
      <c r="G196" s="104"/>
      <c r="H196" s="99" t="s">
        <v>27</v>
      </c>
      <c r="I196" s="106">
        <v>198.1</v>
      </c>
      <c r="J196" s="106"/>
      <c r="K196" s="102" t="s">
        <v>22</v>
      </c>
      <c r="L196" s="103">
        <v>389136.95</v>
      </c>
    </row>
    <row r="197" spans="1:12" ht="51" x14ac:dyDescent="0.3">
      <c r="A197" s="97" t="s">
        <v>85</v>
      </c>
      <c r="B197" s="98" t="s">
        <v>464</v>
      </c>
      <c r="C197" s="98" t="s">
        <v>174</v>
      </c>
      <c r="D197" s="98" t="s">
        <v>371</v>
      </c>
      <c r="E197" s="99" t="s">
        <v>175</v>
      </c>
      <c r="F197" s="104" t="s">
        <v>29</v>
      </c>
      <c r="G197" s="104"/>
      <c r="H197" s="99" t="s">
        <v>27</v>
      </c>
      <c r="I197" s="106">
        <v>594.29999999999995</v>
      </c>
      <c r="J197" s="106"/>
      <c r="K197" s="102" t="s">
        <v>22</v>
      </c>
      <c r="L197" s="103">
        <v>388542.65</v>
      </c>
    </row>
    <row r="198" spans="1:12" ht="51" x14ac:dyDescent="0.3">
      <c r="A198" s="97" t="s">
        <v>85</v>
      </c>
      <c r="B198" s="98" t="s">
        <v>464</v>
      </c>
      <c r="C198" s="98" t="s">
        <v>174</v>
      </c>
      <c r="D198" s="98" t="s">
        <v>373</v>
      </c>
      <c r="E198" s="99" t="s">
        <v>175</v>
      </c>
      <c r="F198" s="104" t="s">
        <v>29</v>
      </c>
      <c r="G198" s="104"/>
      <c r="H198" s="99" t="s">
        <v>27</v>
      </c>
      <c r="I198" s="106">
        <v>365</v>
      </c>
      <c r="J198" s="106"/>
      <c r="K198" s="102" t="s">
        <v>22</v>
      </c>
      <c r="L198" s="103">
        <v>388177.65</v>
      </c>
    </row>
    <row r="199" spans="1:12" ht="51" x14ac:dyDescent="0.3">
      <c r="A199" s="97" t="s">
        <v>85</v>
      </c>
      <c r="B199" s="98" t="s">
        <v>464</v>
      </c>
      <c r="C199" s="98" t="s">
        <v>174</v>
      </c>
      <c r="D199" s="98" t="s">
        <v>467</v>
      </c>
      <c r="E199" s="99" t="s">
        <v>175</v>
      </c>
      <c r="F199" s="104" t="s">
        <v>29</v>
      </c>
      <c r="G199" s="104"/>
      <c r="H199" s="99" t="s">
        <v>27</v>
      </c>
      <c r="I199" s="106">
        <v>633.82000000000005</v>
      </c>
      <c r="J199" s="106"/>
      <c r="K199" s="102" t="s">
        <v>22</v>
      </c>
      <c r="L199" s="103">
        <v>387543.83</v>
      </c>
    </row>
    <row r="200" spans="1:12" ht="61.2" hidden="1" x14ac:dyDescent="0.3">
      <c r="A200" s="97" t="s">
        <v>468</v>
      </c>
      <c r="B200" s="98" t="s">
        <v>469</v>
      </c>
      <c r="C200" s="98" t="s">
        <v>470</v>
      </c>
      <c r="D200" s="98" t="s">
        <v>69</v>
      </c>
      <c r="E200" s="99" t="s">
        <v>27</v>
      </c>
      <c r="F200" s="100">
        <v>64240</v>
      </c>
      <c r="G200" s="100"/>
      <c r="H200" s="99" t="s">
        <v>28</v>
      </c>
      <c r="I200" s="101" t="s">
        <v>29</v>
      </c>
      <c r="J200" s="101"/>
      <c r="K200" s="102" t="s">
        <v>22</v>
      </c>
      <c r="L200" s="103">
        <v>451783.83</v>
      </c>
    </row>
    <row r="201" spans="1:12" ht="61.2" hidden="1" x14ac:dyDescent="0.3">
      <c r="A201" s="97" t="s">
        <v>468</v>
      </c>
      <c r="B201" s="98" t="s">
        <v>471</v>
      </c>
      <c r="C201" s="98" t="s">
        <v>470</v>
      </c>
      <c r="D201" s="98" t="s">
        <v>69</v>
      </c>
      <c r="E201" s="99" t="s">
        <v>27</v>
      </c>
      <c r="F201" s="100">
        <v>25255.5</v>
      </c>
      <c r="G201" s="100"/>
      <c r="H201" s="99" t="s">
        <v>28</v>
      </c>
      <c r="I201" s="101" t="s">
        <v>29</v>
      </c>
      <c r="J201" s="101"/>
      <c r="K201" s="102" t="s">
        <v>22</v>
      </c>
      <c r="L201" s="103">
        <v>477039.33</v>
      </c>
    </row>
    <row r="202" spans="1:12" ht="61.2" hidden="1" x14ac:dyDescent="0.3">
      <c r="A202" s="97" t="s">
        <v>468</v>
      </c>
      <c r="B202" s="98" t="s">
        <v>472</v>
      </c>
      <c r="C202" s="98" t="s">
        <v>473</v>
      </c>
      <c r="D202" s="98" t="s">
        <v>470</v>
      </c>
      <c r="E202" s="99" t="s">
        <v>27</v>
      </c>
      <c r="F202" s="104" t="s">
        <v>29</v>
      </c>
      <c r="G202" s="104"/>
      <c r="H202" s="99" t="s">
        <v>27</v>
      </c>
      <c r="I202" s="105">
        <v>50849.72</v>
      </c>
      <c r="J202" s="105"/>
      <c r="K202" s="102" t="s">
        <v>22</v>
      </c>
      <c r="L202" s="103">
        <v>426189.61</v>
      </c>
    </row>
    <row r="203" spans="1:12" ht="61.2" hidden="1" x14ac:dyDescent="0.3">
      <c r="A203" s="97" t="s">
        <v>468</v>
      </c>
      <c r="B203" s="98" t="s">
        <v>474</v>
      </c>
      <c r="C203" s="98" t="s">
        <v>475</v>
      </c>
      <c r="D203" s="98" t="s">
        <v>470</v>
      </c>
      <c r="E203" s="99" t="s">
        <v>27</v>
      </c>
      <c r="F203" s="104" t="s">
        <v>29</v>
      </c>
      <c r="G203" s="104"/>
      <c r="H203" s="99" t="s">
        <v>27</v>
      </c>
      <c r="I203" s="105">
        <v>38645.78</v>
      </c>
      <c r="J203" s="105"/>
      <c r="K203" s="102" t="s">
        <v>22</v>
      </c>
      <c r="L203" s="103">
        <v>387543.83</v>
      </c>
    </row>
    <row r="204" spans="1:12" hidden="1" x14ac:dyDescent="0.3">
      <c r="A204" s="108" t="s">
        <v>102</v>
      </c>
      <c r="B204" s="108"/>
      <c r="C204" s="108"/>
      <c r="D204" s="108"/>
      <c r="E204" s="109">
        <v>2235494.46</v>
      </c>
      <c r="F204" s="109"/>
      <c r="G204" s="109"/>
      <c r="H204" s="109">
        <v>2080358.31</v>
      </c>
      <c r="I204" s="109"/>
      <c r="J204" s="109"/>
      <c r="K204" s="110" t="s">
        <v>22</v>
      </c>
      <c r="L204" s="111">
        <v>387543.83</v>
      </c>
    </row>
    <row r="206" spans="1:12" x14ac:dyDescent="0.3">
      <c r="J206">
        <f>SUBTOTAL(9,I94:J199)</f>
        <v>22420.059999999994</v>
      </c>
    </row>
  </sheetData>
  <autoFilter ref="B1:D204">
    <filterColumn colId="0">
      <filters>
        <filter val="Списання товарів ІБ00-000136 від 18.03.2025 14:37:14_x000a_Списаны ТМЦ"/>
        <filter val="Списання товарів ІБ00-000137 від 18.03.2025 15:00:48_x000a_Списаны ТМЦ"/>
        <filter val="Списання товарів ІБ00-000151 від 26.03.2025 14:06:48_x000a_Списаны ТМЦ"/>
        <filter val="Списання товарів ІБ00-000152 від 26.03.2025 14:28:36_x000a_Списаны ТМЦ"/>
        <filter val="Списання товарів ІБ00-000153 від 26.03.2025 14:57:11_x000a_Списаны ТМЦ"/>
        <filter val="Списання товарів ІБ00-000155 від 26.03.2025 15:16:34_x000a_Списаны ТМЦ"/>
        <filter val="Списання товарів ІБ00-000157 від 27.03.2025 14:04:49_x000a_Списаны ТМЦ"/>
        <filter val="Списання товарів ІБ00-000158 від 27.03.2025 14:16:37_x000a_Списаны ТМЦ"/>
        <filter val="Списання товарів ІБ00-000160 від 28.03.2025 08:52:24_x000a_Списаны ТМЦ"/>
        <filter val="Списання товарів ІБ00-000167 від 28.03.2025 20:00:01_x000a_Списаны ТМЦ"/>
      </filters>
    </filterColumn>
  </autoFilter>
  <mergeCells count="414">
    <mergeCell ref="F202:G202"/>
    <mergeCell ref="I202:J202"/>
    <mergeCell ref="F203:G203"/>
    <mergeCell ref="I203:J203"/>
    <mergeCell ref="A204:D204"/>
    <mergeCell ref="E204:G204"/>
    <mergeCell ref="H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164"/>
  <sheetViews>
    <sheetView topLeftCell="A155" workbookViewId="0">
      <selection activeCell="J164" sqref="J164"/>
    </sheetView>
  </sheetViews>
  <sheetFormatPr defaultRowHeight="14.4" x14ac:dyDescent="0.3"/>
  <cols>
    <col min="2" max="4" width="23.33203125" customWidth="1"/>
  </cols>
  <sheetData>
    <row r="1" spans="1:12" x14ac:dyDescent="0.3">
      <c r="A1" s="112" t="s">
        <v>13</v>
      </c>
      <c r="B1" s="113" t="s">
        <v>14</v>
      </c>
      <c r="C1" s="113" t="s">
        <v>15</v>
      </c>
      <c r="D1" s="114" t="s">
        <v>16</v>
      </c>
      <c r="E1" s="115" t="s">
        <v>17</v>
      </c>
      <c r="F1" s="115"/>
      <c r="G1" s="115"/>
      <c r="H1" s="116" t="s">
        <v>18</v>
      </c>
      <c r="I1" s="116"/>
      <c r="J1" s="116"/>
      <c r="K1" s="113" t="s">
        <v>19</v>
      </c>
      <c r="L1" s="113"/>
    </row>
    <row r="2" spans="1:12" hidden="1" x14ac:dyDescent="0.3">
      <c r="A2" s="117"/>
      <c r="B2" s="118"/>
      <c r="C2" s="118"/>
      <c r="D2" s="119"/>
      <c r="E2" s="120" t="s">
        <v>20</v>
      </c>
      <c r="F2" s="121"/>
      <c r="G2" s="121"/>
      <c r="H2" s="122" t="s">
        <v>20</v>
      </c>
      <c r="I2" s="123"/>
      <c r="J2" s="123"/>
      <c r="K2" s="117"/>
      <c r="L2" s="124"/>
    </row>
    <row r="3" spans="1:12" ht="61.2" hidden="1" x14ac:dyDescent="0.3">
      <c r="A3" s="125" t="s">
        <v>184</v>
      </c>
      <c r="B3" s="126" t="s">
        <v>222</v>
      </c>
      <c r="C3" s="126" t="s">
        <v>223</v>
      </c>
      <c r="D3" s="126" t="s">
        <v>212</v>
      </c>
      <c r="E3" s="127" t="s">
        <v>27</v>
      </c>
      <c r="F3" s="128">
        <v>7389.33</v>
      </c>
      <c r="G3" s="128"/>
      <c r="H3" s="127" t="s">
        <v>27</v>
      </c>
      <c r="I3" s="129" t="s">
        <v>29</v>
      </c>
      <c r="J3" s="129"/>
      <c r="K3" s="130" t="s">
        <v>22</v>
      </c>
      <c r="L3" s="131">
        <v>444674.87</v>
      </c>
    </row>
    <row r="4" spans="1:12" ht="61.2" hidden="1" x14ac:dyDescent="0.3">
      <c r="A4" s="125" t="s">
        <v>184</v>
      </c>
      <c r="B4" s="126" t="s">
        <v>476</v>
      </c>
      <c r="C4" s="126" t="s">
        <v>477</v>
      </c>
      <c r="D4" s="126" t="s">
        <v>478</v>
      </c>
      <c r="E4" s="127" t="s">
        <v>27</v>
      </c>
      <c r="F4" s="128">
        <v>12373.97</v>
      </c>
      <c r="G4" s="128"/>
      <c r="H4" s="127" t="s">
        <v>28</v>
      </c>
      <c r="I4" s="129" t="s">
        <v>29</v>
      </c>
      <c r="J4" s="129"/>
      <c r="K4" s="130" t="s">
        <v>22</v>
      </c>
      <c r="L4" s="131">
        <v>457048.84</v>
      </c>
    </row>
    <row r="5" spans="1:12" ht="71.400000000000006" hidden="1" x14ac:dyDescent="0.3">
      <c r="A5" s="125" t="s">
        <v>184</v>
      </c>
      <c r="B5" s="126" t="s">
        <v>476</v>
      </c>
      <c r="C5" s="126" t="s">
        <v>479</v>
      </c>
      <c r="D5" s="126" t="s">
        <v>478</v>
      </c>
      <c r="E5" s="127" t="s">
        <v>27</v>
      </c>
      <c r="F5" s="132">
        <v>576.02</v>
      </c>
      <c r="G5" s="132"/>
      <c r="H5" s="127" t="s">
        <v>28</v>
      </c>
      <c r="I5" s="129" t="s">
        <v>29</v>
      </c>
      <c r="J5" s="129"/>
      <c r="K5" s="130" t="s">
        <v>22</v>
      </c>
      <c r="L5" s="131">
        <v>457624.86</v>
      </c>
    </row>
    <row r="6" spans="1:12" ht="61.2" hidden="1" x14ac:dyDescent="0.3">
      <c r="A6" s="125" t="s">
        <v>184</v>
      </c>
      <c r="B6" s="126" t="s">
        <v>476</v>
      </c>
      <c r="C6" s="126" t="s">
        <v>480</v>
      </c>
      <c r="D6" s="126" t="s">
        <v>478</v>
      </c>
      <c r="E6" s="127" t="s">
        <v>27</v>
      </c>
      <c r="F6" s="128">
        <v>6927.17</v>
      </c>
      <c r="G6" s="128"/>
      <c r="H6" s="127" t="s">
        <v>28</v>
      </c>
      <c r="I6" s="129" t="s">
        <v>29</v>
      </c>
      <c r="J6" s="129"/>
      <c r="K6" s="130" t="s">
        <v>22</v>
      </c>
      <c r="L6" s="131">
        <v>464552.03</v>
      </c>
    </row>
    <row r="7" spans="1:12" ht="71.400000000000006" hidden="1" x14ac:dyDescent="0.3">
      <c r="A7" s="125" t="s">
        <v>184</v>
      </c>
      <c r="B7" s="126" t="s">
        <v>476</v>
      </c>
      <c r="C7" s="126" t="s">
        <v>481</v>
      </c>
      <c r="D7" s="126" t="s">
        <v>478</v>
      </c>
      <c r="E7" s="127" t="s">
        <v>27</v>
      </c>
      <c r="F7" s="128">
        <v>18497.900000000001</v>
      </c>
      <c r="G7" s="128"/>
      <c r="H7" s="127" t="s">
        <v>28</v>
      </c>
      <c r="I7" s="129" t="s">
        <v>29</v>
      </c>
      <c r="J7" s="129"/>
      <c r="K7" s="130" t="s">
        <v>22</v>
      </c>
      <c r="L7" s="131">
        <v>483049.93</v>
      </c>
    </row>
    <row r="8" spans="1:12" ht="61.2" hidden="1" x14ac:dyDescent="0.3">
      <c r="A8" s="125" t="s">
        <v>184</v>
      </c>
      <c r="B8" s="126" t="s">
        <v>476</v>
      </c>
      <c r="C8" s="126" t="s">
        <v>482</v>
      </c>
      <c r="D8" s="126" t="s">
        <v>478</v>
      </c>
      <c r="E8" s="127" t="s">
        <v>27</v>
      </c>
      <c r="F8" s="128">
        <v>4325.2299999999996</v>
      </c>
      <c r="G8" s="128"/>
      <c r="H8" s="127" t="s">
        <v>28</v>
      </c>
      <c r="I8" s="129" t="s">
        <v>29</v>
      </c>
      <c r="J8" s="129"/>
      <c r="K8" s="130" t="s">
        <v>22</v>
      </c>
      <c r="L8" s="131">
        <v>487375.16</v>
      </c>
    </row>
    <row r="9" spans="1:12" ht="71.400000000000006" hidden="1" x14ac:dyDescent="0.3">
      <c r="A9" s="125" t="s">
        <v>184</v>
      </c>
      <c r="B9" s="126" t="s">
        <v>476</v>
      </c>
      <c r="C9" s="126" t="s">
        <v>483</v>
      </c>
      <c r="D9" s="126" t="s">
        <v>478</v>
      </c>
      <c r="E9" s="127" t="s">
        <v>27</v>
      </c>
      <c r="F9" s="132">
        <v>680.46</v>
      </c>
      <c r="G9" s="132"/>
      <c r="H9" s="127" t="s">
        <v>28</v>
      </c>
      <c r="I9" s="129" t="s">
        <v>29</v>
      </c>
      <c r="J9" s="129"/>
      <c r="K9" s="130" t="s">
        <v>22</v>
      </c>
      <c r="L9" s="131">
        <v>488055.62</v>
      </c>
    </row>
    <row r="10" spans="1:12" ht="61.2" hidden="1" x14ac:dyDescent="0.3">
      <c r="A10" s="125" t="s">
        <v>184</v>
      </c>
      <c r="B10" s="126" t="s">
        <v>476</v>
      </c>
      <c r="C10" s="126" t="s">
        <v>484</v>
      </c>
      <c r="D10" s="126" t="s">
        <v>478</v>
      </c>
      <c r="E10" s="127" t="s">
        <v>27</v>
      </c>
      <c r="F10" s="128">
        <v>2425</v>
      </c>
      <c r="G10" s="128"/>
      <c r="H10" s="127" t="s">
        <v>28</v>
      </c>
      <c r="I10" s="129" t="s">
        <v>29</v>
      </c>
      <c r="J10" s="129"/>
      <c r="K10" s="130" t="s">
        <v>22</v>
      </c>
      <c r="L10" s="131">
        <v>490480.62</v>
      </c>
    </row>
    <row r="11" spans="1:12" ht="61.2" x14ac:dyDescent="0.3">
      <c r="A11" s="125" t="s">
        <v>184</v>
      </c>
      <c r="B11" s="126" t="s">
        <v>485</v>
      </c>
      <c r="C11" s="126" t="s">
        <v>477</v>
      </c>
      <c r="D11" s="126" t="s">
        <v>478</v>
      </c>
      <c r="E11" s="127" t="s">
        <v>27</v>
      </c>
      <c r="F11" s="128">
        <v>3803.84</v>
      </c>
      <c r="G11" s="128"/>
      <c r="H11" s="127" t="s">
        <v>28</v>
      </c>
      <c r="I11" s="129" t="s">
        <v>29</v>
      </c>
      <c r="J11" s="129"/>
      <c r="K11" s="130" t="s">
        <v>22</v>
      </c>
      <c r="L11" s="131">
        <v>494284.46</v>
      </c>
    </row>
    <row r="12" spans="1:12" ht="71.400000000000006" x14ac:dyDescent="0.3">
      <c r="A12" s="125" t="s">
        <v>184</v>
      </c>
      <c r="B12" s="126" t="s">
        <v>485</v>
      </c>
      <c r="C12" s="126" t="s">
        <v>479</v>
      </c>
      <c r="D12" s="126" t="s">
        <v>478</v>
      </c>
      <c r="E12" s="127" t="s">
        <v>27</v>
      </c>
      <c r="F12" s="132">
        <v>177.07</v>
      </c>
      <c r="G12" s="132"/>
      <c r="H12" s="127" t="s">
        <v>28</v>
      </c>
      <c r="I12" s="129" t="s">
        <v>29</v>
      </c>
      <c r="J12" s="129"/>
      <c r="K12" s="130" t="s">
        <v>22</v>
      </c>
      <c r="L12" s="131">
        <v>494461.53</v>
      </c>
    </row>
    <row r="13" spans="1:12" ht="61.2" x14ac:dyDescent="0.3">
      <c r="A13" s="125" t="s">
        <v>184</v>
      </c>
      <c r="B13" s="126" t="s">
        <v>485</v>
      </c>
      <c r="C13" s="126" t="s">
        <v>480</v>
      </c>
      <c r="D13" s="126" t="s">
        <v>478</v>
      </c>
      <c r="E13" s="127" t="s">
        <v>27</v>
      </c>
      <c r="F13" s="128">
        <v>2129.46</v>
      </c>
      <c r="G13" s="128"/>
      <c r="H13" s="127" t="s">
        <v>28</v>
      </c>
      <c r="I13" s="129" t="s">
        <v>29</v>
      </c>
      <c r="J13" s="129"/>
      <c r="K13" s="130" t="s">
        <v>22</v>
      </c>
      <c r="L13" s="131">
        <v>496590.99</v>
      </c>
    </row>
    <row r="14" spans="1:12" ht="71.400000000000006" x14ac:dyDescent="0.3">
      <c r="A14" s="125" t="s">
        <v>184</v>
      </c>
      <c r="B14" s="126" t="s">
        <v>485</v>
      </c>
      <c r="C14" s="126" t="s">
        <v>481</v>
      </c>
      <c r="D14" s="126" t="s">
        <v>478</v>
      </c>
      <c r="E14" s="127" t="s">
        <v>27</v>
      </c>
      <c r="F14" s="128">
        <v>5686.38</v>
      </c>
      <c r="G14" s="128"/>
      <c r="H14" s="127" t="s">
        <v>28</v>
      </c>
      <c r="I14" s="129" t="s">
        <v>29</v>
      </c>
      <c r="J14" s="129"/>
      <c r="K14" s="130" t="s">
        <v>22</v>
      </c>
      <c r="L14" s="131">
        <v>502277.37</v>
      </c>
    </row>
    <row r="15" spans="1:12" ht="61.2" x14ac:dyDescent="0.3">
      <c r="A15" s="125" t="s">
        <v>184</v>
      </c>
      <c r="B15" s="126" t="s">
        <v>485</v>
      </c>
      <c r="C15" s="126" t="s">
        <v>482</v>
      </c>
      <c r="D15" s="126" t="s">
        <v>478</v>
      </c>
      <c r="E15" s="127" t="s">
        <v>27</v>
      </c>
      <c r="F15" s="128">
        <v>1329.61</v>
      </c>
      <c r="G15" s="128"/>
      <c r="H15" s="127" t="s">
        <v>28</v>
      </c>
      <c r="I15" s="129" t="s">
        <v>29</v>
      </c>
      <c r="J15" s="129"/>
      <c r="K15" s="130" t="s">
        <v>22</v>
      </c>
      <c r="L15" s="131">
        <v>503606.98</v>
      </c>
    </row>
    <row r="16" spans="1:12" ht="71.400000000000006" x14ac:dyDescent="0.3">
      <c r="A16" s="125" t="s">
        <v>184</v>
      </c>
      <c r="B16" s="126" t="s">
        <v>485</v>
      </c>
      <c r="C16" s="126" t="s">
        <v>483</v>
      </c>
      <c r="D16" s="126" t="s">
        <v>478</v>
      </c>
      <c r="E16" s="127" t="s">
        <v>27</v>
      </c>
      <c r="F16" s="132">
        <v>209.18</v>
      </c>
      <c r="G16" s="132"/>
      <c r="H16" s="127" t="s">
        <v>28</v>
      </c>
      <c r="I16" s="129" t="s">
        <v>29</v>
      </c>
      <c r="J16" s="129"/>
      <c r="K16" s="130" t="s">
        <v>22</v>
      </c>
      <c r="L16" s="131">
        <v>503816.16</v>
      </c>
    </row>
    <row r="17" spans="1:12" ht="61.2" x14ac:dyDescent="0.3">
      <c r="A17" s="125" t="s">
        <v>184</v>
      </c>
      <c r="B17" s="126" t="s">
        <v>485</v>
      </c>
      <c r="C17" s="126" t="s">
        <v>484</v>
      </c>
      <c r="D17" s="126" t="s">
        <v>478</v>
      </c>
      <c r="E17" s="127" t="s">
        <v>27</v>
      </c>
      <c r="F17" s="132">
        <v>745.46</v>
      </c>
      <c r="G17" s="132"/>
      <c r="H17" s="127" t="s">
        <v>28</v>
      </c>
      <c r="I17" s="129" t="s">
        <v>29</v>
      </c>
      <c r="J17" s="129"/>
      <c r="K17" s="130" t="s">
        <v>22</v>
      </c>
      <c r="L17" s="131">
        <v>504561.62</v>
      </c>
    </row>
    <row r="18" spans="1:12" ht="61.2" hidden="1" x14ac:dyDescent="0.3">
      <c r="A18" s="125" t="s">
        <v>184</v>
      </c>
      <c r="B18" s="126" t="s">
        <v>486</v>
      </c>
      <c r="C18" s="126" t="s">
        <v>487</v>
      </c>
      <c r="D18" s="126" t="s">
        <v>488</v>
      </c>
      <c r="E18" s="127" t="s">
        <v>27</v>
      </c>
      <c r="F18" s="128">
        <v>7760.62</v>
      </c>
      <c r="G18" s="128"/>
      <c r="H18" s="127" t="s">
        <v>28</v>
      </c>
      <c r="I18" s="129" t="s">
        <v>29</v>
      </c>
      <c r="J18" s="129"/>
      <c r="K18" s="130" t="s">
        <v>22</v>
      </c>
      <c r="L18" s="131">
        <v>512322.24</v>
      </c>
    </row>
    <row r="19" spans="1:12" ht="71.400000000000006" hidden="1" x14ac:dyDescent="0.3">
      <c r="A19" s="125" t="s">
        <v>184</v>
      </c>
      <c r="B19" s="126" t="s">
        <v>489</v>
      </c>
      <c r="C19" s="126" t="s">
        <v>490</v>
      </c>
      <c r="D19" s="126" t="s">
        <v>491</v>
      </c>
      <c r="E19" s="127" t="s">
        <v>27</v>
      </c>
      <c r="F19" s="128">
        <v>83958.33</v>
      </c>
      <c r="G19" s="128"/>
      <c r="H19" s="127" t="s">
        <v>27</v>
      </c>
      <c r="I19" s="129" t="s">
        <v>29</v>
      </c>
      <c r="J19" s="129"/>
      <c r="K19" s="130" t="s">
        <v>22</v>
      </c>
      <c r="L19" s="131">
        <v>596280.56999999995</v>
      </c>
    </row>
    <row r="20" spans="1:12" ht="71.400000000000006" hidden="1" x14ac:dyDescent="0.3">
      <c r="A20" s="125" t="s">
        <v>184</v>
      </c>
      <c r="B20" s="126" t="s">
        <v>492</v>
      </c>
      <c r="C20" s="126" t="s">
        <v>493</v>
      </c>
      <c r="D20" s="126" t="s">
        <v>494</v>
      </c>
      <c r="E20" s="127" t="s">
        <v>27</v>
      </c>
      <c r="F20" s="128">
        <v>4775.18</v>
      </c>
      <c r="G20" s="128"/>
      <c r="H20" s="127" t="s">
        <v>28</v>
      </c>
      <c r="I20" s="129" t="s">
        <v>29</v>
      </c>
      <c r="J20" s="129"/>
      <c r="K20" s="130" t="s">
        <v>22</v>
      </c>
      <c r="L20" s="131">
        <v>601055.75</v>
      </c>
    </row>
    <row r="21" spans="1:12" ht="71.400000000000006" hidden="1" x14ac:dyDescent="0.3">
      <c r="A21" s="125" t="s">
        <v>184</v>
      </c>
      <c r="B21" s="126" t="s">
        <v>492</v>
      </c>
      <c r="C21" s="126" t="s">
        <v>495</v>
      </c>
      <c r="D21" s="126" t="s">
        <v>494</v>
      </c>
      <c r="E21" s="127" t="s">
        <v>27</v>
      </c>
      <c r="F21" s="132">
        <v>205.07</v>
      </c>
      <c r="G21" s="132"/>
      <c r="H21" s="127" t="s">
        <v>28</v>
      </c>
      <c r="I21" s="129" t="s">
        <v>29</v>
      </c>
      <c r="J21" s="129"/>
      <c r="K21" s="130" t="s">
        <v>22</v>
      </c>
      <c r="L21" s="131">
        <v>601260.81999999995</v>
      </c>
    </row>
    <row r="22" spans="1:12" ht="61.2" hidden="1" x14ac:dyDescent="0.3">
      <c r="A22" s="125" t="s">
        <v>184</v>
      </c>
      <c r="B22" s="126" t="s">
        <v>492</v>
      </c>
      <c r="C22" s="126" t="s">
        <v>496</v>
      </c>
      <c r="D22" s="126" t="s">
        <v>494</v>
      </c>
      <c r="E22" s="127" t="s">
        <v>27</v>
      </c>
      <c r="F22" s="132">
        <v>479</v>
      </c>
      <c r="G22" s="132"/>
      <c r="H22" s="127" t="s">
        <v>28</v>
      </c>
      <c r="I22" s="129" t="s">
        <v>29</v>
      </c>
      <c r="J22" s="129"/>
      <c r="K22" s="130" t="s">
        <v>22</v>
      </c>
      <c r="L22" s="131">
        <v>601739.81999999995</v>
      </c>
    </row>
    <row r="23" spans="1:12" ht="61.2" hidden="1" x14ac:dyDescent="0.3">
      <c r="A23" s="125" t="s">
        <v>184</v>
      </c>
      <c r="B23" s="126" t="s">
        <v>492</v>
      </c>
      <c r="C23" s="126" t="s">
        <v>497</v>
      </c>
      <c r="D23" s="126" t="s">
        <v>494</v>
      </c>
      <c r="E23" s="127" t="s">
        <v>27</v>
      </c>
      <c r="F23" s="132">
        <v>127.1</v>
      </c>
      <c r="G23" s="132"/>
      <c r="H23" s="127" t="s">
        <v>28</v>
      </c>
      <c r="I23" s="129" t="s">
        <v>29</v>
      </c>
      <c r="J23" s="129"/>
      <c r="K23" s="130" t="s">
        <v>22</v>
      </c>
      <c r="L23" s="131">
        <v>601866.92000000004</v>
      </c>
    </row>
    <row r="24" spans="1:12" ht="61.2" hidden="1" x14ac:dyDescent="0.3">
      <c r="A24" s="125" t="s">
        <v>184</v>
      </c>
      <c r="B24" s="126" t="s">
        <v>492</v>
      </c>
      <c r="C24" s="126" t="s">
        <v>498</v>
      </c>
      <c r="D24" s="126" t="s">
        <v>494</v>
      </c>
      <c r="E24" s="127" t="s">
        <v>27</v>
      </c>
      <c r="F24" s="132">
        <v>603.1</v>
      </c>
      <c r="G24" s="132"/>
      <c r="H24" s="127" t="s">
        <v>28</v>
      </c>
      <c r="I24" s="129" t="s">
        <v>29</v>
      </c>
      <c r="J24" s="129"/>
      <c r="K24" s="130" t="s">
        <v>22</v>
      </c>
      <c r="L24" s="131">
        <v>602470.02</v>
      </c>
    </row>
    <row r="25" spans="1:12" ht="71.400000000000006" hidden="1" x14ac:dyDescent="0.3">
      <c r="A25" s="125" t="s">
        <v>184</v>
      </c>
      <c r="B25" s="126" t="s">
        <v>492</v>
      </c>
      <c r="C25" s="126" t="s">
        <v>499</v>
      </c>
      <c r="D25" s="126" t="s">
        <v>494</v>
      </c>
      <c r="E25" s="127" t="s">
        <v>27</v>
      </c>
      <c r="F25" s="132">
        <v>83.65</v>
      </c>
      <c r="G25" s="132"/>
      <c r="H25" s="127" t="s">
        <v>28</v>
      </c>
      <c r="I25" s="129" t="s">
        <v>29</v>
      </c>
      <c r="J25" s="129"/>
      <c r="K25" s="130" t="s">
        <v>22</v>
      </c>
      <c r="L25" s="131">
        <v>602553.67000000004</v>
      </c>
    </row>
    <row r="26" spans="1:12" ht="71.400000000000006" hidden="1" x14ac:dyDescent="0.3">
      <c r="A26" s="125" t="s">
        <v>184</v>
      </c>
      <c r="B26" s="126" t="s">
        <v>492</v>
      </c>
      <c r="C26" s="126" t="s">
        <v>500</v>
      </c>
      <c r="D26" s="126" t="s">
        <v>494</v>
      </c>
      <c r="E26" s="127" t="s">
        <v>27</v>
      </c>
      <c r="F26" s="132">
        <v>617.65</v>
      </c>
      <c r="G26" s="132"/>
      <c r="H26" s="127" t="s">
        <v>28</v>
      </c>
      <c r="I26" s="129" t="s">
        <v>29</v>
      </c>
      <c r="J26" s="129"/>
      <c r="K26" s="130" t="s">
        <v>22</v>
      </c>
      <c r="L26" s="131">
        <v>603171.31999999995</v>
      </c>
    </row>
    <row r="27" spans="1:12" ht="61.2" hidden="1" x14ac:dyDescent="0.3">
      <c r="A27" s="125" t="s">
        <v>184</v>
      </c>
      <c r="B27" s="126" t="s">
        <v>492</v>
      </c>
      <c r="C27" s="126" t="s">
        <v>501</v>
      </c>
      <c r="D27" s="126" t="s">
        <v>494</v>
      </c>
      <c r="E27" s="127" t="s">
        <v>27</v>
      </c>
      <c r="F27" s="132">
        <v>823.82</v>
      </c>
      <c r="G27" s="132"/>
      <c r="H27" s="127" t="s">
        <v>28</v>
      </c>
      <c r="I27" s="129" t="s">
        <v>29</v>
      </c>
      <c r="J27" s="129"/>
      <c r="K27" s="130" t="s">
        <v>22</v>
      </c>
      <c r="L27" s="131">
        <v>603995.14</v>
      </c>
    </row>
    <row r="28" spans="1:12" ht="71.400000000000006" hidden="1" x14ac:dyDescent="0.3">
      <c r="A28" s="125" t="s">
        <v>184</v>
      </c>
      <c r="B28" s="126" t="s">
        <v>492</v>
      </c>
      <c r="C28" s="126" t="s">
        <v>502</v>
      </c>
      <c r="D28" s="126" t="s">
        <v>494</v>
      </c>
      <c r="E28" s="127" t="s">
        <v>27</v>
      </c>
      <c r="F28" s="128">
        <v>7626.67</v>
      </c>
      <c r="G28" s="128"/>
      <c r="H28" s="127" t="s">
        <v>28</v>
      </c>
      <c r="I28" s="129" t="s">
        <v>29</v>
      </c>
      <c r="J28" s="129"/>
      <c r="K28" s="130" t="s">
        <v>22</v>
      </c>
      <c r="L28" s="131">
        <v>611621.81000000006</v>
      </c>
    </row>
    <row r="29" spans="1:12" ht="61.2" hidden="1" x14ac:dyDescent="0.3">
      <c r="A29" s="125" t="s">
        <v>23</v>
      </c>
      <c r="B29" s="126" t="s">
        <v>237</v>
      </c>
      <c r="C29" s="126" t="s">
        <v>238</v>
      </c>
      <c r="D29" s="126" t="s">
        <v>231</v>
      </c>
      <c r="E29" s="127" t="s">
        <v>27</v>
      </c>
      <c r="F29" s="128">
        <v>4189.3900000000003</v>
      </c>
      <c r="G29" s="128"/>
      <c r="H29" s="127" t="s">
        <v>27</v>
      </c>
      <c r="I29" s="129" t="s">
        <v>29</v>
      </c>
      <c r="J29" s="129"/>
      <c r="K29" s="130" t="s">
        <v>22</v>
      </c>
      <c r="L29" s="131">
        <v>615811.19999999995</v>
      </c>
    </row>
    <row r="30" spans="1:12" ht="71.400000000000006" hidden="1" x14ac:dyDescent="0.3">
      <c r="A30" s="125" t="s">
        <v>23</v>
      </c>
      <c r="B30" s="126" t="s">
        <v>503</v>
      </c>
      <c r="C30" s="126" t="s">
        <v>504</v>
      </c>
      <c r="D30" s="126" t="s">
        <v>505</v>
      </c>
      <c r="E30" s="127" t="s">
        <v>27</v>
      </c>
      <c r="F30" s="128">
        <v>4282</v>
      </c>
      <c r="G30" s="128"/>
      <c r="H30" s="127" t="s">
        <v>28</v>
      </c>
      <c r="I30" s="129" t="s">
        <v>29</v>
      </c>
      <c r="J30" s="129"/>
      <c r="K30" s="130" t="s">
        <v>22</v>
      </c>
      <c r="L30" s="131">
        <v>620093.19999999995</v>
      </c>
    </row>
    <row r="31" spans="1:12" ht="71.400000000000006" hidden="1" x14ac:dyDescent="0.3">
      <c r="A31" s="125" t="s">
        <v>23</v>
      </c>
      <c r="B31" s="126" t="s">
        <v>503</v>
      </c>
      <c r="C31" s="126" t="s">
        <v>506</v>
      </c>
      <c r="D31" s="126" t="s">
        <v>505</v>
      </c>
      <c r="E31" s="127" t="s">
        <v>27</v>
      </c>
      <c r="F31" s="128">
        <v>3048.7</v>
      </c>
      <c r="G31" s="128"/>
      <c r="H31" s="127" t="s">
        <v>28</v>
      </c>
      <c r="I31" s="129" t="s">
        <v>29</v>
      </c>
      <c r="J31" s="129"/>
      <c r="K31" s="130" t="s">
        <v>22</v>
      </c>
      <c r="L31" s="131">
        <v>623141.9</v>
      </c>
    </row>
    <row r="32" spans="1:12" ht="71.400000000000006" hidden="1" x14ac:dyDescent="0.3">
      <c r="A32" s="125" t="s">
        <v>23</v>
      </c>
      <c r="B32" s="126" t="s">
        <v>507</v>
      </c>
      <c r="C32" s="126" t="s">
        <v>508</v>
      </c>
      <c r="D32" s="126" t="s">
        <v>505</v>
      </c>
      <c r="E32" s="127" t="s">
        <v>27</v>
      </c>
      <c r="F32" s="132">
        <v>708.34</v>
      </c>
      <c r="G32" s="132"/>
      <c r="H32" s="127" t="s">
        <v>28</v>
      </c>
      <c r="I32" s="129" t="s">
        <v>29</v>
      </c>
      <c r="J32" s="129"/>
      <c r="K32" s="130" t="s">
        <v>22</v>
      </c>
      <c r="L32" s="131">
        <v>623850.23999999999</v>
      </c>
    </row>
    <row r="33" spans="1:12" ht="71.400000000000006" hidden="1" x14ac:dyDescent="0.3">
      <c r="A33" s="125" t="s">
        <v>23</v>
      </c>
      <c r="B33" s="126" t="s">
        <v>503</v>
      </c>
      <c r="C33" s="126" t="s">
        <v>508</v>
      </c>
      <c r="D33" s="126" t="s">
        <v>505</v>
      </c>
      <c r="E33" s="127" t="s">
        <v>27</v>
      </c>
      <c r="F33" s="128">
        <v>7604.66</v>
      </c>
      <c r="G33" s="128"/>
      <c r="H33" s="127" t="s">
        <v>28</v>
      </c>
      <c r="I33" s="129" t="s">
        <v>29</v>
      </c>
      <c r="J33" s="129"/>
      <c r="K33" s="130" t="s">
        <v>22</v>
      </c>
      <c r="L33" s="131">
        <v>631454.9</v>
      </c>
    </row>
    <row r="34" spans="1:12" ht="71.400000000000006" hidden="1" x14ac:dyDescent="0.3">
      <c r="A34" s="125" t="s">
        <v>23</v>
      </c>
      <c r="B34" s="126" t="s">
        <v>507</v>
      </c>
      <c r="C34" s="126" t="s">
        <v>509</v>
      </c>
      <c r="D34" s="126" t="s">
        <v>505</v>
      </c>
      <c r="E34" s="127" t="s">
        <v>27</v>
      </c>
      <c r="F34" s="132">
        <v>441.6</v>
      </c>
      <c r="G34" s="132"/>
      <c r="H34" s="127" t="s">
        <v>28</v>
      </c>
      <c r="I34" s="129" t="s">
        <v>29</v>
      </c>
      <c r="J34" s="129"/>
      <c r="K34" s="130" t="s">
        <v>22</v>
      </c>
      <c r="L34" s="131">
        <v>631896.5</v>
      </c>
    </row>
    <row r="35" spans="1:12" ht="71.400000000000006" hidden="1" x14ac:dyDescent="0.3">
      <c r="A35" s="125" t="s">
        <v>23</v>
      </c>
      <c r="B35" s="126" t="s">
        <v>507</v>
      </c>
      <c r="C35" s="126" t="s">
        <v>510</v>
      </c>
      <c r="D35" s="126" t="s">
        <v>505</v>
      </c>
      <c r="E35" s="127" t="s">
        <v>27</v>
      </c>
      <c r="F35" s="132">
        <v>999.6</v>
      </c>
      <c r="G35" s="132"/>
      <c r="H35" s="127" t="s">
        <v>28</v>
      </c>
      <c r="I35" s="129" t="s">
        <v>29</v>
      </c>
      <c r="J35" s="129"/>
      <c r="K35" s="130" t="s">
        <v>22</v>
      </c>
      <c r="L35" s="131">
        <v>632896.1</v>
      </c>
    </row>
    <row r="36" spans="1:12" ht="71.400000000000006" hidden="1" x14ac:dyDescent="0.3">
      <c r="A36" s="125" t="s">
        <v>36</v>
      </c>
      <c r="B36" s="126" t="s">
        <v>511</v>
      </c>
      <c r="C36" s="126" t="s">
        <v>512</v>
      </c>
      <c r="D36" s="126" t="s">
        <v>513</v>
      </c>
      <c r="E36" s="127" t="s">
        <v>27</v>
      </c>
      <c r="F36" s="128">
        <v>6900</v>
      </c>
      <c r="G36" s="128"/>
      <c r="H36" s="127" t="s">
        <v>28</v>
      </c>
      <c r="I36" s="129" t="s">
        <v>29</v>
      </c>
      <c r="J36" s="129"/>
      <c r="K36" s="130" t="s">
        <v>22</v>
      </c>
      <c r="L36" s="131">
        <v>639796.1</v>
      </c>
    </row>
    <row r="37" spans="1:12" ht="61.2" hidden="1" x14ac:dyDescent="0.3">
      <c r="A37" s="125" t="s">
        <v>36</v>
      </c>
      <c r="B37" s="126" t="s">
        <v>511</v>
      </c>
      <c r="C37" s="126" t="s">
        <v>514</v>
      </c>
      <c r="D37" s="126" t="s">
        <v>513</v>
      </c>
      <c r="E37" s="127" t="s">
        <v>27</v>
      </c>
      <c r="F37" s="128">
        <v>103650</v>
      </c>
      <c r="G37" s="128"/>
      <c r="H37" s="127" t="s">
        <v>28</v>
      </c>
      <c r="I37" s="129" t="s">
        <v>29</v>
      </c>
      <c r="J37" s="129"/>
      <c r="K37" s="130" t="s">
        <v>22</v>
      </c>
      <c r="L37" s="131">
        <v>743446.1</v>
      </c>
    </row>
    <row r="38" spans="1:12" ht="71.400000000000006" hidden="1" x14ac:dyDescent="0.3">
      <c r="A38" s="125" t="s">
        <v>42</v>
      </c>
      <c r="B38" s="126" t="s">
        <v>515</v>
      </c>
      <c r="C38" s="126" t="s">
        <v>516</v>
      </c>
      <c r="D38" s="126" t="s">
        <v>517</v>
      </c>
      <c r="E38" s="127" t="s">
        <v>27</v>
      </c>
      <c r="F38" s="132">
        <v>624</v>
      </c>
      <c r="G38" s="132"/>
      <c r="H38" s="127" t="s">
        <v>28</v>
      </c>
      <c r="I38" s="129" t="s">
        <v>29</v>
      </c>
      <c r="J38" s="129"/>
      <c r="K38" s="130" t="s">
        <v>22</v>
      </c>
      <c r="L38" s="131">
        <v>744070.1</v>
      </c>
    </row>
    <row r="39" spans="1:12" ht="71.400000000000006" hidden="1" x14ac:dyDescent="0.3">
      <c r="A39" s="125" t="s">
        <v>42</v>
      </c>
      <c r="B39" s="126" t="s">
        <v>515</v>
      </c>
      <c r="C39" s="126" t="s">
        <v>518</v>
      </c>
      <c r="D39" s="126" t="s">
        <v>517</v>
      </c>
      <c r="E39" s="127" t="s">
        <v>27</v>
      </c>
      <c r="F39" s="132">
        <v>232.5</v>
      </c>
      <c r="G39" s="132"/>
      <c r="H39" s="127" t="s">
        <v>28</v>
      </c>
      <c r="I39" s="129" t="s">
        <v>29</v>
      </c>
      <c r="J39" s="129"/>
      <c r="K39" s="130" t="s">
        <v>22</v>
      </c>
      <c r="L39" s="131">
        <v>744302.6</v>
      </c>
    </row>
    <row r="40" spans="1:12" ht="71.400000000000006" hidden="1" x14ac:dyDescent="0.3">
      <c r="A40" s="125" t="s">
        <v>42</v>
      </c>
      <c r="B40" s="126" t="s">
        <v>515</v>
      </c>
      <c r="C40" s="126" t="s">
        <v>519</v>
      </c>
      <c r="D40" s="126" t="s">
        <v>517</v>
      </c>
      <c r="E40" s="127" t="s">
        <v>27</v>
      </c>
      <c r="F40" s="132">
        <v>162</v>
      </c>
      <c r="G40" s="132"/>
      <c r="H40" s="127" t="s">
        <v>28</v>
      </c>
      <c r="I40" s="129" t="s">
        <v>29</v>
      </c>
      <c r="J40" s="129"/>
      <c r="K40" s="130" t="s">
        <v>22</v>
      </c>
      <c r="L40" s="131">
        <v>744464.6</v>
      </c>
    </row>
    <row r="41" spans="1:12" ht="61.2" hidden="1" x14ac:dyDescent="0.3">
      <c r="A41" s="125" t="s">
        <v>42</v>
      </c>
      <c r="B41" s="126" t="s">
        <v>515</v>
      </c>
      <c r="C41" s="126" t="s">
        <v>520</v>
      </c>
      <c r="D41" s="126" t="s">
        <v>517</v>
      </c>
      <c r="E41" s="127" t="s">
        <v>27</v>
      </c>
      <c r="F41" s="132">
        <v>102</v>
      </c>
      <c r="G41" s="132"/>
      <c r="H41" s="127" t="s">
        <v>28</v>
      </c>
      <c r="I41" s="129" t="s">
        <v>29</v>
      </c>
      <c r="J41" s="129"/>
      <c r="K41" s="130" t="s">
        <v>22</v>
      </c>
      <c r="L41" s="131">
        <v>744566.6</v>
      </c>
    </row>
    <row r="42" spans="1:12" ht="61.2" hidden="1" x14ac:dyDescent="0.3">
      <c r="A42" s="125" t="s">
        <v>42</v>
      </c>
      <c r="B42" s="126" t="s">
        <v>515</v>
      </c>
      <c r="C42" s="126" t="s">
        <v>521</v>
      </c>
      <c r="D42" s="126" t="s">
        <v>517</v>
      </c>
      <c r="E42" s="127" t="s">
        <v>27</v>
      </c>
      <c r="F42" s="132">
        <v>244</v>
      </c>
      <c r="G42" s="132"/>
      <c r="H42" s="127" t="s">
        <v>28</v>
      </c>
      <c r="I42" s="129" t="s">
        <v>29</v>
      </c>
      <c r="J42" s="129"/>
      <c r="K42" s="130" t="s">
        <v>22</v>
      </c>
      <c r="L42" s="131">
        <v>744810.6</v>
      </c>
    </row>
    <row r="43" spans="1:12" ht="61.2" hidden="1" x14ac:dyDescent="0.3">
      <c r="A43" s="125" t="s">
        <v>42</v>
      </c>
      <c r="B43" s="126" t="s">
        <v>515</v>
      </c>
      <c r="C43" s="126" t="s">
        <v>522</v>
      </c>
      <c r="D43" s="126" t="s">
        <v>517</v>
      </c>
      <c r="E43" s="127" t="s">
        <v>27</v>
      </c>
      <c r="F43" s="132">
        <v>370</v>
      </c>
      <c r="G43" s="132"/>
      <c r="H43" s="127" t="s">
        <v>28</v>
      </c>
      <c r="I43" s="129" t="s">
        <v>29</v>
      </c>
      <c r="J43" s="129"/>
      <c r="K43" s="130" t="s">
        <v>22</v>
      </c>
      <c r="L43" s="131">
        <v>745180.6</v>
      </c>
    </row>
    <row r="44" spans="1:12" ht="61.2" hidden="1" x14ac:dyDescent="0.3">
      <c r="A44" s="125" t="s">
        <v>47</v>
      </c>
      <c r="B44" s="126" t="s">
        <v>255</v>
      </c>
      <c r="C44" s="126" t="s">
        <v>256</v>
      </c>
      <c r="D44" s="126" t="s">
        <v>257</v>
      </c>
      <c r="E44" s="127" t="s">
        <v>27</v>
      </c>
      <c r="F44" s="128">
        <v>1855.12</v>
      </c>
      <c r="G44" s="128"/>
      <c r="H44" s="127" t="s">
        <v>27</v>
      </c>
      <c r="I44" s="129" t="s">
        <v>29</v>
      </c>
      <c r="J44" s="129"/>
      <c r="K44" s="130" t="s">
        <v>22</v>
      </c>
      <c r="L44" s="131">
        <v>747035.72</v>
      </c>
    </row>
    <row r="45" spans="1:12" ht="61.2" hidden="1" x14ac:dyDescent="0.3">
      <c r="A45" s="125" t="s">
        <v>47</v>
      </c>
      <c r="B45" s="126" t="s">
        <v>255</v>
      </c>
      <c r="C45" s="126" t="s">
        <v>258</v>
      </c>
      <c r="D45" s="126" t="s">
        <v>251</v>
      </c>
      <c r="E45" s="127" t="s">
        <v>27</v>
      </c>
      <c r="F45" s="128">
        <v>259227.5</v>
      </c>
      <c r="G45" s="128"/>
      <c r="H45" s="127" t="s">
        <v>27</v>
      </c>
      <c r="I45" s="129" t="s">
        <v>29</v>
      </c>
      <c r="J45" s="129"/>
      <c r="K45" s="130" t="s">
        <v>22</v>
      </c>
      <c r="L45" s="131">
        <v>1006263.22</v>
      </c>
    </row>
    <row r="46" spans="1:12" ht="61.2" x14ac:dyDescent="0.3">
      <c r="A46" s="125" t="s">
        <v>47</v>
      </c>
      <c r="B46" s="126" t="s">
        <v>523</v>
      </c>
      <c r="C46" s="126" t="s">
        <v>174</v>
      </c>
      <c r="D46" s="126" t="s">
        <v>524</v>
      </c>
      <c r="E46" s="127" t="s">
        <v>175</v>
      </c>
      <c r="F46" s="133" t="s">
        <v>29</v>
      </c>
      <c r="G46" s="133"/>
      <c r="H46" s="127" t="s">
        <v>27</v>
      </c>
      <c r="I46" s="134">
        <v>34830</v>
      </c>
      <c r="J46" s="134"/>
      <c r="K46" s="130" t="s">
        <v>22</v>
      </c>
      <c r="L46" s="131">
        <v>971433.22</v>
      </c>
    </row>
    <row r="47" spans="1:12" ht="61.2" x14ac:dyDescent="0.3">
      <c r="A47" s="125" t="s">
        <v>47</v>
      </c>
      <c r="B47" s="126" t="s">
        <v>523</v>
      </c>
      <c r="C47" s="126" t="s">
        <v>174</v>
      </c>
      <c r="D47" s="126" t="s">
        <v>525</v>
      </c>
      <c r="E47" s="127" t="s">
        <v>175</v>
      </c>
      <c r="F47" s="133" t="s">
        <v>29</v>
      </c>
      <c r="G47" s="133"/>
      <c r="H47" s="127" t="s">
        <v>27</v>
      </c>
      <c r="I47" s="134">
        <v>1378.08</v>
      </c>
      <c r="J47" s="134"/>
      <c r="K47" s="130" t="s">
        <v>22</v>
      </c>
      <c r="L47" s="131">
        <v>970055.14</v>
      </c>
    </row>
    <row r="48" spans="1:12" ht="61.2" x14ac:dyDescent="0.3">
      <c r="A48" s="125" t="s">
        <v>47</v>
      </c>
      <c r="B48" s="126" t="s">
        <v>523</v>
      </c>
      <c r="C48" s="126" t="s">
        <v>174</v>
      </c>
      <c r="D48" s="126" t="s">
        <v>256</v>
      </c>
      <c r="E48" s="127" t="s">
        <v>175</v>
      </c>
      <c r="F48" s="133" t="s">
        <v>29</v>
      </c>
      <c r="G48" s="133"/>
      <c r="H48" s="127" t="s">
        <v>27</v>
      </c>
      <c r="I48" s="134">
        <v>1855.12</v>
      </c>
      <c r="J48" s="134"/>
      <c r="K48" s="130" t="s">
        <v>22</v>
      </c>
      <c r="L48" s="131">
        <v>968200.02</v>
      </c>
    </row>
    <row r="49" spans="1:12" ht="61.2" x14ac:dyDescent="0.3">
      <c r="A49" s="125" t="s">
        <v>47</v>
      </c>
      <c r="B49" s="126" t="s">
        <v>523</v>
      </c>
      <c r="C49" s="126" t="s">
        <v>174</v>
      </c>
      <c r="D49" s="126" t="s">
        <v>258</v>
      </c>
      <c r="E49" s="127" t="s">
        <v>175</v>
      </c>
      <c r="F49" s="133" t="s">
        <v>29</v>
      </c>
      <c r="G49" s="133"/>
      <c r="H49" s="127" t="s">
        <v>27</v>
      </c>
      <c r="I49" s="134">
        <v>4592.03</v>
      </c>
      <c r="J49" s="134"/>
      <c r="K49" s="130" t="s">
        <v>22</v>
      </c>
      <c r="L49" s="131">
        <v>963607.99</v>
      </c>
    </row>
    <row r="50" spans="1:12" ht="61.2" x14ac:dyDescent="0.3">
      <c r="A50" s="125" t="s">
        <v>47</v>
      </c>
      <c r="B50" s="126" t="s">
        <v>523</v>
      </c>
      <c r="C50" s="126" t="s">
        <v>174</v>
      </c>
      <c r="D50" s="126" t="s">
        <v>526</v>
      </c>
      <c r="E50" s="127" t="s">
        <v>175</v>
      </c>
      <c r="F50" s="133" t="s">
        <v>29</v>
      </c>
      <c r="G50" s="133"/>
      <c r="H50" s="127" t="s">
        <v>27</v>
      </c>
      <c r="I50" s="134">
        <v>3710.66</v>
      </c>
      <c r="J50" s="134"/>
      <c r="K50" s="130" t="s">
        <v>22</v>
      </c>
      <c r="L50" s="131">
        <v>959897.33</v>
      </c>
    </row>
    <row r="51" spans="1:12" ht="61.2" x14ac:dyDescent="0.3">
      <c r="A51" s="125" t="s">
        <v>47</v>
      </c>
      <c r="B51" s="126" t="s">
        <v>523</v>
      </c>
      <c r="C51" s="126" t="s">
        <v>174</v>
      </c>
      <c r="D51" s="126" t="s">
        <v>527</v>
      </c>
      <c r="E51" s="127" t="s">
        <v>175</v>
      </c>
      <c r="F51" s="133" t="s">
        <v>29</v>
      </c>
      <c r="G51" s="133"/>
      <c r="H51" s="127" t="s">
        <v>27</v>
      </c>
      <c r="I51" s="134">
        <v>6491.62</v>
      </c>
      <c r="J51" s="134"/>
      <c r="K51" s="130" t="s">
        <v>22</v>
      </c>
      <c r="L51" s="131">
        <v>953405.71</v>
      </c>
    </row>
    <row r="52" spans="1:12" ht="61.2" x14ac:dyDescent="0.3">
      <c r="A52" s="125" t="s">
        <v>47</v>
      </c>
      <c r="B52" s="126" t="s">
        <v>523</v>
      </c>
      <c r="C52" s="126" t="s">
        <v>174</v>
      </c>
      <c r="D52" s="126" t="s">
        <v>527</v>
      </c>
      <c r="E52" s="127" t="s">
        <v>175</v>
      </c>
      <c r="F52" s="133" t="s">
        <v>29</v>
      </c>
      <c r="G52" s="133"/>
      <c r="H52" s="127" t="s">
        <v>27</v>
      </c>
      <c r="I52" s="134">
        <v>85737.15</v>
      </c>
      <c r="J52" s="134"/>
      <c r="K52" s="130" t="s">
        <v>22</v>
      </c>
      <c r="L52" s="131">
        <v>867668.56</v>
      </c>
    </row>
    <row r="53" spans="1:12" ht="61.2" x14ac:dyDescent="0.3">
      <c r="A53" s="125" t="s">
        <v>47</v>
      </c>
      <c r="B53" s="126" t="s">
        <v>523</v>
      </c>
      <c r="C53" s="126" t="s">
        <v>174</v>
      </c>
      <c r="D53" s="126" t="s">
        <v>223</v>
      </c>
      <c r="E53" s="127" t="s">
        <v>175</v>
      </c>
      <c r="F53" s="133" t="s">
        <v>29</v>
      </c>
      <c r="G53" s="133"/>
      <c r="H53" s="127" t="s">
        <v>27</v>
      </c>
      <c r="I53" s="134">
        <v>7389.33</v>
      </c>
      <c r="J53" s="134"/>
      <c r="K53" s="130" t="s">
        <v>22</v>
      </c>
      <c r="L53" s="131">
        <v>860279.23</v>
      </c>
    </row>
    <row r="54" spans="1:12" ht="61.2" x14ac:dyDescent="0.3">
      <c r="A54" s="125" t="s">
        <v>47</v>
      </c>
      <c r="B54" s="126" t="s">
        <v>523</v>
      </c>
      <c r="C54" s="126" t="s">
        <v>174</v>
      </c>
      <c r="D54" s="126" t="s">
        <v>238</v>
      </c>
      <c r="E54" s="127" t="s">
        <v>175</v>
      </c>
      <c r="F54" s="133" t="s">
        <v>29</v>
      </c>
      <c r="G54" s="133"/>
      <c r="H54" s="127" t="s">
        <v>27</v>
      </c>
      <c r="I54" s="134">
        <v>4189.3900000000003</v>
      </c>
      <c r="J54" s="134"/>
      <c r="K54" s="130" t="s">
        <v>22</v>
      </c>
      <c r="L54" s="131">
        <v>856089.84</v>
      </c>
    </row>
    <row r="55" spans="1:12" ht="71.400000000000006" x14ac:dyDescent="0.3">
      <c r="A55" s="125" t="s">
        <v>47</v>
      </c>
      <c r="B55" s="126" t="s">
        <v>523</v>
      </c>
      <c r="C55" s="126" t="s">
        <v>174</v>
      </c>
      <c r="D55" s="126" t="s">
        <v>528</v>
      </c>
      <c r="E55" s="127" t="s">
        <v>175</v>
      </c>
      <c r="F55" s="133" t="s">
        <v>29</v>
      </c>
      <c r="G55" s="133"/>
      <c r="H55" s="127" t="s">
        <v>27</v>
      </c>
      <c r="I55" s="135">
        <v>537.24</v>
      </c>
      <c r="J55" s="135"/>
      <c r="K55" s="130" t="s">
        <v>22</v>
      </c>
      <c r="L55" s="131">
        <v>855552.6</v>
      </c>
    </row>
    <row r="56" spans="1:12" ht="71.400000000000006" x14ac:dyDescent="0.3">
      <c r="A56" s="125" t="s">
        <v>47</v>
      </c>
      <c r="B56" s="126" t="s">
        <v>523</v>
      </c>
      <c r="C56" s="126" t="s">
        <v>174</v>
      </c>
      <c r="D56" s="126" t="s">
        <v>529</v>
      </c>
      <c r="E56" s="127" t="s">
        <v>175</v>
      </c>
      <c r="F56" s="133" t="s">
        <v>29</v>
      </c>
      <c r="G56" s="133"/>
      <c r="H56" s="127" t="s">
        <v>27</v>
      </c>
      <c r="I56" s="135">
        <v>97.5</v>
      </c>
      <c r="J56" s="135"/>
      <c r="K56" s="130" t="s">
        <v>22</v>
      </c>
      <c r="L56" s="131">
        <v>855455.1</v>
      </c>
    </row>
    <row r="57" spans="1:12" ht="61.2" x14ac:dyDescent="0.3">
      <c r="A57" s="125" t="s">
        <v>47</v>
      </c>
      <c r="B57" s="126" t="s">
        <v>530</v>
      </c>
      <c r="C57" s="126" t="s">
        <v>174</v>
      </c>
      <c r="D57" s="126" t="s">
        <v>258</v>
      </c>
      <c r="E57" s="127" t="s">
        <v>175</v>
      </c>
      <c r="F57" s="133" t="s">
        <v>29</v>
      </c>
      <c r="G57" s="133"/>
      <c r="H57" s="127" t="s">
        <v>27</v>
      </c>
      <c r="I57" s="134">
        <v>2888.53</v>
      </c>
      <c r="J57" s="134"/>
      <c r="K57" s="130" t="s">
        <v>22</v>
      </c>
      <c r="L57" s="131">
        <v>852566.57</v>
      </c>
    </row>
    <row r="58" spans="1:12" ht="61.2" hidden="1" x14ac:dyDescent="0.3">
      <c r="A58" s="125" t="s">
        <v>47</v>
      </c>
      <c r="B58" s="126" t="s">
        <v>531</v>
      </c>
      <c r="C58" s="126" t="s">
        <v>532</v>
      </c>
      <c r="D58" s="126" t="s">
        <v>533</v>
      </c>
      <c r="E58" s="127" t="s">
        <v>27</v>
      </c>
      <c r="F58" s="132">
        <v>308.7</v>
      </c>
      <c r="G58" s="132"/>
      <c r="H58" s="127" t="s">
        <v>28</v>
      </c>
      <c r="I58" s="129" t="s">
        <v>29</v>
      </c>
      <c r="J58" s="129"/>
      <c r="K58" s="130" t="s">
        <v>22</v>
      </c>
      <c r="L58" s="131">
        <v>852875.27</v>
      </c>
    </row>
    <row r="59" spans="1:12" ht="61.2" hidden="1" x14ac:dyDescent="0.3">
      <c r="A59" s="125" t="s">
        <v>104</v>
      </c>
      <c r="B59" s="126" t="s">
        <v>534</v>
      </c>
      <c r="C59" s="126" t="s">
        <v>535</v>
      </c>
      <c r="D59" s="126" t="s">
        <v>536</v>
      </c>
      <c r="E59" s="127" t="s">
        <v>27</v>
      </c>
      <c r="F59" s="128">
        <v>2852.38</v>
      </c>
      <c r="G59" s="128"/>
      <c r="H59" s="127" t="s">
        <v>28</v>
      </c>
      <c r="I59" s="129" t="s">
        <v>29</v>
      </c>
      <c r="J59" s="129"/>
      <c r="K59" s="130" t="s">
        <v>22</v>
      </c>
      <c r="L59" s="131">
        <v>855727.65</v>
      </c>
    </row>
    <row r="60" spans="1:12" ht="61.2" x14ac:dyDescent="0.3">
      <c r="A60" s="125" t="s">
        <v>104</v>
      </c>
      <c r="B60" s="126" t="s">
        <v>537</v>
      </c>
      <c r="C60" s="126" t="s">
        <v>535</v>
      </c>
      <c r="D60" s="126" t="s">
        <v>536</v>
      </c>
      <c r="E60" s="127" t="s">
        <v>27</v>
      </c>
      <c r="F60" s="132">
        <v>420</v>
      </c>
      <c r="G60" s="132"/>
      <c r="H60" s="127" t="s">
        <v>28</v>
      </c>
      <c r="I60" s="129" t="s">
        <v>29</v>
      </c>
      <c r="J60" s="129"/>
      <c r="K60" s="130" t="s">
        <v>22</v>
      </c>
      <c r="L60" s="131">
        <v>856147.65</v>
      </c>
    </row>
    <row r="61" spans="1:12" ht="61.2" hidden="1" x14ac:dyDescent="0.3">
      <c r="A61" s="125" t="s">
        <v>264</v>
      </c>
      <c r="B61" s="126" t="s">
        <v>270</v>
      </c>
      <c r="C61" s="126" t="s">
        <v>258</v>
      </c>
      <c r="D61" s="126" t="s">
        <v>251</v>
      </c>
      <c r="E61" s="127" t="s">
        <v>27</v>
      </c>
      <c r="F61" s="128">
        <v>1851.62</v>
      </c>
      <c r="G61" s="128"/>
      <c r="H61" s="127" t="s">
        <v>27</v>
      </c>
      <c r="I61" s="129" t="s">
        <v>29</v>
      </c>
      <c r="J61" s="129"/>
      <c r="K61" s="130" t="s">
        <v>22</v>
      </c>
      <c r="L61" s="131">
        <v>857999.27</v>
      </c>
    </row>
    <row r="62" spans="1:12" ht="61.2" hidden="1" x14ac:dyDescent="0.3">
      <c r="A62" s="125" t="s">
        <v>264</v>
      </c>
      <c r="B62" s="126" t="s">
        <v>270</v>
      </c>
      <c r="C62" s="126" t="s">
        <v>271</v>
      </c>
      <c r="D62" s="126" t="s">
        <v>266</v>
      </c>
      <c r="E62" s="127" t="s">
        <v>27</v>
      </c>
      <c r="F62" s="128">
        <v>44295.83</v>
      </c>
      <c r="G62" s="128"/>
      <c r="H62" s="127" t="s">
        <v>27</v>
      </c>
      <c r="I62" s="129" t="s">
        <v>29</v>
      </c>
      <c r="J62" s="129"/>
      <c r="K62" s="130" t="s">
        <v>22</v>
      </c>
      <c r="L62" s="131">
        <v>902295.1</v>
      </c>
    </row>
    <row r="63" spans="1:12" ht="61.2" hidden="1" x14ac:dyDescent="0.3">
      <c r="A63" s="125" t="s">
        <v>111</v>
      </c>
      <c r="B63" s="126" t="s">
        <v>284</v>
      </c>
      <c r="C63" s="126" t="s">
        <v>271</v>
      </c>
      <c r="D63" s="126" t="s">
        <v>266</v>
      </c>
      <c r="E63" s="127" t="s">
        <v>27</v>
      </c>
      <c r="F63" s="128">
        <v>2089.4299999999998</v>
      </c>
      <c r="G63" s="128"/>
      <c r="H63" s="127" t="s">
        <v>27</v>
      </c>
      <c r="I63" s="129" t="s">
        <v>29</v>
      </c>
      <c r="J63" s="129"/>
      <c r="K63" s="130" t="s">
        <v>22</v>
      </c>
      <c r="L63" s="131">
        <v>904384.53</v>
      </c>
    </row>
    <row r="64" spans="1:12" ht="61.2" hidden="1" x14ac:dyDescent="0.3">
      <c r="A64" s="125" t="s">
        <v>111</v>
      </c>
      <c r="B64" s="126" t="s">
        <v>284</v>
      </c>
      <c r="C64" s="126" t="s">
        <v>285</v>
      </c>
      <c r="D64" s="126" t="s">
        <v>280</v>
      </c>
      <c r="E64" s="127" t="s">
        <v>27</v>
      </c>
      <c r="F64" s="128">
        <v>49977.97</v>
      </c>
      <c r="G64" s="128"/>
      <c r="H64" s="127" t="s">
        <v>27</v>
      </c>
      <c r="I64" s="129" t="s">
        <v>29</v>
      </c>
      <c r="J64" s="129"/>
      <c r="K64" s="130" t="s">
        <v>22</v>
      </c>
      <c r="L64" s="131">
        <v>954362.5</v>
      </c>
    </row>
    <row r="65" spans="1:12" ht="81.599999999999994" hidden="1" x14ac:dyDescent="0.3">
      <c r="A65" s="125" t="s">
        <v>114</v>
      </c>
      <c r="B65" s="126" t="s">
        <v>538</v>
      </c>
      <c r="C65" s="126" t="s">
        <v>539</v>
      </c>
      <c r="D65" s="126" t="s">
        <v>517</v>
      </c>
      <c r="E65" s="127" t="s">
        <v>27</v>
      </c>
      <c r="F65" s="128">
        <v>12000</v>
      </c>
      <c r="G65" s="128"/>
      <c r="H65" s="127" t="s">
        <v>28</v>
      </c>
      <c r="I65" s="129" t="s">
        <v>29</v>
      </c>
      <c r="J65" s="129"/>
      <c r="K65" s="130" t="s">
        <v>22</v>
      </c>
      <c r="L65" s="131">
        <v>966362.5</v>
      </c>
    </row>
    <row r="66" spans="1:12" ht="71.400000000000006" hidden="1" x14ac:dyDescent="0.3">
      <c r="A66" s="125" t="s">
        <v>114</v>
      </c>
      <c r="B66" s="126" t="s">
        <v>540</v>
      </c>
      <c r="C66" s="126" t="s">
        <v>541</v>
      </c>
      <c r="D66" s="126" t="s">
        <v>517</v>
      </c>
      <c r="E66" s="127" t="s">
        <v>27</v>
      </c>
      <c r="F66" s="128">
        <v>4906.8999999999996</v>
      </c>
      <c r="G66" s="128"/>
      <c r="H66" s="127" t="s">
        <v>28</v>
      </c>
      <c r="I66" s="129" t="s">
        <v>29</v>
      </c>
      <c r="J66" s="129"/>
      <c r="K66" s="130" t="s">
        <v>22</v>
      </c>
      <c r="L66" s="131">
        <v>971269.4</v>
      </c>
    </row>
    <row r="67" spans="1:12" ht="71.400000000000006" hidden="1" x14ac:dyDescent="0.3">
      <c r="A67" s="125" t="s">
        <v>114</v>
      </c>
      <c r="B67" s="126" t="s">
        <v>538</v>
      </c>
      <c r="C67" s="126" t="s">
        <v>541</v>
      </c>
      <c r="D67" s="126" t="s">
        <v>517</v>
      </c>
      <c r="E67" s="127" t="s">
        <v>27</v>
      </c>
      <c r="F67" s="128">
        <v>5893.1</v>
      </c>
      <c r="G67" s="128"/>
      <c r="H67" s="127" t="s">
        <v>28</v>
      </c>
      <c r="I67" s="129" t="s">
        <v>29</v>
      </c>
      <c r="J67" s="129"/>
      <c r="K67" s="130" t="s">
        <v>22</v>
      </c>
      <c r="L67" s="131">
        <v>977162.5</v>
      </c>
    </row>
    <row r="68" spans="1:12" ht="81.599999999999994" hidden="1" x14ac:dyDescent="0.3">
      <c r="A68" s="125" t="s">
        <v>114</v>
      </c>
      <c r="B68" s="126" t="s">
        <v>542</v>
      </c>
      <c r="C68" s="126" t="s">
        <v>543</v>
      </c>
      <c r="D68" s="126" t="s">
        <v>529</v>
      </c>
      <c r="E68" s="127" t="s">
        <v>27</v>
      </c>
      <c r="F68" s="133" t="s">
        <v>29</v>
      </c>
      <c r="G68" s="133"/>
      <c r="H68" s="127" t="s">
        <v>27</v>
      </c>
      <c r="I68" s="135">
        <v>65</v>
      </c>
      <c r="J68" s="135"/>
      <c r="K68" s="130" t="s">
        <v>22</v>
      </c>
      <c r="L68" s="131">
        <v>977097.5</v>
      </c>
    </row>
    <row r="69" spans="1:12" ht="61.2" hidden="1" x14ac:dyDescent="0.3">
      <c r="A69" s="125" t="s">
        <v>51</v>
      </c>
      <c r="B69" s="126" t="s">
        <v>315</v>
      </c>
      <c r="C69" s="126" t="s">
        <v>316</v>
      </c>
      <c r="D69" s="126" t="s">
        <v>203</v>
      </c>
      <c r="E69" s="127" t="s">
        <v>27</v>
      </c>
      <c r="F69" s="128">
        <v>75224.899999999994</v>
      </c>
      <c r="G69" s="128"/>
      <c r="H69" s="127" t="s">
        <v>27</v>
      </c>
      <c r="I69" s="129" t="s">
        <v>29</v>
      </c>
      <c r="J69" s="129"/>
      <c r="K69" s="130" t="s">
        <v>22</v>
      </c>
      <c r="L69" s="131">
        <v>1052322.3999999999</v>
      </c>
    </row>
    <row r="70" spans="1:12" ht="91.8" hidden="1" x14ac:dyDescent="0.3">
      <c r="A70" s="125" t="s">
        <v>55</v>
      </c>
      <c r="B70" s="126" t="s">
        <v>544</v>
      </c>
      <c r="C70" s="126" t="s">
        <v>545</v>
      </c>
      <c r="D70" s="126" t="s">
        <v>546</v>
      </c>
      <c r="E70" s="127" t="s">
        <v>27</v>
      </c>
      <c r="F70" s="128">
        <v>16600.53</v>
      </c>
      <c r="G70" s="128"/>
      <c r="H70" s="127" t="s">
        <v>28</v>
      </c>
      <c r="I70" s="129" t="s">
        <v>29</v>
      </c>
      <c r="J70" s="129"/>
      <c r="K70" s="130" t="s">
        <v>22</v>
      </c>
      <c r="L70" s="131">
        <v>1068922.93</v>
      </c>
    </row>
    <row r="71" spans="1:12" ht="91.8" hidden="1" x14ac:dyDescent="0.3">
      <c r="A71" s="125" t="s">
        <v>55</v>
      </c>
      <c r="B71" s="126" t="s">
        <v>544</v>
      </c>
      <c r="C71" s="126" t="s">
        <v>547</v>
      </c>
      <c r="D71" s="126" t="s">
        <v>546</v>
      </c>
      <c r="E71" s="127" t="s">
        <v>27</v>
      </c>
      <c r="F71" s="128">
        <v>32668.99</v>
      </c>
      <c r="G71" s="128"/>
      <c r="H71" s="127" t="s">
        <v>28</v>
      </c>
      <c r="I71" s="129" t="s">
        <v>29</v>
      </c>
      <c r="J71" s="129"/>
      <c r="K71" s="130" t="s">
        <v>22</v>
      </c>
      <c r="L71" s="131">
        <v>1101591.92</v>
      </c>
    </row>
    <row r="72" spans="1:12" ht="91.8" hidden="1" x14ac:dyDescent="0.3">
      <c r="A72" s="125" t="s">
        <v>55</v>
      </c>
      <c r="B72" s="126" t="s">
        <v>544</v>
      </c>
      <c r="C72" s="126" t="s">
        <v>548</v>
      </c>
      <c r="D72" s="126" t="s">
        <v>546</v>
      </c>
      <c r="E72" s="127" t="s">
        <v>27</v>
      </c>
      <c r="F72" s="128">
        <v>39772.1</v>
      </c>
      <c r="G72" s="128"/>
      <c r="H72" s="127" t="s">
        <v>28</v>
      </c>
      <c r="I72" s="129" t="s">
        <v>29</v>
      </c>
      <c r="J72" s="129"/>
      <c r="K72" s="130" t="s">
        <v>22</v>
      </c>
      <c r="L72" s="131">
        <v>1141364.02</v>
      </c>
    </row>
    <row r="73" spans="1:12" ht="91.8" hidden="1" x14ac:dyDescent="0.3">
      <c r="A73" s="125" t="s">
        <v>55</v>
      </c>
      <c r="B73" s="126" t="s">
        <v>544</v>
      </c>
      <c r="C73" s="126" t="s">
        <v>549</v>
      </c>
      <c r="D73" s="126" t="s">
        <v>546</v>
      </c>
      <c r="E73" s="127" t="s">
        <v>27</v>
      </c>
      <c r="F73" s="128">
        <v>196542.09</v>
      </c>
      <c r="G73" s="128"/>
      <c r="H73" s="127" t="s">
        <v>28</v>
      </c>
      <c r="I73" s="129" t="s">
        <v>29</v>
      </c>
      <c r="J73" s="129"/>
      <c r="K73" s="130" t="s">
        <v>22</v>
      </c>
      <c r="L73" s="131">
        <v>1337906.1100000001</v>
      </c>
    </row>
    <row r="74" spans="1:12" ht="91.8" hidden="1" x14ac:dyDescent="0.3">
      <c r="A74" s="125" t="s">
        <v>55</v>
      </c>
      <c r="B74" s="126" t="s">
        <v>544</v>
      </c>
      <c r="C74" s="126" t="s">
        <v>550</v>
      </c>
      <c r="D74" s="126" t="s">
        <v>546</v>
      </c>
      <c r="E74" s="127" t="s">
        <v>27</v>
      </c>
      <c r="F74" s="128">
        <v>28287.919999999998</v>
      </c>
      <c r="G74" s="128"/>
      <c r="H74" s="127" t="s">
        <v>28</v>
      </c>
      <c r="I74" s="129" t="s">
        <v>29</v>
      </c>
      <c r="J74" s="129"/>
      <c r="K74" s="130" t="s">
        <v>22</v>
      </c>
      <c r="L74" s="131">
        <v>1366194.03</v>
      </c>
    </row>
    <row r="75" spans="1:12" ht="91.8" hidden="1" x14ac:dyDescent="0.3">
      <c r="A75" s="125" t="s">
        <v>55</v>
      </c>
      <c r="B75" s="126" t="s">
        <v>544</v>
      </c>
      <c r="C75" s="126" t="s">
        <v>551</v>
      </c>
      <c r="D75" s="126" t="s">
        <v>546</v>
      </c>
      <c r="E75" s="127" t="s">
        <v>27</v>
      </c>
      <c r="F75" s="128">
        <v>16954.62</v>
      </c>
      <c r="G75" s="128"/>
      <c r="H75" s="127" t="s">
        <v>28</v>
      </c>
      <c r="I75" s="129" t="s">
        <v>29</v>
      </c>
      <c r="J75" s="129"/>
      <c r="K75" s="130" t="s">
        <v>22</v>
      </c>
      <c r="L75" s="131">
        <v>1383148.65</v>
      </c>
    </row>
    <row r="76" spans="1:12" ht="91.8" hidden="1" x14ac:dyDescent="0.3">
      <c r="A76" s="125" t="s">
        <v>55</v>
      </c>
      <c r="B76" s="126" t="s">
        <v>544</v>
      </c>
      <c r="C76" s="126" t="s">
        <v>552</v>
      </c>
      <c r="D76" s="126" t="s">
        <v>546</v>
      </c>
      <c r="E76" s="127" t="s">
        <v>27</v>
      </c>
      <c r="F76" s="128">
        <v>5643.98</v>
      </c>
      <c r="G76" s="128"/>
      <c r="H76" s="127" t="s">
        <v>28</v>
      </c>
      <c r="I76" s="129" t="s">
        <v>29</v>
      </c>
      <c r="J76" s="129"/>
      <c r="K76" s="130" t="s">
        <v>22</v>
      </c>
      <c r="L76" s="131">
        <v>1388792.63</v>
      </c>
    </row>
    <row r="77" spans="1:12" ht="71.400000000000006" hidden="1" x14ac:dyDescent="0.3">
      <c r="A77" s="125" t="s">
        <v>55</v>
      </c>
      <c r="B77" s="126" t="s">
        <v>544</v>
      </c>
      <c r="C77" s="126" t="s">
        <v>553</v>
      </c>
      <c r="D77" s="126" t="s">
        <v>546</v>
      </c>
      <c r="E77" s="127" t="s">
        <v>27</v>
      </c>
      <c r="F77" s="128">
        <v>30875</v>
      </c>
      <c r="G77" s="128"/>
      <c r="H77" s="127" t="s">
        <v>28</v>
      </c>
      <c r="I77" s="129" t="s">
        <v>29</v>
      </c>
      <c r="J77" s="129"/>
      <c r="K77" s="130" t="s">
        <v>22</v>
      </c>
      <c r="L77" s="131">
        <v>1419667.63</v>
      </c>
    </row>
    <row r="78" spans="1:12" ht="81.599999999999994" hidden="1" x14ac:dyDescent="0.3">
      <c r="A78" s="125" t="s">
        <v>55</v>
      </c>
      <c r="B78" s="126" t="s">
        <v>544</v>
      </c>
      <c r="C78" s="126" t="s">
        <v>554</v>
      </c>
      <c r="D78" s="126" t="s">
        <v>546</v>
      </c>
      <c r="E78" s="127" t="s">
        <v>27</v>
      </c>
      <c r="F78" s="128">
        <v>10834</v>
      </c>
      <c r="G78" s="128"/>
      <c r="H78" s="127" t="s">
        <v>28</v>
      </c>
      <c r="I78" s="129" t="s">
        <v>29</v>
      </c>
      <c r="J78" s="129"/>
      <c r="K78" s="130" t="s">
        <v>22</v>
      </c>
      <c r="L78" s="131">
        <v>1430501.63</v>
      </c>
    </row>
    <row r="79" spans="1:12" ht="81.599999999999994" hidden="1" x14ac:dyDescent="0.3">
      <c r="A79" s="125" t="s">
        <v>55</v>
      </c>
      <c r="B79" s="126" t="s">
        <v>544</v>
      </c>
      <c r="C79" s="126" t="s">
        <v>555</v>
      </c>
      <c r="D79" s="126" t="s">
        <v>546</v>
      </c>
      <c r="E79" s="127" t="s">
        <v>27</v>
      </c>
      <c r="F79" s="128">
        <v>21668</v>
      </c>
      <c r="G79" s="128"/>
      <c r="H79" s="127" t="s">
        <v>28</v>
      </c>
      <c r="I79" s="129" t="s">
        <v>29</v>
      </c>
      <c r="J79" s="129"/>
      <c r="K79" s="130" t="s">
        <v>22</v>
      </c>
      <c r="L79" s="131">
        <v>1452169.63</v>
      </c>
    </row>
    <row r="80" spans="1:12" ht="81.599999999999994" hidden="1" x14ac:dyDescent="0.3">
      <c r="A80" s="125" t="s">
        <v>55</v>
      </c>
      <c r="B80" s="126" t="s">
        <v>544</v>
      </c>
      <c r="C80" s="126" t="s">
        <v>556</v>
      </c>
      <c r="D80" s="126" t="s">
        <v>546</v>
      </c>
      <c r="E80" s="127" t="s">
        <v>27</v>
      </c>
      <c r="F80" s="128">
        <v>10749</v>
      </c>
      <c r="G80" s="128"/>
      <c r="H80" s="127" t="s">
        <v>28</v>
      </c>
      <c r="I80" s="129" t="s">
        <v>29</v>
      </c>
      <c r="J80" s="129"/>
      <c r="K80" s="130" t="s">
        <v>22</v>
      </c>
      <c r="L80" s="131">
        <v>1462918.63</v>
      </c>
    </row>
    <row r="81" spans="1:12" ht="81.599999999999994" hidden="1" x14ac:dyDescent="0.3">
      <c r="A81" s="125" t="s">
        <v>55</v>
      </c>
      <c r="B81" s="126" t="s">
        <v>544</v>
      </c>
      <c r="C81" s="126" t="s">
        <v>557</v>
      </c>
      <c r="D81" s="126" t="s">
        <v>546</v>
      </c>
      <c r="E81" s="127" t="s">
        <v>27</v>
      </c>
      <c r="F81" s="128">
        <v>53745</v>
      </c>
      <c r="G81" s="128"/>
      <c r="H81" s="127" t="s">
        <v>28</v>
      </c>
      <c r="I81" s="129" t="s">
        <v>29</v>
      </c>
      <c r="J81" s="129"/>
      <c r="K81" s="130" t="s">
        <v>22</v>
      </c>
      <c r="L81" s="131">
        <v>1516663.63</v>
      </c>
    </row>
    <row r="82" spans="1:12" ht="71.400000000000006" hidden="1" x14ac:dyDescent="0.3">
      <c r="A82" s="125" t="s">
        <v>55</v>
      </c>
      <c r="B82" s="126" t="s">
        <v>544</v>
      </c>
      <c r="C82" s="126" t="s">
        <v>558</v>
      </c>
      <c r="D82" s="126" t="s">
        <v>546</v>
      </c>
      <c r="E82" s="127" t="s">
        <v>27</v>
      </c>
      <c r="F82" s="128">
        <v>6300</v>
      </c>
      <c r="G82" s="128"/>
      <c r="H82" s="127" t="s">
        <v>28</v>
      </c>
      <c r="I82" s="129" t="s">
        <v>29</v>
      </c>
      <c r="J82" s="129"/>
      <c r="K82" s="130" t="s">
        <v>22</v>
      </c>
      <c r="L82" s="131">
        <v>1522963.63</v>
      </c>
    </row>
    <row r="83" spans="1:12" ht="61.2" hidden="1" x14ac:dyDescent="0.3">
      <c r="A83" s="125" t="s">
        <v>323</v>
      </c>
      <c r="B83" s="126" t="s">
        <v>327</v>
      </c>
      <c r="C83" s="126" t="s">
        <v>316</v>
      </c>
      <c r="D83" s="126" t="s">
        <v>203</v>
      </c>
      <c r="E83" s="127" t="s">
        <v>27</v>
      </c>
      <c r="F83" s="128">
        <v>1990.08</v>
      </c>
      <c r="G83" s="128"/>
      <c r="H83" s="127" t="s">
        <v>27</v>
      </c>
      <c r="I83" s="129" t="s">
        <v>29</v>
      </c>
      <c r="J83" s="129"/>
      <c r="K83" s="130" t="s">
        <v>22</v>
      </c>
      <c r="L83" s="131">
        <v>1524953.71</v>
      </c>
    </row>
    <row r="84" spans="1:12" ht="61.2" hidden="1" x14ac:dyDescent="0.3">
      <c r="A84" s="125" t="s">
        <v>323</v>
      </c>
      <c r="B84" s="126" t="s">
        <v>327</v>
      </c>
      <c r="C84" s="126" t="s">
        <v>328</v>
      </c>
      <c r="D84" s="126" t="s">
        <v>325</v>
      </c>
      <c r="E84" s="127" t="s">
        <v>27</v>
      </c>
      <c r="F84" s="128">
        <v>42565.38</v>
      </c>
      <c r="G84" s="128"/>
      <c r="H84" s="127" t="s">
        <v>27</v>
      </c>
      <c r="I84" s="129" t="s">
        <v>29</v>
      </c>
      <c r="J84" s="129"/>
      <c r="K84" s="130" t="s">
        <v>22</v>
      </c>
      <c r="L84" s="131">
        <v>1567519.09</v>
      </c>
    </row>
    <row r="85" spans="1:12" ht="91.8" hidden="1" x14ac:dyDescent="0.3">
      <c r="A85" s="125" t="s">
        <v>331</v>
      </c>
      <c r="B85" s="126" t="s">
        <v>559</v>
      </c>
      <c r="C85" s="126" t="s">
        <v>560</v>
      </c>
      <c r="D85" s="126" t="s">
        <v>546</v>
      </c>
      <c r="E85" s="127" t="s">
        <v>27</v>
      </c>
      <c r="F85" s="128">
        <v>119166.3</v>
      </c>
      <c r="G85" s="128"/>
      <c r="H85" s="127" t="s">
        <v>28</v>
      </c>
      <c r="I85" s="129" t="s">
        <v>29</v>
      </c>
      <c r="J85" s="129"/>
      <c r="K85" s="130" t="s">
        <v>22</v>
      </c>
      <c r="L85" s="131">
        <v>1686685.39</v>
      </c>
    </row>
    <row r="86" spans="1:12" ht="91.8" hidden="1" x14ac:dyDescent="0.3">
      <c r="A86" s="125" t="s">
        <v>331</v>
      </c>
      <c r="B86" s="126" t="s">
        <v>559</v>
      </c>
      <c r="C86" s="126" t="s">
        <v>561</v>
      </c>
      <c r="D86" s="126" t="s">
        <v>546</v>
      </c>
      <c r="E86" s="127" t="s">
        <v>27</v>
      </c>
      <c r="F86" s="128">
        <v>4983.32</v>
      </c>
      <c r="G86" s="128"/>
      <c r="H86" s="127" t="s">
        <v>28</v>
      </c>
      <c r="I86" s="129" t="s">
        <v>29</v>
      </c>
      <c r="J86" s="129"/>
      <c r="K86" s="130" t="s">
        <v>22</v>
      </c>
      <c r="L86" s="131">
        <v>1691668.71</v>
      </c>
    </row>
    <row r="87" spans="1:12" ht="91.8" hidden="1" x14ac:dyDescent="0.3">
      <c r="A87" s="125" t="s">
        <v>331</v>
      </c>
      <c r="B87" s="126" t="s">
        <v>559</v>
      </c>
      <c r="C87" s="126" t="s">
        <v>562</v>
      </c>
      <c r="D87" s="126" t="s">
        <v>546</v>
      </c>
      <c r="E87" s="127" t="s">
        <v>27</v>
      </c>
      <c r="F87" s="128">
        <v>5178.32</v>
      </c>
      <c r="G87" s="128"/>
      <c r="H87" s="127" t="s">
        <v>28</v>
      </c>
      <c r="I87" s="129" t="s">
        <v>29</v>
      </c>
      <c r="J87" s="129"/>
      <c r="K87" s="130" t="s">
        <v>22</v>
      </c>
      <c r="L87" s="131">
        <v>1696847.03</v>
      </c>
    </row>
    <row r="88" spans="1:12" ht="91.8" hidden="1" x14ac:dyDescent="0.3">
      <c r="A88" s="125" t="s">
        <v>331</v>
      </c>
      <c r="B88" s="126" t="s">
        <v>559</v>
      </c>
      <c r="C88" s="126" t="s">
        <v>563</v>
      </c>
      <c r="D88" s="126" t="s">
        <v>546</v>
      </c>
      <c r="E88" s="127" t="s">
        <v>27</v>
      </c>
      <c r="F88" s="128">
        <v>2675.83</v>
      </c>
      <c r="G88" s="128"/>
      <c r="H88" s="127" t="s">
        <v>28</v>
      </c>
      <c r="I88" s="129" t="s">
        <v>29</v>
      </c>
      <c r="J88" s="129"/>
      <c r="K88" s="130" t="s">
        <v>22</v>
      </c>
      <c r="L88" s="131">
        <v>1699522.86</v>
      </c>
    </row>
    <row r="89" spans="1:12" ht="91.8" hidden="1" x14ac:dyDescent="0.3">
      <c r="A89" s="125" t="s">
        <v>331</v>
      </c>
      <c r="B89" s="126" t="s">
        <v>559</v>
      </c>
      <c r="C89" s="126" t="s">
        <v>564</v>
      </c>
      <c r="D89" s="126" t="s">
        <v>546</v>
      </c>
      <c r="E89" s="127" t="s">
        <v>27</v>
      </c>
      <c r="F89" s="128">
        <v>2697.49</v>
      </c>
      <c r="G89" s="128"/>
      <c r="H89" s="127" t="s">
        <v>28</v>
      </c>
      <c r="I89" s="129" t="s">
        <v>29</v>
      </c>
      <c r="J89" s="129"/>
      <c r="K89" s="130" t="s">
        <v>22</v>
      </c>
      <c r="L89" s="131">
        <v>1702220.35</v>
      </c>
    </row>
    <row r="90" spans="1:12" ht="91.8" hidden="1" x14ac:dyDescent="0.3">
      <c r="A90" s="125" t="s">
        <v>331</v>
      </c>
      <c r="B90" s="126" t="s">
        <v>559</v>
      </c>
      <c r="C90" s="126" t="s">
        <v>565</v>
      </c>
      <c r="D90" s="126" t="s">
        <v>546</v>
      </c>
      <c r="E90" s="127" t="s">
        <v>27</v>
      </c>
      <c r="F90" s="128">
        <v>5741.65</v>
      </c>
      <c r="G90" s="128"/>
      <c r="H90" s="127" t="s">
        <v>28</v>
      </c>
      <c r="I90" s="129" t="s">
        <v>29</v>
      </c>
      <c r="J90" s="129"/>
      <c r="K90" s="130" t="s">
        <v>22</v>
      </c>
      <c r="L90" s="131">
        <v>1707962</v>
      </c>
    </row>
    <row r="91" spans="1:12" ht="91.8" hidden="1" x14ac:dyDescent="0.3">
      <c r="A91" s="125" t="s">
        <v>331</v>
      </c>
      <c r="B91" s="126" t="s">
        <v>559</v>
      </c>
      <c r="C91" s="126" t="s">
        <v>566</v>
      </c>
      <c r="D91" s="126" t="s">
        <v>546</v>
      </c>
      <c r="E91" s="127" t="s">
        <v>27</v>
      </c>
      <c r="F91" s="128">
        <v>16249.95</v>
      </c>
      <c r="G91" s="128"/>
      <c r="H91" s="127" t="s">
        <v>28</v>
      </c>
      <c r="I91" s="129" t="s">
        <v>29</v>
      </c>
      <c r="J91" s="129"/>
      <c r="K91" s="130" t="s">
        <v>22</v>
      </c>
      <c r="L91" s="131">
        <v>1724211.95</v>
      </c>
    </row>
    <row r="92" spans="1:12" ht="91.8" hidden="1" x14ac:dyDescent="0.3">
      <c r="A92" s="125" t="s">
        <v>331</v>
      </c>
      <c r="B92" s="126" t="s">
        <v>559</v>
      </c>
      <c r="C92" s="126" t="s">
        <v>567</v>
      </c>
      <c r="D92" s="126" t="s">
        <v>546</v>
      </c>
      <c r="E92" s="127" t="s">
        <v>27</v>
      </c>
      <c r="F92" s="128">
        <v>3444.99</v>
      </c>
      <c r="G92" s="128"/>
      <c r="H92" s="127" t="s">
        <v>28</v>
      </c>
      <c r="I92" s="129" t="s">
        <v>29</v>
      </c>
      <c r="J92" s="129"/>
      <c r="K92" s="130" t="s">
        <v>22</v>
      </c>
      <c r="L92" s="131">
        <v>1727656.94</v>
      </c>
    </row>
    <row r="93" spans="1:12" ht="91.8" hidden="1" x14ac:dyDescent="0.3">
      <c r="A93" s="125" t="s">
        <v>331</v>
      </c>
      <c r="B93" s="126" t="s">
        <v>559</v>
      </c>
      <c r="C93" s="126" t="s">
        <v>568</v>
      </c>
      <c r="D93" s="126" t="s">
        <v>546</v>
      </c>
      <c r="E93" s="127" t="s">
        <v>27</v>
      </c>
      <c r="F93" s="128">
        <v>10562.47</v>
      </c>
      <c r="G93" s="128"/>
      <c r="H93" s="127" t="s">
        <v>28</v>
      </c>
      <c r="I93" s="129" t="s">
        <v>29</v>
      </c>
      <c r="J93" s="129"/>
      <c r="K93" s="130" t="s">
        <v>22</v>
      </c>
      <c r="L93" s="131">
        <v>1738219.41</v>
      </c>
    </row>
    <row r="94" spans="1:12" ht="91.8" hidden="1" x14ac:dyDescent="0.3">
      <c r="A94" s="125" t="s">
        <v>331</v>
      </c>
      <c r="B94" s="126" t="s">
        <v>559</v>
      </c>
      <c r="C94" s="126" t="s">
        <v>569</v>
      </c>
      <c r="D94" s="126" t="s">
        <v>546</v>
      </c>
      <c r="E94" s="127" t="s">
        <v>27</v>
      </c>
      <c r="F94" s="128">
        <v>10724.97</v>
      </c>
      <c r="G94" s="128"/>
      <c r="H94" s="127" t="s">
        <v>28</v>
      </c>
      <c r="I94" s="129" t="s">
        <v>29</v>
      </c>
      <c r="J94" s="129"/>
      <c r="K94" s="130" t="s">
        <v>22</v>
      </c>
      <c r="L94" s="131">
        <v>1748944.38</v>
      </c>
    </row>
    <row r="95" spans="1:12" ht="91.8" hidden="1" x14ac:dyDescent="0.3">
      <c r="A95" s="125" t="s">
        <v>331</v>
      </c>
      <c r="B95" s="126" t="s">
        <v>559</v>
      </c>
      <c r="C95" s="126" t="s">
        <v>570</v>
      </c>
      <c r="D95" s="126" t="s">
        <v>546</v>
      </c>
      <c r="E95" s="127" t="s">
        <v>27</v>
      </c>
      <c r="F95" s="128">
        <v>48619.85</v>
      </c>
      <c r="G95" s="128"/>
      <c r="H95" s="127" t="s">
        <v>28</v>
      </c>
      <c r="I95" s="129" t="s">
        <v>29</v>
      </c>
      <c r="J95" s="129"/>
      <c r="K95" s="130" t="s">
        <v>22</v>
      </c>
      <c r="L95" s="131">
        <v>1797564.23</v>
      </c>
    </row>
    <row r="96" spans="1:12" ht="91.8" hidden="1" x14ac:dyDescent="0.3">
      <c r="A96" s="125" t="s">
        <v>331</v>
      </c>
      <c r="B96" s="126" t="s">
        <v>559</v>
      </c>
      <c r="C96" s="126" t="s">
        <v>571</v>
      </c>
      <c r="D96" s="126" t="s">
        <v>546</v>
      </c>
      <c r="E96" s="127" t="s">
        <v>27</v>
      </c>
      <c r="F96" s="128">
        <v>8233.31</v>
      </c>
      <c r="G96" s="128"/>
      <c r="H96" s="127" t="s">
        <v>28</v>
      </c>
      <c r="I96" s="129" t="s">
        <v>29</v>
      </c>
      <c r="J96" s="129"/>
      <c r="K96" s="130" t="s">
        <v>22</v>
      </c>
      <c r="L96" s="131">
        <v>1805797.54</v>
      </c>
    </row>
    <row r="97" spans="1:12" ht="91.8" hidden="1" x14ac:dyDescent="0.3">
      <c r="A97" s="125" t="s">
        <v>331</v>
      </c>
      <c r="B97" s="126" t="s">
        <v>559</v>
      </c>
      <c r="C97" s="126" t="s">
        <v>572</v>
      </c>
      <c r="D97" s="126" t="s">
        <v>546</v>
      </c>
      <c r="E97" s="127" t="s">
        <v>27</v>
      </c>
      <c r="F97" s="128">
        <v>3052.01</v>
      </c>
      <c r="G97" s="128"/>
      <c r="H97" s="127" t="s">
        <v>28</v>
      </c>
      <c r="I97" s="129" t="s">
        <v>29</v>
      </c>
      <c r="J97" s="129"/>
      <c r="K97" s="130" t="s">
        <v>22</v>
      </c>
      <c r="L97" s="131">
        <v>1808849.55</v>
      </c>
    </row>
    <row r="98" spans="1:12" ht="91.8" hidden="1" x14ac:dyDescent="0.3">
      <c r="A98" s="125" t="s">
        <v>331</v>
      </c>
      <c r="B98" s="126" t="s">
        <v>559</v>
      </c>
      <c r="C98" s="126" t="s">
        <v>573</v>
      </c>
      <c r="D98" s="126" t="s">
        <v>546</v>
      </c>
      <c r="E98" s="127" t="s">
        <v>27</v>
      </c>
      <c r="F98" s="128">
        <v>9499.3700000000008</v>
      </c>
      <c r="G98" s="128"/>
      <c r="H98" s="127" t="s">
        <v>28</v>
      </c>
      <c r="I98" s="129" t="s">
        <v>29</v>
      </c>
      <c r="J98" s="129"/>
      <c r="K98" s="130" t="s">
        <v>22</v>
      </c>
      <c r="L98" s="131">
        <v>1818348.92</v>
      </c>
    </row>
    <row r="99" spans="1:12" ht="91.8" hidden="1" x14ac:dyDescent="0.3">
      <c r="A99" s="125" t="s">
        <v>331</v>
      </c>
      <c r="B99" s="126" t="s">
        <v>559</v>
      </c>
      <c r="C99" s="126" t="s">
        <v>574</v>
      </c>
      <c r="D99" s="126" t="s">
        <v>546</v>
      </c>
      <c r="E99" s="127" t="s">
        <v>27</v>
      </c>
      <c r="F99" s="128">
        <v>7375.69</v>
      </c>
      <c r="G99" s="128"/>
      <c r="H99" s="127" t="s">
        <v>28</v>
      </c>
      <c r="I99" s="129" t="s">
        <v>29</v>
      </c>
      <c r="J99" s="129"/>
      <c r="K99" s="130" t="s">
        <v>22</v>
      </c>
      <c r="L99" s="131">
        <v>1825724.61</v>
      </c>
    </row>
    <row r="100" spans="1:12" ht="91.8" hidden="1" x14ac:dyDescent="0.3">
      <c r="A100" s="125" t="s">
        <v>331</v>
      </c>
      <c r="B100" s="126" t="s">
        <v>559</v>
      </c>
      <c r="C100" s="126" t="s">
        <v>575</v>
      </c>
      <c r="D100" s="126" t="s">
        <v>546</v>
      </c>
      <c r="E100" s="127" t="s">
        <v>27</v>
      </c>
      <c r="F100" s="128">
        <v>3725.99</v>
      </c>
      <c r="G100" s="128"/>
      <c r="H100" s="127" t="s">
        <v>28</v>
      </c>
      <c r="I100" s="129" t="s">
        <v>29</v>
      </c>
      <c r="J100" s="129"/>
      <c r="K100" s="130" t="s">
        <v>22</v>
      </c>
      <c r="L100" s="131">
        <v>1829450.6</v>
      </c>
    </row>
    <row r="101" spans="1:12" ht="91.8" hidden="1" x14ac:dyDescent="0.3">
      <c r="A101" s="125" t="s">
        <v>331</v>
      </c>
      <c r="B101" s="126" t="s">
        <v>559</v>
      </c>
      <c r="C101" s="126" t="s">
        <v>576</v>
      </c>
      <c r="D101" s="126" t="s">
        <v>546</v>
      </c>
      <c r="E101" s="127" t="s">
        <v>27</v>
      </c>
      <c r="F101" s="128">
        <v>4628.88</v>
      </c>
      <c r="G101" s="128"/>
      <c r="H101" s="127" t="s">
        <v>28</v>
      </c>
      <c r="I101" s="129" t="s">
        <v>29</v>
      </c>
      <c r="J101" s="129"/>
      <c r="K101" s="130" t="s">
        <v>22</v>
      </c>
      <c r="L101" s="131">
        <v>1834079.48</v>
      </c>
    </row>
    <row r="102" spans="1:12" ht="91.8" hidden="1" x14ac:dyDescent="0.3">
      <c r="A102" s="125" t="s">
        <v>331</v>
      </c>
      <c r="B102" s="126" t="s">
        <v>559</v>
      </c>
      <c r="C102" s="126" t="s">
        <v>577</v>
      </c>
      <c r="D102" s="126" t="s">
        <v>546</v>
      </c>
      <c r="E102" s="127" t="s">
        <v>27</v>
      </c>
      <c r="F102" s="128">
        <v>13924.79</v>
      </c>
      <c r="G102" s="128"/>
      <c r="H102" s="127" t="s">
        <v>28</v>
      </c>
      <c r="I102" s="129" t="s">
        <v>29</v>
      </c>
      <c r="J102" s="129"/>
      <c r="K102" s="130" t="s">
        <v>22</v>
      </c>
      <c r="L102" s="131">
        <v>1848004.27</v>
      </c>
    </row>
    <row r="103" spans="1:12" ht="91.8" hidden="1" x14ac:dyDescent="0.3">
      <c r="A103" s="125" t="s">
        <v>331</v>
      </c>
      <c r="B103" s="126" t="s">
        <v>559</v>
      </c>
      <c r="C103" s="126" t="s">
        <v>578</v>
      </c>
      <c r="D103" s="126" t="s">
        <v>546</v>
      </c>
      <c r="E103" s="127" t="s">
        <v>27</v>
      </c>
      <c r="F103" s="128">
        <v>4832.3500000000004</v>
      </c>
      <c r="G103" s="128"/>
      <c r="H103" s="127" t="s">
        <v>28</v>
      </c>
      <c r="I103" s="129" t="s">
        <v>29</v>
      </c>
      <c r="J103" s="129"/>
      <c r="K103" s="130" t="s">
        <v>22</v>
      </c>
      <c r="L103" s="131">
        <v>1852836.62</v>
      </c>
    </row>
    <row r="104" spans="1:12" ht="91.8" hidden="1" x14ac:dyDescent="0.3">
      <c r="A104" s="125" t="s">
        <v>331</v>
      </c>
      <c r="B104" s="126" t="s">
        <v>559</v>
      </c>
      <c r="C104" s="126" t="s">
        <v>579</v>
      </c>
      <c r="D104" s="126" t="s">
        <v>546</v>
      </c>
      <c r="E104" s="127" t="s">
        <v>27</v>
      </c>
      <c r="F104" s="128">
        <v>10173.36</v>
      </c>
      <c r="G104" s="128"/>
      <c r="H104" s="127" t="s">
        <v>28</v>
      </c>
      <c r="I104" s="129" t="s">
        <v>29</v>
      </c>
      <c r="J104" s="129"/>
      <c r="K104" s="130" t="s">
        <v>22</v>
      </c>
      <c r="L104" s="131">
        <v>1863009.98</v>
      </c>
    </row>
    <row r="105" spans="1:12" ht="91.8" hidden="1" x14ac:dyDescent="0.3">
      <c r="A105" s="125" t="s">
        <v>331</v>
      </c>
      <c r="B105" s="126" t="s">
        <v>559</v>
      </c>
      <c r="C105" s="126" t="s">
        <v>580</v>
      </c>
      <c r="D105" s="126" t="s">
        <v>546</v>
      </c>
      <c r="E105" s="127" t="s">
        <v>27</v>
      </c>
      <c r="F105" s="128">
        <v>53232.11</v>
      </c>
      <c r="G105" s="128"/>
      <c r="H105" s="127" t="s">
        <v>28</v>
      </c>
      <c r="I105" s="129" t="s">
        <v>29</v>
      </c>
      <c r="J105" s="129"/>
      <c r="K105" s="130" t="s">
        <v>22</v>
      </c>
      <c r="L105" s="131">
        <v>1916242.09</v>
      </c>
    </row>
    <row r="106" spans="1:12" ht="91.8" hidden="1" x14ac:dyDescent="0.3">
      <c r="A106" s="125" t="s">
        <v>331</v>
      </c>
      <c r="B106" s="126" t="s">
        <v>559</v>
      </c>
      <c r="C106" s="126" t="s">
        <v>581</v>
      </c>
      <c r="D106" s="126" t="s">
        <v>546</v>
      </c>
      <c r="E106" s="127" t="s">
        <v>27</v>
      </c>
      <c r="F106" s="128">
        <v>2619.64</v>
      </c>
      <c r="G106" s="128"/>
      <c r="H106" s="127" t="s">
        <v>28</v>
      </c>
      <c r="I106" s="129" t="s">
        <v>29</v>
      </c>
      <c r="J106" s="129"/>
      <c r="K106" s="130" t="s">
        <v>22</v>
      </c>
      <c r="L106" s="131">
        <v>1918861.73</v>
      </c>
    </row>
    <row r="107" spans="1:12" ht="91.8" hidden="1" x14ac:dyDescent="0.3">
      <c r="A107" s="125" t="s">
        <v>331</v>
      </c>
      <c r="B107" s="126" t="s">
        <v>582</v>
      </c>
      <c r="C107" s="126" t="s">
        <v>583</v>
      </c>
      <c r="D107" s="126" t="s">
        <v>546</v>
      </c>
      <c r="E107" s="127" t="s">
        <v>27</v>
      </c>
      <c r="F107" s="128">
        <v>15908.84</v>
      </c>
      <c r="G107" s="128"/>
      <c r="H107" s="127" t="s">
        <v>28</v>
      </c>
      <c r="I107" s="129" t="s">
        <v>29</v>
      </c>
      <c r="J107" s="129"/>
      <c r="K107" s="130" t="s">
        <v>22</v>
      </c>
      <c r="L107" s="131">
        <v>1934770.57</v>
      </c>
    </row>
    <row r="108" spans="1:12" ht="91.8" hidden="1" x14ac:dyDescent="0.3">
      <c r="A108" s="125" t="s">
        <v>331</v>
      </c>
      <c r="B108" s="126" t="s">
        <v>582</v>
      </c>
      <c r="C108" s="126" t="s">
        <v>584</v>
      </c>
      <c r="D108" s="126" t="s">
        <v>546</v>
      </c>
      <c r="E108" s="127" t="s">
        <v>27</v>
      </c>
      <c r="F108" s="128">
        <v>6868.13</v>
      </c>
      <c r="G108" s="128"/>
      <c r="H108" s="127" t="s">
        <v>28</v>
      </c>
      <c r="I108" s="129" t="s">
        <v>29</v>
      </c>
      <c r="J108" s="129"/>
      <c r="K108" s="130" t="s">
        <v>22</v>
      </c>
      <c r="L108" s="131">
        <v>1941638.7</v>
      </c>
    </row>
    <row r="109" spans="1:12" ht="91.8" hidden="1" x14ac:dyDescent="0.3">
      <c r="A109" s="125" t="s">
        <v>331</v>
      </c>
      <c r="B109" s="126" t="s">
        <v>585</v>
      </c>
      <c r="C109" s="126" t="s">
        <v>586</v>
      </c>
      <c r="D109" s="126" t="s">
        <v>546</v>
      </c>
      <c r="E109" s="127" t="s">
        <v>27</v>
      </c>
      <c r="F109" s="128">
        <v>25409.01</v>
      </c>
      <c r="G109" s="128"/>
      <c r="H109" s="127" t="s">
        <v>28</v>
      </c>
      <c r="I109" s="129" t="s">
        <v>29</v>
      </c>
      <c r="J109" s="129"/>
      <c r="K109" s="130" t="s">
        <v>22</v>
      </c>
      <c r="L109" s="131">
        <v>1967047.71</v>
      </c>
    </row>
    <row r="110" spans="1:12" ht="91.8" hidden="1" x14ac:dyDescent="0.3">
      <c r="A110" s="125" t="s">
        <v>331</v>
      </c>
      <c r="B110" s="126" t="s">
        <v>582</v>
      </c>
      <c r="C110" s="126" t="s">
        <v>586</v>
      </c>
      <c r="D110" s="126" t="s">
        <v>546</v>
      </c>
      <c r="E110" s="127" t="s">
        <v>27</v>
      </c>
      <c r="F110" s="128">
        <v>16077.24</v>
      </c>
      <c r="G110" s="128"/>
      <c r="H110" s="127" t="s">
        <v>28</v>
      </c>
      <c r="I110" s="129" t="s">
        <v>29</v>
      </c>
      <c r="J110" s="129"/>
      <c r="K110" s="130" t="s">
        <v>22</v>
      </c>
      <c r="L110" s="131">
        <v>1983124.95</v>
      </c>
    </row>
    <row r="111" spans="1:12" ht="91.8" hidden="1" x14ac:dyDescent="0.3">
      <c r="A111" s="125" t="s">
        <v>331</v>
      </c>
      <c r="B111" s="126" t="s">
        <v>585</v>
      </c>
      <c r="C111" s="126" t="s">
        <v>587</v>
      </c>
      <c r="D111" s="126" t="s">
        <v>546</v>
      </c>
      <c r="E111" s="127" t="s">
        <v>27</v>
      </c>
      <c r="F111" s="128">
        <v>25557.75</v>
      </c>
      <c r="G111" s="128"/>
      <c r="H111" s="127" t="s">
        <v>28</v>
      </c>
      <c r="I111" s="129" t="s">
        <v>29</v>
      </c>
      <c r="J111" s="129"/>
      <c r="K111" s="130" t="s">
        <v>22</v>
      </c>
      <c r="L111" s="131">
        <v>2008682.7</v>
      </c>
    </row>
    <row r="112" spans="1:12" ht="91.8" hidden="1" x14ac:dyDescent="0.3">
      <c r="A112" s="125" t="s">
        <v>331</v>
      </c>
      <c r="B112" s="126" t="s">
        <v>585</v>
      </c>
      <c r="C112" s="126" t="s">
        <v>588</v>
      </c>
      <c r="D112" s="126" t="s">
        <v>546</v>
      </c>
      <c r="E112" s="127" t="s">
        <v>27</v>
      </c>
      <c r="F112" s="128">
        <v>43636.88</v>
      </c>
      <c r="G112" s="128"/>
      <c r="H112" s="127" t="s">
        <v>28</v>
      </c>
      <c r="I112" s="129" t="s">
        <v>29</v>
      </c>
      <c r="J112" s="129"/>
      <c r="K112" s="130" t="s">
        <v>22</v>
      </c>
      <c r="L112" s="131">
        <v>2052319.58</v>
      </c>
    </row>
    <row r="113" spans="1:12" ht="91.8" hidden="1" x14ac:dyDescent="0.3">
      <c r="A113" s="125" t="s">
        <v>331</v>
      </c>
      <c r="B113" s="126" t="s">
        <v>585</v>
      </c>
      <c r="C113" s="126" t="s">
        <v>589</v>
      </c>
      <c r="D113" s="126" t="s">
        <v>546</v>
      </c>
      <c r="E113" s="127" t="s">
        <v>27</v>
      </c>
      <c r="F113" s="128">
        <v>11368.73</v>
      </c>
      <c r="G113" s="128"/>
      <c r="H113" s="127" t="s">
        <v>28</v>
      </c>
      <c r="I113" s="129" t="s">
        <v>29</v>
      </c>
      <c r="J113" s="129"/>
      <c r="K113" s="130" t="s">
        <v>22</v>
      </c>
      <c r="L113" s="131">
        <v>2063688.31</v>
      </c>
    </row>
    <row r="114" spans="1:12" ht="91.8" hidden="1" x14ac:dyDescent="0.3">
      <c r="A114" s="125" t="s">
        <v>331</v>
      </c>
      <c r="B114" s="126" t="s">
        <v>585</v>
      </c>
      <c r="C114" s="126" t="s">
        <v>584</v>
      </c>
      <c r="D114" s="126" t="s">
        <v>546</v>
      </c>
      <c r="E114" s="127" t="s">
        <v>27</v>
      </c>
      <c r="F114" s="128">
        <v>6294.77</v>
      </c>
      <c r="G114" s="128"/>
      <c r="H114" s="127" t="s">
        <v>28</v>
      </c>
      <c r="I114" s="129" t="s">
        <v>29</v>
      </c>
      <c r="J114" s="129"/>
      <c r="K114" s="130" t="s">
        <v>22</v>
      </c>
      <c r="L114" s="131">
        <v>2069983.08</v>
      </c>
    </row>
    <row r="115" spans="1:12" ht="91.8" hidden="1" x14ac:dyDescent="0.3">
      <c r="A115" s="125" t="s">
        <v>331</v>
      </c>
      <c r="B115" s="126" t="s">
        <v>585</v>
      </c>
      <c r="C115" s="126" t="s">
        <v>590</v>
      </c>
      <c r="D115" s="126" t="s">
        <v>546</v>
      </c>
      <c r="E115" s="127" t="s">
        <v>27</v>
      </c>
      <c r="F115" s="128">
        <v>7134.07</v>
      </c>
      <c r="G115" s="128"/>
      <c r="H115" s="127" t="s">
        <v>28</v>
      </c>
      <c r="I115" s="129" t="s">
        <v>29</v>
      </c>
      <c r="J115" s="129"/>
      <c r="K115" s="130" t="s">
        <v>22</v>
      </c>
      <c r="L115" s="131">
        <v>2077117.15</v>
      </c>
    </row>
    <row r="116" spans="1:12" ht="91.8" hidden="1" x14ac:dyDescent="0.3">
      <c r="A116" s="125" t="s">
        <v>331</v>
      </c>
      <c r="B116" s="126" t="s">
        <v>585</v>
      </c>
      <c r="C116" s="126" t="s">
        <v>586</v>
      </c>
      <c r="D116" s="126" t="s">
        <v>546</v>
      </c>
      <c r="E116" s="127" t="s">
        <v>27</v>
      </c>
      <c r="F116" s="128">
        <v>38022.93</v>
      </c>
      <c r="G116" s="128"/>
      <c r="H116" s="127" t="s">
        <v>28</v>
      </c>
      <c r="I116" s="129" t="s">
        <v>29</v>
      </c>
      <c r="J116" s="129"/>
      <c r="K116" s="130" t="s">
        <v>22</v>
      </c>
      <c r="L116" s="131">
        <v>2115140.08</v>
      </c>
    </row>
    <row r="117" spans="1:12" ht="91.8" hidden="1" x14ac:dyDescent="0.3">
      <c r="A117" s="125" t="s">
        <v>331</v>
      </c>
      <c r="B117" s="126" t="s">
        <v>585</v>
      </c>
      <c r="C117" s="126" t="s">
        <v>591</v>
      </c>
      <c r="D117" s="126" t="s">
        <v>546</v>
      </c>
      <c r="E117" s="127" t="s">
        <v>27</v>
      </c>
      <c r="F117" s="128">
        <v>15514.37</v>
      </c>
      <c r="G117" s="128"/>
      <c r="H117" s="127" t="s">
        <v>28</v>
      </c>
      <c r="I117" s="129" t="s">
        <v>29</v>
      </c>
      <c r="J117" s="129"/>
      <c r="K117" s="130" t="s">
        <v>22</v>
      </c>
      <c r="L117" s="131">
        <v>2130654.4500000002</v>
      </c>
    </row>
    <row r="118" spans="1:12" ht="91.8" hidden="1" x14ac:dyDescent="0.3">
      <c r="A118" s="125" t="s">
        <v>331</v>
      </c>
      <c r="B118" s="126" t="s">
        <v>585</v>
      </c>
      <c r="C118" s="126" t="s">
        <v>587</v>
      </c>
      <c r="D118" s="126" t="s">
        <v>546</v>
      </c>
      <c r="E118" s="127" t="s">
        <v>27</v>
      </c>
      <c r="F118" s="128">
        <v>78080.539999999994</v>
      </c>
      <c r="G118" s="128"/>
      <c r="H118" s="127" t="s">
        <v>28</v>
      </c>
      <c r="I118" s="129" t="s">
        <v>29</v>
      </c>
      <c r="J118" s="129"/>
      <c r="K118" s="130" t="s">
        <v>22</v>
      </c>
      <c r="L118" s="131">
        <v>2208734.9900000002</v>
      </c>
    </row>
    <row r="119" spans="1:12" ht="91.8" hidden="1" x14ac:dyDescent="0.3">
      <c r="A119" s="125" t="s">
        <v>331</v>
      </c>
      <c r="B119" s="126" t="s">
        <v>585</v>
      </c>
      <c r="C119" s="126" t="s">
        <v>588</v>
      </c>
      <c r="D119" s="126" t="s">
        <v>546</v>
      </c>
      <c r="E119" s="127" t="s">
        <v>27</v>
      </c>
      <c r="F119" s="128">
        <v>55991.63</v>
      </c>
      <c r="G119" s="128"/>
      <c r="H119" s="127" t="s">
        <v>28</v>
      </c>
      <c r="I119" s="129" t="s">
        <v>29</v>
      </c>
      <c r="J119" s="129"/>
      <c r="K119" s="130" t="s">
        <v>22</v>
      </c>
      <c r="L119" s="131">
        <v>2264726.62</v>
      </c>
    </row>
    <row r="120" spans="1:12" ht="91.8" hidden="1" x14ac:dyDescent="0.3">
      <c r="A120" s="125" t="s">
        <v>331</v>
      </c>
      <c r="B120" s="126" t="s">
        <v>592</v>
      </c>
      <c r="C120" s="126" t="s">
        <v>593</v>
      </c>
      <c r="D120" s="126" t="s">
        <v>546</v>
      </c>
      <c r="E120" s="127" t="s">
        <v>27</v>
      </c>
      <c r="F120" s="128">
        <v>9966.64</v>
      </c>
      <c r="G120" s="128"/>
      <c r="H120" s="127" t="s">
        <v>28</v>
      </c>
      <c r="I120" s="129" t="s">
        <v>29</v>
      </c>
      <c r="J120" s="129"/>
      <c r="K120" s="130" t="s">
        <v>22</v>
      </c>
      <c r="L120" s="131">
        <v>2274693.2599999998</v>
      </c>
    </row>
    <row r="121" spans="1:12" ht="91.8" hidden="1" x14ac:dyDescent="0.3">
      <c r="A121" s="125" t="s">
        <v>331</v>
      </c>
      <c r="B121" s="126" t="s">
        <v>592</v>
      </c>
      <c r="C121" s="126" t="s">
        <v>594</v>
      </c>
      <c r="D121" s="126" t="s">
        <v>546</v>
      </c>
      <c r="E121" s="127" t="s">
        <v>27</v>
      </c>
      <c r="F121" s="128">
        <v>10053.299999999999</v>
      </c>
      <c r="G121" s="128"/>
      <c r="H121" s="127" t="s">
        <v>28</v>
      </c>
      <c r="I121" s="129" t="s">
        <v>29</v>
      </c>
      <c r="J121" s="129"/>
      <c r="K121" s="130" t="s">
        <v>22</v>
      </c>
      <c r="L121" s="131">
        <v>2284746.56</v>
      </c>
    </row>
    <row r="122" spans="1:12" ht="91.8" hidden="1" x14ac:dyDescent="0.3">
      <c r="A122" s="125" t="s">
        <v>331</v>
      </c>
      <c r="B122" s="126" t="s">
        <v>592</v>
      </c>
      <c r="C122" s="126" t="s">
        <v>595</v>
      </c>
      <c r="D122" s="126" t="s">
        <v>546</v>
      </c>
      <c r="E122" s="127" t="s">
        <v>27</v>
      </c>
      <c r="F122" s="128">
        <v>5394.98</v>
      </c>
      <c r="G122" s="128"/>
      <c r="H122" s="127" t="s">
        <v>28</v>
      </c>
      <c r="I122" s="129" t="s">
        <v>29</v>
      </c>
      <c r="J122" s="129"/>
      <c r="K122" s="130" t="s">
        <v>22</v>
      </c>
      <c r="L122" s="131">
        <v>2290141.54</v>
      </c>
    </row>
    <row r="123" spans="1:12" ht="91.8" hidden="1" x14ac:dyDescent="0.3">
      <c r="A123" s="125" t="s">
        <v>331</v>
      </c>
      <c r="B123" s="126" t="s">
        <v>592</v>
      </c>
      <c r="C123" s="126" t="s">
        <v>596</v>
      </c>
      <c r="D123" s="126" t="s">
        <v>546</v>
      </c>
      <c r="E123" s="127" t="s">
        <v>27</v>
      </c>
      <c r="F123" s="128">
        <v>408133.74</v>
      </c>
      <c r="G123" s="128"/>
      <c r="H123" s="127" t="s">
        <v>28</v>
      </c>
      <c r="I123" s="129" t="s">
        <v>29</v>
      </c>
      <c r="J123" s="129"/>
      <c r="K123" s="130" t="s">
        <v>22</v>
      </c>
      <c r="L123" s="131">
        <v>2698275.28</v>
      </c>
    </row>
    <row r="124" spans="1:12" ht="91.8" hidden="1" x14ac:dyDescent="0.3">
      <c r="A124" s="125" t="s">
        <v>331</v>
      </c>
      <c r="B124" s="126" t="s">
        <v>592</v>
      </c>
      <c r="C124" s="126" t="s">
        <v>597</v>
      </c>
      <c r="D124" s="126" t="s">
        <v>546</v>
      </c>
      <c r="E124" s="127" t="s">
        <v>27</v>
      </c>
      <c r="F124" s="128">
        <v>114919.65</v>
      </c>
      <c r="G124" s="128"/>
      <c r="H124" s="127" t="s">
        <v>28</v>
      </c>
      <c r="I124" s="129" t="s">
        <v>29</v>
      </c>
      <c r="J124" s="129"/>
      <c r="K124" s="130" t="s">
        <v>22</v>
      </c>
      <c r="L124" s="131">
        <v>2813194.93</v>
      </c>
    </row>
    <row r="125" spans="1:12" ht="61.2" x14ac:dyDescent="0.3">
      <c r="A125" s="125" t="s">
        <v>60</v>
      </c>
      <c r="B125" s="126" t="s">
        <v>598</v>
      </c>
      <c r="C125" s="126" t="s">
        <v>174</v>
      </c>
      <c r="D125" s="126" t="s">
        <v>599</v>
      </c>
      <c r="E125" s="127" t="s">
        <v>175</v>
      </c>
      <c r="F125" s="133" t="s">
        <v>29</v>
      </c>
      <c r="G125" s="133"/>
      <c r="H125" s="127" t="s">
        <v>27</v>
      </c>
      <c r="I125" s="134">
        <v>2624.87</v>
      </c>
      <c r="J125" s="134"/>
      <c r="K125" s="130" t="s">
        <v>22</v>
      </c>
      <c r="L125" s="131">
        <v>2810570.06</v>
      </c>
    </row>
    <row r="126" spans="1:12" ht="61.2" hidden="1" x14ac:dyDescent="0.3">
      <c r="A126" s="125" t="s">
        <v>138</v>
      </c>
      <c r="B126" s="126" t="s">
        <v>362</v>
      </c>
      <c r="C126" s="126" t="s">
        <v>363</v>
      </c>
      <c r="D126" s="126" t="s">
        <v>141</v>
      </c>
      <c r="E126" s="127" t="s">
        <v>27</v>
      </c>
      <c r="F126" s="128">
        <v>1983.66</v>
      </c>
      <c r="G126" s="128"/>
      <c r="H126" s="127" t="s">
        <v>27</v>
      </c>
      <c r="I126" s="129" t="s">
        <v>29</v>
      </c>
      <c r="J126" s="129"/>
      <c r="K126" s="130" t="s">
        <v>22</v>
      </c>
      <c r="L126" s="131">
        <v>2812553.72</v>
      </c>
    </row>
    <row r="127" spans="1:12" ht="71.400000000000006" hidden="1" x14ac:dyDescent="0.3">
      <c r="A127" s="125" t="s">
        <v>142</v>
      </c>
      <c r="B127" s="126" t="s">
        <v>600</v>
      </c>
      <c r="C127" s="126" t="s">
        <v>601</v>
      </c>
      <c r="D127" s="126" t="s">
        <v>602</v>
      </c>
      <c r="E127" s="127" t="s">
        <v>27</v>
      </c>
      <c r="F127" s="128">
        <v>31669.62</v>
      </c>
      <c r="G127" s="128"/>
      <c r="H127" s="127" t="s">
        <v>28</v>
      </c>
      <c r="I127" s="129" t="s">
        <v>29</v>
      </c>
      <c r="J127" s="129"/>
      <c r="K127" s="130" t="s">
        <v>22</v>
      </c>
      <c r="L127" s="131">
        <v>2844223.34</v>
      </c>
    </row>
    <row r="128" spans="1:12" ht="61.2" hidden="1" x14ac:dyDescent="0.3">
      <c r="A128" s="125" t="s">
        <v>64</v>
      </c>
      <c r="B128" s="126" t="s">
        <v>392</v>
      </c>
      <c r="C128" s="126" t="s">
        <v>393</v>
      </c>
      <c r="D128" s="126" t="s">
        <v>72</v>
      </c>
      <c r="E128" s="127" t="s">
        <v>27</v>
      </c>
      <c r="F128" s="132">
        <v>99.05</v>
      </c>
      <c r="G128" s="132"/>
      <c r="H128" s="127" t="s">
        <v>27</v>
      </c>
      <c r="I128" s="129" t="s">
        <v>29</v>
      </c>
      <c r="J128" s="129"/>
      <c r="K128" s="130" t="s">
        <v>22</v>
      </c>
      <c r="L128" s="131">
        <v>2844322.39</v>
      </c>
    </row>
    <row r="129" spans="1:12" ht="61.2" hidden="1" x14ac:dyDescent="0.3">
      <c r="A129" s="125" t="s">
        <v>64</v>
      </c>
      <c r="B129" s="126" t="s">
        <v>392</v>
      </c>
      <c r="C129" s="126" t="s">
        <v>394</v>
      </c>
      <c r="D129" s="126" t="s">
        <v>74</v>
      </c>
      <c r="E129" s="127" t="s">
        <v>27</v>
      </c>
      <c r="F129" s="132">
        <v>810</v>
      </c>
      <c r="G129" s="132"/>
      <c r="H129" s="127" t="s">
        <v>27</v>
      </c>
      <c r="I129" s="129" t="s">
        <v>29</v>
      </c>
      <c r="J129" s="129"/>
      <c r="K129" s="130" t="s">
        <v>22</v>
      </c>
      <c r="L129" s="131">
        <v>2845132.39</v>
      </c>
    </row>
    <row r="130" spans="1:12" ht="61.2" hidden="1" x14ac:dyDescent="0.3">
      <c r="A130" s="125" t="s">
        <v>64</v>
      </c>
      <c r="B130" s="126" t="s">
        <v>392</v>
      </c>
      <c r="C130" s="126" t="s">
        <v>395</v>
      </c>
      <c r="D130" s="126" t="s">
        <v>373</v>
      </c>
      <c r="E130" s="127" t="s">
        <v>27</v>
      </c>
      <c r="F130" s="132">
        <v>91.25</v>
      </c>
      <c r="G130" s="132"/>
      <c r="H130" s="127" t="s">
        <v>27</v>
      </c>
      <c r="I130" s="129" t="s">
        <v>29</v>
      </c>
      <c r="J130" s="129"/>
      <c r="K130" s="130" t="s">
        <v>22</v>
      </c>
      <c r="L130" s="131">
        <v>2845223.64</v>
      </c>
    </row>
    <row r="131" spans="1:12" ht="61.2" hidden="1" x14ac:dyDescent="0.3">
      <c r="A131" s="125" t="s">
        <v>64</v>
      </c>
      <c r="B131" s="126" t="s">
        <v>392</v>
      </c>
      <c r="C131" s="126" t="s">
        <v>396</v>
      </c>
      <c r="D131" s="126" t="s">
        <v>375</v>
      </c>
      <c r="E131" s="127" t="s">
        <v>27</v>
      </c>
      <c r="F131" s="132">
        <v>125.37</v>
      </c>
      <c r="G131" s="132"/>
      <c r="H131" s="127" t="s">
        <v>27</v>
      </c>
      <c r="I131" s="129" t="s">
        <v>29</v>
      </c>
      <c r="J131" s="129"/>
      <c r="K131" s="130" t="s">
        <v>22</v>
      </c>
      <c r="L131" s="131">
        <v>2845349.01</v>
      </c>
    </row>
    <row r="132" spans="1:12" ht="61.2" hidden="1" x14ac:dyDescent="0.3">
      <c r="A132" s="125" t="s">
        <v>64</v>
      </c>
      <c r="B132" s="126" t="s">
        <v>392</v>
      </c>
      <c r="C132" s="126" t="s">
        <v>397</v>
      </c>
      <c r="D132" s="126" t="s">
        <v>376</v>
      </c>
      <c r="E132" s="127" t="s">
        <v>27</v>
      </c>
      <c r="F132" s="132">
        <v>119.37</v>
      </c>
      <c r="G132" s="132"/>
      <c r="H132" s="127" t="s">
        <v>27</v>
      </c>
      <c r="I132" s="129" t="s">
        <v>29</v>
      </c>
      <c r="J132" s="129"/>
      <c r="K132" s="130" t="s">
        <v>22</v>
      </c>
      <c r="L132" s="131">
        <v>2845468.38</v>
      </c>
    </row>
    <row r="133" spans="1:12" ht="61.2" x14ac:dyDescent="0.3">
      <c r="A133" s="125" t="s">
        <v>81</v>
      </c>
      <c r="B133" s="126" t="s">
        <v>603</v>
      </c>
      <c r="C133" s="126" t="s">
        <v>174</v>
      </c>
      <c r="D133" s="126" t="s">
        <v>258</v>
      </c>
      <c r="E133" s="127" t="s">
        <v>175</v>
      </c>
      <c r="F133" s="133" t="s">
        <v>29</v>
      </c>
      <c r="G133" s="133"/>
      <c r="H133" s="127" t="s">
        <v>27</v>
      </c>
      <c r="I133" s="134">
        <v>253598.56</v>
      </c>
      <c r="J133" s="134"/>
      <c r="K133" s="130" t="s">
        <v>22</v>
      </c>
      <c r="L133" s="131">
        <v>2591869.8199999998</v>
      </c>
    </row>
    <row r="134" spans="1:12" ht="61.2" x14ac:dyDescent="0.3">
      <c r="A134" s="125" t="s">
        <v>81</v>
      </c>
      <c r="B134" s="126" t="s">
        <v>603</v>
      </c>
      <c r="C134" s="126" t="s">
        <v>174</v>
      </c>
      <c r="D134" s="126" t="s">
        <v>271</v>
      </c>
      <c r="E134" s="127" t="s">
        <v>175</v>
      </c>
      <c r="F134" s="133" t="s">
        <v>29</v>
      </c>
      <c r="G134" s="133"/>
      <c r="H134" s="127" t="s">
        <v>27</v>
      </c>
      <c r="I134" s="134">
        <v>14379.43</v>
      </c>
      <c r="J134" s="134"/>
      <c r="K134" s="130" t="s">
        <v>22</v>
      </c>
      <c r="L134" s="131">
        <v>2577490.39</v>
      </c>
    </row>
    <row r="135" spans="1:12" ht="61.2" x14ac:dyDescent="0.3">
      <c r="A135" s="125" t="s">
        <v>81</v>
      </c>
      <c r="B135" s="126" t="s">
        <v>604</v>
      </c>
      <c r="C135" s="126" t="s">
        <v>174</v>
      </c>
      <c r="D135" s="126" t="s">
        <v>172</v>
      </c>
      <c r="E135" s="127" t="s">
        <v>175</v>
      </c>
      <c r="F135" s="133" t="s">
        <v>29</v>
      </c>
      <c r="G135" s="133"/>
      <c r="H135" s="127" t="s">
        <v>27</v>
      </c>
      <c r="I135" s="134">
        <v>1798</v>
      </c>
      <c r="J135" s="134"/>
      <c r="K135" s="130" t="s">
        <v>22</v>
      </c>
      <c r="L135" s="131">
        <v>2575692.39</v>
      </c>
    </row>
    <row r="136" spans="1:12" ht="61.2" hidden="1" x14ac:dyDescent="0.3">
      <c r="A136" s="125" t="s">
        <v>160</v>
      </c>
      <c r="B136" s="126" t="s">
        <v>605</v>
      </c>
      <c r="C136" s="126" t="s">
        <v>285</v>
      </c>
      <c r="D136" s="126" t="s">
        <v>287</v>
      </c>
      <c r="E136" s="127" t="s">
        <v>27</v>
      </c>
      <c r="F136" s="128">
        <v>11533.38</v>
      </c>
      <c r="G136" s="128"/>
      <c r="H136" s="127" t="s">
        <v>27</v>
      </c>
      <c r="I136" s="129" t="s">
        <v>29</v>
      </c>
      <c r="J136" s="129"/>
      <c r="K136" s="130" t="s">
        <v>22</v>
      </c>
      <c r="L136" s="131">
        <v>2587225.77</v>
      </c>
    </row>
    <row r="137" spans="1:12" ht="61.2" hidden="1" x14ac:dyDescent="0.3">
      <c r="A137" s="125" t="s">
        <v>160</v>
      </c>
      <c r="B137" s="126" t="s">
        <v>605</v>
      </c>
      <c r="C137" s="126" t="s">
        <v>606</v>
      </c>
      <c r="D137" s="126" t="s">
        <v>304</v>
      </c>
      <c r="E137" s="127" t="s">
        <v>27</v>
      </c>
      <c r="F137" s="128">
        <v>7006.58</v>
      </c>
      <c r="G137" s="128"/>
      <c r="H137" s="127" t="s">
        <v>27</v>
      </c>
      <c r="I137" s="129" t="s">
        <v>29</v>
      </c>
      <c r="J137" s="129"/>
      <c r="K137" s="130" t="s">
        <v>22</v>
      </c>
      <c r="L137" s="131">
        <v>2594232.35</v>
      </c>
    </row>
    <row r="138" spans="1:12" ht="61.2" hidden="1" x14ac:dyDescent="0.3">
      <c r="A138" s="125" t="s">
        <v>160</v>
      </c>
      <c r="B138" s="126" t="s">
        <v>607</v>
      </c>
      <c r="C138" s="126" t="s">
        <v>238</v>
      </c>
      <c r="D138" s="126" t="s">
        <v>236</v>
      </c>
      <c r="E138" s="127" t="s">
        <v>27</v>
      </c>
      <c r="F138" s="128">
        <v>6284.08</v>
      </c>
      <c r="G138" s="128"/>
      <c r="H138" s="127" t="s">
        <v>27</v>
      </c>
      <c r="I138" s="129" t="s">
        <v>29</v>
      </c>
      <c r="J138" s="129"/>
      <c r="K138" s="130" t="s">
        <v>22</v>
      </c>
      <c r="L138" s="131">
        <v>2600516.4300000002</v>
      </c>
    </row>
    <row r="139" spans="1:12" ht="71.400000000000006" x14ac:dyDescent="0.3">
      <c r="A139" s="125" t="s">
        <v>160</v>
      </c>
      <c r="B139" s="126" t="s">
        <v>608</v>
      </c>
      <c r="C139" s="126" t="s">
        <v>174</v>
      </c>
      <c r="D139" s="126" t="s">
        <v>490</v>
      </c>
      <c r="E139" s="127" t="s">
        <v>175</v>
      </c>
      <c r="F139" s="133" t="s">
        <v>29</v>
      </c>
      <c r="G139" s="133"/>
      <c r="H139" s="127" t="s">
        <v>27</v>
      </c>
      <c r="I139" s="134">
        <v>83958.33</v>
      </c>
      <c r="J139" s="134"/>
      <c r="K139" s="130" t="s">
        <v>22</v>
      </c>
      <c r="L139" s="131">
        <v>2516558.1</v>
      </c>
    </row>
    <row r="140" spans="1:12" ht="61.2" x14ac:dyDescent="0.3">
      <c r="A140" s="125" t="s">
        <v>160</v>
      </c>
      <c r="B140" s="126" t="s">
        <v>608</v>
      </c>
      <c r="C140" s="126" t="s">
        <v>174</v>
      </c>
      <c r="D140" s="126" t="s">
        <v>271</v>
      </c>
      <c r="E140" s="127" t="s">
        <v>175</v>
      </c>
      <c r="F140" s="133" t="s">
        <v>29</v>
      </c>
      <c r="G140" s="133"/>
      <c r="H140" s="127" t="s">
        <v>27</v>
      </c>
      <c r="I140" s="134">
        <v>32005.83</v>
      </c>
      <c r="J140" s="134"/>
      <c r="K140" s="130" t="s">
        <v>22</v>
      </c>
      <c r="L140" s="131">
        <v>2484552.27</v>
      </c>
    </row>
    <row r="141" spans="1:12" ht="61.2" x14ac:dyDescent="0.3">
      <c r="A141" s="125" t="s">
        <v>160</v>
      </c>
      <c r="B141" s="126" t="s">
        <v>608</v>
      </c>
      <c r="C141" s="126" t="s">
        <v>174</v>
      </c>
      <c r="D141" s="126" t="s">
        <v>285</v>
      </c>
      <c r="E141" s="127" t="s">
        <v>175</v>
      </c>
      <c r="F141" s="133" t="s">
        <v>29</v>
      </c>
      <c r="G141" s="133"/>
      <c r="H141" s="127" t="s">
        <v>27</v>
      </c>
      <c r="I141" s="134">
        <v>40366.82</v>
      </c>
      <c r="J141" s="134"/>
      <c r="K141" s="130" t="s">
        <v>22</v>
      </c>
      <c r="L141" s="131">
        <v>2444185.4500000002</v>
      </c>
    </row>
    <row r="142" spans="1:12" ht="61.2" x14ac:dyDescent="0.3">
      <c r="A142" s="125" t="s">
        <v>160</v>
      </c>
      <c r="B142" s="126" t="s">
        <v>608</v>
      </c>
      <c r="C142" s="126" t="s">
        <v>174</v>
      </c>
      <c r="D142" s="126" t="s">
        <v>285</v>
      </c>
      <c r="E142" s="127" t="s">
        <v>175</v>
      </c>
      <c r="F142" s="133" t="s">
        <v>29</v>
      </c>
      <c r="G142" s="133"/>
      <c r="H142" s="127" t="s">
        <v>27</v>
      </c>
      <c r="I142" s="134">
        <v>21144.53</v>
      </c>
      <c r="J142" s="134"/>
      <c r="K142" s="130" t="s">
        <v>22</v>
      </c>
      <c r="L142" s="131">
        <v>2423040.92</v>
      </c>
    </row>
    <row r="143" spans="1:12" ht="61.2" x14ac:dyDescent="0.3">
      <c r="A143" s="125" t="s">
        <v>160</v>
      </c>
      <c r="B143" s="126" t="s">
        <v>608</v>
      </c>
      <c r="C143" s="126" t="s">
        <v>174</v>
      </c>
      <c r="D143" s="126" t="s">
        <v>606</v>
      </c>
      <c r="E143" s="127" t="s">
        <v>175</v>
      </c>
      <c r="F143" s="133" t="s">
        <v>29</v>
      </c>
      <c r="G143" s="133"/>
      <c r="H143" s="127" t="s">
        <v>27</v>
      </c>
      <c r="I143" s="134">
        <v>7006.58</v>
      </c>
      <c r="J143" s="134"/>
      <c r="K143" s="130" t="s">
        <v>22</v>
      </c>
      <c r="L143" s="131">
        <v>2416034.34</v>
      </c>
    </row>
    <row r="144" spans="1:12" ht="61.2" x14ac:dyDescent="0.3">
      <c r="A144" s="125" t="s">
        <v>160</v>
      </c>
      <c r="B144" s="126" t="s">
        <v>608</v>
      </c>
      <c r="C144" s="126" t="s">
        <v>174</v>
      </c>
      <c r="D144" s="126" t="s">
        <v>316</v>
      </c>
      <c r="E144" s="127" t="s">
        <v>175</v>
      </c>
      <c r="F144" s="133" t="s">
        <v>29</v>
      </c>
      <c r="G144" s="133"/>
      <c r="H144" s="127" t="s">
        <v>27</v>
      </c>
      <c r="I144" s="134">
        <v>21890.84</v>
      </c>
      <c r="J144" s="134"/>
      <c r="K144" s="130" t="s">
        <v>22</v>
      </c>
      <c r="L144" s="131">
        <v>2394143.5</v>
      </c>
    </row>
    <row r="145" spans="1:12" ht="61.2" x14ac:dyDescent="0.3">
      <c r="A145" s="125" t="s">
        <v>160</v>
      </c>
      <c r="B145" s="126" t="s">
        <v>608</v>
      </c>
      <c r="C145" s="126" t="s">
        <v>174</v>
      </c>
      <c r="D145" s="126" t="s">
        <v>316</v>
      </c>
      <c r="E145" s="127" t="s">
        <v>175</v>
      </c>
      <c r="F145" s="133" t="s">
        <v>29</v>
      </c>
      <c r="G145" s="133"/>
      <c r="H145" s="127" t="s">
        <v>27</v>
      </c>
      <c r="I145" s="134">
        <v>55324.14</v>
      </c>
      <c r="J145" s="134"/>
      <c r="K145" s="130" t="s">
        <v>22</v>
      </c>
      <c r="L145" s="131">
        <v>2338819.36</v>
      </c>
    </row>
    <row r="146" spans="1:12" ht="61.2" x14ac:dyDescent="0.3">
      <c r="A146" s="125" t="s">
        <v>160</v>
      </c>
      <c r="B146" s="126" t="s">
        <v>608</v>
      </c>
      <c r="C146" s="126" t="s">
        <v>174</v>
      </c>
      <c r="D146" s="126" t="s">
        <v>328</v>
      </c>
      <c r="E146" s="127" t="s">
        <v>175</v>
      </c>
      <c r="F146" s="133" t="s">
        <v>29</v>
      </c>
      <c r="G146" s="133"/>
      <c r="H146" s="127" t="s">
        <v>27</v>
      </c>
      <c r="I146" s="134">
        <v>22296.15</v>
      </c>
      <c r="J146" s="134"/>
      <c r="K146" s="130" t="s">
        <v>22</v>
      </c>
      <c r="L146" s="131">
        <v>2316523.21</v>
      </c>
    </row>
    <row r="147" spans="1:12" ht="61.2" x14ac:dyDescent="0.3">
      <c r="A147" s="125" t="s">
        <v>160</v>
      </c>
      <c r="B147" s="126" t="s">
        <v>608</v>
      </c>
      <c r="C147" s="126" t="s">
        <v>174</v>
      </c>
      <c r="D147" s="126" t="s">
        <v>238</v>
      </c>
      <c r="E147" s="127" t="s">
        <v>175</v>
      </c>
      <c r="F147" s="133" t="s">
        <v>29</v>
      </c>
      <c r="G147" s="133"/>
      <c r="H147" s="127" t="s">
        <v>27</v>
      </c>
      <c r="I147" s="134">
        <v>2094.69</v>
      </c>
      <c r="J147" s="134"/>
      <c r="K147" s="130" t="s">
        <v>22</v>
      </c>
      <c r="L147" s="131">
        <v>2314428.52</v>
      </c>
    </row>
    <row r="148" spans="1:12" ht="61.2" x14ac:dyDescent="0.3">
      <c r="A148" s="125" t="s">
        <v>160</v>
      </c>
      <c r="B148" s="126" t="s">
        <v>608</v>
      </c>
      <c r="C148" s="126" t="s">
        <v>174</v>
      </c>
      <c r="D148" s="126" t="s">
        <v>238</v>
      </c>
      <c r="E148" s="127" t="s">
        <v>175</v>
      </c>
      <c r="F148" s="133" t="s">
        <v>29</v>
      </c>
      <c r="G148" s="133"/>
      <c r="H148" s="127" t="s">
        <v>27</v>
      </c>
      <c r="I148" s="134">
        <v>4189.3900000000003</v>
      </c>
      <c r="J148" s="134"/>
      <c r="K148" s="130" t="s">
        <v>22</v>
      </c>
      <c r="L148" s="131">
        <v>2310239.13</v>
      </c>
    </row>
    <row r="149" spans="1:12" ht="61.2" x14ac:dyDescent="0.3">
      <c r="A149" s="125" t="s">
        <v>160</v>
      </c>
      <c r="B149" s="126" t="s">
        <v>608</v>
      </c>
      <c r="C149" s="126" t="s">
        <v>174</v>
      </c>
      <c r="D149" s="126" t="s">
        <v>363</v>
      </c>
      <c r="E149" s="127" t="s">
        <v>175</v>
      </c>
      <c r="F149" s="133" t="s">
        <v>29</v>
      </c>
      <c r="G149" s="133"/>
      <c r="H149" s="127" t="s">
        <v>27</v>
      </c>
      <c r="I149" s="134">
        <v>1983.66</v>
      </c>
      <c r="J149" s="134"/>
      <c r="K149" s="130" t="s">
        <v>22</v>
      </c>
      <c r="L149" s="131">
        <v>2308255.4700000002</v>
      </c>
    </row>
    <row r="150" spans="1:12" ht="61.2" x14ac:dyDescent="0.3">
      <c r="A150" s="125" t="s">
        <v>160</v>
      </c>
      <c r="B150" s="126" t="s">
        <v>608</v>
      </c>
      <c r="C150" s="126" t="s">
        <v>174</v>
      </c>
      <c r="D150" s="126" t="s">
        <v>328</v>
      </c>
      <c r="E150" s="127" t="s">
        <v>175</v>
      </c>
      <c r="F150" s="133" t="s">
        <v>29</v>
      </c>
      <c r="G150" s="133"/>
      <c r="H150" s="127" t="s">
        <v>27</v>
      </c>
      <c r="I150" s="134">
        <v>12161.54</v>
      </c>
      <c r="J150" s="134"/>
      <c r="K150" s="130" t="s">
        <v>22</v>
      </c>
      <c r="L150" s="131">
        <v>2296093.9300000002</v>
      </c>
    </row>
    <row r="151" spans="1:12" ht="61.2" x14ac:dyDescent="0.3">
      <c r="A151" s="125" t="s">
        <v>160</v>
      </c>
      <c r="B151" s="126" t="s">
        <v>608</v>
      </c>
      <c r="C151" s="126" t="s">
        <v>174</v>
      </c>
      <c r="D151" s="126" t="s">
        <v>328</v>
      </c>
      <c r="E151" s="127" t="s">
        <v>175</v>
      </c>
      <c r="F151" s="133" t="s">
        <v>29</v>
      </c>
      <c r="G151" s="133"/>
      <c r="H151" s="127" t="s">
        <v>27</v>
      </c>
      <c r="I151" s="134">
        <v>8107.69</v>
      </c>
      <c r="J151" s="134"/>
      <c r="K151" s="130" t="s">
        <v>22</v>
      </c>
      <c r="L151" s="131">
        <v>2287986.2400000002</v>
      </c>
    </row>
    <row r="152" spans="1:12" ht="71.400000000000006" x14ac:dyDescent="0.3">
      <c r="A152" s="125" t="s">
        <v>160</v>
      </c>
      <c r="B152" s="126" t="s">
        <v>608</v>
      </c>
      <c r="C152" s="126" t="s">
        <v>174</v>
      </c>
      <c r="D152" s="126" t="s">
        <v>609</v>
      </c>
      <c r="E152" s="127" t="s">
        <v>175</v>
      </c>
      <c r="F152" s="133" t="s">
        <v>29</v>
      </c>
      <c r="G152" s="133"/>
      <c r="H152" s="127" t="s">
        <v>27</v>
      </c>
      <c r="I152" s="134">
        <v>3030.5</v>
      </c>
      <c r="J152" s="134"/>
      <c r="K152" s="130" t="s">
        <v>22</v>
      </c>
      <c r="L152" s="131">
        <v>2284955.7400000002</v>
      </c>
    </row>
    <row r="153" spans="1:12" ht="61.2" x14ac:dyDescent="0.3">
      <c r="A153" s="125" t="s">
        <v>160</v>
      </c>
      <c r="B153" s="126" t="s">
        <v>608</v>
      </c>
      <c r="C153" s="126" t="s">
        <v>174</v>
      </c>
      <c r="D153" s="126" t="s">
        <v>525</v>
      </c>
      <c r="E153" s="127" t="s">
        <v>175</v>
      </c>
      <c r="F153" s="133" t="s">
        <v>29</v>
      </c>
      <c r="G153" s="133"/>
      <c r="H153" s="127" t="s">
        <v>27</v>
      </c>
      <c r="I153" s="135">
        <v>94.6</v>
      </c>
      <c r="J153" s="135"/>
      <c r="K153" s="130" t="s">
        <v>22</v>
      </c>
      <c r="L153" s="131">
        <v>2284861.14</v>
      </c>
    </row>
    <row r="154" spans="1:12" ht="61.2" x14ac:dyDescent="0.3">
      <c r="A154" s="125" t="s">
        <v>160</v>
      </c>
      <c r="B154" s="126" t="s">
        <v>608</v>
      </c>
      <c r="C154" s="126" t="s">
        <v>174</v>
      </c>
      <c r="D154" s="126" t="s">
        <v>610</v>
      </c>
      <c r="E154" s="127" t="s">
        <v>175</v>
      </c>
      <c r="F154" s="133" t="s">
        <v>29</v>
      </c>
      <c r="G154" s="133"/>
      <c r="H154" s="127" t="s">
        <v>27</v>
      </c>
      <c r="I154" s="134">
        <v>2129.7800000000002</v>
      </c>
      <c r="J154" s="134"/>
      <c r="K154" s="130" t="s">
        <v>22</v>
      </c>
      <c r="L154" s="131">
        <v>2282731.36</v>
      </c>
    </row>
    <row r="155" spans="1:12" ht="61.2" x14ac:dyDescent="0.3">
      <c r="A155" s="125" t="s">
        <v>160</v>
      </c>
      <c r="B155" s="126" t="s">
        <v>608</v>
      </c>
      <c r="C155" s="126" t="s">
        <v>174</v>
      </c>
      <c r="D155" s="126" t="s">
        <v>611</v>
      </c>
      <c r="E155" s="127" t="s">
        <v>175</v>
      </c>
      <c r="F155" s="133" t="s">
        <v>29</v>
      </c>
      <c r="G155" s="133"/>
      <c r="H155" s="127" t="s">
        <v>27</v>
      </c>
      <c r="I155" s="134">
        <v>1839.83</v>
      </c>
      <c r="J155" s="134"/>
      <c r="K155" s="130" t="s">
        <v>22</v>
      </c>
      <c r="L155" s="131">
        <v>2280891.5299999998</v>
      </c>
    </row>
    <row r="156" spans="1:12" ht="61.2" x14ac:dyDescent="0.3">
      <c r="A156" s="125" t="s">
        <v>160</v>
      </c>
      <c r="B156" s="126" t="s">
        <v>608</v>
      </c>
      <c r="C156" s="126" t="s">
        <v>174</v>
      </c>
      <c r="D156" s="126" t="s">
        <v>612</v>
      </c>
      <c r="E156" s="127" t="s">
        <v>175</v>
      </c>
      <c r="F156" s="133" t="s">
        <v>29</v>
      </c>
      <c r="G156" s="133"/>
      <c r="H156" s="127" t="s">
        <v>27</v>
      </c>
      <c r="I156" s="134">
        <v>3483.32</v>
      </c>
      <c r="J156" s="134"/>
      <c r="K156" s="130" t="s">
        <v>22</v>
      </c>
      <c r="L156" s="131">
        <v>2277408.21</v>
      </c>
    </row>
    <row r="157" spans="1:12" ht="61.2" x14ac:dyDescent="0.3">
      <c r="A157" s="125" t="s">
        <v>160</v>
      </c>
      <c r="B157" s="126" t="s">
        <v>608</v>
      </c>
      <c r="C157" s="126" t="s">
        <v>174</v>
      </c>
      <c r="D157" s="126" t="s">
        <v>613</v>
      </c>
      <c r="E157" s="127" t="s">
        <v>175</v>
      </c>
      <c r="F157" s="133" t="s">
        <v>29</v>
      </c>
      <c r="G157" s="133"/>
      <c r="H157" s="127" t="s">
        <v>27</v>
      </c>
      <c r="I157" s="135">
        <v>300.23</v>
      </c>
      <c r="J157" s="135"/>
      <c r="K157" s="130" t="s">
        <v>22</v>
      </c>
      <c r="L157" s="131">
        <v>2277107.98</v>
      </c>
    </row>
    <row r="158" spans="1:12" ht="61.2" x14ac:dyDescent="0.3">
      <c r="A158" s="125" t="s">
        <v>160</v>
      </c>
      <c r="B158" s="126" t="s">
        <v>614</v>
      </c>
      <c r="C158" s="126" t="s">
        <v>174</v>
      </c>
      <c r="D158" s="126" t="s">
        <v>394</v>
      </c>
      <c r="E158" s="127" t="s">
        <v>175</v>
      </c>
      <c r="F158" s="133" t="s">
        <v>29</v>
      </c>
      <c r="G158" s="133"/>
      <c r="H158" s="127" t="s">
        <v>27</v>
      </c>
      <c r="I158" s="135">
        <v>810</v>
      </c>
      <c r="J158" s="135"/>
      <c r="K158" s="130" t="s">
        <v>22</v>
      </c>
      <c r="L158" s="131">
        <v>2276297.98</v>
      </c>
    </row>
    <row r="159" spans="1:12" ht="61.2" x14ac:dyDescent="0.3">
      <c r="A159" s="125" t="s">
        <v>160</v>
      </c>
      <c r="B159" s="126" t="s">
        <v>614</v>
      </c>
      <c r="C159" s="126" t="s">
        <v>174</v>
      </c>
      <c r="D159" s="126" t="s">
        <v>396</v>
      </c>
      <c r="E159" s="127" t="s">
        <v>175</v>
      </c>
      <c r="F159" s="133" t="s">
        <v>29</v>
      </c>
      <c r="G159" s="133"/>
      <c r="H159" s="127" t="s">
        <v>27</v>
      </c>
      <c r="I159" s="135">
        <v>125.37</v>
      </c>
      <c r="J159" s="135"/>
      <c r="K159" s="130" t="s">
        <v>22</v>
      </c>
      <c r="L159" s="131">
        <v>2276172.61</v>
      </c>
    </row>
    <row r="160" spans="1:12" ht="61.2" x14ac:dyDescent="0.3">
      <c r="A160" s="125" t="s">
        <v>160</v>
      </c>
      <c r="B160" s="126" t="s">
        <v>614</v>
      </c>
      <c r="C160" s="126" t="s">
        <v>174</v>
      </c>
      <c r="D160" s="126" t="s">
        <v>397</v>
      </c>
      <c r="E160" s="127" t="s">
        <v>175</v>
      </c>
      <c r="F160" s="133" t="s">
        <v>29</v>
      </c>
      <c r="G160" s="133"/>
      <c r="H160" s="127" t="s">
        <v>27</v>
      </c>
      <c r="I160" s="135">
        <v>119.37</v>
      </c>
      <c r="J160" s="135"/>
      <c r="K160" s="130" t="s">
        <v>22</v>
      </c>
      <c r="L160" s="131">
        <v>2276053.2400000002</v>
      </c>
    </row>
    <row r="161" spans="1:12" ht="61.2" hidden="1" x14ac:dyDescent="0.3">
      <c r="A161" s="125" t="s">
        <v>85</v>
      </c>
      <c r="B161" s="126" t="s">
        <v>170</v>
      </c>
      <c r="C161" s="126" t="s">
        <v>171</v>
      </c>
      <c r="D161" s="126" t="s">
        <v>172</v>
      </c>
      <c r="E161" s="127" t="s">
        <v>27</v>
      </c>
      <c r="F161" s="133" t="s">
        <v>29</v>
      </c>
      <c r="G161" s="133"/>
      <c r="H161" s="127" t="s">
        <v>27</v>
      </c>
      <c r="I161" s="134">
        <v>3596</v>
      </c>
      <c r="J161" s="134"/>
      <c r="K161" s="130" t="s">
        <v>22</v>
      </c>
      <c r="L161" s="131">
        <v>2272457.2400000002</v>
      </c>
    </row>
    <row r="162" spans="1:12" hidden="1" x14ac:dyDescent="0.3">
      <c r="A162" s="136" t="s">
        <v>102</v>
      </c>
      <c r="B162" s="136"/>
      <c r="C162" s="136"/>
      <c r="D162" s="136"/>
      <c r="E162" s="137">
        <v>2589393.4</v>
      </c>
      <c r="F162" s="137"/>
      <c r="G162" s="137"/>
      <c r="H162" s="137">
        <v>754221.7</v>
      </c>
      <c r="I162" s="137"/>
      <c r="J162" s="137"/>
      <c r="K162" s="138" t="s">
        <v>22</v>
      </c>
      <c r="L162" s="139">
        <v>2272457.2400000002</v>
      </c>
    </row>
    <row r="164" spans="1:12" x14ac:dyDescent="0.3">
      <c r="J164">
        <f>SUBTOTAL(9,I11:J160)</f>
        <v>750560.69999999972</v>
      </c>
    </row>
  </sheetData>
  <autoFilter ref="B1:D162">
    <filterColumn colId="0">
      <filters>
        <filter val="Вимога-накладна ІБ00-000146 від 06.03.2025 20:20:00_x000a_Списаны ТМЦ"/>
        <filter val="Вимога-накладна ІБ00-000150 від 06.03.2025 22:00:00_x000a_Списаны ТМЦ"/>
        <filter val="Вимога-накладна ІБ00-000199 від 18.03.2025 14:58:04_x000a_Списаны ТМЦ"/>
        <filter val="Вимога-накладна ІБ00-000219 від 26.03.2025 15:03:50_x000a_Списаны ТМЦ"/>
        <filter val="Вимога-накладна ІБ00-000224 від 27.03.2025 13:54:56_x000a_Списаны ТМЦ"/>
        <filter val="Надходження дод. витрат ІБ00-000122 від 07.03.2025 18:55:26_x000a_Доп. расходы при поступлении товаров (Зачет аванса поставщику)"/>
        <filter val="Надходження дод. витрат ІБ00-000147 від 01.03.2025 18:17:07_x000a_Доп. расходы при поступлении товаров"/>
        <filter val="Списання товарів ІБ00-000154 від 26.03.2025 15:09:47_x000a_Списаны ТМЦ"/>
        <filter val="Списання товарів ІБ00-000156 від 27.03.2025 14:00:39_x000a_Списаны ТМЦ"/>
      </filters>
    </filterColumn>
  </autoFilter>
  <mergeCells count="330">
    <mergeCell ref="F160:G160"/>
    <mergeCell ref="I160:J160"/>
    <mergeCell ref="F161:G161"/>
    <mergeCell ref="I161:J161"/>
    <mergeCell ref="A162:D162"/>
    <mergeCell ref="E162:G162"/>
    <mergeCell ref="H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96"/>
  <sheetViews>
    <sheetView topLeftCell="A87" workbookViewId="0">
      <selection activeCell="J96" sqref="J96"/>
    </sheetView>
  </sheetViews>
  <sheetFormatPr defaultRowHeight="14.4" x14ac:dyDescent="0.3"/>
  <cols>
    <col min="2" max="4" width="24.109375" customWidth="1"/>
  </cols>
  <sheetData>
    <row r="1" spans="1:12" x14ac:dyDescent="0.3">
      <c r="A1" s="140" t="s">
        <v>13</v>
      </c>
      <c r="B1" s="141" t="s">
        <v>14</v>
      </c>
      <c r="C1" s="141" t="s">
        <v>15</v>
      </c>
      <c r="D1" s="142" t="s">
        <v>16</v>
      </c>
      <c r="E1" s="143" t="s">
        <v>17</v>
      </c>
      <c r="F1" s="143"/>
      <c r="G1" s="143"/>
      <c r="H1" s="144" t="s">
        <v>18</v>
      </c>
      <c r="I1" s="144"/>
      <c r="J1" s="144"/>
      <c r="K1" s="141" t="s">
        <v>19</v>
      </c>
      <c r="L1" s="141"/>
    </row>
    <row r="2" spans="1:12" hidden="1" x14ac:dyDescent="0.3">
      <c r="A2" s="145"/>
      <c r="B2" s="146"/>
      <c r="C2" s="146"/>
      <c r="D2" s="147"/>
      <c r="E2" s="148" t="s">
        <v>20</v>
      </c>
      <c r="F2" s="149"/>
      <c r="G2" s="149"/>
      <c r="H2" s="150" t="s">
        <v>20</v>
      </c>
      <c r="I2" s="151"/>
      <c r="J2" s="151"/>
      <c r="K2" s="145"/>
      <c r="L2" s="152"/>
    </row>
    <row r="3" spans="1:12" ht="61.2" hidden="1" x14ac:dyDescent="0.3">
      <c r="A3" s="153" t="s">
        <v>23</v>
      </c>
      <c r="B3" s="154" t="s">
        <v>235</v>
      </c>
      <c r="C3" s="154" t="s">
        <v>236</v>
      </c>
      <c r="D3" s="154" t="s">
        <v>231</v>
      </c>
      <c r="E3" s="155" t="s">
        <v>27</v>
      </c>
      <c r="F3" s="156">
        <v>6284.08</v>
      </c>
      <c r="G3" s="156"/>
      <c r="H3" s="155" t="s">
        <v>27</v>
      </c>
      <c r="I3" s="157" t="s">
        <v>29</v>
      </c>
      <c r="J3" s="157"/>
      <c r="K3" s="158" t="s">
        <v>22</v>
      </c>
      <c r="L3" s="159">
        <v>20886.3</v>
      </c>
    </row>
    <row r="4" spans="1:12" ht="71.400000000000006" hidden="1" x14ac:dyDescent="0.3">
      <c r="A4" s="153" t="s">
        <v>23</v>
      </c>
      <c r="B4" s="154" t="s">
        <v>615</v>
      </c>
      <c r="C4" s="154" t="s">
        <v>616</v>
      </c>
      <c r="D4" s="154" t="s">
        <v>617</v>
      </c>
      <c r="E4" s="155" t="s">
        <v>27</v>
      </c>
      <c r="F4" s="156">
        <v>2235.6999999999998</v>
      </c>
      <c r="G4" s="156"/>
      <c r="H4" s="155" t="s">
        <v>28</v>
      </c>
      <c r="I4" s="157" t="s">
        <v>29</v>
      </c>
      <c r="J4" s="157"/>
      <c r="K4" s="158" t="s">
        <v>22</v>
      </c>
      <c r="L4" s="159">
        <v>23122</v>
      </c>
    </row>
    <row r="5" spans="1:12" ht="71.400000000000006" hidden="1" x14ac:dyDescent="0.3">
      <c r="A5" s="153" t="s">
        <v>23</v>
      </c>
      <c r="B5" s="154" t="s">
        <v>615</v>
      </c>
      <c r="C5" s="154" t="s">
        <v>618</v>
      </c>
      <c r="D5" s="154" t="s">
        <v>617</v>
      </c>
      <c r="E5" s="155" t="s">
        <v>27</v>
      </c>
      <c r="F5" s="156">
        <v>2167.1</v>
      </c>
      <c r="G5" s="156"/>
      <c r="H5" s="155" t="s">
        <v>28</v>
      </c>
      <c r="I5" s="157" t="s">
        <v>29</v>
      </c>
      <c r="J5" s="157"/>
      <c r="K5" s="158" t="s">
        <v>22</v>
      </c>
      <c r="L5" s="159">
        <v>25289.1</v>
      </c>
    </row>
    <row r="6" spans="1:12" ht="71.400000000000006" hidden="1" x14ac:dyDescent="0.3">
      <c r="A6" s="153" t="s">
        <v>23</v>
      </c>
      <c r="B6" s="154" t="s">
        <v>615</v>
      </c>
      <c r="C6" s="154" t="s">
        <v>619</v>
      </c>
      <c r="D6" s="154" t="s">
        <v>617</v>
      </c>
      <c r="E6" s="155" t="s">
        <v>27</v>
      </c>
      <c r="F6" s="156">
        <v>2731</v>
      </c>
      <c r="G6" s="156"/>
      <c r="H6" s="155" t="s">
        <v>28</v>
      </c>
      <c r="I6" s="157" t="s">
        <v>29</v>
      </c>
      <c r="J6" s="157"/>
      <c r="K6" s="158" t="s">
        <v>22</v>
      </c>
      <c r="L6" s="159">
        <v>28020.1</v>
      </c>
    </row>
    <row r="7" spans="1:12" ht="71.400000000000006" hidden="1" x14ac:dyDescent="0.3">
      <c r="A7" s="153" t="s">
        <v>23</v>
      </c>
      <c r="B7" s="154" t="s">
        <v>615</v>
      </c>
      <c r="C7" s="154" t="s">
        <v>616</v>
      </c>
      <c r="D7" s="154" t="s">
        <v>617</v>
      </c>
      <c r="E7" s="155" t="s">
        <v>27</v>
      </c>
      <c r="F7" s="156">
        <v>2264.8000000000002</v>
      </c>
      <c r="G7" s="156"/>
      <c r="H7" s="155" t="s">
        <v>28</v>
      </c>
      <c r="I7" s="157" t="s">
        <v>29</v>
      </c>
      <c r="J7" s="157"/>
      <c r="K7" s="158" t="s">
        <v>22</v>
      </c>
      <c r="L7" s="159">
        <v>30284.9</v>
      </c>
    </row>
    <row r="8" spans="1:12" ht="71.400000000000006" hidden="1" x14ac:dyDescent="0.3">
      <c r="A8" s="153" t="s">
        <v>23</v>
      </c>
      <c r="B8" s="154" t="s">
        <v>615</v>
      </c>
      <c r="C8" s="154" t="s">
        <v>616</v>
      </c>
      <c r="D8" s="154" t="s">
        <v>617</v>
      </c>
      <c r="E8" s="155" t="s">
        <v>27</v>
      </c>
      <c r="F8" s="156">
        <v>2251.4</v>
      </c>
      <c r="G8" s="156"/>
      <c r="H8" s="155" t="s">
        <v>28</v>
      </c>
      <c r="I8" s="157" t="s">
        <v>29</v>
      </c>
      <c r="J8" s="157"/>
      <c r="K8" s="158" t="s">
        <v>22</v>
      </c>
      <c r="L8" s="159">
        <v>32536.3</v>
      </c>
    </row>
    <row r="9" spans="1:12" ht="71.400000000000006" hidden="1" x14ac:dyDescent="0.3">
      <c r="A9" s="153" t="s">
        <v>23</v>
      </c>
      <c r="B9" s="154" t="s">
        <v>615</v>
      </c>
      <c r="C9" s="154" t="s">
        <v>616</v>
      </c>
      <c r="D9" s="154" t="s">
        <v>617</v>
      </c>
      <c r="E9" s="155" t="s">
        <v>27</v>
      </c>
      <c r="F9" s="156">
        <v>2239.5</v>
      </c>
      <c r="G9" s="156"/>
      <c r="H9" s="155" t="s">
        <v>28</v>
      </c>
      <c r="I9" s="157" t="s">
        <v>29</v>
      </c>
      <c r="J9" s="157"/>
      <c r="K9" s="158" t="s">
        <v>22</v>
      </c>
      <c r="L9" s="159">
        <v>34775.800000000003</v>
      </c>
    </row>
    <row r="10" spans="1:12" ht="71.400000000000006" hidden="1" x14ac:dyDescent="0.3">
      <c r="A10" s="153" t="s">
        <v>23</v>
      </c>
      <c r="B10" s="154" t="s">
        <v>615</v>
      </c>
      <c r="C10" s="154" t="s">
        <v>620</v>
      </c>
      <c r="D10" s="154" t="s">
        <v>617</v>
      </c>
      <c r="E10" s="155" t="s">
        <v>27</v>
      </c>
      <c r="F10" s="156">
        <v>2070.9</v>
      </c>
      <c r="G10" s="156"/>
      <c r="H10" s="155" t="s">
        <v>28</v>
      </c>
      <c r="I10" s="157" t="s">
        <v>29</v>
      </c>
      <c r="J10" s="157"/>
      <c r="K10" s="158" t="s">
        <v>22</v>
      </c>
      <c r="L10" s="159">
        <v>36846.699999999997</v>
      </c>
    </row>
    <row r="11" spans="1:12" ht="71.400000000000006" hidden="1" x14ac:dyDescent="0.3">
      <c r="A11" s="153" t="s">
        <v>23</v>
      </c>
      <c r="B11" s="154" t="s">
        <v>615</v>
      </c>
      <c r="C11" s="154" t="s">
        <v>620</v>
      </c>
      <c r="D11" s="154" t="s">
        <v>617</v>
      </c>
      <c r="E11" s="155" t="s">
        <v>27</v>
      </c>
      <c r="F11" s="156">
        <v>8322.4</v>
      </c>
      <c r="G11" s="156"/>
      <c r="H11" s="155" t="s">
        <v>28</v>
      </c>
      <c r="I11" s="157" t="s">
        <v>29</v>
      </c>
      <c r="J11" s="157"/>
      <c r="K11" s="158" t="s">
        <v>22</v>
      </c>
      <c r="L11" s="159">
        <v>45169.1</v>
      </c>
    </row>
    <row r="12" spans="1:12" ht="71.400000000000006" hidden="1" x14ac:dyDescent="0.3">
      <c r="A12" s="153" t="s">
        <v>23</v>
      </c>
      <c r="B12" s="154" t="s">
        <v>621</v>
      </c>
      <c r="C12" s="154" t="s">
        <v>620</v>
      </c>
      <c r="D12" s="154" t="s">
        <v>617</v>
      </c>
      <c r="E12" s="155" t="s">
        <v>27</v>
      </c>
      <c r="F12" s="160">
        <v>194.43</v>
      </c>
      <c r="G12" s="160"/>
      <c r="H12" s="155" t="s">
        <v>28</v>
      </c>
      <c r="I12" s="157" t="s">
        <v>29</v>
      </c>
      <c r="J12" s="157"/>
      <c r="K12" s="158" t="s">
        <v>22</v>
      </c>
      <c r="L12" s="159">
        <v>45363.53</v>
      </c>
    </row>
    <row r="13" spans="1:12" ht="71.400000000000006" hidden="1" x14ac:dyDescent="0.3">
      <c r="A13" s="153" t="s">
        <v>23</v>
      </c>
      <c r="B13" s="154" t="s">
        <v>615</v>
      </c>
      <c r="C13" s="154" t="s">
        <v>620</v>
      </c>
      <c r="D13" s="154" t="s">
        <v>617</v>
      </c>
      <c r="E13" s="155" t="s">
        <v>27</v>
      </c>
      <c r="F13" s="156">
        <v>1872.77</v>
      </c>
      <c r="G13" s="156"/>
      <c r="H13" s="155" t="s">
        <v>28</v>
      </c>
      <c r="I13" s="157" t="s">
        <v>29</v>
      </c>
      <c r="J13" s="157"/>
      <c r="K13" s="158" t="s">
        <v>22</v>
      </c>
      <c r="L13" s="159">
        <v>47236.3</v>
      </c>
    </row>
    <row r="14" spans="1:12" ht="71.400000000000006" hidden="1" x14ac:dyDescent="0.3">
      <c r="A14" s="153" t="s">
        <v>23</v>
      </c>
      <c r="B14" s="154" t="s">
        <v>621</v>
      </c>
      <c r="C14" s="154" t="s">
        <v>622</v>
      </c>
      <c r="D14" s="154" t="s">
        <v>617</v>
      </c>
      <c r="E14" s="155" t="s">
        <v>27</v>
      </c>
      <c r="F14" s="156">
        <v>2831.7</v>
      </c>
      <c r="G14" s="156"/>
      <c r="H14" s="155" t="s">
        <v>28</v>
      </c>
      <c r="I14" s="157" t="s">
        <v>29</v>
      </c>
      <c r="J14" s="157"/>
      <c r="K14" s="158" t="s">
        <v>22</v>
      </c>
      <c r="L14" s="159">
        <v>50068</v>
      </c>
    </row>
    <row r="15" spans="1:12" ht="71.400000000000006" hidden="1" x14ac:dyDescent="0.3">
      <c r="A15" s="153" t="s">
        <v>23</v>
      </c>
      <c r="B15" s="154" t="s">
        <v>621</v>
      </c>
      <c r="C15" s="154" t="s">
        <v>623</v>
      </c>
      <c r="D15" s="154" t="s">
        <v>617</v>
      </c>
      <c r="E15" s="155" t="s">
        <v>27</v>
      </c>
      <c r="F15" s="156">
        <v>2067.9</v>
      </c>
      <c r="G15" s="156"/>
      <c r="H15" s="155" t="s">
        <v>28</v>
      </c>
      <c r="I15" s="157" t="s">
        <v>29</v>
      </c>
      <c r="J15" s="157"/>
      <c r="K15" s="158" t="s">
        <v>22</v>
      </c>
      <c r="L15" s="159">
        <v>52135.9</v>
      </c>
    </row>
    <row r="16" spans="1:12" ht="71.400000000000006" hidden="1" x14ac:dyDescent="0.3">
      <c r="A16" s="153" t="s">
        <v>23</v>
      </c>
      <c r="B16" s="154" t="s">
        <v>621</v>
      </c>
      <c r="C16" s="154" t="s">
        <v>624</v>
      </c>
      <c r="D16" s="154" t="s">
        <v>617</v>
      </c>
      <c r="E16" s="155" t="s">
        <v>27</v>
      </c>
      <c r="F16" s="156">
        <v>1997.8</v>
      </c>
      <c r="G16" s="156"/>
      <c r="H16" s="155" t="s">
        <v>28</v>
      </c>
      <c r="I16" s="157" t="s">
        <v>29</v>
      </c>
      <c r="J16" s="157"/>
      <c r="K16" s="158" t="s">
        <v>22</v>
      </c>
      <c r="L16" s="159">
        <v>54133.7</v>
      </c>
    </row>
    <row r="17" spans="1:12" ht="71.400000000000006" hidden="1" x14ac:dyDescent="0.3">
      <c r="A17" s="153" t="s">
        <v>23</v>
      </c>
      <c r="B17" s="154" t="s">
        <v>621</v>
      </c>
      <c r="C17" s="154" t="s">
        <v>625</v>
      </c>
      <c r="D17" s="154" t="s">
        <v>617</v>
      </c>
      <c r="E17" s="155" t="s">
        <v>27</v>
      </c>
      <c r="F17" s="156">
        <v>2158.9</v>
      </c>
      <c r="G17" s="156"/>
      <c r="H17" s="155" t="s">
        <v>28</v>
      </c>
      <c r="I17" s="157" t="s">
        <v>29</v>
      </c>
      <c r="J17" s="157"/>
      <c r="K17" s="158" t="s">
        <v>22</v>
      </c>
      <c r="L17" s="159">
        <v>56292.6</v>
      </c>
    </row>
    <row r="18" spans="1:12" ht="71.400000000000006" hidden="1" x14ac:dyDescent="0.3">
      <c r="A18" s="153" t="s">
        <v>23</v>
      </c>
      <c r="B18" s="154" t="s">
        <v>621</v>
      </c>
      <c r="C18" s="154" t="s">
        <v>623</v>
      </c>
      <c r="D18" s="154" t="s">
        <v>617</v>
      </c>
      <c r="E18" s="155" t="s">
        <v>27</v>
      </c>
      <c r="F18" s="156">
        <v>2062</v>
      </c>
      <c r="G18" s="156"/>
      <c r="H18" s="155" t="s">
        <v>28</v>
      </c>
      <c r="I18" s="157" t="s">
        <v>29</v>
      </c>
      <c r="J18" s="157"/>
      <c r="K18" s="158" t="s">
        <v>22</v>
      </c>
      <c r="L18" s="159">
        <v>58354.6</v>
      </c>
    </row>
    <row r="19" spans="1:12" ht="71.400000000000006" hidden="1" x14ac:dyDescent="0.3">
      <c r="A19" s="153" t="s">
        <v>23</v>
      </c>
      <c r="B19" s="154" t="s">
        <v>621</v>
      </c>
      <c r="C19" s="154" t="s">
        <v>626</v>
      </c>
      <c r="D19" s="154" t="s">
        <v>617</v>
      </c>
      <c r="E19" s="155" t="s">
        <v>27</v>
      </c>
      <c r="F19" s="156">
        <v>2711.6</v>
      </c>
      <c r="G19" s="156"/>
      <c r="H19" s="155" t="s">
        <v>28</v>
      </c>
      <c r="I19" s="157" t="s">
        <v>29</v>
      </c>
      <c r="J19" s="157"/>
      <c r="K19" s="158" t="s">
        <v>22</v>
      </c>
      <c r="L19" s="159">
        <v>61066.2</v>
      </c>
    </row>
    <row r="20" spans="1:12" ht="71.400000000000006" hidden="1" x14ac:dyDescent="0.3">
      <c r="A20" s="153" t="s">
        <v>23</v>
      </c>
      <c r="B20" s="154" t="s">
        <v>621</v>
      </c>
      <c r="C20" s="154" t="s">
        <v>627</v>
      </c>
      <c r="D20" s="154" t="s">
        <v>617</v>
      </c>
      <c r="E20" s="155" t="s">
        <v>27</v>
      </c>
      <c r="F20" s="156">
        <v>3329.9</v>
      </c>
      <c r="G20" s="156"/>
      <c r="H20" s="155" t="s">
        <v>28</v>
      </c>
      <c r="I20" s="157" t="s">
        <v>29</v>
      </c>
      <c r="J20" s="157"/>
      <c r="K20" s="158" t="s">
        <v>22</v>
      </c>
      <c r="L20" s="159">
        <v>64396.1</v>
      </c>
    </row>
    <row r="21" spans="1:12" ht="71.400000000000006" hidden="1" x14ac:dyDescent="0.3">
      <c r="A21" s="153" t="s">
        <v>23</v>
      </c>
      <c r="B21" s="154" t="s">
        <v>621</v>
      </c>
      <c r="C21" s="154" t="s">
        <v>627</v>
      </c>
      <c r="D21" s="154" t="s">
        <v>617</v>
      </c>
      <c r="E21" s="155" t="s">
        <v>27</v>
      </c>
      <c r="F21" s="156">
        <v>3323.2</v>
      </c>
      <c r="G21" s="156"/>
      <c r="H21" s="155" t="s">
        <v>28</v>
      </c>
      <c r="I21" s="157" t="s">
        <v>29</v>
      </c>
      <c r="J21" s="157"/>
      <c r="K21" s="158" t="s">
        <v>22</v>
      </c>
      <c r="L21" s="159">
        <v>67719.3</v>
      </c>
    </row>
    <row r="22" spans="1:12" ht="71.400000000000006" hidden="1" x14ac:dyDescent="0.3">
      <c r="A22" s="153" t="s">
        <v>23</v>
      </c>
      <c r="B22" s="154" t="s">
        <v>621</v>
      </c>
      <c r="C22" s="154" t="s">
        <v>620</v>
      </c>
      <c r="D22" s="154" t="s">
        <v>617</v>
      </c>
      <c r="E22" s="155" t="s">
        <v>27</v>
      </c>
      <c r="F22" s="156">
        <v>2057.5</v>
      </c>
      <c r="G22" s="156"/>
      <c r="H22" s="155" t="s">
        <v>28</v>
      </c>
      <c r="I22" s="157" t="s">
        <v>29</v>
      </c>
      <c r="J22" s="157"/>
      <c r="K22" s="158" t="s">
        <v>22</v>
      </c>
      <c r="L22" s="159">
        <v>69776.800000000003</v>
      </c>
    </row>
    <row r="23" spans="1:12" ht="71.400000000000006" hidden="1" x14ac:dyDescent="0.3">
      <c r="A23" s="153" t="s">
        <v>23</v>
      </c>
      <c r="B23" s="154" t="s">
        <v>621</v>
      </c>
      <c r="C23" s="154" t="s">
        <v>628</v>
      </c>
      <c r="D23" s="154" t="s">
        <v>617</v>
      </c>
      <c r="E23" s="155" t="s">
        <v>27</v>
      </c>
      <c r="F23" s="156">
        <v>1260.9000000000001</v>
      </c>
      <c r="G23" s="156"/>
      <c r="H23" s="155" t="s">
        <v>28</v>
      </c>
      <c r="I23" s="157" t="s">
        <v>29</v>
      </c>
      <c r="J23" s="157"/>
      <c r="K23" s="158" t="s">
        <v>22</v>
      </c>
      <c r="L23" s="159">
        <v>71037.7</v>
      </c>
    </row>
    <row r="24" spans="1:12" ht="71.400000000000006" hidden="1" x14ac:dyDescent="0.3">
      <c r="A24" s="153" t="s">
        <v>23</v>
      </c>
      <c r="B24" s="154" t="s">
        <v>621</v>
      </c>
      <c r="C24" s="154" t="s">
        <v>629</v>
      </c>
      <c r="D24" s="154" t="s">
        <v>617</v>
      </c>
      <c r="E24" s="155" t="s">
        <v>27</v>
      </c>
      <c r="F24" s="156">
        <v>3141.9</v>
      </c>
      <c r="G24" s="156"/>
      <c r="H24" s="155" t="s">
        <v>28</v>
      </c>
      <c r="I24" s="157" t="s">
        <v>29</v>
      </c>
      <c r="J24" s="157"/>
      <c r="K24" s="158" t="s">
        <v>22</v>
      </c>
      <c r="L24" s="159">
        <v>74179.600000000006</v>
      </c>
    </row>
    <row r="25" spans="1:12" ht="71.400000000000006" hidden="1" x14ac:dyDescent="0.3">
      <c r="A25" s="153" t="s">
        <v>23</v>
      </c>
      <c r="B25" s="154" t="s">
        <v>621</v>
      </c>
      <c r="C25" s="154" t="s">
        <v>629</v>
      </c>
      <c r="D25" s="154" t="s">
        <v>617</v>
      </c>
      <c r="E25" s="155" t="s">
        <v>27</v>
      </c>
      <c r="F25" s="156">
        <v>3146.4</v>
      </c>
      <c r="G25" s="156"/>
      <c r="H25" s="155" t="s">
        <v>28</v>
      </c>
      <c r="I25" s="157" t="s">
        <v>29</v>
      </c>
      <c r="J25" s="157"/>
      <c r="K25" s="158" t="s">
        <v>22</v>
      </c>
      <c r="L25" s="159">
        <v>77326</v>
      </c>
    </row>
    <row r="26" spans="1:12" ht="71.400000000000006" hidden="1" x14ac:dyDescent="0.3">
      <c r="A26" s="153" t="s">
        <v>23</v>
      </c>
      <c r="B26" s="154" t="s">
        <v>621</v>
      </c>
      <c r="C26" s="154" t="s">
        <v>630</v>
      </c>
      <c r="D26" s="154" t="s">
        <v>617</v>
      </c>
      <c r="E26" s="155" t="s">
        <v>27</v>
      </c>
      <c r="F26" s="156">
        <v>2269.3000000000002</v>
      </c>
      <c r="G26" s="156"/>
      <c r="H26" s="155" t="s">
        <v>28</v>
      </c>
      <c r="I26" s="157" t="s">
        <v>29</v>
      </c>
      <c r="J26" s="157"/>
      <c r="K26" s="158" t="s">
        <v>22</v>
      </c>
      <c r="L26" s="159">
        <v>79595.3</v>
      </c>
    </row>
    <row r="27" spans="1:12" ht="71.400000000000006" hidden="1" x14ac:dyDescent="0.3">
      <c r="A27" s="153" t="s">
        <v>23</v>
      </c>
      <c r="B27" s="154" t="s">
        <v>621</v>
      </c>
      <c r="C27" s="154" t="s">
        <v>631</v>
      </c>
      <c r="D27" s="154" t="s">
        <v>617</v>
      </c>
      <c r="E27" s="155" t="s">
        <v>27</v>
      </c>
      <c r="F27" s="156">
        <v>21021</v>
      </c>
      <c r="G27" s="156"/>
      <c r="H27" s="155" t="s">
        <v>28</v>
      </c>
      <c r="I27" s="157" t="s">
        <v>29</v>
      </c>
      <c r="J27" s="157"/>
      <c r="K27" s="158" t="s">
        <v>22</v>
      </c>
      <c r="L27" s="159">
        <v>100616.3</v>
      </c>
    </row>
    <row r="28" spans="1:12" ht="71.400000000000006" hidden="1" x14ac:dyDescent="0.3">
      <c r="A28" s="153" t="s">
        <v>23</v>
      </c>
      <c r="B28" s="154" t="s">
        <v>621</v>
      </c>
      <c r="C28" s="154" t="s">
        <v>632</v>
      </c>
      <c r="D28" s="154" t="s">
        <v>617</v>
      </c>
      <c r="E28" s="155" t="s">
        <v>27</v>
      </c>
      <c r="F28" s="156">
        <v>4121.6000000000004</v>
      </c>
      <c r="G28" s="156"/>
      <c r="H28" s="155" t="s">
        <v>28</v>
      </c>
      <c r="I28" s="157" t="s">
        <v>29</v>
      </c>
      <c r="J28" s="157"/>
      <c r="K28" s="158" t="s">
        <v>22</v>
      </c>
      <c r="L28" s="159">
        <v>104737.9</v>
      </c>
    </row>
    <row r="29" spans="1:12" ht="71.400000000000006" hidden="1" x14ac:dyDescent="0.3">
      <c r="A29" s="153" t="s">
        <v>23</v>
      </c>
      <c r="B29" s="154" t="s">
        <v>621</v>
      </c>
      <c r="C29" s="154" t="s">
        <v>633</v>
      </c>
      <c r="D29" s="154" t="s">
        <v>617</v>
      </c>
      <c r="E29" s="155" t="s">
        <v>27</v>
      </c>
      <c r="F29" s="156">
        <v>2293.1999999999998</v>
      </c>
      <c r="G29" s="156"/>
      <c r="H29" s="155" t="s">
        <v>28</v>
      </c>
      <c r="I29" s="157" t="s">
        <v>29</v>
      </c>
      <c r="J29" s="157"/>
      <c r="K29" s="158" t="s">
        <v>22</v>
      </c>
      <c r="L29" s="159">
        <v>107031.1</v>
      </c>
    </row>
    <row r="30" spans="1:12" ht="71.400000000000006" hidden="1" x14ac:dyDescent="0.3">
      <c r="A30" s="153" t="s">
        <v>47</v>
      </c>
      <c r="B30" s="154" t="s">
        <v>634</v>
      </c>
      <c r="C30" s="154" t="s">
        <v>635</v>
      </c>
      <c r="D30" s="154" t="s">
        <v>636</v>
      </c>
      <c r="E30" s="155" t="s">
        <v>27</v>
      </c>
      <c r="F30" s="160">
        <v>371.12</v>
      </c>
      <c r="G30" s="160"/>
      <c r="H30" s="155" t="s">
        <v>28</v>
      </c>
      <c r="I30" s="157" t="s">
        <v>29</v>
      </c>
      <c r="J30" s="157"/>
      <c r="K30" s="158" t="s">
        <v>22</v>
      </c>
      <c r="L30" s="159">
        <v>107402.22</v>
      </c>
    </row>
    <row r="31" spans="1:12" ht="61.2" hidden="1" x14ac:dyDescent="0.3">
      <c r="A31" s="153" t="s">
        <v>47</v>
      </c>
      <c r="B31" s="154" t="s">
        <v>637</v>
      </c>
      <c r="C31" s="154" t="s">
        <v>638</v>
      </c>
      <c r="D31" s="154" t="s">
        <v>639</v>
      </c>
      <c r="E31" s="155" t="s">
        <v>27</v>
      </c>
      <c r="F31" s="160">
        <v>555.22</v>
      </c>
      <c r="G31" s="160"/>
      <c r="H31" s="155" t="s">
        <v>28</v>
      </c>
      <c r="I31" s="157" t="s">
        <v>29</v>
      </c>
      <c r="J31" s="157"/>
      <c r="K31" s="158" t="s">
        <v>22</v>
      </c>
      <c r="L31" s="159">
        <v>107957.44</v>
      </c>
    </row>
    <row r="32" spans="1:12" ht="61.2" hidden="1" x14ac:dyDescent="0.3">
      <c r="A32" s="153" t="s">
        <v>47</v>
      </c>
      <c r="B32" s="154" t="s">
        <v>637</v>
      </c>
      <c r="C32" s="154" t="s">
        <v>640</v>
      </c>
      <c r="D32" s="154" t="s">
        <v>639</v>
      </c>
      <c r="E32" s="155" t="s">
        <v>27</v>
      </c>
      <c r="F32" s="160">
        <v>187.46</v>
      </c>
      <c r="G32" s="160"/>
      <c r="H32" s="155" t="s">
        <v>28</v>
      </c>
      <c r="I32" s="157" t="s">
        <v>29</v>
      </c>
      <c r="J32" s="157"/>
      <c r="K32" s="158" t="s">
        <v>22</v>
      </c>
      <c r="L32" s="159">
        <v>108144.9</v>
      </c>
    </row>
    <row r="33" spans="1:12" ht="71.400000000000006" hidden="1" x14ac:dyDescent="0.3">
      <c r="A33" s="153" t="s">
        <v>47</v>
      </c>
      <c r="B33" s="154" t="s">
        <v>637</v>
      </c>
      <c r="C33" s="154" t="s">
        <v>641</v>
      </c>
      <c r="D33" s="154" t="s">
        <v>639</v>
      </c>
      <c r="E33" s="155" t="s">
        <v>27</v>
      </c>
      <c r="F33" s="160">
        <v>44.19</v>
      </c>
      <c r="G33" s="160"/>
      <c r="H33" s="155" t="s">
        <v>28</v>
      </c>
      <c r="I33" s="157" t="s">
        <v>29</v>
      </c>
      <c r="J33" s="157"/>
      <c r="K33" s="158" t="s">
        <v>22</v>
      </c>
      <c r="L33" s="159">
        <v>108189.09</v>
      </c>
    </row>
    <row r="34" spans="1:12" ht="61.2" hidden="1" x14ac:dyDescent="0.3">
      <c r="A34" s="153" t="s">
        <v>47</v>
      </c>
      <c r="B34" s="154" t="s">
        <v>637</v>
      </c>
      <c r="C34" s="154" t="s">
        <v>642</v>
      </c>
      <c r="D34" s="154" t="s">
        <v>639</v>
      </c>
      <c r="E34" s="155" t="s">
        <v>27</v>
      </c>
      <c r="F34" s="160">
        <v>506.26</v>
      </c>
      <c r="G34" s="160"/>
      <c r="H34" s="155" t="s">
        <v>28</v>
      </c>
      <c r="I34" s="157" t="s">
        <v>29</v>
      </c>
      <c r="J34" s="157"/>
      <c r="K34" s="158" t="s">
        <v>22</v>
      </c>
      <c r="L34" s="159">
        <v>108695.35</v>
      </c>
    </row>
    <row r="35" spans="1:12" ht="61.2" hidden="1" x14ac:dyDescent="0.3">
      <c r="A35" s="153" t="s">
        <v>47</v>
      </c>
      <c r="B35" s="154" t="s">
        <v>637</v>
      </c>
      <c r="C35" s="154" t="s">
        <v>643</v>
      </c>
      <c r="D35" s="154" t="s">
        <v>639</v>
      </c>
      <c r="E35" s="155" t="s">
        <v>27</v>
      </c>
      <c r="F35" s="160">
        <v>222.08</v>
      </c>
      <c r="G35" s="160"/>
      <c r="H35" s="155" t="s">
        <v>28</v>
      </c>
      <c r="I35" s="157" t="s">
        <v>29</v>
      </c>
      <c r="J35" s="157"/>
      <c r="K35" s="158" t="s">
        <v>22</v>
      </c>
      <c r="L35" s="159">
        <v>108917.43</v>
      </c>
    </row>
    <row r="36" spans="1:12" ht="71.400000000000006" hidden="1" x14ac:dyDescent="0.3">
      <c r="A36" s="153" t="s">
        <v>114</v>
      </c>
      <c r="B36" s="154" t="s">
        <v>644</v>
      </c>
      <c r="C36" s="154" t="s">
        <v>645</v>
      </c>
      <c r="D36" s="154" t="s">
        <v>636</v>
      </c>
      <c r="E36" s="155" t="s">
        <v>27</v>
      </c>
      <c r="F36" s="156">
        <v>24009.52</v>
      </c>
      <c r="G36" s="156"/>
      <c r="H36" s="155" t="s">
        <v>28</v>
      </c>
      <c r="I36" s="157" t="s">
        <v>29</v>
      </c>
      <c r="J36" s="157"/>
      <c r="K36" s="158" t="s">
        <v>22</v>
      </c>
      <c r="L36" s="159">
        <v>132926.95000000001</v>
      </c>
    </row>
    <row r="37" spans="1:12" ht="91.8" hidden="1" x14ac:dyDescent="0.3">
      <c r="A37" s="153" t="s">
        <v>55</v>
      </c>
      <c r="B37" s="154" t="s">
        <v>646</v>
      </c>
      <c r="C37" s="154" t="s">
        <v>647</v>
      </c>
      <c r="D37" s="154" t="s">
        <v>648</v>
      </c>
      <c r="E37" s="155" t="s">
        <v>27</v>
      </c>
      <c r="F37" s="156">
        <v>19745.060000000001</v>
      </c>
      <c r="G37" s="156"/>
      <c r="H37" s="155" t="s">
        <v>28</v>
      </c>
      <c r="I37" s="157" t="s">
        <v>29</v>
      </c>
      <c r="J37" s="157"/>
      <c r="K37" s="158" t="s">
        <v>22</v>
      </c>
      <c r="L37" s="159">
        <v>152672.01</v>
      </c>
    </row>
    <row r="38" spans="1:12" ht="91.8" hidden="1" x14ac:dyDescent="0.3">
      <c r="A38" s="153" t="s">
        <v>55</v>
      </c>
      <c r="B38" s="154" t="s">
        <v>649</v>
      </c>
      <c r="C38" s="154" t="s">
        <v>647</v>
      </c>
      <c r="D38" s="154" t="s">
        <v>648</v>
      </c>
      <c r="E38" s="155" t="s">
        <v>27</v>
      </c>
      <c r="F38" s="156">
        <v>32955.08</v>
      </c>
      <c r="G38" s="156"/>
      <c r="H38" s="155" t="s">
        <v>28</v>
      </c>
      <c r="I38" s="157" t="s">
        <v>29</v>
      </c>
      <c r="J38" s="157"/>
      <c r="K38" s="158" t="s">
        <v>22</v>
      </c>
      <c r="L38" s="159">
        <v>185627.09</v>
      </c>
    </row>
    <row r="39" spans="1:12" ht="71.400000000000006" hidden="1" x14ac:dyDescent="0.3">
      <c r="A39" s="153" t="s">
        <v>55</v>
      </c>
      <c r="B39" s="154" t="s">
        <v>646</v>
      </c>
      <c r="C39" s="154" t="s">
        <v>650</v>
      </c>
      <c r="D39" s="154" t="s">
        <v>648</v>
      </c>
      <c r="E39" s="155" t="s">
        <v>27</v>
      </c>
      <c r="F39" s="160">
        <v>175</v>
      </c>
      <c r="G39" s="160"/>
      <c r="H39" s="155" t="s">
        <v>28</v>
      </c>
      <c r="I39" s="157" t="s">
        <v>29</v>
      </c>
      <c r="J39" s="157"/>
      <c r="K39" s="158" t="s">
        <v>22</v>
      </c>
      <c r="L39" s="159">
        <v>185802.09</v>
      </c>
    </row>
    <row r="40" spans="1:12" ht="71.400000000000006" hidden="1" x14ac:dyDescent="0.3">
      <c r="A40" s="153" t="s">
        <v>55</v>
      </c>
      <c r="B40" s="154" t="s">
        <v>646</v>
      </c>
      <c r="C40" s="154" t="s">
        <v>651</v>
      </c>
      <c r="D40" s="154" t="s">
        <v>648</v>
      </c>
      <c r="E40" s="155" t="s">
        <v>27</v>
      </c>
      <c r="F40" s="160">
        <v>975</v>
      </c>
      <c r="G40" s="160"/>
      <c r="H40" s="155" t="s">
        <v>28</v>
      </c>
      <c r="I40" s="157" t="s">
        <v>29</v>
      </c>
      <c r="J40" s="157"/>
      <c r="K40" s="158" t="s">
        <v>22</v>
      </c>
      <c r="L40" s="159">
        <v>186777.09</v>
      </c>
    </row>
    <row r="41" spans="1:12" ht="71.400000000000006" hidden="1" x14ac:dyDescent="0.3">
      <c r="A41" s="153" t="s">
        <v>55</v>
      </c>
      <c r="B41" s="154" t="s">
        <v>646</v>
      </c>
      <c r="C41" s="154" t="s">
        <v>652</v>
      </c>
      <c r="D41" s="154" t="s">
        <v>648</v>
      </c>
      <c r="E41" s="155" t="s">
        <v>27</v>
      </c>
      <c r="F41" s="156">
        <v>1075</v>
      </c>
      <c r="G41" s="156"/>
      <c r="H41" s="155" t="s">
        <v>28</v>
      </c>
      <c r="I41" s="157" t="s">
        <v>29</v>
      </c>
      <c r="J41" s="157"/>
      <c r="K41" s="158" t="s">
        <v>22</v>
      </c>
      <c r="L41" s="159">
        <v>187852.09</v>
      </c>
    </row>
    <row r="42" spans="1:12" ht="91.8" hidden="1" x14ac:dyDescent="0.3">
      <c r="A42" s="153" t="s">
        <v>55</v>
      </c>
      <c r="B42" s="154" t="s">
        <v>653</v>
      </c>
      <c r="C42" s="154" t="s">
        <v>654</v>
      </c>
      <c r="D42" s="154" t="s">
        <v>655</v>
      </c>
      <c r="E42" s="155" t="s">
        <v>27</v>
      </c>
      <c r="F42" s="156">
        <v>36967.26</v>
      </c>
      <c r="G42" s="156"/>
      <c r="H42" s="155" t="s">
        <v>28</v>
      </c>
      <c r="I42" s="157" t="s">
        <v>29</v>
      </c>
      <c r="J42" s="157"/>
      <c r="K42" s="158" t="s">
        <v>22</v>
      </c>
      <c r="L42" s="159">
        <v>224819.35</v>
      </c>
    </row>
    <row r="43" spans="1:12" ht="91.8" hidden="1" x14ac:dyDescent="0.3">
      <c r="A43" s="153" t="s">
        <v>55</v>
      </c>
      <c r="B43" s="154" t="s">
        <v>653</v>
      </c>
      <c r="C43" s="154" t="s">
        <v>656</v>
      </c>
      <c r="D43" s="154" t="s">
        <v>655</v>
      </c>
      <c r="E43" s="155" t="s">
        <v>27</v>
      </c>
      <c r="F43" s="156">
        <v>60281.93</v>
      </c>
      <c r="G43" s="156"/>
      <c r="H43" s="155" t="s">
        <v>28</v>
      </c>
      <c r="I43" s="157" t="s">
        <v>29</v>
      </c>
      <c r="J43" s="157"/>
      <c r="K43" s="158" t="s">
        <v>22</v>
      </c>
      <c r="L43" s="159">
        <v>285101.28000000003</v>
      </c>
    </row>
    <row r="44" spans="1:12" ht="91.8" hidden="1" x14ac:dyDescent="0.3">
      <c r="A44" s="153" t="s">
        <v>55</v>
      </c>
      <c r="B44" s="154" t="s">
        <v>653</v>
      </c>
      <c r="C44" s="154" t="s">
        <v>657</v>
      </c>
      <c r="D44" s="154" t="s">
        <v>655</v>
      </c>
      <c r="E44" s="155" t="s">
        <v>27</v>
      </c>
      <c r="F44" s="156">
        <v>25519.64</v>
      </c>
      <c r="G44" s="156"/>
      <c r="H44" s="155" t="s">
        <v>28</v>
      </c>
      <c r="I44" s="157" t="s">
        <v>29</v>
      </c>
      <c r="J44" s="157"/>
      <c r="K44" s="158" t="s">
        <v>22</v>
      </c>
      <c r="L44" s="159">
        <v>310620.92</v>
      </c>
    </row>
    <row r="45" spans="1:12" ht="91.8" hidden="1" x14ac:dyDescent="0.3">
      <c r="A45" s="153" t="s">
        <v>55</v>
      </c>
      <c r="B45" s="154" t="s">
        <v>653</v>
      </c>
      <c r="C45" s="154" t="s">
        <v>658</v>
      </c>
      <c r="D45" s="154" t="s">
        <v>655</v>
      </c>
      <c r="E45" s="155" t="s">
        <v>27</v>
      </c>
      <c r="F45" s="156">
        <v>23935.93</v>
      </c>
      <c r="G45" s="156"/>
      <c r="H45" s="155" t="s">
        <v>28</v>
      </c>
      <c r="I45" s="157" t="s">
        <v>29</v>
      </c>
      <c r="J45" s="157"/>
      <c r="K45" s="158" t="s">
        <v>22</v>
      </c>
      <c r="L45" s="159">
        <v>334556.84999999998</v>
      </c>
    </row>
    <row r="46" spans="1:12" ht="91.8" hidden="1" x14ac:dyDescent="0.3">
      <c r="A46" s="153" t="s">
        <v>55</v>
      </c>
      <c r="B46" s="154" t="s">
        <v>653</v>
      </c>
      <c r="C46" s="154" t="s">
        <v>659</v>
      </c>
      <c r="D46" s="154" t="s">
        <v>655</v>
      </c>
      <c r="E46" s="155" t="s">
        <v>27</v>
      </c>
      <c r="F46" s="156">
        <v>44607.87</v>
      </c>
      <c r="G46" s="156"/>
      <c r="H46" s="155" t="s">
        <v>28</v>
      </c>
      <c r="I46" s="157" t="s">
        <v>29</v>
      </c>
      <c r="J46" s="157"/>
      <c r="K46" s="158" t="s">
        <v>22</v>
      </c>
      <c r="L46" s="159">
        <v>379164.72</v>
      </c>
    </row>
    <row r="47" spans="1:12" ht="91.8" hidden="1" x14ac:dyDescent="0.3">
      <c r="A47" s="153" t="s">
        <v>55</v>
      </c>
      <c r="B47" s="154" t="s">
        <v>653</v>
      </c>
      <c r="C47" s="154" t="s">
        <v>660</v>
      </c>
      <c r="D47" s="154" t="s">
        <v>655</v>
      </c>
      <c r="E47" s="155" t="s">
        <v>27</v>
      </c>
      <c r="F47" s="156">
        <v>14687.96</v>
      </c>
      <c r="G47" s="156"/>
      <c r="H47" s="155" t="s">
        <v>28</v>
      </c>
      <c r="I47" s="157" t="s">
        <v>29</v>
      </c>
      <c r="J47" s="157"/>
      <c r="K47" s="158" t="s">
        <v>22</v>
      </c>
      <c r="L47" s="159">
        <v>393852.68</v>
      </c>
    </row>
    <row r="48" spans="1:12" ht="91.8" hidden="1" x14ac:dyDescent="0.3">
      <c r="A48" s="153" t="s">
        <v>55</v>
      </c>
      <c r="B48" s="154" t="s">
        <v>653</v>
      </c>
      <c r="C48" s="154" t="s">
        <v>661</v>
      </c>
      <c r="D48" s="154" t="s">
        <v>655</v>
      </c>
      <c r="E48" s="155" t="s">
        <v>27</v>
      </c>
      <c r="F48" s="156">
        <v>3966.66</v>
      </c>
      <c r="G48" s="156"/>
      <c r="H48" s="155" t="s">
        <v>28</v>
      </c>
      <c r="I48" s="157" t="s">
        <v>29</v>
      </c>
      <c r="J48" s="157"/>
      <c r="K48" s="158" t="s">
        <v>22</v>
      </c>
      <c r="L48" s="159">
        <v>397819.34</v>
      </c>
    </row>
    <row r="49" spans="1:12" ht="91.8" hidden="1" x14ac:dyDescent="0.3">
      <c r="A49" s="153" t="s">
        <v>55</v>
      </c>
      <c r="B49" s="154" t="s">
        <v>653</v>
      </c>
      <c r="C49" s="154" t="s">
        <v>662</v>
      </c>
      <c r="D49" s="154" t="s">
        <v>655</v>
      </c>
      <c r="E49" s="155" t="s">
        <v>27</v>
      </c>
      <c r="F49" s="156">
        <v>2833.33</v>
      </c>
      <c r="G49" s="156"/>
      <c r="H49" s="155" t="s">
        <v>28</v>
      </c>
      <c r="I49" s="157" t="s">
        <v>29</v>
      </c>
      <c r="J49" s="157"/>
      <c r="K49" s="158" t="s">
        <v>22</v>
      </c>
      <c r="L49" s="159">
        <v>400652.67</v>
      </c>
    </row>
    <row r="50" spans="1:12" ht="91.8" hidden="1" x14ac:dyDescent="0.3">
      <c r="A50" s="153" t="s">
        <v>55</v>
      </c>
      <c r="B50" s="154" t="s">
        <v>653</v>
      </c>
      <c r="C50" s="154" t="s">
        <v>663</v>
      </c>
      <c r="D50" s="154" t="s">
        <v>655</v>
      </c>
      <c r="E50" s="155" t="s">
        <v>27</v>
      </c>
      <c r="F50" s="156">
        <v>4034.65</v>
      </c>
      <c r="G50" s="156"/>
      <c r="H50" s="155" t="s">
        <v>28</v>
      </c>
      <c r="I50" s="157" t="s">
        <v>29</v>
      </c>
      <c r="J50" s="157"/>
      <c r="K50" s="158" t="s">
        <v>22</v>
      </c>
      <c r="L50" s="159">
        <v>404687.32</v>
      </c>
    </row>
    <row r="51" spans="1:12" ht="91.8" hidden="1" x14ac:dyDescent="0.3">
      <c r="A51" s="153" t="s">
        <v>55</v>
      </c>
      <c r="B51" s="154" t="s">
        <v>653</v>
      </c>
      <c r="C51" s="154" t="s">
        <v>664</v>
      </c>
      <c r="D51" s="154" t="s">
        <v>655</v>
      </c>
      <c r="E51" s="155" t="s">
        <v>27</v>
      </c>
      <c r="F51" s="156">
        <v>3445.32</v>
      </c>
      <c r="G51" s="156"/>
      <c r="H51" s="155" t="s">
        <v>28</v>
      </c>
      <c r="I51" s="157" t="s">
        <v>29</v>
      </c>
      <c r="J51" s="157"/>
      <c r="K51" s="158" t="s">
        <v>22</v>
      </c>
      <c r="L51" s="159">
        <v>408132.64</v>
      </c>
    </row>
    <row r="52" spans="1:12" ht="91.8" hidden="1" x14ac:dyDescent="0.3">
      <c r="A52" s="153" t="s">
        <v>55</v>
      </c>
      <c r="B52" s="154" t="s">
        <v>653</v>
      </c>
      <c r="C52" s="154" t="s">
        <v>665</v>
      </c>
      <c r="D52" s="154" t="s">
        <v>655</v>
      </c>
      <c r="E52" s="155" t="s">
        <v>27</v>
      </c>
      <c r="F52" s="156">
        <v>2901.32</v>
      </c>
      <c r="G52" s="156"/>
      <c r="H52" s="155" t="s">
        <v>28</v>
      </c>
      <c r="I52" s="157" t="s">
        <v>29</v>
      </c>
      <c r="J52" s="157"/>
      <c r="K52" s="158" t="s">
        <v>22</v>
      </c>
      <c r="L52" s="159">
        <v>411033.96</v>
      </c>
    </row>
    <row r="53" spans="1:12" ht="71.400000000000006" hidden="1" x14ac:dyDescent="0.3">
      <c r="A53" s="153" t="s">
        <v>55</v>
      </c>
      <c r="B53" s="154" t="s">
        <v>653</v>
      </c>
      <c r="C53" s="154" t="s">
        <v>666</v>
      </c>
      <c r="D53" s="154" t="s">
        <v>655</v>
      </c>
      <c r="E53" s="155" t="s">
        <v>27</v>
      </c>
      <c r="F53" s="156">
        <v>1075.2</v>
      </c>
      <c r="G53" s="156"/>
      <c r="H53" s="155" t="s">
        <v>28</v>
      </c>
      <c r="I53" s="157" t="s">
        <v>29</v>
      </c>
      <c r="J53" s="157"/>
      <c r="K53" s="158" t="s">
        <v>22</v>
      </c>
      <c r="L53" s="159">
        <v>412109.16</v>
      </c>
    </row>
    <row r="54" spans="1:12" ht="71.400000000000006" hidden="1" x14ac:dyDescent="0.3">
      <c r="A54" s="153" t="s">
        <v>55</v>
      </c>
      <c r="B54" s="154" t="s">
        <v>653</v>
      </c>
      <c r="C54" s="154" t="s">
        <v>667</v>
      </c>
      <c r="D54" s="154" t="s">
        <v>655</v>
      </c>
      <c r="E54" s="155" t="s">
        <v>27</v>
      </c>
      <c r="F54" s="156">
        <v>6524.41</v>
      </c>
      <c r="G54" s="156"/>
      <c r="H54" s="155" t="s">
        <v>28</v>
      </c>
      <c r="I54" s="157" t="s">
        <v>29</v>
      </c>
      <c r="J54" s="157"/>
      <c r="K54" s="158" t="s">
        <v>22</v>
      </c>
      <c r="L54" s="159">
        <v>418633.57</v>
      </c>
    </row>
    <row r="55" spans="1:12" ht="71.400000000000006" hidden="1" x14ac:dyDescent="0.3">
      <c r="A55" s="153" t="s">
        <v>55</v>
      </c>
      <c r="B55" s="154" t="s">
        <v>653</v>
      </c>
      <c r="C55" s="154" t="s">
        <v>668</v>
      </c>
      <c r="D55" s="154" t="s">
        <v>655</v>
      </c>
      <c r="E55" s="155" t="s">
        <v>27</v>
      </c>
      <c r="F55" s="156">
        <v>3225</v>
      </c>
      <c r="G55" s="156"/>
      <c r="H55" s="155" t="s">
        <v>28</v>
      </c>
      <c r="I55" s="157" t="s">
        <v>29</v>
      </c>
      <c r="J55" s="157"/>
      <c r="K55" s="158" t="s">
        <v>22</v>
      </c>
      <c r="L55" s="159">
        <v>421858.57</v>
      </c>
    </row>
    <row r="56" spans="1:12" ht="71.400000000000006" hidden="1" x14ac:dyDescent="0.3">
      <c r="A56" s="153" t="s">
        <v>55</v>
      </c>
      <c r="B56" s="154" t="s">
        <v>653</v>
      </c>
      <c r="C56" s="154" t="s">
        <v>669</v>
      </c>
      <c r="D56" s="154" t="s">
        <v>655</v>
      </c>
      <c r="E56" s="155" t="s">
        <v>27</v>
      </c>
      <c r="F56" s="156">
        <v>2150</v>
      </c>
      <c r="G56" s="156"/>
      <c r="H56" s="155" t="s">
        <v>28</v>
      </c>
      <c r="I56" s="157" t="s">
        <v>29</v>
      </c>
      <c r="J56" s="157"/>
      <c r="K56" s="158" t="s">
        <v>22</v>
      </c>
      <c r="L56" s="159">
        <v>424008.57</v>
      </c>
    </row>
    <row r="57" spans="1:12" ht="91.8" hidden="1" x14ac:dyDescent="0.3">
      <c r="A57" s="153" t="s">
        <v>331</v>
      </c>
      <c r="B57" s="154" t="s">
        <v>670</v>
      </c>
      <c r="C57" s="154" t="s">
        <v>671</v>
      </c>
      <c r="D57" s="154" t="s">
        <v>655</v>
      </c>
      <c r="E57" s="155" t="s">
        <v>27</v>
      </c>
      <c r="F57" s="156">
        <v>46992</v>
      </c>
      <c r="G57" s="156"/>
      <c r="H57" s="155" t="s">
        <v>28</v>
      </c>
      <c r="I57" s="157" t="s">
        <v>29</v>
      </c>
      <c r="J57" s="157"/>
      <c r="K57" s="158" t="s">
        <v>22</v>
      </c>
      <c r="L57" s="159">
        <v>471000.57</v>
      </c>
    </row>
    <row r="58" spans="1:12" ht="91.8" hidden="1" x14ac:dyDescent="0.3">
      <c r="A58" s="153" t="s">
        <v>331</v>
      </c>
      <c r="B58" s="154" t="s">
        <v>670</v>
      </c>
      <c r="C58" s="154" t="s">
        <v>672</v>
      </c>
      <c r="D58" s="154" t="s">
        <v>655</v>
      </c>
      <c r="E58" s="155" t="s">
        <v>27</v>
      </c>
      <c r="F58" s="156">
        <v>72980</v>
      </c>
      <c r="G58" s="156"/>
      <c r="H58" s="155" t="s">
        <v>28</v>
      </c>
      <c r="I58" s="157" t="s">
        <v>29</v>
      </c>
      <c r="J58" s="157"/>
      <c r="K58" s="158" t="s">
        <v>22</v>
      </c>
      <c r="L58" s="159">
        <v>543980.56999999995</v>
      </c>
    </row>
    <row r="59" spans="1:12" ht="91.8" hidden="1" x14ac:dyDescent="0.3">
      <c r="A59" s="153" t="s">
        <v>331</v>
      </c>
      <c r="B59" s="154" t="s">
        <v>670</v>
      </c>
      <c r="C59" s="154" t="s">
        <v>673</v>
      </c>
      <c r="D59" s="154" t="s">
        <v>655</v>
      </c>
      <c r="E59" s="155" t="s">
        <v>27</v>
      </c>
      <c r="F59" s="156">
        <v>36045</v>
      </c>
      <c r="G59" s="156"/>
      <c r="H59" s="155" t="s">
        <v>28</v>
      </c>
      <c r="I59" s="157" t="s">
        <v>29</v>
      </c>
      <c r="J59" s="157"/>
      <c r="K59" s="158" t="s">
        <v>22</v>
      </c>
      <c r="L59" s="159">
        <v>580025.56999999995</v>
      </c>
    </row>
    <row r="60" spans="1:12" ht="91.8" hidden="1" x14ac:dyDescent="0.3">
      <c r="A60" s="153" t="s">
        <v>331</v>
      </c>
      <c r="B60" s="154" t="s">
        <v>674</v>
      </c>
      <c r="C60" s="154" t="s">
        <v>675</v>
      </c>
      <c r="D60" s="154" t="s">
        <v>655</v>
      </c>
      <c r="E60" s="155" t="s">
        <v>27</v>
      </c>
      <c r="F60" s="156">
        <v>4594.63</v>
      </c>
      <c r="G60" s="156"/>
      <c r="H60" s="155" t="s">
        <v>28</v>
      </c>
      <c r="I60" s="157" t="s">
        <v>29</v>
      </c>
      <c r="J60" s="157"/>
      <c r="K60" s="158" t="s">
        <v>22</v>
      </c>
      <c r="L60" s="159">
        <v>584620.19999999995</v>
      </c>
    </row>
    <row r="61" spans="1:12" ht="91.8" hidden="1" x14ac:dyDescent="0.3">
      <c r="A61" s="153" t="s">
        <v>331</v>
      </c>
      <c r="B61" s="154" t="s">
        <v>674</v>
      </c>
      <c r="C61" s="154" t="s">
        <v>676</v>
      </c>
      <c r="D61" s="154" t="s">
        <v>655</v>
      </c>
      <c r="E61" s="155" t="s">
        <v>27</v>
      </c>
      <c r="F61" s="156">
        <v>4673.6099999999997</v>
      </c>
      <c r="G61" s="156"/>
      <c r="H61" s="155" t="s">
        <v>28</v>
      </c>
      <c r="I61" s="157" t="s">
        <v>29</v>
      </c>
      <c r="J61" s="157"/>
      <c r="K61" s="158" t="s">
        <v>22</v>
      </c>
      <c r="L61" s="159">
        <v>589293.81000000006</v>
      </c>
    </row>
    <row r="62" spans="1:12" ht="71.400000000000006" x14ac:dyDescent="0.3">
      <c r="A62" s="153" t="s">
        <v>60</v>
      </c>
      <c r="B62" s="154" t="s">
        <v>677</v>
      </c>
      <c r="C62" s="154" t="s">
        <v>174</v>
      </c>
      <c r="D62" s="154" t="s">
        <v>635</v>
      </c>
      <c r="E62" s="155" t="s">
        <v>175</v>
      </c>
      <c r="F62" s="161" t="s">
        <v>29</v>
      </c>
      <c r="G62" s="161"/>
      <c r="H62" s="155" t="s">
        <v>27</v>
      </c>
      <c r="I62" s="162">
        <v>371.12</v>
      </c>
      <c r="J62" s="162"/>
      <c r="K62" s="158" t="s">
        <v>22</v>
      </c>
      <c r="L62" s="159">
        <v>588922.68999999994</v>
      </c>
    </row>
    <row r="63" spans="1:12" ht="71.400000000000006" hidden="1" x14ac:dyDescent="0.3">
      <c r="A63" s="153" t="s">
        <v>142</v>
      </c>
      <c r="B63" s="154" t="s">
        <v>678</v>
      </c>
      <c r="C63" s="154" t="s">
        <v>679</v>
      </c>
      <c r="D63" s="154" t="s">
        <v>680</v>
      </c>
      <c r="E63" s="155" t="s">
        <v>27</v>
      </c>
      <c r="F63" s="156">
        <v>1290.8</v>
      </c>
      <c r="G63" s="156"/>
      <c r="H63" s="155" t="s">
        <v>28</v>
      </c>
      <c r="I63" s="157" t="s">
        <v>29</v>
      </c>
      <c r="J63" s="157"/>
      <c r="K63" s="158" t="s">
        <v>22</v>
      </c>
      <c r="L63" s="159">
        <v>590213.49</v>
      </c>
    </row>
    <row r="64" spans="1:12" ht="71.400000000000006" hidden="1" x14ac:dyDescent="0.3">
      <c r="A64" s="153" t="s">
        <v>142</v>
      </c>
      <c r="B64" s="154" t="s">
        <v>678</v>
      </c>
      <c r="C64" s="154" t="s">
        <v>681</v>
      </c>
      <c r="D64" s="154" t="s">
        <v>680</v>
      </c>
      <c r="E64" s="155" t="s">
        <v>27</v>
      </c>
      <c r="F64" s="160">
        <v>562.5</v>
      </c>
      <c r="G64" s="160"/>
      <c r="H64" s="155" t="s">
        <v>28</v>
      </c>
      <c r="I64" s="157" t="s">
        <v>29</v>
      </c>
      <c r="J64" s="157"/>
      <c r="K64" s="158" t="s">
        <v>22</v>
      </c>
      <c r="L64" s="159">
        <v>590775.99</v>
      </c>
    </row>
    <row r="65" spans="1:12" ht="71.400000000000006" hidden="1" x14ac:dyDescent="0.3">
      <c r="A65" s="153" t="s">
        <v>142</v>
      </c>
      <c r="B65" s="154" t="s">
        <v>678</v>
      </c>
      <c r="C65" s="154" t="s">
        <v>682</v>
      </c>
      <c r="D65" s="154" t="s">
        <v>680</v>
      </c>
      <c r="E65" s="155" t="s">
        <v>27</v>
      </c>
      <c r="F65" s="156">
        <v>1702</v>
      </c>
      <c r="G65" s="156"/>
      <c r="H65" s="155" t="s">
        <v>28</v>
      </c>
      <c r="I65" s="157" t="s">
        <v>29</v>
      </c>
      <c r="J65" s="157"/>
      <c r="K65" s="158" t="s">
        <v>22</v>
      </c>
      <c r="L65" s="159">
        <v>592477.99</v>
      </c>
    </row>
    <row r="66" spans="1:12" ht="71.400000000000006" hidden="1" x14ac:dyDescent="0.3">
      <c r="A66" s="153" t="s">
        <v>142</v>
      </c>
      <c r="B66" s="154" t="s">
        <v>678</v>
      </c>
      <c r="C66" s="154" t="s">
        <v>683</v>
      </c>
      <c r="D66" s="154" t="s">
        <v>680</v>
      </c>
      <c r="E66" s="155" t="s">
        <v>27</v>
      </c>
      <c r="F66" s="160">
        <v>600</v>
      </c>
      <c r="G66" s="160"/>
      <c r="H66" s="155" t="s">
        <v>28</v>
      </c>
      <c r="I66" s="157" t="s">
        <v>29</v>
      </c>
      <c r="J66" s="157"/>
      <c r="K66" s="158" t="s">
        <v>22</v>
      </c>
      <c r="L66" s="159">
        <v>593077.99</v>
      </c>
    </row>
    <row r="67" spans="1:12" ht="71.400000000000006" hidden="1" x14ac:dyDescent="0.3">
      <c r="A67" s="153" t="s">
        <v>142</v>
      </c>
      <c r="B67" s="154" t="s">
        <v>678</v>
      </c>
      <c r="C67" s="154" t="s">
        <v>684</v>
      </c>
      <c r="D67" s="154" t="s">
        <v>680</v>
      </c>
      <c r="E67" s="155" t="s">
        <v>27</v>
      </c>
      <c r="F67" s="156">
        <v>4332</v>
      </c>
      <c r="G67" s="156"/>
      <c r="H67" s="155" t="s">
        <v>28</v>
      </c>
      <c r="I67" s="157" t="s">
        <v>29</v>
      </c>
      <c r="J67" s="157"/>
      <c r="K67" s="158" t="s">
        <v>22</v>
      </c>
      <c r="L67" s="159">
        <v>597409.99</v>
      </c>
    </row>
    <row r="68" spans="1:12" ht="61.2" hidden="1" x14ac:dyDescent="0.3">
      <c r="A68" s="153" t="s">
        <v>142</v>
      </c>
      <c r="B68" s="154" t="s">
        <v>678</v>
      </c>
      <c r="C68" s="154" t="s">
        <v>685</v>
      </c>
      <c r="D68" s="154" t="s">
        <v>680</v>
      </c>
      <c r="E68" s="155" t="s">
        <v>27</v>
      </c>
      <c r="F68" s="160">
        <v>427.5</v>
      </c>
      <c r="G68" s="160"/>
      <c r="H68" s="155" t="s">
        <v>28</v>
      </c>
      <c r="I68" s="157" t="s">
        <v>29</v>
      </c>
      <c r="J68" s="157"/>
      <c r="K68" s="158" t="s">
        <v>22</v>
      </c>
      <c r="L68" s="159">
        <v>597837.49</v>
      </c>
    </row>
    <row r="69" spans="1:12" ht="91.8" hidden="1" x14ac:dyDescent="0.3">
      <c r="A69" s="153" t="s">
        <v>142</v>
      </c>
      <c r="B69" s="154" t="s">
        <v>686</v>
      </c>
      <c r="C69" s="154" t="s">
        <v>687</v>
      </c>
      <c r="D69" s="154" t="s">
        <v>680</v>
      </c>
      <c r="E69" s="155" t="s">
        <v>27</v>
      </c>
      <c r="F69" s="156">
        <v>78242</v>
      </c>
      <c r="G69" s="156"/>
      <c r="H69" s="155" t="s">
        <v>28</v>
      </c>
      <c r="I69" s="157" t="s">
        <v>29</v>
      </c>
      <c r="J69" s="157"/>
      <c r="K69" s="158" t="s">
        <v>22</v>
      </c>
      <c r="L69" s="159">
        <v>676079.49</v>
      </c>
    </row>
    <row r="70" spans="1:12" ht="91.8" hidden="1" x14ac:dyDescent="0.3">
      <c r="A70" s="153" t="s">
        <v>142</v>
      </c>
      <c r="B70" s="154" t="s">
        <v>678</v>
      </c>
      <c r="C70" s="154" t="s">
        <v>687</v>
      </c>
      <c r="D70" s="154" t="s">
        <v>680</v>
      </c>
      <c r="E70" s="155" t="s">
        <v>27</v>
      </c>
      <c r="F70" s="156">
        <v>103990.82</v>
      </c>
      <c r="G70" s="156"/>
      <c r="H70" s="155" t="s">
        <v>28</v>
      </c>
      <c r="I70" s="157" t="s">
        <v>29</v>
      </c>
      <c r="J70" s="157"/>
      <c r="K70" s="158" t="s">
        <v>22</v>
      </c>
      <c r="L70" s="159">
        <v>780070.31</v>
      </c>
    </row>
    <row r="71" spans="1:12" ht="71.400000000000006" hidden="1" x14ac:dyDescent="0.3">
      <c r="A71" s="153" t="s">
        <v>142</v>
      </c>
      <c r="B71" s="154" t="s">
        <v>688</v>
      </c>
      <c r="C71" s="154" t="s">
        <v>689</v>
      </c>
      <c r="D71" s="154" t="s">
        <v>690</v>
      </c>
      <c r="E71" s="155" t="s">
        <v>27</v>
      </c>
      <c r="F71" s="156">
        <v>1484.48</v>
      </c>
      <c r="G71" s="156"/>
      <c r="H71" s="155" t="s">
        <v>28</v>
      </c>
      <c r="I71" s="157" t="s">
        <v>29</v>
      </c>
      <c r="J71" s="157"/>
      <c r="K71" s="158" t="s">
        <v>22</v>
      </c>
      <c r="L71" s="159">
        <v>781554.79</v>
      </c>
    </row>
    <row r="72" spans="1:12" ht="61.2" x14ac:dyDescent="0.3">
      <c r="A72" s="153" t="s">
        <v>81</v>
      </c>
      <c r="B72" s="154" t="s">
        <v>691</v>
      </c>
      <c r="C72" s="154" t="s">
        <v>174</v>
      </c>
      <c r="D72" s="154" t="s">
        <v>692</v>
      </c>
      <c r="E72" s="155" t="s">
        <v>175</v>
      </c>
      <c r="F72" s="161" t="s">
        <v>29</v>
      </c>
      <c r="G72" s="161"/>
      <c r="H72" s="155" t="s">
        <v>27</v>
      </c>
      <c r="I72" s="162">
        <v>954.23</v>
      </c>
      <c r="J72" s="162"/>
      <c r="K72" s="158" t="s">
        <v>22</v>
      </c>
      <c r="L72" s="159">
        <v>780600.56</v>
      </c>
    </row>
    <row r="73" spans="1:12" ht="61.2" x14ac:dyDescent="0.3">
      <c r="A73" s="153" t="s">
        <v>81</v>
      </c>
      <c r="B73" s="154" t="s">
        <v>691</v>
      </c>
      <c r="C73" s="154" t="s">
        <v>174</v>
      </c>
      <c r="D73" s="154" t="s">
        <v>693</v>
      </c>
      <c r="E73" s="155" t="s">
        <v>175</v>
      </c>
      <c r="F73" s="161" t="s">
        <v>29</v>
      </c>
      <c r="G73" s="161"/>
      <c r="H73" s="155" t="s">
        <v>27</v>
      </c>
      <c r="I73" s="163">
        <v>1087.72</v>
      </c>
      <c r="J73" s="163"/>
      <c r="K73" s="158" t="s">
        <v>22</v>
      </c>
      <c r="L73" s="159">
        <v>779512.84</v>
      </c>
    </row>
    <row r="74" spans="1:12" ht="61.2" x14ac:dyDescent="0.3">
      <c r="A74" s="153" t="s">
        <v>81</v>
      </c>
      <c r="B74" s="154" t="s">
        <v>691</v>
      </c>
      <c r="C74" s="154" t="s">
        <v>174</v>
      </c>
      <c r="D74" s="154" t="s">
        <v>694</v>
      </c>
      <c r="E74" s="155" t="s">
        <v>175</v>
      </c>
      <c r="F74" s="161" t="s">
        <v>29</v>
      </c>
      <c r="G74" s="161"/>
      <c r="H74" s="155" t="s">
        <v>27</v>
      </c>
      <c r="I74" s="162">
        <v>857.39</v>
      </c>
      <c r="J74" s="162"/>
      <c r="K74" s="158" t="s">
        <v>22</v>
      </c>
      <c r="L74" s="159">
        <v>778655.45</v>
      </c>
    </row>
    <row r="75" spans="1:12" ht="61.2" x14ac:dyDescent="0.3">
      <c r="A75" s="153" t="s">
        <v>81</v>
      </c>
      <c r="B75" s="154" t="s">
        <v>691</v>
      </c>
      <c r="C75" s="154" t="s">
        <v>174</v>
      </c>
      <c r="D75" s="154" t="s">
        <v>695</v>
      </c>
      <c r="E75" s="155" t="s">
        <v>175</v>
      </c>
      <c r="F75" s="161" t="s">
        <v>29</v>
      </c>
      <c r="G75" s="161"/>
      <c r="H75" s="155" t="s">
        <v>27</v>
      </c>
      <c r="I75" s="162">
        <v>395.85</v>
      </c>
      <c r="J75" s="162"/>
      <c r="K75" s="158" t="s">
        <v>22</v>
      </c>
      <c r="L75" s="159">
        <v>778259.6</v>
      </c>
    </row>
    <row r="76" spans="1:12" ht="71.400000000000006" x14ac:dyDescent="0.3">
      <c r="A76" s="153" t="s">
        <v>81</v>
      </c>
      <c r="B76" s="154" t="s">
        <v>696</v>
      </c>
      <c r="C76" s="154" t="s">
        <v>174</v>
      </c>
      <c r="D76" s="154" t="s">
        <v>616</v>
      </c>
      <c r="E76" s="155" t="s">
        <v>175</v>
      </c>
      <c r="F76" s="161" t="s">
        <v>29</v>
      </c>
      <c r="G76" s="161"/>
      <c r="H76" s="155" t="s">
        <v>27</v>
      </c>
      <c r="I76" s="163">
        <v>8991.4</v>
      </c>
      <c r="J76" s="163"/>
      <c r="K76" s="158" t="s">
        <v>22</v>
      </c>
      <c r="L76" s="159">
        <v>769268.2</v>
      </c>
    </row>
    <row r="77" spans="1:12" ht="71.400000000000006" x14ac:dyDescent="0.3">
      <c r="A77" s="153" t="s">
        <v>81</v>
      </c>
      <c r="B77" s="154" t="s">
        <v>696</v>
      </c>
      <c r="C77" s="154" t="s">
        <v>174</v>
      </c>
      <c r="D77" s="154" t="s">
        <v>619</v>
      </c>
      <c r="E77" s="155" t="s">
        <v>175</v>
      </c>
      <c r="F77" s="161" t="s">
        <v>29</v>
      </c>
      <c r="G77" s="161"/>
      <c r="H77" s="155" t="s">
        <v>27</v>
      </c>
      <c r="I77" s="163">
        <v>2731</v>
      </c>
      <c r="J77" s="163"/>
      <c r="K77" s="158" t="s">
        <v>22</v>
      </c>
      <c r="L77" s="159">
        <v>766537.2</v>
      </c>
    </row>
    <row r="78" spans="1:12" ht="71.400000000000006" x14ac:dyDescent="0.3">
      <c r="A78" s="153" t="s">
        <v>81</v>
      </c>
      <c r="B78" s="154" t="s">
        <v>696</v>
      </c>
      <c r="C78" s="154" t="s">
        <v>174</v>
      </c>
      <c r="D78" s="154" t="s">
        <v>618</v>
      </c>
      <c r="E78" s="155" t="s">
        <v>175</v>
      </c>
      <c r="F78" s="161" t="s">
        <v>29</v>
      </c>
      <c r="G78" s="161"/>
      <c r="H78" s="155" t="s">
        <v>27</v>
      </c>
      <c r="I78" s="163">
        <v>2167.1</v>
      </c>
      <c r="J78" s="163"/>
      <c r="K78" s="158" t="s">
        <v>22</v>
      </c>
      <c r="L78" s="159">
        <v>764370.1</v>
      </c>
    </row>
    <row r="79" spans="1:12" ht="71.400000000000006" x14ac:dyDescent="0.3">
      <c r="A79" s="153" t="s">
        <v>81</v>
      </c>
      <c r="B79" s="154" t="s">
        <v>696</v>
      </c>
      <c r="C79" s="154" t="s">
        <v>174</v>
      </c>
      <c r="D79" s="154" t="s">
        <v>627</v>
      </c>
      <c r="E79" s="155" t="s">
        <v>175</v>
      </c>
      <c r="F79" s="161" t="s">
        <v>29</v>
      </c>
      <c r="G79" s="161"/>
      <c r="H79" s="155" t="s">
        <v>27</v>
      </c>
      <c r="I79" s="163">
        <v>6653.1</v>
      </c>
      <c r="J79" s="163"/>
      <c r="K79" s="158" t="s">
        <v>22</v>
      </c>
      <c r="L79" s="159">
        <v>757717</v>
      </c>
    </row>
    <row r="80" spans="1:12" ht="71.400000000000006" x14ac:dyDescent="0.3">
      <c r="A80" s="153" t="s">
        <v>81</v>
      </c>
      <c r="B80" s="154" t="s">
        <v>696</v>
      </c>
      <c r="C80" s="154" t="s">
        <v>174</v>
      </c>
      <c r="D80" s="154" t="s">
        <v>626</v>
      </c>
      <c r="E80" s="155" t="s">
        <v>175</v>
      </c>
      <c r="F80" s="161" t="s">
        <v>29</v>
      </c>
      <c r="G80" s="161"/>
      <c r="H80" s="155" t="s">
        <v>27</v>
      </c>
      <c r="I80" s="163">
        <v>2711.6</v>
      </c>
      <c r="J80" s="163"/>
      <c r="K80" s="158" t="s">
        <v>22</v>
      </c>
      <c r="L80" s="159">
        <v>755005.4</v>
      </c>
    </row>
    <row r="81" spans="1:12" ht="71.400000000000006" x14ac:dyDescent="0.3">
      <c r="A81" s="153" t="s">
        <v>81</v>
      </c>
      <c r="B81" s="154" t="s">
        <v>696</v>
      </c>
      <c r="C81" s="154" t="s">
        <v>174</v>
      </c>
      <c r="D81" s="154" t="s">
        <v>629</v>
      </c>
      <c r="E81" s="155" t="s">
        <v>175</v>
      </c>
      <c r="F81" s="161" t="s">
        <v>29</v>
      </c>
      <c r="G81" s="161"/>
      <c r="H81" s="155" t="s">
        <v>27</v>
      </c>
      <c r="I81" s="163">
        <v>6288.3</v>
      </c>
      <c r="J81" s="163"/>
      <c r="K81" s="158" t="s">
        <v>22</v>
      </c>
      <c r="L81" s="159">
        <v>748717.1</v>
      </c>
    </row>
    <row r="82" spans="1:12" ht="71.400000000000006" x14ac:dyDescent="0.3">
      <c r="A82" s="153" t="s">
        <v>81</v>
      </c>
      <c r="B82" s="154" t="s">
        <v>696</v>
      </c>
      <c r="C82" s="154" t="s">
        <v>174</v>
      </c>
      <c r="D82" s="154" t="s">
        <v>630</v>
      </c>
      <c r="E82" s="155" t="s">
        <v>175</v>
      </c>
      <c r="F82" s="161" t="s">
        <v>29</v>
      </c>
      <c r="G82" s="161"/>
      <c r="H82" s="155" t="s">
        <v>27</v>
      </c>
      <c r="I82" s="163">
        <v>2269.3000000000002</v>
      </c>
      <c r="J82" s="163"/>
      <c r="K82" s="158" t="s">
        <v>22</v>
      </c>
      <c r="L82" s="159">
        <v>746447.8</v>
      </c>
    </row>
    <row r="83" spans="1:12" ht="71.400000000000006" x14ac:dyDescent="0.3">
      <c r="A83" s="153" t="s">
        <v>81</v>
      </c>
      <c r="B83" s="154" t="s">
        <v>696</v>
      </c>
      <c r="C83" s="154" t="s">
        <v>174</v>
      </c>
      <c r="D83" s="154" t="s">
        <v>620</v>
      </c>
      <c r="E83" s="155" t="s">
        <v>175</v>
      </c>
      <c r="F83" s="161" t="s">
        <v>29</v>
      </c>
      <c r="G83" s="161"/>
      <c r="H83" s="155" t="s">
        <v>27</v>
      </c>
      <c r="I83" s="163">
        <v>14518</v>
      </c>
      <c r="J83" s="163"/>
      <c r="K83" s="158" t="s">
        <v>22</v>
      </c>
      <c r="L83" s="159">
        <v>731929.8</v>
      </c>
    </row>
    <row r="84" spans="1:12" ht="71.400000000000006" x14ac:dyDescent="0.3">
      <c r="A84" s="153" t="s">
        <v>81</v>
      </c>
      <c r="B84" s="154" t="s">
        <v>696</v>
      </c>
      <c r="C84" s="154" t="s">
        <v>174</v>
      </c>
      <c r="D84" s="154" t="s">
        <v>622</v>
      </c>
      <c r="E84" s="155" t="s">
        <v>175</v>
      </c>
      <c r="F84" s="161" t="s">
        <v>29</v>
      </c>
      <c r="G84" s="161"/>
      <c r="H84" s="155" t="s">
        <v>27</v>
      </c>
      <c r="I84" s="163">
        <v>2831.7</v>
      </c>
      <c r="J84" s="163"/>
      <c r="K84" s="158" t="s">
        <v>22</v>
      </c>
      <c r="L84" s="159">
        <v>729098.1</v>
      </c>
    </row>
    <row r="85" spans="1:12" ht="71.400000000000006" x14ac:dyDescent="0.3">
      <c r="A85" s="153" t="s">
        <v>81</v>
      </c>
      <c r="B85" s="154" t="s">
        <v>696</v>
      </c>
      <c r="C85" s="154" t="s">
        <v>174</v>
      </c>
      <c r="D85" s="154" t="s">
        <v>628</v>
      </c>
      <c r="E85" s="155" t="s">
        <v>175</v>
      </c>
      <c r="F85" s="161" t="s">
        <v>29</v>
      </c>
      <c r="G85" s="161"/>
      <c r="H85" s="155" t="s">
        <v>27</v>
      </c>
      <c r="I85" s="163">
        <v>1260.9000000000001</v>
      </c>
      <c r="J85" s="163"/>
      <c r="K85" s="158" t="s">
        <v>22</v>
      </c>
      <c r="L85" s="159">
        <v>727837.2</v>
      </c>
    </row>
    <row r="86" spans="1:12" ht="71.400000000000006" x14ac:dyDescent="0.3">
      <c r="A86" s="153" t="s">
        <v>81</v>
      </c>
      <c r="B86" s="154" t="s">
        <v>696</v>
      </c>
      <c r="C86" s="154" t="s">
        <v>174</v>
      </c>
      <c r="D86" s="154" t="s">
        <v>623</v>
      </c>
      <c r="E86" s="155" t="s">
        <v>175</v>
      </c>
      <c r="F86" s="161" t="s">
        <v>29</v>
      </c>
      <c r="G86" s="161"/>
      <c r="H86" s="155" t="s">
        <v>27</v>
      </c>
      <c r="I86" s="163">
        <v>4129.8999999999996</v>
      </c>
      <c r="J86" s="163"/>
      <c r="K86" s="158" t="s">
        <v>22</v>
      </c>
      <c r="L86" s="159">
        <v>723707.3</v>
      </c>
    </row>
    <row r="87" spans="1:12" ht="71.400000000000006" x14ac:dyDescent="0.3">
      <c r="A87" s="153" t="s">
        <v>81</v>
      </c>
      <c r="B87" s="154" t="s">
        <v>696</v>
      </c>
      <c r="C87" s="154" t="s">
        <v>174</v>
      </c>
      <c r="D87" s="154" t="s">
        <v>625</v>
      </c>
      <c r="E87" s="155" t="s">
        <v>175</v>
      </c>
      <c r="F87" s="161" t="s">
        <v>29</v>
      </c>
      <c r="G87" s="161"/>
      <c r="H87" s="155" t="s">
        <v>27</v>
      </c>
      <c r="I87" s="163">
        <v>2158.9</v>
      </c>
      <c r="J87" s="163"/>
      <c r="K87" s="158" t="s">
        <v>22</v>
      </c>
      <c r="L87" s="159">
        <v>721548.4</v>
      </c>
    </row>
    <row r="88" spans="1:12" ht="71.400000000000006" x14ac:dyDescent="0.3">
      <c r="A88" s="153" t="s">
        <v>81</v>
      </c>
      <c r="B88" s="154" t="s">
        <v>696</v>
      </c>
      <c r="C88" s="154" t="s">
        <v>174</v>
      </c>
      <c r="D88" s="154" t="s">
        <v>624</v>
      </c>
      <c r="E88" s="155" t="s">
        <v>175</v>
      </c>
      <c r="F88" s="161" t="s">
        <v>29</v>
      </c>
      <c r="G88" s="161"/>
      <c r="H88" s="155" t="s">
        <v>27</v>
      </c>
      <c r="I88" s="163">
        <v>1997.8</v>
      </c>
      <c r="J88" s="163"/>
      <c r="K88" s="158" t="s">
        <v>22</v>
      </c>
      <c r="L88" s="159">
        <v>719550.6</v>
      </c>
    </row>
    <row r="89" spans="1:12" ht="71.400000000000006" x14ac:dyDescent="0.3">
      <c r="A89" s="153" t="s">
        <v>81</v>
      </c>
      <c r="B89" s="154" t="s">
        <v>696</v>
      </c>
      <c r="C89" s="154" t="s">
        <v>174</v>
      </c>
      <c r="D89" s="154" t="s">
        <v>631</v>
      </c>
      <c r="E89" s="155" t="s">
        <v>175</v>
      </c>
      <c r="F89" s="161" t="s">
        <v>29</v>
      </c>
      <c r="G89" s="161"/>
      <c r="H89" s="155" t="s">
        <v>27</v>
      </c>
      <c r="I89" s="163">
        <v>21021</v>
      </c>
      <c r="J89" s="163"/>
      <c r="K89" s="158" t="s">
        <v>22</v>
      </c>
      <c r="L89" s="159">
        <v>698529.6</v>
      </c>
    </row>
    <row r="90" spans="1:12" ht="61.2" x14ac:dyDescent="0.3">
      <c r="A90" s="153" t="s">
        <v>81</v>
      </c>
      <c r="B90" s="154" t="s">
        <v>696</v>
      </c>
      <c r="C90" s="154" t="s">
        <v>174</v>
      </c>
      <c r="D90" s="154" t="s">
        <v>632</v>
      </c>
      <c r="E90" s="155" t="s">
        <v>175</v>
      </c>
      <c r="F90" s="161" t="s">
        <v>29</v>
      </c>
      <c r="G90" s="161"/>
      <c r="H90" s="155" t="s">
        <v>27</v>
      </c>
      <c r="I90" s="163">
        <v>4121.6000000000004</v>
      </c>
      <c r="J90" s="163"/>
      <c r="K90" s="158" t="s">
        <v>22</v>
      </c>
      <c r="L90" s="159">
        <v>694408</v>
      </c>
    </row>
    <row r="91" spans="1:12" ht="61.2" x14ac:dyDescent="0.3">
      <c r="A91" s="153" t="s">
        <v>81</v>
      </c>
      <c r="B91" s="154" t="s">
        <v>696</v>
      </c>
      <c r="C91" s="154" t="s">
        <v>174</v>
      </c>
      <c r="D91" s="154" t="s">
        <v>633</v>
      </c>
      <c r="E91" s="155" t="s">
        <v>175</v>
      </c>
      <c r="F91" s="161" t="s">
        <v>29</v>
      </c>
      <c r="G91" s="161"/>
      <c r="H91" s="155" t="s">
        <v>27</v>
      </c>
      <c r="I91" s="163">
        <v>2293.1999999999998</v>
      </c>
      <c r="J91" s="163"/>
      <c r="K91" s="158" t="s">
        <v>22</v>
      </c>
      <c r="L91" s="159">
        <v>692114.8</v>
      </c>
    </row>
    <row r="92" spans="1:12" ht="61.2" hidden="1" x14ac:dyDescent="0.3">
      <c r="A92" s="153" t="s">
        <v>160</v>
      </c>
      <c r="B92" s="154" t="s">
        <v>607</v>
      </c>
      <c r="C92" s="154" t="s">
        <v>238</v>
      </c>
      <c r="D92" s="154" t="s">
        <v>236</v>
      </c>
      <c r="E92" s="155" t="s">
        <v>27</v>
      </c>
      <c r="F92" s="161" t="s">
        <v>29</v>
      </c>
      <c r="G92" s="161"/>
      <c r="H92" s="155" t="s">
        <v>27</v>
      </c>
      <c r="I92" s="163">
        <v>6284.08</v>
      </c>
      <c r="J92" s="163"/>
      <c r="K92" s="158" t="s">
        <v>22</v>
      </c>
      <c r="L92" s="159">
        <v>685830.72</v>
      </c>
    </row>
    <row r="93" spans="1:12" ht="71.400000000000006" hidden="1" x14ac:dyDescent="0.3">
      <c r="A93" s="153" t="s">
        <v>85</v>
      </c>
      <c r="B93" s="154" t="s">
        <v>697</v>
      </c>
      <c r="C93" s="154" t="s">
        <v>698</v>
      </c>
      <c r="D93" s="154" t="s">
        <v>699</v>
      </c>
      <c r="E93" s="155" t="s">
        <v>27</v>
      </c>
      <c r="F93" s="161" t="s">
        <v>29</v>
      </c>
      <c r="G93" s="161"/>
      <c r="H93" s="155" t="s">
        <v>27</v>
      </c>
      <c r="I93" s="163">
        <v>2128</v>
      </c>
      <c r="J93" s="163"/>
      <c r="K93" s="158" t="s">
        <v>22</v>
      </c>
      <c r="L93" s="159">
        <v>683702.72</v>
      </c>
    </row>
    <row r="94" spans="1:12" hidden="1" x14ac:dyDescent="0.3">
      <c r="A94" s="164" t="s">
        <v>102</v>
      </c>
      <c r="B94" s="164"/>
      <c r="C94" s="164"/>
      <c r="D94" s="164"/>
      <c r="E94" s="165">
        <v>767323.69</v>
      </c>
      <c r="F94" s="165"/>
      <c r="G94" s="165"/>
      <c r="H94" s="165">
        <v>98223.19</v>
      </c>
      <c r="I94" s="165"/>
      <c r="J94" s="165"/>
      <c r="K94" s="166" t="s">
        <v>22</v>
      </c>
      <c r="L94" s="167">
        <v>683702.72</v>
      </c>
    </row>
    <row r="96" spans="1:12" x14ac:dyDescent="0.3">
      <c r="J96">
        <f>SUBTOTAL(9,I62:J91)</f>
        <v>89811.11</v>
      </c>
    </row>
  </sheetData>
  <autoFilter ref="B1:D94">
    <filterColumn colId="0">
      <filters>
        <filter val="Вимога-накладна ІБ00-000215 від 26.03.2025 13:49:28_x000a_Списаны ТМЦ"/>
        <filter val="Вимога-накладна ІБ00-000216 від 26.03.2025 14:17:04_x000a_Списаны ТМЦ"/>
        <filter val="Списання товарів ІБ00-000125 від 18.03.2025 15:00:00_x000a_Списаны ТМЦ"/>
      </filters>
    </filterColumn>
  </autoFilter>
  <mergeCells count="194">
    <mergeCell ref="A94:D94"/>
    <mergeCell ref="E94:G94"/>
    <mergeCell ref="H94:J94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selection activeCell="D4" sqref="D4"/>
    </sheetView>
  </sheetViews>
  <sheetFormatPr defaultRowHeight="14.4" x14ac:dyDescent="0.3"/>
  <sheetData>
    <row r="1" spans="1:12" x14ac:dyDescent="0.3">
      <c r="A1" s="168" t="s">
        <v>13</v>
      </c>
      <c r="B1" s="169" t="s">
        <v>14</v>
      </c>
      <c r="C1" s="169" t="s">
        <v>15</v>
      </c>
      <c r="D1" s="170" t="s">
        <v>16</v>
      </c>
      <c r="E1" s="171" t="s">
        <v>17</v>
      </c>
      <c r="F1" s="171"/>
      <c r="G1" s="171"/>
      <c r="H1" s="172" t="s">
        <v>18</v>
      </c>
      <c r="I1" s="172"/>
      <c r="J1" s="172"/>
      <c r="K1" s="169" t="s">
        <v>19</v>
      </c>
      <c r="L1" s="169"/>
    </row>
    <row r="2" spans="1:12" x14ac:dyDescent="0.3">
      <c r="A2" s="173"/>
      <c r="B2" s="174"/>
      <c r="C2" s="174"/>
      <c r="D2" s="175"/>
      <c r="E2" s="176" t="s">
        <v>20</v>
      </c>
      <c r="F2" s="177"/>
      <c r="G2" s="177"/>
      <c r="H2" s="178" t="s">
        <v>20</v>
      </c>
      <c r="I2" s="179"/>
      <c r="J2" s="179"/>
      <c r="K2" s="173"/>
      <c r="L2" s="180"/>
    </row>
    <row r="3" spans="1:12" x14ac:dyDescent="0.3">
      <c r="A3" s="181" t="s">
        <v>21</v>
      </c>
      <c r="B3" s="181"/>
      <c r="C3" s="181"/>
      <c r="D3" s="181"/>
      <c r="E3" s="182"/>
      <c r="F3" s="182"/>
      <c r="G3" s="182"/>
      <c r="H3" s="182"/>
      <c r="I3" s="182"/>
      <c r="J3" s="182"/>
      <c r="K3" s="183" t="s">
        <v>22</v>
      </c>
      <c r="L3" s="184">
        <v>237685</v>
      </c>
    </row>
    <row r="4" spans="1:12" ht="142.80000000000001" x14ac:dyDescent="0.3">
      <c r="A4" s="185" t="s">
        <v>184</v>
      </c>
      <c r="B4" s="186" t="s">
        <v>489</v>
      </c>
      <c r="C4" s="186" t="s">
        <v>490</v>
      </c>
      <c r="D4" s="186" t="s">
        <v>491</v>
      </c>
      <c r="E4" s="187" t="s">
        <v>27</v>
      </c>
      <c r="F4" s="188" t="s">
        <v>29</v>
      </c>
      <c r="G4" s="188"/>
      <c r="H4" s="187" t="s">
        <v>27</v>
      </c>
      <c r="I4" s="189">
        <v>83958.33</v>
      </c>
      <c r="J4" s="189"/>
      <c r="K4" s="190" t="s">
        <v>22</v>
      </c>
      <c r="L4" s="191">
        <v>153726.67000000001</v>
      </c>
    </row>
    <row r="5" spans="1:12" x14ac:dyDescent="0.3">
      <c r="A5" s="192" t="s">
        <v>102</v>
      </c>
      <c r="B5" s="192"/>
      <c r="C5" s="192"/>
      <c r="D5" s="192"/>
      <c r="E5" s="193">
        <v>0</v>
      </c>
      <c r="F5" s="193"/>
      <c r="G5" s="193"/>
      <c r="H5" s="194">
        <v>83958.33</v>
      </c>
      <c r="I5" s="194"/>
      <c r="J5" s="194"/>
      <c r="K5" s="195" t="s">
        <v>22</v>
      </c>
      <c r="L5" s="196">
        <v>153726.67000000001</v>
      </c>
    </row>
  </sheetData>
  <mergeCells count="16">
    <mergeCell ref="A5:D5"/>
    <mergeCell ref="E5:G5"/>
    <mergeCell ref="H5:J5"/>
    <mergeCell ref="K1:L2"/>
    <mergeCell ref="F2:G2"/>
    <mergeCell ref="I2:J2"/>
    <mergeCell ref="A3:D3"/>
    <mergeCell ref="E3:J3"/>
    <mergeCell ref="F4:G4"/>
    <mergeCell ref="I4:J4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opLeftCell="A13" workbookViewId="0">
      <selection activeCell="F48" sqref="F48"/>
    </sheetView>
  </sheetViews>
  <sheetFormatPr defaultRowHeight="14.4" x14ac:dyDescent="0.3"/>
  <cols>
    <col min="2" max="4" width="24.88671875" customWidth="1"/>
  </cols>
  <sheetData>
    <row r="1" spans="1:12" x14ac:dyDescent="0.3">
      <c r="A1" s="197" t="s">
        <v>13</v>
      </c>
      <c r="B1" s="198" t="s">
        <v>14</v>
      </c>
      <c r="C1" s="198" t="s">
        <v>15</v>
      </c>
      <c r="D1" s="199" t="s">
        <v>16</v>
      </c>
      <c r="E1" s="200" t="s">
        <v>17</v>
      </c>
      <c r="F1" s="200"/>
      <c r="G1" s="200"/>
      <c r="H1" s="201" t="s">
        <v>18</v>
      </c>
      <c r="I1" s="201"/>
      <c r="J1" s="201"/>
      <c r="K1" s="198" t="s">
        <v>19</v>
      </c>
      <c r="L1" s="198"/>
    </row>
    <row r="2" spans="1:12" x14ac:dyDescent="0.3">
      <c r="A2" s="202"/>
      <c r="B2" s="203"/>
      <c r="C2" s="203"/>
      <c r="D2" s="204"/>
      <c r="E2" s="205" t="s">
        <v>20</v>
      </c>
      <c r="F2" s="206"/>
      <c r="G2" s="206"/>
      <c r="H2" s="207" t="s">
        <v>20</v>
      </c>
      <c r="I2" s="208"/>
      <c r="J2" s="208"/>
      <c r="K2" s="202"/>
      <c r="L2" s="209"/>
    </row>
    <row r="3" spans="1:12" ht="61.2" x14ac:dyDescent="0.3">
      <c r="A3" s="210" t="s">
        <v>111</v>
      </c>
      <c r="B3" s="211" t="s">
        <v>288</v>
      </c>
      <c r="C3" s="211" t="s">
        <v>289</v>
      </c>
      <c r="D3" s="211" t="s">
        <v>280</v>
      </c>
      <c r="E3" s="212" t="s">
        <v>27</v>
      </c>
      <c r="F3" s="213">
        <v>7688.92</v>
      </c>
      <c r="G3" s="213"/>
      <c r="H3" s="212" t="s">
        <v>27</v>
      </c>
      <c r="I3" s="214" t="s">
        <v>29</v>
      </c>
      <c r="J3" s="214"/>
      <c r="K3" s="215" t="s">
        <v>22</v>
      </c>
      <c r="L3" s="216">
        <v>152629.89000000001</v>
      </c>
    </row>
    <row r="4" spans="1:12" ht="61.2" x14ac:dyDescent="0.3">
      <c r="A4" s="210" t="s">
        <v>51</v>
      </c>
      <c r="B4" s="211" t="s">
        <v>317</v>
      </c>
      <c r="C4" s="211" t="s">
        <v>318</v>
      </c>
      <c r="D4" s="211" t="s">
        <v>203</v>
      </c>
      <c r="E4" s="212" t="s">
        <v>27</v>
      </c>
      <c r="F4" s="213">
        <v>4378.17</v>
      </c>
      <c r="G4" s="213"/>
      <c r="H4" s="212" t="s">
        <v>27</v>
      </c>
      <c r="I4" s="214" t="s">
        <v>29</v>
      </c>
      <c r="J4" s="214"/>
      <c r="K4" s="215" t="s">
        <v>22</v>
      </c>
      <c r="L4" s="216">
        <v>157008.06</v>
      </c>
    </row>
    <row r="5" spans="1:12" ht="61.2" x14ac:dyDescent="0.3">
      <c r="A5" s="210" t="s">
        <v>323</v>
      </c>
      <c r="B5" s="211" t="s">
        <v>329</v>
      </c>
      <c r="C5" s="211" t="s">
        <v>330</v>
      </c>
      <c r="D5" s="211" t="s">
        <v>325</v>
      </c>
      <c r="E5" s="212" t="s">
        <v>27</v>
      </c>
      <c r="F5" s="213">
        <v>8107.7</v>
      </c>
      <c r="G5" s="213"/>
      <c r="H5" s="212" t="s">
        <v>27</v>
      </c>
      <c r="I5" s="214" t="s">
        <v>29</v>
      </c>
      <c r="J5" s="214"/>
      <c r="K5" s="215" t="s">
        <v>22</v>
      </c>
      <c r="L5" s="216">
        <v>165115.76</v>
      </c>
    </row>
    <row r="6" spans="1:12" ht="61.2" x14ac:dyDescent="0.3">
      <c r="A6" s="210" t="s">
        <v>331</v>
      </c>
      <c r="B6" s="211" t="s">
        <v>335</v>
      </c>
      <c r="C6" s="211" t="s">
        <v>336</v>
      </c>
      <c r="D6" s="211" t="s">
        <v>333</v>
      </c>
      <c r="E6" s="212" t="s">
        <v>27</v>
      </c>
      <c r="F6" s="213">
        <v>24912.43</v>
      </c>
      <c r="G6" s="213"/>
      <c r="H6" s="212" t="s">
        <v>27</v>
      </c>
      <c r="I6" s="214" t="s">
        <v>29</v>
      </c>
      <c r="J6" s="214"/>
      <c r="K6" s="215" t="s">
        <v>22</v>
      </c>
      <c r="L6" s="216">
        <v>190028.19</v>
      </c>
    </row>
    <row r="7" spans="1:12" ht="71.400000000000006" x14ac:dyDescent="0.3">
      <c r="A7" s="210" t="s">
        <v>60</v>
      </c>
      <c r="B7" s="211" t="s">
        <v>700</v>
      </c>
      <c r="C7" s="211" t="s">
        <v>701</v>
      </c>
      <c r="D7" s="211" t="s">
        <v>702</v>
      </c>
      <c r="E7" s="212" t="s">
        <v>27</v>
      </c>
      <c r="F7" s="217" t="s">
        <v>29</v>
      </c>
      <c r="G7" s="217"/>
      <c r="H7" s="212" t="s">
        <v>27</v>
      </c>
      <c r="I7" s="218">
        <v>1716</v>
      </c>
      <c r="J7" s="218"/>
      <c r="K7" s="215" t="s">
        <v>22</v>
      </c>
      <c r="L7" s="216">
        <v>188312.19</v>
      </c>
    </row>
    <row r="8" spans="1:12" ht="71.400000000000006" x14ac:dyDescent="0.3">
      <c r="A8" s="210" t="s">
        <v>60</v>
      </c>
      <c r="B8" s="211" t="s">
        <v>700</v>
      </c>
      <c r="C8" s="211" t="s">
        <v>703</v>
      </c>
      <c r="D8" s="211" t="s">
        <v>704</v>
      </c>
      <c r="E8" s="212" t="s">
        <v>27</v>
      </c>
      <c r="F8" s="217" t="s">
        <v>29</v>
      </c>
      <c r="G8" s="217"/>
      <c r="H8" s="212" t="s">
        <v>27</v>
      </c>
      <c r="I8" s="218">
        <v>12270.83</v>
      </c>
      <c r="J8" s="218"/>
      <c r="K8" s="215" t="s">
        <v>22</v>
      </c>
      <c r="L8" s="216">
        <v>176041.36</v>
      </c>
    </row>
    <row r="9" spans="1:12" ht="61.2" x14ac:dyDescent="0.3">
      <c r="A9" s="210" t="s">
        <v>142</v>
      </c>
      <c r="B9" s="211" t="s">
        <v>366</v>
      </c>
      <c r="C9" s="211" t="s">
        <v>367</v>
      </c>
      <c r="D9" s="211" t="s">
        <v>145</v>
      </c>
      <c r="E9" s="212" t="s">
        <v>27</v>
      </c>
      <c r="F9" s="213">
        <v>25564.58</v>
      </c>
      <c r="G9" s="213"/>
      <c r="H9" s="212" t="s">
        <v>27</v>
      </c>
      <c r="I9" s="214" t="s">
        <v>29</v>
      </c>
      <c r="J9" s="214"/>
      <c r="K9" s="215" t="s">
        <v>22</v>
      </c>
      <c r="L9" s="216">
        <v>201605.94</v>
      </c>
    </row>
    <row r="10" spans="1:12" ht="61.2" x14ac:dyDescent="0.3">
      <c r="A10" s="210" t="s">
        <v>64</v>
      </c>
      <c r="B10" s="211" t="s">
        <v>387</v>
      </c>
      <c r="C10" s="211" t="s">
        <v>388</v>
      </c>
      <c r="D10" s="211" t="s">
        <v>72</v>
      </c>
      <c r="E10" s="212" t="s">
        <v>27</v>
      </c>
      <c r="F10" s="219">
        <v>99.05</v>
      </c>
      <c r="G10" s="219"/>
      <c r="H10" s="212" t="s">
        <v>27</v>
      </c>
      <c r="I10" s="214" t="s">
        <v>29</v>
      </c>
      <c r="J10" s="214"/>
      <c r="K10" s="215" t="s">
        <v>22</v>
      </c>
      <c r="L10" s="216">
        <v>201704.99</v>
      </c>
    </row>
    <row r="11" spans="1:12" ht="61.2" x14ac:dyDescent="0.3">
      <c r="A11" s="210" t="s">
        <v>64</v>
      </c>
      <c r="B11" s="211" t="s">
        <v>387</v>
      </c>
      <c r="C11" s="211" t="s">
        <v>389</v>
      </c>
      <c r="D11" s="211" t="s">
        <v>74</v>
      </c>
      <c r="E11" s="212" t="s">
        <v>27</v>
      </c>
      <c r="F11" s="219">
        <v>810</v>
      </c>
      <c r="G11" s="219"/>
      <c r="H11" s="212" t="s">
        <v>27</v>
      </c>
      <c r="I11" s="214" t="s">
        <v>29</v>
      </c>
      <c r="J11" s="214"/>
      <c r="K11" s="215" t="s">
        <v>22</v>
      </c>
      <c r="L11" s="216">
        <v>202514.99</v>
      </c>
    </row>
    <row r="12" spans="1:12" ht="61.2" x14ac:dyDescent="0.3">
      <c r="A12" s="210" t="s">
        <v>64</v>
      </c>
      <c r="B12" s="211" t="s">
        <v>387</v>
      </c>
      <c r="C12" s="211" t="s">
        <v>390</v>
      </c>
      <c r="D12" s="211" t="s">
        <v>391</v>
      </c>
      <c r="E12" s="212" t="s">
        <v>27</v>
      </c>
      <c r="F12" s="219">
        <v>365</v>
      </c>
      <c r="G12" s="219"/>
      <c r="H12" s="212" t="s">
        <v>27</v>
      </c>
      <c r="I12" s="214" t="s">
        <v>29</v>
      </c>
      <c r="J12" s="214"/>
      <c r="K12" s="215" t="s">
        <v>22</v>
      </c>
      <c r="L12" s="216">
        <v>202879.99</v>
      </c>
    </row>
    <row r="13" spans="1:12" ht="61.2" x14ac:dyDescent="0.3">
      <c r="A13" s="210" t="s">
        <v>77</v>
      </c>
      <c r="B13" s="211" t="s">
        <v>409</v>
      </c>
      <c r="C13" s="211" t="s">
        <v>410</v>
      </c>
      <c r="D13" s="211" t="s">
        <v>80</v>
      </c>
      <c r="E13" s="212" t="s">
        <v>27</v>
      </c>
      <c r="F13" s="213">
        <v>11545.15</v>
      </c>
      <c r="G13" s="213"/>
      <c r="H13" s="212" t="s">
        <v>27</v>
      </c>
      <c r="I13" s="214" t="s">
        <v>29</v>
      </c>
      <c r="J13" s="214"/>
      <c r="K13" s="215" t="s">
        <v>22</v>
      </c>
      <c r="L13" s="216">
        <v>214425.14</v>
      </c>
    </row>
    <row r="14" spans="1:12" ht="61.2" x14ac:dyDescent="0.3">
      <c r="A14" s="210" t="s">
        <v>156</v>
      </c>
      <c r="B14" s="211" t="s">
        <v>422</v>
      </c>
      <c r="C14" s="211" t="s">
        <v>423</v>
      </c>
      <c r="D14" s="211" t="s">
        <v>420</v>
      </c>
      <c r="E14" s="212" t="s">
        <v>27</v>
      </c>
      <c r="F14" s="213">
        <v>49310.45</v>
      </c>
      <c r="G14" s="213"/>
      <c r="H14" s="212" t="s">
        <v>27</v>
      </c>
      <c r="I14" s="214" t="s">
        <v>29</v>
      </c>
      <c r="J14" s="214"/>
      <c r="K14" s="215" t="s">
        <v>22</v>
      </c>
      <c r="L14" s="216">
        <v>263735.59000000003</v>
      </c>
    </row>
    <row r="15" spans="1:12" ht="61.2" x14ac:dyDescent="0.3">
      <c r="A15" s="210" t="s">
        <v>160</v>
      </c>
      <c r="B15" s="211" t="s">
        <v>454</v>
      </c>
      <c r="C15" s="211" t="s">
        <v>455</v>
      </c>
      <c r="D15" s="211" t="s">
        <v>167</v>
      </c>
      <c r="E15" s="212" t="s">
        <v>27</v>
      </c>
      <c r="F15" s="213">
        <v>43603.66</v>
      </c>
      <c r="G15" s="213"/>
      <c r="H15" s="212" t="s">
        <v>27</v>
      </c>
      <c r="I15" s="214" t="s">
        <v>29</v>
      </c>
      <c r="J15" s="214"/>
      <c r="K15" s="215" t="s">
        <v>22</v>
      </c>
      <c r="L15" s="216">
        <v>307339.25</v>
      </c>
    </row>
    <row r="16" spans="1:12" ht="61.2" x14ac:dyDescent="0.3">
      <c r="A16" s="210" t="s">
        <v>85</v>
      </c>
      <c r="B16" s="211" t="s">
        <v>462</v>
      </c>
      <c r="C16" s="211" t="s">
        <v>463</v>
      </c>
      <c r="D16" s="211" t="s">
        <v>458</v>
      </c>
      <c r="E16" s="212" t="s">
        <v>27</v>
      </c>
      <c r="F16" s="213">
        <v>1872.64</v>
      </c>
      <c r="G16" s="213"/>
      <c r="H16" s="212" t="s">
        <v>27</v>
      </c>
      <c r="I16" s="214" t="s">
        <v>29</v>
      </c>
      <c r="J16" s="214"/>
      <c r="K16" s="215" t="s">
        <v>22</v>
      </c>
      <c r="L16" s="216">
        <v>309211.89</v>
      </c>
    </row>
    <row r="17" spans="1:12" ht="61.2" x14ac:dyDescent="0.3">
      <c r="A17" s="210" t="s">
        <v>468</v>
      </c>
      <c r="B17" s="211" t="s">
        <v>474</v>
      </c>
      <c r="C17" s="211" t="s">
        <v>475</v>
      </c>
      <c r="D17" s="211" t="s">
        <v>470</v>
      </c>
      <c r="E17" s="212" t="s">
        <v>27</v>
      </c>
      <c r="F17" s="213">
        <v>38645.78</v>
      </c>
      <c r="G17" s="213"/>
      <c r="H17" s="212" t="s">
        <v>27</v>
      </c>
      <c r="I17" s="214" t="s">
        <v>29</v>
      </c>
      <c r="J17" s="214"/>
      <c r="K17" s="215" t="s">
        <v>22</v>
      </c>
      <c r="L17" s="216">
        <v>347857.67</v>
      </c>
    </row>
    <row r="18" spans="1:12" x14ac:dyDescent="0.3">
      <c r="A18" s="220" t="s">
        <v>102</v>
      </c>
      <c r="B18" s="220"/>
      <c r="C18" s="220"/>
      <c r="D18" s="220"/>
      <c r="E18" s="221">
        <v>216903.53</v>
      </c>
      <c r="F18" s="221"/>
      <c r="G18" s="221"/>
      <c r="H18" s="221">
        <v>13986.83</v>
      </c>
      <c r="I18" s="221"/>
      <c r="J18" s="221"/>
      <c r="K18" s="222" t="s">
        <v>22</v>
      </c>
      <c r="L18" s="223">
        <v>347857.67</v>
      </c>
    </row>
  </sheetData>
  <autoFilter ref="B1:D2"/>
  <mergeCells count="42">
    <mergeCell ref="F16:G16"/>
    <mergeCell ref="I16:J16"/>
    <mergeCell ref="F17:G17"/>
    <mergeCell ref="I17:J17"/>
    <mergeCell ref="A18:D18"/>
    <mergeCell ref="E18:G18"/>
    <mergeCell ref="H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31"/>
  <sheetViews>
    <sheetView topLeftCell="A21" workbookViewId="0">
      <selection activeCell="J31" sqref="J31"/>
    </sheetView>
  </sheetViews>
  <sheetFormatPr defaultRowHeight="14.4" x14ac:dyDescent="0.3"/>
  <cols>
    <col min="2" max="4" width="27.5546875" customWidth="1"/>
  </cols>
  <sheetData>
    <row r="1" spans="1:12" x14ac:dyDescent="0.3">
      <c r="A1" s="224" t="s">
        <v>13</v>
      </c>
      <c r="B1" s="225" t="s">
        <v>14</v>
      </c>
      <c r="C1" s="225" t="s">
        <v>15</v>
      </c>
      <c r="D1" s="226" t="s">
        <v>16</v>
      </c>
      <c r="E1" s="227" t="s">
        <v>17</v>
      </c>
      <c r="F1" s="227"/>
      <c r="G1" s="227"/>
      <c r="H1" s="228" t="s">
        <v>18</v>
      </c>
      <c r="I1" s="228"/>
      <c r="J1" s="228"/>
      <c r="K1" s="225" t="s">
        <v>19</v>
      </c>
      <c r="L1" s="225"/>
    </row>
    <row r="2" spans="1:12" hidden="1" x14ac:dyDescent="0.3">
      <c r="A2" s="229"/>
      <c r="B2" s="230"/>
      <c r="C2" s="230"/>
      <c r="D2" s="231"/>
      <c r="E2" s="232" t="s">
        <v>20</v>
      </c>
      <c r="F2" s="233"/>
      <c r="G2" s="233"/>
      <c r="H2" s="234" t="s">
        <v>20</v>
      </c>
      <c r="I2" s="235"/>
      <c r="J2" s="235"/>
      <c r="K2" s="229"/>
      <c r="L2" s="236"/>
    </row>
    <row r="3" spans="1:12" ht="61.2" hidden="1" x14ac:dyDescent="0.3">
      <c r="A3" s="237" t="s">
        <v>184</v>
      </c>
      <c r="B3" s="238" t="s">
        <v>216</v>
      </c>
      <c r="C3" s="238" t="s">
        <v>217</v>
      </c>
      <c r="D3" s="238" t="s">
        <v>218</v>
      </c>
      <c r="E3" s="239" t="s">
        <v>27</v>
      </c>
      <c r="F3" s="240">
        <v>3599.86</v>
      </c>
      <c r="G3" s="240"/>
      <c r="H3" s="239" t="s">
        <v>27</v>
      </c>
      <c r="I3" s="241" t="s">
        <v>29</v>
      </c>
      <c r="J3" s="241"/>
      <c r="K3" s="242" t="s">
        <v>22</v>
      </c>
      <c r="L3" s="243">
        <v>119782.81</v>
      </c>
    </row>
    <row r="4" spans="1:12" ht="163.19999999999999" hidden="1" x14ac:dyDescent="0.3">
      <c r="A4" s="237" t="s">
        <v>184</v>
      </c>
      <c r="B4" s="238" t="s">
        <v>216</v>
      </c>
      <c r="C4" s="238" t="s">
        <v>219</v>
      </c>
      <c r="D4" s="238" t="s">
        <v>212</v>
      </c>
      <c r="E4" s="239" t="s">
        <v>27</v>
      </c>
      <c r="F4" s="240">
        <v>65702.789999999994</v>
      </c>
      <c r="G4" s="240"/>
      <c r="H4" s="239" t="s">
        <v>27</v>
      </c>
      <c r="I4" s="241" t="s">
        <v>29</v>
      </c>
      <c r="J4" s="241"/>
      <c r="K4" s="242" t="s">
        <v>22</v>
      </c>
      <c r="L4" s="243">
        <v>185485.6</v>
      </c>
    </row>
    <row r="5" spans="1:12" ht="142.80000000000001" hidden="1" x14ac:dyDescent="0.3">
      <c r="A5" s="237" t="s">
        <v>138</v>
      </c>
      <c r="B5" s="238" t="s">
        <v>705</v>
      </c>
      <c r="C5" s="238" t="s">
        <v>706</v>
      </c>
      <c r="D5" s="238" t="s">
        <v>707</v>
      </c>
      <c r="E5" s="239" t="s">
        <v>27</v>
      </c>
      <c r="F5" s="240">
        <v>38290.58</v>
      </c>
      <c r="G5" s="240"/>
      <c r="H5" s="239" t="s">
        <v>28</v>
      </c>
      <c r="I5" s="241" t="s">
        <v>29</v>
      </c>
      <c r="J5" s="241"/>
      <c r="K5" s="242" t="s">
        <v>22</v>
      </c>
      <c r="L5" s="243">
        <v>223776.18</v>
      </c>
    </row>
    <row r="6" spans="1:12" ht="142.80000000000001" hidden="1" x14ac:dyDescent="0.3">
      <c r="A6" s="237" t="s">
        <v>138</v>
      </c>
      <c r="B6" s="238" t="s">
        <v>708</v>
      </c>
      <c r="C6" s="238" t="s">
        <v>706</v>
      </c>
      <c r="D6" s="238" t="s">
        <v>707</v>
      </c>
      <c r="E6" s="239" t="s">
        <v>27</v>
      </c>
      <c r="F6" s="240">
        <v>39224.5</v>
      </c>
      <c r="G6" s="240"/>
      <c r="H6" s="239" t="s">
        <v>28</v>
      </c>
      <c r="I6" s="241" t="s">
        <v>29</v>
      </c>
      <c r="J6" s="241"/>
      <c r="K6" s="242" t="s">
        <v>22</v>
      </c>
      <c r="L6" s="243">
        <v>263000.68</v>
      </c>
    </row>
    <row r="7" spans="1:12" ht="153" hidden="1" x14ac:dyDescent="0.3">
      <c r="A7" s="237" t="s">
        <v>64</v>
      </c>
      <c r="B7" s="238" t="s">
        <v>383</v>
      </c>
      <c r="C7" s="238" t="s">
        <v>384</v>
      </c>
      <c r="D7" s="238" t="s">
        <v>72</v>
      </c>
      <c r="E7" s="239" t="s">
        <v>27</v>
      </c>
      <c r="F7" s="244">
        <v>99.05</v>
      </c>
      <c r="G7" s="244"/>
      <c r="H7" s="239" t="s">
        <v>27</v>
      </c>
      <c r="I7" s="241" t="s">
        <v>29</v>
      </c>
      <c r="J7" s="241"/>
      <c r="K7" s="242" t="s">
        <v>22</v>
      </c>
      <c r="L7" s="243">
        <v>263099.73</v>
      </c>
    </row>
    <row r="8" spans="1:12" ht="153" hidden="1" x14ac:dyDescent="0.3">
      <c r="A8" s="237" t="s">
        <v>64</v>
      </c>
      <c r="B8" s="238" t="s">
        <v>383</v>
      </c>
      <c r="C8" s="238" t="s">
        <v>385</v>
      </c>
      <c r="D8" s="238" t="s">
        <v>74</v>
      </c>
      <c r="E8" s="239" t="s">
        <v>27</v>
      </c>
      <c r="F8" s="244">
        <v>810</v>
      </c>
      <c r="G8" s="244"/>
      <c r="H8" s="239" t="s">
        <v>27</v>
      </c>
      <c r="I8" s="241" t="s">
        <v>29</v>
      </c>
      <c r="J8" s="241"/>
      <c r="K8" s="242" t="s">
        <v>22</v>
      </c>
      <c r="L8" s="243">
        <v>263909.73</v>
      </c>
    </row>
    <row r="9" spans="1:12" ht="153" hidden="1" x14ac:dyDescent="0.3">
      <c r="A9" s="237" t="s">
        <v>64</v>
      </c>
      <c r="B9" s="238" t="s">
        <v>383</v>
      </c>
      <c r="C9" s="238" t="s">
        <v>386</v>
      </c>
      <c r="D9" s="238" t="s">
        <v>76</v>
      </c>
      <c r="E9" s="239" t="s">
        <v>27</v>
      </c>
      <c r="F9" s="244">
        <v>91.25</v>
      </c>
      <c r="G9" s="244"/>
      <c r="H9" s="239" t="s">
        <v>27</v>
      </c>
      <c r="I9" s="241" t="s">
        <v>29</v>
      </c>
      <c r="J9" s="241"/>
      <c r="K9" s="242" t="s">
        <v>22</v>
      </c>
      <c r="L9" s="243">
        <v>264000.98</v>
      </c>
    </row>
    <row r="10" spans="1:12" ht="142.80000000000001" hidden="1" x14ac:dyDescent="0.3">
      <c r="A10" s="237" t="s">
        <v>156</v>
      </c>
      <c r="B10" s="238" t="s">
        <v>417</v>
      </c>
      <c r="C10" s="238" t="s">
        <v>418</v>
      </c>
      <c r="D10" s="238" t="s">
        <v>415</v>
      </c>
      <c r="E10" s="239" t="s">
        <v>27</v>
      </c>
      <c r="F10" s="240">
        <v>97255.7</v>
      </c>
      <c r="G10" s="240"/>
      <c r="H10" s="239" t="s">
        <v>27</v>
      </c>
      <c r="I10" s="241" t="s">
        <v>29</v>
      </c>
      <c r="J10" s="241"/>
      <c r="K10" s="242" t="s">
        <v>22</v>
      </c>
      <c r="L10" s="243">
        <v>361256.68</v>
      </c>
    </row>
    <row r="11" spans="1:12" ht="61.2" x14ac:dyDescent="0.3">
      <c r="A11" s="237" t="s">
        <v>81</v>
      </c>
      <c r="B11" s="238" t="s">
        <v>709</v>
      </c>
      <c r="C11" s="238" t="s">
        <v>174</v>
      </c>
      <c r="D11" s="238" t="s">
        <v>710</v>
      </c>
      <c r="E11" s="239" t="s">
        <v>175</v>
      </c>
      <c r="F11" s="245" t="s">
        <v>29</v>
      </c>
      <c r="G11" s="245"/>
      <c r="H11" s="239" t="s">
        <v>27</v>
      </c>
      <c r="I11" s="246">
        <v>2943</v>
      </c>
      <c r="J11" s="246"/>
      <c r="K11" s="242" t="s">
        <v>22</v>
      </c>
      <c r="L11" s="243">
        <v>358313.68</v>
      </c>
    </row>
    <row r="12" spans="1:12" ht="61.2" x14ac:dyDescent="0.3">
      <c r="A12" s="237" t="s">
        <v>81</v>
      </c>
      <c r="B12" s="238" t="s">
        <v>709</v>
      </c>
      <c r="C12" s="238" t="s">
        <v>174</v>
      </c>
      <c r="D12" s="238" t="s">
        <v>711</v>
      </c>
      <c r="E12" s="239" t="s">
        <v>175</v>
      </c>
      <c r="F12" s="245" t="s">
        <v>29</v>
      </c>
      <c r="G12" s="245"/>
      <c r="H12" s="239" t="s">
        <v>27</v>
      </c>
      <c r="I12" s="246">
        <v>3710.66</v>
      </c>
      <c r="J12" s="246"/>
      <c r="K12" s="242" t="s">
        <v>22</v>
      </c>
      <c r="L12" s="243">
        <v>354603.02</v>
      </c>
    </row>
    <row r="13" spans="1:12" ht="61.2" x14ac:dyDescent="0.3">
      <c r="A13" s="237" t="s">
        <v>81</v>
      </c>
      <c r="B13" s="238" t="s">
        <v>709</v>
      </c>
      <c r="C13" s="238" t="s">
        <v>174</v>
      </c>
      <c r="D13" s="238" t="s">
        <v>711</v>
      </c>
      <c r="E13" s="239" t="s">
        <v>175</v>
      </c>
      <c r="F13" s="245" t="s">
        <v>29</v>
      </c>
      <c r="G13" s="245"/>
      <c r="H13" s="239" t="s">
        <v>27</v>
      </c>
      <c r="I13" s="246">
        <v>51617.279999999999</v>
      </c>
      <c r="J13" s="246"/>
      <c r="K13" s="242" t="s">
        <v>22</v>
      </c>
      <c r="L13" s="243">
        <v>302985.74</v>
      </c>
    </row>
    <row r="14" spans="1:12" ht="61.2" x14ac:dyDescent="0.3">
      <c r="A14" s="237" t="s">
        <v>81</v>
      </c>
      <c r="B14" s="238" t="s">
        <v>709</v>
      </c>
      <c r="C14" s="238" t="s">
        <v>174</v>
      </c>
      <c r="D14" s="238" t="s">
        <v>217</v>
      </c>
      <c r="E14" s="239" t="s">
        <v>175</v>
      </c>
      <c r="F14" s="245" t="s">
        <v>29</v>
      </c>
      <c r="G14" s="245"/>
      <c r="H14" s="239" t="s">
        <v>27</v>
      </c>
      <c r="I14" s="246">
        <v>3599.86</v>
      </c>
      <c r="J14" s="246"/>
      <c r="K14" s="242" t="s">
        <v>22</v>
      </c>
      <c r="L14" s="243">
        <v>299385.88</v>
      </c>
    </row>
    <row r="15" spans="1:12" ht="61.2" x14ac:dyDescent="0.3">
      <c r="A15" s="237" t="s">
        <v>81</v>
      </c>
      <c r="B15" s="238" t="s">
        <v>709</v>
      </c>
      <c r="C15" s="238" t="s">
        <v>174</v>
      </c>
      <c r="D15" s="238" t="s">
        <v>219</v>
      </c>
      <c r="E15" s="239" t="s">
        <v>175</v>
      </c>
      <c r="F15" s="245" t="s">
        <v>29</v>
      </c>
      <c r="G15" s="245"/>
      <c r="H15" s="239" t="s">
        <v>27</v>
      </c>
      <c r="I15" s="246">
        <v>7365.99</v>
      </c>
      <c r="J15" s="246"/>
      <c r="K15" s="242" t="s">
        <v>22</v>
      </c>
      <c r="L15" s="243">
        <v>292019.89</v>
      </c>
    </row>
    <row r="16" spans="1:12" ht="61.2" hidden="1" x14ac:dyDescent="0.3">
      <c r="A16" s="237" t="s">
        <v>85</v>
      </c>
      <c r="B16" s="238" t="s">
        <v>712</v>
      </c>
      <c r="C16" s="238" t="s">
        <v>713</v>
      </c>
      <c r="D16" s="238" t="s">
        <v>714</v>
      </c>
      <c r="E16" s="239" t="s">
        <v>27</v>
      </c>
      <c r="F16" s="244">
        <v>268.72000000000003</v>
      </c>
      <c r="G16" s="244"/>
      <c r="H16" s="239" t="s">
        <v>27</v>
      </c>
      <c r="I16" s="241" t="s">
        <v>29</v>
      </c>
      <c r="J16" s="241"/>
      <c r="K16" s="242" t="s">
        <v>22</v>
      </c>
      <c r="L16" s="243">
        <v>292288.61</v>
      </c>
    </row>
    <row r="17" spans="1:12" ht="163.19999999999999" hidden="1" x14ac:dyDescent="0.3">
      <c r="A17" s="237" t="s">
        <v>85</v>
      </c>
      <c r="B17" s="238" t="s">
        <v>712</v>
      </c>
      <c r="C17" s="238" t="s">
        <v>715</v>
      </c>
      <c r="D17" s="238" t="s">
        <v>716</v>
      </c>
      <c r="E17" s="239" t="s">
        <v>27</v>
      </c>
      <c r="F17" s="240">
        <v>48552.5</v>
      </c>
      <c r="G17" s="240"/>
      <c r="H17" s="239" t="s">
        <v>27</v>
      </c>
      <c r="I17" s="241" t="s">
        <v>29</v>
      </c>
      <c r="J17" s="241"/>
      <c r="K17" s="242" t="s">
        <v>22</v>
      </c>
      <c r="L17" s="243">
        <v>340841.11</v>
      </c>
    </row>
    <row r="18" spans="1:12" ht="163.19999999999999" hidden="1" x14ac:dyDescent="0.3">
      <c r="A18" s="237" t="s">
        <v>85</v>
      </c>
      <c r="B18" s="238" t="s">
        <v>712</v>
      </c>
      <c r="C18" s="238" t="s">
        <v>717</v>
      </c>
      <c r="D18" s="238" t="s">
        <v>338</v>
      </c>
      <c r="E18" s="239" t="s">
        <v>27</v>
      </c>
      <c r="F18" s="240">
        <v>4152.07</v>
      </c>
      <c r="G18" s="240"/>
      <c r="H18" s="239" t="s">
        <v>27</v>
      </c>
      <c r="I18" s="241" t="s">
        <v>29</v>
      </c>
      <c r="J18" s="241"/>
      <c r="K18" s="242" t="s">
        <v>22</v>
      </c>
      <c r="L18" s="243">
        <v>344993.18</v>
      </c>
    </row>
    <row r="19" spans="1:12" ht="163.19999999999999" hidden="1" x14ac:dyDescent="0.3">
      <c r="A19" s="237" t="s">
        <v>85</v>
      </c>
      <c r="B19" s="238" t="s">
        <v>718</v>
      </c>
      <c r="C19" s="238" t="s">
        <v>719</v>
      </c>
      <c r="D19" s="238" t="s">
        <v>720</v>
      </c>
      <c r="E19" s="239" t="s">
        <v>27</v>
      </c>
      <c r="F19" s="240">
        <v>13651.28</v>
      </c>
      <c r="G19" s="240"/>
      <c r="H19" s="239" t="s">
        <v>27</v>
      </c>
      <c r="I19" s="241" t="s">
        <v>29</v>
      </c>
      <c r="J19" s="241"/>
      <c r="K19" s="242" t="s">
        <v>22</v>
      </c>
      <c r="L19" s="243">
        <v>358644.46</v>
      </c>
    </row>
    <row r="20" spans="1:12" ht="61.2" x14ac:dyDescent="0.3">
      <c r="A20" s="237" t="s">
        <v>85</v>
      </c>
      <c r="B20" s="238" t="s">
        <v>721</v>
      </c>
      <c r="C20" s="238" t="s">
        <v>174</v>
      </c>
      <c r="D20" s="238" t="s">
        <v>713</v>
      </c>
      <c r="E20" s="239" t="s">
        <v>175</v>
      </c>
      <c r="F20" s="245" t="s">
        <v>29</v>
      </c>
      <c r="G20" s="245"/>
      <c r="H20" s="239" t="s">
        <v>27</v>
      </c>
      <c r="I20" s="247">
        <v>268.72000000000003</v>
      </c>
      <c r="J20" s="247"/>
      <c r="K20" s="242" t="s">
        <v>22</v>
      </c>
      <c r="L20" s="243">
        <v>358375.74</v>
      </c>
    </row>
    <row r="21" spans="1:12" ht="61.2" x14ac:dyDescent="0.3">
      <c r="A21" s="237" t="s">
        <v>85</v>
      </c>
      <c r="B21" s="238" t="s">
        <v>721</v>
      </c>
      <c r="C21" s="238" t="s">
        <v>174</v>
      </c>
      <c r="D21" s="238" t="s">
        <v>715</v>
      </c>
      <c r="E21" s="239" t="s">
        <v>175</v>
      </c>
      <c r="F21" s="245" t="s">
        <v>29</v>
      </c>
      <c r="G21" s="245"/>
      <c r="H21" s="239" t="s">
        <v>27</v>
      </c>
      <c r="I21" s="246">
        <v>48552.5</v>
      </c>
      <c r="J21" s="246"/>
      <c r="K21" s="242" t="s">
        <v>22</v>
      </c>
      <c r="L21" s="243">
        <v>309823.24</v>
      </c>
    </row>
    <row r="22" spans="1:12" ht="61.2" x14ac:dyDescent="0.3">
      <c r="A22" s="237" t="s">
        <v>85</v>
      </c>
      <c r="B22" s="238" t="s">
        <v>721</v>
      </c>
      <c r="C22" s="238" t="s">
        <v>174</v>
      </c>
      <c r="D22" s="238" t="s">
        <v>219</v>
      </c>
      <c r="E22" s="239" t="s">
        <v>175</v>
      </c>
      <c r="F22" s="245" t="s">
        <v>29</v>
      </c>
      <c r="G22" s="245"/>
      <c r="H22" s="239" t="s">
        <v>27</v>
      </c>
      <c r="I22" s="246">
        <v>9722.7999999999993</v>
      </c>
      <c r="J22" s="246"/>
      <c r="K22" s="242" t="s">
        <v>22</v>
      </c>
      <c r="L22" s="243">
        <v>300100.44</v>
      </c>
    </row>
    <row r="23" spans="1:12" ht="61.2" x14ac:dyDescent="0.3">
      <c r="A23" s="237" t="s">
        <v>85</v>
      </c>
      <c r="B23" s="238" t="s">
        <v>721</v>
      </c>
      <c r="C23" s="238" t="s">
        <v>174</v>
      </c>
      <c r="D23" s="238" t="s">
        <v>219</v>
      </c>
      <c r="E23" s="239" t="s">
        <v>175</v>
      </c>
      <c r="F23" s="245" t="s">
        <v>29</v>
      </c>
      <c r="G23" s="245"/>
      <c r="H23" s="239" t="s">
        <v>27</v>
      </c>
      <c r="I23" s="246">
        <v>48614</v>
      </c>
      <c r="J23" s="246"/>
      <c r="K23" s="242" t="s">
        <v>22</v>
      </c>
      <c r="L23" s="243">
        <v>251486.44</v>
      </c>
    </row>
    <row r="24" spans="1:12" ht="61.2" x14ac:dyDescent="0.3">
      <c r="A24" s="237" t="s">
        <v>85</v>
      </c>
      <c r="B24" s="238" t="s">
        <v>721</v>
      </c>
      <c r="C24" s="238" t="s">
        <v>174</v>
      </c>
      <c r="D24" s="238" t="s">
        <v>717</v>
      </c>
      <c r="E24" s="239" t="s">
        <v>175</v>
      </c>
      <c r="F24" s="245" t="s">
        <v>29</v>
      </c>
      <c r="G24" s="245"/>
      <c r="H24" s="239" t="s">
        <v>27</v>
      </c>
      <c r="I24" s="246">
        <v>4152.07</v>
      </c>
      <c r="J24" s="246"/>
      <c r="K24" s="242" t="s">
        <v>22</v>
      </c>
      <c r="L24" s="243">
        <v>247334.37</v>
      </c>
    </row>
    <row r="25" spans="1:12" ht="61.2" x14ac:dyDescent="0.3">
      <c r="A25" s="237" t="s">
        <v>85</v>
      </c>
      <c r="B25" s="238" t="s">
        <v>721</v>
      </c>
      <c r="C25" s="238" t="s">
        <v>174</v>
      </c>
      <c r="D25" s="238" t="s">
        <v>719</v>
      </c>
      <c r="E25" s="239" t="s">
        <v>175</v>
      </c>
      <c r="F25" s="245" t="s">
        <v>29</v>
      </c>
      <c r="G25" s="245"/>
      <c r="H25" s="239" t="s">
        <v>27</v>
      </c>
      <c r="I25" s="246">
        <v>13651.28</v>
      </c>
      <c r="J25" s="246"/>
      <c r="K25" s="242" t="s">
        <v>22</v>
      </c>
      <c r="L25" s="243">
        <v>233683.09</v>
      </c>
    </row>
    <row r="26" spans="1:12" ht="61.2" x14ac:dyDescent="0.3">
      <c r="A26" s="237" t="s">
        <v>85</v>
      </c>
      <c r="B26" s="238" t="s">
        <v>721</v>
      </c>
      <c r="C26" s="238" t="s">
        <v>174</v>
      </c>
      <c r="D26" s="238" t="s">
        <v>722</v>
      </c>
      <c r="E26" s="239" t="s">
        <v>175</v>
      </c>
      <c r="F26" s="245" t="s">
        <v>29</v>
      </c>
      <c r="G26" s="245"/>
      <c r="H26" s="239" t="s">
        <v>27</v>
      </c>
      <c r="I26" s="246">
        <v>7145.53</v>
      </c>
      <c r="J26" s="246"/>
      <c r="K26" s="242" t="s">
        <v>22</v>
      </c>
      <c r="L26" s="243">
        <v>226537.56</v>
      </c>
    </row>
    <row r="27" spans="1:12" ht="61.2" hidden="1" x14ac:dyDescent="0.3">
      <c r="A27" s="237" t="s">
        <v>85</v>
      </c>
      <c r="B27" s="238" t="s">
        <v>460</v>
      </c>
      <c r="C27" s="238" t="s">
        <v>461</v>
      </c>
      <c r="D27" s="238" t="s">
        <v>458</v>
      </c>
      <c r="E27" s="239" t="s">
        <v>27</v>
      </c>
      <c r="F27" s="240">
        <v>14981.11</v>
      </c>
      <c r="G27" s="240"/>
      <c r="H27" s="239" t="s">
        <v>27</v>
      </c>
      <c r="I27" s="241" t="s">
        <v>29</v>
      </c>
      <c r="J27" s="241"/>
      <c r="K27" s="242" t="s">
        <v>22</v>
      </c>
      <c r="L27" s="243">
        <v>241518.67</v>
      </c>
    </row>
    <row r="28" spans="1:12" ht="153" hidden="1" x14ac:dyDescent="0.3">
      <c r="A28" s="237" t="s">
        <v>468</v>
      </c>
      <c r="B28" s="238" t="s">
        <v>472</v>
      </c>
      <c r="C28" s="238" t="s">
        <v>473</v>
      </c>
      <c r="D28" s="238" t="s">
        <v>470</v>
      </c>
      <c r="E28" s="239" t="s">
        <v>27</v>
      </c>
      <c r="F28" s="240">
        <v>50849.72</v>
      </c>
      <c r="G28" s="240"/>
      <c r="H28" s="239" t="s">
        <v>27</v>
      </c>
      <c r="I28" s="241" t="s">
        <v>29</v>
      </c>
      <c r="J28" s="241"/>
      <c r="K28" s="242" t="s">
        <v>22</v>
      </c>
      <c r="L28" s="243">
        <v>292368.39</v>
      </c>
    </row>
    <row r="29" spans="1:12" hidden="1" x14ac:dyDescent="0.3">
      <c r="A29" s="248" t="s">
        <v>102</v>
      </c>
      <c r="B29" s="248"/>
      <c r="C29" s="248"/>
      <c r="D29" s="248"/>
      <c r="E29" s="249">
        <v>377529.13</v>
      </c>
      <c r="F29" s="249"/>
      <c r="G29" s="249"/>
      <c r="H29" s="249">
        <v>201343.69</v>
      </c>
      <c r="I29" s="249"/>
      <c r="J29" s="249"/>
      <c r="K29" s="250" t="s">
        <v>22</v>
      </c>
      <c r="L29" s="251">
        <v>292368.39</v>
      </c>
    </row>
    <row r="31" spans="1:12" x14ac:dyDescent="0.3">
      <c r="J31">
        <f>SUBTOTAL(9,I11:J26)</f>
        <v>201343.69</v>
      </c>
    </row>
  </sheetData>
  <autoFilter ref="B1:D29">
    <filterColumn colId="0">
      <filters>
        <filter val="Вимога-накладна ІБ00-000217 від 26.03.2025 14:21:27_x000a_Списаны ТМЦ"/>
        <filter val="Вимога-накладна ІБ00-000228 від 28.03.2025 11:24:02_x000a_Списаны ТМЦ"/>
      </filters>
    </filterColumn>
  </autoFilter>
  <mergeCells count="64">
    <mergeCell ref="F28:G28"/>
    <mergeCell ref="I28:J28"/>
    <mergeCell ref="A29:D29"/>
    <mergeCell ref="E29:G29"/>
    <mergeCell ref="H29:J29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38"/>
  <sheetViews>
    <sheetView topLeftCell="A29" workbookViewId="0">
      <selection activeCell="J39" sqref="J39"/>
    </sheetView>
  </sheetViews>
  <sheetFormatPr defaultRowHeight="14.4" x14ac:dyDescent="0.3"/>
  <cols>
    <col min="2" max="4" width="23.109375" customWidth="1"/>
  </cols>
  <sheetData>
    <row r="1" spans="1:12" x14ac:dyDescent="0.3">
      <c r="A1" s="252" t="s">
        <v>13</v>
      </c>
      <c r="B1" s="253" t="s">
        <v>14</v>
      </c>
      <c r="C1" s="253" t="s">
        <v>15</v>
      </c>
      <c r="D1" s="254" t="s">
        <v>16</v>
      </c>
      <c r="E1" s="255" t="s">
        <v>17</v>
      </c>
      <c r="F1" s="255"/>
      <c r="G1" s="255"/>
      <c r="H1" s="256" t="s">
        <v>18</v>
      </c>
      <c r="I1" s="256"/>
      <c r="J1" s="256"/>
      <c r="K1" s="253" t="s">
        <v>19</v>
      </c>
      <c r="L1" s="253"/>
    </row>
    <row r="2" spans="1:12" hidden="1" x14ac:dyDescent="0.3">
      <c r="A2" s="257"/>
      <c r="B2" s="258"/>
      <c r="C2" s="258"/>
      <c r="D2" s="259"/>
      <c r="E2" s="260" t="s">
        <v>20</v>
      </c>
      <c r="F2" s="261"/>
      <c r="G2" s="261"/>
      <c r="H2" s="262" t="s">
        <v>20</v>
      </c>
      <c r="I2" s="263"/>
      <c r="J2" s="263"/>
      <c r="K2" s="257"/>
      <c r="L2" s="264"/>
    </row>
    <row r="3" spans="1:12" ht="71.400000000000006" hidden="1" x14ac:dyDescent="0.3">
      <c r="A3" s="265" t="s">
        <v>184</v>
      </c>
      <c r="B3" s="266" t="s">
        <v>220</v>
      </c>
      <c r="C3" s="266" t="s">
        <v>221</v>
      </c>
      <c r="D3" s="266" t="s">
        <v>212</v>
      </c>
      <c r="E3" s="267" t="s">
        <v>27</v>
      </c>
      <c r="F3" s="268">
        <v>101894.93</v>
      </c>
      <c r="G3" s="268"/>
      <c r="H3" s="267" t="s">
        <v>27</v>
      </c>
      <c r="I3" s="269" t="s">
        <v>29</v>
      </c>
      <c r="J3" s="269"/>
      <c r="K3" s="270" t="s">
        <v>22</v>
      </c>
      <c r="L3" s="271">
        <v>454063.2</v>
      </c>
    </row>
    <row r="4" spans="1:12" ht="81.599999999999994" hidden="1" x14ac:dyDescent="0.3">
      <c r="A4" s="265" t="s">
        <v>184</v>
      </c>
      <c r="B4" s="266" t="s">
        <v>228</v>
      </c>
      <c r="C4" s="266" t="s">
        <v>229</v>
      </c>
      <c r="D4" s="266" t="s">
        <v>187</v>
      </c>
      <c r="E4" s="267" t="s">
        <v>27</v>
      </c>
      <c r="F4" s="272">
        <v>838.87</v>
      </c>
      <c r="G4" s="272"/>
      <c r="H4" s="267" t="s">
        <v>27</v>
      </c>
      <c r="I4" s="269" t="s">
        <v>29</v>
      </c>
      <c r="J4" s="269"/>
      <c r="K4" s="270" t="s">
        <v>22</v>
      </c>
      <c r="L4" s="271">
        <v>454902.07</v>
      </c>
    </row>
    <row r="5" spans="1:12" ht="81.599999999999994" hidden="1" x14ac:dyDescent="0.3">
      <c r="A5" s="265" t="s">
        <v>42</v>
      </c>
      <c r="B5" s="266" t="s">
        <v>723</v>
      </c>
      <c r="C5" s="266" t="s">
        <v>724</v>
      </c>
      <c r="D5" s="266" t="s">
        <v>725</v>
      </c>
      <c r="E5" s="267" t="s">
        <v>27</v>
      </c>
      <c r="F5" s="272">
        <v>85.2</v>
      </c>
      <c r="G5" s="272"/>
      <c r="H5" s="267" t="s">
        <v>28</v>
      </c>
      <c r="I5" s="269" t="s">
        <v>29</v>
      </c>
      <c r="J5" s="269"/>
      <c r="K5" s="270" t="s">
        <v>22</v>
      </c>
      <c r="L5" s="271">
        <v>454987.27</v>
      </c>
    </row>
    <row r="6" spans="1:12" ht="81.599999999999994" hidden="1" x14ac:dyDescent="0.3">
      <c r="A6" s="265" t="s">
        <v>42</v>
      </c>
      <c r="B6" s="266" t="s">
        <v>726</v>
      </c>
      <c r="C6" s="266" t="s">
        <v>724</v>
      </c>
      <c r="D6" s="266" t="s">
        <v>725</v>
      </c>
      <c r="E6" s="267" t="s">
        <v>27</v>
      </c>
      <c r="F6" s="268">
        <v>8314.7999999999993</v>
      </c>
      <c r="G6" s="268"/>
      <c r="H6" s="267" t="s">
        <v>28</v>
      </c>
      <c r="I6" s="269" t="s">
        <v>29</v>
      </c>
      <c r="J6" s="269"/>
      <c r="K6" s="270" t="s">
        <v>22</v>
      </c>
      <c r="L6" s="271">
        <v>463302.07</v>
      </c>
    </row>
    <row r="7" spans="1:12" ht="81.599999999999994" hidden="1" x14ac:dyDescent="0.3">
      <c r="A7" s="265" t="s">
        <v>42</v>
      </c>
      <c r="B7" s="266" t="s">
        <v>723</v>
      </c>
      <c r="C7" s="266" t="s">
        <v>727</v>
      </c>
      <c r="D7" s="266" t="s">
        <v>725</v>
      </c>
      <c r="E7" s="267" t="s">
        <v>27</v>
      </c>
      <c r="F7" s="268">
        <v>1993.5</v>
      </c>
      <c r="G7" s="268"/>
      <c r="H7" s="267" t="s">
        <v>28</v>
      </c>
      <c r="I7" s="269" t="s">
        <v>29</v>
      </c>
      <c r="J7" s="269"/>
      <c r="K7" s="270" t="s">
        <v>22</v>
      </c>
      <c r="L7" s="271">
        <v>465295.57</v>
      </c>
    </row>
    <row r="8" spans="1:12" ht="71.400000000000006" hidden="1" x14ac:dyDescent="0.3">
      <c r="A8" s="265" t="s">
        <v>47</v>
      </c>
      <c r="B8" s="266" t="s">
        <v>261</v>
      </c>
      <c r="C8" s="266" t="s">
        <v>262</v>
      </c>
      <c r="D8" s="266" t="s">
        <v>251</v>
      </c>
      <c r="E8" s="267" t="s">
        <v>27</v>
      </c>
      <c r="F8" s="268">
        <v>3703.25</v>
      </c>
      <c r="G8" s="268"/>
      <c r="H8" s="267" t="s">
        <v>27</v>
      </c>
      <c r="I8" s="269" t="s">
        <v>29</v>
      </c>
      <c r="J8" s="269"/>
      <c r="K8" s="270" t="s">
        <v>22</v>
      </c>
      <c r="L8" s="271">
        <v>468998.82</v>
      </c>
    </row>
    <row r="9" spans="1:12" ht="91.8" hidden="1" x14ac:dyDescent="0.3">
      <c r="A9" s="265" t="s">
        <v>114</v>
      </c>
      <c r="B9" s="266" t="s">
        <v>542</v>
      </c>
      <c r="C9" s="266" t="s">
        <v>543</v>
      </c>
      <c r="D9" s="266" t="s">
        <v>529</v>
      </c>
      <c r="E9" s="267" t="s">
        <v>27</v>
      </c>
      <c r="F9" s="272">
        <v>65</v>
      </c>
      <c r="G9" s="272"/>
      <c r="H9" s="267" t="s">
        <v>27</v>
      </c>
      <c r="I9" s="269" t="s">
        <v>29</v>
      </c>
      <c r="J9" s="269"/>
      <c r="K9" s="270" t="s">
        <v>22</v>
      </c>
      <c r="L9" s="271">
        <v>469063.82</v>
      </c>
    </row>
    <row r="10" spans="1:12" ht="71.400000000000006" hidden="1" x14ac:dyDescent="0.3">
      <c r="A10" s="265" t="s">
        <v>60</v>
      </c>
      <c r="B10" s="266" t="s">
        <v>341</v>
      </c>
      <c r="C10" s="266" t="s">
        <v>342</v>
      </c>
      <c r="D10" s="266" t="s">
        <v>343</v>
      </c>
      <c r="E10" s="267" t="s">
        <v>27</v>
      </c>
      <c r="F10" s="268">
        <v>33947.199999999997</v>
      </c>
      <c r="G10" s="268"/>
      <c r="H10" s="267" t="s">
        <v>27</v>
      </c>
      <c r="I10" s="269" t="s">
        <v>29</v>
      </c>
      <c r="J10" s="269"/>
      <c r="K10" s="270" t="s">
        <v>22</v>
      </c>
      <c r="L10" s="271">
        <v>503011.02</v>
      </c>
    </row>
    <row r="11" spans="1:12" ht="81.599999999999994" x14ac:dyDescent="0.3">
      <c r="A11" s="265" t="s">
        <v>60</v>
      </c>
      <c r="B11" s="266" t="s">
        <v>728</v>
      </c>
      <c r="C11" s="266" t="s">
        <v>174</v>
      </c>
      <c r="D11" s="266" t="s">
        <v>729</v>
      </c>
      <c r="E11" s="267" t="s">
        <v>175</v>
      </c>
      <c r="F11" s="273" t="s">
        <v>29</v>
      </c>
      <c r="G11" s="273"/>
      <c r="H11" s="267" t="s">
        <v>27</v>
      </c>
      <c r="I11" s="274">
        <v>1769.91</v>
      </c>
      <c r="J11" s="274"/>
      <c r="K11" s="270" t="s">
        <v>22</v>
      </c>
      <c r="L11" s="271">
        <v>501241.11</v>
      </c>
    </row>
    <row r="12" spans="1:12" ht="81.599999999999994" x14ac:dyDescent="0.3">
      <c r="A12" s="265" t="s">
        <v>60</v>
      </c>
      <c r="B12" s="266" t="s">
        <v>728</v>
      </c>
      <c r="C12" s="266" t="s">
        <v>174</v>
      </c>
      <c r="D12" s="266" t="s">
        <v>730</v>
      </c>
      <c r="E12" s="267" t="s">
        <v>175</v>
      </c>
      <c r="F12" s="273" t="s">
        <v>29</v>
      </c>
      <c r="G12" s="273"/>
      <c r="H12" s="267" t="s">
        <v>27</v>
      </c>
      <c r="I12" s="274">
        <v>3731.2</v>
      </c>
      <c r="J12" s="274"/>
      <c r="K12" s="270" t="s">
        <v>22</v>
      </c>
      <c r="L12" s="271">
        <v>497509.91</v>
      </c>
    </row>
    <row r="13" spans="1:12" ht="71.400000000000006" x14ac:dyDescent="0.3">
      <c r="A13" s="265" t="s">
        <v>60</v>
      </c>
      <c r="B13" s="266" t="s">
        <v>728</v>
      </c>
      <c r="C13" s="266" t="s">
        <v>174</v>
      </c>
      <c r="D13" s="266" t="s">
        <v>731</v>
      </c>
      <c r="E13" s="267" t="s">
        <v>175</v>
      </c>
      <c r="F13" s="273" t="s">
        <v>29</v>
      </c>
      <c r="G13" s="273"/>
      <c r="H13" s="267" t="s">
        <v>27</v>
      </c>
      <c r="I13" s="274">
        <v>43283.33</v>
      </c>
      <c r="J13" s="274"/>
      <c r="K13" s="270" t="s">
        <v>22</v>
      </c>
      <c r="L13" s="271">
        <v>454226.58</v>
      </c>
    </row>
    <row r="14" spans="1:12" ht="71.400000000000006" x14ac:dyDescent="0.3">
      <c r="A14" s="265" t="s">
        <v>60</v>
      </c>
      <c r="B14" s="266" t="s">
        <v>728</v>
      </c>
      <c r="C14" s="266" t="s">
        <v>174</v>
      </c>
      <c r="D14" s="266" t="s">
        <v>732</v>
      </c>
      <c r="E14" s="267" t="s">
        <v>175</v>
      </c>
      <c r="F14" s="273" t="s">
        <v>29</v>
      </c>
      <c r="G14" s="273"/>
      <c r="H14" s="267" t="s">
        <v>27</v>
      </c>
      <c r="I14" s="274">
        <v>8744.94</v>
      </c>
      <c r="J14" s="274"/>
      <c r="K14" s="270" t="s">
        <v>22</v>
      </c>
      <c r="L14" s="271">
        <v>445481.64</v>
      </c>
    </row>
    <row r="15" spans="1:12" ht="71.400000000000006" x14ac:dyDescent="0.3">
      <c r="A15" s="265" t="s">
        <v>60</v>
      </c>
      <c r="B15" s="266" t="s">
        <v>728</v>
      </c>
      <c r="C15" s="266" t="s">
        <v>174</v>
      </c>
      <c r="D15" s="266" t="s">
        <v>342</v>
      </c>
      <c r="E15" s="267" t="s">
        <v>175</v>
      </c>
      <c r="F15" s="273" t="s">
        <v>29</v>
      </c>
      <c r="G15" s="273"/>
      <c r="H15" s="267" t="s">
        <v>27</v>
      </c>
      <c r="I15" s="274">
        <v>33947.199999999997</v>
      </c>
      <c r="J15" s="274"/>
      <c r="K15" s="270" t="s">
        <v>22</v>
      </c>
      <c r="L15" s="271">
        <v>411534.44</v>
      </c>
    </row>
    <row r="16" spans="1:12" ht="71.400000000000006" x14ac:dyDescent="0.3">
      <c r="A16" s="265" t="s">
        <v>60</v>
      </c>
      <c r="B16" s="266" t="s">
        <v>728</v>
      </c>
      <c r="C16" s="266" t="s">
        <v>174</v>
      </c>
      <c r="D16" s="266" t="s">
        <v>733</v>
      </c>
      <c r="E16" s="267" t="s">
        <v>175</v>
      </c>
      <c r="F16" s="273" t="s">
        <v>29</v>
      </c>
      <c r="G16" s="273"/>
      <c r="H16" s="267" t="s">
        <v>27</v>
      </c>
      <c r="I16" s="274">
        <v>3484.55</v>
      </c>
      <c r="J16" s="274"/>
      <c r="K16" s="270" t="s">
        <v>22</v>
      </c>
      <c r="L16" s="271">
        <v>408049.89</v>
      </c>
    </row>
    <row r="17" spans="1:12" ht="71.400000000000006" x14ac:dyDescent="0.3">
      <c r="A17" s="265" t="s">
        <v>60</v>
      </c>
      <c r="B17" s="266" t="s">
        <v>728</v>
      </c>
      <c r="C17" s="266" t="s">
        <v>174</v>
      </c>
      <c r="D17" s="266" t="s">
        <v>733</v>
      </c>
      <c r="E17" s="267" t="s">
        <v>175</v>
      </c>
      <c r="F17" s="273" t="s">
        <v>29</v>
      </c>
      <c r="G17" s="273"/>
      <c r="H17" s="267" t="s">
        <v>27</v>
      </c>
      <c r="I17" s="274">
        <v>3310.32</v>
      </c>
      <c r="J17" s="274"/>
      <c r="K17" s="270" t="s">
        <v>22</v>
      </c>
      <c r="L17" s="271">
        <v>404739.57</v>
      </c>
    </row>
    <row r="18" spans="1:12" ht="71.400000000000006" x14ac:dyDescent="0.3">
      <c r="A18" s="265" t="s">
        <v>60</v>
      </c>
      <c r="B18" s="266" t="s">
        <v>728</v>
      </c>
      <c r="C18" s="266" t="s">
        <v>174</v>
      </c>
      <c r="D18" s="266" t="s">
        <v>262</v>
      </c>
      <c r="E18" s="267" t="s">
        <v>175</v>
      </c>
      <c r="F18" s="273" t="s">
        <v>29</v>
      </c>
      <c r="G18" s="273"/>
      <c r="H18" s="267" t="s">
        <v>27</v>
      </c>
      <c r="I18" s="274">
        <v>3703.25</v>
      </c>
      <c r="J18" s="274"/>
      <c r="K18" s="270" t="s">
        <v>22</v>
      </c>
      <c r="L18" s="271">
        <v>401036.32</v>
      </c>
    </row>
    <row r="19" spans="1:12" ht="71.400000000000006" x14ac:dyDescent="0.3">
      <c r="A19" s="265" t="s">
        <v>60</v>
      </c>
      <c r="B19" s="266" t="s">
        <v>728</v>
      </c>
      <c r="C19" s="266" t="s">
        <v>174</v>
      </c>
      <c r="D19" s="266" t="s">
        <v>221</v>
      </c>
      <c r="E19" s="267" t="s">
        <v>175</v>
      </c>
      <c r="F19" s="273" t="s">
        <v>29</v>
      </c>
      <c r="G19" s="273"/>
      <c r="H19" s="267" t="s">
        <v>27</v>
      </c>
      <c r="I19" s="274">
        <v>101894.93</v>
      </c>
      <c r="J19" s="274"/>
      <c r="K19" s="270" t="s">
        <v>22</v>
      </c>
      <c r="L19" s="271">
        <v>299141.39</v>
      </c>
    </row>
    <row r="20" spans="1:12" ht="71.400000000000006" x14ac:dyDescent="0.3">
      <c r="A20" s="265" t="s">
        <v>60</v>
      </c>
      <c r="B20" s="266" t="s">
        <v>728</v>
      </c>
      <c r="C20" s="266" t="s">
        <v>174</v>
      </c>
      <c r="D20" s="266" t="s">
        <v>734</v>
      </c>
      <c r="E20" s="267" t="s">
        <v>175</v>
      </c>
      <c r="F20" s="273" t="s">
        <v>29</v>
      </c>
      <c r="G20" s="273"/>
      <c r="H20" s="267" t="s">
        <v>27</v>
      </c>
      <c r="I20" s="274">
        <v>96536.59</v>
      </c>
      <c r="J20" s="274"/>
      <c r="K20" s="270" t="s">
        <v>22</v>
      </c>
      <c r="L20" s="271">
        <v>202604.79999999999</v>
      </c>
    </row>
    <row r="21" spans="1:12" ht="81.599999999999994" hidden="1" x14ac:dyDescent="0.3">
      <c r="A21" s="265" t="s">
        <v>735</v>
      </c>
      <c r="B21" s="266" t="s">
        <v>736</v>
      </c>
      <c r="C21" s="266" t="s">
        <v>737</v>
      </c>
      <c r="D21" s="266" t="s">
        <v>738</v>
      </c>
      <c r="E21" s="267" t="s">
        <v>27</v>
      </c>
      <c r="F21" s="272">
        <v>469.7</v>
      </c>
      <c r="G21" s="272"/>
      <c r="H21" s="267" t="s">
        <v>28</v>
      </c>
      <c r="I21" s="269" t="s">
        <v>29</v>
      </c>
      <c r="J21" s="269"/>
      <c r="K21" s="270" t="s">
        <v>22</v>
      </c>
      <c r="L21" s="271">
        <v>203074.5</v>
      </c>
    </row>
    <row r="22" spans="1:12" ht="81.599999999999994" hidden="1" x14ac:dyDescent="0.3">
      <c r="A22" s="265" t="s">
        <v>735</v>
      </c>
      <c r="B22" s="266" t="s">
        <v>739</v>
      </c>
      <c r="C22" s="266" t="s">
        <v>740</v>
      </c>
      <c r="D22" s="266" t="s">
        <v>741</v>
      </c>
      <c r="E22" s="267" t="s">
        <v>27</v>
      </c>
      <c r="F22" s="268">
        <v>1591.7</v>
      </c>
      <c r="G22" s="268"/>
      <c r="H22" s="267" t="s">
        <v>28</v>
      </c>
      <c r="I22" s="269" t="s">
        <v>29</v>
      </c>
      <c r="J22" s="269"/>
      <c r="K22" s="270" t="s">
        <v>22</v>
      </c>
      <c r="L22" s="271">
        <v>204666.2</v>
      </c>
    </row>
    <row r="23" spans="1:12" ht="71.400000000000006" hidden="1" x14ac:dyDescent="0.3">
      <c r="A23" s="265" t="s">
        <v>735</v>
      </c>
      <c r="B23" s="266" t="s">
        <v>739</v>
      </c>
      <c r="C23" s="266" t="s">
        <v>742</v>
      </c>
      <c r="D23" s="266" t="s">
        <v>741</v>
      </c>
      <c r="E23" s="267" t="s">
        <v>27</v>
      </c>
      <c r="F23" s="272">
        <v>425</v>
      </c>
      <c r="G23" s="272"/>
      <c r="H23" s="267" t="s">
        <v>28</v>
      </c>
      <c r="I23" s="269" t="s">
        <v>29</v>
      </c>
      <c r="J23" s="269"/>
      <c r="K23" s="270" t="s">
        <v>22</v>
      </c>
      <c r="L23" s="271">
        <v>205091.20000000001</v>
      </c>
    </row>
    <row r="24" spans="1:12" ht="71.400000000000006" x14ac:dyDescent="0.3">
      <c r="A24" s="265" t="s">
        <v>81</v>
      </c>
      <c r="B24" s="266" t="s">
        <v>743</v>
      </c>
      <c r="C24" s="266" t="s">
        <v>174</v>
      </c>
      <c r="D24" s="266" t="s">
        <v>731</v>
      </c>
      <c r="E24" s="267" t="s">
        <v>175</v>
      </c>
      <c r="F24" s="273" t="s">
        <v>29</v>
      </c>
      <c r="G24" s="273"/>
      <c r="H24" s="267" t="s">
        <v>27</v>
      </c>
      <c r="I24" s="274">
        <v>4990</v>
      </c>
      <c r="J24" s="274"/>
      <c r="K24" s="270" t="s">
        <v>22</v>
      </c>
      <c r="L24" s="271">
        <v>200101.2</v>
      </c>
    </row>
    <row r="25" spans="1:12" ht="71.400000000000006" x14ac:dyDescent="0.3">
      <c r="A25" s="265" t="s">
        <v>81</v>
      </c>
      <c r="B25" s="266" t="s">
        <v>743</v>
      </c>
      <c r="C25" s="266" t="s">
        <v>174</v>
      </c>
      <c r="D25" s="266" t="s">
        <v>744</v>
      </c>
      <c r="E25" s="267" t="s">
        <v>175</v>
      </c>
      <c r="F25" s="273" t="s">
        <v>29</v>
      </c>
      <c r="G25" s="273"/>
      <c r="H25" s="267" t="s">
        <v>27</v>
      </c>
      <c r="I25" s="274">
        <v>5249.75</v>
      </c>
      <c r="J25" s="274"/>
      <c r="K25" s="270" t="s">
        <v>22</v>
      </c>
      <c r="L25" s="271">
        <v>194851.45</v>
      </c>
    </row>
    <row r="26" spans="1:12" ht="71.400000000000006" x14ac:dyDescent="0.3">
      <c r="A26" s="265" t="s">
        <v>81</v>
      </c>
      <c r="B26" s="266" t="s">
        <v>743</v>
      </c>
      <c r="C26" s="266" t="s">
        <v>174</v>
      </c>
      <c r="D26" s="266" t="s">
        <v>744</v>
      </c>
      <c r="E26" s="267" t="s">
        <v>175</v>
      </c>
      <c r="F26" s="273" t="s">
        <v>29</v>
      </c>
      <c r="G26" s="273"/>
      <c r="H26" s="267" t="s">
        <v>27</v>
      </c>
      <c r="I26" s="274">
        <v>2869.25</v>
      </c>
      <c r="J26" s="274"/>
      <c r="K26" s="270" t="s">
        <v>22</v>
      </c>
      <c r="L26" s="271">
        <v>191982.2</v>
      </c>
    </row>
    <row r="27" spans="1:12" ht="71.400000000000006" x14ac:dyDescent="0.3">
      <c r="A27" s="265" t="s">
        <v>81</v>
      </c>
      <c r="B27" s="266" t="s">
        <v>743</v>
      </c>
      <c r="C27" s="266" t="s">
        <v>174</v>
      </c>
      <c r="D27" s="266" t="s">
        <v>745</v>
      </c>
      <c r="E27" s="267" t="s">
        <v>175</v>
      </c>
      <c r="F27" s="273" t="s">
        <v>29</v>
      </c>
      <c r="G27" s="273"/>
      <c r="H27" s="267" t="s">
        <v>27</v>
      </c>
      <c r="I27" s="274">
        <v>2190</v>
      </c>
      <c r="J27" s="274"/>
      <c r="K27" s="270" t="s">
        <v>22</v>
      </c>
      <c r="L27" s="271">
        <v>189792.2</v>
      </c>
    </row>
    <row r="28" spans="1:12" ht="71.400000000000006" x14ac:dyDescent="0.3">
      <c r="A28" s="265" t="s">
        <v>81</v>
      </c>
      <c r="B28" s="266" t="s">
        <v>743</v>
      </c>
      <c r="C28" s="266" t="s">
        <v>174</v>
      </c>
      <c r="D28" s="266" t="s">
        <v>745</v>
      </c>
      <c r="E28" s="267" t="s">
        <v>175</v>
      </c>
      <c r="F28" s="273" t="s">
        <v>29</v>
      </c>
      <c r="G28" s="273"/>
      <c r="H28" s="267" t="s">
        <v>27</v>
      </c>
      <c r="I28" s="274">
        <v>4990</v>
      </c>
      <c r="J28" s="274"/>
      <c r="K28" s="270" t="s">
        <v>22</v>
      </c>
      <c r="L28" s="271">
        <v>184802.2</v>
      </c>
    </row>
    <row r="29" spans="1:12" ht="71.400000000000006" x14ac:dyDescent="0.3">
      <c r="A29" s="265" t="s">
        <v>81</v>
      </c>
      <c r="B29" s="266" t="s">
        <v>743</v>
      </c>
      <c r="C29" s="266" t="s">
        <v>174</v>
      </c>
      <c r="D29" s="266" t="s">
        <v>745</v>
      </c>
      <c r="E29" s="267" t="s">
        <v>175</v>
      </c>
      <c r="F29" s="273" t="s">
        <v>29</v>
      </c>
      <c r="G29" s="273"/>
      <c r="H29" s="267" t="s">
        <v>27</v>
      </c>
      <c r="I29" s="274">
        <v>5580</v>
      </c>
      <c r="J29" s="274"/>
      <c r="K29" s="270" t="s">
        <v>22</v>
      </c>
      <c r="L29" s="271">
        <v>179222.2</v>
      </c>
    </row>
    <row r="30" spans="1:12" ht="71.400000000000006" x14ac:dyDescent="0.3">
      <c r="A30" s="265" t="s">
        <v>81</v>
      </c>
      <c r="B30" s="266" t="s">
        <v>743</v>
      </c>
      <c r="C30" s="266" t="s">
        <v>174</v>
      </c>
      <c r="D30" s="266" t="s">
        <v>746</v>
      </c>
      <c r="E30" s="267" t="s">
        <v>175</v>
      </c>
      <c r="F30" s="273" t="s">
        <v>29</v>
      </c>
      <c r="G30" s="273"/>
      <c r="H30" s="267" t="s">
        <v>27</v>
      </c>
      <c r="I30" s="274">
        <v>4128.5</v>
      </c>
      <c r="J30" s="274"/>
      <c r="K30" s="270" t="s">
        <v>22</v>
      </c>
      <c r="L30" s="271">
        <v>175093.7</v>
      </c>
    </row>
    <row r="31" spans="1:12" ht="71.400000000000006" x14ac:dyDescent="0.3">
      <c r="A31" s="265" t="s">
        <v>81</v>
      </c>
      <c r="B31" s="266" t="s">
        <v>743</v>
      </c>
      <c r="C31" s="266" t="s">
        <v>174</v>
      </c>
      <c r="D31" s="266" t="s">
        <v>734</v>
      </c>
      <c r="E31" s="267" t="s">
        <v>175</v>
      </c>
      <c r="F31" s="273" t="s">
        <v>29</v>
      </c>
      <c r="G31" s="273"/>
      <c r="H31" s="267" t="s">
        <v>27</v>
      </c>
      <c r="I31" s="274">
        <v>5932.42</v>
      </c>
      <c r="J31" s="274"/>
      <c r="K31" s="270" t="s">
        <v>22</v>
      </c>
      <c r="L31" s="271">
        <v>169161.28</v>
      </c>
    </row>
    <row r="32" spans="1:12" ht="71.400000000000006" x14ac:dyDescent="0.3">
      <c r="A32" s="265" t="s">
        <v>81</v>
      </c>
      <c r="B32" s="266" t="s">
        <v>743</v>
      </c>
      <c r="C32" s="266" t="s">
        <v>174</v>
      </c>
      <c r="D32" s="266" t="s">
        <v>720</v>
      </c>
      <c r="E32" s="267" t="s">
        <v>175</v>
      </c>
      <c r="F32" s="273" t="s">
        <v>29</v>
      </c>
      <c r="G32" s="273"/>
      <c r="H32" s="267" t="s">
        <v>27</v>
      </c>
      <c r="I32" s="274">
        <v>87858.23</v>
      </c>
      <c r="J32" s="274"/>
      <c r="K32" s="270" t="s">
        <v>22</v>
      </c>
      <c r="L32" s="271">
        <v>81303.05</v>
      </c>
    </row>
    <row r="33" spans="1:12" ht="91.8" x14ac:dyDescent="0.3">
      <c r="A33" s="265" t="s">
        <v>81</v>
      </c>
      <c r="B33" s="266" t="s">
        <v>743</v>
      </c>
      <c r="C33" s="266" t="s">
        <v>174</v>
      </c>
      <c r="D33" s="266" t="s">
        <v>543</v>
      </c>
      <c r="E33" s="267" t="s">
        <v>175</v>
      </c>
      <c r="F33" s="273" t="s">
        <v>29</v>
      </c>
      <c r="G33" s="273"/>
      <c r="H33" s="267" t="s">
        <v>27</v>
      </c>
      <c r="I33" s="275">
        <v>65</v>
      </c>
      <c r="J33" s="275"/>
      <c r="K33" s="270" t="s">
        <v>22</v>
      </c>
      <c r="L33" s="271">
        <v>81238.05</v>
      </c>
    </row>
    <row r="34" spans="1:12" ht="71.400000000000006" hidden="1" x14ac:dyDescent="0.3">
      <c r="A34" s="265" t="s">
        <v>85</v>
      </c>
      <c r="B34" s="266" t="s">
        <v>718</v>
      </c>
      <c r="C34" s="266" t="s">
        <v>719</v>
      </c>
      <c r="D34" s="266" t="s">
        <v>720</v>
      </c>
      <c r="E34" s="267" t="s">
        <v>27</v>
      </c>
      <c r="F34" s="273" t="s">
        <v>29</v>
      </c>
      <c r="G34" s="273"/>
      <c r="H34" s="267" t="s">
        <v>27</v>
      </c>
      <c r="I34" s="274">
        <v>13651.28</v>
      </c>
      <c r="J34" s="274"/>
      <c r="K34" s="270" t="s">
        <v>22</v>
      </c>
      <c r="L34" s="271">
        <v>67586.77</v>
      </c>
    </row>
    <row r="35" spans="1:12" ht="81.599999999999994" hidden="1" x14ac:dyDescent="0.3">
      <c r="A35" s="265" t="s">
        <v>85</v>
      </c>
      <c r="B35" s="266" t="s">
        <v>747</v>
      </c>
      <c r="C35" s="266" t="s">
        <v>748</v>
      </c>
      <c r="D35" s="266" t="s">
        <v>749</v>
      </c>
      <c r="E35" s="267" t="s">
        <v>27</v>
      </c>
      <c r="F35" s="273" t="s">
        <v>29</v>
      </c>
      <c r="G35" s="273"/>
      <c r="H35" s="267" t="s">
        <v>27</v>
      </c>
      <c r="I35" s="274">
        <v>27170</v>
      </c>
      <c r="J35" s="274"/>
      <c r="K35" s="270" t="s">
        <v>22</v>
      </c>
      <c r="L35" s="271">
        <v>40416.769999999997</v>
      </c>
    </row>
    <row r="36" spans="1:12" hidden="1" x14ac:dyDescent="0.3">
      <c r="A36" s="276" t="s">
        <v>102</v>
      </c>
      <c r="B36" s="276"/>
      <c r="C36" s="276"/>
      <c r="D36" s="276"/>
      <c r="E36" s="277">
        <v>153329.15</v>
      </c>
      <c r="F36" s="277"/>
      <c r="G36" s="277"/>
      <c r="H36" s="277">
        <v>465080.65</v>
      </c>
      <c r="I36" s="277"/>
      <c r="J36" s="277"/>
      <c r="K36" s="278" t="s">
        <v>22</v>
      </c>
      <c r="L36" s="279">
        <v>40416.769999999997</v>
      </c>
    </row>
    <row r="38" spans="1:12" x14ac:dyDescent="0.3">
      <c r="J38">
        <f>SUBTOTAL(9,I11:J33)</f>
        <v>424259.36999999994</v>
      </c>
    </row>
  </sheetData>
  <autoFilter ref="B1:D36">
    <filterColumn colId="0">
      <filters>
        <filter val="Вимога-накладна ІБ00-000198 від 18.03.2025 15:00:00_x000a_Списаны ТМЦ"/>
        <filter val="Вимога-накладна ІБ00-000218 від 26.03.2025 14:51:51_x000a_Списаны ТМЦ"/>
      </filters>
    </filterColumn>
  </autoFilter>
  <mergeCells count="78">
    <mergeCell ref="F34:G34"/>
    <mergeCell ref="I34:J34"/>
    <mergeCell ref="F35:G35"/>
    <mergeCell ref="I35:J35"/>
    <mergeCell ref="A36:D36"/>
    <mergeCell ref="E36:G36"/>
    <mergeCell ref="H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270"/>
  <sheetViews>
    <sheetView topLeftCell="A261" workbookViewId="0">
      <selection activeCell="J270" sqref="J270"/>
    </sheetView>
  </sheetViews>
  <sheetFormatPr defaultRowHeight="14.4" x14ac:dyDescent="0.3"/>
  <cols>
    <col min="2" max="4" width="31.44140625" customWidth="1"/>
    <col min="10" max="10" width="11.33203125" bestFit="1" customWidth="1"/>
  </cols>
  <sheetData>
    <row r="1" spans="1:12" x14ac:dyDescent="0.3">
      <c r="A1" s="280" t="s">
        <v>13</v>
      </c>
      <c r="B1" s="281" t="s">
        <v>14</v>
      </c>
      <c r="C1" s="281" t="s">
        <v>15</v>
      </c>
      <c r="D1" s="282" t="s">
        <v>16</v>
      </c>
      <c r="E1" s="283" t="s">
        <v>17</v>
      </c>
      <c r="F1" s="283"/>
      <c r="G1" s="283"/>
      <c r="H1" s="284" t="s">
        <v>18</v>
      </c>
      <c r="I1" s="284"/>
      <c r="J1" s="284"/>
      <c r="K1" s="281" t="s">
        <v>19</v>
      </c>
      <c r="L1" s="281"/>
    </row>
    <row r="2" spans="1:12" hidden="1" x14ac:dyDescent="0.3">
      <c r="A2" s="285"/>
      <c r="B2" s="286"/>
      <c r="C2" s="286"/>
      <c r="D2" s="287"/>
      <c r="E2" s="288" t="s">
        <v>20</v>
      </c>
      <c r="F2" s="289"/>
      <c r="G2" s="289"/>
      <c r="H2" s="290" t="s">
        <v>20</v>
      </c>
      <c r="I2" s="291"/>
      <c r="J2" s="291"/>
      <c r="K2" s="285"/>
      <c r="L2" s="292"/>
    </row>
    <row r="3" spans="1:12" ht="51" hidden="1" x14ac:dyDescent="0.3">
      <c r="A3" s="293" t="s">
        <v>23</v>
      </c>
      <c r="B3" s="294" t="s">
        <v>750</v>
      </c>
      <c r="C3" s="294" t="s">
        <v>751</v>
      </c>
      <c r="D3" s="294" t="s">
        <v>752</v>
      </c>
      <c r="E3" s="295" t="s">
        <v>27</v>
      </c>
      <c r="F3" s="296">
        <v>60486</v>
      </c>
      <c r="G3" s="296"/>
      <c r="H3" s="295" t="s">
        <v>28</v>
      </c>
      <c r="I3" s="297" t="s">
        <v>29</v>
      </c>
      <c r="J3" s="297"/>
      <c r="K3" s="298" t="s">
        <v>22</v>
      </c>
      <c r="L3" s="299">
        <v>1618026.29</v>
      </c>
    </row>
    <row r="4" spans="1:12" ht="51" hidden="1" x14ac:dyDescent="0.3">
      <c r="A4" s="293" t="s">
        <v>23</v>
      </c>
      <c r="B4" s="294" t="s">
        <v>750</v>
      </c>
      <c r="C4" s="294" t="s">
        <v>753</v>
      </c>
      <c r="D4" s="294" t="s">
        <v>752</v>
      </c>
      <c r="E4" s="295" t="s">
        <v>27</v>
      </c>
      <c r="F4" s="296">
        <v>94050</v>
      </c>
      <c r="G4" s="296"/>
      <c r="H4" s="295" t="s">
        <v>28</v>
      </c>
      <c r="I4" s="297" t="s">
        <v>29</v>
      </c>
      <c r="J4" s="297"/>
      <c r="K4" s="298" t="s">
        <v>22</v>
      </c>
      <c r="L4" s="299">
        <v>1712076.29</v>
      </c>
    </row>
    <row r="5" spans="1:12" ht="51" hidden="1" x14ac:dyDescent="0.3">
      <c r="A5" s="293" t="s">
        <v>23</v>
      </c>
      <c r="B5" s="294" t="s">
        <v>750</v>
      </c>
      <c r="C5" s="294" t="s">
        <v>754</v>
      </c>
      <c r="D5" s="294" t="s">
        <v>752</v>
      </c>
      <c r="E5" s="295" t="s">
        <v>27</v>
      </c>
      <c r="F5" s="296">
        <v>28454</v>
      </c>
      <c r="G5" s="296"/>
      <c r="H5" s="295" t="s">
        <v>28</v>
      </c>
      <c r="I5" s="297" t="s">
        <v>29</v>
      </c>
      <c r="J5" s="297"/>
      <c r="K5" s="298" t="s">
        <v>22</v>
      </c>
      <c r="L5" s="299">
        <v>1740530.29</v>
      </c>
    </row>
    <row r="6" spans="1:12" ht="51" hidden="1" x14ac:dyDescent="0.3">
      <c r="A6" s="293" t="s">
        <v>23</v>
      </c>
      <c r="B6" s="294" t="s">
        <v>755</v>
      </c>
      <c r="C6" s="294" t="s">
        <v>756</v>
      </c>
      <c r="D6" s="294" t="s">
        <v>752</v>
      </c>
      <c r="E6" s="295" t="s">
        <v>27</v>
      </c>
      <c r="F6" s="296">
        <v>90729</v>
      </c>
      <c r="G6" s="296"/>
      <c r="H6" s="295" t="s">
        <v>28</v>
      </c>
      <c r="I6" s="297" t="s">
        <v>29</v>
      </c>
      <c r="J6" s="297"/>
      <c r="K6" s="298" t="s">
        <v>22</v>
      </c>
      <c r="L6" s="299">
        <v>1831259.29</v>
      </c>
    </row>
    <row r="7" spans="1:12" ht="51" hidden="1" x14ac:dyDescent="0.3">
      <c r="A7" s="293" t="s">
        <v>23</v>
      </c>
      <c r="B7" s="294" t="s">
        <v>755</v>
      </c>
      <c r="C7" s="294" t="s">
        <v>757</v>
      </c>
      <c r="D7" s="294" t="s">
        <v>752</v>
      </c>
      <c r="E7" s="295" t="s">
        <v>27</v>
      </c>
      <c r="F7" s="296">
        <v>94050</v>
      </c>
      <c r="G7" s="296"/>
      <c r="H7" s="295" t="s">
        <v>28</v>
      </c>
      <c r="I7" s="297" t="s">
        <v>29</v>
      </c>
      <c r="J7" s="297"/>
      <c r="K7" s="298" t="s">
        <v>22</v>
      </c>
      <c r="L7" s="299">
        <v>1925309.29</v>
      </c>
    </row>
    <row r="8" spans="1:12" ht="51" hidden="1" x14ac:dyDescent="0.3">
      <c r="A8" s="293" t="s">
        <v>23</v>
      </c>
      <c r="B8" s="294" t="s">
        <v>758</v>
      </c>
      <c r="C8" s="294" t="s">
        <v>756</v>
      </c>
      <c r="D8" s="294" t="s">
        <v>752</v>
      </c>
      <c r="E8" s="295" t="s">
        <v>27</v>
      </c>
      <c r="F8" s="296">
        <v>2008.89</v>
      </c>
      <c r="G8" s="296"/>
      <c r="H8" s="295" t="s">
        <v>28</v>
      </c>
      <c r="I8" s="297" t="s">
        <v>29</v>
      </c>
      <c r="J8" s="297"/>
      <c r="K8" s="298" t="s">
        <v>22</v>
      </c>
      <c r="L8" s="299">
        <v>1927318.18</v>
      </c>
    </row>
    <row r="9" spans="1:12" ht="51" hidden="1" x14ac:dyDescent="0.3">
      <c r="A9" s="293" t="s">
        <v>23</v>
      </c>
      <c r="B9" s="294" t="s">
        <v>758</v>
      </c>
      <c r="C9" s="294" t="s">
        <v>757</v>
      </c>
      <c r="D9" s="294" t="s">
        <v>752</v>
      </c>
      <c r="E9" s="295" t="s">
        <v>27</v>
      </c>
      <c r="F9" s="296">
        <v>2082.42</v>
      </c>
      <c r="G9" s="296"/>
      <c r="H9" s="295" t="s">
        <v>28</v>
      </c>
      <c r="I9" s="297" t="s">
        <v>29</v>
      </c>
      <c r="J9" s="297"/>
      <c r="K9" s="298" t="s">
        <v>22</v>
      </c>
      <c r="L9" s="299">
        <v>1929400.6</v>
      </c>
    </row>
    <row r="10" spans="1:12" ht="51" hidden="1" x14ac:dyDescent="0.3">
      <c r="A10" s="293" t="s">
        <v>23</v>
      </c>
      <c r="B10" s="294" t="s">
        <v>759</v>
      </c>
      <c r="C10" s="294" t="s">
        <v>751</v>
      </c>
      <c r="D10" s="294" t="s">
        <v>752</v>
      </c>
      <c r="E10" s="295" t="s">
        <v>27</v>
      </c>
      <c r="F10" s="296">
        <v>1339.26</v>
      </c>
      <c r="G10" s="296"/>
      <c r="H10" s="295" t="s">
        <v>28</v>
      </c>
      <c r="I10" s="297" t="s">
        <v>29</v>
      </c>
      <c r="J10" s="297"/>
      <c r="K10" s="298" t="s">
        <v>22</v>
      </c>
      <c r="L10" s="299">
        <v>1930739.86</v>
      </c>
    </row>
    <row r="11" spans="1:12" ht="51" hidden="1" x14ac:dyDescent="0.3">
      <c r="A11" s="293" t="s">
        <v>23</v>
      </c>
      <c r="B11" s="294" t="s">
        <v>759</v>
      </c>
      <c r="C11" s="294" t="s">
        <v>753</v>
      </c>
      <c r="D11" s="294" t="s">
        <v>752</v>
      </c>
      <c r="E11" s="295" t="s">
        <v>27</v>
      </c>
      <c r="F11" s="296">
        <v>2082.42</v>
      </c>
      <c r="G11" s="296"/>
      <c r="H11" s="295" t="s">
        <v>28</v>
      </c>
      <c r="I11" s="297" t="s">
        <v>29</v>
      </c>
      <c r="J11" s="297"/>
      <c r="K11" s="298" t="s">
        <v>22</v>
      </c>
      <c r="L11" s="299">
        <v>1932822.28</v>
      </c>
    </row>
    <row r="12" spans="1:12" ht="51" hidden="1" x14ac:dyDescent="0.3">
      <c r="A12" s="293" t="s">
        <v>23</v>
      </c>
      <c r="B12" s="294" t="s">
        <v>759</v>
      </c>
      <c r="C12" s="294" t="s">
        <v>754</v>
      </c>
      <c r="D12" s="294" t="s">
        <v>752</v>
      </c>
      <c r="E12" s="295" t="s">
        <v>27</v>
      </c>
      <c r="F12" s="300">
        <v>630.02</v>
      </c>
      <c r="G12" s="300"/>
      <c r="H12" s="295" t="s">
        <v>28</v>
      </c>
      <c r="I12" s="297" t="s">
        <v>29</v>
      </c>
      <c r="J12" s="297"/>
      <c r="K12" s="298" t="s">
        <v>22</v>
      </c>
      <c r="L12" s="299">
        <v>1933452.3</v>
      </c>
    </row>
    <row r="13" spans="1:12" ht="51" hidden="1" x14ac:dyDescent="0.3">
      <c r="A13" s="293" t="s">
        <v>42</v>
      </c>
      <c r="B13" s="294" t="s">
        <v>760</v>
      </c>
      <c r="C13" s="294" t="s">
        <v>761</v>
      </c>
      <c r="D13" s="294" t="s">
        <v>752</v>
      </c>
      <c r="E13" s="295" t="s">
        <v>27</v>
      </c>
      <c r="F13" s="296">
        <v>73158</v>
      </c>
      <c r="G13" s="296"/>
      <c r="H13" s="295" t="s">
        <v>28</v>
      </c>
      <c r="I13" s="297" t="s">
        <v>29</v>
      </c>
      <c r="J13" s="297"/>
      <c r="K13" s="298" t="s">
        <v>22</v>
      </c>
      <c r="L13" s="299">
        <v>2006610.3</v>
      </c>
    </row>
    <row r="14" spans="1:12" ht="51" hidden="1" x14ac:dyDescent="0.3">
      <c r="A14" s="293" t="s">
        <v>42</v>
      </c>
      <c r="B14" s="294" t="s">
        <v>760</v>
      </c>
      <c r="C14" s="294" t="s">
        <v>762</v>
      </c>
      <c r="D14" s="294" t="s">
        <v>752</v>
      </c>
      <c r="E14" s="295" t="s">
        <v>27</v>
      </c>
      <c r="F14" s="296">
        <v>70726</v>
      </c>
      <c r="G14" s="296"/>
      <c r="H14" s="295" t="s">
        <v>28</v>
      </c>
      <c r="I14" s="297" t="s">
        <v>29</v>
      </c>
      <c r="J14" s="297"/>
      <c r="K14" s="298" t="s">
        <v>22</v>
      </c>
      <c r="L14" s="299">
        <v>2077336.3</v>
      </c>
    </row>
    <row r="15" spans="1:12" ht="51" hidden="1" x14ac:dyDescent="0.3">
      <c r="A15" s="293" t="s">
        <v>42</v>
      </c>
      <c r="B15" s="294" t="s">
        <v>760</v>
      </c>
      <c r="C15" s="294" t="s">
        <v>763</v>
      </c>
      <c r="D15" s="294" t="s">
        <v>752</v>
      </c>
      <c r="E15" s="295" t="s">
        <v>27</v>
      </c>
      <c r="F15" s="296">
        <v>73158</v>
      </c>
      <c r="G15" s="296"/>
      <c r="H15" s="295" t="s">
        <v>28</v>
      </c>
      <c r="I15" s="297" t="s">
        <v>29</v>
      </c>
      <c r="J15" s="297"/>
      <c r="K15" s="298" t="s">
        <v>22</v>
      </c>
      <c r="L15" s="299">
        <v>2150494.2999999998</v>
      </c>
    </row>
    <row r="16" spans="1:12" ht="51" hidden="1" x14ac:dyDescent="0.3">
      <c r="A16" s="293" t="s">
        <v>42</v>
      </c>
      <c r="B16" s="294" t="s">
        <v>760</v>
      </c>
      <c r="C16" s="294" t="s">
        <v>764</v>
      </c>
      <c r="D16" s="294" t="s">
        <v>752</v>
      </c>
      <c r="E16" s="295" t="s">
        <v>27</v>
      </c>
      <c r="F16" s="296">
        <v>70726</v>
      </c>
      <c r="G16" s="296"/>
      <c r="H16" s="295" t="s">
        <v>28</v>
      </c>
      <c r="I16" s="297" t="s">
        <v>29</v>
      </c>
      <c r="J16" s="297"/>
      <c r="K16" s="298" t="s">
        <v>22</v>
      </c>
      <c r="L16" s="299">
        <v>2221220.2999999998</v>
      </c>
    </row>
    <row r="17" spans="1:12" ht="51" hidden="1" x14ac:dyDescent="0.3">
      <c r="A17" s="293" t="s">
        <v>42</v>
      </c>
      <c r="B17" s="294" t="s">
        <v>765</v>
      </c>
      <c r="C17" s="294" t="s">
        <v>766</v>
      </c>
      <c r="D17" s="294" t="s">
        <v>752</v>
      </c>
      <c r="E17" s="295" t="s">
        <v>27</v>
      </c>
      <c r="F17" s="296">
        <v>12840</v>
      </c>
      <c r="G17" s="296"/>
      <c r="H17" s="295" t="s">
        <v>28</v>
      </c>
      <c r="I17" s="297" t="s">
        <v>29</v>
      </c>
      <c r="J17" s="297"/>
      <c r="K17" s="298" t="s">
        <v>22</v>
      </c>
      <c r="L17" s="299">
        <v>2234060.2999999998</v>
      </c>
    </row>
    <row r="18" spans="1:12" ht="51" hidden="1" x14ac:dyDescent="0.3">
      <c r="A18" s="293" t="s">
        <v>42</v>
      </c>
      <c r="B18" s="294" t="s">
        <v>767</v>
      </c>
      <c r="C18" s="294" t="s">
        <v>761</v>
      </c>
      <c r="D18" s="294" t="s">
        <v>752</v>
      </c>
      <c r="E18" s="295" t="s">
        <v>27</v>
      </c>
      <c r="F18" s="296">
        <v>1619.83</v>
      </c>
      <c r="G18" s="296"/>
      <c r="H18" s="295" t="s">
        <v>28</v>
      </c>
      <c r="I18" s="297" t="s">
        <v>29</v>
      </c>
      <c r="J18" s="297"/>
      <c r="K18" s="298" t="s">
        <v>22</v>
      </c>
      <c r="L18" s="299">
        <v>2235680.13</v>
      </c>
    </row>
    <row r="19" spans="1:12" ht="51" hidden="1" x14ac:dyDescent="0.3">
      <c r="A19" s="293" t="s">
        <v>42</v>
      </c>
      <c r="B19" s="294" t="s">
        <v>767</v>
      </c>
      <c r="C19" s="294" t="s">
        <v>762</v>
      </c>
      <c r="D19" s="294" t="s">
        <v>752</v>
      </c>
      <c r="E19" s="295" t="s">
        <v>27</v>
      </c>
      <c r="F19" s="296">
        <v>1565.99</v>
      </c>
      <c r="G19" s="296"/>
      <c r="H19" s="295" t="s">
        <v>28</v>
      </c>
      <c r="I19" s="297" t="s">
        <v>29</v>
      </c>
      <c r="J19" s="297"/>
      <c r="K19" s="298" t="s">
        <v>22</v>
      </c>
      <c r="L19" s="299">
        <v>2237246.12</v>
      </c>
    </row>
    <row r="20" spans="1:12" ht="51" hidden="1" x14ac:dyDescent="0.3">
      <c r="A20" s="293" t="s">
        <v>42</v>
      </c>
      <c r="B20" s="294" t="s">
        <v>767</v>
      </c>
      <c r="C20" s="294" t="s">
        <v>763</v>
      </c>
      <c r="D20" s="294" t="s">
        <v>752</v>
      </c>
      <c r="E20" s="295" t="s">
        <v>27</v>
      </c>
      <c r="F20" s="296">
        <v>1619.84</v>
      </c>
      <c r="G20" s="296"/>
      <c r="H20" s="295" t="s">
        <v>28</v>
      </c>
      <c r="I20" s="297" t="s">
        <v>29</v>
      </c>
      <c r="J20" s="297"/>
      <c r="K20" s="298" t="s">
        <v>22</v>
      </c>
      <c r="L20" s="299">
        <v>2238865.96</v>
      </c>
    </row>
    <row r="21" spans="1:12" ht="51" hidden="1" x14ac:dyDescent="0.3">
      <c r="A21" s="293" t="s">
        <v>42</v>
      </c>
      <c r="B21" s="294" t="s">
        <v>767</v>
      </c>
      <c r="C21" s="294" t="s">
        <v>764</v>
      </c>
      <c r="D21" s="294" t="s">
        <v>752</v>
      </c>
      <c r="E21" s="295" t="s">
        <v>27</v>
      </c>
      <c r="F21" s="296">
        <v>1565.99</v>
      </c>
      <c r="G21" s="296"/>
      <c r="H21" s="295" t="s">
        <v>28</v>
      </c>
      <c r="I21" s="297" t="s">
        <v>29</v>
      </c>
      <c r="J21" s="297"/>
      <c r="K21" s="298" t="s">
        <v>22</v>
      </c>
      <c r="L21" s="299">
        <v>2240431.9500000002</v>
      </c>
    </row>
    <row r="22" spans="1:12" ht="51" hidden="1" x14ac:dyDescent="0.3">
      <c r="A22" s="293" t="s">
        <v>42</v>
      </c>
      <c r="B22" s="294" t="s">
        <v>768</v>
      </c>
      <c r="C22" s="294" t="s">
        <v>766</v>
      </c>
      <c r="D22" s="294" t="s">
        <v>752</v>
      </c>
      <c r="E22" s="295" t="s">
        <v>27</v>
      </c>
      <c r="F22" s="300">
        <v>284.3</v>
      </c>
      <c r="G22" s="300"/>
      <c r="H22" s="295" t="s">
        <v>28</v>
      </c>
      <c r="I22" s="297" t="s">
        <v>29</v>
      </c>
      <c r="J22" s="297"/>
      <c r="K22" s="298" t="s">
        <v>22</v>
      </c>
      <c r="L22" s="299">
        <v>2240716.25</v>
      </c>
    </row>
    <row r="23" spans="1:12" ht="51" hidden="1" x14ac:dyDescent="0.3">
      <c r="A23" s="293" t="s">
        <v>104</v>
      </c>
      <c r="B23" s="294" t="s">
        <v>769</v>
      </c>
      <c r="C23" s="294" t="s">
        <v>770</v>
      </c>
      <c r="D23" s="294" t="s">
        <v>752</v>
      </c>
      <c r="E23" s="295" t="s">
        <v>27</v>
      </c>
      <c r="F23" s="296">
        <v>12840</v>
      </c>
      <c r="G23" s="296"/>
      <c r="H23" s="295" t="s">
        <v>28</v>
      </c>
      <c r="I23" s="297" t="s">
        <v>29</v>
      </c>
      <c r="J23" s="297"/>
      <c r="K23" s="298" t="s">
        <v>22</v>
      </c>
      <c r="L23" s="299">
        <v>2253556.25</v>
      </c>
    </row>
    <row r="24" spans="1:12" ht="51" hidden="1" x14ac:dyDescent="0.3">
      <c r="A24" s="293" t="s">
        <v>104</v>
      </c>
      <c r="B24" s="294" t="s">
        <v>771</v>
      </c>
      <c r="C24" s="294" t="s">
        <v>772</v>
      </c>
      <c r="D24" s="294" t="s">
        <v>752</v>
      </c>
      <c r="E24" s="295" t="s">
        <v>27</v>
      </c>
      <c r="F24" s="296">
        <v>75154</v>
      </c>
      <c r="G24" s="296"/>
      <c r="H24" s="295" t="s">
        <v>28</v>
      </c>
      <c r="I24" s="297" t="s">
        <v>29</v>
      </c>
      <c r="J24" s="297"/>
      <c r="K24" s="298" t="s">
        <v>22</v>
      </c>
      <c r="L24" s="299">
        <v>2328710.25</v>
      </c>
    </row>
    <row r="25" spans="1:12" ht="51" hidden="1" x14ac:dyDescent="0.3">
      <c r="A25" s="293" t="s">
        <v>104</v>
      </c>
      <c r="B25" s="294" t="s">
        <v>771</v>
      </c>
      <c r="C25" s="294" t="s">
        <v>773</v>
      </c>
      <c r="D25" s="294" t="s">
        <v>752</v>
      </c>
      <c r="E25" s="295" t="s">
        <v>27</v>
      </c>
      <c r="F25" s="296">
        <v>72534</v>
      </c>
      <c r="G25" s="296"/>
      <c r="H25" s="295" t="s">
        <v>28</v>
      </c>
      <c r="I25" s="297" t="s">
        <v>29</v>
      </c>
      <c r="J25" s="297"/>
      <c r="K25" s="298" t="s">
        <v>22</v>
      </c>
      <c r="L25" s="299">
        <v>2401244.25</v>
      </c>
    </row>
    <row r="26" spans="1:12" ht="51" hidden="1" x14ac:dyDescent="0.3">
      <c r="A26" s="293" t="s">
        <v>104</v>
      </c>
      <c r="B26" s="294" t="s">
        <v>771</v>
      </c>
      <c r="C26" s="294" t="s">
        <v>774</v>
      </c>
      <c r="D26" s="294" t="s">
        <v>752</v>
      </c>
      <c r="E26" s="295" t="s">
        <v>27</v>
      </c>
      <c r="F26" s="296">
        <v>75091</v>
      </c>
      <c r="G26" s="296"/>
      <c r="H26" s="295" t="s">
        <v>28</v>
      </c>
      <c r="I26" s="297" t="s">
        <v>29</v>
      </c>
      <c r="J26" s="297"/>
      <c r="K26" s="298" t="s">
        <v>22</v>
      </c>
      <c r="L26" s="299">
        <v>2476335.25</v>
      </c>
    </row>
    <row r="27" spans="1:12" ht="51" hidden="1" x14ac:dyDescent="0.3">
      <c r="A27" s="293" t="s">
        <v>104</v>
      </c>
      <c r="B27" s="294" t="s">
        <v>771</v>
      </c>
      <c r="C27" s="294" t="s">
        <v>775</v>
      </c>
      <c r="D27" s="294" t="s">
        <v>752</v>
      </c>
      <c r="E27" s="295" t="s">
        <v>27</v>
      </c>
      <c r="F27" s="296">
        <v>73844</v>
      </c>
      <c r="G27" s="296"/>
      <c r="H27" s="295" t="s">
        <v>28</v>
      </c>
      <c r="I27" s="297" t="s">
        <v>29</v>
      </c>
      <c r="J27" s="297"/>
      <c r="K27" s="298" t="s">
        <v>22</v>
      </c>
      <c r="L27" s="299">
        <v>2550179.25</v>
      </c>
    </row>
    <row r="28" spans="1:12" ht="51" hidden="1" x14ac:dyDescent="0.3">
      <c r="A28" s="293" t="s">
        <v>104</v>
      </c>
      <c r="B28" s="294" t="s">
        <v>776</v>
      </c>
      <c r="C28" s="294" t="s">
        <v>770</v>
      </c>
      <c r="D28" s="294" t="s">
        <v>752</v>
      </c>
      <c r="E28" s="295" t="s">
        <v>27</v>
      </c>
      <c r="F28" s="300">
        <v>284.3</v>
      </c>
      <c r="G28" s="300"/>
      <c r="H28" s="295" t="s">
        <v>28</v>
      </c>
      <c r="I28" s="297" t="s">
        <v>29</v>
      </c>
      <c r="J28" s="297"/>
      <c r="K28" s="298" t="s">
        <v>22</v>
      </c>
      <c r="L28" s="299">
        <v>2550463.5499999998</v>
      </c>
    </row>
    <row r="29" spans="1:12" ht="51" hidden="1" x14ac:dyDescent="0.3">
      <c r="A29" s="293" t="s">
        <v>104</v>
      </c>
      <c r="B29" s="294" t="s">
        <v>777</v>
      </c>
      <c r="C29" s="294" t="s">
        <v>772</v>
      </c>
      <c r="D29" s="294" t="s">
        <v>752</v>
      </c>
      <c r="E29" s="295" t="s">
        <v>27</v>
      </c>
      <c r="F29" s="296">
        <v>1664.03</v>
      </c>
      <c r="G29" s="296"/>
      <c r="H29" s="295" t="s">
        <v>28</v>
      </c>
      <c r="I29" s="297" t="s">
        <v>29</v>
      </c>
      <c r="J29" s="297"/>
      <c r="K29" s="298" t="s">
        <v>22</v>
      </c>
      <c r="L29" s="299">
        <v>2552127.58</v>
      </c>
    </row>
    <row r="30" spans="1:12" ht="51" hidden="1" x14ac:dyDescent="0.3">
      <c r="A30" s="293" t="s">
        <v>104</v>
      </c>
      <c r="B30" s="294" t="s">
        <v>777</v>
      </c>
      <c r="C30" s="294" t="s">
        <v>773</v>
      </c>
      <c r="D30" s="294" t="s">
        <v>752</v>
      </c>
      <c r="E30" s="295" t="s">
        <v>27</v>
      </c>
      <c r="F30" s="296">
        <v>1606.02</v>
      </c>
      <c r="G30" s="296"/>
      <c r="H30" s="295" t="s">
        <v>28</v>
      </c>
      <c r="I30" s="297" t="s">
        <v>29</v>
      </c>
      <c r="J30" s="297"/>
      <c r="K30" s="298" t="s">
        <v>22</v>
      </c>
      <c r="L30" s="299">
        <v>2553733.6</v>
      </c>
    </row>
    <row r="31" spans="1:12" ht="51" hidden="1" x14ac:dyDescent="0.3">
      <c r="A31" s="293" t="s">
        <v>104</v>
      </c>
      <c r="B31" s="294" t="s">
        <v>777</v>
      </c>
      <c r="C31" s="294" t="s">
        <v>774</v>
      </c>
      <c r="D31" s="294" t="s">
        <v>752</v>
      </c>
      <c r="E31" s="295" t="s">
        <v>27</v>
      </c>
      <c r="F31" s="296">
        <v>1662.64</v>
      </c>
      <c r="G31" s="296"/>
      <c r="H31" s="295" t="s">
        <v>28</v>
      </c>
      <c r="I31" s="297" t="s">
        <v>29</v>
      </c>
      <c r="J31" s="297"/>
      <c r="K31" s="298" t="s">
        <v>22</v>
      </c>
      <c r="L31" s="299">
        <v>2555396.2400000002</v>
      </c>
    </row>
    <row r="32" spans="1:12" ht="51" hidden="1" x14ac:dyDescent="0.3">
      <c r="A32" s="293" t="s">
        <v>104</v>
      </c>
      <c r="B32" s="294" t="s">
        <v>777</v>
      </c>
      <c r="C32" s="294" t="s">
        <v>775</v>
      </c>
      <c r="D32" s="294" t="s">
        <v>752</v>
      </c>
      <c r="E32" s="295" t="s">
        <v>27</v>
      </c>
      <c r="F32" s="296">
        <v>1635.03</v>
      </c>
      <c r="G32" s="296"/>
      <c r="H32" s="295" t="s">
        <v>28</v>
      </c>
      <c r="I32" s="297" t="s">
        <v>29</v>
      </c>
      <c r="J32" s="297"/>
      <c r="K32" s="298" t="s">
        <v>22</v>
      </c>
      <c r="L32" s="299">
        <v>2557031.27</v>
      </c>
    </row>
    <row r="33" spans="1:12" ht="51" hidden="1" x14ac:dyDescent="0.3">
      <c r="A33" s="293" t="s">
        <v>108</v>
      </c>
      <c r="B33" s="294" t="s">
        <v>778</v>
      </c>
      <c r="C33" s="294" t="s">
        <v>779</v>
      </c>
      <c r="D33" s="294" t="s">
        <v>752</v>
      </c>
      <c r="E33" s="295" t="s">
        <v>27</v>
      </c>
      <c r="F33" s="296">
        <v>69670</v>
      </c>
      <c r="G33" s="296"/>
      <c r="H33" s="295" t="s">
        <v>28</v>
      </c>
      <c r="I33" s="297" t="s">
        <v>29</v>
      </c>
      <c r="J33" s="297"/>
      <c r="K33" s="298" t="s">
        <v>22</v>
      </c>
      <c r="L33" s="299">
        <v>2626701.27</v>
      </c>
    </row>
    <row r="34" spans="1:12" ht="51" hidden="1" x14ac:dyDescent="0.3">
      <c r="A34" s="293" t="s">
        <v>108</v>
      </c>
      <c r="B34" s="294" t="s">
        <v>778</v>
      </c>
      <c r="C34" s="294" t="s">
        <v>780</v>
      </c>
      <c r="D34" s="294" t="s">
        <v>752</v>
      </c>
      <c r="E34" s="295" t="s">
        <v>27</v>
      </c>
      <c r="F34" s="296">
        <v>71536</v>
      </c>
      <c r="G34" s="296"/>
      <c r="H34" s="295" t="s">
        <v>28</v>
      </c>
      <c r="I34" s="297" t="s">
        <v>29</v>
      </c>
      <c r="J34" s="297"/>
      <c r="K34" s="298" t="s">
        <v>22</v>
      </c>
      <c r="L34" s="299">
        <v>2698237.27</v>
      </c>
    </row>
    <row r="35" spans="1:12" ht="51" hidden="1" x14ac:dyDescent="0.3">
      <c r="A35" s="293" t="s">
        <v>108</v>
      </c>
      <c r="B35" s="294" t="s">
        <v>778</v>
      </c>
      <c r="C35" s="294" t="s">
        <v>781</v>
      </c>
      <c r="D35" s="294" t="s">
        <v>752</v>
      </c>
      <c r="E35" s="295" t="s">
        <v>27</v>
      </c>
      <c r="F35" s="296">
        <v>79133</v>
      </c>
      <c r="G35" s="296"/>
      <c r="H35" s="295" t="s">
        <v>28</v>
      </c>
      <c r="I35" s="297" t="s">
        <v>29</v>
      </c>
      <c r="J35" s="297"/>
      <c r="K35" s="298" t="s">
        <v>22</v>
      </c>
      <c r="L35" s="299">
        <v>2777370.27</v>
      </c>
    </row>
    <row r="36" spans="1:12" ht="51" hidden="1" x14ac:dyDescent="0.3">
      <c r="A36" s="293" t="s">
        <v>108</v>
      </c>
      <c r="B36" s="294" t="s">
        <v>778</v>
      </c>
      <c r="C36" s="294" t="s">
        <v>782</v>
      </c>
      <c r="D36" s="294" t="s">
        <v>752</v>
      </c>
      <c r="E36" s="295" t="s">
        <v>27</v>
      </c>
      <c r="F36" s="296">
        <v>73158</v>
      </c>
      <c r="G36" s="296"/>
      <c r="H36" s="295" t="s">
        <v>28</v>
      </c>
      <c r="I36" s="297" t="s">
        <v>29</v>
      </c>
      <c r="J36" s="297"/>
      <c r="K36" s="298" t="s">
        <v>22</v>
      </c>
      <c r="L36" s="299">
        <v>2850528.27</v>
      </c>
    </row>
    <row r="37" spans="1:12" ht="51" hidden="1" x14ac:dyDescent="0.3">
      <c r="A37" s="293" t="s">
        <v>108</v>
      </c>
      <c r="B37" s="294" t="s">
        <v>783</v>
      </c>
      <c r="C37" s="294" t="s">
        <v>784</v>
      </c>
      <c r="D37" s="294" t="s">
        <v>752</v>
      </c>
      <c r="E37" s="295" t="s">
        <v>27</v>
      </c>
      <c r="F37" s="296">
        <v>71536</v>
      </c>
      <c r="G37" s="296"/>
      <c r="H37" s="295" t="s">
        <v>28</v>
      </c>
      <c r="I37" s="297" t="s">
        <v>29</v>
      </c>
      <c r="J37" s="297"/>
      <c r="K37" s="298" t="s">
        <v>22</v>
      </c>
      <c r="L37" s="299">
        <v>2922064.27</v>
      </c>
    </row>
    <row r="38" spans="1:12" ht="51" hidden="1" x14ac:dyDescent="0.3">
      <c r="A38" s="293" t="s">
        <v>108</v>
      </c>
      <c r="B38" s="294" t="s">
        <v>783</v>
      </c>
      <c r="C38" s="294" t="s">
        <v>785</v>
      </c>
      <c r="D38" s="294" t="s">
        <v>752</v>
      </c>
      <c r="E38" s="295" t="s">
        <v>27</v>
      </c>
      <c r="F38" s="296">
        <v>69670</v>
      </c>
      <c r="G38" s="296"/>
      <c r="H38" s="295" t="s">
        <v>28</v>
      </c>
      <c r="I38" s="297" t="s">
        <v>29</v>
      </c>
      <c r="J38" s="297"/>
      <c r="K38" s="298" t="s">
        <v>22</v>
      </c>
      <c r="L38" s="299">
        <v>2991734.27</v>
      </c>
    </row>
    <row r="39" spans="1:12" ht="51" hidden="1" x14ac:dyDescent="0.3">
      <c r="A39" s="293" t="s">
        <v>108</v>
      </c>
      <c r="B39" s="294" t="s">
        <v>783</v>
      </c>
      <c r="C39" s="294" t="s">
        <v>786</v>
      </c>
      <c r="D39" s="294" t="s">
        <v>752</v>
      </c>
      <c r="E39" s="295" t="s">
        <v>27</v>
      </c>
      <c r="F39" s="296">
        <v>73158</v>
      </c>
      <c r="G39" s="296"/>
      <c r="H39" s="295" t="s">
        <v>28</v>
      </c>
      <c r="I39" s="297" t="s">
        <v>29</v>
      </c>
      <c r="J39" s="297"/>
      <c r="K39" s="298" t="s">
        <v>22</v>
      </c>
      <c r="L39" s="299">
        <v>3064892.27</v>
      </c>
    </row>
    <row r="40" spans="1:12" ht="51" hidden="1" x14ac:dyDescent="0.3">
      <c r="A40" s="293" t="s">
        <v>108</v>
      </c>
      <c r="B40" s="294" t="s">
        <v>783</v>
      </c>
      <c r="C40" s="294" t="s">
        <v>787</v>
      </c>
      <c r="D40" s="294" t="s">
        <v>752</v>
      </c>
      <c r="E40" s="295" t="s">
        <v>27</v>
      </c>
      <c r="F40" s="296">
        <v>73158</v>
      </c>
      <c r="G40" s="296"/>
      <c r="H40" s="295" t="s">
        <v>28</v>
      </c>
      <c r="I40" s="297" t="s">
        <v>29</v>
      </c>
      <c r="J40" s="297"/>
      <c r="K40" s="298" t="s">
        <v>22</v>
      </c>
      <c r="L40" s="299">
        <v>3138050.27</v>
      </c>
    </row>
    <row r="41" spans="1:12" ht="51" hidden="1" x14ac:dyDescent="0.3">
      <c r="A41" s="293" t="s">
        <v>108</v>
      </c>
      <c r="B41" s="294" t="s">
        <v>788</v>
      </c>
      <c r="C41" s="294" t="s">
        <v>789</v>
      </c>
      <c r="D41" s="294" t="s">
        <v>752</v>
      </c>
      <c r="E41" s="295" t="s">
        <v>27</v>
      </c>
      <c r="F41" s="296">
        <v>12840</v>
      </c>
      <c r="G41" s="296"/>
      <c r="H41" s="295" t="s">
        <v>28</v>
      </c>
      <c r="I41" s="297" t="s">
        <v>29</v>
      </c>
      <c r="J41" s="297"/>
      <c r="K41" s="298" t="s">
        <v>22</v>
      </c>
      <c r="L41" s="299">
        <v>3150890.27</v>
      </c>
    </row>
    <row r="42" spans="1:12" ht="51" hidden="1" x14ac:dyDescent="0.3">
      <c r="A42" s="293" t="s">
        <v>108</v>
      </c>
      <c r="B42" s="294" t="s">
        <v>790</v>
      </c>
      <c r="C42" s="294" t="s">
        <v>779</v>
      </c>
      <c r="D42" s="294" t="s">
        <v>752</v>
      </c>
      <c r="E42" s="295" t="s">
        <v>27</v>
      </c>
      <c r="F42" s="296">
        <v>1542.61</v>
      </c>
      <c r="G42" s="296"/>
      <c r="H42" s="295" t="s">
        <v>28</v>
      </c>
      <c r="I42" s="297" t="s">
        <v>29</v>
      </c>
      <c r="J42" s="297"/>
      <c r="K42" s="298" t="s">
        <v>22</v>
      </c>
      <c r="L42" s="299">
        <v>3152432.88</v>
      </c>
    </row>
    <row r="43" spans="1:12" ht="51" hidden="1" x14ac:dyDescent="0.3">
      <c r="A43" s="293" t="s">
        <v>108</v>
      </c>
      <c r="B43" s="294" t="s">
        <v>790</v>
      </c>
      <c r="C43" s="294" t="s">
        <v>780</v>
      </c>
      <c r="D43" s="294" t="s">
        <v>752</v>
      </c>
      <c r="E43" s="295" t="s">
        <v>27</v>
      </c>
      <c r="F43" s="296">
        <v>1583.93</v>
      </c>
      <c r="G43" s="296"/>
      <c r="H43" s="295" t="s">
        <v>28</v>
      </c>
      <c r="I43" s="297" t="s">
        <v>29</v>
      </c>
      <c r="J43" s="297"/>
      <c r="K43" s="298" t="s">
        <v>22</v>
      </c>
      <c r="L43" s="299">
        <v>3154016.81</v>
      </c>
    </row>
    <row r="44" spans="1:12" ht="51" hidden="1" x14ac:dyDescent="0.3">
      <c r="A44" s="293" t="s">
        <v>108</v>
      </c>
      <c r="B44" s="294" t="s">
        <v>790</v>
      </c>
      <c r="C44" s="294" t="s">
        <v>781</v>
      </c>
      <c r="D44" s="294" t="s">
        <v>752</v>
      </c>
      <c r="E44" s="295" t="s">
        <v>27</v>
      </c>
      <c r="F44" s="296">
        <v>1752.13</v>
      </c>
      <c r="G44" s="296"/>
      <c r="H44" s="295" t="s">
        <v>28</v>
      </c>
      <c r="I44" s="297" t="s">
        <v>29</v>
      </c>
      <c r="J44" s="297"/>
      <c r="K44" s="298" t="s">
        <v>22</v>
      </c>
      <c r="L44" s="299">
        <v>3155768.94</v>
      </c>
    </row>
    <row r="45" spans="1:12" ht="51" hidden="1" x14ac:dyDescent="0.3">
      <c r="A45" s="293" t="s">
        <v>108</v>
      </c>
      <c r="B45" s="294" t="s">
        <v>790</v>
      </c>
      <c r="C45" s="294" t="s">
        <v>782</v>
      </c>
      <c r="D45" s="294" t="s">
        <v>752</v>
      </c>
      <c r="E45" s="295" t="s">
        <v>27</v>
      </c>
      <c r="F45" s="296">
        <v>1619.84</v>
      </c>
      <c r="G45" s="296"/>
      <c r="H45" s="295" t="s">
        <v>28</v>
      </c>
      <c r="I45" s="297" t="s">
        <v>29</v>
      </c>
      <c r="J45" s="297"/>
      <c r="K45" s="298" t="s">
        <v>22</v>
      </c>
      <c r="L45" s="299">
        <v>3157388.78</v>
      </c>
    </row>
    <row r="46" spans="1:12" ht="51" hidden="1" x14ac:dyDescent="0.3">
      <c r="A46" s="293" t="s">
        <v>108</v>
      </c>
      <c r="B46" s="294" t="s">
        <v>791</v>
      </c>
      <c r="C46" s="294" t="s">
        <v>784</v>
      </c>
      <c r="D46" s="294" t="s">
        <v>752</v>
      </c>
      <c r="E46" s="295" t="s">
        <v>27</v>
      </c>
      <c r="F46" s="296">
        <v>1583.93</v>
      </c>
      <c r="G46" s="296"/>
      <c r="H46" s="295" t="s">
        <v>28</v>
      </c>
      <c r="I46" s="297" t="s">
        <v>29</v>
      </c>
      <c r="J46" s="297"/>
      <c r="K46" s="298" t="s">
        <v>22</v>
      </c>
      <c r="L46" s="299">
        <v>3158972.71</v>
      </c>
    </row>
    <row r="47" spans="1:12" ht="51" hidden="1" x14ac:dyDescent="0.3">
      <c r="A47" s="293" t="s">
        <v>108</v>
      </c>
      <c r="B47" s="294" t="s">
        <v>791</v>
      </c>
      <c r="C47" s="294" t="s">
        <v>785</v>
      </c>
      <c r="D47" s="294" t="s">
        <v>752</v>
      </c>
      <c r="E47" s="295" t="s">
        <v>27</v>
      </c>
      <c r="F47" s="296">
        <v>1542.61</v>
      </c>
      <c r="G47" s="296"/>
      <c r="H47" s="295" t="s">
        <v>28</v>
      </c>
      <c r="I47" s="297" t="s">
        <v>29</v>
      </c>
      <c r="J47" s="297"/>
      <c r="K47" s="298" t="s">
        <v>22</v>
      </c>
      <c r="L47" s="299">
        <v>3160515.32</v>
      </c>
    </row>
    <row r="48" spans="1:12" ht="51" hidden="1" x14ac:dyDescent="0.3">
      <c r="A48" s="293" t="s">
        <v>108</v>
      </c>
      <c r="B48" s="294" t="s">
        <v>791</v>
      </c>
      <c r="C48" s="294" t="s">
        <v>786</v>
      </c>
      <c r="D48" s="294" t="s">
        <v>752</v>
      </c>
      <c r="E48" s="295" t="s">
        <v>27</v>
      </c>
      <c r="F48" s="296">
        <v>1619.83</v>
      </c>
      <c r="G48" s="296"/>
      <c r="H48" s="295" t="s">
        <v>28</v>
      </c>
      <c r="I48" s="297" t="s">
        <v>29</v>
      </c>
      <c r="J48" s="297"/>
      <c r="K48" s="298" t="s">
        <v>22</v>
      </c>
      <c r="L48" s="299">
        <v>3162135.15</v>
      </c>
    </row>
    <row r="49" spans="1:12" ht="51" hidden="1" x14ac:dyDescent="0.3">
      <c r="A49" s="293" t="s">
        <v>108</v>
      </c>
      <c r="B49" s="294" t="s">
        <v>791</v>
      </c>
      <c r="C49" s="294" t="s">
        <v>787</v>
      </c>
      <c r="D49" s="294" t="s">
        <v>752</v>
      </c>
      <c r="E49" s="295" t="s">
        <v>27</v>
      </c>
      <c r="F49" s="296">
        <v>1619.84</v>
      </c>
      <c r="G49" s="296"/>
      <c r="H49" s="295" t="s">
        <v>28</v>
      </c>
      <c r="I49" s="297" t="s">
        <v>29</v>
      </c>
      <c r="J49" s="297"/>
      <c r="K49" s="298" t="s">
        <v>22</v>
      </c>
      <c r="L49" s="299">
        <v>3163754.99</v>
      </c>
    </row>
    <row r="50" spans="1:12" ht="51" hidden="1" x14ac:dyDescent="0.3">
      <c r="A50" s="293" t="s">
        <v>108</v>
      </c>
      <c r="B50" s="294" t="s">
        <v>792</v>
      </c>
      <c r="C50" s="294" t="s">
        <v>789</v>
      </c>
      <c r="D50" s="294" t="s">
        <v>752</v>
      </c>
      <c r="E50" s="295" t="s">
        <v>27</v>
      </c>
      <c r="F50" s="300">
        <v>284.3</v>
      </c>
      <c r="G50" s="300"/>
      <c r="H50" s="295" t="s">
        <v>28</v>
      </c>
      <c r="I50" s="297" t="s">
        <v>29</v>
      </c>
      <c r="J50" s="297"/>
      <c r="K50" s="298" t="s">
        <v>22</v>
      </c>
      <c r="L50" s="299">
        <v>3164039.29</v>
      </c>
    </row>
    <row r="51" spans="1:12" ht="51" hidden="1" x14ac:dyDescent="0.3">
      <c r="A51" s="293" t="s">
        <v>111</v>
      </c>
      <c r="B51" s="294" t="s">
        <v>286</v>
      </c>
      <c r="C51" s="294" t="s">
        <v>287</v>
      </c>
      <c r="D51" s="294" t="s">
        <v>280</v>
      </c>
      <c r="E51" s="295" t="s">
        <v>27</v>
      </c>
      <c r="F51" s="296">
        <v>11533.38</v>
      </c>
      <c r="G51" s="296"/>
      <c r="H51" s="295" t="s">
        <v>27</v>
      </c>
      <c r="I51" s="297" t="s">
        <v>29</v>
      </c>
      <c r="J51" s="297"/>
      <c r="K51" s="298" t="s">
        <v>22</v>
      </c>
      <c r="L51" s="299">
        <v>3175572.67</v>
      </c>
    </row>
    <row r="52" spans="1:12" ht="51" hidden="1" x14ac:dyDescent="0.3">
      <c r="A52" s="293" t="s">
        <v>114</v>
      </c>
      <c r="B52" s="294" t="s">
        <v>793</v>
      </c>
      <c r="C52" s="294" t="s">
        <v>794</v>
      </c>
      <c r="D52" s="294" t="s">
        <v>752</v>
      </c>
      <c r="E52" s="295" t="s">
        <v>27</v>
      </c>
      <c r="F52" s="296">
        <v>73158</v>
      </c>
      <c r="G52" s="296"/>
      <c r="H52" s="295" t="s">
        <v>28</v>
      </c>
      <c r="I52" s="297" t="s">
        <v>29</v>
      </c>
      <c r="J52" s="297"/>
      <c r="K52" s="298" t="s">
        <v>22</v>
      </c>
      <c r="L52" s="299">
        <v>3248730.67</v>
      </c>
    </row>
    <row r="53" spans="1:12" ht="51" hidden="1" x14ac:dyDescent="0.3">
      <c r="A53" s="293" t="s">
        <v>114</v>
      </c>
      <c r="B53" s="294" t="s">
        <v>793</v>
      </c>
      <c r="C53" s="294" t="s">
        <v>795</v>
      </c>
      <c r="D53" s="294" t="s">
        <v>752</v>
      </c>
      <c r="E53" s="295" t="s">
        <v>27</v>
      </c>
      <c r="F53" s="296">
        <v>73158</v>
      </c>
      <c r="G53" s="296"/>
      <c r="H53" s="295" t="s">
        <v>28</v>
      </c>
      <c r="I53" s="297" t="s">
        <v>29</v>
      </c>
      <c r="J53" s="297"/>
      <c r="K53" s="298" t="s">
        <v>22</v>
      </c>
      <c r="L53" s="299">
        <v>3321888.67</v>
      </c>
    </row>
    <row r="54" spans="1:12" ht="51" hidden="1" x14ac:dyDescent="0.3">
      <c r="A54" s="293" t="s">
        <v>114</v>
      </c>
      <c r="B54" s="294" t="s">
        <v>793</v>
      </c>
      <c r="C54" s="294" t="s">
        <v>796</v>
      </c>
      <c r="D54" s="294" t="s">
        <v>752</v>
      </c>
      <c r="E54" s="295" t="s">
        <v>27</v>
      </c>
      <c r="F54" s="296">
        <v>72534</v>
      </c>
      <c r="G54" s="296"/>
      <c r="H54" s="295" t="s">
        <v>28</v>
      </c>
      <c r="I54" s="297" t="s">
        <v>29</v>
      </c>
      <c r="J54" s="297"/>
      <c r="K54" s="298" t="s">
        <v>22</v>
      </c>
      <c r="L54" s="299">
        <v>3394422.67</v>
      </c>
    </row>
    <row r="55" spans="1:12" ht="51" hidden="1" x14ac:dyDescent="0.3">
      <c r="A55" s="293" t="s">
        <v>114</v>
      </c>
      <c r="B55" s="294" t="s">
        <v>793</v>
      </c>
      <c r="C55" s="294" t="s">
        <v>797</v>
      </c>
      <c r="D55" s="294" t="s">
        <v>752</v>
      </c>
      <c r="E55" s="295" t="s">
        <v>27</v>
      </c>
      <c r="F55" s="296">
        <v>75715</v>
      </c>
      <c r="G55" s="296"/>
      <c r="H55" s="295" t="s">
        <v>28</v>
      </c>
      <c r="I55" s="297" t="s">
        <v>29</v>
      </c>
      <c r="J55" s="297"/>
      <c r="K55" s="298" t="s">
        <v>22</v>
      </c>
      <c r="L55" s="299">
        <v>3470137.67</v>
      </c>
    </row>
    <row r="56" spans="1:12" ht="51" hidden="1" x14ac:dyDescent="0.3">
      <c r="A56" s="293" t="s">
        <v>114</v>
      </c>
      <c r="B56" s="294" t="s">
        <v>303</v>
      </c>
      <c r="C56" s="294" t="s">
        <v>304</v>
      </c>
      <c r="D56" s="294" t="s">
        <v>201</v>
      </c>
      <c r="E56" s="295" t="s">
        <v>27</v>
      </c>
      <c r="F56" s="296">
        <v>7006.58</v>
      </c>
      <c r="G56" s="296"/>
      <c r="H56" s="295" t="s">
        <v>27</v>
      </c>
      <c r="I56" s="297" t="s">
        <v>29</v>
      </c>
      <c r="J56" s="297"/>
      <c r="K56" s="298" t="s">
        <v>22</v>
      </c>
      <c r="L56" s="299">
        <v>3477144.25</v>
      </c>
    </row>
    <row r="57" spans="1:12" ht="51" hidden="1" x14ac:dyDescent="0.3">
      <c r="A57" s="293" t="s">
        <v>114</v>
      </c>
      <c r="B57" s="294" t="s">
        <v>798</v>
      </c>
      <c r="C57" s="294" t="s">
        <v>794</v>
      </c>
      <c r="D57" s="294" t="s">
        <v>752</v>
      </c>
      <c r="E57" s="295" t="s">
        <v>27</v>
      </c>
      <c r="F57" s="296">
        <v>1861.72</v>
      </c>
      <c r="G57" s="296"/>
      <c r="H57" s="295" t="s">
        <v>28</v>
      </c>
      <c r="I57" s="297" t="s">
        <v>29</v>
      </c>
      <c r="J57" s="297"/>
      <c r="K57" s="298" t="s">
        <v>22</v>
      </c>
      <c r="L57" s="299">
        <v>3479005.97</v>
      </c>
    </row>
    <row r="58" spans="1:12" ht="51" hidden="1" x14ac:dyDescent="0.3">
      <c r="A58" s="293" t="s">
        <v>114</v>
      </c>
      <c r="B58" s="294" t="s">
        <v>798</v>
      </c>
      <c r="C58" s="294" t="s">
        <v>795</v>
      </c>
      <c r="D58" s="294" t="s">
        <v>752</v>
      </c>
      <c r="E58" s="295" t="s">
        <v>27</v>
      </c>
      <c r="F58" s="296">
        <v>1861.72</v>
      </c>
      <c r="G58" s="296"/>
      <c r="H58" s="295" t="s">
        <v>28</v>
      </c>
      <c r="I58" s="297" t="s">
        <v>29</v>
      </c>
      <c r="J58" s="297"/>
      <c r="K58" s="298" t="s">
        <v>22</v>
      </c>
      <c r="L58" s="299">
        <v>3480867.69</v>
      </c>
    </row>
    <row r="59" spans="1:12" ht="51" hidden="1" x14ac:dyDescent="0.3">
      <c r="A59" s="293" t="s">
        <v>114</v>
      </c>
      <c r="B59" s="294" t="s">
        <v>798</v>
      </c>
      <c r="C59" s="294" t="s">
        <v>796</v>
      </c>
      <c r="D59" s="294" t="s">
        <v>752</v>
      </c>
      <c r="E59" s="295" t="s">
        <v>27</v>
      </c>
      <c r="F59" s="296">
        <v>1845.85</v>
      </c>
      <c r="G59" s="296"/>
      <c r="H59" s="295" t="s">
        <v>28</v>
      </c>
      <c r="I59" s="297" t="s">
        <v>29</v>
      </c>
      <c r="J59" s="297"/>
      <c r="K59" s="298" t="s">
        <v>22</v>
      </c>
      <c r="L59" s="299">
        <v>3482713.54</v>
      </c>
    </row>
    <row r="60" spans="1:12" ht="51" hidden="1" x14ac:dyDescent="0.3">
      <c r="A60" s="293" t="s">
        <v>114</v>
      </c>
      <c r="B60" s="294" t="s">
        <v>798</v>
      </c>
      <c r="C60" s="294" t="s">
        <v>797</v>
      </c>
      <c r="D60" s="294" t="s">
        <v>752</v>
      </c>
      <c r="E60" s="295" t="s">
        <v>27</v>
      </c>
      <c r="F60" s="296">
        <v>1926.81</v>
      </c>
      <c r="G60" s="296"/>
      <c r="H60" s="295" t="s">
        <v>28</v>
      </c>
      <c r="I60" s="297" t="s">
        <v>29</v>
      </c>
      <c r="J60" s="297"/>
      <c r="K60" s="298" t="s">
        <v>22</v>
      </c>
      <c r="L60" s="299">
        <v>3484640.35</v>
      </c>
    </row>
    <row r="61" spans="1:12" ht="51" hidden="1" x14ac:dyDescent="0.3">
      <c r="A61" s="293" t="s">
        <v>55</v>
      </c>
      <c r="B61" s="294" t="s">
        <v>799</v>
      </c>
      <c r="C61" s="294" t="s">
        <v>800</v>
      </c>
      <c r="D61" s="294" t="s">
        <v>752</v>
      </c>
      <c r="E61" s="295" t="s">
        <v>27</v>
      </c>
      <c r="F61" s="296">
        <v>4815</v>
      </c>
      <c r="G61" s="296"/>
      <c r="H61" s="295" t="s">
        <v>28</v>
      </c>
      <c r="I61" s="297" t="s">
        <v>29</v>
      </c>
      <c r="J61" s="297"/>
      <c r="K61" s="298" t="s">
        <v>22</v>
      </c>
      <c r="L61" s="299">
        <v>3489455.35</v>
      </c>
    </row>
    <row r="62" spans="1:12" ht="51" hidden="1" x14ac:dyDescent="0.3">
      <c r="A62" s="293" t="s">
        <v>55</v>
      </c>
      <c r="B62" s="294" t="s">
        <v>801</v>
      </c>
      <c r="C62" s="294" t="s">
        <v>802</v>
      </c>
      <c r="D62" s="294" t="s">
        <v>752</v>
      </c>
      <c r="E62" s="295" t="s">
        <v>27</v>
      </c>
      <c r="F62" s="296">
        <v>77436</v>
      </c>
      <c r="G62" s="296"/>
      <c r="H62" s="295" t="s">
        <v>28</v>
      </c>
      <c r="I62" s="297" t="s">
        <v>29</v>
      </c>
      <c r="J62" s="297"/>
      <c r="K62" s="298" t="s">
        <v>22</v>
      </c>
      <c r="L62" s="299">
        <v>3566891.35</v>
      </c>
    </row>
    <row r="63" spans="1:12" ht="51" hidden="1" x14ac:dyDescent="0.3">
      <c r="A63" s="293" t="s">
        <v>55</v>
      </c>
      <c r="B63" s="294" t="s">
        <v>801</v>
      </c>
      <c r="C63" s="294" t="s">
        <v>803</v>
      </c>
      <c r="D63" s="294" t="s">
        <v>752</v>
      </c>
      <c r="E63" s="295" t="s">
        <v>27</v>
      </c>
      <c r="F63" s="296">
        <v>70584</v>
      </c>
      <c r="G63" s="296"/>
      <c r="H63" s="295" t="s">
        <v>28</v>
      </c>
      <c r="I63" s="297" t="s">
        <v>29</v>
      </c>
      <c r="J63" s="297"/>
      <c r="K63" s="298" t="s">
        <v>22</v>
      </c>
      <c r="L63" s="299">
        <v>3637475.35</v>
      </c>
    </row>
    <row r="64" spans="1:12" ht="51" hidden="1" x14ac:dyDescent="0.3">
      <c r="A64" s="293" t="s">
        <v>55</v>
      </c>
      <c r="B64" s="294" t="s">
        <v>801</v>
      </c>
      <c r="C64" s="294" t="s">
        <v>804</v>
      </c>
      <c r="D64" s="294" t="s">
        <v>752</v>
      </c>
      <c r="E64" s="295" t="s">
        <v>27</v>
      </c>
      <c r="F64" s="296">
        <v>69670</v>
      </c>
      <c r="G64" s="296"/>
      <c r="H64" s="295" t="s">
        <v>28</v>
      </c>
      <c r="I64" s="297" t="s">
        <v>29</v>
      </c>
      <c r="J64" s="297"/>
      <c r="K64" s="298" t="s">
        <v>22</v>
      </c>
      <c r="L64" s="299">
        <v>3707145.35</v>
      </c>
    </row>
    <row r="65" spans="1:12" ht="51" hidden="1" x14ac:dyDescent="0.3">
      <c r="A65" s="293" t="s">
        <v>55</v>
      </c>
      <c r="B65" s="294" t="s">
        <v>801</v>
      </c>
      <c r="C65" s="294" t="s">
        <v>805</v>
      </c>
      <c r="D65" s="294" t="s">
        <v>752</v>
      </c>
      <c r="E65" s="295" t="s">
        <v>27</v>
      </c>
      <c r="F65" s="296">
        <v>37110</v>
      </c>
      <c r="G65" s="296"/>
      <c r="H65" s="295" t="s">
        <v>28</v>
      </c>
      <c r="I65" s="297" t="s">
        <v>29</v>
      </c>
      <c r="J65" s="297"/>
      <c r="K65" s="298" t="s">
        <v>22</v>
      </c>
      <c r="L65" s="299">
        <v>3744255.35</v>
      </c>
    </row>
    <row r="66" spans="1:12" ht="51" hidden="1" x14ac:dyDescent="0.3">
      <c r="A66" s="293" t="s">
        <v>55</v>
      </c>
      <c r="B66" s="294" t="s">
        <v>806</v>
      </c>
      <c r="C66" s="294" t="s">
        <v>807</v>
      </c>
      <c r="D66" s="294" t="s">
        <v>752</v>
      </c>
      <c r="E66" s="295" t="s">
        <v>27</v>
      </c>
      <c r="F66" s="296">
        <v>73840</v>
      </c>
      <c r="G66" s="296"/>
      <c r="H66" s="295" t="s">
        <v>28</v>
      </c>
      <c r="I66" s="297" t="s">
        <v>29</v>
      </c>
      <c r="J66" s="297"/>
      <c r="K66" s="298" t="s">
        <v>22</v>
      </c>
      <c r="L66" s="299">
        <v>3818095.35</v>
      </c>
    </row>
    <row r="67" spans="1:12" ht="51" hidden="1" x14ac:dyDescent="0.3">
      <c r="A67" s="293" t="s">
        <v>55</v>
      </c>
      <c r="B67" s="294" t="s">
        <v>806</v>
      </c>
      <c r="C67" s="294" t="s">
        <v>808</v>
      </c>
      <c r="D67" s="294" t="s">
        <v>752</v>
      </c>
      <c r="E67" s="295" t="s">
        <v>27</v>
      </c>
      <c r="F67" s="296">
        <v>75091</v>
      </c>
      <c r="G67" s="296"/>
      <c r="H67" s="295" t="s">
        <v>28</v>
      </c>
      <c r="I67" s="297" t="s">
        <v>29</v>
      </c>
      <c r="J67" s="297"/>
      <c r="K67" s="298" t="s">
        <v>22</v>
      </c>
      <c r="L67" s="299">
        <v>3893186.35</v>
      </c>
    </row>
    <row r="68" spans="1:12" ht="51" hidden="1" x14ac:dyDescent="0.3">
      <c r="A68" s="293" t="s">
        <v>55</v>
      </c>
      <c r="B68" s="294" t="s">
        <v>806</v>
      </c>
      <c r="C68" s="294" t="s">
        <v>809</v>
      </c>
      <c r="D68" s="294" t="s">
        <v>752</v>
      </c>
      <c r="E68" s="295" t="s">
        <v>27</v>
      </c>
      <c r="F68" s="296">
        <v>78023</v>
      </c>
      <c r="G68" s="296"/>
      <c r="H68" s="295" t="s">
        <v>28</v>
      </c>
      <c r="I68" s="297" t="s">
        <v>29</v>
      </c>
      <c r="J68" s="297"/>
      <c r="K68" s="298" t="s">
        <v>22</v>
      </c>
      <c r="L68" s="299">
        <v>3971209.35</v>
      </c>
    </row>
    <row r="69" spans="1:12" ht="51" hidden="1" x14ac:dyDescent="0.3">
      <c r="A69" s="293" t="s">
        <v>55</v>
      </c>
      <c r="B69" s="294" t="s">
        <v>806</v>
      </c>
      <c r="C69" s="294" t="s">
        <v>810</v>
      </c>
      <c r="D69" s="294" t="s">
        <v>752</v>
      </c>
      <c r="E69" s="295" t="s">
        <v>27</v>
      </c>
      <c r="F69" s="296">
        <v>76715</v>
      </c>
      <c r="G69" s="296"/>
      <c r="H69" s="295" t="s">
        <v>28</v>
      </c>
      <c r="I69" s="297" t="s">
        <v>29</v>
      </c>
      <c r="J69" s="297"/>
      <c r="K69" s="298" t="s">
        <v>22</v>
      </c>
      <c r="L69" s="299">
        <v>4047924.35</v>
      </c>
    </row>
    <row r="70" spans="1:12" ht="51" hidden="1" x14ac:dyDescent="0.3">
      <c r="A70" s="293" t="s">
        <v>55</v>
      </c>
      <c r="B70" s="294" t="s">
        <v>811</v>
      </c>
      <c r="C70" s="294" t="s">
        <v>800</v>
      </c>
      <c r="D70" s="294" t="s">
        <v>752</v>
      </c>
      <c r="E70" s="295" t="s">
        <v>27</v>
      </c>
      <c r="F70" s="300">
        <v>122.53</v>
      </c>
      <c r="G70" s="300"/>
      <c r="H70" s="295" t="s">
        <v>28</v>
      </c>
      <c r="I70" s="297" t="s">
        <v>29</v>
      </c>
      <c r="J70" s="297"/>
      <c r="K70" s="298" t="s">
        <v>22</v>
      </c>
      <c r="L70" s="299">
        <v>4048046.88</v>
      </c>
    </row>
    <row r="71" spans="1:12" ht="51" hidden="1" x14ac:dyDescent="0.3">
      <c r="A71" s="293" t="s">
        <v>55</v>
      </c>
      <c r="B71" s="294" t="s">
        <v>812</v>
      </c>
      <c r="C71" s="294" t="s">
        <v>802</v>
      </c>
      <c r="D71" s="294" t="s">
        <v>752</v>
      </c>
      <c r="E71" s="295" t="s">
        <v>27</v>
      </c>
      <c r="F71" s="296">
        <v>1970.59</v>
      </c>
      <c r="G71" s="296"/>
      <c r="H71" s="295" t="s">
        <v>28</v>
      </c>
      <c r="I71" s="297" t="s">
        <v>29</v>
      </c>
      <c r="J71" s="297"/>
      <c r="K71" s="298" t="s">
        <v>22</v>
      </c>
      <c r="L71" s="299">
        <v>4050017.47</v>
      </c>
    </row>
    <row r="72" spans="1:12" ht="51" hidden="1" x14ac:dyDescent="0.3">
      <c r="A72" s="293" t="s">
        <v>55</v>
      </c>
      <c r="B72" s="294" t="s">
        <v>812</v>
      </c>
      <c r="C72" s="294" t="s">
        <v>803</v>
      </c>
      <c r="D72" s="294" t="s">
        <v>752</v>
      </c>
      <c r="E72" s="295" t="s">
        <v>27</v>
      </c>
      <c r="F72" s="296">
        <v>1796.23</v>
      </c>
      <c r="G72" s="296"/>
      <c r="H72" s="295" t="s">
        <v>28</v>
      </c>
      <c r="I72" s="297" t="s">
        <v>29</v>
      </c>
      <c r="J72" s="297"/>
      <c r="K72" s="298" t="s">
        <v>22</v>
      </c>
      <c r="L72" s="299">
        <v>4051813.7</v>
      </c>
    </row>
    <row r="73" spans="1:12" ht="51" hidden="1" x14ac:dyDescent="0.3">
      <c r="A73" s="293" t="s">
        <v>55</v>
      </c>
      <c r="B73" s="294" t="s">
        <v>812</v>
      </c>
      <c r="C73" s="294" t="s">
        <v>804</v>
      </c>
      <c r="D73" s="294" t="s">
        <v>752</v>
      </c>
      <c r="E73" s="295" t="s">
        <v>27</v>
      </c>
      <c r="F73" s="296">
        <v>1772.97</v>
      </c>
      <c r="G73" s="296"/>
      <c r="H73" s="295" t="s">
        <v>28</v>
      </c>
      <c r="I73" s="297" t="s">
        <v>29</v>
      </c>
      <c r="J73" s="297"/>
      <c r="K73" s="298" t="s">
        <v>22</v>
      </c>
      <c r="L73" s="299">
        <v>4053586.67</v>
      </c>
    </row>
    <row r="74" spans="1:12" ht="51" hidden="1" x14ac:dyDescent="0.3">
      <c r="A74" s="293" t="s">
        <v>55</v>
      </c>
      <c r="B74" s="294" t="s">
        <v>812</v>
      </c>
      <c r="C74" s="294" t="s">
        <v>805</v>
      </c>
      <c r="D74" s="294" t="s">
        <v>752</v>
      </c>
      <c r="E74" s="295" t="s">
        <v>27</v>
      </c>
      <c r="F74" s="300">
        <v>944.37</v>
      </c>
      <c r="G74" s="300"/>
      <c r="H74" s="295" t="s">
        <v>28</v>
      </c>
      <c r="I74" s="297" t="s">
        <v>29</v>
      </c>
      <c r="J74" s="297"/>
      <c r="K74" s="298" t="s">
        <v>22</v>
      </c>
      <c r="L74" s="299">
        <v>4054531.04</v>
      </c>
    </row>
    <row r="75" spans="1:12" ht="51" hidden="1" x14ac:dyDescent="0.3">
      <c r="A75" s="293" t="s">
        <v>55</v>
      </c>
      <c r="B75" s="294" t="s">
        <v>813</v>
      </c>
      <c r="C75" s="294" t="s">
        <v>807</v>
      </c>
      <c r="D75" s="294" t="s">
        <v>752</v>
      </c>
      <c r="E75" s="295" t="s">
        <v>27</v>
      </c>
      <c r="F75" s="296">
        <v>1879.08</v>
      </c>
      <c r="G75" s="296"/>
      <c r="H75" s="295" t="s">
        <v>28</v>
      </c>
      <c r="I75" s="297" t="s">
        <v>29</v>
      </c>
      <c r="J75" s="297"/>
      <c r="K75" s="298" t="s">
        <v>22</v>
      </c>
      <c r="L75" s="299">
        <v>4056410.12</v>
      </c>
    </row>
    <row r="76" spans="1:12" ht="51" hidden="1" x14ac:dyDescent="0.3">
      <c r="A76" s="293" t="s">
        <v>55</v>
      </c>
      <c r="B76" s="294" t="s">
        <v>813</v>
      </c>
      <c r="C76" s="294" t="s">
        <v>808</v>
      </c>
      <c r="D76" s="294" t="s">
        <v>752</v>
      </c>
      <c r="E76" s="295" t="s">
        <v>27</v>
      </c>
      <c r="F76" s="296">
        <v>1910.92</v>
      </c>
      <c r="G76" s="296"/>
      <c r="H76" s="295" t="s">
        <v>28</v>
      </c>
      <c r="I76" s="297" t="s">
        <v>29</v>
      </c>
      <c r="J76" s="297"/>
      <c r="K76" s="298" t="s">
        <v>22</v>
      </c>
      <c r="L76" s="299">
        <v>4058321.04</v>
      </c>
    </row>
    <row r="77" spans="1:12" ht="51" hidden="1" x14ac:dyDescent="0.3">
      <c r="A77" s="293" t="s">
        <v>331</v>
      </c>
      <c r="B77" s="294" t="s">
        <v>337</v>
      </c>
      <c r="C77" s="294" t="s">
        <v>338</v>
      </c>
      <c r="D77" s="294" t="s">
        <v>333</v>
      </c>
      <c r="E77" s="295" t="s">
        <v>27</v>
      </c>
      <c r="F77" s="296">
        <v>4152.07</v>
      </c>
      <c r="G77" s="296"/>
      <c r="H77" s="295" t="s">
        <v>27</v>
      </c>
      <c r="I77" s="297" t="s">
        <v>29</v>
      </c>
      <c r="J77" s="297"/>
      <c r="K77" s="298" t="s">
        <v>22</v>
      </c>
      <c r="L77" s="299">
        <v>4062473.11</v>
      </c>
    </row>
    <row r="78" spans="1:12" ht="51" hidden="1" x14ac:dyDescent="0.3">
      <c r="A78" s="293" t="s">
        <v>331</v>
      </c>
      <c r="B78" s="294" t="s">
        <v>814</v>
      </c>
      <c r="C78" s="294" t="s">
        <v>815</v>
      </c>
      <c r="D78" s="294" t="s">
        <v>752</v>
      </c>
      <c r="E78" s="295" t="s">
        <v>27</v>
      </c>
      <c r="F78" s="296">
        <v>131894</v>
      </c>
      <c r="G78" s="296"/>
      <c r="H78" s="295" t="s">
        <v>28</v>
      </c>
      <c r="I78" s="297" t="s">
        <v>29</v>
      </c>
      <c r="J78" s="297"/>
      <c r="K78" s="298" t="s">
        <v>22</v>
      </c>
      <c r="L78" s="299">
        <v>4194367.1100000003</v>
      </c>
    </row>
    <row r="79" spans="1:12" ht="51" hidden="1" x14ac:dyDescent="0.3">
      <c r="A79" s="293" t="s">
        <v>331</v>
      </c>
      <c r="B79" s="294" t="s">
        <v>816</v>
      </c>
      <c r="C79" s="294" t="s">
        <v>817</v>
      </c>
      <c r="D79" s="294" t="s">
        <v>752</v>
      </c>
      <c r="E79" s="295" t="s">
        <v>27</v>
      </c>
      <c r="F79" s="296">
        <v>74220</v>
      </c>
      <c r="G79" s="296"/>
      <c r="H79" s="295" t="s">
        <v>28</v>
      </c>
      <c r="I79" s="297" t="s">
        <v>29</v>
      </c>
      <c r="J79" s="297"/>
      <c r="K79" s="298" t="s">
        <v>22</v>
      </c>
      <c r="L79" s="299">
        <v>4268587.1100000003</v>
      </c>
    </row>
    <row r="80" spans="1:12" ht="51" hidden="1" x14ac:dyDescent="0.3">
      <c r="A80" s="293" t="s">
        <v>331</v>
      </c>
      <c r="B80" s="294" t="s">
        <v>816</v>
      </c>
      <c r="C80" s="294" t="s">
        <v>818</v>
      </c>
      <c r="D80" s="294" t="s">
        <v>752</v>
      </c>
      <c r="E80" s="295" t="s">
        <v>27</v>
      </c>
      <c r="F80" s="296">
        <v>85362</v>
      </c>
      <c r="G80" s="296"/>
      <c r="H80" s="295" t="s">
        <v>28</v>
      </c>
      <c r="I80" s="297" t="s">
        <v>29</v>
      </c>
      <c r="J80" s="297"/>
      <c r="K80" s="298" t="s">
        <v>22</v>
      </c>
      <c r="L80" s="299">
        <v>4353949.1100000003</v>
      </c>
    </row>
    <row r="81" spans="1:12" ht="51" hidden="1" x14ac:dyDescent="0.3">
      <c r="A81" s="293" t="s">
        <v>331</v>
      </c>
      <c r="B81" s="294" t="s">
        <v>819</v>
      </c>
      <c r="C81" s="294" t="s">
        <v>820</v>
      </c>
      <c r="D81" s="294" t="s">
        <v>752</v>
      </c>
      <c r="E81" s="295" t="s">
        <v>27</v>
      </c>
      <c r="F81" s="296">
        <v>187593.02</v>
      </c>
      <c r="G81" s="296"/>
      <c r="H81" s="295" t="s">
        <v>28</v>
      </c>
      <c r="I81" s="297" t="s">
        <v>29</v>
      </c>
      <c r="J81" s="297"/>
      <c r="K81" s="298" t="s">
        <v>22</v>
      </c>
      <c r="L81" s="299">
        <v>4541542.13</v>
      </c>
    </row>
    <row r="82" spans="1:12" ht="51" hidden="1" x14ac:dyDescent="0.3">
      <c r="A82" s="293" t="s">
        <v>331</v>
      </c>
      <c r="B82" s="294" t="s">
        <v>821</v>
      </c>
      <c r="C82" s="294" t="s">
        <v>752</v>
      </c>
      <c r="D82" s="294" t="s">
        <v>809</v>
      </c>
      <c r="E82" s="295" t="s">
        <v>28</v>
      </c>
      <c r="F82" s="301" t="s">
        <v>29</v>
      </c>
      <c r="G82" s="301"/>
      <c r="H82" s="295" t="s">
        <v>27</v>
      </c>
      <c r="I82" s="302">
        <v>78023</v>
      </c>
      <c r="J82" s="302"/>
      <c r="K82" s="298" t="s">
        <v>22</v>
      </c>
      <c r="L82" s="299">
        <v>4463519.13</v>
      </c>
    </row>
    <row r="83" spans="1:12" ht="51" hidden="1" x14ac:dyDescent="0.3">
      <c r="A83" s="293" t="s">
        <v>331</v>
      </c>
      <c r="B83" s="294" t="s">
        <v>821</v>
      </c>
      <c r="C83" s="294" t="s">
        <v>752</v>
      </c>
      <c r="D83" s="294" t="s">
        <v>810</v>
      </c>
      <c r="E83" s="295" t="s">
        <v>28</v>
      </c>
      <c r="F83" s="301" t="s">
        <v>29</v>
      </c>
      <c r="G83" s="301"/>
      <c r="H83" s="295" t="s">
        <v>27</v>
      </c>
      <c r="I83" s="302">
        <v>76715</v>
      </c>
      <c r="J83" s="302"/>
      <c r="K83" s="298" t="s">
        <v>22</v>
      </c>
      <c r="L83" s="299">
        <v>4386804.13</v>
      </c>
    </row>
    <row r="84" spans="1:12" ht="51" hidden="1" x14ac:dyDescent="0.3">
      <c r="A84" s="293" t="s">
        <v>331</v>
      </c>
      <c r="B84" s="294" t="s">
        <v>822</v>
      </c>
      <c r="C84" s="294" t="s">
        <v>815</v>
      </c>
      <c r="D84" s="294" t="s">
        <v>752</v>
      </c>
      <c r="E84" s="295" t="s">
        <v>27</v>
      </c>
      <c r="F84" s="296">
        <v>2876.95</v>
      </c>
      <c r="G84" s="296"/>
      <c r="H84" s="295" t="s">
        <v>28</v>
      </c>
      <c r="I84" s="297" t="s">
        <v>29</v>
      </c>
      <c r="J84" s="297"/>
      <c r="K84" s="298" t="s">
        <v>22</v>
      </c>
      <c r="L84" s="299">
        <v>4389681.08</v>
      </c>
    </row>
    <row r="85" spans="1:12" ht="51" hidden="1" x14ac:dyDescent="0.3">
      <c r="A85" s="293" t="s">
        <v>331</v>
      </c>
      <c r="B85" s="294" t="s">
        <v>823</v>
      </c>
      <c r="C85" s="294" t="s">
        <v>817</v>
      </c>
      <c r="D85" s="294" t="s">
        <v>752</v>
      </c>
      <c r="E85" s="295" t="s">
        <v>27</v>
      </c>
      <c r="F85" s="296">
        <v>1888.75</v>
      </c>
      <c r="G85" s="296"/>
      <c r="H85" s="295" t="s">
        <v>28</v>
      </c>
      <c r="I85" s="297" t="s">
        <v>29</v>
      </c>
      <c r="J85" s="297"/>
      <c r="K85" s="298" t="s">
        <v>22</v>
      </c>
      <c r="L85" s="299">
        <v>4391569.83</v>
      </c>
    </row>
    <row r="86" spans="1:12" ht="51" hidden="1" x14ac:dyDescent="0.3">
      <c r="A86" s="293" t="s">
        <v>331</v>
      </c>
      <c r="B86" s="294" t="s">
        <v>823</v>
      </c>
      <c r="C86" s="294" t="s">
        <v>818</v>
      </c>
      <c r="D86" s="294" t="s">
        <v>752</v>
      </c>
      <c r="E86" s="295" t="s">
        <v>27</v>
      </c>
      <c r="F86" s="296">
        <v>2172.3000000000002</v>
      </c>
      <c r="G86" s="296"/>
      <c r="H86" s="295" t="s">
        <v>28</v>
      </c>
      <c r="I86" s="297" t="s">
        <v>29</v>
      </c>
      <c r="J86" s="297"/>
      <c r="K86" s="298" t="s">
        <v>22</v>
      </c>
      <c r="L86" s="299">
        <v>4393742.13</v>
      </c>
    </row>
    <row r="87" spans="1:12" ht="51" hidden="1" x14ac:dyDescent="0.3">
      <c r="A87" s="293" t="s">
        <v>331</v>
      </c>
      <c r="B87" s="294" t="s">
        <v>824</v>
      </c>
      <c r="C87" s="294" t="s">
        <v>820</v>
      </c>
      <c r="D87" s="294" t="s">
        <v>752</v>
      </c>
      <c r="E87" s="295" t="s">
        <v>27</v>
      </c>
      <c r="F87" s="296">
        <v>4773.87</v>
      </c>
      <c r="G87" s="296"/>
      <c r="H87" s="295" t="s">
        <v>28</v>
      </c>
      <c r="I87" s="297" t="s">
        <v>29</v>
      </c>
      <c r="J87" s="297"/>
      <c r="K87" s="298" t="s">
        <v>22</v>
      </c>
      <c r="L87" s="299">
        <v>4398516</v>
      </c>
    </row>
    <row r="88" spans="1:12" ht="51" x14ac:dyDescent="0.3">
      <c r="A88" s="293" t="s">
        <v>60</v>
      </c>
      <c r="B88" s="294" t="s">
        <v>825</v>
      </c>
      <c r="C88" s="294" t="s">
        <v>174</v>
      </c>
      <c r="D88" s="294" t="s">
        <v>826</v>
      </c>
      <c r="E88" s="295" t="s">
        <v>175</v>
      </c>
      <c r="F88" s="301" t="s">
        <v>29</v>
      </c>
      <c r="G88" s="301"/>
      <c r="H88" s="295" t="s">
        <v>27</v>
      </c>
      <c r="I88" s="302">
        <v>77169.55</v>
      </c>
      <c r="J88" s="302"/>
      <c r="K88" s="298" t="s">
        <v>22</v>
      </c>
      <c r="L88" s="299">
        <v>4321346.45</v>
      </c>
    </row>
    <row r="89" spans="1:12" ht="51" x14ac:dyDescent="0.3">
      <c r="A89" s="293" t="s">
        <v>60</v>
      </c>
      <c r="B89" s="294" t="s">
        <v>825</v>
      </c>
      <c r="C89" s="294" t="s">
        <v>174</v>
      </c>
      <c r="D89" s="294" t="s">
        <v>827</v>
      </c>
      <c r="E89" s="295" t="s">
        <v>175</v>
      </c>
      <c r="F89" s="301" t="s">
        <v>29</v>
      </c>
      <c r="G89" s="301"/>
      <c r="H89" s="295" t="s">
        <v>27</v>
      </c>
      <c r="I89" s="302">
        <v>77790.11</v>
      </c>
      <c r="J89" s="302"/>
      <c r="K89" s="298" t="s">
        <v>22</v>
      </c>
      <c r="L89" s="299">
        <v>4243556.34</v>
      </c>
    </row>
    <row r="90" spans="1:12" ht="51" x14ac:dyDescent="0.3">
      <c r="A90" s="293" t="s">
        <v>60</v>
      </c>
      <c r="B90" s="294" t="s">
        <v>825</v>
      </c>
      <c r="C90" s="294" t="s">
        <v>174</v>
      </c>
      <c r="D90" s="294" t="s">
        <v>828</v>
      </c>
      <c r="E90" s="295" t="s">
        <v>175</v>
      </c>
      <c r="F90" s="301" t="s">
        <v>29</v>
      </c>
      <c r="G90" s="301"/>
      <c r="H90" s="295" t="s">
        <v>27</v>
      </c>
      <c r="I90" s="302">
        <v>75230.960000000006</v>
      </c>
      <c r="J90" s="302"/>
      <c r="K90" s="298" t="s">
        <v>22</v>
      </c>
      <c r="L90" s="299">
        <v>4168325.38</v>
      </c>
    </row>
    <row r="91" spans="1:12" ht="51" x14ac:dyDescent="0.3">
      <c r="A91" s="293" t="s">
        <v>60</v>
      </c>
      <c r="B91" s="294" t="s">
        <v>825</v>
      </c>
      <c r="C91" s="294" t="s">
        <v>174</v>
      </c>
      <c r="D91" s="294" t="s">
        <v>829</v>
      </c>
      <c r="E91" s="295" t="s">
        <v>175</v>
      </c>
      <c r="F91" s="301" t="s">
        <v>29</v>
      </c>
      <c r="G91" s="301"/>
      <c r="H91" s="295" t="s">
        <v>27</v>
      </c>
      <c r="I91" s="302">
        <v>73631.87</v>
      </c>
      <c r="J91" s="302"/>
      <c r="K91" s="298" t="s">
        <v>22</v>
      </c>
      <c r="L91" s="299">
        <v>4094693.51</v>
      </c>
    </row>
    <row r="92" spans="1:12" ht="51" x14ac:dyDescent="0.3">
      <c r="A92" s="293" t="s">
        <v>60</v>
      </c>
      <c r="B92" s="294" t="s">
        <v>825</v>
      </c>
      <c r="C92" s="294" t="s">
        <v>174</v>
      </c>
      <c r="D92" s="294" t="s">
        <v>830</v>
      </c>
      <c r="E92" s="295" t="s">
        <v>175</v>
      </c>
      <c r="F92" s="301" t="s">
        <v>29</v>
      </c>
      <c r="G92" s="301"/>
      <c r="H92" s="295" t="s">
        <v>27</v>
      </c>
      <c r="I92" s="302">
        <v>77661.89</v>
      </c>
      <c r="J92" s="302"/>
      <c r="K92" s="298" t="s">
        <v>22</v>
      </c>
      <c r="L92" s="299">
        <v>4017031.62</v>
      </c>
    </row>
    <row r="93" spans="1:12" ht="51" x14ac:dyDescent="0.3">
      <c r="A93" s="293" t="s">
        <v>60</v>
      </c>
      <c r="B93" s="294" t="s">
        <v>825</v>
      </c>
      <c r="C93" s="294" t="s">
        <v>174</v>
      </c>
      <c r="D93" s="294" t="s">
        <v>831</v>
      </c>
      <c r="E93" s="295" t="s">
        <v>175</v>
      </c>
      <c r="F93" s="301" t="s">
        <v>29</v>
      </c>
      <c r="G93" s="301"/>
      <c r="H93" s="295" t="s">
        <v>27</v>
      </c>
      <c r="I93" s="302">
        <v>74399.100000000006</v>
      </c>
      <c r="J93" s="302"/>
      <c r="K93" s="298" t="s">
        <v>22</v>
      </c>
      <c r="L93" s="299">
        <v>3942632.52</v>
      </c>
    </row>
    <row r="94" spans="1:12" ht="51" x14ac:dyDescent="0.3">
      <c r="A94" s="293" t="s">
        <v>60</v>
      </c>
      <c r="B94" s="294" t="s">
        <v>825</v>
      </c>
      <c r="C94" s="294" t="s">
        <v>174</v>
      </c>
      <c r="D94" s="294" t="s">
        <v>832</v>
      </c>
      <c r="E94" s="295" t="s">
        <v>175</v>
      </c>
      <c r="F94" s="301" t="s">
        <v>29</v>
      </c>
      <c r="G94" s="301"/>
      <c r="H94" s="295" t="s">
        <v>27</v>
      </c>
      <c r="I94" s="302">
        <v>62041.31</v>
      </c>
      <c r="J94" s="302"/>
      <c r="K94" s="298" t="s">
        <v>22</v>
      </c>
      <c r="L94" s="299">
        <v>3880591.21</v>
      </c>
    </row>
    <row r="95" spans="1:12" ht="51" x14ac:dyDescent="0.3">
      <c r="A95" s="293" t="s">
        <v>60</v>
      </c>
      <c r="B95" s="294" t="s">
        <v>825</v>
      </c>
      <c r="C95" s="294" t="s">
        <v>174</v>
      </c>
      <c r="D95" s="294" t="s">
        <v>833</v>
      </c>
      <c r="E95" s="295" t="s">
        <v>175</v>
      </c>
      <c r="F95" s="301" t="s">
        <v>29</v>
      </c>
      <c r="G95" s="301"/>
      <c r="H95" s="295" t="s">
        <v>27</v>
      </c>
      <c r="I95" s="302">
        <v>62041.31</v>
      </c>
      <c r="J95" s="302"/>
      <c r="K95" s="298" t="s">
        <v>22</v>
      </c>
      <c r="L95" s="299">
        <v>3818549.9</v>
      </c>
    </row>
    <row r="96" spans="1:12" ht="51" x14ac:dyDescent="0.3">
      <c r="A96" s="293" t="s">
        <v>60</v>
      </c>
      <c r="B96" s="294" t="s">
        <v>825</v>
      </c>
      <c r="C96" s="294" t="s">
        <v>174</v>
      </c>
      <c r="D96" s="294" t="s">
        <v>834</v>
      </c>
      <c r="E96" s="295" t="s">
        <v>175</v>
      </c>
      <c r="F96" s="301" t="s">
        <v>29</v>
      </c>
      <c r="G96" s="301"/>
      <c r="H96" s="295" t="s">
        <v>27</v>
      </c>
      <c r="I96" s="302">
        <v>19032.11</v>
      </c>
      <c r="J96" s="302"/>
      <c r="K96" s="298" t="s">
        <v>22</v>
      </c>
      <c r="L96" s="299">
        <v>3799517.79</v>
      </c>
    </row>
    <row r="97" spans="1:12" ht="51" x14ac:dyDescent="0.3">
      <c r="A97" s="293" t="s">
        <v>60</v>
      </c>
      <c r="B97" s="294" t="s">
        <v>825</v>
      </c>
      <c r="C97" s="294" t="s">
        <v>174</v>
      </c>
      <c r="D97" s="294" t="s">
        <v>835</v>
      </c>
      <c r="E97" s="295" t="s">
        <v>175</v>
      </c>
      <c r="F97" s="301" t="s">
        <v>29</v>
      </c>
      <c r="G97" s="301"/>
      <c r="H97" s="295" t="s">
        <v>27</v>
      </c>
      <c r="I97" s="302">
        <v>19032.12</v>
      </c>
      <c r="J97" s="302"/>
      <c r="K97" s="298" t="s">
        <v>22</v>
      </c>
      <c r="L97" s="299">
        <v>3780485.67</v>
      </c>
    </row>
    <row r="98" spans="1:12" ht="51" x14ac:dyDescent="0.3">
      <c r="A98" s="293" t="s">
        <v>60</v>
      </c>
      <c r="B98" s="294" t="s">
        <v>825</v>
      </c>
      <c r="C98" s="294" t="s">
        <v>174</v>
      </c>
      <c r="D98" s="294" t="s">
        <v>836</v>
      </c>
      <c r="E98" s="295" t="s">
        <v>175</v>
      </c>
      <c r="F98" s="301" t="s">
        <v>29</v>
      </c>
      <c r="G98" s="301"/>
      <c r="H98" s="295" t="s">
        <v>27</v>
      </c>
      <c r="I98" s="302">
        <v>38652.99</v>
      </c>
      <c r="J98" s="302"/>
      <c r="K98" s="298" t="s">
        <v>22</v>
      </c>
      <c r="L98" s="299">
        <v>3741832.68</v>
      </c>
    </row>
    <row r="99" spans="1:12" ht="51" x14ac:dyDescent="0.3">
      <c r="A99" s="293" t="s">
        <v>60</v>
      </c>
      <c r="B99" s="294" t="s">
        <v>825</v>
      </c>
      <c r="C99" s="294" t="s">
        <v>174</v>
      </c>
      <c r="D99" s="294" t="s">
        <v>836</v>
      </c>
      <c r="E99" s="295" t="s">
        <v>175</v>
      </c>
      <c r="F99" s="301" t="s">
        <v>29</v>
      </c>
      <c r="G99" s="301"/>
      <c r="H99" s="295" t="s">
        <v>27</v>
      </c>
      <c r="I99" s="302">
        <v>38652.980000000003</v>
      </c>
      <c r="J99" s="302"/>
      <c r="K99" s="298" t="s">
        <v>22</v>
      </c>
      <c r="L99" s="299">
        <v>3703179.7</v>
      </c>
    </row>
    <row r="100" spans="1:12" ht="51" x14ac:dyDescent="0.3">
      <c r="A100" s="293" t="s">
        <v>60</v>
      </c>
      <c r="B100" s="294" t="s">
        <v>825</v>
      </c>
      <c r="C100" s="294" t="s">
        <v>174</v>
      </c>
      <c r="D100" s="294" t="s">
        <v>837</v>
      </c>
      <c r="E100" s="295" t="s">
        <v>175</v>
      </c>
      <c r="F100" s="301" t="s">
        <v>29</v>
      </c>
      <c r="G100" s="301"/>
      <c r="H100" s="295" t="s">
        <v>27</v>
      </c>
      <c r="I100" s="302">
        <v>38652.99</v>
      </c>
      <c r="J100" s="302"/>
      <c r="K100" s="298" t="s">
        <v>22</v>
      </c>
      <c r="L100" s="299">
        <v>3664526.71</v>
      </c>
    </row>
    <row r="101" spans="1:12" ht="51" x14ac:dyDescent="0.3">
      <c r="A101" s="293" t="s">
        <v>60</v>
      </c>
      <c r="B101" s="294" t="s">
        <v>825</v>
      </c>
      <c r="C101" s="294" t="s">
        <v>174</v>
      </c>
      <c r="D101" s="294" t="s">
        <v>838</v>
      </c>
      <c r="E101" s="295" t="s">
        <v>175</v>
      </c>
      <c r="F101" s="301" t="s">
        <v>29</v>
      </c>
      <c r="G101" s="301"/>
      <c r="H101" s="295" t="s">
        <v>27</v>
      </c>
      <c r="I101" s="302">
        <v>19326.490000000002</v>
      </c>
      <c r="J101" s="302"/>
      <c r="K101" s="298" t="s">
        <v>22</v>
      </c>
      <c r="L101" s="299">
        <v>3645200.22</v>
      </c>
    </row>
    <row r="102" spans="1:12" ht="51" x14ac:dyDescent="0.3">
      <c r="A102" s="293" t="s">
        <v>60</v>
      </c>
      <c r="B102" s="294" t="s">
        <v>825</v>
      </c>
      <c r="C102" s="294" t="s">
        <v>174</v>
      </c>
      <c r="D102" s="294" t="s">
        <v>839</v>
      </c>
      <c r="E102" s="295" t="s">
        <v>175</v>
      </c>
      <c r="F102" s="301" t="s">
        <v>29</v>
      </c>
      <c r="G102" s="301"/>
      <c r="H102" s="295" t="s">
        <v>27</v>
      </c>
      <c r="I102" s="302">
        <v>19326.490000000002</v>
      </c>
      <c r="J102" s="302"/>
      <c r="K102" s="298" t="s">
        <v>22</v>
      </c>
      <c r="L102" s="299">
        <v>3625873.73</v>
      </c>
    </row>
    <row r="103" spans="1:12" ht="51" x14ac:dyDescent="0.3">
      <c r="A103" s="293" t="s">
        <v>60</v>
      </c>
      <c r="B103" s="294" t="s">
        <v>825</v>
      </c>
      <c r="C103" s="294" t="s">
        <v>174</v>
      </c>
      <c r="D103" s="294" t="s">
        <v>840</v>
      </c>
      <c r="E103" s="295" t="s">
        <v>175</v>
      </c>
      <c r="F103" s="301" t="s">
        <v>29</v>
      </c>
      <c r="G103" s="301"/>
      <c r="H103" s="295" t="s">
        <v>27</v>
      </c>
      <c r="I103" s="302">
        <v>31715.06</v>
      </c>
      <c r="J103" s="302"/>
      <c r="K103" s="298" t="s">
        <v>22</v>
      </c>
      <c r="L103" s="299">
        <v>3594158.67</v>
      </c>
    </row>
    <row r="104" spans="1:12" ht="51" x14ac:dyDescent="0.3">
      <c r="A104" s="293" t="s">
        <v>60</v>
      </c>
      <c r="B104" s="294" t="s">
        <v>825</v>
      </c>
      <c r="C104" s="294" t="s">
        <v>174</v>
      </c>
      <c r="D104" s="294" t="s">
        <v>841</v>
      </c>
      <c r="E104" s="295" t="s">
        <v>175</v>
      </c>
      <c r="F104" s="301" t="s">
        <v>29</v>
      </c>
      <c r="G104" s="301"/>
      <c r="H104" s="295" t="s">
        <v>27</v>
      </c>
      <c r="I104" s="302">
        <v>17794.080000000002</v>
      </c>
      <c r="J104" s="302"/>
      <c r="K104" s="298" t="s">
        <v>22</v>
      </c>
      <c r="L104" s="299">
        <v>3576364.59</v>
      </c>
    </row>
    <row r="105" spans="1:12" ht="51" x14ac:dyDescent="0.3">
      <c r="A105" s="293" t="s">
        <v>60</v>
      </c>
      <c r="B105" s="294" t="s">
        <v>825</v>
      </c>
      <c r="C105" s="294" t="s">
        <v>174</v>
      </c>
      <c r="D105" s="294" t="s">
        <v>842</v>
      </c>
      <c r="E105" s="295" t="s">
        <v>175</v>
      </c>
      <c r="F105" s="301" t="s">
        <v>29</v>
      </c>
      <c r="G105" s="301"/>
      <c r="H105" s="295" t="s">
        <v>27</v>
      </c>
      <c r="I105" s="302">
        <v>96468.35</v>
      </c>
      <c r="J105" s="302"/>
      <c r="K105" s="298" t="s">
        <v>22</v>
      </c>
      <c r="L105" s="299">
        <v>3479896.24</v>
      </c>
    </row>
    <row r="106" spans="1:12" ht="51" x14ac:dyDescent="0.3">
      <c r="A106" s="293" t="s">
        <v>60</v>
      </c>
      <c r="B106" s="294" t="s">
        <v>825</v>
      </c>
      <c r="C106" s="294" t="s">
        <v>174</v>
      </c>
      <c r="D106" s="294" t="s">
        <v>843</v>
      </c>
      <c r="E106" s="295" t="s">
        <v>175</v>
      </c>
      <c r="F106" s="301" t="s">
        <v>29</v>
      </c>
      <c r="G106" s="301"/>
      <c r="H106" s="295" t="s">
        <v>27</v>
      </c>
      <c r="I106" s="302">
        <v>96468.36</v>
      </c>
      <c r="J106" s="302"/>
      <c r="K106" s="298" t="s">
        <v>22</v>
      </c>
      <c r="L106" s="299">
        <v>3383427.88</v>
      </c>
    </row>
    <row r="107" spans="1:12" ht="51" x14ac:dyDescent="0.3">
      <c r="A107" s="293" t="s">
        <v>60</v>
      </c>
      <c r="B107" s="294" t="s">
        <v>825</v>
      </c>
      <c r="C107" s="294" t="s">
        <v>174</v>
      </c>
      <c r="D107" s="294" t="s">
        <v>844</v>
      </c>
      <c r="E107" s="295" t="s">
        <v>175</v>
      </c>
      <c r="F107" s="301" t="s">
        <v>29</v>
      </c>
      <c r="G107" s="301"/>
      <c r="H107" s="295" t="s">
        <v>27</v>
      </c>
      <c r="I107" s="302">
        <v>96468.34</v>
      </c>
      <c r="J107" s="302"/>
      <c r="K107" s="298" t="s">
        <v>22</v>
      </c>
      <c r="L107" s="299">
        <v>3286959.54</v>
      </c>
    </row>
    <row r="108" spans="1:12" ht="61.2" x14ac:dyDescent="0.3">
      <c r="A108" s="293" t="s">
        <v>60</v>
      </c>
      <c r="B108" s="294" t="s">
        <v>825</v>
      </c>
      <c r="C108" s="294" t="s">
        <v>174</v>
      </c>
      <c r="D108" s="294" t="s">
        <v>845</v>
      </c>
      <c r="E108" s="295" t="s">
        <v>175</v>
      </c>
      <c r="F108" s="301" t="s">
        <v>29</v>
      </c>
      <c r="G108" s="301"/>
      <c r="H108" s="295" t="s">
        <v>27</v>
      </c>
      <c r="I108" s="302">
        <v>92206.51</v>
      </c>
      <c r="J108" s="302"/>
      <c r="K108" s="298" t="s">
        <v>22</v>
      </c>
      <c r="L108" s="299">
        <v>3194753.03</v>
      </c>
    </row>
    <row r="109" spans="1:12" ht="61.2" x14ac:dyDescent="0.3">
      <c r="A109" s="293" t="s">
        <v>60</v>
      </c>
      <c r="B109" s="294" t="s">
        <v>825</v>
      </c>
      <c r="C109" s="294" t="s">
        <v>174</v>
      </c>
      <c r="D109" s="294" t="s">
        <v>846</v>
      </c>
      <c r="E109" s="295" t="s">
        <v>175</v>
      </c>
      <c r="F109" s="301" t="s">
        <v>29</v>
      </c>
      <c r="G109" s="301"/>
      <c r="H109" s="295" t="s">
        <v>27</v>
      </c>
      <c r="I109" s="302">
        <v>92206.51</v>
      </c>
      <c r="J109" s="302"/>
      <c r="K109" s="298" t="s">
        <v>22</v>
      </c>
      <c r="L109" s="299">
        <v>3102546.52</v>
      </c>
    </row>
    <row r="110" spans="1:12" ht="61.2" x14ac:dyDescent="0.3">
      <c r="A110" s="293" t="s">
        <v>60</v>
      </c>
      <c r="B110" s="294" t="s">
        <v>825</v>
      </c>
      <c r="C110" s="294" t="s">
        <v>174</v>
      </c>
      <c r="D110" s="294" t="s">
        <v>847</v>
      </c>
      <c r="E110" s="295" t="s">
        <v>175</v>
      </c>
      <c r="F110" s="301" t="s">
        <v>29</v>
      </c>
      <c r="G110" s="301"/>
      <c r="H110" s="295" t="s">
        <v>27</v>
      </c>
      <c r="I110" s="302">
        <v>92206.52</v>
      </c>
      <c r="J110" s="302"/>
      <c r="K110" s="298" t="s">
        <v>22</v>
      </c>
      <c r="L110" s="299">
        <v>3010340</v>
      </c>
    </row>
    <row r="111" spans="1:12" ht="51" hidden="1" x14ac:dyDescent="0.3">
      <c r="A111" s="293" t="s">
        <v>60</v>
      </c>
      <c r="B111" s="294" t="s">
        <v>848</v>
      </c>
      <c r="C111" s="294" t="s">
        <v>849</v>
      </c>
      <c r="D111" s="294" t="s">
        <v>752</v>
      </c>
      <c r="E111" s="295" t="s">
        <v>27</v>
      </c>
      <c r="F111" s="296">
        <v>90729</v>
      </c>
      <c r="G111" s="296"/>
      <c r="H111" s="295" t="s">
        <v>28</v>
      </c>
      <c r="I111" s="297" t="s">
        <v>29</v>
      </c>
      <c r="J111" s="297"/>
      <c r="K111" s="298" t="s">
        <v>22</v>
      </c>
      <c r="L111" s="299">
        <v>3101069</v>
      </c>
    </row>
    <row r="112" spans="1:12" ht="51" hidden="1" x14ac:dyDescent="0.3">
      <c r="A112" s="293" t="s">
        <v>60</v>
      </c>
      <c r="B112" s="294" t="s">
        <v>848</v>
      </c>
      <c r="C112" s="294" t="s">
        <v>850</v>
      </c>
      <c r="D112" s="294" t="s">
        <v>752</v>
      </c>
      <c r="E112" s="295" t="s">
        <v>27</v>
      </c>
      <c r="F112" s="296">
        <v>75368</v>
      </c>
      <c r="G112" s="296"/>
      <c r="H112" s="295" t="s">
        <v>28</v>
      </c>
      <c r="I112" s="297" t="s">
        <v>29</v>
      </c>
      <c r="J112" s="297"/>
      <c r="K112" s="298" t="s">
        <v>22</v>
      </c>
      <c r="L112" s="299">
        <v>3176437</v>
      </c>
    </row>
    <row r="113" spans="1:12" ht="51" hidden="1" x14ac:dyDescent="0.3">
      <c r="A113" s="293" t="s">
        <v>60</v>
      </c>
      <c r="B113" s="294" t="s">
        <v>851</v>
      </c>
      <c r="C113" s="294" t="s">
        <v>752</v>
      </c>
      <c r="D113" s="294" t="s">
        <v>815</v>
      </c>
      <c r="E113" s="295" t="s">
        <v>28</v>
      </c>
      <c r="F113" s="301" t="s">
        <v>29</v>
      </c>
      <c r="G113" s="301"/>
      <c r="H113" s="295" t="s">
        <v>27</v>
      </c>
      <c r="I113" s="302">
        <v>18842</v>
      </c>
      <c r="J113" s="302"/>
      <c r="K113" s="298" t="s">
        <v>22</v>
      </c>
      <c r="L113" s="299">
        <v>3157595</v>
      </c>
    </row>
    <row r="114" spans="1:12" ht="51" hidden="1" x14ac:dyDescent="0.3">
      <c r="A114" s="293" t="s">
        <v>60</v>
      </c>
      <c r="B114" s="294" t="s">
        <v>852</v>
      </c>
      <c r="C114" s="294" t="s">
        <v>849</v>
      </c>
      <c r="D114" s="294" t="s">
        <v>752</v>
      </c>
      <c r="E114" s="295" t="s">
        <v>27</v>
      </c>
      <c r="F114" s="296">
        <v>2308.87</v>
      </c>
      <c r="G114" s="296"/>
      <c r="H114" s="295" t="s">
        <v>28</v>
      </c>
      <c r="I114" s="297" t="s">
        <v>29</v>
      </c>
      <c r="J114" s="297"/>
      <c r="K114" s="298" t="s">
        <v>22</v>
      </c>
      <c r="L114" s="299">
        <v>3159903.87</v>
      </c>
    </row>
    <row r="115" spans="1:12" ht="51" hidden="1" x14ac:dyDescent="0.3">
      <c r="A115" s="293" t="s">
        <v>60</v>
      </c>
      <c r="B115" s="294" t="s">
        <v>852</v>
      </c>
      <c r="C115" s="294" t="s">
        <v>850</v>
      </c>
      <c r="D115" s="294" t="s">
        <v>752</v>
      </c>
      <c r="E115" s="295" t="s">
        <v>27</v>
      </c>
      <c r="F115" s="296">
        <v>1917.97</v>
      </c>
      <c r="G115" s="296"/>
      <c r="H115" s="295" t="s">
        <v>28</v>
      </c>
      <c r="I115" s="297" t="s">
        <v>29</v>
      </c>
      <c r="J115" s="297"/>
      <c r="K115" s="298" t="s">
        <v>22</v>
      </c>
      <c r="L115" s="299">
        <v>3161821.84</v>
      </c>
    </row>
    <row r="116" spans="1:12" ht="51" hidden="1" x14ac:dyDescent="0.3">
      <c r="A116" s="293" t="s">
        <v>138</v>
      </c>
      <c r="B116" s="294" t="s">
        <v>853</v>
      </c>
      <c r="C116" s="294" t="s">
        <v>854</v>
      </c>
      <c r="D116" s="294" t="s">
        <v>752</v>
      </c>
      <c r="E116" s="295" t="s">
        <v>27</v>
      </c>
      <c r="F116" s="296">
        <v>30920</v>
      </c>
      <c r="G116" s="296"/>
      <c r="H116" s="295" t="s">
        <v>28</v>
      </c>
      <c r="I116" s="297" t="s">
        <v>29</v>
      </c>
      <c r="J116" s="297"/>
      <c r="K116" s="298" t="s">
        <v>22</v>
      </c>
      <c r="L116" s="299">
        <v>3192741.84</v>
      </c>
    </row>
    <row r="117" spans="1:12" ht="51" hidden="1" x14ac:dyDescent="0.3">
      <c r="A117" s="293" t="s">
        <v>138</v>
      </c>
      <c r="B117" s="294" t="s">
        <v>853</v>
      </c>
      <c r="C117" s="294" t="s">
        <v>855</v>
      </c>
      <c r="D117" s="294" t="s">
        <v>752</v>
      </c>
      <c r="E117" s="295" t="s">
        <v>27</v>
      </c>
      <c r="F117" s="296">
        <v>188100</v>
      </c>
      <c r="G117" s="296"/>
      <c r="H117" s="295" t="s">
        <v>28</v>
      </c>
      <c r="I117" s="297" t="s">
        <v>29</v>
      </c>
      <c r="J117" s="297"/>
      <c r="K117" s="298" t="s">
        <v>22</v>
      </c>
      <c r="L117" s="299">
        <v>3380841.84</v>
      </c>
    </row>
    <row r="118" spans="1:12" ht="51" hidden="1" x14ac:dyDescent="0.3">
      <c r="A118" s="293" t="s">
        <v>138</v>
      </c>
      <c r="B118" s="294" t="s">
        <v>856</v>
      </c>
      <c r="C118" s="294" t="s">
        <v>854</v>
      </c>
      <c r="D118" s="294" t="s">
        <v>752</v>
      </c>
      <c r="E118" s="295" t="s">
        <v>27</v>
      </c>
      <c r="F118" s="300">
        <v>786.85</v>
      </c>
      <c r="G118" s="300"/>
      <c r="H118" s="295" t="s">
        <v>28</v>
      </c>
      <c r="I118" s="297" t="s">
        <v>29</v>
      </c>
      <c r="J118" s="297"/>
      <c r="K118" s="298" t="s">
        <v>22</v>
      </c>
      <c r="L118" s="299">
        <v>3381628.69</v>
      </c>
    </row>
    <row r="119" spans="1:12" ht="51" hidden="1" x14ac:dyDescent="0.3">
      <c r="A119" s="293" t="s">
        <v>138</v>
      </c>
      <c r="B119" s="294" t="s">
        <v>856</v>
      </c>
      <c r="C119" s="294" t="s">
        <v>855</v>
      </c>
      <c r="D119" s="294" t="s">
        <v>752</v>
      </c>
      <c r="E119" s="295" t="s">
        <v>27</v>
      </c>
      <c r="F119" s="296">
        <v>4786.78</v>
      </c>
      <c r="G119" s="296"/>
      <c r="H119" s="295" t="s">
        <v>28</v>
      </c>
      <c r="I119" s="297" t="s">
        <v>29</v>
      </c>
      <c r="J119" s="297"/>
      <c r="K119" s="298" t="s">
        <v>22</v>
      </c>
      <c r="L119" s="299">
        <v>3386415.47</v>
      </c>
    </row>
    <row r="120" spans="1:12" ht="61.2" x14ac:dyDescent="0.3">
      <c r="A120" s="293" t="s">
        <v>142</v>
      </c>
      <c r="B120" s="294" t="s">
        <v>857</v>
      </c>
      <c r="C120" s="294" t="s">
        <v>174</v>
      </c>
      <c r="D120" s="294" t="s">
        <v>858</v>
      </c>
      <c r="E120" s="295" t="s">
        <v>175</v>
      </c>
      <c r="F120" s="301" t="s">
        <v>29</v>
      </c>
      <c r="G120" s="301"/>
      <c r="H120" s="295" t="s">
        <v>27</v>
      </c>
      <c r="I120" s="302">
        <v>29395</v>
      </c>
      <c r="J120" s="302"/>
      <c r="K120" s="298" t="s">
        <v>22</v>
      </c>
      <c r="L120" s="299">
        <v>3357020.47</v>
      </c>
    </row>
    <row r="121" spans="1:12" ht="61.2" x14ac:dyDescent="0.3">
      <c r="A121" s="293" t="s">
        <v>142</v>
      </c>
      <c r="B121" s="294" t="s">
        <v>857</v>
      </c>
      <c r="C121" s="294" t="s">
        <v>174</v>
      </c>
      <c r="D121" s="294" t="s">
        <v>859</v>
      </c>
      <c r="E121" s="295" t="s">
        <v>175</v>
      </c>
      <c r="F121" s="301" t="s">
        <v>29</v>
      </c>
      <c r="G121" s="301"/>
      <c r="H121" s="295" t="s">
        <v>27</v>
      </c>
      <c r="I121" s="302">
        <v>1653</v>
      </c>
      <c r="J121" s="302"/>
      <c r="K121" s="298" t="s">
        <v>22</v>
      </c>
      <c r="L121" s="299">
        <v>3355367.47</v>
      </c>
    </row>
    <row r="122" spans="1:12" ht="61.2" x14ac:dyDescent="0.3">
      <c r="A122" s="293" t="s">
        <v>142</v>
      </c>
      <c r="B122" s="294" t="s">
        <v>857</v>
      </c>
      <c r="C122" s="294" t="s">
        <v>174</v>
      </c>
      <c r="D122" s="294" t="s">
        <v>859</v>
      </c>
      <c r="E122" s="295" t="s">
        <v>175</v>
      </c>
      <c r="F122" s="301" t="s">
        <v>29</v>
      </c>
      <c r="G122" s="301"/>
      <c r="H122" s="295" t="s">
        <v>27</v>
      </c>
      <c r="I122" s="302">
        <v>4848</v>
      </c>
      <c r="J122" s="302"/>
      <c r="K122" s="298" t="s">
        <v>22</v>
      </c>
      <c r="L122" s="299">
        <v>3350519.47</v>
      </c>
    </row>
    <row r="123" spans="1:12" ht="61.2" x14ac:dyDescent="0.3">
      <c r="A123" s="293" t="s">
        <v>142</v>
      </c>
      <c r="B123" s="294" t="s">
        <v>857</v>
      </c>
      <c r="C123" s="294" t="s">
        <v>174</v>
      </c>
      <c r="D123" s="294" t="s">
        <v>860</v>
      </c>
      <c r="E123" s="295" t="s">
        <v>175</v>
      </c>
      <c r="F123" s="301" t="s">
        <v>29</v>
      </c>
      <c r="G123" s="301"/>
      <c r="H123" s="295" t="s">
        <v>27</v>
      </c>
      <c r="I123" s="302">
        <v>30810</v>
      </c>
      <c r="J123" s="302"/>
      <c r="K123" s="298" t="s">
        <v>22</v>
      </c>
      <c r="L123" s="299">
        <v>3319709.47</v>
      </c>
    </row>
    <row r="124" spans="1:12" ht="51" hidden="1" x14ac:dyDescent="0.3">
      <c r="A124" s="293" t="s">
        <v>64</v>
      </c>
      <c r="B124" s="294" t="s">
        <v>861</v>
      </c>
      <c r="C124" s="294" t="s">
        <v>862</v>
      </c>
      <c r="D124" s="294" t="s">
        <v>752</v>
      </c>
      <c r="E124" s="295" t="s">
        <v>27</v>
      </c>
      <c r="F124" s="296">
        <v>49280</v>
      </c>
      <c r="G124" s="296"/>
      <c r="H124" s="295" t="s">
        <v>28</v>
      </c>
      <c r="I124" s="297" t="s">
        <v>29</v>
      </c>
      <c r="J124" s="297"/>
      <c r="K124" s="298" t="s">
        <v>22</v>
      </c>
      <c r="L124" s="299">
        <v>3368989.47</v>
      </c>
    </row>
    <row r="125" spans="1:12" ht="51" hidden="1" x14ac:dyDescent="0.3">
      <c r="A125" s="293" t="s">
        <v>64</v>
      </c>
      <c r="B125" s="294" t="s">
        <v>861</v>
      </c>
      <c r="C125" s="294" t="s">
        <v>863</v>
      </c>
      <c r="D125" s="294" t="s">
        <v>752</v>
      </c>
      <c r="E125" s="295" t="s">
        <v>27</v>
      </c>
      <c r="F125" s="296">
        <v>11856</v>
      </c>
      <c r="G125" s="296"/>
      <c r="H125" s="295" t="s">
        <v>28</v>
      </c>
      <c r="I125" s="297" t="s">
        <v>29</v>
      </c>
      <c r="J125" s="297"/>
      <c r="K125" s="298" t="s">
        <v>22</v>
      </c>
      <c r="L125" s="299">
        <v>3380845.47</v>
      </c>
    </row>
    <row r="126" spans="1:12" ht="51" hidden="1" x14ac:dyDescent="0.3">
      <c r="A126" s="293" t="s">
        <v>64</v>
      </c>
      <c r="B126" s="294" t="s">
        <v>861</v>
      </c>
      <c r="C126" s="294" t="s">
        <v>864</v>
      </c>
      <c r="D126" s="294" t="s">
        <v>752</v>
      </c>
      <c r="E126" s="295" t="s">
        <v>27</v>
      </c>
      <c r="F126" s="296">
        <v>10192</v>
      </c>
      <c r="G126" s="296"/>
      <c r="H126" s="295" t="s">
        <v>28</v>
      </c>
      <c r="I126" s="297" t="s">
        <v>29</v>
      </c>
      <c r="J126" s="297"/>
      <c r="K126" s="298" t="s">
        <v>22</v>
      </c>
      <c r="L126" s="299">
        <v>3391037.47</v>
      </c>
    </row>
    <row r="127" spans="1:12" ht="51" hidden="1" x14ac:dyDescent="0.3">
      <c r="A127" s="293" t="s">
        <v>64</v>
      </c>
      <c r="B127" s="294" t="s">
        <v>865</v>
      </c>
      <c r="C127" s="294" t="s">
        <v>866</v>
      </c>
      <c r="D127" s="294" t="s">
        <v>752</v>
      </c>
      <c r="E127" s="295" t="s">
        <v>27</v>
      </c>
      <c r="F127" s="296">
        <v>30920</v>
      </c>
      <c r="G127" s="296"/>
      <c r="H127" s="295" t="s">
        <v>28</v>
      </c>
      <c r="I127" s="297" t="s">
        <v>29</v>
      </c>
      <c r="J127" s="297"/>
      <c r="K127" s="298" t="s">
        <v>22</v>
      </c>
      <c r="L127" s="299">
        <v>3421957.47</v>
      </c>
    </row>
    <row r="128" spans="1:12" ht="51" hidden="1" x14ac:dyDescent="0.3">
      <c r="A128" s="293" t="s">
        <v>64</v>
      </c>
      <c r="B128" s="294" t="s">
        <v>865</v>
      </c>
      <c r="C128" s="294" t="s">
        <v>867</v>
      </c>
      <c r="D128" s="294" t="s">
        <v>752</v>
      </c>
      <c r="E128" s="295" t="s">
        <v>27</v>
      </c>
      <c r="F128" s="296">
        <v>94050</v>
      </c>
      <c r="G128" s="296"/>
      <c r="H128" s="295" t="s">
        <v>28</v>
      </c>
      <c r="I128" s="297" t="s">
        <v>29</v>
      </c>
      <c r="J128" s="297"/>
      <c r="K128" s="298" t="s">
        <v>22</v>
      </c>
      <c r="L128" s="299">
        <v>3516007.47</v>
      </c>
    </row>
    <row r="129" spans="1:12" ht="61.2" hidden="1" x14ac:dyDescent="0.3">
      <c r="A129" s="293" t="s">
        <v>64</v>
      </c>
      <c r="B129" s="294" t="s">
        <v>865</v>
      </c>
      <c r="C129" s="294" t="s">
        <v>868</v>
      </c>
      <c r="D129" s="294" t="s">
        <v>752</v>
      </c>
      <c r="E129" s="295" t="s">
        <v>27</v>
      </c>
      <c r="F129" s="296">
        <v>89895</v>
      </c>
      <c r="G129" s="296"/>
      <c r="H129" s="295" t="s">
        <v>28</v>
      </c>
      <c r="I129" s="297" t="s">
        <v>29</v>
      </c>
      <c r="J129" s="297"/>
      <c r="K129" s="298" t="s">
        <v>22</v>
      </c>
      <c r="L129" s="299">
        <v>3605902.47</v>
      </c>
    </row>
    <row r="130" spans="1:12" ht="51" hidden="1" x14ac:dyDescent="0.3">
      <c r="A130" s="293" t="s">
        <v>64</v>
      </c>
      <c r="B130" s="294" t="s">
        <v>869</v>
      </c>
      <c r="C130" s="294" t="s">
        <v>870</v>
      </c>
      <c r="D130" s="294" t="s">
        <v>752</v>
      </c>
      <c r="E130" s="295" t="s">
        <v>27</v>
      </c>
      <c r="F130" s="296">
        <v>35845.800000000003</v>
      </c>
      <c r="G130" s="296"/>
      <c r="H130" s="295" t="s">
        <v>28</v>
      </c>
      <c r="I130" s="297" t="s">
        <v>29</v>
      </c>
      <c r="J130" s="297"/>
      <c r="K130" s="298" t="s">
        <v>22</v>
      </c>
      <c r="L130" s="299">
        <v>3641748.27</v>
      </c>
    </row>
    <row r="131" spans="1:12" ht="51" hidden="1" x14ac:dyDescent="0.3">
      <c r="A131" s="293" t="s">
        <v>64</v>
      </c>
      <c r="B131" s="294" t="s">
        <v>869</v>
      </c>
      <c r="C131" s="294" t="s">
        <v>871</v>
      </c>
      <c r="D131" s="294" t="s">
        <v>752</v>
      </c>
      <c r="E131" s="295" t="s">
        <v>27</v>
      </c>
      <c r="F131" s="296">
        <v>1660</v>
      </c>
      <c r="G131" s="296"/>
      <c r="H131" s="295" t="s">
        <v>28</v>
      </c>
      <c r="I131" s="297" t="s">
        <v>29</v>
      </c>
      <c r="J131" s="297"/>
      <c r="K131" s="298" t="s">
        <v>22</v>
      </c>
      <c r="L131" s="299">
        <v>3643408.27</v>
      </c>
    </row>
    <row r="132" spans="1:12" ht="51" hidden="1" x14ac:dyDescent="0.3">
      <c r="A132" s="293" t="s">
        <v>64</v>
      </c>
      <c r="B132" s="294" t="s">
        <v>872</v>
      </c>
      <c r="C132" s="294" t="s">
        <v>873</v>
      </c>
      <c r="D132" s="294" t="s">
        <v>752</v>
      </c>
      <c r="E132" s="295" t="s">
        <v>27</v>
      </c>
      <c r="F132" s="296">
        <v>30920</v>
      </c>
      <c r="G132" s="296"/>
      <c r="H132" s="295" t="s">
        <v>28</v>
      </c>
      <c r="I132" s="297" t="s">
        <v>29</v>
      </c>
      <c r="J132" s="297"/>
      <c r="K132" s="298" t="s">
        <v>22</v>
      </c>
      <c r="L132" s="299">
        <v>3674328.27</v>
      </c>
    </row>
    <row r="133" spans="1:12" ht="51" hidden="1" x14ac:dyDescent="0.3">
      <c r="A133" s="293" t="s">
        <v>64</v>
      </c>
      <c r="B133" s="294" t="s">
        <v>872</v>
      </c>
      <c r="C133" s="294" t="s">
        <v>874</v>
      </c>
      <c r="D133" s="294" t="s">
        <v>752</v>
      </c>
      <c r="E133" s="295" t="s">
        <v>27</v>
      </c>
      <c r="F133" s="296">
        <v>78023</v>
      </c>
      <c r="G133" s="296"/>
      <c r="H133" s="295" t="s">
        <v>28</v>
      </c>
      <c r="I133" s="297" t="s">
        <v>29</v>
      </c>
      <c r="J133" s="297"/>
      <c r="K133" s="298" t="s">
        <v>22</v>
      </c>
      <c r="L133" s="299">
        <v>3752351.27</v>
      </c>
    </row>
    <row r="134" spans="1:12" ht="51" hidden="1" x14ac:dyDescent="0.3">
      <c r="A134" s="293" t="s">
        <v>64</v>
      </c>
      <c r="B134" s="294" t="s">
        <v>872</v>
      </c>
      <c r="C134" s="294" t="s">
        <v>875</v>
      </c>
      <c r="D134" s="294" t="s">
        <v>752</v>
      </c>
      <c r="E134" s="295" t="s">
        <v>27</v>
      </c>
      <c r="F134" s="296">
        <v>76715</v>
      </c>
      <c r="G134" s="296"/>
      <c r="H134" s="295" t="s">
        <v>28</v>
      </c>
      <c r="I134" s="297" t="s">
        <v>29</v>
      </c>
      <c r="J134" s="297"/>
      <c r="K134" s="298" t="s">
        <v>22</v>
      </c>
      <c r="L134" s="299">
        <v>3829066.27</v>
      </c>
    </row>
    <row r="135" spans="1:12" ht="51" hidden="1" x14ac:dyDescent="0.3">
      <c r="A135" s="293" t="s">
        <v>64</v>
      </c>
      <c r="B135" s="294" t="s">
        <v>876</v>
      </c>
      <c r="C135" s="294" t="s">
        <v>862</v>
      </c>
      <c r="D135" s="294" t="s">
        <v>752</v>
      </c>
      <c r="E135" s="295" t="s">
        <v>27</v>
      </c>
      <c r="F135" s="296">
        <v>1254.08</v>
      </c>
      <c r="G135" s="296"/>
      <c r="H135" s="295" t="s">
        <v>28</v>
      </c>
      <c r="I135" s="297" t="s">
        <v>29</v>
      </c>
      <c r="J135" s="297"/>
      <c r="K135" s="298" t="s">
        <v>22</v>
      </c>
      <c r="L135" s="299">
        <v>3830320.35</v>
      </c>
    </row>
    <row r="136" spans="1:12" ht="51" hidden="1" x14ac:dyDescent="0.3">
      <c r="A136" s="293" t="s">
        <v>64</v>
      </c>
      <c r="B136" s="294" t="s">
        <v>876</v>
      </c>
      <c r="C136" s="294" t="s">
        <v>863</v>
      </c>
      <c r="D136" s="294" t="s">
        <v>752</v>
      </c>
      <c r="E136" s="295" t="s">
        <v>27</v>
      </c>
      <c r="F136" s="300">
        <v>301.70999999999998</v>
      </c>
      <c r="G136" s="300"/>
      <c r="H136" s="295" t="s">
        <v>28</v>
      </c>
      <c r="I136" s="297" t="s">
        <v>29</v>
      </c>
      <c r="J136" s="297"/>
      <c r="K136" s="298" t="s">
        <v>22</v>
      </c>
      <c r="L136" s="299">
        <v>3830622.06</v>
      </c>
    </row>
    <row r="137" spans="1:12" ht="51" hidden="1" x14ac:dyDescent="0.3">
      <c r="A137" s="293" t="s">
        <v>64</v>
      </c>
      <c r="B137" s="294" t="s">
        <v>876</v>
      </c>
      <c r="C137" s="294" t="s">
        <v>864</v>
      </c>
      <c r="D137" s="294" t="s">
        <v>752</v>
      </c>
      <c r="E137" s="295" t="s">
        <v>27</v>
      </c>
      <c r="F137" s="300">
        <v>259.37</v>
      </c>
      <c r="G137" s="300"/>
      <c r="H137" s="295" t="s">
        <v>28</v>
      </c>
      <c r="I137" s="297" t="s">
        <v>29</v>
      </c>
      <c r="J137" s="297"/>
      <c r="K137" s="298" t="s">
        <v>22</v>
      </c>
      <c r="L137" s="299">
        <v>3830881.43</v>
      </c>
    </row>
    <row r="138" spans="1:12" ht="51" hidden="1" x14ac:dyDescent="0.3">
      <c r="A138" s="293" t="s">
        <v>64</v>
      </c>
      <c r="B138" s="294" t="s">
        <v>877</v>
      </c>
      <c r="C138" s="294" t="s">
        <v>866</v>
      </c>
      <c r="D138" s="294" t="s">
        <v>752</v>
      </c>
      <c r="E138" s="295" t="s">
        <v>27</v>
      </c>
      <c r="F138" s="300">
        <v>786.85</v>
      </c>
      <c r="G138" s="300"/>
      <c r="H138" s="295" t="s">
        <v>28</v>
      </c>
      <c r="I138" s="297" t="s">
        <v>29</v>
      </c>
      <c r="J138" s="297"/>
      <c r="K138" s="298" t="s">
        <v>22</v>
      </c>
      <c r="L138" s="299">
        <v>3831668.28</v>
      </c>
    </row>
    <row r="139" spans="1:12" ht="51" hidden="1" x14ac:dyDescent="0.3">
      <c r="A139" s="293" t="s">
        <v>64</v>
      </c>
      <c r="B139" s="294" t="s">
        <v>877</v>
      </c>
      <c r="C139" s="294" t="s">
        <v>867</v>
      </c>
      <c r="D139" s="294" t="s">
        <v>752</v>
      </c>
      <c r="E139" s="295" t="s">
        <v>27</v>
      </c>
      <c r="F139" s="296">
        <v>2393.39</v>
      </c>
      <c r="G139" s="296"/>
      <c r="H139" s="295" t="s">
        <v>28</v>
      </c>
      <c r="I139" s="297" t="s">
        <v>29</v>
      </c>
      <c r="J139" s="297"/>
      <c r="K139" s="298" t="s">
        <v>22</v>
      </c>
      <c r="L139" s="299">
        <v>3834061.67</v>
      </c>
    </row>
    <row r="140" spans="1:12" ht="61.2" hidden="1" x14ac:dyDescent="0.3">
      <c r="A140" s="293" t="s">
        <v>64</v>
      </c>
      <c r="B140" s="294" t="s">
        <v>877</v>
      </c>
      <c r="C140" s="294" t="s">
        <v>868</v>
      </c>
      <c r="D140" s="294" t="s">
        <v>752</v>
      </c>
      <c r="E140" s="295" t="s">
        <v>27</v>
      </c>
      <c r="F140" s="296">
        <v>2287.65</v>
      </c>
      <c r="G140" s="296"/>
      <c r="H140" s="295" t="s">
        <v>28</v>
      </c>
      <c r="I140" s="297" t="s">
        <v>29</v>
      </c>
      <c r="J140" s="297"/>
      <c r="K140" s="298" t="s">
        <v>22</v>
      </c>
      <c r="L140" s="299">
        <v>3836349.32</v>
      </c>
    </row>
    <row r="141" spans="1:12" ht="51" hidden="1" x14ac:dyDescent="0.3">
      <c r="A141" s="293" t="s">
        <v>64</v>
      </c>
      <c r="B141" s="294" t="s">
        <v>878</v>
      </c>
      <c r="C141" s="294" t="s">
        <v>870</v>
      </c>
      <c r="D141" s="294" t="s">
        <v>752</v>
      </c>
      <c r="E141" s="295" t="s">
        <v>27</v>
      </c>
      <c r="F141" s="300">
        <v>912.21</v>
      </c>
      <c r="G141" s="300"/>
      <c r="H141" s="295" t="s">
        <v>28</v>
      </c>
      <c r="I141" s="297" t="s">
        <v>29</v>
      </c>
      <c r="J141" s="297"/>
      <c r="K141" s="298" t="s">
        <v>22</v>
      </c>
      <c r="L141" s="299">
        <v>3837261.53</v>
      </c>
    </row>
    <row r="142" spans="1:12" ht="51" hidden="1" x14ac:dyDescent="0.3">
      <c r="A142" s="293" t="s">
        <v>64</v>
      </c>
      <c r="B142" s="294" t="s">
        <v>878</v>
      </c>
      <c r="C142" s="294" t="s">
        <v>871</v>
      </c>
      <c r="D142" s="294" t="s">
        <v>752</v>
      </c>
      <c r="E142" s="295" t="s">
        <v>27</v>
      </c>
      <c r="F142" s="300">
        <v>42.24</v>
      </c>
      <c r="G142" s="300"/>
      <c r="H142" s="295" t="s">
        <v>28</v>
      </c>
      <c r="I142" s="297" t="s">
        <v>29</v>
      </c>
      <c r="J142" s="297"/>
      <c r="K142" s="298" t="s">
        <v>22</v>
      </c>
      <c r="L142" s="299">
        <v>3837303.77</v>
      </c>
    </row>
    <row r="143" spans="1:12" ht="51" hidden="1" x14ac:dyDescent="0.3">
      <c r="A143" s="293" t="s">
        <v>64</v>
      </c>
      <c r="B143" s="294" t="s">
        <v>879</v>
      </c>
      <c r="C143" s="294" t="s">
        <v>873</v>
      </c>
      <c r="D143" s="294" t="s">
        <v>752</v>
      </c>
      <c r="E143" s="295" t="s">
        <v>27</v>
      </c>
      <c r="F143" s="300">
        <v>786.85</v>
      </c>
      <c r="G143" s="300"/>
      <c r="H143" s="295" t="s">
        <v>28</v>
      </c>
      <c r="I143" s="297" t="s">
        <v>29</v>
      </c>
      <c r="J143" s="297"/>
      <c r="K143" s="298" t="s">
        <v>22</v>
      </c>
      <c r="L143" s="299">
        <v>3838090.62</v>
      </c>
    </row>
    <row r="144" spans="1:12" ht="51" hidden="1" x14ac:dyDescent="0.3">
      <c r="A144" s="293" t="s">
        <v>64</v>
      </c>
      <c r="B144" s="294" t="s">
        <v>879</v>
      </c>
      <c r="C144" s="294" t="s">
        <v>874</v>
      </c>
      <c r="D144" s="294" t="s">
        <v>752</v>
      </c>
      <c r="E144" s="295" t="s">
        <v>27</v>
      </c>
      <c r="F144" s="296">
        <v>1985.53</v>
      </c>
      <c r="G144" s="296"/>
      <c r="H144" s="295" t="s">
        <v>28</v>
      </c>
      <c r="I144" s="297" t="s">
        <v>29</v>
      </c>
      <c r="J144" s="297"/>
      <c r="K144" s="298" t="s">
        <v>22</v>
      </c>
      <c r="L144" s="299">
        <v>3840076.15</v>
      </c>
    </row>
    <row r="145" spans="1:12" ht="51" hidden="1" x14ac:dyDescent="0.3">
      <c r="A145" s="293" t="s">
        <v>64</v>
      </c>
      <c r="B145" s="294" t="s">
        <v>879</v>
      </c>
      <c r="C145" s="294" t="s">
        <v>875</v>
      </c>
      <c r="D145" s="294" t="s">
        <v>752</v>
      </c>
      <c r="E145" s="295" t="s">
        <v>27</v>
      </c>
      <c r="F145" s="296">
        <v>1952.25</v>
      </c>
      <c r="G145" s="296"/>
      <c r="H145" s="295" t="s">
        <v>28</v>
      </c>
      <c r="I145" s="297" t="s">
        <v>29</v>
      </c>
      <c r="J145" s="297"/>
      <c r="K145" s="298" t="s">
        <v>22</v>
      </c>
      <c r="L145" s="299">
        <v>3842028.4</v>
      </c>
    </row>
    <row r="146" spans="1:12" ht="51" hidden="1" x14ac:dyDescent="0.3">
      <c r="A146" s="293" t="s">
        <v>64</v>
      </c>
      <c r="B146" s="294" t="s">
        <v>880</v>
      </c>
      <c r="C146" s="294" t="s">
        <v>881</v>
      </c>
      <c r="D146" s="294" t="s">
        <v>752</v>
      </c>
      <c r="E146" s="295" t="s">
        <v>27</v>
      </c>
      <c r="F146" s="296">
        <v>18555</v>
      </c>
      <c r="G146" s="296"/>
      <c r="H146" s="295" t="s">
        <v>28</v>
      </c>
      <c r="I146" s="297" t="s">
        <v>29</v>
      </c>
      <c r="J146" s="297"/>
      <c r="K146" s="298" t="s">
        <v>22</v>
      </c>
      <c r="L146" s="299">
        <v>3860583.4</v>
      </c>
    </row>
    <row r="147" spans="1:12" ht="51" hidden="1" x14ac:dyDescent="0.3">
      <c r="A147" s="293" t="s">
        <v>64</v>
      </c>
      <c r="B147" s="294" t="s">
        <v>880</v>
      </c>
      <c r="C147" s="294" t="s">
        <v>882</v>
      </c>
      <c r="D147" s="294" t="s">
        <v>752</v>
      </c>
      <c r="E147" s="295" t="s">
        <v>27</v>
      </c>
      <c r="F147" s="296">
        <v>18842</v>
      </c>
      <c r="G147" s="296"/>
      <c r="H147" s="295" t="s">
        <v>28</v>
      </c>
      <c r="I147" s="297" t="s">
        <v>29</v>
      </c>
      <c r="J147" s="297"/>
      <c r="K147" s="298" t="s">
        <v>22</v>
      </c>
      <c r="L147" s="299">
        <v>3879425.4</v>
      </c>
    </row>
    <row r="148" spans="1:12" ht="51" hidden="1" x14ac:dyDescent="0.3">
      <c r="A148" s="293" t="s">
        <v>64</v>
      </c>
      <c r="B148" s="294" t="s">
        <v>880</v>
      </c>
      <c r="C148" s="294" t="s">
        <v>883</v>
      </c>
      <c r="D148" s="294" t="s">
        <v>752</v>
      </c>
      <c r="E148" s="295" t="s">
        <v>27</v>
      </c>
      <c r="F148" s="296">
        <v>94050</v>
      </c>
      <c r="G148" s="296"/>
      <c r="H148" s="295" t="s">
        <v>28</v>
      </c>
      <c r="I148" s="297" t="s">
        <v>29</v>
      </c>
      <c r="J148" s="297"/>
      <c r="K148" s="298" t="s">
        <v>22</v>
      </c>
      <c r="L148" s="299">
        <v>3973475.4</v>
      </c>
    </row>
    <row r="149" spans="1:12" ht="61.2" hidden="1" x14ac:dyDescent="0.3">
      <c r="A149" s="293" t="s">
        <v>64</v>
      </c>
      <c r="B149" s="294" t="s">
        <v>880</v>
      </c>
      <c r="C149" s="294" t="s">
        <v>884</v>
      </c>
      <c r="D149" s="294" t="s">
        <v>752</v>
      </c>
      <c r="E149" s="295" t="s">
        <v>27</v>
      </c>
      <c r="F149" s="296">
        <v>89895</v>
      </c>
      <c r="G149" s="296"/>
      <c r="H149" s="295" t="s">
        <v>28</v>
      </c>
      <c r="I149" s="297" t="s">
        <v>29</v>
      </c>
      <c r="J149" s="297"/>
      <c r="K149" s="298" t="s">
        <v>22</v>
      </c>
      <c r="L149" s="299">
        <v>4063370.4</v>
      </c>
    </row>
    <row r="150" spans="1:12" ht="51" hidden="1" x14ac:dyDescent="0.3">
      <c r="A150" s="293" t="s">
        <v>64</v>
      </c>
      <c r="B150" s="294" t="s">
        <v>885</v>
      </c>
      <c r="C150" s="294" t="s">
        <v>881</v>
      </c>
      <c r="D150" s="294" t="s">
        <v>752</v>
      </c>
      <c r="E150" s="295" t="s">
        <v>27</v>
      </c>
      <c r="F150" s="300">
        <v>472.19</v>
      </c>
      <c r="G150" s="300"/>
      <c r="H150" s="295" t="s">
        <v>28</v>
      </c>
      <c r="I150" s="297" t="s">
        <v>29</v>
      </c>
      <c r="J150" s="297"/>
      <c r="K150" s="298" t="s">
        <v>22</v>
      </c>
      <c r="L150" s="299">
        <v>4063842.59</v>
      </c>
    </row>
    <row r="151" spans="1:12" ht="51" hidden="1" x14ac:dyDescent="0.3">
      <c r="A151" s="293" t="s">
        <v>64</v>
      </c>
      <c r="B151" s="294" t="s">
        <v>885</v>
      </c>
      <c r="C151" s="294" t="s">
        <v>882</v>
      </c>
      <c r="D151" s="294" t="s">
        <v>752</v>
      </c>
      <c r="E151" s="295" t="s">
        <v>27</v>
      </c>
      <c r="F151" s="300">
        <v>479.49</v>
      </c>
      <c r="G151" s="300"/>
      <c r="H151" s="295" t="s">
        <v>28</v>
      </c>
      <c r="I151" s="297" t="s">
        <v>29</v>
      </c>
      <c r="J151" s="297"/>
      <c r="K151" s="298" t="s">
        <v>22</v>
      </c>
      <c r="L151" s="299">
        <v>4064322.08</v>
      </c>
    </row>
    <row r="152" spans="1:12" ht="51" hidden="1" x14ac:dyDescent="0.3">
      <c r="A152" s="293" t="s">
        <v>64</v>
      </c>
      <c r="B152" s="294" t="s">
        <v>885</v>
      </c>
      <c r="C152" s="294" t="s">
        <v>883</v>
      </c>
      <c r="D152" s="294" t="s">
        <v>752</v>
      </c>
      <c r="E152" s="295" t="s">
        <v>27</v>
      </c>
      <c r="F152" s="296">
        <v>2393.39</v>
      </c>
      <c r="G152" s="296"/>
      <c r="H152" s="295" t="s">
        <v>28</v>
      </c>
      <c r="I152" s="297" t="s">
        <v>29</v>
      </c>
      <c r="J152" s="297"/>
      <c r="K152" s="298" t="s">
        <v>22</v>
      </c>
      <c r="L152" s="299">
        <v>4066715.47</v>
      </c>
    </row>
    <row r="153" spans="1:12" ht="61.2" hidden="1" x14ac:dyDescent="0.3">
      <c r="A153" s="293" t="s">
        <v>64</v>
      </c>
      <c r="B153" s="294" t="s">
        <v>885</v>
      </c>
      <c r="C153" s="294" t="s">
        <v>884</v>
      </c>
      <c r="D153" s="294" t="s">
        <v>752</v>
      </c>
      <c r="E153" s="295" t="s">
        <v>27</v>
      </c>
      <c r="F153" s="296">
        <v>2287.65</v>
      </c>
      <c r="G153" s="296"/>
      <c r="H153" s="295" t="s">
        <v>28</v>
      </c>
      <c r="I153" s="297" t="s">
        <v>29</v>
      </c>
      <c r="J153" s="297"/>
      <c r="K153" s="298" t="s">
        <v>22</v>
      </c>
      <c r="L153" s="299">
        <v>4069003.12</v>
      </c>
    </row>
    <row r="154" spans="1:12" ht="51" hidden="1" x14ac:dyDescent="0.3">
      <c r="A154" s="293" t="s">
        <v>156</v>
      </c>
      <c r="B154" s="294" t="s">
        <v>886</v>
      </c>
      <c r="C154" s="294" t="s">
        <v>887</v>
      </c>
      <c r="D154" s="294" t="s">
        <v>752</v>
      </c>
      <c r="E154" s="295" t="s">
        <v>27</v>
      </c>
      <c r="F154" s="300">
        <v>996</v>
      </c>
      <c r="G154" s="300"/>
      <c r="H154" s="295" t="s">
        <v>28</v>
      </c>
      <c r="I154" s="297" t="s">
        <v>29</v>
      </c>
      <c r="J154" s="297"/>
      <c r="K154" s="298" t="s">
        <v>22</v>
      </c>
      <c r="L154" s="299">
        <v>4069999.12</v>
      </c>
    </row>
    <row r="155" spans="1:12" ht="51" hidden="1" x14ac:dyDescent="0.3">
      <c r="A155" s="293" t="s">
        <v>156</v>
      </c>
      <c r="B155" s="294" t="s">
        <v>888</v>
      </c>
      <c r="C155" s="294" t="s">
        <v>889</v>
      </c>
      <c r="D155" s="294" t="s">
        <v>752</v>
      </c>
      <c r="E155" s="295" t="s">
        <v>27</v>
      </c>
      <c r="F155" s="296">
        <v>60486</v>
      </c>
      <c r="G155" s="296"/>
      <c r="H155" s="295" t="s">
        <v>28</v>
      </c>
      <c r="I155" s="297" t="s">
        <v>29</v>
      </c>
      <c r="J155" s="297"/>
      <c r="K155" s="298" t="s">
        <v>22</v>
      </c>
      <c r="L155" s="299">
        <v>4130485.12</v>
      </c>
    </row>
    <row r="156" spans="1:12" ht="51" hidden="1" x14ac:dyDescent="0.3">
      <c r="A156" s="293" t="s">
        <v>156</v>
      </c>
      <c r="B156" s="294" t="s">
        <v>888</v>
      </c>
      <c r="C156" s="294" t="s">
        <v>890</v>
      </c>
      <c r="D156" s="294" t="s">
        <v>752</v>
      </c>
      <c r="E156" s="295" t="s">
        <v>27</v>
      </c>
      <c r="F156" s="296">
        <v>94050</v>
      </c>
      <c r="G156" s="296"/>
      <c r="H156" s="295" t="s">
        <v>28</v>
      </c>
      <c r="I156" s="297" t="s">
        <v>29</v>
      </c>
      <c r="J156" s="297"/>
      <c r="K156" s="298" t="s">
        <v>22</v>
      </c>
      <c r="L156" s="299">
        <v>4224535.12</v>
      </c>
    </row>
    <row r="157" spans="1:12" ht="61.2" hidden="1" x14ac:dyDescent="0.3">
      <c r="A157" s="293" t="s">
        <v>156</v>
      </c>
      <c r="B157" s="294" t="s">
        <v>888</v>
      </c>
      <c r="C157" s="294" t="s">
        <v>891</v>
      </c>
      <c r="D157" s="294" t="s">
        <v>752</v>
      </c>
      <c r="E157" s="295" t="s">
        <v>27</v>
      </c>
      <c r="F157" s="296">
        <v>89895</v>
      </c>
      <c r="G157" s="296"/>
      <c r="H157" s="295" t="s">
        <v>28</v>
      </c>
      <c r="I157" s="297" t="s">
        <v>29</v>
      </c>
      <c r="J157" s="297"/>
      <c r="K157" s="298" t="s">
        <v>22</v>
      </c>
      <c r="L157" s="299">
        <v>4314430.12</v>
      </c>
    </row>
    <row r="158" spans="1:12" ht="51" hidden="1" x14ac:dyDescent="0.3">
      <c r="A158" s="293" t="s">
        <v>156</v>
      </c>
      <c r="B158" s="294" t="s">
        <v>892</v>
      </c>
      <c r="C158" s="294" t="s">
        <v>893</v>
      </c>
      <c r="D158" s="294" t="s">
        <v>752</v>
      </c>
      <c r="E158" s="295" t="s">
        <v>27</v>
      </c>
      <c r="F158" s="296">
        <v>60486</v>
      </c>
      <c r="G158" s="296"/>
      <c r="H158" s="295" t="s">
        <v>28</v>
      </c>
      <c r="I158" s="297" t="s">
        <v>29</v>
      </c>
      <c r="J158" s="297"/>
      <c r="K158" s="298" t="s">
        <v>22</v>
      </c>
      <c r="L158" s="299">
        <v>4374916.12</v>
      </c>
    </row>
    <row r="159" spans="1:12" ht="51" hidden="1" x14ac:dyDescent="0.3">
      <c r="A159" s="293" t="s">
        <v>156</v>
      </c>
      <c r="B159" s="294" t="s">
        <v>892</v>
      </c>
      <c r="C159" s="294" t="s">
        <v>894</v>
      </c>
      <c r="D159" s="294" t="s">
        <v>752</v>
      </c>
      <c r="E159" s="295" t="s">
        <v>27</v>
      </c>
      <c r="F159" s="296">
        <v>94050</v>
      </c>
      <c r="G159" s="296"/>
      <c r="H159" s="295" t="s">
        <v>28</v>
      </c>
      <c r="I159" s="297" t="s">
        <v>29</v>
      </c>
      <c r="J159" s="297"/>
      <c r="K159" s="298" t="s">
        <v>22</v>
      </c>
      <c r="L159" s="299">
        <v>4468966.12</v>
      </c>
    </row>
    <row r="160" spans="1:12" ht="61.2" hidden="1" x14ac:dyDescent="0.3">
      <c r="A160" s="293" t="s">
        <v>156</v>
      </c>
      <c r="B160" s="294" t="s">
        <v>892</v>
      </c>
      <c r="C160" s="294" t="s">
        <v>895</v>
      </c>
      <c r="D160" s="294" t="s">
        <v>752</v>
      </c>
      <c r="E160" s="295" t="s">
        <v>27</v>
      </c>
      <c r="F160" s="296">
        <v>89895</v>
      </c>
      <c r="G160" s="296"/>
      <c r="H160" s="295" t="s">
        <v>28</v>
      </c>
      <c r="I160" s="297" t="s">
        <v>29</v>
      </c>
      <c r="J160" s="297"/>
      <c r="K160" s="298" t="s">
        <v>22</v>
      </c>
      <c r="L160" s="299">
        <v>4558861.12</v>
      </c>
    </row>
    <row r="161" spans="1:12" ht="51" hidden="1" x14ac:dyDescent="0.3">
      <c r="A161" s="293" t="s">
        <v>156</v>
      </c>
      <c r="B161" s="294" t="s">
        <v>896</v>
      </c>
      <c r="C161" s="294" t="s">
        <v>887</v>
      </c>
      <c r="D161" s="294" t="s">
        <v>752</v>
      </c>
      <c r="E161" s="295" t="s">
        <v>27</v>
      </c>
      <c r="F161" s="300">
        <v>22.65</v>
      </c>
      <c r="G161" s="300"/>
      <c r="H161" s="295" t="s">
        <v>28</v>
      </c>
      <c r="I161" s="297" t="s">
        <v>29</v>
      </c>
      <c r="J161" s="297"/>
      <c r="K161" s="298" t="s">
        <v>22</v>
      </c>
      <c r="L161" s="299">
        <v>4558883.7699999996</v>
      </c>
    </row>
    <row r="162" spans="1:12" ht="51" hidden="1" x14ac:dyDescent="0.3">
      <c r="A162" s="293" t="s">
        <v>156</v>
      </c>
      <c r="B162" s="294" t="s">
        <v>897</v>
      </c>
      <c r="C162" s="294" t="s">
        <v>889</v>
      </c>
      <c r="D162" s="294" t="s">
        <v>752</v>
      </c>
      <c r="E162" s="295" t="s">
        <v>27</v>
      </c>
      <c r="F162" s="296">
        <v>1375.63</v>
      </c>
      <c r="G162" s="296"/>
      <c r="H162" s="295" t="s">
        <v>28</v>
      </c>
      <c r="I162" s="297" t="s">
        <v>29</v>
      </c>
      <c r="J162" s="297"/>
      <c r="K162" s="298" t="s">
        <v>22</v>
      </c>
      <c r="L162" s="299">
        <v>4560259.4000000004</v>
      </c>
    </row>
    <row r="163" spans="1:12" ht="51" hidden="1" x14ac:dyDescent="0.3">
      <c r="A163" s="293" t="s">
        <v>156</v>
      </c>
      <c r="B163" s="294" t="s">
        <v>897</v>
      </c>
      <c r="C163" s="294" t="s">
        <v>890</v>
      </c>
      <c r="D163" s="294" t="s">
        <v>752</v>
      </c>
      <c r="E163" s="295" t="s">
        <v>27</v>
      </c>
      <c r="F163" s="296">
        <v>2138.98</v>
      </c>
      <c r="G163" s="296"/>
      <c r="H163" s="295" t="s">
        <v>28</v>
      </c>
      <c r="I163" s="297" t="s">
        <v>29</v>
      </c>
      <c r="J163" s="297"/>
      <c r="K163" s="298" t="s">
        <v>22</v>
      </c>
      <c r="L163" s="299">
        <v>4562398.38</v>
      </c>
    </row>
    <row r="164" spans="1:12" ht="61.2" hidden="1" x14ac:dyDescent="0.3">
      <c r="A164" s="293" t="s">
        <v>156</v>
      </c>
      <c r="B164" s="294" t="s">
        <v>897</v>
      </c>
      <c r="C164" s="294" t="s">
        <v>891</v>
      </c>
      <c r="D164" s="294" t="s">
        <v>752</v>
      </c>
      <c r="E164" s="295" t="s">
        <v>27</v>
      </c>
      <c r="F164" s="296">
        <v>2044.48</v>
      </c>
      <c r="G164" s="296"/>
      <c r="H164" s="295" t="s">
        <v>28</v>
      </c>
      <c r="I164" s="297" t="s">
        <v>29</v>
      </c>
      <c r="J164" s="297"/>
      <c r="K164" s="298" t="s">
        <v>22</v>
      </c>
      <c r="L164" s="299">
        <v>4564442.8600000003</v>
      </c>
    </row>
    <row r="165" spans="1:12" ht="51" hidden="1" x14ac:dyDescent="0.3">
      <c r="A165" s="293" t="s">
        <v>156</v>
      </c>
      <c r="B165" s="294" t="s">
        <v>898</v>
      </c>
      <c r="C165" s="294" t="s">
        <v>893</v>
      </c>
      <c r="D165" s="294" t="s">
        <v>752</v>
      </c>
      <c r="E165" s="295" t="s">
        <v>27</v>
      </c>
      <c r="F165" s="296">
        <v>1375.63</v>
      </c>
      <c r="G165" s="296"/>
      <c r="H165" s="295" t="s">
        <v>28</v>
      </c>
      <c r="I165" s="297" t="s">
        <v>29</v>
      </c>
      <c r="J165" s="297"/>
      <c r="K165" s="298" t="s">
        <v>22</v>
      </c>
      <c r="L165" s="299">
        <v>4565818.49</v>
      </c>
    </row>
    <row r="166" spans="1:12" ht="51" hidden="1" x14ac:dyDescent="0.3">
      <c r="A166" s="293" t="s">
        <v>156</v>
      </c>
      <c r="B166" s="294" t="s">
        <v>898</v>
      </c>
      <c r="C166" s="294" t="s">
        <v>894</v>
      </c>
      <c r="D166" s="294" t="s">
        <v>752</v>
      </c>
      <c r="E166" s="295" t="s">
        <v>27</v>
      </c>
      <c r="F166" s="296">
        <v>2138.98</v>
      </c>
      <c r="G166" s="296"/>
      <c r="H166" s="295" t="s">
        <v>28</v>
      </c>
      <c r="I166" s="297" t="s">
        <v>29</v>
      </c>
      <c r="J166" s="297"/>
      <c r="K166" s="298" t="s">
        <v>22</v>
      </c>
      <c r="L166" s="299">
        <v>4567957.47</v>
      </c>
    </row>
    <row r="167" spans="1:12" ht="61.2" hidden="1" x14ac:dyDescent="0.3">
      <c r="A167" s="293" t="s">
        <v>156</v>
      </c>
      <c r="B167" s="294" t="s">
        <v>898</v>
      </c>
      <c r="C167" s="294" t="s">
        <v>895</v>
      </c>
      <c r="D167" s="294" t="s">
        <v>752</v>
      </c>
      <c r="E167" s="295" t="s">
        <v>27</v>
      </c>
      <c r="F167" s="296">
        <v>2044.48</v>
      </c>
      <c r="G167" s="296"/>
      <c r="H167" s="295" t="s">
        <v>28</v>
      </c>
      <c r="I167" s="297" t="s">
        <v>29</v>
      </c>
      <c r="J167" s="297"/>
      <c r="K167" s="298" t="s">
        <v>22</v>
      </c>
      <c r="L167" s="299">
        <v>4570001.95</v>
      </c>
    </row>
    <row r="168" spans="1:12" ht="51" hidden="1" x14ac:dyDescent="0.3">
      <c r="A168" s="293" t="s">
        <v>156</v>
      </c>
      <c r="B168" s="294" t="s">
        <v>899</v>
      </c>
      <c r="C168" s="294" t="s">
        <v>900</v>
      </c>
      <c r="D168" s="294" t="s">
        <v>752</v>
      </c>
      <c r="E168" s="295" t="s">
        <v>27</v>
      </c>
      <c r="F168" s="296">
        <v>30243</v>
      </c>
      <c r="G168" s="296"/>
      <c r="H168" s="295" t="s">
        <v>28</v>
      </c>
      <c r="I168" s="297" t="s">
        <v>29</v>
      </c>
      <c r="J168" s="297"/>
      <c r="K168" s="298" t="s">
        <v>22</v>
      </c>
      <c r="L168" s="299">
        <v>4600244.95</v>
      </c>
    </row>
    <row r="169" spans="1:12" ht="51" hidden="1" x14ac:dyDescent="0.3">
      <c r="A169" s="293" t="s">
        <v>156</v>
      </c>
      <c r="B169" s="294" t="s">
        <v>899</v>
      </c>
      <c r="C169" s="294" t="s">
        <v>901</v>
      </c>
      <c r="D169" s="294" t="s">
        <v>752</v>
      </c>
      <c r="E169" s="295" t="s">
        <v>27</v>
      </c>
      <c r="F169" s="296">
        <v>188100</v>
      </c>
      <c r="G169" s="296"/>
      <c r="H169" s="295" t="s">
        <v>28</v>
      </c>
      <c r="I169" s="297" t="s">
        <v>29</v>
      </c>
      <c r="J169" s="297"/>
      <c r="K169" s="298" t="s">
        <v>22</v>
      </c>
      <c r="L169" s="299">
        <v>4788344.95</v>
      </c>
    </row>
    <row r="170" spans="1:12" ht="51" hidden="1" x14ac:dyDescent="0.3">
      <c r="A170" s="293" t="s">
        <v>156</v>
      </c>
      <c r="B170" s="294" t="s">
        <v>902</v>
      </c>
      <c r="C170" s="294" t="s">
        <v>900</v>
      </c>
      <c r="D170" s="294" t="s">
        <v>752</v>
      </c>
      <c r="E170" s="295" t="s">
        <v>27</v>
      </c>
      <c r="F170" s="300">
        <v>687.82</v>
      </c>
      <c r="G170" s="300"/>
      <c r="H170" s="295" t="s">
        <v>28</v>
      </c>
      <c r="I170" s="297" t="s">
        <v>29</v>
      </c>
      <c r="J170" s="297"/>
      <c r="K170" s="298" t="s">
        <v>22</v>
      </c>
      <c r="L170" s="299">
        <v>4789032.7699999996</v>
      </c>
    </row>
    <row r="171" spans="1:12" ht="51" hidden="1" x14ac:dyDescent="0.3">
      <c r="A171" s="293" t="s">
        <v>156</v>
      </c>
      <c r="B171" s="294" t="s">
        <v>902</v>
      </c>
      <c r="C171" s="294" t="s">
        <v>901</v>
      </c>
      <c r="D171" s="294" t="s">
        <v>752</v>
      </c>
      <c r="E171" s="295" t="s">
        <v>27</v>
      </c>
      <c r="F171" s="296">
        <v>4277.95</v>
      </c>
      <c r="G171" s="296"/>
      <c r="H171" s="295" t="s">
        <v>28</v>
      </c>
      <c r="I171" s="297" t="s">
        <v>29</v>
      </c>
      <c r="J171" s="297"/>
      <c r="K171" s="298" t="s">
        <v>22</v>
      </c>
      <c r="L171" s="299">
        <v>4793310.72</v>
      </c>
    </row>
    <row r="172" spans="1:12" ht="51" hidden="1" x14ac:dyDescent="0.3">
      <c r="A172" s="293" t="s">
        <v>735</v>
      </c>
      <c r="B172" s="294" t="s">
        <v>903</v>
      </c>
      <c r="C172" s="294" t="s">
        <v>904</v>
      </c>
      <c r="D172" s="294" t="s">
        <v>752</v>
      </c>
      <c r="E172" s="295" t="s">
        <v>27</v>
      </c>
      <c r="F172" s="296">
        <v>30243</v>
      </c>
      <c r="G172" s="296"/>
      <c r="H172" s="295" t="s">
        <v>28</v>
      </c>
      <c r="I172" s="297" t="s">
        <v>29</v>
      </c>
      <c r="J172" s="297"/>
      <c r="K172" s="298" t="s">
        <v>22</v>
      </c>
      <c r="L172" s="299">
        <v>4823553.72</v>
      </c>
    </row>
    <row r="173" spans="1:12" ht="51" hidden="1" x14ac:dyDescent="0.3">
      <c r="A173" s="293" t="s">
        <v>735</v>
      </c>
      <c r="B173" s="294" t="s">
        <v>903</v>
      </c>
      <c r="C173" s="294" t="s">
        <v>905</v>
      </c>
      <c r="D173" s="294" t="s">
        <v>752</v>
      </c>
      <c r="E173" s="295" t="s">
        <v>27</v>
      </c>
      <c r="F173" s="296">
        <v>94050</v>
      </c>
      <c r="G173" s="296"/>
      <c r="H173" s="295" t="s">
        <v>28</v>
      </c>
      <c r="I173" s="297" t="s">
        <v>29</v>
      </c>
      <c r="J173" s="297"/>
      <c r="K173" s="298" t="s">
        <v>22</v>
      </c>
      <c r="L173" s="299">
        <v>4917603.72</v>
      </c>
    </row>
    <row r="174" spans="1:12" ht="61.2" hidden="1" x14ac:dyDescent="0.3">
      <c r="A174" s="293" t="s">
        <v>735</v>
      </c>
      <c r="B174" s="294" t="s">
        <v>903</v>
      </c>
      <c r="C174" s="294" t="s">
        <v>906</v>
      </c>
      <c r="D174" s="294" t="s">
        <v>752</v>
      </c>
      <c r="E174" s="295" t="s">
        <v>27</v>
      </c>
      <c r="F174" s="296">
        <v>89895</v>
      </c>
      <c r="G174" s="296"/>
      <c r="H174" s="295" t="s">
        <v>28</v>
      </c>
      <c r="I174" s="297" t="s">
        <v>29</v>
      </c>
      <c r="J174" s="297"/>
      <c r="K174" s="298" t="s">
        <v>22</v>
      </c>
      <c r="L174" s="299">
        <v>5007498.72</v>
      </c>
    </row>
    <row r="175" spans="1:12" ht="51" hidden="1" x14ac:dyDescent="0.3">
      <c r="A175" s="293" t="s">
        <v>735</v>
      </c>
      <c r="B175" s="294" t="s">
        <v>903</v>
      </c>
      <c r="C175" s="294" t="s">
        <v>907</v>
      </c>
      <c r="D175" s="294" t="s">
        <v>752</v>
      </c>
      <c r="E175" s="295" t="s">
        <v>27</v>
      </c>
      <c r="F175" s="296">
        <v>39594</v>
      </c>
      <c r="G175" s="296"/>
      <c r="H175" s="295" t="s">
        <v>28</v>
      </c>
      <c r="I175" s="297" t="s">
        <v>29</v>
      </c>
      <c r="J175" s="297"/>
      <c r="K175" s="298" t="s">
        <v>22</v>
      </c>
      <c r="L175" s="299">
        <v>5047092.72</v>
      </c>
    </row>
    <row r="176" spans="1:12" ht="51" hidden="1" x14ac:dyDescent="0.3">
      <c r="A176" s="293" t="s">
        <v>735</v>
      </c>
      <c r="B176" s="294" t="s">
        <v>908</v>
      </c>
      <c r="C176" s="294" t="s">
        <v>909</v>
      </c>
      <c r="D176" s="294" t="s">
        <v>752</v>
      </c>
      <c r="E176" s="295" t="s">
        <v>27</v>
      </c>
      <c r="F176" s="296">
        <v>1494</v>
      </c>
      <c r="G176" s="296"/>
      <c r="H176" s="295" t="s">
        <v>28</v>
      </c>
      <c r="I176" s="297" t="s">
        <v>29</v>
      </c>
      <c r="J176" s="297"/>
      <c r="K176" s="298" t="s">
        <v>22</v>
      </c>
      <c r="L176" s="299">
        <v>5048586.72</v>
      </c>
    </row>
    <row r="177" spans="1:12" ht="51" hidden="1" x14ac:dyDescent="0.3">
      <c r="A177" s="293" t="s">
        <v>735</v>
      </c>
      <c r="B177" s="294" t="s">
        <v>910</v>
      </c>
      <c r="C177" s="294" t="s">
        <v>904</v>
      </c>
      <c r="D177" s="294" t="s">
        <v>752</v>
      </c>
      <c r="E177" s="295" t="s">
        <v>27</v>
      </c>
      <c r="F177" s="300">
        <v>687.82</v>
      </c>
      <c r="G177" s="300"/>
      <c r="H177" s="295" t="s">
        <v>28</v>
      </c>
      <c r="I177" s="297" t="s">
        <v>29</v>
      </c>
      <c r="J177" s="297"/>
      <c r="K177" s="298" t="s">
        <v>22</v>
      </c>
      <c r="L177" s="299">
        <v>5049274.54</v>
      </c>
    </row>
    <row r="178" spans="1:12" ht="51" hidden="1" x14ac:dyDescent="0.3">
      <c r="A178" s="293" t="s">
        <v>735</v>
      </c>
      <c r="B178" s="294" t="s">
        <v>910</v>
      </c>
      <c r="C178" s="294" t="s">
        <v>905</v>
      </c>
      <c r="D178" s="294" t="s">
        <v>752</v>
      </c>
      <c r="E178" s="295" t="s">
        <v>27</v>
      </c>
      <c r="F178" s="296">
        <v>2138.98</v>
      </c>
      <c r="G178" s="296"/>
      <c r="H178" s="295" t="s">
        <v>28</v>
      </c>
      <c r="I178" s="297" t="s">
        <v>29</v>
      </c>
      <c r="J178" s="297"/>
      <c r="K178" s="298" t="s">
        <v>22</v>
      </c>
      <c r="L178" s="299">
        <v>5051413.5199999996</v>
      </c>
    </row>
    <row r="179" spans="1:12" ht="61.2" hidden="1" x14ac:dyDescent="0.3">
      <c r="A179" s="293" t="s">
        <v>735</v>
      </c>
      <c r="B179" s="294" t="s">
        <v>910</v>
      </c>
      <c r="C179" s="294" t="s">
        <v>906</v>
      </c>
      <c r="D179" s="294" t="s">
        <v>752</v>
      </c>
      <c r="E179" s="295" t="s">
        <v>27</v>
      </c>
      <c r="F179" s="296">
        <v>2044.48</v>
      </c>
      <c r="G179" s="296"/>
      <c r="H179" s="295" t="s">
        <v>28</v>
      </c>
      <c r="I179" s="297" t="s">
        <v>29</v>
      </c>
      <c r="J179" s="297"/>
      <c r="K179" s="298" t="s">
        <v>22</v>
      </c>
      <c r="L179" s="299">
        <v>5053458</v>
      </c>
    </row>
    <row r="180" spans="1:12" ht="51" hidden="1" x14ac:dyDescent="0.3">
      <c r="A180" s="293" t="s">
        <v>735</v>
      </c>
      <c r="B180" s="294" t="s">
        <v>910</v>
      </c>
      <c r="C180" s="294" t="s">
        <v>907</v>
      </c>
      <c r="D180" s="294" t="s">
        <v>752</v>
      </c>
      <c r="E180" s="295" t="s">
        <v>27</v>
      </c>
      <c r="F180" s="300">
        <v>900.48</v>
      </c>
      <c r="G180" s="300"/>
      <c r="H180" s="295" t="s">
        <v>28</v>
      </c>
      <c r="I180" s="297" t="s">
        <v>29</v>
      </c>
      <c r="J180" s="297"/>
      <c r="K180" s="298" t="s">
        <v>22</v>
      </c>
      <c r="L180" s="299">
        <v>5054358.4800000004</v>
      </c>
    </row>
    <row r="181" spans="1:12" ht="51" hidden="1" x14ac:dyDescent="0.3">
      <c r="A181" s="293" t="s">
        <v>735</v>
      </c>
      <c r="B181" s="294" t="s">
        <v>911</v>
      </c>
      <c r="C181" s="294" t="s">
        <v>909</v>
      </c>
      <c r="D181" s="294" t="s">
        <v>752</v>
      </c>
      <c r="E181" s="295" t="s">
        <v>27</v>
      </c>
      <c r="F181" s="300">
        <v>33.97</v>
      </c>
      <c r="G181" s="300"/>
      <c r="H181" s="295" t="s">
        <v>28</v>
      </c>
      <c r="I181" s="297" t="s">
        <v>29</v>
      </c>
      <c r="J181" s="297"/>
      <c r="K181" s="298" t="s">
        <v>22</v>
      </c>
      <c r="L181" s="299">
        <v>5054392.45</v>
      </c>
    </row>
    <row r="182" spans="1:12" ht="51" x14ac:dyDescent="0.3">
      <c r="A182" s="293" t="s">
        <v>81</v>
      </c>
      <c r="B182" s="294" t="s">
        <v>912</v>
      </c>
      <c r="C182" s="294" t="s">
        <v>174</v>
      </c>
      <c r="D182" s="294" t="s">
        <v>766</v>
      </c>
      <c r="E182" s="295" t="s">
        <v>175</v>
      </c>
      <c r="F182" s="301" t="s">
        <v>29</v>
      </c>
      <c r="G182" s="301"/>
      <c r="H182" s="295" t="s">
        <v>27</v>
      </c>
      <c r="I182" s="302">
        <v>13124.3</v>
      </c>
      <c r="J182" s="302"/>
      <c r="K182" s="298" t="s">
        <v>22</v>
      </c>
      <c r="L182" s="299">
        <v>5041268.1500000004</v>
      </c>
    </row>
    <row r="183" spans="1:12" ht="51" x14ac:dyDescent="0.3">
      <c r="A183" s="293" t="s">
        <v>81</v>
      </c>
      <c r="B183" s="294" t="s">
        <v>912</v>
      </c>
      <c r="C183" s="294" t="s">
        <v>174</v>
      </c>
      <c r="D183" s="294" t="s">
        <v>772</v>
      </c>
      <c r="E183" s="295" t="s">
        <v>175</v>
      </c>
      <c r="F183" s="301" t="s">
        <v>29</v>
      </c>
      <c r="G183" s="301"/>
      <c r="H183" s="295" t="s">
        <v>27</v>
      </c>
      <c r="I183" s="302">
        <v>76818.03</v>
      </c>
      <c r="J183" s="302"/>
      <c r="K183" s="298" t="s">
        <v>22</v>
      </c>
      <c r="L183" s="299">
        <v>4964450.12</v>
      </c>
    </row>
    <row r="184" spans="1:12" ht="51" x14ac:dyDescent="0.3">
      <c r="A184" s="293" t="s">
        <v>81</v>
      </c>
      <c r="B184" s="294" t="s">
        <v>912</v>
      </c>
      <c r="C184" s="294" t="s">
        <v>174</v>
      </c>
      <c r="D184" s="294" t="s">
        <v>761</v>
      </c>
      <c r="E184" s="295" t="s">
        <v>175</v>
      </c>
      <c r="F184" s="301" t="s">
        <v>29</v>
      </c>
      <c r="G184" s="301"/>
      <c r="H184" s="295" t="s">
        <v>27</v>
      </c>
      <c r="I184" s="302">
        <v>74777.83</v>
      </c>
      <c r="J184" s="302"/>
      <c r="K184" s="298" t="s">
        <v>22</v>
      </c>
      <c r="L184" s="299">
        <v>4889672.29</v>
      </c>
    </row>
    <row r="185" spans="1:12" ht="51" x14ac:dyDescent="0.3">
      <c r="A185" s="293" t="s">
        <v>81</v>
      </c>
      <c r="B185" s="294" t="s">
        <v>912</v>
      </c>
      <c r="C185" s="294" t="s">
        <v>174</v>
      </c>
      <c r="D185" s="294" t="s">
        <v>762</v>
      </c>
      <c r="E185" s="295" t="s">
        <v>175</v>
      </c>
      <c r="F185" s="301" t="s">
        <v>29</v>
      </c>
      <c r="G185" s="301"/>
      <c r="H185" s="295" t="s">
        <v>27</v>
      </c>
      <c r="I185" s="302">
        <v>72291.990000000005</v>
      </c>
      <c r="J185" s="302"/>
      <c r="K185" s="298" t="s">
        <v>22</v>
      </c>
      <c r="L185" s="299">
        <v>4817380.3</v>
      </c>
    </row>
    <row r="186" spans="1:12" ht="51" x14ac:dyDescent="0.3">
      <c r="A186" s="293" t="s">
        <v>81</v>
      </c>
      <c r="B186" s="294" t="s">
        <v>912</v>
      </c>
      <c r="C186" s="294" t="s">
        <v>174</v>
      </c>
      <c r="D186" s="294" t="s">
        <v>773</v>
      </c>
      <c r="E186" s="295" t="s">
        <v>175</v>
      </c>
      <c r="F186" s="301" t="s">
        <v>29</v>
      </c>
      <c r="G186" s="301"/>
      <c r="H186" s="295" t="s">
        <v>27</v>
      </c>
      <c r="I186" s="302">
        <v>74140.02</v>
      </c>
      <c r="J186" s="302"/>
      <c r="K186" s="298" t="s">
        <v>22</v>
      </c>
      <c r="L186" s="299">
        <v>4743240.28</v>
      </c>
    </row>
    <row r="187" spans="1:12" ht="51" x14ac:dyDescent="0.3">
      <c r="A187" s="293" t="s">
        <v>81</v>
      </c>
      <c r="B187" s="294" t="s">
        <v>912</v>
      </c>
      <c r="C187" s="294" t="s">
        <v>174</v>
      </c>
      <c r="D187" s="294" t="s">
        <v>774</v>
      </c>
      <c r="E187" s="295" t="s">
        <v>175</v>
      </c>
      <c r="F187" s="301" t="s">
        <v>29</v>
      </c>
      <c r="G187" s="301"/>
      <c r="H187" s="295" t="s">
        <v>27</v>
      </c>
      <c r="I187" s="302">
        <v>76753.64</v>
      </c>
      <c r="J187" s="302"/>
      <c r="K187" s="298" t="s">
        <v>22</v>
      </c>
      <c r="L187" s="299">
        <v>4666486.6399999997</v>
      </c>
    </row>
    <row r="188" spans="1:12" ht="51" x14ac:dyDescent="0.3">
      <c r="A188" s="293" t="s">
        <v>81</v>
      </c>
      <c r="B188" s="294" t="s">
        <v>912</v>
      </c>
      <c r="C188" s="294" t="s">
        <v>174</v>
      </c>
      <c r="D188" s="294" t="s">
        <v>763</v>
      </c>
      <c r="E188" s="295" t="s">
        <v>175</v>
      </c>
      <c r="F188" s="301" t="s">
        <v>29</v>
      </c>
      <c r="G188" s="301"/>
      <c r="H188" s="295" t="s">
        <v>27</v>
      </c>
      <c r="I188" s="302">
        <v>74777.84</v>
      </c>
      <c r="J188" s="302"/>
      <c r="K188" s="298" t="s">
        <v>22</v>
      </c>
      <c r="L188" s="299">
        <v>4591708.8</v>
      </c>
    </row>
    <row r="189" spans="1:12" ht="51" x14ac:dyDescent="0.3">
      <c r="A189" s="293" t="s">
        <v>81</v>
      </c>
      <c r="B189" s="294" t="s">
        <v>912</v>
      </c>
      <c r="C189" s="294" t="s">
        <v>174</v>
      </c>
      <c r="D189" s="294" t="s">
        <v>764</v>
      </c>
      <c r="E189" s="295" t="s">
        <v>175</v>
      </c>
      <c r="F189" s="301" t="s">
        <v>29</v>
      </c>
      <c r="G189" s="301"/>
      <c r="H189" s="295" t="s">
        <v>27</v>
      </c>
      <c r="I189" s="302">
        <v>72291.990000000005</v>
      </c>
      <c r="J189" s="302"/>
      <c r="K189" s="298" t="s">
        <v>22</v>
      </c>
      <c r="L189" s="299">
        <v>4519416.8099999996</v>
      </c>
    </row>
    <row r="190" spans="1:12" ht="51" x14ac:dyDescent="0.3">
      <c r="A190" s="293" t="s">
        <v>81</v>
      </c>
      <c r="B190" s="294" t="s">
        <v>912</v>
      </c>
      <c r="C190" s="294" t="s">
        <v>174</v>
      </c>
      <c r="D190" s="294" t="s">
        <v>775</v>
      </c>
      <c r="E190" s="295" t="s">
        <v>175</v>
      </c>
      <c r="F190" s="301" t="s">
        <v>29</v>
      </c>
      <c r="G190" s="301"/>
      <c r="H190" s="295" t="s">
        <v>27</v>
      </c>
      <c r="I190" s="302">
        <v>75479.03</v>
      </c>
      <c r="J190" s="302"/>
      <c r="K190" s="298" t="s">
        <v>22</v>
      </c>
      <c r="L190" s="299">
        <v>4443937.78</v>
      </c>
    </row>
    <row r="191" spans="1:12" ht="51" x14ac:dyDescent="0.3">
      <c r="A191" s="293" t="s">
        <v>81</v>
      </c>
      <c r="B191" s="294" t="s">
        <v>912</v>
      </c>
      <c r="C191" s="294" t="s">
        <v>174</v>
      </c>
      <c r="D191" s="294" t="s">
        <v>754</v>
      </c>
      <c r="E191" s="295" t="s">
        <v>175</v>
      </c>
      <c r="F191" s="301" t="s">
        <v>29</v>
      </c>
      <c r="G191" s="301"/>
      <c r="H191" s="295" t="s">
        <v>27</v>
      </c>
      <c r="I191" s="302">
        <v>29084.02</v>
      </c>
      <c r="J191" s="302"/>
      <c r="K191" s="298" t="s">
        <v>22</v>
      </c>
      <c r="L191" s="299">
        <v>4414853.76</v>
      </c>
    </row>
    <row r="192" spans="1:12" ht="51" x14ac:dyDescent="0.3">
      <c r="A192" s="293" t="s">
        <v>81</v>
      </c>
      <c r="B192" s="294" t="s">
        <v>912</v>
      </c>
      <c r="C192" s="294" t="s">
        <v>174</v>
      </c>
      <c r="D192" s="294" t="s">
        <v>751</v>
      </c>
      <c r="E192" s="295" t="s">
        <v>175</v>
      </c>
      <c r="F192" s="301" t="s">
        <v>29</v>
      </c>
      <c r="G192" s="301"/>
      <c r="H192" s="295" t="s">
        <v>27</v>
      </c>
      <c r="I192" s="302">
        <v>61825.26</v>
      </c>
      <c r="J192" s="302"/>
      <c r="K192" s="298" t="s">
        <v>22</v>
      </c>
      <c r="L192" s="299">
        <v>4353028.5</v>
      </c>
    </row>
    <row r="193" spans="1:12" ht="51" x14ac:dyDescent="0.3">
      <c r="A193" s="293" t="s">
        <v>81</v>
      </c>
      <c r="B193" s="294" t="s">
        <v>912</v>
      </c>
      <c r="C193" s="294" t="s">
        <v>174</v>
      </c>
      <c r="D193" s="294" t="s">
        <v>756</v>
      </c>
      <c r="E193" s="295" t="s">
        <v>175</v>
      </c>
      <c r="F193" s="301" t="s">
        <v>29</v>
      </c>
      <c r="G193" s="301"/>
      <c r="H193" s="295" t="s">
        <v>27</v>
      </c>
      <c r="I193" s="302">
        <v>30912.63</v>
      </c>
      <c r="J193" s="302"/>
      <c r="K193" s="298" t="s">
        <v>22</v>
      </c>
      <c r="L193" s="299">
        <v>4322115.87</v>
      </c>
    </row>
    <row r="194" spans="1:12" ht="51" x14ac:dyDescent="0.3">
      <c r="A194" s="293" t="s">
        <v>81</v>
      </c>
      <c r="B194" s="294" t="s">
        <v>912</v>
      </c>
      <c r="C194" s="294" t="s">
        <v>174</v>
      </c>
      <c r="D194" s="294" t="s">
        <v>756</v>
      </c>
      <c r="E194" s="295" t="s">
        <v>175</v>
      </c>
      <c r="F194" s="301" t="s">
        <v>29</v>
      </c>
      <c r="G194" s="301"/>
      <c r="H194" s="295" t="s">
        <v>27</v>
      </c>
      <c r="I194" s="302">
        <v>61825.26</v>
      </c>
      <c r="J194" s="302"/>
      <c r="K194" s="298" t="s">
        <v>22</v>
      </c>
      <c r="L194" s="299">
        <v>4260290.6100000003</v>
      </c>
    </row>
    <row r="195" spans="1:12" ht="51" x14ac:dyDescent="0.3">
      <c r="A195" s="293" t="s">
        <v>81</v>
      </c>
      <c r="B195" s="294" t="s">
        <v>912</v>
      </c>
      <c r="C195" s="294" t="s">
        <v>174</v>
      </c>
      <c r="D195" s="294" t="s">
        <v>753</v>
      </c>
      <c r="E195" s="295" t="s">
        <v>175</v>
      </c>
      <c r="F195" s="301" t="s">
        <v>29</v>
      </c>
      <c r="G195" s="301"/>
      <c r="H195" s="295" t="s">
        <v>27</v>
      </c>
      <c r="I195" s="302">
        <v>96132.42</v>
      </c>
      <c r="J195" s="302"/>
      <c r="K195" s="298" t="s">
        <v>22</v>
      </c>
      <c r="L195" s="299">
        <v>4164158.19</v>
      </c>
    </row>
    <row r="196" spans="1:12" ht="51" x14ac:dyDescent="0.3">
      <c r="A196" s="293" t="s">
        <v>81</v>
      </c>
      <c r="B196" s="294" t="s">
        <v>912</v>
      </c>
      <c r="C196" s="294" t="s">
        <v>174</v>
      </c>
      <c r="D196" s="294" t="s">
        <v>757</v>
      </c>
      <c r="E196" s="295" t="s">
        <v>175</v>
      </c>
      <c r="F196" s="301" t="s">
        <v>29</v>
      </c>
      <c r="G196" s="301"/>
      <c r="H196" s="295" t="s">
        <v>27</v>
      </c>
      <c r="I196" s="302">
        <v>96132.42</v>
      </c>
      <c r="J196" s="302"/>
      <c r="K196" s="298" t="s">
        <v>22</v>
      </c>
      <c r="L196" s="299">
        <v>4068025.77</v>
      </c>
    </row>
    <row r="197" spans="1:12" ht="51" hidden="1" x14ac:dyDescent="0.3">
      <c r="A197" s="293" t="s">
        <v>81</v>
      </c>
      <c r="B197" s="294" t="s">
        <v>913</v>
      </c>
      <c r="C197" s="294" t="s">
        <v>914</v>
      </c>
      <c r="D197" s="294" t="s">
        <v>752</v>
      </c>
      <c r="E197" s="295" t="s">
        <v>27</v>
      </c>
      <c r="F197" s="296">
        <v>188100</v>
      </c>
      <c r="G197" s="296"/>
      <c r="H197" s="295" t="s">
        <v>28</v>
      </c>
      <c r="I197" s="297" t="s">
        <v>29</v>
      </c>
      <c r="J197" s="297"/>
      <c r="K197" s="298" t="s">
        <v>22</v>
      </c>
      <c r="L197" s="299">
        <v>4256125.7699999996</v>
      </c>
    </row>
    <row r="198" spans="1:12" ht="51" hidden="1" x14ac:dyDescent="0.3">
      <c r="A198" s="293" t="s">
        <v>81</v>
      </c>
      <c r="B198" s="294" t="s">
        <v>913</v>
      </c>
      <c r="C198" s="294" t="s">
        <v>915</v>
      </c>
      <c r="D198" s="294" t="s">
        <v>752</v>
      </c>
      <c r="E198" s="295" t="s">
        <v>27</v>
      </c>
      <c r="F198" s="296">
        <v>39594</v>
      </c>
      <c r="G198" s="296"/>
      <c r="H198" s="295" t="s">
        <v>28</v>
      </c>
      <c r="I198" s="297" t="s">
        <v>29</v>
      </c>
      <c r="J198" s="297"/>
      <c r="K198" s="298" t="s">
        <v>22</v>
      </c>
      <c r="L198" s="299">
        <v>4295719.7699999996</v>
      </c>
    </row>
    <row r="199" spans="1:12" ht="51" hidden="1" x14ac:dyDescent="0.3">
      <c r="A199" s="293" t="s">
        <v>81</v>
      </c>
      <c r="B199" s="294" t="s">
        <v>916</v>
      </c>
      <c r="C199" s="294" t="s">
        <v>914</v>
      </c>
      <c r="D199" s="294" t="s">
        <v>752</v>
      </c>
      <c r="E199" s="295" t="s">
        <v>27</v>
      </c>
      <c r="F199" s="296">
        <v>4277.96</v>
      </c>
      <c r="G199" s="296"/>
      <c r="H199" s="295" t="s">
        <v>28</v>
      </c>
      <c r="I199" s="297" t="s">
        <v>29</v>
      </c>
      <c r="J199" s="297"/>
      <c r="K199" s="298" t="s">
        <v>22</v>
      </c>
      <c r="L199" s="299">
        <v>4299997.7300000004</v>
      </c>
    </row>
    <row r="200" spans="1:12" ht="51" hidden="1" x14ac:dyDescent="0.3">
      <c r="A200" s="293" t="s">
        <v>81</v>
      </c>
      <c r="B200" s="294" t="s">
        <v>916</v>
      </c>
      <c r="C200" s="294" t="s">
        <v>915</v>
      </c>
      <c r="D200" s="294" t="s">
        <v>752</v>
      </c>
      <c r="E200" s="295" t="s">
        <v>27</v>
      </c>
      <c r="F200" s="300">
        <v>900.48</v>
      </c>
      <c r="G200" s="300"/>
      <c r="H200" s="295" t="s">
        <v>28</v>
      </c>
      <c r="I200" s="297" t="s">
        <v>29</v>
      </c>
      <c r="J200" s="297"/>
      <c r="K200" s="298" t="s">
        <v>22</v>
      </c>
      <c r="L200" s="299">
        <v>4300898.21</v>
      </c>
    </row>
    <row r="201" spans="1:12" ht="51" hidden="1" x14ac:dyDescent="0.3">
      <c r="A201" s="293" t="s">
        <v>160</v>
      </c>
      <c r="B201" s="294" t="s">
        <v>605</v>
      </c>
      <c r="C201" s="294" t="s">
        <v>285</v>
      </c>
      <c r="D201" s="294" t="s">
        <v>287</v>
      </c>
      <c r="E201" s="295" t="s">
        <v>27</v>
      </c>
      <c r="F201" s="301" t="s">
        <v>29</v>
      </c>
      <c r="G201" s="301"/>
      <c r="H201" s="295" t="s">
        <v>27</v>
      </c>
      <c r="I201" s="302">
        <v>11533.38</v>
      </c>
      <c r="J201" s="302"/>
      <c r="K201" s="298" t="s">
        <v>22</v>
      </c>
      <c r="L201" s="299">
        <v>4289364.83</v>
      </c>
    </row>
    <row r="202" spans="1:12" ht="51" hidden="1" x14ac:dyDescent="0.3">
      <c r="A202" s="293" t="s">
        <v>160</v>
      </c>
      <c r="B202" s="294" t="s">
        <v>605</v>
      </c>
      <c r="C202" s="294" t="s">
        <v>606</v>
      </c>
      <c r="D202" s="294" t="s">
        <v>304</v>
      </c>
      <c r="E202" s="295" t="s">
        <v>27</v>
      </c>
      <c r="F202" s="301" t="s">
        <v>29</v>
      </c>
      <c r="G202" s="301"/>
      <c r="H202" s="295" t="s">
        <v>27</v>
      </c>
      <c r="I202" s="302">
        <v>7006.58</v>
      </c>
      <c r="J202" s="302"/>
      <c r="K202" s="298" t="s">
        <v>22</v>
      </c>
      <c r="L202" s="299">
        <v>4282358.25</v>
      </c>
    </row>
    <row r="203" spans="1:12" ht="51" x14ac:dyDescent="0.3">
      <c r="A203" s="293" t="s">
        <v>160</v>
      </c>
      <c r="B203" s="294" t="s">
        <v>917</v>
      </c>
      <c r="C203" s="294" t="s">
        <v>174</v>
      </c>
      <c r="D203" s="294" t="s">
        <v>770</v>
      </c>
      <c r="E203" s="295" t="s">
        <v>175</v>
      </c>
      <c r="F203" s="301" t="s">
        <v>29</v>
      </c>
      <c r="G203" s="301"/>
      <c r="H203" s="295" t="s">
        <v>27</v>
      </c>
      <c r="I203" s="302">
        <v>13124.3</v>
      </c>
      <c r="J203" s="302"/>
      <c r="K203" s="298" t="s">
        <v>22</v>
      </c>
      <c r="L203" s="299">
        <v>4269233.95</v>
      </c>
    </row>
    <row r="204" spans="1:12" ht="51" x14ac:dyDescent="0.3">
      <c r="A204" s="293" t="s">
        <v>160</v>
      </c>
      <c r="B204" s="294" t="s">
        <v>917</v>
      </c>
      <c r="C204" s="294" t="s">
        <v>174</v>
      </c>
      <c r="D204" s="294" t="s">
        <v>789</v>
      </c>
      <c r="E204" s="295" t="s">
        <v>175</v>
      </c>
      <c r="F204" s="301" t="s">
        <v>29</v>
      </c>
      <c r="G204" s="301"/>
      <c r="H204" s="295" t="s">
        <v>27</v>
      </c>
      <c r="I204" s="302">
        <v>4921.6099999999997</v>
      </c>
      <c r="J204" s="302"/>
      <c r="K204" s="298" t="s">
        <v>22</v>
      </c>
      <c r="L204" s="299">
        <v>4264312.34</v>
      </c>
    </row>
    <row r="205" spans="1:12" ht="51" x14ac:dyDescent="0.3">
      <c r="A205" s="293" t="s">
        <v>160</v>
      </c>
      <c r="B205" s="294" t="s">
        <v>917</v>
      </c>
      <c r="C205" s="294" t="s">
        <v>174</v>
      </c>
      <c r="D205" s="294" t="s">
        <v>789</v>
      </c>
      <c r="E205" s="295" t="s">
        <v>175</v>
      </c>
      <c r="F205" s="301" t="s">
        <v>29</v>
      </c>
      <c r="G205" s="301"/>
      <c r="H205" s="295" t="s">
        <v>27</v>
      </c>
      <c r="I205" s="302">
        <v>8202.69</v>
      </c>
      <c r="J205" s="302"/>
      <c r="K205" s="298" t="s">
        <v>22</v>
      </c>
      <c r="L205" s="299">
        <v>4256109.6500000004</v>
      </c>
    </row>
    <row r="206" spans="1:12" ht="51" x14ac:dyDescent="0.3">
      <c r="A206" s="293" t="s">
        <v>160</v>
      </c>
      <c r="B206" s="294" t="s">
        <v>917</v>
      </c>
      <c r="C206" s="294" t="s">
        <v>174</v>
      </c>
      <c r="D206" s="294" t="s">
        <v>800</v>
      </c>
      <c r="E206" s="295" t="s">
        <v>175</v>
      </c>
      <c r="F206" s="301" t="s">
        <v>29</v>
      </c>
      <c r="G206" s="301"/>
      <c r="H206" s="295" t="s">
        <v>27</v>
      </c>
      <c r="I206" s="302">
        <v>4937.53</v>
      </c>
      <c r="J206" s="302"/>
      <c r="K206" s="298" t="s">
        <v>22</v>
      </c>
      <c r="L206" s="299">
        <v>4251172.12</v>
      </c>
    </row>
    <row r="207" spans="1:12" ht="51" x14ac:dyDescent="0.3">
      <c r="A207" s="293" t="s">
        <v>160</v>
      </c>
      <c r="B207" s="294" t="s">
        <v>917</v>
      </c>
      <c r="C207" s="294" t="s">
        <v>174</v>
      </c>
      <c r="D207" s="294" t="s">
        <v>807</v>
      </c>
      <c r="E207" s="295" t="s">
        <v>175</v>
      </c>
      <c r="F207" s="301" t="s">
        <v>29</v>
      </c>
      <c r="G207" s="301"/>
      <c r="H207" s="295" t="s">
        <v>27</v>
      </c>
      <c r="I207" s="302">
        <v>75719.08</v>
      </c>
      <c r="J207" s="302"/>
      <c r="K207" s="298" t="s">
        <v>22</v>
      </c>
      <c r="L207" s="299">
        <v>4175453.04</v>
      </c>
    </row>
    <row r="208" spans="1:12" ht="51" x14ac:dyDescent="0.3">
      <c r="A208" s="293" t="s">
        <v>160</v>
      </c>
      <c r="B208" s="294" t="s">
        <v>917</v>
      </c>
      <c r="C208" s="294" t="s">
        <v>174</v>
      </c>
      <c r="D208" s="294" t="s">
        <v>784</v>
      </c>
      <c r="E208" s="295" t="s">
        <v>175</v>
      </c>
      <c r="F208" s="301" t="s">
        <v>29</v>
      </c>
      <c r="G208" s="301"/>
      <c r="H208" s="295" t="s">
        <v>27</v>
      </c>
      <c r="I208" s="302">
        <v>73119.929999999993</v>
      </c>
      <c r="J208" s="302"/>
      <c r="K208" s="298" t="s">
        <v>22</v>
      </c>
      <c r="L208" s="299">
        <v>4102333.11</v>
      </c>
    </row>
    <row r="209" spans="1:12" ht="51" x14ac:dyDescent="0.3">
      <c r="A209" s="293" t="s">
        <v>160</v>
      </c>
      <c r="B209" s="294" t="s">
        <v>917</v>
      </c>
      <c r="C209" s="294" t="s">
        <v>174</v>
      </c>
      <c r="D209" s="294" t="s">
        <v>785</v>
      </c>
      <c r="E209" s="295" t="s">
        <v>175</v>
      </c>
      <c r="F209" s="301" t="s">
        <v>29</v>
      </c>
      <c r="G209" s="301"/>
      <c r="H209" s="295" t="s">
        <v>27</v>
      </c>
      <c r="I209" s="302">
        <v>71212.61</v>
      </c>
      <c r="J209" s="302"/>
      <c r="K209" s="298" t="s">
        <v>22</v>
      </c>
      <c r="L209" s="299">
        <v>4031120.5</v>
      </c>
    </row>
    <row r="210" spans="1:12" ht="51" x14ac:dyDescent="0.3">
      <c r="A210" s="293" t="s">
        <v>160</v>
      </c>
      <c r="B210" s="294" t="s">
        <v>917</v>
      </c>
      <c r="C210" s="294" t="s">
        <v>174</v>
      </c>
      <c r="D210" s="294" t="s">
        <v>779</v>
      </c>
      <c r="E210" s="295" t="s">
        <v>175</v>
      </c>
      <c r="F210" s="301" t="s">
        <v>29</v>
      </c>
      <c r="G210" s="301"/>
      <c r="H210" s="295" t="s">
        <v>27</v>
      </c>
      <c r="I210" s="302">
        <v>71212.61</v>
      </c>
      <c r="J210" s="302"/>
      <c r="K210" s="298" t="s">
        <v>22</v>
      </c>
      <c r="L210" s="299">
        <v>3959907.89</v>
      </c>
    </row>
    <row r="211" spans="1:12" ht="51" x14ac:dyDescent="0.3">
      <c r="A211" s="293" t="s">
        <v>160</v>
      </c>
      <c r="B211" s="294" t="s">
        <v>917</v>
      </c>
      <c r="C211" s="294" t="s">
        <v>174</v>
      </c>
      <c r="D211" s="294" t="s">
        <v>780</v>
      </c>
      <c r="E211" s="295" t="s">
        <v>175</v>
      </c>
      <c r="F211" s="301" t="s">
        <v>29</v>
      </c>
      <c r="G211" s="301"/>
      <c r="H211" s="295" t="s">
        <v>27</v>
      </c>
      <c r="I211" s="302">
        <v>73119.929999999993</v>
      </c>
      <c r="J211" s="302"/>
      <c r="K211" s="298" t="s">
        <v>22</v>
      </c>
      <c r="L211" s="299">
        <v>3886787.96</v>
      </c>
    </row>
    <row r="212" spans="1:12" ht="51" x14ac:dyDescent="0.3">
      <c r="A212" s="293" t="s">
        <v>160</v>
      </c>
      <c r="B212" s="294" t="s">
        <v>917</v>
      </c>
      <c r="C212" s="294" t="s">
        <v>174</v>
      </c>
      <c r="D212" s="294" t="s">
        <v>781</v>
      </c>
      <c r="E212" s="295" t="s">
        <v>175</v>
      </c>
      <c r="F212" s="301" t="s">
        <v>29</v>
      </c>
      <c r="G212" s="301"/>
      <c r="H212" s="295" t="s">
        <v>27</v>
      </c>
      <c r="I212" s="302">
        <v>80885.13</v>
      </c>
      <c r="J212" s="302"/>
      <c r="K212" s="298" t="s">
        <v>22</v>
      </c>
      <c r="L212" s="299">
        <v>3805902.83</v>
      </c>
    </row>
    <row r="213" spans="1:12" ht="51" x14ac:dyDescent="0.3">
      <c r="A213" s="293" t="s">
        <v>160</v>
      </c>
      <c r="B213" s="294" t="s">
        <v>917</v>
      </c>
      <c r="C213" s="294" t="s">
        <v>174</v>
      </c>
      <c r="D213" s="294" t="s">
        <v>808</v>
      </c>
      <c r="E213" s="295" t="s">
        <v>175</v>
      </c>
      <c r="F213" s="301" t="s">
        <v>29</v>
      </c>
      <c r="G213" s="301"/>
      <c r="H213" s="295" t="s">
        <v>27</v>
      </c>
      <c r="I213" s="302">
        <v>77001.919999999998</v>
      </c>
      <c r="J213" s="302"/>
      <c r="K213" s="298" t="s">
        <v>22</v>
      </c>
      <c r="L213" s="299">
        <v>3728900.91</v>
      </c>
    </row>
    <row r="214" spans="1:12" ht="51" x14ac:dyDescent="0.3">
      <c r="A214" s="293" t="s">
        <v>160</v>
      </c>
      <c r="B214" s="294" t="s">
        <v>917</v>
      </c>
      <c r="C214" s="294" t="s">
        <v>174</v>
      </c>
      <c r="D214" s="294" t="s">
        <v>794</v>
      </c>
      <c r="E214" s="295" t="s">
        <v>175</v>
      </c>
      <c r="F214" s="301" t="s">
        <v>29</v>
      </c>
      <c r="G214" s="301"/>
      <c r="H214" s="295" t="s">
        <v>27</v>
      </c>
      <c r="I214" s="302">
        <v>75019.72</v>
      </c>
      <c r="J214" s="302"/>
      <c r="K214" s="298" t="s">
        <v>22</v>
      </c>
      <c r="L214" s="299">
        <v>3653881.19</v>
      </c>
    </row>
    <row r="215" spans="1:12" ht="51" x14ac:dyDescent="0.3">
      <c r="A215" s="293" t="s">
        <v>160</v>
      </c>
      <c r="B215" s="294" t="s">
        <v>917</v>
      </c>
      <c r="C215" s="294" t="s">
        <v>174</v>
      </c>
      <c r="D215" s="294" t="s">
        <v>795</v>
      </c>
      <c r="E215" s="295" t="s">
        <v>175</v>
      </c>
      <c r="F215" s="301" t="s">
        <v>29</v>
      </c>
      <c r="G215" s="301"/>
      <c r="H215" s="295" t="s">
        <v>27</v>
      </c>
      <c r="I215" s="302">
        <v>75019.72</v>
      </c>
      <c r="J215" s="302"/>
      <c r="K215" s="298" t="s">
        <v>22</v>
      </c>
      <c r="L215" s="299">
        <v>3578861.47</v>
      </c>
    </row>
    <row r="216" spans="1:12" ht="51" x14ac:dyDescent="0.3">
      <c r="A216" s="293" t="s">
        <v>160</v>
      </c>
      <c r="B216" s="294" t="s">
        <v>917</v>
      </c>
      <c r="C216" s="294" t="s">
        <v>174</v>
      </c>
      <c r="D216" s="294" t="s">
        <v>786</v>
      </c>
      <c r="E216" s="295" t="s">
        <v>175</v>
      </c>
      <c r="F216" s="301" t="s">
        <v>29</v>
      </c>
      <c r="G216" s="301"/>
      <c r="H216" s="295" t="s">
        <v>27</v>
      </c>
      <c r="I216" s="302">
        <v>74777.83</v>
      </c>
      <c r="J216" s="302"/>
      <c r="K216" s="298" t="s">
        <v>22</v>
      </c>
      <c r="L216" s="299">
        <v>3504083.64</v>
      </c>
    </row>
    <row r="217" spans="1:12" ht="51" x14ac:dyDescent="0.3">
      <c r="A217" s="293" t="s">
        <v>160</v>
      </c>
      <c r="B217" s="294" t="s">
        <v>917</v>
      </c>
      <c r="C217" s="294" t="s">
        <v>174</v>
      </c>
      <c r="D217" s="294" t="s">
        <v>787</v>
      </c>
      <c r="E217" s="295" t="s">
        <v>175</v>
      </c>
      <c r="F217" s="301" t="s">
        <v>29</v>
      </c>
      <c r="G217" s="301"/>
      <c r="H217" s="295" t="s">
        <v>27</v>
      </c>
      <c r="I217" s="302">
        <v>74777.84</v>
      </c>
      <c r="J217" s="302"/>
      <c r="K217" s="298" t="s">
        <v>22</v>
      </c>
      <c r="L217" s="299">
        <v>3429305.8</v>
      </c>
    </row>
    <row r="218" spans="1:12" ht="51" x14ac:dyDescent="0.3">
      <c r="A218" s="293" t="s">
        <v>160</v>
      </c>
      <c r="B218" s="294" t="s">
        <v>917</v>
      </c>
      <c r="C218" s="294" t="s">
        <v>174</v>
      </c>
      <c r="D218" s="294" t="s">
        <v>874</v>
      </c>
      <c r="E218" s="295" t="s">
        <v>175</v>
      </c>
      <c r="F218" s="301" t="s">
        <v>29</v>
      </c>
      <c r="G218" s="301"/>
      <c r="H218" s="295" t="s">
        <v>27</v>
      </c>
      <c r="I218" s="302">
        <v>80008.53</v>
      </c>
      <c r="J218" s="302"/>
      <c r="K218" s="298" t="s">
        <v>22</v>
      </c>
      <c r="L218" s="299">
        <v>3349297.27</v>
      </c>
    </row>
    <row r="219" spans="1:12" ht="51" x14ac:dyDescent="0.3">
      <c r="A219" s="293" t="s">
        <v>160</v>
      </c>
      <c r="B219" s="294" t="s">
        <v>917</v>
      </c>
      <c r="C219" s="294" t="s">
        <v>174</v>
      </c>
      <c r="D219" s="294" t="s">
        <v>875</v>
      </c>
      <c r="E219" s="295" t="s">
        <v>175</v>
      </c>
      <c r="F219" s="301" t="s">
        <v>29</v>
      </c>
      <c r="G219" s="301"/>
      <c r="H219" s="295" t="s">
        <v>27</v>
      </c>
      <c r="I219" s="302">
        <v>78667.25</v>
      </c>
      <c r="J219" s="302"/>
      <c r="K219" s="298" t="s">
        <v>22</v>
      </c>
      <c r="L219" s="299">
        <v>3270630.02</v>
      </c>
    </row>
    <row r="220" spans="1:12" ht="51" x14ac:dyDescent="0.3">
      <c r="A220" s="293" t="s">
        <v>160</v>
      </c>
      <c r="B220" s="294" t="s">
        <v>917</v>
      </c>
      <c r="C220" s="294" t="s">
        <v>174</v>
      </c>
      <c r="D220" s="294" t="s">
        <v>802</v>
      </c>
      <c r="E220" s="295" t="s">
        <v>175</v>
      </c>
      <c r="F220" s="301" t="s">
        <v>29</v>
      </c>
      <c r="G220" s="301"/>
      <c r="H220" s="295" t="s">
        <v>27</v>
      </c>
      <c r="I220" s="302">
        <v>79406.59</v>
      </c>
      <c r="J220" s="302"/>
      <c r="K220" s="298" t="s">
        <v>22</v>
      </c>
      <c r="L220" s="299">
        <v>3191223.43</v>
      </c>
    </row>
    <row r="221" spans="1:12" ht="51" x14ac:dyDescent="0.3">
      <c r="A221" s="293" t="s">
        <v>160</v>
      </c>
      <c r="B221" s="294" t="s">
        <v>917</v>
      </c>
      <c r="C221" s="294" t="s">
        <v>174</v>
      </c>
      <c r="D221" s="294" t="s">
        <v>803</v>
      </c>
      <c r="E221" s="295" t="s">
        <v>175</v>
      </c>
      <c r="F221" s="301" t="s">
        <v>29</v>
      </c>
      <c r="G221" s="301"/>
      <c r="H221" s="295" t="s">
        <v>27</v>
      </c>
      <c r="I221" s="302">
        <v>72380.23</v>
      </c>
      <c r="J221" s="302"/>
      <c r="K221" s="298" t="s">
        <v>22</v>
      </c>
      <c r="L221" s="299">
        <v>3118843.2</v>
      </c>
    </row>
    <row r="222" spans="1:12" ht="51" x14ac:dyDescent="0.3">
      <c r="A222" s="293" t="s">
        <v>160</v>
      </c>
      <c r="B222" s="294" t="s">
        <v>917</v>
      </c>
      <c r="C222" s="294" t="s">
        <v>174</v>
      </c>
      <c r="D222" s="294" t="s">
        <v>804</v>
      </c>
      <c r="E222" s="295" t="s">
        <v>175</v>
      </c>
      <c r="F222" s="301" t="s">
        <v>29</v>
      </c>
      <c r="G222" s="301"/>
      <c r="H222" s="295" t="s">
        <v>27</v>
      </c>
      <c r="I222" s="302">
        <v>71442.97</v>
      </c>
      <c r="J222" s="302"/>
      <c r="K222" s="298" t="s">
        <v>22</v>
      </c>
      <c r="L222" s="299">
        <v>3047400.23</v>
      </c>
    </row>
    <row r="223" spans="1:12" ht="51" x14ac:dyDescent="0.3">
      <c r="A223" s="293" t="s">
        <v>160</v>
      </c>
      <c r="B223" s="294" t="s">
        <v>917</v>
      </c>
      <c r="C223" s="294" t="s">
        <v>174</v>
      </c>
      <c r="D223" s="294" t="s">
        <v>796</v>
      </c>
      <c r="E223" s="295" t="s">
        <v>175</v>
      </c>
      <c r="F223" s="301" t="s">
        <v>29</v>
      </c>
      <c r="G223" s="301"/>
      <c r="H223" s="295" t="s">
        <v>27</v>
      </c>
      <c r="I223" s="302">
        <v>74379.850000000006</v>
      </c>
      <c r="J223" s="302"/>
      <c r="K223" s="298" t="s">
        <v>22</v>
      </c>
      <c r="L223" s="299">
        <v>2973020.38</v>
      </c>
    </row>
    <row r="224" spans="1:12" ht="51" x14ac:dyDescent="0.3">
      <c r="A224" s="293" t="s">
        <v>160</v>
      </c>
      <c r="B224" s="294" t="s">
        <v>917</v>
      </c>
      <c r="C224" s="294" t="s">
        <v>174</v>
      </c>
      <c r="D224" s="294" t="s">
        <v>797</v>
      </c>
      <c r="E224" s="295" t="s">
        <v>175</v>
      </c>
      <c r="F224" s="301" t="s">
        <v>29</v>
      </c>
      <c r="G224" s="301"/>
      <c r="H224" s="295" t="s">
        <v>27</v>
      </c>
      <c r="I224" s="302">
        <v>77641.81</v>
      </c>
      <c r="J224" s="302"/>
      <c r="K224" s="298" t="s">
        <v>22</v>
      </c>
      <c r="L224" s="299">
        <v>2895378.57</v>
      </c>
    </row>
    <row r="225" spans="1:12" ht="51" x14ac:dyDescent="0.3">
      <c r="A225" s="293" t="s">
        <v>160</v>
      </c>
      <c r="B225" s="294" t="s">
        <v>917</v>
      </c>
      <c r="C225" s="294" t="s">
        <v>174</v>
      </c>
      <c r="D225" s="294" t="s">
        <v>782</v>
      </c>
      <c r="E225" s="295" t="s">
        <v>175</v>
      </c>
      <c r="F225" s="301" t="s">
        <v>29</v>
      </c>
      <c r="G225" s="301"/>
      <c r="H225" s="295" t="s">
        <v>27</v>
      </c>
      <c r="I225" s="302">
        <v>74777.84</v>
      </c>
      <c r="J225" s="302"/>
      <c r="K225" s="298" t="s">
        <v>22</v>
      </c>
      <c r="L225" s="299">
        <v>2820600.73</v>
      </c>
    </row>
    <row r="226" spans="1:12" ht="51" hidden="1" x14ac:dyDescent="0.3">
      <c r="A226" s="293" t="s">
        <v>160</v>
      </c>
      <c r="B226" s="294" t="s">
        <v>918</v>
      </c>
      <c r="C226" s="294" t="s">
        <v>919</v>
      </c>
      <c r="D226" s="294" t="s">
        <v>752</v>
      </c>
      <c r="E226" s="295" t="s">
        <v>27</v>
      </c>
      <c r="F226" s="296">
        <v>19774.93</v>
      </c>
      <c r="G226" s="296"/>
      <c r="H226" s="295" t="s">
        <v>28</v>
      </c>
      <c r="I226" s="297" t="s">
        <v>29</v>
      </c>
      <c r="J226" s="297"/>
      <c r="K226" s="298" t="s">
        <v>22</v>
      </c>
      <c r="L226" s="299">
        <v>2840375.66</v>
      </c>
    </row>
    <row r="227" spans="1:12" ht="51" hidden="1" x14ac:dyDescent="0.3">
      <c r="A227" s="293" t="s">
        <v>160</v>
      </c>
      <c r="B227" s="294" t="s">
        <v>920</v>
      </c>
      <c r="C227" s="294" t="s">
        <v>921</v>
      </c>
      <c r="D227" s="294" t="s">
        <v>752</v>
      </c>
      <c r="E227" s="295" t="s">
        <v>27</v>
      </c>
      <c r="F227" s="296">
        <v>94050</v>
      </c>
      <c r="G227" s="296"/>
      <c r="H227" s="295" t="s">
        <v>28</v>
      </c>
      <c r="I227" s="297" t="s">
        <v>29</v>
      </c>
      <c r="J227" s="297"/>
      <c r="K227" s="298" t="s">
        <v>22</v>
      </c>
      <c r="L227" s="299">
        <v>2934425.66</v>
      </c>
    </row>
    <row r="228" spans="1:12" ht="61.2" hidden="1" x14ac:dyDescent="0.3">
      <c r="A228" s="293" t="s">
        <v>160</v>
      </c>
      <c r="B228" s="294" t="s">
        <v>920</v>
      </c>
      <c r="C228" s="294" t="s">
        <v>922</v>
      </c>
      <c r="D228" s="294" t="s">
        <v>752</v>
      </c>
      <c r="E228" s="295" t="s">
        <v>27</v>
      </c>
      <c r="F228" s="296">
        <v>89895</v>
      </c>
      <c r="G228" s="296"/>
      <c r="H228" s="295" t="s">
        <v>28</v>
      </c>
      <c r="I228" s="297" t="s">
        <v>29</v>
      </c>
      <c r="J228" s="297"/>
      <c r="K228" s="298" t="s">
        <v>22</v>
      </c>
      <c r="L228" s="299">
        <v>3024320.66</v>
      </c>
    </row>
    <row r="229" spans="1:12" ht="51" hidden="1" x14ac:dyDescent="0.3">
      <c r="A229" s="293" t="s">
        <v>160</v>
      </c>
      <c r="B229" s="294" t="s">
        <v>923</v>
      </c>
      <c r="C229" s="294" t="s">
        <v>924</v>
      </c>
      <c r="D229" s="294" t="s">
        <v>752</v>
      </c>
      <c r="E229" s="295" t="s">
        <v>27</v>
      </c>
      <c r="F229" s="296">
        <v>73589.2</v>
      </c>
      <c r="G229" s="296"/>
      <c r="H229" s="295" t="s">
        <v>28</v>
      </c>
      <c r="I229" s="297" t="s">
        <v>29</v>
      </c>
      <c r="J229" s="297"/>
      <c r="K229" s="298" t="s">
        <v>22</v>
      </c>
      <c r="L229" s="299">
        <v>3097909.86</v>
      </c>
    </row>
    <row r="230" spans="1:12" ht="51" hidden="1" x14ac:dyDescent="0.3">
      <c r="A230" s="293" t="s">
        <v>160</v>
      </c>
      <c r="B230" s="294" t="s">
        <v>920</v>
      </c>
      <c r="C230" s="294" t="s">
        <v>924</v>
      </c>
      <c r="D230" s="294" t="s">
        <v>752</v>
      </c>
      <c r="E230" s="295" t="s">
        <v>27</v>
      </c>
      <c r="F230" s="296">
        <v>5598.8</v>
      </c>
      <c r="G230" s="296"/>
      <c r="H230" s="295" t="s">
        <v>28</v>
      </c>
      <c r="I230" s="297" t="s">
        <v>29</v>
      </c>
      <c r="J230" s="297"/>
      <c r="K230" s="298" t="s">
        <v>22</v>
      </c>
      <c r="L230" s="299">
        <v>3103508.66</v>
      </c>
    </row>
    <row r="231" spans="1:12" ht="51" hidden="1" x14ac:dyDescent="0.3">
      <c r="A231" s="293" t="s">
        <v>160</v>
      </c>
      <c r="B231" s="294" t="s">
        <v>925</v>
      </c>
      <c r="C231" s="294" t="s">
        <v>919</v>
      </c>
      <c r="D231" s="294" t="s">
        <v>752</v>
      </c>
      <c r="E231" s="295" t="s">
        <v>27</v>
      </c>
      <c r="F231" s="300">
        <v>449.75</v>
      </c>
      <c r="G231" s="300"/>
      <c r="H231" s="295" t="s">
        <v>28</v>
      </c>
      <c r="I231" s="297" t="s">
        <v>29</v>
      </c>
      <c r="J231" s="297"/>
      <c r="K231" s="298" t="s">
        <v>22</v>
      </c>
      <c r="L231" s="299">
        <v>3103958.41</v>
      </c>
    </row>
    <row r="232" spans="1:12" ht="51" hidden="1" x14ac:dyDescent="0.3">
      <c r="A232" s="293" t="s">
        <v>160</v>
      </c>
      <c r="B232" s="294" t="s">
        <v>926</v>
      </c>
      <c r="C232" s="294" t="s">
        <v>921</v>
      </c>
      <c r="D232" s="294" t="s">
        <v>752</v>
      </c>
      <c r="E232" s="295" t="s">
        <v>27</v>
      </c>
      <c r="F232" s="296">
        <v>2138.98</v>
      </c>
      <c r="G232" s="296"/>
      <c r="H232" s="295" t="s">
        <v>28</v>
      </c>
      <c r="I232" s="297" t="s">
        <v>29</v>
      </c>
      <c r="J232" s="297"/>
      <c r="K232" s="298" t="s">
        <v>22</v>
      </c>
      <c r="L232" s="299">
        <v>3106097.39</v>
      </c>
    </row>
    <row r="233" spans="1:12" ht="61.2" hidden="1" x14ac:dyDescent="0.3">
      <c r="A233" s="293" t="s">
        <v>160</v>
      </c>
      <c r="B233" s="294" t="s">
        <v>926</v>
      </c>
      <c r="C233" s="294" t="s">
        <v>922</v>
      </c>
      <c r="D233" s="294" t="s">
        <v>752</v>
      </c>
      <c r="E233" s="295" t="s">
        <v>27</v>
      </c>
      <c r="F233" s="296">
        <v>2044.48</v>
      </c>
      <c r="G233" s="296"/>
      <c r="H233" s="295" t="s">
        <v>28</v>
      </c>
      <c r="I233" s="297" t="s">
        <v>29</v>
      </c>
      <c r="J233" s="297"/>
      <c r="K233" s="298" t="s">
        <v>22</v>
      </c>
      <c r="L233" s="299">
        <v>3108141.87</v>
      </c>
    </row>
    <row r="234" spans="1:12" ht="51" hidden="1" x14ac:dyDescent="0.3">
      <c r="A234" s="293" t="s">
        <v>160</v>
      </c>
      <c r="B234" s="294" t="s">
        <v>926</v>
      </c>
      <c r="C234" s="294" t="s">
        <v>924</v>
      </c>
      <c r="D234" s="294" t="s">
        <v>752</v>
      </c>
      <c r="E234" s="295" t="s">
        <v>27</v>
      </c>
      <c r="F234" s="296">
        <v>1800.97</v>
      </c>
      <c r="G234" s="296"/>
      <c r="H234" s="295" t="s">
        <v>28</v>
      </c>
      <c r="I234" s="297" t="s">
        <v>29</v>
      </c>
      <c r="J234" s="297"/>
      <c r="K234" s="298" t="s">
        <v>22</v>
      </c>
      <c r="L234" s="299">
        <v>3109942.84</v>
      </c>
    </row>
    <row r="235" spans="1:12" ht="61.2" hidden="1" x14ac:dyDescent="0.3">
      <c r="A235" s="293" t="s">
        <v>85</v>
      </c>
      <c r="B235" s="294" t="s">
        <v>712</v>
      </c>
      <c r="C235" s="294" t="s">
        <v>713</v>
      </c>
      <c r="D235" s="294" t="s">
        <v>714</v>
      </c>
      <c r="E235" s="295" t="s">
        <v>27</v>
      </c>
      <c r="F235" s="301" t="s">
        <v>29</v>
      </c>
      <c r="G235" s="301"/>
      <c r="H235" s="295" t="s">
        <v>27</v>
      </c>
      <c r="I235" s="303">
        <v>268.72000000000003</v>
      </c>
      <c r="J235" s="303"/>
      <c r="K235" s="298" t="s">
        <v>22</v>
      </c>
      <c r="L235" s="299">
        <v>3109674.12</v>
      </c>
    </row>
    <row r="236" spans="1:12" ht="61.2" hidden="1" x14ac:dyDescent="0.3">
      <c r="A236" s="293" t="s">
        <v>85</v>
      </c>
      <c r="B236" s="294" t="s">
        <v>712</v>
      </c>
      <c r="C236" s="294" t="s">
        <v>715</v>
      </c>
      <c r="D236" s="294" t="s">
        <v>716</v>
      </c>
      <c r="E236" s="295" t="s">
        <v>27</v>
      </c>
      <c r="F236" s="301" t="s">
        <v>29</v>
      </c>
      <c r="G236" s="301"/>
      <c r="H236" s="295" t="s">
        <v>27</v>
      </c>
      <c r="I236" s="302">
        <v>48552.5</v>
      </c>
      <c r="J236" s="302"/>
      <c r="K236" s="298" t="s">
        <v>22</v>
      </c>
      <c r="L236" s="299">
        <v>3061121.62</v>
      </c>
    </row>
    <row r="237" spans="1:12" ht="61.2" hidden="1" x14ac:dyDescent="0.3">
      <c r="A237" s="293" t="s">
        <v>85</v>
      </c>
      <c r="B237" s="294" t="s">
        <v>712</v>
      </c>
      <c r="C237" s="294" t="s">
        <v>717</v>
      </c>
      <c r="D237" s="294" t="s">
        <v>338</v>
      </c>
      <c r="E237" s="295" t="s">
        <v>27</v>
      </c>
      <c r="F237" s="301" t="s">
        <v>29</v>
      </c>
      <c r="G237" s="301"/>
      <c r="H237" s="295" t="s">
        <v>27</v>
      </c>
      <c r="I237" s="302">
        <v>4152.07</v>
      </c>
      <c r="J237" s="302"/>
      <c r="K237" s="298" t="s">
        <v>22</v>
      </c>
      <c r="L237" s="299">
        <v>3056969.55</v>
      </c>
    </row>
    <row r="238" spans="1:12" ht="61.2" hidden="1" x14ac:dyDescent="0.3">
      <c r="A238" s="293" t="s">
        <v>85</v>
      </c>
      <c r="B238" s="294" t="s">
        <v>927</v>
      </c>
      <c r="C238" s="294" t="s">
        <v>928</v>
      </c>
      <c r="D238" s="294" t="s">
        <v>860</v>
      </c>
      <c r="E238" s="295" t="s">
        <v>27</v>
      </c>
      <c r="F238" s="301" t="s">
        <v>29</v>
      </c>
      <c r="G238" s="301"/>
      <c r="H238" s="295" t="s">
        <v>27</v>
      </c>
      <c r="I238" s="302">
        <v>16160</v>
      </c>
      <c r="J238" s="302"/>
      <c r="K238" s="298" t="s">
        <v>22</v>
      </c>
      <c r="L238" s="299">
        <v>3040809.55</v>
      </c>
    </row>
    <row r="239" spans="1:12" ht="51" hidden="1" x14ac:dyDescent="0.3">
      <c r="A239" s="293" t="s">
        <v>85</v>
      </c>
      <c r="B239" s="294" t="s">
        <v>929</v>
      </c>
      <c r="C239" s="294" t="s">
        <v>930</v>
      </c>
      <c r="D239" s="294" t="s">
        <v>752</v>
      </c>
      <c r="E239" s="295" t="s">
        <v>27</v>
      </c>
      <c r="F239" s="296">
        <v>94050</v>
      </c>
      <c r="G239" s="296"/>
      <c r="H239" s="295" t="s">
        <v>28</v>
      </c>
      <c r="I239" s="297" t="s">
        <v>29</v>
      </c>
      <c r="J239" s="297"/>
      <c r="K239" s="298" t="s">
        <v>22</v>
      </c>
      <c r="L239" s="299">
        <v>3134859.55</v>
      </c>
    </row>
    <row r="240" spans="1:12" ht="61.2" hidden="1" x14ac:dyDescent="0.3">
      <c r="A240" s="293" t="s">
        <v>85</v>
      </c>
      <c r="B240" s="294" t="s">
        <v>929</v>
      </c>
      <c r="C240" s="294" t="s">
        <v>931</v>
      </c>
      <c r="D240" s="294" t="s">
        <v>752</v>
      </c>
      <c r="E240" s="295" t="s">
        <v>27</v>
      </c>
      <c r="F240" s="296">
        <v>89895</v>
      </c>
      <c r="G240" s="296"/>
      <c r="H240" s="295" t="s">
        <v>28</v>
      </c>
      <c r="I240" s="297" t="s">
        <v>29</v>
      </c>
      <c r="J240" s="297"/>
      <c r="K240" s="298" t="s">
        <v>22</v>
      </c>
      <c r="L240" s="299">
        <v>3224754.55</v>
      </c>
    </row>
    <row r="241" spans="1:12" ht="51" hidden="1" x14ac:dyDescent="0.3">
      <c r="A241" s="293" t="s">
        <v>85</v>
      </c>
      <c r="B241" s="294" t="s">
        <v>929</v>
      </c>
      <c r="C241" s="294" t="s">
        <v>932</v>
      </c>
      <c r="D241" s="294" t="s">
        <v>752</v>
      </c>
      <c r="E241" s="295" t="s">
        <v>27</v>
      </c>
      <c r="F241" s="296">
        <v>47980</v>
      </c>
      <c r="G241" s="296"/>
      <c r="H241" s="295" t="s">
        <v>28</v>
      </c>
      <c r="I241" s="297" t="s">
        <v>29</v>
      </c>
      <c r="J241" s="297"/>
      <c r="K241" s="298" t="s">
        <v>22</v>
      </c>
      <c r="L241" s="299">
        <v>3272734.55</v>
      </c>
    </row>
    <row r="242" spans="1:12" ht="51" hidden="1" x14ac:dyDescent="0.3">
      <c r="A242" s="293" t="s">
        <v>85</v>
      </c>
      <c r="B242" s="294" t="s">
        <v>929</v>
      </c>
      <c r="C242" s="294" t="s">
        <v>933</v>
      </c>
      <c r="D242" s="294" t="s">
        <v>752</v>
      </c>
      <c r="E242" s="295" t="s">
        <v>27</v>
      </c>
      <c r="F242" s="296">
        <v>48267</v>
      </c>
      <c r="G242" s="296"/>
      <c r="H242" s="295" t="s">
        <v>28</v>
      </c>
      <c r="I242" s="297" t="s">
        <v>29</v>
      </c>
      <c r="J242" s="297"/>
      <c r="K242" s="298" t="s">
        <v>22</v>
      </c>
      <c r="L242" s="299">
        <v>3321001.55</v>
      </c>
    </row>
    <row r="243" spans="1:12" ht="61.2" hidden="1" x14ac:dyDescent="0.3">
      <c r="A243" s="293" t="s">
        <v>85</v>
      </c>
      <c r="B243" s="294" t="s">
        <v>934</v>
      </c>
      <c r="C243" s="294" t="s">
        <v>935</v>
      </c>
      <c r="D243" s="294" t="s">
        <v>752</v>
      </c>
      <c r="E243" s="295" t="s">
        <v>27</v>
      </c>
      <c r="F243" s="296">
        <v>89895</v>
      </c>
      <c r="G243" s="296"/>
      <c r="H243" s="295" t="s">
        <v>28</v>
      </c>
      <c r="I243" s="297" t="s">
        <v>29</v>
      </c>
      <c r="J243" s="297"/>
      <c r="K243" s="298" t="s">
        <v>22</v>
      </c>
      <c r="L243" s="299">
        <v>3410896.55</v>
      </c>
    </row>
    <row r="244" spans="1:12" ht="51" hidden="1" x14ac:dyDescent="0.3">
      <c r="A244" s="293" t="s">
        <v>85</v>
      </c>
      <c r="B244" s="294" t="s">
        <v>934</v>
      </c>
      <c r="C244" s="294" t="s">
        <v>936</v>
      </c>
      <c r="D244" s="294" t="s">
        <v>752</v>
      </c>
      <c r="E244" s="295" t="s">
        <v>27</v>
      </c>
      <c r="F244" s="296">
        <v>49140</v>
      </c>
      <c r="G244" s="296"/>
      <c r="H244" s="295" t="s">
        <v>28</v>
      </c>
      <c r="I244" s="297" t="s">
        <v>29</v>
      </c>
      <c r="J244" s="297"/>
      <c r="K244" s="298" t="s">
        <v>22</v>
      </c>
      <c r="L244" s="299">
        <v>3460036.55</v>
      </c>
    </row>
    <row r="245" spans="1:12" ht="51" hidden="1" x14ac:dyDescent="0.3">
      <c r="A245" s="293" t="s">
        <v>85</v>
      </c>
      <c r="B245" s="294" t="s">
        <v>934</v>
      </c>
      <c r="C245" s="294" t="s">
        <v>937</v>
      </c>
      <c r="D245" s="294" t="s">
        <v>752</v>
      </c>
      <c r="E245" s="295" t="s">
        <v>27</v>
      </c>
      <c r="F245" s="296">
        <v>50820</v>
      </c>
      <c r="G245" s="296"/>
      <c r="H245" s="295" t="s">
        <v>28</v>
      </c>
      <c r="I245" s="297" t="s">
        <v>29</v>
      </c>
      <c r="J245" s="297"/>
      <c r="K245" s="298" t="s">
        <v>22</v>
      </c>
      <c r="L245" s="299">
        <v>3510856.55</v>
      </c>
    </row>
    <row r="246" spans="1:12" ht="51" hidden="1" x14ac:dyDescent="0.3">
      <c r="A246" s="293" t="s">
        <v>85</v>
      </c>
      <c r="B246" s="294" t="s">
        <v>934</v>
      </c>
      <c r="C246" s="294" t="s">
        <v>938</v>
      </c>
      <c r="D246" s="294" t="s">
        <v>752</v>
      </c>
      <c r="E246" s="295" t="s">
        <v>27</v>
      </c>
      <c r="F246" s="296">
        <v>48670</v>
      </c>
      <c r="G246" s="296"/>
      <c r="H246" s="295" t="s">
        <v>28</v>
      </c>
      <c r="I246" s="297" t="s">
        <v>29</v>
      </c>
      <c r="J246" s="297"/>
      <c r="K246" s="298" t="s">
        <v>22</v>
      </c>
      <c r="L246" s="299">
        <v>3559526.55</v>
      </c>
    </row>
    <row r="247" spans="1:12" ht="51" hidden="1" x14ac:dyDescent="0.3">
      <c r="A247" s="293" t="s">
        <v>85</v>
      </c>
      <c r="B247" s="294" t="s">
        <v>934</v>
      </c>
      <c r="C247" s="294" t="s">
        <v>939</v>
      </c>
      <c r="D247" s="294" t="s">
        <v>752</v>
      </c>
      <c r="E247" s="295" t="s">
        <v>27</v>
      </c>
      <c r="F247" s="296">
        <v>47394</v>
      </c>
      <c r="G247" s="296"/>
      <c r="H247" s="295" t="s">
        <v>28</v>
      </c>
      <c r="I247" s="297" t="s">
        <v>29</v>
      </c>
      <c r="J247" s="297"/>
      <c r="K247" s="298" t="s">
        <v>22</v>
      </c>
      <c r="L247" s="299">
        <v>3606920.55</v>
      </c>
    </row>
    <row r="248" spans="1:12" ht="51" hidden="1" x14ac:dyDescent="0.3">
      <c r="A248" s="293" t="s">
        <v>85</v>
      </c>
      <c r="B248" s="294" t="s">
        <v>940</v>
      </c>
      <c r="C248" s="294" t="s">
        <v>930</v>
      </c>
      <c r="D248" s="294" t="s">
        <v>752</v>
      </c>
      <c r="E248" s="295" t="s">
        <v>27</v>
      </c>
      <c r="F248" s="296">
        <v>2138.98</v>
      </c>
      <c r="G248" s="296"/>
      <c r="H248" s="295" t="s">
        <v>28</v>
      </c>
      <c r="I248" s="297" t="s">
        <v>29</v>
      </c>
      <c r="J248" s="297"/>
      <c r="K248" s="298" t="s">
        <v>22</v>
      </c>
      <c r="L248" s="299">
        <v>3609059.53</v>
      </c>
    </row>
    <row r="249" spans="1:12" ht="61.2" hidden="1" x14ac:dyDescent="0.3">
      <c r="A249" s="293" t="s">
        <v>85</v>
      </c>
      <c r="B249" s="294" t="s">
        <v>940</v>
      </c>
      <c r="C249" s="294" t="s">
        <v>931</v>
      </c>
      <c r="D249" s="294" t="s">
        <v>752</v>
      </c>
      <c r="E249" s="295" t="s">
        <v>27</v>
      </c>
      <c r="F249" s="296">
        <v>2044.49</v>
      </c>
      <c r="G249" s="296"/>
      <c r="H249" s="295" t="s">
        <v>28</v>
      </c>
      <c r="I249" s="297" t="s">
        <v>29</v>
      </c>
      <c r="J249" s="297"/>
      <c r="K249" s="298" t="s">
        <v>22</v>
      </c>
      <c r="L249" s="299">
        <v>3611104.02</v>
      </c>
    </row>
    <row r="250" spans="1:12" ht="51" hidden="1" x14ac:dyDescent="0.3">
      <c r="A250" s="293" t="s">
        <v>85</v>
      </c>
      <c r="B250" s="294" t="s">
        <v>940</v>
      </c>
      <c r="C250" s="294" t="s">
        <v>932</v>
      </c>
      <c r="D250" s="294" t="s">
        <v>752</v>
      </c>
      <c r="E250" s="295" t="s">
        <v>27</v>
      </c>
      <c r="F250" s="296">
        <v>1091.21</v>
      </c>
      <c r="G250" s="296"/>
      <c r="H250" s="295" t="s">
        <v>28</v>
      </c>
      <c r="I250" s="297" t="s">
        <v>29</v>
      </c>
      <c r="J250" s="297"/>
      <c r="K250" s="298" t="s">
        <v>22</v>
      </c>
      <c r="L250" s="299">
        <v>3612195.23</v>
      </c>
    </row>
    <row r="251" spans="1:12" ht="51" hidden="1" x14ac:dyDescent="0.3">
      <c r="A251" s="293" t="s">
        <v>85</v>
      </c>
      <c r="B251" s="294" t="s">
        <v>940</v>
      </c>
      <c r="C251" s="294" t="s">
        <v>933</v>
      </c>
      <c r="D251" s="294" t="s">
        <v>752</v>
      </c>
      <c r="E251" s="295" t="s">
        <v>27</v>
      </c>
      <c r="F251" s="296">
        <v>1097.73</v>
      </c>
      <c r="G251" s="296"/>
      <c r="H251" s="295" t="s">
        <v>28</v>
      </c>
      <c r="I251" s="297" t="s">
        <v>29</v>
      </c>
      <c r="J251" s="297"/>
      <c r="K251" s="298" t="s">
        <v>22</v>
      </c>
      <c r="L251" s="299">
        <v>3613292.96</v>
      </c>
    </row>
    <row r="252" spans="1:12" ht="61.2" hidden="1" x14ac:dyDescent="0.3">
      <c r="A252" s="293" t="s">
        <v>85</v>
      </c>
      <c r="B252" s="294" t="s">
        <v>941</v>
      </c>
      <c r="C252" s="294" t="s">
        <v>935</v>
      </c>
      <c r="D252" s="294" t="s">
        <v>752</v>
      </c>
      <c r="E252" s="295" t="s">
        <v>27</v>
      </c>
      <c r="F252" s="296">
        <v>2044.48</v>
      </c>
      <c r="G252" s="296"/>
      <c r="H252" s="295" t="s">
        <v>28</v>
      </c>
      <c r="I252" s="297" t="s">
        <v>29</v>
      </c>
      <c r="J252" s="297"/>
      <c r="K252" s="298" t="s">
        <v>22</v>
      </c>
      <c r="L252" s="299">
        <v>3615337.44</v>
      </c>
    </row>
    <row r="253" spans="1:12" ht="51" hidden="1" x14ac:dyDescent="0.3">
      <c r="A253" s="293" t="s">
        <v>85</v>
      </c>
      <c r="B253" s="294" t="s">
        <v>941</v>
      </c>
      <c r="C253" s="294" t="s">
        <v>936</v>
      </c>
      <c r="D253" s="294" t="s">
        <v>752</v>
      </c>
      <c r="E253" s="295" t="s">
        <v>27</v>
      </c>
      <c r="F253" s="296">
        <v>1117.5899999999999</v>
      </c>
      <c r="G253" s="296"/>
      <c r="H253" s="295" t="s">
        <v>28</v>
      </c>
      <c r="I253" s="297" t="s">
        <v>29</v>
      </c>
      <c r="J253" s="297"/>
      <c r="K253" s="298" t="s">
        <v>22</v>
      </c>
      <c r="L253" s="299">
        <v>3616455.03</v>
      </c>
    </row>
    <row r="254" spans="1:12" ht="51" hidden="1" x14ac:dyDescent="0.3">
      <c r="A254" s="293" t="s">
        <v>85</v>
      </c>
      <c r="B254" s="294" t="s">
        <v>941</v>
      </c>
      <c r="C254" s="294" t="s">
        <v>937</v>
      </c>
      <c r="D254" s="294" t="s">
        <v>752</v>
      </c>
      <c r="E254" s="295" t="s">
        <v>27</v>
      </c>
      <c r="F254" s="296">
        <v>1155.8</v>
      </c>
      <c r="G254" s="296"/>
      <c r="H254" s="295" t="s">
        <v>28</v>
      </c>
      <c r="I254" s="297" t="s">
        <v>29</v>
      </c>
      <c r="J254" s="297"/>
      <c r="K254" s="298" t="s">
        <v>22</v>
      </c>
      <c r="L254" s="299">
        <v>3617610.83</v>
      </c>
    </row>
    <row r="255" spans="1:12" ht="51" hidden="1" x14ac:dyDescent="0.3">
      <c r="A255" s="293" t="s">
        <v>85</v>
      </c>
      <c r="B255" s="294" t="s">
        <v>941</v>
      </c>
      <c r="C255" s="294" t="s">
        <v>938</v>
      </c>
      <c r="D255" s="294" t="s">
        <v>752</v>
      </c>
      <c r="E255" s="295" t="s">
        <v>27</v>
      </c>
      <c r="F255" s="296">
        <v>1106.9000000000001</v>
      </c>
      <c r="G255" s="296"/>
      <c r="H255" s="295" t="s">
        <v>28</v>
      </c>
      <c r="I255" s="297" t="s">
        <v>29</v>
      </c>
      <c r="J255" s="297"/>
      <c r="K255" s="298" t="s">
        <v>22</v>
      </c>
      <c r="L255" s="299">
        <v>3618717.73</v>
      </c>
    </row>
    <row r="256" spans="1:12" ht="51" hidden="1" x14ac:dyDescent="0.3">
      <c r="A256" s="293" t="s">
        <v>85</v>
      </c>
      <c r="B256" s="294" t="s">
        <v>941</v>
      </c>
      <c r="C256" s="294" t="s">
        <v>939</v>
      </c>
      <c r="D256" s="294" t="s">
        <v>752</v>
      </c>
      <c r="E256" s="295" t="s">
        <v>27</v>
      </c>
      <c r="F256" s="296">
        <v>1077.8800000000001</v>
      </c>
      <c r="G256" s="296"/>
      <c r="H256" s="295" t="s">
        <v>28</v>
      </c>
      <c r="I256" s="297" t="s">
        <v>29</v>
      </c>
      <c r="J256" s="297"/>
      <c r="K256" s="298" t="s">
        <v>22</v>
      </c>
      <c r="L256" s="299">
        <v>3619795.61</v>
      </c>
    </row>
    <row r="257" spans="1:12" ht="51" x14ac:dyDescent="0.3">
      <c r="A257" s="293" t="s">
        <v>85</v>
      </c>
      <c r="B257" s="294" t="s">
        <v>942</v>
      </c>
      <c r="C257" s="294" t="s">
        <v>174</v>
      </c>
      <c r="D257" s="294" t="s">
        <v>820</v>
      </c>
      <c r="E257" s="295" t="s">
        <v>175</v>
      </c>
      <c r="F257" s="301" t="s">
        <v>29</v>
      </c>
      <c r="G257" s="301"/>
      <c r="H257" s="295" t="s">
        <v>27</v>
      </c>
      <c r="I257" s="302">
        <v>192366.89</v>
      </c>
      <c r="J257" s="302"/>
      <c r="K257" s="298" t="s">
        <v>22</v>
      </c>
      <c r="L257" s="299">
        <v>3427428.72</v>
      </c>
    </row>
    <row r="258" spans="1:12" ht="51" x14ac:dyDescent="0.3">
      <c r="A258" s="293" t="s">
        <v>85</v>
      </c>
      <c r="B258" s="294" t="s">
        <v>942</v>
      </c>
      <c r="C258" s="294" t="s">
        <v>174</v>
      </c>
      <c r="D258" s="294" t="s">
        <v>849</v>
      </c>
      <c r="E258" s="295" t="s">
        <v>175</v>
      </c>
      <c r="F258" s="301" t="s">
        <v>29</v>
      </c>
      <c r="G258" s="301"/>
      <c r="H258" s="295" t="s">
        <v>27</v>
      </c>
      <c r="I258" s="302">
        <v>93037.87</v>
      </c>
      <c r="J258" s="302"/>
      <c r="K258" s="298" t="s">
        <v>22</v>
      </c>
      <c r="L258" s="299">
        <v>3334390.85</v>
      </c>
    </row>
    <row r="259" spans="1:12" ht="51" x14ac:dyDescent="0.3">
      <c r="A259" s="293" t="s">
        <v>85</v>
      </c>
      <c r="B259" s="294" t="s">
        <v>942</v>
      </c>
      <c r="C259" s="294" t="s">
        <v>174</v>
      </c>
      <c r="D259" s="294" t="s">
        <v>805</v>
      </c>
      <c r="E259" s="295" t="s">
        <v>175</v>
      </c>
      <c r="F259" s="301" t="s">
        <v>29</v>
      </c>
      <c r="G259" s="301"/>
      <c r="H259" s="295" t="s">
        <v>27</v>
      </c>
      <c r="I259" s="302">
        <v>38054.370000000003</v>
      </c>
      <c r="J259" s="302"/>
      <c r="K259" s="298" t="s">
        <v>22</v>
      </c>
      <c r="L259" s="299">
        <v>3296336.48</v>
      </c>
    </row>
    <row r="260" spans="1:12" ht="51" x14ac:dyDescent="0.3">
      <c r="A260" s="293" t="s">
        <v>85</v>
      </c>
      <c r="B260" s="294" t="s">
        <v>942</v>
      </c>
      <c r="C260" s="294" t="s">
        <v>174</v>
      </c>
      <c r="D260" s="294" t="s">
        <v>817</v>
      </c>
      <c r="E260" s="295" t="s">
        <v>175</v>
      </c>
      <c r="F260" s="301" t="s">
        <v>29</v>
      </c>
      <c r="G260" s="301"/>
      <c r="H260" s="295" t="s">
        <v>27</v>
      </c>
      <c r="I260" s="302">
        <v>38054.379999999997</v>
      </c>
      <c r="J260" s="302"/>
      <c r="K260" s="298" t="s">
        <v>22</v>
      </c>
      <c r="L260" s="299">
        <v>3258282.1</v>
      </c>
    </row>
    <row r="261" spans="1:12" ht="51" x14ac:dyDescent="0.3">
      <c r="A261" s="293" t="s">
        <v>85</v>
      </c>
      <c r="B261" s="294" t="s">
        <v>942</v>
      </c>
      <c r="C261" s="294" t="s">
        <v>174</v>
      </c>
      <c r="D261" s="294" t="s">
        <v>815</v>
      </c>
      <c r="E261" s="295" t="s">
        <v>175</v>
      </c>
      <c r="F261" s="301" t="s">
        <v>29</v>
      </c>
      <c r="G261" s="301"/>
      <c r="H261" s="295" t="s">
        <v>27</v>
      </c>
      <c r="I261" s="302">
        <v>96607.46</v>
      </c>
      <c r="J261" s="302"/>
      <c r="K261" s="298" t="s">
        <v>22</v>
      </c>
      <c r="L261" s="299">
        <v>3161674.64</v>
      </c>
    </row>
    <row r="262" spans="1:12" ht="51" x14ac:dyDescent="0.3">
      <c r="A262" s="293" t="s">
        <v>85</v>
      </c>
      <c r="B262" s="294" t="s">
        <v>942</v>
      </c>
      <c r="C262" s="294" t="s">
        <v>174</v>
      </c>
      <c r="D262" s="294" t="s">
        <v>815</v>
      </c>
      <c r="E262" s="295" t="s">
        <v>175</v>
      </c>
      <c r="F262" s="301" t="s">
        <v>29</v>
      </c>
      <c r="G262" s="301"/>
      <c r="H262" s="295" t="s">
        <v>27</v>
      </c>
      <c r="I262" s="302">
        <v>19321.490000000002</v>
      </c>
      <c r="J262" s="302"/>
      <c r="K262" s="298" t="s">
        <v>22</v>
      </c>
      <c r="L262" s="299">
        <v>3142353.15</v>
      </c>
    </row>
    <row r="263" spans="1:12" ht="51" x14ac:dyDescent="0.3">
      <c r="A263" s="293" t="s">
        <v>85</v>
      </c>
      <c r="B263" s="294" t="s">
        <v>942</v>
      </c>
      <c r="C263" s="294" t="s">
        <v>174</v>
      </c>
      <c r="D263" s="294" t="s">
        <v>850</v>
      </c>
      <c r="E263" s="295" t="s">
        <v>175</v>
      </c>
      <c r="F263" s="301" t="s">
        <v>29</v>
      </c>
      <c r="G263" s="301"/>
      <c r="H263" s="295" t="s">
        <v>27</v>
      </c>
      <c r="I263" s="302">
        <v>77285.97</v>
      </c>
      <c r="J263" s="302"/>
      <c r="K263" s="298" t="s">
        <v>22</v>
      </c>
      <c r="L263" s="299">
        <v>3065067.18</v>
      </c>
    </row>
    <row r="264" spans="1:12" ht="51" x14ac:dyDescent="0.3">
      <c r="A264" s="293" t="s">
        <v>85</v>
      </c>
      <c r="B264" s="294" t="s">
        <v>942</v>
      </c>
      <c r="C264" s="294" t="s">
        <v>174</v>
      </c>
      <c r="D264" s="294" t="s">
        <v>882</v>
      </c>
      <c r="E264" s="295" t="s">
        <v>175</v>
      </c>
      <c r="F264" s="301" t="s">
        <v>29</v>
      </c>
      <c r="G264" s="301"/>
      <c r="H264" s="295" t="s">
        <v>27</v>
      </c>
      <c r="I264" s="302">
        <v>19321.490000000002</v>
      </c>
      <c r="J264" s="302"/>
      <c r="K264" s="298" t="s">
        <v>22</v>
      </c>
      <c r="L264" s="299">
        <v>3045745.69</v>
      </c>
    </row>
    <row r="265" spans="1:12" ht="51" x14ac:dyDescent="0.3">
      <c r="A265" s="293" t="s">
        <v>85</v>
      </c>
      <c r="B265" s="294" t="s">
        <v>942</v>
      </c>
      <c r="C265" s="294" t="s">
        <v>174</v>
      </c>
      <c r="D265" s="294" t="s">
        <v>866</v>
      </c>
      <c r="E265" s="295" t="s">
        <v>175</v>
      </c>
      <c r="F265" s="301" t="s">
        <v>29</v>
      </c>
      <c r="G265" s="301"/>
      <c r="H265" s="295" t="s">
        <v>27</v>
      </c>
      <c r="I265" s="302">
        <v>31706.85</v>
      </c>
      <c r="J265" s="302"/>
      <c r="K265" s="298" t="s">
        <v>22</v>
      </c>
      <c r="L265" s="299">
        <v>3014038.84</v>
      </c>
    </row>
    <row r="266" spans="1:12" ht="51" x14ac:dyDescent="0.3">
      <c r="A266" s="293" t="s">
        <v>85</v>
      </c>
      <c r="B266" s="294" t="s">
        <v>942</v>
      </c>
      <c r="C266" s="294" t="s">
        <v>174</v>
      </c>
      <c r="D266" s="294" t="s">
        <v>855</v>
      </c>
      <c r="E266" s="295" t="s">
        <v>175</v>
      </c>
      <c r="F266" s="301" t="s">
        <v>29</v>
      </c>
      <c r="G266" s="301"/>
      <c r="H266" s="295" t="s">
        <v>27</v>
      </c>
      <c r="I266" s="302">
        <v>96443.39</v>
      </c>
      <c r="J266" s="302"/>
      <c r="K266" s="298" t="s">
        <v>22</v>
      </c>
      <c r="L266" s="299">
        <v>2917595.45</v>
      </c>
    </row>
    <row r="267" spans="1:12" ht="51" x14ac:dyDescent="0.3">
      <c r="A267" s="293" t="s">
        <v>85</v>
      </c>
      <c r="B267" s="294" t="s">
        <v>942</v>
      </c>
      <c r="C267" s="294" t="s">
        <v>174</v>
      </c>
      <c r="D267" s="294" t="s">
        <v>855</v>
      </c>
      <c r="E267" s="295" t="s">
        <v>175</v>
      </c>
      <c r="F267" s="301" t="s">
        <v>29</v>
      </c>
      <c r="G267" s="301"/>
      <c r="H267" s="295" t="s">
        <v>27</v>
      </c>
      <c r="I267" s="302">
        <v>96443.39</v>
      </c>
      <c r="J267" s="302"/>
      <c r="K267" s="298" t="s">
        <v>22</v>
      </c>
      <c r="L267" s="299">
        <v>2821152.06</v>
      </c>
    </row>
    <row r="268" spans="1:12" hidden="1" x14ac:dyDescent="0.3">
      <c r="A268" s="304" t="s">
        <v>102</v>
      </c>
      <c r="B268" s="304"/>
      <c r="C268" s="304"/>
      <c r="D268" s="304"/>
      <c r="E268" s="305">
        <v>6226514.7699999996</v>
      </c>
      <c r="F268" s="305"/>
      <c r="G268" s="305"/>
      <c r="H268" s="305">
        <v>4962903</v>
      </c>
      <c r="I268" s="305"/>
      <c r="J268" s="305"/>
      <c r="K268" s="306" t="s">
        <v>22</v>
      </c>
      <c r="L268" s="307">
        <v>2821152.06</v>
      </c>
    </row>
    <row r="270" spans="1:12" x14ac:dyDescent="0.3">
      <c r="J270" s="363">
        <f>SUBTOTAL(9,I88:J267)</f>
        <v>4701649.7499999981</v>
      </c>
    </row>
  </sheetData>
  <autoFilter ref="B1:D268">
    <filterColumn colId="0">
      <filters>
        <filter val="Вимога-накладна ІБ00-000200 від 18.03.2025 15:00:00_x000a_Списаны ТМЦ"/>
        <filter val="Вимога-накладна ІБ00-000206 від 20.03.2025 08:20:25_x000a_Списаны ТМЦ"/>
        <filter val="Вимога-накладна ІБ00-000222 від 26.03.2025 16:33:09_x000a_Списаны ТМЦ"/>
        <filter val="Вимога-накладна ІБ00-000223 від 27.03.2025 13:48:10_x000a_Списаны ТМЦ"/>
        <filter val="Вимога-накладна ІБ00-000240 від 28.03.2025 20:00:04_x000a_Списаны ТМЦ"/>
      </filters>
    </filterColumn>
  </autoFilter>
  <mergeCells count="542">
    <mergeCell ref="A268:D268"/>
    <mergeCell ref="E268:G268"/>
    <mergeCell ref="H268:J268"/>
    <mergeCell ref="F265:G265"/>
    <mergeCell ref="I265:J265"/>
    <mergeCell ref="F266:G266"/>
    <mergeCell ref="I266:J266"/>
    <mergeCell ref="F267:G267"/>
    <mergeCell ref="I267:J267"/>
    <mergeCell ref="F262:G262"/>
    <mergeCell ref="I262:J262"/>
    <mergeCell ref="F263:G263"/>
    <mergeCell ref="I263:J263"/>
    <mergeCell ref="F264:G264"/>
    <mergeCell ref="I264:J264"/>
    <mergeCell ref="F259:G259"/>
    <mergeCell ref="I259:J259"/>
    <mergeCell ref="F260:G260"/>
    <mergeCell ref="I260:J260"/>
    <mergeCell ref="F261:G261"/>
    <mergeCell ref="I261:J261"/>
    <mergeCell ref="F256:G256"/>
    <mergeCell ref="I256:J256"/>
    <mergeCell ref="F257:G257"/>
    <mergeCell ref="I257:J257"/>
    <mergeCell ref="F258:G258"/>
    <mergeCell ref="I258:J258"/>
    <mergeCell ref="F253:G253"/>
    <mergeCell ref="I253:J253"/>
    <mergeCell ref="F254:G254"/>
    <mergeCell ref="I254:J254"/>
    <mergeCell ref="F255:G255"/>
    <mergeCell ref="I255:J255"/>
    <mergeCell ref="F250:G250"/>
    <mergeCell ref="I250:J250"/>
    <mergeCell ref="F251:G251"/>
    <mergeCell ref="I251:J251"/>
    <mergeCell ref="F252:G252"/>
    <mergeCell ref="I252:J252"/>
    <mergeCell ref="F247:G247"/>
    <mergeCell ref="I247:J247"/>
    <mergeCell ref="F248:G248"/>
    <mergeCell ref="I248:J248"/>
    <mergeCell ref="F249:G249"/>
    <mergeCell ref="I249:J249"/>
    <mergeCell ref="F244:G244"/>
    <mergeCell ref="I244:J244"/>
    <mergeCell ref="F245:G245"/>
    <mergeCell ref="I245:J245"/>
    <mergeCell ref="F246:G246"/>
    <mergeCell ref="I246:J246"/>
    <mergeCell ref="F241:G241"/>
    <mergeCell ref="I241:J241"/>
    <mergeCell ref="F242:G242"/>
    <mergeCell ref="I242:J242"/>
    <mergeCell ref="F243:G243"/>
    <mergeCell ref="I243:J243"/>
    <mergeCell ref="F238:G238"/>
    <mergeCell ref="I238:J238"/>
    <mergeCell ref="F239:G239"/>
    <mergeCell ref="I239:J239"/>
    <mergeCell ref="F240:G240"/>
    <mergeCell ref="I240:J240"/>
    <mergeCell ref="F235:G235"/>
    <mergeCell ref="I235:J235"/>
    <mergeCell ref="F236:G236"/>
    <mergeCell ref="I236:J236"/>
    <mergeCell ref="F237:G237"/>
    <mergeCell ref="I237:J237"/>
    <mergeCell ref="F232:G232"/>
    <mergeCell ref="I232:J232"/>
    <mergeCell ref="F233:G233"/>
    <mergeCell ref="I233:J233"/>
    <mergeCell ref="F234:G234"/>
    <mergeCell ref="I234:J234"/>
    <mergeCell ref="F229:G229"/>
    <mergeCell ref="I229:J229"/>
    <mergeCell ref="F230:G230"/>
    <mergeCell ref="I230:J230"/>
    <mergeCell ref="F231:G231"/>
    <mergeCell ref="I231:J231"/>
    <mergeCell ref="F226:G226"/>
    <mergeCell ref="I226:J226"/>
    <mergeCell ref="F227:G227"/>
    <mergeCell ref="I227:J227"/>
    <mergeCell ref="F228:G228"/>
    <mergeCell ref="I228:J228"/>
    <mergeCell ref="F223:G223"/>
    <mergeCell ref="I223:J223"/>
    <mergeCell ref="F224:G224"/>
    <mergeCell ref="I224:J224"/>
    <mergeCell ref="F225:G225"/>
    <mergeCell ref="I225:J225"/>
    <mergeCell ref="F220:G220"/>
    <mergeCell ref="I220:J220"/>
    <mergeCell ref="F221:G221"/>
    <mergeCell ref="I221:J221"/>
    <mergeCell ref="F222:G222"/>
    <mergeCell ref="I222:J222"/>
    <mergeCell ref="F217:G217"/>
    <mergeCell ref="I217:J217"/>
    <mergeCell ref="F218:G218"/>
    <mergeCell ref="I218:J218"/>
    <mergeCell ref="F219:G219"/>
    <mergeCell ref="I219:J219"/>
    <mergeCell ref="F214:G214"/>
    <mergeCell ref="I214:J214"/>
    <mergeCell ref="F215:G215"/>
    <mergeCell ref="I215:J215"/>
    <mergeCell ref="F216:G216"/>
    <mergeCell ref="I216:J216"/>
    <mergeCell ref="F211:G211"/>
    <mergeCell ref="I211:J211"/>
    <mergeCell ref="F212:G212"/>
    <mergeCell ref="I212:J212"/>
    <mergeCell ref="F213:G213"/>
    <mergeCell ref="I213:J213"/>
    <mergeCell ref="F208:G208"/>
    <mergeCell ref="I208:J208"/>
    <mergeCell ref="F209:G209"/>
    <mergeCell ref="I209:J209"/>
    <mergeCell ref="F210:G210"/>
    <mergeCell ref="I210:J210"/>
    <mergeCell ref="F205:G205"/>
    <mergeCell ref="I205:J205"/>
    <mergeCell ref="F206:G206"/>
    <mergeCell ref="I206:J206"/>
    <mergeCell ref="F207:G207"/>
    <mergeCell ref="I207:J207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719"/>
  <sheetViews>
    <sheetView topLeftCell="A709" workbookViewId="0">
      <selection activeCell="J720" sqref="J720"/>
    </sheetView>
  </sheetViews>
  <sheetFormatPr defaultRowHeight="14.4" x14ac:dyDescent="0.3"/>
  <cols>
    <col min="2" max="4" width="26" customWidth="1"/>
  </cols>
  <sheetData>
    <row r="1" spans="1:12" x14ac:dyDescent="0.3">
      <c r="A1" s="308" t="s">
        <v>13</v>
      </c>
      <c r="B1" s="309" t="s">
        <v>14</v>
      </c>
      <c r="C1" s="309" t="s">
        <v>15</v>
      </c>
      <c r="D1" s="310" t="s">
        <v>16</v>
      </c>
      <c r="E1" s="311" t="s">
        <v>17</v>
      </c>
      <c r="F1" s="311"/>
      <c r="G1" s="311"/>
      <c r="H1" s="312" t="s">
        <v>18</v>
      </c>
      <c r="I1" s="312"/>
      <c r="J1" s="312"/>
      <c r="K1" s="309" t="s">
        <v>19</v>
      </c>
      <c r="L1" s="309"/>
    </row>
    <row r="2" spans="1:12" hidden="1" x14ac:dyDescent="0.3">
      <c r="A2" s="313"/>
      <c r="B2" s="314"/>
      <c r="C2" s="314"/>
      <c r="D2" s="315"/>
      <c r="E2" s="316" t="s">
        <v>20</v>
      </c>
      <c r="F2" s="317"/>
      <c r="G2" s="317"/>
      <c r="H2" s="318" t="s">
        <v>20</v>
      </c>
      <c r="I2" s="319"/>
      <c r="J2" s="319"/>
      <c r="K2" s="313"/>
      <c r="L2" s="320"/>
    </row>
    <row r="3" spans="1:12" ht="51" hidden="1" x14ac:dyDescent="0.3">
      <c r="A3" s="321" t="s">
        <v>184</v>
      </c>
      <c r="B3" s="322" t="s">
        <v>943</v>
      </c>
      <c r="C3" s="322" t="s">
        <v>944</v>
      </c>
      <c r="D3" s="322" t="s">
        <v>945</v>
      </c>
      <c r="E3" s="323" t="s">
        <v>27</v>
      </c>
      <c r="F3" s="324">
        <v>520298.22</v>
      </c>
      <c r="G3" s="324"/>
      <c r="H3" s="323" t="s">
        <v>28</v>
      </c>
      <c r="I3" s="325" t="s">
        <v>29</v>
      </c>
      <c r="J3" s="325"/>
      <c r="K3" s="326" t="s">
        <v>22</v>
      </c>
      <c r="L3" s="327">
        <v>8843327.0700000003</v>
      </c>
    </row>
    <row r="4" spans="1:12" ht="51" hidden="1" x14ac:dyDescent="0.3">
      <c r="A4" s="321" t="s">
        <v>184</v>
      </c>
      <c r="B4" s="322" t="s">
        <v>943</v>
      </c>
      <c r="C4" s="322" t="s">
        <v>946</v>
      </c>
      <c r="D4" s="322" t="s">
        <v>945</v>
      </c>
      <c r="E4" s="323" t="s">
        <v>27</v>
      </c>
      <c r="F4" s="324">
        <v>93951.72</v>
      </c>
      <c r="G4" s="324"/>
      <c r="H4" s="323" t="s">
        <v>28</v>
      </c>
      <c r="I4" s="325" t="s">
        <v>29</v>
      </c>
      <c r="J4" s="325"/>
      <c r="K4" s="326" t="s">
        <v>22</v>
      </c>
      <c r="L4" s="327">
        <v>8937278.7899999991</v>
      </c>
    </row>
    <row r="5" spans="1:12" ht="51" hidden="1" x14ac:dyDescent="0.3">
      <c r="A5" s="321" t="s">
        <v>184</v>
      </c>
      <c r="B5" s="322" t="s">
        <v>943</v>
      </c>
      <c r="C5" s="322" t="s">
        <v>947</v>
      </c>
      <c r="D5" s="322" t="s">
        <v>945</v>
      </c>
      <c r="E5" s="323" t="s">
        <v>27</v>
      </c>
      <c r="F5" s="324">
        <v>112375.6</v>
      </c>
      <c r="G5" s="324"/>
      <c r="H5" s="323" t="s">
        <v>28</v>
      </c>
      <c r="I5" s="325" t="s">
        <v>29</v>
      </c>
      <c r="J5" s="325"/>
      <c r="K5" s="326" t="s">
        <v>22</v>
      </c>
      <c r="L5" s="327">
        <v>9049654.3900000006</v>
      </c>
    </row>
    <row r="6" spans="1:12" ht="51" hidden="1" x14ac:dyDescent="0.3">
      <c r="A6" s="321" t="s">
        <v>184</v>
      </c>
      <c r="B6" s="322" t="s">
        <v>948</v>
      </c>
      <c r="C6" s="322" t="s">
        <v>944</v>
      </c>
      <c r="D6" s="322" t="s">
        <v>945</v>
      </c>
      <c r="E6" s="323" t="s">
        <v>27</v>
      </c>
      <c r="F6" s="324">
        <v>11934.12</v>
      </c>
      <c r="G6" s="324"/>
      <c r="H6" s="323" t="s">
        <v>28</v>
      </c>
      <c r="I6" s="325" t="s">
        <v>29</v>
      </c>
      <c r="J6" s="325"/>
      <c r="K6" s="326" t="s">
        <v>22</v>
      </c>
      <c r="L6" s="327">
        <v>9061588.5099999998</v>
      </c>
    </row>
    <row r="7" spans="1:12" ht="51" hidden="1" x14ac:dyDescent="0.3">
      <c r="A7" s="321" t="s">
        <v>184</v>
      </c>
      <c r="B7" s="322" t="s">
        <v>948</v>
      </c>
      <c r="C7" s="322" t="s">
        <v>946</v>
      </c>
      <c r="D7" s="322" t="s">
        <v>945</v>
      </c>
      <c r="E7" s="323" t="s">
        <v>27</v>
      </c>
      <c r="F7" s="324">
        <v>2154.98</v>
      </c>
      <c r="G7" s="324"/>
      <c r="H7" s="323" t="s">
        <v>28</v>
      </c>
      <c r="I7" s="325" t="s">
        <v>29</v>
      </c>
      <c r="J7" s="325"/>
      <c r="K7" s="326" t="s">
        <v>22</v>
      </c>
      <c r="L7" s="327">
        <v>9063743.4900000002</v>
      </c>
    </row>
    <row r="8" spans="1:12" ht="51" hidden="1" x14ac:dyDescent="0.3">
      <c r="A8" s="321" t="s">
        <v>184</v>
      </c>
      <c r="B8" s="322" t="s">
        <v>948</v>
      </c>
      <c r="C8" s="322" t="s">
        <v>947</v>
      </c>
      <c r="D8" s="322" t="s">
        <v>945</v>
      </c>
      <c r="E8" s="323" t="s">
        <v>27</v>
      </c>
      <c r="F8" s="324">
        <v>2577.5700000000002</v>
      </c>
      <c r="G8" s="324"/>
      <c r="H8" s="323" t="s">
        <v>28</v>
      </c>
      <c r="I8" s="325" t="s">
        <v>29</v>
      </c>
      <c r="J8" s="325"/>
      <c r="K8" s="326" t="s">
        <v>22</v>
      </c>
      <c r="L8" s="327">
        <v>9066321.0600000005</v>
      </c>
    </row>
    <row r="9" spans="1:12" ht="51" hidden="1" x14ac:dyDescent="0.3">
      <c r="A9" s="321" t="s">
        <v>23</v>
      </c>
      <c r="B9" s="322" t="s">
        <v>239</v>
      </c>
      <c r="C9" s="322" t="s">
        <v>240</v>
      </c>
      <c r="D9" s="322" t="s">
        <v>231</v>
      </c>
      <c r="E9" s="323" t="s">
        <v>27</v>
      </c>
      <c r="F9" s="324">
        <v>27231.03</v>
      </c>
      <c r="G9" s="324"/>
      <c r="H9" s="323" t="s">
        <v>27</v>
      </c>
      <c r="I9" s="325" t="s">
        <v>29</v>
      </c>
      <c r="J9" s="325"/>
      <c r="K9" s="326" t="s">
        <v>22</v>
      </c>
      <c r="L9" s="327">
        <v>9093552.0899999999</v>
      </c>
    </row>
    <row r="10" spans="1:12" ht="61.2" hidden="1" x14ac:dyDescent="0.3">
      <c r="A10" s="321" t="s">
        <v>23</v>
      </c>
      <c r="B10" s="322" t="s">
        <v>949</v>
      </c>
      <c r="C10" s="322" t="s">
        <v>950</v>
      </c>
      <c r="D10" s="322" t="s">
        <v>951</v>
      </c>
      <c r="E10" s="323" t="s">
        <v>27</v>
      </c>
      <c r="F10" s="324">
        <v>3712.8</v>
      </c>
      <c r="G10" s="324"/>
      <c r="H10" s="323" t="s">
        <v>28</v>
      </c>
      <c r="I10" s="325" t="s">
        <v>29</v>
      </c>
      <c r="J10" s="325"/>
      <c r="K10" s="326" t="s">
        <v>22</v>
      </c>
      <c r="L10" s="327">
        <v>9097264.8900000006</v>
      </c>
    </row>
    <row r="11" spans="1:12" ht="61.2" hidden="1" x14ac:dyDescent="0.3">
      <c r="A11" s="321" t="s">
        <v>23</v>
      </c>
      <c r="B11" s="322" t="s">
        <v>949</v>
      </c>
      <c r="C11" s="322" t="s">
        <v>950</v>
      </c>
      <c r="D11" s="322" t="s">
        <v>951</v>
      </c>
      <c r="E11" s="323" t="s">
        <v>27</v>
      </c>
      <c r="F11" s="324">
        <v>19727.5</v>
      </c>
      <c r="G11" s="324"/>
      <c r="H11" s="323" t="s">
        <v>28</v>
      </c>
      <c r="I11" s="325" t="s">
        <v>29</v>
      </c>
      <c r="J11" s="325"/>
      <c r="K11" s="326" t="s">
        <v>22</v>
      </c>
      <c r="L11" s="327">
        <v>9116992.3900000006</v>
      </c>
    </row>
    <row r="12" spans="1:12" ht="61.2" hidden="1" x14ac:dyDescent="0.3">
      <c r="A12" s="321" t="s">
        <v>23</v>
      </c>
      <c r="B12" s="322" t="s">
        <v>949</v>
      </c>
      <c r="C12" s="322" t="s">
        <v>952</v>
      </c>
      <c r="D12" s="322" t="s">
        <v>951</v>
      </c>
      <c r="E12" s="323" t="s">
        <v>27</v>
      </c>
      <c r="F12" s="324">
        <v>4483.2</v>
      </c>
      <c r="G12" s="324"/>
      <c r="H12" s="323" t="s">
        <v>28</v>
      </c>
      <c r="I12" s="325" t="s">
        <v>29</v>
      </c>
      <c r="J12" s="325"/>
      <c r="K12" s="326" t="s">
        <v>22</v>
      </c>
      <c r="L12" s="327">
        <v>9121475.5899999999</v>
      </c>
    </row>
    <row r="13" spans="1:12" ht="61.2" hidden="1" x14ac:dyDescent="0.3">
      <c r="A13" s="321" t="s">
        <v>23</v>
      </c>
      <c r="B13" s="322" t="s">
        <v>949</v>
      </c>
      <c r="C13" s="322" t="s">
        <v>953</v>
      </c>
      <c r="D13" s="322" t="s">
        <v>951</v>
      </c>
      <c r="E13" s="323" t="s">
        <v>27</v>
      </c>
      <c r="F13" s="324">
        <v>90288</v>
      </c>
      <c r="G13" s="324"/>
      <c r="H13" s="323" t="s">
        <v>28</v>
      </c>
      <c r="I13" s="325" t="s">
        <v>29</v>
      </c>
      <c r="J13" s="325"/>
      <c r="K13" s="326" t="s">
        <v>22</v>
      </c>
      <c r="L13" s="327">
        <v>9211763.5899999999</v>
      </c>
    </row>
    <row r="14" spans="1:12" ht="61.2" hidden="1" x14ac:dyDescent="0.3">
      <c r="A14" s="321" t="s">
        <v>23</v>
      </c>
      <c r="B14" s="322" t="s">
        <v>949</v>
      </c>
      <c r="C14" s="322" t="s">
        <v>954</v>
      </c>
      <c r="D14" s="322" t="s">
        <v>951</v>
      </c>
      <c r="E14" s="323" t="s">
        <v>27</v>
      </c>
      <c r="F14" s="324">
        <v>12814.2</v>
      </c>
      <c r="G14" s="324"/>
      <c r="H14" s="323" t="s">
        <v>28</v>
      </c>
      <c r="I14" s="325" t="s">
        <v>29</v>
      </c>
      <c r="J14" s="325"/>
      <c r="K14" s="326" t="s">
        <v>22</v>
      </c>
      <c r="L14" s="327">
        <v>9224577.7899999991</v>
      </c>
    </row>
    <row r="15" spans="1:12" ht="61.2" hidden="1" x14ac:dyDescent="0.3">
      <c r="A15" s="321" t="s">
        <v>23</v>
      </c>
      <c r="B15" s="322" t="s">
        <v>949</v>
      </c>
      <c r="C15" s="322" t="s">
        <v>953</v>
      </c>
      <c r="D15" s="322" t="s">
        <v>951</v>
      </c>
      <c r="E15" s="323" t="s">
        <v>27</v>
      </c>
      <c r="F15" s="324">
        <v>3481.6</v>
      </c>
      <c r="G15" s="324"/>
      <c r="H15" s="323" t="s">
        <v>28</v>
      </c>
      <c r="I15" s="325" t="s">
        <v>29</v>
      </c>
      <c r="J15" s="325"/>
      <c r="K15" s="326" t="s">
        <v>22</v>
      </c>
      <c r="L15" s="327">
        <v>9228059.3900000006</v>
      </c>
    </row>
    <row r="16" spans="1:12" ht="61.2" hidden="1" x14ac:dyDescent="0.3">
      <c r="A16" s="321" t="s">
        <v>23</v>
      </c>
      <c r="B16" s="322" t="s">
        <v>949</v>
      </c>
      <c r="C16" s="322" t="s">
        <v>954</v>
      </c>
      <c r="D16" s="322" t="s">
        <v>951</v>
      </c>
      <c r="E16" s="323" t="s">
        <v>27</v>
      </c>
      <c r="F16" s="324">
        <v>4172.8999999999996</v>
      </c>
      <c r="G16" s="324"/>
      <c r="H16" s="323" t="s">
        <v>28</v>
      </c>
      <c r="I16" s="325" t="s">
        <v>29</v>
      </c>
      <c r="J16" s="325"/>
      <c r="K16" s="326" t="s">
        <v>22</v>
      </c>
      <c r="L16" s="327">
        <v>9232232.2899999991</v>
      </c>
    </row>
    <row r="17" spans="1:12" ht="61.2" hidden="1" x14ac:dyDescent="0.3">
      <c r="A17" s="321" t="s">
        <v>23</v>
      </c>
      <c r="B17" s="322" t="s">
        <v>949</v>
      </c>
      <c r="C17" s="322" t="s">
        <v>955</v>
      </c>
      <c r="D17" s="322" t="s">
        <v>951</v>
      </c>
      <c r="E17" s="323" t="s">
        <v>27</v>
      </c>
      <c r="F17" s="324">
        <v>28622.400000000001</v>
      </c>
      <c r="G17" s="324"/>
      <c r="H17" s="323" t="s">
        <v>28</v>
      </c>
      <c r="I17" s="325" t="s">
        <v>29</v>
      </c>
      <c r="J17" s="325"/>
      <c r="K17" s="326" t="s">
        <v>22</v>
      </c>
      <c r="L17" s="327">
        <v>9260854.6899999995</v>
      </c>
    </row>
    <row r="18" spans="1:12" ht="61.2" hidden="1" x14ac:dyDescent="0.3">
      <c r="A18" s="321" t="s">
        <v>23</v>
      </c>
      <c r="B18" s="322" t="s">
        <v>949</v>
      </c>
      <c r="C18" s="322" t="s">
        <v>956</v>
      </c>
      <c r="D18" s="322" t="s">
        <v>951</v>
      </c>
      <c r="E18" s="323" t="s">
        <v>27</v>
      </c>
      <c r="F18" s="324">
        <v>4069.3</v>
      </c>
      <c r="G18" s="324"/>
      <c r="H18" s="323" t="s">
        <v>28</v>
      </c>
      <c r="I18" s="325" t="s">
        <v>29</v>
      </c>
      <c r="J18" s="325"/>
      <c r="K18" s="326" t="s">
        <v>22</v>
      </c>
      <c r="L18" s="327">
        <v>9264923.9900000002</v>
      </c>
    </row>
    <row r="19" spans="1:12" ht="61.2" hidden="1" x14ac:dyDescent="0.3">
      <c r="A19" s="321" t="s">
        <v>23</v>
      </c>
      <c r="B19" s="322" t="s">
        <v>949</v>
      </c>
      <c r="C19" s="322" t="s">
        <v>957</v>
      </c>
      <c r="D19" s="322" t="s">
        <v>951</v>
      </c>
      <c r="E19" s="323" t="s">
        <v>27</v>
      </c>
      <c r="F19" s="324">
        <v>24773.4</v>
      </c>
      <c r="G19" s="324"/>
      <c r="H19" s="323" t="s">
        <v>28</v>
      </c>
      <c r="I19" s="325" t="s">
        <v>29</v>
      </c>
      <c r="J19" s="325"/>
      <c r="K19" s="326" t="s">
        <v>22</v>
      </c>
      <c r="L19" s="327">
        <v>9289697.3900000006</v>
      </c>
    </row>
    <row r="20" spans="1:12" ht="61.2" hidden="1" x14ac:dyDescent="0.3">
      <c r="A20" s="321" t="s">
        <v>23</v>
      </c>
      <c r="B20" s="322" t="s">
        <v>949</v>
      </c>
      <c r="C20" s="322" t="s">
        <v>958</v>
      </c>
      <c r="D20" s="322" t="s">
        <v>951</v>
      </c>
      <c r="E20" s="323" t="s">
        <v>27</v>
      </c>
      <c r="F20" s="324">
        <v>4694.3</v>
      </c>
      <c r="G20" s="324"/>
      <c r="H20" s="323" t="s">
        <v>28</v>
      </c>
      <c r="I20" s="325" t="s">
        <v>29</v>
      </c>
      <c r="J20" s="325"/>
      <c r="K20" s="326" t="s">
        <v>22</v>
      </c>
      <c r="L20" s="327">
        <v>9294391.6899999995</v>
      </c>
    </row>
    <row r="21" spans="1:12" ht="61.2" hidden="1" x14ac:dyDescent="0.3">
      <c r="A21" s="321" t="s">
        <v>23</v>
      </c>
      <c r="B21" s="322" t="s">
        <v>949</v>
      </c>
      <c r="C21" s="322" t="s">
        <v>959</v>
      </c>
      <c r="D21" s="322" t="s">
        <v>951</v>
      </c>
      <c r="E21" s="323" t="s">
        <v>27</v>
      </c>
      <c r="F21" s="324">
        <v>3532.3</v>
      </c>
      <c r="G21" s="324"/>
      <c r="H21" s="323" t="s">
        <v>28</v>
      </c>
      <c r="I21" s="325" t="s">
        <v>29</v>
      </c>
      <c r="J21" s="325"/>
      <c r="K21" s="326" t="s">
        <v>22</v>
      </c>
      <c r="L21" s="327">
        <v>9297923.9900000002</v>
      </c>
    </row>
    <row r="22" spans="1:12" ht="61.2" hidden="1" x14ac:dyDescent="0.3">
      <c r="A22" s="321" t="s">
        <v>23</v>
      </c>
      <c r="B22" s="322" t="s">
        <v>949</v>
      </c>
      <c r="C22" s="322" t="s">
        <v>959</v>
      </c>
      <c r="D22" s="322" t="s">
        <v>951</v>
      </c>
      <c r="E22" s="323" t="s">
        <v>27</v>
      </c>
      <c r="F22" s="324">
        <v>18716.5</v>
      </c>
      <c r="G22" s="324"/>
      <c r="H22" s="323" t="s">
        <v>28</v>
      </c>
      <c r="I22" s="325" t="s">
        <v>29</v>
      </c>
      <c r="J22" s="325"/>
      <c r="K22" s="326" t="s">
        <v>22</v>
      </c>
      <c r="L22" s="327">
        <v>9316640.4900000002</v>
      </c>
    </row>
    <row r="23" spans="1:12" ht="61.2" hidden="1" x14ac:dyDescent="0.3">
      <c r="A23" s="321" t="s">
        <v>23</v>
      </c>
      <c r="B23" s="322" t="s">
        <v>949</v>
      </c>
      <c r="C23" s="322" t="s">
        <v>960</v>
      </c>
      <c r="D23" s="322" t="s">
        <v>951</v>
      </c>
      <c r="E23" s="323" t="s">
        <v>27</v>
      </c>
      <c r="F23" s="324">
        <v>7670.2</v>
      </c>
      <c r="G23" s="324"/>
      <c r="H23" s="323" t="s">
        <v>28</v>
      </c>
      <c r="I23" s="325" t="s">
        <v>29</v>
      </c>
      <c r="J23" s="325"/>
      <c r="K23" s="326" t="s">
        <v>22</v>
      </c>
      <c r="L23" s="327">
        <v>9324310.6899999995</v>
      </c>
    </row>
    <row r="24" spans="1:12" ht="61.2" hidden="1" x14ac:dyDescent="0.3">
      <c r="A24" s="321" t="s">
        <v>23</v>
      </c>
      <c r="B24" s="322" t="s">
        <v>949</v>
      </c>
      <c r="C24" s="322" t="s">
        <v>961</v>
      </c>
      <c r="D24" s="322" t="s">
        <v>951</v>
      </c>
      <c r="E24" s="323" t="s">
        <v>27</v>
      </c>
      <c r="F24" s="324">
        <v>5233.5</v>
      </c>
      <c r="G24" s="324"/>
      <c r="H24" s="323" t="s">
        <v>28</v>
      </c>
      <c r="I24" s="325" t="s">
        <v>29</v>
      </c>
      <c r="J24" s="325"/>
      <c r="K24" s="326" t="s">
        <v>22</v>
      </c>
      <c r="L24" s="327">
        <v>9329544.1899999995</v>
      </c>
    </row>
    <row r="25" spans="1:12" ht="61.2" hidden="1" x14ac:dyDescent="0.3">
      <c r="A25" s="321" t="s">
        <v>23</v>
      </c>
      <c r="B25" s="322" t="s">
        <v>949</v>
      </c>
      <c r="C25" s="322" t="s">
        <v>962</v>
      </c>
      <c r="D25" s="322" t="s">
        <v>951</v>
      </c>
      <c r="E25" s="323" t="s">
        <v>27</v>
      </c>
      <c r="F25" s="324">
        <v>4903.1000000000004</v>
      </c>
      <c r="G25" s="324"/>
      <c r="H25" s="323" t="s">
        <v>28</v>
      </c>
      <c r="I25" s="325" t="s">
        <v>29</v>
      </c>
      <c r="J25" s="325"/>
      <c r="K25" s="326" t="s">
        <v>22</v>
      </c>
      <c r="L25" s="327">
        <v>9334447.2899999991</v>
      </c>
    </row>
    <row r="26" spans="1:12" ht="61.2" hidden="1" x14ac:dyDescent="0.3">
      <c r="A26" s="321" t="s">
        <v>23</v>
      </c>
      <c r="B26" s="322" t="s">
        <v>949</v>
      </c>
      <c r="C26" s="322" t="s">
        <v>963</v>
      </c>
      <c r="D26" s="322" t="s">
        <v>951</v>
      </c>
      <c r="E26" s="323" t="s">
        <v>27</v>
      </c>
      <c r="F26" s="324">
        <v>4146.8</v>
      </c>
      <c r="G26" s="324"/>
      <c r="H26" s="323" t="s">
        <v>28</v>
      </c>
      <c r="I26" s="325" t="s">
        <v>29</v>
      </c>
      <c r="J26" s="325"/>
      <c r="K26" s="326" t="s">
        <v>22</v>
      </c>
      <c r="L26" s="327">
        <v>9338594.0899999999</v>
      </c>
    </row>
    <row r="27" spans="1:12" ht="61.2" hidden="1" x14ac:dyDescent="0.3">
      <c r="A27" s="321" t="s">
        <v>23</v>
      </c>
      <c r="B27" s="322" t="s">
        <v>949</v>
      </c>
      <c r="C27" s="322" t="s">
        <v>964</v>
      </c>
      <c r="D27" s="322" t="s">
        <v>951</v>
      </c>
      <c r="E27" s="323" t="s">
        <v>27</v>
      </c>
      <c r="F27" s="324">
        <v>3329.4</v>
      </c>
      <c r="G27" s="324"/>
      <c r="H27" s="323" t="s">
        <v>28</v>
      </c>
      <c r="I27" s="325" t="s">
        <v>29</v>
      </c>
      <c r="J27" s="325"/>
      <c r="K27" s="326" t="s">
        <v>22</v>
      </c>
      <c r="L27" s="327">
        <v>9341923.4900000002</v>
      </c>
    </row>
    <row r="28" spans="1:12" ht="61.2" hidden="1" x14ac:dyDescent="0.3">
      <c r="A28" s="321" t="s">
        <v>23</v>
      </c>
      <c r="B28" s="322" t="s">
        <v>949</v>
      </c>
      <c r="C28" s="322" t="s">
        <v>964</v>
      </c>
      <c r="D28" s="322" t="s">
        <v>951</v>
      </c>
      <c r="E28" s="323" t="s">
        <v>27</v>
      </c>
      <c r="F28" s="324">
        <v>10126.799999999999</v>
      </c>
      <c r="G28" s="324"/>
      <c r="H28" s="323" t="s">
        <v>28</v>
      </c>
      <c r="I28" s="325" t="s">
        <v>29</v>
      </c>
      <c r="J28" s="325"/>
      <c r="K28" s="326" t="s">
        <v>22</v>
      </c>
      <c r="L28" s="327">
        <v>9352050.2899999991</v>
      </c>
    </row>
    <row r="29" spans="1:12" ht="61.2" hidden="1" x14ac:dyDescent="0.3">
      <c r="A29" s="321" t="s">
        <v>23</v>
      </c>
      <c r="B29" s="322" t="s">
        <v>949</v>
      </c>
      <c r="C29" s="322" t="s">
        <v>965</v>
      </c>
      <c r="D29" s="322" t="s">
        <v>951</v>
      </c>
      <c r="E29" s="323" t="s">
        <v>27</v>
      </c>
      <c r="F29" s="324">
        <v>4609.3</v>
      </c>
      <c r="G29" s="324"/>
      <c r="H29" s="323" t="s">
        <v>28</v>
      </c>
      <c r="I29" s="325" t="s">
        <v>29</v>
      </c>
      <c r="J29" s="325"/>
      <c r="K29" s="326" t="s">
        <v>22</v>
      </c>
      <c r="L29" s="327">
        <v>9356659.5899999999</v>
      </c>
    </row>
    <row r="30" spans="1:12" ht="61.2" hidden="1" x14ac:dyDescent="0.3">
      <c r="A30" s="321" t="s">
        <v>23</v>
      </c>
      <c r="B30" s="322" t="s">
        <v>949</v>
      </c>
      <c r="C30" s="322" t="s">
        <v>966</v>
      </c>
      <c r="D30" s="322" t="s">
        <v>951</v>
      </c>
      <c r="E30" s="323" t="s">
        <v>27</v>
      </c>
      <c r="F30" s="324">
        <v>3677</v>
      </c>
      <c r="G30" s="324"/>
      <c r="H30" s="323" t="s">
        <v>28</v>
      </c>
      <c r="I30" s="325" t="s">
        <v>29</v>
      </c>
      <c r="J30" s="325"/>
      <c r="K30" s="326" t="s">
        <v>22</v>
      </c>
      <c r="L30" s="327">
        <v>9360336.5899999999</v>
      </c>
    </row>
    <row r="31" spans="1:12" ht="61.2" hidden="1" x14ac:dyDescent="0.3">
      <c r="A31" s="321" t="s">
        <v>23</v>
      </c>
      <c r="B31" s="322" t="s">
        <v>949</v>
      </c>
      <c r="C31" s="322" t="s">
        <v>966</v>
      </c>
      <c r="D31" s="322" t="s">
        <v>951</v>
      </c>
      <c r="E31" s="323" t="s">
        <v>27</v>
      </c>
      <c r="F31" s="324">
        <v>3672.5</v>
      </c>
      <c r="G31" s="324"/>
      <c r="H31" s="323" t="s">
        <v>28</v>
      </c>
      <c r="I31" s="325" t="s">
        <v>29</v>
      </c>
      <c r="J31" s="325"/>
      <c r="K31" s="326" t="s">
        <v>22</v>
      </c>
      <c r="L31" s="327">
        <v>9364009.0899999999</v>
      </c>
    </row>
    <row r="32" spans="1:12" ht="61.2" hidden="1" x14ac:dyDescent="0.3">
      <c r="A32" s="321" t="s">
        <v>23</v>
      </c>
      <c r="B32" s="322" t="s">
        <v>949</v>
      </c>
      <c r="C32" s="322" t="s">
        <v>966</v>
      </c>
      <c r="D32" s="322" t="s">
        <v>951</v>
      </c>
      <c r="E32" s="323" t="s">
        <v>27</v>
      </c>
      <c r="F32" s="324">
        <v>18258</v>
      </c>
      <c r="G32" s="324"/>
      <c r="H32" s="323" t="s">
        <v>28</v>
      </c>
      <c r="I32" s="325" t="s">
        <v>29</v>
      </c>
      <c r="J32" s="325"/>
      <c r="K32" s="326" t="s">
        <v>22</v>
      </c>
      <c r="L32" s="327">
        <v>9382267.0899999999</v>
      </c>
    </row>
    <row r="33" spans="1:12" ht="61.2" hidden="1" x14ac:dyDescent="0.3">
      <c r="A33" s="321" t="s">
        <v>23</v>
      </c>
      <c r="B33" s="322" t="s">
        <v>949</v>
      </c>
      <c r="C33" s="322" t="s">
        <v>967</v>
      </c>
      <c r="D33" s="322" t="s">
        <v>951</v>
      </c>
      <c r="E33" s="323" t="s">
        <v>27</v>
      </c>
      <c r="F33" s="324">
        <v>4161</v>
      </c>
      <c r="G33" s="324"/>
      <c r="H33" s="323" t="s">
        <v>28</v>
      </c>
      <c r="I33" s="325" t="s">
        <v>29</v>
      </c>
      <c r="J33" s="325"/>
      <c r="K33" s="326" t="s">
        <v>22</v>
      </c>
      <c r="L33" s="327">
        <v>9386428.0899999999</v>
      </c>
    </row>
    <row r="34" spans="1:12" ht="61.2" hidden="1" x14ac:dyDescent="0.3">
      <c r="A34" s="321" t="s">
        <v>23</v>
      </c>
      <c r="B34" s="322" t="s">
        <v>949</v>
      </c>
      <c r="C34" s="322" t="s">
        <v>968</v>
      </c>
      <c r="D34" s="322" t="s">
        <v>951</v>
      </c>
      <c r="E34" s="323" t="s">
        <v>27</v>
      </c>
      <c r="F34" s="324">
        <v>2031.7</v>
      </c>
      <c r="G34" s="324"/>
      <c r="H34" s="323" t="s">
        <v>28</v>
      </c>
      <c r="I34" s="325" t="s">
        <v>29</v>
      </c>
      <c r="J34" s="325"/>
      <c r="K34" s="326" t="s">
        <v>22</v>
      </c>
      <c r="L34" s="327">
        <v>9388459.7899999991</v>
      </c>
    </row>
    <row r="35" spans="1:12" ht="61.2" hidden="1" x14ac:dyDescent="0.3">
      <c r="A35" s="321" t="s">
        <v>23</v>
      </c>
      <c r="B35" s="322" t="s">
        <v>949</v>
      </c>
      <c r="C35" s="322" t="s">
        <v>969</v>
      </c>
      <c r="D35" s="322" t="s">
        <v>951</v>
      </c>
      <c r="E35" s="323" t="s">
        <v>27</v>
      </c>
      <c r="F35" s="324">
        <v>2089.8000000000002</v>
      </c>
      <c r="G35" s="324"/>
      <c r="H35" s="323" t="s">
        <v>28</v>
      </c>
      <c r="I35" s="325" t="s">
        <v>29</v>
      </c>
      <c r="J35" s="325"/>
      <c r="K35" s="326" t="s">
        <v>22</v>
      </c>
      <c r="L35" s="327">
        <v>9390549.5899999999</v>
      </c>
    </row>
    <row r="36" spans="1:12" ht="61.2" hidden="1" x14ac:dyDescent="0.3">
      <c r="A36" s="321" t="s">
        <v>23</v>
      </c>
      <c r="B36" s="322" t="s">
        <v>949</v>
      </c>
      <c r="C36" s="322" t="s">
        <v>970</v>
      </c>
      <c r="D36" s="322" t="s">
        <v>951</v>
      </c>
      <c r="E36" s="323" t="s">
        <v>27</v>
      </c>
      <c r="F36" s="324">
        <v>1815.4</v>
      </c>
      <c r="G36" s="324"/>
      <c r="H36" s="323" t="s">
        <v>28</v>
      </c>
      <c r="I36" s="325" t="s">
        <v>29</v>
      </c>
      <c r="J36" s="325"/>
      <c r="K36" s="326" t="s">
        <v>22</v>
      </c>
      <c r="L36" s="327">
        <v>9392364.9900000002</v>
      </c>
    </row>
    <row r="37" spans="1:12" ht="61.2" hidden="1" x14ac:dyDescent="0.3">
      <c r="A37" s="321" t="s">
        <v>23</v>
      </c>
      <c r="B37" s="322" t="s">
        <v>949</v>
      </c>
      <c r="C37" s="322" t="s">
        <v>971</v>
      </c>
      <c r="D37" s="322" t="s">
        <v>951</v>
      </c>
      <c r="E37" s="323" t="s">
        <v>27</v>
      </c>
      <c r="F37" s="324">
        <v>3993.9</v>
      </c>
      <c r="G37" s="324"/>
      <c r="H37" s="323" t="s">
        <v>28</v>
      </c>
      <c r="I37" s="325" t="s">
        <v>29</v>
      </c>
      <c r="J37" s="325"/>
      <c r="K37" s="326" t="s">
        <v>22</v>
      </c>
      <c r="L37" s="327">
        <v>9396358.8900000006</v>
      </c>
    </row>
    <row r="38" spans="1:12" ht="61.2" hidden="1" x14ac:dyDescent="0.3">
      <c r="A38" s="321" t="s">
        <v>23</v>
      </c>
      <c r="B38" s="322" t="s">
        <v>949</v>
      </c>
      <c r="C38" s="322" t="s">
        <v>971</v>
      </c>
      <c r="D38" s="322" t="s">
        <v>951</v>
      </c>
      <c r="E38" s="323" t="s">
        <v>27</v>
      </c>
      <c r="F38" s="324">
        <v>21014</v>
      </c>
      <c r="G38" s="324"/>
      <c r="H38" s="323" t="s">
        <v>28</v>
      </c>
      <c r="I38" s="325" t="s">
        <v>29</v>
      </c>
      <c r="J38" s="325"/>
      <c r="K38" s="326" t="s">
        <v>22</v>
      </c>
      <c r="L38" s="327">
        <v>9417372.8900000006</v>
      </c>
    </row>
    <row r="39" spans="1:12" ht="61.2" hidden="1" x14ac:dyDescent="0.3">
      <c r="A39" s="321" t="s">
        <v>23</v>
      </c>
      <c r="B39" s="322" t="s">
        <v>949</v>
      </c>
      <c r="C39" s="322" t="s">
        <v>972</v>
      </c>
      <c r="D39" s="322" t="s">
        <v>951</v>
      </c>
      <c r="E39" s="323" t="s">
        <v>27</v>
      </c>
      <c r="F39" s="324">
        <v>4670.3999999999996</v>
      </c>
      <c r="G39" s="324"/>
      <c r="H39" s="323" t="s">
        <v>28</v>
      </c>
      <c r="I39" s="325" t="s">
        <v>29</v>
      </c>
      <c r="J39" s="325"/>
      <c r="K39" s="326" t="s">
        <v>22</v>
      </c>
      <c r="L39" s="327">
        <v>9422043.2899999991</v>
      </c>
    </row>
    <row r="40" spans="1:12" ht="61.2" hidden="1" x14ac:dyDescent="0.3">
      <c r="A40" s="321" t="s">
        <v>23</v>
      </c>
      <c r="B40" s="322" t="s">
        <v>949</v>
      </c>
      <c r="C40" s="322" t="s">
        <v>973</v>
      </c>
      <c r="D40" s="322" t="s">
        <v>951</v>
      </c>
      <c r="E40" s="323" t="s">
        <v>27</v>
      </c>
      <c r="F40" s="324">
        <v>20916</v>
      </c>
      <c r="G40" s="324"/>
      <c r="H40" s="323" t="s">
        <v>28</v>
      </c>
      <c r="I40" s="325" t="s">
        <v>29</v>
      </c>
      <c r="J40" s="325"/>
      <c r="K40" s="326" t="s">
        <v>22</v>
      </c>
      <c r="L40" s="327">
        <v>9442959.2899999991</v>
      </c>
    </row>
    <row r="41" spans="1:12" ht="61.2" hidden="1" x14ac:dyDescent="0.3">
      <c r="A41" s="321" t="s">
        <v>23</v>
      </c>
      <c r="B41" s="322" t="s">
        <v>949</v>
      </c>
      <c r="C41" s="322" t="s">
        <v>974</v>
      </c>
      <c r="D41" s="322" t="s">
        <v>951</v>
      </c>
      <c r="E41" s="323" t="s">
        <v>27</v>
      </c>
      <c r="F41" s="324">
        <v>3958.9</v>
      </c>
      <c r="G41" s="324"/>
      <c r="H41" s="323" t="s">
        <v>28</v>
      </c>
      <c r="I41" s="325" t="s">
        <v>29</v>
      </c>
      <c r="J41" s="325"/>
      <c r="K41" s="326" t="s">
        <v>22</v>
      </c>
      <c r="L41" s="327">
        <v>9446918.1899999995</v>
      </c>
    </row>
    <row r="42" spans="1:12" ht="61.2" hidden="1" x14ac:dyDescent="0.3">
      <c r="A42" s="321" t="s">
        <v>23</v>
      </c>
      <c r="B42" s="322" t="s">
        <v>949</v>
      </c>
      <c r="C42" s="322" t="s">
        <v>975</v>
      </c>
      <c r="D42" s="322" t="s">
        <v>951</v>
      </c>
      <c r="E42" s="323" t="s">
        <v>27</v>
      </c>
      <c r="F42" s="324">
        <v>1758.7</v>
      </c>
      <c r="G42" s="324"/>
      <c r="H42" s="323" t="s">
        <v>28</v>
      </c>
      <c r="I42" s="325" t="s">
        <v>29</v>
      </c>
      <c r="J42" s="325"/>
      <c r="K42" s="326" t="s">
        <v>22</v>
      </c>
      <c r="L42" s="327">
        <v>9448676.8900000006</v>
      </c>
    </row>
    <row r="43" spans="1:12" ht="61.2" hidden="1" x14ac:dyDescent="0.3">
      <c r="A43" s="321" t="s">
        <v>23</v>
      </c>
      <c r="B43" s="322" t="s">
        <v>949</v>
      </c>
      <c r="C43" s="322" t="s">
        <v>975</v>
      </c>
      <c r="D43" s="322" t="s">
        <v>951</v>
      </c>
      <c r="E43" s="323" t="s">
        <v>27</v>
      </c>
      <c r="F43" s="324">
        <v>1924.3</v>
      </c>
      <c r="G43" s="324"/>
      <c r="H43" s="323" t="s">
        <v>28</v>
      </c>
      <c r="I43" s="325" t="s">
        <v>29</v>
      </c>
      <c r="J43" s="325"/>
      <c r="K43" s="326" t="s">
        <v>22</v>
      </c>
      <c r="L43" s="327">
        <v>9450601.1899999995</v>
      </c>
    </row>
    <row r="44" spans="1:12" ht="61.2" hidden="1" x14ac:dyDescent="0.3">
      <c r="A44" s="321" t="s">
        <v>23</v>
      </c>
      <c r="B44" s="322" t="s">
        <v>949</v>
      </c>
      <c r="C44" s="322" t="s">
        <v>976</v>
      </c>
      <c r="D44" s="322" t="s">
        <v>951</v>
      </c>
      <c r="E44" s="323" t="s">
        <v>27</v>
      </c>
      <c r="F44" s="324">
        <v>4654</v>
      </c>
      <c r="G44" s="324"/>
      <c r="H44" s="323" t="s">
        <v>28</v>
      </c>
      <c r="I44" s="325" t="s">
        <v>29</v>
      </c>
      <c r="J44" s="325"/>
      <c r="K44" s="326" t="s">
        <v>22</v>
      </c>
      <c r="L44" s="327">
        <v>9455255.1899999995</v>
      </c>
    </row>
    <row r="45" spans="1:12" ht="61.2" hidden="1" x14ac:dyDescent="0.3">
      <c r="A45" s="321" t="s">
        <v>23</v>
      </c>
      <c r="B45" s="322" t="s">
        <v>949</v>
      </c>
      <c r="C45" s="322" t="s">
        <v>977</v>
      </c>
      <c r="D45" s="322" t="s">
        <v>951</v>
      </c>
      <c r="E45" s="323" t="s">
        <v>27</v>
      </c>
      <c r="F45" s="324">
        <v>6189.7</v>
      </c>
      <c r="G45" s="324"/>
      <c r="H45" s="323" t="s">
        <v>28</v>
      </c>
      <c r="I45" s="325" t="s">
        <v>29</v>
      </c>
      <c r="J45" s="325"/>
      <c r="K45" s="326" t="s">
        <v>22</v>
      </c>
      <c r="L45" s="327">
        <v>9461444.8900000006</v>
      </c>
    </row>
    <row r="46" spans="1:12" ht="61.2" hidden="1" x14ac:dyDescent="0.3">
      <c r="A46" s="321" t="s">
        <v>23</v>
      </c>
      <c r="B46" s="322" t="s">
        <v>949</v>
      </c>
      <c r="C46" s="322" t="s">
        <v>978</v>
      </c>
      <c r="D46" s="322" t="s">
        <v>951</v>
      </c>
      <c r="E46" s="323" t="s">
        <v>27</v>
      </c>
      <c r="F46" s="324">
        <v>14592.9</v>
      </c>
      <c r="G46" s="324"/>
      <c r="H46" s="323" t="s">
        <v>28</v>
      </c>
      <c r="I46" s="325" t="s">
        <v>29</v>
      </c>
      <c r="J46" s="325"/>
      <c r="K46" s="326" t="s">
        <v>22</v>
      </c>
      <c r="L46" s="327">
        <v>9476037.7899999991</v>
      </c>
    </row>
    <row r="47" spans="1:12" ht="61.2" hidden="1" x14ac:dyDescent="0.3">
      <c r="A47" s="321" t="s">
        <v>23</v>
      </c>
      <c r="B47" s="322" t="s">
        <v>949</v>
      </c>
      <c r="C47" s="322" t="s">
        <v>979</v>
      </c>
      <c r="D47" s="322" t="s">
        <v>951</v>
      </c>
      <c r="E47" s="323" t="s">
        <v>27</v>
      </c>
      <c r="F47" s="324">
        <v>5836.9</v>
      </c>
      <c r="G47" s="324"/>
      <c r="H47" s="323" t="s">
        <v>28</v>
      </c>
      <c r="I47" s="325" t="s">
        <v>29</v>
      </c>
      <c r="J47" s="325"/>
      <c r="K47" s="326" t="s">
        <v>22</v>
      </c>
      <c r="L47" s="327">
        <v>9481874.6899999995</v>
      </c>
    </row>
    <row r="48" spans="1:12" ht="61.2" hidden="1" x14ac:dyDescent="0.3">
      <c r="A48" s="321" t="s">
        <v>23</v>
      </c>
      <c r="B48" s="322" t="s">
        <v>949</v>
      </c>
      <c r="C48" s="322" t="s">
        <v>980</v>
      </c>
      <c r="D48" s="322" t="s">
        <v>951</v>
      </c>
      <c r="E48" s="323" t="s">
        <v>27</v>
      </c>
      <c r="F48" s="324">
        <v>4305.7</v>
      </c>
      <c r="G48" s="324"/>
      <c r="H48" s="323" t="s">
        <v>28</v>
      </c>
      <c r="I48" s="325" t="s">
        <v>29</v>
      </c>
      <c r="J48" s="325"/>
      <c r="K48" s="326" t="s">
        <v>22</v>
      </c>
      <c r="L48" s="327">
        <v>9486180.3900000006</v>
      </c>
    </row>
    <row r="49" spans="1:12" ht="61.2" hidden="1" x14ac:dyDescent="0.3">
      <c r="A49" s="321" t="s">
        <v>23</v>
      </c>
      <c r="B49" s="322" t="s">
        <v>949</v>
      </c>
      <c r="C49" s="322" t="s">
        <v>981</v>
      </c>
      <c r="D49" s="322" t="s">
        <v>951</v>
      </c>
      <c r="E49" s="323" t="s">
        <v>27</v>
      </c>
      <c r="F49" s="324">
        <v>5040.3</v>
      </c>
      <c r="G49" s="324"/>
      <c r="H49" s="323" t="s">
        <v>28</v>
      </c>
      <c r="I49" s="325" t="s">
        <v>29</v>
      </c>
      <c r="J49" s="325"/>
      <c r="K49" s="326" t="s">
        <v>22</v>
      </c>
      <c r="L49" s="327">
        <v>9491220.6899999995</v>
      </c>
    </row>
    <row r="50" spans="1:12" ht="61.2" hidden="1" x14ac:dyDescent="0.3">
      <c r="A50" s="321" t="s">
        <v>23</v>
      </c>
      <c r="B50" s="322" t="s">
        <v>949</v>
      </c>
      <c r="C50" s="322" t="s">
        <v>982</v>
      </c>
      <c r="D50" s="322" t="s">
        <v>951</v>
      </c>
      <c r="E50" s="323" t="s">
        <v>27</v>
      </c>
      <c r="F50" s="324">
        <v>2369.5</v>
      </c>
      <c r="G50" s="324"/>
      <c r="H50" s="323" t="s">
        <v>28</v>
      </c>
      <c r="I50" s="325" t="s">
        <v>29</v>
      </c>
      <c r="J50" s="325"/>
      <c r="K50" s="326" t="s">
        <v>22</v>
      </c>
      <c r="L50" s="327">
        <v>9493590.1899999995</v>
      </c>
    </row>
    <row r="51" spans="1:12" ht="61.2" hidden="1" x14ac:dyDescent="0.3">
      <c r="A51" s="321" t="s">
        <v>23</v>
      </c>
      <c r="B51" s="322" t="s">
        <v>949</v>
      </c>
      <c r="C51" s="322" t="s">
        <v>983</v>
      </c>
      <c r="D51" s="322" t="s">
        <v>951</v>
      </c>
      <c r="E51" s="323" t="s">
        <v>27</v>
      </c>
      <c r="F51" s="324">
        <v>3104.9</v>
      </c>
      <c r="G51" s="324"/>
      <c r="H51" s="323" t="s">
        <v>28</v>
      </c>
      <c r="I51" s="325" t="s">
        <v>29</v>
      </c>
      <c r="J51" s="325"/>
      <c r="K51" s="326" t="s">
        <v>22</v>
      </c>
      <c r="L51" s="327">
        <v>9496695.0899999999</v>
      </c>
    </row>
    <row r="52" spans="1:12" ht="61.2" hidden="1" x14ac:dyDescent="0.3">
      <c r="A52" s="321" t="s">
        <v>23</v>
      </c>
      <c r="B52" s="322" t="s">
        <v>949</v>
      </c>
      <c r="C52" s="322" t="s">
        <v>984</v>
      </c>
      <c r="D52" s="322" t="s">
        <v>951</v>
      </c>
      <c r="E52" s="323" t="s">
        <v>27</v>
      </c>
      <c r="F52" s="324">
        <v>1885.5</v>
      </c>
      <c r="G52" s="324"/>
      <c r="H52" s="323" t="s">
        <v>28</v>
      </c>
      <c r="I52" s="325" t="s">
        <v>29</v>
      </c>
      <c r="J52" s="325"/>
      <c r="K52" s="326" t="s">
        <v>22</v>
      </c>
      <c r="L52" s="327">
        <v>9498580.5899999999</v>
      </c>
    </row>
    <row r="53" spans="1:12" ht="61.2" hidden="1" x14ac:dyDescent="0.3">
      <c r="A53" s="321" t="s">
        <v>23</v>
      </c>
      <c r="B53" s="322" t="s">
        <v>949</v>
      </c>
      <c r="C53" s="322" t="s">
        <v>985</v>
      </c>
      <c r="D53" s="322" t="s">
        <v>951</v>
      </c>
      <c r="E53" s="323" t="s">
        <v>27</v>
      </c>
      <c r="F53" s="324">
        <v>2620.9</v>
      </c>
      <c r="G53" s="324"/>
      <c r="H53" s="323" t="s">
        <v>28</v>
      </c>
      <c r="I53" s="325" t="s">
        <v>29</v>
      </c>
      <c r="J53" s="325"/>
      <c r="K53" s="326" t="s">
        <v>22</v>
      </c>
      <c r="L53" s="327">
        <v>9501201.4900000002</v>
      </c>
    </row>
    <row r="54" spans="1:12" ht="61.2" hidden="1" x14ac:dyDescent="0.3">
      <c r="A54" s="321" t="s">
        <v>23</v>
      </c>
      <c r="B54" s="322" t="s">
        <v>949</v>
      </c>
      <c r="C54" s="322" t="s">
        <v>986</v>
      </c>
      <c r="D54" s="322" t="s">
        <v>951</v>
      </c>
      <c r="E54" s="323" t="s">
        <v>27</v>
      </c>
      <c r="F54" s="324">
        <v>2201</v>
      </c>
      <c r="G54" s="324"/>
      <c r="H54" s="323" t="s">
        <v>28</v>
      </c>
      <c r="I54" s="325" t="s">
        <v>29</v>
      </c>
      <c r="J54" s="325"/>
      <c r="K54" s="326" t="s">
        <v>22</v>
      </c>
      <c r="L54" s="327">
        <v>9503402.4900000002</v>
      </c>
    </row>
    <row r="55" spans="1:12" ht="61.2" hidden="1" x14ac:dyDescent="0.3">
      <c r="A55" s="321" t="s">
        <v>23</v>
      </c>
      <c r="B55" s="322" t="s">
        <v>949</v>
      </c>
      <c r="C55" s="322" t="s">
        <v>987</v>
      </c>
      <c r="D55" s="322" t="s">
        <v>951</v>
      </c>
      <c r="E55" s="323" t="s">
        <v>27</v>
      </c>
      <c r="F55" s="324">
        <v>2935.6</v>
      </c>
      <c r="G55" s="324"/>
      <c r="H55" s="323" t="s">
        <v>28</v>
      </c>
      <c r="I55" s="325" t="s">
        <v>29</v>
      </c>
      <c r="J55" s="325"/>
      <c r="K55" s="326" t="s">
        <v>22</v>
      </c>
      <c r="L55" s="327">
        <v>9506338.0899999999</v>
      </c>
    </row>
    <row r="56" spans="1:12" ht="61.2" hidden="1" x14ac:dyDescent="0.3">
      <c r="A56" s="321" t="s">
        <v>23</v>
      </c>
      <c r="B56" s="322" t="s">
        <v>949</v>
      </c>
      <c r="C56" s="322" t="s">
        <v>988</v>
      </c>
      <c r="D56" s="322" t="s">
        <v>951</v>
      </c>
      <c r="E56" s="323" t="s">
        <v>27</v>
      </c>
      <c r="F56" s="324">
        <v>4861.3</v>
      </c>
      <c r="G56" s="324"/>
      <c r="H56" s="323" t="s">
        <v>28</v>
      </c>
      <c r="I56" s="325" t="s">
        <v>29</v>
      </c>
      <c r="J56" s="325"/>
      <c r="K56" s="326" t="s">
        <v>22</v>
      </c>
      <c r="L56" s="327">
        <v>9511199.3900000006</v>
      </c>
    </row>
    <row r="57" spans="1:12" ht="61.2" hidden="1" x14ac:dyDescent="0.3">
      <c r="A57" s="321" t="s">
        <v>23</v>
      </c>
      <c r="B57" s="322" t="s">
        <v>949</v>
      </c>
      <c r="C57" s="322" t="s">
        <v>989</v>
      </c>
      <c r="D57" s="322" t="s">
        <v>951</v>
      </c>
      <c r="E57" s="323" t="s">
        <v>27</v>
      </c>
      <c r="F57" s="324">
        <v>5742.9</v>
      </c>
      <c r="G57" s="324"/>
      <c r="H57" s="323" t="s">
        <v>28</v>
      </c>
      <c r="I57" s="325" t="s">
        <v>29</v>
      </c>
      <c r="J57" s="325"/>
      <c r="K57" s="326" t="s">
        <v>22</v>
      </c>
      <c r="L57" s="327">
        <v>9516942.2899999991</v>
      </c>
    </row>
    <row r="58" spans="1:12" ht="61.2" hidden="1" x14ac:dyDescent="0.3">
      <c r="A58" s="321" t="s">
        <v>23</v>
      </c>
      <c r="B58" s="322" t="s">
        <v>949</v>
      </c>
      <c r="C58" s="322" t="s">
        <v>990</v>
      </c>
      <c r="D58" s="322" t="s">
        <v>951</v>
      </c>
      <c r="E58" s="323" t="s">
        <v>27</v>
      </c>
      <c r="F58" s="324">
        <v>2241.1999999999998</v>
      </c>
      <c r="G58" s="324"/>
      <c r="H58" s="323" t="s">
        <v>28</v>
      </c>
      <c r="I58" s="325" t="s">
        <v>29</v>
      </c>
      <c r="J58" s="325"/>
      <c r="K58" s="326" t="s">
        <v>22</v>
      </c>
      <c r="L58" s="327">
        <v>9519183.4900000002</v>
      </c>
    </row>
    <row r="59" spans="1:12" ht="61.2" hidden="1" x14ac:dyDescent="0.3">
      <c r="A59" s="321" t="s">
        <v>23</v>
      </c>
      <c r="B59" s="322" t="s">
        <v>949</v>
      </c>
      <c r="C59" s="322" t="s">
        <v>990</v>
      </c>
      <c r="D59" s="322" t="s">
        <v>951</v>
      </c>
      <c r="E59" s="323" t="s">
        <v>27</v>
      </c>
      <c r="F59" s="324">
        <v>12377</v>
      </c>
      <c r="G59" s="324"/>
      <c r="H59" s="323" t="s">
        <v>28</v>
      </c>
      <c r="I59" s="325" t="s">
        <v>29</v>
      </c>
      <c r="J59" s="325"/>
      <c r="K59" s="326" t="s">
        <v>22</v>
      </c>
      <c r="L59" s="327">
        <v>9531560.4900000002</v>
      </c>
    </row>
    <row r="60" spans="1:12" ht="61.2" hidden="1" x14ac:dyDescent="0.3">
      <c r="A60" s="321" t="s">
        <v>23</v>
      </c>
      <c r="B60" s="322" t="s">
        <v>949</v>
      </c>
      <c r="C60" s="322" t="s">
        <v>991</v>
      </c>
      <c r="D60" s="322" t="s">
        <v>951</v>
      </c>
      <c r="E60" s="323" t="s">
        <v>27</v>
      </c>
      <c r="F60" s="324">
        <v>2987.1</v>
      </c>
      <c r="G60" s="324"/>
      <c r="H60" s="323" t="s">
        <v>28</v>
      </c>
      <c r="I60" s="325" t="s">
        <v>29</v>
      </c>
      <c r="J60" s="325"/>
      <c r="K60" s="326" t="s">
        <v>22</v>
      </c>
      <c r="L60" s="327">
        <v>9534547.5899999999</v>
      </c>
    </row>
    <row r="61" spans="1:12" ht="61.2" hidden="1" x14ac:dyDescent="0.3">
      <c r="A61" s="321" t="s">
        <v>23</v>
      </c>
      <c r="B61" s="322" t="s">
        <v>949</v>
      </c>
      <c r="C61" s="322" t="s">
        <v>992</v>
      </c>
      <c r="D61" s="322" t="s">
        <v>951</v>
      </c>
      <c r="E61" s="323" t="s">
        <v>27</v>
      </c>
      <c r="F61" s="324">
        <v>3084</v>
      </c>
      <c r="G61" s="324"/>
      <c r="H61" s="323" t="s">
        <v>28</v>
      </c>
      <c r="I61" s="325" t="s">
        <v>29</v>
      </c>
      <c r="J61" s="325"/>
      <c r="K61" s="326" t="s">
        <v>22</v>
      </c>
      <c r="L61" s="327">
        <v>9537631.5899999999</v>
      </c>
    </row>
    <row r="62" spans="1:12" ht="61.2" hidden="1" x14ac:dyDescent="0.3">
      <c r="A62" s="321" t="s">
        <v>23</v>
      </c>
      <c r="B62" s="322" t="s">
        <v>993</v>
      </c>
      <c r="C62" s="322" t="s">
        <v>992</v>
      </c>
      <c r="D62" s="322" t="s">
        <v>951</v>
      </c>
      <c r="E62" s="323" t="s">
        <v>27</v>
      </c>
      <c r="F62" s="324">
        <v>18752.150000000001</v>
      </c>
      <c r="G62" s="324"/>
      <c r="H62" s="323" t="s">
        <v>28</v>
      </c>
      <c r="I62" s="325" t="s">
        <v>29</v>
      </c>
      <c r="J62" s="325"/>
      <c r="K62" s="326" t="s">
        <v>22</v>
      </c>
      <c r="L62" s="327">
        <v>9556383.7400000002</v>
      </c>
    </row>
    <row r="63" spans="1:12" ht="61.2" hidden="1" x14ac:dyDescent="0.3">
      <c r="A63" s="321" t="s">
        <v>23</v>
      </c>
      <c r="B63" s="322" t="s">
        <v>949</v>
      </c>
      <c r="C63" s="322" t="s">
        <v>992</v>
      </c>
      <c r="D63" s="322" t="s">
        <v>951</v>
      </c>
      <c r="E63" s="323" t="s">
        <v>27</v>
      </c>
      <c r="F63" s="324">
        <v>6934.25</v>
      </c>
      <c r="G63" s="324"/>
      <c r="H63" s="323" t="s">
        <v>28</v>
      </c>
      <c r="I63" s="325" t="s">
        <v>29</v>
      </c>
      <c r="J63" s="325"/>
      <c r="K63" s="326" t="s">
        <v>22</v>
      </c>
      <c r="L63" s="327">
        <v>9563317.9900000002</v>
      </c>
    </row>
    <row r="64" spans="1:12" ht="61.2" hidden="1" x14ac:dyDescent="0.3">
      <c r="A64" s="321" t="s">
        <v>23</v>
      </c>
      <c r="B64" s="322" t="s">
        <v>993</v>
      </c>
      <c r="C64" s="322" t="s">
        <v>994</v>
      </c>
      <c r="D64" s="322" t="s">
        <v>951</v>
      </c>
      <c r="E64" s="323" t="s">
        <v>27</v>
      </c>
      <c r="F64" s="324">
        <v>3818.7</v>
      </c>
      <c r="G64" s="324"/>
      <c r="H64" s="323" t="s">
        <v>28</v>
      </c>
      <c r="I64" s="325" t="s">
        <v>29</v>
      </c>
      <c r="J64" s="325"/>
      <c r="K64" s="326" t="s">
        <v>22</v>
      </c>
      <c r="L64" s="327">
        <v>9567136.6899999995</v>
      </c>
    </row>
    <row r="65" spans="1:12" ht="61.2" hidden="1" x14ac:dyDescent="0.3">
      <c r="A65" s="321" t="s">
        <v>23</v>
      </c>
      <c r="B65" s="322" t="s">
        <v>993</v>
      </c>
      <c r="C65" s="322" t="s">
        <v>995</v>
      </c>
      <c r="D65" s="322" t="s">
        <v>951</v>
      </c>
      <c r="E65" s="323" t="s">
        <v>27</v>
      </c>
      <c r="F65" s="324">
        <v>3412.9</v>
      </c>
      <c r="G65" s="324"/>
      <c r="H65" s="323" t="s">
        <v>28</v>
      </c>
      <c r="I65" s="325" t="s">
        <v>29</v>
      </c>
      <c r="J65" s="325"/>
      <c r="K65" s="326" t="s">
        <v>22</v>
      </c>
      <c r="L65" s="327">
        <v>9570549.5899999999</v>
      </c>
    </row>
    <row r="66" spans="1:12" ht="61.2" hidden="1" x14ac:dyDescent="0.3">
      <c r="A66" s="321" t="s">
        <v>23</v>
      </c>
      <c r="B66" s="322" t="s">
        <v>993</v>
      </c>
      <c r="C66" s="322" t="s">
        <v>996</v>
      </c>
      <c r="D66" s="322" t="s">
        <v>951</v>
      </c>
      <c r="E66" s="323" t="s">
        <v>27</v>
      </c>
      <c r="F66" s="324">
        <v>3101.9</v>
      </c>
      <c r="G66" s="324"/>
      <c r="H66" s="323" t="s">
        <v>28</v>
      </c>
      <c r="I66" s="325" t="s">
        <v>29</v>
      </c>
      <c r="J66" s="325"/>
      <c r="K66" s="326" t="s">
        <v>22</v>
      </c>
      <c r="L66" s="327">
        <v>9573651.4900000002</v>
      </c>
    </row>
    <row r="67" spans="1:12" ht="61.2" hidden="1" x14ac:dyDescent="0.3">
      <c r="A67" s="321" t="s">
        <v>23</v>
      </c>
      <c r="B67" s="322" t="s">
        <v>993</v>
      </c>
      <c r="C67" s="322" t="s">
        <v>997</v>
      </c>
      <c r="D67" s="322" t="s">
        <v>951</v>
      </c>
      <c r="E67" s="323" t="s">
        <v>27</v>
      </c>
      <c r="F67" s="324">
        <v>25305.7</v>
      </c>
      <c r="G67" s="324"/>
      <c r="H67" s="323" t="s">
        <v>28</v>
      </c>
      <c r="I67" s="325" t="s">
        <v>29</v>
      </c>
      <c r="J67" s="325"/>
      <c r="K67" s="326" t="s">
        <v>22</v>
      </c>
      <c r="L67" s="327">
        <v>9598957.1899999995</v>
      </c>
    </row>
    <row r="68" spans="1:12" ht="61.2" hidden="1" x14ac:dyDescent="0.3">
      <c r="A68" s="321" t="s">
        <v>23</v>
      </c>
      <c r="B68" s="322" t="s">
        <v>993</v>
      </c>
      <c r="C68" s="322" t="s">
        <v>998</v>
      </c>
      <c r="D68" s="322" t="s">
        <v>951</v>
      </c>
      <c r="E68" s="323" t="s">
        <v>27</v>
      </c>
      <c r="F68" s="324">
        <v>3928.3</v>
      </c>
      <c r="G68" s="324"/>
      <c r="H68" s="323" t="s">
        <v>28</v>
      </c>
      <c r="I68" s="325" t="s">
        <v>29</v>
      </c>
      <c r="J68" s="325"/>
      <c r="K68" s="326" t="s">
        <v>22</v>
      </c>
      <c r="L68" s="327">
        <v>9602885.4900000002</v>
      </c>
    </row>
    <row r="69" spans="1:12" ht="61.2" hidden="1" x14ac:dyDescent="0.3">
      <c r="A69" s="321" t="s">
        <v>23</v>
      </c>
      <c r="B69" s="322" t="s">
        <v>993</v>
      </c>
      <c r="C69" s="322" t="s">
        <v>999</v>
      </c>
      <c r="D69" s="322" t="s">
        <v>951</v>
      </c>
      <c r="E69" s="323" t="s">
        <v>27</v>
      </c>
      <c r="F69" s="324">
        <v>3466.6</v>
      </c>
      <c r="G69" s="324"/>
      <c r="H69" s="323" t="s">
        <v>28</v>
      </c>
      <c r="I69" s="325" t="s">
        <v>29</v>
      </c>
      <c r="J69" s="325"/>
      <c r="K69" s="326" t="s">
        <v>22</v>
      </c>
      <c r="L69" s="327">
        <v>9606352.0899999999</v>
      </c>
    </row>
    <row r="70" spans="1:12" ht="61.2" hidden="1" x14ac:dyDescent="0.3">
      <c r="A70" s="321" t="s">
        <v>23</v>
      </c>
      <c r="B70" s="322" t="s">
        <v>993</v>
      </c>
      <c r="C70" s="322" t="s">
        <v>998</v>
      </c>
      <c r="D70" s="322" t="s">
        <v>951</v>
      </c>
      <c r="E70" s="323" t="s">
        <v>27</v>
      </c>
      <c r="F70" s="324">
        <v>3841.8</v>
      </c>
      <c r="G70" s="324"/>
      <c r="H70" s="323" t="s">
        <v>28</v>
      </c>
      <c r="I70" s="325" t="s">
        <v>29</v>
      </c>
      <c r="J70" s="325"/>
      <c r="K70" s="326" t="s">
        <v>22</v>
      </c>
      <c r="L70" s="327">
        <v>9610193.8900000006</v>
      </c>
    </row>
    <row r="71" spans="1:12" ht="61.2" hidden="1" x14ac:dyDescent="0.3">
      <c r="A71" s="321" t="s">
        <v>23</v>
      </c>
      <c r="B71" s="322" t="s">
        <v>993</v>
      </c>
      <c r="C71" s="322" t="s">
        <v>975</v>
      </c>
      <c r="D71" s="322" t="s">
        <v>951</v>
      </c>
      <c r="E71" s="323" t="s">
        <v>27</v>
      </c>
      <c r="F71" s="324">
        <v>1455.9</v>
      </c>
      <c r="G71" s="324"/>
      <c r="H71" s="323" t="s">
        <v>28</v>
      </c>
      <c r="I71" s="325" t="s">
        <v>29</v>
      </c>
      <c r="J71" s="325"/>
      <c r="K71" s="326" t="s">
        <v>22</v>
      </c>
      <c r="L71" s="327">
        <v>9611649.7899999991</v>
      </c>
    </row>
    <row r="72" spans="1:12" ht="61.2" hidden="1" x14ac:dyDescent="0.3">
      <c r="A72" s="321" t="s">
        <v>23</v>
      </c>
      <c r="B72" s="322" t="s">
        <v>993</v>
      </c>
      <c r="C72" s="322" t="s">
        <v>1000</v>
      </c>
      <c r="D72" s="322" t="s">
        <v>951</v>
      </c>
      <c r="E72" s="323" t="s">
        <v>27</v>
      </c>
      <c r="F72" s="328">
        <v>683.2</v>
      </c>
      <c r="G72" s="328"/>
      <c r="H72" s="323" t="s">
        <v>28</v>
      </c>
      <c r="I72" s="325" t="s">
        <v>29</v>
      </c>
      <c r="J72" s="325"/>
      <c r="K72" s="326" t="s">
        <v>22</v>
      </c>
      <c r="L72" s="327">
        <v>9612332.9900000002</v>
      </c>
    </row>
    <row r="73" spans="1:12" ht="61.2" hidden="1" x14ac:dyDescent="0.3">
      <c r="A73" s="321" t="s">
        <v>23</v>
      </c>
      <c r="B73" s="322" t="s">
        <v>993</v>
      </c>
      <c r="C73" s="322" t="s">
        <v>975</v>
      </c>
      <c r="D73" s="322" t="s">
        <v>951</v>
      </c>
      <c r="E73" s="323" t="s">
        <v>27</v>
      </c>
      <c r="F73" s="324">
        <v>1340.3</v>
      </c>
      <c r="G73" s="324"/>
      <c r="H73" s="323" t="s">
        <v>28</v>
      </c>
      <c r="I73" s="325" t="s">
        <v>29</v>
      </c>
      <c r="J73" s="325"/>
      <c r="K73" s="326" t="s">
        <v>22</v>
      </c>
      <c r="L73" s="327">
        <v>9613673.2899999991</v>
      </c>
    </row>
    <row r="74" spans="1:12" ht="61.2" hidden="1" x14ac:dyDescent="0.3">
      <c r="A74" s="321" t="s">
        <v>23</v>
      </c>
      <c r="B74" s="322" t="s">
        <v>993</v>
      </c>
      <c r="C74" s="322" t="s">
        <v>1001</v>
      </c>
      <c r="D74" s="322" t="s">
        <v>951</v>
      </c>
      <c r="E74" s="323" t="s">
        <v>27</v>
      </c>
      <c r="F74" s="324">
        <v>4431.7</v>
      </c>
      <c r="G74" s="324"/>
      <c r="H74" s="323" t="s">
        <v>28</v>
      </c>
      <c r="I74" s="325" t="s">
        <v>29</v>
      </c>
      <c r="J74" s="325"/>
      <c r="K74" s="326" t="s">
        <v>22</v>
      </c>
      <c r="L74" s="327">
        <v>9618104.9900000002</v>
      </c>
    </row>
    <row r="75" spans="1:12" ht="61.2" hidden="1" x14ac:dyDescent="0.3">
      <c r="A75" s="321" t="s">
        <v>23</v>
      </c>
      <c r="B75" s="322" t="s">
        <v>993</v>
      </c>
      <c r="C75" s="322" t="s">
        <v>1001</v>
      </c>
      <c r="D75" s="322" t="s">
        <v>951</v>
      </c>
      <c r="E75" s="323" t="s">
        <v>27</v>
      </c>
      <c r="F75" s="324">
        <v>13492.2</v>
      </c>
      <c r="G75" s="324"/>
      <c r="H75" s="323" t="s">
        <v>28</v>
      </c>
      <c r="I75" s="325" t="s">
        <v>29</v>
      </c>
      <c r="J75" s="325"/>
      <c r="K75" s="326" t="s">
        <v>22</v>
      </c>
      <c r="L75" s="327">
        <v>9631597.1899999995</v>
      </c>
    </row>
    <row r="76" spans="1:12" ht="61.2" hidden="1" x14ac:dyDescent="0.3">
      <c r="A76" s="321" t="s">
        <v>23</v>
      </c>
      <c r="B76" s="322" t="s">
        <v>993</v>
      </c>
      <c r="C76" s="322" t="s">
        <v>1002</v>
      </c>
      <c r="D76" s="322" t="s">
        <v>951</v>
      </c>
      <c r="E76" s="323" t="s">
        <v>27</v>
      </c>
      <c r="F76" s="324">
        <v>4847.2</v>
      </c>
      <c r="G76" s="324"/>
      <c r="H76" s="323" t="s">
        <v>28</v>
      </c>
      <c r="I76" s="325" t="s">
        <v>29</v>
      </c>
      <c r="J76" s="325"/>
      <c r="K76" s="326" t="s">
        <v>22</v>
      </c>
      <c r="L76" s="327">
        <v>9636444.3900000006</v>
      </c>
    </row>
    <row r="77" spans="1:12" ht="61.2" hidden="1" x14ac:dyDescent="0.3">
      <c r="A77" s="321" t="s">
        <v>23</v>
      </c>
      <c r="B77" s="322" t="s">
        <v>993</v>
      </c>
      <c r="C77" s="322" t="s">
        <v>1003</v>
      </c>
      <c r="D77" s="322" t="s">
        <v>951</v>
      </c>
      <c r="E77" s="323" t="s">
        <v>27</v>
      </c>
      <c r="F77" s="324">
        <v>4531.7</v>
      </c>
      <c r="G77" s="324"/>
      <c r="H77" s="323" t="s">
        <v>28</v>
      </c>
      <c r="I77" s="325" t="s">
        <v>29</v>
      </c>
      <c r="J77" s="325"/>
      <c r="K77" s="326" t="s">
        <v>22</v>
      </c>
      <c r="L77" s="327">
        <v>9640976.0899999999</v>
      </c>
    </row>
    <row r="78" spans="1:12" ht="61.2" hidden="1" x14ac:dyDescent="0.3">
      <c r="A78" s="321" t="s">
        <v>23</v>
      </c>
      <c r="B78" s="322" t="s">
        <v>993</v>
      </c>
      <c r="C78" s="322" t="s">
        <v>1001</v>
      </c>
      <c r="D78" s="322" t="s">
        <v>951</v>
      </c>
      <c r="E78" s="323" t="s">
        <v>27</v>
      </c>
      <c r="F78" s="324">
        <v>4431.7</v>
      </c>
      <c r="G78" s="324"/>
      <c r="H78" s="323" t="s">
        <v>28</v>
      </c>
      <c r="I78" s="325" t="s">
        <v>29</v>
      </c>
      <c r="J78" s="325"/>
      <c r="K78" s="326" t="s">
        <v>22</v>
      </c>
      <c r="L78" s="327">
        <v>9645407.7899999991</v>
      </c>
    </row>
    <row r="79" spans="1:12" ht="61.2" hidden="1" x14ac:dyDescent="0.3">
      <c r="A79" s="321" t="s">
        <v>23</v>
      </c>
      <c r="B79" s="322" t="s">
        <v>993</v>
      </c>
      <c r="C79" s="322" t="s">
        <v>1004</v>
      </c>
      <c r="D79" s="322" t="s">
        <v>951</v>
      </c>
      <c r="E79" s="323" t="s">
        <v>27</v>
      </c>
      <c r="F79" s="324">
        <v>3604.6</v>
      </c>
      <c r="G79" s="324"/>
      <c r="H79" s="323" t="s">
        <v>28</v>
      </c>
      <c r="I79" s="325" t="s">
        <v>29</v>
      </c>
      <c r="J79" s="325"/>
      <c r="K79" s="326" t="s">
        <v>22</v>
      </c>
      <c r="L79" s="327">
        <v>9649012.3900000006</v>
      </c>
    </row>
    <row r="80" spans="1:12" ht="61.2" hidden="1" x14ac:dyDescent="0.3">
      <c r="A80" s="321" t="s">
        <v>23</v>
      </c>
      <c r="B80" s="322" t="s">
        <v>993</v>
      </c>
      <c r="C80" s="322" t="s">
        <v>1004</v>
      </c>
      <c r="D80" s="322" t="s">
        <v>951</v>
      </c>
      <c r="E80" s="323" t="s">
        <v>27</v>
      </c>
      <c r="F80" s="324">
        <v>29356</v>
      </c>
      <c r="G80" s="324"/>
      <c r="H80" s="323" t="s">
        <v>28</v>
      </c>
      <c r="I80" s="325" t="s">
        <v>29</v>
      </c>
      <c r="J80" s="325"/>
      <c r="K80" s="326" t="s">
        <v>22</v>
      </c>
      <c r="L80" s="327">
        <v>9678368.3900000006</v>
      </c>
    </row>
    <row r="81" spans="1:12" ht="61.2" hidden="1" x14ac:dyDescent="0.3">
      <c r="A81" s="321" t="s">
        <v>23</v>
      </c>
      <c r="B81" s="322" t="s">
        <v>993</v>
      </c>
      <c r="C81" s="322" t="s">
        <v>1005</v>
      </c>
      <c r="D81" s="322" t="s">
        <v>951</v>
      </c>
      <c r="E81" s="323" t="s">
        <v>27</v>
      </c>
      <c r="F81" s="324">
        <v>3846.3</v>
      </c>
      <c r="G81" s="324"/>
      <c r="H81" s="323" t="s">
        <v>28</v>
      </c>
      <c r="I81" s="325" t="s">
        <v>29</v>
      </c>
      <c r="J81" s="325"/>
      <c r="K81" s="326" t="s">
        <v>22</v>
      </c>
      <c r="L81" s="327">
        <v>9682214.6899999995</v>
      </c>
    </row>
    <row r="82" spans="1:12" ht="61.2" hidden="1" x14ac:dyDescent="0.3">
      <c r="A82" s="321" t="s">
        <v>23</v>
      </c>
      <c r="B82" s="322" t="s">
        <v>993</v>
      </c>
      <c r="C82" s="322" t="s">
        <v>1004</v>
      </c>
      <c r="D82" s="322" t="s">
        <v>951</v>
      </c>
      <c r="E82" s="323" t="s">
        <v>27</v>
      </c>
      <c r="F82" s="324">
        <v>3604.6</v>
      </c>
      <c r="G82" s="324"/>
      <c r="H82" s="323" t="s">
        <v>28</v>
      </c>
      <c r="I82" s="325" t="s">
        <v>29</v>
      </c>
      <c r="J82" s="325"/>
      <c r="K82" s="326" t="s">
        <v>22</v>
      </c>
      <c r="L82" s="327">
        <v>9685819.2899999991</v>
      </c>
    </row>
    <row r="83" spans="1:12" ht="61.2" hidden="1" x14ac:dyDescent="0.3">
      <c r="A83" s="321" t="s">
        <v>23</v>
      </c>
      <c r="B83" s="322" t="s">
        <v>993</v>
      </c>
      <c r="C83" s="322" t="s">
        <v>1006</v>
      </c>
      <c r="D83" s="322" t="s">
        <v>951</v>
      </c>
      <c r="E83" s="323" t="s">
        <v>27</v>
      </c>
      <c r="F83" s="324">
        <v>3974.6</v>
      </c>
      <c r="G83" s="324"/>
      <c r="H83" s="323" t="s">
        <v>28</v>
      </c>
      <c r="I83" s="325" t="s">
        <v>29</v>
      </c>
      <c r="J83" s="325"/>
      <c r="K83" s="326" t="s">
        <v>22</v>
      </c>
      <c r="L83" s="327">
        <v>9689793.8900000006</v>
      </c>
    </row>
    <row r="84" spans="1:12" ht="61.2" hidden="1" x14ac:dyDescent="0.3">
      <c r="A84" s="321" t="s">
        <v>23</v>
      </c>
      <c r="B84" s="322" t="s">
        <v>993</v>
      </c>
      <c r="C84" s="322" t="s">
        <v>1007</v>
      </c>
      <c r="D84" s="322" t="s">
        <v>951</v>
      </c>
      <c r="E84" s="323" t="s">
        <v>27</v>
      </c>
      <c r="F84" s="324">
        <v>3188.4</v>
      </c>
      <c r="G84" s="324"/>
      <c r="H84" s="323" t="s">
        <v>28</v>
      </c>
      <c r="I84" s="325" t="s">
        <v>29</v>
      </c>
      <c r="J84" s="325"/>
      <c r="K84" s="326" t="s">
        <v>22</v>
      </c>
      <c r="L84" s="327">
        <v>9692982.2899999991</v>
      </c>
    </row>
    <row r="85" spans="1:12" ht="61.2" hidden="1" x14ac:dyDescent="0.3">
      <c r="A85" s="321" t="s">
        <v>23</v>
      </c>
      <c r="B85" s="322" t="s">
        <v>993</v>
      </c>
      <c r="C85" s="322" t="s">
        <v>1008</v>
      </c>
      <c r="D85" s="322" t="s">
        <v>951</v>
      </c>
      <c r="E85" s="323" t="s">
        <v>27</v>
      </c>
      <c r="F85" s="324">
        <v>6139</v>
      </c>
      <c r="G85" s="324"/>
      <c r="H85" s="323" t="s">
        <v>28</v>
      </c>
      <c r="I85" s="325" t="s">
        <v>29</v>
      </c>
      <c r="J85" s="325"/>
      <c r="K85" s="326" t="s">
        <v>22</v>
      </c>
      <c r="L85" s="327">
        <v>9699121.2899999991</v>
      </c>
    </row>
    <row r="86" spans="1:12" ht="61.2" hidden="1" x14ac:dyDescent="0.3">
      <c r="A86" s="321" t="s">
        <v>23</v>
      </c>
      <c r="B86" s="322" t="s">
        <v>993</v>
      </c>
      <c r="C86" s="322" t="s">
        <v>1007</v>
      </c>
      <c r="D86" s="322" t="s">
        <v>951</v>
      </c>
      <c r="E86" s="323" t="s">
        <v>27</v>
      </c>
      <c r="F86" s="324">
        <v>3280.9</v>
      </c>
      <c r="G86" s="324"/>
      <c r="H86" s="323" t="s">
        <v>28</v>
      </c>
      <c r="I86" s="325" t="s">
        <v>29</v>
      </c>
      <c r="J86" s="325"/>
      <c r="K86" s="326" t="s">
        <v>22</v>
      </c>
      <c r="L86" s="327">
        <v>9702402.1899999995</v>
      </c>
    </row>
    <row r="87" spans="1:12" ht="61.2" hidden="1" x14ac:dyDescent="0.3">
      <c r="A87" s="321" t="s">
        <v>23</v>
      </c>
      <c r="B87" s="322" t="s">
        <v>993</v>
      </c>
      <c r="C87" s="322" t="s">
        <v>1009</v>
      </c>
      <c r="D87" s="322" t="s">
        <v>951</v>
      </c>
      <c r="E87" s="323" t="s">
        <v>27</v>
      </c>
      <c r="F87" s="324">
        <v>1141.0999999999999</v>
      </c>
      <c r="G87" s="324"/>
      <c r="H87" s="323" t="s">
        <v>28</v>
      </c>
      <c r="I87" s="325" t="s">
        <v>29</v>
      </c>
      <c r="J87" s="325"/>
      <c r="K87" s="326" t="s">
        <v>22</v>
      </c>
      <c r="L87" s="327">
        <v>9703543.2899999991</v>
      </c>
    </row>
    <row r="88" spans="1:12" ht="61.2" hidden="1" x14ac:dyDescent="0.3">
      <c r="A88" s="321" t="s">
        <v>23</v>
      </c>
      <c r="B88" s="322" t="s">
        <v>993</v>
      </c>
      <c r="C88" s="322" t="s">
        <v>1010</v>
      </c>
      <c r="D88" s="322" t="s">
        <v>951</v>
      </c>
      <c r="E88" s="323" t="s">
        <v>27</v>
      </c>
      <c r="F88" s="324">
        <v>3450.2</v>
      </c>
      <c r="G88" s="324"/>
      <c r="H88" s="323" t="s">
        <v>28</v>
      </c>
      <c r="I88" s="325" t="s">
        <v>29</v>
      </c>
      <c r="J88" s="325"/>
      <c r="K88" s="326" t="s">
        <v>22</v>
      </c>
      <c r="L88" s="327">
        <v>9706993.4900000002</v>
      </c>
    </row>
    <row r="89" spans="1:12" ht="61.2" hidden="1" x14ac:dyDescent="0.3">
      <c r="A89" s="321" t="s">
        <v>23</v>
      </c>
      <c r="B89" s="322" t="s">
        <v>993</v>
      </c>
      <c r="C89" s="322" t="s">
        <v>1011</v>
      </c>
      <c r="D89" s="322" t="s">
        <v>951</v>
      </c>
      <c r="E89" s="323" t="s">
        <v>27</v>
      </c>
      <c r="F89" s="324">
        <v>17889</v>
      </c>
      <c r="G89" s="324"/>
      <c r="H89" s="323" t="s">
        <v>28</v>
      </c>
      <c r="I89" s="325" t="s">
        <v>29</v>
      </c>
      <c r="J89" s="325"/>
      <c r="K89" s="326" t="s">
        <v>22</v>
      </c>
      <c r="L89" s="327">
        <v>9724882.4900000002</v>
      </c>
    </row>
    <row r="90" spans="1:12" ht="61.2" hidden="1" x14ac:dyDescent="0.3">
      <c r="A90" s="321" t="s">
        <v>23</v>
      </c>
      <c r="B90" s="322" t="s">
        <v>993</v>
      </c>
      <c r="C90" s="322" t="s">
        <v>1012</v>
      </c>
      <c r="D90" s="322" t="s">
        <v>951</v>
      </c>
      <c r="E90" s="323" t="s">
        <v>27</v>
      </c>
      <c r="F90" s="324">
        <v>3564.3</v>
      </c>
      <c r="G90" s="324"/>
      <c r="H90" s="323" t="s">
        <v>28</v>
      </c>
      <c r="I90" s="325" t="s">
        <v>29</v>
      </c>
      <c r="J90" s="325"/>
      <c r="K90" s="326" t="s">
        <v>22</v>
      </c>
      <c r="L90" s="327">
        <v>9728446.7899999991</v>
      </c>
    </row>
    <row r="91" spans="1:12" ht="61.2" hidden="1" x14ac:dyDescent="0.3">
      <c r="A91" s="321" t="s">
        <v>23</v>
      </c>
      <c r="B91" s="322" t="s">
        <v>993</v>
      </c>
      <c r="C91" s="322" t="s">
        <v>1012</v>
      </c>
      <c r="D91" s="322" t="s">
        <v>951</v>
      </c>
      <c r="E91" s="323" t="s">
        <v>27</v>
      </c>
      <c r="F91" s="324">
        <v>40731.599999999999</v>
      </c>
      <c r="G91" s="324"/>
      <c r="H91" s="323" t="s">
        <v>28</v>
      </c>
      <c r="I91" s="325" t="s">
        <v>29</v>
      </c>
      <c r="J91" s="325"/>
      <c r="K91" s="326" t="s">
        <v>22</v>
      </c>
      <c r="L91" s="327">
        <v>9769178.3900000006</v>
      </c>
    </row>
    <row r="92" spans="1:12" ht="61.2" hidden="1" x14ac:dyDescent="0.3">
      <c r="A92" s="321" t="s">
        <v>23</v>
      </c>
      <c r="B92" s="322" t="s">
        <v>993</v>
      </c>
      <c r="C92" s="322" t="s">
        <v>1013</v>
      </c>
      <c r="D92" s="322" t="s">
        <v>951</v>
      </c>
      <c r="E92" s="323" t="s">
        <v>27</v>
      </c>
      <c r="F92" s="324">
        <v>3393.5</v>
      </c>
      <c r="G92" s="324"/>
      <c r="H92" s="323" t="s">
        <v>28</v>
      </c>
      <c r="I92" s="325" t="s">
        <v>29</v>
      </c>
      <c r="J92" s="325"/>
      <c r="K92" s="326" t="s">
        <v>22</v>
      </c>
      <c r="L92" s="327">
        <v>9772571.8900000006</v>
      </c>
    </row>
    <row r="93" spans="1:12" ht="61.2" hidden="1" x14ac:dyDescent="0.3">
      <c r="A93" s="321" t="s">
        <v>23</v>
      </c>
      <c r="B93" s="322" t="s">
        <v>993</v>
      </c>
      <c r="C93" s="322" t="s">
        <v>1014</v>
      </c>
      <c r="D93" s="322" t="s">
        <v>951</v>
      </c>
      <c r="E93" s="323" t="s">
        <v>27</v>
      </c>
      <c r="F93" s="324">
        <v>7744.8</v>
      </c>
      <c r="G93" s="324"/>
      <c r="H93" s="323" t="s">
        <v>28</v>
      </c>
      <c r="I93" s="325" t="s">
        <v>29</v>
      </c>
      <c r="J93" s="325"/>
      <c r="K93" s="326" t="s">
        <v>22</v>
      </c>
      <c r="L93" s="327">
        <v>9780316.6899999995</v>
      </c>
    </row>
    <row r="94" spans="1:12" ht="61.2" hidden="1" x14ac:dyDescent="0.3">
      <c r="A94" s="321" t="s">
        <v>23</v>
      </c>
      <c r="B94" s="322" t="s">
        <v>993</v>
      </c>
      <c r="C94" s="322" t="s">
        <v>1015</v>
      </c>
      <c r="D94" s="322" t="s">
        <v>951</v>
      </c>
      <c r="E94" s="323" t="s">
        <v>27</v>
      </c>
      <c r="F94" s="324">
        <v>3806</v>
      </c>
      <c r="G94" s="324"/>
      <c r="H94" s="323" t="s">
        <v>28</v>
      </c>
      <c r="I94" s="325" t="s">
        <v>29</v>
      </c>
      <c r="J94" s="325"/>
      <c r="K94" s="326" t="s">
        <v>22</v>
      </c>
      <c r="L94" s="327">
        <v>9784122.6899999995</v>
      </c>
    </row>
    <row r="95" spans="1:12" ht="61.2" hidden="1" x14ac:dyDescent="0.3">
      <c r="A95" s="321" t="s">
        <v>23</v>
      </c>
      <c r="B95" s="322" t="s">
        <v>993</v>
      </c>
      <c r="C95" s="322" t="s">
        <v>1016</v>
      </c>
      <c r="D95" s="322" t="s">
        <v>951</v>
      </c>
      <c r="E95" s="323" t="s">
        <v>27</v>
      </c>
      <c r="F95" s="324">
        <v>4141.6000000000004</v>
      </c>
      <c r="G95" s="324"/>
      <c r="H95" s="323" t="s">
        <v>28</v>
      </c>
      <c r="I95" s="325" t="s">
        <v>29</v>
      </c>
      <c r="J95" s="325"/>
      <c r="K95" s="326" t="s">
        <v>22</v>
      </c>
      <c r="L95" s="327">
        <v>9788264.2899999991</v>
      </c>
    </row>
    <row r="96" spans="1:12" ht="61.2" hidden="1" x14ac:dyDescent="0.3">
      <c r="A96" s="321" t="s">
        <v>23</v>
      </c>
      <c r="B96" s="322" t="s">
        <v>993</v>
      </c>
      <c r="C96" s="322" t="s">
        <v>1017</v>
      </c>
      <c r="D96" s="322" t="s">
        <v>951</v>
      </c>
      <c r="E96" s="323" t="s">
        <v>27</v>
      </c>
      <c r="F96" s="324">
        <v>4473.5</v>
      </c>
      <c r="G96" s="324"/>
      <c r="H96" s="323" t="s">
        <v>28</v>
      </c>
      <c r="I96" s="325" t="s">
        <v>29</v>
      </c>
      <c r="J96" s="325"/>
      <c r="K96" s="326" t="s">
        <v>22</v>
      </c>
      <c r="L96" s="327">
        <v>9792737.7899999991</v>
      </c>
    </row>
    <row r="97" spans="1:12" ht="61.2" hidden="1" x14ac:dyDescent="0.3">
      <c r="A97" s="321" t="s">
        <v>23</v>
      </c>
      <c r="B97" s="322" t="s">
        <v>993</v>
      </c>
      <c r="C97" s="322" t="s">
        <v>1018</v>
      </c>
      <c r="D97" s="322" t="s">
        <v>951</v>
      </c>
      <c r="E97" s="323" t="s">
        <v>27</v>
      </c>
      <c r="F97" s="324">
        <v>3502.4</v>
      </c>
      <c r="G97" s="324"/>
      <c r="H97" s="323" t="s">
        <v>28</v>
      </c>
      <c r="I97" s="325" t="s">
        <v>29</v>
      </c>
      <c r="J97" s="325"/>
      <c r="K97" s="326" t="s">
        <v>22</v>
      </c>
      <c r="L97" s="327">
        <v>9796240.1899999995</v>
      </c>
    </row>
    <row r="98" spans="1:12" ht="61.2" hidden="1" x14ac:dyDescent="0.3">
      <c r="A98" s="321" t="s">
        <v>23</v>
      </c>
      <c r="B98" s="322" t="s">
        <v>993</v>
      </c>
      <c r="C98" s="322" t="s">
        <v>1019</v>
      </c>
      <c r="D98" s="322" t="s">
        <v>951</v>
      </c>
      <c r="E98" s="323" t="s">
        <v>27</v>
      </c>
      <c r="F98" s="324">
        <v>3947</v>
      </c>
      <c r="G98" s="324"/>
      <c r="H98" s="323" t="s">
        <v>28</v>
      </c>
      <c r="I98" s="325" t="s">
        <v>29</v>
      </c>
      <c r="J98" s="325"/>
      <c r="K98" s="326" t="s">
        <v>22</v>
      </c>
      <c r="L98" s="327">
        <v>9800187.1899999995</v>
      </c>
    </row>
    <row r="99" spans="1:12" ht="61.2" hidden="1" x14ac:dyDescent="0.3">
      <c r="A99" s="321" t="s">
        <v>23</v>
      </c>
      <c r="B99" s="322" t="s">
        <v>993</v>
      </c>
      <c r="C99" s="322" t="s">
        <v>1020</v>
      </c>
      <c r="D99" s="322" t="s">
        <v>951</v>
      </c>
      <c r="E99" s="323" t="s">
        <v>27</v>
      </c>
      <c r="F99" s="324">
        <v>6667</v>
      </c>
      <c r="G99" s="324"/>
      <c r="H99" s="323" t="s">
        <v>28</v>
      </c>
      <c r="I99" s="325" t="s">
        <v>29</v>
      </c>
      <c r="J99" s="325"/>
      <c r="K99" s="326" t="s">
        <v>22</v>
      </c>
      <c r="L99" s="327">
        <v>9806854.1899999995</v>
      </c>
    </row>
    <row r="100" spans="1:12" ht="61.2" hidden="1" x14ac:dyDescent="0.3">
      <c r="A100" s="321" t="s">
        <v>23</v>
      </c>
      <c r="B100" s="322" t="s">
        <v>993</v>
      </c>
      <c r="C100" s="322" t="s">
        <v>1021</v>
      </c>
      <c r="D100" s="322" t="s">
        <v>951</v>
      </c>
      <c r="E100" s="323" t="s">
        <v>27</v>
      </c>
      <c r="F100" s="324">
        <v>4157.3</v>
      </c>
      <c r="G100" s="324"/>
      <c r="H100" s="323" t="s">
        <v>28</v>
      </c>
      <c r="I100" s="325" t="s">
        <v>29</v>
      </c>
      <c r="J100" s="325"/>
      <c r="K100" s="326" t="s">
        <v>22</v>
      </c>
      <c r="L100" s="327">
        <v>9811011.4900000002</v>
      </c>
    </row>
    <row r="101" spans="1:12" ht="61.2" hidden="1" x14ac:dyDescent="0.3">
      <c r="A101" s="321" t="s">
        <v>23</v>
      </c>
      <c r="B101" s="322" t="s">
        <v>993</v>
      </c>
      <c r="C101" s="322" t="s">
        <v>1021</v>
      </c>
      <c r="D101" s="322" t="s">
        <v>951</v>
      </c>
      <c r="E101" s="323" t="s">
        <v>27</v>
      </c>
      <c r="F101" s="324">
        <v>12774</v>
      </c>
      <c r="G101" s="324"/>
      <c r="H101" s="323" t="s">
        <v>28</v>
      </c>
      <c r="I101" s="325" t="s">
        <v>29</v>
      </c>
      <c r="J101" s="325"/>
      <c r="K101" s="326" t="s">
        <v>22</v>
      </c>
      <c r="L101" s="327">
        <v>9823785.4900000002</v>
      </c>
    </row>
    <row r="102" spans="1:12" ht="61.2" hidden="1" x14ac:dyDescent="0.3">
      <c r="A102" s="321" t="s">
        <v>23</v>
      </c>
      <c r="B102" s="322" t="s">
        <v>993</v>
      </c>
      <c r="C102" s="322" t="s">
        <v>1022</v>
      </c>
      <c r="D102" s="322" t="s">
        <v>951</v>
      </c>
      <c r="E102" s="323" t="s">
        <v>27</v>
      </c>
      <c r="F102" s="324">
        <v>2190.5</v>
      </c>
      <c r="G102" s="324"/>
      <c r="H102" s="323" t="s">
        <v>28</v>
      </c>
      <c r="I102" s="325" t="s">
        <v>29</v>
      </c>
      <c r="J102" s="325"/>
      <c r="K102" s="326" t="s">
        <v>22</v>
      </c>
      <c r="L102" s="327">
        <v>9825975.9900000002</v>
      </c>
    </row>
    <row r="103" spans="1:12" ht="61.2" hidden="1" x14ac:dyDescent="0.3">
      <c r="A103" s="321" t="s">
        <v>23</v>
      </c>
      <c r="B103" s="322" t="s">
        <v>993</v>
      </c>
      <c r="C103" s="322" t="s">
        <v>1023</v>
      </c>
      <c r="D103" s="322" t="s">
        <v>951</v>
      </c>
      <c r="E103" s="323" t="s">
        <v>27</v>
      </c>
      <c r="F103" s="324">
        <v>1577.4</v>
      </c>
      <c r="G103" s="324"/>
      <c r="H103" s="323" t="s">
        <v>28</v>
      </c>
      <c r="I103" s="325" t="s">
        <v>29</v>
      </c>
      <c r="J103" s="325"/>
      <c r="K103" s="326" t="s">
        <v>22</v>
      </c>
      <c r="L103" s="327">
        <v>9827553.3900000006</v>
      </c>
    </row>
    <row r="104" spans="1:12" ht="61.2" hidden="1" x14ac:dyDescent="0.3">
      <c r="A104" s="321" t="s">
        <v>23</v>
      </c>
      <c r="B104" s="322" t="s">
        <v>993</v>
      </c>
      <c r="C104" s="322" t="s">
        <v>1024</v>
      </c>
      <c r="D104" s="322" t="s">
        <v>951</v>
      </c>
      <c r="E104" s="323" t="s">
        <v>27</v>
      </c>
      <c r="F104" s="324">
        <v>1949.6</v>
      </c>
      <c r="G104" s="324"/>
      <c r="H104" s="323" t="s">
        <v>28</v>
      </c>
      <c r="I104" s="325" t="s">
        <v>29</v>
      </c>
      <c r="J104" s="325"/>
      <c r="K104" s="326" t="s">
        <v>22</v>
      </c>
      <c r="L104" s="327">
        <v>9829502.9900000002</v>
      </c>
    </row>
    <row r="105" spans="1:12" ht="61.2" hidden="1" x14ac:dyDescent="0.3">
      <c r="A105" s="321" t="s">
        <v>23</v>
      </c>
      <c r="B105" s="322" t="s">
        <v>993</v>
      </c>
      <c r="C105" s="322" t="s">
        <v>1025</v>
      </c>
      <c r="D105" s="322" t="s">
        <v>951</v>
      </c>
      <c r="E105" s="323" t="s">
        <v>27</v>
      </c>
      <c r="F105" s="324">
        <v>3039.3</v>
      </c>
      <c r="G105" s="324"/>
      <c r="H105" s="323" t="s">
        <v>28</v>
      </c>
      <c r="I105" s="325" t="s">
        <v>29</v>
      </c>
      <c r="J105" s="325"/>
      <c r="K105" s="326" t="s">
        <v>22</v>
      </c>
      <c r="L105" s="327">
        <v>9832542.2899999991</v>
      </c>
    </row>
    <row r="106" spans="1:12" ht="61.2" hidden="1" x14ac:dyDescent="0.3">
      <c r="A106" s="321" t="s">
        <v>23</v>
      </c>
      <c r="B106" s="322" t="s">
        <v>993</v>
      </c>
      <c r="C106" s="322" t="s">
        <v>1021</v>
      </c>
      <c r="D106" s="322" t="s">
        <v>951</v>
      </c>
      <c r="E106" s="323" t="s">
        <v>27</v>
      </c>
      <c r="F106" s="324">
        <v>4186.3999999999996</v>
      </c>
      <c r="G106" s="324"/>
      <c r="H106" s="323" t="s">
        <v>28</v>
      </c>
      <c r="I106" s="325" t="s">
        <v>29</v>
      </c>
      <c r="J106" s="325"/>
      <c r="K106" s="326" t="s">
        <v>22</v>
      </c>
      <c r="L106" s="327">
        <v>9836728.6899999995</v>
      </c>
    </row>
    <row r="107" spans="1:12" ht="61.2" hidden="1" x14ac:dyDescent="0.3">
      <c r="A107" s="321" t="s">
        <v>23</v>
      </c>
      <c r="B107" s="322" t="s">
        <v>993</v>
      </c>
      <c r="C107" s="322" t="s">
        <v>1026</v>
      </c>
      <c r="D107" s="322" t="s">
        <v>951</v>
      </c>
      <c r="E107" s="323" t="s">
        <v>27</v>
      </c>
      <c r="F107" s="324">
        <v>3560.6</v>
      </c>
      <c r="G107" s="324"/>
      <c r="H107" s="323" t="s">
        <v>28</v>
      </c>
      <c r="I107" s="325" t="s">
        <v>29</v>
      </c>
      <c r="J107" s="325"/>
      <c r="K107" s="326" t="s">
        <v>22</v>
      </c>
      <c r="L107" s="327">
        <v>9840289.2899999991</v>
      </c>
    </row>
    <row r="108" spans="1:12" ht="61.2" hidden="1" x14ac:dyDescent="0.3">
      <c r="A108" s="321" t="s">
        <v>23</v>
      </c>
      <c r="B108" s="322" t="s">
        <v>993</v>
      </c>
      <c r="C108" s="322" t="s">
        <v>1027</v>
      </c>
      <c r="D108" s="322" t="s">
        <v>951</v>
      </c>
      <c r="E108" s="323" t="s">
        <v>27</v>
      </c>
      <c r="F108" s="324">
        <v>3715.7</v>
      </c>
      <c r="G108" s="324"/>
      <c r="H108" s="323" t="s">
        <v>28</v>
      </c>
      <c r="I108" s="325" t="s">
        <v>29</v>
      </c>
      <c r="J108" s="325"/>
      <c r="K108" s="326" t="s">
        <v>22</v>
      </c>
      <c r="L108" s="327">
        <v>9844004.9900000002</v>
      </c>
    </row>
    <row r="109" spans="1:12" ht="61.2" hidden="1" x14ac:dyDescent="0.3">
      <c r="A109" s="321" t="s">
        <v>23</v>
      </c>
      <c r="B109" s="322" t="s">
        <v>993</v>
      </c>
      <c r="C109" s="322" t="s">
        <v>1028</v>
      </c>
      <c r="D109" s="322" t="s">
        <v>951</v>
      </c>
      <c r="E109" s="323" t="s">
        <v>27</v>
      </c>
      <c r="F109" s="324">
        <v>1332.1</v>
      </c>
      <c r="G109" s="324"/>
      <c r="H109" s="323" t="s">
        <v>28</v>
      </c>
      <c r="I109" s="325" t="s">
        <v>29</v>
      </c>
      <c r="J109" s="325"/>
      <c r="K109" s="326" t="s">
        <v>22</v>
      </c>
      <c r="L109" s="327">
        <v>9845337.0899999999</v>
      </c>
    </row>
    <row r="110" spans="1:12" ht="61.2" hidden="1" x14ac:dyDescent="0.3">
      <c r="A110" s="321" t="s">
        <v>23</v>
      </c>
      <c r="B110" s="322" t="s">
        <v>993</v>
      </c>
      <c r="C110" s="322" t="s">
        <v>1029</v>
      </c>
      <c r="D110" s="322" t="s">
        <v>951</v>
      </c>
      <c r="E110" s="323" t="s">
        <v>27</v>
      </c>
      <c r="F110" s="324">
        <v>2843.1</v>
      </c>
      <c r="G110" s="324"/>
      <c r="H110" s="323" t="s">
        <v>28</v>
      </c>
      <c r="I110" s="325" t="s">
        <v>29</v>
      </c>
      <c r="J110" s="325"/>
      <c r="K110" s="326" t="s">
        <v>22</v>
      </c>
      <c r="L110" s="327">
        <v>9848180.1899999995</v>
      </c>
    </row>
    <row r="111" spans="1:12" ht="61.2" hidden="1" x14ac:dyDescent="0.3">
      <c r="A111" s="321" t="s">
        <v>23</v>
      </c>
      <c r="B111" s="322" t="s">
        <v>993</v>
      </c>
      <c r="C111" s="322" t="s">
        <v>1030</v>
      </c>
      <c r="D111" s="322" t="s">
        <v>951</v>
      </c>
      <c r="E111" s="323" t="s">
        <v>27</v>
      </c>
      <c r="F111" s="324">
        <v>2199.5</v>
      </c>
      <c r="G111" s="324"/>
      <c r="H111" s="323" t="s">
        <v>28</v>
      </c>
      <c r="I111" s="325" t="s">
        <v>29</v>
      </c>
      <c r="J111" s="325"/>
      <c r="K111" s="326" t="s">
        <v>22</v>
      </c>
      <c r="L111" s="327">
        <v>9850379.6899999995</v>
      </c>
    </row>
    <row r="112" spans="1:12" ht="61.2" hidden="1" x14ac:dyDescent="0.3">
      <c r="A112" s="321" t="s">
        <v>23</v>
      </c>
      <c r="B112" s="322" t="s">
        <v>993</v>
      </c>
      <c r="C112" s="322" t="s">
        <v>1031</v>
      </c>
      <c r="D112" s="322" t="s">
        <v>951</v>
      </c>
      <c r="E112" s="323" t="s">
        <v>27</v>
      </c>
      <c r="F112" s="324">
        <v>5423</v>
      </c>
      <c r="G112" s="324"/>
      <c r="H112" s="323" t="s">
        <v>28</v>
      </c>
      <c r="I112" s="325" t="s">
        <v>29</v>
      </c>
      <c r="J112" s="325"/>
      <c r="K112" s="326" t="s">
        <v>22</v>
      </c>
      <c r="L112" s="327">
        <v>9855802.6899999995</v>
      </c>
    </row>
    <row r="113" spans="1:12" ht="61.2" hidden="1" x14ac:dyDescent="0.3">
      <c r="A113" s="321" t="s">
        <v>23</v>
      </c>
      <c r="B113" s="322" t="s">
        <v>993</v>
      </c>
      <c r="C113" s="322" t="s">
        <v>1032</v>
      </c>
      <c r="D113" s="322" t="s">
        <v>951</v>
      </c>
      <c r="E113" s="323" t="s">
        <v>27</v>
      </c>
      <c r="F113" s="324">
        <v>2206.1999999999998</v>
      </c>
      <c r="G113" s="324"/>
      <c r="H113" s="323" t="s">
        <v>28</v>
      </c>
      <c r="I113" s="325" t="s">
        <v>29</v>
      </c>
      <c r="J113" s="325"/>
      <c r="K113" s="326" t="s">
        <v>22</v>
      </c>
      <c r="L113" s="327">
        <v>9858008.8900000006</v>
      </c>
    </row>
    <row r="114" spans="1:12" ht="61.2" hidden="1" x14ac:dyDescent="0.3">
      <c r="A114" s="321" t="s">
        <v>23</v>
      </c>
      <c r="B114" s="322" t="s">
        <v>993</v>
      </c>
      <c r="C114" s="322" t="s">
        <v>1033</v>
      </c>
      <c r="D114" s="322" t="s">
        <v>951</v>
      </c>
      <c r="E114" s="323" t="s">
        <v>27</v>
      </c>
      <c r="F114" s="324">
        <v>2531.4</v>
      </c>
      <c r="G114" s="324"/>
      <c r="H114" s="323" t="s">
        <v>28</v>
      </c>
      <c r="I114" s="325" t="s">
        <v>29</v>
      </c>
      <c r="J114" s="325"/>
      <c r="K114" s="326" t="s">
        <v>22</v>
      </c>
      <c r="L114" s="327">
        <v>9860540.2899999991</v>
      </c>
    </row>
    <row r="115" spans="1:12" ht="61.2" hidden="1" x14ac:dyDescent="0.3">
      <c r="A115" s="321" t="s">
        <v>23</v>
      </c>
      <c r="B115" s="322" t="s">
        <v>993</v>
      </c>
      <c r="C115" s="322" t="s">
        <v>1034</v>
      </c>
      <c r="D115" s="322" t="s">
        <v>951</v>
      </c>
      <c r="E115" s="323" t="s">
        <v>27</v>
      </c>
      <c r="F115" s="324">
        <v>1809.4</v>
      </c>
      <c r="G115" s="324"/>
      <c r="H115" s="323" t="s">
        <v>28</v>
      </c>
      <c r="I115" s="325" t="s">
        <v>29</v>
      </c>
      <c r="J115" s="325"/>
      <c r="K115" s="326" t="s">
        <v>22</v>
      </c>
      <c r="L115" s="327">
        <v>9862349.6899999995</v>
      </c>
    </row>
    <row r="116" spans="1:12" ht="61.2" hidden="1" x14ac:dyDescent="0.3">
      <c r="A116" s="321" t="s">
        <v>23</v>
      </c>
      <c r="B116" s="322" t="s">
        <v>993</v>
      </c>
      <c r="C116" s="322" t="s">
        <v>1035</v>
      </c>
      <c r="D116" s="322" t="s">
        <v>951</v>
      </c>
      <c r="E116" s="323" t="s">
        <v>27</v>
      </c>
      <c r="F116" s="324">
        <v>2400.8000000000002</v>
      </c>
      <c r="G116" s="324"/>
      <c r="H116" s="323" t="s">
        <v>28</v>
      </c>
      <c r="I116" s="325" t="s">
        <v>29</v>
      </c>
      <c r="J116" s="325"/>
      <c r="K116" s="326" t="s">
        <v>22</v>
      </c>
      <c r="L116" s="327">
        <v>9864750.4900000002</v>
      </c>
    </row>
    <row r="117" spans="1:12" ht="61.2" hidden="1" x14ac:dyDescent="0.3">
      <c r="A117" s="321" t="s">
        <v>23</v>
      </c>
      <c r="B117" s="322" t="s">
        <v>993</v>
      </c>
      <c r="C117" s="322" t="s">
        <v>1004</v>
      </c>
      <c r="D117" s="322" t="s">
        <v>951</v>
      </c>
      <c r="E117" s="323" t="s">
        <v>27</v>
      </c>
      <c r="F117" s="324">
        <v>3588.2</v>
      </c>
      <c r="G117" s="324"/>
      <c r="H117" s="323" t="s">
        <v>28</v>
      </c>
      <c r="I117" s="325" t="s">
        <v>29</v>
      </c>
      <c r="J117" s="325"/>
      <c r="K117" s="326" t="s">
        <v>22</v>
      </c>
      <c r="L117" s="327">
        <v>9868338.6899999995</v>
      </c>
    </row>
    <row r="118" spans="1:12" ht="61.2" hidden="1" x14ac:dyDescent="0.3">
      <c r="A118" s="321" t="s">
        <v>23</v>
      </c>
      <c r="B118" s="322" t="s">
        <v>993</v>
      </c>
      <c r="C118" s="322" t="s">
        <v>1036</v>
      </c>
      <c r="D118" s="322" t="s">
        <v>951</v>
      </c>
      <c r="E118" s="323" t="s">
        <v>27</v>
      </c>
      <c r="F118" s="324">
        <v>3936.5</v>
      </c>
      <c r="G118" s="324"/>
      <c r="H118" s="323" t="s">
        <v>28</v>
      </c>
      <c r="I118" s="325" t="s">
        <v>29</v>
      </c>
      <c r="J118" s="325"/>
      <c r="K118" s="326" t="s">
        <v>22</v>
      </c>
      <c r="L118" s="327">
        <v>9872275.1899999995</v>
      </c>
    </row>
    <row r="119" spans="1:12" ht="61.2" hidden="1" x14ac:dyDescent="0.3">
      <c r="A119" s="321" t="s">
        <v>23</v>
      </c>
      <c r="B119" s="322" t="s">
        <v>993</v>
      </c>
      <c r="C119" s="322" t="s">
        <v>1004</v>
      </c>
      <c r="D119" s="322" t="s">
        <v>951</v>
      </c>
      <c r="E119" s="323" t="s">
        <v>27</v>
      </c>
      <c r="F119" s="324">
        <v>3604.6</v>
      </c>
      <c r="G119" s="324"/>
      <c r="H119" s="323" t="s">
        <v>28</v>
      </c>
      <c r="I119" s="325" t="s">
        <v>29</v>
      </c>
      <c r="J119" s="325"/>
      <c r="K119" s="326" t="s">
        <v>22</v>
      </c>
      <c r="L119" s="327">
        <v>9875879.7899999991</v>
      </c>
    </row>
    <row r="120" spans="1:12" ht="61.2" hidden="1" x14ac:dyDescent="0.3">
      <c r="A120" s="321" t="s">
        <v>23</v>
      </c>
      <c r="B120" s="322" t="s">
        <v>993</v>
      </c>
      <c r="C120" s="322" t="s">
        <v>1037</v>
      </c>
      <c r="D120" s="322" t="s">
        <v>951</v>
      </c>
      <c r="E120" s="323" t="s">
        <v>27</v>
      </c>
      <c r="F120" s="324">
        <v>3420.4</v>
      </c>
      <c r="G120" s="324"/>
      <c r="H120" s="323" t="s">
        <v>28</v>
      </c>
      <c r="I120" s="325" t="s">
        <v>29</v>
      </c>
      <c r="J120" s="325"/>
      <c r="K120" s="326" t="s">
        <v>22</v>
      </c>
      <c r="L120" s="327">
        <v>9879300.1899999995</v>
      </c>
    </row>
    <row r="121" spans="1:12" ht="61.2" hidden="1" x14ac:dyDescent="0.3">
      <c r="A121" s="321" t="s">
        <v>23</v>
      </c>
      <c r="B121" s="322" t="s">
        <v>993</v>
      </c>
      <c r="C121" s="322" t="s">
        <v>1037</v>
      </c>
      <c r="D121" s="322" t="s">
        <v>951</v>
      </c>
      <c r="E121" s="323" t="s">
        <v>27</v>
      </c>
      <c r="F121" s="324">
        <v>10569.9</v>
      </c>
      <c r="G121" s="324"/>
      <c r="H121" s="323" t="s">
        <v>28</v>
      </c>
      <c r="I121" s="325" t="s">
        <v>29</v>
      </c>
      <c r="J121" s="325"/>
      <c r="K121" s="326" t="s">
        <v>22</v>
      </c>
      <c r="L121" s="327">
        <v>9889870.0899999999</v>
      </c>
    </row>
    <row r="122" spans="1:12" ht="61.2" hidden="1" x14ac:dyDescent="0.3">
      <c r="A122" s="321" t="s">
        <v>23</v>
      </c>
      <c r="B122" s="322" t="s">
        <v>993</v>
      </c>
      <c r="C122" s="322" t="s">
        <v>1038</v>
      </c>
      <c r="D122" s="322" t="s">
        <v>951</v>
      </c>
      <c r="E122" s="323" t="s">
        <v>27</v>
      </c>
      <c r="F122" s="324">
        <v>1811.6</v>
      </c>
      <c r="G122" s="324"/>
      <c r="H122" s="323" t="s">
        <v>28</v>
      </c>
      <c r="I122" s="325" t="s">
        <v>29</v>
      </c>
      <c r="J122" s="325"/>
      <c r="K122" s="326" t="s">
        <v>22</v>
      </c>
      <c r="L122" s="327">
        <v>9891681.6899999995</v>
      </c>
    </row>
    <row r="123" spans="1:12" ht="61.2" hidden="1" x14ac:dyDescent="0.3">
      <c r="A123" s="321" t="s">
        <v>23</v>
      </c>
      <c r="B123" s="322" t="s">
        <v>993</v>
      </c>
      <c r="C123" s="322" t="s">
        <v>1039</v>
      </c>
      <c r="D123" s="322" t="s">
        <v>951</v>
      </c>
      <c r="E123" s="323" t="s">
        <v>27</v>
      </c>
      <c r="F123" s="324">
        <v>1310.4000000000001</v>
      </c>
      <c r="G123" s="324"/>
      <c r="H123" s="323" t="s">
        <v>28</v>
      </c>
      <c r="I123" s="325" t="s">
        <v>29</v>
      </c>
      <c r="J123" s="325"/>
      <c r="K123" s="326" t="s">
        <v>22</v>
      </c>
      <c r="L123" s="327">
        <v>9892992.0899999999</v>
      </c>
    </row>
    <row r="124" spans="1:12" ht="61.2" hidden="1" x14ac:dyDescent="0.3">
      <c r="A124" s="321" t="s">
        <v>23</v>
      </c>
      <c r="B124" s="322" t="s">
        <v>993</v>
      </c>
      <c r="C124" s="322" t="s">
        <v>1040</v>
      </c>
      <c r="D124" s="322" t="s">
        <v>951</v>
      </c>
      <c r="E124" s="323" t="s">
        <v>27</v>
      </c>
      <c r="F124" s="324">
        <v>1502.1</v>
      </c>
      <c r="G124" s="324"/>
      <c r="H124" s="323" t="s">
        <v>28</v>
      </c>
      <c r="I124" s="325" t="s">
        <v>29</v>
      </c>
      <c r="J124" s="325"/>
      <c r="K124" s="326" t="s">
        <v>22</v>
      </c>
      <c r="L124" s="327">
        <v>9894494.1899999995</v>
      </c>
    </row>
    <row r="125" spans="1:12" ht="61.2" hidden="1" x14ac:dyDescent="0.3">
      <c r="A125" s="321" t="s">
        <v>23</v>
      </c>
      <c r="B125" s="322" t="s">
        <v>993</v>
      </c>
      <c r="C125" s="322" t="s">
        <v>1041</v>
      </c>
      <c r="D125" s="322" t="s">
        <v>951</v>
      </c>
      <c r="E125" s="323" t="s">
        <v>27</v>
      </c>
      <c r="F125" s="324">
        <v>2636.5</v>
      </c>
      <c r="G125" s="324"/>
      <c r="H125" s="323" t="s">
        <v>28</v>
      </c>
      <c r="I125" s="325" t="s">
        <v>29</v>
      </c>
      <c r="J125" s="325"/>
      <c r="K125" s="326" t="s">
        <v>22</v>
      </c>
      <c r="L125" s="327">
        <v>9897130.6899999995</v>
      </c>
    </row>
    <row r="126" spans="1:12" ht="61.2" hidden="1" x14ac:dyDescent="0.3">
      <c r="A126" s="321" t="s">
        <v>23</v>
      </c>
      <c r="B126" s="322" t="s">
        <v>993</v>
      </c>
      <c r="C126" s="322" t="s">
        <v>1037</v>
      </c>
      <c r="D126" s="322" t="s">
        <v>951</v>
      </c>
      <c r="E126" s="323" t="s">
        <v>27</v>
      </c>
      <c r="F126" s="324">
        <v>3436.1</v>
      </c>
      <c r="G126" s="324"/>
      <c r="H126" s="323" t="s">
        <v>28</v>
      </c>
      <c r="I126" s="325" t="s">
        <v>29</v>
      </c>
      <c r="J126" s="325"/>
      <c r="K126" s="326" t="s">
        <v>22</v>
      </c>
      <c r="L126" s="327">
        <v>9900566.7899999991</v>
      </c>
    </row>
    <row r="127" spans="1:12" ht="61.2" hidden="1" x14ac:dyDescent="0.3">
      <c r="A127" s="321" t="s">
        <v>23</v>
      </c>
      <c r="B127" s="322" t="s">
        <v>993</v>
      </c>
      <c r="C127" s="322" t="s">
        <v>1042</v>
      </c>
      <c r="D127" s="322" t="s">
        <v>951</v>
      </c>
      <c r="E127" s="323" t="s">
        <v>27</v>
      </c>
      <c r="F127" s="324">
        <v>2664.1</v>
      </c>
      <c r="G127" s="324"/>
      <c r="H127" s="323" t="s">
        <v>28</v>
      </c>
      <c r="I127" s="325" t="s">
        <v>29</v>
      </c>
      <c r="J127" s="325"/>
      <c r="K127" s="326" t="s">
        <v>22</v>
      </c>
      <c r="L127" s="327">
        <v>9903230.8900000006</v>
      </c>
    </row>
    <row r="128" spans="1:12" ht="61.2" hidden="1" x14ac:dyDescent="0.3">
      <c r="A128" s="321" t="s">
        <v>23</v>
      </c>
      <c r="B128" s="322" t="s">
        <v>993</v>
      </c>
      <c r="C128" s="322" t="s">
        <v>1043</v>
      </c>
      <c r="D128" s="322" t="s">
        <v>951</v>
      </c>
      <c r="E128" s="323" t="s">
        <v>27</v>
      </c>
      <c r="F128" s="324">
        <v>2864</v>
      </c>
      <c r="G128" s="324"/>
      <c r="H128" s="323" t="s">
        <v>28</v>
      </c>
      <c r="I128" s="325" t="s">
        <v>29</v>
      </c>
      <c r="J128" s="325"/>
      <c r="K128" s="326" t="s">
        <v>22</v>
      </c>
      <c r="L128" s="327">
        <v>9906094.8900000006</v>
      </c>
    </row>
    <row r="129" spans="1:12" ht="61.2" hidden="1" x14ac:dyDescent="0.3">
      <c r="A129" s="321" t="s">
        <v>23</v>
      </c>
      <c r="B129" s="322" t="s">
        <v>993</v>
      </c>
      <c r="C129" s="322" t="s">
        <v>1044</v>
      </c>
      <c r="D129" s="322" t="s">
        <v>951</v>
      </c>
      <c r="E129" s="323" t="s">
        <v>27</v>
      </c>
      <c r="F129" s="324">
        <v>2978.1</v>
      </c>
      <c r="G129" s="324"/>
      <c r="H129" s="323" t="s">
        <v>28</v>
      </c>
      <c r="I129" s="325" t="s">
        <v>29</v>
      </c>
      <c r="J129" s="325"/>
      <c r="K129" s="326" t="s">
        <v>22</v>
      </c>
      <c r="L129" s="327">
        <v>9909072.9900000002</v>
      </c>
    </row>
    <row r="130" spans="1:12" ht="61.2" hidden="1" x14ac:dyDescent="0.3">
      <c r="A130" s="321" t="s">
        <v>23</v>
      </c>
      <c r="B130" s="322" t="s">
        <v>993</v>
      </c>
      <c r="C130" s="322" t="s">
        <v>1045</v>
      </c>
      <c r="D130" s="322" t="s">
        <v>951</v>
      </c>
      <c r="E130" s="323" t="s">
        <v>27</v>
      </c>
      <c r="F130" s="324">
        <v>3067.6</v>
      </c>
      <c r="G130" s="324"/>
      <c r="H130" s="323" t="s">
        <v>28</v>
      </c>
      <c r="I130" s="325" t="s">
        <v>29</v>
      </c>
      <c r="J130" s="325"/>
      <c r="K130" s="326" t="s">
        <v>22</v>
      </c>
      <c r="L130" s="327">
        <v>9912140.5899999999</v>
      </c>
    </row>
    <row r="131" spans="1:12" ht="61.2" hidden="1" x14ac:dyDescent="0.3">
      <c r="A131" s="321" t="s">
        <v>23</v>
      </c>
      <c r="B131" s="322" t="s">
        <v>993</v>
      </c>
      <c r="C131" s="322" t="s">
        <v>1046</v>
      </c>
      <c r="D131" s="322" t="s">
        <v>951</v>
      </c>
      <c r="E131" s="323" t="s">
        <v>27</v>
      </c>
      <c r="F131" s="324">
        <v>3214.5</v>
      </c>
      <c r="G131" s="324"/>
      <c r="H131" s="323" t="s">
        <v>28</v>
      </c>
      <c r="I131" s="325" t="s">
        <v>29</v>
      </c>
      <c r="J131" s="325"/>
      <c r="K131" s="326" t="s">
        <v>22</v>
      </c>
      <c r="L131" s="327">
        <v>9915355.0899999999</v>
      </c>
    </row>
    <row r="132" spans="1:12" ht="61.2" hidden="1" x14ac:dyDescent="0.3">
      <c r="A132" s="321" t="s">
        <v>23</v>
      </c>
      <c r="B132" s="322" t="s">
        <v>993</v>
      </c>
      <c r="C132" s="322" t="s">
        <v>1047</v>
      </c>
      <c r="D132" s="322" t="s">
        <v>951</v>
      </c>
      <c r="E132" s="323" t="s">
        <v>27</v>
      </c>
      <c r="F132" s="324">
        <v>3416.7</v>
      </c>
      <c r="G132" s="324"/>
      <c r="H132" s="323" t="s">
        <v>28</v>
      </c>
      <c r="I132" s="325" t="s">
        <v>29</v>
      </c>
      <c r="J132" s="325"/>
      <c r="K132" s="326" t="s">
        <v>22</v>
      </c>
      <c r="L132" s="327">
        <v>9918771.7899999991</v>
      </c>
    </row>
    <row r="133" spans="1:12" ht="61.2" hidden="1" x14ac:dyDescent="0.3">
      <c r="A133" s="321" t="s">
        <v>23</v>
      </c>
      <c r="B133" s="322" t="s">
        <v>993</v>
      </c>
      <c r="C133" s="322" t="s">
        <v>1048</v>
      </c>
      <c r="D133" s="322" t="s">
        <v>951</v>
      </c>
      <c r="E133" s="323" t="s">
        <v>27</v>
      </c>
      <c r="F133" s="324">
        <v>1843.7</v>
      </c>
      <c r="G133" s="324"/>
      <c r="H133" s="323" t="s">
        <v>28</v>
      </c>
      <c r="I133" s="325" t="s">
        <v>29</v>
      </c>
      <c r="J133" s="325"/>
      <c r="K133" s="326" t="s">
        <v>22</v>
      </c>
      <c r="L133" s="327">
        <v>9920615.4900000002</v>
      </c>
    </row>
    <row r="134" spans="1:12" ht="61.2" hidden="1" x14ac:dyDescent="0.3">
      <c r="A134" s="321" t="s">
        <v>23</v>
      </c>
      <c r="B134" s="322" t="s">
        <v>993</v>
      </c>
      <c r="C134" s="322" t="s">
        <v>1048</v>
      </c>
      <c r="D134" s="322" t="s">
        <v>951</v>
      </c>
      <c r="E134" s="323" t="s">
        <v>27</v>
      </c>
      <c r="F134" s="324">
        <v>7697.2</v>
      </c>
      <c r="G134" s="324"/>
      <c r="H134" s="323" t="s">
        <v>28</v>
      </c>
      <c r="I134" s="325" t="s">
        <v>29</v>
      </c>
      <c r="J134" s="325"/>
      <c r="K134" s="326" t="s">
        <v>22</v>
      </c>
      <c r="L134" s="327">
        <v>9928312.6899999995</v>
      </c>
    </row>
    <row r="135" spans="1:12" ht="61.2" hidden="1" x14ac:dyDescent="0.3">
      <c r="A135" s="321" t="s">
        <v>23</v>
      </c>
      <c r="B135" s="322" t="s">
        <v>993</v>
      </c>
      <c r="C135" s="322" t="s">
        <v>1049</v>
      </c>
      <c r="D135" s="322" t="s">
        <v>951</v>
      </c>
      <c r="E135" s="323" t="s">
        <v>27</v>
      </c>
      <c r="F135" s="324">
        <v>2385.9</v>
      </c>
      <c r="G135" s="324"/>
      <c r="H135" s="323" t="s">
        <v>28</v>
      </c>
      <c r="I135" s="325" t="s">
        <v>29</v>
      </c>
      <c r="J135" s="325"/>
      <c r="K135" s="326" t="s">
        <v>22</v>
      </c>
      <c r="L135" s="327">
        <v>9930698.5899999999</v>
      </c>
    </row>
    <row r="136" spans="1:12" ht="61.2" hidden="1" x14ac:dyDescent="0.3">
      <c r="A136" s="321" t="s">
        <v>23</v>
      </c>
      <c r="B136" s="322" t="s">
        <v>993</v>
      </c>
      <c r="C136" s="322" t="s">
        <v>1050</v>
      </c>
      <c r="D136" s="322" t="s">
        <v>951</v>
      </c>
      <c r="E136" s="323" t="s">
        <v>27</v>
      </c>
      <c r="F136" s="324">
        <v>1858.6</v>
      </c>
      <c r="G136" s="324"/>
      <c r="H136" s="323" t="s">
        <v>28</v>
      </c>
      <c r="I136" s="325" t="s">
        <v>29</v>
      </c>
      <c r="J136" s="325"/>
      <c r="K136" s="326" t="s">
        <v>22</v>
      </c>
      <c r="L136" s="327">
        <v>9932557.1899999995</v>
      </c>
    </row>
    <row r="137" spans="1:12" ht="61.2" hidden="1" x14ac:dyDescent="0.3">
      <c r="A137" s="321" t="s">
        <v>23</v>
      </c>
      <c r="B137" s="322" t="s">
        <v>993</v>
      </c>
      <c r="C137" s="322" t="s">
        <v>1051</v>
      </c>
      <c r="D137" s="322" t="s">
        <v>951</v>
      </c>
      <c r="E137" s="323" t="s">
        <v>27</v>
      </c>
      <c r="F137" s="324">
        <v>5687.8</v>
      </c>
      <c r="G137" s="324"/>
      <c r="H137" s="323" t="s">
        <v>28</v>
      </c>
      <c r="I137" s="325" t="s">
        <v>29</v>
      </c>
      <c r="J137" s="325"/>
      <c r="K137" s="326" t="s">
        <v>22</v>
      </c>
      <c r="L137" s="327">
        <v>9938244.9900000002</v>
      </c>
    </row>
    <row r="138" spans="1:12" ht="61.2" hidden="1" x14ac:dyDescent="0.3">
      <c r="A138" s="321" t="s">
        <v>23</v>
      </c>
      <c r="B138" s="322" t="s">
        <v>993</v>
      </c>
      <c r="C138" s="322" t="s">
        <v>998</v>
      </c>
      <c r="D138" s="322" t="s">
        <v>951</v>
      </c>
      <c r="E138" s="323" t="s">
        <v>27</v>
      </c>
      <c r="F138" s="324">
        <v>3873.1</v>
      </c>
      <c r="G138" s="324"/>
      <c r="H138" s="323" t="s">
        <v>28</v>
      </c>
      <c r="I138" s="325" t="s">
        <v>29</v>
      </c>
      <c r="J138" s="325"/>
      <c r="K138" s="326" t="s">
        <v>22</v>
      </c>
      <c r="L138" s="327">
        <v>9942118.0899999999</v>
      </c>
    </row>
    <row r="139" spans="1:12" ht="61.2" hidden="1" x14ac:dyDescent="0.3">
      <c r="A139" s="321" t="s">
        <v>23</v>
      </c>
      <c r="B139" s="322" t="s">
        <v>993</v>
      </c>
      <c r="C139" s="322" t="s">
        <v>1052</v>
      </c>
      <c r="D139" s="322" t="s">
        <v>951</v>
      </c>
      <c r="E139" s="323" t="s">
        <v>27</v>
      </c>
      <c r="F139" s="324">
        <v>2961.7</v>
      </c>
      <c r="G139" s="324"/>
      <c r="H139" s="323" t="s">
        <v>28</v>
      </c>
      <c r="I139" s="325" t="s">
        <v>29</v>
      </c>
      <c r="J139" s="325"/>
      <c r="K139" s="326" t="s">
        <v>22</v>
      </c>
      <c r="L139" s="327">
        <v>9945079.7899999991</v>
      </c>
    </row>
    <row r="140" spans="1:12" ht="61.2" hidden="1" x14ac:dyDescent="0.3">
      <c r="A140" s="321" t="s">
        <v>23</v>
      </c>
      <c r="B140" s="322" t="s">
        <v>993</v>
      </c>
      <c r="C140" s="322" t="s">
        <v>1053</v>
      </c>
      <c r="D140" s="322" t="s">
        <v>951</v>
      </c>
      <c r="E140" s="323" t="s">
        <v>27</v>
      </c>
      <c r="F140" s="324">
        <v>3482.3</v>
      </c>
      <c r="G140" s="324"/>
      <c r="H140" s="323" t="s">
        <v>28</v>
      </c>
      <c r="I140" s="325" t="s">
        <v>29</v>
      </c>
      <c r="J140" s="325"/>
      <c r="K140" s="326" t="s">
        <v>22</v>
      </c>
      <c r="L140" s="327">
        <v>9948562.0899999999</v>
      </c>
    </row>
    <row r="141" spans="1:12" ht="61.2" hidden="1" x14ac:dyDescent="0.3">
      <c r="A141" s="321" t="s">
        <v>23</v>
      </c>
      <c r="B141" s="322" t="s">
        <v>993</v>
      </c>
      <c r="C141" s="322" t="s">
        <v>1054</v>
      </c>
      <c r="D141" s="322" t="s">
        <v>951</v>
      </c>
      <c r="E141" s="323" t="s">
        <v>27</v>
      </c>
      <c r="F141" s="324">
        <v>2714.8</v>
      </c>
      <c r="G141" s="324"/>
      <c r="H141" s="323" t="s">
        <v>28</v>
      </c>
      <c r="I141" s="325" t="s">
        <v>29</v>
      </c>
      <c r="J141" s="325"/>
      <c r="K141" s="326" t="s">
        <v>22</v>
      </c>
      <c r="L141" s="327">
        <v>9951276.8900000006</v>
      </c>
    </row>
    <row r="142" spans="1:12" ht="61.2" hidden="1" x14ac:dyDescent="0.3">
      <c r="A142" s="321" t="s">
        <v>23</v>
      </c>
      <c r="B142" s="322" t="s">
        <v>993</v>
      </c>
      <c r="C142" s="322" t="s">
        <v>1055</v>
      </c>
      <c r="D142" s="322" t="s">
        <v>951</v>
      </c>
      <c r="E142" s="323" t="s">
        <v>27</v>
      </c>
      <c r="F142" s="324">
        <v>14126</v>
      </c>
      <c r="G142" s="324"/>
      <c r="H142" s="323" t="s">
        <v>28</v>
      </c>
      <c r="I142" s="325" t="s">
        <v>29</v>
      </c>
      <c r="J142" s="325"/>
      <c r="K142" s="326" t="s">
        <v>22</v>
      </c>
      <c r="L142" s="327">
        <v>9965402.8900000006</v>
      </c>
    </row>
    <row r="143" spans="1:12" ht="61.2" hidden="1" x14ac:dyDescent="0.3">
      <c r="A143" s="321" t="s">
        <v>23</v>
      </c>
      <c r="B143" s="322" t="s">
        <v>993</v>
      </c>
      <c r="C143" s="322" t="s">
        <v>1056</v>
      </c>
      <c r="D143" s="322" t="s">
        <v>951</v>
      </c>
      <c r="E143" s="323" t="s">
        <v>27</v>
      </c>
      <c r="F143" s="324">
        <v>3711.3</v>
      </c>
      <c r="G143" s="324"/>
      <c r="H143" s="323" t="s">
        <v>28</v>
      </c>
      <c r="I143" s="325" t="s">
        <v>29</v>
      </c>
      <c r="J143" s="325"/>
      <c r="K143" s="326" t="s">
        <v>22</v>
      </c>
      <c r="L143" s="327">
        <v>9969114.1899999995</v>
      </c>
    </row>
    <row r="144" spans="1:12" ht="61.2" hidden="1" x14ac:dyDescent="0.3">
      <c r="A144" s="321" t="s">
        <v>23</v>
      </c>
      <c r="B144" s="322" t="s">
        <v>993</v>
      </c>
      <c r="C144" s="322" t="s">
        <v>1057</v>
      </c>
      <c r="D144" s="322" t="s">
        <v>951</v>
      </c>
      <c r="E144" s="323" t="s">
        <v>27</v>
      </c>
      <c r="F144" s="324">
        <v>2825.2</v>
      </c>
      <c r="G144" s="324"/>
      <c r="H144" s="323" t="s">
        <v>28</v>
      </c>
      <c r="I144" s="325" t="s">
        <v>29</v>
      </c>
      <c r="J144" s="325"/>
      <c r="K144" s="326" t="s">
        <v>22</v>
      </c>
      <c r="L144" s="327">
        <v>9971939.3900000006</v>
      </c>
    </row>
    <row r="145" spans="1:12" ht="61.2" hidden="1" x14ac:dyDescent="0.3">
      <c r="A145" s="321" t="s">
        <v>23</v>
      </c>
      <c r="B145" s="322" t="s">
        <v>993</v>
      </c>
      <c r="C145" s="322" t="s">
        <v>998</v>
      </c>
      <c r="D145" s="322" t="s">
        <v>951</v>
      </c>
      <c r="E145" s="323" t="s">
        <v>27</v>
      </c>
      <c r="F145" s="324">
        <v>3867.2</v>
      </c>
      <c r="G145" s="324"/>
      <c r="H145" s="323" t="s">
        <v>28</v>
      </c>
      <c r="I145" s="325" t="s">
        <v>29</v>
      </c>
      <c r="J145" s="325"/>
      <c r="K145" s="326" t="s">
        <v>22</v>
      </c>
      <c r="L145" s="327">
        <v>9975806.5899999999</v>
      </c>
    </row>
    <row r="146" spans="1:12" ht="61.2" hidden="1" x14ac:dyDescent="0.3">
      <c r="A146" s="321" t="s">
        <v>23</v>
      </c>
      <c r="B146" s="322" t="s">
        <v>993</v>
      </c>
      <c r="C146" s="322" t="s">
        <v>1052</v>
      </c>
      <c r="D146" s="322" t="s">
        <v>951</v>
      </c>
      <c r="E146" s="323" t="s">
        <v>27</v>
      </c>
      <c r="F146" s="324">
        <v>2966.9</v>
      </c>
      <c r="G146" s="324"/>
      <c r="H146" s="323" t="s">
        <v>28</v>
      </c>
      <c r="I146" s="325" t="s">
        <v>29</v>
      </c>
      <c r="J146" s="325"/>
      <c r="K146" s="326" t="s">
        <v>22</v>
      </c>
      <c r="L146" s="327">
        <v>9978773.4900000002</v>
      </c>
    </row>
    <row r="147" spans="1:12" ht="61.2" hidden="1" x14ac:dyDescent="0.3">
      <c r="A147" s="321" t="s">
        <v>23</v>
      </c>
      <c r="B147" s="322" t="s">
        <v>993</v>
      </c>
      <c r="C147" s="322" t="s">
        <v>1053</v>
      </c>
      <c r="D147" s="322" t="s">
        <v>951</v>
      </c>
      <c r="E147" s="323" t="s">
        <v>27</v>
      </c>
      <c r="F147" s="324">
        <v>3457.7</v>
      </c>
      <c r="G147" s="324"/>
      <c r="H147" s="323" t="s">
        <v>28</v>
      </c>
      <c r="I147" s="325" t="s">
        <v>29</v>
      </c>
      <c r="J147" s="325"/>
      <c r="K147" s="326" t="s">
        <v>22</v>
      </c>
      <c r="L147" s="327">
        <v>9982231.1899999995</v>
      </c>
    </row>
    <row r="148" spans="1:12" ht="61.2" hidden="1" x14ac:dyDescent="0.3">
      <c r="A148" s="321" t="s">
        <v>23</v>
      </c>
      <c r="B148" s="322" t="s">
        <v>993</v>
      </c>
      <c r="C148" s="322" t="s">
        <v>1054</v>
      </c>
      <c r="D148" s="322" t="s">
        <v>951</v>
      </c>
      <c r="E148" s="323" t="s">
        <v>27</v>
      </c>
      <c r="F148" s="324">
        <v>2738</v>
      </c>
      <c r="G148" s="324"/>
      <c r="H148" s="323" t="s">
        <v>28</v>
      </c>
      <c r="I148" s="325" t="s">
        <v>29</v>
      </c>
      <c r="J148" s="325"/>
      <c r="K148" s="326" t="s">
        <v>22</v>
      </c>
      <c r="L148" s="327">
        <v>9984969.1899999995</v>
      </c>
    </row>
    <row r="149" spans="1:12" ht="61.2" hidden="1" x14ac:dyDescent="0.3">
      <c r="A149" s="321" t="s">
        <v>23</v>
      </c>
      <c r="B149" s="322" t="s">
        <v>993</v>
      </c>
      <c r="C149" s="322" t="s">
        <v>1058</v>
      </c>
      <c r="D149" s="322" t="s">
        <v>951</v>
      </c>
      <c r="E149" s="323" t="s">
        <v>27</v>
      </c>
      <c r="F149" s="324">
        <v>13757</v>
      </c>
      <c r="G149" s="324"/>
      <c r="H149" s="323" t="s">
        <v>28</v>
      </c>
      <c r="I149" s="325" t="s">
        <v>29</v>
      </c>
      <c r="J149" s="325"/>
      <c r="K149" s="326" t="s">
        <v>22</v>
      </c>
      <c r="L149" s="327">
        <v>9998726.1899999995</v>
      </c>
    </row>
    <row r="150" spans="1:12" ht="61.2" hidden="1" x14ac:dyDescent="0.3">
      <c r="A150" s="321" t="s">
        <v>23</v>
      </c>
      <c r="B150" s="322" t="s">
        <v>993</v>
      </c>
      <c r="C150" s="322" t="s">
        <v>1059</v>
      </c>
      <c r="D150" s="322" t="s">
        <v>951</v>
      </c>
      <c r="E150" s="323" t="s">
        <v>27</v>
      </c>
      <c r="F150" s="324">
        <v>3305.5</v>
      </c>
      <c r="G150" s="324"/>
      <c r="H150" s="323" t="s">
        <v>28</v>
      </c>
      <c r="I150" s="325" t="s">
        <v>29</v>
      </c>
      <c r="J150" s="325"/>
      <c r="K150" s="326" t="s">
        <v>22</v>
      </c>
      <c r="L150" s="327">
        <v>10002031.689999999</v>
      </c>
    </row>
    <row r="151" spans="1:12" ht="61.2" hidden="1" x14ac:dyDescent="0.3">
      <c r="A151" s="321" t="s">
        <v>23</v>
      </c>
      <c r="B151" s="322" t="s">
        <v>993</v>
      </c>
      <c r="C151" s="322" t="s">
        <v>1060</v>
      </c>
      <c r="D151" s="322" t="s">
        <v>951</v>
      </c>
      <c r="E151" s="323" t="s">
        <v>27</v>
      </c>
      <c r="F151" s="324">
        <v>3039.3</v>
      </c>
      <c r="G151" s="324"/>
      <c r="H151" s="323" t="s">
        <v>28</v>
      </c>
      <c r="I151" s="325" t="s">
        <v>29</v>
      </c>
      <c r="J151" s="325"/>
      <c r="K151" s="326" t="s">
        <v>22</v>
      </c>
      <c r="L151" s="327">
        <v>10005070.99</v>
      </c>
    </row>
    <row r="152" spans="1:12" ht="61.2" hidden="1" x14ac:dyDescent="0.3">
      <c r="A152" s="321" t="s">
        <v>23</v>
      </c>
      <c r="B152" s="322" t="s">
        <v>993</v>
      </c>
      <c r="C152" s="322" t="s">
        <v>1061</v>
      </c>
      <c r="D152" s="322" t="s">
        <v>951</v>
      </c>
      <c r="E152" s="323" t="s">
        <v>27</v>
      </c>
      <c r="F152" s="324">
        <v>10294.799999999999</v>
      </c>
      <c r="G152" s="324"/>
      <c r="H152" s="323" t="s">
        <v>28</v>
      </c>
      <c r="I152" s="325" t="s">
        <v>29</v>
      </c>
      <c r="J152" s="325"/>
      <c r="K152" s="326" t="s">
        <v>22</v>
      </c>
      <c r="L152" s="327">
        <v>10015365.789999999</v>
      </c>
    </row>
    <row r="153" spans="1:12" ht="61.2" hidden="1" x14ac:dyDescent="0.3">
      <c r="A153" s="321" t="s">
        <v>23</v>
      </c>
      <c r="B153" s="322" t="s">
        <v>993</v>
      </c>
      <c r="C153" s="322" t="s">
        <v>1062</v>
      </c>
      <c r="D153" s="322" t="s">
        <v>951</v>
      </c>
      <c r="E153" s="323" t="s">
        <v>27</v>
      </c>
      <c r="F153" s="324">
        <v>2731.2</v>
      </c>
      <c r="G153" s="324"/>
      <c r="H153" s="323" t="s">
        <v>28</v>
      </c>
      <c r="I153" s="325" t="s">
        <v>29</v>
      </c>
      <c r="J153" s="325"/>
      <c r="K153" s="326" t="s">
        <v>22</v>
      </c>
      <c r="L153" s="327">
        <v>10018096.99</v>
      </c>
    </row>
    <row r="154" spans="1:12" ht="61.2" hidden="1" x14ac:dyDescent="0.3">
      <c r="A154" s="321" t="s">
        <v>23</v>
      </c>
      <c r="B154" s="322" t="s">
        <v>993</v>
      </c>
      <c r="C154" s="322" t="s">
        <v>1063</v>
      </c>
      <c r="D154" s="322" t="s">
        <v>951</v>
      </c>
      <c r="E154" s="323" t="s">
        <v>27</v>
      </c>
      <c r="F154" s="324">
        <v>4013.3</v>
      </c>
      <c r="G154" s="324"/>
      <c r="H154" s="323" t="s">
        <v>28</v>
      </c>
      <c r="I154" s="325" t="s">
        <v>29</v>
      </c>
      <c r="J154" s="325"/>
      <c r="K154" s="326" t="s">
        <v>22</v>
      </c>
      <c r="L154" s="327">
        <v>10022110.289999999</v>
      </c>
    </row>
    <row r="155" spans="1:12" ht="61.2" hidden="1" x14ac:dyDescent="0.3">
      <c r="A155" s="321" t="s">
        <v>23</v>
      </c>
      <c r="B155" s="322" t="s">
        <v>993</v>
      </c>
      <c r="C155" s="322" t="s">
        <v>955</v>
      </c>
      <c r="D155" s="322" t="s">
        <v>951</v>
      </c>
      <c r="E155" s="323" t="s">
        <v>27</v>
      </c>
      <c r="F155" s="324">
        <v>3328.7</v>
      </c>
      <c r="G155" s="324"/>
      <c r="H155" s="323" t="s">
        <v>28</v>
      </c>
      <c r="I155" s="325" t="s">
        <v>29</v>
      </c>
      <c r="J155" s="325"/>
      <c r="K155" s="326" t="s">
        <v>22</v>
      </c>
      <c r="L155" s="327">
        <v>10025438.99</v>
      </c>
    </row>
    <row r="156" spans="1:12" ht="61.2" hidden="1" x14ac:dyDescent="0.3">
      <c r="A156" s="321" t="s">
        <v>23</v>
      </c>
      <c r="B156" s="322" t="s">
        <v>993</v>
      </c>
      <c r="C156" s="322" t="s">
        <v>1064</v>
      </c>
      <c r="D156" s="322" t="s">
        <v>951</v>
      </c>
      <c r="E156" s="323" t="s">
        <v>27</v>
      </c>
      <c r="F156" s="324">
        <v>3573.3</v>
      </c>
      <c r="G156" s="324"/>
      <c r="H156" s="323" t="s">
        <v>28</v>
      </c>
      <c r="I156" s="325" t="s">
        <v>29</v>
      </c>
      <c r="J156" s="325"/>
      <c r="K156" s="326" t="s">
        <v>22</v>
      </c>
      <c r="L156" s="327">
        <v>10029012.289999999</v>
      </c>
    </row>
    <row r="157" spans="1:12" ht="61.2" hidden="1" x14ac:dyDescent="0.3">
      <c r="A157" s="321" t="s">
        <v>23</v>
      </c>
      <c r="B157" s="322" t="s">
        <v>993</v>
      </c>
      <c r="C157" s="322" t="s">
        <v>1065</v>
      </c>
      <c r="D157" s="322" t="s">
        <v>951</v>
      </c>
      <c r="E157" s="323" t="s">
        <v>27</v>
      </c>
      <c r="F157" s="324">
        <v>2576.9</v>
      </c>
      <c r="G157" s="324"/>
      <c r="H157" s="323" t="s">
        <v>28</v>
      </c>
      <c r="I157" s="325" t="s">
        <v>29</v>
      </c>
      <c r="J157" s="325"/>
      <c r="K157" s="326" t="s">
        <v>22</v>
      </c>
      <c r="L157" s="327">
        <v>10031589.189999999</v>
      </c>
    </row>
    <row r="158" spans="1:12" ht="61.2" hidden="1" x14ac:dyDescent="0.3">
      <c r="A158" s="321" t="s">
        <v>23</v>
      </c>
      <c r="B158" s="322" t="s">
        <v>993</v>
      </c>
      <c r="C158" s="322" t="s">
        <v>1028</v>
      </c>
      <c r="D158" s="322" t="s">
        <v>951</v>
      </c>
      <c r="E158" s="323" t="s">
        <v>27</v>
      </c>
      <c r="F158" s="324">
        <v>1271.7</v>
      </c>
      <c r="G158" s="324"/>
      <c r="H158" s="323" t="s">
        <v>28</v>
      </c>
      <c r="I158" s="325" t="s">
        <v>29</v>
      </c>
      <c r="J158" s="325"/>
      <c r="K158" s="326" t="s">
        <v>22</v>
      </c>
      <c r="L158" s="327">
        <v>10032860.890000001</v>
      </c>
    </row>
    <row r="159" spans="1:12" ht="61.2" hidden="1" x14ac:dyDescent="0.3">
      <c r="A159" s="321" t="s">
        <v>23</v>
      </c>
      <c r="B159" s="322" t="s">
        <v>993</v>
      </c>
      <c r="C159" s="322" t="s">
        <v>1066</v>
      </c>
      <c r="D159" s="322" t="s">
        <v>951</v>
      </c>
      <c r="E159" s="323" t="s">
        <v>27</v>
      </c>
      <c r="F159" s="328">
        <v>455.7</v>
      </c>
      <c r="G159" s="328"/>
      <c r="H159" s="323" t="s">
        <v>28</v>
      </c>
      <c r="I159" s="325" t="s">
        <v>29</v>
      </c>
      <c r="J159" s="325"/>
      <c r="K159" s="326" t="s">
        <v>22</v>
      </c>
      <c r="L159" s="327">
        <v>10033316.59</v>
      </c>
    </row>
    <row r="160" spans="1:12" ht="61.2" hidden="1" x14ac:dyDescent="0.3">
      <c r="A160" s="321" t="s">
        <v>23</v>
      </c>
      <c r="B160" s="322" t="s">
        <v>993</v>
      </c>
      <c r="C160" s="322" t="s">
        <v>1066</v>
      </c>
      <c r="D160" s="322" t="s">
        <v>951</v>
      </c>
      <c r="E160" s="323" t="s">
        <v>27</v>
      </c>
      <c r="F160" s="328">
        <v>455.7</v>
      </c>
      <c r="G160" s="328"/>
      <c r="H160" s="323" t="s">
        <v>28</v>
      </c>
      <c r="I160" s="325" t="s">
        <v>29</v>
      </c>
      <c r="J160" s="325"/>
      <c r="K160" s="326" t="s">
        <v>22</v>
      </c>
      <c r="L160" s="327">
        <v>10033772.289999999</v>
      </c>
    </row>
    <row r="161" spans="1:12" ht="61.2" hidden="1" x14ac:dyDescent="0.3">
      <c r="A161" s="321" t="s">
        <v>23</v>
      </c>
      <c r="B161" s="322" t="s">
        <v>993</v>
      </c>
      <c r="C161" s="322" t="s">
        <v>964</v>
      </c>
      <c r="D161" s="322" t="s">
        <v>951</v>
      </c>
      <c r="E161" s="323" t="s">
        <v>27</v>
      </c>
      <c r="F161" s="324">
        <v>2107</v>
      </c>
      <c r="G161" s="324"/>
      <c r="H161" s="323" t="s">
        <v>28</v>
      </c>
      <c r="I161" s="325" t="s">
        <v>29</v>
      </c>
      <c r="J161" s="325"/>
      <c r="K161" s="326" t="s">
        <v>22</v>
      </c>
      <c r="L161" s="327">
        <v>10035879.289999999</v>
      </c>
    </row>
    <row r="162" spans="1:12" ht="61.2" hidden="1" x14ac:dyDescent="0.3">
      <c r="A162" s="321" t="s">
        <v>23</v>
      </c>
      <c r="B162" s="322" t="s">
        <v>993</v>
      </c>
      <c r="C162" s="322" t="s">
        <v>1067</v>
      </c>
      <c r="D162" s="322" t="s">
        <v>951</v>
      </c>
      <c r="E162" s="323" t="s">
        <v>27</v>
      </c>
      <c r="F162" s="324">
        <v>1975.7</v>
      </c>
      <c r="G162" s="324"/>
      <c r="H162" s="323" t="s">
        <v>28</v>
      </c>
      <c r="I162" s="325" t="s">
        <v>29</v>
      </c>
      <c r="J162" s="325"/>
      <c r="K162" s="326" t="s">
        <v>22</v>
      </c>
      <c r="L162" s="327">
        <v>10037854.99</v>
      </c>
    </row>
    <row r="163" spans="1:12" ht="61.2" hidden="1" x14ac:dyDescent="0.3">
      <c r="A163" s="321" t="s">
        <v>23</v>
      </c>
      <c r="B163" s="322" t="s">
        <v>993</v>
      </c>
      <c r="C163" s="322" t="s">
        <v>1068</v>
      </c>
      <c r="D163" s="322" t="s">
        <v>951</v>
      </c>
      <c r="E163" s="323" t="s">
        <v>27</v>
      </c>
      <c r="F163" s="324">
        <v>4718.8999999999996</v>
      </c>
      <c r="G163" s="324"/>
      <c r="H163" s="323" t="s">
        <v>28</v>
      </c>
      <c r="I163" s="325" t="s">
        <v>29</v>
      </c>
      <c r="J163" s="325"/>
      <c r="K163" s="326" t="s">
        <v>22</v>
      </c>
      <c r="L163" s="327">
        <v>10042573.890000001</v>
      </c>
    </row>
    <row r="164" spans="1:12" ht="61.2" hidden="1" x14ac:dyDescent="0.3">
      <c r="A164" s="321" t="s">
        <v>23</v>
      </c>
      <c r="B164" s="322" t="s">
        <v>993</v>
      </c>
      <c r="C164" s="322" t="s">
        <v>1068</v>
      </c>
      <c r="D164" s="322" t="s">
        <v>951</v>
      </c>
      <c r="E164" s="323" t="s">
        <v>27</v>
      </c>
      <c r="F164" s="324">
        <v>24045.5</v>
      </c>
      <c r="G164" s="324"/>
      <c r="H164" s="323" t="s">
        <v>28</v>
      </c>
      <c r="I164" s="325" t="s">
        <v>29</v>
      </c>
      <c r="J164" s="325"/>
      <c r="K164" s="326" t="s">
        <v>22</v>
      </c>
      <c r="L164" s="327">
        <v>10066619.390000001</v>
      </c>
    </row>
    <row r="165" spans="1:12" ht="61.2" hidden="1" x14ac:dyDescent="0.3">
      <c r="A165" s="321" t="s">
        <v>23</v>
      </c>
      <c r="B165" s="322" t="s">
        <v>993</v>
      </c>
      <c r="C165" s="322" t="s">
        <v>1068</v>
      </c>
      <c r="D165" s="322" t="s">
        <v>951</v>
      </c>
      <c r="E165" s="323" t="s">
        <v>27</v>
      </c>
      <c r="F165" s="324">
        <v>4734.6000000000004</v>
      </c>
      <c r="G165" s="324"/>
      <c r="H165" s="323" t="s">
        <v>28</v>
      </c>
      <c r="I165" s="325" t="s">
        <v>29</v>
      </c>
      <c r="J165" s="325"/>
      <c r="K165" s="326" t="s">
        <v>22</v>
      </c>
      <c r="L165" s="327">
        <v>10071353.99</v>
      </c>
    </row>
    <row r="166" spans="1:12" ht="61.2" hidden="1" x14ac:dyDescent="0.3">
      <c r="A166" s="321" t="s">
        <v>23</v>
      </c>
      <c r="B166" s="322" t="s">
        <v>993</v>
      </c>
      <c r="C166" s="322" t="s">
        <v>1069</v>
      </c>
      <c r="D166" s="322" t="s">
        <v>951</v>
      </c>
      <c r="E166" s="323" t="s">
        <v>27</v>
      </c>
      <c r="F166" s="324">
        <v>3397.3</v>
      </c>
      <c r="G166" s="324"/>
      <c r="H166" s="323" t="s">
        <v>28</v>
      </c>
      <c r="I166" s="325" t="s">
        <v>29</v>
      </c>
      <c r="J166" s="325"/>
      <c r="K166" s="326" t="s">
        <v>22</v>
      </c>
      <c r="L166" s="327">
        <v>10074751.289999999</v>
      </c>
    </row>
    <row r="167" spans="1:12" ht="61.2" hidden="1" x14ac:dyDescent="0.3">
      <c r="A167" s="321" t="s">
        <v>23</v>
      </c>
      <c r="B167" s="322" t="s">
        <v>993</v>
      </c>
      <c r="C167" s="322" t="s">
        <v>1069</v>
      </c>
      <c r="D167" s="322" t="s">
        <v>951</v>
      </c>
      <c r="E167" s="323" t="s">
        <v>27</v>
      </c>
      <c r="F167" s="324">
        <v>14239.6</v>
      </c>
      <c r="G167" s="324"/>
      <c r="H167" s="323" t="s">
        <v>28</v>
      </c>
      <c r="I167" s="325" t="s">
        <v>29</v>
      </c>
      <c r="J167" s="325"/>
      <c r="K167" s="326" t="s">
        <v>22</v>
      </c>
      <c r="L167" s="327">
        <v>10088990.890000001</v>
      </c>
    </row>
    <row r="168" spans="1:12" ht="61.2" hidden="1" x14ac:dyDescent="0.3">
      <c r="A168" s="321" t="s">
        <v>23</v>
      </c>
      <c r="B168" s="322" t="s">
        <v>993</v>
      </c>
      <c r="C168" s="322" t="s">
        <v>1070</v>
      </c>
      <c r="D168" s="322" t="s">
        <v>951</v>
      </c>
      <c r="E168" s="323" t="s">
        <v>27</v>
      </c>
      <c r="F168" s="324">
        <v>4158.8</v>
      </c>
      <c r="G168" s="324"/>
      <c r="H168" s="323" t="s">
        <v>28</v>
      </c>
      <c r="I168" s="325" t="s">
        <v>29</v>
      </c>
      <c r="J168" s="325"/>
      <c r="K168" s="326" t="s">
        <v>22</v>
      </c>
      <c r="L168" s="327">
        <v>10093149.689999999</v>
      </c>
    </row>
    <row r="169" spans="1:12" ht="61.2" hidden="1" x14ac:dyDescent="0.3">
      <c r="A169" s="321" t="s">
        <v>23</v>
      </c>
      <c r="B169" s="322" t="s">
        <v>993</v>
      </c>
      <c r="C169" s="322" t="s">
        <v>1071</v>
      </c>
      <c r="D169" s="322" t="s">
        <v>951</v>
      </c>
      <c r="E169" s="323" t="s">
        <v>27</v>
      </c>
      <c r="F169" s="324">
        <v>3662.8</v>
      </c>
      <c r="G169" s="324"/>
      <c r="H169" s="323" t="s">
        <v>28</v>
      </c>
      <c r="I169" s="325" t="s">
        <v>29</v>
      </c>
      <c r="J169" s="325"/>
      <c r="K169" s="326" t="s">
        <v>22</v>
      </c>
      <c r="L169" s="327">
        <v>10096812.49</v>
      </c>
    </row>
    <row r="170" spans="1:12" ht="61.2" hidden="1" x14ac:dyDescent="0.3">
      <c r="A170" s="321" t="s">
        <v>23</v>
      </c>
      <c r="B170" s="322" t="s">
        <v>993</v>
      </c>
      <c r="C170" s="322" t="s">
        <v>1072</v>
      </c>
      <c r="D170" s="322" t="s">
        <v>951</v>
      </c>
      <c r="E170" s="323" t="s">
        <v>27</v>
      </c>
      <c r="F170" s="324">
        <v>18929.400000000001</v>
      </c>
      <c r="G170" s="324"/>
      <c r="H170" s="323" t="s">
        <v>28</v>
      </c>
      <c r="I170" s="325" t="s">
        <v>29</v>
      </c>
      <c r="J170" s="325"/>
      <c r="K170" s="326" t="s">
        <v>22</v>
      </c>
      <c r="L170" s="327">
        <v>10115741.890000001</v>
      </c>
    </row>
    <row r="171" spans="1:12" ht="61.2" hidden="1" x14ac:dyDescent="0.3">
      <c r="A171" s="321" t="s">
        <v>23</v>
      </c>
      <c r="B171" s="322" t="s">
        <v>993</v>
      </c>
      <c r="C171" s="322" t="s">
        <v>1073</v>
      </c>
      <c r="D171" s="322" t="s">
        <v>951</v>
      </c>
      <c r="E171" s="323" t="s">
        <v>27</v>
      </c>
      <c r="F171" s="324">
        <v>3668</v>
      </c>
      <c r="G171" s="324"/>
      <c r="H171" s="323" t="s">
        <v>28</v>
      </c>
      <c r="I171" s="325" t="s">
        <v>29</v>
      </c>
      <c r="J171" s="325"/>
      <c r="K171" s="326" t="s">
        <v>22</v>
      </c>
      <c r="L171" s="327">
        <v>10119409.890000001</v>
      </c>
    </row>
    <row r="172" spans="1:12" ht="61.2" hidden="1" x14ac:dyDescent="0.3">
      <c r="A172" s="321" t="s">
        <v>23</v>
      </c>
      <c r="B172" s="322" t="s">
        <v>993</v>
      </c>
      <c r="C172" s="322" t="s">
        <v>1074</v>
      </c>
      <c r="D172" s="322" t="s">
        <v>951</v>
      </c>
      <c r="E172" s="323" t="s">
        <v>27</v>
      </c>
      <c r="F172" s="324">
        <v>15194</v>
      </c>
      <c r="G172" s="324"/>
      <c r="H172" s="323" t="s">
        <v>28</v>
      </c>
      <c r="I172" s="325" t="s">
        <v>29</v>
      </c>
      <c r="J172" s="325"/>
      <c r="K172" s="326" t="s">
        <v>22</v>
      </c>
      <c r="L172" s="327">
        <v>10134603.890000001</v>
      </c>
    </row>
    <row r="173" spans="1:12" ht="61.2" hidden="1" x14ac:dyDescent="0.3">
      <c r="A173" s="321" t="s">
        <v>23</v>
      </c>
      <c r="B173" s="322" t="s">
        <v>993</v>
      </c>
      <c r="C173" s="322" t="s">
        <v>1075</v>
      </c>
      <c r="D173" s="322" t="s">
        <v>951</v>
      </c>
      <c r="E173" s="323" t="s">
        <v>27</v>
      </c>
      <c r="F173" s="324">
        <v>2060.6999999999998</v>
      </c>
      <c r="G173" s="324"/>
      <c r="H173" s="323" t="s">
        <v>28</v>
      </c>
      <c r="I173" s="325" t="s">
        <v>29</v>
      </c>
      <c r="J173" s="325"/>
      <c r="K173" s="326" t="s">
        <v>22</v>
      </c>
      <c r="L173" s="327">
        <v>10136664.59</v>
      </c>
    </row>
    <row r="174" spans="1:12" ht="61.2" hidden="1" x14ac:dyDescent="0.3">
      <c r="A174" s="321" t="s">
        <v>23</v>
      </c>
      <c r="B174" s="322" t="s">
        <v>993</v>
      </c>
      <c r="C174" s="322" t="s">
        <v>1076</v>
      </c>
      <c r="D174" s="322" t="s">
        <v>951</v>
      </c>
      <c r="E174" s="323" t="s">
        <v>27</v>
      </c>
      <c r="F174" s="324">
        <v>3622.5</v>
      </c>
      <c r="G174" s="324"/>
      <c r="H174" s="323" t="s">
        <v>28</v>
      </c>
      <c r="I174" s="325" t="s">
        <v>29</v>
      </c>
      <c r="J174" s="325"/>
      <c r="K174" s="326" t="s">
        <v>22</v>
      </c>
      <c r="L174" s="327">
        <v>10140287.09</v>
      </c>
    </row>
    <row r="175" spans="1:12" ht="61.2" hidden="1" x14ac:dyDescent="0.3">
      <c r="A175" s="321" t="s">
        <v>23</v>
      </c>
      <c r="B175" s="322" t="s">
        <v>993</v>
      </c>
      <c r="C175" s="322" t="s">
        <v>1077</v>
      </c>
      <c r="D175" s="322" t="s">
        <v>951</v>
      </c>
      <c r="E175" s="323" t="s">
        <v>27</v>
      </c>
      <c r="F175" s="324">
        <v>2156.1999999999998</v>
      </c>
      <c r="G175" s="324"/>
      <c r="H175" s="323" t="s">
        <v>28</v>
      </c>
      <c r="I175" s="325" t="s">
        <v>29</v>
      </c>
      <c r="J175" s="325"/>
      <c r="K175" s="326" t="s">
        <v>22</v>
      </c>
      <c r="L175" s="327">
        <v>10142443.289999999</v>
      </c>
    </row>
    <row r="176" spans="1:12" ht="61.2" hidden="1" x14ac:dyDescent="0.3">
      <c r="A176" s="321" t="s">
        <v>23</v>
      </c>
      <c r="B176" s="322" t="s">
        <v>993</v>
      </c>
      <c r="C176" s="322" t="s">
        <v>1078</v>
      </c>
      <c r="D176" s="322" t="s">
        <v>951</v>
      </c>
      <c r="E176" s="323" t="s">
        <v>27</v>
      </c>
      <c r="F176" s="324">
        <v>2096.5</v>
      </c>
      <c r="G176" s="324"/>
      <c r="H176" s="323" t="s">
        <v>28</v>
      </c>
      <c r="I176" s="325" t="s">
        <v>29</v>
      </c>
      <c r="J176" s="325"/>
      <c r="K176" s="326" t="s">
        <v>22</v>
      </c>
      <c r="L176" s="327">
        <v>10144539.789999999</v>
      </c>
    </row>
    <row r="177" spans="1:12" ht="61.2" hidden="1" x14ac:dyDescent="0.3">
      <c r="A177" s="321" t="s">
        <v>23</v>
      </c>
      <c r="B177" s="322" t="s">
        <v>993</v>
      </c>
      <c r="C177" s="322" t="s">
        <v>1079</v>
      </c>
      <c r="D177" s="322" t="s">
        <v>951</v>
      </c>
      <c r="E177" s="323" t="s">
        <v>27</v>
      </c>
      <c r="F177" s="324">
        <v>3260</v>
      </c>
      <c r="G177" s="324"/>
      <c r="H177" s="323" t="s">
        <v>28</v>
      </c>
      <c r="I177" s="325" t="s">
        <v>29</v>
      </c>
      <c r="J177" s="325"/>
      <c r="K177" s="326" t="s">
        <v>22</v>
      </c>
      <c r="L177" s="327">
        <v>10147799.789999999</v>
      </c>
    </row>
    <row r="178" spans="1:12" ht="61.2" hidden="1" x14ac:dyDescent="0.3">
      <c r="A178" s="321" t="s">
        <v>23</v>
      </c>
      <c r="B178" s="322" t="s">
        <v>993</v>
      </c>
      <c r="C178" s="322" t="s">
        <v>1080</v>
      </c>
      <c r="D178" s="322" t="s">
        <v>951</v>
      </c>
      <c r="E178" s="323" t="s">
        <v>27</v>
      </c>
      <c r="F178" s="324">
        <v>2895.3</v>
      </c>
      <c r="G178" s="324"/>
      <c r="H178" s="323" t="s">
        <v>28</v>
      </c>
      <c r="I178" s="325" t="s">
        <v>29</v>
      </c>
      <c r="J178" s="325"/>
      <c r="K178" s="326" t="s">
        <v>22</v>
      </c>
      <c r="L178" s="327">
        <v>10150695.09</v>
      </c>
    </row>
    <row r="179" spans="1:12" ht="61.2" hidden="1" x14ac:dyDescent="0.3">
      <c r="A179" s="321" t="s">
        <v>23</v>
      </c>
      <c r="B179" s="322" t="s">
        <v>993</v>
      </c>
      <c r="C179" s="322" t="s">
        <v>1081</v>
      </c>
      <c r="D179" s="322" t="s">
        <v>951</v>
      </c>
      <c r="E179" s="323" t="s">
        <v>27</v>
      </c>
      <c r="F179" s="324">
        <v>2544</v>
      </c>
      <c r="G179" s="324"/>
      <c r="H179" s="323" t="s">
        <v>28</v>
      </c>
      <c r="I179" s="325" t="s">
        <v>29</v>
      </c>
      <c r="J179" s="325"/>
      <c r="K179" s="326" t="s">
        <v>22</v>
      </c>
      <c r="L179" s="327">
        <v>10153239.09</v>
      </c>
    </row>
    <row r="180" spans="1:12" ht="61.2" hidden="1" x14ac:dyDescent="0.3">
      <c r="A180" s="321" t="s">
        <v>23</v>
      </c>
      <c r="B180" s="322" t="s">
        <v>993</v>
      </c>
      <c r="C180" s="322" t="s">
        <v>1082</v>
      </c>
      <c r="D180" s="322" t="s">
        <v>951</v>
      </c>
      <c r="E180" s="323" t="s">
        <v>27</v>
      </c>
      <c r="F180" s="324">
        <v>1448.4</v>
      </c>
      <c r="G180" s="324"/>
      <c r="H180" s="323" t="s">
        <v>28</v>
      </c>
      <c r="I180" s="325" t="s">
        <v>29</v>
      </c>
      <c r="J180" s="325"/>
      <c r="K180" s="326" t="s">
        <v>22</v>
      </c>
      <c r="L180" s="327">
        <v>10154687.49</v>
      </c>
    </row>
    <row r="181" spans="1:12" ht="61.2" hidden="1" x14ac:dyDescent="0.3">
      <c r="A181" s="321" t="s">
        <v>23</v>
      </c>
      <c r="B181" s="322" t="s">
        <v>993</v>
      </c>
      <c r="C181" s="322" t="s">
        <v>1083</v>
      </c>
      <c r="D181" s="322" t="s">
        <v>951</v>
      </c>
      <c r="E181" s="323" t="s">
        <v>27</v>
      </c>
      <c r="F181" s="324">
        <v>3406.2</v>
      </c>
      <c r="G181" s="324"/>
      <c r="H181" s="323" t="s">
        <v>28</v>
      </c>
      <c r="I181" s="325" t="s">
        <v>29</v>
      </c>
      <c r="J181" s="325"/>
      <c r="K181" s="326" t="s">
        <v>22</v>
      </c>
      <c r="L181" s="327">
        <v>10158093.689999999</v>
      </c>
    </row>
    <row r="182" spans="1:12" ht="61.2" hidden="1" x14ac:dyDescent="0.3">
      <c r="A182" s="321" t="s">
        <v>23</v>
      </c>
      <c r="B182" s="322" t="s">
        <v>993</v>
      </c>
      <c r="C182" s="322" t="s">
        <v>1084</v>
      </c>
      <c r="D182" s="322" t="s">
        <v>951</v>
      </c>
      <c r="E182" s="323" t="s">
        <v>27</v>
      </c>
      <c r="F182" s="324">
        <v>1932.5</v>
      </c>
      <c r="G182" s="324"/>
      <c r="H182" s="323" t="s">
        <v>28</v>
      </c>
      <c r="I182" s="325" t="s">
        <v>29</v>
      </c>
      <c r="J182" s="325"/>
      <c r="K182" s="326" t="s">
        <v>22</v>
      </c>
      <c r="L182" s="327">
        <v>10160026.189999999</v>
      </c>
    </row>
    <row r="183" spans="1:12" ht="61.2" hidden="1" x14ac:dyDescent="0.3">
      <c r="A183" s="321" t="s">
        <v>23</v>
      </c>
      <c r="B183" s="322" t="s">
        <v>993</v>
      </c>
      <c r="C183" s="322" t="s">
        <v>1085</v>
      </c>
      <c r="D183" s="322" t="s">
        <v>951</v>
      </c>
      <c r="E183" s="323" t="s">
        <v>27</v>
      </c>
      <c r="F183" s="324">
        <v>1370.1</v>
      </c>
      <c r="G183" s="324"/>
      <c r="H183" s="323" t="s">
        <v>28</v>
      </c>
      <c r="I183" s="325" t="s">
        <v>29</v>
      </c>
      <c r="J183" s="325"/>
      <c r="K183" s="326" t="s">
        <v>22</v>
      </c>
      <c r="L183" s="327">
        <v>10161396.289999999</v>
      </c>
    </row>
    <row r="184" spans="1:12" ht="61.2" hidden="1" x14ac:dyDescent="0.3">
      <c r="A184" s="321" t="s">
        <v>23</v>
      </c>
      <c r="B184" s="322" t="s">
        <v>993</v>
      </c>
      <c r="C184" s="322" t="s">
        <v>1086</v>
      </c>
      <c r="D184" s="322" t="s">
        <v>951</v>
      </c>
      <c r="E184" s="323" t="s">
        <v>27</v>
      </c>
      <c r="F184" s="324">
        <v>2672.3</v>
      </c>
      <c r="G184" s="324"/>
      <c r="H184" s="323" t="s">
        <v>28</v>
      </c>
      <c r="I184" s="325" t="s">
        <v>29</v>
      </c>
      <c r="J184" s="325"/>
      <c r="K184" s="326" t="s">
        <v>22</v>
      </c>
      <c r="L184" s="327">
        <v>10164068.59</v>
      </c>
    </row>
    <row r="185" spans="1:12" ht="61.2" hidden="1" x14ac:dyDescent="0.3">
      <c r="A185" s="321" t="s">
        <v>23</v>
      </c>
      <c r="B185" s="322" t="s">
        <v>993</v>
      </c>
      <c r="C185" s="322" t="s">
        <v>1087</v>
      </c>
      <c r="D185" s="322" t="s">
        <v>951</v>
      </c>
      <c r="E185" s="323" t="s">
        <v>27</v>
      </c>
      <c r="F185" s="324">
        <v>2463.5</v>
      </c>
      <c r="G185" s="324"/>
      <c r="H185" s="323" t="s">
        <v>28</v>
      </c>
      <c r="I185" s="325" t="s">
        <v>29</v>
      </c>
      <c r="J185" s="325"/>
      <c r="K185" s="326" t="s">
        <v>22</v>
      </c>
      <c r="L185" s="327">
        <v>10166532.09</v>
      </c>
    </row>
    <row r="186" spans="1:12" ht="61.2" hidden="1" x14ac:dyDescent="0.3">
      <c r="A186" s="321" t="s">
        <v>23</v>
      </c>
      <c r="B186" s="322" t="s">
        <v>993</v>
      </c>
      <c r="C186" s="322" t="s">
        <v>1088</v>
      </c>
      <c r="D186" s="322" t="s">
        <v>951</v>
      </c>
      <c r="E186" s="323" t="s">
        <v>27</v>
      </c>
      <c r="F186" s="324">
        <v>1832.5</v>
      </c>
      <c r="G186" s="324"/>
      <c r="H186" s="323" t="s">
        <v>28</v>
      </c>
      <c r="I186" s="325" t="s">
        <v>29</v>
      </c>
      <c r="J186" s="325"/>
      <c r="K186" s="326" t="s">
        <v>22</v>
      </c>
      <c r="L186" s="327">
        <v>10168364.59</v>
      </c>
    </row>
    <row r="187" spans="1:12" ht="61.2" hidden="1" x14ac:dyDescent="0.3">
      <c r="A187" s="321" t="s">
        <v>23</v>
      </c>
      <c r="B187" s="322" t="s">
        <v>993</v>
      </c>
      <c r="C187" s="322" t="s">
        <v>1089</v>
      </c>
      <c r="D187" s="322" t="s">
        <v>951</v>
      </c>
      <c r="E187" s="323" t="s">
        <v>27</v>
      </c>
      <c r="F187" s="324">
        <v>2292.6999999999998</v>
      </c>
      <c r="G187" s="324"/>
      <c r="H187" s="323" t="s">
        <v>28</v>
      </c>
      <c r="I187" s="325" t="s">
        <v>29</v>
      </c>
      <c r="J187" s="325"/>
      <c r="K187" s="326" t="s">
        <v>22</v>
      </c>
      <c r="L187" s="327">
        <v>10170657.289999999</v>
      </c>
    </row>
    <row r="188" spans="1:12" ht="61.2" hidden="1" x14ac:dyDescent="0.3">
      <c r="A188" s="321" t="s">
        <v>23</v>
      </c>
      <c r="B188" s="322" t="s">
        <v>993</v>
      </c>
      <c r="C188" s="322" t="s">
        <v>1090</v>
      </c>
      <c r="D188" s="322" t="s">
        <v>951</v>
      </c>
      <c r="E188" s="323" t="s">
        <v>27</v>
      </c>
      <c r="F188" s="324">
        <v>2589.5</v>
      </c>
      <c r="G188" s="324"/>
      <c r="H188" s="323" t="s">
        <v>28</v>
      </c>
      <c r="I188" s="325" t="s">
        <v>29</v>
      </c>
      <c r="J188" s="325"/>
      <c r="K188" s="326" t="s">
        <v>22</v>
      </c>
      <c r="L188" s="327">
        <v>10173246.789999999</v>
      </c>
    </row>
    <row r="189" spans="1:12" ht="61.2" hidden="1" x14ac:dyDescent="0.3">
      <c r="A189" s="321" t="s">
        <v>23</v>
      </c>
      <c r="B189" s="322" t="s">
        <v>993</v>
      </c>
      <c r="C189" s="322" t="s">
        <v>1091</v>
      </c>
      <c r="D189" s="322" t="s">
        <v>951</v>
      </c>
      <c r="E189" s="323" t="s">
        <v>27</v>
      </c>
      <c r="F189" s="324">
        <v>1957.1</v>
      </c>
      <c r="G189" s="324"/>
      <c r="H189" s="323" t="s">
        <v>28</v>
      </c>
      <c r="I189" s="325" t="s">
        <v>29</v>
      </c>
      <c r="J189" s="325"/>
      <c r="K189" s="326" t="s">
        <v>22</v>
      </c>
      <c r="L189" s="327">
        <v>10175203.890000001</v>
      </c>
    </row>
    <row r="190" spans="1:12" ht="61.2" hidden="1" x14ac:dyDescent="0.3">
      <c r="A190" s="321" t="s">
        <v>23</v>
      </c>
      <c r="B190" s="322" t="s">
        <v>993</v>
      </c>
      <c r="C190" s="322" t="s">
        <v>1092</v>
      </c>
      <c r="D190" s="322" t="s">
        <v>951</v>
      </c>
      <c r="E190" s="323" t="s">
        <v>27</v>
      </c>
      <c r="F190" s="324">
        <v>2387.4</v>
      </c>
      <c r="G190" s="324"/>
      <c r="H190" s="323" t="s">
        <v>28</v>
      </c>
      <c r="I190" s="325" t="s">
        <v>29</v>
      </c>
      <c r="J190" s="325"/>
      <c r="K190" s="326" t="s">
        <v>22</v>
      </c>
      <c r="L190" s="327">
        <v>10177591.289999999</v>
      </c>
    </row>
    <row r="191" spans="1:12" ht="61.2" hidden="1" x14ac:dyDescent="0.3">
      <c r="A191" s="321" t="s">
        <v>23</v>
      </c>
      <c r="B191" s="322" t="s">
        <v>993</v>
      </c>
      <c r="C191" s="322" t="s">
        <v>992</v>
      </c>
      <c r="D191" s="322" t="s">
        <v>951</v>
      </c>
      <c r="E191" s="323" t="s">
        <v>27</v>
      </c>
      <c r="F191" s="324">
        <v>3102.7</v>
      </c>
      <c r="G191" s="324"/>
      <c r="H191" s="323" t="s">
        <v>28</v>
      </c>
      <c r="I191" s="325" t="s">
        <v>29</v>
      </c>
      <c r="J191" s="325"/>
      <c r="K191" s="326" t="s">
        <v>22</v>
      </c>
      <c r="L191" s="327">
        <v>10180693.99</v>
      </c>
    </row>
    <row r="192" spans="1:12" ht="61.2" hidden="1" x14ac:dyDescent="0.3">
      <c r="A192" s="321" t="s">
        <v>23</v>
      </c>
      <c r="B192" s="322" t="s">
        <v>993</v>
      </c>
      <c r="C192" s="322" t="s">
        <v>1093</v>
      </c>
      <c r="D192" s="322" t="s">
        <v>951</v>
      </c>
      <c r="E192" s="323" t="s">
        <v>27</v>
      </c>
      <c r="F192" s="324">
        <v>3547.9</v>
      </c>
      <c r="G192" s="324"/>
      <c r="H192" s="323" t="s">
        <v>28</v>
      </c>
      <c r="I192" s="325" t="s">
        <v>29</v>
      </c>
      <c r="J192" s="325"/>
      <c r="K192" s="326" t="s">
        <v>22</v>
      </c>
      <c r="L192" s="327">
        <v>10184241.890000001</v>
      </c>
    </row>
    <row r="193" spans="1:12" ht="61.2" hidden="1" x14ac:dyDescent="0.3">
      <c r="A193" s="321" t="s">
        <v>23</v>
      </c>
      <c r="B193" s="322" t="s">
        <v>993</v>
      </c>
      <c r="C193" s="322" t="s">
        <v>1094</v>
      </c>
      <c r="D193" s="322" t="s">
        <v>951</v>
      </c>
      <c r="E193" s="323" t="s">
        <v>27</v>
      </c>
      <c r="F193" s="324">
        <v>4084.2</v>
      </c>
      <c r="G193" s="324"/>
      <c r="H193" s="323" t="s">
        <v>28</v>
      </c>
      <c r="I193" s="325" t="s">
        <v>29</v>
      </c>
      <c r="J193" s="325"/>
      <c r="K193" s="326" t="s">
        <v>22</v>
      </c>
      <c r="L193" s="327">
        <v>10188326.09</v>
      </c>
    </row>
    <row r="194" spans="1:12" ht="61.2" hidden="1" x14ac:dyDescent="0.3">
      <c r="A194" s="321" t="s">
        <v>23</v>
      </c>
      <c r="B194" s="322" t="s">
        <v>993</v>
      </c>
      <c r="C194" s="322" t="s">
        <v>1095</v>
      </c>
      <c r="D194" s="322" t="s">
        <v>951</v>
      </c>
      <c r="E194" s="323" t="s">
        <v>27</v>
      </c>
      <c r="F194" s="324">
        <v>29946.400000000001</v>
      </c>
      <c r="G194" s="324"/>
      <c r="H194" s="323" t="s">
        <v>28</v>
      </c>
      <c r="I194" s="325" t="s">
        <v>29</v>
      </c>
      <c r="J194" s="325"/>
      <c r="K194" s="326" t="s">
        <v>22</v>
      </c>
      <c r="L194" s="327">
        <v>10218272.49</v>
      </c>
    </row>
    <row r="195" spans="1:12" ht="61.2" hidden="1" x14ac:dyDescent="0.3">
      <c r="A195" s="321" t="s">
        <v>23</v>
      </c>
      <c r="B195" s="322" t="s">
        <v>993</v>
      </c>
      <c r="C195" s="322" t="s">
        <v>1096</v>
      </c>
      <c r="D195" s="322" t="s">
        <v>951</v>
      </c>
      <c r="E195" s="323" t="s">
        <v>27</v>
      </c>
      <c r="F195" s="324">
        <v>4200.5</v>
      </c>
      <c r="G195" s="324"/>
      <c r="H195" s="323" t="s">
        <v>28</v>
      </c>
      <c r="I195" s="325" t="s">
        <v>29</v>
      </c>
      <c r="J195" s="325"/>
      <c r="K195" s="326" t="s">
        <v>22</v>
      </c>
      <c r="L195" s="327">
        <v>10222472.99</v>
      </c>
    </row>
    <row r="196" spans="1:12" ht="61.2" hidden="1" x14ac:dyDescent="0.3">
      <c r="A196" s="321" t="s">
        <v>23</v>
      </c>
      <c r="B196" s="322" t="s">
        <v>993</v>
      </c>
      <c r="C196" s="322" t="s">
        <v>1097</v>
      </c>
      <c r="D196" s="322" t="s">
        <v>951</v>
      </c>
      <c r="E196" s="323" t="s">
        <v>27</v>
      </c>
      <c r="F196" s="324">
        <v>4326.6000000000004</v>
      </c>
      <c r="G196" s="324"/>
      <c r="H196" s="323" t="s">
        <v>28</v>
      </c>
      <c r="I196" s="325" t="s">
        <v>29</v>
      </c>
      <c r="J196" s="325"/>
      <c r="K196" s="326" t="s">
        <v>22</v>
      </c>
      <c r="L196" s="327">
        <v>10226799.59</v>
      </c>
    </row>
    <row r="197" spans="1:12" ht="61.2" hidden="1" x14ac:dyDescent="0.3">
      <c r="A197" s="321" t="s">
        <v>23</v>
      </c>
      <c r="B197" s="322" t="s">
        <v>993</v>
      </c>
      <c r="C197" s="322" t="s">
        <v>1098</v>
      </c>
      <c r="D197" s="322" t="s">
        <v>951</v>
      </c>
      <c r="E197" s="323" t="s">
        <v>27</v>
      </c>
      <c r="F197" s="324">
        <v>19086</v>
      </c>
      <c r="G197" s="324"/>
      <c r="H197" s="323" t="s">
        <v>28</v>
      </c>
      <c r="I197" s="325" t="s">
        <v>29</v>
      </c>
      <c r="J197" s="325"/>
      <c r="K197" s="326" t="s">
        <v>22</v>
      </c>
      <c r="L197" s="327">
        <v>10245885.59</v>
      </c>
    </row>
    <row r="198" spans="1:12" ht="61.2" hidden="1" x14ac:dyDescent="0.3">
      <c r="A198" s="321" t="s">
        <v>23</v>
      </c>
      <c r="B198" s="322" t="s">
        <v>993</v>
      </c>
      <c r="C198" s="322" t="s">
        <v>1099</v>
      </c>
      <c r="D198" s="322" t="s">
        <v>951</v>
      </c>
      <c r="E198" s="323" t="s">
        <v>27</v>
      </c>
      <c r="F198" s="324">
        <v>4333.3</v>
      </c>
      <c r="G198" s="324"/>
      <c r="H198" s="323" t="s">
        <v>28</v>
      </c>
      <c r="I198" s="325" t="s">
        <v>29</v>
      </c>
      <c r="J198" s="325"/>
      <c r="K198" s="326" t="s">
        <v>22</v>
      </c>
      <c r="L198" s="327">
        <v>10250218.890000001</v>
      </c>
    </row>
    <row r="199" spans="1:12" ht="61.2" hidden="1" x14ac:dyDescent="0.3">
      <c r="A199" s="321" t="s">
        <v>23</v>
      </c>
      <c r="B199" s="322" t="s">
        <v>993</v>
      </c>
      <c r="C199" s="322" t="s">
        <v>1100</v>
      </c>
      <c r="D199" s="322" t="s">
        <v>951</v>
      </c>
      <c r="E199" s="323" t="s">
        <v>27</v>
      </c>
      <c r="F199" s="324">
        <v>1578.9</v>
      </c>
      <c r="G199" s="324"/>
      <c r="H199" s="323" t="s">
        <v>28</v>
      </c>
      <c r="I199" s="325" t="s">
        <v>29</v>
      </c>
      <c r="J199" s="325"/>
      <c r="K199" s="326" t="s">
        <v>22</v>
      </c>
      <c r="L199" s="327">
        <v>10251797.789999999</v>
      </c>
    </row>
    <row r="200" spans="1:12" ht="61.2" hidden="1" x14ac:dyDescent="0.3">
      <c r="A200" s="321" t="s">
        <v>23</v>
      </c>
      <c r="B200" s="322" t="s">
        <v>993</v>
      </c>
      <c r="C200" s="322" t="s">
        <v>1101</v>
      </c>
      <c r="D200" s="322" t="s">
        <v>951</v>
      </c>
      <c r="E200" s="323" t="s">
        <v>27</v>
      </c>
      <c r="F200" s="324">
        <v>1735.6</v>
      </c>
      <c r="G200" s="324"/>
      <c r="H200" s="323" t="s">
        <v>28</v>
      </c>
      <c r="I200" s="325" t="s">
        <v>29</v>
      </c>
      <c r="J200" s="325"/>
      <c r="K200" s="326" t="s">
        <v>22</v>
      </c>
      <c r="L200" s="327">
        <v>10253533.390000001</v>
      </c>
    </row>
    <row r="201" spans="1:12" ht="61.2" hidden="1" x14ac:dyDescent="0.3">
      <c r="A201" s="321" t="s">
        <v>23</v>
      </c>
      <c r="B201" s="322" t="s">
        <v>993</v>
      </c>
      <c r="C201" s="322" t="s">
        <v>1102</v>
      </c>
      <c r="D201" s="322" t="s">
        <v>951</v>
      </c>
      <c r="E201" s="323" t="s">
        <v>27</v>
      </c>
      <c r="F201" s="324">
        <v>2673.8</v>
      </c>
      <c r="G201" s="324"/>
      <c r="H201" s="323" t="s">
        <v>28</v>
      </c>
      <c r="I201" s="325" t="s">
        <v>29</v>
      </c>
      <c r="J201" s="325"/>
      <c r="K201" s="326" t="s">
        <v>22</v>
      </c>
      <c r="L201" s="327">
        <v>10256207.189999999</v>
      </c>
    </row>
    <row r="202" spans="1:12" ht="61.2" hidden="1" x14ac:dyDescent="0.3">
      <c r="A202" s="321" t="s">
        <v>23</v>
      </c>
      <c r="B202" s="322" t="s">
        <v>993</v>
      </c>
      <c r="C202" s="322" t="s">
        <v>1102</v>
      </c>
      <c r="D202" s="322" t="s">
        <v>951</v>
      </c>
      <c r="E202" s="323" t="s">
        <v>27</v>
      </c>
      <c r="F202" s="324">
        <v>5392.4</v>
      </c>
      <c r="G202" s="324"/>
      <c r="H202" s="323" t="s">
        <v>28</v>
      </c>
      <c r="I202" s="325" t="s">
        <v>29</v>
      </c>
      <c r="J202" s="325"/>
      <c r="K202" s="326" t="s">
        <v>22</v>
      </c>
      <c r="L202" s="327">
        <v>10261599.59</v>
      </c>
    </row>
    <row r="203" spans="1:12" ht="61.2" hidden="1" x14ac:dyDescent="0.3">
      <c r="A203" s="321" t="s">
        <v>23</v>
      </c>
      <c r="B203" s="322" t="s">
        <v>993</v>
      </c>
      <c r="C203" s="322" t="s">
        <v>1102</v>
      </c>
      <c r="D203" s="322" t="s">
        <v>951</v>
      </c>
      <c r="E203" s="323" t="s">
        <v>27</v>
      </c>
      <c r="F203" s="324">
        <v>2694</v>
      </c>
      <c r="G203" s="324"/>
      <c r="H203" s="323" t="s">
        <v>28</v>
      </c>
      <c r="I203" s="325" t="s">
        <v>29</v>
      </c>
      <c r="J203" s="325"/>
      <c r="K203" s="326" t="s">
        <v>22</v>
      </c>
      <c r="L203" s="327">
        <v>10264293.59</v>
      </c>
    </row>
    <row r="204" spans="1:12" ht="61.2" hidden="1" x14ac:dyDescent="0.3">
      <c r="A204" s="321" t="s">
        <v>23</v>
      </c>
      <c r="B204" s="322" t="s">
        <v>993</v>
      </c>
      <c r="C204" s="322" t="s">
        <v>1103</v>
      </c>
      <c r="D204" s="322" t="s">
        <v>951</v>
      </c>
      <c r="E204" s="323" t="s">
        <v>27</v>
      </c>
      <c r="F204" s="324">
        <v>1712.4</v>
      </c>
      <c r="G204" s="324"/>
      <c r="H204" s="323" t="s">
        <v>28</v>
      </c>
      <c r="I204" s="325" t="s">
        <v>29</v>
      </c>
      <c r="J204" s="325"/>
      <c r="K204" s="326" t="s">
        <v>22</v>
      </c>
      <c r="L204" s="327">
        <v>10266005.99</v>
      </c>
    </row>
    <row r="205" spans="1:12" ht="61.2" hidden="1" x14ac:dyDescent="0.3">
      <c r="A205" s="321" t="s">
        <v>23</v>
      </c>
      <c r="B205" s="322" t="s">
        <v>993</v>
      </c>
      <c r="C205" s="322" t="s">
        <v>1104</v>
      </c>
      <c r="D205" s="322" t="s">
        <v>951</v>
      </c>
      <c r="E205" s="323" t="s">
        <v>27</v>
      </c>
      <c r="F205" s="324">
        <v>2384.4</v>
      </c>
      <c r="G205" s="324"/>
      <c r="H205" s="323" t="s">
        <v>28</v>
      </c>
      <c r="I205" s="325" t="s">
        <v>29</v>
      </c>
      <c r="J205" s="325"/>
      <c r="K205" s="326" t="s">
        <v>22</v>
      </c>
      <c r="L205" s="327">
        <v>10268390.390000001</v>
      </c>
    </row>
    <row r="206" spans="1:12" ht="61.2" hidden="1" x14ac:dyDescent="0.3">
      <c r="A206" s="321" t="s">
        <v>23</v>
      </c>
      <c r="B206" s="322" t="s">
        <v>993</v>
      </c>
      <c r="C206" s="322" t="s">
        <v>1105</v>
      </c>
      <c r="D206" s="322" t="s">
        <v>951</v>
      </c>
      <c r="E206" s="323" t="s">
        <v>27</v>
      </c>
      <c r="F206" s="324">
        <v>2526.1</v>
      </c>
      <c r="G206" s="324"/>
      <c r="H206" s="323" t="s">
        <v>28</v>
      </c>
      <c r="I206" s="325" t="s">
        <v>29</v>
      </c>
      <c r="J206" s="325"/>
      <c r="K206" s="326" t="s">
        <v>22</v>
      </c>
      <c r="L206" s="327">
        <v>10270916.49</v>
      </c>
    </row>
    <row r="207" spans="1:12" ht="61.2" hidden="1" x14ac:dyDescent="0.3">
      <c r="A207" s="321" t="s">
        <v>23</v>
      </c>
      <c r="B207" s="322" t="s">
        <v>993</v>
      </c>
      <c r="C207" s="322" t="s">
        <v>1106</v>
      </c>
      <c r="D207" s="322" t="s">
        <v>951</v>
      </c>
      <c r="E207" s="323" t="s">
        <v>27</v>
      </c>
      <c r="F207" s="324">
        <v>2949</v>
      </c>
      <c r="G207" s="324"/>
      <c r="H207" s="323" t="s">
        <v>28</v>
      </c>
      <c r="I207" s="325" t="s">
        <v>29</v>
      </c>
      <c r="J207" s="325"/>
      <c r="K207" s="326" t="s">
        <v>22</v>
      </c>
      <c r="L207" s="327">
        <v>10273865.49</v>
      </c>
    </row>
    <row r="208" spans="1:12" ht="61.2" hidden="1" x14ac:dyDescent="0.3">
      <c r="A208" s="321" t="s">
        <v>23</v>
      </c>
      <c r="B208" s="322" t="s">
        <v>993</v>
      </c>
      <c r="C208" s="322" t="s">
        <v>1105</v>
      </c>
      <c r="D208" s="322" t="s">
        <v>951</v>
      </c>
      <c r="E208" s="323" t="s">
        <v>27</v>
      </c>
      <c r="F208" s="324">
        <v>2652.2</v>
      </c>
      <c r="G208" s="324"/>
      <c r="H208" s="323" t="s">
        <v>28</v>
      </c>
      <c r="I208" s="325" t="s">
        <v>29</v>
      </c>
      <c r="J208" s="325"/>
      <c r="K208" s="326" t="s">
        <v>22</v>
      </c>
      <c r="L208" s="327">
        <v>10276517.689999999</v>
      </c>
    </row>
    <row r="209" spans="1:12" ht="61.2" hidden="1" x14ac:dyDescent="0.3">
      <c r="A209" s="321" t="s">
        <v>23</v>
      </c>
      <c r="B209" s="322" t="s">
        <v>993</v>
      </c>
      <c r="C209" s="322" t="s">
        <v>1105</v>
      </c>
      <c r="D209" s="322" t="s">
        <v>951</v>
      </c>
      <c r="E209" s="323" t="s">
        <v>27</v>
      </c>
      <c r="F209" s="324">
        <v>10784.8</v>
      </c>
      <c r="G209" s="324"/>
      <c r="H209" s="323" t="s">
        <v>28</v>
      </c>
      <c r="I209" s="325" t="s">
        <v>29</v>
      </c>
      <c r="J209" s="325"/>
      <c r="K209" s="326" t="s">
        <v>22</v>
      </c>
      <c r="L209" s="327">
        <v>10287302.49</v>
      </c>
    </row>
    <row r="210" spans="1:12" ht="61.2" hidden="1" x14ac:dyDescent="0.3">
      <c r="A210" s="321" t="s">
        <v>23</v>
      </c>
      <c r="B210" s="322" t="s">
        <v>993</v>
      </c>
      <c r="C210" s="322" t="s">
        <v>1107</v>
      </c>
      <c r="D210" s="322" t="s">
        <v>951</v>
      </c>
      <c r="E210" s="323" t="s">
        <v>27</v>
      </c>
      <c r="F210" s="324">
        <v>3257.8</v>
      </c>
      <c r="G210" s="324"/>
      <c r="H210" s="323" t="s">
        <v>28</v>
      </c>
      <c r="I210" s="325" t="s">
        <v>29</v>
      </c>
      <c r="J210" s="325"/>
      <c r="K210" s="326" t="s">
        <v>22</v>
      </c>
      <c r="L210" s="327">
        <v>10290560.289999999</v>
      </c>
    </row>
    <row r="211" spans="1:12" ht="61.2" hidden="1" x14ac:dyDescent="0.3">
      <c r="A211" s="321" t="s">
        <v>23</v>
      </c>
      <c r="B211" s="322" t="s">
        <v>993</v>
      </c>
      <c r="C211" s="322" t="s">
        <v>1105</v>
      </c>
      <c r="D211" s="322" t="s">
        <v>951</v>
      </c>
      <c r="E211" s="323" t="s">
        <v>27</v>
      </c>
      <c r="F211" s="324">
        <v>2594</v>
      </c>
      <c r="G211" s="324"/>
      <c r="H211" s="323" t="s">
        <v>28</v>
      </c>
      <c r="I211" s="325" t="s">
        <v>29</v>
      </c>
      <c r="J211" s="325"/>
      <c r="K211" s="326" t="s">
        <v>22</v>
      </c>
      <c r="L211" s="327">
        <v>10293154.289999999</v>
      </c>
    </row>
    <row r="212" spans="1:12" ht="61.2" hidden="1" x14ac:dyDescent="0.3">
      <c r="A212" s="321" t="s">
        <v>23</v>
      </c>
      <c r="B212" s="322" t="s">
        <v>993</v>
      </c>
      <c r="C212" s="322" t="s">
        <v>1105</v>
      </c>
      <c r="D212" s="322" t="s">
        <v>951</v>
      </c>
      <c r="E212" s="323" t="s">
        <v>27</v>
      </c>
      <c r="F212" s="324">
        <v>2596.3000000000002</v>
      </c>
      <c r="G212" s="324"/>
      <c r="H212" s="323" t="s">
        <v>28</v>
      </c>
      <c r="I212" s="325" t="s">
        <v>29</v>
      </c>
      <c r="J212" s="325"/>
      <c r="K212" s="326" t="s">
        <v>22</v>
      </c>
      <c r="L212" s="327">
        <v>10295750.59</v>
      </c>
    </row>
    <row r="213" spans="1:12" ht="61.2" hidden="1" x14ac:dyDescent="0.3">
      <c r="A213" s="321" t="s">
        <v>23</v>
      </c>
      <c r="B213" s="322" t="s">
        <v>993</v>
      </c>
      <c r="C213" s="322" t="s">
        <v>1105</v>
      </c>
      <c r="D213" s="322" t="s">
        <v>951</v>
      </c>
      <c r="E213" s="323" t="s">
        <v>27</v>
      </c>
      <c r="F213" s="324">
        <v>2605.1999999999998</v>
      </c>
      <c r="G213" s="324"/>
      <c r="H213" s="323" t="s">
        <v>28</v>
      </c>
      <c r="I213" s="325" t="s">
        <v>29</v>
      </c>
      <c r="J213" s="325"/>
      <c r="K213" s="326" t="s">
        <v>22</v>
      </c>
      <c r="L213" s="327">
        <v>10298355.789999999</v>
      </c>
    </row>
    <row r="214" spans="1:12" ht="61.2" hidden="1" x14ac:dyDescent="0.3">
      <c r="A214" s="321" t="s">
        <v>23</v>
      </c>
      <c r="B214" s="322" t="s">
        <v>993</v>
      </c>
      <c r="C214" s="322" t="s">
        <v>1108</v>
      </c>
      <c r="D214" s="322" t="s">
        <v>951</v>
      </c>
      <c r="E214" s="323" t="s">
        <v>27</v>
      </c>
      <c r="F214" s="324">
        <v>1932.5</v>
      </c>
      <c r="G214" s="324"/>
      <c r="H214" s="323" t="s">
        <v>28</v>
      </c>
      <c r="I214" s="325" t="s">
        <v>29</v>
      </c>
      <c r="J214" s="325"/>
      <c r="K214" s="326" t="s">
        <v>22</v>
      </c>
      <c r="L214" s="327">
        <v>10300288.289999999</v>
      </c>
    </row>
    <row r="215" spans="1:12" ht="61.2" hidden="1" x14ac:dyDescent="0.3">
      <c r="A215" s="321" t="s">
        <v>23</v>
      </c>
      <c r="B215" s="322" t="s">
        <v>993</v>
      </c>
      <c r="C215" s="322" t="s">
        <v>1105</v>
      </c>
      <c r="D215" s="322" t="s">
        <v>951</v>
      </c>
      <c r="E215" s="323" t="s">
        <v>27</v>
      </c>
      <c r="F215" s="324">
        <v>2644</v>
      </c>
      <c r="G215" s="324"/>
      <c r="H215" s="323" t="s">
        <v>28</v>
      </c>
      <c r="I215" s="325" t="s">
        <v>29</v>
      </c>
      <c r="J215" s="325"/>
      <c r="K215" s="326" t="s">
        <v>22</v>
      </c>
      <c r="L215" s="327">
        <v>10302932.289999999</v>
      </c>
    </row>
    <row r="216" spans="1:12" ht="61.2" hidden="1" x14ac:dyDescent="0.3">
      <c r="A216" s="321" t="s">
        <v>23</v>
      </c>
      <c r="B216" s="322" t="s">
        <v>993</v>
      </c>
      <c r="C216" s="322" t="s">
        <v>1109</v>
      </c>
      <c r="D216" s="322" t="s">
        <v>951</v>
      </c>
      <c r="E216" s="323" t="s">
        <v>27</v>
      </c>
      <c r="F216" s="324">
        <v>3443.5</v>
      </c>
      <c r="G216" s="324"/>
      <c r="H216" s="323" t="s">
        <v>28</v>
      </c>
      <c r="I216" s="325" t="s">
        <v>29</v>
      </c>
      <c r="J216" s="325"/>
      <c r="K216" s="326" t="s">
        <v>22</v>
      </c>
      <c r="L216" s="327">
        <v>10306375.789999999</v>
      </c>
    </row>
    <row r="217" spans="1:12" ht="61.2" hidden="1" x14ac:dyDescent="0.3">
      <c r="A217" s="321" t="s">
        <v>23</v>
      </c>
      <c r="B217" s="322" t="s">
        <v>993</v>
      </c>
      <c r="C217" s="322" t="s">
        <v>1110</v>
      </c>
      <c r="D217" s="322" t="s">
        <v>951</v>
      </c>
      <c r="E217" s="323" t="s">
        <v>27</v>
      </c>
      <c r="F217" s="324">
        <v>4007.4</v>
      </c>
      <c r="G217" s="324"/>
      <c r="H217" s="323" t="s">
        <v>28</v>
      </c>
      <c r="I217" s="325" t="s">
        <v>29</v>
      </c>
      <c r="J217" s="325"/>
      <c r="K217" s="326" t="s">
        <v>22</v>
      </c>
      <c r="L217" s="327">
        <v>10310383.189999999</v>
      </c>
    </row>
    <row r="218" spans="1:12" ht="61.2" hidden="1" x14ac:dyDescent="0.3">
      <c r="A218" s="321" t="s">
        <v>23</v>
      </c>
      <c r="B218" s="322" t="s">
        <v>993</v>
      </c>
      <c r="C218" s="322" t="s">
        <v>1111</v>
      </c>
      <c r="D218" s="322" t="s">
        <v>951</v>
      </c>
      <c r="E218" s="323" t="s">
        <v>27</v>
      </c>
      <c r="F218" s="324">
        <v>3842.5</v>
      </c>
      <c r="G218" s="324"/>
      <c r="H218" s="323" t="s">
        <v>28</v>
      </c>
      <c r="I218" s="325" t="s">
        <v>29</v>
      </c>
      <c r="J218" s="325"/>
      <c r="K218" s="326" t="s">
        <v>22</v>
      </c>
      <c r="L218" s="327">
        <v>10314225.689999999</v>
      </c>
    </row>
    <row r="219" spans="1:12" ht="61.2" hidden="1" x14ac:dyDescent="0.3">
      <c r="A219" s="321" t="s">
        <v>23</v>
      </c>
      <c r="B219" s="322" t="s">
        <v>993</v>
      </c>
      <c r="C219" s="322" t="s">
        <v>1112</v>
      </c>
      <c r="D219" s="322" t="s">
        <v>951</v>
      </c>
      <c r="E219" s="323" t="s">
        <v>27</v>
      </c>
      <c r="F219" s="324">
        <v>3160.8</v>
      </c>
      <c r="G219" s="324"/>
      <c r="H219" s="323" t="s">
        <v>28</v>
      </c>
      <c r="I219" s="325" t="s">
        <v>29</v>
      </c>
      <c r="J219" s="325"/>
      <c r="K219" s="326" t="s">
        <v>22</v>
      </c>
      <c r="L219" s="327">
        <v>10317386.49</v>
      </c>
    </row>
    <row r="220" spans="1:12" ht="61.2" hidden="1" x14ac:dyDescent="0.3">
      <c r="A220" s="321" t="s">
        <v>23</v>
      </c>
      <c r="B220" s="322" t="s">
        <v>993</v>
      </c>
      <c r="C220" s="322" t="s">
        <v>1113</v>
      </c>
      <c r="D220" s="322" t="s">
        <v>951</v>
      </c>
      <c r="E220" s="323" t="s">
        <v>27</v>
      </c>
      <c r="F220" s="324">
        <v>1719.2</v>
      </c>
      <c r="G220" s="324"/>
      <c r="H220" s="323" t="s">
        <v>28</v>
      </c>
      <c r="I220" s="325" t="s">
        <v>29</v>
      </c>
      <c r="J220" s="325"/>
      <c r="K220" s="326" t="s">
        <v>22</v>
      </c>
      <c r="L220" s="327">
        <v>10319105.689999999</v>
      </c>
    </row>
    <row r="221" spans="1:12" ht="61.2" hidden="1" x14ac:dyDescent="0.3">
      <c r="A221" s="321" t="s">
        <v>23</v>
      </c>
      <c r="B221" s="322" t="s">
        <v>993</v>
      </c>
      <c r="C221" s="322" t="s">
        <v>1114</v>
      </c>
      <c r="D221" s="322" t="s">
        <v>951</v>
      </c>
      <c r="E221" s="323" t="s">
        <v>27</v>
      </c>
      <c r="F221" s="328">
        <v>632.5</v>
      </c>
      <c r="G221" s="328"/>
      <c r="H221" s="323" t="s">
        <v>28</v>
      </c>
      <c r="I221" s="325" t="s">
        <v>29</v>
      </c>
      <c r="J221" s="325"/>
      <c r="K221" s="326" t="s">
        <v>22</v>
      </c>
      <c r="L221" s="327">
        <v>10319738.189999999</v>
      </c>
    </row>
    <row r="222" spans="1:12" ht="61.2" hidden="1" x14ac:dyDescent="0.3">
      <c r="A222" s="321" t="s">
        <v>23</v>
      </c>
      <c r="B222" s="322" t="s">
        <v>993</v>
      </c>
      <c r="C222" s="322" t="s">
        <v>1115</v>
      </c>
      <c r="D222" s="322" t="s">
        <v>951</v>
      </c>
      <c r="E222" s="323" t="s">
        <v>27</v>
      </c>
      <c r="F222" s="324">
        <v>13798</v>
      </c>
      <c r="G222" s="324"/>
      <c r="H222" s="323" t="s">
        <v>28</v>
      </c>
      <c r="I222" s="325" t="s">
        <v>29</v>
      </c>
      <c r="J222" s="325"/>
      <c r="K222" s="326" t="s">
        <v>22</v>
      </c>
      <c r="L222" s="327">
        <v>10333536.189999999</v>
      </c>
    </row>
    <row r="223" spans="1:12" ht="61.2" hidden="1" x14ac:dyDescent="0.3">
      <c r="A223" s="321" t="s">
        <v>23</v>
      </c>
      <c r="B223" s="322" t="s">
        <v>993</v>
      </c>
      <c r="C223" s="322" t="s">
        <v>1116</v>
      </c>
      <c r="D223" s="322" t="s">
        <v>951</v>
      </c>
      <c r="E223" s="323" t="s">
        <v>27</v>
      </c>
      <c r="F223" s="324">
        <v>2274.8000000000002</v>
      </c>
      <c r="G223" s="324"/>
      <c r="H223" s="323" t="s">
        <v>28</v>
      </c>
      <c r="I223" s="325" t="s">
        <v>29</v>
      </c>
      <c r="J223" s="325"/>
      <c r="K223" s="326" t="s">
        <v>22</v>
      </c>
      <c r="L223" s="327">
        <v>10335810.99</v>
      </c>
    </row>
    <row r="224" spans="1:12" ht="61.2" hidden="1" x14ac:dyDescent="0.3">
      <c r="A224" s="321" t="s">
        <v>23</v>
      </c>
      <c r="B224" s="322" t="s">
        <v>993</v>
      </c>
      <c r="C224" s="322" t="s">
        <v>1117</v>
      </c>
      <c r="D224" s="322" t="s">
        <v>951</v>
      </c>
      <c r="E224" s="323" t="s">
        <v>27</v>
      </c>
      <c r="F224" s="324">
        <v>9470.6</v>
      </c>
      <c r="G224" s="324"/>
      <c r="H224" s="323" t="s">
        <v>28</v>
      </c>
      <c r="I224" s="325" t="s">
        <v>29</v>
      </c>
      <c r="J224" s="325"/>
      <c r="K224" s="326" t="s">
        <v>22</v>
      </c>
      <c r="L224" s="327">
        <v>10345281.59</v>
      </c>
    </row>
    <row r="225" spans="1:12" ht="61.2" hidden="1" x14ac:dyDescent="0.3">
      <c r="A225" s="321" t="s">
        <v>23</v>
      </c>
      <c r="B225" s="322" t="s">
        <v>993</v>
      </c>
      <c r="C225" s="322" t="s">
        <v>1117</v>
      </c>
      <c r="D225" s="322" t="s">
        <v>951</v>
      </c>
      <c r="E225" s="323" t="s">
        <v>27</v>
      </c>
      <c r="F225" s="324">
        <v>4399.7</v>
      </c>
      <c r="G225" s="324"/>
      <c r="H225" s="323" t="s">
        <v>28</v>
      </c>
      <c r="I225" s="325" t="s">
        <v>29</v>
      </c>
      <c r="J225" s="325"/>
      <c r="K225" s="326" t="s">
        <v>22</v>
      </c>
      <c r="L225" s="327">
        <v>10349681.289999999</v>
      </c>
    </row>
    <row r="226" spans="1:12" ht="61.2" hidden="1" x14ac:dyDescent="0.3">
      <c r="A226" s="321" t="s">
        <v>23</v>
      </c>
      <c r="B226" s="322" t="s">
        <v>993</v>
      </c>
      <c r="C226" s="322" t="s">
        <v>1117</v>
      </c>
      <c r="D226" s="322" t="s">
        <v>951</v>
      </c>
      <c r="E226" s="323" t="s">
        <v>27</v>
      </c>
      <c r="F226" s="324">
        <v>4207.3</v>
      </c>
      <c r="G226" s="324"/>
      <c r="H226" s="323" t="s">
        <v>28</v>
      </c>
      <c r="I226" s="325" t="s">
        <v>29</v>
      </c>
      <c r="J226" s="325"/>
      <c r="K226" s="326" t="s">
        <v>22</v>
      </c>
      <c r="L226" s="327">
        <v>10353888.59</v>
      </c>
    </row>
    <row r="227" spans="1:12" ht="61.2" hidden="1" x14ac:dyDescent="0.3">
      <c r="A227" s="321" t="s">
        <v>23</v>
      </c>
      <c r="B227" s="322" t="s">
        <v>993</v>
      </c>
      <c r="C227" s="322" t="s">
        <v>1118</v>
      </c>
      <c r="D227" s="322" t="s">
        <v>951</v>
      </c>
      <c r="E227" s="323" t="s">
        <v>27</v>
      </c>
      <c r="F227" s="324">
        <v>3120.6</v>
      </c>
      <c r="G227" s="324"/>
      <c r="H227" s="323" t="s">
        <v>28</v>
      </c>
      <c r="I227" s="325" t="s">
        <v>29</v>
      </c>
      <c r="J227" s="325"/>
      <c r="K227" s="326" t="s">
        <v>22</v>
      </c>
      <c r="L227" s="327">
        <v>10357009.189999999</v>
      </c>
    </row>
    <row r="228" spans="1:12" ht="61.2" hidden="1" x14ac:dyDescent="0.3">
      <c r="A228" s="321" t="s">
        <v>23</v>
      </c>
      <c r="B228" s="322" t="s">
        <v>993</v>
      </c>
      <c r="C228" s="322" t="s">
        <v>1095</v>
      </c>
      <c r="D228" s="322" t="s">
        <v>951</v>
      </c>
      <c r="E228" s="323" t="s">
        <v>27</v>
      </c>
      <c r="F228" s="324">
        <v>3523.3</v>
      </c>
      <c r="G228" s="324"/>
      <c r="H228" s="323" t="s">
        <v>28</v>
      </c>
      <c r="I228" s="325" t="s">
        <v>29</v>
      </c>
      <c r="J228" s="325"/>
      <c r="K228" s="326" t="s">
        <v>22</v>
      </c>
      <c r="L228" s="327">
        <v>10360532.49</v>
      </c>
    </row>
    <row r="229" spans="1:12" ht="61.2" hidden="1" x14ac:dyDescent="0.3">
      <c r="A229" s="321" t="s">
        <v>23</v>
      </c>
      <c r="B229" s="322" t="s">
        <v>993</v>
      </c>
      <c r="C229" s="322" t="s">
        <v>1119</v>
      </c>
      <c r="D229" s="322" t="s">
        <v>951</v>
      </c>
      <c r="E229" s="323" t="s">
        <v>27</v>
      </c>
      <c r="F229" s="324">
        <v>2467.1999999999998</v>
      </c>
      <c r="G229" s="324"/>
      <c r="H229" s="323" t="s">
        <v>28</v>
      </c>
      <c r="I229" s="325" t="s">
        <v>29</v>
      </c>
      <c r="J229" s="325"/>
      <c r="K229" s="326" t="s">
        <v>22</v>
      </c>
      <c r="L229" s="327">
        <v>10362999.689999999</v>
      </c>
    </row>
    <row r="230" spans="1:12" ht="61.2" hidden="1" x14ac:dyDescent="0.3">
      <c r="A230" s="321" t="s">
        <v>23</v>
      </c>
      <c r="B230" s="322" t="s">
        <v>993</v>
      </c>
      <c r="C230" s="322" t="s">
        <v>1120</v>
      </c>
      <c r="D230" s="322" t="s">
        <v>951</v>
      </c>
      <c r="E230" s="323" t="s">
        <v>27</v>
      </c>
      <c r="F230" s="324">
        <v>4583.8999999999996</v>
      </c>
      <c r="G230" s="324"/>
      <c r="H230" s="323" t="s">
        <v>28</v>
      </c>
      <c r="I230" s="325" t="s">
        <v>29</v>
      </c>
      <c r="J230" s="325"/>
      <c r="K230" s="326" t="s">
        <v>22</v>
      </c>
      <c r="L230" s="327">
        <v>10367583.59</v>
      </c>
    </row>
    <row r="231" spans="1:12" ht="61.2" hidden="1" x14ac:dyDescent="0.3">
      <c r="A231" s="321" t="s">
        <v>23</v>
      </c>
      <c r="B231" s="322" t="s">
        <v>993</v>
      </c>
      <c r="C231" s="322" t="s">
        <v>1121</v>
      </c>
      <c r="D231" s="322" t="s">
        <v>951</v>
      </c>
      <c r="E231" s="323" t="s">
        <v>27</v>
      </c>
      <c r="F231" s="324">
        <v>2286</v>
      </c>
      <c r="G231" s="324"/>
      <c r="H231" s="323" t="s">
        <v>28</v>
      </c>
      <c r="I231" s="325" t="s">
        <v>29</v>
      </c>
      <c r="J231" s="325"/>
      <c r="K231" s="326" t="s">
        <v>22</v>
      </c>
      <c r="L231" s="327">
        <v>10369869.59</v>
      </c>
    </row>
    <row r="232" spans="1:12" ht="61.2" hidden="1" x14ac:dyDescent="0.3">
      <c r="A232" s="321" t="s">
        <v>23</v>
      </c>
      <c r="B232" s="322" t="s">
        <v>993</v>
      </c>
      <c r="C232" s="322" t="s">
        <v>1122</v>
      </c>
      <c r="D232" s="322" t="s">
        <v>951</v>
      </c>
      <c r="E232" s="323" t="s">
        <v>27</v>
      </c>
      <c r="F232" s="328">
        <v>879.3</v>
      </c>
      <c r="G232" s="328"/>
      <c r="H232" s="323" t="s">
        <v>28</v>
      </c>
      <c r="I232" s="325" t="s">
        <v>29</v>
      </c>
      <c r="J232" s="325"/>
      <c r="K232" s="326" t="s">
        <v>22</v>
      </c>
      <c r="L232" s="327">
        <v>10370748.890000001</v>
      </c>
    </row>
    <row r="233" spans="1:12" ht="61.2" hidden="1" x14ac:dyDescent="0.3">
      <c r="A233" s="321" t="s">
        <v>23</v>
      </c>
      <c r="B233" s="322" t="s">
        <v>993</v>
      </c>
      <c r="C233" s="322" t="s">
        <v>1123</v>
      </c>
      <c r="D233" s="322" t="s">
        <v>951</v>
      </c>
      <c r="E233" s="323" t="s">
        <v>27</v>
      </c>
      <c r="F233" s="324">
        <v>1250.8</v>
      </c>
      <c r="G233" s="324"/>
      <c r="H233" s="323" t="s">
        <v>28</v>
      </c>
      <c r="I233" s="325" t="s">
        <v>29</v>
      </c>
      <c r="J233" s="325"/>
      <c r="K233" s="326" t="s">
        <v>22</v>
      </c>
      <c r="L233" s="327">
        <v>10371999.689999999</v>
      </c>
    </row>
    <row r="234" spans="1:12" ht="61.2" hidden="1" x14ac:dyDescent="0.3">
      <c r="A234" s="321" t="s">
        <v>23</v>
      </c>
      <c r="B234" s="322" t="s">
        <v>993</v>
      </c>
      <c r="C234" s="322" t="s">
        <v>1124</v>
      </c>
      <c r="D234" s="322" t="s">
        <v>951</v>
      </c>
      <c r="E234" s="323" t="s">
        <v>27</v>
      </c>
      <c r="F234" s="324">
        <v>2224.1</v>
      </c>
      <c r="G234" s="324"/>
      <c r="H234" s="323" t="s">
        <v>28</v>
      </c>
      <c r="I234" s="325" t="s">
        <v>29</v>
      </c>
      <c r="J234" s="325"/>
      <c r="K234" s="326" t="s">
        <v>22</v>
      </c>
      <c r="L234" s="327">
        <v>10374223.789999999</v>
      </c>
    </row>
    <row r="235" spans="1:12" ht="61.2" hidden="1" x14ac:dyDescent="0.3">
      <c r="A235" s="321" t="s">
        <v>23</v>
      </c>
      <c r="B235" s="322" t="s">
        <v>993</v>
      </c>
      <c r="C235" s="322" t="s">
        <v>1125</v>
      </c>
      <c r="D235" s="322" t="s">
        <v>951</v>
      </c>
      <c r="E235" s="323" t="s">
        <v>27</v>
      </c>
      <c r="F235" s="324">
        <v>6984.7</v>
      </c>
      <c r="G235" s="324"/>
      <c r="H235" s="323" t="s">
        <v>28</v>
      </c>
      <c r="I235" s="325" t="s">
        <v>29</v>
      </c>
      <c r="J235" s="325"/>
      <c r="K235" s="326" t="s">
        <v>22</v>
      </c>
      <c r="L235" s="327">
        <v>10381208.49</v>
      </c>
    </row>
    <row r="236" spans="1:12" ht="61.2" hidden="1" x14ac:dyDescent="0.3">
      <c r="A236" s="321" t="s">
        <v>23</v>
      </c>
      <c r="B236" s="322" t="s">
        <v>993</v>
      </c>
      <c r="C236" s="322" t="s">
        <v>1126</v>
      </c>
      <c r="D236" s="322" t="s">
        <v>951</v>
      </c>
      <c r="E236" s="323" t="s">
        <v>27</v>
      </c>
      <c r="F236" s="324">
        <v>3100.4</v>
      </c>
      <c r="G236" s="324"/>
      <c r="H236" s="323" t="s">
        <v>28</v>
      </c>
      <c r="I236" s="325" t="s">
        <v>29</v>
      </c>
      <c r="J236" s="325"/>
      <c r="K236" s="326" t="s">
        <v>22</v>
      </c>
      <c r="L236" s="327">
        <v>10384308.890000001</v>
      </c>
    </row>
    <row r="237" spans="1:12" ht="61.2" hidden="1" x14ac:dyDescent="0.3">
      <c r="A237" s="321" t="s">
        <v>23</v>
      </c>
      <c r="B237" s="322" t="s">
        <v>993</v>
      </c>
      <c r="C237" s="322" t="s">
        <v>964</v>
      </c>
      <c r="D237" s="322" t="s">
        <v>951</v>
      </c>
      <c r="E237" s="323" t="s">
        <v>27</v>
      </c>
      <c r="F237" s="324">
        <v>3311.5</v>
      </c>
      <c r="G237" s="324"/>
      <c r="H237" s="323" t="s">
        <v>28</v>
      </c>
      <c r="I237" s="325" t="s">
        <v>29</v>
      </c>
      <c r="J237" s="325"/>
      <c r="K237" s="326" t="s">
        <v>22</v>
      </c>
      <c r="L237" s="327">
        <v>10387620.390000001</v>
      </c>
    </row>
    <row r="238" spans="1:12" ht="61.2" hidden="1" x14ac:dyDescent="0.3">
      <c r="A238" s="321" t="s">
        <v>23</v>
      </c>
      <c r="B238" s="322" t="s">
        <v>993</v>
      </c>
      <c r="C238" s="322" t="s">
        <v>1127</v>
      </c>
      <c r="D238" s="322" t="s">
        <v>951</v>
      </c>
      <c r="E238" s="323" t="s">
        <v>27</v>
      </c>
      <c r="F238" s="324">
        <v>3793.3</v>
      </c>
      <c r="G238" s="324"/>
      <c r="H238" s="323" t="s">
        <v>28</v>
      </c>
      <c r="I238" s="325" t="s">
        <v>29</v>
      </c>
      <c r="J238" s="325"/>
      <c r="K238" s="326" t="s">
        <v>22</v>
      </c>
      <c r="L238" s="327">
        <v>10391413.689999999</v>
      </c>
    </row>
    <row r="239" spans="1:12" ht="61.2" hidden="1" x14ac:dyDescent="0.3">
      <c r="A239" s="321" t="s">
        <v>23</v>
      </c>
      <c r="B239" s="322" t="s">
        <v>993</v>
      </c>
      <c r="C239" s="322" t="s">
        <v>1128</v>
      </c>
      <c r="D239" s="322" t="s">
        <v>951</v>
      </c>
      <c r="E239" s="323" t="s">
        <v>27</v>
      </c>
      <c r="F239" s="324">
        <v>3225.7</v>
      </c>
      <c r="G239" s="324"/>
      <c r="H239" s="323" t="s">
        <v>28</v>
      </c>
      <c r="I239" s="325" t="s">
        <v>29</v>
      </c>
      <c r="J239" s="325"/>
      <c r="K239" s="326" t="s">
        <v>22</v>
      </c>
      <c r="L239" s="327">
        <v>10394639.390000001</v>
      </c>
    </row>
    <row r="240" spans="1:12" ht="61.2" hidden="1" x14ac:dyDescent="0.3">
      <c r="A240" s="321" t="s">
        <v>23</v>
      </c>
      <c r="B240" s="322" t="s">
        <v>993</v>
      </c>
      <c r="C240" s="322" t="s">
        <v>1129</v>
      </c>
      <c r="D240" s="322" t="s">
        <v>951</v>
      </c>
      <c r="E240" s="323" t="s">
        <v>27</v>
      </c>
      <c r="F240" s="324">
        <v>4380.3</v>
      </c>
      <c r="G240" s="324"/>
      <c r="H240" s="323" t="s">
        <v>28</v>
      </c>
      <c r="I240" s="325" t="s">
        <v>29</v>
      </c>
      <c r="J240" s="325"/>
      <c r="K240" s="326" t="s">
        <v>22</v>
      </c>
      <c r="L240" s="327">
        <v>10399019.689999999</v>
      </c>
    </row>
    <row r="241" spans="1:12" ht="61.2" hidden="1" x14ac:dyDescent="0.3">
      <c r="A241" s="321" t="s">
        <v>23</v>
      </c>
      <c r="B241" s="322" t="s">
        <v>993</v>
      </c>
      <c r="C241" s="322" t="s">
        <v>1130</v>
      </c>
      <c r="D241" s="322" t="s">
        <v>951</v>
      </c>
      <c r="E241" s="323" t="s">
        <v>27</v>
      </c>
      <c r="F241" s="324">
        <v>4474.3</v>
      </c>
      <c r="G241" s="324"/>
      <c r="H241" s="323" t="s">
        <v>28</v>
      </c>
      <c r="I241" s="325" t="s">
        <v>29</v>
      </c>
      <c r="J241" s="325"/>
      <c r="K241" s="326" t="s">
        <v>22</v>
      </c>
      <c r="L241" s="327">
        <v>10403493.99</v>
      </c>
    </row>
    <row r="242" spans="1:12" ht="61.2" hidden="1" x14ac:dyDescent="0.3">
      <c r="A242" s="321" t="s">
        <v>23</v>
      </c>
      <c r="B242" s="322" t="s">
        <v>993</v>
      </c>
      <c r="C242" s="322" t="s">
        <v>1131</v>
      </c>
      <c r="D242" s="322" t="s">
        <v>951</v>
      </c>
      <c r="E242" s="323" t="s">
        <v>27</v>
      </c>
      <c r="F242" s="324">
        <v>3829.9</v>
      </c>
      <c r="G242" s="324"/>
      <c r="H242" s="323" t="s">
        <v>28</v>
      </c>
      <c r="I242" s="325" t="s">
        <v>29</v>
      </c>
      <c r="J242" s="325"/>
      <c r="K242" s="326" t="s">
        <v>22</v>
      </c>
      <c r="L242" s="327">
        <v>10407323.890000001</v>
      </c>
    </row>
    <row r="243" spans="1:12" ht="61.2" hidden="1" x14ac:dyDescent="0.3">
      <c r="A243" s="321" t="s">
        <v>23</v>
      </c>
      <c r="B243" s="322" t="s">
        <v>993</v>
      </c>
      <c r="C243" s="322" t="s">
        <v>955</v>
      </c>
      <c r="D243" s="322" t="s">
        <v>951</v>
      </c>
      <c r="E243" s="323" t="s">
        <v>27</v>
      </c>
      <c r="F243" s="324">
        <v>3636.7</v>
      </c>
      <c r="G243" s="324"/>
      <c r="H243" s="323" t="s">
        <v>28</v>
      </c>
      <c r="I243" s="325" t="s">
        <v>29</v>
      </c>
      <c r="J243" s="325"/>
      <c r="K243" s="326" t="s">
        <v>22</v>
      </c>
      <c r="L243" s="327">
        <v>10410960.59</v>
      </c>
    </row>
    <row r="244" spans="1:12" ht="61.2" hidden="1" x14ac:dyDescent="0.3">
      <c r="A244" s="321" t="s">
        <v>23</v>
      </c>
      <c r="B244" s="322" t="s">
        <v>993</v>
      </c>
      <c r="C244" s="322" t="s">
        <v>1132</v>
      </c>
      <c r="D244" s="322" t="s">
        <v>951</v>
      </c>
      <c r="E244" s="323" t="s">
        <v>27</v>
      </c>
      <c r="F244" s="324">
        <v>3905.2</v>
      </c>
      <c r="G244" s="324"/>
      <c r="H244" s="323" t="s">
        <v>28</v>
      </c>
      <c r="I244" s="325" t="s">
        <v>29</v>
      </c>
      <c r="J244" s="325"/>
      <c r="K244" s="326" t="s">
        <v>22</v>
      </c>
      <c r="L244" s="327">
        <v>10414865.789999999</v>
      </c>
    </row>
    <row r="245" spans="1:12" ht="61.2" hidden="1" x14ac:dyDescent="0.3">
      <c r="A245" s="321" t="s">
        <v>23</v>
      </c>
      <c r="B245" s="322" t="s">
        <v>993</v>
      </c>
      <c r="C245" s="322" t="s">
        <v>1132</v>
      </c>
      <c r="D245" s="322" t="s">
        <v>951</v>
      </c>
      <c r="E245" s="323" t="s">
        <v>27</v>
      </c>
      <c r="F245" s="324">
        <v>4533.8999999999996</v>
      </c>
      <c r="G245" s="324"/>
      <c r="H245" s="323" t="s">
        <v>28</v>
      </c>
      <c r="I245" s="325" t="s">
        <v>29</v>
      </c>
      <c r="J245" s="325"/>
      <c r="K245" s="326" t="s">
        <v>22</v>
      </c>
      <c r="L245" s="327">
        <v>10419399.689999999</v>
      </c>
    </row>
    <row r="246" spans="1:12" ht="61.2" hidden="1" x14ac:dyDescent="0.3">
      <c r="A246" s="321" t="s">
        <v>23</v>
      </c>
      <c r="B246" s="322" t="s">
        <v>993</v>
      </c>
      <c r="C246" s="322" t="s">
        <v>1132</v>
      </c>
      <c r="D246" s="322" t="s">
        <v>951</v>
      </c>
      <c r="E246" s="323" t="s">
        <v>27</v>
      </c>
      <c r="F246" s="324">
        <v>5051.5</v>
      </c>
      <c r="G246" s="324"/>
      <c r="H246" s="323" t="s">
        <v>28</v>
      </c>
      <c r="I246" s="325" t="s">
        <v>29</v>
      </c>
      <c r="J246" s="325"/>
      <c r="K246" s="326" t="s">
        <v>22</v>
      </c>
      <c r="L246" s="327">
        <v>10424451.189999999</v>
      </c>
    </row>
    <row r="247" spans="1:12" ht="61.2" hidden="1" x14ac:dyDescent="0.3">
      <c r="A247" s="321" t="s">
        <v>23</v>
      </c>
      <c r="B247" s="322" t="s">
        <v>993</v>
      </c>
      <c r="C247" s="322" t="s">
        <v>1133</v>
      </c>
      <c r="D247" s="322" t="s">
        <v>951</v>
      </c>
      <c r="E247" s="323" t="s">
        <v>27</v>
      </c>
      <c r="F247" s="324">
        <v>2188.3000000000002</v>
      </c>
      <c r="G247" s="324"/>
      <c r="H247" s="323" t="s">
        <v>28</v>
      </c>
      <c r="I247" s="325" t="s">
        <v>29</v>
      </c>
      <c r="J247" s="325"/>
      <c r="K247" s="326" t="s">
        <v>22</v>
      </c>
      <c r="L247" s="327">
        <v>10426639.49</v>
      </c>
    </row>
    <row r="248" spans="1:12" ht="61.2" hidden="1" x14ac:dyDescent="0.3">
      <c r="A248" s="321" t="s">
        <v>23</v>
      </c>
      <c r="B248" s="322" t="s">
        <v>993</v>
      </c>
      <c r="C248" s="322" t="s">
        <v>1132</v>
      </c>
      <c r="D248" s="322" t="s">
        <v>951</v>
      </c>
      <c r="E248" s="323" t="s">
        <v>27</v>
      </c>
      <c r="F248" s="324">
        <v>3958.9</v>
      </c>
      <c r="G248" s="324"/>
      <c r="H248" s="323" t="s">
        <v>28</v>
      </c>
      <c r="I248" s="325" t="s">
        <v>29</v>
      </c>
      <c r="J248" s="325"/>
      <c r="K248" s="326" t="s">
        <v>22</v>
      </c>
      <c r="L248" s="327">
        <v>10430598.390000001</v>
      </c>
    </row>
    <row r="249" spans="1:12" ht="61.2" hidden="1" x14ac:dyDescent="0.3">
      <c r="A249" s="321" t="s">
        <v>23</v>
      </c>
      <c r="B249" s="322" t="s">
        <v>993</v>
      </c>
      <c r="C249" s="322" t="s">
        <v>1132</v>
      </c>
      <c r="D249" s="322" t="s">
        <v>951</v>
      </c>
      <c r="E249" s="323" t="s">
        <v>27</v>
      </c>
      <c r="F249" s="324">
        <v>5047.8</v>
      </c>
      <c r="G249" s="324"/>
      <c r="H249" s="323" t="s">
        <v>28</v>
      </c>
      <c r="I249" s="325" t="s">
        <v>29</v>
      </c>
      <c r="J249" s="325"/>
      <c r="K249" s="326" t="s">
        <v>22</v>
      </c>
      <c r="L249" s="327">
        <v>10435646.189999999</v>
      </c>
    </row>
    <row r="250" spans="1:12" ht="61.2" hidden="1" x14ac:dyDescent="0.3">
      <c r="A250" s="321" t="s">
        <v>23</v>
      </c>
      <c r="B250" s="322" t="s">
        <v>993</v>
      </c>
      <c r="C250" s="322" t="s">
        <v>1134</v>
      </c>
      <c r="D250" s="322" t="s">
        <v>951</v>
      </c>
      <c r="E250" s="323" t="s">
        <v>27</v>
      </c>
      <c r="F250" s="324">
        <v>5685.5</v>
      </c>
      <c r="G250" s="324"/>
      <c r="H250" s="323" t="s">
        <v>28</v>
      </c>
      <c r="I250" s="325" t="s">
        <v>29</v>
      </c>
      <c r="J250" s="325"/>
      <c r="K250" s="326" t="s">
        <v>22</v>
      </c>
      <c r="L250" s="327">
        <v>10441331.689999999</v>
      </c>
    </row>
    <row r="251" spans="1:12" ht="61.2" hidden="1" x14ac:dyDescent="0.3">
      <c r="A251" s="321" t="s">
        <v>23</v>
      </c>
      <c r="B251" s="322" t="s">
        <v>993</v>
      </c>
      <c r="C251" s="322" t="s">
        <v>1135</v>
      </c>
      <c r="D251" s="322" t="s">
        <v>951</v>
      </c>
      <c r="E251" s="323" t="s">
        <v>27</v>
      </c>
      <c r="F251" s="324">
        <v>6805.7</v>
      </c>
      <c r="G251" s="324"/>
      <c r="H251" s="323" t="s">
        <v>28</v>
      </c>
      <c r="I251" s="325" t="s">
        <v>29</v>
      </c>
      <c r="J251" s="325"/>
      <c r="K251" s="326" t="s">
        <v>22</v>
      </c>
      <c r="L251" s="327">
        <v>10448137.390000001</v>
      </c>
    </row>
    <row r="252" spans="1:12" ht="61.2" hidden="1" x14ac:dyDescent="0.3">
      <c r="A252" s="321" t="s">
        <v>23</v>
      </c>
      <c r="B252" s="322" t="s">
        <v>993</v>
      </c>
      <c r="C252" s="322" t="s">
        <v>1136</v>
      </c>
      <c r="D252" s="322" t="s">
        <v>951</v>
      </c>
      <c r="E252" s="323" t="s">
        <v>27</v>
      </c>
      <c r="F252" s="324">
        <v>3746.3</v>
      </c>
      <c r="G252" s="324"/>
      <c r="H252" s="323" t="s">
        <v>28</v>
      </c>
      <c r="I252" s="325" t="s">
        <v>29</v>
      </c>
      <c r="J252" s="325"/>
      <c r="K252" s="326" t="s">
        <v>22</v>
      </c>
      <c r="L252" s="327">
        <v>10451883.689999999</v>
      </c>
    </row>
    <row r="253" spans="1:12" ht="61.2" hidden="1" x14ac:dyDescent="0.3">
      <c r="A253" s="321" t="s">
        <v>23</v>
      </c>
      <c r="B253" s="322" t="s">
        <v>993</v>
      </c>
      <c r="C253" s="322" t="s">
        <v>1137</v>
      </c>
      <c r="D253" s="322" t="s">
        <v>951</v>
      </c>
      <c r="E253" s="323" t="s">
        <v>27</v>
      </c>
      <c r="F253" s="324">
        <v>2771.5</v>
      </c>
      <c r="G253" s="324"/>
      <c r="H253" s="323" t="s">
        <v>28</v>
      </c>
      <c r="I253" s="325" t="s">
        <v>29</v>
      </c>
      <c r="J253" s="325"/>
      <c r="K253" s="326" t="s">
        <v>22</v>
      </c>
      <c r="L253" s="327">
        <v>10454655.189999999</v>
      </c>
    </row>
    <row r="254" spans="1:12" ht="61.2" hidden="1" x14ac:dyDescent="0.3">
      <c r="A254" s="321" t="s">
        <v>23</v>
      </c>
      <c r="B254" s="322" t="s">
        <v>993</v>
      </c>
      <c r="C254" s="322" t="s">
        <v>1138</v>
      </c>
      <c r="D254" s="322" t="s">
        <v>951</v>
      </c>
      <c r="E254" s="323" t="s">
        <v>27</v>
      </c>
      <c r="F254" s="324">
        <v>2490.3000000000002</v>
      </c>
      <c r="G254" s="324"/>
      <c r="H254" s="323" t="s">
        <v>28</v>
      </c>
      <c r="I254" s="325" t="s">
        <v>29</v>
      </c>
      <c r="J254" s="325"/>
      <c r="K254" s="326" t="s">
        <v>22</v>
      </c>
      <c r="L254" s="327">
        <v>10457145.49</v>
      </c>
    </row>
    <row r="255" spans="1:12" ht="61.2" hidden="1" x14ac:dyDescent="0.3">
      <c r="A255" s="321" t="s">
        <v>23</v>
      </c>
      <c r="B255" s="322" t="s">
        <v>993</v>
      </c>
      <c r="C255" s="322" t="s">
        <v>1139</v>
      </c>
      <c r="D255" s="322" t="s">
        <v>951</v>
      </c>
      <c r="E255" s="323" t="s">
        <v>27</v>
      </c>
      <c r="F255" s="324">
        <v>2790.2</v>
      </c>
      <c r="G255" s="324"/>
      <c r="H255" s="323" t="s">
        <v>28</v>
      </c>
      <c r="I255" s="325" t="s">
        <v>29</v>
      </c>
      <c r="J255" s="325"/>
      <c r="K255" s="326" t="s">
        <v>22</v>
      </c>
      <c r="L255" s="327">
        <v>10459935.689999999</v>
      </c>
    </row>
    <row r="256" spans="1:12" ht="61.2" hidden="1" x14ac:dyDescent="0.3">
      <c r="A256" s="321" t="s">
        <v>23</v>
      </c>
      <c r="B256" s="322" t="s">
        <v>993</v>
      </c>
      <c r="C256" s="322" t="s">
        <v>1140</v>
      </c>
      <c r="D256" s="322" t="s">
        <v>951</v>
      </c>
      <c r="E256" s="323" t="s">
        <v>27</v>
      </c>
      <c r="F256" s="324">
        <v>3790.3</v>
      </c>
      <c r="G256" s="324"/>
      <c r="H256" s="323" t="s">
        <v>28</v>
      </c>
      <c r="I256" s="325" t="s">
        <v>29</v>
      </c>
      <c r="J256" s="325"/>
      <c r="K256" s="326" t="s">
        <v>22</v>
      </c>
      <c r="L256" s="327">
        <v>10463725.99</v>
      </c>
    </row>
    <row r="257" spans="1:12" ht="61.2" hidden="1" x14ac:dyDescent="0.3">
      <c r="A257" s="321" t="s">
        <v>23</v>
      </c>
      <c r="B257" s="322" t="s">
        <v>993</v>
      </c>
      <c r="C257" s="322" t="s">
        <v>1141</v>
      </c>
      <c r="D257" s="322" t="s">
        <v>951</v>
      </c>
      <c r="E257" s="323" t="s">
        <v>27</v>
      </c>
      <c r="F257" s="324">
        <v>5973.4</v>
      </c>
      <c r="G257" s="324"/>
      <c r="H257" s="323" t="s">
        <v>28</v>
      </c>
      <c r="I257" s="325" t="s">
        <v>29</v>
      </c>
      <c r="J257" s="325"/>
      <c r="K257" s="326" t="s">
        <v>22</v>
      </c>
      <c r="L257" s="327">
        <v>10469699.390000001</v>
      </c>
    </row>
    <row r="258" spans="1:12" ht="61.2" hidden="1" x14ac:dyDescent="0.3">
      <c r="A258" s="321" t="s">
        <v>23</v>
      </c>
      <c r="B258" s="322" t="s">
        <v>993</v>
      </c>
      <c r="C258" s="322" t="s">
        <v>1142</v>
      </c>
      <c r="D258" s="322" t="s">
        <v>951</v>
      </c>
      <c r="E258" s="323" t="s">
        <v>27</v>
      </c>
      <c r="F258" s="324">
        <v>3459.9</v>
      </c>
      <c r="G258" s="324"/>
      <c r="H258" s="323" t="s">
        <v>28</v>
      </c>
      <c r="I258" s="325" t="s">
        <v>29</v>
      </c>
      <c r="J258" s="325"/>
      <c r="K258" s="326" t="s">
        <v>22</v>
      </c>
      <c r="L258" s="327">
        <v>10473159.289999999</v>
      </c>
    </row>
    <row r="259" spans="1:12" ht="61.2" hidden="1" x14ac:dyDescent="0.3">
      <c r="A259" s="321" t="s">
        <v>23</v>
      </c>
      <c r="B259" s="322" t="s">
        <v>993</v>
      </c>
      <c r="C259" s="322" t="s">
        <v>1142</v>
      </c>
      <c r="D259" s="322" t="s">
        <v>951</v>
      </c>
      <c r="E259" s="323" t="s">
        <v>27</v>
      </c>
      <c r="F259" s="324">
        <v>14239.6</v>
      </c>
      <c r="G259" s="324"/>
      <c r="H259" s="323" t="s">
        <v>28</v>
      </c>
      <c r="I259" s="325" t="s">
        <v>29</v>
      </c>
      <c r="J259" s="325"/>
      <c r="K259" s="326" t="s">
        <v>22</v>
      </c>
      <c r="L259" s="327">
        <v>10487398.890000001</v>
      </c>
    </row>
    <row r="260" spans="1:12" ht="61.2" hidden="1" x14ac:dyDescent="0.3">
      <c r="A260" s="321" t="s">
        <v>23</v>
      </c>
      <c r="B260" s="322" t="s">
        <v>993</v>
      </c>
      <c r="C260" s="322" t="s">
        <v>1143</v>
      </c>
      <c r="D260" s="322" t="s">
        <v>951</v>
      </c>
      <c r="E260" s="323" t="s">
        <v>27</v>
      </c>
      <c r="F260" s="324">
        <v>3631.5</v>
      </c>
      <c r="G260" s="324"/>
      <c r="H260" s="323" t="s">
        <v>28</v>
      </c>
      <c r="I260" s="325" t="s">
        <v>29</v>
      </c>
      <c r="J260" s="325"/>
      <c r="K260" s="326" t="s">
        <v>22</v>
      </c>
      <c r="L260" s="327">
        <v>10491030.390000001</v>
      </c>
    </row>
    <row r="261" spans="1:12" ht="61.2" hidden="1" x14ac:dyDescent="0.3">
      <c r="A261" s="321" t="s">
        <v>23</v>
      </c>
      <c r="B261" s="322" t="s">
        <v>993</v>
      </c>
      <c r="C261" s="322" t="s">
        <v>1143</v>
      </c>
      <c r="D261" s="322" t="s">
        <v>951</v>
      </c>
      <c r="E261" s="323" t="s">
        <v>27</v>
      </c>
      <c r="F261" s="324">
        <v>3608.3</v>
      </c>
      <c r="G261" s="324"/>
      <c r="H261" s="323" t="s">
        <v>28</v>
      </c>
      <c r="I261" s="325" t="s">
        <v>29</v>
      </c>
      <c r="J261" s="325"/>
      <c r="K261" s="326" t="s">
        <v>22</v>
      </c>
      <c r="L261" s="327">
        <v>10494638.689999999</v>
      </c>
    </row>
    <row r="262" spans="1:12" ht="61.2" hidden="1" x14ac:dyDescent="0.3">
      <c r="A262" s="321" t="s">
        <v>23</v>
      </c>
      <c r="B262" s="322" t="s">
        <v>993</v>
      </c>
      <c r="C262" s="322" t="s">
        <v>1144</v>
      </c>
      <c r="D262" s="322" t="s">
        <v>951</v>
      </c>
      <c r="E262" s="323" t="s">
        <v>27</v>
      </c>
      <c r="F262" s="324">
        <v>3789.6</v>
      </c>
      <c r="G262" s="324"/>
      <c r="H262" s="323" t="s">
        <v>28</v>
      </c>
      <c r="I262" s="325" t="s">
        <v>29</v>
      </c>
      <c r="J262" s="325"/>
      <c r="K262" s="326" t="s">
        <v>22</v>
      </c>
      <c r="L262" s="327">
        <v>10498428.289999999</v>
      </c>
    </row>
    <row r="263" spans="1:12" ht="61.2" hidden="1" x14ac:dyDescent="0.3">
      <c r="A263" s="321" t="s">
        <v>23</v>
      </c>
      <c r="B263" s="322" t="s">
        <v>993</v>
      </c>
      <c r="C263" s="322" t="s">
        <v>1145</v>
      </c>
      <c r="D263" s="322" t="s">
        <v>951</v>
      </c>
      <c r="E263" s="323" t="s">
        <v>27</v>
      </c>
      <c r="F263" s="324">
        <v>2063</v>
      </c>
      <c r="G263" s="324"/>
      <c r="H263" s="323" t="s">
        <v>28</v>
      </c>
      <c r="I263" s="325" t="s">
        <v>29</v>
      </c>
      <c r="J263" s="325"/>
      <c r="K263" s="326" t="s">
        <v>22</v>
      </c>
      <c r="L263" s="327">
        <v>10500491.289999999</v>
      </c>
    </row>
    <row r="264" spans="1:12" ht="61.2" hidden="1" x14ac:dyDescent="0.3">
      <c r="A264" s="321" t="s">
        <v>23</v>
      </c>
      <c r="B264" s="322" t="s">
        <v>993</v>
      </c>
      <c r="C264" s="322" t="s">
        <v>1145</v>
      </c>
      <c r="D264" s="322" t="s">
        <v>951</v>
      </c>
      <c r="E264" s="323" t="s">
        <v>27</v>
      </c>
      <c r="F264" s="324">
        <v>4950.8</v>
      </c>
      <c r="G264" s="324"/>
      <c r="H264" s="323" t="s">
        <v>28</v>
      </c>
      <c r="I264" s="325" t="s">
        <v>29</v>
      </c>
      <c r="J264" s="325"/>
      <c r="K264" s="326" t="s">
        <v>22</v>
      </c>
      <c r="L264" s="327">
        <v>10505442.09</v>
      </c>
    </row>
    <row r="265" spans="1:12" ht="61.2" hidden="1" x14ac:dyDescent="0.3">
      <c r="A265" s="321" t="s">
        <v>23</v>
      </c>
      <c r="B265" s="322" t="s">
        <v>993</v>
      </c>
      <c r="C265" s="322" t="s">
        <v>1146</v>
      </c>
      <c r="D265" s="322" t="s">
        <v>951</v>
      </c>
      <c r="E265" s="323" t="s">
        <v>27</v>
      </c>
      <c r="F265" s="324">
        <v>86700.800000000003</v>
      </c>
      <c r="G265" s="324"/>
      <c r="H265" s="323" t="s">
        <v>28</v>
      </c>
      <c r="I265" s="325" t="s">
        <v>29</v>
      </c>
      <c r="J265" s="325"/>
      <c r="K265" s="326" t="s">
        <v>22</v>
      </c>
      <c r="L265" s="327">
        <v>10592142.890000001</v>
      </c>
    </row>
    <row r="266" spans="1:12" ht="61.2" hidden="1" x14ac:dyDescent="0.3">
      <c r="A266" s="321" t="s">
        <v>23</v>
      </c>
      <c r="B266" s="322" t="s">
        <v>993</v>
      </c>
      <c r="C266" s="322" t="s">
        <v>1147</v>
      </c>
      <c r="D266" s="322" t="s">
        <v>951</v>
      </c>
      <c r="E266" s="323" t="s">
        <v>27</v>
      </c>
      <c r="F266" s="328">
        <v>936</v>
      </c>
      <c r="G266" s="328"/>
      <c r="H266" s="323" t="s">
        <v>28</v>
      </c>
      <c r="I266" s="325" t="s">
        <v>29</v>
      </c>
      <c r="J266" s="325"/>
      <c r="K266" s="326" t="s">
        <v>22</v>
      </c>
      <c r="L266" s="327">
        <v>10593078.890000001</v>
      </c>
    </row>
    <row r="267" spans="1:12" ht="51" hidden="1" x14ac:dyDescent="0.3">
      <c r="A267" s="321" t="s">
        <v>36</v>
      </c>
      <c r="B267" s="322" t="s">
        <v>1148</v>
      </c>
      <c r="C267" s="322" t="s">
        <v>1149</v>
      </c>
      <c r="D267" s="322" t="s">
        <v>1150</v>
      </c>
      <c r="E267" s="323" t="s">
        <v>27</v>
      </c>
      <c r="F267" s="324">
        <v>24408.12</v>
      </c>
      <c r="G267" s="324"/>
      <c r="H267" s="323" t="s">
        <v>28</v>
      </c>
      <c r="I267" s="325" t="s">
        <v>29</v>
      </c>
      <c r="J267" s="325"/>
      <c r="K267" s="326" t="s">
        <v>22</v>
      </c>
      <c r="L267" s="327">
        <v>10617487.01</v>
      </c>
    </row>
    <row r="268" spans="1:12" ht="51" hidden="1" x14ac:dyDescent="0.3">
      <c r="A268" s="321" t="s">
        <v>36</v>
      </c>
      <c r="B268" s="322" t="s">
        <v>1148</v>
      </c>
      <c r="C268" s="322" t="s">
        <v>1151</v>
      </c>
      <c r="D268" s="322" t="s">
        <v>1150</v>
      </c>
      <c r="E268" s="323" t="s">
        <v>27</v>
      </c>
      <c r="F268" s="324">
        <v>27852.400000000001</v>
      </c>
      <c r="G268" s="324"/>
      <c r="H268" s="323" t="s">
        <v>28</v>
      </c>
      <c r="I268" s="325" t="s">
        <v>29</v>
      </c>
      <c r="J268" s="325"/>
      <c r="K268" s="326" t="s">
        <v>22</v>
      </c>
      <c r="L268" s="327">
        <v>10645339.41</v>
      </c>
    </row>
    <row r="269" spans="1:12" ht="51" hidden="1" x14ac:dyDescent="0.3">
      <c r="A269" s="321" t="s">
        <v>36</v>
      </c>
      <c r="B269" s="322" t="s">
        <v>1148</v>
      </c>
      <c r="C269" s="322" t="s">
        <v>1152</v>
      </c>
      <c r="D269" s="322" t="s">
        <v>1150</v>
      </c>
      <c r="E269" s="323" t="s">
        <v>27</v>
      </c>
      <c r="F269" s="324">
        <v>5441.75</v>
      </c>
      <c r="G269" s="324"/>
      <c r="H269" s="323" t="s">
        <v>28</v>
      </c>
      <c r="I269" s="325" t="s">
        <v>29</v>
      </c>
      <c r="J269" s="325"/>
      <c r="K269" s="326" t="s">
        <v>22</v>
      </c>
      <c r="L269" s="327">
        <v>10650781.16</v>
      </c>
    </row>
    <row r="270" spans="1:12" ht="51" hidden="1" x14ac:dyDescent="0.3">
      <c r="A270" s="321" t="s">
        <v>36</v>
      </c>
      <c r="B270" s="322" t="s">
        <v>1148</v>
      </c>
      <c r="C270" s="322" t="s">
        <v>1153</v>
      </c>
      <c r="D270" s="322" t="s">
        <v>1150</v>
      </c>
      <c r="E270" s="323" t="s">
        <v>27</v>
      </c>
      <c r="F270" s="324">
        <v>14094.53</v>
      </c>
      <c r="G270" s="324"/>
      <c r="H270" s="323" t="s">
        <v>28</v>
      </c>
      <c r="I270" s="325" t="s">
        <v>29</v>
      </c>
      <c r="J270" s="325"/>
      <c r="K270" s="326" t="s">
        <v>22</v>
      </c>
      <c r="L270" s="327">
        <v>10664875.689999999</v>
      </c>
    </row>
    <row r="271" spans="1:12" ht="51" hidden="1" x14ac:dyDescent="0.3">
      <c r="A271" s="321" t="s">
        <v>36</v>
      </c>
      <c r="B271" s="322" t="s">
        <v>1148</v>
      </c>
      <c r="C271" s="322" t="s">
        <v>1154</v>
      </c>
      <c r="D271" s="322" t="s">
        <v>1150</v>
      </c>
      <c r="E271" s="323" t="s">
        <v>27</v>
      </c>
      <c r="F271" s="324">
        <v>11394.4</v>
      </c>
      <c r="G271" s="324"/>
      <c r="H271" s="323" t="s">
        <v>28</v>
      </c>
      <c r="I271" s="325" t="s">
        <v>29</v>
      </c>
      <c r="J271" s="325"/>
      <c r="K271" s="326" t="s">
        <v>22</v>
      </c>
      <c r="L271" s="327">
        <v>10676270.09</v>
      </c>
    </row>
    <row r="272" spans="1:12" ht="51" hidden="1" x14ac:dyDescent="0.3">
      <c r="A272" s="321" t="s">
        <v>36</v>
      </c>
      <c r="B272" s="322" t="s">
        <v>1148</v>
      </c>
      <c r="C272" s="322" t="s">
        <v>1155</v>
      </c>
      <c r="D272" s="322" t="s">
        <v>1150</v>
      </c>
      <c r="E272" s="323" t="s">
        <v>27</v>
      </c>
      <c r="F272" s="324">
        <v>5839.46</v>
      </c>
      <c r="G272" s="324"/>
      <c r="H272" s="323" t="s">
        <v>28</v>
      </c>
      <c r="I272" s="325" t="s">
        <v>29</v>
      </c>
      <c r="J272" s="325"/>
      <c r="K272" s="326" t="s">
        <v>22</v>
      </c>
      <c r="L272" s="327">
        <v>10682109.550000001</v>
      </c>
    </row>
    <row r="273" spans="1:12" ht="51" hidden="1" x14ac:dyDescent="0.3">
      <c r="A273" s="321" t="s">
        <v>36</v>
      </c>
      <c r="B273" s="322" t="s">
        <v>1148</v>
      </c>
      <c r="C273" s="322" t="s">
        <v>1156</v>
      </c>
      <c r="D273" s="322" t="s">
        <v>1150</v>
      </c>
      <c r="E273" s="323" t="s">
        <v>27</v>
      </c>
      <c r="F273" s="324">
        <v>9819.4599999999991</v>
      </c>
      <c r="G273" s="324"/>
      <c r="H273" s="323" t="s">
        <v>28</v>
      </c>
      <c r="I273" s="325" t="s">
        <v>29</v>
      </c>
      <c r="J273" s="325"/>
      <c r="K273" s="326" t="s">
        <v>22</v>
      </c>
      <c r="L273" s="327">
        <v>10691929.01</v>
      </c>
    </row>
    <row r="274" spans="1:12" ht="51" hidden="1" x14ac:dyDescent="0.3">
      <c r="A274" s="321" t="s">
        <v>36</v>
      </c>
      <c r="B274" s="322" t="s">
        <v>1148</v>
      </c>
      <c r="C274" s="322" t="s">
        <v>1157</v>
      </c>
      <c r="D274" s="322" t="s">
        <v>1150</v>
      </c>
      <c r="E274" s="323" t="s">
        <v>27</v>
      </c>
      <c r="F274" s="324">
        <v>13446.11</v>
      </c>
      <c r="G274" s="324"/>
      <c r="H274" s="323" t="s">
        <v>28</v>
      </c>
      <c r="I274" s="325" t="s">
        <v>29</v>
      </c>
      <c r="J274" s="325"/>
      <c r="K274" s="326" t="s">
        <v>22</v>
      </c>
      <c r="L274" s="327">
        <v>10705375.119999999</v>
      </c>
    </row>
    <row r="275" spans="1:12" ht="51" hidden="1" x14ac:dyDescent="0.3">
      <c r="A275" s="321" t="s">
        <v>36</v>
      </c>
      <c r="B275" s="322" t="s">
        <v>1148</v>
      </c>
      <c r="C275" s="322" t="s">
        <v>1158</v>
      </c>
      <c r="D275" s="322" t="s">
        <v>1150</v>
      </c>
      <c r="E275" s="323" t="s">
        <v>27</v>
      </c>
      <c r="F275" s="324">
        <v>26994.94</v>
      </c>
      <c r="G275" s="324"/>
      <c r="H275" s="323" t="s">
        <v>28</v>
      </c>
      <c r="I275" s="325" t="s">
        <v>29</v>
      </c>
      <c r="J275" s="325"/>
      <c r="K275" s="326" t="s">
        <v>22</v>
      </c>
      <c r="L275" s="327">
        <v>10732370.060000001</v>
      </c>
    </row>
    <row r="276" spans="1:12" ht="51" hidden="1" x14ac:dyDescent="0.3">
      <c r="A276" s="321" t="s">
        <v>36</v>
      </c>
      <c r="B276" s="322" t="s">
        <v>1148</v>
      </c>
      <c r="C276" s="322" t="s">
        <v>1159</v>
      </c>
      <c r="D276" s="322" t="s">
        <v>1150</v>
      </c>
      <c r="E276" s="323" t="s">
        <v>27</v>
      </c>
      <c r="F276" s="324">
        <v>5787.95</v>
      </c>
      <c r="G276" s="324"/>
      <c r="H276" s="323" t="s">
        <v>28</v>
      </c>
      <c r="I276" s="325" t="s">
        <v>29</v>
      </c>
      <c r="J276" s="325"/>
      <c r="K276" s="326" t="s">
        <v>22</v>
      </c>
      <c r="L276" s="327">
        <v>10738158.01</v>
      </c>
    </row>
    <row r="277" spans="1:12" ht="51" hidden="1" x14ac:dyDescent="0.3">
      <c r="A277" s="321" t="s">
        <v>36</v>
      </c>
      <c r="B277" s="322" t="s">
        <v>1160</v>
      </c>
      <c r="C277" s="322" t="s">
        <v>1161</v>
      </c>
      <c r="D277" s="322" t="s">
        <v>1162</v>
      </c>
      <c r="E277" s="323" t="s">
        <v>27</v>
      </c>
      <c r="F277" s="324">
        <v>18900.91</v>
      </c>
      <c r="G277" s="324"/>
      <c r="H277" s="323" t="s">
        <v>28</v>
      </c>
      <c r="I277" s="325" t="s">
        <v>29</v>
      </c>
      <c r="J277" s="325"/>
      <c r="K277" s="326" t="s">
        <v>22</v>
      </c>
      <c r="L277" s="327">
        <v>10757058.92</v>
      </c>
    </row>
    <row r="278" spans="1:12" ht="51" hidden="1" x14ac:dyDescent="0.3">
      <c r="A278" s="321" t="s">
        <v>36</v>
      </c>
      <c r="B278" s="322" t="s">
        <v>1160</v>
      </c>
      <c r="C278" s="322" t="s">
        <v>1163</v>
      </c>
      <c r="D278" s="322" t="s">
        <v>1162</v>
      </c>
      <c r="E278" s="323" t="s">
        <v>27</v>
      </c>
      <c r="F278" s="324">
        <v>17069.91</v>
      </c>
      <c r="G278" s="324"/>
      <c r="H278" s="323" t="s">
        <v>28</v>
      </c>
      <c r="I278" s="325" t="s">
        <v>29</v>
      </c>
      <c r="J278" s="325"/>
      <c r="K278" s="326" t="s">
        <v>22</v>
      </c>
      <c r="L278" s="327">
        <v>10774128.83</v>
      </c>
    </row>
    <row r="279" spans="1:12" ht="51" hidden="1" x14ac:dyDescent="0.3">
      <c r="A279" s="321" t="s">
        <v>36</v>
      </c>
      <c r="B279" s="322" t="s">
        <v>1160</v>
      </c>
      <c r="C279" s="322" t="s">
        <v>1164</v>
      </c>
      <c r="D279" s="322" t="s">
        <v>1162</v>
      </c>
      <c r="E279" s="323" t="s">
        <v>27</v>
      </c>
      <c r="F279" s="324">
        <v>57178.31</v>
      </c>
      <c r="G279" s="324"/>
      <c r="H279" s="323" t="s">
        <v>28</v>
      </c>
      <c r="I279" s="325" t="s">
        <v>29</v>
      </c>
      <c r="J279" s="325"/>
      <c r="K279" s="326" t="s">
        <v>22</v>
      </c>
      <c r="L279" s="327">
        <v>10831307.140000001</v>
      </c>
    </row>
    <row r="280" spans="1:12" ht="51" hidden="1" x14ac:dyDescent="0.3">
      <c r="A280" s="321" t="s">
        <v>36</v>
      </c>
      <c r="B280" s="322" t="s">
        <v>1165</v>
      </c>
      <c r="C280" s="322" t="s">
        <v>1166</v>
      </c>
      <c r="D280" s="322" t="s">
        <v>1167</v>
      </c>
      <c r="E280" s="323" t="s">
        <v>27</v>
      </c>
      <c r="F280" s="324">
        <v>11922.68</v>
      </c>
      <c r="G280" s="324"/>
      <c r="H280" s="323" t="s">
        <v>28</v>
      </c>
      <c r="I280" s="325" t="s">
        <v>29</v>
      </c>
      <c r="J280" s="325"/>
      <c r="K280" s="326" t="s">
        <v>22</v>
      </c>
      <c r="L280" s="327">
        <v>10843229.82</v>
      </c>
    </row>
    <row r="281" spans="1:12" ht="51" hidden="1" x14ac:dyDescent="0.3">
      <c r="A281" s="321" t="s">
        <v>36</v>
      </c>
      <c r="B281" s="322" t="s">
        <v>1165</v>
      </c>
      <c r="C281" s="322" t="s">
        <v>1168</v>
      </c>
      <c r="D281" s="322" t="s">
        <v>1167</v>
      </c>
      <c r="E281" s="323" t="s">
        <v>27</v>
      </c>
      <c r="F281" s="324">
        <v>53178.720000000001</v>
      </c>
      <c r="G281" s="324"/>
      <c r="H281" s="323" t="s">
        <v>28</v>
      </c>
      <c r="I281" s="325" t="s">
        <v>29</v>
      </c>
      <c r="J281" s="325"/>
      <c r="K281" s="326" t="s">
        <v>22</v>
      </c>
      <c r="L281" s="327">
        <v>10896408.539999999</v>
      </c>
    </row>
    <row r="282" spans="1:12" ht="51" hidden="1" x14ac:dyDescent="0.3">
      <c r="A282" s="321" t="s">
        <v>36</v>
      </c>
      <c r="B282" s="322" t="s">
        <v>1165</v>
      </c>
      <c r="C282" s="322" t="s">
        <v>1169</v>
      </c>
      <c r="D282" s="322" t="s">
        <v>1167</v>
      </c>
      <c r="E282" s="323" t="s">
        <v>27</v>
      </c>
      <c r="F282" s="324">
        <v>74019.399999999994</v>
      </c>
      <c r="G282" s="324"/>
      <c r="H282" s="323" t="s">
        <v>28</v>
      </c>
      <c r="I282" s="325" t="s">
        <v>29</v>
      </c>
      <c r="J282" s="325"/>
      <c r="K282" s="326" t="s">
        <v>22</v>
      </c>
      <c r="L282" s="327">
        <v>10970427.939999999</v>
      </c>
    </row>
    <row r="283" spans="1:12" ht="51" hidden="1" x14ac:dyDescent="0.3">
      <c r="A283" s="321" t="s">
        <v>36</v>
      </c>
      <c r="B283" s="322" t="s">
        <v>1165</v>
      </c>
      <c r="C283" s="322" t="s">
        <v>1170</v>
      </c>
      <c r="D283" s="322" t="s">
        <v>1167</v>
      </c>
      <c r="E283" s="323" t="s">
        <v>27</v>
      </c>
      <c r="F283" s="324">
        <v>519000</v>
      </c>
      <c r="G283" s="324"/>
      <c r="H283" s="323" t="s">
        <v>28</v>
      </c>
      <c r="I283" s="325" t="s">
        <v>29</v>
      </c>
      <c r="J283" s="325"/>
      <c r="K283" s="326" t="s">
        <v>22</v>
      </c>
      <c r="L283" s="327">
        <v>11489427.939999999</v>
      </c>
    </row>
    <row r="284" spans="1:12" ht="51" hidden="1" x14ac:dyDescent="0.3">
      <c r="A284" s="321" t="s">
        <v>36</v>
      </c>
      <c r="B284" s="322" t="s">
        <v>1171</v>
      </c>
      <c r="C284" s="322" t="s">
        <v>1166</v>
      </c>
      <c r="D284" s="322" t="s">
        <v>1167</v>
      </c>
      <c r="E284" s="323" t="s">
        <v>27</v>
      </c>
      <c r="F284" s="328">
        <v>301.94</v>
      </c>
      <c r="G284" s="328"/>
      <c r="H284" s="323" t="s">
        <v>28</v>
      </c>
      <c r="I284" s="325" t="s">
        <v>29</v>
      </c>
      <c r="J284" s="325"/>
      <c r="K284" s="326" t="s">
        <v>22</v>
      </c>
      <c r="L284" s="327">
        <v>11489729.880000001</v>
      </c>
    </row>
    <row r="285" spans="1:12" ht="51" hidden="1" x14ac:dyDescent="0.3">
      <c r="A285" s="321" t="s">
        <v>36</v>
      </c>
      <c r="B285" s="322" t="s">
        <v>1171</v>
      </c>
      <c r="C285" s="322" t="s">
        <v>1168</v>
      </c>
      <c r="D285" s="322" t="s">
        <v>1167</v>
      </c>
      <c r="E285" s="323" t="s">
        <v>27</v>
      </c>
      <c r="F285" s="324">
        <v>1346.73</v>
      </c>
      <c r="G285" s="324"/>
      <c r="H285" s="323" t="s">
        <v>28</v>
      </c>
      <c r="I285" s="325" t="s">
        <v>29</v>
      </c>
      <c r="J285" s="325"/>
      <c r="K285" s="326" t="s">
        <v>22</v>
      </c>
      <c r="L285" s="327">
        <v>11491076.609999999</v>
      </c>
    </row>
    <row r="286" spans="1:12" ht="51" hidden="1" x14ac:dyDescent="0.3">
      <c r="A286" s="321" t="s">
        <v>36</v>
      </c>
      <c r="B286" s="322" t="s">
        <v>1171</v>
      </c>
      <c r="C286" s="322" t="s">
        <v>1169</v>
      </c>
      <c r="D286" s="322" t="s">
        <v>1167</v>
      </c>
      <c r="E286" s="323" t="s">
        <v>27</v>
      </c>
      <c r="F286" s="324">
        <v>1874.51</v>
      </c>
      <c r="G286" s="324"/>
      <c r="H286" s="323" t="s">
        <v>28</v>
      </c>
      <c r="I286" s="325" t="s">
        <v>29</v>
      </c>
      <c r="J286" s="325"/>
      <c r="K286" s="326" t="s">
        <v>22</v>
      </c>
      <c r="L286" s="327">
        <v>11492951.119999999</v>
      </c>
    </row>
    <row r="287" spans="1:12" ht="51" hidden="1" x14ac:dyDescent="0.3">
      <c r="A287" s="321" t="s">
        <v>36</v>
      </c>
      <c r="B287" s="322" t="s">
        <v>1171</v>
      </c>
      <c r="C287" s="322" t="s">
        <v>1170</v>
      </c>
      <c r="D287" s="322" t="s">
        <v>1167</v>
      </c>
      <c r="E287" s="323" t="s">
        <v>27</v>
      </c>
      <c r="F287" s="324">
        <v>13143.49</v>
      </c>
      <c r="G287" s="324"/>
      <c r="H287" s="323" t="s">
        <v>28</v>
      </c>
      <c r="I287" s="325" t="s">
        <v>29</v>
      </c>
      <c r="J287" s="325"/>
      <c r="K287" s="326" t="s">
        <v>22</v>
      </c>
      <c r="L287" s="327">
        <v>11506094.609999999</v>
      </c>
    </row>
    <row r="288" spans="1:12" ht="51" hidden="1" x14ac:dyDescent="0.3">
      <c r="A288" s="321" t="s">
        <v>36</v>
      </c>
      <c r="B288" s="322" t="s">
        <v>1172</v>
      </c>
      <c r="C288" s="322" t="s">
        <v>1173</v>
      </c>
      <c r="D288" s="322" t="s">
        <v>1174</v>
      </c>
      <c r="E288" s="323" t="s">
        <v>27</v>
      </c>
      <c r="F288" s="324">
        <v>88258.8</v>
      </c>
      <c r="G288" s="324"/>
      <c r="H288" s="323" t="s">
        <v>28</v>
      </c>
      <c r="I288" s="325" t="s">
        <v>29</v>
      </c>
      <c r="J288" s="325"/>
      <c r="K288" s="326" t="s">
        <v>22</v>
      </c>
      <c r="L288" s="327">
        <v>11594353.41</v>
      </c>
    </row>
    <row r="289" spans="1:12" ht="51" hidden="1" x14ac:dyDescent="0.3">
      <c r="A289" s="321" t="s">
        <v>36</v>
      </c>
      <c r="B289" s="322" t="s">
        <v>1172</v>
      </c>
      <c r="C289" s="322" t="s">
        <v>1175</v>
      </c>
      <c r="D289" s="322" t="s">
        <v>1174</v>
      </c>
      <c r="E289" s="323" t="s">
        <v>27</v>
      </c>
      <c r="F289" s="324">
        <v>7653.12</v>
      </c>
      <c r="G289" s="324"/>
      <c r="H289" s="323" t="s">
        <v>28</v>
      </c>
      <c r="I289" s="325" t="s">
        <v>29</v>
      </c>
      <c r="J289" s="325"/>
      <c r="K289" s="326" t="s">
        <v>22</v>
      </c>
      <c r="L289" s="327">
        <v>11602006.529999999</v>
      </c>
    </row>
    <row r="290" spans="1:12" ht="51" hidden="1" x14ac:dyDescent="0.3">
      <c r="A290" s="321" t="s">
        <v>36</v>
      </c>
      <c r="B290" s="322" t="s">
        <v>1172</v>
      </c>
      <c r="C290" s="322" t="s">
        <v>1176</v>
      </c>
      <c r="D290" s="322" t="s">
        <v>1174</v>
      </c>
      <c r="E290" s="323" t="s">
        <v>27</v>
      </c>
      <c r="F290" s="324">
        <v>28800</v>
      </c>
      <c r="G290" s="324"/>
      <c r="H290" s="323" t="s">
        <v>28</v>
      </c>
      <c r="I290" s="325" t="s">
        <v>29</v>
      </c>
      <c r="J290" s="325"/>
      <c r="K290" s="326" t="s">
        <v>22</v>
      </c>
      <c r="L290" s="327">
        <v>11630806.529999999</v>
      </c>
    </row>
    <row r="291" spans="1:12" ht="51" hidden="1" x14ac:dyDescent="0.3">
      <c r="A291" s="321" t="s">
        <v>36</v>
      </c>
      <c r="B291" s="322" t="s">
        <v>1172</v>
      </c>
      <c r="C291" s="322" t="s">
        <v>1177</v>
      </c>
      <c r="D291" s="322" t="s">
        <v>1174</v>
      </c>
      <c r="E291" s="323" t="s">
        <v>27</v>
      </c>
      <c r="F291" s="324">
        <v>9183.74</v>
      </c>
      <c r="G291" s="324"/>
      <c r="H291" s="323" t="s">
        <v>28</v>
      </c>
      <c r="I291" s="325" t="s">
        <v>29</v>
      </c>
      <c r="J291" s="325"/>
      <c r="K291" s="326" t="s">
        <v>22</v>
      </c>
      <c r="L291" s="327">
        <v>11639990.27</v>
      </c>
    </row>
    <row r="292" spans="1:12" ht="51" hidden="1" x14ac:dyDescent="0.3">
      <c r="A292" s="321" t="s">
        <v>36</v>
      </c>
      <c r="B292" s="322" t="s">
        <v>1172</v>
      </c>
      <c r="C292" s="322" t="s">
        <v>1178</v>
      </c>
      <c r="D292" s="322" t="s">
        <v>1174</v>
      </c>
      <c r="E292" s="323" t="s">
        <v>27</v>
      </c>
      <c r="F292" s="324">
        <v>45918.720000000001</v>
      </c>
      <c r="G292" s="324"/>
      <c r="H292" s="323" t="s">
        <v>28</v>
      </c>
      <c r="I292" s="325" t="s">
        <v>29</v>
      </c>
      <c r="J292" s="325"/>
      <c r="K292" s="326" t="s">
        <v>22</v>
      </c>
      <c r="L292" s="327">
        <v>11685908.99</v>
      </c>
    </row>
    <row r="293" spans="1:12" ht="51" hidden="1" x14ac:dyDescent="0.3">
      <c r="A293" s="321" t="s">
        <v>36</v>
      </c>
      <c r="B293" s="322" t="s">
        <v>1172</v>
      </c>
      <c r="C293" s="322" t="s">
        <v>1179</v>
      </c>
      <c r="D293" s="322" t="s">
        <v>1174</v>
      </c>
      <c r="E293" s="323" t="s">
        <v>27</v>
      </c>
      <c r="F293" s="324">
        <v>230400</v>
      </c>
      <c r="G293" s="324"/>
      <c r="H293" s="323" t="s">
        <v>28</v>
      </c>
      <c r="I293" s="325" t="s">
        <v>29</v>
      </c>
      <c r="J293" s="325"/>
      <c r="K293" s="326" t="s">
        <v>22</v>
      </c>
      <c r="L293" s="327">
        <v>11916308.99</v>
      </c>
    </row>
    <row r="294" spans="1:12" ht="51" hidden="1" x14ac:dyDescent="0.3">
      <c r="A294" s="321" t="s">
        <v>36</v>
      </c>
      <c r="B294" s="322" t="s">
        <v>1172</v>
      </c>
      <c r="C294" s="322" t="s">
        <v>1180</v>
      </c>
      <c r="D294" s="322" t="s">
        <v>1174</v>
      </c>
      <c r="E294" s="323" t="s">
        <v>27</v>
      </c>
      <c r="F294" s="324">
        <v>3746.11</v>
      </c>
      <c r="G294" s="324"/>
      <c r="H294" s="323" t="s">
        <v>28</v>
      </c>
      <c r="I294" s="325" t="s">
        <v>29</v>
      </c>
      <c r="J294" s="325"/>
      <c r="K294" s="326" t="s">
        <v>22</v>
      </c>
      <c r="L294" s="327">
        <v>11920055.1</v>
      </c>
    </row>
    <row r="295" spans="1:12" ht="51" hidden="1" x14ac:dyDescent="0.3">
      <c r="A295" s="321" t="s">
        <v>36</v>
      </c>
      <c r="B295" s="322" t="s">
        <v>1172</v>
      </c>
      <c r="C295" s="322" t="s">
        <v>1181</v>
      </c>
      <c r="D295" s="322" t="s">
        <v>1174</v>
      </c>
      <c r="E295" s="323" t="s">
        <v>27</v>
      </c>
      <c r="F295" s="324">
        <v>7286.02</v>
      </c>
      <c r="G295" s="324"/>
      <c r="H295" s="323" t="s">
        <v>28</v>
      </c>
      <c r="I295" s="325" t="s">
        <v>29</v>
      </c>
      <c r="J295" s="325"/>
      <c r="K295" s="326" t="s">
        <v>22</v>
      </c>
      <c r="L295" s="327">
        <v>11927341.119999999</v>
      </c>
    </row>
    <row r="296" spans="1:12" ht="51" hidden="1" x14ac:dyDescent="0.3">
      <c r="A296" s="321" t="s">
        <v>36</v>
      </c>
      <c r="B296" s="322" t="s">
        <v>1182</v>
      </c>
      <c r="C296" s="322" t="s">
        <v>1173</v>
      </c>
      <c r="D296" s="322" t="s">
        <v>1174</v>
      </c>
      <c r="E296" s="323" t="s">
        <v>27</v>
      </c>
      <c r="F296" s="324">
        <v>3596.94</v>
      </c>
      <c r="G296" s="324"/>
      <c r="H296" s="323" t="s">
        <v>28</v>
      </c>
      <c r="I296" s="325" t="s">
        <v>29</v>
      </c>
      <c r="J296" s="325"/>
      <c r="K296" s="326" t="s">
        <v>22</v>
      </c>
      <c r="L296" s="327">
        <v>11930938.060000001</v>
      </c>
    </row>
    <row r="297" spans="1:12" ht="51" hidden="1" x14ac:dyDescent="0.3">
      <c r="A297" s="321" t="s">
        <v>36</v>
      </c>
      <c r="B297" s="322" t="s">
        <v>1182</v>
      </c>
      <c r="C297" s="322" t="s">
        <v>1175</v>
      </c>
      <c r="D297" s="322" t="s">
        <v>1174</v>
      </c>
      <c r="E297" s="323" t="s">
        <v>27</v>
      </c>
      <c r="F297" s="328">
        <v>311.89999999999998</v>
      </c>
      <c r="G297" s="328"/>
      <c r="H297" s="323" t="s">
        <v>28</v>
      </c>
      <c r="I297" s="325" t="s">
        <v>29</v>
      </c>
      <c r="J297" s="325"/>
      <c r="K297" s="326" t="s">
        <v>22</v>
      </c>
      <c r="L297" s="327">
        <v>11931249.960000001</v>
      </c>
    </row>
    <row r="298" spans="1:12" ht="51" hidden="1" x14ac:dyDescent="0.3">
      <c r="A298" s="321" t="s">
        <v>36</v>
      </c>
      <c r="B298" s="322" t="s">
        <v>1182</v>
      </c>
      <c r="C298" s="322" t="s">
        <v>1176</v>
      </c>
      <c r="D298" s="322" t="s">
        <v>1174</v>
      </c>
      <c r="E298" s="323" t="s">
        <v>27</v>
      </c>
      <c r="F298" s="324">
        <v>1173.73</v>
      </c>
      <c r="G298" s="324"/>
      <c r="H298" s="323" t="s">
        <v>28</v>
      </c>
      <c r="I298" s="325" t="s">
        <v>29</v>
      </c>
      <c r="J298" s="325"/>
      <c r="K298" s="326" t="s">
        <v>22</v>
      </c>
      <c r="L298" s="327">
        <v>11932423.689999999</v>
      </c>
    </row>
    <row r="299" spans="1:12" ht="51" hidden="1" x14ac:dyDescent="0.3">
      <c r="A299" s="321" t="s">
        <v>36</v>
      </c>
      <c r="B299" s="322" t="s">
        <v>1182</v>
      </c>
      <c r="C299" s="322" t="s">
        <v>1177</v>
      </c>
      <c r="D299" s="322" t="s">
        <v>1174</v>
      </c>
      <c r="E299" s="323" t="s">
        <v>27</v>
      </c>
      <c r="F299" s="328">
        <v>374.28</v>
      </c>
      <c r="G299" s="328"/>
      <c r="H299" s="323" t="s">
        <v>28</v>
      </c>
      <c r="I299" s="325" t="s">
        <v>29</v>
      </c>
      <c r="J299" s="325"/>
      <c r="K299" s="326" t="s">
        <v>22</v>
      </c>
      <c r="L299" s="327">
        <v>11932797.970000001</v>
      </c>
    </row>
    <row r="300" spans="1:12" ht="51" hidden="1" x14ac:dyDescent="0.3">
      <c r="A300" s="321" t="s">
        <v>36</v>
      </c>
      <c r="B300" s="322" t="s">
        <v>1182</v>
      </c>
      <c r="C300" s="322" t="s">
        <v>1178</v>
      </c>
      <c r="D300" s="322" t="s">
        <v>1174</v>
      </c>
      <c r="E300" s="323" t="s">
        <v>27</v>
      </c>
      <c r="F300" s="324">
        <v>1871.39</v>
      </c>
      <c r="G300" s="324"/>
      <c r="H300" s="323" t="s">
        <v>28</v>
      </c>
      <c r="I300" s="325" t="s">
        <v>29</v>
      </c>
      <c r="J300" s="325"/>
      <c r="K300" s="326" t="s">
        <v>22</v>
      </c>
      <c r="L300" s="327">
        <v>11934669.359999999</v>
      </c>
    </row>
    <row r="301" spans="1:12" ht="51" hidden="1" x14ac:dyDescent="0.3">
      <c r="A301" s="321" t="s">
        <v>36</v>
      </c>
      <c r="B301" s="322" t="s">
        <v>1182</v>
      </c>
      <c r="C301" s="322" t="s">
        <v>1179</v>
      </c>
      <c r="D301" s="322" t="s">
        <v>1174</v>
      </c>
      <c r="E301" s="323" t="s">
        <v>27</v>
      </c>
      <c r="F301" s="324">
        <v>9389.82</v>
      </c>
      <c r="G301" s="324"/>
      <c r="H301" s="323" t="s">
        <v>28</v>
      </c>
      <c r="I301" s="325" t="s">
        <v>29</v>
      </c>
      <c r="J301" s="325"/>
      <c r="K301" s="326" t="s">
        <v>22</v>
      </c>
      <c r="L301" s="327">
        <v>11944059.18</v>
      </c>
    </row>
    <row r="302" spans="1:12" ht="51" hidden="1" x14ac:dyDescent="0.3">
      <c r="A302" s="321" t="s">
        <v>36</v>
      </c>
      <c r="B302" s="322" t="s">
        <v>1182</v>
      </c>
      <c r="C302" s="322" t="s">
        <v>1180</v>
      </c>
      <c r="D302" s="322" t="s">
        <v>1174</v>
      </c>
      <c r="E302" s="323" t="s">
        <v>27</v>
      </c>
      <c r="F302" s="328">
        <v>152.66999999999999</v>
      </c>
      <c r="G302" s="328"/>
      <c r="H302" s="323" t="s">
        <v>28</v>
      </c>
      <c r="I302" s="325" t="s">
        <v>29</v>
      </c>
      <c r="J302" s="325"/>
      <c r="K302" s="326" t="s">
        <v>22</v>
      </c>
      <c r="L302" s="327">
        <v>11944211.85</v>
      </c>
    </row>
    <row r="303" spans="1:12" ht="51" hidden="1" x14ac:dyDescent="0.3">
      <c r="A303" s="321" t="s">
        <v>36</v>
      </c>
      <c r="B303" s="322" t="s">
        <v>1182</v>
      </c>
      <c r="C303" s="322" t="s">
        <v>1181</v>
      </c>
      <c r="D303" s="322" t="s">
        <v>1174</v>
      </c>
      <c r="E303" s="323" t="s">
        <v>27</v>
      </c>
      <c r="F303" s="328">
        <v>296.94</v>
      </c>
      <c r="G303" s="328"/>
      <c r="H303" s="323" t="s">
        <v>28</v>
      </c>
      <c r="I303" s="325" t="s">
        <v>29</v>
      </c>
      <c r="J303" s="325"/>
      <c r="K303" s="326" t="s">
        <v>22</v>
      </c>
      <c r="L303" s="327">
        <v>11944508.789999999</v>
      </c>
    </row>
    <row r="304" spans="1:12" ht="51" hidden="1" x14ac:dyDescent="0.3">
      <c r="A304" s="321" t="s">
        <v>47</v>
      </c>
      <c r="B304" s="322" t="s">
        <v>259</v>
      </c>
      <c r="C304" s="322" t="s">
        <v>260</v>
      </c>
      <c r="D304" s="322" t="s">
        <v>251</v>
      </c>
      <c r="E304" s="323" t="s">
        <v>27</v>
      </c>
      <c r="F304" s="324">
        <v>16664.63</v>
      </c>
      <c r="G304" s="324"/>
      <c r="H304" s="323" t="s">
        <v>27</v>
      </c>
      <c r="I304" s="325" t="s">
        <v>29</v>
      </c>
      <c r="J304" s="325"/>
      <c r="K304" s="326" t="s">
        <v>22</v>
      </c>
      <c r="L304" s="327">
        <v>11961173.42</v>
      </c>
    </row>
    <row r="305" spans="1:12" ht="51" x14ac:dyDescent="0.3">
      <c r="A305" s="321" t="s">
        <v>47</v>
      </c>
      <c r="B305" s="322" t="s">
        <v>1183</v>
      </c>
      <c r="C305" s="322" t="s">
        <v>174</v>
      </c>
      <c r="D305" s="322" t="s">
        <v>260</v>
      </c>
      <c r="E305" s="323" t="s">
        <v>175</v>
      </c>
      <c r="F305" s="329" t="s">
        <v>29</v>
      </c>
      <c r="G305" s="329"/>
      <c r="H305" s="323" t="s">
        <v>27</v>
      </c>
      <c r="I305" s="330">
        <v>16664.63</v>
      </c>
      <c r="J305" s="330"/>
      <c r="K305" s="326" t="s">
        <v>22</v>
      </c>
      <c r="L305" s="327">
        <v>11944508.789999999</v>
      </c>
    </row>
    <row r="306" spans="1:12" ht="51" x14ac:dyDescent="0.3">
      <c r="A306" s="321" t="s">
        <v>47</v>
      </c>
      <c r="B306" s="322" t="s">
        <v>1183</v>
      </c>
      <c r="C306" s="322" t="s">
        <v>174</v>
      </c>
      <c r="D306" s="322" t="s">
        <v>1184</v>
      </c>
      <c r="E306" s="323" t="s">
        <v>175</v>
      </c>
      <c r="F306" s="329" t="s">
        <v>29</v>
      </c>
      <c r="G306" s="329"/>
      <c r="H306" s="323" t="s">
        <v>27</v>
      </c>
      <c r="I306" s="330">
        <v>19705.28</v>
      </c>
      <c r="J306" s="330"/>
      <c r="K306" s="326" t="s">
        <v>22</v>
      </c>
      <c r="L306" s="327">
        <v>11924803.51</v>
      </c>
    </row>
    <row r="307" spans="1:12" ht="51" x14ac:dyDescent="0.3">
      <c r="A307" s="321" t="s">
        <v>47</v>
      </c>
      <c r="B307" s="322" t="s">
        <v>1183</v>
      </c>
      <c r="C307" s="322" t="s">
        <v>174</v>
      </c>
      <c r="D307" s="322" t="s">
        <v>1185</v>
      </c>
      <c r="E307" s="323" t="s">
        <v>175</v>
      </c>
      <c r="F307" s="329" t="s">
        <v>29</v>
      </c>
      <c r="G307" s="329"/>
      <c r="H307" s="323" t="s">
        <v>27</v>
      </c>
      <c r="I307" s="330">
        <v>6681.96</v>
      </c>
      <c r="J307" s="330"/>
      <c r="K307" s="326" t="s">
        <v>22</v>
      </c>
      <c r="L307" s="327">
        <v>11918121.550000001</v>
      </c>
    </row>
    <row r="308" spans="1:12" ht="51" x14ac:dyDescent="0.3">
      <c r="A308" s="321" t="s">
        <v>47</v>
      </c>
      <c r="B308" s="322" t="s">
        <v>1183</v>
      </c>
      <c r="C308" s="322" t="s">
        <v>174</v>
      </c>
      <c r="D308" s="322" t="s">
        <v>1186</v>
      </c>
      <c r="E308" s="323" t="s">
        <v>175</v>
      </c>
      <c r="F308" s="329" t="s">
        <v>29</v>
      </c>
      <c r="G308" s="329"/>
      <c r="H308" s="323" t="s">
        <v>27</v>
      </c>
      <c r="I308" s="331">
        <v>908.66</v>
      </c>
      <c r="J308" s="331"/>
      <c r="K308" s="326" t="s">
        <v>22</v>
      </c>
      <c r="L308" s="327">
        <v>11917212.890000001</v>
      </c>
    </row>
    <row r="309" spans="1:12" ht="51" hidden="1" x14ac:dyDescent="0.3">
      <c r="A309" s="321" t="s">
        <v>47</v>
      </c>
      <c r="B309" s="322" t="s">
        <v>1187</v>
      </c>
      <c r="C309" s="322" t="s">
        <v>1188</v>
      </c>
      <c r="D309" s="322" t="s">
        <v>1167</v>
      </c>
      <c r="E309" s="323" t="s">
        <v>27</v>
      </c>
      <c r="F309" s="324">
        <v>635100</v>
      </c>
      <c r="G309" s="324"/>
      <c r="H309" s="323" t="s">
        <v>28</v>
      </c>
      <c r="I309" s="325" t="s">
        <v>29</v>
      </c>
      <c r="J309" s="325"/>
      <c r="K309" s="326" t="s">
        <v>22</v>
      </c>
      <c r="L309" s="327">
        <v>12552312.890000001</v>
      </c>
    </row>
    <row r="310" spans="1:12" ht="51" hidden="1" x14ac:dyDescent="0.3">
      <c r="A310" s="321" t="s">
        <v>104</v>
      </c>
      <c r="B310" s="322" t="s">
        <v>1189</v>
      </c>
      <c r="C310" s="322" t="s">
        <v>1190</v>
      </c>
      <c r="D310" s="322" t="s">
        <v>1191</v>
      </c>
      <c r="E310" s="323" t="s">
        <v>27</v>
      </c>
      <c r="F310" s="328">
        <v>558</v>
      </c>
      <c r="G310" s="328"/>
      <c r="H310" s="323" t="s">
        <v>28</v>
      </c>
      <c r="I310" s="325" t="s">
        <v>29</v>
      </c>
      <c r="J310" s="325"/>
      <c r="K310" s="326" t="s">
        <v>22</v>
      </c>
      <c r="L310" s="327">
        <v>12552870.890000001</v>
      </c>
    </row>
    <row r="311" spans="1:12" ht="51" hidden="1" x14ac:dyDescent="0.3">
      <c r="A311" s="321" t="s">
        <v>104</v>
      </c>
      <c r="B311" s="322" t="s">
        <v>1192</v>
      </c>
      <c r="C311" s="322" t="s">
        <v>1193</v>
      </c>
      <c r="D311" s="322" t="s">
        <v>1167</v>
      </c>
      <c r="E311" s="323" t="s">
        <v>27</v>
      </c>
      <c r="F311" s="324">
        <v>299109.71999999997</v>
      </c>
      <c r="G311" s="324"/>
      <c r="H311" s="323" t="s">
        <v>28</v>
      </c>
      <c r="I311" s="325" t="s">
        <v>29</v>
      </c>
      <c r="J311" s="325"/>
      <c r="K311" s="326" t="s">
        <v>22</v>
      </c>
      <c r="L311" s="327">
        <v>12851980.609999999</v>
      </c>
    </row>
    <row r="312" spans="1:12" ht="51" hidden="1" x14ac:dyDescent="0.3">
      <c r="A312" s="321" t="s">
        <v>104</v>
      </c>
      <c r="B312" s="322" t="s">
        <v>1194</v>
      </c>
      <c r="C312" s="322" t="s">
        <v>1195</v>
      </c>
      <c r="D312" s="322" t="s">
        <v>1167</v>
      </c>
      <c r="E312" s="323" t="s">
        <v>27</v>
      </c>
      <c r="F312" s="324">
        <v>36671.199999999997</v>
      </c>
      <c r="G312" s="324"/>
      <c r="H312" s="323" t="s">
        <v>28</v>
      </c>
      <c r="I312" s="325" t="s">
        <v>29</v>
      </c>
      <c r="J312" s="325"/>
      <c r="K312" s="326" t="s">
        <v>22</v>
      </c>
      <c r="L312" s="327">
        <v>12888651.810000001</v>
      </c>
    </row>
    <row r="313" spans="1:12" ht="51" hidden="1" x14ac:dyDescent="0.3">
      <c r="A313" s="321" t="s">
        <v>104</v>
      </c>
      <c r="B313" s="322" t="s">
        <v>1194</v>
      </c>
      <c r="C313" s="322" t="s">
        <v>1196</v>
      </c>
      <c r="D313" s="322" t="s">
        <v>1167</v>
      </c>
      <c r="E313" s="323" t="s">
        <v>27</v>
      </c>
      <c r="F313" s="324">
        <v>136440.95999999999</v>
      </c>
      <c r="G313" s="324"/>
      <c r="H313" s="323" t="s">
        <v>28</v>
      </c>
      <c r="I313" s="325" t="s">
        <v>29</v>
      </c>
      <c r="J313" s="325"/>
      <c r="K313" s="326" t="s">
        <v>22</v>
      </c>
      <c r="L313" s="327">
        <v>13025092.77</v>
      </c>
    </row>
    <row r="314" spans="1:12" ht="51" hidden="1" x14ac:dyDescent="0.3">
      <c r="A314" s="321" t="s">
        <v>104</v>
      </c>
      <c r="B314" s="322" t="s">
        <v>1197</v>
      </c>
      <c r="C314" s="322" t="s">
        <v>1195</v>
      </c>
      <c r="D314" s="322" t="s">
        <v>1167</v>
      </c>
      <c r="E314" s="323" t="s">
        <v>27</v>
      </c>
      <c r="F314" s="324">
        <v>3530.58</v>
      </c>
      <c r="G314" s="324"/>
      <c r="H314" s="323" t="s">
        <v>28</v>
      </c>
      <c r="I314" s="325" t="s">
        <v>29</v>
      </c>
      <c r="J314" s="325"/>
      <c r="K314" s="326" t="s">
        <v>22</v>
      </c>
      <c r="L314" s="327">
        <v>13028623.35</v>
      </c>
    </row>
    <row r="315" spans="1:12" ht="51" hidden="1" x14ac:dyDescent="0.3">
      <c r="A315" s="321" t="s">
        <v>104</v>
      </c>
      <c r="B315" s="322" t="s">
        <v>1197</v>
      </c>
      <c r="C315" s="322" t="s">
        <v>1196</v>
      </c>
      <c r="D315" s="322" t="s">
        <v>1167</v>
      </c>
      <c r="E315" s="323" t="s">
        <v>27</v>
      </c>
      <c r="F315" s="324">
        <v>13136.09</v>
      </c>
      <c r="G315" s="324"/>
      <c r="H315" s="323" t="s">
        <v>28</v>
      </c>
      <c r="I315" s="325" t="s">
        <v>29</v>
      </c>
      <c r="J315" s="325"/>
      <c r="K315" s="326" t="s">
        <v>22</v>
      </c>
      <c r="L315" s="327">
        <v>13041759.439999999</v>
      </c>
    </row>
    <row r="316" spans="1:12" ht="51" hidden="1" x14ac:dyDescent="0.3">
      <c r="A316" s="321" t="s">
        <v>104</v>
      </c>
      <c r="B316" s="322" t="s">
        <v>1198</v>
      </c>
      <c r="C316" s="322" t="s">
        <v>1199</v>
      </c>
      <c r="D316" s="322" t="s">
        <v>1174</v>
      </c>
      <c r="E316" s="323" t="s">
        <v>27</v>
      </c>
      <c r="F316" s="324">
        <v>155700</v>
      </c>
      <c r="G316" s="324"/>
      <c r="H316" s="323" t="s">
        <v>28</v>
      </c>
      <c r="I316" s="325" t="s">
        <v>29</v>
      </c>
      <c r="J316" s="325"/>
      <c r="K316" s="326" t="s">
        <v>22</v>
      </c>
      <c r="L316" s="327">
        <v>13197459.439999999</v>
      </c>
    </row>
    <row r="317" spans="1:12" ht="61.2" hidden="1" x14ac:dyDescent="0.3">
      <c r="A317" s="321" t="s">
        <v>104</v>
      </c>
      <c r="B317" s="322" t="s">
        <v>1198</v>
      </c>
      <c r="C317" s="322" t="s">
        <v>1200</v>
      </c>
      <c r="D317" s="322" t="s">
        <v>1174</v>
      </c>
      <c r="E317" s="323" t="s">
        <v>27</v>
      </c>
      <c r="F317" s="324">
        <v>203114.88</v>
      </c>
      <c r="G317" s="324"/>
      <c r="H317" s="323" t="s">
        <v>28</v>
      </c>
      <c r="I317" s="325" t="s">
        <v>29</v>
      </c>
      <c r="J317" s="325"/>
      <c r="K317" s="326" t="s">
        <v>22</v>
      </c>
      <c r="L317" s="327">
        <v>13400574.32</v>
      </c>
    </row>
    <row r="318" spans="1:12" ht="51" hidden="1" x14ac:dyDescent="0.3">
      <c r="A318" s="321" t="s">
        <v>104</v>
      </c>
      <c r="B318" s="322" t="s">
        <v>1201</v>
      </c>
      <c r="C318" s="322" t="s">
        <v>1199</v>
      </c>
      <c r="D318" s="322" t="s">
        <v>1174</v>
      </c>
      <c r="E318" s="323" t="s">
        <v>27</v>
      </c>
      <c r="F318" s="324">
        <v>7232.14</v>
      </c>
      <c r="G318" s="324"/>
      <c r="H318" s="323" t="s">
        <v>28</v>
      </c>
      <c r="I318" s="325" t="s">
        <v>29</v>
      </c>
      <c r="J318" s="325"/>
      <c r="K318" s="326" t="s">
        <v>22</v>
      </c>
      <c r="L318" s="327">
        <v>13407806.460000001</v>
      </c>
    </row>
    <row r="319" spans="1:12" ht="61.2" hidden="1" x14ac:dyDescent="0.3">
      <c r="A319" s="321" t="s">
        <v>104</v>
      </c>
      <c r="B319" s="322" t="s">
        <v>1201</v>
      </c>
      <c r="C319" s="322" t="s">
        <v>1200</v>
      </c>
      <c r="D319" s="322" t="s">
        <v>1174</v>
      </c>
      <c r="E319" s="323" t="s">
        <v>27</v>
      </c>
      <c r="F319" s="324">
        <v>9434.5300000000007</v>
      </c>
      <c r="G319" s="324"/>
      <c r="H319" s="323" t="s">
        <v>28</v>
      </c>
      <c r="I319" s="325" t="s">
        <v>29</v>
      </c>
      <c r="J319" s="325"/>
      <c r="K319" s="326" t="s">
        <v>22</v>
      </c>
      <c r="L319" s="327">
        <v>13417240.99</v>
      </c>
    </row>
    <row r="320" spans="1:12" ht="51" hidden="1" x14ac:dyDescent="0.3">
      <c r="A320" s="321" t="s">
        <v>264</v>
      </c>
      <c r="B320" s="322" t="s">
        <v>272</v>
      </c>
      <c r="C320" s="322" t="s">
        <v>273</v>
      </c>
      <c r="D320" s="322" t="s">
        <v>266</v>
      </c>
      <c r="E320" s="323" t="s">
        <v>27</v>
      </c>
      <c r="F320" s="324">
        <v>10029.24</v>
      </c>
      <c r="G320" s="324"/>
      <c r="H320" s="323" t="s">
        <v>27</v>
      </c>
      <c r="I320" s="325" t="s">
        <v>29</v>
      </c>
      <c r="J320" s="325"/>
      <c r="K320" s="326" t="s">
        <v>22</v>
      </c>
      <c r="L320" s="327">
        <v>13427270.23</v>
      </c>
    </row>
    <row r="321" spans="1:12" ht="51" hidden="1" x14ac:dyDescent="0.3">
      <c r="A321" s="321" t="s">
        <v>108</v>
      </c>
      <c r="B321" s="322" t="s">
        <v>277</v>
      </c>
      <c r="C321" s="322" t="s">
        <v>278</v>
      </c>
      <c r="D321" s="322" t="s">
        <v>275</v>
      </c>
      <c r="E321" s="323" t="s">
        <v>27</v>
      </c>
      <c r="F321" s="324">
        <v>1750</v>
      </c>
      <c r="G321" s="324"/>
      <c r="H321" s="323" t="s">
        <v>27</v>
      </c>
      <c r="I321" s="325" t="s">
        <v>29</v>
      </c>
      <c r="J321" s="325"/>
      <c r="K321" s="326" t="s">
        <v>22</v>
      </c>
      <c r="L321" s="327">
        <v>13429020.23</v>
      </c>
    </row>
    <row r="322" spans="1:12" ht="51" hidden="1" x14ac:dyDescent="0.3">
      <c r="A322" s="321" t="s">
        <v>114</v>
      </c>
      <c r="B322" s="322" t="s">
        <v>1202</v>
      </c>
      <c r="C322" s="322" t="s">
        <v>1203</v>
      </c>
      <c r="D322" s="322" t="s">
        <v>1204</v>
      </c>
      <c r="E322" s="323" t="s">
        <v>27</v>
      </c>
      <c r="F322" s="324">
        <v>285476.89</v>
      </c>
      <c r="G322" s="324"/>
      <c r="H322" s="323" t="s">
        <v>28</v>
      </c>
      <c r="I322" s="325" t="s">
        <v>29</v>
      </c>
      <c r="J322" s="325"/>
      <c r="K322" s="326" t="s">
        <v>22</v>
      </c>
      <c r="L322" s="327">
        <v>13714497.119999999</v>
      </c>
    </row>
    <row r="323" spans="1:12" ht="51" hidden="1" x14ac:dyDescent="0.3">
      <c r="A323" s="321" t="s">
        <v>114</v>
      </c>
      <c r="B323" s="322" t="s">
        <v>1202</v>
      </c>
      <c r="C323" s="322" t="s">
        <v>1205</v>
      </c>
      <c r="D323" s="322" t="s">
        <v>1204</v>
      </c>
      <c r="E323" s="323" t="s">
        <v>27</v>
      </c>
      <c r="F323" s="324">
        <v>60266.27</v>
      </c>
      <c r="G323" s="324"/>
      <c r="H323" s="323" t="s">
        <v>28</v>
      </c>
      <c r="I323" s="325" t="s">
        <v>29</v>
      </c>
      <c r="J323" s="325"/>
      <c r="K323" s="326" t="s">
        <v>22</v>
      </c>
      <c r="L323" s="327">
        <v>13774763.390000001</v>
      </c>
    </row>
    <row r="324" spans="1:12" ht="51" hidden="1" x14ac:dyDescent="0.3">
      <c r="A324" s="321" t="s">
        <v>114</v>
      </c>
      <c r="B324" s="322" t="s">
        <v>1202</v>
      </c>
      <c r="C324" s="322" t="s">
        <v>1206</v>
      </c>
      <c r="D324" s="322" t="s">
        <v>1204</v>
      </c>
      <c r="E324" s="323" t="s">
        <v>27</v>
      </c>
      <c r="F324" s="324">
        <v>37114.39</v>
      </c>
      <c r="G324" s="324"/>
      <c r="H324" s="323" t="s">
        <v>28</v>
      </c>
      <c r="I324" s="325" t="s">
        <v>29</v>
      </c>
      <c r="J324" s="325"/>
      <c r="K324" s="326" t="s">
        <v>22</v>
      </c>
      <c r="L324" s="327">
        <v>13811877.779999999</v>
      </c>
    </row>
    <row r="325" spans="1:12" ht="51" hidden="1" x14ac:dyDescent="0.3">
      <c r="A325" s="321" t="s">
        <v>114</v>
      </c>
      <c r="B325" s="322" t="s">
        <v>1202</v>
      </c>
      <c r="C325" s="322" t="s">
        <v>1207</v>
      </c>
      <c r="D325" s="322" t="s">
        <v>1204</v>
      </c>
      <c r="E325" s="323" t="s">
        <v>27</v>
      </c>
      <c r="F325" s="324">
        <v>202442.1</v>
      </c>
      <c r="G325" s="324"/>
      <c r="H325" s="323" t="s">
        <v>28</v>
      </c>
      <c r="I325" s="325" t="s">
        <v>29</v>
      </c>
      <c r="J325" s="325"/>
      <c r="K325" s="326" t="s">
        <v>22</v>
      </c>
      <c r="L325" s="327">
        <v>14014319.880000001</v>
      </c>
    </row>
    <row r="326" spans="1:12" ht="51" hidden="1" x14ac:dyDescent="0.3">
      <c r="A326" s="321" t="s">
        <v>114</v>
      </c>
      <c r="B326" s="322" t="s">
        <v>293</v>
      </c>
      <c r="C326" s="322" t="s">
        <v>294</v>
      </c>
      <c r="D326" s="322" t="s">
        <v>292</v>
      </c>
      <c r="E326" s="323" t="s">
        <v>27</v>
      </c>
      <c r="F326" s="324">
        <v>14553</v>
      </c>
      <c r="G326" s="324"/>
      <c r="H326" s="323" t="s">
        <v>27</v>
      </c>
      <c r="I326" s="325" t="s">
        <v>29</v>
      </c>
      <c r="J326" s="325"/>
      <c r="K326" s="326" t="s">
        <v>22</v>
      </c>
      <c r="L326" s="327">
        <v>14028872.880000001</v>
      </c>
    </row>
    <row r="327" spans="1:12" ht="51" hidden="1" x14ac:dyDescent="0.3">
      <c r="A327" s="321" t="s">
        <v>114</v>
      </c>
      <c r="B327" s="322" t="s">
        <v>300</v>
      </c>
      <c r="C327" s="322" t="s">
        <v>301</v>
      </c>
      <c r="D327" s="322" t="s">
        <v>280</v>
      </c>
      <c r="E327" s="323" t="s">
        <v>27</v>
      </c>
      <c r="F327" s="324">
        <v>1922.23</v>
      </c>
      <c r="G327" s="324"/>
      <c r="H327" s="323" t="s">
        <v>27</v>
      </c>
      <c r="I327" s="325" t="s">
        <v>29</v>
      </c>
      <c r="J327" s="325"/>
      <c r="K327" s="326" t="s">
        <v>22</v>
      </c>
      <c r="L327" s="327">
        <v>14030795.109999999</v>
      </c>
    </row>
    <row r="328" spans="1:12" ht="51" hidden="1" x14ac:dyDescent="0.3">
      <c r="A328" s="321" t="s">
        <v>114</v>
      </c>
      <c r="B328" s="322" t="s">
        <v>300</v>
      </c>
      <c r="C328" s="322" t="s">
        <v>302</v>
      </c>
      <c r="D328" s="322" t="s">
        <v>201</v>
      </c>
      <c r="E328" s="323" t="s">
        <v>27</v>
      </c>
      <c r="F328" s="324">
        <v>57804.28</v>
      </c>
      <c r="G328" s="324"/>
      <c r="H328" s="323" t="s">
        <v>27</v>
      </c>
      <c r="I328" s="325" t="s">
        <v>29</v>
      </c>
      <c r="J328" s="325"/>
      <c r="K328" s="326" t="s">
        <v>22</v>
      </c>
      <c r="L328" s="327">
        <v>14088599.390000001</v>
      </c>
    </row>
    <row r="329" spans="1:12" ht="51" hidden="1" x14ac:dyDescent="0.3">
      <c r="A329" s="321" t="s">
        <v>55</v>
      </c>
      <c r="B329" s="322" t="s">
        <v>1208</v>
      </c>
      <c r="C329" s="322" t="s">
        <v>1209</v>
      </c>
      <c r="D329" s="322" t="s">
        <v>123</v>
      </c>
      <c r="E329" s="323" t="s">
        <v>27</v>
      </c>
      <c r="F329" s="328">
        <v>333.33</v>
      </c>
      <c r="G329" s="328"/>
      <c r="H329" s="323" t="s">
        <v>28</v>
      </c>
      <c r="I329" s="325" t="s">
        <v>29</v>
      </c>
      <c r="J329" s="325"/>
      <c r="K329" s="326" t="s">
        <v>22</v>
      </c>
      <c r="L329" s="327">
        <v>14088932.720000001</v>
      </c>
    </row>
    <row r="330" spans="1:12" ht="51" hidden="1" x14ac:dyDescent="0.3">
      <c r="A330" s="321" t="s">
        <v>55</v>
      </c>
      <c r="B330" s="322" t="s">
        <v>1208</v>
      </c>
      <c r="C330" s="322" t="s">
        <v>1210</v>
      </c>
      <c r="D330" s="322" t="s">
        <v>123</v>
      </c>
      <c r="E330" s="323" t="s">
        <v>27</v>
      </c>
      <c r="F330" s="324">
        <v>12500</v>
      </c>
      <c r="G330" s="324"/>
      <c r="H330" s="323" t="s">
        <v>28</v>
      </c>
      <c r="I330" s="325" t="s">
        <v>29</v>
      </c>
      <c r="J330" s="325"/>
      <c r="K330" s="326" t="s">
        <v>22</v>
      </c>
      <c r="L330" s="327">
        <v>14101432.720000001</v>
      </c>
    </row>
    <row r="331" spans="1:12" ht="61.2" hidden="1" x14ac:dyDescent="0.3">
      <c r="A331" s="321" t="s">
        <v>331</v>
      </c>
      <c r="B331" s="322" t="s">
        <v>1211</v>
      </c>
      <c r="C331" s="322" t="s">
        <v>1212</v>
      </c>
      <c r="D331" s="322" t="s">
        <v>1213</v>
      </c>
      <c r="E331" s="323" t="s">
        <v>27</v>
      </c>
      <c r="F331" s="324">
        <v>5680.5</v>
      </c>
      <c r="G331" s="324"/>
      <c r="H331" s="323" t="s">
        <v>28</v>
      </c>
      <c r="I331" s="325" t="s">
        <v>29</v>
      </c>
      <c r="J331" s="325"/>
      <c r="K331" s="326" t="s">
        <v>22</v>
      </c>
      <c r="L331" s="327">
        <v>14107113.220000001</v>
      </c>
    </row>
    <row r="332" spans="1:12" ht="61.2" hidden="1" x14ac:dyDescent="0.3">
      <c r="A332" s="321" t="s">
        <v>331</v>
      </c>
      <c r="B332" s="322" t="s">
        <v>1214</v>
      </c>
      <c r="C332" s="322" t="s">
        <v>1212</v>
      </c>
      <c r="D332" s="322" t="s">
        <v>1213</v>
      </c>
      <c r="E332" s="323" t="s">
        <v>27</v>
      </c>
      <c r="F332" s="324">
        <v>13254.5</v>
      </c>
      <c r="G332" s="324"/>
      <c r="H332" s="323" t="s">
        <v>28</v>
      </c>
      <c r="I332" s="325" t="s">
        <v>29</v>
      </c>
      <c r="J332" s="325"/>
      <c r="K332" s="326" t="s">
        <v>22</v>
      </c>
      <c r="L332" s="327">
        <v>14120367.720000001</v>
      </c>
    </row>
    <row r="333" spans="1:12" ht="71.400000000000006" hidden="1" x14ac:dyDescent="0.3">
      <c r="A333" s="321" t="s">
        <v>60</v>
      </c>
      <c r="B333" s="322" t="s">
        <v>700</v>
      </c>
      <c r="C333" s="322" t="s">
        <v>701</v>
      </c>
      <c r="D333" s="322" t="s">
        <v>702</v>
      </c>
      <c r="E333" s="323" t="s">
        <v>27</v>
      </c>
      <c r="F333" s="324">
        <v>1716</v>
      </c>
      <c r="G333" s="324"/>
      <c r="H333" s="323" t="s">
        <v>27</v>
      </c>
      <c r="I333" s="325" t="s">
        <v>29</v>
      </c>
      <c r="J333" s="325"/>
      <c r="K333" s="326" t="s">
        <v>22</v>
      </c>
      <c r="L333" s="327">
        <v>14122083.720000001</v>
      </c>
    </row>
    <row r="334" spans="1:12" ht="71.400000000000006" hidden="1" x14ac:dyDescent="0.3">
      <c r="A334" s="321" t="s">
        <v>60</v>
      </c>
      <c r="B334" s="322" t="s">
        <v>700</v>
      </c>
      <c r="C334" s="322" t="s">
        <v>703</v>
      </c>
      <c r="D334" s="322" t="s">
        <v>704</v>
      </c>
      <c r="E334" s="323" t="s">
        <v>27</v>
      </c>
      <c r="F334" s="324">
        <v>12270.83</v>
      </c>
      <c r="G334" s="324"/>
      <c r="H334" s="323" t="s">
        <v>27</v>
      </c>
      <c r="I334" s="325" t="s">
        <v>29</v>
      </c>
      <c r="J334" s="325"/>
      <c r="K334" s="326" t="s">
        <v>22</v>
      </c>
      <c r="L334" s="327">
        <v>14134354.550000001</v>
      </c>
    </row>
    <row r="335" spans="1:12" ht="51" hidden="1" x14ac:dyDescent="0.3">
      <c r="A335" s="321" t="s">
        <v>60</v>
      </c>
      <c r="B335" s="322" t="s">
        <v>339</v>
      </c>
      <c r="C335" s="322" t="s">
        <v>340</v>
      </c>
      <c r="D335" s="322" t="s">
        <v>212</v>
      </c>
      <c r="E335" s="323" t="s">
        <v>27</v>
      </c>
      <c r="F335" s="324">
        <v>3912.45</v>
      </c>
      <c r="G335" s="324"/>
      <c r="H335" s="323" t="s">
        <v>27</v>
      </c>
      <c r="I335" s="325" t="s">
        <v>29</v>
      </c>
      <c r="J335" s="325"/>
      <c r="K335" s="326" t="s">
        <v>22</v>
      </c>
      <c r="L335" s="327">
        <v>14138267</v>
      </c>
    </row>
    <row r="336" spans="1:12" ht="51" hidden="1" x14ac:dyDescent="0.3">
      <c r="A336" s="321" t="s">
        <v>60</v>
      </c>
      <c r="B336" s="322" t="s">
        <v>348</v>
      </c>
      <c r="C336" s="322" t="s">
        <v>349</v>
      </c>
      <c r="D336" s="322" t="s">
        <v>206</v>
      </c>
      <c r="E336" s="323" t="s">
        <v>27</v>
      </c>
      <c r="F336" s="324">
        <v>13791.5</v>
      </c>
      <c r="G336" s="324"/>
      <c r="H336" s="323" t="s">
        <v>27</v>
      </c>
      <c r="I336" s="325" t="s">
        <v>29</v>
      </c>
      <c r="J336" s="325"/>
      <c r="K336" s="326" t="s">
        <v>22</v>
      </c>
      <c r="L336" s="327">
        <v>14152058.5</v>
      </c>
    </row>
    <row r="337" spans="1:12" ht="61.2" hidden="1" x14ac:dyDescent="0.3">
      <c r="A337" s="321" t="s">
        <v>60</v>
      </c>
      <c r="B337" s="322" t="s">
        <v>350</v>
      </c>
      <c r="C337" s="322" t="s">
        <v>351</v>
      </c>
      <c r="D337" s="322" t="s">
        <v>346</v>
      </c>
      <c r="E337" s="323" t="s">
        <v>27</v>
      </c>
      <c r="F337" s="324">
        <v>10693.78</v>
      </c>
      <c r="G337" s="324"/>
      <c r="H337" s="323" t="s">
        <v>27</v>
      </c>
      <c r="I337" s="325" t="s">
        <v>29</v>
      </c>
      <c r="J337" s="325"/>
      <c r="K337" s="326" t="s">
        <v>22</v>
      </c>
      <c r="L337" s="327">
        <v>14162752.279999999</v>
      </c>
    </row>
    <row r="338" spans="1:12" ht="51" x14ac:dyDescent="0.3">
      <c r="A338" s="321" t="s">
        <v>60</v>
      </c>
      <c r="B338" s="322" t="s">
        <v>1215</v>
      </c>
      <c r="C338" s="322" t="s">
        <v>174</v>
      </c>
      <c r="D338" s="322" t="s">
        <v>1216</v>
      </c>
      <c r="E338" s="323" t="s">
        <v>175</v>
      </c>
      <c r="F338" s="329" t="s">
        <v>29</v>
      </c>
      <c r="G338" s="329"/>
      <c r="H338" s="323" t="s">
        <v>27</v>
      </c>
      <c r="I338" s="331">
        <v>938.57</v>
      </c>
      <c r="J338" s="331"/>
      <c r="K338" s="326" t="s">
        <v>22</v>
      </c>
      <c r="L338" s="327">
        <v>14161813.710000001</v>
      </c>
    </row>
    <row r="339" spans="1:12" ht="61.2" x14ac:dyDescent="0.3">
      <c r="A339" s="321" t="s">
        <v>60</v>
      </c>
      <c r="B339" s="322" t="s">
        <v>1217</v>
      </c>
      <c r="C339" s="322" t="s">
        <v>174</v>
      </c>
      <c r="D339" s="322" t="s">
        <v>701</v>
      </c>
      <c r="E339" s="323" t="s">
        <v>175</v>
      </c>
      <c r="F339" s="329" t="s">
        <v>29</v>
      </c>
      <c r="G339" s="329"/>
      <c r="H339" s="323" t="s">
        <v>27</v>
      </c>
      <c r="I339" s="330">
        <v>1716</v>
      </c>
      <c r="J339" s="330"/>
      <c r="K339" s="326" t="s">
        <v>22</v>
      </c>
      <c r="L339" s="327">
        <v>14160097.710000001</v>
      </c>
    </row>
    <row r="340" spans="1:12" ht="61.2" x14ac:dyDescent="0.3">
      <c r="A340" s="321" t="s">
        <v>60</v>
      </c>
      <c r="B340" s="322" t="s">
        <v>1217</v>
      </c>
      <c r="C340" s="322" t="s">
        <v>174</v>
      </c>
      <c r="D340" s="322" t="s">
        <v>703</v>
      </c>
      <c r="E340" s="323" t="s">
        <v>175</v>
      </c>
      <c r="F340" s="329" t="s">
        <v>29</v>
      </c>
      <c r="G340" s="329"/>
      <c r="H340" s="323" t="s">
        <v>27</v>
      </c>
      <c r="I340" s="330">
        <v>12270.83</v>
      </c>
      <c r="J340" s="330"/>
      <c r="K340" s="326" t="s">
        <v>22</v>
      </c>
      <c r="L340" s="327">
        <v>14147826.880000001</v>
      </c>
    </row>
    <row r="341" spans="1:12" ht="51" x14ac:dyDescent="0.3">
      <c r="A341" s="321" t="s">
        <v>60</v>
      </c>
      <c r="B341" s="322" t="s">
        <v>1217</v>
      </c>
      <c r="C341" s="322" t="s">
        <v>174</v>
      </c>
      <c r="D341" s="322" t="s">
        <v>1218</v>
      </c>
      <c r="E341" s="323" t="s">
        <v>175</v>
      </c>
      <c r="F341" s="329" t="s">
        <v>29</v>
      </c>
      <c r="G341" s="329"/>
      <c r="H341" s="323" t="s">
        <v>27</v>
      </c>
      <c r="I341" s="331">
        <v>691.45</v>
      </c>
      <c r="J341" s="331"/>
      <c r="K341" s="326" t="s">
        <v>22</v>
      </c>
      <c r="L341" s="327">
        <v>14147135.43</v>
      </c>
    </row>
    <row r="342" spans="1:12" ht="51" x14ac:dyDescent="0.3">
      <c r="A342" s="321" t="s">
        <v>60</v>
      </c>
      <c r="B342" s="322" t="s">
        <v>1217</v>
      </c>
      <c r="C342" s="322" t="s">
        <v>174</v>
      </c>
      <c r="D342" s="322" t="s">
        <v>1219</v>
      </c>
      <c r="E342" s="323" t="s">
        <v>175</v>
      </c>
      <c r="F342" s="329" t="s">
        <v>29</v>
      </c>
      <c r="G342" s="329"/>
      <c r="H342" s="323" t="s">
        <v>27</v>
      </c>
      <c r="I342" s="330">
        <v>12962.16</v>
      </c>
      <c r="J342" s="330"/>
      <c r="K342" s="326" t="s">
        <v>22</v>
      </c>
      <c r="L342" s="327">
        <v>14134173.27</v>
      </c>
    </row>
    <row r="343" spans="1:12" ht="51" x14ac:dyDescent="0.3">
      <c r="A343" s="321" t="s">
        <v>60</v>
      </c>
      <c r="B343" s="322" t="s">
        <v>1217</v>
      </c>
      <c r="C343" s="322" t="s">
        <v>174</v>
      </c>
      <c r="D343" s="322" t="s">
        <v>1184</v>
      </c>
      <c r="E343" s="323" t="s">
        <v>175</v>
      </c>
      <c r="F343" s="329" t="s">
        <v>29</v>
      </c>
      <c r="G343" s="329"/>
      <c r="H343" s="323" t="s">
        <v>27</v>
      </c>
      <c r="I343" s="330">
        <v>27272.42</v>
      </c>
      <c r="J343" s="330"/>
      <c r="K343" s="326" t="s">
        <v>22</v>
      </c>
      <c r="L343" s="327">
        <v>14106900.85</v>
      </c>
    </row>
    <row r="344" spans="1:12" ht="51" x14ac:dyDescent="0.3">
      <c r="A344" s="321" t="s">
        <v>60</v>
      </c>
      <c r="B344" s="322" t="s">
        <v>1217</v>
      </c>
      <c r="C344" s="322" t="s">
        <v>174</v>
      </c>
      <c r="D344" s="322" t="s">
        <v>240</v>
      </c>
      <c r="E344" s="323" t="s">
        <v>175</v>
      </c>
      <c r="F344" s="329" t="s">
        <v>29</v>
      </c>
      <c r="G344" s="329"/>
      <c r="H344" s="323" t="s">
        <v>27</v>
      </c>
      <c r="I344" s="330">
        <v>27231.03</v>
      </c>
      <c r="J344" s="330"/>
      <c r="K344" s="326" t="s">
        <v>22</v>
      </c>
      <c r="L344" s="327">
        <v>14079669.82</v>
      </c>
    </row>
    <row r="345" spans="1:12" ht="51" x14ac:dyDescent="0.3">
      <c r="A345" s="321" t="s">
        <v>60</v>
      </c>
      <c r="B345" s="322" t="s">
        <v>1217</v>
      </c>
      <c r="C345" s="322" t="s">
        <v>174</v>
      </c>
      <c r="D345" s="322" t="s">
        <v>273</v>
      </c>
      <c r="E345" s="323" t="s">
        <v>175</v>
      </c>
      <c r="F345" s="329" t="s">
        <v>29</v>
      </c>
      <c r="G345" s="329"/>
      <c r="H345" s="323" t="s">
        <v>27</v>
      </c>
      <c r="I345" s="330">
        <v>2089.42</v>
      </c>
      <c r="J345" s="330"/>
      <c r="K345" s="326" t="s">
        <v>22</v>
      </c>
      <c r="L345" s="327">
        <v>14077580.4</v>
      </c>
    </row>
    <row r="346" spans="1:12" ht="51" x14ac:dyDescent="0.3">
      <c r="A346" s="321" t="s">
        <v>60</v>
      </c>
      <c r="B346" s="322" t="s">
        <v>1217</v>
      </c>
      <c r="C346" s="322" t="s">
        <v>174</v>
      </c>
      <c r="D346" s="322" t="s">
        <v>340</v>
      </c>
      <c r="E346" s="323" t="s">
        <v>175</v>
      </c>
      <c r="F346" s="329" t="s">
        <v>29</v>
      </c>
      <c r="G346" s="329"/>
      <c r="H346" s="323" t="s">
        <v>27</v>
      </c>
      <c r="I346" s="330">
        <v>3912.45</v>
      </c>
      <c r="J346" s="330"/>
      <c r="K346" s="326" t="s">
        <v>22</v>
      </c>
      <c r="L346" s="327">
        <v>14073667.949999999</v>
      </c>
    </row>
    <row r="347" spans="1:12" ht="61.2" x14ac:dyDescent="0.3">
      <c r="A347" s="321" t="s">
        <v>60</v>
      </c>
      <c r="B347" s="322" t="s">
        <v>1217</v>
      </c>
      <c r="C347" s="322" t="s">
        <v>174</v>
      </c>
      <c r="D347" s="322" t="s">
        <v>1220</v>
      </c>
      <c r="E347" s="323" t="s">
        <v>175</v>
      </c>
      <c r="F347" s="329" t="s">
        <v>29</v>
      </c>
      <c r="G347" s="329"/>
      <c r="H347" s="323" t="s">
        <v>27</v>
      </c>
      <c r="I347" s="331">
        <v>689.7</v>
      </c>
      <c r="J347" s="331"/>
      <c r="K347" s="326" t="s">
        <v>22</v>
      </c>
      <c r="L347" s="327">
        <v>14072978.25</v>
      </c>
    </row>
    <row r="348" spans="1:12" ht="61.2" x14ac:dyDescent="0.3">
      <c r="A348" s="321" t="s">
        <v>60</v>
      </c>
      <c r="B348" s="322" t="s">
        <v>1217</v>
      </c>
      <c r="C348" s="322" t="s">
        <v>174</v>
      </c>
      <c r="D348" s="322" t="s">
        <v>1221</v>
      </c>
      <c r="E348" s="323" t="s">
        <v>175</v>
      </c>
      <c r="F348" s="329" t="s">
        <v>29</v>
      </c>
      <c r="G348" s="329"/>
      <c r="H348" s="323" t="s">
        <v>27</v>
      </c>
      <c r="I348" s="331">
        <v>22.17</v>
      </c>
      <c r="J348" s="331"/>
      <c r="K348" s="326" t="s">
        <v>22</v>
      </c>
      <c r="L348" s="327">
        <v>14072956.08</v>
      </c>
    </row>
    <row r="349" spans="1:12" ht="51" hidden="1" x14ac:dyDescent="0.3">
      <c r="A349" s="321" t="s">
        <v>138</v>
      </c>
      <c r="B349" s="322" t="s">
        <v>361</v>
      </c>
      <c r="C349" s="322" t="s">
        <v>169</v>
      </c>
      <c r="D349" s="322" t="s">
        <v>141</v>
      </c>
      <c r="E349" s="323" t="s">
        <v>27</v>
      </c>
      <c r="F349" s="324">
        <v>73395.55</v>
      </c>
      <c r="G349" s="324"/>
      <c r="H349" s="323" t="s">
        <v>27</v>
      </c>
      <c r="I349" s="325" t="s">
        <v>29</v>
      </c>
      <c r="J349" s="325"/>
      <c r="K349" s="326" t="s">
        <v>22</v>
      </c>
      <c r="L349" s="327">
        <v>14146351.630000001</v>
      </c>
    </row>
    <row r="350" spans="1:12" ht="51" hidden="1" x14ac:dyDescent="0.3">
      <c r="A350" s="321" t="s">
        <v>142</v>
      </c>
      <c r="B350" s="322" t="s">
        <v>368</v>
      </c>
      <c r="C350" s="322" t="s">
        <v>369</v>
      </c>
      <c r="D350" s="322" t="s">
        <v>145</v>
      </c>
      <c r="E350" s="323" t="s">
        <v>27</v>
      </c>
      <c r="F350" s="324">
        <v>6197.47</v>
      </c>
      <c r="G350" s="324"/>
      <c r="H350" s="323" t="s">
        <v>27</v>
      </c>
      <c r="I350" s="325" t="s">
        <v>29</v>
      </c>
      <c r="J350" s="325"/>
      <c r="K350" s="326" t="s">
        <v>22</v>
      </c>
      <c r="L350" s="327">
        <v>14152549.1</v>
      </c>
    </row>
    <row r="351" spans="1:12" ht="51" hidden="1" x14ac:dyDescent="0.3">
      <c r="A351" s="321" t="s">
        <v>64</v>
      </c>
      <c r="B351" s="322" t="s">
        <v>377</v>
      </c>
      <c r="C351" s="322" t="s">
        <v>378</v>
      </c>
      <c r="D351" s="322" t="s">
        <v>72</v>
      </c>
      <c r="E351" s="323" t="s">
        <v>27</v>
      </c>
      <c r="F351" s="328">
        <v>198.1</v>
      </c>
      <c r="G351" s="328"/>
      <c r="H351" s="323" t="s">
        <v>27</v>
      </c>
      <c r="I351" s="325" t="s">
        <v>29</v>
      </c>
      <c r="J351" s="325"/>
      <c r="K351" s="326" t="s">
        <v>22</v>
      </c>
      <c r="L351" s="327">
        <v>14152747.199999999</v>
      </c>
    </row>
    <row r="352" spans="1:12" ht="51" hidden="1" x14ac:dyDescent="0.3">
      <c r="A352" s="321" t="s">
        <v>64</v>
      </c>
      <c r="B352" s="322" t="s">
        <v>377</v>
      </c>
      <c r="C352" s="322" t="s">
        <v>379</v>
      </c>
      <c r="D352" s="322" t="s">
        <v>74</v>
      </c>
      <c r="E352" s="323" t="s">
        <v>27</v>
      </c>
      <c r="F352" s="328">
        <v>810</v>
      </c>
      <c r="G352" s="328"/>
      <c r="H352" s="323" t="s">
        <v>27</v>
      </c>
      <c r="I352" s="325" t="s">
        <v>29</v>
      </c>
      <c r="J352" s="325"/>
      <c r="K352" s="326" t="s">
        <v>22</v>
      </c>
      <c r="L352" s="327">
        <v>14153557.199999999</v>
      </c>
    </row>
    <row r="353" spans="1:12" ht="51" hidden="1" x14ac:dyDescent="0.3">
      <c r="A353" s="321" t="s">
        <v>64</v>
      </c>
      <c r="B353" s="322" t="s">
        <v>377</v>
      </c>
      <c r="C353" s="322" t="s">
        <v>380</v>
      </c>
      <c r="D353" s="322" t="s">
        <v>76</v>
      </c>
      <c r="E353" s="323" t="s">
        <v>27</v>
      </c>
      <c r="F353" s="328">
        <v>91.25</v>
      </c>
      <c r="G353" s="328"/>
      <c r="H353" s="323" t="s">
        <v>27</v>
      </c>
      <c r="I353" s="325" t="s">
        <v>29</v>
      </c>
      <c r="J353" s="325"/>
      <c r="K353" s="326" t="s">
        <v>22</v>
      </c>
      <c r="L353" s="327">
        <v>14153648.449999999</v>
      </c>
    </row>
    <row r="354" spans="1:12" ht="51" hidden="1" x14ac:dyDescent="0.3">
      <c r="A354" s="321" t="s">
        <v>64</v>
      </c>
      <c r="B354" s="322" t="s">
        <v>377</v>
      </c>
      <c r="C354" s="322" t="s">
        <v>381</v>
      </c>
      <c r="D354" s="322" t="s">
        <v>375</v>
      </c>
      <c r="E354" s="323" t="s">
        <v>27</v>
      </c>
      <c r="F354" s="328">
        <v>125.38</v>
      </c>
      <c r="G354" s="328"/>
      <c r="H354" s="323" t="s">
        <v>27</v>
      </c>
      <c r="I354" s="325" t="s">
        <v>29</v>
      </c>
      <c r="J354" s="325"/>
      <c r="K354" s="326" t="s">
        <v>22</v>
      </c>
      <c r="L354" s="327">
        <v>14153773.83</v>
      </c>
    </row>
    <row r="355" spans="1:12" ht="51" hidden="1" x14ac:dyDescent="0.3">
      <c r="A355" s="321" t="s">
        <v>64</v>
      </c>
      <c r="B355" s="322" t="s">
        <v>377</v>
      </c>
      <c r="C355" s="322" t="s">
        <v>382</v>
      </c>
      <c r="D355" s="322" t="s">
        <v>376</v>
      </c>
      <c r="E355" s="323" t="s">
        <v>27</v>
      </c>
      <c r="F355" s="328">
        <v>119.38</v>
      </c>
      <c r="G355" s="328"/>
      <c r="H355" s="323" t="s">
        <v>27</v>
      </c>
      <c r="I355" s="325" t="s">
        <v>29</v>
      </c>
      <c r="J355" s="325"/>
      <c r="K355" s="326" t="s">
        <v>22</v>
      </c>
      <c r="L355" s="327">
        <v>14153893.210000001</v>
      </c>
    </row>
    <row r="356" spans="1:12" ht="61.2" hidden="1" x14ac:dyDescent="0.3">
      <c r="A356" s="321" t="s">
        <v>77</v>
      </c>
      <c r="B356" s="322" t="s">
        <v>404</v>
      </c>
      <c r="C356" s="322" t="s">
        <v>405</v>
      </c>
      <c r="D356" s="322" t="s">
        <v>402</v>
      </c>
      <c r="E356" s="323" t="s">
        <v>27</v>
      </c>
      <c r="F356" s="324">
        <v>11527.88</v>
      </c>
      <c r="G356" s="324"/>
      <c r="H356" s="323" t="s">
        <v>27</v>
      </c>
      <c r="I356" s="325" t="s">
        <v>29</v>
      </c>
      <c r="J356" s="325"/>
      <c r="K356" s="326" t="s">
        <v>22</v>
      </c>
      <c r="L356" s="327">
        <v>14165421.09</v>
      </c>
    </row>
    <row r="357" spans="1:12" ht="51" hidden="1" x14ac:dyDescent="0.3">
      <c r="A357" s="321" t="s">
        <v>77</v>
      </c>
      <c r="B357" s="322" t="s">
        <v>411</v>
      </c>
      <c r="C357" s="322" t="s">
        <v>412</v>
      </c>
      <c r="D357" s="322" t="s">
        <v>407</v>
      </c>
      <c r="E357" s="323" t="s">
        <v>27</v>
      </c>
      <c r="F357" s="324">
        <v>97976.31</v>
      </c>
      <c r="G357" s="324"/>
      <c r="H357" s="323" t="s">
        <v>27</v>
      </c>
      <c r="I357" s="325" t="s">
        <v>29</v>
      </c>
      <c r="J357" s="325"/>
      <c r="K357" s="326" t="s">
        <v>22</v>
      </c>
      <c r="L357" s="327">
        <v>14263397.4</v>
      </c>
    </row>
    <row r="358" spans="1:12" ht="51" hidden="1" x14ac:dyDescent="0.3">
      <c r="A358" s="321" t="s">
        <v>156</v>
      </c>
      <c r="B358" s="322" t="s">
        <v>424</v>
      </c>
      <c r="C358" s="322" t="s">
        <v>425</v>
      </c>
      <c r="D358" s="322" t="s">
        <v>420</v>
      </c>
      <c r="E358" s="323" t="s">
        <v>27</v>
      </c>
      <c r="F358" s="324">
        <v>7104.05</v>
      </c>
      <c r="G358" s="324"/>
      <c r="H358" s="323" t="s">
        <v>27</v>
      </c>
      <c r="I358" s="325" t="s">
        <v>29</v>
      </c>
      <c r="J358" s="325"/>
      <c r="K358" s="326" t="s">
        <v>22</v>
      </c>
      <c r="L358" s="327">
        <v>14270501.449999999</v>
      </c>
    </row>
    <row r="359" spans="1:12" ht="61.2" x14ac:dyDescent="0.3">
      <c r="A359" s="321" t="s">
        <v>81</v>
      </c>
      <c r="B359" s="322" t="s">
        <v>1222</v>
      </c>
      <c r="C359" s="322" t="s">
        <v>174</v>
      </c>
      <c r="D359" s="322" t="s">
        <v>1028</v>
      </c>
      <c r="E359" s="323" t="s">
        <v>175</v>
      </c>
      <c r="F359" s="329" t="s">
        <v>29</v>
      </c>
      <c r="G359" s="329"/>
      <c r="H359" s="323" t="s">
        <v>27</v>
      </c>
      <c r="I359" s="330">
        <v>2603.8000000000002</v>
      </c>
      <c r="J359" s="330"/>
      <c r="K359" s="326" t="s">
        <v>22</v>
      </c>
      <c r="L359" s="327">
        <v>14267897.65</v>
      </c>
    </row>
    <row r="360" spans="1:12" ht="61.2" x14ac:dyDescent="0.3">
      <c r="A360" s="321" t="s">
        <v>81</v>
      </c>
      <c r="B360" s="322" t="s">
        <v>1222</v>
      </c>
      <c r="C360" s="322" t="s">
        <v>174</v>
      </c>
      <c r="D360" s="322" t="s">
        <v>986</v>
      </c>
      <c r="E360" s="323" t="s">
        <v>175</v>
      </c>
      <c r="F360" s="329" t="s">
        <v>29</v>
      </c>
      <c r="G360" s="329"/>
      <c r="H360" s="323" t="s">
        <v>27</v>
      </c>
      <c r="I360" s="330">
        <v>2201</v>
      </c>
      <c r="J360" s="330"/>
      <c r="K360" s="326" t="s">
        <v>22</v>
      </c>
      <c r="L360" s="327">
        <v>14265696.65</v>
      </c>
    </row>
    <row r="361" spans="1:12" ht="61.2" x14ac:dyDescent="0.3">
      <c r="A361" s="321" t="s">
        <v>81</v>
      </c>
      <c r="B361" s="322" t="s">
        <v>1222</v>
      </c>
      <c r="C361" s="322" t="s">
        <v>174</v>
      </c>
      <c r="D361" s="322" t="s">
        <v>1029</v>
      </c>
      <c r="E361" s="323" t="s">
        <v>175</v>
      </c>
      <c r="F361" s="329" t="s">
        <v>29</v>
      </c>
      <c r="G361" s="329"/>
      <c r="H361" s="323" t="s">
        <v>27</v>
      </c>
      <c r="I361" s="330">
        <v>2843.1</v>
      </c>
      <c r="J361" s="330"/>
      <c r="K361" s="326" t="s">
        <v>22</v>
      </c>
      <c r="L361" s="327">
        <v>14262853.550000001</v>
      </c>
    </row>
    <row r="362" spans="1:12" ht="61.2" x14ac:dyDescent="0.3">
      <c r="A362" s="321" t="s">
        <v>81</v>
      </c>
      <c r="B362" s="322" t="s">
        <v>1222</v>
      </c>
      <c r="C362" s="322" t="s">
        <v>174</v>
      </c>
      <c r="D362" s="322" t="s">
        <v>975</v>
      </c>
      <c r="E362" s="323" t="s">
        <v>175</v>
      </c>
      <c r="F362" s="329" t="s">
        <v>29</v>
      </c>
      <c r="G362" s="329"/>
      <c r="H362" s="323" t="s">
        <v>27</v>
      </c>
      <c r="I362" s="330">
        <v>6479.2</v>
      </c>
      <c r="J362" s="330"/>
      <c r="K362" s="326" t="s">
        <v>22</v>
      </c>
      <c r="L362" s="327">
        <v>14256374.35</v>
      </c>
    </row>
    <row r="363" spans="1:12" ht="61.2" x14ac:dyDescent="0.3">
      <c r="A363" s="321" t="s">
        <v>81</v>
      </c>
      <c r="B363" s="322" t="s">
        <v>1222</v>
      </c>
      <c r="C363" s="322" t="s">
        <v>174</v>
      </c>
      <c r="D363" s="322" t="s">
        <v>1034</v>
      </c>
      <c r="E363" s="323" t="s">
        <v>175</v>
      </c>
      <c r="F363" s="329" t="s">
        <v>29</v>
      </c>
      <c r="G363" s="329"/>
      <c r="H363" s="323" t="s">
        <v>27</v>
      </c>
      <c r="I363" s="330">
        <v>1809.4</v>
      </c>
      <c r="J363" s="330"/>
      <c r="K363" s="326" t="s">
        <v>22</v>
      </c>
      <c r="L363" s="327">
        <v>14254564.949999999</v>
      </c>
    </row>
    <row r="364" spans="1:12" ht="61.2" x14ac:dyDescent="0.3">
      <c r="A364" s="321" t="s">
        <v>81</v>
      </c>
      <c r="B364" s="322" t="s">
        <v>1222</v>
      </c>
      <c r="C364" s="322" t="s">
        <v>174</v>
      </c>
      <c r="D364" s="322" t="s">
        <v>1085</v>
      </c>
      <c r="E364" s="323" t="s">
        <v>175</v>
      </c>
      <c r="F364" s="329" t="s">
        <v>29</v>
      </c>
      <c r="G364" s="329"/>
      <c r="H364" s="323" t="s">
        <v>27</v>
      </c>
      <c r="I364" s="330">
        <v>1370.1</v>
      </c>
      <c r="J364" s="330"/>
      <c r="K364" s="326" t="s">
        <v>22</v>
      </c>
      <c r="L364" s="327">
        <v>14253194.85</v>
      </c>
    </row>
    <row r="365" spans="1:12" ht="61.2" x14ac:dyDescent="0.3">
      <c r="A365" s="321" t="s">
        <v>81</v>
      </c>
      <c r="B365" s="322" t="s">
        <v>1222</v>
      </c>
      <c r="C365" s="322" t="s">
        <v>174</v>
      </c>
      <c r="D365" s="322" t="s">
        <v>984</v>
      </c>
      <c r="E365" s="323" t="s">
        <v>175</v>
      </c>
      <c r="F365" s="329" t="s">
        <v>29</v>
      </c>
      <c r="G365" s="329"/>
      <c r="H365" s="323" t="s">
        <v>27</v>
      </c>
      <c r="I365" s="330">
        <v>1885.5</v>
      </c>
      <c r="J365" s="330"/>
      <c r="K365" s="326" t="s">
        <v>22</v>
      </c>
      <c r="L365" s="327">
        <v>14251309.35</v>
      </c>
    </row>
    <row r="366" spans="1:12" ht="61.2" x14ac:dyDescent="0.3">
      <c r="A366" s="321" t="s">
        <v>81</v>
      </c>
      <c r="B366" s="322" t="s">
        <v>1222</v>
      </c>
      <c r="C366" s="322" t="s">
        <v>174</v>
      </c>
      <c r="D366" s="322" t="s">
        <v>1133</v>
      </c>
      <c r="E366" s="323" t="s">
        <v>175</v>
      </c>
      <c r="F366" s="329" t="s">
        <v>29</v>
      </c>
      <c r="G366" s="329"/>
      <c r="H366" s="323" t="s">
        <v>27</v>
      </c>
      <c r="I366" s="330">
        <v>2188.3000000000002</v>
      </c>
      <c r="J366" s="330"/>
      <c r="K366" s="326" t="s">
        <v>22</v>
      </c>
      <c r="L366" s="327">
        <v>14249121.050000001</v>
      </c>
    </row>
    <row r="367" spans="1:12" ht="61.2" x14ac:dyDescent="0.3">
      <c r="A367" s="321" t="s">
        <v>81</v>
      </c>
      <c r="B367" s="322" t="s">
        <v>1222</v>
      </c>
      <c r="C367" s="322" t="s">
        <v>174</v>
      </c>
      <c r="D367" s="322" t="s">
        <v>1145</v>
      </c>
      <c r="E367" s="323" t="s">
        <v>175</v>
      </c>
      <c r="F367" s="329" t="s">
        <v>29</v>
      </c>
      <c r="G367" s="329"/>
      <c r="H367" s="323" t="s">
        <v>27</v>
      </c>
      <c r="I367" s="330">
        <v>7013.8</v>
      </c>
      <c r="J367" s="330"/>
      <c r="K367" s="326" t="s">
        <v>22</v>
      </c>
      <c r="L367" s="327">
        <v>14242107.25</v>
      </c>
    </row>
    <row r="368" spans="1:12" ht="61.2" x14ac:dyDescent="0.3">
      <c r="A368" s="321" t="s">
        <v>81</v>
      </c>
      <c r="B368" s="322" t="s">
        <v>1222</v>
      </c>
      <c r="C368" s="322" t="s">
        <v>174</v>
      </c>
      <c r="D368" s="322" t="s">
        <v>1105</v>
      </c>
      <c r="E368" s="323" t="s">
        <v>175</v>
      </c>
      <c r="F368" s="329" t="s">
        <v>29</v>
      </c>
      <c r="G368" s="329"/>
      <c r="H368" s="323" t="s">
        <v>27</v>
      </c>
      <c r="I368" s="330">
        <v>26402.6</v>
      </c>
      <c r="J368" s="330"/>
      <c r="K368" s="326" t="s">
        <v>22</v>
      </c>
      <c r="L368" s="327">
        <v>14215704.65</v>
      </c>
    </row>
    <row r="369" spans="1:12" ht="61.2" x14ac:dyDescent="0.3">
      <c r="A369" s="321" t="s">
        <v>81</v>
      </c>
      <c r="B369" s="322" t="s">
        <v>1222</v>
      </c>
      <c r="C369" s="322" t="s">
        <v>174</v>
      </c>
      <c r="D369" s="322" t="s">
        <v>1106</v>
      </c>
      <c r="E369" s="323" t="s">
        <v>175</v>
      </c>
      <c r="F369" s="329" t="s">
        <v>29</v>
      </c>
      <c r="G369" s="329"/>
      <c r="H369" s="323" t="s">
        <v>27</v>
      </c>
      <c r="I369" s="330">
        <v>2949</v>
      </c>
      <c r="J369" s="330"/>
      <c r="K369" s="326" t="s">
        <v>22</v>
      </c>
      <c r="L369" s="327">
        <v>14212755.65</v>
      </c>
    </row>
    <row r="370" spans="1:12" ht="61.2" x14ac:dyDescent="0.3">
      <c r="A370" s="321" t="s">
        <v>81</v>
      </c>
      <c r="B370" s="322" t="s">
        <v>1222</v>
      </c>
      <c r="C370" s="322" t="s">
        <v>174</v>
      </c>
      <c r="D370" s="322" t="s">
        <v>1107</v>
      </c>
      <c r="E370" s="323" t="s">
        <v>175</v>
      </c>
      <c r="F370" s="329" t="s">
        <v>29</v>
      </c>
      <c r="G370" s="329"/>
      <c r="H370" s="323" t="s">
        <v>27</v>
      </c>
      <c r="I370" s="330">
        <v>3257.8</v>
      </c>
      <c r="J370" s="330"/>
      <c r="K370" s="326" t="s">
        <v>22</v>
      </c>
      <c r="L370" s="327">
        <v>14209497.85</v>
      </c>
    </row>
    <row r="371" spans="1:12" ht="61.2" x14ac:dyDescent="0.3">
      <c r="A371" s="321" t="s">
        <v>81</v>
      </c>
      <c r="B371" s="322" t="s">
        <v>1222</v>
      </c>
      <c r="C371" s="322" t="s">
        <v>174</v>
      </c>
      <c r="D371" s="322" t="s">
        <v>1109</v>
      </c>
      <c r="E371" s="323" t="s">
        <v>175</v>
      </c>
      <c r="F371" s="329" t="s">
        <v>29</v>
      </c>
      <c r="G371" s="329"/>
      <c r="H371" s="323" t="s">
        <v>27</v>
      </c>
      <c r="I371" s="330">
        <v>3443.5</v>
      </c>
      <c r="J371" s="330"/>
      <c r="K371" s="326" t="s">
        <v>22</v>
      </c>
      <c r="L371" s="327">
        <v>14206054.35</v>
      </c>
    </row>
    <row r="372" spans="1:12" ht="61.2" x14ac:dyDescent="0.3">
      <c r="A372" s="321" t="s">
        <v>81</v>
      </c>
      <c r="B372" s="322" t="s">
        <v>1222</v>
      </c>
      <c r="C372" s="322" t="s">
        <v>174</v>
      </c>
      <c r="D372" s="322" t="s">
        <v>1108</v>
      </c>
      <c r="E372" s="323" t="s">
        <v>175</v>
      </c>
      <c r="F372" s="329" t="s">
        <v>29</v>
      </c>
      <c r="G372" s="329"/>
      <c r="H372" s="323" t="s">
        <v>27</v>
      </c>
      <c r="I372" s="330">
        <v>1932.5</v>
      </c>
      <c r="J372" s="330"/>
      <c r="K372" s="326" t="s">
        <v>22</v>
      </c>
      <c r="L372" s="327">
        <v>14204121.85</v>
      </c>
    </row>
    <row r="373" spans="1:12" ht="61.2" x14ac:dyDescent="0.3">
      <c r="A373" s="321" t="s">
        <v>81</v>
      </c>
      <c r="B373" s="322" t="s">
        <v>1222</v>
      </c>
      <c r="C373" s="322" t="s">
        <v>174</v>
      </c>
      <c r="D373" s="322" t="s">
        <v>1103</v>
      </c>
      <c r="E373" s="323" t="s">
        <v>175</v>
      </c>
      <c r="F373" s="329" t="s">
        <v>29</v>
      </c>
      <c r="G373" s="329"/>
      <c r="H373" s="323" t="s">
        <v>27</v>
      </c>
      <c r="I373" s="330">
        <v>1712.4</v>
      </c>
      <c r="J373" s="330"/>
      <c r="K373" s="326" t="s">
        <v>22</v>
      </c>
      <c r="L373" s="327">
        <v>14202409.449999999</v>
      </c>
    </row>
    <row r="374" spans="1:12" ht="61.2" x14ac:dyDescent="0.3">
      <c r="A374" s="321" t="s">
        <v>81</v>
      </c>
      <c r="B374" s="322" t="s">
        <v>1222</v>
      </c>
      <c r="C374" s="322" t="s">
        <v>174</v>
      </c>
      <c r="D374" s="322" t="s">
        <v>1104</v>
      </c>
      <c r="E374" s="323" t="s">
        <v>175</v>
      </c>
      <c r="F374" s="329" t="s">
        <v>29</v>
      </c>
      <c r="G374" s="329"/>
      <c r="H374" s="323" t="s">
        <v>27</v>
      </c>
      <c r="I374" s="330">
        <v>2384.4</v>
      </c>
      <c r="J374" s="330"/>
      <c r="K374" s="326" t="s">
        <v>22</v>
      </c>
      <c r="L374" s="327">
        <v>14200025.050000001</v>
      </c>
    </row>
    <row r="375" spans="1:12" ht="61.2" x14ac:dyDescent="0.3">
      <c r="A375" s="321" t="s">
        <v>81</v>
      </c>
      <c r="B375" s="322" t="s">
        <v>1222</v>
      </c>
      <c r="C375" s="322" t="s">
        <v>174</v>
      </c>
      <c r="D375" s="322" t="s">
        <v>1121</v>
      </c>
      <c r="E375" s="323" t="s">
        <v>175</v>
      </c>
      <c r="F375" s="329" t="s">
        <v>29</v>
      </c>
      <c r="G375" s="329"/>
      <c r="H375" s="323" t="s">
        <v>27</v>
      </c>
      <c r="I375" s="330">
        <v>2286</v>
      </c>
      <c r="J375" s="330"/>
      <c r="K375" s="326" t="s">
        <v>22</v>
      </c>
      <c r="L375" s="327">
        <v>14197739.050000001</v>
      </c>
    </row>
    <row r="376" spans="1:12" ht="61.2" x14ac:dyDescent="0.3">
      <c r="A376" s="321" t="s">
        <v>81</v>
      </c>
      <c r="B376" s="322" t="s">
        <v>1222</v>
      </c>
      <c r="C376" s="322" t="s">
        <v>174</v>
      </c>
      <c r="D376" s="322" t="s">
        <v>1072</v>
      </c>
      <c r="E376" s="323" t="s">
        <v>175</v>
      </c>
      <c r="F376" s="329" t="s">
        <v>29</v>
      </c>
      <c r="G376" s="329"/>
      <c r="H376" s="323" t="s">
        <v>27</v>
      </c>
      <c r="I376" s="330">
        <v>18929.400000000001</v>
      </c>
      <c r="J376" s="330"/>
      <c r="K376" s="326" t="s">
        <v>22</v>
      </c>
      <c r="L376" s="327">
        <v>14178809.65</v>
      </c>
    </row>
    <row r="377" spans="1:12" ht="61.2" x14ac:dyDescent="0.3">
      <c r="A377" s="321" t="s">
        <v>81</v>
      </c>
      <c r="B377" s="322" t="s">
        <v>1222</v>
      </c>
      <c r="C377" s="322" t="s">
        <v>174</v>
      </c>
      <c r="D377" s="322" t="s">
        <v>1073</v>
      </c>
      <c r="E377" s="323" t="s">
        <v>175</v>
      </c>
      <c r="F377" s="329" t="s">
        <v>29</v>
      </c>
      <c r="G377" s="329"/>
      <c r="H377" s="323" t="s">
        <v>27</v>
      </c>
      <c r="I377" s="330">
        <v>3668</v>
      </c>
      <c r="J377" s="330"/>
      <c r="K377" s="326" t="s">
        <v>22</v>
      </c>
      <c r="L377" s="327">
        <v>14175141.65</v>
      </c>
    </row>
    <row r="378" spans="1:12" ht="61.2" x14ac:dyDescent="0.3">
      <c r="A378" s="321" t="s">
        <v>81</v>
      </c>
      <c r="B378" s="322" t="s">
        <v>1222</v>
      </c>
      <c r="C378" s="322" t="s">
        <v>174</v>
      </c>
      <c r="D378" s="322" t="s">
        <v>1037</v>
      </c>
      <c r="E378" s="323" t="s">
        <v>175</v>
      </c>
      <c r="F378" s="329" t="s">
        <v>29</v>
      </c>
      <c r="G378" s="329"/>
      <c r="H378" s="323" t="s">
        <v>27</v>
      </c>
      <c r="I378" s="330">
        <v>17426.400000000001</v>
      </c>
      <c r="J378" s="330"/>
      <c r="K378" s="326" t="s">
        <v>22</v>
      </c>
      <c r="L378" s="327">
        <v>14157715.25</v>
      </c>
    </row>
    <row r="379" spans="1:12" ht="61.2" x14ac:dyDescent="0.3">
      <c r="A379" s="321" t="s">
        <v>81</v>
      </c>
      <c r="B379" s="322" t="s">
        <v>1222</v>
      </c>
      <c r="C379" s="322" t="s">
        <v>174</v>
      </c>
      <c r="D379" s="322" t="s">
        <v>1038</v>
      </c>
      <c r="E379" s="323" t="s">
        <v>175</v>
      </c>
      <c r="F379" s="329" t="s">
        <v>29</v>
      </c>
      <c r="G379" s="329"/>
      <c r="H379" s="323" t="s">
        <v>27</v>
      </c>
      <c r="I379" s="330">
        <v>1811.6</v>
      </c>
      <c r="J379" s="330"/>
      <c r="K379" s="326" t="s">
        <v>22</v>
      </c>
      <c r="L379" s="327">
        <v>14155903.65</v>
      </c>
    </row>
    <row r="380" spans="1:12" ht="61.2" x14ac:dyDescent="0.3">
      <c r="A380" s="321" t="s">
        <v>81</v>
      </c>
      <c r="B380" s="322" t="s">
        <v>1222</v>
      </c>
      <c r="C380" s="322" t="s">
        <v>174</v>
      </c>
      <c r="D380" s="322" t="s">
        <v>1041</v>
      </c>
      <c r="E380" s="323" t="s">
        <v>175</v>
      </c>
      <c r="F380" s="329" t="s">
        <v>29</v>
      </c>
      <c r="G380" s="329"/>
      <c r="H380" s="323" t="s">
        <v>27</v>
      </c>
      <c r="I380" s="330">
        <v>2636.5</v>
      </c>
      <c r="J380" s="330"/>
      <c r="K380" s="326" t="s">
        <v>22</v>
      </c>
      <c r="L380" s="327">
        <v>14153267.15</v>
      </c>
    </row>
    <row r="381" spans="1:12" ht="61.2" x14ac:dyDescent="0.3">
      <c r="A381" s="321" t="s">
        <v>81</v>
      </c>
      <c r="B381" s="322" t="s">
        <v>1222</v>
      </c>
      <c r="C381" s="322" t="s">
        <v>174</v>
      </c>
      <c r="D381" s="322" t="s">
        <v>955</v>
      </c>
      <c r="E381" s="323" t="s">
        <v>175</v>
      </c>
      <c r="F381" s="329" t="s">
        <v>29</v>
      </c>
      <c r="G381" s="329"/>
      <c r="H381" s="323" t="s">
        <v>27</v>
      </c>
      <c r="I381" s="330">
        <v>35587.800000000003</v>
      </c>
      <c r="J381" s="330"/>
      <c r="K381" s="326" t="s">
        <v>22</v>
      </c>
      <c r="L381" s="327">
        <v>14117679.35</v>
      </c>
    </row>
    <row r="382" spans="1:12" ht="61.2" x14ac:dyDescent="0.3">
      <c r="A382" s="321" t="s">
        <v>81</v>
      </c>
      <c r="B382" s="322" t="s">
        <v>1222</v>
      </c>
      <c r="C382" s="322" t="s">
        <v>174</v>
      </c>
      <c r="D382" s="322" t="s">
        <v>956</v>
      </c>
      <c r="E382" s="323" t="s">
        <v>175</v>
      </c>
      <c r="F382" s="329" t="s">
        <v>29</v>
      </c>
      <c r="G382" s="329"/>
      <c r="H382" s="323" t="s">
        <v>27</v>
      </c>
      <c r="I382" s="330">
        <v>4069.3</v>
      </c>
      <c r="J382" s="330"/>
      <c r="K382" s="326" t="s">
        <v>22</v>
      </c>
      <c r="L382" s="327">
        <v>14113610.050000001</v>
      </c>
    </row>
    <row r="383" spans="1:12" ht="61.2" x14ac:dyDescent="0.3">
      <c r="A383" s="321" t="s">
        <v>81</v>
      </c>
      <c r="B383" s="322" t="s">
        <v>1222</v>
      </c>
      <c r="C383" s="322" t="s">
        <v>174</v>
      </c>
      <c r="D383" s="322" t="s">
        <v>953</v>
      </c>
      <c r="E383" s="323" t="s">
        <v>175</v>
      </c>
      <c r="F383" s="329" t="s">
        <v>29</v>
      </c>
      <c r="G383" s="329"/>
      <c r="H383" s="323" t="s">
        <v>27</v>
      </c>
      <c r="I383" s="330">
        <v>93769.600000000006</v>
      </c>
      <c r="J383" s="330"/>
      <c r="K383" s="326" t="s">
        <v>22</v>
      </c>
      <c r="L383" s="327">
        <v>14019840.449999999</v>
      </c>
    </row>
    <row r="384" spans="1:12" ht="61.2" x14ac:dyDescent="0.3">
      <c r="A384" s="321" t="s">
        <v>81</v>
      </c>
      <c r="B384" s="322" t="s">
        <v>1222</v>
      </c>
      <c r="C384" s="322" t="s">
        <v>174</v>
      </c>
      <c r="D384" s="322" t="s">
        <v>1035</v>
      </c>
      <c r="E384" s="323" t="s">
        <v>175</v>
      </c>
      <c r="F384" s="329" t="s">
        <v>29</v>
      </c>
      <c r="G384" s="329"/>
      <c r="H384" s="323" t="s">
        <v>27</v>
      </c>
      <c r="I384" s="330">
        <v>2400.8000000000002</v>
      </c>
      <c r="J384" s="330"/>
      <c r="K384" s="326" t="s">
        <v>22</v>
      </c>
      <c r="L384" s="327">
        <v>14017439.65</v>
      </c>
    </row>
    <row r="385" spans="1:12" ht="61.2" x14ac:dyDescent="0.3">
      <c r="A385" s="321" t="s">
        <v>81</v>
      </c>
      <c r="B385" s="322" t="s">
        <v>1222</v>
      </c>
      <c r="C385" s="322" t="s">
        <v>174</v>
      </c>
      <c r="D385" s="322" t="s">
        <v>1019</v>
      </c>
      <c r="E385" s="323" t="s">
        <v>175</v>
      </c>
      <c r="F385" s="329" t="s">
        <v>29</v>
      </c>
      <c r="G385" s="329"/>
      <c r="H385" s="323" t="s">
        <v>27</v>
      </c>
      <c r="I385" s="330">
        <v>3947</v>
      </c>
      <c r="J385" s="330"/>
      <c r="K385" s="326" t="s">
        <v>22</v>
      </c>
      <c r="L385" s="327">
        <v>14013492.65</v>
      </c>
    </row>
    <row r="386" spans="1:12" ht="61.2" x14ac:dyDescent="0.3">
      <c r="A386" s="321" t="s">
        <v>81</v>
      </c>
      <c r="B386" s="322" t="s">
        <v>1222</v>
      </c>
      <c r="C386" s="322" t="s">
        <v>174</v>
      </c>
      <c r="D386" s="322" t="s">
        <v>1005</v>
      </c>
      <c r="E386" s="323" t="s">
        <v>175</v>
      </c>
      <c r="F386" s="329" t="s">
        <v>29</v>
      </c>
      <c r="G386" s="329"/>
      <c r="H386" s="323" t="s">
        <v>27</v>
      </c>
      <c r="I386" s="330">
        <v>3846.3</v>
      </c>
      <c r="J386" s="330"/>
      <c r="K386" s="326" t="s">
        <v>22</v>
      </c>
      <c r="L386" s="327">
        <v>14009646.35</v>
      </c>
    </row>
    <row r="387" spans="1:12" ht="61.2" x14ac:dyDescent="0.3">
      <c r="A387" s="321" t="s">
        <v>81</v>
      </c>
      <c r="B387" s="322" t="s">
        <v>1222</v>
      </c>
      <c r="C387" s="322" t="s">
        <v>174</v>
      </c>
      <c r="D387" s="322" t="s">
        <v>1066</v>
      </c>
      <c r="E387" s="323" t="s">
        <v>175</v>
      </c>
      <c r="F387" s="329" t="s">
        <v>29</v>
      </c>
      <c r="G387" s="329"/>
      <c r="H387" s="323" t="s">
        <v>27</v>
      </c>
      <c r="I387" s="331">
        <v>911.4</v>
      </c>
      <c r="J387" s="331"/>
      <c r="K387" s="326" t="s">
        <v>22</v>
      </c>
      <c r="L387" s="327">
        <v>14008734.949999999</v>
      </c>
    </row>
    <row r="388" spans="1:12" ht="61.2" x14ac:dyDescent="0.3">
      <c r="A388" s="321" t="s">
        <v>81</v>
      </c>
      <c r="B388" s="322" t="s">
        <v>1222</v>
      </c>
      <c r="C388" s="322" t="s">
        <v>174</v>
      </c>
      <c r="D388" s="322" t="s">
        <v>1100</v>
      </c>
      <c r="E388" s="323" t="s">
        <v>175</v>
      </c>
      <c r="F388" s="329" t="s">
        <v>29</v>
      </c>
      <c r="G388" s="329"/>
      <c r="H388" s="323" t="s">
        <v>27</v>
      </c>
      <c r="I388" s="330">
        <v>1578.9</v>
      </c>
      <c r="J388" s="330"/>
      <c r="K388" s="326" t="s">
        <v>22</v>
      </c>
      <c r="L388" s="327">
        <v>14007156.050000001</v>
      </c>
    </row>
    <row r="389" spans="1:12" ht="61.2" x14ac:dyDescent="0.3">
      <c r="A389" s="321" t="s">
        <v>81</v>
      </c>
      <c r="B389" s="322" t="s">
        <v>1222</v>
      </c>
      <c r="C389" s="322" t="s">
        <v>174</v>
      </c>
      <c r="D389" s="322" t="s">
        <v>1101</v>
      </c>
      <c r="E389" s="323" t="s">
        <v>175</v>
      </c>
      <c r="F389" s="329" t="s">
        <v>29</v>
      </c>
      <c r="G389" s="329"/>
      <c r="H389" s="323" t="s">
        <v>27</v>
      </c>
      <c r="I389" s="330">
        <v>1735.6</v>
      </c>
      <c r="J389" s="330"/>
      <c r="K389" s="326" t="s">
        <v>22</v>
      </c>
      <c r="L389" s="327">
        <v>14005420.449999999</v>
      </c>
    </row>
    <row r="390" spans="1:12" ht="61.2" x14ac:dyDescent="0.3">
      <c r="A390" s="321" t="s">
        <v>81</v>
      </c>
      <c r="B390" s="322" t="s">
        <v>1222</v>
      </c>
      <c r="C390" s="322" t="s">
        <v>174</v>
      </c>
      <c r="D390" s="322" t="s">
        <v>1114</v>
      </c>
      <c r="E390" s="323" t="s">
        <v>175</v>
      </c>
      <c r="F390" s="329" t="s">
        <v>29</v>
      </c>
      <c r="G390" s="329"/>
      <c r="H390" s="323" t="s">
        <v>27</v>
      </c>
      <c r="I390" s="331">
        <v>632.5</v>
      </c>
      <c r="J390" s="331"/>
      <c r="K390" s="326" t="s">
        <v>22</v>
      </c>
      <c r="L390" s="327">
        <v>14004787.949999999</v>
      </c>
    </row>
    <row r="391" spans="1:12" ht="61.2" x14ac:dyDescent="0.3">
      <c r="A391" s="321" t="s">
        <v>81</v>
      </c>
      <c r="B391" s="322" t="s">
        <v>1222</v>
      </c>
      <c r="C391" s="322" t="s">
        <v>174</v>
      </c>
      <c r="D391" s="322" t="s">
        <v>1137</v>
      </c>
      <c r="E391" s="323" t="s">
        <v>175</v>
      </c>
      <c r="F391" s="329" t="s">
        <v>29</v>
      </c>
      <c r="G391" s="329"/>
      <c r="H391" s="323" t="s">
        <v>27</v>
      </c>
      <c r="I391" s="330">
        <v>2771.5</v>
      </c>
      <c r="J391" s="330"/>
      <c r="K391" s="326" t="s">
        <v>22</v>
      </c>
      <c r="L391" s="327">
        <v>14002016.449999999</v>
      </c>
    </row>
    <row r="392" spans="1:12" ht="61.2" x14ac:dyDescent="0.3">
      <c r="A392" s="321" t="s">
        <v>81</v>
      </c>
      <c r="B392" s="322" t="s">
        <v>1222</v>
      </c>
      <c r="C392" s="322" t="s">
        <v>174</v>
      </c>
      <c r="D392" s="322" t="s">
        <v>1131</v>
      </c>
      <c r="E392" s="323" t="s">
        <v>175</v>
      </c>
      <c r="F392" s="329" t="s">
        <v>29</v>
      </c>
      <c r="G392" s="329"/>
      <c r="H392" s="323" t="s">
        <v>27</v>
      </c>
      <c r="I392" s="330">
        <v>3829.9</v>
      </c>
      <c r="J392" s="330"/>
      <c r="K392" s="326" t="s">
        <v>22</v>
      </c>
      <c r="L392" s="327">
        <v>13998186.550000001</v>
      </c>
    </row>
    <row r="393" spans="1:12" ht="61.2" x14ac:dyDescent="0.3">
      <c r="A393" s="321" t="s">
        <v>81</v>
      </c>
      <c r="B393" s="322" t="s">
        <v>1222</v>
      </c>
      <c r="C393" s="322" t="s">
        <v>174</v>
      </c>
      <c r="D393" s="322" t="s">
        <v>1086</v>
      </c>
      <c r="E393" s="323" t="s">
        <v>175</v>
      </c>
      <c r="F393" s="329" t="s">
        <v>29</v>
      </c>
      <c r="G393" s="329"/>
      <c r="H393" s="323" t="s">
        <v>27</v>
      </c>
      <c r="I393" s="330">
        <v>2672.3</v>
      </c>
      <c r="J393" s="330"/>
      <c r="K393" s="326" t="s">
        <v>22</v>
      </c>
      <c r="L393" s="327">
        <v>13995514.25</v>
      </c>
    </row>
    <row r="394" spans="1:12" ht="61.2" x14ac:dyDescent="0.3">
      <c r="A394" s="321" t="s">
        <v>81</v>
      </c>
      <c r="B394" s="322" t="s">
        <v>1222</v>
      </c>
      <c r="C394" s="322" t="s">
        <v>174</v>
      </c>
      <c r="D394" s="322" t="s">
        <v>954</v>
      </c>
      <c r="E394" s="323" t="s">
        <v>175</v>
      </c>
      <c r="F394" s="329" t="s">
        <v>29</v>
      </c>
      <c r="G394" s="329"/>
      <c r="H394" s="323" t="s">
        <v>27</v>
      </c>
      <c r="I394" s="330">
        <v>16987.099999999999</v>
      </c>
      <c r="J394" s="330"/>
      <c r="K394" s="326" t="s">
        <v>22</v>
      </c>
      <c r="L394" s="327">
        <v>13978527.15</v>
      </c>
    </row>
    <row r="395" spans="1:12" ht="61.2" x14ac:dyDescent="0.3">
      <c r="A395" s="321" t="s">
        <v>81</v>
      </c>
      <c r="B395" s="322" t="s">
        <v>1222</v>
      </c>
      <c r="C395" s="322" t="s">
        <v>174</v>
      </c>
      <c r="D395" s="322" t="s">
        <v>1053</v>
      </c>
      <c r="E395" s="323" t="s">
        <v>175</v>
      </c>
      <c r="F395" s="329" t="s">
        <v>29</v>
      </c>
      <c r="G395" s="329"/>
      <c r="H395" s="323" t="s">
        <v>27</v>
      </c>
      <c r="I395" s="330">
        <v>6940</v>
      </c>
      <c r="J395" s="330"/>
      <c r="K395" s="326" t="s">
        <v>22</v>
      </c>
      <c r="L395" s="327">
        <v>13971587.15</v>
      </c>
    </row>
    <row r="396" spans="1:12" ht="61.2" x14ac:dyDescent="0.3">
      <c r="A396" s="321" t="s">
        <v>81</v>
      </c>
      <c r="B396" s="322" t="s">
        <v>1222</v>
      </c>
      <c r="C396" s="322" t="s">
        <v>174</v>
      </c>
      <c r="D396" s="322" t="s">
        <v>1054</v>
      </c>
      <c r="E396" s="323" t="s">
        <v>175</v>
      </c>
      <c r="F396" s="329" t="s">
        <v>29</v>
      </c>
      <c r="G396" s="329"/>
      <c r="H396" s="323" t="s">
        <v>27</v>
      </c>
      <c r="I396" s="330">
        <v>5452.8</v>
      </c>
      <c r="J396" s="330"/>
      <c r="K396" s="326" t="s">
        <v>22</v>
      </c>
      <c r="L396" s="327">
        <v>13966134.35</v>
      </c>
    </row>
    <row r="397" spans="1:12" ht="61.2" x14ac:dyDescent="0.3">
      <c r="A397" s="321" t="s">
        <v>81</v>
      </c>
      <c r="B397" s="322" t="s">
        <v>1222</v>
      </c>
      <c r="C397" s="322" t="s">
        <v>174</v>
      </c>
      <c r="D397" s="322" t="s">
        <v>1098</v>
      </c>
      <c r="E397" s="323" t="s">
        <v>175</v>
      </c>
      <c r="F397" s="329" t="s">
        <v>29</v>
      </c>
      <c r="G397" s="329"/>
      <c r="H397" s="323" t="s">
        <v>27</v>
      </c>
      <c r="I397" s="330">
        <v>19086</v>
      </c>
      <c r="J397" s="330"/>
      <c r="K397" s="326" t="s">
        <v>22</v>
      </c>
      <c r="L397" s="327">
        <v>13947048.35</v>
      </c>
    </row>
    <row r="398" spans="1:12" ht="61.2" x14ac:dyDescent="0.3">
      <c r="A398" s="321" t="s">
        <v>81</v>
      </c>
      <c r="B398" s="322" t="s">
        <v>1222</v>
      </c>
      <c r="C398" s="322" t="s">
        <v>174</v>
      </c>
      <c r="D398" s="322" t="s">
        <v>1097</v>
      </c>
      <c r="E398" s="323" t="s">
        <v>175</v>
      </c>
      <c r="F398" s="329" t="s">
        <v>29</v>
      </c>
      <c r="G398" s="329"/>
      <c r="H398" s="323" t="s">
        <v>27</v>
      </c>
      <c r="I398" s="330">
        <v>4326.6000000000004</v>
      </c>
      <c r="J398" s="330"/>
      <c r="K398" s="326" t="s">
        <v>22</v>
      </c>
      <c r="L398" s="327">
        <v>13942721.75</v>
      </c>
    </row>
    <row r="399" spans="1:12" ht="61.2" x14ac:dyDescent="0.3">
      <c r="A399" s="321" t="s">
        <v>81</v>
      </c>
      <c r="B399" s="322" t="s">
        <v>1222</v>
      </c>
      <c r="C399" s="322" t="s">
        <v>174</v>
      </c>
      <c r="D399" s="322" t="s">
        <v>1099</v>
      </c>
      <c r="E399" s="323" t="s">
        <v>175</v>
      </c>
      <c r="F399" s="329" t="s">
        <v>29</v>
      </c>
      <c r="G399" s="329"/>
      <c r="H399" s="323" t="s">
        <v>27</v>
      </c>
      <c r="I399" s="330">
        <v>4333.3</v>
      </c>
      <c r="J399" s="330"/>
      <c r="K399" s="326" t="s">
        <v>22</v>
      </c>
      <c r="L399" s="327">
        <v>13938388.449999999</v>
      </c>
    </row>
    <row r="400" spans="1:12" ht="61.2" x14ac:dyDescent="0.3">
      <c r="A400" s="321" t="s">
        <v>81</v>
      </c>
      <c r="B400" s="322" t="s">
        <v>1222</v>
      </c>
      <c r="C400" s="322" t="s">
        <v>174</v>
      </c>
      <c r="D400" s="322" t="s">
        <v>1056</v>
      </c>
      <c r="E400" s="323" t="s">
        <v>175</v>
      </c>
      <c r="F400" s="329" t="s">
        <v>29</v>
      </c>
      <c r="G400" s="329"/>
      <c r="H400" s="323" t="s">
        <v>27</v>
      </c>
      <c r="I400" s="330">
        <v>3711.3</v>
      </c>
      <c r="J400" s="330"/>
      <c r="K400" s="326" t="s">
        <v>22</v>
      </c>
      <c r="L400" s="327">
        <v>13934677.15</v>
      </c>
    </row>
    <row r="401" spans="1:12" ht="61.2" x14ac:dyDescent="0.3">
      <c r="A401" s="321" t="s">
        <v>81</v>
      </c>
      <c r="B401" s="322" t="s">
        <v>1222</v>
      </c>
      <c r="C401" s="322" t="s">
        <v>174</v>
      </c>
      <c r="D401" s="322" t="s">
        <v>1077</v>
      </c>
      <c r="E401" s="323" t="s">
        <v>175</v>
      </c>
      <c r="F401" s="329" t="s">
        <v>29</v>
      </c>
      <c r="G401" s="329"/>
      <c r="H401" s="323" t="s">
        <v>27</v>
      </c>
      <c r="I401" s="330">
        <v>2156.1999999999998</v>
      </c>
      <c r="J401" s="330"/>
      <c r="K401" s="326" t="s">
        <v>22</v>
      </c>
      <c r="L401" s="327">
        <v>13932520.949999999</v>
      </c>
    </row>
    <row r="402" spans="1:12" ht="61.2" x14ac:dyDescent="0.3">
      <c r="A402" s="321" t="s">
        <v>81</v>
      </c>
      <c r="B402" s="322" t="s">
        <v>1222</v>
      </c>
      <c r="C402" s="322" t="s">
        <v>174</v>
      </c>
      <c r="D402" s="322" t="s">
        <v>957</v>
      </c>
      <c r="E402" s="323" t="s">
        <v>175</v>
      </c>
      <c r="F402" s="329" t="s">
        <v>29</v>
      </c>
      <c r="G402" s="329"/>
      <c r="H402" s="323" t="s">
        <v>27</v>
      </c>
      <c r="I402" s="330">
        <v>24773.4</v>
      </c>
      <c r="J402" s="330"/>
      <c r="K402" s="326" t="s">
        <v>22</v>
      </c>
      <c r="L402" s="327">
        <v>13907747.550000001</v>
      </c>
    </row>
    <row r="403" spans="1:12" ht="61.2" x14ac:dyDescent="0.3">
      <c r="A403" s="321" t="s">
        <v>81</v>
      </c>
      <c r="B403" s="322" t="s">
        <v>1222</v>
      </c>
      <c r="C403" s="322" t="s">
        <v>174</v>
      </c>
      <c r="D403" s="322" t="s">
        <v>958</v>
      </c>
      <c r="E403" s="323" t="s">
        <v>175</v>
      </c>
      <c r="F403" s="329" t="s">
        <v>29</v>
      </c>
      <c r="G403" s="329"/>
      <c r="H403" s="323" t="s">
        <v>27</v>
      </c>
      <c r="I403" s="330">
        <v>4694.3</v>
      </c>
      <c r="J403" s="330"/>
      <c r="K403" s="326" t="s">
        <v>22</v>
      </c>
      <c r="L403" s="327">
        <v>13903053.25</v>
      </c>
    </row>
    <row r="404" spans="1:12" ht="61.2" x14ac:dyDescent="0.3">
      <c r="A404" s="321" t="s">
        <v>81</v>
      </c>
      <c r="B404" s="322" t="s">
        <v>1222</v>
      </c>
      <c r="C404" s="322" t="s">
        <v>174</v>
      </c>
      <c r="D404" s="322" t="s">
        <v>1088</v>
      </c>
      <c r="E404" s="323" t="s">
        <v>175</v>
      </c>
      <c r="F404" s="329" t="s">
        <v>29</v>
      </c>
      <c r="G404" s="329"/>
      <c r="H404" s="323" t="s">
        <v>27</v>
      </c>
      <c r="I404" s="330">
        <v>1832.5</v>
      </c>
      <c r="J404" s="330"/>
      <c r="K404" s="326" t="s">
        <v>22</v>
      </c>
      <c r="L404" s="327">
        <v>13901220.75</v>
      </c>
    </row>
    <row r="405" spans="1:12" ht="61.2" x14ac:dyDescent="0.3">
      <c r="A405" s="321" t="s">
        <v>81</v>
      </c>
      <c r="B405" s="322" t="s">
        <v>1222</v>
      </c>
      <c r="C405" s="322" t="s">
        <v>174</v>
      </c>
      <c r="D405" s="322" t="s">
        <v>1091</v>
      </c>
      <c r="E405" s="323" t="s">
        <v>175</v>
      </c>
      <c r="F405" s="329" t="s">
        <v>29</v>
      </c>
      <c r="G405" s="329"/>
      <c r="H405" s="323" t="s">
        <v>27</v>
      </c>
      <c r="I405" s="330">
        <v>1957.1</v>
      </c>
      <c r="J405" s="330"/>
      <c r="K405" s="326" t="s">
        <v>22</v>
      </c>
      <c r="L405" s="327">
        <v>13899263.65</v>
      </c>
    </row>
    <row r="406" spans="1:12" ht="61.2" x14ac:dyDescent="0.3">
      <c r="A406" s="321" t="s">
        <v>81</v>
      </c>
      <c r="B406" s="322" t="s">
        <v>1222</v>
      </c>
      <c r="C406" s="322" t="s">
        <v>174</v>
      </c>
      <c r="D406" s="322" t="s">
        <v>1084</v>
      </c>
      <c r="E406" s="323" t="s">
        <v>175</v>
      </c>
      <c r="F406" s="329" t="s">
        <v>29</v>
      </c>
      <c r="G406" s="329"/>
      <c r="H406" s="323" t="s">
        <v>27</v>
      </c>
      <c r="I406" s="330">
        <v>1932.5</v>
      </c>
      <c r="J406" s="330"/>
      <c r="K406" s="326" t="s">
        <v>22</v>
      </c>
      <c r="L406" s="327">
        <v>13897331.15</v>
      </c>
    </row>
    <row r="407" spans="1:12" ht="61.2" x14ac:dyDescent="0.3">
      <c r="A407" s="321" t="s">
        <v>81</v>
      </c>
      <c r="B407" s="322" t="s">
        <v>1222</v>
      </c>
      <c r="C407" s="322" t="s">
        <v>174</v>
      </c>
      <c r="D407" s="322" t="s">
        <v>1078</v>
      </c>
      <c r="E407" s="323" t="s">
        <v>175</v>
      </c>
      <c r="F407" s="329" t="s">
        <v>29</v>
      </c>
      <c r="G407" s="329"/>
      <c r="H407" s="323" t="s">
        <v>27</v>
      </c>
      <c r="I407" s="330">
        <v>2096.5</v>
      </c>
      <c r="J407" s="330"/>
      <c r="K407" s="326" t="s">
        <v>22</v>
      </c>
      <c r="L407" s="327">
        <v>13895234.65</v>
      </c>
    </row>
    <row r="408" spans="1:12" ht="61.2" x14ac:dyDescent="0.3">
      <c r="A408" s="321" t="s">
        <v>81</v>
      </c>
      <c r="B408" s="322" t="s">
        <v>1222</v>
      </c>
      <c r="C408" s="322" t="s">
        <v>174</v>
      </c>
      <c r="D408" s="322" t="s">
        <v>990</v>
      </c>
      <c r="E408" s="323" t="s">
        <v>175</v>
      </c>
      <c r="F408" s="329" t="s">
        <v>29</v>
      </c>
      <c r="G408" s="329"/>
      <c r="H408" s="323" t="s">
        <v>27</v>
      </c>
      <c r="I408" s="330">
        <v>14618.2</v>
      </c>
      <c r="J408" s="330"/>
      <c r="K408" s="326" t="s">
        <v>22</v>
      </c>
      <c r="L408" s="327">
        <v>13880616.449999999</v>
      </c>
    </row>
    <row r="409" spans="1:12" ht="61.2" x14ac:dyDescent="0.3">
      <c r="A409" s="321" t="s">
        <v>81</v>
      </c>
      <c r="B409" s="322" t="s">
        <v>1222</v>
      </c>
      <c r="C409" s="322" t="s">
        <v>174</v>
      </c>
      <c r="D409" s="322" t="s">
        <v>991</v>
      </c>
      <c r="E409" s="323" t="s">
        <v>175</v>
      </c>
      <c r="F409" s="329" t="s">
        <v>29</v>
      </c>
      <c r="G409" s="329"/>
      <c r="H409" s="323" t="s">
        <v>27</v>
      </c>
      <c r="I409" s="330">
        <v>2987.1</v>
      </c>
      <c r="J409" s="330"/>
      <c r="K409" s="326" t="s">
        <v>22</v>
      </c>
      <c r="L409" s="327">
        <v>13877629.35</v>
      </c>
    </row>
    <row r="410" spans="1:12" ht="61.2" x14ac:dyDescent="0.3">
      <c r="A410" s="321" t="s">
        <v>81</v>
      </c>
      <c r="B410" s="322" t="s">
        <v>1222</v>
      </c>
      <c r="C410" s="322" t="s">
        <v>174</v>
      </c>
      <c r="D410" s="322" t="s">
        <v>1102</v>
      </c>
      <c r="E410" s="323" t="s">
        <v>175</v>
      </c>
      <c r="F410" s="329" t="s">
        <v>29</v>
      </c>
      <c r="G410" s="329"/>
      <c r="H410" s="323" t="s">
        <v>27</v>
      </c>
      <c r="I410" s="330">
        <v>10760.2</v>
      </c>
      <c r="J410" s="330"/>
      <c r="K410" s="326" t="s">
        <v>22</v>
      </c>
      <c r="L410" s="327">
        <v>13866869.15</v>
      </c>
    </row>
    <row r="411" spans="1:12" ht="61.2" x14ac:dyDescent="0.3">
      <c r="A411" s="321" t="s">
        <v>81</v>
      </c>
      <c r="B411" s="322" t="s">
        <v>1222</v>
      </c>
      <c r="C411" s="322" t="s">
        <v>174</v>
      </c>
      <c r="D411" s="322" t="s">
        <v>985</v>
      </c>
      <c r="E411" s="323" t="s">
        <v>175</v>
      </c>
      <c r="F411" s="329" t="s">
        <v>29</v>
      </c>
      <c r="G411" s="329"/>
      <c r="H411" s="323" t="s">
        <v>27</v>
      </c>
      <c r="I411" s="330">
        <v>2620.9</v>
      </c>
      <c r="J411" s="330"/>
      <c r="K411" s="326" t="s">
        <v>22</v>
      </c>
      <c r="L411" s="327">
        <v>13864248.25</v>
      </c>
    </row>
    <row r="412" spans="1:12" ht="61.2" x14ac:dyDescent="0.3">
      <c r="A412" s="321" t="s">
        <v>81</v>
      </c>
      <c r="B412" s="322" t="s">
        <v>1222</v>
      </c>
      <c r="C412" s="322" t="s">
        <v>174</v>
      </c>
      <c r="D412" s="322" t="s">
        <v>1058</v>
      </c>
      <c r="E412" s="323" t="s">
        <v>175</v>
      </c>
      <c r="F412" s="329" t="s">
        <v>29</v>
      </c>
      <c r="G412" s="329"/>
      <c r="H412" s="323" t="s">
        <v>27</v>
      </c>
      <c r="I412" s="330">
        <v>13757</v>
      </c>
      <c r="J412" s="330"/>
      <c r="K412" s="326" t="s">
        <v>22</v>
      </c>
      <c r="L412" s="327">
        <v>13850491.25</v>
      </c>
    </row>
    <row r="413" spans="1:12" ht="61.2" x14ac:dyDescent="0.3">
      <c r="A413" s="321" t="s">
        <v>81</v>
      </c>
      <c r="B413" s="322" t="s">
        <v>1222</v>
      </c>
      <c r="C413" s="322" t="s">
        <v>174</v>
      </c>
      <c r="D413" s="322" t="s">
        <v>1055</v>
      </c>
      <c r="E413" s="323" t="s">
        <v>175</v>
      </c>
      <c r="F413" s="329" t="s">
        <v>29</v>
      </c>
      <c r="G413" s="329"/>
      <c r="H413" s="323" t="s">
        <v>27</v>
      </c>
      <c r="I413" s="330">
        <v>14126</v>
      </c>
      <c r="J413" s="330"/>
      <c r="K413" s="326" t="s">
        <v>22</v>
      </c>
      <c r="L413" s="327">
        <v>13836365.25</v>
      </c>
    </row>
    <row r="414" spans="1:12" ht="61.2" x14ac:dyDescent="0.3">
      <c r="A414" s="321" t="s">
        <v>81</v>
      </c>
      <c r="B414" s="322" t="s">
        <v>1222</v>
      </c>
      <c r="C414" s="322" t="s">
        <v>174</v>
      </c>
      <c r="D414" s="322" t="s">
        <v>1057</v>
      </c>
      <c r="E414" s="323" t="s">
        <v>175</v>
      </c>
      <c r="F414" s="329" t="s">
        <v>29</v>
      </c>
      <c r="G414" s="329"/>
      <c r="H414" s="323" t="s">
        <v>27</v>
      </c>
      <c r="I414" s="330">
        <v>2825.2</v>
      </c>
      <c r="J414" s="330"/>
      <c r="K414" s="326" t="s">
        <v>22</v>
      </c>
      <c r="L414" s="327">
        <v>13833540.050000001</v>
      </c>
    </row>
    <row r="415" spans="1:12" ht="61.2" x14ac:dyDescent="0.3">
      <c r="A415" s="321" t="s">
        <v>81</v>
      </c>
      <c r="B415" s="322" t="s">
        <v>1222</v>
      </c>
      <c r="C415" s="322" t="s">
        <v>174</v>
      </c>
      <c r="D415" s="322" t="s">
        <v>1082</v>
      </c>
      <c r="E415" s="323" t="s">
        <v>175</v>
      </c>
      <c r="F415" s="329" t="s">
        <v>29</v>
      </c>
      <c r="G415" s="329"/>
      <c r="H415" s="323" t="s">
        <v>27</v>
      </c>
      <c r="I415" s="330">
        <v>1448.4</v>
      </c>
      <c r="J415" s="330"/>
      <c r="K415" s="326" t="s">
        <v>22</v>
      </c>
      <c r="L415" s="327">
        <v>13832091.65</v>
      </c>
    </row>
    <row r="416" spans="1:12" ht="61.2" x14ac:dyDescent="0.3">
      <c r="A416" s="321" t="s">
        <v>81</v>
      </c>
      <c r="B416" s="322" t="s">
        <v>1222</v>
      </c>
      <c r="C416" s="322" t="s">
        <v>174</v>
      </c>
      <c r="D416" s="322" t="s">
        <v>1049</v>
      </c>
      <c r="E416" s="323" t="s">
        <v>175</v>
      </c>
      <c r="F416" s="329" t="s">
        <v>29</v>
      </c>
      <c r="G416" s="329"/>
      <c r="H416" s="323" t="s">
        <v>27</v>
      </c>
      <c r="I416" s="330">
        <v>2385.9</v>
      </c>
      <c r="J416" s="330"/>
      <c r="K416" s="326" t="s">
        <v>22</v>
      </c>
      <c r="L416" s="327">
        <v>13829705.75</v>
      </c>
    </row>
    <row r="417" spans="1:12" ht="61.2" x14ac:dyDescent="0.3">
      <c r="A417" s="321" t="s">
        <v>81</v>
      </c>
      <c r="B417" s="322" t="s">
        <v>1222</v>
      </c>
      <c r="C417" s="322" t="s">
        <v>174</v>
      </c>
      <c r="D417" s="322" t="s">
        <v>982</v>
      </c>
      <c r="E417" s="323" t="s">
        <v>175</v>
      </c>
      <c r="F417" s="329" t="s">
        <v>29</v>
      </c>
      <c r="G417" s="329"/>
      <c r="H417" s="323" t="s">
        <v>27</v>
      </c>
      <c r="I417" s="330">
        <v>2369.5</v>
      </c>
      <c r="J417" s="330"/>
      <c r="K417" s="326" t="s">
        <v>22</v>
      </c>
      <c r="L417" s="327">
        <v>13827336.25</v>
      </c>
    </row>
    <row r="418" spans="1:12" ht="61.2" x14ac:dyDescent="0.3">
      <c r="A418" s="321" t="s">
        <v>81</v>
      </c>
      <c r="B418" s="322" t="s">
        <v>1222</v>
      </c>
      <c r="C418" s="322" t="s">
        <v>174</v>
      </c>
      <c r="D418" s="322" t="s">
        <v>976</v>
      </c>
      <c r="E418" s="323" t="s">
        <v>175</v>
      </c>
      <c r="F418" s="329" t="s">
        <v>29</v>
      </c>
      <c r="G418" s="329"/>
      <c r="H418" s="323" t="s">
        <v>27</v>
      </c>
      <c r="I418" s="330">
        <v>4654</v>
      </c>
      <c r="J418" s="330"/>
      <c r="K418" s="326" t="s">
        <v>22</v>
      </c>
      <c r="L418" s="327">
        <v>13822682.25</v>
      </c>
    </row>
    <row r="419" spans="1:12" ht="61.2" x14ac:dyDescent="0.3">
      <c r="A419" s="321" t="s">
        <v>81</v>
      </c>
      <c r="B419" s="322" t="s">
        <v>1222</v>
      </c>
      <c r="C419" s="322" t="s">
        <v>174</v>
      </c>
      <c r="D419" s="322" t="s">
        <v>1126</v>
      </c>
      <c r="E419" s="323" t="s">
        <v>175</v>
      </c>
      <c r="F419" s="329" t="s">
        <v>29</v>
      </c>
      <c r="G419" s="329"/>
      <c r="H419" s="323" t="s">
        <v>27</v>
      </c>
      <c r="I419" s="330">
        <v>3100.4</v>
      </c>
      <c r="J419" s="330"/>
      <c r="K419" s="326" t="s">
        <v>22</v>
      </c>
      <c r="L419" s="327">
        <v>13819581.85</v>
      </c>
    </row>
    <row r="420" spans="1:12" ht="61.2" x14ac:dyDescent="0.3">
      <c r="A420" s="321" t="s">
        <v>81</v>
      </c>
      <c r="B420" s="322" t="s">
        <v>1222</v>
      </c>
      <c r="C420" s="322" t="s">
        <v>174</v>
      </c>
      <c r="D420" s="322" t="s">
        <v>1065</v>
      </c>
      <c r="E420" s="323" t="s">
        <v>175</v>
      </c>
      <c r="F420" s="329" t="s">
        <v>29</v>
      </c>
      <c r="G420" s="329"/>
      <c r="H420" s="323" t="s">
        <v>27</v>
      </c>
      <c r="I420" s="330">
        <v>2576.9</v>
      </c>
      <c r="J420" s="330"/>
      <c r="K420" s="326" t="s">
        <v>22</v>
      </c>
      <c r="L420" s="327">
        <v>13817004.949999999</v>
      </c>
    </row>
    <row r="421" spans="1:12" ht="61.2" x14ac:dyDescent="0.3">
      <c r="A421" s="321" t="s">
        <v>81</v>
      </c>
      <c r="B421" s="322" t="s">
        <v>1222</v>
      </c>
      <c r="C421" s="322" t="s">
        <v>174</v>
      </c>
      <c r="D421" s="322" t="s">
        <v>1113</v>
      </c>
      <c r="E421" s="323" t="s">
        <v>175</v>
      </c>
      <c r="F421" s="329" t="s">
        <v>29</v>
      </c>
      <c r="G421" s="329"/>
      <c r="H421" s="323" t="s">
        <v>27</v>
      </c>
      <c r="I421" s="330">
        <v>1719.2</v>
      </c>
      <c r="J421" s="330"/>
      <c r="K421" s="326" t="s">
        <v>22</v>
      </c>
      <c r="L421" s="327">
        <v>13815285.75</v>
      </c>
    </row>
    <row r="422" spans="1:12" ht="61.2" x14ac:dyDescent="0.3">
      <c r="A422" s="321" t="s">
        <v>81</v>
      </c>
      <c r="B422" s="322" t="s">
        <v>1222</v>
      </c>
      <c r="C422" s="322" t="s">
        <v>174</v>
      </c>
      <c r="D422" s="322" t="s">
        <v>1139</v>
      </c>
      <c r="E422" s="323" t="s">
        <v>175</v>
      </c>
      <c r="F422" s="329" t="s">
        <v>29</v>
      </c>
      <c r="G422" s="329"/>
      <c r="H422" s="323" t="s">
        <v>27</v>
      </c>
      <c r="I422" s="330">
        <v>2790.2</v>
      </c>
      <c r="J422" s="330"/>
      <c r="K422" s="326" t="s">
        <v>22</v>
      </c>
      <c r="L422" s="327">
        <v>13812495.550000001</v>
      </c>
    </row>
    <row r="423" spans="1:12" ht="61.2" x14ac:dyDescent="0.3">
      <c r="A423" s="321" t="s">
        <v>81</v>
      </c>
      <c r="B423" s="322" t="s">
        <v>1222</v>
      </c>
      <c r="C423" s="322" t="s">
        <v>174</v>
      </c>
      <c r="D423" s="322" t="s">
        <v>996</v>
      </c>
      <c r="E423" s="323" t="s">
        <v>175</v>
      </c>
      <c r="F423" s="329" t="s">
        <v>29</v>
      </c>
      <c r="G423" s="329"/>
      <c r="H423" s="323" t="s">
        <v>27</v>
      </c>
      <c r="I423" s="330">
        <v>3101.9</v>
      </c>
      <c r="J423" s="330"/>
      <c r="K423" s="326" t="s">
        <v>22</v>
      </c>
      <c r="L423" s="327">
        <v>13809393.65</v>
      </c>
    </row>
    <row r="424" spans="1:12" ht="61.2" x14ac:dyDescent="0.3">
      <c r="A424" s="321" t="s">
        <v>81</v>
      </c>
      <c r="B424" s="322" t="s">
        <v>1222</v>
      </c>
      <c r="C424" s="322" t="s">
        <v>174</v>
      </c>
      <c r="D424" s="322" t="s">
        <v>992</v>
      </c>
      <c r="E424" s="323" t="s">
        <v>175</v>
      </c>
      <c r="F424" s="329" t="s">
        <v>29</v>
      </c>
      <c r="G424" s="329"/>
      <c r="H424" s="323" t="s">
        <v>27</v>
      </c>
      <c r="I424" s="330">
        <v>31873.1</v>
      </c>
      <c r="J424" s="330"/>
      <c r="K424" s="326" t="s">
        <v>22</v>
      </c>
      <c r="L424" s="327">
        <v>13777520.550000001</v>
      </c>
    </row>
    <row r="425" spans="1:12" ht="61.2" x14ac:dyDescent="0.3">
      <c r="A425" s="321" t="s">
        <v>81</v>
      </c>
      <c r="B425" s="322" t="s">
        <v>1222</v>
      </c>
      <c r="C425" s="322" t="s">
        <v>174</v>
      </c>
      <c r="D425" s="322" t="s">
        <v>1093</v>
      </c>
      <c r="E425" s="323" t="s">
        <v>175</v>
      </c>
      <c r="F425" s="329" t="s">
        <v>29</v>
      </c>
      <c r="G425" s="329"/>
      <c r="H425" s="323" t="s">
        <v>27</v>
      </c>
      <c r="I425" s="330">
        <v>3547.9</v>
      </c>
      <c r="J425" s="330"/>
      <c r="K425" s="326" t="s">
        <v>22</v>
      </c>
      <c r="L425" s="327">
        <v>13773972.65</v>
      </c>
    </row>
    <row r="426" spans="1:12" ht="61.2" x14ac:dyDescent="0.3">
      <c r="A426" s="321" t="s">
        <v>81</v>
      </c>
      <c r="B426" s="322" t="s">
        <v>1222</v>
      </c>
      <c r="C426" s="322" t="s">
        <v>174</v>
      </c>
      <c r="D426" s="322" t="s">
        <v>1124</v>
      </c>
      <c r="E426" s="323" t="s">
        <v>175</v>
      </c>
      <c r="F426" s="329" t="s">
        <v>29</v>
      </c>
      <c r="G426" s="329"/>
      <c r="H426" s="323" t="s">
        <v>27</v>
      </c>
      <c r="I426" s="330">
        <v>2224.1</v>
      </c>
      <c r="J426" s="330"/>
      <c r="K426" s="326" t="s">
        <v>22</v>
      </c>
      <c r="L426" s="327">
        <v>13771748.550000001</v>
      </c>
    </row>
    <row r="427" spans="1:12" ht="61.2" x14ac:dyDescent="0.3">
      <c r="A427" s="321" t="s">
        <v>81</v>
      </c>
      <c r="B427" s="322" t="s">
        <v>1222</v>
      </c>
      <c r="C427" s="322" t="s">
        <v>174</v>
      </c>
      <c r="D427" s="322" t="s">
        <v>1060</v>
      </c>
      <c r="E427" s="323" t="s">
        <v>175</v>
      </c>
      <c r="F427" s="329" t="s">
        <v>29</v>
      </c>
      <c r="G427" s="329"/>
      <c r="H427" s="323" t="s">
        <v>27</v>
      </c>
      <c r="I427" s="330">
        <v>3039.3</v>
      </c>
      <c r="J427" s="330"/>
      <c r="K427" s="326" t="s">
        <v>22</v>
      </c>
      <c r="L427" s="327">
        <v>13768709.25</v>
      </c>
    </row>
    <row r="428" spans="1:12" ht="61.2" x14ac:dyDescent="0.3">
      <c r="A428" s="321" t="s">
        <v>81</v>
      </c>
      <c r="B428" s="322" t="s">
        <v>1222</v>
      </c>
      <c r="C428" s="322" t="s">
        <v>174</v>
      </c>
      <c r="D428" s="322" t="s">
        <v>1067</v>
      </c>
      <c r="E428" s="323" t="s">
        <v>175</v>
      </c>
      <c r="F428" s="329" t="s">
        <v>29</v>
      </c>
      <c r="G428" s="329"/>
      <c r="H428" s="323" t="s">
        <v>27</v>
      </c>
      <c r="I428" s="330">
        <v>1975.7</v>
      </c>
      <c r="J428" s="330"/>
      <c r="K428" s="326" t="s">
        <v>22</v>
      </c>
      <c r="L428" s="327">
        <v>13766733.550000001</v>
      </c>
    </row>
    <row r="429" spans="1:12" ht="61.2" x14ac:dyDescent="0.3">
      <c r="A429" s="321" t="s">
        <v>81</v>
      </c>
      <c r="B429" s="322" t="s">
        <v>1222</v>
      </c>
      <c r="C429" s="322" t="s">
        <v>174</v>
      </c>
      <c r="D429" s="322" t="s">
        <v>987</v>
      </c>
      <c r="E429" s="323" t="s">
        <v>175</v>
      </c>
      <c r="F429" s="329" t="s">
        <v>29</v>
      </c>
      <c r="G429" s="329"/>
      <c r="H429" s="323" t="s">
        <v>27</v>
      </c>
      <c r="I429" s="330">
        <v>2935.6</v>
      </c>
      <c r="J429" s="330"/>
      <c r="K429" s="326" t="s">
        <v>22</v>
      </c>
      <c r="L429" s="327">
        <v>13763797.949999999</v>
      </c>
    </row>
    <row r="430" spans="1:12" ht="61.2" x14ac:dyDescent="0.3">
      <c r="A430" s="321" t="s">
        <v>81</v>
      </c>
      <c r="B430" s="322" t="s">
        <v>1222</v>
      </c>
      <c r="C430" s="322" t="s">
        <v>174</v>
      </c>
      <c r="D430" s="322" t="s">
        <v>964</v>
      </c>
      <c r="E430" s="323" t="s">
        <v>175</v>
      </c>
      <c r="F430" s="329" t="s">
        <v>29</v>
      </c>
      <c r="G430" s="329"/>
      <c r="H430" s="323" t="s">
        <v>27</v>
      </c>
      <c r="I430" s="330">
        <v>18874.7</v>
      </c>
      <c r="J430" s="330"/>
      <c r="K430" s="326" t="s">
        <v>22</v>
      </c>
      <c r="L430" s="327">
        <v>13744923.25</v>
      </c>
    </row>
    <row r="431" spans="1:12" ht="61.2" x14ac:dyDescent="0.3">
      <c r="A431" s="321" t="s">
        <v>81</v>
      </c>
      <c r="B431" s="322" t="s">
        <v>1222</v>
      </c>
      <c r="C431" s="322" t="s">
        <v>174</v>
      </c>
      <c r="D431" s="322" t="s">
        <v>1127</v>
      </c>
      <c r="E431" s="323" t="s">
        <v>175</v>
      </c>
      <c r="F431" s="329" t="s">
        <v>29</v>
      </c>
      <c r="G431" s="329"/>
      <c r="H431" s="323" t="s">
        <v>27</v>
      </c>
      <c r="I431" s="330">
        <v>3793.3</v>
      </c>
      <c r="J431" s="330"/>
      <c r="K431" s="326" t="s">
        <v>22</v>
      </c>
      <c r="L431" s="327">
        <v>13741129.949999999</v>
      </c>
    </row>
    <row r="432" spans="1:12" ht="61.2" x14ac:dyDescent="0.3">
      <c r="A432" s="321" t="s">
        <v>81</v>
      </c>
      <c r="B432" s="322" t="s">
        <v>1222</v>
      </c>
      <c r="C432" s="322" t="s">
        <v>174</v>
      </c>
      <c r="D432" s="322" t="s">
        <v>1129</v>
      </c>
      <c r="E432" s="323" t="s">
        <v>175</v>
      </c>
      <c r="F432" s="329" t="s">
        <v>29</v>
      </c>
      <c r="G432" s="329"/>
      <c r="H432" s="323" t="s">
        <v>27</v>
      </c>
      <c r="I432" s="330">
        <v>4380.3</v>
      </c>
      <c r="J432" s="330"/>
      <c r="K432" s="326" t="s">
        <v>22</v>
      </c>
      <c r="L432" s="327">
        <v>13736749.65</v>
      </c>
    </row>
    <row r="433" spans="1:12" ht="61.2" x14ac:dyDescent="0.3">
      <c r="A433" s="321" t="s">
        <v>81</v>
      </c>
      <c r="B433" s="322" t="s">
        <v>1222</v>
      </c>
      <c r="C433" s="322" t="s">
        <v>174</v>
      </c>
      <c r="D433" s="322" t="s">
        <v>965</v>
      </c>
      <c r="E433" s="323" t="s">
        <v>175</v>
      </c>
      <c r="F433" s="329" t="s">
        <v>29</v>
      </c>
      <c r="G433" s="329"/>
      <c r="H433" s="323" t="s">
        <v>27</v>
      </c>
      <c r="I433" s="330">
        <v>4609.3</v>
      </c>
      <c r="J433" s="330"/>
      <c r="K433" s="326" t="s">
        <v>22</v>
      </c>
      <c r="L433" s="327">
        <v>13732140.35</v>
      </c>
    </row>
    <row r="434" spans="1:12" ht="61.2" x14ac:dyDescent="0.3">
      <c r="A434" s="321" t="s">
        <v>81</v>
      </c>
      <c r="B434" s="322" t="s">
        <v>1222</v>
      </c>
      <c r="C434" s="322" t="s">
        <v>174</v>
      </c>
      <c r="D434" s="322" t="s">
        <v>970</v>
      </c>
      <c r="E434" s="323" t="s">
        <v>175</v>
      </c>
      <c r="F434" s="329" t="s">
        <v>29</v>
      </c>
      <c r="G434" s="329"/>
      <c r="H434" s="323" t="s">
        <v>27</v>
      </c>
      <c r="I434" s="330">
        <v>1815.4</v>
      </c>
      <c r="J434" s="330"/>
      <c r="K434" s="326" t="s">
        <v>22</v>
      </c>
      <c r="L434" s="327">
        <v>13730324.949999999</v>
      </c>
    </row>
    <row r="435" spans="1:12" ht="61.2" x14ac:dyDescent="0.3">
      <c r="A435" s="321" t="s">
        <v>81</v>
      </c>
      <c r="B435" s="322" t="s">
        <v>1222</v>
      </c>
      <c r="C435" s="322" t="s">
        <v>174</v>
      </c>
      <c r="D435" s="322" t="s">
        <v>1128</v>
      </c>
      <c r="E435" s="323" t="s">
        <v>175</v>
      </c>
      <c r="F435" s="329" t="s">
        <v>29</v>
      </c>
      <c r="G435" s="329"/>
      <c r="H435" s="323" t="s">
        <v>27</v>
      </c>
      <c r="I435" s="330">
        <v>3225.7</v>
      </c>
      <c r="J435" s="330"/>
      <c r="K435" s="326" t="s">
        <v>22</v>
      </c>
      <c r="L435" s="327">
        <v>13727099.25</v>
      </c>
    </row>
    <row r="436" spans="1:12" ht="61.2" x14ac:dyDescent="0.3">
      <c r="A436" s="321" t="s">
        <v>81</v>
      </c>
      <c r="B436" s="322" t="s">
        <v>1222</v>
      </c>
      <c r="C436" s="322" t="s">
        <v>174</v>
      </c>
      <c r="D436" s="322" t="s">
        <v>1031</v>
      </c>
      <c r="E436" s="323" t="s">
        <v>175</v>
      </c>
      <c r="F436" s="329" t="s">
        <v>29</v>
      </c>
      <c r="G436" s="329"/>
      <c r="H436" s="323" t="s">
        <v>27</v>
      </c>
      <c r="I436" s="330">
        <v>5423</v>
      </c>
      <c r="J436" s="330"/>
      <c r="K436" s="326" t="s">
        <v>22</v>
      </c>
      <c r="L436" s="327">
        <v>13721676.25</v>
      </c>
    </row>
    <row r="437" spans="1:12" ht="61.2" x14ac:dyDescent="0.3">
      <c r="A437" s="321" t="s">
        <v>81</v>
      </c>
      <c r="B437" s="322" t="s">
        <v>1222</v>
      </c>
      <c r="C437" s="322" t="s">
        <v>174</v>
      </c>
      <c r="D437" s="322" t="s">
        <v>1013</v>
      </c>
      <c r="E437" s="323" t="s">
        <v>175</v>
      </c>
      <c r="F437" s="329" t="s">
        <v>29</v>
      </c>
      <c r="G437" s="329"/>
      <c r="H437" s="323" t="s">
        <v>27</v>
      </c>
      <c r="I437" s="330">
        <v>3393.5</v>
      </c>
      <c r="J437" s="330"/>
      <c r="K437" s="326" t="s">
        <v>22</v>
      </c>
      <c r="L437" s="327">
        <v>13718282.75</v>
      </c>
    </row>
    <row r="438" spans="1:12" ht="61.2" x14ac:dyDescent="0.3">
      <c r="A438" s="321" t="s">
        <v>81</v>
      </c>
      <c r="B438" s="322" t="s">
        <v>1222</v>
      </c>
      <c r="C438" s="322" t="s">
        <v>174</v>
      </c>
      <c r="D438" s="322" t="s">
        <v>1061</v>
      </c>
      <c r="E438" s="323" t="s">
        <v>175</v>
      </c>
      <c r="F438" s="329" t="s">
        <v>29</v>
      </c>
      <c r="G438" s="329"/>
      <c r="H438" s="323" t="s">
        <v>27</v>
      </c>
      <c r="I438" s="330">
        <v>10294.799999999999</v>
      </c>
      <c r="J438" s="330"/>
      <c r="K438" s="326" t="s">
        <v>22</v>
      </c>
      <c r="L438" s="327">
        <v>13707987.949999999</v>
      </c>
    </row>
    <row r="439" spans="1:12" ht="61.2" x14ac:dyDescent="0.3">
      <c r="A439" s="321" t="s">
        <v>81</v>
      </c>
      <c r="B439" s="322" t="s">
        <v>1222</v>
      </c>
      <c r="C439" s="322" t="s">
        <v>174</v>
      </c>
      <c r="D439" s="322" t="s">
        <v>1062</v>
      </c>
      <c r="E439" s="323" t="s">
        <v>175</v>
      </c>
      <c r="F439" s="329" t="s">
        <v>29</v>
      </c>
      <c r="G439" s="329"/>
      <c r="H439" s="323" t="s">
        <v>27</v>
      </c>
      <c r="I439" s="330">
        <v>2731.2</v>
      </c>
      <c r="J439" s="330"/>
      <c r="K439" s="326" t="s">
        <v>22</v>
      </c>
      <c r="L439" s="327">
        <v>13705256.75</v>
      </c>
    </row>
    <row r="440" spans="1:12" ht="61.2" x14ac:dyDescent="0.3">
      <c r="A440" s="321" t="s">
        <v>81</v>
      </c>
      <c r="B440" s="322" t="s">
        <v>1222</v>
      </c>
      <c r="C440" s="322" t="s">
        <v>174</v>
      </c>
      <c r="D440" s="322" t="s">
        <v>1115</v>
      </c>
      <c r="E440" s="323" t="s">
        <v>175</v>
      </c>
      <c r="F440" s="329" t="s">
        <v>29</v>
      </c>
      <c r="G440" s="329"/>
      <c r="H440" s="323" t="s">
        <v>27</v>
      </c>
      <c r="I440" s="330">
        <v>13798</v>
      </c>
      <c r="J440" s="330"/>
      <c r="K440" s="326" t="s">
        <v>22</v>
      </c>
      <c r="L440" s="327">
        <v>13691458.75</v>
      </c>
    </row>
    <row r="441" spans="1:12" ht="61.2" x14ac:dyDescent="0.3">
      <c r="A441" s="321" t="s">
        <v>81</v>
      </c>
      <c r="B441" s="322" t="s">
        <v>1222</v>
      </c>
      <c r="C441" s="322" t="s">
        <v>174</v>
      </c>
      <c r="D441" s="322" t="s">
        <v>1116</v>
      </c>
      <c r="E441" s="323" t="s">
        <v>175</v>
      </c>
      <c r="F441" s="329" t="s">
        <v>29</v>
      </c>
      <c r="G441" s="329"/>
      <c r="H441" s="323" t="s">
        <v>27</v>
      </c>
      <c r="I441" s="330">
        <v>2274.8000000000002</v>
      </c>
      <c r="J441" s="330"/>
      <c r="K441" s="326" t="s">
        <v>22</v>
      </c>
      <c r="L441" s="327">
        <v>13689183.949999999</v>
      </c>
    </row>
    <row r="442" spans="1:12" ht="61.2" x14ac:dyDescent="0.3">
      <c r="A442" s="321" t="s">
        <v>81</v>
      </c>
      <c r="B442" s="322" t="s">
        <v>1222</v>
      </c>
      <c r="C442" s="322" t="s">
        <v>174</v>
      </c>
      <c r="D442" s="322" t="s">
        <v>973</v>
      </c>
      <c r="E442" s="323" t="s">
        <v>175</v>
      </c>
      <c r="F442" s="329" t="s">
        <v>29</v>
      </c>
      <c r="G442" s="329"/>
      <c r="H442" s="323" t="s">
        <v>27</v>
      </c>
      <c r="I442" s="330">
        <v>20916</v>
      </c>
      <c r="J442" s="330"/>
      <c r="K442" s="326" t="s">
        <v>22</v>
      </c>
      <c r="L442" s="327">
        <v>13668267.949999999</v>
      </c>
    </row>
    <row r="443" spans="1:12" ht="61.2" x14ac:dyDescent="0.3">
      <c r="A443" s="321" t="s">
        <v>81</v>
      </c>
      <c r="B443" s="322" t="s">
        <v>1222</v>
      </c>
      <c r="C443" s="322" t="s">
        <v>174</v>
      </c>
      <c r="D443" s="322" t="s">
        <v>974</v>
      </c>
      <c r="E443" s="323" t="s">
        <v>175</v>
      </c>
      <c r="F443" s="329" t="s">
        <v>29</v>
      </c>
      <c r="G443" s="329"/>
      <c r="H443" s="323" t="s">
        <v>27</v>
      </c>
      <c r="I443" s="330">
        <v>3958.9</v>
      </c>
      <c r="J443" s="330"/>
      <c r="K443" s="326" t="s">
        <v>22</v>
      </c>
      <c r="L443" s="327">
        <v>13664309.050000001</v>
      </c>
    </row>
    <row r="444" spans="1:12" ht="61.2" x14ac:dyDescent="0.3">
      <c r="A444" s="321" t="s">
        <v>81</v>
      </c>
      <c r="B444" s="322" t="s">
        <v>1222</v>
      </c>
      <c r="C444" s="322" t="s">
        <v>174</v>
      </c>
      <c r="D444" s="322" t="s">
        <v>1142</v>
      </c>
      <c r="E444" s="323" t="s">
        <v>175</v>
      </c>
      <c r="F444" s="329" t="s">
        <v>29</v>
      </c>
      <c r="G444" s="329"/>
      <c r="H444" s="323" t="s">
        <v>27</v>
      </c>
      <c r="I444" s="330">
        <v>17699.5</v>
      </c>
      <c r="J444" s="330"/>
      <c r="K444" s="326" t="s">
        <v>22</v>
      </c>
      <c r="L444" s="327">
        <v>13646609.550000001</v>
      </c>
    </row>
    <row r="445" spans="1:12" ht="61.2" x14ac:dyDescent="0.3">
      <c r="A445" s="321" t="s">
        <v>81</v>
      </c>
      <c r="B445" s="322" t="s">
        <v>1222</v>
      </c>
      <c r="C445" s="322" t="s">
        <v>174</v>
      </c>
      <c r="D445" s="322" t="s">
        <v>1144</v>
      </c>
      <c r="E445" s="323" t="s">
        <v>175</v>
      </c>
      <c r="F445" s="329" t="s">
        <v>29</v>
      </c>
      <c r="G445" s="329"/>
      <c r="H445" s="323" t="s">
        <v>27</v>
      </c>
      <c r="I445" s="330">
        <v>3789.6</v>
      </c>
      <c r="J445" s="330"/>
      <c r="K445" s="326" t="s">
        <v>22</v>
      </c>
      <c r="L445" s="327">
        <v>13642819.949999999</v>
      </c>
    </row>
    <row r="446" spans="1:12" ht="61.2" x14ac:dyDescent="0.3">
      <c r="A446" s="321" t="s">
        <v>81</v>
      </c>
      <c r="B446" s="322" t="s">
        <v>1222</v>
      </c>
      <c r="C446" s="322" t="s">
        <v>174</v>
      </c>
      <c r="D446" s="322" t="s">
        <v>1069</v>
      </c>
      <c r="E446" s="323" t="s">
        <v>175</v>
      </c>
      <c r="F446" s="329" t="s">
        <v>29</v>
      </c>
      <c r="G446" s="329"/>
      <c r="H446" s="323" t="s">
        <v>27</v>
      </c>
      <c r="I446" s="330">
        <v>17636.900000000001</v>
      </c>
      <c r="J446" s="330"/>
      <c r="K446" s="326" t="s">
        <v>22</v>
      </c>
      <c r="L446" s="327">
        <v>13625183.050000001</v>
      </c>
    </row>
    <row r="447" spans="1:12" ht="61.2" x14ac:dyDescent="0.3">
      <c r="A447" s="321" t="s">
        <v>81</v>
      </c>
      <c r="B447" s="322" t="s">
        <v>1222</v>
      </c>
      <c r="C447" s="322" t="s">
        <v>174</v>
      </c>
      <c r="D447" s="322" t="s">
        <v>1071</v>
      </c>
      <c r="E447" s="323" t="s">
        <v>175</v>
      </c>
      <c r="F447" s="329" t="s">
        <v>29</v>
      </c>
      <c r="G447" s="329"/>
      <c r="H447" s="323" t="s">
        <v>27</v>
      </c>
      <c r="I447" s="330">
        <v>3662.8</v>
      </c>
      <c r="J447" s="330"/>
      <c r="K447" s="326" t="s">
        <v>22</v>
      </c>
      <c r="L447" s="327">
        <v>13621520.25</v>
      </c>
    </row>
    <row r="448" spans="1:12" ht="61.2" x14ac:dyDescent="0.3">
      <c r="A448" s="321" t="s">
        <v>81</v>
      </c>
      <c r="B448" s="322" t="s">
        <v>1222</v>
      </c>
      <c r="C448" s="322" t="s">
        <v>174</v>
      </c>
      <c r="D448" s="322" t="s">
        <v>1012</v>
      </c>
      <c r="E448" s="323" t="s">
        <v>175</v>
      </c>
      <c r="F448" s="329" t="s">
        <v>29</v>
      </c>
      <c r="G448" s="329"/>
      <c r="H448" s="323" t="s">
        <v>27</v>
      </c>
      <c r="I448" s="330">
        <v>44295.9</v>
      </c>
      <c r="J448" s="330"/>
      <c r="K448" s="326" t="s">
        <v>22</v>
      </c>
      <c r="L448" s="327">
        <v>13577224.35</v>
      </c>
    </row>
    <row r="449" spans="1:12" ht="61.2" x14ac:dyDescent="0.3">
      <c r="A449" s="321" t="s">
        <v>81</v>
      </c>
      <c r="B449" s="322" t="s">
        <v>1222</v>
      </c>
      <c r="C449" s="322" t="s">
        <v>174</v>
      </c>
      <c r="D449" s="322" t="s">
        <v>1010</v>
      </c>
      <c r="E449" s="323" t="s">
        <v>175</v>
      </c>
      <c r="F449" s="329" t="s">
        <v>29</v>
      </c>
      <c r="G449" s="329"/>
      <c r="H449" s="323" t="s">
        <v>27</v>
      </c>
      <c r="I449" s="330">
        <v>3450.2</v>
      </c>
      <c r="J449" s="330"/>
      <c r="K449" s="326" t="s">
        <v>22</v>
      </c>
      <c r="L449" s="327">
        <v>13573774.15</v>
      </c>
    </row>
    <row r="450" spans="1:12" ht="61.2" x14ac:dyDescent="0.3">
      <c r="A450" s="321" t="s">
        <v>81</v>
      </c>
      <c r="B450" s="322" t="s">
        <v>1222</v>
      </c>
      <c r="C450" s="322" t="s">
        <v>174</v>
      </c>
      <c r="D450" s="322" t="s">
        <v>1011</v>
      </c>
      <c r="E450" s="323" t="s">
        <v>175</v>
      </c>
      <c r="F450" s="329" t="s">
        <v>29</v>
      </c>
      <c r="G450" s="329"/>
      <c r="H450" s="323" t="s">
        <v>27</v>
      </c>
      <c r="I450" s="330">
        <v>17889</v>
      </c>
      <c r="J450" s="330"/>
      <c r="K450" s="326" t="s">
        <v>22</v>
      </c>
      <c r="L450" s="327">
        <v>13555885.15</v>
      </c>
    </row>
    <row r="451" spans="1:12" ht="61.2" x14ac:dyDescent="0.3">
      <c r="A451" s="321" t="s">
        <v>81</v>
      </c>
      <c r="B451" s="322" t="s">
        <v>1222</v>
      </c>
      <c r="C451" s="322" t="s">
        <v>174</v>
      </c>
      <c r="D451" s="322" t="s">
        <v>999</v>
      </c>
      <c r="E451" s="323" t="s">
        <v>175</v>
      </c>
      <c r="F451" s="329" t="s">
        <v>29</v>
      </c>
      <c r="G451" s="329"/>
      <c r="H451" s="323" t="s">
        <v>27</v>
      </c>
      <c r="I451" s="330">
        <v>3466.6</v>
      </c>
      <c r="J451" s="330"/>
      <c r="K451" s="326" t="s">
        <v>22</v>
      </c>
      <c r="L451" s="327">
        <v>13552418.550000001</v>
      </c>
    </row>
    <row r="452" spans="1:12" ht="61.2" x14ac:dyDescent="0.3">
      <c r="A452" s="321" t="s">
        <v>81</v>
      </c>
      <c r="B452" s="322" t="s">
        <v>1222</v>
      </c>
      <c r="C452" s="322" t="s">
        <v>174</v>
      </c>
      <c r="D452" s="322" t="s">
        <v>997</v>
      </c>
      <c r="E452" s="323" t="s">
        <v>175</v>
      </c>
      <c r="F452" s="329" t="s">
        <v>29</v>
      </c>
      <c r="G452" s="329"/>
      <c r="H452" s="323" t="s">
        <v>27</v>
      </c>
      <c r="I452" s="330">
        <v>25305.7</v>
      </c>
      <c r="J452" s="330"/>
      <c r="K452" s="326" t="s">
        <v>22</v>
      </c>
      <c r="L452" s="327">
        <v>13527112.85</v>
      </c>
    </row>
    <row r="453" spans="1:12" ht="61.2" x14ac:dyDescent="0.3">
      <c r="A453" s="321" t="s">
        <v>81</v>
      </c>
      <c r="B453" s="322" t="s">
        <v>1222</v>
      </c>
      <c r="C453" s="322" t="s">
        <v>174</v>
      </c>
      <c r="D453" s="322" t="s">
        <v>1006</v>
      </c>
      <c r="E453" s="323" t="s">
        <v>175</v>
      </c>
      <c r="F453" s="329" t="s">
        <v>29</v>
      </c>
      <c r="G453" s="329"/>
      <c r="H453" s="323" t="s">
        <v>27</v>
      </c>
      <c r="I453" s="330">
        <v>3974.6</v>
      </c>
      <c r="J453" s="330"/>
      <c r="K453" s="326" t="s">
        <v>22</v>
      </c>
      <c r="L453" s="327">
        <v>13523138.25</v>
      </c>
    </row>
    <row r="454" spans="1:12" ht="61.2" x14ac:dyDescent="0.3">
      <c r="A454" s="321" t="s">
        <v>81</v>
      </c>
      <c r="B454" s="322" t="s">
        <v>1222</v>
      </c>
      <c r="C454" s="322" t="s">
        <v>174</v>
      </c>
      <c r="D454" s="322" t="s">
        <v>1051</v>
      </c>
      <c r="E454" s="323" t="s">
        <v>175</v>
      </c>
      <c r="F454" s="329" t="s">
        <v>29</v>
      </c>
      <c r="G454" s="329"/>
      <c r="H454" s="323" t="s">
        <v>27</v>
      </c>
      <c r="I454" s="330">
        <v>5687.8</v>
      </c>
      <c r="J454" s="330"/>
      <c r="K454" s="326" t="s">
        <v>22</v>
      </c>
      <c r="L454" s="327">
        <v>13517450.449999999</v>
      </c>
    </row>
    <row r="455" spans="1:12" ht="61.2" x14ac:dyDescent="0.3">
      <c r="A455" s="321" t="s">
        <v>81</v>
      </c>
      <c r="B455" s="322" t="s">
        <v>1222</v>
      </c>
      <c r="C455" s="322" t="s">
        <v>174</v>
      </c>
      <c r="D455" s="322" t="s">
        <v>983</v>
      </c>
      <c r="E455" s="323" t="s">
        <v>175</v>
      </c>
      <c r="F455" s="329" t="s">
        <v>29</v>
      </c>
      <c r="G455" s="329"/>
      <c r="H455" s="323" t="s">
        <v>27</v>
      </c>
      <c r="I455" s="330">
        <v>3104.9</v>
      </c>
      <c r="J455" s="330"/>
      <c r="K455" s="326" t="s">
        <v>22</v>
      </c>
      <c r="L455" s="327">
        <v>13514345.550000001</v>
      </c>
    </row>
    <row r="456" spans="1:12" ht="61.2" x14ac:dyDescent="0.3">
      <c r="A456" s="321" t="s">
        <v>81</v>
      </c>
      <c r="B456" s="322" t="s">
        <v>1222</v>
      </c>
      <c r="C456" s="322" t="s">
        <v>174</v>
      </c>
      <c r="D456" s="322" t="s">
        <v>966</v>
      </c>
      <c r="E456" s="323" t="s">
        <v>175</v>
      </c>
      <c r="F456" s="329" t="s">
        <v>29</v>
      </c>
      <c r="G456" s="329"/>
      <c r="H456" s="323" t="s">
        <v>27</v>
      </c>
      <c r="I456" s="330">
        <v>25607.5</v>
      </c>
      <c r="J456" s="330"/>
      <c r="K456" s="326" t="s">
        <v>22</v>
      </c>
      <c r="L456" s="327">
        <v>13488738.050000001</v>
      </c>
    </row>
    <row r="457" spans="1:12" ht="61.2" x14ac:dyDescent="0.3">
      <c r="A457" s="321" t="s">
        <v>81</v>
      </c>
      <c r="B457" s="322" t="s">
        <v>1222</v>
      </c>
      <c r="C457" s="322" t="s">
        <v>174</v>
      </c>
      <c r="D457" s="322" t="s">
        <v>967</v>
      </c>
      <c r="E457" s="323" t="s">
        <v>175</v>
      </c>
      <c r="F457" s="329" t="s">
        <v>29</v>
      </c>
      <c r="G457" s="329"/>
      <c r="H457" s="323" t="s">
        <v>27</v>
      </c>
      <c r="I457" s="330">
        <v>4161</v>
      </c>
      <c r="J457" s="330"/>
      <c r="K457" s="326" t="s">
        <v>22</v>
      </c>
      <c r="L457" s="327">
        <v>13484577.050000001</v>
      </c>
    </row>
    <row r="458" spans="1:12" ht="61.2" x14ac:dyDescent="0.3">
      <c r="A458" s="321" t="s">
        <v>81</v>
      </c>
      <c r="B458" s="322" t="s">
        <v>1222</v>
      </c>
      <c r="C458" s="322" t="s">
        <v>174</v>
      </c>
      <c r="D458" s="322" t="s">
        <v>968</v>
      </c>
      <c r="E458" s="323" t="s">
        <v>175</v>
      </c>
      <c r="F458" s="329" t="s">
        <v>29</v>
      </c>
      <c r="G458" s="329"/>
      <c r="H458" s="323" t="s">
        <v>27</v>
      </c>
      <c r="I458" s="330">
        <v>2031.7</v>
      </c>
      <c r="J458" s="330"/>
      <c r="K458" s="326" t="s">
        <v>22</v>
      </c>
      <c r="L458" s="327">
        <v>13482545.35</v>
      </c>
    </row>
    <row r="459" spans="1:12" ht="61.2" x14ac:dyDescent="0.3">
      <c r="A459" s="321" t="s">
        <v>81</v>
      </c>
      <c r="B459" s="322" t="s">
        <v>1222</v>
      </c>
      <c r="C459" s="322" t="s">
        <v>174</v>
      </c>
      <c r="D459" s="322" t="s">
        <v>1004</v>
      </c>
      <c r="E459" s="323" t="s">
        <v>175</v>
      </c>
      <c r="F459" s="329" t="s">
        <v>29</v>
      </c>
      <c r="G459" s="329"/>
      <c r="H459" s="323" t="s">
        <v>27</v>
      </c>
      <c r="I459" s="330">
        <v>43758</v>
      </c>
      <c r="J459" s="330"/>
      <c r="K459" s="326" t="s">
        <v>22</v>
      </c>
      <c r="L459" s="327">
        <v>13438787.35</v>
      </c>
    </row>
    <row r="460" spans="1:12" ht="61.2" x14ac:dyDescent="0.3">
      <c r="A460" s="321" t="s">
        <v>81</v>
      </c>
      <c r="B460" s="322" t="s">
        <v>1222</v>
      </c>
      <c r="C460" s="322" t="s">
        <v>174</v>
      </c>
      <c r="D460" s="322" t="s">
        <v>995</v>
      </c>
      <c r="E460" s="323" t="s">
        <v>175</v>
      </c>
      <c r="F460" s="329" t="s">
        <v>29</v>
      </c>
      <c r="G460" s="329"/>
      <c r="H460" s="323" t="s">
        <v>27</v>
      </c>
      <c r="I460" s="330">
        <v>3412.9</v>
      </c>
      <c r="J460" s="330"/>
      <c r="K460" s="326" t="s">
        <v>22</v>
      </c>
      <c r="L460" s="327">
        <v>13435374.449999999</v>
      </c>
    </row>
    <row r="461" spans="1:12" ht="61.2" x14ac:dyDescent="0.3">
      <c r="A461" s="321" t="s">
        <v>81</v>
      </c>
      <c r="B461" s="322" t="s">
        <v>1222</v>
      </c>
      <c r="C461" s="322" t="s">
        <v>174</v>
      </c>
      <c r="D461" s="322" t="s">
        <v>1143</v>
      </c>
      <c r="E461" s="323" t="s">
        <v>175</v>
      </c>
      <c r="F461" s="329" t="s">
        <v>29</v>
      </c>
      <c r="G461" s="329"/>
      <c r="H461" s="323" t="s">
        <v>27</v>
      </c>
      <c r="I461" s="330">
        <v>7239.8</v>
      </c>
      <c r="J461" s="330"/>
      <c r="K461" s="326" t="s">
        <v>22</v>
      </c>
      <c r="L461" s="327">
        <v>13428134.65</v>
      </c>
    </row>
    <row r="462" spans="1:12" ht="61.2" x14ac:dyDescent="0.3">
      <c r="A462" s="321" t="s">
        <v>81</v>
      </c>
      <c r="B462" s="322" t="s">
        <v>1222</v>
      </c>
      <c r="C462" s="322" t="s">
        <v>174</v>
      </c>
      <c r="D462" s="322" t="s">
        <v>959</v>
      </c>
      <c r="E462" s="323" t="s">
        <v>175</v>
      </c>
      <c r="F462" s="329" t="s">
        <v>29</v>
      </c>
      <c r="G462" s="329"/>
      <c r="H462" s="323" t="s">
        <v>27</v>
      </c>
      <c r="I462" s="330">
        <v>22248.799999999999</v>
      </c>
      <c r="J462" s="330"/>
      <c r="K462" s="326" t="s">
        <v>22</v>
      </c>
      <c r="L462" s="327">
        <v>13405885.85</v>
      </c>
    </row>
    <row r="463" spans="1:12" ht="61.2" x14ac:dyDescent="0.3">
      <c r="A463" s="321" t="s">
        <v>81</v>
      </c>
      <c r="B463" s="322" t="s">
        <v>1222</v>
      </c>
      <c r="C463" s="322" t="s">
        <v>174</v>
      </c>
      <c r="D463" s="322" t="s">
        <v>963</v>
      </c>
      <c r="E463" s="323" t="s">
        <v>175</v>
      </c>
      <c r="F463" s="329" t="s">
        <v>29</v>
      </c>
      <c r="G463" s="329"/>
      <c r="H463" s="323" t="s">
        <v>27</v>
      </c>
      <c r="I463" s="330">
        <v>4146.8</v>
      </c>
      <c r="J463" s="330"/>
      <c r="K463" s="326" t="s">
        <v>22</v>
      </c>
      <c r="L463" s="327">
        <v>13401739.050000001</v>
      </c>
    </row>
    <row r="464" spans="1:12" ht="61.2" x14ac:dyDescent="0.3">
      <c r="A464" s="321" t="s">
        <v>81</v>
      </c>
      <c r="B464" s="322" t="s">
        <v>1222</v>
      </c>
      <c r="C464" s="322" t="s">
        <v>174</v>
      </c>
      <c r="D464" s="322" t="s">
        <v>1095</v>
      </c>
      <c r="E464" s="323" t="s">
        <v>175</v>
      </c>
      <c r="F464" s="329" t="s">
        <v>29</v>
      </c>
      <c r="G464" s="329"/>
      <c r="H464" s="323" t="s">
        <v>27</v>
      </c>
      <c r="I464" s="330">
        <v>33469.699999999997</v>
      </c>
      <c r="J464" s="330"/>
      <c r="K464" s="326" t="s">
        <v>22</v>
      </c>
      <c r="L464" s="327">
        <v>13368269.35</v>
      </c>
    </row>
    <row r="465" spans="1:12" ht="61.2" x14ac:dyDescent="0.3">
      <c r="A465" s="321" t="s">
        <v>81</v>
      </c>
      <c r="B465" s="322" t="s">
        <v>1222</v>
      </c>
      <c r="C465" s="322" t="s">
        <v>174</v>
      </c>
      <c r="D465" s="322" t="s">
        <v>1094</v>
      </c>
      <c r="E465" s="323" t="s">
        <v>175</v>
      </c>
      <c r="F465" s="329" t="s">
        <v>29</v>
      </c>
      <c r="G465" s="329"/>
      <c r="H465" s="323" t="s">
        <v>27</v>
      </c>
      <c r="I465" s="330">
        <v>4084.2</v>
      </c>
      <c r="J465" s="330"/>
      <c r="K465" s="326" t="s">
        <v>22</v>
      </c>
      <c r="L465" s="327">
        <v>13364185.15</v>
      </c>
    </row>
    <row r="466" spans="1:12" ht="61.2" x14ac:dyDescent="0.3">
      <c r="A466" s="321" t="s">
        <v>81</v>
      </c>
      <c r="B466" s="322" t="s">
        <v>1222</v>
      </c>
      <c r="C466" s="322" t="s">
        <v>174</v>
      </c>
      <c r="D466" s="322" t="s">
        <v>1096</v>
      </c>
      <c r="E466" s="323" t="s">
        <v>175</v>
      </c>
      <c r="F466" s="329" t="s">
        <v>29</v>
      </c>
      <c r="G466" s="329"/>
      <c r="H466" s="323" t="s">
        <v>27</v>
      </c>
      <c r="I466" s="330">
        <v>4200.5</v>
      </c>
      <c r="J466" s="330"/>
      <c r="K466" s="326" t="s">
        <v>22</v>
      </c>
      <c r="L466" s="327">
        <v>13359984.65</v>
      </c>
    </row>
    <row r="467" spans="1:12" ht="61.2" x14ac:dyDescent="0.3">
      <c r="A467" s="321" t="s">
        <v>81</v>
      </c>
      <c r="B467" s="322" t="s">
        <v>1222</v>
      </c>
      <c r="C467" s="322" t="s">
        <v>174</v>
      </c>
      <c r="D467" s="322" t="s">
        <v>1119</v>
      </c>
      <c r="E467" s="323" t="s">
        <v>175</v>
      </c>
      <c r="F467" s="329" t="s">
        <v>29</v>
      </c>
      <c r="G467" s="329"/>
      <c r="H467" s="323" t="s">
        <v>27</v>
      </c>
      <c r="I467" s="330">
        <v>2467.1999999999998</v>
      </c>
      <c r="J467" s="330"/>
      <c r="K467" s="326" t="s">
        <v>22</v>
      </c>
      <c r="L467" s="327">
        <v>13357517.449999999</v>
      </c>
    </row>
    <row r="468" spans="1:12" ht="61.2" x14ac:dyDescent="0.3">
      <c r="A468" s="321" t="s">
        <v>81</v>
      </c>
      <c r="B468" s="322" t="s">
        <v>1222</v>
      </c>
      <c r="C468" s="322" t="s">
        <v>174</v>
      </c>
      <c r="D468" s="322" t="s">
        <v>1033</v>
      </c>
      <c r="E468" s="323" t="s">
        <v>175</v>
      </c>
      <c r="F468" s="329" t="s">
        <v>29</v>
      </c>
      <c r="G468" s="329"/>
      <c r="H468" s="323" t="s">
        <v>27</v>
      </c>
      <c r="I468" s="330">
        <v>2531.4</v>
      </c>
      <c r="J468" s="330"/>
      <c r="K468" s="326" t="s">
        <v>22</v>
      </c>
      <c r="L468" s="327">
        <v>13354986.050000001</v>
      </c>
    </row>
    <row r="469" spans="1:12" ht="61.2" x14ac:dyDescent="0.3">
      <c r="A469" s="321" t="s">
        <v>81</v>
      </c>
      <c r="B469" s="322" t="s">
        <v>1222</v>
      </c>
      <c r="C469" s="322" t="s">
        <v>174</v>
      </c>
      <c r="D469" s="322" t="s">
        <v>1074</v>
      </c>
      <c r="E469" s="323" t="s">
        <v>175</v>
      </c>
      <c r="F469" s="329" t="s">
        <v>29</v>
      </c>
      <c r="G469" s="329"/>
      <c r="H469" s="323" t="s">
        <v>27</v>
      </c>
      <c r="I469" s="330">
        <v>15194</v>
      </c>
      <c r="J469" s="330"/>
      <c r="K469" s="326" t="s">
        <v>22</v>
      </c>
      <c r="L469" s="327">
        <v>13339792.050000001</v>
      </c>
    </row>
    <row r="470" spans="1:12" ht="61.2" x14ac:dyDescent="0.3">
      <c r="A470" s="321" t="s">
        <v>81</v>
      </c>
      <c r="B470" s="322" t="s">
        <v>1222</v>
      </c>
      <c r="C470" s="322" t="s">
        <v>174</v>
      </c>
      <c r="D470" s="322" t="s">
        <v>1075</v>
      </c>
      <c r="E470" s="323" t="s">
        <v>175</v>
      </c>
      <c r="F470" s="329" t="s">
        <v>29</v>
      </c>
      <c r="G470" s="329"/>
      <c r="H470" s="323" t="s">
        <v>27</v>
      </c>
      <c r="I470" s="330">
        <v>2060.6999999999998</v>
      </c>
      <c r="J470" s="330"/>
      <c r="K470" s="326" t="s">
        <v>22</v>
      </c>
      <c r="L470" s="327">
        <v>13337731.35</v>
      </c>
    </row>
    <row r="471" spans="1:12" ht="61.2" x14ac:dyDescent="0.3">
      <c r="A471" s="321" t="s">
        <v>81</v>
      </c>
      <c r="B471" s="322" t="s">
        <v>1222</v>
      </c>
      <c r="C471" s="322" t="s">
        <v>174</v>
      </c>
      <c r="D471" s="322" t="s">
        <v>960</v>
      </c>
      <c r="E471" s="323" t="s">
        <v>175</v>
      </c>
      <c r="F471" s="329" t="s">
        <v>29</v>
      </c>
      <c r="G471" s="329"/>
      <c r="H471" s="323" t="s">
        <v>27</v>
      </c>
      <c r="I471" s="330">
        <v>7670.2</v>
      </c>
      <c r="J471" s="330"/>
      <c r="K471" s="326" t="s">
        <v>22</v>
      </c>
      <c r="L471" s="327">
        <v>13330061.15</v>
      </c>
    </row>
    <row r="472" spans="1:12" ht="61.2" x14ac:dyDescent="0.3">
      <c r="A472" s="321" t="s">
        <v>81</v>
      </c>
      <c r="B472" s="322" t="s">
        <v>1222</v>
      </c>
      <c r="C472" s="322" t="s">
        <v>174</v>
      </c>
      <c r="D472" s="322" t="s">
        <v>961</v>
      </c>
      <c r="E472" s="323" t="s">
        <v>175</v>
      </c>
      <c r="F472" s="329" t="s">
        <v>29</v>
      </c>
      <c r="G472" s="329"/>
      <c r="H472" s="323" t="s">
        <v>27</v>
      </c>
      <c r="I472" s="330">
        <v>5233.5</v>
      </c>
      <c r="J472" s="330"/>
      <c r="K472" s="326" t="s">
        <v>22</v>
      </c>
      <c r="L472" s="327">
        <v>13324827.65</v>
      </c>
    </row>
    <row r="473" spans="1:12" ht="61.2" x14ac:dyDescent="0.3">
      <c r="A473" s="321" t="s">
        <v>81</v>
      </c>
      <c r="B473" s="322" t="s">
        <v>1222</v>
      </c>
      <c r="C473" s="322" t="s">
        <v>174</v>
      </c>
      <c r="D473" s="322" t="s">
        <v>1042</v>
      </c>
      <c r="E473" s="323" t="s">
        <v>175</v>
      </c>
      <c r="F473" s="329" t="s">
        <v>29</v>
      </c>
      <c r="G473" s="329"/>
      <c r="H473" s="323" t="s">
        <v>27</v>
      </c>
      <c r="I473" s="330">
        <v>2664.1</v>
      </c>
      <c r="J473" s="330"/>
      <c r="K473" s="326" t="s">
        <v>22</v>
      </c>
      <c r="L473" s="327">
        <v>13322163.550000001</v>
      </c>
    </row>
    <row r="474" spans="1:12" ht="61.2" x14ac:dyDescent="0.3">
      <c r="A474" s="321" t="s">
        <v>81</v>
      </c>
      <c r="B474" s="322" t="s">
        <v>1222</v>
      </c>
      <c r="C474" s="322" t="s">
        <v>174</v>
      </c>
      <c r="D474" s="322" t="s">
        <v>1043</v>
      </c>
      <c r="E474" s="323" t="s">
        <v>175</v>
      </c>
      <c r="F474" s="329" t="s">
        <v>29</v>
      </c>
      <c r="G474" s="329"/>
      <c r="H474" s="323" t="s">
        <v>27</v>
      </c>
      <c r="I474" s="330">
        <v>2864</v>
      </c>
      <c r="J474" s="330"/>
      <c r="K474" s="326" t="s">
        <v>22</v>
      </c>
      <c r="L474" s="327">
        <v>13319299.550000001</v>
      </c>
    </row>
    <row r="475" spans="1:12" ht="61.2" x14ac:dyDescent="0.3">
      <c r="A475" s="321" t="s">
        <v>81</v>
      </c>
      <c r="B475" s="322" t="s">
        <v>1222</v>
      </c>
      <c r="C475" s="322" t="s">
        <v>174</v>
      </c>
      <c r="D475" s="322" t="s">
        <v>1059</v>
      </c>
      <c r="E475" s="323" t="s">
        <v>175</v>
      </c>
      <c r="F475" s="329" t="s">
        <v>29</v>
      </c>
      <c r="G475" s="329"/>
      <c r="H475" s="323" t="s">
        <v>27</v>
      </c>
      <c r="I475" s="330">
        <v>3305.5</v>
      </c>
      <c r="J475" s="330"/>
      <c r="K475" s="326" t="s">
        <v>22</v>
      </c>
      <c r="L475" s="327">
        <v>13315994.050000001</v>
      </c>
    </row>
    <row r="476" spans="1:12" ht="61.2" x14ac:dyDescent="0.3">
      <c r="A476" s="321" t="s">
        <v>81</v>
      </c>
      <c r="B476" s="322" t="s">
        <v>1222</v>
      </c>
      <c r="C476" s="322" t="s">
        <v>174</v>
      </c>
      <c r="D476" s="322" t="s">
        <v>1014</v>
      </c>
      <c r="E476" s="323" t="s">
        <v>175</v>
      </c>
      <c r="F476" s="329" t="s">
        <v>29</v>
      </c>
      <c r="G476" s="329"/>
      <c r="H476" s="323" t="s">
        <v>27</v>
      </c>
      <c r="I476" s="330">
        <v>7744.8</v>
      </c>
      <c r="J476" s="330"/>
      <c r="K476" s="326" t="s">
        <v>22</v>
      </c>
      <c r="L476" s="327">
        <v>13308249.25</v>
      </c>
    </row>
    <row r="477" spans="1:12" ht="61.2" x14ac:dyDescent="0.3">
      <c r="A477" s="321" t="s">
        <v>81</v>
      </c>
      <c r="B477" s="322" t="s">
        <v>1222</v>
      </c>
      <c r="C477" s="322" t="s">
        <v>174</v>
      </c>
      <c r="D477" s="322" t="s">
        <v>1008</v>
      </c>
      <c r="E477" s="323" t="s">
        <v>175</v>
      </c>
      <c r="F477" s="329" t="s">
        <v>29</v>
      </c>
      <c r="G477" s="329"/>
      <c r="H477" s="323" t="s">
        <v>27</v>
      </c>
      <c r="I477" s="330">
        <v>6139</v>
      </c>
      <c r="J477" s="330"/>
      <c r="K477" s="326" t="s">
        <v>22</v>
      </c>
      <c r="L477" s="327">
        <v>13302110.25</v>
      </c>
    </row>
    <row r="478" spans="1:12" ht="61.2" x14ac:dyDescent="0.3">
      <c r="A478" s="321" t="s">
        <v>81</v>
      </c>
      <c r="B478" s="322" t="s">
        <v>1222</v>
      </c>
      <c r="C478" s="322" t="s">
        <v>174</v>
      </c>
      <c r="D478" s="322" t="s">
        <v>998</v>
      </c>
      <c r="E478" s="323" t="s">
        <v>175</v>
      </c>
      <c r="F478" s="329" t="s">
        <v>29</v>
      </c>
      <c r="G478" s="329"/>
      <c r="H478" s="323" t="s">
        <v>27</v>
      </c>
      <c r="I478" s="330">
        <v>15510.4</v>
      </c>
      <c r="J478" s="330"/>
      <c r="K478" s="326" t="s">
        <v>22</v>
      </c>
      <c r="L478" s="327">
        <v>13286599.85</v>
      </c>
    </row>
    <row r="479" spans="1:12" ht="61.2" x14ac:dyDescent="0.3">
      <c r="A479" s="321" t="s">
        <v>81</v>
      </c>
      <c r="B479" s="322" t="s">
        <v>1222</v>
      </c>
      <c r="C479" s="322" t="s">
        <v>174</v>
      </c>
      <c r="D479" s="322" t="s">
        <v>1052</v>
      </c>
      <c r="E479" s="323" t="s">
        <v>175</v>
      </c>
      <c r="F479" s="329" t="s">
        <v>29</v>
      </c>
      <c r="G479" s="329"/>
      <c r="H479" s="323" t="s">
        <v>27</v>
      </c>
      <c r="I479" s="330">
        <v>5928.6</v>
      </c>
      <c r="J479" s="330"/>
      <c r="K479" s="326" t="s">
        <v>22</v>
      </c>
      <c r="L479" s="327">
        <v>13280671.25</v>
      </c>
    </row>
    <row r="480" spans="1:12" ht="61.2" x14ac:dyDescent="0.3">
      <c r="A480" s="321" t="s">
        <v>81</v>
      </c>
      <c r="B480" s="322" t="s">
        <v>1222</v>
      </c>
      <c r="C480" s="322" t="s">
        <v>174</v>
      </c>
      <c r="D480" s="322" t="s">
        <v>1110</v>
      </c>
      <c r="E480" s="323" t="s">
        <v>175</v>
      </c>
      <c r="F480" s="329" t="s">
        <v>29</v>
      </c>
      <c r="G480" s="329"/>
      <c r="H480" s="323" t="s">
        <v>27</v>
      </c>
      <c r="I480" s="330">
        <v>4007.4</v>
      </c>
      <c r="J480" s="330"/>
      <c r="K480" s="326" t="s">
        <v>22</v>
      </c>
      <c r="L480" s="327">
        <v>13276663.85</v>
      </c>
    </row>
    <row r="481" spans="1:12" ht="61.2" x14ac:dyDescent="0.3">
      <c r="A481" s="321" t="s">
        <v>81</v>
      </c>
      <c r="B481" s="322" t="s">
        <v>1222</v>
      </c>
      <c r="C481" s="322" t="s">
        <v>174</v>
      </c>
      <c r="D481" s="322" t="s">
        <v>1112</v>
      </c>
      <c r="E481" s="323" t="s">
        <v>175</v>
      </c>
      <c r="F481" s="329" t="s">
        <v>29</v>
      </c>
      <c r="G481" s="329"/>
      <c r="H481" s="323" t="s">
        <v>27</v>
      </c>
      <c r="I481" s="330">
        <v>3160.8</v>
      </c>
      <c r="J481" s="330"/>
      <c r="K481" s="326" t="s">
        <v>22</v>
      </c>
      <c r="L481" s="327">
        <v>13273503.050000001</v>
      </c>
    </row>
    <row r="482" spans="1:12" ht="61.2" x14ac:dyDescent="0.3">
      <c r="A482" s="321" t="s">
        <v>81</v>
      </c>
      <c r="B482" s="322" t="s">
        <v>1222</v>
      </c>
      <c r="C482" s="322" t="s">
        <v>174</v>
      </c>
      <c r="D482" s="322" t="s">
        <v>952</v>
      </c>
      <c r="E482" s="323" t="s">
        <v>175</v>
      </c>
      <c r="F482" s="329" t="s">
        <v>29</v>
      </c>
      <c r="G482" s="329"/>
      <c r="H482" s="323" t="s">
        <v>27</v>
      </c>
      <c r="I482" s="330">
        <v>4483.2</v>
      </c>
      <c r="J482" s="330"/>
      <c r="K482" s="326" t="s">
        <v>22</v>
      </c>
      <c r="L482" s="327">
        <v>13269019.85</v>
      </c>
    </row>
    <row r="483" spans="1:12" ht="61.2" x14ac:dyDescent="0.3">
      <c r="A483" s="321" t="s">
        <v>81</v>
      </c>
      <c r="B483" s="322" t="s">
        <v>1222</v>
      </c>
      <c r="C483" s="322" t="s">
        <v>174</v>
      </c>
      <c r="D483" s="322" t="s">
        <v>1017</v>
      </c>
      <c r="E483" s="323" t="s">
        <v>175</v>
      </c>
      <c r="F483" s="329" t="s">
        <v>29</v>
      </c>
      <c r="G483" s="329"/>
      <c r="H483" s="323" t="s">
        <v>27</v>
      </c>
      <c r="I483" s="330">
        <v>4473.5</v>
      </c>
      <c r="J483" s="330"/>
      <c r="K483" s="326" t="s">
        <v>22</v>
      </c>
      <c r="L483" s="327">
        <v>13264546.35</v>
      </c>
    </row>
    <row r="484" spans="1:12" ht="61.2" x14ac:dyDescent="0.3">
      <c r="A484" s="321" t="s">
        <v>81</v>
      </c>
      <c r="B484" s="322" t="s">
        <v>1222</v>
      </c>
      <c r="C484" s="322" t="s">
        <v>174</v>
      </c>
      <c r="D484" s="322" t="s">
        <v>1018</v>
      </c>
      <c r="E484" s="323" t="s">
        <v>175</v>
      </c>
      <c r="F484" s="329" t="s">
        <v>29</v>
      </c>
      <c r="G484" s="329"/>
      <c r="H484" s="323" t="s">
        <v>27</v>
      </c>
      <c r="I484" s="330">
        <v>3502.4</v>
      </c>
      <c r="J484" s="330"/>
      <c r="K484" s="326" t="s">
        <v>22</v>
      </c>
      <c r="L484" s="327">
        <v>13261043.949999999</v>
      </c>
    </row>
    <row r="485" spans="1:12" ht="61.2" x14ac:dyDescent="0.3">
      <c r="A485" s="321" t="s">
        <v>81</v>
      </c>
      <c r="B485" s="322" t="s">
        <v>1222</v>
      </c>
      <c r="C485" s="322" t="s">
        <v>174</v>
      </c>
      <c r="D485" s="322" t="s">
        <v>1015</v>
      </c>
      <c r="E485" s="323" t="s">
        <v>175</v>
      </c>
      <c r="F485" s="329" t="s">
        <v>29</v>
      </c>
      <c r="G485" s="329"/>
      <c r="H485" s="323" t="s">
        <v>27</v>
      </c>
      <c r="I485" s="330">
        <v>3806</v>
      </c>
      <c r="J485" s="330"/>
      <c r="K485" s="326" t="s">
        <v>22</v>
      </c>
      <c r="L485" s="327">
        <v>13257237.949999999</v>
      </c>
    </row>
    <row r="486" spans="1:12" ht="61.2" x14ac:dyDescent="0.3">
      <c r="A486" s="321" t="s">
        <v>81</v>
      </c>
      <c r="B486" s="322" t="s">
        <v>1222</v>
      </c>
      <c r="C486" s="322" t="s">
        <v>174</v>
      </c>
      <c r="D486" s="322" t="s">
        <v>1016</v>
      </c>
      <c r="E486" s="323" t="s">
        <v>175</v>
      </c>
      <c r="F486" s="329" t="s">
        <v>29</v>
      </c>
      <c r="G486" s="329"/>
      <c r="H486" s="323" t="s">
        <v>27</v>
      </c>
      <c r="I486" s="330">
        <v>4141.6000000000004</v>
      </c>
      <c r="J486" s="330"/>
      <c r="K486" s="326" t="s">
        <v>22</v>
      </c>
      <c r="L486" s="327">
        <v>13253096.35</v>
      </c>
    </row>
    <row r="487" spans="1:12" ht="61.2" x14ac:dyDescent="0.3">
      <c r="A487" s="321" t="s">
        <v>81</v>
      </c>
      <c r="B487" s="322" t="s">
        <v>1222</v>
      </c>
      <c r="C487" s="322" t="s">
        <v>174</v>
      </c>
      <c r="D487" s="322" t="s">
        <v>1027</v>
      </c>
      <c r="E487" s="323" t="s">
        <v>175</v>
      </c>
      <c r="F487" s="329" t="s">
        <v>29</v>
      </c>
      <c r="G487" s="329"/>
      <c r="H487" s="323" t="s">
        <v>27</v>
      </c>
      <c r="I487" s="330">
        <v>3715.7</v>
      </c>
      <c r="J487" s="330"/>
      <c r="K487" s="326" t="s">
        <v>22</v>
      </c>
      <c r="L487" s="327">
        <v>13249380.65</v>
      </c>
    </row>
    <row r="488" spans="1:12" ht="61.2" x14ac:dyDescent="0.3">
      <c r="A488" s="321" t="s">
        <v>81</v>
      </c>
      <c r="B488" s="322" t="s">
        <v>1222</v>
      </c>
      <c r="C488" s="322" t="s">
        <v>174</v>
      </c>
      <c r="D488" s="322" t="s">
        <v>1026</v>
      </c>
      <c r="E488" s="323" t="s">
        <v>175</v>
      </c>
      <c r="F488" s="329" t="s">
        <v>29</v>
      </c>
      <c r="G488" s="329"/>
      <c r="H488" s="323" t="s">
        <v>27</v>
      </c>
      <c r="I488" s="330">
        <v>3560.6</v>
      </c>
      <c r="J488" s="330"/>
      <c r="K488" s="326" t="s">
        <v>22</v>
      </c>
      <c r="L488" s="327">
        <v>13245820.050000001</v>
      </c>
    </row>
    <row r="489" spans="1:12" ht="61.2" x14ac:dyDescent="0.3">
      <c r="A489" s="321" t="s">
        <v>81</v>
      </c>
      <c r="B489" s="322" t="s">
        <v>1222</v>
      </c>
      <c r="C489" s="322" t="s">
        <v>174</v>
      </c>
      <c r="D489" s="322" t="s">
        <v>1063</v>
      </c>
      <c r="E489" s="323" t="s">
        <v>175</v>
      </c>
      <c r="F489" s="329" t="s">
        <v>29</v>
      </c>
      <c r="G489" s="329"/>
      <c r="H489" s="323" t="s">
        <v>27</v>
      </c>
      <c r="I489" s="330">
        <v>4013.3</v>
      </c>
      <c r="J489" s="330"/>
      <c r="K489" s="326" t="s">
        <v>22</v>
      </c>
      <c r="L489" s="327">
        <v>13241806.75</v>
      </c>
    </row>
    <row r="490" spans="1:12" ht="61.2" x14ac:dyDescent="0.3">
      <c r="A490" s="321" t="s">
        <v>81</v>
      </c>
      <c r="B490" s="322" t="s">
        <v>1222</v>
      </c>
      <c r="C490" s="322" t="s">
        <v>174</v>
      </c>
      <c r="D490" s="322" t="s">
        <v>1087</v>
      </c>
      <c r="E490" s="323" t="s">
        <v>175</v>
      </c>
      <c r="F490" s="329" t="s">
        <v>29</v>
      </c>
      <c r="G490" s="329"/>
      <c r="H490" s="323" t="s">
        <v>27</v>
      </c>
      <c r="I490" s="330">
        <v>2463.5</v>
      </c>
      <c r="J490" s="330"/>
      <c r="K490" s="326" t="s">
        <v>22</v>
      </c>
      <c r="L490" s="327">
        <v>13239343.25</v>
      </c>
    </row>
    <row r="491" spans="1:12" ht="61.2" x14ac:dyDescent="0.3">
      <c r="A491" s="321" t="s">
        <v>81</v>
      </c>
      <c r="B491" s="322" t="s">
        <v>1222</v>
      </c>
      <c r="C491" s="322" t="s">
        <v>174</v>
      </c>
      <c r="D491" s="322" t="s">
        <v>1089</v>
      </c>
      <c r="E491" s="323" t="s">
        <v>175</v>
      </c>
      <c r="F491" s="329" t="s">
        <v>29</v>
      </c>
      <c r="G491" s="329"/>
      <c r="H491" s="323" t="s">
        <v>27</v>
      </c>
      <c r="I491" s="330">
        <v>2292.6999999999998</v>
      </c>
      <c r="J491" s="330"/>
      <c r="K491" s="326" t="s">
        <v>22</v>
      </c>
      <c r="L491" s="327">
        <v>13237050.550000001</v>
      </c>
    </row>
    <row r="492" spans="1:12" ht="61.2" x14ac:dyDescent="0.3">
      <c r="A492" s="321" t="s">
        <v>81</v>
      </c>
      <c r="B492" s="322" t="s">
        <v>1222</v>
      </c>
      <c r="C492" s="322" t="s">
        <v>174</v>
      </c>
      <c r="D492" s="322" t="s">
        <v>1064</v>
      </c>
      <c r="E492" s="323" t="s">
        <v>175</v>
      </c>
      <c r="F492" s="329" t="s">
        <v>29</v>
      </c>
      <c r="G492" s="329"/>
      <c r="H492" s="323" t="s">
        <v>27</v>
      </c>
      <c r="I492" s="330">
        <v>3573.3</v>
      </c>
      <c r="J492" s="330"/>
      <c r="K492" s="326" t="s">
        <v>22</v>
      </c>
      <c r="L492" s="327">
        <v>13233477.25</v>
      </c>
    </row>
    <row r="493" spans="1:12" ht="61.2" x14ac:dyDescent="0.3">
      <c r="A493" s="321" t="s">
        <v>81</v>
      </c>
      <c r="B493" s="322" t="s">
        <v>1222</v>
      </c>
      <c r="C493" s="322" t="s">
        <v>174</v>
      </c>
      <c r="D493" s="322" t="s">
        <v>971</v>
      </c>
      <c r="E493" s="323" t="s">
        <v>175</v>
      </c>
      <c r="F493" s="329" t="s">
        <v>29</v>
      </c>
      <c r="G493" s="329"/>
      <c r="H493" s="323" t="s">
        <v>27</v>
      </c>
      <c r="I493" s="330">
        <v>25007.9</v>
      </c>
      <c r="J493" s="330"/>
      <c r="K493" s="326" t="s">
        <v>22</v>
      </c>
      <c r="L493" s="327">
        <v>13208469.35</v>
      </c>
    </row>
    <row r="494" spans="1:12" ht="61.2" x14ac:dyDescent="0.3">
      <c r="A494" s="321" t="s">
        <v>81</v>
      </c>
      <c r="B494" s="322" t="s">
        <v>1222</v>
      </c>
      <c r="C494" s="322" t="s">
        <v>174</v>
      </c>
      <c r="D494" s="322" t="s">
        <v>972</v>
      </c>
      <c r="E494" s="323" t="s">
        <v>175</v>
      </c>
      <c r="F494" s="329" t="s">
        <v>29</v>
      </c>
      <c r="G494" s="329"/>
      <c r="H494" s="323" t="s">
        <v>27</v>
      </c>
      <c r="I494" s="330">
        <v>4670.3999999999996</v>
      </c>
      <c r="J494" s="330"/>
      <c r="K494" s="326" t="s">
        <v>22</v>
      </c>
      <c r="L494" s="327">
        <v>13203798.949999999</v>
      </c>
    </row>
    <row r="495" spans="1:12" ht="61.2" x14ac:dyDescent="0.3">
      <c r="A495" s="321" t="s">
        <v>81</v>
      </c>
      <c r="B495" s="322" t="s">
        <v>1222</v>
      </c>
      <c r="C495" s="322" t="s">
        <v>174</v>
      </c>
      <c r="D495" s="322" t="s">
        <v>1036</v>
      </c>
      <c r="E495" s="323" t="s">
        <v>175</v>
      </c>
      <c r="F495" s="329" t="s">
        <v>29</v>
      </c>
      <c r="G495" s="329"/>
      <c r="H495" s="323" t="s">
        <v>27</v>
      </c>
      <c r="I495" s="330">
        <v>3936.5</v>
      </c>
      <c r="J495" s="330"/>
      <c r="K495" s="326" t="s">
        <v>22</v>
      </c>
      <c r="L495" s="327">
        <v>13199862.449999999</v>
      </c>
    </row>
    <row r="496" spans="1:12" ht="61.2" x14ac:dyDescent="0.3">
      <c r="A496" s="321" t="s">
        <v>81</v>
      </c>
      <c r="B496" s="322" t="s">
        <v>1222</v>
      </c>
      <c r="C496" s="322" t="s">
        <v>174</v>
      </c>
      <c r="D496" s="322" t="s">
        <v>1090</v>
      </c>
      <c r="E496" s="323" t="s">
        <v>175</v>
      </c>
      <c r="F496" s="329" t="s">
        <v>29</v>
      </c>
      <c r="G496" s="329"/>
      <c r="H496" s="323" t="s">
        <v>27</v>
      </c>
      <c r="I496" s="330">
        <v>2589.5</v>
      </c>
      <c r="J496" s="330"/>
      <c r="K496" s="326" t="s">
        <v>22</v>
      </c>
      <c r="L496" s="327">
        <v>13197272.949999999</v>
      </c>
    </row>
    <row r="497" spans="1:12" ht="61.2" x14ac:dyDescent="0.3">
      <c r="A497" s="321" t="s">
        <v>81</v>
      </c>
      <c r="B497" s="322" t="s">
        <v>1222</v>
      </c>
      <c r="C497" s="322" t="s">
        <v>174</v>
      </c>
      <c r="D497" s="322" t="s">
        <v>1092</v>
      </c>
      <c r="E497" s="323" t="s">
        <v>175</v>
      </c>
      <c r="F497" s="329" t="s">
        <v>29</v>
      </c>
      <c r="G497" s="329"/>
      <c r="H497" s="323" t="s">
        <v>27</v>
      </c>
      <c r="I497" s="330">
        <v>2387.4</v>
      </c>
      <c r="J497" s="330"/>
      <c r="K497" s="326" t="s">
        <v>22</v>
      </c>
      <c r="L497" s="327">
        <v>13194885.550000001</v>
      </c>
    </row>
    <row r="498" spans="1:12" ht="61.2" x14ac:dyDescent="0.3">
      <c r="A498" s="321" t="s">
        <v>81</v>
      </c>
      <c r="B498" s="322" t="s">
        <v>1222</v>
      </c>
      <c r="C498" s="322" t="s">
        <v>174</v>
      </c>
      <c r="D498" s="322" t="s">
        <v>1021</v>
      </c>
      <c r="E498" s="323" t="s">
        <v>175</v>
      </c>
      <c r="F498" s="329" t="s">
        <v>29</v>
      </c>
      <c r="G498" s="329"/>
      <c r="H498" s="323" t="s">
        <v>27</v>
      </c>
      <c r="I498" s="330">
        <v>21117.7</v>
      </c>
      <c r="J498" s="330"/>
      <c r="K498" s="326" t="s">
        <v>22</v>
      </c>
      <c r="L498" s="327">
        <v>13173767.85</v>
      </c>
    </row>
    <row r="499" spans="1:12" ht="61.2" x14ac:dyDescent="0.3">
      <c r="A499" s="321" t="s">
        <v>81</v>
      </c>
      <c r="B499" s="322" t="s">
        <v>1222</v>
      </c>
      <c r="C499" s="322" t="s">
        <v>174</v>
      </c>
      <c r="D499" s="322" t="s">
        <v>1022</v>
      </c>
      <c r="E499" s="323" t="s">
        <v>175</v>
      </c>
      <c r="F499" s="329" t="s">
        <v>29</v>
      </c>
      <c r="G499" s="329"/>
      <c r="H499" s="323" t="s">
        <v>27</v>
      </c>
      <c r="I499" s="330">
        <v>2190.5</v>
      </c>
      <c r="J499" s="330"/>
      <c r="K499" s="326" t="s">
        <v>22</v>
      </c>
      <c r="L499" s="327">
        <v>13171577.35</v>
      </c>
    </row>
    <row r="500" spans="1:12" ht="61.2" x14ac:dyDescent="0.3">
      <c r="A500" s="321" t="s">
        <v>81</v>
      </c>
      <c r="B500" s="322" t="s">
        <v>1222</v>
      </c>
      <c r="C500" s="322" t="s">
        <v>174</v>
      </c>
      <c r="D500" s="322" t="s">
        <v>1025</v>
      </c>
      <c r="E500" s="323" t="s">
        <v>175</v>
      </c>
      <c r="F500" s="329" t="s">
        <v>29</v>
      </c>
      <c r="G500" s="329"/>
      <c r="H500" s="323" t="s">
        <v>27</v>
      </c>
      <c r="I500" s="330">
        <v>3039.3</v>
      </c>
      <c r="J500" s="330"/>
      <c r="K500" s="326" t="s">
        <v>22</v>
      </c>
      <c r="L500" s="327">
        <v>13168538.050000001</v>
      </c>
    </row>
    <row r="501" spans="1:12" ht="51" x14ac:dyDescent="0.3">
      <c r="A501" s="321" t="s">
        <v>81</v>
      </c>
      <c r="B501" s="322" t="s">
        <v>1222</v>
      </c>
      <c r="C501" s="322" t="s">
        <v>174</v>
      </c>
      <c r="D501" s="322" t="s">
        <v>1146</v>
      </c>
      <c r="E501" s="323" t="s">
        <v>175</v>
      </c>
      <c r="F501" s="329" t="s">
        <v>29</v>
      </c>
      <c r="G501" s="329"/>
      <c r="H501" s="323" t="s">
        <v>27</v>
      </c>
      <c r="I501" s="330">
        <v>86700.800000000003</v>
      </c>
      <c r="J501" s="330"/>
      <c r="K501" s="326" t="s">
        <v>22</v>
      </c>
      <c r="L501" s="327">
        <v>13081837.25</v>
      </c>
    </row>
    <row r="502" spans="1:12" ht="51" x14ac:dyDescent="0.3">
      <c r="A502" s="321" t="s">
        <v>81</v>
      </c>
      <c r="B502" s="322" t="s">
        <v>1222</v>
      </c>
      <c r="C502" s="322" t="s">
        <v>174</v>
      </c>
      <c r="D502" s="322" t="s">
        <v>1147</v>
      </c>
      <c r="E502" s="323" t="s">
        <v>175</v>
      </c>
      <c r="F502" s="329" t="s">
        <v>29</v>
      </c>
      <c r="G502" s="329"/>
      <c r="H502" s="323" t="s">
        <v>27</v>
      </c>
      <c r="I502" s="331">
        <v>936</v>
      </c>
      <c r="J502" s="331"/>
      <c r="K502" s="326" t="s">
        <v>22</v>
      </c>
      <c r="L502" s="327">
        <v>13080901.25</v>
      </c>
    </row>
    <row r="503" spans="1:12" ht="61.2" x14ac:dyDescent="0.3">
      <c r="A503" s="321" t="s">
        <v>81</v>
      </c>
      <c r="B503" s="322" t="s">
        <v>1222</v>
      </c>
      <c r="C503" s="322" t="s">
        <v>174</v>
      </c>
      <c r="D503" s="322" t="s">
        <v>994</v>
      </c>
      <c r="E503" s="323" t="s">
        <v>175</v>
      </c>
      <c r="F503" s="329" t="s">
        <v>29</v>
      </c>
      <c r="G503" s="329"/>
      <c r="H503" s="323" t="s">
        <v>27</v>
      </c>
      <c r="I503" s="330">
        <v>3818.7</v>
      </c>
      <c r="J503" s="330"/>
      <c r="K503" s="326" t="s">
        <v>22</v>
      </c>
      <c r="L503" s="327">
        <v>13077082.550000001</v>
      </c>
    </row>
    <row r="504" spans="1:12" ht="61.2" x14ac:dyDescent="0.3">
      <c r="A504" s="321" t="s">
        <v>81</v>
      </c>
      <c r="B504" s="322" t="s">
        <v>1222</v>
      </c>
      <c r="C504" s="322" t="s">
        <v>174</v>
      </c>
      <c r="D504" s="322" t="s">
        <v>1046</v>
      </c>
      <c r="E504" s="323" t="s">
        <v>175</v>
      </c>
      <c r="F504" s="329" t="s">
        <v>29</v>
      </c>
      <c r="G504" s="329"/>
      <c r="H504" s="323" t="s">
        <v>27</v>
      </c>
      <c r="I504" s="330">
        <v>3214.5</v>
      </c>
      <c r="J504" s="330"/>
      <c r="K504" s="326" t="s">
        <v>22</v>
      </c>
      <c r="L504" s="327">
        <v>13073868.050000001</v>
      </c>
    </row>
    <row r="505" spans="1:12" ht="61.2" x14ac:dyDescent="0.3">
      <c r="A505" s="321" t="s">
        <v>81</v>
      </c>
      <c r="B505" s="322" t="s">
        <v>1222</v>
      </c>
      <c r="C505" s="322" t="s">
        <v>174</v>
      </c>
      <c r="D505" s="322" t="s">
        <v>1047</v>
      </c>
      <c r="E505" s="323" t="s">
        <v>175</v>
      </c>
      <c r="F505" s="329" t="s">
        <v>29</v>
      </c>
      <c r="G505" s="329"/>
      <c r="H505" s="323" t="s">
        <v>27</v>
      </c>
      <c r="I505" s="330">
        <v>3416.7</v>
      </c>
      <c r="J505" s="330"/>
      <c r="K505" s="326" t="s">
        <v>22</v>
      </c>
      <c r="L505" s="327">
        <v>13070451.35</v>
      </c>
    </row>
    <row r="506" spans="1:12" ht="61.2" x14ac:dyDescent="0.3">
      <c r="A506" s="321" t="s">
        <v>81</v>
      </c>
      <c r="B506" s="322" t="s">
        <v>1222</v>
      </c>
      <c r="C506" s="322" t="s">
        <v>174</v>
      </c>
      <c r="D506" s="322" t="s">
        <v>1001</v>
      </c>
      <c r="E506" s="323" t="s">
        <v>175</v>
      </c>
      <c r="F506" s="329" t="s">
        <v>29</v>
      </c>
      <c r="G506" s="329"/>
      <c r="H506" s="323" t="s">
        <v>27</v>
      </c>
      <c r="I506" s="330">
        <v>22355.599999999999</v>
      </c>
      <c r="J506" s="330"/>
      <c r="K506" s="326" t="s">
        <v>22</v>
      </c>
      <c r="L506" s="327">
        <v>13048095.75</v>
      </c>
    </row>
    <row r="507" spans="1:12" ht="61.2" x14ac:dyDescent="0.3">
      <c r="A507" s="321" t="s">
        <v>81</v>
      </c>
      <c r="B507" s="322" t="s">
        <v>1222</v>
      </c>
      <c r="C507" s="322" t="s">
        <v>174</v>
      </c>
      <c r="D507" s="322" t="s">
        <v>1136</v>
      </c>
      <c r="E507" s="323" t="s">
        <v>175</v>
      </c>
      <c r="F507" s="329" t="s">
        <v>29</v>
      </c>
      <c r="G507" s="329"/>
      <c r="H507" s="323" t="s">
        <v>27</v>
      </c>
      <c r="I507" s="330">
        <v>3746.3</v>
      </c>
      <c r="J507" s="330"/>
      <c r="K507" s="326" t="s">
        <v>22</v>
      </c>
      <c r="L507" s="327">
        <v>13044349.449999999</v>
      </c>
    </row>
    <row r="508" spans="1:12" ht="61.2" x14ac:dyDescent="0.3">
      <c r="A508" s="321" t="s">
        <v>81</v>
      </c>
      <c r="B508" s="322" t="s">
        <v>1222</v>
      </c>
      <c r="C508" s="322" t="s">
        <v>174</v>
      </c>
      <c r="D508" s="322" t="s">
        <v>1140</v>
      </c>
      <c r="E508" s="323" t="s">
        <v>175</v>
      </c>
      <c r="F508" s="329" t="s">
        <v>29</v>
      </c>
      <c r="G508" s="329"/>
      <c r="H508" s="323" t="s">
        <v>27</v>
      </c>
      <c r="I508" s="330">
        <v>3790.3</v>
      </c>
      <c r="J508" s="330"/>
      <c r="K508" s="326" t="s">
        <v>22</v>
      </c>
      <c r="L508" s="327">
        <v>13040559.15</v>
      </c>
    </row>
    <row r="509" spans="1:12" ht="61.2" x14ac:dyDescent="0.3">
      <c r="A509" s="321" t="s">
        <v>81</v>
      </c>
      <c r="B509" s="322" t="s">
        <v>1222</v>
      </c>
      <c r="C509" s="322" t="s">
        <v>174</v>
      </c>
      <c r="D509" s="322" t="s">
        <v>1081</v>
      </c>
      <c r="E509" s="323" t="s">
        <v>175</v>
      </c>
      <c r="F509" s="329" t="s">
        <v>29</v>
      </c>
      <c r="G509" s="329"/>
      <c r="H509" s="323" t="s">
        <v>27</v>
      </c>
      <c r="I509" s="330">
        <v>2544</v>
      </c>
      <c r="J509" s="330"/>
      <c r="K509" s="326" t="s">
        <v>22</v>
      </c>
      <c r="L509" s="327">
        <v>13038015.15</v>
      </c>
    </row>
    <row r="510" spans="1:12" ht="61.2" x14ac:dyDescent="0.3">
      <c r="A510" s="321" t="s">
        <v>81</v>
      </c>
      <c r="B510" s="322" t="s">
        <v>1222</v>
      </c>
      <c r="C510" s="322" t="s">
        <v>174</v>
      </c>
      <c r="D510" s="322" t="s">
        <v>1070</v>
      </c>
      <c r="E510" s="323" t="s">
        <v>175</v>
      </c>
      <c r="F510" s="329" t="s">
        <v>29</v>
      </c>
      <c r="G510" s="329"/>
      <c r="H510" s="323" t="s">
        <v>27</v>
      </c>
      <c r="I510" s="330">
        <v>4158.8</v>
      </c>
      <c r="J510" s="330"/>
      <c r="K510" s="326" t="s">
        <v>22</v>
      </c>
      <c r="L510" s="327">
        <v>13033856.35</v>
      </c>
    </row>
    <row r="511" spans="1:12" ht="61.2" x14ac:dyDescent="0.3">
      <c r="A511" s="321" t="s">
        <v>81</v>
      </c>
      <c r="B511" s="322" t="s">
        <v>1222</v>
      </c>
      <c r="C511" s="322" t="s">
        <v>174</v>
      </c>
      <c r="D511" s="322" t="s">
        <v>1117</v>
      </c>
      <c r="E511" s="323" t="s">
        <v>175</v>
      </c>
      <c r="F511" s="329" t="s">
        <v>29</v>
      </c>
      <c r="G511" s="329"/>
      <c r="H511" s="323" t="s">
        <v>27</v>
      </c>
      <c r="I511" s="330">
        <v>18077.599999999999</v>
      </c>
      <c r="J511" s="330"/>
      <c r="K511" s="326" t="s">
        <v>22</v>
      </c>
      <c r="L511" s="327">
        <v>13015778.75</v>
      </c>
    </row>
    <row r="512" spans="1:12" ht="61.2" x14ac:dyDescent="0.3">
      <c r="A512" s="321" t="s">
        <v>81</v>
      </c>
      <c r="B512" s="322" t="s">
        <v>1222</v>
      </c>
      <c r="C512" s="322" t="s">
        <v>174</v>
      </c>
      <c r="D512" s="322" t="s">
        <v>1118</v>
      </c>
      <c r="E512" s="323" t="s">
        <v>175</v>
      </c>
      <c r="F512" s="329" t="s">
        <v>29</v>
      </c>
      <c r="G512" s="329"/>
      <c r="H512" s="323" t="s">
        <v>27</v>
      </c>
      <c r="I512" s="330">
        <v>3120.6</v>
      </c>
      <c r="J512" s="330"/>
      <c r="K512" s="326" t="s">
        <v>22</v>
      </c>
      <c r="L512" s="327">
        <v>13012658.15</v>
      </c>
    </row>
    <row r="513" spans="1:12" ht="61.2" x14ac:dyDescent="0.3">
      <c r="A513" s="321" t="s">
        <v>81</v>
      </c>
      <c r="B513" s="322" t="s">
        <v>1222</v>
      </c>
      <c r="C513" s="322" t="s">
        <v>174</v>
      </c>
      <c r="D513" s="322" t="s">
        <v>1079</v>
      </c>
      <c r="E513" s="323" t="s">
        <v>175</v>
      </c>
      <c r="F513" s="329" t="s">
        <v>29</v>
      </c>
      <c r="G513" s="329"/>
      <c r="H513" s="323" t="s">
        <v>27</v>
      </c>
      <c r="I513" s="330">
        <v>3260</v>
      </c>
      <c r="J513" s="330"/>
      <c r="K513" s="326" t="s">
        <v>22</v>
      </c>
      <c r="L513" s="327">
        <v>13009398.15</v>
      </c>
    </row>
    <row r="514" spans="1:12" ht="61.2" x14ac:dyDescent="0.3">
      <c r="A514" s="321" t="s">
        <v>81</v>
      </c>
      <c r="B514" s="322" t="s">
        <v>1222</v>
      </c>
      <c r="C514" s="322" t="s">
        <v>174</v>
      </c>
      <c r="D514" s="322" t="s">
        <v>1080</v>
      </c>
      <c r="E514" s="323" t="s">
        <v>175</v>
      </c>
      <c r="F514" s="329" t="s">
        <v>29</v>
      </c>
      <c r="G514" s="329"/>
      <c r="H514" s="323" t="s">
        <v>27</v>
      </c>
      <c r="I514" s="330">
        <v>2895.3</v>
      </c>
      <c r="J514" s="330"/>
      <c r="K514" s="326" t="s">
        <v>22</v>
      </c>
      <c r="L514" s="327">
        <v>13006502.85</v>
      </c>
    </row>
    <row r="515" spans="1:12" ht="61.2" x14ac:dyDescent="0.3">
      <c r="A515" s="321" t="s">
        <v>81</v>
      </c>
      <c r="B515" s="322" t="s">
        <v>1222</v>
      </c>
      <c r="C515" s="322" t="s">
        <v>174</v>
      </c>
      <c r="D515" s="322" t="s">
        <v>1111</v>
      </c>
      <c r="E515" s="323" t="s">
        <v>175</v>
      </c>
      <c r="F515" s="329" t="s">
        <v>29</v>
      </c>
      <c r="G515" s="329"/>
      <c r="H515" s="323" t="s">
        <v>27</v>
      </c>
      <c r="I515" s="330">
        <v>3842.5</v>
      </c>
      <c r="J515" s="330"/>
      <c r="K515" s="326" t="s">
        <v>22</v>
      </c>
      <c r="L515" s="327">
        <v>13002660.35</v>
      </c>
    </row>
    <row r="516" spans="1:12" ht="61.2" x14ac:dyDescent="0.3">
      <c r="A516" s="321" t="s">
        <v>81</v>
      </c>
      <c r="B516" s="322" t="s">
        <v>1222</v>
      </c>
      <c r="C516" s="322" t="s">
        <v>174</v>
      </c>
      <c r="D516" s="322" t="s">
        <v>1044</v>
      </c>
      <c r="E516" s="323" t="s">
        <v>175</v>
      </c>
      <c r="F516" s="329" t="s">
        <v>29</v>
      </c>
      <c r="G516" s="329"/>
      <c r="H516" s="323" t="s">
        <v>27</v>
      </c>
      <c r="I516" s="330">
        <v>2978.1</v>
      </c>
      <c r="J516" s="330"/>
      <c r="K516" s="326" t="s">
        <v>22</v>
      </c>
      <c r="L516" s="327">
        <v>12999682.25</v>
      </c>
    </row>
    <row r="517" spans="1:12" ht="61.2" x14ac:dyDescent="0.3">
      <c r="A517" s="321" t="s">
        <v>81</v>
      </c>
      <c r="B517" s="322" t="s">
        <v>1222</v>
      </c>
      <c r="C517" s="322" t="s">
        <v>174</v>
      </c>
      <c r="D517" s="322" t="s">
        <v>1045</v>
      </c>
      <c r="E517" s="323" t="s">
        <v>175</v>
      </c>
      <c r="F517" s="329" t="s">
        <v>29</v>
      </c>
      <c r="G517" s="329"/>
      <c r="H517" s="323" t="s">
        <v>27</v>
      </c>
      <c r="I517" s="330">
        <v>3067.6</v>
      </c>
      <c r="J517" s="330"/>
      <c r="K517" s="326" t="s">
        <v>22</v>
      </c>
      <c r="L517" s="327">
        <v>12996614.65</v>
      </c>
    </row>
    <row r="518" spans="1:12" ht="61.2" x14ac:dyDescent="0.3">
      <c r="A518" s="321" t="s">
        <v>81</v>
      </c>
      <c r="B518" s="322" t="s">
        <v>1222</v>
      </c>
      <c r="C518" s="322" t="s">
        <v>174</v>
      </c>
      <c r="D518" s="322" t="s">
        <v>1068</v>
      </c>
      <c r="E518" s="323" t="s">
        <v>175</v>
      </c>
      <c r="F518" s="329" t="s">
        <v>29</v>
      </c>
      <c r="G518" s="329"/>
      <c r="H518" s="323" t="s">
        <v>27</v>
      </c>
      <c r="I518" s="330">
        <v>33499</v>
      </c>
      <c r="J518" s="330"/>
      <c r="K518" s="326" t="s">
        <v>22</v>
      </c>
      <c r="L518" s="327">
        <v>12963115.65</v>
      </c>
    </row>
    <row r="519" spans="1:12" ht="61.2" x14ac:dyDescent="0.3">
      <c r="A519" s="321" t="s">
        <v>81</v>
      </c>
      <c r="B519" s="322" t="s">
        <v>1222</v>
      </c>
      <c r="C519" s="322" t="s">
        <v>174</v>
      </c>
      <c r="D519" s="322" t="s">
        <v>1003</v>
      </c>
      <c r="E519" s="323" t="s">
        <v>175</v>
      </c>
      <c r="F519" s="329" t="s">
        <v>29</v>
      </c>
      <c r="G519" s="329"/>
      <c r="H519" s="323" t="s">
        <v>27</v>
      </c>
      <c r="I519" s="330">
        <v>4531.7</v>
      </c>
      <c r="J519" s="330"/>
      <c r="K519" s="326" t="s">
        <v>22</v>
      </c>
      <c r="L519" s="327">
        <v>12958583.949999999</v>
      </c>
    </row>
    <row r="520" spans="1:12" ht="61.2" x14ac:dyDescent="0.3">
      <c r="A520" s="321" t="s">
        <v>81</v>
      </c>
      <c r="B520" s="322" t="s">
        <v>1222</v>
      </c>
      <c r="C520" s="322" t="s">
        <v>174</v>
      </c>
      <c r="D520" s="322" t="s">
        <v>1030</v>
      </c>
      <c r="E520" s="323" t="s">
        <v>175</v>
      </c>
      <c r="F520" s="329" t="s">
        <v>29</v>
      </c>
      <c r="G520" s="329"/>
      <c r="H520" s="323" t="s">
        <v>27</v>
      </c>
      <c r="I520" s="330">
        <v>2199.5</v>
      </c>
      <c r="J520" s="330"/>
      <c r="K520" s="326" t="s">
        <v>22</v>
      </c>
      <c r="L520" s="327">
        <v>12956384.449999999</v>
      </c>
    </row>
    <row r="521" spans="1:12" ht="61.2" x14ac:dyDescent="0.3">
      <c r="A521" s="321" t="s">
        <v>81</v>
      </c>
      <c r="B521" s="322" t="s">
        <v>1222</v>
      </c>
      <c r="C521" s="322" t="s">
        <v>174</v>
      </c>
      <c r="D521" s="322" t="s">
        <v>978</v>
      </c>
      <c r="E521" s="323" t="s">
        <v>175</v>
      </c>
      <c r="F521" s="329" t="s">
        <v>29</v>
      </c>
      <c r="G521" s="329"/>
      <c r="H521" s="323" t="s">
        <v>27</v>
      </c>
      <c r="I521" s="330">
        <v>14592.9</v>
      </c>
      <c r="J521" s="330"/>
      <c r="K521" s="326" t="s">
        <v>22</v>
      </c>
      <c r="L521" s="327">
        <v>12941791.550000001</v>
      </c>
    </row>
    <row r="522" spans="1:12" ht="61.2" x14ac:dyDescent="0.3">
      <c r="A522" s="321" t="s">
        <v>81</v>
      </c>
      <c r="B522" s="322" t="s">
        <v>1222</v>
      </c>
      <c r="C522" s="322" t="s">
        <v>174</v>
      </c>
      <c r="D522" s="322" t="s">
        <v>979</v>
      </c>
      <c r="E522" s="323" t="s">
        <v>175</v>
      </c>
      <c r="F522" s="329" t="s">
        <v>29</v>
      </c>
      <c r="G522" s="329"/>
      <c r="H522" s="323" t="s">
        <v>27</v>
      </c>
      <c r="I522" s="330">
        <v>5836.9</v>
      </c>
      <c r="J522" s="330"/>
      <c r="K522" s="326" t="s">
        <v>22</v>
      </c>
      <c r="L522" s="327">
        <v>12935954.65</v>
      </c>
    </row>
    <row r="523" spans="1:12" ht="61.2" x14ac:dyDescent="0.3">
      <c r="A523" s="321" t="s">
        <v>81</v>
      </c>
      <c r="B523" s="322" t="s">
        <v>1222</v>
      </c>
      <c r="C523" s="322" t="s">
        <v>174</v>
      </c>
      <c r="D523" s="322" t="s">
        <v>977</v>
      </c>
      <c r="E523" s="323" t="s">
        <v>175</v>
      </c>
      <c r="F523" s="329" t="s">
        <v>29</v>
      </c>
      <c r="G523" s="329"/>
      <c r="H523" s="323" t="s">
        <v>27</v>
      </c>
      <c r="I523" s="330">
        <v>6189.7</v>
      </c>
      <c r="J523" s="330"/>
      <c r="K523" s="326" t="s">
        <v>22</v>
      </c>
      <c r="L523" s="327">
        <v>12929764.949999999</v>
      </c>
    </row>
    <row r="524" spans="1:12" ht="61.2" x14ac:dyDescent="0.3">
      <c r="A524" s="321" t="s">
        <v>81</v>
      </c>
      <c r="B524" s="322" t="s">
        <v>1222</v>
      </c>
      <c r="C524" s="322" t="s">
        <v>174</v>
      </c>
      <c r="D524" s="322" t="s">
        <v>1032</v>
      </c>
      <c r="E524" s="323" t="s">
        <v>175</v>
      </c>
      <c r="F524" s="329" t="s">
        <v>29</v>
      </c>
      <c r="G524" s="329"/>
      <c r="H524" s="323" t="s">
        <v>27</v>
      </c>
      <c r="I524" s="330">
        <v>2206.1999999999998</v>
      </c>
      <c r="J524" s="330"/>
      <c r="K524" s="326" t="s">
        <v>22</v>
      </c>
      <c r="L524" s="327">
        <v>12927558.75</v>
      </c>
    </row>
    <row r="525" spans="1:12" ht="61.2" x14ac:dyDescent="0.3">
      <c r="A525" s="321" t="s">
        <v>81</v>
      </c>
      <c r="B525" s="322" t="s">
        <v>1222</v>
      </c>
      <c r="C525" s="322" t="s">
        <v>174</v>
      </c>
      <c r="D525" s="322" t="s">
        <v>1132</v>
      </c>
      <c r="E525" s="323" t="s">
        <v>175</v>
      </c>
      <c r="F525" s="329" t="s">
        <v>29</v>
      </c>
      <c r="G525" s="329"/>
      <c r="H525" s="323" t="s">
        <v>27</v>
      </c>
      <c r="I525" s="330">
        <v>22497.3</v>
      </c>
      <c r="J525" s="330"/>
      <c r="K525" s="326" t="s">
        <v>22</v>
      </c>
      <c r="L525" s="327">
        <v>12905061.449999999</v>
      </c>
    </row>
    <row r="526" spans="1:12" ht="61.2" x14ac:dyDescent="0.3">
      <c r="A526" s="321" t="s">
        <v>81</v>
      </c>
      <c r="B526" s="322" t="s">
        <v>1222</v>
      </c>
      <c r="C526" s="322" t="s">
        <v>174</v>
      </c>
      <c r="D526" s="322" t="s">
        <v>1134</v>
      </c>
      <c r="E526" s="323" t="s">
        <v>175</v>
      </c>
      <c r="F526" s="329" t="s">
        <v>29</v>
      </c>
      <c r="G526" s="329"/>
      <c r="H526" s="323" t="s">
        <v>27</v>
      </c>
      <c r="I526" s="330">
        <v>5685.5</v>
      </c>
      <c r="J526" s="330"/>
      <c r="K526" s="326" t="s">
        <v>22</v>
      </c>
      <c r="L526" s="327">
        <v>12899375.949999999</v>
      </c>
    </row>
    <row r="527" spans="1:12" ht="61.2" x14ac:dyDescent="0.3">
      <c r="A527" s="321" t="s">
        <v>81</v>
      </c>
      <c r="B527" s="322" t="s">
        <v>1222</v>
      </c>
      <c r="C527" s="322" t="s">
        <v>174</v>
      </c>
      <c r="D527" s="322" t="s">
        <v>1020</v>
      </c>
      <c r="E527" s="323" t="s">
        <v>175</v>
      </c>
      <c r="F527" s="329" t="s">
        <v>29</v>
      </c>
      <c r="G527" s="329"/>
      <c r="H527" s="323" t="s">
        <v>27</v>
      </c>
      <c r="I527" s="330">
        <v>6667</v>
      </c>
      <c r="J527" s="330"/>
      <c r="K527" s="326" t="s">
        <v>22</v>
      </c>
      <c r="L527" s="327">
        <v>12892708.949999999</v>
      </c>
    </row>
    <row r="528" spans="1:12" ht="61.2" x14ac:dyDescent="0.3">
      <c r="A528" s="321" t="s">
        <v>81</v>
      </c>
      <c r="B528" s="322" t="s">
        <v>1222</v>
      </c>
      <c r="C528" s="322" t="s">
        <v>174</v>
      </c>
      <c r="D528" s="322" t="s">
        <v>1083</v>
      </c>
      <c r="E528" s="323" t="s">
        <v>175</v>
      </c>
      <c r="F528" s="329" t="s">
        <v>29</v>
      </c>
      <c r="G528" s="329"/>
      <c r="H528" s="323" t="s">
        <v>27</v>
      </c>
      <c r="I528" s="330">
        <v>3406.2</v>
      </c>
      <c r="J528" s="330"/>
      <c r="K528" s="326" t="s">
        <v>22</v>
      </c>
      <c r="L528" s="327">
        <v>12889302.75</v>
      </c>
    </row>
    <row r="529" spans="1:12" ht="61.2" x14ac:dyDescent="0.3">
      <c r="A529" s="321" t="s">
        <v>81</v>
      </c>
      <c r="B529" s="322" t="s">
        <v>1222</v>
      </c>
      <c r="C529" s="322" t="s">
        <v>174</v>
      </c>
      <c r="D529" s="322" t="s">
        <v>1002</v>
      </c>
      <c r="E529" s="323" t="s">
        <v>175</v>
      </c>
      <c r="F529" s="329" t="s">
        <v>29</v>
      </c>
      <c r="G529" s="329"/>
      <c r="H529" s="323" t="s">
        <v>27</v>
      </c>
      <c r="I529" s="330">
        <v>4847.2</v>
      </c>
      <c r="J529" s="330"/>
      <c r="K529" s="326" t="s">
        <v>22</v>
      </c>
      <c r="L529" s="327">
        <v>12884455.550000001</v>
      </c>
    </row>
    <row r="530" spans="1:12" ht="61.2" x14ac:dyDescent="0.3">
      <c r="A530" s="321" t="s">
        <v>81</v>
      </c>
      <c r="B530" s="322" t="s">
        <v>1222</v>
      </c>
      <c r="C530" s="322" t="s">
        <v>174</v>
      </c>
      <c r="D530" s="322" t="s">
        <v>1076</v>
      </c>
      <c r="E530" s="323" t="s">
        <v>175</v>
      </c>
      <c r="F530" s="329" t="s">
        <v>29</v>
      </c>
      <c r="G530" s="329"/>
      <c r="H530" s="323" t="s">
        <v>27</v>
      </c>
      <c r="I530" s="330">
        <v>3622.5</v>
      </c>
      <c r="J530" s="330"/>
      <c r="K530" s="326" t="s">
        <v>22</v>
      </c>
      <c r="L530" s="327">
        <v>12880833.050000001</v>
      </c>
    </row>
    <row r="531" spans="1:12" ht="61.2" x14ac:dyDescent="0.3">
      <c r="A531" s="321" t="s">
        <v>81</v>
      </c>
      <c r="B531" s="322" t="s">
        <v>1222</v>
      </c>
      <c r="C531" s="322" t="s">
        <v>174</v>
      </c>
      <c r="D531" s="322" t="s">
        <v>1120</v>
      </c>
      <c r="E531" s="323" t="s">
        <v>175</v>
      </c>
      <c r="F531" s="329" t="s">
        <v>29</v>
      </c>
      <c r="G531" s="329"/>
      <c r="H531" s="323" t="s">
        <v>27</v>
      </c>
      <c r="I531" s="330">
        <v>4583.8999999999996</v>
      </c>
      <c r="J531" s="330"/>
      <c r="K531" s="326" t="s">
        <v>22</v>
      </c>
      <c r="L531" s="327">
        <v>12876249.15</v>
      </c>
    </row>
    <row r="532" spans="1:12" ht="61.2" x14ac:dyDescent="0.3">
      <c r="A532" s="321" t="s">
        <v>81</v>
      </c>
      <c r="B532" s="322" t="s">
        <v>1222</v>
      </c>
      <c r="C532" s="322" t="s">
        <v>174</v>
      </c>
      <c r="D532" s="322" t="s">
        <v>1007</v>
      </c>
      <c r="E532" s="323" t="s">
        <v>175</v>
      </c>
      <c r="F532" s="329" t="s">
        <v>29</v>
      </c>
      <c r="G532" s="329"/>
      <c r="H532" s="323" t="s">
        <v>27</v>
      </c>
      <c r="I532" s="330">
        <v>6469.3</v>
      </c>
      <c r="J532" s="330"/>
      <c r="K532" s="326" t="s">
        <v>22</v>
      </c>
      <c r="L532" s="327">
        <v>12869779.85</v>
      </c>
    </row>
    <row r="533" spans="1:12" ht="61.2" x14ac:dyDescent="0.3">
      <c r="A533" s="321" t="s">
        <v>81</v>
      </c>
      <c r="B533" s="322" t="s">
        <v>1222</v>
      </c>
      <c r="C533" s="322" t="s">
        <v>174</v>
      </c>
      <c r="D533" s="322" t="s">
        <v>980</v>
      </c>
      <c r="E533" s="323" t="s">
        <v>175</v>
      </c>
      <c r="F533" s="329" t="s">
        <v>29</v>
      </c>
      <c r="G533" s="329"/>
      <c r="H533" s="323" t="s">
        <v>27</v>
      </c>
      <c r="I533" s="330">
        <v>4305.7</v>
      </c>
      <c r="J533" s="330"/>
      <c r="K533" s="326" t="s">
        <v>22</v>
      </c>
      <c r="L533" s="327">
        <v>12865474.15</v>
      </c>
    </row>
    <row r="534" spans="1:12" ht="61.2" x14ac:dyDescent="0.3">
      <c r="A534" s="321" t="s">
        <v>81</v>
      </c>
      <c r="B534" s="322" t="s">
        <v>1222</v>
      </c>
      <c r="C534" s="322" t="s">
        <v>174</v>
      </c>
      <c r="D534" s="322" t="s">
        <v>988</v>
      </c>
      <c r="E534" s="323" t="s">
        <v>175</v>
      </c>
      <c r="F534" s="329" t="s">
        <v>29</v>
      </c>
      <c r="G534" s="329"/>
      <c r="H534" s="323" t="s">
        <v>27</v>
      </c>
      <c r="I534" s="330">
        <v>4861.3</v>
      </c>
      <c r="J534" s="330"/>
      <c r="K534" s="326" t="s">
        <v>22</v>
      </c>
      <c r="L534" s="327">
        <v>12860612.85</v>
      </c>
    </row>
    <row r="535" spans="1:12" ht="61.2" x14ac:dyDescent="0.3">
      <c r="A535" s="321" t="s">
        <v>81</v>
      </c>
      <c r="B535" s="322" t="s">
        <v>1222</v>
      </c>
      <c r="C535" s="322" t="s">
        <v>174</v>
      </c>
      <c r="D535" s="322" t="s">
        <v>1135</v>
      </c>
      <c r="E535" s="323" t="s">
        <v>175</v>
      </c>
      <c r="F535" s="329" t="s">
        <v>29</v>
      </c>
      <c r="G535" s="329"/>
      <c r="H535" s="323" t="s">
        <v>27</v>
      </c>
      <c r="I535" s="330">
        <v>6805.7</v>
      </c>
      <c r="J535" s="330"/>
      <c r="K535" s="326" t="s">
        <v>22</v>
      </c>
      <c r="L535" s="327">
        <v>12853807.15</v>
      </c>
    </row>
    <row r="536" spans="1:12" ht="61.2" x14ac:dyDescent="0.3">
      <c r="A536" s="321" t="s">
        <v>81</v>
      </c>
      <c r="B536" s="322" t="s">
        <v>1222</v>
      </c>
      <c r="C536" s="322" t="s">
        <v>174</v>
      </c>
      <c r="D536" s="322" t="s">
        <v>1141</v>
      </c>
      <c r="E536" s="323" t="s">
        <v>175</v>
      </c>
      <c r="F536" s="329" t="s">
        <v>29</v>
      </c>
      <c r="G536" s="329"/>
      <c r="H536" s="323" t="s">
        <v>27</v>
      </c>
      <c r="I536" s="330">
        <v>5973.4</v>
      </c>
      <c r="J536" s="330"/>
      <c r="K536" s="326" t="s">
        <v>22</v>
      </c>
      <c r="L536" s="327">
        <v>12847833.75</v>
      </c>
    </row>
    <row r="537" spans="1:12" ht="61.2" x14ac:dyDescent="0.3">
      <c r="A537" s="321" t="s">
        <v>81</v>
      </c>
      <c r="B537" s="322" t="s">
        <v>1222</v>
      </c>
      <c r="C537" s="322" t="s">
        <v>174</v>
      </c>
      <c r="D537" s="322" t="s">
        <v>981</v>
      </c>
      <c r="E537" s="323" t="s">
        <v>175</v>
      </c>
      <c r="F537" s="329" t="s">
        <v>29</v>
      </c>
      <c r="G537" s="329"/>
      <c r="H537" s="323" t="s">
        <v>27</v>
      </c>
      <c r="I537" s="330">
        <v>5040.3</v>
      </c>
      <c r="J537" s="330"/>
      <c r="K537" s="326" t="s">
        <v>22</v>
      </c>
      <c r="L537" s="327">
        <v>12842793.449999999</v>
      </c>
    </row>
    <row r="538" spans="1:12" ht="61.2" x14ac:dyDescent="0.3">
      <c r="A538" s="321" t="s">
        <v>81</v>
      </c>
      <c r="B538" s="322" t="s">
        <v>1222</v>
      </c>
      <c r="C538" s="322" t="s">
        <v>174</v>
      </c>
      <c r="D538" s="322" t="s">
        <v>989</v>
      </c>
      <c r="E538" s="323" t="s">
        <v>175</v>
      </c>
      <c r="F538" s="329" t="s">
        <v>29</v>
      </c>
      <c r="G538" s="329"/>
      <c r="H538" s="323" t="s">
        <v>27</v>
      </c>
      <c r="I538" s="330">
        <v>5742.9</v>
      </c>
      <c r="J538" s="330"/>
      <c r="K538" s="326" t="s">
        <v>22</v>
      </c>
      <c r="L538" s="327">
        <v>12837050.550000001</v>
      </c>
    </row>
    <row r="539" spans="1:12" ht="61.2" x14ac:dyDescent="0.3">
      <c r="A539" s="321" t="s">
        <v>81</v>
      </c>
      <c r="B539" s="322" t="s">
        <v>1222</v>
      </c>
      <c r="C539" s="322" t="s">
        <v>174</v>
      </c>
      <c r="D539" s="322" t="s">
        <v>1000</v>
      </c>
      <c r="E539" s="323" t="s">
        <v>175</v>
      </c>
      <c r="F539" s="329" t="s">
        <v>29</v>
      </c>
      <c r="G539" s="329"/>
      <c r="H539" s="323" t="s">
        <v>27</v>
      </c>
      <c r="I539" s="331">
        <v>683.2</v>
      </c>
      <c r="J539" s="331"/>
      <c r="K539" s="326" t="s">
        <v>22</v>
      </c>
      <c r="L539" s="327">
        <v>12836367.35</v>
      </c>
    </row>
    <row r="540" spans="1:12" ht="61.2" x14ac:dyDescent="0.3">
      <c r="A540" s="321" t="s">
        <v>81</v>
      </c>
      <c r="B540" s="322" t="s">
        <v>1222</v>
      </c>
      <c r="C540" s="322" t="s">
        <v>174</v>
      </c>
      <c r="D540" s="322" t="s">
        <v>1125</v>
      </c>
      <c r="E540" s="323" t="s">
        <v>175</v>
      </c>
      <c r="F540" s="329" t="s">
        <v>29</v>
      </c>
      <c r="G540" s="329"/>
      <c r="H540" s="323" t="s">
        <v>27</v>
      </c>
      <c r="I540" s="330">
        <v>6984.7</v>
      </c>
      <c r="J540" s="330"/>
      <c r="K540" s="326" t="s">
        <v>22</v>
      </c>
      <c r="L540" s="327">
        <v>12829382.65</v>
      </c>
    </row>
    <row r="541" spans="1:12" ht="61.2" x14ac:dyDescent="0.3">
      <c r="A541" s="321" t="s">
        <v>81</v>
      </c>
      <c r="B541" s="322" t="s">
        <v>1222</v>
      </c>
      <c r="C541" s="322" t="s">
        <v>174</v>
      </c>
      <c r="D541" s="322" t="s">
        <v>1123</v>
      </c>
      <c r="E541" s="323" t="s">
        <v>175</v>
      </c>
      <c r="F541" s="329" t="s">
        <v>29</v>
      </c>
      <c r="G541" s="329"/>
      <c r="H541" s="323" t="s">
        <v>27</v>
      </c>
      <c r="I541" s="330">
        <v>1250.8</v>
      </c>
      <c r="J541" s="330"/>
      <c r="K541" s="326" t="s">
        <v>22</v>
      </c>
      <c r="L541" s="327">
        <v>12828131.85</v>
      </c>
    </row>
    <row r="542" spans="1:12" ht="61.2" x14ac:dyDescent="0.3">
      <c r="A542" s="321" t="s">
        <v>81</v>
      </c>
      <c r="B542" s="322" t="s">
        <v>1222</v>
      </c>
      <c r="C542" s="322" t="s">
        <v>174</v>
      </c>
      <c r="D542" s="322" t="s">
        <v>1122</v>
      </c>
      <c r="E542" s="323" t="s">
        <v>175</v>
      </c>
      <c r="F542" s="329" t="s">
        <v>29</v>
      </c>
      <c r="G542" s="329"/>
      <c r="H542" s="323" t="s">
        <v>27</v>
      </c>
      <c r="I542" s="331">
        <v>879.3</v>
      </c>
      <c r="J542" s="331"/>
      <c r="K542" s="326" t="s">
        <v>22</v>
      </c>
      <c r="L542" s="327">
        <v>12827252.550000001</v>
      </c>
    </row>
    <row r="543" spans="1:12" ht="61.2" x14ac:dyDescent="0.3">
      <c r="A543" s="321" t="s">
        <v>81</v>
      </c>
      <c r="B543" s="322" t="s">
        <v>1222</v>
      </c>
      <c r="C543" s="322" t="s">
        <v>174</v>
      </c>
      <c r="D543" s="322" t="s">
        <v>1040</v>
      </c>
      <c r="E543" s="323" t="s">
        <v>175</v>
      </c>
      <c r="F543" s="329" t="s">
        <v>29</v>
      </c>
      <c r="G543" s="329"/>
      <c r="H543" s="323" t="s">
        <v>27</v>
      </c>
      <c r="I543" s="330">
        <v>1502.1</v>
      </c>
      <c r="J543" s="330"/>
      <c r="K543" s="326" t="s">
        <v>22</v>
      </c>
      <c r="L543" s="327">
        <v>12825750.449999999</v>
      </c>
    </row>
    <row r="544" spans="1:12" ht="61.2" x14ac:dyDescent="0.3">
      <c r="A544" s="321" t="s">
        <v>81</v>
      </c>
      <c r="B544" s="322" t="s">
        <v>1222</v>
      </c>
      <c r="C544" s="322" t="s">
        <v>174</v>
      </c>
      <c r="D544" s="322" t="s">
        <v>1039</v>
      </c>
      <c r="E544" s="323" t="s">
        <v>175</v>
      </c>
      <c r="F544" s="329" t="s">
        <v>29</v>
      </c>
      <c r="G544" s="329"/>
      <c r="H544" s="323" t="s">
        <v>27</v>
      </c>
      <c r="I544" s="330">
        <v>1310.4000000000001</v>
      </c>
      <c r="J544" s="330"/>
      <c r="K544" s="326" t="s">
        <v>22</v>
      </c>
      <c r="L544" s="327">
        <v>12824440.050000001</v>
      </c>
    </row>
    <row r="545" spans="1:12" ht="61.2" x14ac:dyDescent="0.3">
      <c r="A545" s="321" t="s">
        <v>81</v>
      </c>
      <c r="B545" s="322" t="s">
        <v>1222</v>
      </c>
      <c r="C545" s="322" t="s">
        <v>174</v>
      </c>
      <c r="D545" s="322" t="s">
        <v>1023</v>
      </c>
      <c r="E545" s="323" t="s">
        <v>175</v>
      </c>
      <c r="F545" s="329" t="s">
        <v>29</v>
      </c>
      <c r="G545" s="329"/>
      <c r="H545" s="323" t="s">
        <v>27</v>
      </c>
      <c r="I545" s="330">
        <v>1577.4</v>
      </c>
      <c r="J545" s="330"/>
      <c r="K545" s="326" t="s">
        <v>22</v>
      </c>
      <c r="L545" s="327">
        <v>12822862.65</v>
      </c>
    </row>
    <row r="546" spans="1:12" ht="61.2" x14ac:dyDescent="0.3">
      <c r="A546" s="321" t="s">
        <v>81</v>
      </c>
      <c r="B546" s="322" t="s">
        <v>1222</v>
      </c>
      <c r="C546" s="322" t="s">
        <v>174</v>
      </c>
      <c r="D546" s="322" t="s">
        <v>1024</v>
      </c>
      <c r="E546" s="323" t="s">
        <v>175</v>
      </c>
      <c r="F546" s="329" t="s">
        <v>29</v>
      </c>
      <c r="G546" s="329"/>
      <c r="H546" s="323" t="s">
        <v>27</v>
      </c>
      <c r="I546" s="330">
        <v>1949.6</v>
      </c>
      <c r="J546" s="330"/>
      <c r="K546" s="326" t="s">
        <v>22</v>
      </c>
      <c r="L546" s="327">
        <v>12820913.050000001</v>
      </c>
    </row>
    <row r="547" spans="1:12" ht="61.2" x14ac:dyDescent="0.3">
      <c r="A547" s="321" t="s">
        <v>81</v>
      </c>
      <c r="B547" s="322" t="s">
        <v>1222</v>
      </c>
      <c r="C547" s="322" t="s">
        <v>174</v>
      </c>
      <c r="D547" s="322" t="s">
        <v>1048</v>
      </c>
      <c r="E547" s="323" t="s">
        <v>175</v>
      </c>
      <c r="F547" s="329" t="s">
        <v>29</v>
      </c>
      <c r="G547" s="329"/>
      <c r="H547" s="323" t="s">
        <v>27</v>
      </c>
      <c r="I547" s="330">
        <v>9540.9</v>
      </c>
      <c r="J547" s="330"/>
      <c r="K547" s="326" t="s">
        <v>22</v>
      </c>
      <c r="L547" s="327">
        <v>12811372.15</v>
      </c>
    </row>
    <row r="548" spans="1:12" ht="61.2" x14ac:dyDescent="0.3">
      <c r="A548" s="321" t="s">
        <v>81</v>
      </c>
      <c r="B548" s="322" t="s">
        <v>1222</v>
      </c>
      <c r="C548" s="322" t="s">
        <v>174</v>
      </c>
      <c r="D548" s="322" t="s">
        <v>1050</v>
      </c>
      <c r="E548" s="323" t="s">
        <v>175</v>
      </c>
      <c r="F548" s="329" t="s">
        <v>29</v>
      </c>
      <c r="G548" s="329"/>
      <c r="H548" s="323" t="s">
        <v>27</v>
      </c>
      <c r="I548" s="330">
        <v>1858.6</v>
      </c>
      <c r="J548" s="330"/>
      <c r="K548" s="326" t="s">
        <v>22</v>
      </c>
      <c r="L548" s="327">
        <v>12809513.550000001</v>
      </c>
    </row>
    <row r="549" spans="1:12" ht="61.2" x14ac:dyDescent="0.3">
      <c r="A549" s="321" t="s">
        <v>81</v>
      </c>
      <c r="B549" s="322" t="s">
        <v>1222</v>
      </c>
      <c r="C549" s="322" t="s">
        <v>174</v>
      </c>
      <c r="D549" s="322" t="s">
        <v>1009</v>
      </c>
      <c r="E549" s="323" t="s">
        <v>175</v>
      </c>
      <c r="F549" s="329" t="s">
        <v>29</v>
      </c>
      <c r="G549" s="329"/>
      <c r="H549" s="323" t="s">
        <v>27</v>
      </c>
      <c r="I549" s="330">
        <v>1141.0999999999999</v>
      </c>
      <c r="J549" s="330"/>
      <c r="K549" s="326" t="s">
        <v>22</v>
      </c>
      <c r="L549" s="327">
        <v>12808372.449999999</v>
      </c>
    </row>
    <row r="550" spans="1:12" ht="61.2" x14ac:dyDescent="0.3">
      <c r="A550" s="321" t="s">
        <v>81</v>
      </c>
      <c r="B550" s="322" t="s">
        <v>1222</v>
      </c>
      <c r="C550" s="322" t="s">
        <v>174</v>
      </c>
      <c r="D550" s="322" t="s">
        <v>1138</v>
      </c>
      <c r="E550" s="323" t="s">
        <v>175</v>
      </c>
      <c r="F550" s="329" t="s">
        <v>29</v>
      </c>
      <c r="G550" s="329"/>
      <c r="H550" s="323" t="s">
        <v>27</v>
      </c>
      <c r="I550" s="330">
        <v>2490.3000000000002</v>
      </c>
      <c r="J550" s="330"/>
      <c r="K550" s="326" t="s">
        <v>22</v>
      </c>
      <c r="L550" s="327">
        <v>12805882.15</v>
      </c>
    </row>
    <row r="551" spans="1:12" ht="61.2" x14ac:dyDescent="0.3">
      <c r="A551" s="321" t="s">
        <v>81</v>
      </c>
      <c r="B551" s="322" t="s">
        <v>1222</v>
      </c>
      <c r="C551" s="322" t="s">
        <v>174</v>
      </c>
      <c r="D551" s="322" t="s">
        <v>962</v>
      </c>
      <c r="E551" s="323" t="s">
        <v>175</v>
      </c>
      <c r="F551" s="329" t="s">
        <v>29</v>
      </c>
      <c r="G551" s="329"/>
      <c r="H551" s="323" t="s">
        <v>27</v>
      </c>
      <c r="I551" s="330">
        <v>4903.1000000000004</v>
      </c>
      <c r="J551" s="330"/>
      <c r="K551" s="326" t="s">
        <v>22</v>
      </c>
      <c r="L551" s="327">
        <v>12800979.050000001</v>
      </c>
    </row>
    <row r="552" spans="1:12" ht="61.2" x14ac:dyDescent="0.3">
      <c r="A552" s="321" t="s">
        <v>81</v>
      </c>
      <c r="B552" s="322" t="s">
        <v>1222</v>
      </c>
      <c r="C552" s="322" t="s">
        <v>174</v>
      </c>
      <c r="D552" s="322" t="s">
        <v>969</v>
      </c>
      <c r="E552" s="323" t="s">
        <v>175</v>
      </c>
      <c r="F552" s="329" t="s">
        <v>29</v>
      </c>
      <c r="G552" s="329"/>
      <c r="H552" s="323" t="s">
        <v>27</v>
      </c>
      <c r="I552" s="330">
        <v>2089.8000000000002</v>
      </c>
      <c r="J552" s="330"/>
      <c r="K552" s="326" t="s">
        <v>22</v>
      </c>
      <c r="L552" s="327">
        <v>12798889.25</v>
      </c>
    </row>
    <row r="553" spans="1:12" ht="61.2" x14ac:dyDescent="0.3">
      <c r="A553" s="321" t="s">
        <v>81</v>
      </c>
      <c r="B553" s="322" t="s">
        <v>1222</v>
      </c>
      <c r="C553" s="322" t="s">
        <v>174</v>
      </c>
      <c r="D553" s="322" t="s">
        <v>950</v>
      </c>
      <c r="E553" s="323" t="s">
        <v>175</v>
      </c>
      <c r="F553" s="329" t="s">
        <v>29</v>
      </c>
      <c r="G553" s="329"/>
      <c r="H553" s="323" t="s">
        <v>27</v>
      </c>
      <c r="I553" s="330">
        <v>23440.3</v>
      </c>
      <c r="J553" s="330"/>
      <c r="K553" s="326" t="s">
        <v>22</v>
      </c>
      <c r="L553" s="327">
        <v>12775448.949999999</v>
      </c>
    </row>
    <row r="554" spans="1:12" ht="61.2" x14ac:dyDescent="0.3">
      <c r="A554" s="321" t="s">
        <v>81</v>
      </c>
      <c r="B554" s="322" t="s">
        <v>1222</v>
      </c>
      <c r="C554" s="322" t="s">
        <v>174</v>
      </c>
      <c r="D554" s="322" t="s">
        <v>1130</v>
      </c>
      <c r="E554" s="323" t="s">
        <v>175</v>
      </c>
      <c r="F554" s="329" t="s">
        <v>29</v>
      </c>
      <c r="G554" s="329"/>
      <c r="H554" s="323" t="s">
        <v>27</v>
      </c>
      <c r="I554" s="330">
        <v>4474.3</v>
      </c>
      <c r="J554" s="330"/>
      <c r="K554" s="326" t="s">
        <v>22</v>
      </c>
      <c r="L554" s="327">
        <v>12770974.65</v>
      </c>
    </row>
    <row r="555" spans="1:12" ht="51" x14ac:dyDescent="0.3">
      <c r="A555" s="321" t="s">
        <v>81</v>
      </c>
      <c r="B555" s="322" t="s">
        <v>1223</v>
      </c>
      <c r="C555" s="322" t="s">
        <v>174</v>
      </c>
      <c r="D555" s="322" t="s">
        <v>1224</v>
      </c>
      <c r="E555" s="323" t="s">
        <v>175</v>
      </c>
      <c r="F555" s="329" t="s">
        <v>29</v>
      </c>
      <c r="G555" s="329"/>
      <c r="H555" s="323" t="s">
        <v>27</v>
      </c>
      <c r="I555" s="330">
        <v>22510</v>
      </c>
      <c r="J555" s="330"/>
      <c r="K555" s="326" t="s">
        <v>22</v>
      </c>
      <c r="L555" s="327">
        <v>12748464.65</v>
      </c>
    </row>
    <row r="556" spans="1:12" ht="51" hidden="1" x14ac:dyDescent="0.3">
      <c r="A556" s="321" t="s">
        <v>160</v>
      </c>
      <c r="B556" s="322" t="s">
        <v>451</v>
      </c>
      <c r="C556" s="322" t="s">
        <v>452</v>
      </c>
      <c r="D556" s="322" t="s">
        <v>325</v>
      </c>
      <c r="E556" s="323" t="s">
        <v>27</v>
      </c>
      <c r="F556" s="324">
        <v>2026.92</v>
      </c>
      <c r="G556" s="324"/>
      <c r="H556" s="323" t="s">
        <v>27</v>
      </c>
      <c r="I556" s="325" t="s">
        <v>29</v>
      </c>
      <c r="J556" s="325"/>
      <c r="K556" s="326" t="s">
        <v>22</v>
      </c>
      <c r="L556" s="327">
        <v>12750491.57</v>
      </c>
    </row>
    <row r="557" spans="1:12" ht="51" hidden="1" x14ac:dyDescent="0.3">
      <c r="A557" s="321" t="s">
        <v>160</v>
      </c>
      <c r="B557" s="322" t="s">
        <v>451</v>
      </c>
      <c r="C557" s="322" t="s">
        <v>453</v>
      </c>
      <c r="D557" s="322" t="s">
        <v>167</v>
      </c>
      <c r="E557" s="323" t="s">
        <v>27</v>
      </c>
      <c r="F557" s="324">
        <v>81261.36</v>
      </c>
      <c r="G557" s="324"/>
      <c r="H557" s="323" t="s">
        <v>27</v>
      </c>
      <c r="I557" s="325" t="s">
        <v>29</v>
      </c>
      <c r="J557" s="325"/>
      <c r="K557" s="326" t="s">
        <v>22</v>
      </c>
      <c r="L557" s="327">
        <v>12831752.93</v>
      </c>
    </row>
    <row r="558" spans="1:12" ht="61.2" hidden="1" x14ac:dyDescent="0.3">
      <c r="A558" s="321" t="s">
        <v>160</v>
      </c>
      <c r="B558" s="322" t="s">
        <v>1225</v>
      </c>
      <c r="C558" s="322" t="s">
        <v>1226</v>
      </c>
      <c r="D558" s="322" t="s">
        <v>1227</v>
      </c>
      <c r="E558" s="323" t="s">
        <v>27</v>
      </c>
      <c r="F558" s="324">
        <v>80221.679999999993</v>
      </c>
      <c r="G558" s="324"/>
      <c r="H558" s="323" t="s">
        <v>28</v>
      </c>
      <c r="I558" s="325" t="s">
        <v>29</v>
      </c>
      <c r="J558" s="325"/>
      <c r="K558" s="326" t="s">
        <v>22</v>
      </c>
      <c r="L558" s="327">
        <v>12911974.609999999</v>
      </c>
    </row>
    <row r="559" spans="1:12" ht="51" hidden="1" x14ac:dyDescent="0.3">
      <c r="A559" s="321" t="s">
        <v>160</v>
      </c>
      <c r="B559" s="322" t="s">
        <v>1228</v>
      </c>
      <c r="C559" s="322" t="s">
        <v>1229</v>
      </c>
      <c r="D559" s="322" t="s">
        <v>1227</v>
      </c>
      <c r="E559" s="323" t="s">
        <v>27</v>
      </c>
      <c r="F559" s="324">
        <v>7635.75</v>
      </c>
      <c r="G559" s="324"/>
      <c r="H559" s="323" t="s">
        <v>28</v>
      </c>
      <c r="I559" s="325" t="s">
        <v>29</v>
      </c>
      <c r="J559" s="325"/>
      <c r="K559" s="326" t="s">
        <v>22</v>
      </c>
      <c r="L559" s="327">
        <v>12919610.359999999</v>
      </c>
    </row>
    <row r="560" spans="1:12" ht="51" hidden="1" x14ac:dyDescent="0.3">
      <c r="A560" s="321" t="s">
        <v>160</v>
      </c>
      <c r="B560" s="322" t="s">
        <v>1225</v>
      </c>
      <c r="C560" s="322" t="s">
        <v>1229</v>
      </c>
      <c r="D560" s="322" t="s">
        <v>1227</v>
      </c>
      <c r="E560" s="323" t="s">
        <v>27</v>
      </c>
      <c r="F560" s="324">
        <v>275244.25</v>
      </c>
      <c r="G560" s="324"/>
      <c r="H560" s="323" t="s">
        <v>28</v>
      </c>
      <c r="I560" s="325" t="s">
        <v>29</v>
      </c>
      <c r="J560" s="325"/>
      <c r="K560" s="326" t="s">
        <v>22</v>
      </c>
      <c r="L560" s="327">
        <v>13194854.609999999</v>
      </c>
    </row>
    <row r="561" spans="1:12" ht="61.2" hidden="1" x14ac:dyDescent="0.3">
      <c r="A561" s="321" t="s">
        <v>160</v>
      </c>
      <c r="B561" s="322" t="s">
        <v>1230</v>
      </c>
      <c r="C561" s="322" t="s">
        <v>1226</v>
      </c>
      <c r="D561" s="322" t="s">
        <v>1227</v>
      </c>
      <c r="E561" s="323" t="s">
        <v>27</v>
      </c>
      <c r="F561" s="324">
        <v>4050.46</v>
      </c>
      <c r="G561" s="324"/>
      <c r="H561" s="323" t="s">
        <v>28</v>
      </c>
      <c r="I561" s="325" t="s">
        <v>29</v>
      </c>
      <c r="J561" s="325"/>
      <c r="K561" s="326" t="s">
        <v>22</v>
      </c>
      <c r="L561" s="327">
        <v>13198905.07</v>
      </c>
    </row>
    <row r="562" spans="1:12" ht="51" hidden="1" x14ac:dyDescent="0.3">
      <c r="A562" s="321" t="s">
        <v>160</v>
      </c>
      <c r="B562" s="322" t="s">
        <v>1230</v>
      </c>
      <c r="C562" s="322" t="s">
        <v>1229</v>
      </c>
      <c r="D562" s="322" t="s">
        <v>1227</v>
      </c>
      <c r="E562" s="323" t="s">
        <v>27</v>
      </c>
      <c r="F562" s="324">
        <v>14282.87</v>
      </c>
      <c r="G562" s="324"/>
      <c r="H562" s="323" t="s">
        <v>28</v>
      </c>
      <c r="I562" s="325" t="s">
        <v>29</v>
      </c>
      <c r="J562" s="325"/>
      <c r="K562" s="326" t="s">
        <v>22</v>
      </c>
      <c r="L562" s="327">
        <v>13213187.939999999</v>
      </c>
    </row>
    <row r="563" spans="1:12" ht="61.2" hidden="1" x14ac:dyDescent="0.3">
      <c r="A563" s="321" t="s">
        <v>160</v>
      </c>
      <c r="B563" s="322" t="s">
        <v>1231</v>
      </c>
      <c r="C563" s="322" t="s">
        <v>1232</v>
      </c>
      <c r="D563" s="322" t="s">
        <v>1233</v>
      </c>
      <c r="E563" s="323" t="s">
        <v>27</v>
      </c>
      <c r="F563" s="324">
        <v>123600</v>
      </c>
      <c r="G563" s="324"/>
      <c r="H563" s="323" t="s">
        <v>28</v>
      </c>
      <c r="I563" s="325" t="s">
        <v>29</v>
      </c>
      <c r="J563" s="325"/>
      <c r="K563" s="326" t="s">
        <v>22</v>
      </c>
      <c r="L563" s="327">
        <v>13336787.939999999</v>
      </c>
    </row>
    <row r="564" spans="1:12" ht="51" hidden="1" x14ac:dyDescent="0.3">
      <c r="A564" s="321" t="s">
        <v>160</v>
      </c>
      <c r="B564" s="322" t="s">
        <v>1231</v>
      </c>
      <c r="C564" s="322" t="s">
        <v>1234</v>
      </c>
      <c r="D564" s="322" t="s">
        <v>1233</v>
      </c>
      <c r="E564" s="323" t="s">
        <v>27</v>
      </c>
      <c r="F564" s="324">
        <v>2397</v>
      </c>
      <c r="G564" s="324"/>
      <c r="H564" s="323" t="s">
        <v>28</v>
      </c>
      <c r="I564" s="325" t="s">
        <v>29</v>
      </c>
      <c r="J564" s="325"/>
      <c r="K564" s="326" t="s">
        <v>22</v>
      </c>
      <c r="L564" s="327">
        <v>13339184.939999999</v>
      </c>
    </row>
    <row r="565" spans="1:12" ht="51" x14ac:dyDescent="0.3">
      <c r="A565" s="321" t="s">
        <v>85</v>
      </c>
      <c r="B565" s="322" t="s">
        <v>1235</v>
      </c>
      <c r="C565" s="322" t="s">
        <v>174</v>
      </c>
      <c r="D565" s="322" t="s">
        <v>1236</v>
      </c>
      <c r="E565" s="323" t="s">
        <v>175</v>
      </c>
      <c r="F565" s="329" t="s">
        <v>29</v>
      </c>
      <c r="G565" s="329"/>
      <c r="H565" s="323" t="s">
        <v>27</v>
      </c>
      <c r="I565" s="330">
        <v>19370.439999999999</v>
      </c>
      <c r="J565" s="330"/>
      <c r="K565" s="326" t="s">
        <v>22</v>
      </c>
      <c r="L565" s="327">
        <v>13319814.5</v>
      </c>
    </row>
    <row r="566" spans="1:12" ht="51" x14ac:dyDescent="0.3">
      <c r="A566" s="321" t="s">
        <v>85</v>
      </c>
      <c r="B566" s="322" t="s">
        <v>1235</v>
      </c>
      <c r="C566" s="322" t="s">
        <v>174</v>
      </c>
      <c r="D566" s="322" t="s">
        <v>1237</v>
      </c>
      <c r="E566" s="323" t="s">
        <v>175</v>
      </c>
      <c r="F566" s="329" t="s">
        <v>29</v>
      </c>
      <c r="G566" s="329"/>
      <c r="H566" s="323" t="s">
        <v>27</v>
      </c>
      <c r="I566" s="330">
        <v>1877.07</v>
      </c>
      <c r="J566" s="330"/>
      <c r="K566" s="326" t="s">
        <v>22</v>
      </c>
      <c r="L566" s="327">
        <v>13317937.43</v>
      </c>
    </row>
    <row r="567" spans="1:12" ht="51" x14ac:dyDescent="0.3">
      <c r="A567" s="321" t="s">
        <v>85</v>
      </c>
      <c r="B567" s="322" t="s">
        <v>1235</v>
      </c>
      <c r="C567" s="322" t="s">
        <v>174</v>
      </c>
      <c r="D567" s="322" t="s">
        <v>1238</v>
      </c>
      <c r="E567" s="323" t="s">
        <v>175</v>
      </c>
      <c r="F567" s="329" t="s">
        <v>29</v>
      </c>
      <c r="G567" s="329"/>
      <c r="H567" s="323" t="s">
        <v>27</v>
      </c>
      <c r="I567" s="331">
        <v>680.4</v>
      </c>
      <c r="J567" s="331"/>
      <c r="K567" s="326" t="s">
        <v>22</v>
      </c>
      <c r="L567" s="327">
        <v>13317257.029999999</v>
      </c>
    </row>
    <row r="568" spans="1:12" ht="61.2" x14ac:dyDescent="0.3">
      <c r="A568" s="321" t="s">
        <v>85</v>
      </c>
      <c r="B568" s="322" t="s">
        <v>1235</v>
      </c>
      <c r="C568" s="322" t="s">
        <v>174</v>
      </c>
      <c r="D568" s="322" t="s">
        <v>1239</v>
      </c>
      <c r="E568" s="323" t="s">
        <v>175</v>
      </c>
      <c r="F568" s="329" t="s">
        <v>29</v>
      </c>
      <c r="G568" s="329"/>
      <c r="H568" s="323" t="s">
        <v>27</v>
      </c>
      <c r="I568" s="330">
        <v>1312.59</v>
      </c>
      <c r="J568" s="330"/>
      <c r="K568" s="326" t="s">
        <v>22</v>
      </c>
      <c r="L568" s="327">
        <v>13315944.439999999</v>
      </c>
    </row>
    <row r="569" spans="1:12" ht="51" x14ac:dyDescent="0.3">
      <c r="A569" s="321" t="s">
        <v>85</v>
      </c>
      <c r="B569" s="322" t="s">
        <v>1235</v>
      </c>
      <c r="C569" s="322" t="s">
        <v>174</v>
      </c>
      <c r="D569" s="322" t="s">
        <v>1240</v>
      </c>
      <c r="E569" s="323" t="s">
        <v>175</v>
      </c>
      <c r="F569" s="329" t="s">
        <v>29</v>
      </c>
      <c r="G569" s="329"/>
      <c r="H569" s="323" t="s">
        <v>27</v>
      </c>
      <c r="I569" s="331">
        <v>213.14</v>
      </c>
      <c r="J569" s="331"/>
      <c r="K569" s="326" t="s">
        <v>22</v>
      </c>
      <c r="L569" s="327">
        <v>13315731.300000001</v>
      </c>
    </row>
    <row r="570" spans="1:12" ht="51" x14ac:dyDescent="0.3">
      <c r="A570" s="321" t="s">
        <v>85</v>
      </c>
      <c r="B570" s="322" t="s">
        <v>1235</v>
      </c>
      <c r="C570" s="322" t="s">
        <v>174</v>
      </c>
      <c r="D570" s="322" t="s">
        <v>1241</v>
      </c>
      <c r="E570" s="323" t="s">
        <v>175</v>
      </c>
      <c r="F570" s="329" t="s">
        <v>29</v>
      </c>
      <c r="G570" s="329"/>
      <c r="H570" s="323" t="s">
        <v>27</v>
      </c>
      <c r="I570" s="331">
        <v>224.82</v>
      </c>
      <c r="J570" s="331"/>
      <c r="K570" s="326" t="s">
        <v>22</v>
      </c>
      <c r="L570" s="327">
        <v>13315506.48</v>
      </c>
    </row>
    <row r="571" spans="1:12" ht="51" x14ac:dyDescent="0.3">
      <c r="A571" s="321" t="s">
        <v>85</v>
      </c>
      <c r="B571" s="322" t="s">
        <v>1235</v>
      </c>
      <c r="C571" s="322" t="s">
        <v>174</v>
      </c>
      <c r="D571" s="322" t="s">
        <v>1242</v>
      </c>
      <c r="E571" s="323" t="s">
        <v>175</v>
      </c>
      <c r="F571" s="329" t="s">
        <v>29</v>
      </c>
      <c r="G571" s="329"/>
      <c r="H571" s="323" t="s">
        <v>27</v>
      </c>
      <c r="I571" s="330">
        <v>23344.17</v>
      </c>
      <c r="J571" s="330"/>
      <c r="K571" s="326" t="s">
        <v>22</v>
      </c>
      <c r="L571" s="327">
        <v>13292162.310000001</v>
      </c>
    </row>
    <row r="572" spans="1:12" ht="51" x14ac:dyDescent="0.3">
      <c r="A572" s="321" t="s">
        <v>85</v>
      </c>
      <c r="B572" s="322" t="s">
        <v>1235</v>
      </c>
      <c r="C572" s="322" t="s">
        <v>174</v>
      </c>
      <c r="D572" s="322" t="s">
        <v>1152</v>
      </c>
      <c r="E572" s="323" t="s">
        <v>175</v>
      </c>
      <c r="F572" s="329" t="s">
        <v>29</v>
      </c>
      <c r="G572" s="329"/>
      <c r="H572" s="323" t="s">
        <v>27</v>
      </c>
      <c r="I572" s="330">
        <v>5441.75</v>
      </c>
      <c r="J572" s="330"/>
      <c r="K572" s="326" t="s">
        <v>22</v>
      </c>
      <c r="L572" s="327">
        <v>13286720.560000001</v>
      </c>
    </row>
    <row r="573" spans="1:12" ht="51" x14ac:dyDescent="0.3">
      <c r="A573" s="321" t="s">
        <v>85</v>
      </c>
      <c r="B573" s="322" t="s">
        <v>1235</v>
      </c>
      <c r="C573" s="322" t="s">
        <v>174</v>
      </c>
      <c r="D573" s="322" t="s">
        <v>1243</v>
      </c>
      <c r="E573" s="323" t="s">
        <v>175</v>
      </c>
      <c r="F573" s="329" t="s">
        <v>29</v>
      </c>
      <c r="G573" s="329"/>
      <c r="H573" s="323" t="s">
        <v>27</v>
      </c>
      <c r="I573" s="331">
        <v>303.19</v>
      </c>
      <c r="J573" s="331"/>
      <c r="K573" s="326" t="s">
        <v>22</v>
      </c>
      <c r="L573" s="327">
        <v>13286417.369999999</v>
      </c>
    </row>
    <row r="574" spans="1:12" ht="51" x14ac:dyDescent="0.3">
      <c r="A574" s="321" t="s">
        <v>85</v>
      </c>
      <c r="B574" s="322" t="s">
        <v>1235</v>
      </c>
      <c r="C574" s="322" t="s">
        <v>174</v>
      </c>
      <c r="D574" s="322" t="s">
        <v>1244</v>
      </c>
      <c r="E574" s="323" t="s">
        <v>175</v>
      </c>
      <c r="F574" s="329" t="s">
        <v>29</v>
      </c>
      <c r="G574" s="329"/>
      <c r="H574" s="323" t="s">
        <v>27</v>
      </c>
      <c r="I574" s="331">
        <v>413.45</v>
      </c>
      <c r="J574" s="331"/>
      <c r="K574" s="326" t="s">
        <v>22</v>
      </c>
      <c r="L574" s="327">
        <v>13286003.92</v>
      </c>
    </row>
    <row r="575" spans="1:12" ht="51" x14ac:dyDescent="0.3">
      <c r="A575" s="321" t="s">
        <v>85</v>
      </c>
      <c r="B575" s="322" t="s">
        <v>1235</v>
      </c>
      <c r="C575" s="322" t="s">
        <v>174</v>
      </c>
      <c r="D575" s="322" t="s">
        <v>1245</v>
      </c>
      <c r="E575" s="323" t="s">
        <v>175</v>
      </c>
      <c r="F575" s="329" t="s">
        <v>29</v>
      </c>
      <c r="G575" s="329"/>
      <c r="H575" s="323" t="s">
        <v>27</v>
      </c>
      <c r="I575" s="330">
        <v>3100.92</v>
      </c>
      <c r="J575" s="330"/>
      <c r="K575" s="326" t="s">
        <v>22</v>
      </c>
      <c r="L575" s="327">
        <v>13282903</v>
      </c>
    </row>
    <row r="576" spans="1:12" ht="51" x14ac:dyDescent="0.3">
      <c r="A576" s="321" t="s">
        <v>85</v>
      </c>
      <c r="B576" s="322" t="s">
        <v>1235</v>
      </c>
      <c r="C576" s="322" t="s">
        <v>174</v>
      </c>
      <c r="D576" s="322" t="s">
        <v>1246</v>
      </c>
      <c r="E576" s="323" t="s">
        <v>175</v>
      </c>
      <c r="F576" s="329" t="s">
        <v>29</v>
      </c>
      <c r="G576" s="329"/>
      <c r="H576" s="323" t="s">
        <v>27</v>
      </c>
      <c r="I576" s="330">
        <v>2885.42</v>
      </c>
      <c r="J576" s="330"/>
      <c r="K576" s="326" t="s">
        <v>22</v>
      </c>
      <c r="L576" s="327">
        <v>13280017.58</v>
      </c>
    </row>
    <row r="577" spans="1:12" ht="51" x14ac:dyDescent="0.3">
      <c r="A577" s="321" t="s">
        <v>85</v>
      </c>
      <c r="B577" s="322" t="s">
        <v>1235</v>
      </c>
      <c r="C577" s="322" t="s">
        <v>174</v>
      </c>
      <c r="D577" s="322" t="s">
        <v>1247</v>
      </c>
      <c r="E577" s="323" t="s">
        <v>175</v>
      </c>
      <c r="F577" s="329" t="s">
        <v>29</v>
      </c>
      <c r="G577" s="329"/>
      <c r="H577" s="323" t="s">
        <v>27</v>
      </c>
      <c r="I577" s="330">
        <v>4160.5600000000004</v>
      </c>
      <c r="J577" s="330"/>
      <c r="K577" s="326" t="s">
        <v>22</v>
      </c>
      <c r="L577" s="327">
        <v>13275857.02</v>
      </c>
    </row>
    <row r="578" spans="1:12" ht="51" x14ac:dyDescent="0.3">
      <c r="A578" s="321" t="s">
        <v>85</v>
      </c>
      <c r="B578" s="322" t="s">
        <v>1235</v>
      </c>
      <c r="C578" s="322" t="s">
        <v>174</v>
      </c>
      <c r="D578" s="322" t="s">
        <v>1248</v>
      </c>
      <c r="E578" s="323" t="s">
        <v>175</v>
      </c>
      <c r="F578" s="329" t="s">
        <v>29</v>
      </c>
      <c r="G578" s="329"/>
      <c r="H578" s="323" t="s">
        <v>27</v>
      </c>
      <c r="I578" s="330">
        <v>15003.07</v>
      </c>
      <c r="J578" s="330"/>
      <c r="K578" s="326" t="s">
        <v>22</v>
      </c>
      <c r="L578" s="327">
        <v>13260853.949999999</v>
      </c>
    </row>
    <row r="579" spans="1:12" ht="51" x14ac:dyDescent="0.3">
      <c r="A579" s="321" t="s">
        <v>85</v>
      </c>
      <c r="B579" s="322" t="s">
        <v>1235</v>
      </c>
      <c r="C579" s="322" t="s">
        <v>174</v>
      </c>
      <c r="D579" s="322" t="s">
        <v>1249</v>
      </c>
      <c r="E579" s="323" t="s">
        <v>175</v>
      </c>
      <c r="F579" s="329" t="s">
        <v>29</v>
      </c>
      <c r="G579" s="329"/>
      <c r="H579" s="323" t="s">
        <v>27</v>
      </c>
      <c r="I579" s="330">
        <v>42956.67</v>
      </c>
      <c r="J579" s="330"/>
      <c r="K579" s="326" t="s">
        <v>22</v>
      </c>
      <c r="L579" s="327">
        <v>13217897.279999999</v>
      </c>
    </row>
    <row r="580" spans="1:12" ht="51" x14ac:dyDescent="0.3">
      <c r="A580" s="321" t="s">
        <v>85</v>
      </c>
      <c r="B580" s="322" t="s">
        <v>1235</v>
      </c>
      <c r="C580" s="322" t="s">
        <v>174</v>
      </c>
      <c r="D580" s="322" t="s">
        <v>1250</v>
      </c>
      <c r="E580" s="323" t="s">
        <v>175</v>
      </c>
      <c r="F580" s="329" t="s">
        <v>29</v>
      </c>
      <c r="G580" s="329"/>
      <c r="H580" s="323" t="s">
        <v>27</v>
      </c>
      <c r="I580" s="330">
        <v>3506.3</v>
      </c>
      <c r="J580" s="330"/>
      <c r="K580" s="326" t="s">
        <v>22</v>
      </c>
      <c r="L580" s="327">
        <v>13214390.98</v>
      </c>
    </row>
    <row r="581" spans="1:12" ht="51" x14ac:dyDescent="0.3">
      <c r="A581" s="321" t="s">
        <v>85</v>
      </c>
      <c r="B581" s="322" t="s">
        <v>1235</v>
      </c>
      <c r="C581" s="322" t="s">
        <v>174</v>
      </c>
      <c r="D581" s="322" t="s">
        <v>1251</v>
      </c>
      <c r="E581" s="323" t="s">
        <v>175</v>
      </c>
      <c r="F581" s="329" t="s">
        <v>29</v>
      </c>
      <c r="G581" s="329"/>
      <c r="H581" s="323" t="s">
        <v>27</v>
      </c>
      <c r="I581" s="330">
        <v>5295.72</v>
      </c>
      <c r="J581" s="330"/>
      <c r="K581" s="326" t="s">
        <v>22</v>
      </c>
      <c r="L581" s="327">
        <v>13209095.26</v>
      </c>
    </row>
    <row r="582" spans="1:12" ht="51" x14ac:dyDescent="0.3">
      <c r="A582" s="321" t="s">
        <v>85</v>
      </c>
      <c r="B582" s="322" t="s">
        <v>1235</v>
      </c>
      <c r="C582" s="322" t="s">
        <v>174</v>
      </c>
      <c r="D582" s="322" t="s">
        <v>1252</v>
      </c>
      <c r="E582" s="323" t="s">
        <v>175</v>
      </c>
      <c r="F582" s="329" t="s">
        <v>29</v>
      </c>
      <c r="G582" s="329"/>
      <c r="H582" s="323" t="s">
        <v>27</v>
      </c>
      <c r="I582" s="330">
        <v>5490.64</v>
      </c>
      <c r="J582" s="330"/>
      <c r="K582" s="326" t="s">
        <v>22</v>
      </c>
      <c r="L582" s="327">
        <v>13203604.619999999</v>
      </c>
    </row>
    <row r="583" spans="1:12" ht="51" x14ac:dyDescent="0.3">
      <c r="A583" s="321" t="s">
        <v>85</v>
      </c>
      <c r="B583" s="322" t="s">
        <v>1235</v>
      </c>
      <c r="C583" s="322" t="s">
        <v>174</v>
      </c>
      <c r="D583" s="322" t="s">
        <v>1253</v>
      </c>
      <c r="E583" s="323" t="s">
        <v>175</v>
      </c>
      <c r="F583" s="329" t="s">
        <v>29</v>
      </c>
      <c r="G583" s="329"/>
      <c r="H583" s="323" t="s">
        <v>27</v>
      </c>
      <c r="I583" s="330">
        <v>20768.54</v>
      </c>
      <c r="J583" s="330"/>
      <c r="K583" s="326" t="s">
        <v>22</v>
      </c>
      <c r="L583" s="327">
        <v>13182836.08</v>
      </c>
    </row>
    <row r="584" spans="1:12" ht="51" x14ac:dyDescent="0.3">
      <c r="A584" s="321" t="s">
        <v>85</v>
      </c>
      <c r="B584" s="322" t="s">
        <v>1235</v>
      </c>
      <c r="C584" s="322" t="s">
        <v>174</v>
      </c>
      <c r="D584" s="322" t="s">
        <v>1254</v>
      </c>
      <c r="E584" s="323" t="s">
        <v>175</v>
      </c>
      <c r="F584" s="329" t="s">
        <v>29</v>
      </c>
      <c r="G584" s="329"/>
      <c r="H584" s="323" t="s">
        <v>27</v>
      </c>
      <c r="I584" s="330">
        <v>35443.65</v>
      </c>
      <c r="J584" s="330"/>
      <c r="K584" s="326" t="s">
        <v>22</v>
      </c>
      <c r="L584" s="327">
        <v>13147392.43</v>
      </c>
    </row>
    <row r="585" spans="1:12" ht="51" x14ac:dyDescent="0.3">
      <c r="A585" s="321" t="s">
        <v>85</v>
      </c>
      <c r="B585" s="322" t="s">
        <v>1235</v>
      </c>
      <c r="C585" s="322" t="s">
        <v>174</v>
      </c>
      <c r="D585" s="322" t="s">
        <v>1255</v>
      </c>
      <c r="E585" s="323" t="s">
        <v>175</v>
      </c>
      <c r="F585" s="329" t="s">
        <v>29</v>
      </c>
      <c r="G585" s="329"/>
      <c r="H585" s="323" t="s">
        <v>27</v>
      </c>
      <c r="I585" s="330">
        <v>44194.06</v>
      </c>
      <c r="J585" s="330"/>
      <c r="K585" s="326" t="s">
        <v>22</v>
      </c>
      <c r="L585" s="327">
        <v>13103198.369999999</v>
      </c>
    </row>
    <row r="586" spans="1:12" ht="51" x14ac:dyDescent="0.3">
      <c r="A586" s="321" t="s">
        <v>85</v>
      </c>
      <c r="B586" s="322" t="s">
        <v>1235</v>
      </c>
      <c r="C586" s="322" t="s">
        <v>174</v>
      </c>
      <c r="D586" s="322" t="s">
        <v>1256</v>
      </c>
      <c r="E586" s="323" t="s">
        <v>175</v>
      </c>
      <c r="F586" s="329" t="s">
        <v>29</v>
      </c>
      <c r="G586" s="329"/>
      <c r="H586" s="323" t="s">
        <v>27</v>
      </c>
      <c r="I586" s="330">
        <v>10237.48</v>
      </c>
      <c r="J586" s="330"/>
      <c r="K586" s="326" t="s">
        <v>22</v>
      </c>
      <c r="L586" s="327">
        <v>13092960.890000001</v>
      </c>
    </row>
    <row r="587" spans="1:12" ht="51" x14ac:dyDescent="0.3">
      <c r="A587" s="321" t="s">
        <v>85</v>
      </c>
      <c r="B587" s="322" t="s">
        <v>1235</v>
      </c>
      <c r="C587" s="322" t="s">
        <v>174</v>
      </c>
      <c r="D587" s="322" t="s">
        <v>1257</v>
      </c>
      <c r="E587" s="323" t="s">
        <v>175</v>
      </c>
      <c r="F587" s="329" t="s">
        <v>29</v>
      </c>
      <c r="G587" s="329"/>
      <c r="H587" s="323" t="s">
        <v>27</v>
      </c>
      <c r="I587" s="330">
        <v>19060.93</v>
      </c>
      <c r="J587" s="330"/>
      <c r="K587" s="326" t="s">
        <v>22</v>
      </c>
      <c r="L587" s="327">
        <v>13073899.960000001</v>
      </c>
    </row>
    <row r="588" spans="1:12" ht="51" x14ac:dyDescent="0.3">
      <c r="A588" s="321" t="s">
        <v>85</v>
      </c>
      <c r="B588" s="322" t="s">
        <v>1235</v>
      </c>
      <c r="C588" s="322" t="s">
        <v>174</v>
      </c>
      <c r="D588" s="322" t="s">
        <v>1164</v>
      </c>
      <c r="E588" s="323" t="s">
        <v>175</v>
      </c>
      <c r="F588" s="329" t="s">
        <v>29</v>
      </c>
      <c r="G588" s="329"/>
      <c r="H588" s="323" t="s">
        <v>27</v>
      </c>
      <c r="I588" s="330">
        <v>57178.31</v>
      </c>
      <c r="J588" s="330"/>
      <c r="K588" s="326" t="s">
        <v>22</v>
      </c>
      <c r="L588" s="327">
        <v>13016721.65</v>
      </c>
    </row>
    <row r="589" spans="1:12" ht="51" x14ac:dyDescent="0.3">
      <c r="A589" s="321" t="s">
        <v>85</v>
      </c>
      <c r="B589" s="322" t="s">
        <v>1235</v>
      </c>
      <c r="C589" s="322" t="s">
        <v>174</v>
      </c>
      <c r="D589" s="322" t="s">
        <v>1258</v>
      </c>
      <c r="E589" s="323" t="s">
        <v>175</v>
      </c>
      <c r="F589" s="329" t="s">
        <v>29</v>
      </c>
      <c r="G589" s="329"/>
      <c r="H589" s="323" t="s">
        <v>27</v>
      </c>
      <c r="I589" s="330">
        <v>20474.169999999998</v>
      </c>
      <c r="J589" s="330"/>
      <c r="K589" s="326" t="s">
        <v>22</v>
      </c>
      <c r="L589" s="327">
        <v>12996247.48</v>
      </c>
    </row>
    <row r="590" spans="1:12" ht="51" x14ac:dyDescent="0.3">
      <c r="A590" s="321" t="s">
        <v>85</v>
      </c>
      <c r="B590" s="322" t="s">
        <v>1235</v>
      </c>
      <c r="C590" s="322" t="s">
        <v>174</v>
      </c>
      <c r="D590" s="322" t="s">
        <v>1259</v>
      </c>
      <c r="E590" s="323" t="s">
        <v>175</v>
      </c>
      <c r="F590" s="329" t="s">
        <v>29</v>
      </c>
      <c r="G590" s="329"/>
      <c r="H590" s="323" t="s">
        <v>27</v>
      </c>
      <c r="I590" s="330">
        <v>7754.22</v>
      </c>
      <c r="J590" s="330"/>
      <c r="K590" s="326" t="s">
        <v>22</v>
      </c>
      <c r="L590" s="327">
        <v>12988493.26</v>
      </c>
    </row>
    <row r="591" spans="1:12" ht="51" x14ac:dyDescent="0.3">
      <c r="A591" s="321" t="s">
        <v>85</v>
      </c>
      <c r="B591" s="322" t="s">
        <v>1235</v>
      </c>
      <c r="C591" s="322" t="s">
        <v>174</v>
      </c>
      <c r="D591" s="322" t="s">
        <v>1154</v>
      </c>
      <c r="E591" s="323" t="s">
        <v>175</v>
      </c>
      <c r="F591" s="329" t="s">
        <v>29</v>
      </c>
      <c r="G591" s="329"/>
      <c r="H591" s="323" t="s">
        <v>27</v>
      </c>
      <c r="I591" s="330">
        <v>11394.4</v>
      </c>
      <c r="J591" s="330"/>
      <c r="K591" s="326" t="s">
        <v>22</v>
      </c>
      <c r="L591" s="327">
        <v>12977098.859999999</v>
      </c>
    </row>
    <row r="592" spans="1:12" ht="51" x14ac:dyDescent="0.3">
      <c r="A592" s="321" t="s">
        <v>85</v>
      </c>
      <c r="B592" s="322" t="s">
        <v>1235</v>
      </c>
      <c r="C592" s="322" t="s">
        <v>174</v>
      </c>
      <c r="D592" s="322" t="s">
        <v>1249</v>
      </c>
      <c r="E592" s="323" t="s">
        <v>175</v>
      </c>
      <c r="F592" s="329" t="s">
        <v>29</v>
      </c>
      <c r="G592" s="329"/>
      <c r="H592" s="323" t="s">
        <v>27</v>
      </c>
      <c r="I592" s="331">
        <v>479.77</v>
      </c>
      <c r="J592" s="331"/>
      <c r="K592" s="326" t="s">
        <v>22</v>
      </c>
      <c r="L592" s="327">
        <v>12976619.09</v>
      </c>
    </row>
    <row r="593" spans="1:12" ht="51" x14ac:dyDescent="0.3">
      <c r="A593" s="321" t="s">
        <v>85</v>
      </c>
      <c r="B593" s="322" t="s">
        <v>1235</v>
      </c>
      <c r="C593" s="322" t="s">
        <v>174</v>
      </c>
      <c r="D593" s="322" t="s">
        <v>1161</v>
      </c>
      <c r="E593" s="323" t="s">
        <v>175</v>
      </c>
      <c r="F593" s="329" t="s">
        <v>29</v>
      </c>
      <c r="G593" s="329"/>
      <c r="H593" s="323" t="s">
        <v>27</v>
      </c>
      <c r="I593" s="330">
        <v>18900.91</v>
      </c>
      <c r="J593" s="330"/>
      <c r="K593" s="326" t="s">
        <v>22</v>
      </c>
      <c r="L593" s="327">
        <v>12957718.18</v>
      </c>
    </row>
    <row r="594" spans="1:12" ht="51" x14ac:dyDescent="0.3">
      <c r="A594" s="321" t="s">
        <v>85</v>
      </c>
      <c r="B594" s="322" t="s">
        <v>1235</v>
      </c>
      <c r="C594" s="322" t="s">
        <v>174</v>
      </c>
      <c r="D594" s="322" t="s">
        <v>1260</v>
      </c>
      <c r="E594" s="323" t="s">
        <v>175</v>
      </c>
      <c r="F594" s="329" t="s">
        <v>29</v>
      </c>
      <c r="G594" s="329"/>
      <c r="H594" s="323" t="s">
        <v>27</v>
      </c>
      <c r="I594" s="330">
        <v>26238.98</v>
      </c>
      <c r="J594" s="330"/>
      <c r="K594" s="326" t="s">
        <v>22</v>
      </c>
      <c r="L594" s="327">
        <v>12931479.199999999</v>
      </c>
    </row>
    <row r="595" spans="1:12" ht="51" x14ac:dyDescent="0.3">
      <c r="A595" s="321" t="s">
        <v>85</v>
      </c>
      <c r="B595" s="322" t="s">
        <v>1235</v>
      </c>
      <c r="C595" s="322" t="s">
        <v>174</v>
      </c>
      <c r="D595" s="322" t="s">
        <v>1261</v>
      </c>
      <c r="E595" s="323" t="s">
        <v>175</v>
      </c>
      <c r="F595" s="329" t="s">
        <v>29</v>
      </c>
      <c r="G595" s="329"/>
      <c r="H595" s="323" t="s">
        <v>27</v>
      </c>
      <c r="I595" s="330">
        <v>13021.15</v>
      </c>
      <c r="J595" s="330"/>
      <c r="K595" s="326" t="s">
        <v>22</v>
      </c>
      <c r="L595" s="327">
        <v>12918458.050000001</v>
      </c>
    </row>
    <row r="596" spans="1:12" ht="51" x14ac:dyDescent="0.3">
      <c r="A596" s="321" t="s">
        <v>85</v>
      </c>
      <c r="B596" s="322" t="s">
        <v>1235</v>
      </c>
      <c r="C596" s="322" t="s">
        <v>174</v>
      </c>
      <c r="D596" s="322" t="s">
        <v>1156</v>
      </c>
      <c r="E596" s="323" t="s">
        <v>175</v>
      </c>
      <c r="F596" s="329" t="s">
        <v>29</v>
      </c>
      <c r="G596" s="329"/>
      <c r="H596" s="323" t="s">
        <v>27</v>
      </c>
      <c r="I596" s="330">
        <v>9819.4599999999991</v>
      </c>
      <c r="J596" s="330"/>
      <c r="K596" s="326" t="s">
        <v>22</v>
      </c>
      <c r="L596" s="327">
        <v>12908638.59</v>
      </c>
    </row>
    <row r="597" spans="1:12" ht="51" x14ac:dyDescent="0.3">
      <c r="A597" s="321" t="s">
        <v>85</v>
      </c>
      <c r="B597" s="322" t="s">
        <v>1235</v>
      </c>
      <c r="C597" s="322" t="s">
        <v>174</v>
      </c>
      <c r="D597" s="322" t="s">
        <v>1163</v>
      </c>
      <c r="E597" s="323" t="s">
        <v>175</v>
      </c>
      <c r="F597" s="329" t="s">
        <v>29</v>
      </c>
      <c r="G597" s="329"/>
      <c r="H597" s="323" t="s">
        <v>27</v>
      </c>
      <c r="I597" s="330">
        <v>6793.71</v>
      </c>
      <c r="J597" s="330"/>
      <c r="K597" s="326" t="s">
        <v>22</v>
      </c>
      <c r="L597" s="327">
        <v>12901844.880000001</v>
      </c>
    </row>
    <row r="598" spans="1:12" ht="51" x14ac:dyDescent="0.3">
      <c r="A598" s="321" t="s">
        <v>85</v>
      </c>
      <c r="B598" s="322" t="s">
        <v>1262</v>
      </c>
      <c r="C598" s="322" t="s">
        <v>174</v>
      </c>
      <c r="D598" s="322" t="s">
        <v>1224</v>
      </c>
      <c r="E598" s="323" t="s">
        <v>175</v>
      </c>
      <c r="F598" s="329" t="s">
        <v>29</v>
      </c>
      <c r="G598" s="329"/>
      <c r="H598" s="323" t="s">
        <v>27</v>
      </c>
      <c r="I598" s="330">
        <v>17293.330000000002</v>
      </c>
      <c r="J598" s="330"/>
      <c r="K598" s="326" t="s">
        <v>22</v>
      </c>
      <c r="L598" s="327">
        <v>12884551.550000001</v>
      </c>
    </row>
    <row r="599" spans="1:12" ht="51" x14ac:dyDescent="0.3">
      <c r="A599" s="321" t="s">
        <v>85</v>
      </c>
      <c r="B599" s="322" t="s">
        <v>1262</v>
      </c>
      <c r="C599" s="322" t="s">
        <v>174</v>
      </c>
      <c r="D599" s="322" t="s">
        <v>1263</v>
      </c>
      <c r="E599" s="323" t="s">
        <v>175</v>
      </c>
      <c r="F599" s="329" t="s">
        <v>29</v>
      </c>
      <c r="G599" s="329"/>
      <c r="H599" s="323" t="s">
        <v>27</v>
      </c>
      <c r="I599" s="330">
        <v>6512.83</v>
      </c>
      <c r="J599" s="330"/>
      <c r="K599" s="326" t="s">
        <v>22</v>
      </c>
      <c r="L599" s="327">
        <v>12878038.720000001</v>
      </c>
    </row>
    <row r="600" spans="1:12" ht="51" x14ac:dyDescent="0.3">
      <c r="A600" s="321" t="s">
        <v>85</v>
      </c>
      <c r="B600" s="322" t="s">
        <v>1262</v>
      </c>
      <c r="C600" s="322" t="s">
        <v>174</v>
      </c>
      <c r="D600" s="322" t="s">
        <v>1263</v>
      </c>
      <c r="E600" s="323" t="s">
        <v>175</v>
      </c>
      <c r="F600" s="329" t="s">
        <v>29</v>
      </c>
      <c r="G600" s="329"/>
      <c r="H600" s="323" t="s">
        <v>27</v>
      </c>
      <c r="I600" s="330">
        <v>9943.67</v>
      </c>
      <c r="J600" s="330"/>
      <c r="K600" s="326" t="s">
        <v>22</v>
      </c>
      <c r="L600" s="327">
        <v>12868095.050000001</v>
      </c>
    </row>
    <row r="601" spans="1:12" ht="51" x14ac:dyDescent="0.3">
      <c r="A601" s="321" t="s">
        <v>85</v>
      </c>
      <c r="B601" s="322" t="s">
        <v>1262</v>
      </c>
      <c r="C601" s="322" t="s">
        <v>174</v>
      </c>
      <c r="D601" s="322" t="s">
        <v>273</v>
      </c>
      <c r="E601" s="323" t="s">
        <v>175</v>
      </c>
      <c r="F601" s="329" t="s">
        <v>29</v>
      </c>
      <c r="G601" s="329"/>
      <c r="H601" s="323" t="s">
        <v>27</v>
      </c>
      <c r="I601" s="330">
        <v>7939.82</v>
      </c>
      <c r="J601" s="330"/>
      <c r="K601" s="326" t="s">
        <v>22</v>
      </c>
      <c r="L601" s="327">
        <v>12860155.23</v>
      </c>
    </row>
    <row r="602" spans="1:12" ht="51" x14ac:dyDescent="0.3">
      <c r="A602" s="321" t="s">
        <v>85</v>
      </c>
      <c r="B602" s="322" t="s">
        <v>1262</v>
      </c>
      <c r="C602" s="322" t="s">
        <v>174</v>
      </c>
      <c r="D602" s="322" t="s">
        <v>301</v>
      </c>
      <c r="E602" s="323" t="s">
        <v>175</v>
      </c>
      <c r="F602" s="329" t="s">
        <v>29</v>
      </c>
      <c r="G602" s="329"/>
      <c r="H602" s="323" t="s">
        <v>27</v>
      </c>
      <c r="I602" s="330">
        <v>1922.23</v>
      </c>
      <c r="J602" s="330"/>
      <c r="K602" s="326" t="s">
        <v>22</v>
      </c>
      <c r="L602" s="327">
        <v>12858233</v>
      </c>
    </row>
    <row r="603" spans="1:12" ht="51" x14ac:dyDescent="0.3">
      <c r="A603" s="321" t="s">
        <v>85</v>
      </c>
      <c r="B603" s="322" t="s">
        <v>1262</v>
      </c>
      <c r="C603" s="322" t="s">
        <v>174</v>
      </c>
      <c r="D603" s="322" t="s">
        <v>302</v>
      </c>
      <c r="E603" s="323" t="s">
        <v>175</v>
      </c>
      <c r="F603" s="329" t="s">
        <v>29</v>
      </c>
      <c r="G603" s="329"/>
      <c r="H603" s="323" t="s">
        <v>27</v>
      </c>
      <c r="I603" s="330">
        <v>56052.639999999999</v>
      </c>
      <c r="J603" s="330"/>
      <c r="K603" s="326" t="s">
        <v>22</v>
      </c>
      <c r="L603" s="327">
        <v>12802180.359999999</v>
      </c>
    </row>
    <row r="604" spans="1:12" ht="51" x14ac:dyDescent="0.3">
      <c r="A604" s="321" t="s">
        <v>85</v>
      </c>
      <c r="B604" s="322" t="s">
        <v>1262</v>
      </c>
      <c r="C604" s="322" t="s">
        <v>174</v>
      </c>
      <c r="D604" s="322" t="s">
        <v>302</v>
      </c>
      <c r="E604" s="323" t="s">
        <v>175</v>
      </c>
      <c r="F604" s="329" t="s">
        <v>29</v>
      </c>
      <c r="G604" s="329"/>
      <c r="H604" s="323" t="s">
        <v>27</v>
      </c>
      <c r="I604" s="330">
        <v>1751.64</v>
      </c>
      <c r="J604" s="330"/>
      <c r="K604" s="326" t="s">
        <v>22</v>
      </c>
      <c r="L604" s="327">
        <v>12800428.720000001</v>
      </c>
    </row>
    <row r="605" spans="1:12" ht="51" x14ac:dyDescent="0.3">
      <c r="A605" s="321" t="s">
        <v>85</v>
      </c>
      <c r="B605" s="322" t="s">
        <v>1262</v>
      </c>
      <c r="C605" s="322" t="s">
        <v>174</v>
      </c>
      <c r="D605" s="322" t="s">
        <v>169</v>
      </c>
      <c r="E605" s="323" t="s">
        <v>175</v>
      </c>
      <c r="F605" s="329" t="s">
        <v>29</v>
      </c>
      <c r="G605" s="329"/>
      <c r="H605" s="323" t="s">
        <v>27</v>
      </c>
      <c r="I605" s="330">
        <v>19320.88</v>
      </c>
      <c r="J605" s="330"/>
      <c r="K605" s="326" t="s">
        <v>22</v>
      </c>
      <c r="L605" s="327">
        <v>12781107.84</v>
      </c>
    </row>
    <row r="606" spans="1:12" ht="61.2" x14ac:dyDescent="0.3">
      <c r="A606" s="321" t="s">
        <v>85</v>
      </c>
      <c r="B606" s="322" t="s">
        <v>1262</v>
      </c>
      <c r="C606" s="322" t="s">
        <v>174</v>
      </c>
      <c r="D606" s="322" t="s">
        <v>1220</v>
      </c>
      <c r="E606" s="323" t="s">
        <v>175</v>
      </c>
      <c r="F606" s="329" t="s">
        <v>29</v>
      </c>
      <c r="G606" s="329"/>
      <c r="H606" s="323" t="s">
        <v>27</v>
      </c>
      <c r="I606" s="330">
        <v>1350.66</v>
      </c>
      <c r="J606" s="330"/>
      <c r="K606" s="326" t="s">
        <v>22</v>
      </c>
      <c r="L606" s="327">
        <v>12779757.18</v>
      </c>
    </row>
    <row r="607" spans="1:12" ht="61.2" x14ac:dyDescent="0.3">
      <c r="A607" s="321" t="s">
        <v>85</v>
      </c>
      <c r="B607" s="322" t="s">
        <v>1262</v>
      </c>
      <c r="C607" s="322" t="s">
        <v>174</v>
      </c>
      <c r="D607" s="322" t="s">
        <v>1221</v>
      </c>
      <c r="E607" s="323" t="s">
        <v>175</v>
      </c>
      <c r="F607" s="329" t="s">
        <v>29</v>
      </c>
      <c r="G607" s="329"/>
      <c r="H607" s="323" t="s">
        <v>27</v>
      </c>
      <c r="I607" s="331">
        <v>65</v>
      </c>
      <c r="J607" s="331"/>
      <c r="K607" s="326" t="s">
        <v>22</v>
      </c>
      <c r="L607" s="327">
        <v>12779692.18</v>
      </c>
    </row>
    <row r="608" spans="1:12" ht="51" x14ac:dyDescent="0.3">
      <c r="A608" s="321" t="s">
        <v>85</v>
      </c>
      <c r="B608" s="322" t="s">
        <v>1264</v>
      </c>
      <c r="C608" s="322" t="s">
        <v>174</v>
      </c>
      <c r="D608" s="322" t="s">
        <v>1265</v>
      </c>
      <c r="E608" s="323" t="s">
        <v>175</v>
      </c>
      <c r="F608" s="329" t="s">
        <v>29</v>
      </c>
      <c r="G608" s="329"/>
      <c r="H608" s="323" t="s">
        <v>27</v>
      </c>
      <c r="I608" s="330">
        <v>151006.31</v>
      </c>
      <c r="J608" s="330"/>
      <c r="K608" s="326" t="s">
        <v>22</v>
      </c>
      <c r="L608" s="327">
        <v>12628685.869999999</v>
      </c>
    </row>
    <row r="609" spans="1:12" ht="51" x14ac:dyDescent="0.3">
      <c r="A609" s="321" t="s">
        <v>85</v>
      </c>
      <c r="B609" s="322" t="s">
        <v>1264</v>
      </c>
      <c r="C609" s="322" t="s">
        <v>174</v>
      </c>
      <c r="D609" s="322" t="s">
        <v>1266</v>
      </c>
      <c r="E609" s="323" t="s">
        <v>175</v>
      </c>
      <c r="F609" s="329" t="s">
        <v>29</v>
      </c>
      <c r="G609" s="329"/>
      <c r="H609" s="323" t="s">
        <v>27</v>
      </c>
      <c r="I609" s="330">
        <v>3770</v>
      </c>
      <c r="J609" s="330"/>
      <c r="K609" s="326" t="s">
        <v>22</v>
      </c>
      <c r="L609" s="327">
        <v>12624915.869999999</v>
      </c>
    </row>
    <row r="610" spans="1:12" ht="51" x14ac:dyDescent="0.3">
      <c r="A610" s="321" t="s">
        <v>85</v>
      </c>
      <c r="B610" s="322" t="s">
        <v>1264</v>
      </c>
      <c r="C610" s="322" t="s">
        <v>174</v>
      </c>
      <c r="D610" s="322" t="s">
        <v>1267</v>
      </c>
      <c r="E610" s="323" t="s">
        <v>175</v>
      </c>
      <c r="F610" s="329" t="s">
        <v>29</v>
      </c>
      <c r="G610" s="329"/>
      <c r="H610" s="323" t="s">
        <v>27</v>
      </c>
      <c r="I610" s="331">
        <v>279.33</v>
      </c>
      <c r="J610" s="331"/>
      <c r="K610" s="326" t="s">
        <v>22</v>
      </c>
      <c r="L610" s="327">
        <v>12624636.539999999</v>
      </c>
    </row>
    <row r="611" spans="1:12" ht="61.2" x14ac:dyDescent="0.3">
      <c r="A611" s="321" t="s">
        <v>85</v>
      </c>
      <c r="B611" s="322" t="s">
        <v>1264</v>
      </c>
      <c r="C611" s="322" t="s">
        <v>174</v>
      </c>
      <c r="D611" s="322" t="s">
        <v>1268</v>
      </c>
      <c r="E611" s="323" t="s">
        <v>175</v>
      </c>
      <c r="F611" s="329" t="s">
        <v>29</v>
      </c>
      <c r="G611" s="329"/>
      <c r="H611" s="323" t="s">
        <v>27</v>
      </c>
      <c r="I611" s="330">
        <v>9275</v>
      </c>
      <c r="J611" s="330"/>
      <c r="K611" s="326" t="s">
        <v>22</v>
      </c>
      <c r="L611" s="327">
        <v>12615361.539999999</v>
      </c>
    </row>
    <row r="612" spans="1:12" ht="51" x14ac:dyDescent="0.3">
      <c r="A612" s="321" t="s">
        <v>85</v>
      </c>
      <c r="B612" s="322" t="s">
        <v>1264</v>
      </c>
      <c r="C612" s="322" t="s">
        <v>174</v>
      </c>
      <c r="D612" s="322" t="s">
        <v>1267</v>
      </c>
      <c r="E612" s="323" t="s">
        <v>175</v>
      </c>
      <c r="F612" s="329" t="s">
        <v>29</v>
      </c>
      <c r="G612" s="329"/>
      <c r="H612" s="323" t="s">
        <v>27</v>
      </c>
      <c r="I612" s="330">
        <v>7542.01</v>
      </c>
      <c r="J612" s="330"/>
      <c r="K612" s="326" t="s">
        <v>22</v>
      </c>
      <c r="L612" s="327">
        <v>12607819.529999999</v>
      </c>
    </row>
    <row r="613" spans="1:12" ht="51" x14ac:dyDescent="0.3">
      <c r="A613" s="321" t="s">
        <v>85</v>
      </c>
      <c r="B613" s="322" t="s">
        <v>1264</v>
      </c>
      <c r="C613" s="322" t="s">
        <v>174</v>
      </c>
      <c r="D613" s="322" t="s">
        <v>1267</v>
      </c>
      <c r="E613" s="323" t="s">
        <v>175</v>
      </c>
      <c r="F613" s="329" t="s">
        <v>29</v>
      </c>
      <c r="G613" s="329"/>
      <c r="H613" s="323" t="s">
        <v>27</v>
      </c>
      <c r="I613" s="330">
        <v>2933</v>
      </c>
      <c r="J613" s="330"/>
      <c r="K613" s="326" t="s">
        <v>22</v>
      </c>
      <c r="L613" s="327">
        <v>12604886.529999999</v>
      </c>
    </row>
    <row r="614" spans="1:12" ht="51" x14ac:dyDescent="0.3">
      <c r="A614" s="321" t="s">
        <v>85</v>
      </c>
      <c r="B614" s="322" t="s">
        <v>1264</v>
      </c>
      <c r="C614" s="322" t="s">
        <v>174</v>
      </c>
      <c r="D614" s="322" t="s">
        <v>1269</v>
      </c>
      <c r="E614" s="323" t="s">
        <v>175</v>
      </c>
      <c r="F614" s="329" t="s">
        <v>29</v>
      </c>
      <c r="G614" s="329"/>
      <c r="H614" s="323" t="s">
        <v>27</v>
      </c>
      <c r="I614" s="330">
        <v>9086.8700000000008</v>
      </c>
      <c r="J614" s="330"/>
      <c r="K614" s="326" t="s">
        <v>22</v>
      </c>
      <c r="L614" s="327">
        <v>12595799.66</v>
      </c>
    </row>
    <row r="615" spans="1:12" ht="51" x14ac:dyDescent="0.3">
      <c r="A615" s="321" t="s">
        <v>85</v>
      </c>
      <c r="B615" s="322" t="s">
        <v>1264</v>
      </c>
      <c r="C615" s="322" t="s">
        <v>174</v>
      </c>
      <c r="D615" s="322" t="s">
        <v>1270</v>
      </c>
      <c r="E615" s="323" t="s">
        <v>175</v>
      </c>
      <c r="F615" s="329" t="s">
        <v>29</v>
      </c>
      <c r="G615" s="329"/>
      <c r="H615" s="323" t="s">
        <v>27</v>
      </c>
      <c r="I615" s="330">
        <v>10714.38</v>
      </c>
      <c r="J615" s="330"/>
      <c r="K615" s="326" t="s">
        <v>22</v>
      </c>
      <c r="L615" s="327">
        <v>12585085.279999999</v>
      </c>
    </row>
    <row r="616" spans="1:12" ht="61.2" x14ac:dyDescent="0.3">
      <c r="A616" s="321" t="s">
        <v>85</v>
      </c>
      <c r="B616" s="322" t="s">
        <v>1264</v>
      </c>
      <c r="C616" s="322" t="s">
        <v>174</v>
      </c>
      <c r="D616" s="322" t="s">
        <v>1271</v>
      </c>
      <c r="E616" s="323" t="s">
        <v>175</v>
      </c>
      <c r="F616" s="329" t="s">
        <v>29</v>
      </c>
      <c r="G616" s="329"/>
      <c r="H616" s="323" t="s">
        <v>27</v>
      </c>
      <c r="I616" s="330">
        <v>15211</v>
      </c>
      <c r="J616" s="330"/>
      <c r="K616" s="326" t="s">
        <v>22</v>
      </c>
      <c r="L616" s="327">
        <v>12569874.279999999</v>
      </c>
    </row>
    <row r="617" spans="1:12" ht="51" x14ac:dyDescent="0.3">
      <c r="A617" s="321" t="s">
        <v>85</v>
      </c>
      <c r="B617" s="322" t="s">
        <v>1264</v>
      </c>
      <c r="C617" s="322" t="s">
        <v>174</v>
      </c>
      <c r="D617" s="322" t="s">
        <v>1272</v>
      </c>
      <c r="E617" s="323" t="s">
        <v>175</v>
      </c>
      <c r="F617" s="329" t="s">
        <v>29</v>
      </c>
      <c r="G617" s="329"/>
      <c r="H617" s="323" t="s">
        <v>27</v>
      </c>
      <c r="I617" s="330">
        <v>8680</v>
      </c>
      <c r="J617" s="330"/>
      <c r="K617" s="326" t="s">
        <v>22</v>
      </c>
      <c r="L617" s="327">
        <v>12561194.279999999</v>
      </c>
    </row>
    <row r="618" spans="1:12" ht="51" x14ac:dyDescent="0.3">
      <c r="A618" s="321" t="s">
        <v>85</v>
      </c>
      <c r="B618" s="322" t="s">
        <v>1264</v>
      </c>
      <c r="C618" s="322" t="s">
        <v>174</v>
      </c>
      <c r="D618" s="322" t="s">
        <v>1273</v>
      </c>
      <c r="E618" s="323" t="s">
        <v>175</v>
      </c>
      <c r="F618" s="329" t="s">
        <v>29</v>
      </c>
      <c r="G618" s="329"/>
      <c r="H618" s="323" t="s">
        <v>27</v>
      </c>
      <c r="I618" s="330">
        <v>42798.71</v>
      </c>
      <c r="J618" s="330"/>
      <c r="K618" s="326" t="s">
        <v>22</v>
      </c>
      <c r="L618" s="327">
        <v>12518395.57</v>
      </c>
    </row>
    <row r="619" spans="1:12" ht="51" x14ac:dyDescent="0.3">
      <c r="A619" s="321" t="s">
        <v>85</v>
      </c>
      <c r="B619" s="322" t="s">
        <v>1264</v>
      </c>
      <c r="C619" s="322" t="s">
        <v>174</v>
      </c>
      <c r="D619" s="322" t="s">
        <v>1274</v>
      </c>
      <c r="E619" s="323" t="s">
        <v>175</v>
      </c>
      <c r="F619" s="329" t="s">
        <v>29</v>
      </c>
      <c r="G619" s="329"/>
      <c r="H619" s="323" t="s">
        <v>27</v>
      </c>
      <c r="I619" s="330">
        <v>7634.14</v>
      </c>
      <c r="J619" s="330"/>
      <c r="K619" s="326" t="s">
        <v>22</v>
      </c>
      <c r="L619" s="327">
        <v>12510761.43</v>
      </c>
    </row>
    <row r="620" spans="1:12" ht="61.2" x14ac:dyDescent="0.3">
      <c r="A620" s="321" t="s">
        <v>85</v>
      </c>
      <c r="B620" s="322" t="s">
        <v>1264</v>
      </c>
      <c r="C620" s="322" t="s">
        <v>174</v>
      </c>
      <c r="D620" s="322" t="s">
        <v>1275</v>
      </c>
      <c r="E620" s="323" t="s">
        <v>175</v>
      </c>
      <c r="F620" s="329" t="s">
        <v>29</v>
      </c>
      <c r="G620" s="329"/>
      <c r="H620" s="323" t="s">
        <v>27</v>
      </c>
      <c r="I620" s="330">
        <v>5008.2700000000004</v>
      </c>
      <c r="J620" s="330"/>
      <c r="K620" s="326" t="s">
        <v>22</v>
      </c>
      <c r="L620" s="327">
        <v>12505753.16</v>
      </c>
    </row>
    <row r="621" spans="1:12" ht="51" x14ac:dyDescent="0.3">
      <c r="A621" s="321" t="s">
        <v>85</v>
      </c>
      <c r="B621" s="322" t="s">
        <v>1264</v>
      </c>
      <c r="C621" s="322" t="s">
        <v>174</v>
      </c>
      <c r="D621" s="322" t="s">
        <v>1276</v>
      </c>
      <c r="E621" s="323" t="s">
        <v>175</v>
      </c>
      <c r="F621" s="329" t="s">
        <v>29</v>
      </c>
      <c r="G621" s="329"/>
      <c r="H621" s="323" t="s">
        <v>27</v>
      </c>
      <c r="I621" s="330">
        <v>78872.25</v>
      </c>
      <c r="J621" s="330"/>
      <c r="K621" s="326" t="s">
        <v>22</v>
      </c>
      <c r="L621" s="327">
        <v>12426880.91</v>
      </c>
    </row>
    <row r="622" spans="1:12" ht="51" x14ac:dyDescent="0.3">
      <c r="A622" s="321" t="s">
        <v>85</v>
      </c>
      <c r="B622" s="322" t="s">
        <v>1264</v>
      </c>
      <c r="C622" s="322" t="s">
        <v>174</v>
      </c>
      <c r="D622" s="322" t="s">
        <v>1277</v>
      </c>
      <c r="E622" s="323" t="s">
        <v>175</v>
      </c>
      <c r="F622" s="329" t="s">
        <v>29</v>
      </c>
      <c r="G622" s="329"/>
      <c r="H622" s="323" t="s">
        <v>27</v>
      </c>
      <c r="I622" s="330">
        <v>3021.75</v>
      </c>
      <c r="J622" s="330"/>
      <c r="K622" s="326" t="s">
        <v>22</v>
      </c>
      <c r="L622" s="327">
        <v>12423859.16</v>
      </c>
    </row>
    <row r="623" spans="1:12" ht="51" x14ac:dyDescent="0.3">
      <c r="A623" s="321" t="s">
        <v>85</v>
      </c>
      <c r="B623" s="322" t="s">
        <v>1264</v>
      </c>
      <c r="C623" s="322" t="s">
        <v>174</v>
      </c>
      <c r="D623" s="322" t="s">
        <v>1278</v>
      </c>
      <c r="E623" s="323" t="s">
        <v>175</v>
      </c>
      <c r="F623" s="329" t="s">
        <v>29</v>
      </c>
      <c r="G623" s="329"/>
      <c r="H623" s="323" t="s">
        <v>27</v>
      </c>
      <c r="I623" s="330">
        <v>37890</v>
      </c>
      <c r="J623" s="330"/>
      <c r="K623" s="326" t="s">
        <v>22</v>
      </c>
      <c r="L623" s="327">
        <v>12385969.16</v>
      </c>
    </row>
    <row r="624" spans="1:12" ht="61.2" x14ac:dyDescent="0.3">
      <c r="A624" s="321" t="s">
        <v>85</v>
      </c>
      <c r="B624" s="322" t="s">
        <v>1264</v>
      </c>
      <c r="C624" s="322" t="s">
        <v>174</v>
      </c>
      <c r="D624" s="322" t="s">
        <v>1279</v>
      </c>
      <c r="E624" s="323" t="s">
        <v>175</v>
      </c>
      <c r="F624" s="329" t="s">
        <v>29</v>
      </c>
      <c r="G624" s="329"/>
      <c r="H624" s="323" t="s">
        <v>27</v>
      </c>
      <c r="I624" s="330">
        <v>150437.35</v>
      </c>
      <c r="J624" s="330"/>
      <c r="K624" s="326" t="s">
        <v>22</v>
      </c>
      <c r="L624" s="327">
        <v>12235531.810000001</v>
      </c>
    </row>
    <row r="625" spans="1:12" ht="51" x14ac:dyDescent="0.3">
      <c r="A625" s="321" t="s">
        <v>85</v>
      </c>
      <c r="B625" s="322" t="s">
        <v>1264</v>
      </c>
      <c r="C625" s="322" t="s">
        <v>174</v>
      </c>
      <c r="D625" s="322" t="s">
        <v>1177</v>
      </c>
      <c r="E625" s="323" t="s">
        <v>175</v>
      </c>
      <c r="F625" s="329" t="s">
        <v>29</v>
      </c>
      <c r="G625" s="329"/>
      <c r="H625" s="323" t="s">
        <v>27</v>
      </c>
      <c r="I625" s="330">
        <v>9558.02</v>
      </c>
      <c r="J625" s="330"/>
      <c r="K625" s="326" t="s">
        <v>22</v>
      </c>
      <c r="L625" s="327">
        <v>12225973.789999999</v>
      </c>
    </row>
    <row r="626" spans="1:12" ht="51" x14ac:dyDescent="0.3">
      <c r="A626" s="321" t="s">
        <v>85</v>
      </c>
      <c r="B626" s="322" t="s">
        <v>1264</v>
      </c>
      <c r="C626" s="322" t="s">
        <v>174</v>
      </c>
      <c r="D626" s="322" t="s">
        <v>1280</v>
      </c>
      <c r="E626" s="323" t="s">
        <v>175</v>
      </c>
      <c r="F626" s="329" t="s">
        <v>29</v>
      </c>
      <c r="G626" s="329"/>
      <c r="H626" s="323" t="s">
        <v>27</v>
      </c>
      <c r="I626" s="330">
        <v>42240.34</v>
      </c>
      <c r="J626" s="330"/>
      <c r="K626" s="326" t="s">
        <v>22</v>
      </c>
      <c r="L626" s="327">
        <v>12183733.449999999</v>
      </c>
    </row>
    <row r="627" spans="1:12" ht="61.2" x14ac:dyDescent="0.3">
      <c r="A627" s="321" t="s">
        <v>85</v>
      </c>
      <c r="B627" s="322" t="s">
        <v>1264</v>
      </c>
      <c r="C627" s="322" t="s">
        <v>174</v>
      </c>
      <c r="D627" s="322" t="s">
        <v>1281</v>
      </c>
      <c r="E627" s="323" t="s">
        <v>175</v>
      </c>
      <c r="F627" s="329" t="s">
        <v>29</v>
      </c>
      <c r="G627" s="329"/>
      <c r="H627" s="323" t="s">
        <v>27</v>
      </c>
      <c r="I627" s="330">
        <v>2947</v>
      </c>
      <c r="J627" s="330"/>
      <c r="K627" s="326" t="s">
        <v>22</v>
      </c>
      <c r="L627" s="327">
        <v>12180786.449999999</v>
      </c>
    </row>
    <row r="628" spans="1:12" ht="51" x14ac:dyDescent="0.3">
      <c r="A628" s="321" t="s">
        <v>85</v>
      </c>
      <c r="B628" s="322" t="s">
        <v>1264</v>
      </c>
      <c r="C628" s="322" t="s">
        <v>174</v>
      </c>
      <c r="D628" s="322" t="s">
        <v>1280</v>
      </c>
      <c r="E628" s="323" t="s">
        <v>175</v>
      </c>
      <c r="F628" s="329" t="s">
        <v>29</v>
      </c>
      <c r="G628" s="329"/>
      <c r="H628" s="323" t="s">
        <v>27</v>
      </c>
      <c r="I628" s="330">
        <v>33455.47</v>
      </c>
      <c r="J628" s="330"/>
      <c r="K628" s="326" t="s">
        <v>22</v>
      </c>
      <c r="L628" s="327">
        <v>12147330.98</v>
      </c>
    </row>
    <row r="629" spans="1:12" ht="61.2" x14ac:dyDescent="0.3">
      <c r="A629" s="321" t="s">
        <v>85</v>
      </c>
      <c r="B629" s="322" t="s">
        <v>1264</v>
      </c>
      <c r="C629" s="322" t="s">
        <v>174</v>
      </c>
      <c r="D629" s="322" t="s">
        <v>1282</v>
      </c>
      <c r="E629" s="323" t="s">
        <v>175</v>
      </c>
      <c r="F629" s="329" t="s">
        <v>29</v>
      </c>
      <c r="G629" s="329"/>
      <c r="H629" s="323" t="s">
        <v>27</v>
      </c>
      <c r="I629" s="330">
        <v>92339.34</v>
      </c>
      <c r="J629" s="330"/>
      <c r="K629" s="326" t="s">
        <v>22</v>
      </c>
      <c r="L629" s="327">
        <v>12054991.640000001</v>
      </c>
    </row>
    <row r="630" spans="1:12" ht="51" x14ac:dyDescent="0.3">
      <c r="A630" s="321" t="s">
        <v>85</v>
      </c>
      <c r="B630" s="322" t="s">
        <v>1264</v>
      </c>
      <c r="C630" s="322" t="s">
        <v>174</v>
      </c>
      <c r="D630" s="322" t="s">
        <v>1283</v>
      </c>
      <c r="E630" s="323" t="s">
        <v>175</v>
      </c>
      <c r="F630" s="329" t="s">
        <v>29</v>
      </c>
      <c r="G630" s="329"/>
      <c r="H630" s="323" t="s">
        <v>27</v>
      </c>
      <c r="I630" s="330">
        <v>48833.67</v>
      </c>
      <c r="J630" s="330"/>
      <c r="K630" s="326" t="s">
        <v>22</v>
      </c>
      <c r="L630" s="327">
        <v>12006157.970000001</v>
      </c>
    </row>
    <row r="631" spans="1:12" ht="51" x14ac:dyDescent="0.3">
      <c r="A631" s="321" t="s">
        <v>85</v>
      </c>
      <c r="B631" s="322" t="s">
        <v>1264</v>
      </c>
      <c r="C631" s="322" t="s">
        <v>174</v>
      </c>
      <c r="D631" s="322" t="s">
        <v>1170</v>
      </c>
      <c r="E631" s="323" t="s">
        <v>175</v>
      </c>
      <c r="F631" s="329" t="s">
        <v>29</v>
      </c>
      <c r="G631" s="329"/>
      <c r="H631" s="323" t="s">
        <v>27</v>
      </c>
      <c r="I631" s="330">
        <v>532143.49</v>
      </c>
      <c r="J631" s="330"/>
      <c r="K631" s="326" t="s">
        <v>22</v>
      </c>
      <c r="L631" s="327">
        <v>11474014.48</v>
      </c>
    </row>
    <row r="632" spans="1:12" ht="51" x14ac:dyDescent="0.3">
      <c r="A632" s="321" t="s">
        <v>85</v>
      </c>
      <c r="B632" s="322" t="s">
        <v>1264</v>
      </c>
      <c r="C632" s="322" t="s">
        <v>174</v>
      </c>
      <c r="D632" s="322" t="s">
        <v>1188</v>
      </c>
      <c r="E632" s="323" t="s">
        <v>175</v>
      </c>
      <c r="F632" s="329" t="s">
        <v>29</v>
      </c>
      <c r="G632" s="329"/>
      <c r="H632" s="323" t="s">
        <v>27</v>
      </c>
      <c r="I632" s="330">
        <v>116100</v>
      </c>
      <c r="J632" s="330"/>
      <c r="K632" s="326" t="s">
        <v>22</v>
      </c>
      <c r="L632" s="327">
        <v>11357914.48</v>
      </c>
    </row>
    <row r="633" spans="1:12" ht="51" x14ac:dyDescent="0.3">
      <c r="A633" s="321" t="s">
        <v>85</v>
      </c>
      <c r="B633" s="322" t="s">
        <v>1264</v>
      </c>
      <c r="C633" s="322" t="s">
        <v>174</v>
      </c>
      <c r="D633" s="322" t="s">
        <v>1283</v>
      </c>
      <c r="E633" s="323" t="s">
        <v>175</v>
      </c>
      <c r="F633" s="329" t="s">
        <v>29</v>
      </c>
      <c r="G633" s="329"/>
      <c r="H633" s="323" t="s">
        <v>27</v>
      </c>
      <c r="I633" s="330">
        <v>22145.5</v>
      </c>
      <c r="J633" s="330"/>
      <c r="K633" s="326" t="s">
        <v>22</v>
      </c>
      <c r="L633" s="327">
        <v>11335768.98</v>
      </c>
    </row>
    <row r="634" spans="1:12" ht="51" x14ac:dyDescent="0.3">
      <c r="A634" s="321" t="s">
        <v>85</v>
      </c>
      <c r="B634" s="322" t="s">
        <v>1264</v>
      </c>
      <c r="C634" s="322" t="s">
        <v>174</v>
      </c>
      <c r="D634" s="322" t="s">
        <v>1284</v>
      </c>
      <c r="E634" s="323" t="s">
        <v>175</v>
      </c>
      <c r="F634" s="329" t="s">
        <v>29</v>
      </c>
      <c r="G634" s="329"/>
      <c r="H634" s="323" t="s">
        <v>27</v>
      </c>
      <c r="I634" s="330">
        <v>12083.64</v>
      </c>
      <c r="J634" s="330"/>
      <c r="K634" s="326" t="s">
        <v>22</v>
      </c>
      <c r="L634" s="327">
        <v>11323685.34</v>
      </c>
    </row>
    <row r="635" spans="1:12" ht="51" x14ac:dyDescent="0.3">
      <c r="A635" s="321" t="s">
        <v>85</v>
      </c>
      <c r="B635" s="322" t="s">
        <v>1264</v>
      </c>
      <c r="C635" s="322" t="s">
        <v>174</v>
      </c>
      <c r="D635" s="322" t="s">
        <v>1181</v>
      </c>
      <c r="E635" s="323" t="s">
        <v>175</v>
      </c>
      <c r="F635" s="329" t="s">
        <v>29</v>
      </c>
      <c r="G635" s="329"/>
      <c r="H635" s="323" t="s">
        <v>27</v>
      </c>
      <c r="I635" s="330">
        <v>7582.96</v>
      </c>
      <c r="J635" s="330"/>
      <c r="K635" s="326" t="s">
        <v>22</v>
      </c>
      <c r="L635" s="327">
        <v>11316102.380000001</v>
      </c>
    </row>
    <row r="636" spans="1:12" ht="51" x14ac:dyDescent="0.3">
      <c r="A636" s="321" t="s">
        <v>85</v>
      </c>
      <c r="B636" s="322" t="s">
        <v>1264</v>
      </c>
      <c r="C636" s="322" t="s">
        <v>174</v>
      </c>
      <c r="D636" s="322" t="s">
        <v>1285</v>
      </c>
      <c r="E636" s="323" t="s">
        <v>175</v>
      </c>
      <c r="F636" s="329" t="s">
        <v>29</v>
      </c>
      <c r="G636" s="329"/>
      <c r="H636" s="323" t="s">
        <v>27</v>
      </c>
      <c r="I636" s="330">
        <v>20702.5</v>
      </c>
      <c r="J636" s="330"/>
      <c r="K636" s="326" t="s">
        <v>22</v>
      </c>
      <c r="L636" s="327">
        <v>11295399.880000001</v>
      </c>
    </row>
    <row r="637" spans="1:12" ht="51" x14ac:dyDescent="0.3">
      <c r="A637" s="321" t="s">
        <v>85</v>
      </c>
      <c r="B637" s="322" t="s">
        <v>1264</v>
      </c>
      <c r="C637" s="322" t="s">
        <v>174</v>
      </c>
      <c r="D637" s="322" t="s">
        <v>1286</v>
      </c>
      <c r="E637" s="323" t="s">
        <v>175</v>
      </c>
      <c r="F637" s="329" t="s">
        <v>29</v>
      </c>
      <c r="G637" s="329"/>
      <c r="H637" s="323" t="s">
        <v>27</v>
      </c>
      <c r="I637" s="331">
        <v>676.4</v>
      </c>
      <c r="J637" s="331"/>
      <c r="K637" s="326" t="s">
        <v>22</v>
      </c>
      <c r="L637" s="327">
        <v>11294723.48</v>
      </c>
    </row>
    <row r="638" spans="1:12" ht="61.2" x14ac:dyDescent="0.3">
      <c r="A638" s="321" t="s">
        <v>85</v>
      </c>
      <c r="B638" s="322" t="s">
        <v>1264</v>
      </c>
      <c r="C638" s="322" t="s">
        <v>174</v>
      </c>
      <c r="D638" s="322" t="s">
        <v>1287</v>
      </c>
      <c r="E638" s="323" t="s">
        <v>175</v>
      </c>
      <c r="F638" s="329" t="s">
        <v>29</v>
      </c>
      <c r="G638" s="329"/>
      <c r="H638" s="323" t="s">
        <v>27</v>
      </c>
      <c r="I638" s="330">
        <v>9146.67</v>
      </c>
      <c r="J638" s="330"/>
      <c r="K638" s="326" t="s">
        <v>22</v>
      </c>
      <c r="L638" s="327">
        <v>11285576.810000001</v>
      </c>
    </row>
    <row r="639" spans="1:12" ht="61.2" x14ac:dyDescent="0.3">
      <c r="A639" s="321" t="s">
        <v>85</v>
      </c>
      <c r="B639" s="322" t="s">
        <v>1264</v>
      </c>
      <c r="C639" s="322" t="s">
        <v>174</v>
      </c>
      <c r="D639" s="322" t="s">
        <v>1288</v>
      </c>
      <c r="E639" s="323" t="s">
        <v>175</v>
      </c>
      <c r="F639" s="329" t="s">
        <v>29</v>
      </c>
      <c r="G639" s="329"/>
      <c r="H639" s="323" t="s">
        <v>27</v>
      </c>
      <c r="I639" s="331">
        <v>520</v>
      </c>
      <c r="J639" s="331"/>
      <c r="K639" s="326" t="s">
        <v>22</v>
      </c>
      <c r="L639" s="327">
        <v>11285056.810000001</v>
      </c>
    </row>
    <row r="640" spans="1:12" ht="51" x14ac:dyDescent="0.3">
      <c r="A640" s="321" t="s">
        <v>85</v>
      </c>
      <c r="B640" s="322" t="s">
        <v>1264</v>
      </c>
      <c r="C640" s="322" t="s">
        <v>174</v>
      </c>
      <c r="D640" s="322" t="s">
        <v>1289</v>
      </c>
      <c r="E640" s="323" t="s">
        <v>175</v>
      </c>
      <c r="F640" s="329" t="s">
        <v>29</v>
      </c>
      <c r="G640" s="329"/>
      <c r="H640" s="323" t="s">
        <v>27</v>
      </c>
      <c r="I640" s="330">
        <v>2119.1</v>
      </c>
      <c r="J640" s="330"/>
      <c r="K640" s="326" t="s">
        <v>22</v>
      </c>
      <c r="L640" s="327">
        <v>11282937.710000001</v>
      </c>
    </row>
    <row r="641" spans="1:12" ht="51" x14ac:dyDescent="0.3">
      <c r="A641" s="321" t="s">
        <v>85</v>
      </c>
      <c r="B641" s="322" t="s">
        <v>1264</v>
      </c>
      <c r="C641" s="322" t="s">
        <v>174</v>
      </c>
      <c r="D641" s="322" t="s">
        <v>1290</v>
      </c>
      <c r="E641" s="323" t="s">
        <v>175</v>
      </c>
      <c r="F641" s="329" t="s">
        <v>29</v>
      </c>
      <c r="G641" s="329"/>
      <c r="H641" s="323" t="s">
        <v>27</v>
      </c>
      <c r="I641" s="330">
        <v>2876.05</v>
      </c>
      <c r="J641" s="330"/>
      <c r="K641" s="326" t="s">
        <v>22</v>
      </c>
      <c r="L641" s="327">
        <v>11280061.66</v>
      </c>
    </row>
    <row r="642" spans="1:12" ht="51" x14ac:dyDescent="0.3">
      <c r="A642" s="321" t="s">
        <v>85</v>
      </c>
      <c r="B642" s="322" t="s">
        <v>1264</v>
      </c>
      <c r="C642" s="322" t="s">
        <v>174</v>
      </c>
      <c r="D642" s="322" t="s">
        <v>1205</v>
      </c>
      <c r="E642" s="323" t="s">
        <v>175</v>
      </c>
      <c r="F642" s="329" t="s">
        <v>29</v>
      </c>
      <c r="G642" s="329"/>
      <c r="H642" s="323" t="s">
        <v>27</v>
      </c>
      <c r="I642" s="330">
        <v>2220.34</v>
      </c>
      <c r="J642" s="330"/>
      <c r="K642" s="326" t="s">
        <v>22</v>
      </c>
      <c r="L642" s="327">
        <v>11277841.32</v>
      </c>
    </row>
    <row r="643" spans="1:12" ht="61.2" x14ac:dyDescent="0.3">
      <c r="A643" s="321" t="s">
        <v>85</v>
      </c>
      <c r="B643" s="322" t="s">
        <v>1264</v>
      </c>
      <c r="C643" s="322" t="s">
        <v>174</v>
      </c>
      <c r="D643" s="322" t="s">
        <v>1291</v>
      </c>
      <c r="E643" s="323" t="s">
        <v>175</v>
      </c>
      <c r="F643" s="329" t="s">
        <v>29</v>
      </c>
      <c r="G643" s="329"/>
      <c r="H643" s="323" t="s">
        <v>27</v>
      </c>
      <c r="I643" s="330">
        <v>11121.25</v>
      </c>
      <c r="J643" s="330"/>
      <c r="K643" s="326" t="s">
        <v>22</v>
      </c>
      <c r="L643" s="327">
        <v>11266720.07</v>
      </c>
    </row>
    <row r="644" spans="1:12" ht="51" x14ac:dyDescent="0.3">
      <c r="A644" s="321" t="s">
        <v>85</v>
      </c>
      <c r="B644" s="322" t="s">
        <v>1264</v>
      </c>
      <c r="C644" s="322" t="s">
        <v>174</v>
      </c>
      <c r="D644" s="322" t="s">
        <v>1292</v>
      </c>
      <c r="E644" s="323" t="s">
        <v>175</v>
      </c>
      <c r="F644" s="329" t="s">
        <v>29</v>
      </c>
      <c r="G644" s="329"/>
      <c r="H644" s="323" t="s">
        <v>27</v>
      </c>
      <c r="I644" s="330">
        <v>19590.25</v>
      </c>
      <c r="J644" s="330"/>
      <c r="K644" s="326" t="s">
        <v>22</v>
      </c>
      <c r="L644" s="327">
        <v>11247129.82</v>
      </c>
    </row>
    <row r="645" spans="1:12" ht="51" x14ac:dyDescent="0.3">
      <c r="A645" s="321" t="s">
        <v>85</v>
      </c>
      <c r="B645" s="322" t="s">
        <v>1264</v>
      </c>
      <c r="C645" s="322" t="s">
        <v>174</v>
      </c>
      <c r="D645" s="322" t="s">
        <v>1166</v>
      </c>
      <c r="E645" s="323" t="s">
        <v>175</v>
      </c>
      <c r="F645" s="329" t="s">
        <v>29</v>
      </c>
      <c r="G645" s="329"/>
      <c r="H645" s="323" t="s">
        <v>27</v>
      </c>
      <c r="I645" s="330">
        <v>7938.06</v>
      </c>
      <c r="J645" s="330"/>
      <c r="K645" s="326" t="s">
        <v>22</v>
      </c>
      <c r="L645" s="327">
        <v>11239191.76</v>
      </c>
    </row>
    <row r="646" spans="1:12" ht="51" x14ac:dyDescent="0.3">
      <c r="A646" s="321" t="s">
        <v>85</v>
      </c>
      <c r="B646" s="322" t="s">
        <v>1264</v>
      </c>
      <c r="C646" s="322" t="s">
        <v>174</v>
      </c>
      <c r="D646" s="322" t="s">
        <v>1293</v>
      </c>
      <c r="E646" s="323" t="s">
        <v>175</v>
      </c>
      <c r="F646" s="329" t="s">
        <v>29</v>
      </c>
      <c r="G646" s="329"/>
      <c r="H646" s="323" t="s">
        <v>27</v>
      </c>
      <c r="I646" s="330">
        <v>226804.9</v>
      </c>
      <c r="J646" s="330"/>
      <c r="K646" s="326" t="s">
        <v>22</v>
      </c>
      <c r="L646" s="327">
        <v>11012386.859999999</v>
      </c>
    </row>
    <row r="647" spans="1:12" ht="51" x14ac:dyDescent="0.3">
      <c r="A647" s="321" t="s">
        <v>85</v>
      </c>
      <c r="B647" s="322" t="s">
        <v>1264</v>
      </c>
      <c r="C647" s="322" t="s">
        <v>174</v>
      </c>
      <c r="D647" s="322" t="s">
        <v>1168</v>
      </c>
      <c r="E647" s="323" t="s">
        <v>175</v>
      </c>
      <c r="F647" s="329" t="s">
        <v>29</v>
      </c>
      <c r="G647" s="329"/>
      <c r="H647" s="323" t="s">
        <v>27</v>
      </c>
      <c r="I647" s="330">
        <v>54525.45</v>
      </c>
      <c r="J647" s="330"/>
      <c r="K647" s="326" t="s">
        <v>22</v>
      </c>
      <c r="L647" s="327">
        <v>10957861.41</v>
      </c>
    </row>
    <row r="648" spans="1:12" ht="51" x14ac:dyDescent="0.3">
      <c r="A648" s="321" t="s">
        <v>85</v>
      </c>
      <c r="B648" s="322" t="s">
        <v>1264</v>
      </c>
      <c r="C648" s="322" t="s">
        <v>174</v>
      </c>
      <c r="D648" s="322" t="s">
        <v>944</v>
      </c>
      <c r="E648" s="323" t="s">
        <v>175</v>
      </c>
      <c r="F648" s="329" t="s">
        <v>29</v>
      </c>
      <c r="G648" s="329"/>
      <c r="H648" s="323" t="s">
        <v>27</v>
      </c>
      <c r="I648" s="330">
        <v>55397</v>
      </c>
      <c r="J648" s="330"/>
      <c r="K648" s="326" t="s">
        <v>22</v>
      </c>
      <c r="L648" s="327">
        <v>10902464.41</v>
      </c>
    </row>
    <row r="649" spans="1:12" ht="51" x14ac:dyDescent="0.3">
      <c r="A649" s="321" t="s">
        <v>85</v>
      </c>
      <c r="B649" s="322" t="s">
        <v>1264</v>
      </c>
      <c r="C649" s="322" t="s">
        <v>174</v>
      </c>
      <c r="D649" s="322" t="s">
        <v>946</v>
      </c>
      <c r="E649" s="323" t="s">
        <v>175</v>
      </c>
      <c r="F649" s="329" t="s">
        <v>29</v>
      </c>
      <c r="G649" s="329"/>
      <c r="H649" s="323" t="s">
        <v>27</v>
      </c>
      <c r="I649" s="330">
        <v>32341.83</v>
      </c>
      <c r="J649" s="330"/>
      <c r="K649" s="326" t="s">
        <v>22</v>
      </c>
      <c r="L649" s="327">
        <v>10870122.58</v>
      </c>
    </row>
    <row r="650" spans="1:12" ht="51" x14ac:dyDescent="0.3">
      <c r="A650" s="321" t="s">
        <v>85</v>
      </c>
      <c r="B650" s="322" t="s">
        <v>1264</v>
      </c>
      <c r="C650" s="322" t="s">
        <v>174</v>
      </c>
      <c r="D650" s="322" t="s">
        <v>1294</v>
      </c>
      <c r="E650" s="323" t="s">
        <v>175</v>
      </c>
      <c r="F650" s="329" t="s">
        <v>29</v>
      </c>
      <c r="G650" s="329"/>
      <c r="H650" s="323" t="s">
        <v>27</v>
      </c>
      <c r="I650" s="330">
        <v>23567.95</v>
      </c>
      <c r="J650" s="330"/>
      <c r="K650" s="326" t="s">
        <v>22</v>
      </c>
      <c r="L650" s="327">
        <v>10846554.630000001</v>
      </c>
    </row>
    <row r="651" spans="1:12" ht="51" x14ac:dyDescent="0.3">
      <c r="A651" s="321" t="s">
        <v>85</v>
      </c>
      <c r="B651" s="322" t="s">
        <v>1264</v>
      </c>
      <c r="C651" s="322" t="s">
        <v>174</v>
      </c>
      <c r="D651" s="322" t="s">
        <v>1295</v>
      </c>
      <c r="E651" s="323" t="s">
        <v>175</v>
      </c>
      <c r="F651" s="329" t="s">
        <v>29</v>
      </c>
      <c r="G651" s="329"/>
      <c r="H651" s="323" t="s">
        <v>27</v>
      </c>
      <c r="I651" s="330">
        <v>28025.94</v>
      </c>
      <c r="J651" s="330"/>
      <c r="K651" s="326" t="s">
        <v>22</v>
      </c>
      <c r="L651" s="327">
        <v>10818528.689999999</v>
      </c>
    </row>
    <row r="652" spans="1:12" ht="51" x14ac:dyDescent="0.3">
      <c r="A652" s="321" t="s">
        <v>85</v>
      </c>
      <c r="B652" s="322" t="s">
        <v>1264</v>
      </c>
      <c r="C652" s="322" t="s">
        <v>174</v>
      </c>
      <c r="D652" s="322" t="s">
        <v>947</v>
      </c>
      <c r="E652" s="323" t="s">
        <v>175</v>
      </c>
      <c r="F652" s="329" t="s">
        <v>29</v>
      </c>
      <c r="G652" s="329"/>
      <c r="H652" s="323" t="s">
        <v>27</v>
      </c>
      <c r="I652" s="330">
        <v>11298.82</v>
      </c>
      <c r="J652" s="330"/>
      <c r="K652" s="326" t="s">
        <v>22</v>
      </c>
      <c r="L652" s="327">
        <v>10807229.869999999</v>
      </c>
    </row>
    <row r="653" spans="1:12" ht="51" x14ac:dyDescent="0.3">
      <c r="A653" s="321" t="s">
        <v>85</v>
      </c>
      <c r="B653" s="322" t="s">
        <v>1264</v>
      </c>
      <c r="C653" s="322" t="s">
        <v>174</v>
      </c>
      <c r="D653" s="322" t="s">
        <v>1266</v>
      </c>
      <c r="E653" s="323" t="s">
        <v>175</v>
      </c>
      <c r="F653" s="329" t="s">
        <v>29</v>
      </c>
      <c r="G653" s="329"/>
      <c r="H653" s="323" t="s">
        <v>27</v>
      </c>
      <c r="I653" s="330">
        <v>32190</v>
      </c>
      <c r="J653" s="330"/>
      <c r="K653" s="326" t="s">
        <v>22</v>
      </c>
      <c r="L653" s="327">
        <v>10775039.869999999</v>
      </c>
    </row>
    <row r="654" spans="1:12" ht="51" x14ac:dyDescent="0.3">
      <c r="A654" s="321" t="s">
        <v>85</v>
      </c>
      <c r="B654" s="322" t="s">
        <v>1264</v>
      </c>
      <c r="C654" s="322" t="s">
        <v>174</v>
      </c>
      <c r="D654" s="322" t="s">
        <v>1296</v>
      </c>
      <c r="E654" s="323" t="s">
        <v>175</v>
      </c>
      <c r="F654" s="329" t="s">
        <v>29</v>
      </c>
      <c r="G654" s="329"/>
      <c r="H654" s="323" t="s">
        <v>27</v>
      </c>
      <c r="I654" s="330">
        <v>1715</v>
      </c>
      <c r="J654" s="330"/>
      <c r="K654" s="326" t="s">
        <v>22</v>
      </c>
      <c r="L654" s="327">
        <v>10773324.869999999</v>
      </c>
    </row>
    <row r="655" spans="1:12" ht="51" x14ac:dyDescent="0.3">
      <c r="A655" s="321" t="s">
        <v>85</v>
      </c>
      <c r="B655" s="322" t="s">
        <v>1264</v>
      </c>
      <c r="C655" s="322" t="s">
        <v>174</v>
      </c>
      <c r="D655" s="322" t="s">
        <v>1297</v>
      </c>
      <c r="E655" s="323" t="s">
        <v>175</v>
      </c>
      <c r="F655" s="329" t="s">
        <v>29</v>
      </c>
      <c r="G655" s="329"/>
      <c r="H655" s="323" t="s">
        <v>27</v>
      </c>
      <c r="I655" s="330">
        <v>1138.33</v>
      </c>
      <c r="J655" s="330"/>
      <c r="K655" s="326" t="s">
        <v>22</v>
      </c>
      <c r="L655" s="327">
        <v>10772186.539999999</v>
      </c>
    </row>
    <row r="656" spans="1:12" ht="51" x14ac:dyDescent="0.3">
      <c r="A656" s="321" t="s">
        <v>85</v>
      </c>
      <c r="B656" s="322" t="s">
        <v>1264</v>
      </c>
      <c r="C656" s="322" t="s">
        <v>174</v>
      </c>
      <c r="D656" s="322" t="s">
        <v>1207</v>
      </c>
      <c r="E656" s="323" t="s">
        <v>175</v>
      </c>
      <c r="F656" s="329" t="s">
        <v>29</v>
      </c>
      <c r="G656" s="329"/>
      <c r="H656" s="323" t="s">
        <v>27</v>
      </c>
      <c r="I656" s="330">
        <v>202442.1</v>
      </c>
      <c r="J656" s="330"/>
      <c r="K656" s="326" t="s">
        <v>22</v>
      </c>
      <c r="L656" s="327">
        <v>10569744.439999999</v>
      </c>
    </row>
    <row r="657" spans="1:12" ht="51" x14ac:dyDescent="0.3">
      <c r="A657" s="321" t="s">
        <v>85</v>
      </c>
      <c r="B657" s="322" t="s">
        <v>1264</v>
      </c>
      <c r="C657" s="322" t="s">
        <v>174</v>
      </c>
      <c r="D657" s="322" t="s">
        <v>1269</v>
      </c>
      <c r="E657" s="323" t="s">
        <v>175</v>
      </c>
      <c r="F657" s="329" t="s">
        <v>29</v>
      </c>
      <c r="G657" s="329"/>
      <c r="H657" s="323" t="s">
        <v>27</v>
      </c>
      <c r="I657" s="331">
        <v>461.13</v>
      </c>
      <c r="J657" s="331"/>
      <c r="K657" s="326" t="s">
        <v>22</v>
      </c>
      <c r="L657" s="327">
        <v>10569283.310000001</v>
      </c>
    </row>
    <row r="658" spans="1:12" ht="51" x14ac:dyDescent="0.3">
      <c r="A658" s="321" t="s">
        <v>85</v>
      </c>
      <c r="B658" s="322" t="s">
        <v>1264</v>
      </c>
      <c r="C658" s="322" t="s">
        <v>174</v>
      </c>
      <c r="D658" s="322" t="s">
        <v>1272</v>
      </c>
      <c r="E658" s="323" t="s">
        <v>175</v>
      </c>
      <c r="F658" s="329" t="s">
        <v>29</v>
      </c>
      <c r="G658" s="329"/>
      <c r="H658" s="323" t="s">
        <v>27</v>
      </c>
      <c r="I658" s="330">
        <v>6510</v>
      </c>
      <c r="J658" s="330"/>
      <c r="K658" s="326" t="s">
        <v>22</v>
      </c>
      <c r="L658" s="327">
        <v>10562773.310000001</v>
      </c>
    </row>
    <row r="659" spans="1:12" ht="51" x14ac:dyDescent="0.3">
      <c r="A659" s="321" t="s">
        <v>85</v>
      </c>
      <c r="B659" s="322" t="s">
        <v>1264</v>
      </c>
      <c r="C659" s="322" t="s">
        <v>174</v>
      </c>
      <c r="D659" s="322" t="s">
        <v>1176</v>
      </c>
      <c r="E659" s="323" t="s">
        <v>175</v>
      </c>
      <c r="F659" s="329" t="s">
        <v>29</v>
      </c>
      <c r="G659" s="329"/>
      <c r="H659" s="323" t="s">
        <v>27</v>
      </c>
      <c r="I659" s="330">
        <v>29973.73</v>
      </c>
      <c r="J659" s="330"/>
      <c r="K659" s="326" t="s">
        <v>22</v>
      </c>
      <c r="L659" s="327">
        <v>10532799.58</v>
      </c>
    </row>
    <row r="660" spans="1:12" ht="51" x14ac:dyDescent="0.3">
      <c r="A660" s="321" t="s">
        <v>85</v>
      </c>
      <c r="B660" s="322" t="s">
        <v>1264</v>
      </c>
      <c r="C660" s="322" t="s">
        <v>174</v>
      </c>
      <c r="D660" s="322" t="s">
        <v>1278</v>
      </c>
      <c r="E660" s="323" t="s">
        <v>175</v>
      </c>
      <c r="F660" s="329" t="s">
        <v>29</v>
      </c>
      <c r="G660" s="329"/>
      <c r="H660" s="323" t="s">
        <v>27</v>
      </c>
      <c r="I660" s="330">
        <v>153103.69</v>
      </c>
      <c r="J660" s="330"/>
      <c r="K660" s="326" t="s">
        <v>22</v>
      </c>
      <c r="L660" s="327">
        <v>10379695.890000001</v>
      </c>
    </row>
    <row r="661" spans="1:12" ht="51" x14ac:dyDescent="0.3">
      <c r="A661" s="321" t="s">
        <v>85</v>
      </c>
      <c r="B661" s="322" t="s">
        <v>1264</v>
      </c>
      <c r="C661" s="322" t="s">
        <v>174</v>
      </c>
      <c r="D661" s="322" t="s">
        <v>1298</v>
      </c>
      <c r="E661" s="323" t="s">
        <v>175</v>
      </c>
      <c r="F661" s="329" t="s">
        <v>29</v>
      </c>
      <c r="G661" s="329"/>
      <c r="H661" s="323" t="s">
        <v>27</v>
      </c>
      <c r="I661" s="330">
        <v>51900.66</v>
      </c>
      <c r="J661" s="330"/>
      <c r="K661" s="326" t="s">
        <v>22</v>
      </c>
      <c r="L661" s="327">
        <v>10327795.23</v>
      </c>
    </row>
    <row r="662" spans="1:12" ht="51" x14ac:dyDescent="0.3">
      <c r="A662" s="321" t="s">
        <v>85</v>
      </c>
      <c r="B662" s="322" t="s">
        <v>1264</v>
      </c>
      <c r="C662" s="322" t="s">
        <v>174</v>
      </c>
      <c r="D662" s="322" t="s">
        <v>1299</v>
      </c>
      <c r="E662" s="323" t="s">
        <v>175</v>
      </c>
      <c r="F662" s="329" t="s">
        <v>29</v>
      </c>
      <c r="G662" s="329"/>
      <c r="H662" s="323" t="s">
        <v>27</v>
      </c>
      <c r="I662" s="330">
        <v>14594.67</v>
      </c>
      <c r="J662" s="330"/>
      <c r="K662" s="326" t="s">
        <v>22</v>
      </c>
      <c r="L662" s="327">
        <v>10313200.560000001</v>
      </c>
    </row>
    <row r="663" spans="1:12" ht="61.2" x14ac:dyDescent="0.3">
      <c r="A663" s="321" t="s">
        <v>85</v>
      </c>
      <c r="B663" s="322" t="s">
        <v>1264</v>
      </c>
      <c r="C663" s="322" t="s">
        <v>174</v>
      </c>
      <c r="D663" s="322" t="s">
        <v>1300</v>
      </c>
      <c r="E663" s="323" t="s">
        <v>175</v>
      </c>
      <c r="F663" s="329" t="s">
        <v>29</v>
      </c>
      <c r="G663" s="329"/>
      <c r="H663" s="323" t="s">
        <v>27</v>
      </c>
      <c r="I663" s="330">
        <v>174294.02</v>
      </c>
      <c r="J663" s="330"/>
      <c r="K663" s="326" t="s">
        <v>22</v>
      </c>
      <c r="L663" s="327">
        <v>10138906.539999999</v>
      </c>
    </row>
    <row r="664" spans="1:12" ht="51" x14ac:dyDescent="0.3">
      <c r="A664" s="321" t="s">
        <v>85</v>
      </c>
      <c r="B664" s="322" t="s">
        <v>1264</v>
      </c>
      <c r="C664" s="322" t="s">
        <v>174</v>
      </c>
      <c r="D664" s="322" t="s">
        <v>1301</v>
      </c>
      <c r="E664" s="323" t="s">
        <v>175</v>
      </c>
      <c r="F664" s="329" t="s">
        <v>29</v>
      </c>
      <c r="G664" s="329"/>
      <c r="H664" s="323" t="s">
        <v>27</v>
      </c>
      <c r="I664" s="330">
        <v>232227.11</v>
      </c>
      <c r="J664" s="330"/>
      <c r="K664" s="326" t="s">
        <v>22</v>
      </c>
      <c r="L664" s="327">
        <v>9906679.4299999997</v>
      </c>
    </row>
    <row r="665" spans="1:12" ht="51" x14ac:dyDescent="0.3">
      <c r="A665" s="321" t="s">
        <v>85</v>
      </c>
      <c r="B665" s="322" t="s">
        <v>1264</v>
      </c>
      <c r="C665" s="322" t="s">
        <v>174</v>
      </c>
      <c r="D665" s="322" t="s">
        <v>1301</v>
      </c>
      <c r="E665" s="323" t="s">
        <v>175</v>
      </c>
      <c r="F665" s="329" t="s">
        <v>29</v>
      </c>
      <c r="G665" s="329"/>
      <c r="H665" s="323" t="s">
        <v>27</v>
      </c>
      <c r="I665" s="330">
        <v>129207.81</v>
      </c>
      <c r="J665" s="330"/>
      <c r="K665" s="326" t="s">
        <v>22</v>
      </c>
      <c r="L665" s="327">
        <v>9777471.6199999992</v>
      </c>
    </row>
    <row r="666" spans="1:12" ht="51" x14ac:dyDescent="0.3">
      <c r="A666" s="321" t="s">
        <v>85</v>
      </c>
      <c r="B666" s="322" t="s">
        <v>1264</v>
      </c>
      <c r="C666" s="322" t="s">
        <v>174</v>
      </c>
      <c r="D666" s="322" t="s">
        <v>1203</v>
      </c>
      <c r="E666" s="323" t="s">
        <v>175</v>
      </c>
      <c r="F666" s="329" t="s">
        <v>29</v>
      </c>
      <c r="G666" s="329"/>
      <c r="H666" s="323" t="s">
        <v>27</v>
      </c>
      <c r="I666" s="330">
        <v>232299.82</v>
      </c>
      <c r="J666" s="330"/>
      <c r="K666" s="326" t="s">
        <v>22</v>
      </c>
      <c r="L666" s="327">
        <v>9545171.8000000007</v>
      </c>
    </row>
    <row r="667" spans="1:12" ht="51" x14ac:dyDescent="0.3">
      <c r="A667" s="321" t="s">
        <v>85</v>
      </c>
      <c r="B667" s="322" t="s">
        <v>1264</v>
      </c>
      <c r="C667" s="322" t="s">
        <v>174</v>
      </c>
      <c r="D667" s="322" t="s">
        <v>1302</v>
      </c>
      <c r="E667" s="323" t="s">
        <v>175</v>
      </c>
      <c r="F667" s="329" t="s">
        <v>29</v>
      </c>
      <c r="G667" s="329"/>
      <c r="H667" s="323" t="s">
        <v>27</v>
      </c>
      <c r="I667" s="330">
        <v>13330</v>
      </c>
      <c r="J667" s="330"/>
      <c r="K667" s="326" t="s">
        <v>22</v>
      </c>
      <c r="L667" s="327">
        <v>9531841.8000000007</v>
      </c>
    </row>
    <row r="668" spans="1:12" ht="51" x14ac:dyDescent="0.3">
      <c r="A668" s="321" t="s">
        <v>85</v>
      </c>
      <c r="B668" s="322" t="s">
        <v>1264</v>
      </c>
      <c r="C668" s="322" t="s">
        <v>174</v>
      </c>
      <c r="D668" s="322" t="s">
        <v>1303</v>
      </c>
      <c r="E668" s="323" t="s">
        <v>175</v>
      </c>
      <c r="F668" s="329" t="s">
        <v>29</v>
      </c>
      <c r="G668" s="329"/>
      <c r="H668" s="323" t="s">
        <v>27</v>
      </c>
      <c r="I668" s="330">
        <v>71149.009999999995</v>
      </c>
      <c r="J668" s="330"/>
      <c r="K668" s="326" t="s">
        <v>22</v>
      </c>
      <c r="L668" s="327">
        <v>9460692.7899999991</v>
      </c>
    </row>
    <row r="669" spans="1:12" ht="51" x14ac:dyDescent="0.3">
      <c r="A669" s="321" t="s">
        <v>85</v>
      </c>
      <c r="B669" s="322" t="s">
        <v>1264</v>
      </c>
      <c r="C669" s="322" t="s">
        <v>174</v>
      </c>
      <c r="D669" s="322" t="s">
        <v>1303</v>
      </c>
      <c r="E669" s="323" t="s">
        <v>175</v>
      </c>
      <c r="F669" s="329" t="s">
        <v>29</v>
      </c>
      <c r="G669" s="329"/>
      <c r="H669" s="323" t="s">
        <v>27</v>
      </c>
      <c r="I669" s="330">
        <v>1038.47</v>
      </c>
      <c r="J669" s="330"/>
      <c r="K669" s="326" t="s">
        <v>22</v>
      </c>
      <c r="L669" s="327">
        <v>9459654.3200000003</v>
      </c>
    </row>
    <row r="670" spans="1:12" ht="51" x14ac:dyDescent="0.3">
      <c r="A670" s="321" t="s">
        <v>85</v>
      </c>
      <c r="B670" s="322" t="s">
        <v>1264</v>
      </c>
      <c r="C670" s="322" t="s">
        <v>174</v>
      </c>
      <c r="D670" s="322" t="s">
        <v>1304</v>
      </c>
      <c r="E670" s="323" t="s">
        <v>175</v>
      </c>
      <c r="F670" s="329" t="s">
        <v>29</v>
      </c>
      <c r="G670" s="329"/>
      <c r="H670" s="323" t="s">
        <v>27</v>
      </c>
      <c r="I670" s="330">
        <v>36093.129999999997</v>
      </c>
      <c r="J670" s="330"/>
      <c r="K670" s="326" t="s">
        <v>22</v>
      </c>
      <c r="L670" s="327">
        <v>9423561.1899999995</v>
      </c>
    </row>
    <row r="671" spans="1:12" ht="51" x14ac:dyDescent="0.3">
      <c r="A671" s="321" t="s">
        <v>85</v>
      </c>
      <c r="B671" s="322" t="s">
        <v>1264</v>
      </c>
      <c r="C671" s="322" t="s">
        <v>174</v>
      </c>
      <c r="D671" s="322" t="s">
        <v>1283</v>
      </c>
      <c r="E671" s="323" t="s">
        <v>175</v>
      </c>
      <c r="F671" s="329" t="s">
        <v>29</v>
      </c>
      <c r="G671" s="329"/>
      <c r="H671" s="323" t="s">
        <v>27</v>
      </c>
      <c r="I671" s="330">
        <v>141617.66</v>
      </c>
      <c r="J671" s="330"/>
      <c r="K671" s="326" t="s">
        <v>22</v>
      </c>
      <c r="L671" s="327">
        <v>9281943.5299999993</v>
      </c>
    </row>
    <row r="672" spans="1:12" ht="51" x14ac:dyDescent="0.3">
      <c r="A672" s="321" t="s">
        <v>85</v>
      </c>
      <c r="B672" s="322" t="s">
        <v>1264</v>
      </c>
      <c r="C672" s="322" t="s">
        <v>174</v>
      </c>
      <c r="D672" s="322" t="s">
        <v>1304</v>
      </c>
      <c r="E672" s="323" t="s">
        <v>175</v>
      </c>
      <c r="F672" s="329" t="s">
        <v>29</v>
      </c>
      <c r="G672" s="329"/>
      <c r="H672" s="323" t="s">
        <v>27</v>
      </c>
      <c r="I672" s="330">
        <v>4196.88</v>
      </c>
      <c r="J672" s="330"/>
      <c r="K672" s="326" t="s">
        <v>22</v>
      </c>
      <c r="L672" s="327">
        <v>9277746.6500000004</v>
      </c>
    </row>
    <row r="673" spans="1:12" ht="51" x14ac:dyDescent="0.3">
      <c r="A673" s="321" t="s">
        <v>85</v>
      </c>
      <c r="B673" s="322" t="s">
        <v>1264</v>
      </c>
      <c r="C673" s="322" t="s">
        <v>174</v>
      </c>
      <c r="D673" s="322" t="s">
        <v>1179</v>
      </c>
      <c r="E673" s="323" t="s">
        <v>175</v>
      </c>
      <c r="F673" s="329" t="s">
        <v>29</v>
      </c>
      <c r="G673" s="329"/>
      <c r="H673" s="323" t="s">
        <v>27</v>
      </c>
      <c r="I673" s="330">
        <v>68065.34</v>
      </c>
      <c r="J673" s="330"/>
      <c r="K673" s="326" t="s">
        <v>22</v>
      </c>
      <c r="L673" s="327">
        <v>9209681.3100000005</v>
      </c>
    </row>
    <row r="674" spans="1:12" ht="61.2" x14ac:dyDescent="0.3">
      <c r="A674" s="321" t="s">
        <v>85</v>
      </c>
      <c r="B674" s="322" t="s">
        <v>1264</v>
      </c>
      <c r="C674" s="322" t="s">
        <v>174</v>
      </c>
      <c r="D674" s="322" t="s">
        <v>1305</v>
      </c>
      <c r="E674" s="323" t="s">
        <v>175</v>
      </c>
      <c r="F674" s="329" t="s">
        <v>29</v>
      </c>
      <c r="G674" s="329"/>
      <c r="H674" s="323" t="s">
        <v>27</v>
      </c>
      <c r="I674" s="330">
        <v>69618.25</v>
      </c>
      <c r="J674" s="330"/>
      <c r="K674" s="326" t="s">
        <v>22</v>
      </c>
      <c r="L674" s="327">
        <v>9140063.0600000005</v>
      </c>
    </row>
    <row r="675" spans="1:12" ht="61.2" x14ac:dyDescent="0.3">
      <c r="A675" s="321" t="s">
        <v>85</v>
      </c>
      <c r="B675" s="322" t="s">
        <v>1264</v>
      </c>
      <c r="C675" s="322" t="s">
        <v>174</v>
      </c>
      <c r="D675" s="322" t="s">
        <v>1306</v>
      </c>
      <c r="E675" s="323" t="s">
        <v>175</v>
      </c>
      <c r="F675" s="329" t="s">
        <v>29</v>
      </c>
      <c r="G675" s="329"/>
      <c r="H675" s="323" t="s">
        <v>27</v>
      </c>
      <c r="I675" s="330">
        <v>25112.5</v>
      </c>
      <c r="J675" s="330"/>
      <c r="K675" s="326" t="s">
        <v>22</v>
      </c>
      <c r="L675" s="327">
        <v>9114950.5600000005</v>
      </c>
    </row>
    <row r="676" spans="1:12" ht="51" x14ac:dyDescent="0.3">
      <c r="A676" s="321" t="s">
        <v>85</v>
      </c>
      <c r="B676" s="322" t="s">
        <v>1264</v>
      </c>
      <c r="C676" s="322" t="s">
        <v>174</v>
      </c>
      <c r="D676" s="322" t="s">
        <v>1180</v>
      </c>
      <c r="E676" s="323" t="s">
        <v>175</v>
      </c>
      <c r="F676" s="329" t="s">
        <v>29</v>
      </c>
      <c r="G676" s="329"/>
      <c r="H676" s="323" t="s">
        <v>27</v>
      </c>
      <c r="I676" s="330">
        <v>3898.78</v>
      </c>
      <c r="J676" s="330"/>
      <c r="K676" s="326" t="s">
        <v>22</v>
      </c>
      <c r="L676" s="327">
        <v>9111051.7799999993</v>
      </c>
    </row>
    <row r="677" spans="1:12" ht="51" x14ac:dyDescent="0.3">
      <c r="A677" s="321" t="s">
        <v>85</v>
      </c>
      <c r="B677" s="322" t="s">
        <v>1264</v>
      </c>
      <c r="C677" s="322" t="s">
        <v>174</v>
      </c>
      <c r="D677" s="322" t="s">
        <v>1285</v>
      </c>
      <c r="E677" s="323" t="s">
        <v>175</v>
      </c>
      <c r="F677" s="329" t="s">
        <v>29</v>
      </c>
      <c r="G677" s="329"/>
      <c r="H677" s="323" t="s">
        <v>27</v>
      </c>
      <c r="I677" s="330">
        <v>12134.85</v>
      </c>
      <c r="J677" s="330"/>
      <c r="K677" s="326" t="s">
        <v>22</v>
      </c>
      <c r="L677" s="327">
        <v>9098916.9299999997</v>
      </c>
    </row>
    <row r="678" spans="1:12" ht="51" x14ac:dyDescent="0.3">
      <c r="A678" s="321" t="s">
        <v>85</v>
      </c>
      <c r="B678" s="322" t="s">
        <v>1264</v>
      </c>
      <c r="C678" s="322" t="s">
        <v>174</v>
      </c>
      <c r="D678" s="322" t="s">
        <v>946</v>
      </c>
      <c r="E678" s="323" t="s">
        <v>175</v>
      </c>
      <c r="F678" s="329" t="s">
        <v>29</v>
      </c>
      <c r="G678" s="329"/>
      <c r="H678" s="323" t="s">
        <v>27</v>
      </c>
      <c r="I678" s="330">
        <v>63764.87</v>
      </c>
      <c r="J678" s="330"/>
      <c r="K678" s="326" t="s">
        <v>22</v>
      </c>
      <c r="L678" s="327">
        <v>9035152.0600000005</v>
      </c>
    </row>
    <row r="679" spans="1:12" ht="51" x14ac:dyDescent="0.3">
      <c r="A679" s="321" t="s">
        <v>85</v>
      </c>
      <c r="B679" s="322" t="s">
        <v>1264</v>
      </c>
      <c r="C679" s="322" t="s">
        <v>174</v>
      </c>
      <c r="D679" s="322" t="s">
        <v>1169</v>
      </c>
      <c r="E679" s="323" t="s">
        <v>175</v>
      </c>
      <c r="F679" s="329" t="s">
        <v>29</v>
      </c>
      <c r="G679" s="329"/>
      <c r="H679" s="323" t="s">
        <v>27</v>
      </c>
      <c r="I679" s="330">
        <v>75893.91</v>
      </c>
      <c r="J679" s="330"/>
      <c r="K679" s="326" t="s">
        <v>22</v>
      </c>
      <c r="L679" s="327">
        <v>8959258.1500000004</v>
      </c>
    </row>
    <row r="680" spans="1:12" ht="51" x14ac:dyDescent="0.3">
      <c r="A680" s="321" t="s">
        <v>85</v>
      </c>
      <c r="B680" s="322" t="s">
        <v>1264</v>
      </c>
      <c r="C680" s="322" t="s">
        <v>174</v>
      </c>
      <c r="D680" s="322" t="s">
        <v>1307</v>
      </c>
      <c r="E680" s="323" t="s">
        <v>175</v>
      </c>
      <c r="F680" s="329" t="s">
        <v>29</v>
      </c>
      <c r="G680" s="329"/>
      <c r="H680" s="323" t="s">
        <v>27</v>
      </c>
      <c r="I680" s="330">
        <v>5356</v>
      </c>
      <c r="J680" s="330"/>
      <c r="K680" s="326" t="s">
        <v>22</v>
      </c>
      <c r="L680" s="327">
        <v>8953902.1500000004</v>
      </c>
    </row>
    <row r="681" spans="1:12" ht="61.2" x14ac:dyDescent="0.3">
      <c r="A681" s="321" t="s">
        <v>85</v>
      </c>
      <c r="B681" s="322" t="s">
        <v>1264</v>
      </c>
      <c r="C681" s="322" t="s">
        <v>174</v>
      </c>
      <c r="D681" s="322" t="s">
        <v>1288</v>
      </c>
      <c r="E681" s="323" t="s">
        <v>175</v>
      </c>
      <c r="F681" s="329" t="s">
        <v>29</v>
      </c>
      <c r="G681" s="329"/>
      <c r="H681" s="323" t="s">
        <v>27</v>
      </c>
      <c r="I681" s="330">
        <v>1690</v>
      </c>
      <c r="J681" s="330"/>
      <c r="K681" s="326" t="s">
        <v>22</v>
      </c>
      <c r="L681" s="327">
        <v>8952212.1500000004</v>
      </c>
    </row>
    <row r="682" spans="1:12" ht="51" x14ac:dyDescent="0.3">
      <c r="A682" s="321" t="s">
        <v>85</v>
      </c>
      <c r="B682" s="322" t="s">
        <v>1264</v>
      </c>
      <c r="C682" s="322" t="s">
        <v>174</v>
      </c>
      <c r="D682" s="322" t="s">
        <v>1308</v>
      </c>
      <c r="E682" s="323" t="s">
        <v>175</v>
      </c>
      <c r="F682" s="329" t="s">
        <v>29</v>
      </c>
      <c r="G682" s="329"/>
      <c r="H682" s="323" t="s">
        <v>27</v>
      </c>
      <c r="I682" s="330">
        <v>121137.62</v>
      </c>
      <c r="J682" s="330"/>
      <c r="K682" s="326" t="s">
        <v>22</v>
      </c>
      <c r="L682" s="327">
        <v>8831074.5299999993</v>
      </c>
    </row>
    <row r="683" spans="1:12" ht="51" x14ac:dyDescent="0.3">
      <c r="A683" s="321" t="s">
        <v>85</v>
      </c>
      <c r="B683" s="322" t="s">
        <v>1264</v>
      </c>
      <c r="C683" s="322" t="s">
        <v>174</v>
      </c>
      <c r="D683" s="322" t="s">
        <v>1309</v>
      </c>
      <c r="E683" s="323" t="s">
        <v>175</v>
      </c>
      <c r="F683" s="329" t="s">
        <v>29</v>
      </c>
      <c r="G683" s="329"/>
      <c r="H683" s="323" t="s">
        <v>27</v>
      </c>
      <c r="I683" s="330">
        <v>37235.910000000003</v>
      </c>
      <c r="J683" s="330"/>
      <c r="K683" s="326" t="s">
        <v>22</v>
      </c>
      <c r="L683" s="327">
        <v>8793838.6199999992</v>
      </c>
    </row>
    <row r="684" spans="1:12" ht="51" x14ac:dyDescent="0.3">
      <c r="A684" s="321" t="s">
        <v>85</v>
      </c>
      <c r="B684" s="322" t="s">
        <v>1264</v>
      </c>
      <c r="C684" s="322" t="s">
        <v>174</v>
      </c>
      <c r="D684" s="322" t="s">
        <v>1309</v>
      </c>
      <c r="E684" s="323" t="s">
        <v>175</v>
      </c>
      <c r="F684" s="329" t="s">
        <v>29</v>
      </c>
      <c r="G684" s="329"/>
      <c r="H684" s="323" t="s">
        <v>27</v>
      </c>
      <c r="I684" s="330">
        <v>476813.14</v>
      </c>
      <c r="J684" s="330"/>
      <c r="K684" s="326" t="s">
        <v>22</v>
      </c>
      <c r="L684" s="327">
        <v>8317025.4800000004</v>
      </c>
    </row>
    <row r="685" spans="1:12" ht="51" x14ac:dyDescent="0.3">
      <c r="A685" s="321" t="s">
        <v>85</v>
      </c>
      <c r="B685" s="322" t="s">
        <v>1264</v>
      </c>
      <c r="C685" s="322" t="s">
        <v>174</v>
      </c>
      <c r="D685" s="322" t="s">
        <v>1310</v>
      </c>
      <c r="E685" s="323" t="s">
        <v>175</v>
      </c>
      <c r="F685" s="329" t="s">
        <v>29</v>
      </c>
      <c r="G685" s="329"/>
      <c r="H685" s="323" t="s">
        <v>27</v>
      </c>
      <c r="I685" s="330">
        <v>221722.94</v>
      </c>
      <c r="J685" s="330"/>
      <c r="K685" s="326" t="s">
        <v>22</v>
      </c>
      <c r="L685" s="327">
        <v>8095302.54</v>
      </c>
    </row>
    <row r="686" spans="1:12" ht="51" x14ac:dyDescent="0.3">
      <c r="A686" s="321" t="s">
        <v>85</v>
      </c>
      <c r="B686" s="322" t="s">
        <v>1264</v>
      </c>
      <c r="C686" s="322" t="s">
        <v>174</v>
      </c>
      <c r="D686" s="322" t="s">
        <v>1311</v>
      </c>
      <c r="E686" s="323" t="s">
        <v>175</v>
      </c>
      <c r="F686" s="329" t="s">
        <v>29</v>
      </c>
      <c r="G686" s="329"/>
      <c r="H686" s="323" t="s">
        <v>27</v>
      </c>
      <c r="I686" s="330">
        <v>6476.93</v>
      </c>
      <c r="J686" s="330"/>
      <c r="K686" s="326" t="s">
        <v>22</v>
      </c>
      <c r="L686" s="327">
        <v>8088825.6100000003</v>
      </c>
    </row>
    <row r="687" spans="1:12" ht="51" x14ac:dyDescent="0.3">
      <c r="A687" s="321" t="s">
        <v>85</v>
      </c>
      <c r="B687" s="322" t="s">
        <v>1264</v>
      </c>
      <c r="C687" s="322" t="s">
        <v>174</v>
      </c>
      <c r="D687" s="322" t="s">
        <v>1175</v>
      </c>
      <c r="E687" s="323" t="s">
        <v>175</v>
      </c>
      <c r="F687" s="329" t="s">
        <v>29</v>
      </c>
      <c r="G687" s="329"/>
      <c r="H687" s="323" t="s">
        <v>27</v>
      </c>
      <c r="I687" s="330">
        <v>7965.02</v>
      </c>
      <c r="J687" s="330"/>
      <c r="K687" s="326" t="s">
        <v>22</v>
      </c>
      <c r="L687" s="327">
        <v>8080860.5899999999</v>
      </c>
    </row>
    <row r="688" spans="1:12" ht="51" x14ac:dyDescent="0.3">
      <c r="A688" s="321" t="s">
        <v>85</v>
      </c>
      <c r="B688" s="322" t="s">
        <v>1264</v>
      </c>
      <c r="C688" s="322" t="s">
        <v>174</v>
      </c>
      <c r="D688" s="322" t="s">
        <v>1292</v>
      </c>
      <c r="E688" s="323" t="s">
        <v>175</v>
      </c>
      <c r="F688" s="329" t="s">
        <v>29</v>
      </c>
      <c r="G688" s="329"/>
      <c r="H688" s="323" t="s">
        <v>27</v>
      </c>
      <c r="I688" s="330">
        <v>2668.82</v>
      </c>
      <c r="J688" s="330"/>
      <c r="K688" s="326" t="s">
        <v>22</v>
      </c>
      <c r="L688" s="327">
        <v>8078191.7699999996</v>
      </c>
    </row>
    <row r="689" spans="1:12" ht="61.2" x14ac:dyDescent="0.3">
      <c r="A689" s="321" t="s">
        <v>85</v>
      </c>
      <c r="B689" s="322" t="s">
        <v>1264</v>
      </c>
      <c r="C689" s="322" t="s">
        <v>174</v>
      </c>
      <c r="D689" s="322" t="s">
        <v>1312</v>
      </c>
      <c r="E689" s="323" t="s">
        <v>175</v>
      </c>
      <c r="F689" s="329" t="s">
        <v>29</v>
      </c>
      <c r="G689" s="329"/>
      <c r="H689" s="323" t="s">
        <v>27</v>
      </c>
      <c r="I689" s="330">
        <v>30686.25</v>
      </c>
      <c r="J689" s="330"/>
      <c r="K689" s="326" t="s">
        <v>22</v>
      </c>
      <c r="L689" s="327">
        <v>8047505.5199999996</v>
      </c>
    </row>
    <row r="690" spans="1:12" ht="61.2" x14ac:dyDescent="0.3">
      <c r="A690" s="321" t="s">
        <v>85</v>
      </c>
      <c r="B690" s="322" t="s">
        <v>1264</v>
      </c>
      <c r="C690" s="322" t="s">
        <v>174</v>
      </c>
      <c r="D690" s="322" t="s">
        <v>1312</v>
      </c>
      <c r="E690" s="323" t="s">
        <v>175</v>
      </c>
      <c r="F690" s="329" t="s">
        <v>29</v>
      </c>
      <c r="G690" s="329"/>
      <c r="H690" s="323" t="s">
        <v>27</v>
      </c>
      <c r="I690" s="330">
        <v>3799.25</v>
      </c>
      <c r="J690" s="330"/>
      <c r="K690" s="326" t="s">
        <v>22</v>
      </c>
      <c r="L690" s="327">
        <v>8043706.2699999996</v>
      </c>
    </row>
    <row r="691" spans="1:12" ht="61.2" x14ac:dyDescent="0.3">
      <c r="A691" s="321" t="s">
        <v>85</v>
      </c>
      <c r="B691" s="322" t="s">
        <v>1264</v>
      </c>
      <c r="C691" s="322" t="s">
        <v>174</v>
      </c>
      <c r="D691" s="322" t="s">
        <v>1300</v>
      </c>
      <c r="E691" s="323" t="s">
        <v>175</v>
      </c>
      <c r="F691" s="329" t="s">
        <v>29</v>
      </c>
      <c r="G691" s="329"/>
      <c r="H691" s="323" t="s">
        <v>27</v>
      </c>
      <c r="I691" s="330">
        <v>16699.669999999998</v>
      </c>
      <c r="J691" s="330"/>
      <c r="K691" s="326" t="s">
        <v>22</v>
      </c>
      <c r="L691" s="327">
        <v>8027006.5999999996</v>
      </c>
    </row>
    <row r="692" spans="1:12" ht="61.2" x14ac:dyDescent="0.3">
      <c r="A692" s="321" t="s">
        <v>85</v>
      </c>
      <c r="B692" s="322" t="s">
        <v>1264</v>
      </c>
      <c r="C692" s="322" t="s">
        <v>174</v>
      </c>
      <c r="D692" s="322" t="s">
        <v>1313</v>
      </c>
      <c r="E692" s="323" t="s">
        <v>175</v>
      </c>
      <c r="F692" s="329" t="s">
        <v>29</v>
      </c>
      <c r="G692" s="329"/>
      <c r="H692" s="323" t="s">
        <v>27</v>
      </c>
      <c r="I692" s="330">
        <v>52905.67</v>
      </c>
      <c r="J692" s="330"/>
      <c r="K692" s="326" t="s">
        <v>22</v>
      </c>
      <c r="L692" s="327">
        <v>7974100.9299999997</v>
      </c>
    </row>
    <row r="693" spans="1:12" ht="61.2" x14ac:dyDescent="0.3">
      <c r="A693" s="321" t="s">
        <v>85</v>
      </c>
      <c r="B693" s="322" t="s">
        <v>1264</v>
      </c>
      <c r="C693" s="322" t="s">
        <v>174</v>
      </c>
      <c r="D693" s="322" t="s">
        <v>1314</v>
      </c>
      <c r="E693" s="323" t="s">
        <v>175</v>
      </c>
      <c r="F693" s="329" t="s">
        <v>29</v>
      </c>
      <c r="G693" s="329"/>
      <c r="H693" s="323" t="s">
        <v>27</v>
      </c>
      <c r="I693" s="330">
        <v>159342.9</v>
      </c>
      <c r="J693" s="330"/>
      <c r="K693" s="326" t="s">
        <v>22</v>
      </c>
      <c r="L693" s="327">
        <v>7814758.0300000003</v>
      </c>
    </row>
    <row r="694" spans="1:12" ht="51" x14ac:dyDescent="0.3">
      <c r="A694" s="321" t="s">
        <v>85</v>
      </c>
      <c r="B694" s="322" t="s">
        <v>1264</v>
      </c>
      <c r="C694" s="322" t="s">
        <v>174</v>
      </c>
      <c r="D694" s="322" t="s">
        <v>1179</v>
      </c>
      <c r="E694" s="323" t="s">
        <v>175</v>
      </c>
      <c r="F694" s="329" t="s">
        <v>29</v>
      </c>
      <c r="G694" s="329"/>
      <c r="H694" s="323" t="s">
        <v>27</v>
      </c>
      <c r="I694" s="330">
        <v>91482.31</v>
      </c>
      <c r="J694" s="330"/>
      <c r="K694" s="326" t="s">
        <v>22</v>
      </c>
      <c r="L694" s="327">
        <v>7723275.7199999997</v>
      </c>
    </row>
    <row r="695" spans="1:12" ht="51" x14ac:dyDescent="0.3">
      <c r="A695" s="321" t="s">
        <v>85</v>
      </c>
      <c r="B695" s="322" t="s">
        <v>1264</v>
      </c>
      <c r="C695" s="322" t="s">
        <v>174</v>
      </c>
      <c r="D695" s="322" t="s">
        <v>1179</v>
      </c>
      <c r="E695" s="323" t="s">
        <v>175</v>
      </c>
      <c r="F695" s="329" t="s">
        <v>29</v>
      </c>
      <c r="G695" s="329"/>
      <c r="H695" s="323" t="s">
        <v>27</v>
      </c>
      <c r="I695" s="330">
        <v>80242.17</v>
      </c>
      <c r="J695" s="330"/>
      <c r="K695" s="326" t="s">
        <v>22</v>
      </c>
      <c r="L695" s="327">
        <v>7643033.5499999998</v>
      </c>
    </row>
    <row r="696" spans="1:12" ht="51" x14ac:dyDescent="0.3">
      <c r="A696" s="321" t="s">
        <v>85</v>
      </c>
      <c r="B696" s="322" t="s">
        <v>1264</v>
      </c>
      <c r="C696" s="322" t="s">
        <v>174</v>
      </c>
      <c r="D696" s="322" t="s">
        <v>1304</v>
      </c>
      <c r="E696" s="323" t="s">
        <v>175</v>
      </c>
      <c r="F696" s="329" t="s">
        <v>29</v>
      </c>
      <c r="G696" s="329"/>
      <c r="H696" s="323" t="s">
        <v>27</v>
      </c>
      <c r="I696" s="330">
        <v>95968.55</v>
      </c>
      <c r="J696" s="330"/>
      <c r="K696" s="326" t="s">
        <v>22</v>
      </c>
      <c r="L696" s="327">
        <v>7547065</v>
      </c>
    </row>
    <row r="697" spans="1:12" ht="61.2" x14ac:dyDescent="0.3">
      <c r="A697" s="321" t="s">
        <v>85</v>
      </c>
      <c r="B697" s="322" t="s">
        <v>1264</v>
      </c>
      <c r="C697" s="322" t="s">
        <v>174</v>
      </c>
      <c r="D697" s="322" t="s">
        <v>1306</v>
      </c>
      <c r="E697" s="323" t="s">
        <v>175</v>
      </c>
      <c r="F697" s="329" t="s">
        <v>29</v>
      </c>
      <c r="G697" s="329"/>
      <c r="H697" s="323" t="s">
        <v>27</v>
      </c>
      <c r="I697" s="330">
        <v>68845.850000000006</v>
      </c>
      <c r="J697" s="330"/>
      <c r="K697" s="326" t="s">
        <v>22</v>
      </c>
      <c r="L697" s="327">
        <v>7478219.1500000004</v>
      </c>
    </row>
    <row r="698" spans="1:12" ht="61.2" x14ac:dyDescent="0.3">
      <c r="A698" s="321" t="s">
        <v>85</v>
      </c>
      <c r="B698" s="322" t="s">
        <v>1264</v>
      </c>
      <c r="C698" s="322" t="s">
        <v>174</v>
      </c>
      <c r="D698" s="322" t="s">
        <v>1306</v>
      </c>
      <c r="E698" s="323" t="s">
        <v>175</v>
      </c>
      <c r="F698" s="329" t="s">
        <v>29</v>
      </c>
      <c r="G698" s="329"/>
      <c r="H698" s="323" t="s">
        <v>27</v>
      </c>
      <c r="I698" s="330">
        <v>2596.67</v>
      </c>
      <c r="J698" s="330"/>
      <c r="K698" s="326" t="s">
        <v>22</v>
      </c>
      <c r="L698" s="327">
        <v>7475622.4800000004</v>
      </c>
    </row>
    <row r="699" spans="1:12" ht="51" x14ac:dyDescent="0.3">
      <c r="A699" s="321" t="s">
        <v>85</v>
      </c>
      <c r="B699" s="322" t="s">
        <v>1264</v>
      </c>
      <c r="C699" s="322" t="s">
        <v>174</v>
      </c>
      <c r="D699" s="322" t="s">
        <v>1285</v>
      </c>
      <c r="E699" s="323" t="s">
        <v>175</v>
      </c>
      <c r="F699" s="329" t="s">
        <v>29</v>
      </c>
      <c r="G699" s="329"/>
      <c r="H699" s="323" t="s">
        <v>27</v>
      </c>
      <c r="I699" s="330">
        <v>23123.1</v>
      </c>
      <c r="J699" s="330"/>
      <c r="K699" s="326" t="s">
        <v>22</v>
      </c>
      <c r="L699" s="327">
        <v>7452499.3799999999</v>
      </c>
    </row>
    <row r="700" spans="1:12" ht="51" x14ac:dyDescent="0.3">
      <c r="A700" s="321" t="s">
        <v>85</v>
      </c>
      <c r="B700" s="322" t="s">
        <v>1264</v>
      </c>
      <c r="C700" s="322" t="s">
        <v>174</v>
      </c>
      <c r="D700" s="322" t="s">
        <v>1196</v>
      </c>
      <c r="E700" s="323" t="s">
        <v>175</v>
      </c>
      <c r="F700" s="329" t="s">
        <v>29</v>
      </c>
      <c r="G700" s="329"/>
      <c r="H700" s="323" t="s">
        <v>27</v>
      </c>
      <c r="I700" s="330">
        <v>21626.51</v>
      </c>
      <c r="J700" s="330"/>
      <c r="K700" s="326" t="s">
        <v>22</v>
      </c>
      <c r="L700" s="327">
        <v>7430872.8700000001</v>
      </c>
    </row>
    <row r="701" spans="1:12" ht="61.2" hidden="1" x14ac:dyDescent="0.3">
      <c r="A701" s="321" t="s">
        <v>85</v>
      </c>
      <c r="B701" s="322" t="s">
        <v>927</v>
      </c>
      <c r="C701" s="322" t="s">
        <v>928</v>
      </c>
      <c r="D701" s="322" t="s">
        <v>860</v>
      </c>
      <c r="E701" s="323" t="s">
        <v>27</v>
      </c>
      <c r="F701" s="324">
        <v>16160</v>
      </c>
      <c r="G701" s="324"/>
      <c r="H701" s="323" t="s">
        <v>27</v>
      </c>
      <c r="I701" s="325" t="s">
        <v>29</v>
      </c>
      <c r="J701" s="325"/>
      <c r="K701" s="326" t="s">
        <v>22</v>
      </c>
      <c r="L701" s="327">
        <v>7447032.8700000001</v>
      </c>
    </row>
    <row r="702" spans="1:12" ht="71.400000000000006" hidden="1" x14ac:dyDescent="0.3">
      <c r="A702" s="321" t="s">
        <v>85</v>
      </c>
      <c r="B702" s="322" t="s">
        <v>747</v>
      </c>
      <c r="C702" s="322" t="s">
        <v>748</v>
      </c>
      <c r="D702" s="322" t="s">
        <v>749</v>
      </c>
      <c r="E702" s="323" t="s">
        <v>27</v>
      </c>
      <c r="F702" s="324">
        <v>27170</v>
      </c>
      <c r="G702" s="324"/>
      <c r="H702" s="323" t="s">
        <v>27</v>
      </c>
      <c r="I702" s="325" t="s">
        <v>29</v>
      </c>
      <c r="J702" s="325"/>
      <c r="K702" s="326" t="s">
        <v>22</v>
      </c>
      <c r="L702" s="327">
        <v>7474202.8700000001</v>
      </c>
    </row>
    <row r="703" spans="1:12" ht="61.2" hidden="1" x14ac:dyDescent="0.3">
      <c r="A703" s="321" t="s">
        <v>85</v>
      </c>
      <c r="B703" s="322" t="s">
        <v>697</v>
      </c>
      <c r="C703" s="322" t="s">
        <v>698</v>
      </c>
      <c r="D703" s="322" t="s">
        <v>699</v>
      </c>
      <c r="E703" s="323" t="s">
        <v>27</v>
      </c>
      <c r="F703" s="324">
        <v>2128</v>
      </c>
      <c r="G703" s="324"/>
      <c r="H703" s="323" t="s">
        <v>27</v>
      </c>
      <c r="I703" s="325" t="s">
        <v>29</v>
      </c>
      <c r="J703" s="325"/>
      <c r="K703" s="326" t="s">
        <v>22</v>
      </c>
      <c r="L703" s="327">
        <v>7476330.8700000001</v>
      </c>
    </row>
    <row r="704" spans="1:12" ht="51" hidden="1" x14ac:dyDescent="0.3">
      <c r="A704" s="321" t="s">
        <v>85</v>
      </c>
      <c r="B704" s="322" t="s">
        <v>168</v>
      </c>
      <c r="C704" s="322" t="s">
        <v>140</v>
      </c>
      <c r="D704" s="322" t="s">
        <v>169</v>
      </c>
      <c r="E704" s="323" t="s">
        <v>27</v>
      </c>
      <c r="F704" s="329" t="s">
        <v>29</v>
      </c>
      <c r="G704" s="329"/>
      <c r="H704" s="323" t="s">
        <v>27</v>
      </c>
      <c r="I704" s="330">
        <v>5950.99</v>
      </c>
      <c r="J704" s="330"/>
      <c r="K704" s="326" t="s">
        <v>22</v>
      </c>
      <c r="L704" s="327">
        <v>7470379.8799999999</v>
      </c>
    </row>
    <row r="705" spans="1:12" ht="51" x14ac:dyDescent="0.3">
      <c r="A705" s="321" t="s">
        <v>85</v>
      </c>
      <c r="B705" s="322" t="s">
        <v>1315</v>
      </c>
      <c r="C705" s="322" t="s">
        <v>174</v>
      </c>
      <c r="D705" s="322" t="s">
        <v>169</v>
      </c>
      <c r="E705" s="323" t="s">
        <v>175</v>
      </c>
      <c r="F705" s="329" t="s">
        <v>29</v>
      </c>
      <c r="G705" s="329"/>
      <c r="H705" s="323" t="s">
        <v>27</v>
      </c>
      <c r="I705" s="330">
        <v>47330.21</v>
      </c>
      <c r="J705" s="330"/>
      <c r="K705" s="326" t="s">
        <v>22</v>
      </c>
      <c r="L705" s="327">
        <v>7423049.6699999999</v>
      </c>
    </row>
    <row r="706" spans="1:12" ht="61.2" x14ac:dyDescent="0.3">
      <c r="A706" s="321" t="s">
        <v>85</v>
      </c>
      <c r="B706" s="322" t="s">
        <v>1315</v>
      </c>
      <c r="C706" s="322" t="s">
        <v>174</v>
      </c>
      <c r="D706" s="322" t="s">
        <v>1220</v>
      </c>
      <c r="E706" s="323" t="s">
        <v>175</v>
      </c>
      <c r="F706" s="329" t="s">
        <v>29</v>
      </c>
      <c r="G706" s="329"/>
      <c r="H706" s="323" t="s">
        <v>27</v>
      </c>
      <c r="I706" s="331">
        <v>816.15</v>
      </c>
      <c r="J706" s="331"/>
      <c r="K706" s="326" t="s">
        <v>22</v>
      </c>
      <c r="L706" s="327">
        <v>7422233.5199999996</v>
      </c>
    </row>
    <row r="707" spans="1:12" ht="61.2" x14ac:dyDescent="0.3">
      <c r="A707" s="321" t="s">
        <v>85</v>
      </c>
      <c r="B707" s="322" t="s">
        <v>1315</v>
      </c>
      <c r="C707" s="322" t="s">
        <v>174</v>
      </c>
      <c r="D707" s="322" t="s">
        <v>698</v>
      </c>
      <c r="E707" s="323" t="s">
        <v>175</v>
      </c>
      <c r="F707" s="329" t="s">
        <v>29</v>
      </c>
      <c r="G707" s="329"/>
      <c r="H707" s="323" t="s">
        <v>27</v>
      </c>
      <c r="I707" s="330">
        <v>2128</v>
      </c>
      <c r="J707" s="330"/>
      <c r="K707" s="326" t="s">
        <v>22</v>
      </c>
      <c r="L707" s="327">
        <v>7420105.5199999996</v>
      </c>
    </row>
    <row r="708" spans="1:12" ht="61.2" x14ac:dyDescent="0.3">
      <c r="A708" s="321" t="s">
        <v>85</v>
      </c>
      <c r="B708" s="322" t="s">
        <v>1315</v>
      </c>
      <c r="C708" s="322" t="s">
        <v>174</v>
      </c>
      <c r="D708" s="322" t="s">
        <v>748</v>
      </c>
      <c r="E708" s="323" t="s">
        <v>175</v>
      </c>
      <c r="F708" s="329" t="s">
        <v>29</v>
      </c>
      <c r="G708" s="329"/>
      <c r="H708" s="323" t="s">
        <v>27</v>
      </c>
      <c r="I708" s="330">
        <v>14165</v>
      </c>
      <c r="J708" s="330"/>
      <c r="K708" s="326" t="s">
        <v>22</v>
      </c>
      <c r="L708" s="327">
        <v>7405940.5199999996</v>
      </c>
    </row>
    <row r="709" spans="1:12" ht="61.2" x14ac:dyDescent="0.3">
      <c r="A709" s="321" t="s">
        <v>85</v>
      </c>
      <c r="B709" s="322" t="s">
        <v>1315</v>
      </c>
      <c r="C709" s="322" t="s">
        <v>174</v>
      </c>
      <c r="D709" s="322" t="s">
        <v>748</v>
      </c>
      <c r="E709" s="323" t="s">
        <v>175</v>
      </c>
      <c r="F709" s="329" t="s">
        <v>29</v>
      </c>
      <c r="G709" s="329"/>
      <c r="H709" s="323" t="s">
        <v>27</v>
      </c>
      <c r="I709" s="330">
        <v>13005</v>
      </c>
      <c r="J709" s="330"/>
      <c r="K709" s="326" t="s">
        <v>22</v>
      </c>
      <c r="L709" s="327">
        <v>7392935.5199999996</v>
      </c>
    </row>
    <row r="710" spans="1:12" ht="61.2" x14ac:dyDescent="0.3">
      <c r="A710" s="321" t="s">
        <v>85</v>
      </c>
      <c r="B710" s="322" t="s">
        <v>1315</v>
      </c>
      <c r="C710" s="322" t="s">
        <v>174</v>
      </c>
      <c r="D710" s="322" t="s">
        <v>928</v>
      </c>
      <c r="E710" s="323" t="s">
        <v>175</v>
      </c>
      <c r="F710" s="329" t="s">
        <v>29</v>
      </c>
      <c r="G710" s="329"/>
      <c r="H710" s="323" t="s">
        <v>27</v>
      </c>
      <c r="I710" s="330">
        <v>14165</v>
      </c>
      <c r="J710" s="330"/>
      <c r="K710" s="326" t="s">
        <v>22</v>
      </c>
      <c r="L710" s="327">
        <v>7378770.5199999996</v>
      </c>
    </row>
    <row r="711" spans="1:12" ht="61.2" x14ac:dyDescent="0.3">
      <c r="A711" s="321" t="s">
        <v>85</v>
      </c>
      <c r="B711" s="322" t="s">
        <v>1315</v>
      </c>
      <c r="C711" s="322" t="s">
        <v>174</v>
      </c>
      <c r="D711" s="322" t="s">
        <v>928</v>
      </c>
      <c r="E711" s="323" t="s">
        <v>175</v>
      </c>
      <c r="F711" s="329" t="s">
        <v>29</v>
      </c>
      <c r="G711" s="329"/>
      <c r="H711" s="323" t="s">
        <v>27</v>
      </c>
      <c r="I711" s="330">
        <v>1995</v>
      </c>
      <c r="J711" s="330"/>
      <c r="K711" s="326" t="s">
        <v>22</v>
      </c>
      <c r="L711" s="327">
        <v>7376775.5199999996</v>
      </c>
    </row>
    <row r="712" spans="1:12" ht="51" x14ac:dyDescent="0.3">
      <c r="A712" s="321" t="s">
        <v>85</v>
      </c>
      <c r="B712" s="322" t="s">
        <v>1316</v>
      </c>
      <c r="C712" s="322" t="s">
        <v>174</v>
      </c>
      <c r="D712" s="322" t="s">
        <v>379</v>
      </c>
      <c r="E712" s="323" t="s">
        <v>175</v>
      </c>
      <c r="F712" s="329" t="s">
        <v>29</v>
      </c>
      <c r="G712" s="329"/>
      <c r="H712" s="323" t="s">
        <v>27</v>
      </c>
      <c r="I712" s="331">
        <v>810</v>
      </c>
      <c r="J712" s="331"/>
      <c r="K712" s="326" t="s">
        <v>22</v>
      </c>
      <c r="L712" s="327">
        <v>7375965.5199999996</v>
      </c>
    </row>
    <row r="713" spans="1:12" ht="51" x14ac:dyDescent="0.3">
      <c r="A713" s="321" t="s">
        <v>85</v>
      </c>
      <c r="B713" s="322" t="s">
        <v>1316</v>
      </c>
      <c r="C713" s="322" t="s">
        <v>174</v>
      </c>
      <c r="D713" s="322" t="s">
        <v>381</v>
      </c>
      <c r="E713" s="323" t="s">
        <v>175</v>
      </c>
      <c r="F713" s="329" t="s">
        <v>29</v>
      </c>
      <c r="G713" s="329"/>
      <c r="H713" s="323" t="s">
        <v>27</v>
      </c>
      <c r="I713" s="331">
        <v>125.38</v>
      </c>
      <c r="J713" s="331"/>
      <c r="K713" s="326" t="s">
        <v>22</v>
      </c>
      <c r="L713" s="327">
        <v>7375840.1399999997</v>
      </c>
    </row>
    <row r="714" spans="1:12" ht="51" x14ac:dyDescent="0.3">
      <c r="A714" s="321" t="s">
        <v>85</v>
      </c>
      <c r="B714" s="322" t="s">
        <v>1316</v>
      </c>
      <c r="C714" s="322" t="s">
        <v>174</v>
      </c>
      <c r="D714" s="322" t="s">
        <v>382</v>
      </c>
      <c r="E714" s="323" t="s">
        <v>175</v>
      </c>
      <c r="F714" s="329" t="s">
        <v>29</v>
      </c>
      <c r="G714" s="329"/>
      <c r="H714" s="323" t="s">
        <v>27</v>
      </c>
      <c r="I714" s="331">
        <v>119.38</v>
      </c>
      <c r="J714" s="331"/>
      <c r="K714" s="326" t="s">
        <v>22</v>
      </c>
      <c r="L714" s="327">
        <v>7375720.7599999998</v>
      </c>
    </row>
    <row r="715" spans="1:12" ht="51" hidden="1" x14ac:dyDescent="0.3">
      <c r="A715" s="321" t="s">
        <v>1317</v>
      </c>
      <c r="B715" s="322" t="s">
        <v>1318</v>
      </c>
      <c r="C715" s="322" t="s">
        <v>1319</v>
      </c>
      <c r="D715" s="322" t="s">
        <v>69</v>
      </c>
      <c r="E715" s="323" t="s">
        <v>27</v>
      </c>
      <c r="F715" s="324">
        <v>39420</v>
      </c>
      <c r="G715" s="324"/>
      <c r="H715" s="323" t="s">
        <v>28</v>
      </c>
      <c r="I715" s="325" t="s">
        <v>29</v>
      </c>
      <c r="J715" s="325"/>
      <c r="K715" s="326" t="s">
        <v>22</v>
      </c>
      <c r="L715" s="327">
        <v>7415140.7599999998</v>
      </c>
    </row>
    <row r="716" spans="1:12" ht="51" hidden="1" x14ac:dyDescent="0.3">
      <c r="A716" s="321" t="s">
        <v>1317</v>
      </c>
      <c r="B716" s="322" t="s">
        <v>1320</v>
      </c>
      <c r="C716" s="322" t="s">
        <v>1319</v>
      </c>
      <c r="D716" s="322" t="s">
        <v>69</v>
      </c>
      <c r="E716" s="323" t="s">
        <v>27</v>
      </c>
      <c r="F716" s="324">
        <v>16765</v>
      </c>
      <c r="G716" s="324"/>
      <c r="H716" s="323" t="s">
        <v>28</v>
      </c>
      <c r="I716" s="325" t="s">
        <v>29</v>
      </c>
      <c r="J716" s="325"/>
      <c r="K716" s="326" t="s">
        <v>22</v>
      </c>
      <c r="L716" s="327">
        <v>7431905.7599999998</v>
      </c>
    </row>
    <row r="717" spans="1:12" hidden="1" x14ac:dyDescent="0.3">
      <c r="A717" s="332" t="s">
        <v>102</v>
      </c>
      <c r="B717" s="332"/>
      <c r="C717" s="332"/>
      <c r="D717" s="332"/>
      <c r="E717" s="333">
        <v>6773592.6200000001</v>
      </c>
      <c r="F717" s="333"/>
      <c r="G717" s="333"/>
      <c r="H717" s="333">
        <v>7664715.71</v>
      </c>
      <c r="I717" s="333"/>
      <c r="J717" s="333"/>
      <c r="K717" s="334" t="s">
        <v>22</v>
      </c>
      <c r="L717" s="335">
        <v>7431905.7599999998</v>
      </c>
    </row>
    <row r="719" spans="1:12" x14ac:dyDescent="0.3">
      <c r="J719">
        <f>SUBTOTAL(9,I305:J714)</f>
        <v>7658764.7199999979</v>
      </c>
    </row>
  </sheetData>
  <autoFilter ref="B1:D717">
    <filterColumn colId="0">
      <filters>
        <filter val="Вимога-накладна ІБ00-000148 від 06.03.2025 22:00:00_x000a_Списаны ТМЦ"/>
        <filter val="Вимога-накладна ІБ00-000197 від 18.03.2025 15:00:00_x000a_Списаны ТМЦ"/>
        <filter val="Вимога-накладна ІБ00-000220 від 26.03.2025 15:24:24_x000a_Списаны ТМЦ"/>
        <filter val="Вимога-накладна ІБ00-000221 від 26.03.2025 16:24:30_x000a_Списаны ТМЦ"/>
        <filter val="Вимога-накладна ІБ00-000226 від 28.03.2025 08:05:10_x000a_Списаны ТМЦ"/>
        <filter val="Вимога-накладна ІБ00-000229 від 28.03.2025 09:19:15_x000a_Списаны ТМЦ"/>
        <filter val="Вимога-накладна ІБ00-000238 від 28.03.2025 18:00:31_x000a_Списаны ТМЦ"/>
        <filter val="Вимога-накладна ІБ00-000241 від 28.03.2025 00:00:00_x000a_Списаны ТМЦ"/>
        <filter val="Списання товарів ІБ00-000135 від 18.03.2025 14:14:55_x000a_Списаны ТМЦ"/>
        <filter val="Списання товарів ІБ00-000166 від 28.03.2025 18:00:32_x000a_Списаны ТМЦ"/>
      </filters>
    </filterColumn>
  </autoFilter>
  <mergeCells count="1440">
    <mergeCell ref="F715:G715"/>
    <mergeCell ref="I715:J715"/>
    <mergeCell ref="F716:G716"/>
    <mergeCell ref="I716:J716"/>
    <mergeCell ref="A717:D717"/>
    <mergeCell ref="E717:G717"/>
    <mergeCell ref="H717:J717"/>
    <mergeCell ref="F712:G712"/>
    <mergeCell ref="I712:J712"/>
    <mergeCell ref="F713:G713"/>
    <mergeCell ref="I713:J713"/>
    <mergeCell ref="F714:G714"/>
    <mergeCell ref="I714:J714"/>
    <mergeCell ref="F709:G709"/>
    <mergeCell ref="I709:J709"/>
    <mergeCell ref="F710:G710"/>
    <mergeCell ref="I710:J710"/>
    <mergeCell ref="F711:G711"/>
    <mergeCell ref="I711:J711"/>
    <mergeCell ref="F706:G706"/>
    <mergeCell ref="I706:J706"/>
    <mergeCell ref="F707:G707"/>
    <mergeCell ref="I707:J707"/>
    <mergeCell ref="F708:G708"/>
    <mergeCell ref="I708:J708"/>
    <mergeCell ref="F703:G703"/>
    <mergeCell ref="I703:J703"/>
    <mergeCell ref="F704:G704"/>
    <mergeCell ref="I704:J704"/>
    <mergeCell ref="F705:G705"/>
    <mergeCell ref="I705:J705"/>
    <mergeCell ref="F700:G700"/>
    <mergeCell ref="I700:J700"/>
    <mergeCell ref="F701:G701"/>
    <mergeCell ref="I701:J701"/>
    <mergeCell ref="F702:G702"/>
    <mergeCell ref="I702:J702"/>
    <mergeCell ref="F697:G697"/>
    <mergeCell ref="I697:J697"/>
    <mergeCell ref="F698:G698"/>
    <mergeCell ref="I698:J698"/>
    <mergeCell ref="F699:G699"/>
    <mergeCell ref="I699:J699"/>
    <mergeCell ref="F694:G694"/>
    <mergeCell ref="I694:J694"/>
    <mergeCell ref="F695:G695"/>
    <mergeCell ref="I695:J695"/>
    <mergeCell ref="F696:G696"/>
    <mergeCell ref="I696:J696"/>
    <mergeCell ref="F691:G691"/>
    <mergeCell ref="I691:J691"/>
    <mergeCell ref="F692:G692"/>
    <mergeCell ref="I692:J692"/>
    <mergeCell ref="F693:G693"/>
    <mergeCell ref="I693:J693"/>
    <mergeCell ref="F688:G688"/>
    <mergeCell ref="I688:J688"/>
    <mergeCell ref="F689:G689"/>
    <mergeCell ref="I689:J689"/>
    <mergeCell ref="F690:G690"/>
    <mergeCell ref="I690:J690"/>
    <mergeCell ref="F685:G685"/>
    <mergeCell ref="I685:J685"/>
    <mergeCell ref="F686:G686"/>
    <mergeCell ref="I686:J686"/>
    <mergeCell ref="F687:G687"/>
    <mergeCell ref="I687:J687"/>
    <mergeCell ref="F682:G682"/>
    <mergeCell ref="I682:J682"/>
    <mergeCell ref="F683:G683"/>
    <mergeCell ref="I683:J683"/>
    <mergeCell ref="F684:G684"/>
    <mergeCell ref="I684:J684"/>
    <mergeCell ref="F679:G679"/>
    <mergeCell ref="I679:J679"/>
    <mergeCell ref="F680:G680"/>
    <mergeCell ref="I680:J680"/>
    <mergeCell ref="F681:G681"/>
    <mergeCell ref="I681:J681"/>
    <mergeCell ref="F676:G676"/>
    <mergeCell ref="I676:J676"/>
    <mergeCell ref="F677:G677"/>
    <mergeCell ref="I677:J677"/>
    <mergeCell ref="F678:G678"/>
    <mergeCell ref="I678:J678"/>
    <mergeCell ref="F673:G673"/>
    <mergeCell ref="I673:J673"/>
    <mergeCell ref="F674:G674"/>
    <mergeCell ref="I674:J674"/>
    <mergeCell ref="F675:G675"/>
    <mergeCell ref="I675:J675"/>
    <mergeCell ref="F670:G670"/>
    <mergeCell ref="I670:J670"/>
    <mergeCell ref="F671:G671"/>
    <mergeCell ref="I671:J671"/>
    <mergeCell ref="F672:G672"/>
    <mergeCell ref="I672:J672"/>
    <mergeCell ref="F667:G667"/>
    <mergeCell ref="I667:J667"/>
    <mergeCell ref="F668:G668"/>
    <mergeCell ref="I668:J668"/>
    <mergeCell ref="F669:G669"/>
    <mergeCell ref="I669:J669"/>
    <mergeCell ref="F664:G664"/>
    <mergeCell ref="I664:J664"/>
    <mergeCell ref="F665:G665"/>
    <mergeCell ref="I665:J665"/>
    <mergeCell ref="F666:G666"/>
    <mergeCell ref="I666:J666"/>
    <mergeCell ref="F661:G661"/>
    <mergeCell ref="I661:J661"/>
    <mergeCell ref="F662:G662"/>
    <mergeCell ref="I662:J662"/>
    <mergeCell ref="F663:G663"/>
    <mergeCell ref="I663:J663"/>
    <mergeCell ref="F658:G658"/>
    <mergeCell ref="I658:J658"/>
    <mergeCell ref="F659:G659"/>
    <mergeCell ref="I659:J659"/>
    <mergeCell ref="F660:G660"/>
    <mergeCell ref="I660:J660"/>
    <mergeCell ref="F655:G655"/>
    <mergeCell ref="I655:J655"/>
    <mergeCell ref="F656:G656"/>
    <mergeCell ref="I656:J656"/>
    <mergeCell ref="F657:G657"/>
    <mergeCell ref="I657:J657"/>
    <mergeCell ref="F652:G652"/>
    <mergeCell ref="I652:J652"/>
    <mergeCell ref="F653:G653"/>
    <mergeCell ref="I653:J653"/>
    <mergeCell ref="F654:G654"/>
    <mergeCell ref="I654:J654"/>
    <mergeCell ref="F649:G649"/>
    <mergeCell ref="I649:J649"/>
    <mergeCell ref="F650:G650"/>
    <mergeCell ref="I650:J650"/>
    <mergeCell ref="F651:G651"/>
    <mergeCell ref="I651:J651"/>
    <mergeCell ref="F646:G646"/>
    <mergeCell ref="I646:J646"/>
    <mergeCell ref="F647:G647"/>
    <mergeCell ref="I647:J647"/>
    <mergeCell ref="F648:G648"/>
    <mergeCell ref="I648:J648"/>
    <mergeCell ref="F643:G643"/>
    <mergeCell ref="I643:J643"/>
    <mergeCell ref="F644:G644"/>
    <mergeCell ref="I644:J644"/>
    <mergeCell ref="F645:G645"/>
    <mergeCell ref="I645:J645"/>
    <mergeCell ref="F640:G640"/>
    <mergeCell ref="I640:J640"/>
    <mergeCell ref="F641:G641"/>
    <mergeCell ref="I641:J641"/>
    <mergeCell ref="F642:G642"/>
    <mergeCell ref="I642:J642"/>
    <mergeCell ref="F637:G637"/>
    <mergeCell ref="I637:J637"/>
    <mergeCell ref="F638:G638"/>
    <mergeCell ref="I638:J638"/>
    <mergeCell ref="F639:G639"/>
    <mergeCell ref="I639:J639"/>
    <mergeCell ref="F634:G634"/>
    <mergeCell ref="I634:J634"/>
    <mergeCell ref="F635:G635"/>
    <mergeCell ref="I635:J635"/>
    <mergeCell ref="F636:G636"/>
    <mergeCell ref="I636:J636"/>
    <mergeCell ref="F631:G631"/>
    <mergeCell ref="I631:J631"/>
    <mergeCell ref="F632:G632"/>
    <mergeCell ref="I632:J632"/>
    <mergeCell ref="F633:G633"/>
    <mergeCell ref="I633:J633"/>
    <mergeCell ref="F628:G628"/>
    <mergeCell ref="I628:J628"/>
    <mergeCell ref="F629:G629"/>
    <mergeCell ref="I629:J629"/>
    <mergeCell ref="F630:G630"/>
    <mergeCell ref="I630:J630"/>
    <mergeCell ref="F625:G625"/>
    <mergeCell ref="I625:J625"/>
    <mergeCell ref="F626:G626"/>
    <mergeCell ref="I626:J626"/>
    <mergeCell ref="F627:G627"/>
    <mergeCell ref="I627:J627"/>
    <mergeCell ref="F622:G622"/>
    <mergeCell ref="I622:J622"/>
    <mergeCell ref="F623:G623"/>
    <mergeCell ref="I623:J623"/>
    <mergeCell ref="F624:G624"/>
    <mergeCell ref="I624:J624"/>
    <mergeCell ref="F619:G619"/>
    <mergeCell ref="I619:J619"/>
    <mergeCell ref="F620:G620"/>
    <mergeCell ref="I620:J620"/>
    <mergeCell ref="F621:G621"/>
    <mergeCell ref="I621:J621"/>
    <mergeCell ref="F616:G616"/>
    <mergeCell ref="I616:J616"/>
    <mergeCell ref="F617:G617"/>
    <mergeCell ref="I617:J617"/>
    <mergeCell ref="F618:G618"/>
    <mergeCell ref="I618:J618"/>
    <mergeCell ref="F613:G613"/>
    <mergeCell ref="I613:J613"/>
    <mergeCell ref="F614:G614"/>
    <mergeCell ref="I614:J614"/>
    <mergeCell ref="F615:G615"/>
    <mergeCell ref="I615:J615"/>
    <mergeCell ref="F610:G610"/>
    <mergeCell ref="I610:J610"/>
    <mergeCell ref="F611:G611"/>
    <mergeCell ref="I611:J611"/>
    <mergeCell ref="F612:G612"/>
    <mergeCell ref="I612:J612"/>
    <mergeCell ref="F607:G607"/>
    <mergeCell ref="I607:J607"/>
    <mergeCell ref="F608:G608"/>
    <mergeCell ref="I608:J608"/>
    <mergeCell ref="F609:G609"/>
    <mergeCell ref="I609:J609"/>
    <mergeCell ref="F604:G604"/>
    <mergeCell ref="I604:J604"/>
    <mergeCell ref="F605:G605"/>
    <mergeCell ref="I605:J605"/>
    <mergeCell ref="F606:G606"/>
    <mergeCell ref="I606:J606"/>
    <mergeCell ref="F601:G601"/>
    <mergeCell ref="I601:J601"/>
    <mergeCell ref="F602:G602"/>
    <mergeCell ref="I602:J602"/>
    <mergeCell ref="F603:G603"/>
    <mergeCell ref="I603:J603"/>
    <mergeCell ref="F598:G598"/>
    <mergeCell ref="I598:J598"/>
    <mergeCell ref="F599:G599"/>
    <mergeCell ref="I599:J599"/>
    <mergeCell ref="F600:G600"/>
    <mergeCell ref="I600:J600"/>
    <mergeCell ref="F595:G595"/>
    <mergeCell ref="I595:J595"/>
    <mergeCell ref="F596:G596"/>
    <mergeCell ref="I596:J596"/>
    <mergeCell ref="F597:G597"/>
    <mergeCell ref="I597:J597"/>
    <mergeCell ref="F592:G592"/>
    <mergeCell ref="I592:J592"/>
    <mergeCell ref="F593:G593"/>
    <mergeCell ref="I593:J593"/>
    <mergeCell ref="F594:G594"/>
    <mergeCell ref="I594:J594"/>
    <mergeCell ref="F589:G589"/>
    <mergeCell ref="I589:J589"/>
    <mergeCell ref="F590:G590"/>
    <mergeCell ref="I590:J590"/>
    <mergeCell ref="F591:G591"/>
    <mergeCell ref="I591:J591"/>
    <mergeCell ref="F586:G586"/>
    <mergeCell ref="I586:J586"/>
    <mergeCell ref="F587:G587"/>
    <mergeCell ref="I587:J587"/>
    <mergeCell ref="F588:G588"/>
    <mergeCell ref="I588:J588"/>
    <mergeCell ref="F583:G583"/>
    <mergeCell ref="I583:J583"/>
    <mergeCell ref="F584:G584"/>
    <mergeCell ref="I584:J584"/>
    <mergeCell ref="F585:G585"/>
    <mergeCell ref="I585:J585"/>
    <mergeCell ref="F580:G580"/>
    <mergeCell ref="I580:J580"/>
    <mergeCell ref="F581:G581"/>
    <mergeCell ref="I581:J581"/>
    <mergeCell ref="F582:G582"/>
    <mergeCell ref="I582:J582"/>
    <mergeCell ref="F577:G577"/>
    <mergeCell ref="I577:J577"/>
    <mergeCell ref="F578:G578"/>
    <mergeCell ref="I578:J578"/>
    <mergeCell ref="F579:G579"/>
    <mergeCell ref="I579:J579"/>
    <mergeCell ref="F574:G574"/>
    <mergeCell ref="I574:J574"/>
    <mergeCell ref="F575:G575"/>
    <mergeCell ref="I575:J575"/>
    <mergeCell ref="F576:G576"/>
    <mergeCell ref="I576:J576"/>
    <mergeCell ref="F571:G571"/>
    <mergeCell ref="I571:J571"/>
    <mergeCell ref="F572:G572"/>
    <mergeCell ref="I572:J572"/>
    <mergeCell ref="F573:G573"/>
    <mergeCell ref="I573:J573"/>
    <mergeCell ref="F568:G568"/>
    <mergeCell ref="I568:J568"/>
    <mergeCell ref="F569:G569"/>
    <mergeCell ref="I569:J569"/>
    <mergeCell ref="F570:G570"/>
    <mergeCell ref="I570:J570"/>
    <mergeCell ref="F565:G565"/>
    <mergeCell ref="I565:J565"/>
    <mergeCell ref="F566:G566"/>
    <mergeCell ref="I566:J566"/>
    <mergeCell ref="F567:G567"/>
    <mergeCell ref="I567:J567"/>
    <mergeCell ref="F562:G562"/>
    <mergeCell ref="I562:J562"/>
    <mergeCell ref="F563:G563"/>
    <mergeCell ref="I563:J563"/>
    <mergeCell ref="F564:G564"/>
    <mergeCell ref="I564:J564"/>
    <mergeCell ref="F559:G559"/>
    <mergeCell ref="I559:J559"/>
    <mergeCell ref="F560:G560"/>
    <mergeCell ref="I560:J560"/>
    <mergeCell ref="F561:G561"/>
    <mergeCell ref="I561:J561"/>
    <mergeCell ref="F556:G556"/>
    <mergeCell ref="I556:J556"/>
    <mergeCell ref="F557:G557"/>
    <mergeCell ref="I557:J557"/>
    <mergeCell ref="F558:G558"/>
    <mergeCell ref="I558:J558"/>
    <mergeCell ref="F553:G553"/>
    <mergeCell ref="I553:J553"/>
    <mergeCell ref="F554:G554"/>
    <mergeCell ref="I554:J554"/>
    <mergeCell ref="F555:G555"/>
    <mergeCell ref="I555:J555"/>
    <mergeCell ref="F550:G550"/>
    <mergeCell ref="I550:J550"/>
    <mergeCell ref="F551:G551"/>
    <mergeCell ref="I551:J551"/>
    <mergeCell ref="F552:G552"/>
    <mergeCell ref="I552:J552"/>
    <mergeCell ref="F547:G547"/>
    <mergeCell ref="I547:J547"/>
    <mergeCell ref="F548:G548"/>
    <mergeCell ref="I548:J548"/>
    <mergeCell ref="F549:G549"/>
    <mergeCell ref="I549:J549"/>
    <mergeCell ref="F544:G544"/>
    <mergeCell ref="I544:J544"/>
    <mergeCell ref="F545:G545"/>
    <mergeCell ref="I545:J545"/>
    <mergeCell ref="F546:G546"/>
    <mergeCell ref="I546:J546"/>
    <mergeCell ref="F541:G541"/>
    <mergeCell ref="I541:J541"/>
    <mergeCell ref="F542:G542"/>
    <mergeCell ref="I542:J542"/>
    <mergeCell ref="F543:G543"/>
    <mergeCell ref="I543:J543"/>
    <mergeCell ref="F538:G538"/>
    <mergeCell ref="I538:J538"/>
    <mergeCell ref="F539:G539"/>
    <mergeCell ref="I539:J539"/>
    <mergeCell ref="F540:G540"/>
    <mergeCell ref="I540:J540"/>
    <mergeCell ref="F535:G535"/>
    <mergeCell ref="I535:J535"/>
    <mergeCell ref="F536:G536"/>
    <mergeCell ref="I536:J536"/>
    <mergeCell ref="F537:G537"/>
    <mergeCell ref="I537:J537"/>
    <mergeCell ref="F532:G532"/>
    <mergeCell ref="I532:J532"/>
    <mergeCell ref="F533:G533"/>
    <mergeCell ref="I533:J533"/>
    <mergeCell ref="F534:G534"/>
    <mergeCell ref="I534:J534"/>
    <mergeCell ref="F529:G529"/>
    <mergeCell ref="I529:J529"/>
    <mergeCell ref="F530:G530"/>
    <mergeCell ref="I530:J530"/>
    <mergeCell ref="F531:G531"/>
    <mergeCell ref="I531:J531"/>
    <mergeCell ref="F526:G526"/>
    <mergeCell ref="I526:J526"/>
    <mergeCell ref="F527:G527"/>
    <mergeCell ref="I527:J527"/>
    <mergeCell ref="F528:G528"/>
    <mergeCell ref="I528:J528"/>
    <mergeCell ref="F523:G523"/>
    <mergeCell ref="I523:J523"/>
    <mergeCell ref="F524:G524"/>
    <mergeCell ref="I524:J524"/>
    <mergeCell ref="F525:G525"/>
    <mergeCell ref="I525:J525"/>
    <mergeCell ref="F520:G520"/>
    <mergeCell ref="I520:J520"/>
    <mergeCell ref="F521:G521"/>
    <mergeCell ref="I521:J521"/>
    <mergeCell ref="F522:G522"/>
    <mergeCell ref="I522:J522"/>
    <mergeCell ref="F517:G517"/>
    <mergeCell ref="I517:J517"/>
    <mergeCell ref="F518:G518"/>
    <mergeCell ref="I518:J518"/>
    <mergeCell ref="F519:G519"/>
    <mergeCell ref="I519:J519"/>
    <mergeCell ref="F514:G514"/>
    <mergeCell ref="I514:J514"/>
    <mergeCell ref="F515:G515"/>
    <mergeCell ref="I515:J515"/>
    <mergeCell ref="F516:G516"/>
    <mergeCell ref="I516:J516"/>
    <mergeCell ref="F511:G511"/>
    <mergeCell ref="I511:J511"/>
    <mergeCell ref="F512:G512"/>
    <mergeCell ref="I512:J512"/>
    <mergeCell ref="F513:G513"/>
    <mergeCell ref="I513:J513"/>
    <mergeCell ref="F508:G508"/>
    <mergeCell ref="I508:J508"/>
    <mergeCell ref="F509:G509"/>
    <mergeCell ref="I509:J509"/>
    <mergeCell ref="F510:G510"/>
    <mergeCell ref="I510:J510"/>
    <mergeCell ref="F505:G505"/>
    <mergeCell ref="I505:J505"/>
    <mergeCell ref="F506:G506"/>
    <mergeCell ref="I506:J506"/>
    <mergeCell ref="F507:G507"/>
    <mergeCell ref="I507:J507"/>
    <mergeCell ref="F502:G502"/>
    <mergeCell ref="I502:J502"/>
    <mergeCell ref="F503:G503"/>
    <mergeCell ref="I503:J503"/>
    <mergeCell ref="F504:G504"/>
    <mergeCell ref="I504:J504"/>
    <mergeCell ref="F499:G499"/>
    <mergeCell ref="I499:J499"/>
    <mergeCell ref="F500:G500"/>
    <mergeCell ref="I500:J500"/>
    <mergeCell ref="F501:G501"/>
    <mergeCell ref="I501:J501"/>
    <mergeCell ref="F496:G496"/>
    <mergeCell ref="I496:J496"/>
    <mergeCell ref="F497:G497"/>
    <mergeCell ref="I497:J497"/>
    <mergeCell ref="F498:G498"/>
    <mergeCell ref="I498:J498"/>
    <mergeCell ref="F493:G493"/>
    <mergeCell ref="I493:J493"/>
    <mergeCell ref="F494:G494"/>
    <mergeCell ref="I494:J494"/>
    <mergeCell ref="F495:G495"/>
    <mergeCell ref="I495:J495"/>
    <mergeCell ref="F490:G490"/>
    <mergeCell ref="I490:J490"/>
    <mergeCell ref="F491:G491"/>
    <mergeCell ref="I491:J491"/>
    <mergeCell ref="F492:G492"/>
    <mergeCell ref="I492:J492"/>
    <mergeCell ref="F487:G487"/>
    <mergeCell ref="I487:J487"/>
    <mergeCell ref="F488:G488"/>
    <mergeCell ref="I488:J488"/>
    <mergeCell ref="F489:G489"/>
    <mergeCell ref="I489:J489"/>
    <mergeCell ref="F484:G484"/>
    <mergeCell ref="I484:J484"/>
    <mergeCell ref="F485:G485"/>
    <mergeCell ref="I485:J485"/>
    <mergeCell ref="F486:G486"/>
    <mergeCell ref="I486:J486"/>
    <mergeCell ref="F481:G481"/>
    <mergeCell ref="I481:J481"/>
    <mergeCell ref="F482:G482"/>
    <mergeCell ref="I482:J482"/>
    <mergeCell ref="F483:G483"/>
    <mergeCell ref="I483:J483"/>
    <mergeCell ref="F478:G478"/>
    <mergeCell ref="I478:J478"/>
    <mergeCell ref="F479:G479"/>
    <mergeCell ref="I479:J479"/>
    <mergeCell ref="F480:G480"/>
    <mergeCell ref="I480:J480"/>
    <mergeCell ref="F475:G475"/>
    <mergeCell ref="I475:J475"/>
    <mergeCell ref="F476:G476"/>
    <mergeCell ref="I476:J476"/>
    <mergeCell ref="F477:G477"/>
    <mergeCell ref="I477:J477"/>
    <mergeCell ref="F472:G472"/>
    <mergeCell ref="I472:J472"/>
    <mergeCell ref="F473:G473"/>
    <mergeCell ref="I473:J473"/>
    <mergeCell ref="F474:G474"/>
    <mergeCell ref="I474:J474"/>
    <mergeCell ref="F469:G469"/>
    <mergeCell ref="I469:J469"/>
    <mergeCell ref="F470:G470"/>
    <mergeCell ref="I470:J470"/>
    <mergeCell ref="F471:G471"/>
    <mergeCell ref="I471:J471"/>
    <mergeCell ref="F466:G466"/>
    <mergeCell ref="I466:J466"/>
    <mergeCell ref="F467:G467"/>
    <mergeCell ref="I467:J467"/>
    <mergeCell ref="F468:G468"/>
    <mergeCell ref="I468:J468"/>
    <mergeCell ref="F463:G463"/>
    <mergeCell ref="I463:J463"/>
    <mergeCell ref="F464:G464"/>
    <mergeCell ref="I464:J464"/>
    <mergeCell ref="F465:G465"/>
    <mergeCell ref="I465:J465"/>
    <mergeCell ref="F460:G460"/>
    <mergeCell ref="I460:J460"/>
    <mergeCell ref="F461:G461"/>
    <mergeCell ref="I461:J461"/>
    <mergeCell ref="F462:G462"/>
    <mergeCell ref="I462:J462"/>
    <mergeCell ref="F457:G457"/>
    <mergeCell ref="I457:J457"/>
    <mergeCell ref="F458:G458"/>
    <mergeCell ref="I458:J458"/>
    <mergeCell ref="F459:G459"/>
    <mergeCell ref="I459:J459"/>
    <mergeCell ref="F454:G454"/>
    <mergeCell ref="I454:J454"/>
    <mergeCell ref="F455:G455"/>
    <mergeCell ref="I455:J455"/>
    <mergeCell ref="F456:G456"/>
    <mergeCell ref="I456:J456"/>
    <mergeCell ref="F451:G451"/>
    <mergeCell ref="I451:J451"/>
    <mergeCell ref="F452:G452"/>
    <mergeCell ref="I452:J452"/>
    <mergeCell ref="F453:G453"/>
    <mergeCell ref="I453:J453"/>
    <mergeCell ref="F448:G448"/>
    <mergeCell ref="I448:J448"/>
    <mergeCell ref="F449:G449"/>
    <mergeCell ref="I449:J449"/>
    <mergeCell ref="F450:G450"/>
    <mergeCell ref="I450:J450"/>
    <mergeCell ref="F445:G445"/>
    <mergeCell ref="I445:J445"/>
    <mergeCell ref="F446:G446"/>
    <mergeCell ref="I446:J446"/>
    <mergeCell ref="F447:G447"/>
    <mergeCell ref="I447:J447"/>
    <mergeCell ref="F442:G442"/>
    <mergeCell ref="I442:J442"/>
    <mergeCell ref="F443:G443"/>
    <mergeCell ref="I443:J443"/>
    <mergeCell ref="F444:G444"/>
    <mergeCell ref="I444:J444"/>
    <mergeCell ref="F439:G439"/>
    <mergeCell ref="I439:J439"/>
    <mergeCell ref="F440:G440"/>
    <mergeCell ref="I440:J440"/>
    <mergeCell ref="F441:G441"/>
    <mergeCell ref="I441:J441"/>
    <mergeCell ref="F436:G436"/>
    <mergeCell ref="I436:J436"/>
    <mergeCell ref="F437:G437"/>
    <mergeCell ref="I437:J437"/>
    <mergeCell ref="F438:G438"/>
    <mergeCell ref="I438:J438"/>
    <mergeCell ref="F433:G433"/>
    <mergeCell ref="I433:J433"/>
    <mergeCell ref="F434:G434"/>
    <mergeCell ref="I434:J434"/>
    <mergeCell ref="F435:G435"/>
    <mergeCell ref="I435:J435"/>
    <mergeCell ref="F430:G430"/>
    <mergeCell ref="I430:J430"/>
    <mergeCell ref="F431:G431"/>
    <mergeCell ref="I431:J431"/>
    <mergeCell ref="F432:G432"/>
    <mergeCell ref="I432:J432"/>
    <mergeCell ref="F427:G427"/>
    <mergeCell ref="I427:J427"/>
    <mergeCell ref="F428:G428"/>
    <mergeCell ref="I428:J428"/>
    <mergeCell ref="F429:G429"/>
    <mergeCell ref="I429:J429"/>
    <mergeCell ref="F424:G424"/>
    <mergeCell ref="I424:J424"/>
    <mergeCell ref="F425:G425"/>
    <mergeCell ref="I425:J425"/>
    <mergeCell ref="F426:G426"/>
    <mergeCell ref="I426:J426"/>
    <mergeCell ref="F421:G421"/>
    <mergeCell ref="I421:J421"/>
    <mergeCell ref="F422:G422"/>
    <mergeCell ref="I422:J422"/>
    <mergeCell ref="F423:G423"/>
    <mergeCell ref="I423:J423"/>
    <mergeCell ref="F418:G418"/>
    <mergeCell ref="I418:J418"/>
    <mergeCell ref="F419:G419"/>
    <mergeCell ref="I419:J419"/>
    <mergeCell ref="F420:G420"/>
    <mergeCell ref="I420:J420"/>
    <mergeCell ref="F415:G415"/>
    <mergeCell ref="I415:J415"/>
    <mergeCell ref="F416:G416"/>
    <mergeCell ref="I416:J416"/>
    <mergeCell ref="F417:G417"/>
    <mergeCell ref="I417:J417"/>
    <mergeCell ref="F412:G412"/>
    <mergeCell ref="I412:J412"/>
    <mergeCell ref="F413:G413"/>
    <mergeCell ref="I413:J413"/>
    <mergeCell ref="F414:G414"/>
    <mergeCell ref="I414:J414"/>
    <mergeCell ref="F409:G409"/>
    <mergeCell ref="I409:J409"/>
    <mergeCell ref="F410:G410"/>
    <mergeCell ref="I410:J410"/>
    <mergeCell ref="F411:G411"/>
    <mergeCell ref="I411:J411"/>
    <mergeCell ref="F406:G406"/>
    <mergeCell ref="I406:J406"/>
    <mergeCell ref="F407:G407"/>
    <mergeCell ref="I407:J407"/>
    <mergeCell ref="F408:G408"/>
    <mergeCell ref="I408:J408"/>
    <mergeCell ref="F403:G403"/>
    <mergeCell ref="I403:J403"/>
    <mergeCell ref="F404:G404"/>
    <mergeCell ref="I404:J404"/>
    <mergeCell ref="F405:G405"/>
    <mergeCell ref="I405:J405"/>
    <mergeCell ref="F400:G400"/>
    <mergeCell ref="I400:J400"/>
    <mergeCell ref="F401:G401"/>
    <mergeCell ref="I401:J401"/>
    <mergeCell ref="F402:G402"/>
    <mergeCell ref="I402:J402"/>
    <mergeCell ref="F397:G397"/>
    <mergeCell ref="I397:J397"/>
    <mergeCell ref="F398:G398"/>
    <mergeCell ref="I398:J398"/>
    <mergeCell ref="F399:G399"/>
    <mergeCell ref="I399:J399"/>
    <mergeCell ref="F394:G394"/>
    <mergeCell ref="I394:J394"/>
    <mergeCell ref="F395:G395"/>
    <mergeCell ref="I395:J395"/>
    <mergeCell ref="F396:G396"/>
    <mergeCell ref="I396:J396"/>
    <mergeCell ref="F391:G391"/>
    <mergeCell ref="I391:J391"/>
    <mergeCell ref="F392:G392"/>
    <mergeCell ref="I392:J392"/>
    <mergeCell ref="F393:G393"/>
    <mergeCell ref="I393:J393"/>
    <mergeCell ref="F388:G388"/>
    <mergeCell ref="I388:J388"/>
    <mergeCell ref="F389:G389"/>
    <mergeCell ref="I389:J389"/>
    <mergeCell ref="F390:G390"/>
    <mergeCell ref="I390:J390"/>
    <mergeCell ref="F385:G385"/>
    <mergeCell ref="I385:J385"/>
    <mergeCell ref="F386:G386"/>
    <mergeCell ref="I386:J386"/>
    <mergeCell ref="F387:G387"/>
    <mergeCell ref="I387:J387"/>
    <mergeCell ref="F382:G382"/>
    <mergeCell ref="I382:J382"/>
    <mergeCell ref="F383:G383"/>
    <mergeCell ref="I383:J383"/>
    <mergeCell ref="F384:G384"/>
    <mergeCell ref="I384:J384"/>
    <mergeCell ref="F379:G379"/>
    <mergeCell ref="I379:J379"/>
    <mergeCell ref="F380:G380"/>
    <mergeCell ref="I380:J380"/>
    <mergeCell ref="F381:G381"/>
    <mergeCell ref="I381:J381"/>
    <mergeCell ref="F376:G376"/>
    <mergeCell ref="I376:J376"/>
    <mergeCell ref="F377:G377"/>
    <mergeCell ref="I377:J377"/>
    <mergeCell ref="F378:G378"/>
    <mergeCell ref="I378:J378"/>
    <mergeCell ref="F373:G373"/>
    <mergeCell ref="I373:J373"/>
    <mergeCell ref="F374:G374"/>
    <mergeCell ref="I374:J374"/>
    <mergeCell ref="F375:G375"/>
    <mergeCell ref="I375:J375"/>
    <mergeCell ref="F370:G370"/>
    <mergeCell ref="I370:J370"/>
    <mergeCell ref="F371:G371"/>
    <mergeCell ref="I371:J371"/>
    <mergeCell ref="F372:G372"/>
    <mergeCell ref="I372:J372"/>
    <mergeCell ref="F367:G367"/>
    <mergeCell ref="I367:J367"/>
    <mergeCell ref="F368:G368"/>
    <mergeCell ref="I368:J368"/>
    <mergeCell ref="F369:G369"/>
    <mergeCell ref="I369:J369"/>
    <mergeCell ref="F364:G364"/>
    <mergeCell ref="I364:J364"/>
    <mergeCell ref="F365:G365"/>
    <mergeCell ref="I365:J365"/>
    <mergeCell ref="F366:G366"/>
    <mergeCell ref="I366:J366"/>
    <mergeCell ref="F361:G361"/>
    <mergeCell ref="I361:J361"/>
    <mergeCell ref="F362:G362"/>
    <mergeCell ref="I362:J362"/>
    <mergeCell ref="F363:G363"/>
    <mergeCell ref="I363:J363"/>
    <mergeCell ref="F358:G358"/>
    <mergeCell ref="I358:J358"/>
    <mergeCell ref="F359:G359"/>
    <mergeCell ref="I359:J359"/>
    <mergeCell ref="F360:G360"/>
    <mergeCell ref="I360:J360"/>
    <mergeCell ref="F355:G355"/>
    <mergeCell ref="I355:J355"/>
    <mergeCell ref="F356:G356"/>
    <mergeCell ref="I356:J356"/>
    <mergeCell ref="F357:G357"/>
    <mergeCell ref="I357:J357"/>
    <mergeCell ref="F352:G352"/>
    <mergeCell ref="I352:J352"/>
    <mergeCell ref="F353:G353"/>
    <mergeCell ref="I353:J353"/>
    <mergeCell ref="F354:G354"/>
    <mergeCell ref="I354:J354"/>
    <mergeCell ref="F349:G349"/>
    <mergeCell ref="I349:J349"/>
    <mergeCell ref="F350:G350"/>
    <mergeCell ref="I350:J350"/>
    <mergeCell ref="F351:G351"/>
    <mergeCell ref="I351:J351"/>
    <mergeCell ref="F346:G346"/>
    <mergeCell ref="I346:J346"/>
    <mergeCell ref="F347:G347"/>
    <mergeCell ref="I347:J347"/>
    <mergeCell ref="F348:G348"/>
    <mergeCell ref="I348:J348"/>
    <mergeCell ref="F343:G343"/>
    <mergeCell ref="I343:J343"/>
    <mergeCell ref="F344:G344"/>
    <mergeCell ref="I344:J344"/>
    <mergeCell ref="F345:G345"/>
    <mergeCell ref="I345:J345"/>
    <mergeCell ref="F340:G340"/>
    <mergeCell ref="I340:J340"/>
    <mergeCell ref="F341:G341"/>
    <mergeCell ref="I341:J341"/>
    <mergeCell ref="F342:G342"/>
    <mergeCell ref="I342:J342"/>
    <mergeCell ref="F337:G337"/>
    <mergeCell ref="I337:J337"/>
    <mergeCell ref="F338:G338"/>
    <mergeCell ref="I338:J338"/>
    <mergeCell ref="F339:G339"/>
    <mergeCell ref="I339:J339"/>
    <mergeCell ref="F334:G334"/>
    <mergeCell ref="I334:J334"/>
    <mergeCell ref="F335:G335"/>
    <mergeCell ref="I335:J335"/>
    <mergeCell ref="F336:G336"/>
    <mergeCell ref="I336:J336"/>
    <mergeCell ref="F331:G331"/>
    <mergeCell ref="I331:J331"/>
    <mergeCell ref="F332:G332"/>
    <mergeCell ref="I332:J332"/>
    <mergeCell ref="F333:G333"/>
    <mergeCell ref="I333:J333"/>
    <mergeCell ref="F328:G328"/>
    <mergeCell ref="I328:J328"/>
    <mergeCell ref="F329:G329"/>
    <mergeCell ref="I329:J329"/>
    <mergeCell ref="F330:G330"/>
    <mergeCell ref="I330:J330"/>
    <mergeCell ref="F325:G325"/>
    <mergeCell ref="I325:J325"/>
    <mergeCell ref="F326:G326"/>
    <mergeCell ref="I326:J326"/>
    <mergeCell ref="F327:G327"/>
    <mergeCell ref="I327:J327"/>
    <mergeCell ref="F322:G322"/>
    <mergeCell ref="I322:J322"/>
    <mergeCell ref="F323:G323"/>
    <mergeCell ref="I323:J323"/>
    <mergeCell ref="F324:G324"/>
    <mergeCell ref="I324:J324"/>
    <mergeCell ref="F319:G319"/>
    <mergeCell ref="I319:J319"/>
    <mergeCell ref="F320:G320"/>
    <mergeCell ref="I320:J320"/>
    <mergeCell ref="F321:G321"/>
    <mergeCell ref="I321:J321"/>
    <mergeCell ref="F316:G316"/>
    <mergeCell ref="I316:J316"/>
    <mergeCell ref="F317:G317"/>
    <mergeCell ref="I317:J317"/>
    <mergeCell ref="F318:G318"/>
    <mergeCell ref="I318:J318"/>
    <mergeCell ref="F313:G313"/>
    <mergeCell ref="I313:J313"/>
    <mergeCell ref="F314:G314"/>
    <mergeCell ref="I314:J314"/>
    <mergeCell ref="F315:G315"/>
    <mergeCell ref="I315:J315"/>
    <mergeCell ref="F310:G310"/>
    <mergeCell ref="I310:J310"/>
    <mergeCell ref="F311:G311"/>
    <mergeCell ref="I311:J311"/>
    <mergeCell ref="F312:G312"/>
    <mergeCell ref="I312:J312"/>
    <mergeCell ref="F307:G307"/>
    <mergeCell ref="I307:J307"/>
    <mergeCell ref="F308:G308"/>
    <mergeCell ref="I308:J308"/>
    <mergeCell ref="F309:G309"/>
    <mergeCell ref="I309:J309"/>
    <mergeCell ref="F304:G304"/>
    <mergeCell ref="I304:J304"/>
    <mergeCell ref="F305:G305"/>
    <mergeCell ref="I305:J305"/>
    <mergeCell ref="F306:G306"/>
    <mergeCell ref="I306:J306"/>
    <mergeCell ref="F301:G301"/>
    <mergeCell ref="I301:J301"/>
    <mergeCell ref="F302:G302"/>
    <mergeCell ref="I302:J302"/>
    <mergeCell ref="F303:G303"/>
    <mergeCell ref="I303:J303"/>
    <mergeCell ref="F298:G298"/>
    <mergeCell ref="I298:J298"/>
    <mergeCell ref="F299:G299"/>
    <mergeCell ref="I299:J299"/>
    <mergeCell ref="F300:G300"/>
    <mergeCell ref="I300:J300"/>
    <mergeCell ref="F295:G295"/>
    <mergeCell ref="I295:J295"/>
    <mergeCell ref="F296:G296"/>
    <mergeCell ref="I296:J296"/>
    <mergeCell ref="F297:G297"/>
    <mergeCell ref="I297:J297"/>
    <mergeCell ref="F292:G292"/>
    <mergeCell ref="I292:J292"/>
    <mergeCell ref="F293:G293"/>
    <mergeCell ref="I293:J293"/>
    <mergeCell ref="F294:G294"/>
    <mergeCell ref="I294:J294"/>
    <mergeCell ref="F289:G289"/>
    <mergeCell ref="I289:J289"/>
    <mergeCell ref="F290:G290"/>
    <mergeCell ref="I290:J290"/>
    <mergeCell ref="F291:G291"/>
    <mergeCell ref="I291:J291"/>
    <mergeCell ref="F286:G286"/>
    <mergeCell ref="I286:J286"/>
    <mergeCell ref="F287:G287"/>
    <mergeCell ref="I287:J287"/>
    <mergeCell ref="F288:G288"/>
    <mergeCell ref="I288:J288"/>
    <mergeCell ref="F283:G283"/>
    <mergeCell ref="I283:J283"/>
    <mergeCell ref="F284:G284"/>
    <mergeCell ref="I284:J284"/>
    <mergeCell ref="F285:G285"/>
    <mergeCell ref="I285:J285"/>
    <mergeCell ref="F280:G280"/>
    <mergeCell ref="I280:J280"/>
    <mergeCell ref="F281:G281"/>
    <mergeCell ref="I281:J281"/>
    <mergeCell ref="F282:G282"/>
    <mergeCell ref="I282:J282"/>
    <mergeCell ref="F277:G277"/>
    <mergeCell ref="I277:J277"/>
    <mergeCell ref="F278:G278"/>
    <mergeCell ref="I278:J278"/>
    <mergeCell ref="F279:G279"/>
    <mergeCell ref="I279:J279"/>
    <mergeCell ref="F274:G274"/>
    <mergeCell ref="I274:J274"/>
    <mergeCell ref="F275:G275"/>
    <mergeCell ref="I275:J275"/>
    <mergeCell ref="F276:G276"/>
    <mergeCell ref="I276:J276"/>
    <mergeCell ref="F271:G271"/>
    <mergeCell ref="I271:J271"/>
    <mergeCell ref="F272:G272"/>
    <mergeCell ref="I272:J272"/>
    <mergeCell ref="F273:G273"/>
    <mergeCell ref="I273:J273"/>
    <mergeCell ref="F268:G268"/>
    <mergeCell ref="I268:J268"/>
    <mergeCell ref="F269:G269"/>
    <mergeCell ref="I269:J269"/>
    <mergeCell ref="F270:G270"/>
    <mergeCell ref="I270:J270"/>
    <mergeCell ref="F265:G265"/>
    <mergeCell ref="I265:J265"/>
    <mergeCell ref="F266:G266"/>
    <mergeCell ref="I266:J266"/>
    <mergeCell ref="F267:G267"/>
    <mergeCell ref="I267:J267"/>
    <mergeCell ref="F262:G262"/>
    <mergeCell ref="I262:J262"/>
    <mergeCell ref="F263:G263"/>
    <mergeCell ref="I263:J263"/>
    <mergeCell ref="F264:G264"/>
    <mergeCell ref="I264:J264"/>
    <mergeCell ref="F259:G259"/>
    <mergeCell ref="I259:J259"/>
    <mergeCell ref="F260:G260"/>
    <mergeCell ref="I260:J260"/>
    <mergeCell ref="F261:G261"/>
    <mergeCell ref="I261:J261"/>
    <mergeCell ref="F256:G256"/>
    <mergeCell ref="I256:J256"/>
    <mergeCell ref="F257:G257"/>
    <mergeCell ref="I257:J257"/>
    <mergeCell ref="F258:G258"/>
    <mergeCell ref="I258:J258"/>
    <mergeCell ref="F253:G253"/>
    <mergeCell ref="I253:J253"/>
    <mergeCell ref="F254:G254"/>
    <mergeCell ref="I254:J254"/>
    <mergeCell ref="F255:G255"/>
    <mergeCell ref="I255:J255"/>
    <mergeCell ref="F250:G250"/>
    <mergeCell ref="I250:J250"/>
    <mergeCell ref="F251:G251"/>
    <mergeCell ref="I251:J251"/>
    <mergeCell ref="F252:G252"/>
    <mergeCell ref="I252:J252"/>
    <mergeCell ref="F247:G247"/>
    <mergeCell ref="I247:J247"/>
    <mergeCell ref="F248:G248"/>
    <mergeCell ref="I248:J248"/>
    <mergeCell ref="F249:G249"/>
    <mergeCell ref="I249:J249"/>
    <mergeCell ref="F244:G244"/>
    <mergeCell ref="I244:J244"/>
    <mergeCell ref="F245:G245"/>
    <mergeCell ref="I245:J245"/>
    <mergeCell ref="F246:G246"/>
    <mergeCell ref="I246:J246"/>
    <mergeCell ref="F241:G241"/>
    <mergeCell ref="I241:J241"/>
    <mergeCell ref="F242:G242"/>
    <mergeCell ref="I242:J242"/>
    <mergeCell ref="F243:G243"/>
    <mergeCell ref="I243:J243"/>
    <mergeCell ref="F238:G238"/>
    <mergeCell ref="I238:J238"/>
    <mergeCell ref="F239:G239"/>
    <mergeCell ref="I239:J239"/>
    <mergeCell ref="F240:G240"/>
    <mergeCell ref="I240:J240"/>
    <mergeCell ref="F235:G235"/>
    <mergeCell ref="I235:J235"/>
    <mergeCell ref="F236:G236"/>
    <mergeCell ref="I236:J236"/>
    <mergeCell ref="F237:G237"/>
    <mergeCell ref="I237:J237"/>
    <mergeCell ref="F232:G232"/>
    <mergeCell ref="I232:J232"/>
    <mergeCell ref="F233:G233"/>
    <mergeCell ref="I233:J233"/>
    <mergeCell ref="F234:G234"/>
    <mergeCell ref="I234:J234"/>
    <mergeCell ref="F229:G229"/>
    <mergeCell ref="I229:J229"/>
    <mergeCell ref="F230:G230"/>
    <mergeCell ref="I230:J230"/>
    <mergeCell ref="F231:G231"/>
    <mergeCell ref="I231:J231"/>
    <mergeCell ref="F226:G226"/>
    <mergeCell ref="I226:J226"/>
    <mergeCell ref="F227:G227"/>
    <mergeCell ref="I227:J227"/>
    <mergeCell ref="F228:G228"/>
    <mergeCell ref="I228:J228"/>
    <mergeCell ref="F223:G223"/>
    <mergeCell ref="I223:J223"/>
    <mergeCell ref="F224:G224"/>
    <mergeCell ref="I224:J224"/>
    <mergeCell ref="F225:G225"/>
    <mergeCell ref="I225:J225"/>
    <mergeCell ref="F220:G220"/>
    <mergeCell ref="I220:J220"/>
    <mergeCell ref="F221:G221"/>
    <mergeCell ref="I221:J221"/>
    <mergeCell ref="F222:G222"/>
    <mergeCell ref="I222:J222"/>
    <mergeCell ref="F217:G217"/>
    <mergeCell ref="I217:J217"/>
    <mergeCell ref="F218:G218"/>
    <mergeCell ref="I218:J218"/>
    <mergeCell ref="F219:G219"/>
    <mergeCell ref="I219:J219"/>
    <mergeCell ref="F214:G214"/>
    <mergeCell ref="I214:J214"/>
    <mergeCell ref="F215:G215"/>
    <mergeCell ref="I215:J215"/>
    <mergeCell ref="F216:G216"/>
    <mergeCell ref="I216:J216"/>
    <mergeCell ref="F211:G211"/>
    <mergeCell ref="I211:J211"/>
    <mergeCell ref="F212:G212"/>
    <mergeCell ref="I212:J212"/>
    <mergeCell ref="F213:G213"/>
    <mergeCell ref="I213:J213"/>
    <mergeCell ref="F208:G208"/>
    <mergeCell ref="I208:J208"/>
    <mergeCell ref="F209:G209"/>
    <mergeCell ref="I209:J209"/>
    <mergeCell ref="F210:G210"/>
    <mergeCell ref="I210:J210"/>
    <mergeCell ref="F205:G205"/>
    <mergeCell ref="I205:J205"/>
    <mergeCell ref="F206:G206"/>
    <mergeCell ref="I206:J206"/>
    <mergeCell ref="F207:G207"/>
    <mergeCell ref="I207:J207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33"/>
  <sheetViews>
    <sheetView topLeftCell="A22" workbookViewId="0">
      <selection activeCell="J34" sqref="J34"/>
    </sheetView>
  </sheetViews>
  <sheetFormatPr defaultRowHeight="14.4" x14ac:dyDescent="0.3"/>
  <cols>
    <col min="2" max="4" width="20.88671875" customWidth="1"/>
  </cols>
  <sheetData>
    <row r="1" spans="1:12" x14ac:dyDescent="0.3">
      <c r="A1" s="336" t="s">
        <v>13</v>
      </c>
      <c r="B1" s="337" t="s">
        <v>14</v>
      </c>
      <c r="C1" s="337" t="s">
        <v>15</v>
      </c>
      <c r="D1" s="338" t="s">
        <v>16</v>
      </c>
      <c r="E1" s="339" t="s">
        <v>17</v>
      </c>
      <c r="F1" s="339"/>
      <c r="G1" s="339"/>
      <c r="H1" s="340" t="s">
        <v>18</v>
      </c>
      <c r="I1" s="340"/>
      <c r="J1" s="340"/>
      <c r="K1" s="337" t="s">
        <v>19</v>
      </c>
      <c r="L1" s="337"/>
    </row>
    <row r="2" spans="1:12" hidden="1" x14ac:dyDescent="0.3">
      <c r="A2" s="341"/>
      <c r="B2" s="342"/>
      <c r="C2" s="342"/>
      <c r="D2" s="343"/>
      <c r="E2" s="344" t="s">
        <v>20</v>
      </c>
      <c r="F2" s="345"/>
      <c r="G2" s="345"/>
      <c r="H2" s="346" t="s">
        <v>20</v>
      </c>
      <c r="I2" s="347"/>
      <c r="J2" s="347"/>
      <c r="K2" s="341"/>
      <c r="L2" s="348"/>
    </row>
    <row r="3" spans="1:12" ht="71.400000000000006" x14ac:dyDescent="0.3">
      <c r="A3" s="349" t="s">
        <v>23</v>
      </c>
      <c r="B3" s="350" t="s">
        <v>1321</v>
      </c>
      <c r="C3" s="350" t="s">
        <v>1322</v>
      </c>
      <c r="D3" s="350" t="s">
        <v>1323</v>
      </c>
      <c r="E3" s="351" t="s">
        <v>175</v>
      </c>
      <c r="F3" s="352" t="s">
        <v>29</v>
      </c>
      <c r="G3" s="352"/>
      <c r="H3" s="351" t="s">
        <v>27</v>
      </c>
      <c r="I3" s="353">
        <v>10001.1</v>
      </c>
      <c r="J3" s="353"/>
      <c r="K3" s="354" t="s">
        <v>22</v>
      </c>
      <c r="L3" s="355">
        <v>726088.32</v>
      </c>
    </row>
    <row r="4" spans="1:12" ht="71.400000000000006" x14ac:dyDescent="0.3">
      <c r="A4" s="349" t="s">
        <v>23</v>
      </c>
      <c r="B4" s="350" t="s">
        <v>1321</v>
      </c>
      <c r="C4" s="350" t="s">
        <v>1322</v>
      </c>
      <c r="D4" s="350" t="s">
        <v>1324</v>
      </c>
      <c r="E4" s="351" t="s">
        <v>175</v>
      </c>
      <c r="F4" s="352" t="s">
        <v>29</v>
      </c>
      <c r="G4" s="352"/>
      <c r="H4" s="351" t="s">
        <v>27</v>
      </c>
      <c r="I4" s="353">
        <v>3793.77</v>
      </c>
      <c r="J4" s="353"/>
      <c r="K4" s="354" t="s">
        <v>22</v>
      </c>
      <c r="L4" s="355">
        <v>722294.55</v>
      </c>
    </row>
    <row r="5" spans="1:12" ht="71.400000000000006" x14ac:dyDescent="0.3">
      <c r="A5" s="349" t="s">
        <v>23</v>
      </c>
      <c r="B5" s="350" t="s">
        <v>1321</v>
      </c>
      <c r="C5" s="350" t="s">
        <v>1322</v>
      </c>
      <c r="D5" s="350" t="s">
        <v>1325</v>
      </c>
      <c r="E5" s="351" t="s">
        <v>175</v>
      </c>
      <c r="F5" s="352" t="s">
        <v>29</v>
      </c>
      <c r="G5" s="352"/>
      <c r="H5" s="351" t="s">
        <v>27</v>
      </c>
      <c r="I5" s="353">
        <v>1234.94</v>
      </c>
      <c r="J5" s="353"/>
      <c r="K5" s="354" t="s">
        <v>22</v>
      </c>
      <c r="L5" s="355">
        <v>721059.61</v>
      </c>
    </row>
    <row r="6" spans="1:12" ht="71.400000000000006" x14ac:dyDescent="0.3">
      <c r="A6" s="349" t="s">
        <v>23</v>
      </c>
      <c r="B6" s="350" t="s">
        <v>1321</v>
      </c>
      <c r="C6" s="350" t="s">
        <v>1322</v>
      </c>
      <c r="D6" s="350" t="s">
        <v>1326</v>
      </c>
      <c r="E6" s="351" t="s">
        <v>175</v>
      </c>
      <c r="F6" s="352" t="s">
        <v>29</v>
      </c>
      <c r="G6" s="352"/>
      <c r="H6" s="351" t="s">
        <v>27</v>
      </c>
      <c r="I6" s="356">
        <v>880.84</v>
      </c>
      <c r="J6" s="356"/>
      <c r="K6" s="354" t="s">
        <v>22</v>
      </c>
      <c r="L6" s="355">
        <v>720178.77</v>
      </c>
    </row>
    <row r="7" spans="1:12" ht="71.400000000000006" x14ac:dyDescent="0.3">
      <c r="A7" s="349" t="s">
        <v>23</v>
      </c>
      <c r="B7" s="350" t="s">
        <v>1321</v>
      </c>
      <c r="C7" s="350" t="s">
        <v>1322</v>
      </c>
      <c r="D7" s="350" t="s">
        <v>1327</v>
      </c>
      <c r="E7" s="351" t="s">
        <v>175</v>
      </c>
      <c r="F7" s="352" t="s">
        <v>29</v>
      </c>
      <c r="G7" s="352"/>
      <c r="H7" s="351" t="s">
        <v>27</v>
      </c>
      <c r="I7" s="353">
        <v>1564.69</v>
      </c>
      <c r="J7" s="353"/>
      <c r="K7" s="354" t="s">
        <v>22</v>
      </c>
      <c r="L7" s="355">
        <v>718614.08</v>
      </c>
    </row>
    <row r="8" spans="1:12" ht="71.400000000000006" x14ac:dyDescent="0.3">
      <c r="A8" s="349" t="s">
        <v>23</v>
      </c>
      <c r="B8" s="350" t="s">
        <v>1321</v>
      </c>
      <c r="C8" s="350" t="s">
        <v>1322</v>
      </c>
      <c r="D8" s="350" t="s">
        <v>1328</v>
      </c>
      <c r="E8" s="351" t="s">
        <v>175</v>
      </c>
      <c r="F8" s="352" t="s">
        <v>29</v>
      </c>
      <c r="G8" s="352"/>
      <c r="H8" s="351" t="s">
        <v>27</v>
      </c>
      <c r="I8" s="353">
        <v>10234.06</v>
      </c>
      <c r="J8" s="353"/>
      <c r="K8" s="354" t="s">
        <v>22</v>
      </c>
      <c r="L8" s="355">
        <v>708380.02</v>
      </c>
    </row>
    <row r="9" spans="1:12" ht="61.2" x14ac:dyDescent="0.3">
      <c r="A9" s="349" t="s">
        <v>23</v>
      </c>
      <c r="B9" s="350" t="s">
        <v>1321</v>
      </c>
      <c r="C9" s="350" t="s">
        <v>1322</v>
      </c>
      <c r="D9" s="350" t="s">
        <v>1329</v>
      </c>
      <c r="E9" s="351" t="s">
        <v>175</v>
      </c>
      <c r="F9" s="352" t="s">
        <v>29</v>
      </c>
      <c r="G9" s="352"/>
      <c r="H9" s="351" t="s">
        <v>27</v>
      </c>
      <c r="I9" s="353">
        <v>1550.81</v>
      </c>
      <c r="J9" s="353"/>
      <c r="K9" s="354" t="s">
        <v>22</v>
      </c>
      <c r="L9" s="355">
        <v>706829.21</v>
      </c>
    </row>
    <row r="10" spans="1:12" ht="71.400000000000006" x14ac:dyDescent="0.3">
      <c r="A10" s="349" t="s">
        <v>23</v>
      </c>
      <c r="B10" s="350" t="s">
        <v>1321</v>
      </c>
      <c r="C10" s="350" t="s">
        <v>1322</v>
      </c>
      <c r="D10" s="350" t="s">
        <v>1330</v>
      </c>
      <c r="E10" s="351" t="s">
        <v>175</v>
      </c>
      <c r="F10" s="352" t="s">
        <v>29</v>
      </c>
      <c r="G10" s="352"/>
      <c r="H10" s="351" t="s">
        <v>27</v>
      </c>
      <c r="I10" s="353">
        <v>3473.62</v>
      </c>
      <c r="J10" s="353"/>
      <c r="K10" s="354" t="s">
        <v>22</v>
      </c>
      <c r="L10" s="355">
        <v>703355.59</v>
      </c>
    </row>
    <row r="11" spans="1:12" ht="71.400000000000006" x14ac:dyDescent="0.3">
      <c r="A11" s="349" t="s">
        <v>23</v>
      </c>
      <c r="B11" s="350" t="s">
        <v>1321</v>
      </c>
      <c r="C11" s="350" t="s">
        <v>1322</v>
      </c>
      <c r="D11" s="350" t="s">
        <v>1331</v>
      </c>
      <c r="E11" s="351" t="s">
        <v>175</v>
      </c>
      <c r="F11" s="352" t="s">
        <v>29</v>
      </c>
      <c r="G11" s="352"/>
      <c r="H11" s="351" t="s">
        <v>27</v>
      </c>
      <c r="I11" s="356">
        <v>672.95</v>
      </c>
      <c r="J11" s="356"/>
      <c r="K11" s="354" t="s">
        <v>22</v>
      </c>
      <c r="L11" s="355">
        <v>702682.64</v>
      </c>
    </row>
    <row r="12" spans="1:12" ht="71.400000000000006" x14ac:dyDescent="0.3">
      <c r="A12" s="349" t="s">
        <v>23</v>
      </c>
      <c r="B12" s="350" t="s">
        <v>1321</v>
      </c>
      <c r="C12" s="350" t="s">
        <v>1322</v>
      </c>
      <c r="D12" s="350" t="s">
        <v>1332</v>
      </c>
      <c r="E12" s="351" t="s">
        <v>175</v>
      </c>
      <c r="F12" s="352" t="s">
        <v>29</v>
      </c>
      <c r="G12" s="352"/>
      <c r="H12" s="351" t="s">
        <v>27</v>
      </c>
      <c r="I12" s="356">
        <v>589.23</v>
      </c>
      <c r="J12" s="356"/>
      <c r="K12" s="354" t="s">
        <v>22</v>
      </c>
      <c r="L12" s="355">
        <v>702093.41</v>
      </c>
    </row>
    <row r="13" spans="1:12" ht="71.400000000000006" x14ac:dyDescent="0.3">
      <c r="A13" s="349" t="s">
        <v>23</v>
      </c>
      <c r="B13" s="350" t="s">
        <v>1321</v>
      </c>
      <c r="C13" s="350" t="s">
        <v>1322</v>
      </c>
      <c r="D13" s="350" t="s">
        <v>1333</v>
      </c>
      <c r="E13" s="351" t="s">
        <v>175</v>
      </c>
      <c r="F13" s="352" t="s">
        <v>29</v>
      </c>
      <c r="G13" s="352"/>
      <c r="H13" s="351" t="s">
        <v>27</v>
      </c>
      <c r="I13" s="353">
        <v>26391.64</v>
      </c>
      <c r="J13" s="353"/>
      <c r="K13" s="354" t="s">
        <v>22</v>
      </c>
      <c r="L13" s="355">
        <v>675701.77</v>
      </c>
    </row>
    <row r="14" spans="1:12" ht="71.400000000000006" x14ac:dyDescent="0.3">
      <c r="A14" s="349" t="s">
        <v>23</v>
      </c>
      <c r="B14" s="350" t="s">
        <v>1321</v>
      </c>
      <c r="C14" s="350" t="s">
        <v>1322</v>
      </c>
      <c r="D14" s="350" t="s">
        <v>1334</v>
      </c>
      <c r="E14" s="351" t="s">
        <v>175</v>
      </c>
      <c r="F14" s="352" t="s">
        <v>29</v>
      </c>
      <c r="G14" s="352"/>
      <c r="H14" s="351" t="s">
        <v>27</v>
      </c>
      <c r="I14" s="353">
        <v>2389.31</v>
      </c>
      <c r="J14" s="353"/>
      <c r="K14" s="354" t="s">
        <v>22</v>
      </c>
      <c r="L14" s="355">
        <v>673312.46</v>
      </c>
    </row>
    <row r="15" spans="1:12" ht="61.2" x14ac:dyDescent="0.3">
      <c r="A15" s="349" t="s">
        <v>23</v>
      </c>
      <c r="B15" s="350" t="s">
        <v>1335</v>
      </c>
      <c r="C15" s="350" t="s">
        <v>1322</v>
      </c>
      <c r="D15" s="350" t="s">
        <v>1336</v>
      </c>
      <c r="E15" s="351" t="s">
        <v>175</v>
      </c>
      <c r="F15" s="352" t="s">
        <v>29</v>
      </c>
      <c r="G15" s="352"/>
      <c r="H15" s="351" t="s">
        <v>27</v>
      </c>
      <c r="I15" s="353">
        <v>28365</v>
      </c>
      <c r="J15" s="353"/>
      <c r="K15" s="354" t="s">
        <v>22</v>
      </c>
      <c r="L15" s="355">
        <v>644947.46</v>
      </c>
    </row>
    <row r="16" spans="1:12" ht="71.400000000000006" x14ac:dyDescent="0.3">
      <c r="A16" s="349" t="s">
        <v>23</v>
      </c>
      <c r="B16" s="350" t="s">
        <v>1335</v>
      </c>
      <c r="C16" s="350" t="s">
        <v>1322</v>
      </c>
      <c r="D16" s="350" t="s">
        <v>1326</v>
      </c>
      <c r="E16" s="351" t="s">
        <v>175</v>
      </c>
      <c r="F16" s="352" t="s">
        <v>29</v>
      </c>
      <c r="G16" s="352"/>
      <c r="H16" s="351" t="s">
        <v>27</v>
      </c>
      <c r="I16" s="353">
        <v>47594.51</v>
      </c>
      <c r="J16" s="353"/>
      <c r="K16" s="354" t="s">
        <v>22</v>
      </c>
      <c r="L16" s="355">
        <v>597352.94999999995</v>
      </c>
    </row>
    <row r="17" spans="1:12" ht="71.400000000000006" x14ac:dyDescent="0.3">
      <c r="A17" s="349" t="s">
        <v>23</v>
      </c>
      <c r="B17" s="350" t="s">
        <v>1335</v>
      </c>
      <c r="C17" s="350" t="s">
        <v>1322</v>
      </c>
      <c r="D17" s="350" t="s">
        <v>1334</v>
      </c>
      <c r="E17" s="351" t="s">
        <v>175</v>
      </c>
      <c r="F17" s="352" t="s">
        <v>29</v>
      </c>
      <c r="G17" s="352"/>
      <c r="H17" s="351" t="s">
        <v>27</v>
      </c>
      <c r="I17" s="353">
        <v>17023.82</v>
      </c>
      <c r="J17" s="353"/>
      <c r="K17" s="354" t="s">
        <v>22</v>
      </c>
      <c r="L17" s="355">
        <v>580329.13</v>
      </c>
    </row>
    <row r="18" spans="1:12" ht="71.400000000000006" x14ac:dyDescent="0.3">
      <c r="A18" s="349" t="s">
        <v>23</v>
      </c>
      <c r="B18" s="350" t="s">
        <v>1335</v>
      </c>
      <c r="C18" s="350" t="s">
        <v>1322</v>
      </c>
      <c r="D18" s="350" t="s">
        <v>1325</v>
      </c>
      <c r="E18" s="351" t="s">
        <v>175</v>
      </c>
      <c r="F18" s="352" t="s">
        <v>29</v>
      </c>
      <c r="G18" s="352"/>
      <c r="H18" s="351" t="s">
        <v>27</v>
      </c>
      <c r="I18" s="353">
        <v>156178.57999999999</v>
      </c>
      <c r="J18" s="353"/>
      <c r="K18" s="354" t="s">
        <v>22</v>
      </c>
      <c r="L18" s="355">
        <v>424150.55</v>
      </c>
    </row>
    <row r="19" spans="1:12" ht="61.2" x14ac:dyDescent="0.3">
      <c r="A19" s="349" t="s">
        <v>23</v>
      </c>
      <c r="B19" s="350" t="s">
        <v>1335</v>
      </c>
      <c r="C19" s="350" t="s">
        <v>1322</v>
      </c>
      <c r="D19" s="350" t="s">
        <v>1337</v>
      </c>
      <c r="E19" s="351" t="s">
        <v>175</v>
      </c>
      <c r="F19" s="352" t="s">
        <v>29</v>
      </c>
      <c r="G19" s="352"/>
      <c r="H19" s="351" t="s">
        <v>27</v>
      </c>
      <c r="I19" s="353">
        <v>2754.23</v>
      </c>
      <c r="J19" s="353"/>
      <c r="K19" s="354" t="s">
        <v>22</v>
      </c>
      <c r="L19" s="355">
        <v>421396.32</v>
      </c>
    </row>
    <row r="20" spans="1:12" ht="61.2" x14ac:dyDescent="0.3">
      <c r="A20" s="349" t="s">
        <v>23</v>
      </c>
      <c r="B20" s="350" t="s">
        <v>1335</v>
      </c>
      <c r="C20" s="350" t="s">
        <v>1322</v>
      </c>
      <c r="D20" s="350" t="s">
        <v>1338</v>
      </c>
      <c r="E20" s="351" t="s">
        <v>175</v>
      </c>
      <c r="F20" s="352" t="s">
        <v>29</v>
      </c>
      <c r="G20" s="352"/>
      <c r="H20" s="351" t="s">
        <v>27</v>
      </c>
      <c r="I20" s="353">
        <v>53214.18</v>
      </c>
      <c r="J20" s="353"/>
      <c r="K20" s="354" t="s">
        <v>22</v>
      </c>
      <c r="L20" s="355">
        <v>368182.14</v>
      </c>
    </row>
    <row r="21" spans="1:12" ht="71.400000000000006" x14ac:dyDescent="0.3">
      <c r="A21" s="349" t="s">
        <v>23</v>
      </c>
      <c r="B21" s="350" t="s">
        <v>1335</v>
      </c>
      <c r="C21" s="350" t="s">
        <v>1322</v>
      </c>
      <c r="D21" s="350" t="s">
        <v>1339</v>
      </c>
      <c r="E21" s="351" t="s">
        <v>175</v>
      </c>
      <c r="F21" s="352" t="s">
        <v>29</v>
      </c>
      <c r="G21" s="352"/>
      <c r="H21" s="351" t="s">
        <v>27</v>
      </c>
      <c r="I21" s="353">
        <v>25428.19</v>
      </c>
      <c r="J21" s="353"/>
      <c r="K21" s="354" t="s">
        <v>22</v>
      </c>
      <c r="L21" s="355">
        <v>342753.95</v>
      </c>
    </row>
    <row r="22" spans="1:12" ht="61.2" x14ac:dyDescent="0.3">
      <c r="A22" s="349" t="s">
        <v>23</v>
      </c>
      <c r="B22" s="350" t="s">
        <v>1335</v>
      </c>
      <c r="C22" s="350" t="s">
        <v>1322</v>
      </c>
      <c r="D22" s="350" t="s">
        <v>1340</v>
      </c>
      <c r="E22" s="351" t="s">
        <v>175</v>
      </c>
      <c r="F22" s="352" t="s">
        <v>29</v>
      </c>
      <c r="G22" s="352"/>
      <c r="H22" s="351" t="s">
        <v>27</v>
      </c>
      <c r="I22" s="353">
        <v>3238.49</v>
      </c>
      <c r="J22" s="353"/>
      <c r="K22" s="354" t="s">
        <v>22</v>
      </c>
      <c r="L22" s="355">
        <v>339515.46</v>
      </c>
    </row>
    <row r="23" spans="1:12" ht="61.2" x14ac:dyDescent="0.3">
      <c r="A23" s="349" t="s">
        <v>23</v>
      </c>
      <c r="B23" s="350" t="s">
        <v>1335</v>
      </c>
      <c r="C23" s="350" t="s">
        <v>1322</v>
      </c>
      <c r="D23" s="350" t="s">
        <v>1341</v>
      </c>
      <c r="E23" s="351" t="s">
        <v>175</v>
      </c>
      <c r="F23" s="352" t="s">
        <v>29</v>
      </c>
      <c r="G23" s="352"/>
      <c r="H23" s="351" t="s">
        <v>27</v>
      </c>
      <c r="I23" s="353">
        <v>56421.73</v>
      </c>
      <c r="J23" s="353"/>
      <c r="K23" s="354" t="s">
        <v>22</v>
      </c>
      <c r="L23" s="355">
        <v>283093.73</v>
      </c>
    </row>
    <row r="24" spans="1:12" ht="61.2" x14ac:dyDescent="0.3">
      <c r="A24" s="349" t="s">
        <v>23</v>
      </c>
      <c r="B24" s="350" t="s">
        <v>1335</v>
      </c>
      <c r="C24" s="350" t="s">
        <v>1322</v>
      </c>
      <c r="D24" s="350" t="s">
        <v>1342</v>
      </c>
      <c r="E24" s="351" t="s">
        <v>175</v>
      </c>
      <c r="F24" s="352" t="s">
        <v>29</v>
      </c>
      <c r="G24" s="352"/>
      <c r="H24" s="351" t="s">
        <v>27</v>
      </c>
      <c r="I24" s="353">
        <v>18080.61</v>
      </c>
      <c r="J24" s="353"/>
      <c r="K24" s="354" t="s">
        <v>22</v>
      </c>
      <c r="L24" s="355">
        <v>265013.12</v>
      </c>
    </row>
    <row r="25" spans="1:12" ht="61.2" x14ac:dyDescent="0.3">
      <c r="A25" s="349" t="s">
        <v>23</v>
      </c>
      <c r="B25" s="350" t="s">
        <v>1335</v>
      </c>
      <c r="C25" s="350" t="s">
        <v>1322</v>
      </c>
      <c r="D25" s="350" t="s">
        <v>1343</v>
      </c>
      <c r="E25" s="351" t="s">
        <v>175</v>
      </c>
      <c r="F25" s="352" t="s">
        <v>29</v>
      </c>
      <c r="G25" s="352"/>
      <c r="H25" s="351" t="s">
        <v>27</v>
      </c>
      <c r="I25" s="353">
        <v>2998.55</v>
      </c>
      <c r="J25" s="353"/>
      <c r="K25" s="354" t="s">
        <v>22</v>
      </c>
      <c r="L25" s="355">
        <v>262014.57</v>
      </c>
    </row>
    <row r="26" spans="1:12" ht="61.2" x14ac:dyDescent="0.3">
      <c r="A26" s="349" t="s">
        <v>23</v>
      </c>
      <c r="B26" s="350" t="s">
        <v>1335</v>
      </c>
      <c r="C26" s="350" t="s">
        <v>1322</v>
      </c>
      <c r="D26" s="350" t="s">
        <v>1344</v>
      </c>
      <c r="E26" s="351" t="s">
        <v>175</v>
      </c>
      <c r="F26" s="352" t="s">
        <v>29</v>
      </c>
      <c r="G26" s="352"/>
      <c r="H26" s="351" t="s">
        <v>27</v>
      </c>
      <c r="I26" s="353">
        <v>6415.13</v>
      </c>
      <c r="J26" s="353"/>
      <c r="K26" s="354" t="s">
        <v>22</v>
      </c>
      <c r="L26" s="355">
        <v>255599.44</v>
      </c>
    </row>
    <row r="27" spans="1:12" ht="61.2" x14ac:dyDescent="0.3">
      <c r="A27" s="349" t="s">
        <v>23</v>
      </c>
      <c r="B27" s="350" t="s">
        <v>1335</v>
      </c>
      <c r="C27" s="350" t="s">
        <v>1322</v>
      </c>
      <c r="D27" s="350" t="s">
        <v>1345</v>
      </c>
      <c r="E27" s="351" t="s">
        <v>175</v>
      </c>
      <c r="F27" s="352" t="s">
        <v>29</v>
      </c>
      <c r="G27" s="352"/>
      <c r="H27" s="351" t="s">
        <v>27</v>
      </c>
      <c r="I27" s="353">
        <v>7039.15</v>
      </c>
      <c r="J27" s="353"/>
      <c r="K27" s="354" t="s">
        <v>22</v>
      </c>
      <c r="L27" s="355">
        <v>248560.29</v>
      </c>
    </row>
    <row r="28" spans="1:12" ht="61.2" hidden="1" x14ac:dyDescent="0.3">
      <c r="A28" s="349" t="s">
        <v>23</v>
      </c>
      <c r="B28" s="350" t="s">
        <v>1346</v>
      </c>
      <c r="C28" s="350" t="s">
        <v>1347</v>
      </c>
      <c r="D28" s="350" t="s">
        <v>1348</v>
      </c>
      <c r="E28" s="351" t="s">
        <v>27</v>
      </c>
      <c r="F28" s="357">
        <v>14874.38</v>
      </c>
      <c r="G28" s="357"/>
      <c r="H28" s="351" t="s">
        <v>27</v>
      </c>
      <c r="I28" s="358" t="s">
        <v>29</v>
      </c>
      <c r="J28" s="358"/>
      <c r="K28" s="354" t="s">
        <v>22</v>
      </c>
      <c r="L28" s="355">
        <v>263434.67</v>
      </c>
    </row>
    <row r="29" spans="1:12" ht="71.400000000000006" hidden="1" x14ac:dyDescent="0.3">
      <c r="A29" s="349" t="s">
        <v>23</v>
      </c>
      <c r="B29" s="350" t="s">
        <v>1346</v>
      </c>
      <c r="C29" s="350" t="s">
        <v>1349</v>
      </c>
      <c r="D29" s="350" t="s">
        <v>1350</v>
      </c>
      <c r="E29" s="351" t="s">
        <v>27</v>
      </c>
      <c r="F29" s="357">
        <v>7071.51</v>
      </c>
      <c r="G29" s="357"/>
      <c r="H29" s="351" t="s">
        <v>27</v>
      </c>
      <c r="I29" s="358" t="s">
        <v>29</v>
      </c>
      <c r="J29" s="358"/>
      <c r="K29" s="354" t="s">
        <v>22</v>
      </c>
      <c r="L29" s="355">
        <v>270506.18</v>
      </c>
    </row>
    <row r="30" spans="1:12" ht="71.400000000000006" hidden="1" x14ac:dyDescent="0.3">
      <c r="A30" s="349" t="s">
        <v>468</v>
      </c>
      <c r="B30" s="350" t="s">
        <v>1351</v>
      </c>
      <c r="C30" s="350" t="s">
        <v>1352</v>
      </c>
      <c r="D30" s="350" t="s">
        <v>1353</v>
      </c>
      <c r="E30" s="351" t="s">
        <v>27</v>
      </c>
      <c r="F30" s="352" t="s">
        <v>29</v>
      </c>
      <c r="G30" s="352"/>
      <c r="H30" s="351" t="s">
        <v>27</v>
      </c>
      <c r="I30" s="353">
        <v>14188.21</v>
      </c>
      <c r="J30" s="353"/>
      <c r="K30" s="354" t="s">
        <v>22</v>
      </c>
      <c r="L30" s="355">
        <v>256317.97</v>
      </c>
    </row>
    <row r="31" spans="1:12" hidden="1" x14ac:dyDescent="0.3">
      <c r="A31" s="359" t="s">
        <v>102</v>
      </c>
      <c r="B31" s="359"/>
      <c r="C31" s="359"/>
      <c r="D31" s="359"/>
      <c r="E31" s="360">
        <v>21945.89</v>
      </c>
      <c r="F31" s="360"/>
      <c r="G31" s="360"/>
      <c r="H31" s="360">
        <v>501717.34</v>
      </c>
      <c r="I31" s="360"/>
      <c r="J31" s="360"/>
      <c r="K31" s="361" t="s">
        <v>22</v>
      </c>
      <c r="L31" s="362">
        <v>256317.97</v>
      </c>
    </row>
    <row r="33" spans="10:10" x14ac:dyDescent="0.3">
      <c r="J33">
        <f>SUBTOTAL(9,I3:J27)</f>
        <v>487529.12999999995</v>
      </c>
    </row>
  </sheetData>
  <autoFilter ref="B1:D31">
    <filterColumn colId="0">
      <filters>
        <filter val="Вимога-накладна ІБ00-000129 від 03.03.2025 00:00:00_x000a_Списаны ТМЦ"/>
        <filter val="Вимога-накладна ІБ00-000131 від 03.03.2025 00:00:00_x000a_Списаны ТМЦ"/>
      </filters>
    </filterColumn>
  </autoFilter>
  <mergeCells count="68">
    <mergeCell ref="A31:D31"/>
    <mergeCell ref="E31:G31"/>
    <mergeCell ref="H31:J31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Свод</vt:lpstr>
      <vt:lpstr>АПК</vt:lpstr>
      <vt:lpstr>ГП мытный</vt:lpstr>
      <vt:lpstr>ГП Стена</vt:lpstr>
      <vt:lpstr>Глобине-2</vt:lpstr>
      <vt:lpstr>Котельна</vt:lpstr>
      <vt:lpstr>Насосна </vt:lpstr>
      <vt:lpstr>Пожежний</vt:lpstr>
      <vt:lpstr> бігбегах</vt:lpstr>
      <vt:lpstr>розчинника</vt:lpstr>
      <vt:lpstr>меляси</vt:lpstr>
      <vt:lpstr>СПК</vt:lpstr>
      <vt:lpstr>екстракції</vt:lpstr>
      <vt:lpstr>Цех_Глобино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2025-04-23T17:51:26Z</dcterms:modified>
</cp:coreProperties>
</file>
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СВОД" sheetId="1" r:id="rId1"/>
    <sheet name="Глобине-2" sheetId="2" r:id="rId2"/>
    <sheet name="Котельна" sheetId="3" r:id="rId3"/>
    <sheet name="Насосна Градирня" sheetId="4" r:id="rId4"/>
    <sheet name="Резервуар" sheetId="5" r:id="rId5"/>
    <sheet name="Цех екстракції" sheetId="6" r:id="rId6"/>
  </sheets>
  <definedNames>
    <definedName name="_xlnm._FilterDatabase" localSheetId="1" hidden="1">'Глобине-2'!$A$1:$L$183</definedName>
    <definedName name="_xlnm._FilterDatabase" localSheetId="2" hidden="1">Котельна!$A$1:$L$42</definedName>
    <definedName name="_xlnm._FilterDatabase" localSheetId="3" hidden="1">'Насосна Градирня'!$A$1:$L$17</definedName>
    <definedName name="_xlnm._FilterDatabase" localSheetId="4" hidden="1">Резервуар!$A$1:$L$20</definedName>
    <definedName name="_xlnm._FilterDatabase" localSheetId="5" hidden="1">'Цех екстракції'!$A$1:$L$75</definedName>
  </definedNames>
  <calcPr calcId="144525"/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  <c r="J185" i="2"/>
  <c r="J44" i="3"/>
  <c r="J19" i="4"/>
  <c r="J22" i="5"/>
  <c r="J77" i="6"/>
</calcChain>
</file>

<file path=xl/sharedStrings.xml><?xml version="1.0" encoding="utf-8"?>
<sst xmlns="http://schemas.openxmlformats.org/spreadsheetml/2006/main" count="2636" uniqueCount="328">
  <si>
    <t>Глобине-2</t>
  </si>
  <si>
    <t>Котельна (Глобине)</t>
  </si>
  <si>
    <t>Насосна Градирня (Глобине)</t>
  </si>
  <si>
    <t>Цех екстракції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</si>
  <si>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</si>
  <si>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</si>
  <si>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</si>
  <si>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</si>
  <si>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</si>
  <si>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</si>
  <si>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</si>
  <si>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</si>
  <si>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</si>
  <si>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03.03.2025</t>
  </si>
  <si>
    <t>Авансовий звіт ІБ00-000046 від 03.03.2025 18:09:12
Оприходованы ТМЦ</t>
  </si>
  <si>
    <t>Обл. НДС
Замок навісний
Авансовий звіт ІБ00-000046 від 03.03.2025 18:09:12
Глобине-2</t>
  </si>
  <si>
    <t>Штиченко Олександр Володимирович</t>
  </si>
  <si>
    <t>221</t>
  </si>
  <si>
    <t>3721</t>
  </si>
  <si>
    <t xml:space="preserve"> </t>
  </si>
  <si>
    <t>05.03.2025</t>
  </si>
  <si>
    <t>Надходження товарів і послуг ІБ00-001070 від 05.03.2025 18:40:05
Оприходованы ТМЦ</t>
  </si>
  <si>
    <t>Обл. НДС
Шланг пневматичний до компресора L=20м 
Надходження товарів і послуг ІБ00-001070 від 05.03.2025 18:40:05
Глобине-2</t>
  </si>
  <si>
    <t>Лавренчук Олександр Миколайович
Договір_Глобине-2
Рахунок на оплату постачальника ІБ00-001340 від 05.03.2025 10:00:00</t>
  </si>
  <si>
    <t>631</t>
  </si>
  <si>
    <t>Обл. НДС
Фарбопульт 
Надходження товарів і послуг ІБ00-001070 від 05.03.2025 18:40:05
Глобине-2</t>
  </si>
  <si>
    <t>07.03.2025</t>
  </si>
  <si>
    <t>Надходження товарів і послуг ІБ00-000976 від 07.03.2025 19:00:34
Оприходованы ТМЦ</t>
  </si>
  <si>
    <t>Обл. НДС
Круг відрізний по металу 125*1,6
Надходження товарів і послуг ІБ00-000976 від 07.03.2025 19:00:34
Глобине-2</t>
  </si>
  <si>
    <t>СКАЙ-ЕНЕРДЖИ
Рахунки_Глобине-2
Рахунок на оплату постачальника ІБ00-000822 від 07.03.2025 19:00:33</t>
  </si>
  <si>
    <t>Обл. НДС
Круг відрізний  14А 230*2,0*22,23 
Надходження товарів і послуг ІБ00-000976 від 07.03.2025 19:00:34
Глобине-2</t>
  </si>
  <si>
    <t>Обл. НДС
Щітка торцева з плет.провол. 125 мм, М14
Надходження товарів і послуг ІБ00-000976 від 07.03.2025 19:00:34
Глобине-2</t>
  </si>
  <si>
    <t>Обл. НДС
Маска "малярська пелюстка"
Надходження товарів і послуг ІБ00-000976 від 07.03.2025 19:00:34
Глобине-2</t>
  </si>
  <si>
    <t>Обл. НДС
Перчатки зварюв.червоні(краги)
Надходження товарів і послуг ІБ00-000976 від 07.03.2025 19:00:34
Глобине-2</t>
  </si>
  <si>
    <t>Обл. НДС
Сверло 14*200*260 мм
Надходження товарів і послуг ІБ00-000976 від 07.03.2025 19:00:34
Глобине-2</t>
  </si>
  <si>
    <t>Обл. НДС
Електроди "Моноліт РЦ" ф3 мм уп/2,5кг
Надходження товарів і послуг ІБ00-000976 від 07.03.2025 19:00:34
Глобине-2</t>
  </si>
  <si>
    <t>Обл. НДС
Електроди "Моноліт РЦ" 4 мм 5кг
Надходження товарів і послуг ІБ00-000976 від 07.03.2025 19:00:34
Глобине-2</t>
  </si>
  <si>
    <t>Переміщення товарів ІБ00-000186 від 07.03.2025 20:00:00
Перемещение ТМЦ</t>
  </si>
  <si>
    <t>Обл. НДС
Круг відрізний по металу 125*1,6
Надходження товарів і послуг ІБ00-000976 від 07.03.2025 19:00:34
АПК (Глобине)</t>
  </si>
  <si>
    <t>Обл. НДС
Круг відрізний  14А 230*2,0*22,23 
Надходження товарів і послуг ІБ00-000976 від 07.03.2025 19:00:34
АПК (Глобине)</t>
  </si>
  <si>
    <t>Обл. НДС
Перчатки зварюв.червоні(краги)
Надходження товарів і послуг ІБ00-000976 від 07.03.2025 19:00:34
АПК (Глобине)</t>
  </si>
  <si>
    <t>Переміщення товарів ІБ00-000187 від 07.03.2025 20:00:00
Перемещение ТМЦ</t>
  </si>
  <si>
    <t>Обл. НДС
Щітка торцева з плет.провол. 125 мм, М14
Надходження товарів і послуг ІБ00-000976 від 07.03.2025 19:00:34
Резервуар для зберігання розчинника(Глобине)</t>
  </si>
  <si>
    <t>Переміщення товарів ІБ00-000188 від 07.03.2025 20:00:00
Перемещение ТМЦ</t>
  </si>
  <si>
    <t>Обл. НДС
Маска "малярська пелюстка"
Надходження товарів і послуг ІБ00-000976 від 07.03.2025 19:00:34
Котельна (Глобине)</t>
  </si>
  <si>
    <t>Переміщення товарів ІБ00-000189 від 07.03.2025 20:00:00
Перемещение ТМЦ</t>
  </si>
  <si>
    <t>Обл. НДС
Сверло 14*200*260 мм
Надходження товарів і послуг ІБ00-000976 від 07.03.2025 19:00:34
Цех екстракції (Глобине)</t>
  </si>
  <si>
    <t>Переміщення товарів ІБ00-000190 від 07.03.2025 20:00:00
Перемещение ТМЦ</t>
  </si>
  <si>
    <t>Обл. НДС
Електроди "Моноліт РЦ" ф3 мм уп/2,5кг
Надходження товарів і послуг ІБ00-000976 від 07.03.2025 19:00:34
Пункт фасування та зберігання в бігбегах (Глобине)</t>
  </si>
  <si>
    <t>Переміщення товарів ІБ00-000191 від 07.03.2025 20:00:00
Перемещение ТМЦ</t>
  </si>
  <si>
    <t>Обл. НДС
Електроди "Моноліт РЦ" 4 мм 5кг
Надходження товарів і послуг ІБ00-000976 від 07.03.2025 19:00:34
СПК (Глобине)</t>
  </si>
  <si>
    <t>10.03.2025</t>
  </si>
  <si>
    <t>Переміщення товарів ІБ00-000170 від 10.03.2025 16:00:47
Перемещение ТМЦ</t>
  </si>
  <si>
    <t>Обл. НДС
Гачок для вязки дроту 210 мм
Надходження товарів і послуг ІБ00-005196 від 21.10.2024 17:44:01
Глобине-2</t>
  </si>
  <si>
    <t>Обл. НДС
Гачок для вязки дроту 210 мм
Надходження товарів і послуг ІБ00-005196 від 21.10.2024 17:44:01
Путрівка КМД</t>
  </si>
  <si>
    <t>Обл. НДС
Держак д/лопати
Надходження товарів і послуг ІБ00-006596 від 01.12.2024 12:00:00
Глобине-2</t>
  </si>
  <si>
    <t>Обл. НДС
Держак д/лопати
Надходження товарів і послуг ІБ00-006596 від 01.12.2024 12:00:00
Путрівка КМД</t>
  </si>
  <si>
    <t>Обл. НДС
Держак д/лопати 1,2 м
Надходження товарів і послуг ІБ00-004231 від 12.09.2024 18:41:34
Глобине-2</t>
  </si>
  <si>
    <t>Обл. НДС
Держак д/лопати 1,2 м
Надходження товарів і послуг ІБ00-004231 від 12.09.2024 18:41:34
Путрівка КМД</t>
  </si>
  <si>
    <t>Обл. НДС
Держак д/лопати 1,2 м
Надходження товарів і послуг ІБ00-005196 від 21.10.2024 17:44:01
Глобине-2</t>
  </si>
  <si>
    <t>Обл. НДС
Держак д/лопати 1,2 м
Надходження товарів і послуг ІБ00-005196 від 21.10.2024 17:44:01
Путрівка КМД</t>
  </si>
  <si>
    <t>Обл. НДС
Ніж  25мм
Надходження товарів і послуг ІБ00-000296 від 17.01.2025 19:00:14
Глобине-2</t>
  </si>
  <si>
    <t>Обл. НДС
Ніж  25мм
Надходження товарів і послуг ІБ00-000296 від 17.01.2025 19:00:14
Путрівка КМД</t>
  </si>
  <si>
    <t>Обл. НДС
Леза 25 мм сегментні 5шт
Надходження товарів і послуг ІБ00-000296 від 17.01.2025 19:00:14
Глобине-2</t>
  </si>
  <si>
    <t>Обл. НДС
Леза 25 мм сегментні 5шт
Надходження товарів і послуг ІБ00-000296 від 17.01.2025 19:00:14
Путрівка КМД</t>
  </si>
  <si>
    <t>Обл. НДС
Лопата для снігу
Надходження товарів і послуг ІБ00-006596 від 01.12.2024 12:00:00
Глобине-2</t>
  </si>
  <si>
    <t>Обл. НДС
Лопата для снігу
Надходження товарів і послуг ІБ00-006596 від 01.12.2024 12:00:00
Путрівка КМД</t>
  </si>
  <si>
    <t>Надходження товарів і послуг ІБ00-001338 від 10.03.2025 20:00:39
Оприходованы ТМЦ</t>
  </si>
  <si>
    <t>Обл. НДС
Фіксатор Стілець 50/8-24
Надходження товарів і послуг ІБ00-001338 від 10.03.2025 20:00:39
Глобине-2</t>
  </si>
  <si>
    <t>ПРОТЕКС УКРАЇНА
Договір 9  від 11.12.2023_Глобине 2
Рахунок на оплату постачальника ІБ00-000965 від 06.03.2025 22:00:42</t>
  </si>
  <si>
    <t>Переміщення товарів ІБ00-000255 від 10.03.2025 20:00:40
Перемещение ТМЦ</t>
  </si>
  <si>
    <t>Обл. НДС
Фіксатор Стілець 50/8-24
Надходження товарів і послуг ІБ00-005325 від 04.10.2024 18:41:27
Цех екстракції (Глобине)</t>
  </si>
  <si>
    <t>Обл. НДС
Фіксатор Стілець 50/8-24
Надходження товарів і послуг ІБ00-005325 від 04.10.2024 18:41:27
Глобине-2</t>
  </si>
  <si>
    <t>Обл. НДС
Фіксатор Стілець 50/8-24
Надходження товарів і послуг ІБ00-001338 від 10.03.2025 20:00:39
Цех екстракції (Глобине)</t>
  </si>
  <si>
    <t>Переміщення товарів ІБ00-000256 від 10.03.2025 20:00:41
Перемещение ТМЦ</t>
  </si>
  <si>
    <t>Обл. НДС
Фіксатор Стілець 50/8-24
Надходження товарів і послуг ІБ00-001338 від 10.03.2025 20:00:39
Котельна (Глобине)</t>
  </si>
  <si>
    <t>12.03.2025</t>
  </si>
  <si>
    <t>Надходження товарів і послуг ІБ00-001529 від 12.03.2025 11:00:00
Оприходованы ТМЦ (Зачет аванса поставщику)</t>
  </si>
  <si>
    <t>Обл. НДС
Алкотестер-Алкометр 8,0
Надходження товарів і послуг ІБ00-001529 від 12.03.2025 11:00:00
Глобине-2</t>
  </si>
  <si>
    <t>Мартинюк Володимир Миколайович ФОП
Рахунки_Глобине-2
Рахунок на оплату постачальника ІБ00-000781 від 26.02.2025 18:00:46</t>
  </si>
  <si>
    <t>Обл. НДС
Мундштук до алкотестера АТ-818
Надходження товарів і послуг ІБ00-001529 від 12.03.2025 11:00:00
Глобине-2</t>
  </si>
  <si>
    <t>Надходження товарів і послуг ІБ00-001045 від 12.03.2025 18:45:21
Оприходованы ТМЦ</t>
  </si>
  <si>
    <t>Обл. НДС
Жилка будівельна Ф8мм 100метр,
Надходження товарів і послуг ІБ00-001045 від 12.03.2025 18:45:21
Глобине-2</t>
  </si>
  <si>
    <t>Лук'ян Михайло Федорович ФОП
22/08-24-1 от 22.08.2024 (РАХУНКИ)_Глобине-2
Рахунок на оплату постачальника ІБ00-000876 від 12.03.2025 18:45:20</t>
  </si>
  <si>
    <t>Обл. НДС
Шнур відбивочний буд.(пластм.корпус) - 30м
Надходження товарів і послуг ІБ00-001045 від 12.03.2025 18:45:21
Глобине-2</t>
  </si>
  <si>
    <t>Обл. НДС
Гачок для вязки дроту 210 мм
Надходження товарів і послуг ІБ00-001045 від 12.03.2025 18:45:21
Глобине-2</t>
  </si>
  <si>
    <t>Обл. НДС
Подовжувач магніт для біт М10
Надходження товарів і послуг ІБ00-001045 від 12.03.2025 18:45:21
Глобине-2</t>
  </si>
  <si>
    <t>Переміщення товарів ІБ00-000201 від 12.03.2025 18:45:23
Перемещение ТМЦ</t>
  </si>
  <si>
    <t>Обл. НДС
Жилка будівельна Ф8мм 100метр,
Надходження товарів і послуг ІБ00-001045 від 12.03.2025 18:45:21
Цех екстракції (Глобине)</t>
  </si>
  <si>
    <t>Обл. НДС
Гачок для вязки дроту 210 мм
Надходження товарів і послуг ІБ00-005196 від 21.10.2024 17:44:01
Цех екстракції (Глобине)</t>
  </si>
  <si>
    <t>Обл. НДС
Гачок для вязки дроту 210 мм
Надходження товарів і послуг ІБ00-001045 від 12.03.2025 18:45:21
Цех екстракції (Глобине)</t>
  </si>
  <si>
    <t>Обл. НДС
Подовжувач магніт для біт М10
Надходження товарів і послуг ІБ00-001045 від 12.03.2025 18:45:21
Цех екстракції (Глобине)</t>
  </si>
  <si>
    <t>Переміщення товарів ІБ00-000202 від 12.03.2025 18:45:24
Перемещение ТМЦ</t>
  </si>
  <si>
    <t>Обл. НДС
Шнур відбивочний буд.(пластм.корпус) - 30м
Надходження товарів і послуг ІБ00-001045 від 12.03.2025 18:45:21
АПК (Глобине)</t>
  </si>
  <si>
    <t>18.03.2025</t>
  </si>
  <si>
    <t>Передача малоцінних активів в експлуатацію ІБ00-000105 від 18.03.2025 15:00:00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</si>
  <si>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</si>
  <si>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231</t>
  </si>
  <si>
    <t>Обл. НДС
Жалюзі пласт 75-160см білі
Надходження товарів і послуг ІБ00-001429 від 16.04.2024 17:49:59
Глобине-2</t>
  </si>
  <si>
    <t>Обл. НДС
Жалюзі пласт 80-160см білі
Надходження товарів і послуг ІБ00-001429 від 16.04.2024 17:49:59
Глобине-2</t>
  </si>
  <si>
    <t>Обл. НДС
Підвіс будівельний із шнурком 300г.
Надходження товарів і послуг ІБ00-005196 від 21.10.2024 17:44:01
Глобине-2</t>
  </si>
  <si>
    <t>Обл. НДС
Піна монтажна  780 мл 
Надходження товарів і послуг ІБ00-000506 від 04.02.2025 17:50:27
Глобине-2</t>
  </si>
  <si>
    <t>Передача малоцінних активів в експлуатацію ІБ00-000106 від 18.03.2025 15:03:46
Списание стоимости малоценных активов</t>
  </si>
  <si>
    <t>Обл. НДС
Круг відрізний армований 230*2,5*22
Надходження товарів і послуг ІБ00-000711 від 18.02.2025 20:00:44
Глобине-2</t>
  </si>
  <si>
    <t>Обл. НДС
Пояс лямковий комбінований ПЛК3-М
Надходження товарів і послуг ІБ00-001516 від 22.04.2024 18:00:09
Глобине-2</t>
  </si>
  <si>
    <t>Обл. НДС
Рукавички трикотажні чорні ТМ Vulkan LUX, р.10
Надходження товарів і послуг ІБ00-000748 від 25.02.2025 18:19:56
Глобине-2</t>
  </si>
  <si>
    <t>21.03.2025</t>
  </si>
  <si>
    <t>Надходження товарів і послуг ІБ00-001198 від 21.03.2025 19:26:08
Оприходованы ТМЦ</t>
  </si>
  <si>
    <t>Обл. НДС
Круг відрізний по металу 125*1,6*22,2
Надходження товарів і послуг ІБ00-001198 від 21.03.2025 19:26:08
Глобине-2</t>
  </si>
  <si>
    <t>Лук'ян Михайло Федорович ФОП
22/08-24-1 от 22.08.2024 (РАХУНКИ)_Глобине-2
Рахунок на оплату постачальника ІБ00-000956 від 21.03.2025 19:26:07</t>
  </si>
  <si>
    <t>Обл. НДС
Круг відрізний  230*2,5*22
Надходження товарів і послуг ІБ00-001198 від 21.03.2025 19:26:08
Глобине-2</t>
  </si>
  <si>
    <t>Обл. НДС
Валик 48*180 мм
Надходження товарів і послуг ІБ00-001198 від 21.03.2025 19:26:08
Глобине-2</t>
  </si>
  <si>
    <t>Обл. НДС
Ручка для валика
Надходження товарів і послуг ІБ00-001198 від 21.03.2025 19:26:08
Глобине-2</t>
  </si>
  <si>
    <t>Обл. НДС
Рукавички трикотажні чорні ТМ Vulkan LUX, р.10
Надходження товарів і послуг ІБ00-001198 від 21.03.2025 19:26:08
Глобине-2</t>
  </si>
  <si>
    <t>Обл. НДС
Стрейч-плівка 23 мікрон 200м (190м), брутто 2,3 кг
Надходження товарів і послуг ІБ00-001198 від 21.03.2025 19:26:08
Глобине-2</t>
  </si>
  <si>
    <t>Обл. НДС
Скотч  300 м
Надходження товарів і послуг ІБ00-001198 від 21.03.2025 19:26:08
Глобине-2</t>
  </si>
  <si>
    <t>Обл. НДС
Краги зварювальника
Надходження товарів і послуг ІБ00-001198 від 21.03.2025 19:26:08
Глобине-2</t>
  </si>
  <si>
    <t>Обл. НДС
Шпатель  80 мм 
Надходження товарів і послуг ІБ00-001198 від 21.03.2025 19:26:08
Глобине-2</t>
  </si>
  <si>
    <t>Обл. НДС
Шпатель 150
Надходження товарів і послуг ІБ00-001198 від 21.03.2025 19:26:08
Глобине-2</t>
  </si>
  <si>
    <t>Обл. НДС
Щітка чашкова 65мм для УШМ, М14 гофров дріт
Надходження товарів і послуг ІБ00-001198 від 21.03.2025 19:26:08
Глобине-2</t>
  </si>
  <si>
    <t>Обл. НДС
Електроди д. 4 мм "Моноліт РЦ" (5 кг) (Україна)
Надходження товарів і послуг ІБ00-001198 від 21.03.2025 19:26:08
Глобине-2</t>
  </si>
  <si>
    <t>Обл. НДС
Пензель плаский Євро 80мм пластик.ручка
Надходження товарів і послуг ІБ00-001198 від 21.03.2025 19:26:08
Глобине-2</t>
  </si>
  <si>
    <t>Обл. НДС
Круг алмазний по бетону Turbo 125 мм
Надходження товарів і послуг ІБ00-001198 від 21.03.2025 19:26:08
Глобине-2</t>
  </si>
  <si>
    <t>Обл. НДС
Круг алмазний по бетону Turbo 230
Надходження товарів і послуг ІБ00-001198 від 21.03.2025 19:26:08
Глобине-2</t>
  </si>
  <si>
    <t>Обл. НДС
Рулетка 10 м*25 мм
Надходження товарів і послуг ІБ00-001198 від 21.03.2025 19:26:08
Глобине-2</t>
  </si>
  <si>
    <t>Обл. НДС
Ізоляційна стрічка 0,18*0,19мм, 20 м
Надходження товарів і послуг ІБ00-001198 від 21.03.2025 19:26:08
Глобине-2</t>
  </si>
  <si>
    <t>Обл. НДС
Касета-розетка 3гн, з/к з кришками Омега ІР44  16А
Надходження товарів і послуг ІБ00-001198 від 21.03.2025 19:26:08
Глобине-2</t>
  </si>
  <si>
    <t>Обл. НДС
Вилка пряма з з/к,ІР44
Надходження товарів і послуг ІБ00-001198 від 21.03.2025 19:26:08
Глобине-2</t>
  </si>
  <si>
    <t>Обл. НДС
Рулетка  5 м*19 мм 
Надходження товарів і послуг ІБ00-001198 від 21.03.2025 19:26:08
Глобине-2</t>
  </si>
  <si>
    <t>Переміщення товарів ІБ00-000234 від 21.03.2025 20:00:00
Перемещение ТМЦ</t>
  </si>
  <si>
    <t>Обл. НДС
Круг відрізний по металу 125*1,6*22,2
Надходження товарів і послуг ІБ00-001198 від 21.03.2025 19:26:08
АПК (Глобине)</t>
  </si>
  <si>
    <t>Обл. НДС
Круг відрізний  230*2,5*22
Надходження товарів і послуг ІБ00-001198 від 21.03.2025 19:26:08
АПК (Глобине)</t>
  </si>
  <si>
    <t>Обл. НДС
Валик 48*180 мм
Надходження товарів і послуг ІБ00-001198 від 21.03.2025 19:26:08
АПК (Глобине)</t>
  </si>
  <si>
    <t>Обл. НДС
Ручка для валика
Надходження товарів і послуг ІБ00-001198 від 21.03.2025 19:26:08
АПК (Глобине)</t>
  </si>
  <si>
    <t>Обл. НДС
Рукавички трикотажні чорні ТМ Vulkan LUX, р.10
Надходження товарів і послуг ІБ00-001198 від 21.03.2025 19:26:08
АПК (Глобине)</t>
  </si>
  <si>
    <t>Обл. НДС
Скотч  300 м
Надходження товарів і послуг ІБ00-001198 від 21.03.2025 19:26:08
АПК (Глобине)</t>
  </si>
  <si>
    <t>Обл. НДС
Краги зварювальника
Надходження товарів і послуг ІБ00-001198 від 21.03.2025 19:26:08
АПК (Глобине)</t>
  </si>
  <si>
    <t>Обл. НДС
Шпатель  80 мм 
Надходження товарів і послуг ІБ00-001198 від 21.03.2025 19:26:08
АПК (Глобине)</t>
  </si>
  <si>
    <t>Обл. НДС
Шпатель 150
Надходження товарів і послуг ІБ00-001198 від 21.03.2025 19:26:08
АПК (Глобине)</t>
  </si>
  <si>
    <t>Обл. НДС
Електроди д. 4 мм "Моноліт РЦ" (5 кг) (Україна)
Надходження товарів і послуг ІБ00-001198 від 21.03.2025 19:26:08
АПК (Глобине)</t>
  </si>
  <si>
    <t>Обл. НДС
Рулетка  5 м*19 мм 
Надходження товарів і послуг ІБ00-001198 від 21.03.2025 19:26:08
АПК (Глобине)</t>
  </si>
  <si>
    <t>Переміщення товарів ІБ00-000235 від 21.03.2025 20:00:00
Перемещение ТМЦ</t>
  </si>
  <si>
    <t>Обл. НДС
Круг відрізний по металу 125*1,6*22,2
Надходження товарів і послуг ІБ00-001198 від 21.03.2025 19:26:08
Цех екстракції (Глобине)</t>
  </si>
  <si>
    <t>Обл. НДС
Круг відрізний  230*2,5*22
Надходження товарів і послуг ІБ00-001198 від 21.03.2025 19:26:08
Цех екстракції (Глобине)</t>
  </si>
  <si>
    <t>Обл. НДС
Валик 48*180 мм
Надходження товарів і послуг ІБ00-001198 від 21.03.2025 19:26:08
Цех екстракції (Глобине)</t>
  </si>
  <si>
    <t>Обл. НДС
Ручка для валика
Надходження товарів і послуг ІБ00-001198 від 21.03.2025 19:26:08
Цех екстракції (Глобине)</t>
  </si>
  <si>
    <t>Обл. НДС
Рукавички трикотажні чорні ТМ Vulkan LUX, р.10
Надходження товарів і послуг ІБ00-001198 від 21.03.2025 19:26:08
Цех екстракції (Глобине)</t>
  </si>
  <si>
    <t>Обл. НДС
Стрейч-плівка 23 мікрон 200м (190м), брутто 2,3 кг
Надходження товарів і послуг ІБ00-001198 від 21.03.2025 19:26:08
Цех екстракції (Глобине)</t>
  </si>
  <si>
    <t>Обл. НДС
Скотч  300 м
Надходження товарів і послуг ІБ00-001198 від 21.03.2025 19:26:08
Цех екстракції (Глобине)</t>
  </si>
  <si>
    <t>Обл. НДС
Краги зварювальника
Надходження товарів і послуг ІБ00-001198 від 21.03.2025 19:26:08
Цех екстракції (Глобине)</t>
  </si>
  <si>
    <t>Обл. НДС
Електроди д. 4 мм "Моноліт РЦ" (5 кг) (Україна)
Надходження товарів і послуг ІБ00-001198 від 21.03.2025 19:26:08
Цех екстракції (Глобине)</t>
  </si>
  <si>
    <t>Обл. НДС
Пензель плаский Євро 80мм пластик.ручка
Надходження товарів і послуг ІБ00-001198 від 21.03.2025 19:26:08
Цех екстракції (Глобине)</t>
  </si>
  <si>
    <t>Обл. НДС
Круг алмазний по бетону Turbo 125 мм
Надходження товарів і послуг ІБ00-001198 від 21.03.2025 19:26:08
Цех екстракції (Глобине)</t>
  </si>
  <si>
    <t>Обл. НДС
Круг алмазний по бетону Turbo 230
Надходження товарів і послуг ІБ00-001198 від 21.03.2025 19:26:08
Цех екстракції (Глобине)</t>
  </si>
  <si>
    <t>Обл. НДС
Рулетка 10 м*25 мм
Надходження товарів і послуг ІБ00-001198 від 21.03.2025 19:26:08
Цех екстракції (Глобине)</t>
  </si>
  <si>
    <t>Обл. НДС
Рулетка  5 м*19 мм 
Надходження товарів і послуг ІБ00-001198 від 21.03.2025 19:26:08
Цех екстракції (Глобине)</t>
  </si>
  <si>
    <t>Переміщення товарів ІБ00-000236 від 21.03.2025 20:00:00
Перемещение ТМЦ</t>
  </si>
  <si>
    <t>Обл. НДС
Круг відрізний по металу 125*1,6*22,2
Надходження товарів і послуг ІБ00-001198 від 21.03.2025 19:26:08
Резервуар для зберігання розчинника(Глобине)</t>
  </si>
  <si>
    <t>Обл. НДС
Круг відрізний  230*2,5*22
Надходження товарів і послуг ІБ00-001198 від 21.03.2025 19:26:08
Резервуар для зберігання розчинника(Глобине)</t>
  </si>
  <si>
    <t>Обл. НДС
Валик 48*180 мм
Надходження товарів і послуг ІБ00-001198 від 21.03.2025 19:26:08
Резервуар для зберігання розчинника(Глобине)</t>
  </si>
  <si>
    <t>Обл. НДС
Ручка для валика
Надходження товарів і послуг ІБ00-001198 від 21.03.2025 19:26:08
Резервуар для зберігання розчинника(Глобине)</t>
  </si>
  <si>
    <t>Обл. НДС
Рукавички трикотажні чорні ТМ Vulkan LUX, р.10
Надходження товарів і послуг ІБ00-001198 від 21.03.2025 19:26:08
Резервуар для зберігання розчинника(Глобине)</t>
  </si>
  <si>
    <t>Обл. НДС
Краги зварювальника
Надходження товарів і послуг ІБ00-001198 від 21.03.2025 19:26:08
Резервуар для зберігання розчинника(Глобине)</t>
  </si>
  <si>
    <t>Обл. НДС
Електроди д. 4 мм "Моноліт РЦ" (5 кг) (Україна)
Надходження товарів і послуг ІБ00-001198 від 21.03.2025 19:26:08
Резервуар для зберігання розчинника(Глобине)</t>
  </si>
  <si>
    <t>Обл. НДС
Рулетка  5 м*19 мм 
Надходження товарів і послуг ІБ00-001198 від 21.03.2025 19:26:08
Резервуар для зберігання розчинника(Глобине)</t>
  </si>
  <si>
    <t>Переміщення товарів ІБ00-000237 від 21.03.2025 20:00:00
Перемещение ТМЦ</t>
  </si>
  <si>
    <t>Обл. НДС
Круг відрізний по металу 125*1,6*22,2
Надходження товарів і послуг ІБ00-001198 від 21.03.2025 19:26:08
Пункт фасування та зберігання в бігбегах (Глобине)</t>
  </si>
  <si>
    <t>Обл. НДС
Круг відрізний  230*2,5*22
Надходження товарів і послуг ІБ00-001198 від 21.03.2025 19:26:08
Пункт фасування та зберігання в бігбегах (Глобине)</t>
  </si>
  <si>
    <t>Обл. НДС
Валик 48*180 мм
Надходження товарів і послуг ІБ00-001198 від 21.03.2025 19:26:08
Пункт фасування та зберігання в бігбегах (Глобине)</t>
  </si>
  <si>
    <t>Обл. НДС
Ручка для валика
Надходження товарів і послуг ІБ00-001198 від 21.03.2025 19:26:08
Пункт фасування та зберігання в бігбегах (Глобине)</t>
  </si>
  <si>
    <t>Обл. НДС
Рукавички трикотажні чорні ТМ Vulkan LUX, р.10
Надходження товарів і послуг ІБ00-001198 від 21.03.2025 19:26:08
Пункт фасування та зберігання в бігбегах (Глобине)</t>
  </si>
  <si>
    <t>Обл. НДС
Краги зварювальника
Надходження товарів і послуг ІБ00-001198 від 21.03.2025 19:26:08
Пункт фасування та зберігання в бігбегах (Глобине)</t>
  </si>
  <si>
    <t>Обл. НДС
Щітка чашкова 65мм для УШМ, М14 гофров дріт
Надходження товарів і послуг ІБ00-001198 від 21.03.2025 19:26:08
Пункт фасування та зберігання в бігбегах (Глобине)</t>
  </si>
  <si>
    <t>Обл. НДС
Електроди д. 4 мм "Моноліт РЦ" (5 кг) (Україна)
Надходження товарів і послуг ІБ00-001198 від 21.03.2025 19:26:08
Пункт фасування та зберігання в бігбегах (Глобине)</t>
  </si>
  <si>
    <t>Обл. НДС
Рулетка  5 м*19 мм 
Надходження товарів і послуг ІБ00-001198 від 21.03.2025 19:26:08
Пункт фасування та зберігання в бігбегах (Глобине)</t>
  </si>
  <si>
    <t>Переміщення товарів ІБ00-000238 від 21.03.2025 20:00:00
Перемещение ТМЦ</t>
  </si>
  <si>
    <t>Обл. НДС
Круг відрізний по металу 125*1,6*22,2
Надходження товарів і послуг ІБ00-001198 від 21.03.2025 19:26:08
Котельна (Глобине)</t>
  </si>
  <si>
    <t>Обл. НДС
Круг відрізний  230*2,5*22
Надходження товарів і послуг ІБ00-001198 від 21.03.2025 19:26:08
Котельна (Глобине)</t>
  </si>
  <si>
    <t>Обл. НДС
Валик 48*180 мм
Надходження товарів і послуг ІБ00-001198 від 21.03.2025 19:26:08
Котельна (Глобине)</t>
  </si>
  <si>
    <t>Обл. НДС
Ручка для валика
Надходження товарів і послуг ІБ00-001198 від 21.03.2025 19:26:08
Котельна (Глобине)</t>
  </si>
  <si>
    <t>Обл. НДС
Рукавички трикотажні чорні ТМ Vulkan LUX, р.10
Надходження товарів і послуг ІБ00-001198 від 21.03.2025 19:26:08
Котельна (Глобине)</t>
  </si>
  <si>
    <t>Обл. НДС
Стрейч-плівка 23 мікрон 200м (190м), брутто 2,3 кг
Надходження товарів і послуг ІБ00-001198 від 21.03.2025 19:26:08
Котельна (Глобине)</t>
  </si>
  <si>
    <t>Обл. НДС
Скотч  300 м
Надходження товарів і послуг ІБ00-001198 від 21.03.2025 19:26:08
Котельна (Глобине)</t>
  </si>
  <si>
    <t>Обл. НДС
Шпатель  80 мм 
Надходження товарів і послуг ІБ00-001198 від 21.03.2025 19:26:08
Котельна (Глобине)</t>
  </si>
  <si>
    <t>Обл. НДС
Шпатель 150
Надходження товарів і послуг ІБ00-001198 від 21.03.2025 19:26:08
Котельна (Глобине)</t>
  </si>
  <si>
    <t>Обл. НДС
Пензель плаский Євро 80мм пластик.ручка
Надходження товарів і послуг ІБ00-001198 від 21.03.2025 19:26:08
Котельна (Глобине)</t>
  </si>
  <si>
    <t>Обл. НДС
Круг алмазний по бетону Turbo 125 мм
Надходження товарів і послуг ІБ00-001198 від 21.03.2025 19:26:08
Котельна (Глобине)</t>
  </si>
  <si>
    <t>Обл. НДС
Круг алмазний по бетону Turbo 230
Надходження товарів і послуг ІБ00-001198 від 21.03.2025 19:26:08
Котельна (Глобине)</t>
  </si>
  <si>
    <t>Обл. НДС
Рулетка 10 м*25 мм
Надходження товарів і послуг ІБ00-001198 від 21.03.2025 19:26:08
Котельна (Глобине)</t>
  </si>
  <si>
    <t>Переміщення товарів ІБ00-000239 від 21.03.2025 20:00:00
Перемещение ТМЦ</t>
  </si>
  <si>
    <t>Обл. НДС
Скотч  300 м
Надходження товарів і послуг ІБ00-001198 від 21.03.2025 19:26:08
Насосна Градирня (Глобине)</t>
  </si>
  <si>
    <t>Обл. НДС
Пензель плаский Євро 80мм пластик.ручка
Надходження товарів і послуг ІБ00-001198 від 21.03.2025 19:26:08
Насосна Градирня (Глобине)</t>
  </si>
  <si>
    <t>Переміщення товарів ІБ00-000241 від 21.03.2025 20:00:00
Перемещение ТМЦ</t>
  </si>
  <si>
    <t>Обл. НДС
Ізоляційна стрічка 0,18*0,19мм, 20 м
Надходження товарів і послуг ІБ00-001198 від 21.03.2025 19:26:08
Підготовчі роботи та тимчасові споруди (Глобине)</t>
  </si>
  <si>
    <t>Обл. НДС
Касета-розетка 3гн, з/к з кришками Омега ІР44  16А
Надходження товарів і послуг ІБ00-001198 від 21.03.2025 19:26:08
Підготовчі роботи та тимчасові споруди (Глобине)</t>
  </si>
  <si>
    <t>Обл. НДС
Вилка пряма з з/к,ІР44
Надходження товарів і послуг ІБ00-001198 від 21.03.2025 19:26:08
Підготовчі роботи та тимчасові споруди (Глобине)</t>
  </si>
  <si>
    <t>26.03.2025</t>
  </si>
  <si>
    <t>Передача малоцінних активів в експлуатацію ІБ00-000119 від 26.03.2025 14:10:46
Списание стоимости малоценных активов</t>
  </si>
  <si>
    <t>Обл. НДС
Електроди "Моноліт РЦ" 4 мм уп. 5,0 кг
Надходження товарів і послуг ІБ00-000711 від 18.02.2025 20:00:44
Глобине-2</t>
  </si>
  <si>
    <t>Передача малоцінних активів в експлуатацію ІБ00-000121 від 26.03.2025 14:59:15
Списание стоимости малоценных активов</t>
  </si>
  <si>
    <t>Обл. НДС
Пістолет для піни монтажної
Надходження товарів і послуг ІБ00-006083 від 29.11.2024 22:00:59
Глобине-2</t>
  </si>
  <si>
    <t>Обл. НДС
Шуруп 3,5х55
Надходження товарів і послуг ІБ00-000506 від 04.02.2025 17:50:27
Глобине-2</t>
  </si>
  <si>
    <t>Передача малоцінних активів в експлуатацію ІБ00-000123 від 26.03.2025 15:18:28
Списание стоимости малоценных активов</t>
  </si>
  <si>
    <t>Передача малоцінних активів в експлуатацію ІБ00-000124 від 26.03.2025 16:25:48
Списание стоимости малоценных активов</t>
  </si>
  <si>
    <t>Обл. НДС
Костюм "Віват" р.104-108/170-176
Надходження товарів і послуг ІБ00-005042 від 02.10.2024 10:00:00
Глобине-2</t>
  </si>
  <si>
    <t>Передача малоцінних активів в експлуатацію ІБ00-000125 від 26.03.2025 16:38:39
Списание стоимости малоценных активов</t>
  </si>
  <si>
    <t>Обл. НДС
Костюм "Віват" р.104-108/182-188
Надходження товарів і послуг ІБ00-005042 від 02.10.2024 10:00:00
Глобине-2</t>
  </si>
  <si>
    <t>27.03.2025</t>
  </si>
  <si>
    <t>Передача малоцінних активів в експлуатацію ІБ00-000128 від 27.03.2025 14:24:32
Списание стоимости малоценных активов</t>
  </si>
  <si>
    <t>Обл. НДС
Набір ключів комбінованих 6-32 мм 25 шт
Надходження товарів і послуг ІБ00-001516 від 22.04.2024 18:00:09
Глобине-2</t>
  </si>
  <si>
    <t>28.03.2025</t>
  </si>
  <si>
    <t>Передача малоцінних активів в експлуатацію ІБ00-000130 від 28.03.2025 08:21:52
Списание стоимости малоценных активов</t>
  </si>
  <si>
    <t>Обл. НДС
Картридж Patron Canon 725 Extra
Надходження товарів і послуг ІБ00-005271 від 25.10.2024 18:30:24
Глобине-2</t>
  </si>
  <si>
    <t>Передача малоцінних активів в експлуатацію ІБ00-000139 від 28.03.2025 20:00:02
Списание стоимости малоценных активов</t>
  </si>
  <si>
    <t>Обл. НДС
Вішалка-стійка для одягу, чорна (124 А)
Надходження товарів і послуг ІБ00-000746 від 29.02.2024 00:00:00
Глобине-2</t>
  </si>
  <si>
    <t>Обл. НДС
Змазка 10W 40, 1л чотирьохтактне
Надходження товарів і послуг ІБ00-000506 від 04.02.2025 17:50:27
Глобине-2</t>
  </si>
  <si>
    <t>Передача малоцінних активів в експлуатацію ІБ00-000140 від 28.03.2025 20:00:06
Списание стоимости малоценных активов</t>
  </si>
  <si>
    <t>Обл. НДС
Електроди "Моноліт РЦ" 4 мм уп. 5,0 кг
Надходження товарів і послуг ІБ00-000748 від 25.02.2025 18:19:56
Глобине-2</t>
  </si>
  <si>
    <t>Обл. НДС
Патрон монтаж. 6,8*11 мм М10 жовт
Надходження товарів і послуг ІБ00-000840 від 15.02.2024 20:08:32
Глобине-2</t>
  </si>
  <si>
    <t>Обл. НДС
Шланг напірн Д=50мм бухта 20м
Надходження товарів і послуг ІБ00-000542 від 16.02.2024 10:08:26
Глобине-2</t>
  </si>
  <si>
    <t>31.03.2025</t>
  </si>
  <si>
    <t>Надходження товарів і послуг ІБ00-001431 від 31.03.2025 11:59:59
Оприходованы ТМЦ</t>
  </si>
  <si>
    <t>Обл. НДС
Распіратор FFP2  з клапаном
Надходження товарів і послуг ІБ00-001431 від 31.03.2025 11:59:59
Глобине-2</t>
  </si>
  <si>
    <t>Лук'ян Михайло Федорович ФОП
22/08-24-1 от 22.08.2024 (РАХУНКИ)_Глобине-2
Рахунок на оплату постачальника ІБ00-001132 від 31.03.2025 23:59:59</t>
  </si>
  <si>
    <t>Обл. НДС
Електроди "Моноліт РЦ" 4 мм уп. 5,0 кг
Надходження товарів і послуг ІБ00-001431 від 31.03.2025 11:59:59
Глобине-2</t>
  </si>
  <si>
    <t>Обл. НДС
Електроди "Моноліт РЦ" 3 мм 2,5кг
Надходження товарів і послуг ІБ00-001431 від 31.03.2025 11:59:59
Глобине-2</t>
  </si>
  <si>
    <t>Обл. НДС
Рукавиці трикотажні з ПВХ
Надходження товарів і послуг ІБ00-001431 від 31.03.2025 11:59:59
Глобине-2</t>
  </si>
  <si>
    <t>Обл. НДС
Рукавички скло/камінь черв з рифл гум надол  р.10
Надходження товарів і послуг ІБ00-001431 від 31.03.2025 11:59:59
Глобине-2</t>
  </si>
  <si>
    <t>Обл. НДС
Пензель 50мм
Надходження товарів і послуг ІБ00-001431 від 31.03.2025 11:59:59
Глобине-2</t>
  </si>
  <si>
    <t>Переміщення товарів ІБ00-000275 від 31.03.2025 12:10:00
Перемещение ТМЦ</t>
  </si>
  <si>
    <t>Обл. НДС
Распіратор FFP2  з клапаном
Надходження товарів і послуг ІБ00-001431 від 31.03.2025 11:59:59
Насосна Градирня (Глобине)</t>
  </si>
  <si>
    <t>Обл. НДС
Рукавиці трикотажні з ПВХ
Надходження товарів і послуг ІБ00-001431 від 31.03.2025 11:59:59
Насосна Градирня (Глобине)</t>
  </si>
  <si>
    <t>Обл. НДС
Рукавички скло/камінь черв з рифл гум надол  р.10
Надходження товарів і послуг ІБ00-001431 від 31.03.2025 11:59:59
Насосна Градирня (Глобине)</t>
  </si>
  <si>
    <t>Обл. НДС
Пензель 50мм
Надходження товарів і послуг ІБ00-001431 від 31.03.2025 11:59:59
Насосна Градирня (Глобине)</t>
  </si>
  <si>
    <t>Переміщення товарів ІБ00-000276 від 31.03.2025 12:10:00
Перемещение ТМЦ</t>
  </si>
  <si>
    <t>Обл. НДС
Распіратор FFP2  з клапаном
Надходження товарів і послуг ІБ00-001431 від 31.03.2025 11:59:59
Котельна (Глобине)</t>
  </si>
  <si>
    <t>Обл. НДС
Рукавиці трикотажні з ПВХ
Надходження товарів і послуг ІБ00-001431 від 31.03.2025 11:59:59
Котельна (Глобине)</t>
  </si>
  <si>
    <t>Обл. НДС
Рукавички скло/камінь черв з рифл гум надол  р.10
Надходження товарів і послуг ІБ00-001431 від 31.03.2025 11:59:59
Котельна (Глобине)</t>
  </si>
  <si>
    <t>Переміщення товарів ІБ00-000277 від 31.03.2025 12:10:00
Перемещение ТМЦ</t>
  </si>
  <si>
    <t>Обл. НДС
Електроди "Моноліт РЦ" 4 мм уп. 5,0 кг
Надходження товарів і послуг ІБ00-001431 від 31.03.2025 11:59:59
АПК (Глобине)</t>
  </si>
  <si>
    <t>Обл. НДС
Електроди "Моноліт РЦ" 3 мм 2,5кг
Надходження товарів і послуг ІБ00-001431 від 31.03.2025 11:59:59
АПК (Глобине)</t>
  </si>
  <si>
    <t>Обл. НДС
Рукавиці трикотажні з ПВХ
Надходження товарів і послуг ІБ00-001431 від 31.03.2025 11:59:59
АПК (Глобине)</t>
  </si>
  <si>
    <t>Обл. НДС
Рукавички скло/камінь черв з рифл гум надол  р.10
Надходження товарів і послуг ІБ00-001431 від 31.03.2025 11:59:59
АПК (Глобине)</t>
  </si>
  <si>
    <t>Переміщення товарів ІБ00-000278 від 31.03.2025 12:10:00
Перемещение ТМЦ</t>
  </si>
  <si>
    <t>Обл. НДС
Рукавиці трикотажні з ПВХ
Надходження товарів і послуг ІБ00-001431 від 31.03.2025 11:59:59
Цех екстракції (Глобине)</t>
  </si>
  <si>
    <t>Обл. НДС
Рукавички скло/камінь черв з рифл гум надол  р.10
Надходження товарів і послуг ІБ00-001431 від 31.03.2025 11:59:59
Цех екстракції (Глобине)</t>
  </si>
  <si>
    <t>Переміщення товарів ІБ00-000279 від 31.03.2025 12:10:00
Перемещение ТМЦ</t>
  </si>
  <si>
    <t>Обл. НДС
Рукавиці трикотажні з ПВХ
Надходження товарів і послуг ІБ00-001431 від 31.03.2025 11:59:59
Пункт фасування та зберігання в бігбегах (Глобине)</t>
  </si>
  <si>
    <t>Обл. НДС
Рукавички скло/камінь черв з рифл гум надол  р.10
Надходження товарів і послуг ІБ00-001431 від 31.03.2025 11:59:59
Пункт фасування та зберігання в бігбегах (Глобине)</t>
  </si>
  <si>
    <t>Обороти за період та сальдо на кінець</t>
  </si>
  <si>
    <t>Резервуар для зберігання розчинника (Глобине)</t>
  </si>
  <si>
    <t>Надходження товарів і послуг ІБ00-000893 від 05.03.2025 18:37:58
Оприходованы ТМЦ</t>
  </si>
  <si>
    <t>Обл. НДС
Респіратор з клапаном
Надходження товарів і послуг ІБ00-000893 від 05.03.2025 18:37:58
Котельна (Глобине)</t>
  </si>
  <si>
    <t>Лук'ян Михайло Федорович ФОП
20718 от 26.09.2022 РАХУНКИ_Глобине-2
Рахунок на оплату постачальника ІБ00-000753 від 04.03.2025 17:40:29</t>
  </si>
  <si>
    <t>Обл. НДС
Фільтр для фарби 190мкм
Надходження товарів і послуг ІБ00-000893 від 05.03.2025 18:37:58
Котельна (Глобине)</t>
  </si>
  <si>
    <t>Обл. НДС
Шланг спірал поліуретан 5х8мм 20м
Надходження товарів і послуг ІБ00-000893 від 05.03.2025 18:37:58
Котельна (Глобине)</t>
  </si>
  <si>
    <t>06.03.2025</t>
  </si>
  <si>
    <t>Надходження товарів і послуг ІБ00-000891 від 06.03.2025 20:10:12
Оприходованы ТМЦ</t>
  </si>
  <si>
    <t>Обл. НДС
Фарборозпилювач НР д=1,5 в/б метал., 500 мл
Надходження товарів і послуг ІБ00-000891 від 06.03.2025 20:10:12
Котельна (Глобине)</t>
  </si>
  <si>
    <t>Верещака Роман Олександрович ФОП
Рахунки_Глобино-2
Рахунок на оплату постачальника ІБ00-000752 від 06.03.2025 20:10:11</t>
  </si>
  <si>
    <t>Надходження товарів і послуг ІБ00-001046 від 12.03.2025 18:45:25
Оприходованы ТМЦ</t>
  </si>
  <si>
    <t>Обл. НДС
Маска "малярська пелюстка"
Надходження товарів і послуг ІБ00-001046 від 12.03.2025 18:45:25
Котельна (Глобине)</t>
  </si>
  <si>
    <t>13.03.2025</t>
  </si>
  <si>
    <t>Надходження товарів і послуг ІБ00-001336 від 13.03.2025 18:55:27
Оприходованы ТМЦ</t>
  </si>
  <si>
    <t>Обл. НДС
Фіксатор Стілець 50/8-24
Надходження товарів і послуг ІБ00-001336 від 13.03.2025 18:55:27
Котельна (Глобине)</t>
  </si>
  <si>
    <t>ПРОТЕКС УКРАЇНА
Договір 9  від 11.12.2023_Глобине 2
Рахунок на оплату постачальника ІБ00-000939 від 13.03.2025 18:55:19</t>
  </si>
  <si>
    <t>14.03.2025</t>
  </si>
  <si>
    <t>Надходження товарів і послуг ІБ00-001202 від 14.03.2025 17:51:05
Оприходованы ТМЦ</t>
  </si>
  <si>
    <t>Обл. НДС
Черевики з метноском р 43
Надходження товарів і послуг ІБ00-001202 від 14.03.2025 17:51:05
Котельна (Глобине)</t>
  </si>
  <si>
    <t>БРАВО-СП ТОВ
РАХУНКИ_Глобине-2
Рахунок на оплату постачальника ІБ00-000971 від 14.03.2025 17:51:04</t>
  </si>
  <si>
    <t>Передача малоцінних активів в експлуатацію ІБ00-000122 від 26.03.2025 15:14:37
Списание стоимости малоценных активов</t>
  </si>
  <si>
    <t>Обл. НДС
Патрон монтаж. 6,8*11 мм червоні
Надходження товарів і послуг ІБ00-000506 від 04.02.2025 17:50:27
Котельна (Глобине)</t>
  </si>
  <si>
    <t>Обл. НДС
Рукавички трикотажні чорні ТМ Vulkan LUX, р.10
Надходження товарів і послуг ІБ00-000711 від 18.02.2025 20:00:44
Котельна (Глобине)</t>
  </si>
  <si>
    <t>Передача малоцінних активів в експлуатацію ІБ00-000126 від 27.03.2025 14:07:43
Списание стоимости малоценных активов</t>
  </si>
  <si>
    <t>Надходження товарів і послуг ІБ00-001375 від 28.03.2025 20:00:12
Оприходованы ТМЦ (Зачет аванса поставщику)</t>
  </si>
  <si>
    <t>Обл. НДС
Головка удлинен 3/4"  30мм
Надходження товарів і послуг ІБ00-001375 від 28.03.2025 20:00:12
Котельна (Глобине)</t>
  </si>
  <si>
    <t>ЛД ІНВЕСТ ТОВ
РАХУНКИ_Глобине 2
Рахунок на оплату постачальника ІБ00-001032 від 28.03.2025 09:00:00</t>
  </si>
  <si>
    <t>Надходження товарів і послуг ІБ00-000892 від 06.03.2025 20:10:13
Оприходованы ТМЦ</t>
  </si>
  <si>
    <t>Обл. НДС
Фарборозпилювач НР-Мах ⌀1,5 в/б метал., 500 мл
Надходження товарів і послуг ІБ00-000892 від 06.03.2025 20:10:13
Насосна Градирня (Глобине)</t>
  </si>
  <si>
    <t>Передача малоцінних активів в експлуатацію ІБ00-000104 від 18.03.2025 14:27:00
Списание стоимости малоценных активов</t>
  </si>
  <si>
    <t>Обл. НДС
Валик  8*48*250мм
Надходження товарів і послуг ІБ00-000748 від 25.02.2025 18:19:56
Насосна Градирня (Глобине)</t>
  </si>
  <si>
    <t>Обл. НДС
Ручка для валика
Надходження товарів і послуг ІБ00-000748 від 25.02.2025 18:19:56
Насосна Градирня (Глобине)</t>
  </si>
  <si>
    <t>Передача малоцінних активів в експлуатацію ІБ00-000118 від 26.03.2025 14:10:35
Списание стоимости малоценных активов</t>
  </si>
  <si>
    <t>Обл. НДС
Рукавички трикотажні чорні ТМ Vulkan LUX, р.10
Надходження товарів і послуг ІБ00-000089 від 01.01.2025 18:00:23
Насосна Градирня (Глобине)</t>
  </si>
  <si>
    <t>Передача малоцінних активів в експлуатацію ІБ00-000142 від 28.03.2025 20:00:10
Списание стоимости малоценных активов</t>
  </si>
  <si>
    <t>Передача малоцінних активів в експлуатацію ІБ00-000120 від 26.03.2025 14:30:39
Списание стоимости малоценных активов</t>
  </si>
  <si>
    <t>Обл. НДС
Бур +10*100/160 плюс-1 бетон цегла
Надходження товарів і послуг ІБ00-000748 від 25.02.2025 18:19:56
Резервуар для зберігання розчинника(Глобине)</t>
  </si>
  <si>
    <t>Обл. НДС
Валик 18*48*250 мм d=8 мм
Надходження товарів і послуг ІБ00-000506 від 04.02.2025 17:50:27
Резервуар для зберігання розчинника(Глобине)</t>
  </si>
  <si>
    <t>Обл. НДС
Рукавички трикотажні чорні ТМ Vulkan LUX, р.10
Надходження товарів і послуг ІБ00-000711 від 18.02.2025 20:00:44
Резервуар для зберігання розчинника(Глобине)</t>
  </si>
  <si>
    <t>Обл. НДС
Ручка для валика
Надходження товарів і послуг ІБ00-000506 від 04.02.2025 17:50:27
Резервуар для зберігання розчинника(Глобине)</t>
  </si>
  <si>
    <t>Передача малоцінних активів в експлуатацію ІБ00-000131 від 28.03.2025 08:54:21
Списание стоимости малоценных активов</t>
  </si>
  <si>
    <t>01.03.2025</t>
  </si>
  <si>
    <t>Надходження товарів і послуг ІБ00-001068 від 01.03.2025 18:17:13
Оприходованы ТМЦ</t>
  </si>
  <si>
    <t>Обл. НДС
Головка торцева ударна 3/4" 36 мм L=56мм
Надходження товарів і послуг ІБ00-001068 від 01.03.2025 18:17:13
Цех екстракції (Глобине)</t>
  </si>
  <si>
    <t>Адаменко Юрій Андрійович ФОП
РАХУНКИ_Глобине-2
Рахунок на оплату постачальника ІБ00-000778 від 23.01.2025 18:20:38</t>
  </si>
  <si>
    <t>Обл. НДС
Головка торцева ударна 3/4" 32 мм L=90мм
Надходження товарів і послуг ІБ00-001068 від 01.03.2025 18:17:13
Цех екстракції (Глобине)</t>
  </si>
  <si>
    <t>Обл. НДС
Перехідник ударний 1/2"-3/4" 48мм
Надходження товарів і послуг ІБ00-001068 від 01.03.2025 18:17:13
Цех екстракції (Глобине)</t>
  </si>
  <si>
    <t>Обл. НДС
Перехідник ударний 3/4"х1/2"  55мм
Надходження товарів і послуг ІБ00-001068 від 01.03.2025 18:17:13
Цех екстракції (Глобине)</t>
  </si>
  <si>
    <t>Обл. НДС
Перехідник ударний 3/4"-1  63мм
Надходження товарів і послуг ІБ00-001068 від 01.03.2025 18:17:13
Цех екстракції (Глобине)</t>
  </si>
  <si>
    <t>Обл. НДС
Перехідник д/головок торц 3/8"-1/4  27мм
Надходження товарів і послуг ІБ00-001068 від 01.03.2025 18:17:13
Цех екстракції (Глобине)</t>
  </si>
  <si>
    <t>Обл. НДС
Перехідник д/головок торц 3/8"-1/2"  35мм
Надходження товарів і послуг ІБ00-001068 від 01.03.2025 18:17:13
Цех екстракції (Глобине)</t>
  </si>
  <si>
    <t>Обл. НДС
Перехідник д/головок торц 1/4"-3/8"  25мм
Надходження товарів і послуг ІБ00-001068 від 01.03.2025 18:17:13
Цех екстракції (Глобине)</t>
  </si>
  <si>
    <t>Надходження товарів і послуг ІБ00-001337 від 13.03.2025 18:55:28
Оприходованы ТМЦ</t>
  </si>
  <si>
    <t>Обл. НДС
Фіксатор Стілець 50/8-24
Надходження товарів і послуг ІБ00-001337 від 13.03.2025 18:55:28
Цех екстракції (Глобине)</t>
  </si>
  <si>
    <t>Надходження товарів і послуг ІБ00-001075 від 14.03.2025 17:50:43
Оприходованы ТМЦ</t>
  </si>
  <si>
    <t>Обл. НДС
Мастило Агрінол Солідол Ж-2
Надходження товарів і послуг ІБ00-001075 від 14.03.2025 17:50:43
Цех екстракції (Глобине)</t>
  </si>
  <si>
    <t>Моноліт - Центр" ТОВ
Рахунки_Глобине-2
Рахунок на оплату постачальника ІБ00-000883 від 13.03.2025 18:54:58</t>
  </si>
  <si>
    <t>Передача малоцінних активів в експлуатацію ІБ00-000103 від 18.03.2025 14:20:12
Списание стоимости малоценных активов</t>
  </si>
  <si>
    <t>Обл. НДС
Бур +14*100/160 плюс-1 бетон цегла
Надходження товарів і послуг ІБ00-000748 від 25.02.2025 18:19:56
Цех екстракції (Глобине)</t>
  </si>
  <si>
    <t>Обл. НДС
Рукавички трикотажні чорні ТМ Vulkan LUX, р.10
Надходження товарів і послуг ІБ00-000711 від 18.02.2025 20:00:44
Цех екстракції (Глобине)</t>
  </si>
  <si>
    <t>Обл. НДС
Шуруп 3,5х55
Надходження товарів і послуг ІБ00-000506 від 04.02.2025 17:50:27
Цех екстракції (Глобине)</t>
  </si>
  <si>
    <t>20.03.2025</t>
  </si>
  <si>
    <t>Надходження товарів і послуг ІБ00-001508 від 20.03.2025 11:00:00
Оприходованы ТМЦ</t>
  </si>
  <si>
    <t>Обл. НДС
Круг алмазний 230*22,2 мм Turbо-сегментний
Надходження товарів і послуг ІБ00-001508 від 20.03.2025 11:00:00
Цех екстракції (Глобине)</t>
  </si>
  <si>
    <t>Лук'ян Михайло Федорович ФОП
22/08-24-1 от 22.08.2024 (РАХУНКИ)_Глобине-2
Рахунок на оплату постачальника ІБ00-001191 від 19.03.2025 23:12:54</t>
  </si>
  <si>
    <t>Обл. НДС
Круг алмазний 400*20/25,4*10*3,2мм 
Надходження товарів і послуг ІБ00-001508 від 20.03.2025 11:00:00
Цех екстракції (Глобине)</t>
  </si>
  <si>
    <t>Надходження товарів і послуг ІБ00-001196 від 20.03.2025 23:15:44
Оприходованы ТМЦ</t>
  </si>
  <si>
    <t>Обл. НДС
Щітка чашкова 85мм для УШМ, М14 плетен дріт
Надходження товарів і послуг ІБ00-001196 від 20.03.2025 23:15:44
Цех екстракції (Глобине)</t>
  </si>
  <si>
    <t>Лук'ян Михайло Федорович ФОП
22/08-24-1 от 22.08.2024 (РАХУНКИ)_Глобине-2
Рахунок на оплату постачальника ІБ00-000955 від 19.03.2025 23:12:45</t>
  </si>
  <si>
    <t>Обл. НДС
Щітка чашкова Intertool ВТ-1075 кручений дріт 75 мм
Надходження товарів і послуг ІБ00-001196 від 20.03.2025 23:15:44
Цех екстракції (Глобине)</t>
  </si>
  <si>
    <t>Надходження товарів і послуг ІБ00-001294 від 26.03.2025 22:32:01
Оприходованы ТМЦ</t>
  </si>
  <si>
    <t>Обл. НДС
Строп СТП-5,0/5000
Надходження товарів і послуг ІБ00-001294 від 26.03.2025 22:32:01
Цех екстракції (Глобине)</t>
  </si>
  <si>
    <t>ЛОАД-ТЕХ ТОВ
Договір поставки № 2353 від 25.06.2021 р.Глобине2
Рахунок на оплату постачальника ІБ00-001040 від 24.03.2025 17:30:55</t>
  </si>
  <si>
    <t>Обл. НДС
Строп СТП-3,0/4000
Надходження товарів і послуг ІБ00-001294 від 26.03.2025 22:32:01
Цех екстракції (Глобине)</t>
  </si>
  <si>
    <t>Передача малоцінних активів в експлуатацію ІБ00-000127 від 27.03.2025 14:24:15
Списание стоимости малоценных активов</t>
  </si>
  <si>
    <t>Передача малоцінних активів в експлуатацію ІБ00-000138 від 28.03.2025 00:00:00
Списание стоимости малоценных активов</t>
  </si>
  <si>
    <t>Передача малоцінних активів в експлуатацію ІБ00-000129 від 28.03.2025 08:09:31
Списание стоимости малоценных активов</t>
  </si>
  <si>
    <t>Передача малоцінних активів в експлуатацію ІБ00-000141 від 28.03.2025 20:00:07
Списание стоимости малоценных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</si>
</sst>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2">
    <xf numFmtId="0" fontId="0" fillId="0" borderId="0" xfId="0"/>
    <xf numFmtId="0" fontId="3" fillId="2" borderId="1" xfId="1" applyNumberFormat="1" applyFont="1" applyFill="1" applyBorder="1" applyAlignment="1">
      <alignment vertical="top" wrapText="1" indent="1"/>
    </xf>
    <xf numFmtId="0" fontId="4" fillId="2" borderId="2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horizontal="center" vertical="top"/>
    </xf>
    <xf numFmtId="0" fontId="4" fillId="2" borderId="5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2" fontId="5" fillId="0" borderId="1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right" vertical="top" wrapText="1"/>
    </xf>
    <xf numFmtId="0" fontId="5" fillId="0" borderId="12" xfId="2" applyNumberFormat="1" applyFont="1" applyBorder="1" applyAlignment="1">
      <alignment horizontal="center" vertical="top"/>
    </xf>
    <xf numFmtId="4" fontId="5" fillId="0" borderId="13" xfId="2" applyNumberFormat="1" applyFont="1" applyBorder="1" applyAlignment="1">
      <alignment horizontal="right" vertical="top" wrapText="1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3" xfId="2" applyNumberFormat="1" applyFont="1" applyBorder="1" applyAlignment="1">
      <alignment horizontal="right" vertical="top" wrapText="1"/>
    </xf>
    <xf numFmtId="2" fontId="5" fillId="0" borderId="13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2" xfId="2" applyNumberFormat="1" applyFont="1" applyFill="1" applyBorder="1" applyAlignment="1">
      <alignment horizontal="center" vertical="top"/>
    </xf>
    <xf numFmtId="4" fontId="6" fillId="2" borderId="13" xfId="2" applyNumberFormat="1" applyFont="1" applyFill="1" applyBorder="1" applyAlignment="1">
      <alignment horizontal="right" vertical="top" wrapText="1"/>
    </xf>
    <xf numFmtId="0" fontId="4" fillId="2" borderId="2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horizontal="center" vertical="top"/>
    </xf>
    <xf numFmtId="0" fontId="4" fillId="2" borderId="5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2" fontId="5" fillId="0" borderId="1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right" vertical="top" wrapText="1"/>
    </xf>
    <xf numFmtId="0" fontId="5" fillId="0" borderId="12" xfId="3" applyNumberFormat="1" applyFont="1" applyBorder="1" applyAlignment="1">
      <alignment horizontal="center" vertical="top"/>
    </xf>
    <xf numFmtId="4" fontId="5" fillId="0" borderId="13" xfId="3" applyNumberFormat="1" applyFont="1" applyBorder="1" applyAlignment="1">
      <alignment horizontal="right" vertical="top" wrapText="1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" xfId="3" applyNumberFormat="1" applyFont="1" applyBorder="1" applyAlignment="1">
      <alignment horizontal="right" vertical="top" wrapText="1"/>
    </xf>
    <xf numFmtId="2" fontId="5" fillId="0" borderId="13" xfId="3" applyNumberFormat="1" applyFont="1" applyBorder="1" applyAlignment="1">
      <alignment horizontal="right" vertical="top" wrapText="1"/>
    </xf>
    <xf numFmtId="4" fontId="5" fillId="0" borderId="13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2" xfId="3" applyNumberFormat="1" applyFont="1" applyFill="1" applyBorder="1" applyAlignment="1">
      <alignment horizontal="center" vertical="top"/>
    </xf>
    <xf numFmtId="4" fontId="6" fillId="2" borderId="13" xfId="3" applyNumberFormat="1" applyFont="1" applyFill="1" applyBorder="1" applyAlignment="1">
      <alignment horizontal="right" vertical="top" wrapText="1"/>
    </xf>
    <xf numFmtId="0" fontId="4" fillId="2" borderId="2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horizontal="center" vertical="top"/>
    </xf>
    <xf numFmtId="0" fontId="4" fillId="2" borderId="5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2" fontId="5" fillId="0" borderId="1" xfId="4" applyNumberFormat="1" applyFont="1" applyBorder="1" applyAlignment="1">
      <alignment horizontal="right" vertical="top" wrapText="1"/>
    </xf>
    <xf numFmtId="0" fontId="5" fillId="0" borderId="13" xfId="4" applyNumberFormat="1" applyFont="1" applyBorder="1" applyAlignment="1">
      <alignment horizontal="right" vertical="top" wrapText="1"/>
    </xf>
    <xf numFmtId="0" fontId="5" fillId="0" borderId="12" xfId="4" applyNumberFormat="1" applyFont="1" applyBorder="1" applyAlignment="1">
      <alignment horizontal="center" vertical="top"/>
    </xf>
    <xf numFmtId="4" fontId="5" fillId="0" borderId="13" xfId="4" applyNumberFormat="1" applyFont="1" applyBorder="1" applyAlignment="1">
      <alignment horizontal="right" vertical="top" wrapText="1"/>
    </xf>
    <xf numFmtId="0" fontId="5" fillId="0" borderId="1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4" fontId="6" fillId="2" borderId="1" xfId="4" applyNumberFormat="1" applyFont="1" applyFill="1" applyBorder="1" applyAlignment="1">
      <alignment horizontal="right" vertical="top" wrapText="1"/>
    </xf>
    <xf numFmtId="0" fontId="6" fillId="2" borderId="12" xfId="4" applyNumberFormat="1" applyFont="1" applyFill="1" applyBorder="1" applyAlignment="1">
      <alignment horizontal="center" vertical="top"/>
    </xf>
    <xf numFmtId="2" fontId="6" fillId="2" borderId="13" xfId="4" applyNumberFormat="1" applyFont="1" applyFill="1" applyBorder="1" applyAlignment="1">
      <alignment horizontal="right" vertical="top" wrapText="1"/>
    </xf>
    <xf numFmtId="0" fontId="4" fillId="2" borderId="2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horizontal="center" vertical="top"/>
    </xf>
    <xf numFmtId="0" fontId="4" fillId="2" borderId="5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4" fontId="5" fillId="0" borderId="1" xfId="5" applyNumberFormat="1" applyFont="1" applyBorder="1" applyAlignment="1">
      <alignment horizontal="right" vertical="top" wrapText="1"/>
    </xf>
    <xf numFmtId="0" fontId="5" fillId="0" borderId="13" xfId="5" applyNumberFormat="1" applyFont="1" applyBorder="1" applyAlignment="1">
      <alignment horizontal="right" vertical="top" wrapText="1"/>
    </xf>
    <xf numFmtId="0" fontId="5" fillId="0" borderId="12" xfId="5" applyNumberFormat="1" applyFont="1" applyBorder="1" applyAlignment="1">
      <alignment horizontal="center" vertical="top"/>
    </xf>
    <xf numFmtId="4" fontId="5" fillId="0" borderId="13" xfId="5" applyNumberFormat="1" applyFont="1" applyBorder="1" applyAlignment="1">
      <alignment horizontal="right" vertical="top" wrapText="1"/>
    </xf>
    <xf numFmtId="2" fontId="5" fillId="0" borderId="1" xfId="5" applyNumberFormat="1" applyFont="1" applyBorder="1" applyAlignment="1">
      <alignment horizontal="right" vertical="top" wrapText="1"/>
    </xf>
    <xf numFmtId="0" fontId="5" fillId="0" borderId="1" xfId="5" applyNumberFormat="1" applyFont="1" applyBorder="1" applyAlignment="1">
      <alignment horizontal="right" vertical="top" wrapText="1"/>
    </xf>
    <xf numFmtId="2" fontId="5" fillId="0" borderId="13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2" xfId="5" applyNumberFormat="1" applyFont="1" applyFill="1" applyBorder="1" applyAlignment="1">
      <alignment horizontal="center" vertical="top"/>
    </xf>
    <xf numFmtId="4" fontId="6" fillId="2" borderId="13" xfId="5" applyNumberFormat="1" applyFont="1" applyFill="1" applyBorder="1" applyAlignment="1">
      <alignment horizontal="right" vertical="top" wrapText="1"/>
    </xf>
    <xf numFmtId="0" fontId="4" fillId="2" borderId="2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horizontal="center" vertical="top"/>
    </xf>
    <xf numFmtId="0" fontId="4" fillId="2" borderId="5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4" fontId="5" fillId="0" borderId="1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right" vertical="top" wrapText="1"/>
    </xf>
    <xf numFmtId="0" fontId="5" fillId="0" borderId="12" xfId="6" applyNumberFormat="1" applyFont="1" applyBorder="1" applyAlignment="1">
      <alignment horizontal="center" vertical="top"/>
    </xf>
    <xf numFmtId="4" fontId="5" fillId="0" borderId="13" xfId="6" applyNumberFormat="1" applyFont="1" applyBorder="1" applyAlignment="1">
      <alignment horizontal="right" vertical="top" wrapText="1"/>
    </xf>
    <xf numFmtId="2" fontId="5" fillId="0" borderId="1" xfId="6" applyNumberFormat="1" applyFont="1" applyBorder="1" applyAlignment="1">
      <alignment horizontal="right" vertical="top" wrapText="1"/>
    </xf>
    <xf numFmtId="0" fontId="5" fillId="0" borderId="1" xfId="6" applyNumberFormat="1" applyFont="1" applyBorder="1" applyAlignment="1">
      <alignment horizontal="right" vertical="top" wrapText="1"/>
    </xf>
    <xf numFmtId="2" fontId="5" fillId="0" borderId="13" xfId="6" applyNumberFormat="1" applyFont="1" applyBorder="1" applyAlignment="1">
      <alignment horizontal="right" vertical="top" wrapText="1"/>
    </xf>
    <xf numFmtId="4" fontId="5" fillId="0" borderId="13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2" xfId="6" applyNumberFormat="1" applyFont="1" applyFill="1" applyBorder="1" applyAlignment="1">
      <alignment horizontal="center" vertical="top"/>
    </xf>
    <xf numFmtId="4" fontId="6" fillId="2" borderId="13" xfId="6" applyNumberFormat="1" applyFont="1" applyFill="1" applyBorder="1" applyAlignment="1">
      <alignment horizontal="right" vertical="top" wrapText="1"/>
    </xf>
    <xf numFmtId="4" fontId="0" fillId="0" borderId="0" xfId="0" applyNumberFormat="1"/>
    <xf numFmtId="4" fontId="1" fillId="0" borderId="0" xfId="0" applyNumberFormat="1" applyFont="1"/>
  </cellXfs>
  <cellStyles count="7">
    <cellStyle name="Обычный" xfId="0" builtinId="0"/>
    <cellStyle name="Обычный_Котельна" xfId="3"/>
    <cellStyle name="Обычный_Лист1" xfId="1"/>
    <cellStyle name="Обычный_Лист2" xfId="2"/>
    <cellStyle name="Обычный_Насосна Градирня" xfId="4"/>
    <cellStyle name="Обычный_Резервуар" xfId="5"/>
    <cellStyle name="Обычный_Цех екстракції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tabSelected="1" workbookViewId="0">
      <selection activeCell="C7" sqref="C7"/>
    </sheetView>
  </sheetViews>
  <sheetFormatPr defaultRowHeight="14.4" x14ac:dyDescent="0.3"/>
  <cols>
    <col min="1" max="1" width="4.33203125" customWidth="1"/>
    <col min="2" max="2" width="34.5546875" bestFit="1" customWidth="1"/>
    <col min="3" max="3" width="9.88671875" bestFit="1" customWidth="1"/>
  </cols>
  <sheetData>
    <row r="2" spans="2:3" x14ac:dyDescent="0.3">
      <c r="B2" s="1" t="s">
        <v>0</v>
      </c>
      <c r="C2" s="140">
        <f>'Глобине-2'!J185*1.2</f>
        <v>74417.411999999997</v>
      </c>
    </row>
    <row r="3" spans="2:3" x14ac:dyDescent="0.3">
      <c r="B3" s="1" t="s">
        <v>1</v>
      </c>
      <c r="C3" s="140">
        <f>Котельна!J44*1.2</f>
        <v>6579.7079999999987</v>
      </c>
    </row>
    <row r="4" spans="2:3" x14ac:dyDescent="0.3">
      <c r="B4" s="1" t="s">
        <v>2</v>
      </c>
      <c r="C4" s="140">
        <f>'Насосна Градирня'!J19*1.2</f>
        <v>1942.2599999999998</v>
      </c>
    </row>
    <row r="5" spans="2:3" ht="20.399999999999999" x14ac:dyDescent="0.3">
      <c r="B5" s="1" t="s">
        <v>250</v>
      </c>
      <c r="C5" s="140">
        <f>Резервуар!J22*1.2</f>
        <v>1976.7599999999998</v>
      </c>
    </row>
    <row r="6" spans="2:3" x14ac:dyDescent="0.3">
      <c r="B6" s="1" t="s">
        <v>3</v>
      </c>
      <c r="C6" s="140">
        <f>'Цех екстракції'!J77*1.2</f>
        <v>15671.099999999999</v>
      </c>
    </row>
    <row r="7" spans="2:3" x14ac:dyDescent="0.3">
      <c r="C7" s="141">
        <f>SUM(C2:C6)</f>
        <v>100587.23999999999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85"/>
  <sheetViews>
    <sheetView topLeftCell="A158" workbookViewId="0">
      <selection activeCell="J186" sqref="J186"/>
    </sheetView>
  </sheetViews>
  <sheetFormatPr defaultRowHeight="14.4" x14ac:dyDescent="0.3"/>
  <cols>
    <col min="2" max="4" width="20.21875" customWidth="1"/>
  </cols>
  <sheetData>
    <row r="1" spans="1:12" x14ac:dyDescent="0.3">
      <c r="A1" s="2" t="s">
        <v>4</v>
      </c>
      <c r="B1" s="3" t="s">
        <v>5</v>
      </c>
      <c r="C1" s="3" t="s">
        <v>6</v>
      </c>
      <c r="D1" s="4" t="s">
        <v>7</v>
      </c>
      <c r="E1" s="5" t="s">
        <v>8</v>
      </c>
      <c r="F1" s="5"/>
      <c r="G1" s="5"/>
      <c r="H1" s="6" t="s">
        <v>9</v>
      </c>
      <c r="I1" s="6"/>
      <c r="J1" s="6"/>
      <c r="K1" s="3" t="s">
        <v>10</v>
      </c>
      <c r="L1" s="3"/>
    </row>
    <row r="2" spans="1:12" hidden="1" x14ac:dyDescent="0.3">
      <c r="A2" s="7"/>
      <c r="B2" s="8"/>
      <c r="C2" s="8"/>
      <c r="D2" s="9"/>
      <c r="E2" s="10" t="s">
        <v>11</v>
      </c>
      <c r="F2" s="11"/>
      <c r="G2" s="11"/>
      <c r="H2" s="12" t="s">
        <v>11</v>
      </c>
      <c r="I2" s="13"/>
      <c r="J2" s="13"/>
      <c r="K2" s="7"/>
      <c r="L2" s="14"/>
    </row>
    <row r="3" spans="1:12" ht="51" hidden="1" x14ac:dyDescent="0.3">
      <c r="A3" s="15" t="s">
        <v>13</v>
      </c>
      <c r="B3" s="16" t="s">
        <v>14</v>
      </c>
      <c r="C3" s="16" t="s">
        <v>15</v>
      </c>
      <c r="D3" s="16" t="s">
        <v>16</v>
      </c>
      <c r="E3" s="17" t="s">
        <v>17</v>
      </c>
      <c r="F3" s="18">
        <v>578</v>
      </c>
      <c r="G3" s="18"/>
      <c r="H3" s="17" t="s">
        <v>18</v>
      </c>
      <c r="I3" s="19" t="s">
        <v>19</v>
      </c>
      <c r="J3" s="19"/>
      <c r="K3" s="20" t="s">
        <v>12</v>
      </c>
      <c r="L3" s="21">
        <v>125572.56</v>
      </c>
    </row>
    <row r="4" spans="1:12" ht="51" hidden="1" x14ac:dyDescent="0.3">
      <c r="A4" s="15" t="s">
        <v>13</v>
      </c>
      <c r="B4" s="16" t="s">
        <v>14</v>
      </c>
      <c r="C4" s="16" t="s">
        <v>15</v>
      </c>
      <c r="D4" s="16" t="s">
        <v>16</v>
      </c>
      <c r="E4" s="17" t="s">
        <v>17</v>
      </c>
      <c r="F4" s="18">
        <v>78</v>
      </c>
      <c r="G4" s="18"/>
      <c r="H4" s="17" t="s">
        <v>18</v>
      </c>
      <c r="I4" s="19" t="s">
        <v>19</v>
      </c>
      <c r="J4" s="19"/>
      <c r="K4" s="20" t="s">
        <v>12</v>
      </c>
      <c r="L4" s="21">
        <v>125650.56</v>
      </c>
    </row>
    <row r="5" spans="1:12" ht="71.400000000000006" hidden="1" x14ac:dyDescent="0.3">
      <c r="A5" s="15" t="s">
        <v>20</v>
      </c>
      <c r="B5" s="16" t="s">
        <v>21</v>
      </c>
      <c r="C5" s="16" t="s">
        <v>22</v>
      </c>
      <c r="D5" s="16" t="s">
        <v>23</v>
      </c>
      <c r="E5" s="17" t="s">
        <v>17</v>
      </c>
      <c r="F5" s="18">
        <v>560</v>
      </c>
      <c r="G5" s="18"/>
      <c r="H5" s="17" t="s">
        <v>24</v>
      </c>
      <c r="I5" s="19" t="s">
        <v>19</v>
      </c>
      <c r="J5" s="19"/>
      <c r="K5" s="20" t="s">
        <v>12</v>
      </c>
      <c r="L5" s="21">
        <v>126210.56</v>
      </c>
    </row>
    <row r="6" spans="1:12" ht="61.2" hidden="1" x14ac:dyDescent="0.3">
      <c r="A6" s="15" t="s">
        <v>20</v>
      </c>
      <c r="B6" s="16" t="s">
        <v>21</v>
      </c>
      <c r="C6" s="16" t="s">
        <v>25</v>
      </c>
      <c r="D6" s="16" t="s">
        <v>23</v>
      </c>
      <c r="E6" s="17" t="s">
        <v>17</v>
      </c>
      <c r="F6" s="18">
        <v>320</v>
      </c>
      <c r="G6" s="18"/>
      <c r="H6" s="17" t="s">
        <v>24</v>
      </c>
      <c r="I6" s="19" t="s">
        <v>19</v>
      </c>
      <c r="J6" s="19"/>
      <c r="K6" s="20" t="s">
        <v>12</v>
      </c>
      <c r="L6" s="21">
        <v>126530.56</v>
      </c>
    </row>
    <row r="7" spans="1:12" ht="71.400000000000006" hidden="1" x14ac:dyDescent="0.3">
      <c r="A7" s="15" t="s">
        <v>26</v>
      </c>
      <c r="B7" s="16" t="s">
        <v>27</v>
      </c>
      <c r="C7" s="16" t="s">
        <v>28</v>
      </c>
      <c r="D7" s="16" t="s">
        <v>29</v>
      </c>
      <c r="E7" s="17" t="s">
        <v>17</v>
      </c>
      <c r="F7" s="22">
        <v>1205</v>
      </c>
      <c r="G7" s="22"/>
      <c r="H7" s="17" t="s">
        <v>24</v>
      </c>
      <c r="I7" s="19" t="s">
        <v>19</v>
      </c>
      <c r="J7" s="19"/>
      <c r="K7" s="20" t="s">
        <v>12</v>
      </c>
      <c r="L7" s="21">
        <v>127735.56</v>
      </c>
    </row>
    <row r="8" spans="1:12" ht="71.400000000000006" hidden="1" x14ac:dyDescent="0.3">
      <c r="A8" s="15" t="s">
        <v>26</v>
      </c>
      <c r="B8" s="16" t="s">
        <v>27</v>
      </c>
      <c r="C8" s="16" t="s">
        <v>30</v>
      </c>
      <c r="D8" s="16" t="s">
        <v>29</v>
      </c>
      <c r="E8" s="17" t="s">
        <v>17</v>
      </c>
      <c r="F8" s="22">
        <v>4170</v>
      </c>
      <c r="G8" s="22"/>
      <c r="H8" s="17" t="s">
        <v>24</v>
      </c>
      <c r="I8" s="19" t="s">
        <v>19</v>
      </c>
      <c r="J8" s="19"/>
      <c r="K8" s="20" t="s">
        <v>12</v>
      </c>
      <c r="L8" s="21">
        <v>131905.56</v>
      </c>
    </row>
    <row r="9" spans="1:12" ht="71.400000000000006" hidden="1" x14ac:dyDescent="0.3">
      <c r="A9" s="15" t="s">
        <v>26</v>
      </c>
      <c r="B9" s="16" t="s">
        <v>27</v>
      </c>
      <c r="C9" s="16" t="s">
        <v>31</v>
      </c>
      <c r="D9" s="16" t="s">
        <v>29</v>
      </c>
      <c r="E9" s="17" t="s">
        <v>17</v>
      </c>
      <c r="F9" s="22">
        <v>1285.5</v>
      </c>
      <c r="G9" s="22"/>
      <c r="H9" s="17" t="s">
        <v>24</v>
      </c>
      <c r="I9" s="19" t="s">
        <v>19</v>
      </c>
      <c r="J9" s="19"/>
      <c r="K9" s="20" t="s">
        <v>12</v>
      </c>
      <c r="L9" s="21">
        <v>133191.06</v>
      </c>
    </row>
    <row r="10" spans="1:12" ht="71.400000000000006" hidden="1" x14ac:dyDescent="0.3">
      <c r="A10" s="15" t="s">
        <v>26</v>
      </c>
      <c r="B10" s="16" t="s">
        <v>27</v>
      </c>
      <c r="C10" s="16" t="s">
        <v>32</v>
      </c>
      <c r="D10" s="16" t="s">
        <v>29</v>
      </c>
      <c r="E10" s="17" t="s">
        <v>17</v>
      </c>
      <c r="F10" s="18">
        <v>667.5</v>
      </c>
      <c r="G10" s="18"/>
      <c r="H10" s="17" t="s">
        <v>24</v>
      </c>
      <c r="I10" s="19" t="s">
        <v>19</v>
      </c>
      <c r="J10" s="19"/>
      <c r="K10" s="20" t="s">
        <v>12</v>
      </c>
      <c r="L10" s="21">
        <v>133858.56</v>
      </c>
    </row>
    <row r="11" spans="1:12" ht="71.400000000000006" hidden="1" x14ac:dyDescent="0.3">
      <c r="A11" s="15" t="s">
        <v>26</v>
      </c>
      <c r="B11" s="16" t="s">
        <v>27</v>
      </c>
      <c r="C11" s="16" t="s">
        <v>33</v>
      </c>
      <c r="D11" s="16" t="s">
        <v>29</v>
      </c>
      <c r="E11" s="17" t="s">
        <v>17</v>
      </c>
      <c r="F11" s="18">
        <v>758.4</v>
      </c>
      <c r="G11" s="18"/>
      <c r="H11" s="17" t="s">
        <v>24</v>
      </c>
      <c r="I11" s="19" t="s">
        <v>19</v>
      </c>
      <c r="J11" s="19"/>
      <c r="K11" s="20" t="s">
        <v>12</v>
      </c>
      <c r="L11" s="21">
        <v>134616.95999999999</v>
      </c>
    </row>
    <row r="12" spans="1:12" ht="61.2" hidden="1" x14ac:dyDescent="0.3">
      <c r="A12" s="15" t="s">
        <v>26</v>
      </c>
      <c r="B12" s="16" t="s">
        <v>27</v>
      </c>
      <c r="C12" s="16" t="s">
        <v>34</v>
      </c>
      <c r="D12" s="16" t="s">
        <v>29</v>
      </c>
      <c r="E12" s="17" t="s">
        <v>17</v>
      </c>
      <c r="F12" s="18">
        <v>275.75</v>
      </c>
      <c r="G12" s="18"/>
      <c r="H12" s="17" t="s">
        <v>24</v>
      </c>
      <c r="I12" s="19" t="s">
        <v>19</v>
      </c>
      <c r="J12" s="19"/>
      <c r="K12" s="20" t="s">
        <v>12</v>
      </c>
      <c r="L12" s="21">
        <v>134892.71</v>
      </c>
    </row>
    <row r="13" spans="1:12" ht="71.400000000000006" hidden="1" x14ac:dyDescent="0.3">
      <c r="A13" s="15" t="s">
        <v>26</v>
      </c>
      <c r="B13" s="16" t="s">
        <v>27</v>
      </c>
      <c r="C13" s="16" t="s">
        <v>35</v>
      </c>
      <c r="D13" s="16" t="s">
        <v>29</v>
      </c>
      <c r="E13" s="17" t="s">
        <v>17</v>
      </c>
      <c r="F13" s="22">
        <v>2276</v>
      </c>
      <c r="G13" s="22"/>
      <c r="H13" s="17" t="s">
        <v>24</v>
      </c>
      <c r="I13" s="19" t="s">
        <v>19</v>
      </c>
      <c r="J13" s="19"/>
      <c r="K13" s="20" t="s">
        <v>12</v>
      </c>
      <c r="L13" s="21">
        <v>137168.71</v>
      </c>
    </row>
    <row r="14" spans="1:12" ht="71.400000000000006" hidden="1" x14ac:dyDescent="0.3">
      <c r="A14" s="15" t="s">
        <v>26</v>
      </c>
      <c r="B14" s="16" t="s">
        <v>27</v>
      </c>
      <c r="C14" s="16" t="s">
        <v>36</v>
      </c>
      <c r="D14" s="16" t="s">
        <v>29</v>
      </c>
      <c r="E14" s="17" t="s">
        <v>17</v>
      </c>
      <c r="F14" s="22">
        <v>4390</v>
      </c>
      <c r="G14" s="22"/>
      <c r="H14" s="17" t="s">
        <v>24</v>
      </c>
      <c r="I14" s="19" t="s">
        <v>19</v>
      </c>
      <c r="J14" s="19"/>
      <c r="K14" s="20" t="s">
        <v>12</v>
      </c>
      <c r="L14" s="21">
        <v>141558.71</v>
      </c>
    </row>
    <row r="15" spans="1:12" ht="71.400000000000006" hidden="1" x14ac:dyDescent="0.3">
      <c r="A15" s="15" t="s">
        <v>26</v>
      </c>
      <c r="B15" s="16" t="s">
        <v>37</v>
      </c>
      <c r="C15" s="16" t="s">
        <v>38</v>
      </c>
      <c r="D15" s="16" t="s">
        <v>28</v>
      </c>
      <c r="E15" s="17" t="s">
        <v>17</v>
      </c>
      <c r="F15" s="23" t="s">
        <v>19</v>
      </c>
      <c r="G15" s="23"/>
      <c r="H15" s="17" t="s">
        <v>17</v>
      </c>
      <c r="I15" s="24">
        <v>1205</v>
      </c>
      <c r="J15" s="24"/>
      <c r="K15" s="20" t="s">
        <v>12</v>
      </c>
      <c r="L15" s="21">
        <v>140353.71</v>
      </c>
    </row>
    <row r="16" spans="1:12" ht="71.400000000000006" hidden="1" x14ac:dyDescent="0.3">
      <c r="A16" s="15" t="s">
        <v>26</v>
      </c>
      <c r="B16" s="16" t="s">
        <v>37</v>
      </c>
      <c r="C16" s="16" t="s">
        <v>39</v>
      </c>
      <c r="D16" s="16" t="s">
        <v>30</v>
      </c>
      <c r="E16" s="17" t="s">
        <v>17</v>
      </c>
      <c r="F16" s="23" t="s">
        <v>19</v>
      </c>
      <c r="G16" s="23"/>
      <c r="H16" s="17" t="s">
        <v>17</v>
      </c>
      <c r="I16" s="24">
        <v>4170</v>
      </c>
      <c r="J16" s="24"/>
      <c r="K16" s="20" t="s">
        <v>12</v>
      </c>
      <c r="L16" s="21">
        <v>136183.71</v>
      </c>
    </row>
    <row r="17" spans="1:12" ht="71.400000000000006" hidden="1" x14ac:dyDescent="0.3">
      <c r="A17" s="15" t="s">
        <v>26</v>
      </c>
      <c r="B17" s="16" t="s">
        <v>37</v>
      </c>
      <c r="C17" s="16" t="s">
        <v>40</v>
      </c>
      <c r="D17" s="16" t="s">
        <v>33</v>
      </c>
      <c r="E17" s="17" t="s">
        <v>17</v>
      </c>
      <c r="F17" s="23" t="s">
        <v>19</v>
      </c>
      <c r="G17" s="23"/>
      <c r="H17" s="17" t="s">
        <v>17</v>
      </c>
      <c r="I17" s="25">
        <v>758.4</v>
      </c>
      <c r="J17" s="25"/>
      <c r="K17" s="20" t="s">
        <v>12</v>
      </c>
      <c r="L17" s="21">
        <v>135425.31</v>
      </c>
    </row>
    <row r="18" spans="1:12" ht="81.599999999999994" hidden="1" x14ac:dyDescent="0.3">
      <c r="A18" s="15" t="s">
        <v>26</v>
      </c>
      <c r="B18" s="16" t="s">
        <v>41</v>
      </c>
      <c r="C18" s="16" t="s">
        <v>42</v>
      </c>
      <c r="D18" s="16" t="s">
        <v>31</v>
      </c>
      <c r="E18" s="17" t="s">
        <v>17</v>
      </c>
      <c r="F18" s="23" t="s">
        <v>19</v>
      </c>
      <c r="G18" s="23"/>
      <c r="H18" s="17" t="s">
        <v>17</v>
      </c>
      <c r="I18" s="24">
        <v>1285.5</v>
      </c>
      <c r="J18" s="24"/>
      <c r="K18" s="20" t="s">
        <v>12</v>
      </c>
      <c r="L18" s="21">
        <v>134139.81</v>
      </c>
    </row>
    <row r="19" spans="1:12" ht="71.400000000000006" hidden="1" x14ac:dyDescent="0.3">
      <c r="A19" s="15" t="s">
        <v>26</v>
      </c>
      <c r="B19" s="16" t="s">
        <v>43</v>
      </c>
      <c r="C19" s="16" t="s">
        <v>44</v>
      </c>
      <c r="D19" s="16" t="s">
        <v>32</v>
      </c>
      <c r="E19" s="17" t="s">
        <v>17</v>
      </c>
      <c r="F19" s="23" t="s">
        <v>19</v>
      </c>
      <c r="G19" s="23"/>
      <c r="H19" s="17" t="s">
        <v>17</v>
      </c>
      <c r="I19" s="25">
        <v>667.5</v>
      </c>
      <c r="J19" s="25"/>
      <c r="K19" s="20" t="s">
        <v>12</v>
      </c>
      <c r="L19" s="21">
        <v>133472.31</v>
      </c>
    </row>
    <row r="20" spans="1:12" ht="61.2" hidden="1" x14ac:dyDescent="0.3">
      <c r="A20" s="15" t="s">
        <v>26</v>
      </c>
      <c r="B20" s="16" t="s">
        <v>45</v>
      </c>
      <c r="C20" s="16" t="s">
        <v>46</v>
      </c>
      <c r="D20" s="16" t="s">
        <v>34</v>
      </c>
      <c r="E20" s="17" t="s">
        <v>17</v>
      </c>
      <c r="F20" s="23" t="s">
        <v>19</v>
      </c>
      <c r="G20" s="23"/>
      <c r="H20" s="17" t="s">
        <v>17</v>
      </c>
      <c r="I20" s="25">
        <v>275.75</v>
      </c>
      <c r="J20" s="25"/>
      <c r="K20" s="20" t="s">
        <v>12</v>
      </c>
      <c r="L20" s="21">
        <v>133196.56</v>
      </c>
    </row>
    <row r="21" spans="1:12" ht="91.8" hidden="1" x14ac:dyDescent="0.3">
      <c r="A21" s="15" t="s">
        <v>26</v>
      </c>
      <c r="B21" s="16" t="s">
        <v>47</v>
      </c>
      <c r="C21" s="16" t="s">
        <v>48</v>
      </c>
      <c r="D21" s="16" t="s">
        <v>35</v>
      </c>
      <c r="E21" s="17" t="s">
        <v>17</v>
      </c>
      <c r="F21" s="23" t="s">
        <v>19</v>
      </c>
      <c r="G21" s="23"/>
      <c r="H21" s="17" t="s">
        <v>17</v>
      </c>
      <c r="I21" s="24">
        <v>2276</v>
      </c>
      <c r="J21" s="24"/>
      <c r="K21" s="20" t="s">
        <v>12</v>
      </c>
      <c r="L21" s="21">
        <v>130920.56</v>
      </c>
    </row>
    <row r="22" spans="1:12" ht="71.400000000000006" hidden="1" x14ac:dyDescent="0.3">
      <c r="A22" s="15" t="s">
        <v>26</v>
      </c>
      <c r="B22" s="16" t="s">
        <v>49</v>
      </c>
      <c r="C22" s="16" t="s">
        <v>50</v>
      </c>
      <c r="D22" s="16" t="s">
        <v>36</v>
      </c>
      <c r="E22" s="17" t="s">
        <v>17</v>
      </c>
      <c r="F22" s="23" t="s">
        <v>19</v>
      </c>
      <c r="G22" s="23"/>
      <c r="H22" s="17" t="s">
        <v>17</v>
      </c>
      <c r="I22" s="24">
        <v>4390</v>
      </c>
      <c r="J22" s="24"/>
      <c r="K22" s="20" t="s">
        <v>12</v>
      </c>
      <c r="L22" s="21">
        <v>126530.56</v>
      </c>
    </row>
    <row r="23" spans="1:12" ht="71.400000000000006" hidden="1" x14ac:dyDescent="0.3">
      <c r="A23" s="15" t="s">
        <v>51</v>
      </c>
      <c r="B23" s="16" t="s">
        <v>52</v>
      </c>
      <c r="C23" s="16" t="s">
        <v>53</v>
      </c>
      <c r="D23" s="16" t="s">
        <v>54</v>
      </c>
      <c r="E23" s="17" t="s">
        <v>17</v>
      </c>
      <c r="F23" s="18">
        <v>87.5</v>
      </c>
      <c r="G23" s="18"/>
      <c r="H23" s="17" t="s">
        <v>17</v>
      </c>
      <c r="I23" s="19" t="s">
        <v>19</v>
      </c>
      <c r="J23" s="19"/>
      <c r="K23" s="20" t="s">
        <v>12</v>
      </c>
      <c r="L23" s="21">
        <v>126618.06</v>
      </c>
    </row>
    <row r="24" spans="1:12" ht="61.2" hidden="1" x14ac:dyDescent="0.3">
      <c r="A24" s="15" t="s">
        <v>51</v>
      </c>
      <c r="B24" s="16" t="s">
        <v>52</v>
      </c>
      <c r="C24" s="16" t="s">
        <v>55</v>
      </c>
      <c r="D24" s="16" t="s">
        <v>56</v>
      </c>
      <c r="E24" s="17" t="s">
        <v>17</v>
      </c>
      <c r="F24" s="18">
        <v>108</v>
      </c>
      <c r="G24" s="18"/>
      <c r="H24" s="17" t="s">
        <v>17</v>
      </c>
      <c r="I24" s="19" t="s">
        <v>19</v>
      </c>
      <c r="J24" s="19"/>
      <c r="K24" s="20" t="s">
        <v>12</v>
      </c>
      <c r="L24" s="21">
        <v>126726.06</v>
      </c>
    </row>
    <row r="25" spans="1:12" ht="61.2" hidden="1" x14ac:dyDescent="0.3">
      <c r="A25" s="15" t="s">
        <v>51</v>
      </c>
      <c r="B25" s="16" t="s">
        <v>52</v>
      </c>
      <c r="C25" s="16" t="s">
        <v>57</v>
      </c>
      <c r="D25" s="16" t="s">
        <v>58</v>
      </c>
      <c r="E25" s="17" t="s">
        <v>17</v>
      </c>
      <c r="F25" s="18">
        <v>54</v>
      </c>
      <c r="G25" s="18"/>
      <c r="H25" s="17" t="s">
        <v>17</v>
      </c>
      <c r="I25" s="19" t="s">
        <v>19</v>
      </c>
      <c r="J25" s="19"/>
      <c r="K25" s="20" t="s">
        <v>12</v>
      </c>
      <c r="L25" s="21">
        <v>126780.06</v>
      </c>
    </row>
    <row r="26" spans="1:12" ht="61.2" hidden="1" x14ac:dyDescent="0.3">
      <c r="A26" s="15" t="s">
        <v>51</v>
      </c>
      <c r="B26" s="16" t="s">
        <v>52</v>
      </c>
      <c r="C26" s="16" t="s">
        <v>59</v>
      </c>
      <c r="D26" s="16" t="s">
        <v>60</v>
      </c>
      <c r="E26" s="17" t="s">
        <v>17</v>
      </c>
      <c r="F26" s="18">
        <v>108</v>
      </c>
      <c r="G26" s="18"/>
      <c r="H26" s="17" t="s">
        <v>17</v>
      </c>
      <c r="I26" s="19" t="s">
        <v>19</v>
      </c>
      <c r="J26" s="19"/>
      <c r="K26" s="20" t="s">
        <v>12</v>
      </c>
      <c r="L26" s="21">
        <v>126888.06</v>
      </c>
    </row>
    <row r="27" spans="1:12" ht="61.2" hidden="1" x14ac:dyDescent="0.3">
      <c r="A27" s="15" t="s">
        <v>51</v>
      </c>
      <c r="B27" s="16" t="s">
        <v>52</v>
      </c>
      <c r="C27" s="16" t="s">
        <v>61</v>
      </c>
      <c r="D27" s="16" t="s">
        <v>62</v>
      </c>
      <c r="E27" s="17" t="s">
        <v>17</v>
      </c>
      <c r="F27" s="18">
        <v>172.75</v>
      </c>
      <c r="G27" s="18"/>
      <c r="H27" s="17" t="s">
        <v>17</v>
      </c>
      <c r="I27" s="19" t="s">
        <v>19</v>
      </c>
      <c r="J27" s="19"/>
      <c r="K27" s="20" t="s">
        <v>12</v>
      </c>
      <c r="L27" s="21">
        <v>127060.81</v>
      </c>
    </row>
    <row r="28" spans="1:12" ht="61.2" hidden="1" x14ac:dyDescent="0.3">
      <c r="A28" s="15" t="s">
        <v>51</v>
      </c>
      <c r="B28" s="16" t="s">
        <v>52</v>
      </c>
      <c r="C28" s="16" t="s">
        <v>63</v>
      </c>
      <c r="D28" s="16" t="s">
        <v>64</v>
      </c>
      <c r="E28" s="17" t="s">
        <v>17</v>
      </c>
      <c r="F28" s="18">
        <v>82.4</v>
      </c>
      <c r="G28" s="18"/>
      <c r="H28" s="17" t="s">
        <v>17</v>
      </c>
      <c r="I28" s="19" t="s">
        <v>19</v>
      </c>
      <c r="J28" s="19"/>
      <c r="K28" s="20" t="s">
        <v>12</v>
      </c>
      <c r="L28" s="21">
        <v>127143.21</v>
      </c>
    </row>
    <row r="29" spans="1:12" ht="61.2" hidden="1" x14ac:dyDescent="0.3">
      <c r="A29" s="15" t="s">
        <v>51</v>
      </c>
      <c r="B29" s="16" t="s">
        <v>52</v>
      </c>
      <c r="C29" s="16" t="s">
        <v>65</v>
      </c>
      <c r="D29" s="16" t="s">
        <v>66</v>
      </c>
      <c r="E29" s="17" t="s">
        <v>17</v>
      </c>
      <c r="F29" s="18">
        <v>100</v>
      </c>
      <c r="G29" s="18"/>
      <c r="H29" s="17" t="s">
        <v>17</v>
      </c>
      <c r="I29" s="19" t="s">
        <v>19</v>
      </c>
      <c r="J29" s="19"/>
      <c r="K29" s="20" t="s">
        <v>12</v>
      </c>
      <c r="L29" s="21">
        <v>127243.21</v>
      </c>
    </row>
    <row r="30" spans="1:12" ht="61.2" hidden="1" x14ac:dyDescent="0.3">
      <c r="A30" s="15" t="s">
        <v>51</v>
      </c>
      <c r="B30" s="16" t="s">
        <v>67</v>
      </c>
      <c r="C30" s="16" t="s">
        <v>68</v>
      </c>
      <c r="D30" s="16" t="s">
        <v>69</v>
      </c>
      <c r="E30" s="17" t="s">
        <v>17</v>
      </c>
      <c r="F30" s="22">
        <v>9225</v>
      </c>
      <c r="G30" s="22"/>
      <c r="H30" s="17" t="s">
        <v>24</v>
      </c>
      <c r="I30" s="19" t="s">
        <v>19</v>
      </c>
      <c r="J30" s="19"/>
      <c r="K30" s="20" t="s">
        <v>12</v>
      </c>
      <c r="L30" s="21">
        <v>136468.21</v>
      </c>
    </row>
    <row r="31" spans="1:12" ht="61.2" hidden="1" x14ac:dyDescent="0.3">
      <c r="A31" s="15" t="s">
        <v>51</v>
      </c>
      <c r="B31" s="16" t="s">
        <v>70</v>
      </c>
      <c r="C31" s="16" t="s">
        <v>71</v>
      </c>
      <c r="D31" s="16" t="s">
        <v>72</v>
      </c>
      <c r="E31" s="17" t="s">
        <v>17</v>
      </c>
      <c r="F31" s="23" t="s">
        <v>19</v>
      </c>
      <c r="G31" s="23"/>
      <c r="H31" s="17" t="s">
        <v>17</v>
      </c>
      <c r="I31" s="24">
        <v>1660</v>
      </c>
      <c r="J31" s="24"/>
      <c r="K31" s="20" t="s">
        <v>12</v>
      </c>
      <c r="L31" s="21">
        <v>134808.21</v>
      </c>
    </row>
    <row r="32" spans="1:12" ht="61.2" hidden="1" x14ac:dyDescent="0.3">
      <c r="A32" s="15" t="s">
        <v>51</v>
      </c>
      <c r="B32" s="16" t="s">
        <v>70</v>
      </c>
      <c r="C32" s="16" t="s">
        <v>73</v>
      </c>
      <c r="D32" s="16" t="s">
        <v>68</v>
      </c>
      <c r="E32" s="17" t="s">
        <v>17</v>
      </c>
      <c r="F32" s="23" t="s">
        <v>19</v>
      </c>
      <c r="G32" s="23"/>
      <c r="H32" s="17" t="s">
        <v>17</v>
      </c>
      <c r="I32" s="24">
        <v>6498.5</v>
      </c>
      <c r="J32" s="24"/>
      <c r="K32" s="20" t="s">
        <v>12</v>
      </c>
      <c r="L32" s="21">
        <v>128309.71</v>
      </c>
    </row>
    <row r="33" spans="1:12" ht="61.2" hidden="1" x14ac:dyDescent="0.3">
      <c r="A33" s="15" t="s">
        <v>51</v>
      </c>
      <c r="B33" s="16" t="s">
        <v>74</v>
      </c>
      <c r="C33" s="16" t="s">
        <v>75</v>
      </c>
      <c r="D33" s="16" t="s">
        <v>68</v>
      </c>
      <c r="E33" s="17" t="s">
        <v>17</v>
      </c>
      <c r="F33" s="23" t="s">
        <v>19</v>
      </c>
      <c r="G33" s="23"/>
      <c r="H33" s="17" t="s">
        <v>17</v>
      </c>
      <c r="I33" s="24">
        <v>1025</v>
      </c>
      <c r="J33" s="24"/>
      <c r="K33" s="20" t="s">
        <v>12</v>
      </c>
      <c r="L33" s="21">
        <v>127284.71</v>
      </c>
    </row>
    <row r="34" spans="1:12" ht="61.2" hidden="1" x14ac:dyDescent="0.3">
      <c r="A34" s="15" t="s">
        <v>76</v>
      </c>
      <c r="B34" s="16" t="s">
        <v>77</v>
      </c>
      <c r="C34" s="16" t="s">
        <v>78</v>
      </c>
      <c r="D34" s="16" t="s">
        <v>79</v>
      </c>
      <c r="E34" s="17" t="s">
        <v>17</v>
      </c>
      <c r="F34" s="22">
        <v>1490</v>
      </c>
      <c r="G34" s="22"/>
      <c r="H34" s="17" t="s">
        <v>24</v>
      </c>
      <c r="I34" s="19" t="s">
        <v>19</v>
      </c>
      <c r="J34" s="19"/>
      <c r="K34" s="20" t="s">
        <v>12</v>
      </c>
      <c r="L34" s="21">
        <v>128774.71</v>
      </c>
    </row>
    <row r="35" spans="1:12" ht="71.400000000000006" hidden="1" x14ac:dyDescent="0.3">
      <c r="A35" s="15" t="s">
        <v>76</v>
      </c>
      <c r="B35" s="16" t="s">
        <v>77</v>
      </c>
      <c r="C35" s="16" t="s">
        <v>80</v>
      </c>
      <c r="D35" s="16" t="s">
        <v>79</v>
      </c>
      <c r="E35" s="17" t="s">
        <v>17</v>
      </c>
      <c r="F35" s="18">
        <v>399</v>
      </c>
      <c r="G35" s="18"/>
      <c r="H35" s="17" t="s">
        <v>24</v>
      </c>
      <c r="I35" s="19" t="s">
        <v>19</v>
      </c>
      <c r="J35" s="19"/>
      <c r="K35" s="20" t="s">
        <v>12</v>
      </c>
      <c r="L35" s="21">
        <v>129173.71</v>
      </c>
    </row>
    <row r="36" spans="1:12" ht="71.400000000000006" hidden="1" x14ac:dyDescent="0.3">
      <c r="A36" s="15" t="s">
        <v>76</v>
      </c>
      <c r="B36" s="16" t="s">
        <v>81</v>
      </c>
      <c r="C36" s="16" t="s">
        <v>82</v>
      </c>
      <c r="D36" s="16" t="s">
        <v>83</v>
      </c>
      <c r="E36" s="17" t="s">
        <v>17</v>
      </c>
      <c r="F36" s="18">
        <v>146</v>
      </c>
      <c r="G36" s="18"/>
      <c r="H36" s="17" t="s">
        <v>24</v>
      </c>
      <c r="I36" s="19" t="s">
        <v>19</v>
      </c>
      <c r="J36" s="19"/>
      <c r="K36" s="20" t="s">
        <v>12</v>
      </c>
      <c r="L36" s="21">
        <v>129319.71</v>
      </c>
    </row>
    <row r="37" spans="1:12" ht="71.400000000000006" hidden="1" x14ac:dyDescent="0.3">
      <c r="A37" s="15" t="s">
        <v>76</v>
      </c>
      <c r="B37" s="16" t="s">
        <v>81</v>
      </c>
      <c r="C37" s="16" t="s">
        <v>84</v>
      </c>
      <c r="D37" s="16" t="s">
        <v>83</v>
      </c>
      <c r="E37" s="17" t="s">
        <v>17</v>
      </c>
      <c r="F37" s="18">
        <v>301.55</v>
      </c>
      <c r="G37" s="18"/>
      <c r="H37" s="17" t="s">
        <v>24</v>
      </c>
      <c r="I37" s="19" t="s">
        <v>19</v>
      </c>
      <c r="J37" s="19"/>
      <c r="K37" s="20" t="s">
        <v>12</v>
      </c>
      <c r="L37" s="21">
        <v>129621.26</v>
      </c>
    </row>
    <row r="38" spans="1:12" ht="71.400000000000006" hidden="1" x14ac:dyDescent="0.3">
      <c r="A38" s="15" t="s">
        <v>76</v>
      </c>
      <c r="B38" s="16" t="s">
        <v>81</v>
      </c>
      <c r="C38" s="16" t="s">
        <v>85</v>
      </c>
      <c r="D38" s="16" t="s">
        <v>83</v>
      </c>
      <c r="E38" s="17" t="s">
        <v>17</v>
      </c>
      <c r="F38" s="18">
        <v>919</v>
      </c>
      <c r="G38" s="18"/>
      <c r="H38" s="17" t="s">
        <v>24</v>
      </c>
      <c r="I38" s="19" t="s">
        <v>19</v>
      </c>
      <c r="J38" s="19"/>
      <c r="K38" s="20" t="s">
        <v>12</v>
      </c>
      <c r="L38" s="21">
        <v>130540.26</v>
      </c>
    </row>
    <row r="39" spans="1:12" ht="71.400000000000006" hidden="1" x14ac:dyDescent="0.3">
      <c r="A39" s="15" t="s">
        <v>76</v>
      </c>
      <c r="B39" s="16" t="s">
        <v>81</v>
      </c>
      <c r="C39" s="16" t="s">
        <v>86</v>
      </c>
      <c r="D39" s="16" t="s">
        <v>83</v>
      </c>
      <c r="E39" s="17" t="s">
        <v>17</v>
      </c>
      <c r="F39" s="18">
        <v>204.25</v>
      </c>
      <c r="G39" s="18"/>
      <c r="H39" s="17" t="s">
        <v>24</v>
      </c>
      <c r="I39" s="19" t="s">
        <v>19</v>
      </c>
      <c r="J39" s="19"/>
      <c r="K39" s="20" t="s">
        <v>12</v>
      </c>
      <c r="L39" s="21">
        <v>130744.51</v>
      </c>
    </row>
    <row r="40" spans="1:12" ht="71.400000000000006" hidden="1" x14ac:dyDescent="0.3">
      <c r="A40" s="15" t="s">
        <v>76</v>
      </c>
      <c r="B40" s="16" t="s">
        <v>87</v>
      </c>
      <c r="C40" s="16" t="s">
        <v>88</v>
      </c>
      <c r="D40" s="16" t="s">
        <v>82</v>
      </c>
      <c r="E40" s="17" t="s">
        <v>17</v>
      </c>
      <c r="F40" s="23" t="s">
        <v>19</v>
      </c>
      <c r="G40" s="23"/>
      <c r="H40" s="17" t="s">
        <v>17</v>
      </c>
      <c r="I40" s="25">
        <v>146</v>
      </c>
      <c r="J40" s="25"/>
      <c r="K40" s="20" t="s">
        <v>12</v>
      </c>
      <c r="L40" s="21">
        <v>130598.51</v>
      </c>
    </row>
    <row r="41" spans="1:12" ht="71.400000000000006" hidden="1" x14ac:dyDescent="0.3">
      <c r="A41" s="15" t="s">
        <v>76</v>
      </c>
      <c r="B41" s="16" t="s">
        <v>87</v>
      </c>
      <c r="C41" s="16" t="s">
        <v>89</v>
      </c>
      <c r="D41" s="16" t="s">
        <v>53</v>
      </c>
      <c r="E41" s="17" t="s">
        <v>17</v>
      </c>
      <c r="F41" s="23" t="s">
        <v>19</v>
      </c>
      <c r="G41" s="23"/>
      <c r="H41" s="17" t="s">
        <v>17</v>
      </c>
      <c r="I41" s="25">
        <v>87.5</v>
      </c>
      <c r="J41" s="25"/>
      <c r="K41" s="20" t="s">
        <v>12</v>
      </c>
      <c r="L41" s="21">
        <v>130511.01</v>
      </c>
    </row>
    <row r="42" spans="1:12" ht="71.400000000000006" hidden="1" x14ac:dyDescent="0.3">
      <c r="A42" s="15" t="s">
        <v>76</v>
      </c>
      <c r="B42" s="16" t="s">
        <v>87</v>
      </c>
      <c r="C42" s="16" t="s">
        <v>90</v>
      </c>
      <c r="D42" s="16" t="s">
        <v>85</v>
      </c>
      <c r="E42" s="17" t="s">
        <v>17</v>
      </c>
      <c r="F42" s="23" t="s">
        <v>19</v>
      </c>
      <c r="G42" s="23"/>
      <c r="H42" s="17" t="s">
        <v>17</v>
      </c>
      <c r="I42" s="25">
        <v>827.1</v>
      </c>
      <c r="J42" s="25"/>
      <c r="K42" s="20" t="s">
        <v>12</v>
      </c>
      <c r="L42" s="21">
        <v>129683.91</v>
      </c>
    </row>
    <row r="43" spans="1:12" ht="71.400000000000006" hidden="1" x14ac:dyDescent="0.3">
      <c r="A43" s="15" t="s">
        <v>76</v>
      </c>
      <c r="B43" s="16" t="s">
        <v>87</v>
      </c>
      <c r="C43" s="16" t="s">
        <v>91</v>
      </c>
      <c r="D43" s="16" t="s">
        <v>86</v>
      </c>
      <c r="E43" s="17" t="s">
        <v>17</v>
      </c>
      <c r="F43" s="23" t="s">
        <v>19</v>
      </c>
      <c r="G43" s="23"/>
      <c r="H43" s="17" t="s">
        <v>17</v>
      </c>
      <c r="I43" s="25">
        <v>204.25</v>
      </c>
      <c r="J43" s="25"/>
      <c r="K43" s="20" t="s">
        <v>12</v>
      </c>
      <c r="L43" s="21">
        <v>129479.66</v>
      </c>
    </row>
    <row r="44" spans="1:12" ht="71.400000000000006" hidden="1" x14ac:dyDescent="0.3">
      <c r="A44" s="15" t="s">
        <v>76</v>
      </c>
      <c r="B44" s="16" t="s">
        <v>92</v>
      </c>
      <c r="C44" s="16" t="s">
        <v>93</v>
      </c>
      <c r="D44" s="16" t="s">
        <v>84</v>
      </c>
      <c r="E44" s="17" t="s">
        <v>17</v>
      </c>
      <c r="F44" s="23" t="s">
        <v>19</v>
      </c>
      <c r="G44" s="23"/>
      <c r="H44" s="17" t="s">
        <v>17</v>
      </c>
      <c r="I44" s="25">
        <v>301.55</v>
      </c>
      <c r="J44" s="25"/>
      <c r="K44" s="20" t="s">
        <v>12</v>
      </c>
      <c r="L44" s="21">
        <v>129178.11</v>
      </c>
    </row>
    <row r="45" spans="1:12" ht="71.400000000000006" x14ac:dyDescent="0.3">
      <c r="A45" s="15" t="s">
        <v>94</v>
      </c>
      <c r="B45" s="16" t="s">
        <v>95</v>
      </c>
      <c r="C45" s="16" t="s">
        <v>96</v>
      </c>
      <c r="D45" s="16" t="s">
        <v>85</v>
      </c>
      <c r="E45" s="17" t="s">
        <v>97</v>
      </c>
      <c r="F45" s="23" t="s">
        <v>19</v>
      </c>
      <c r="G45" s="23"/>
      <c r="H45" s="17" t="s">
        <v>17</v>
      </c>
      <c r="I45" s="25">
        <v>91.9</v>
      </c>
      <c r="J45" s="25"/>
      <c r="K45" s="20" t="s">
        <v>12</v>
      </c>
      <c r="L45" s="21">
        <v>129086.21</v>
      </c>
    </row>
    <row r="46" spans="1:12" ht="61.2" x14ac:dyDescent="0.3">
      <c r="A46" s="15" t="s">
        <v>94</v>
      </c>
      <c r="B46" s="16" t="s">
        <v>95</v>
      </c>
      <c r="C46" s="16" t="s">
        <v>96</v>
      </c>
      <c r="D46" s="16" t="s">
        <v>55</v>
      </c>
      <c r="E46" s="17" t="s">
        <v>97</v>
      </c>
      <c r="F46" s="23" t="s">
        <v>19</v>
      </c>
      <c r="G46" s="23"/>
      <c r="H46" s="17" t="s">
        <v>17</v>
      </c>
      <c r="I46" s="25">
        <v>108</v>
      </c>
      <c r="J46" s="25"/>
      <c r="K46" s="20" t="s">
        <v>12</v>
      </c>
      <c r="L46" s="21">
        <v>128978.21</v>
      </c>
    </row>
    <row r="47" spans="1:12" ht="61.2" x14ac:dyDescent="0.3">
      <c r="A47" s="15" t="s">
        <v>94</v>
      </c>
      <c r="B47" s="16" t="s">
        <v>95</v>
      </c>
      <c r="C47" s="16" t="s">
        <v>96</v>
      </c>
      <c r="D47" s="16" t="s">
        <v>57</v>
      </c>
      <c r="E47" s="17" t="s">
        <v>97</v>
      </c>
      <c r="F47" s="23" t="s">
        <v>19</v>
      </c>
      <c r="G47" s="23"/>
      <c r="H47" s="17" t="s">
        <v>17</v>
      </c>
      <c r="I47" s="25">
        <v>54</v>
      </c>
      <c r="J47" s="25"/>
      <c r="K47" s="20" t="s">
        <v>12</v>
      </c>
      <c r="L47" s="21">
        <v>128924.21</v>
      </c>
    </row>
    <row r="48" spans="1:12" ht="61.2" x14ac:dyDescent="0.3">
      <c r="A48" s="15" t="s">
        <v>94</v>
      </c>
      <c r="B48" s="16" t="s">
        <v>95</v>
      </c>
      <c r="C48" s="16" t="s">
        <v>96</v>
      </c>
      <c r="D48" s="16" t="s">
        <v>59</v>
      </c>
      <c r="E48" s="17" t="s">
        <v>97</v>
      </c>
      <c r="F48" s="23" t="s">
        <v>19</v>
      </c>
      <c r="G48" s="23"/>
      <c r="H48" s="17" t="s">
        <v>17</v>
      </c>
      <c r="I48" s="25">
        <v>108</v>
      </c>
      <c r="J48" s="25"/>
      <c r="K48" s="20" t="s">
        <v>12</v>
      </c>
      <c r="L48" s="21">
        <v>128816.21</v>
      </c>
    </row>
    <row r="49" spans="1:12" ht="61.2" x14ac:dyDescent="0.3">
      <c r="A49" s="15" t="s">
        <v>94</v>
      </c>
      <c r="B49" s="16" t="s">
        <v>95</v>
      </c>
      <c r="C49" s="16" t="s">
        <v>96</v>
      </c>
      <c r="D49" s="16" t="s">
        <v>98</v>
      </c>
      <c r="E49" s="17" t="s">
        <v>97</v>
      </c>
      <c r="F49" s="23" t="s">
        <v>19</v>
      </c>
      <c r="G49" s="23"/>
      <c r="H49" s="17" t="s">
        <v>17</v>
      </c>
      <c r="I49" s="25">
        <v>304.5</v>
      </c>
      <c r="J49" s="25"/>
      <c r="K49" s="20" t="s">
        <v>12</v>
      </c>
      <c r="L49" s="21">
        <v>128511.71</v>
      </c>
    </row>
    <row r="50" spans="1:12" ht="61.2" x14ac:dyDescent="0.3">
      <c r="A50" s="15" t="s">
        <v>94</v>
      </c>
      <c r="B50" s="16" t="s">
        <v>95</v>
      </c>
      <c r="C50" s="16" t="s">
        <v>96</v>
      </c>
      <c r="D50" s="16" t="s">
        <v>99</v>
      </c>
      <c r="E50" s="17" t="s">
        <v>97</v>
      </c>
      <c r="F50" s="23" t="s">
        <v>19</v>
      </c>
      <c r="G50" s="23"/>
      <c r="H50" s="17" t="s">
        <v>17</v>
      </c>
      <c r="I50" s="25">
        <v>325.5</v>
      </c>
      <c r="J50" s="25"/>
      <c r="K50" s="20" t="s">
        <v>12</v>
      </c>
      <c r="L50" s="21">
        <v>128186.21</v>
      </c>
    </row>
    <row r="51" spans="1:12" ht="61.2" x14ac:dyDescent="0.3">
      <c r="A51" s="15" t="s">
        <v>94</v>
      </c>
      <c r="B51" s="16" t="s">
        <v>95</v>
      </c>
      <c r="C51" s="16" t="s">
        <v>96</v>
      </c>
      <c r="D51" s="16" t="s">
        <v>63</v>
      </c>
      <c r="E51" s="17" t="s">
        <v>97</v>
      </c>
      <c r="F51" s="23" t="s">
        <v>19</v>
      </c>
      <c r="G51" s="23"/>
      <c r="H51" s="17" t="s">
        <v>17</v>
      </c>
      <c r="I51" s="25">
        <v>82.4</v>
      </c>
      <c r="J51" s="25"/>
      <c r="K51" s="20" t="s">
        <v>12</v>
      </c>
      <c r="L51" s="21">
        <v>128103.81</v>
      </c>
    </row>
    <row r="52" spans="1:12" ht="61.2" x14ac:dyDescent="0.3">
      <c r="A52" s="15" t="s">
        <v>94</v>
      </c>
      <c r="B52" s="16" t="s">
        <v>95</v>
      </c>
      <c r="C52" s="16" t="s">
        <v>96</v>
      </c>
      <c r="D52" s="16" t="s">
        <v>65</v>
      </c>
      <c r="E52" s="17" t="s">
        <v>97</v>
      </c>
      <c r="F52" s="23" t="s">
        <v>19</v>
      </c>
      <c r="G52" s="23"/>
      <c r="H52" s="17" t="s">
        <v>17</v>
      </c>
      <c r="I52" s="25">
        <v>100</v>
      </c>
      <c r="J52" s="25"/>
      <c r="K52" s="20" t="s">
        <v>12</v>
      </c>
      <c r="L52" s="21">
        <v>128003.81</v>
      </c>
    </row>
    <row r="53" spans="1:12" ht="71.400000000000006" x14ac:dyDescent="0.3">
      <c r="A53" s="15" t="s">
        <v>94</v>
      </c>
      <c r="B53" s="16" t="s">
        <v>95</v>
      </c>
      <c r="C53" s="16" t="s">
        <v>96</v>
      </c>
      <c r="D53" s="16" t="s">
        <v>100</v>
      </c>
      <c r="E53" s="17" t="s">
        <v>97</v>
      </c>
      <c r="F53" s="23" t="s">
        <v>19</v>
      </c>
      <c r="G53" s="23"/>
      <c r="H53" s="17" t="s">
        <v>17</v>
      </c>
      <c r="I53" s="25">
        <v>73.75</v>
      </c>
      <c r="J53" s="25"/>
      <c r="K53" s="20" t="s">
        <v>12</v>
      </c>
      <c r="L53" s="21">
        <v>127930.06</v>
      </c>
    </row>
    <row r="54" spans="1:12" ht="61.2" x14ac:dyDescent="0.3">
      <c r="A54" s="15" t="s">
        <v>94</v>
      </c>
      <c r="B54" s="16" t="s">
        <v>95</v>
      </c>
      <c r="C54" s="16" t="s">
        <v>96</v>
      </c>
      <c r="D54" s="16" t="s">
        <v>101</v>
      </c>
      <c r="E54" s="17" t="s">
        <v>97</v>
      </c>
      <c r="F54" s="23" t="s">
        <v>19</v>
      </c>
      <c r="G54" s="23"/>
      <c r="H54" s="17" t="s">
        <v>17</v>
      </c>
      <c r="I54" s="24">
        <v>3780</v>
      </c>
      <c r="J54" s="24"/>
      <c r="K54" s="20" t="s">
        <v>12</v>
      </c>
      <c r="L54" s="21">
        <v>124150.06</v>
      </c>
    </row>
    <row r="55" spans="1:12" ht="61.2" x14ac:dyDescent="0.3">
      <c r="A55" s="15" t="s">
        <v>94</v>
      </c>
      <c r="B55" s="16" t="s">
        <v>95</v>
      </c>
      <c r="C55" s="16" t="s">
        <v>96</v>
      </c>
      <c r="D55" s="16" t="s">
        <v>15</v>
      </c>
      <c r="E55" s="17" t="s">
        <v>97</v>
      </c>
      <c r="F55" s="23" t="s">
        <v>19</v>
      </c>
      <c r="G55" s="23"/>
      <c r="H55" s="17" t="s">
        <v>17</v>
      </c>
      <c r="I55" s="25">
        <v>656</v>
      </c>
      <c r="J55" s="25"/>
      <c r="K55" s="20" t="s">
        <v>12</v>
      </c>
      <c r="L55" s="21">
        <v>123494.06</v>
      </c>
    </row>
    <row r="56" spans="1:12" ht="71.400000000000006" x14ac:dyDescent="0.3">
      <c r="A56" s="15" t="s">
        <v>94</v>
      </c>
      <c r="B56" s="16" t="s">
        <v>102</v>
      </c>
      <c r="C56" s="16" t="s">
        <v>96</v>
      </c>
      <c r="D56" s="16" t="s">
        <v>103</v>
      </c>
      <c r="E56" s="17" t="s">
        <v>97</v>
      </c>
      <c r="F56" s="23" t="s">
        <v>19</v>
      </c>
      <c r="G56" s="23"/>
      <c r="H56" s="17" t="s">
        <v>17</v>
      </c>
      <c r="I56" s="24">
        <v>2387.25</v>
      </c>
      <c r="J56" s="24"/>
      <c r="K56" s="20" t="s">
        <v>12</v>
      </c>
      <c r="L56" s="21">
        <v>121106.81</v>
      </c>
    </row>
    <row r="57" spans="1:12" ht="71.400000000000006" x14ac:dyDescent="0.3">
      <c r="A57" s="15" t="s">
        <v>94</v>
      </c>
      <c r="B57" s="16" t="s">
        <v>102</v>
      </c>
      <c r="C57" s="16" t="s">
        <v>96</v>
      </c>
      <c r="D57" s="16" t="s">
        <v>104</v>
      </c>
      <c r="E57" s="17" t="s">
        <v>97</v>
      </c>
      <c r="F57" s="23" t="s">
        <v>19</v>
      </c>
      <c r="G57" s="23"/>
      <c r="H57" s="17" t="s">
        <v>17</v>
      </c>
      <c r="I57" s="24">
        <v>5125</v>
      </c>
      <c r="J57" s="24"/>
      <c r="K57" s="20" t="s">
        <v>12</v>
      </c>
      <c r="L57" s="21">
        <v>115981.81</v>
      </c>
    </row>
    <row r="58" spans="1:12" ht="71.400000000000006" x14ac:dyDescent="0.3">
      <c r="A58" s="15" t="s">
        <v>94</v>
      </c>
      <c r="B58" s="16" t="s">
        <v>102</v>
      </c>
      <c r="C58" s="16" t="s">
        <v>96</v>
      </c>
      <c r="D58" s="16" t="s">
        <v>105</v>
      </c>
      <c r="E58" s="17" t="s">
        <v>97</v>
      </c>
      <c r="F58" s="23" t="s">
        <v>19</v>
      </c>
      <c r="G58" s="23"/>
      <c r="H58" s="17" t="s">
        <v>17</v>
      </c>
      <c r="I58" s="25">
        <v>147</v>
      </c>
      <c r="J58" s="25"/>
      <c r="K58" s="20" t="s">
        <v>12</v>
      </c>
      <c r="L58" s="21">
        <v>115834.81</v>
      </c>
    </row>
    <row r="59" spans="1:12" ht="71.400000000000006" hidden="1" x14ac:dyDescent="0.3">
      <c r="A59" s="15" t="s">
        <v>106</v>
      </c>
      <c r="B59" s="16" t="s">
        <v>107</v>
      </c>
      <c r="C59" s="16" t="s">
        <v>108</v>
      </c>
      <c r="D59" s="16" t="s">
        <v>109</v>
      </c>
      <c r="E59" s="17" t="s">
        <v>17</v>
      </c>
      <c r="F59" s="18">
        <v>726.25</v>
      </c>
      <c r="G59" s="18"/>
      <c r="H59" s="17" t="s">
        <v>24</v>
      </c>
      <c r="I59" s="19" t="s">
        <v>19</v>
      </c>
      <c r="J59" s="19"/>
      <c r="K59" s="20" t="s">
        <v>12</v>
      </c>
      <c r="L59" s="21">
        <v>116561.06</v>
      </c>
    </row>
    <row r="60" spans="1:12" ht="71.400000000000006" hidden="1" x14ac:dyDescent="0.3">
      <c r="A60" s="15" t="s">
        <v>106</v>
      </c>
      <c r="B60" s="16" t="s">
        <v>107</v>
      </c>
      <c r="C60" s="16" t="s">
        <v>110</v>
      </c>
      <c r="D60" s="16" t="s">
        <v>109</v>
      </c>
      <c r="E60" s="17" t="s">
        <v>17</v>
      </c>
      <c r="F60" s="22">
        <v>5305</v>
      </c>
      <c r="G60" s="22"/>
      <c r="H60" s="17" t="s">
        <v>24</v>
      </c>
      <c r="I60" s="19" t="s">
        <v>19</v>
      </c>
      <c r="J60" s="19"/>
      <c r="K60" s="20" t="s">
        <v>12</v>
      </c>
      <c r="L60" s="21">
        <v>121866.06</v>
      </c>
    </row>
    <row r="61" spans="1:12" ht="71.400000000000006" hidden="1" x14ac:dyDescent="0.3">
      <c r="A61" s="15" t="s">
        <v>106</v>
      </c>
      <c r="B61" s="16" t="s">
        <v>107</v>
      </c>
      <c r="C61" s="16" t="s">
        <v>111</v>
      </c>
      <c r="D61" s="16" t="s">
        <v>109</v>
      </c>
      <c r="E61" s="17" t="s">
        <v>17</v>
      </c>
      <c r="F61" s="18">
        <v>308.5</v>
      </c>
      <c r="G61" s="18"/>
      <c r="H61" s="17" t="s">
        <v>24</v>
      </c>
      <c r="I61" s="19" t="s">
        <v>19</v>
      </c>
      <c r="J61" s="19"/>
      <c r="K61" s="20" t="s">
        <v>12</v>
      </c>
      <c r="L61" s="21">
        <v>122174.56</v>
      </c>
    </row>
    <row r="62" spans="1:12" ht="71.400000000000006" hidden="1" x14ac:dyDescent="0.3">
      <c r="A62" s="15" t="s">
        <v>106</v>
      </c>
      <c r="B62" s="16" t="s">
        <v>107</v>
      </c>
      <c r="C62" s="16" t="s">
        <v>112</v>
      </c>
      <c r="D62" s="16" t="s">
        <v>109</v>
      </c>
      <c r="E62" s="17" t="s">
        <v>17</v>
      </c>
      <c r="F62" s="18">
        <v>682.5</v>
      </c>
      <c r="G62" s="18"/>
      <c r="H62" s="17" t="s">
        <v>24</v>
      </c>
      <c r="I62" s="19" t="s">
        <v>19</v>
      </c>
      <c r="J62" s="19"/>
      <c r="K62" s="20" t="s">
        <v>12</v>
      </c>
      <c r="L62" s="21">
        <v>122857.06</v>
      </c>
    </row>
    <row r="63" spans="1:12" ht="71.400000000000006" hidden="1" x14ac:dyDescent="0.3">
      <c r="A63" s="15" t="s">
        <v>106</v>
      </c>
      <c r="B63" s="16" t="s">
        <v>107</v>
      </c>
      <c r="C63" s="16" t="s">
        <v>113</v>
      </c>
      <c r="D63" s="16" t="s">
        <v>109</v>
      </c>
      <c r="E63" s="17" t="s">
        <v>17</v>
      </c>
      <c r="F63" s="22">
        <v>1470</v>
      </c>
      <c r="G63" s="22"/>
      <c r="H63" s="17" t="s">
        <v>24</v>
      </c>
      <c r="I63" s="19" t="s">
        <v>19</v>
      </c>
      <c r="J63" s="19"/>
      <c r="K63" s="20" t="s">
        <v>12</v>
      </c>
      <c r="L63" s="21">
        <v>124327.06</v>
      </c>
    </row>
    <row r="64" spans="1:12" ht="71.400000000000006" hidden="1" x14ac:dyDescent="0.3">
      <c r="A64" s="15" t="s">
        <v>106</v>
      </c>
      <c r="B64" s="16" t="s">
        <v>107</v>
      </c>
      <c r="C64" s="16" t="s">
        <v>114</v>
      </c>
      <c r="D64" s="16" t="s">
        <v>109</v>
      </c>
      <c r="E64" s="17" t="s">
        <v>17</v>
      </c>
      <c r="F64" s="18">
        <v>386.7</v>
      </c>
      <c r="G64" s="18"/>
      <c r="H64" s="17" t="s">
        <v>24</v>
      </c>
      <c r="I64" s="19" t="s">
        <v>19</v>
      </c>
      <c r="J64" s="19"/>
      <c r="K64" s="20" t="s">
        <v>12</v>
      </c>
      <c r="L64" s="21">
        <v>124713.76</v>
      </c>
    </row>
    <row r="65" spans="1:12" ht="71.400000000000006" hidden="1" x14ac:dyDescent="0.3">
      <c r="A65" s="15" t="s">
        <v>106</v>
      </c>
      <c r="B65" s="16" t="s">
        <v>107</v>
      </c>
      <c r="C65" s="16" t="s">
        <v>115</v>
      </c>
      <c r="D65" s="16" t="s">
        <v>109</v>
      </c>
      <c r="E65" s="17" t="s">
        <v>17</v>
      </c>
      <c r="F65" s="18">
        <v>256.8</v>
      </c>
      <c r="G65" s="18"/>
      <c r="H65" s="17" t="s">
        <v>24</v>
      </c>
      <c r="I65" s="19" t="s">
        <v>19</v>
      </c>
      <c r="J65" s="19"/>
      <c r="K65" s="20" t="s">
        <v>12</v>
      </c>
      <c r="L65" s="21">
        <v>124970.56</v>
      </c>
    </row>
    <row r="66" spans="1:12" ht="71.400000000000006" hidden="1" x14ac:dyDescent="0.3">
      <c r="A66" s="15" t="s">
        <v>106</v>
      </c>
      <c r="B66" s="16" t="s">
        <v>107</v>
      </c>
      <c r="C66" s="16" t="s">
        <v>116</v>
      </c>
      <c r="D66" s="16" t="s">
        <v>109</v>
      </c>
      <c r="E66" s="17" t="s">
        <v>17</v>
      </c>
      <c r="F66" s="22">
        <v>1031.5999999999999</v>
      </c>
      <c r="G66" s="22"/>
      <c r="H66" s="17" t="s">
        <v>24</v>
      </c>
      <c r="I66" s="19" t="s">
        <v>19</v>
      </c>
      <c r="J66" s="19"/>
      <c r="K66" s="20" t="s">
        <v>12</v>
      </c>
      <c r="L66" s="21">
        <v>126002.16</v>
      </c>
    </row>
    <row r="67" spans="1:12" ht="71.400000000000006" hidden="1" x14ac:dyDescent="0.3">
      <c r="A67" s="15" t="s">
        <v>106</v>
      </c>
      <c r="B67" s="16" t="s">
        <v>107</v>
      </c>
      <c r="C67" s="16" t="s">
        <v>117</v>
      </c>
      <c r="D67" s="16" t="s">
        <v>109</v>
      </c>
      <c r="E67" s="17" t="s">
        <v>17</v>
      </c>
      <c r="F67" s="18">
        <v>200</v>
      </c>
      <c r="G67" s="18"/>
      <c r="H67" s="17" t="s">
        <v>24</v>
      </c>
      <c r="I67" s="19" t="s">
        <v>19</v>
      </c>
      <c r="J67" s="19"/>
      <c r="K67" s="20" t="s">
        <v>12</v>
      </c>
      <c r="L67" s="21">
        <v>126202.16</v>
      </c>
    </row>
    <row r="68" spans="1:12" ht="71.400000000000006" hidden="1" x14ac:dyDescent="0.3">
      <c r="A68" s="15" t="s">
        <v>106</v>
      </c>
      <c r="B68" s="16" t="s">
        <v>107</v>
      </c>
      <c r="C68" s="16" t="s">
        <v>118</v>
      </c>
      <c r="D68" s="16" t="s">
        <v>109</v>
      </c>
      <c r="E68" s="17" t="s">
        <v>17</v>
      </c>
      <c r="F68" s="18">
        <v>187.2</v>
      </c>
      <c r="G68" s="18"/>
      <c r="H68" s="17" t="s">
        <v>24</v>
      </c>
      <c r="I68" s="19" t="s">
        <v>19</v>
      </c>
      <c r="J68" s="19"/>
      <c r="K68" s="20" t="s">
        <v>12</v>
      </c>
      <c r="L68" s="21">
        <v>126389.36</v>
      </c>
    </row>
    <row r="69" spans="1:12" ht="71.400000000000006" hidden="1" x14ac:dyDescent="0.3">
      <c r="A69" s="15" t="s">
        <v>106</v>
      </c>
      <c r="B69" s="16" t="s">
        <v>107</v>
      </c>
      <c r="C69" s="16" t="s">
        <v>119</v>
      </c>
      <c r="D69" s="16" t="s">
        <v>109</v>
      </c>
      <c r="E69" s="17" t="s">
        <v>17</v>
      </c>
      <c r="F69" s="18">
        <v>625</v>
      </c>
      <c r="G69" s="18"/>
      <c r="H69" s="17" t="s">
        <v>24</v>
      </c>
      <c r="I69" s="19" t="s">
        <v>19</v>
      </c>
      <c r="J69" s="19"/>
      <c r="K69" s="20" t="s">
        <v>12</v>
      </c>
      <c r="L69" s="21">
        <v>127014.36</v>
      </c>
    </row>
    <row r="70" spans="1:12" ht="71.400000000000006" hidden="1" x14ac:dyDescent="0.3">
      <c r="A70" s="15" t="s">
        <v>106</v>
      </c>
      <c r="B70" s="16" t="s">
        <v>107</v>
      </c>
      <c r="C70" s="16" t="s">
        <v>120</v>
      </c>
      <c r="D70" s="16" t="s">
        <v>109</v>
      </c>
      <c r="E70" s="17" t="s">
        <v>17</v>
      </c>
      <c r="F70" s="22">
        <v>7301.4</v>
      </c>
      <c r="G70" s="22"/>
      <c r="H70" s="17" t="s">
        <v>24</v>
      </c>
      <c r="I70" s="19" t="s">
        <v>19</v>
      </c>
      <c r="J70" s="19"/>
      <c r="K70" s="20" t="s">
        <v>12</v>
      </c>
      <c r="L70" s="21">
        <v>134315.76</v>
      </c>
    </row>
    <row r="71" spans="1:12" ht="71.400000000000006" hidden="1" x14ac:dyDescent="0.3">
      <c r="A71" s="15" t="s">
        <v>106</v>
      </c>
      <c r="B71" s="16" t="s">
        <v>107</v>
      </c>
      <c r="C71" s="16" t="s">
        <v>121</v>
      </c>
      <c r="D71" s="16" t="s">
        <v>109</v>
      </c>
      <c r="E71" s="17" t="s">
        <v>17</v>
      </c>
      <c r="F71" s="18">
        <v>510</v>
      </c>
      <c r="G71" s="18"/>
      <c r="H71" s="17" t="s">
        <v>24</v>
      </c>
      <c r="I71" s="19" t="s">
        <v>19</v>
      </c>
      <c r="J71" s="19"/>
      <c r="K71" s="20" t="s">
        <v>12</v>
      </c>
      <c r="L71" s="21">
        <v>134825.76</v>
      </c>
    </row>
    <row r="72" spans="1:12" ht="71.400000000000006" hidden="1" x14ac:dyDescent="0.3">
      <c r="A72" s="15" t="s">
        <v>106</v>
      </c>
      <c r="B72" s="16" t="s">
        <v>107</v>
      </c>
      <c r="C72" s="16" t="s">
        <v>122</v>
      </c>
      <c r="D72" s="16" t="s">
        <v>109</v>
      </c>
      <c r="E72" s="17" t="s">
        <v>17</v>
      </c>
      <c r="F72" s="18">
        <v>426.5</v>
      </c>
      <c r="G72" s="18"/>
      <c r="H72" s="17" t="s">
        <v>24</v>
      </c>
      <c r="I72" s="19" t="s">
        <v>19</v>
      </c>
      <c r="J72" s="19"/>
      <c r="K72" s="20" t="s">
        <v>12</v>
      </c>
      <c r="L72" s="21">
        <v>135252.26</v>
      </c>
    </row>
    <row r="73" spans="1:12" ht="71.400000000000006" hidden="1" x14ac:dyDescent="0.3">
      <c r="A73" s="15" t="s">
        <v>106</v>
      </c>
      <c r="B73" s="16" t="s">
        <v>107</v>
      </c>
      <c r="C73" s="16" t="s">
        <v>123</v>
      </c>
      <c r="D73" s="16" t="s">
        <v>109</v>
      </c>
      <c r="E73" s="17" t="s">
        <v>17</v>
      </c>
      <c r="F73" s="22">
        <v>2131.8000000000002</v>
      </c>
      <c r="G73" s="22"/>
      <c r="H73" s="17" t="s">
        <v>24</v>
      </c>
      <c r="I73" s="19" t="s">
        <v>19</v>
      </c>
      <c r="J73" s="19"/>
      <c r="K73" s="20" t="s">
        <v>12</v>
      </c>
      <c r="L73" s="21">
        <v>137384.06</v>
      </c>
    </row>
    <row r="74" spans="1:12" ht="71.400000000000006" hidden="1" x14ac:dyDescent="0.3">
      <c r="A74" s="15" t="s">
        <v>106</v>
      </c>
      <c r="B74" s="16" t="s">
        <v>107</v>
      </c>
      <c r="C74" s="16" t="s">
        <v>124</v>
      </c>
      <c r="D74" s="16" t="s">
        <v>109</v>
      </c>
      <c r="E74" s="17" t="s">
        <v>17</v>
      </c>
      <c r="F74" s="18">
        <v>396.3</v>
      </c>
      <c r="G74" s="18"/>
      <c r="H74" s="17" t="s">
        <v>24</v>
      </c>
      <c r="I74" s="19" t="s">
        <v>19</v>
      </c>
      <c r="J74" s="19"/>
      <c r="K74" s="20" t="s">
        <v>12</v>
      </c>
      <c r="L74" s="21">
        <v>137780.35999999999</v>
      </c>
    </row>
    <row r="75" spans="1:12" ht="71.400000000000006" hidden="1" x14ac:dyDescent="0.3">
      <c r="A75" s="15" t="s">
        <v>106</v>
      </c>
      <c r="B75" s="16" t="s">
        <v>107</v>
      </c>
      <c r="C75" s="16" t="s">
        <v>125</v>
      </c>
      <c r="D75" s="16" t="s">
        <v>109</v>
      </c>
      <c r="E75" s="17" t="s">
        <v>17</v>
      </c>
      <c r="F75" s="18">
        <v>201.9</v>
      </c>
      <c r="G75" s="18"/>
      <c r="H75" s="17" t="s">
        <v>24</v>
      </c>
      <c r="I75" s="19" t="s">
        <v>19</v>
      </c>
      <c r="J75" s="19"/>
      <c r="K75" s="20" t="s">
        <v>12</v>
      </c>
      <c r="L75" s="21">
        <v>137982.26</v>
      </c>
    </row>
    <row r="76" spans="1:12" ht="71.400000000000006" hidden="1" x14ac:dyDescent="0.3">
      <c r="A76" s="15" t="s">
        <v>106</v>
      </c>
      <c r="B76" s="16" t="s">
        <v>107</v>
      </c>
      <c r="C76" s="16" t="s">
        <v>126</v>
      </c>
      <c r="D76" s="16" t="s">
        <v>109</v>
      </c>
      <c r="E76" s="17" t="s">
        <v>17</v>
      </c>
      <c r="F76" s="22">
        <v>2232</v>
      </c>
      <c r="G76" s="22"/>
      <c r="H76" s="17" t="s">
        <v>24</v>
      </c>
      <c r="I76" s="19" t="s">
        <v>19</v>
      </c>
      <c r="J76" s="19"/>
      <c r="K76" s="20" t="s">
        <v>12</v>
      </c>
      <c r="L76" s="21">
        <v>140214.26</v>
      </c>
    </row>
    <row r="77" spans="1:12" ht="71.400000000000006" hidden="1" x14ac:dyDescent="0.3">
      <c r="A77" s="15" t="s">
        <v>106</v>
      </c>
      <c r="B77" s="16" t="s">
        <v>107</v>
      </c>
      <c r="C77" s="16" t="s">
        <v>127</v>
      </c>
      <c r="D77" s="16" t="s">
        <v>109</v>
      </c>
      <c r="E77" s="17" t="s">
        <v>17</v>
      </c>
      <c r="F77" s="18">
        <v>430</v>
      </c>
      <c r="G77" s="18"/>
      <c r="H77" s="17" t="s">
        <v>24</v>
      </c>
      <c r="I77" s="19" t="s">
        <v>19</v>
      </c>
      <c r="J77" s="19"/>
      <c r="K77" s="20" t="s">
        <v>12</v>
      </c>
      <c r="L77" s="21">
        <v>140644.26</v>
      </c>
    </row>
    <row r="78" spans="1:12" ht="71.400000000000006" hidden="1" x14ac:dyDescent="0.3">
      <c r="A78" s="15" t="s">
        <v>106</v>
      </c>
      <c r="B78" s="16" t="s">
        <v>107</v>
      </c>
      <c r="C78" s="16" t="s">
        <v>128</v>
      </c>
      <c r="D78" s="16" t="s">
        <v>109</v>
      </c>
      <c r="E78" s="17" t="s">
        <v>17</v>
      </c>
      <c r="F78" s="18">
        <v>479.25</v>
      </c>
      <c r="G78" s="18"/>
      <c r="H78" s="17" t="s">
        <v>24</v>
      </c>
      <c r="I78" s="19" t="s">
        <v>19</v>
      </c>
      <c r="J78" s="19"/>
      <c r="K78" s="20" t="s">
        <v>12</v>
      </c>
      <c r="L78" s="21">
        <v>141123.51</v>
      </c>
    </row>
    <row r="79" spans="1:12" ht="71.400000000000006" hidden="1" x14ac:dyDescent="0.3">
      <c r="A79" s="15" t="s">
        <v>106</v>
      </c>
      <c r="B79" s="16" t="s">
        <v>129</v>
      </c>
      <c r="C79" s="16" t="s">
        <v>130</v>
      </c>
      <c r="D79" s="16" t="s">
        <v>108</v>
      </c>
      <c r="E79" s="17" t="s">
        <v>17</v>
      </c>
      <c r="F79" s="23" t="s">
        <v>19</v>
      </c>
      <c r="G79" s="23"/>
      <c r="H79" s="17" t="s">
        <v>17</v>
      </c>
      <c r="I79" s="25">
        <v>145.25</v>
      </c>
      <c r="J79" s="25"/>
      <c r="K79" s="20" t="s">
        <v>12</v>
      </c>
      <c r="L79" s="21">
        <v>140978.26</v>
      </c>
    </row>
    <row r="80" spans="1:12" ht="61.2" hidden="1" x14ac:dyDescent="0.3">
      <c r="A80" s="15" t="s">
        <v>106</v>
      </c>
      <c r="B80" s="16" t="s">
        <v>129</v>
      </c>
      <c r="C80" s="16" t="s">
        <v>131</v>
      </c>
      <c r="D80" s="16" t="s">
        <v>110</v>
      </c>
      <c r="E80" s="17" t="s">
        <v>17</v>
      </c>
      <c r="F80" s="23" t="s">
        <v>19</v>
      </c>
      <c r="G80" s="23"/>
      <c r="H80" s="17" t="s">
        <v>17</v>
      </c>
      <c r="I80" s="24">
        <v>1061</v>
      </c>
      <c r="J80" s="24"/>
      <c r="K80" s="20" t="s">
        <v>12</v>
      </c>
      <c r="L80" s="21">
        <v>139917.26</v>
      </c>
    </row>
    <row r="81" spans="1:12" ht="61.2" hidden="1" x14ac:dyDescent="0.3">
      <c r="A81" s="15" t="s">
        <v>106</v>
      </c>
      <c r="B81" s="16" t="s">
        <v>129</v>
      </c>
      <c r="C81" s="16" t="s">
        <v>132</v>
      </c>
      <c r="D81" s="16" t="s">
        <v>111</v>
      </c>
      <c r="E81" s="17" t="s">
        <v>17</v>
      </c>
      <c r="F81" s="23" t="s">
        <v>19</v>
      </c>
      <c r="G81" s="23"/>
      <c r="H81" s="17" t="s">
        <v>17</v>
      </c>
      <c r="I81" s="25">
        <v>61.7</v>
      </c>
      <c r="J81" s="25"/>
      <c r="K81" s="20" t="s">
        <v>12</v>
      </c>
      <c r="L81" s="21">
        <v>139855.56</v>
      </c>
    </row>
    <row r="82" spans="1:12" ht="61.2" hidden="1" x14ac:dyDescent="0.3">
      <c r="A82" s="15" t="s">
        <v>106</v>
      </c>
      <c r="B82" s="16" t="s">
        <v>129</v>
      </c>
      <c r="C82" s="16" t="s">
        <v>133</v>
      </c>
      <c r="D82" s="16" t="s">
        <v>112</v>
      </c>
      <c r="E82" s="17" t="s">
        <v>17</v>
      </c>
      <c r="F82" s="23" t="s">
        <v>19</v>
      </c>
      <c r="G82" s="23"/>
      <c r="H82" s="17" t="s">
        <v>17</v>
      </c>
      <c r="I82" s="25">
        <v>136.5</v>
      </c>
      <c r="J82" s="25"/>
      <c r="K82" s="20" t="s">
        <v>12</v>
      </c>
      <c r="L82" s="21">
        <v>139719.06</v>
      </c>
    </row>
    <row r="83" spans="1:12" ht="71.400000000000006" hidden="1" x14ac:dyDescent="0.3">
      <c r="A83" s="15" t="s">
        <v>106</v>
      </c>
      <c r="B83" s="16" t="s">
        <v>129</v>
      </c>
      <c r="C83" s="16" t="s">
        <v>134</v>
      </c>
      <c r="D83" s="16" t="s">
        <v>113</v>
      </c>
      <c r="E83" s="17" t="s">
        <v>17</v>
      </c>
      <c r="F83" s="23" t="s">
        <v>19</v>
      </c>
      <c r="G83" s="23"/>
      <c r="H83" s="17" t="s">
        <v>17</v>
      </c>
      <c r="I83" s="25">
        <v>294</v>
      </c>
      <c r="J83" s="25"/>
      <c r="K83" s="20" t="s">
        <v>12</v>
      </c>
      <c r="L83" s="21">
        <v>139425.06</v>
      </c>
    </row>
    <row r="84" spans="1:12" ht="61.2" hidden="1" x14ac:dyDescent="0.3">
      <c r="A84" s="15" t="s">
        <v>106</v>
      </c>
      <c r="B84" s="16" t="s">
        <v>129</v>
      </c>
      <c r="C84" s="16" t="s">
        <v>135</v>
      </c>
      <c r="D84" s="16" t="s">
        <v>115</v>
      </c>
      <c r="E84" s="17" t="s">
        <v>17</v>
      </c>
      <c r="F84" s="23" t="s">
        <v>19</v>
      </c>
      <c r="G84" s="23"/>
      <c r="H84" s="17" t="s">
        <v>17</v>
      </c>
      <c r="I84" s="25">
        <v>64.2</v>
      </c>
      <c r="J84" s="25"/>
      <c r="K84" s="20" t="s">
        <v>12</v>
      </c>
      <c r="L84" s="21">
        <v>139360.85999999999</v>
      </c>
    </row>
    <row r="85" spans="1:12" ht="61.2" hidden="1" x14ac:dyDescent="0.3">
      <c r="A85" s="15" t="s">
        <v>106</v>
      </c>
      <c r="B85" s="16" t="s">
        <v>129</v>
      </c>
      <c r="C85" s="16" t="s">
        <v>136</v>
      </c>
      <c r="D85" s="16" t="s">
        <v>116</v>
      </c>
      <c r="E85" s="17" t="s">
        <v>17</v>
      </c>
      <c r="F85" s="23" t="s">
        <v>19</v>
      </c>
      <c r="G85" s="23"/>
      <c r="H85" s="17" t="s">
        <v>17</v>
      </c>
      <c r="I85" s="25">
        <v>257.89999999999998</v>
      </c>
      <c r="J85" s="25"/>
      <c r="K85" s="20" t="s">
        <v>12</v>
      </c>
      <c r="L85" s="21">
        <v>139102.96</v>
      </c>
    </row>
    <row r="86" spans="1:12" ht="61.2" hidden="1" x14ac:dyDescent="0.3">
      <c r="A86" s="15" t="s">
        <v>106</v>
      </c>
      <c r="B86" s="16" t="s">
        <v>129</v>
      </c>
      <c r="C86" s="16" t="s">
        <v>137</v>
      </c>
      <c r="D86" s="16" t="s">
        <v>117</v>
      </c>
      <c r="E86" s="17" t="s">
        <v>17</v>
      </c>
      <c r="F86" s="23" t="s">
        <v>19</v>
      </c>
      <c r="G86" s="23"/>
      <c r="H86" s="17" t="s">
        <v>17</v>
      </c>
      <c r="I86" s="25">
        <v>100</v>
      </c>
      <c r="J86" s="25"/>
      <c r="K86" s="20" t="s">
        <v>12</v>
      </c>
      <c r="L86" s="21">
        <v>139002.96</v>
      </c>
    </row>
    <row r="87" spans="1:12" ht="61.2" hidden="1" x14ac:dyDescent="0.3">
      <c r="A87" s="15" t="s">
        <v>106</v>
      </c>
      <c r="B87" s="16" t="s">
        <v>129</v>
      </c>
      <c r="C87" s="16" t="s">
        <v>138</v>
      </c>
      <c r="D87" s="16" t="s">
        <v>118</v>
      </c>
      <c r="E87" s="17" t="s">
        <v>17</v>
      </c>
      <c r="F87" s="23" t="s">
        <v>19</v>
      </c>
      <c r="G87" s="23"/>
      <c r="H87" s="17" t="s">
        <v>17</v>
      </c>
      <c r="I87" s="25">
        <v>93.6</v>
      </c>
      <c r="J87" s="25"/>
      <c r="K87" s="20" t="s">
        <v>12</v>
      </c>
      <c r="L87" s="21">
        <v>138909.35999999999</v>
      </c>
    </row>
    <row r="88" spans="1:12" ht="71.400000000000006" hidden="1" x14ac:dyDescent="0.3">
      <c r="A88" s="15" t="s">
        <v>106</v>
      </c>
      <c r="B88" s="16" t="s">
        <v>129</v>
      </c>
      <c r="C88" s="16" t="s">
        <v>139</v>
      </c>
      <c r="D88" s="16" t="s">
        <v>120</v>
      </c>
      <c r="E88" s="17" t="s">
        <v>17</v>
      </c>
      <c r="F88" s="23" t="s">
        <v>19</v>
      </c>
      <c r="G88" s="23"/>
      <c r="H88" s="17" t="s">
        <v>17</v>
      </c>
      <c r="I88" s="24">
        <v>1825.35</v>
      </c>
      <c r="J88" s="24"/>
      <c r="K88" s="20" t="s">
        <v>12</v>
      </c>
      <c r="L88" s="21">
        <v>137084.01</v>
      </c>
    </row>
    <row r="89" spans="1:12" ht="61.2" hidden="1" x14ac:dyDescent="0.3">
      <c r="A89" s="15" t="s">
        <v>106</v>
      </c>
      <c r="B89" s="16" t="s">
        <v>129</v>
      </c>
      <c r="C89" s="16" t="s">
        <v>140</v>
      </c>
      <c r="D89" s="16" t="s">
        <v>128</v>
      </c>
      <c r="E89" s="17" t="s">
        <v>17</v>
      </c>
      <c r="F89" s="23" t="s">
        <v>19</v>
      </c>
      <c r="G89" s="23"/>
      <c r="H89" s="17" t="s">
        <v>17</v>
      </c>
      <c r="I89" s="25">
        <v>191.7</v>
      </c>
      <c r="J89" s="25"/>
      <c r="K89" s="20" t="s">
        <v>12</v>
      </c>
      <c r="L89" s="21">
        <v>136892.31</v>
      </c>
    </row>
    <row r="90" spans="1:12" ht="71.400000000000006" hidden="1" x14ac:dyDescent="0.3">
      <c r="A90" s="15" t="s">
        <v>106</v>
      </c>
      <c r="B90" s="16" t="s">
        <v>141</v>
      </c>
      <c r="C90" s="16" t="s">
        <v>142</v>
      </c>
      <c r="D90" s="16" t="s">
        <v>108</v>
      </c>
      <c r="E90" s="17" t="s">
        <v>17</v>
      </c>
      <c r="F90" s="23" t="s">
        <v>19</v>
      </c>
      <c r="G90" s="23"/>
      <c r="H90" s="17" t="s">
        <v>17</v>
      </c>
      <c r="I90" s="25">
        <v>145.25</v>
      </c>
      <c r="J90" s="25"/>
      <c r="K90" s="20" t="s">
        <v>12</v>
      </c>
      <c r="L90" s="21">
        <v>136747.06</v>
      </c>
    </row>
    <row r="91" spans="1:12" ht="61.2" hidden="1" x14ac:dyDescent="0.3">
      <c r="A91" s="15" t="s">
        <v>106</v>
      </c>
      <c r="B91" s="16" t="s">
        <v>141</v>
      </c>
      <c r="C91" s="16" t="s">
        <v>143</v>
      </c>
      <c r="D91" s="16" t="s">
        <v>110</v>
      </c>
      <c r="E91" s="17" t="s">
        <v>17</v>
      </c>
      <c r="F91" s="23" t="s">
        <v>19</v>
      </c>
      <c r="G91" s="23"/>
      <c r="H91" s="17" t="s">
        <v>17</v>
      </c>
      <c r="I91" s="24">
        <v>1061</v>
      </c>
      <c r="J91" s="24"/>
      <c r="K91" s="20" t="s">
        <v>12</v>
      </c>
      <c r="L91" s="21">
        <v>135686.06</v>
      </c>
    </row>
    <row r="92" spans="1:12" ht="61.2" hidden="1" x14ac:dyDescent="0.3">
      <c r="A92" s="15" t="s">
        <v>106</v>
      </c>
      <c r="B92" s="16" t="s">
        <v>141</v>
      </c>
      <c r="C92" s="16" t="s">
        <v>144</v>
      </c>
      <c r="D92" s="16" t="s">
        <v>111</v>
      </c>
      <c r="E92" s="17" t="s">
        <v>17</v>
      </c>
      <c r="F92" s="23" t="s">
        <v>19</v>
      </c>
      <c r="G92" s="23"/>
      <c r="H92" s="17" t="s">
        <v>17</v>
      </c>
      <c r="I92" s="25">
        <v>61.7</v>
      </c>
      <c r="J92" s="25"/>
      <c r="K92" s="20" t="s">
        <v>12</v>
      </c>
      <c r="L92" s="21">
        <v>135624.35999999999</v>
      </c>
    </row>
    <row r="93" spans="1:12" ht="61.2" hidden="1" x14ac:dyDescent="0.3">
      <c r="A93" s="15" t="s">
        <v>106</v>
      </c>
      <c r="B93" s="16" t="s">
        <v>141</v>
      </c>
      <c r="C93" s="16" t="s">
        <v>145</v>
      </c>
      <c r="D93" s="16" t="s">
        <v>112</v>
      </c>
      <c r="E93" s="17" t="s">
        <v>17</v>
      </c>
      <c r="F93" s="23" t="s">
        <v>19</v>
      </c>
      <c r="G93" s="23"/>
      <c r="H93" s="17" t="s">
        <v>17</v>
      </c>
      <c r="I93" s="25">
        <v>136.5</v>
      </c>
      <c r="J93" s="25"/>
      <c r="K93" s="20" t="s">
        <v>12</v>
      </c>
      <c r="L93" s="21">
        <v>135487.85999999999</v>
      </c>
    </row>
    <row r="94" spans="1:12" ht="71.400000000000006" hidden="1" x14ac:dyDescent="0.3">
      <c r="A94" s="15" t="s">
        <v>106</v>
      </c>
      <c r="B94" s="16" t="s">
        <v>141</v>
      </c>
      <c r="C94" s="16" t="s">
        <v>146</v>
      </c>
      <c r="D94" s="16" t="s">
        <v>113</v>
      </c>
      <c r="E94" s="17" t="s">
        <v>17</v>
      </c>
      <c r="F94" s="23" t="s">
        <v>19</v>
      </c>
      <c r="G94" s="23"/>
      <c r="H94" s="17" t="s">
        <v>17</v>
      </c>
      <c r="I94" s="25">
        <v>294</v>
      </c>
      <c r="J94" s="25"/>
      <c r="K94" s="20" t="s">
        <v>12</v>
      </c>
      <c r="L94" s="21">
        <v>135193.85999999999</v>
      </c>
    </row>
    <row r="95" spans="1:12" ht="71.400000000000006" hidden="1" x14ac:dyDescent="0.3">
      <c r="A95" s="15" t="s">
        <v>106</v>
      </c>
      <c r="B95" s="16" t="s">
        <v>141</v>
      </c>
      <c r="C95" s="16" t="s">
        <v>147</v>
      </c>
      <c r="D95" s="16" t="s">
        <v>114</v>
      </c>
      <c r="E95" s="17" t="s">
        <v>17</v>
      </c>
      <c r="F95" s="23" t="s">
        <v>19</v>
      </c>
      <c r="G95" s="23"/>
      <c r="H95" s="17" t="s">
        <v>17</v>
      </c>
      <c r="I95" s="25">
        <v>193.35</v>
      </c>
      <c r="J95" s="25"/>
      <c r="K95" s="20" t="s">
        <v>12</v>
      </c>
      <c r="L95" s="21">
        <v>135000.51</v>
      </c>
    </row>
    <row r="96" spans="1:12" ht="61.2" hidden="1" x14ac:dyDescent="0.3">
      <c r="A96" s="15" t="s">
        <v>106</v>
      </c>
      <c r="B96" s="16" t="s">
        <v>141</v>
      </c>
      <c r="C96" s="16" t="s">
        <v>148</v>
      </c>
      <c r="D96" s="16" t="s">
        <v>115</v>
      </c>
      <c r="E96" s="17" t="s">
        <v>17</v>
      </c>
      <c r="F96" s="23" t="s">
        <v>19</v>
      </c>
      <c r="G96" s="23"/>
      <c r="H96" s="17" t="s">
        <v>17</v>
      </c>
      <c r="I96" s="25">
        <v>64.2</v>
      </c>
      <c r="J96" s="25"/>
      <c r="K96" s="20" t="s">
        <v>12</v>
      </c>
      <c r="L96" s="21">
        <v>134936.31</v>
      </c>
    </row>
    <row r="97" spans="1:12" ht="61.2" hidden="1" x14ac:dyDescent="0.3">
      <c r="A97" s="15" t="s">
        <v>106</v>
      </c>
      <c r="B97" s="16" t="s">
        <v>141</v>
      </c>
      <c r="C97" s="16" t="s">
        <v>149</v>
      </c>
      <c r="D97" s="16" t="s">
        <v>116</v>
      </c>
      <c r="E97" s="17" t="s">
        <v>17</v>
      </c>
      <c r="F97" s="23" t="s">
        <v>19</v>
      </c>
      <c r="G97" s="23"/>
      <c r="H97" s="17" t="s">
        <v>17</v>
      </c>
      <c r="I97" s="25">
        <v>257.89999999999998</v>
      </c>
      <c r="J97" s="25"/>
      <c r="K97" s="20" t="s">
        <v>12</v>
      </c>
      <c r="L97" s="21">
        <v>134678.41</v>
      </c>
    </row>
    <row r="98" spans="1:12" ht="71.400000000000006" hidden="1" x14ac:dyDescent="0.3">
      <c r="A98" s="15" t="s">
        <v>106</v>
      </c>
      <c r="B98" s="16" t="s">
        <v>141</v>
      </c>
      <c r="C98" s="16" t="s">
        <v>150</v>
      </c>
      <c r="D98" s="16" t="s">
        <v>120</v>
      </c>
      <c r="E98" s="17" t="s">
        <v>17</v>
      </c>
      <c r="F98" s="23" t="s">
        <v>19</v>
      </c>
      <c r="G98" s="23"/>
      <c r="H98" s="17" t="s">
        <v>17</v>
      </c>
      <c r="I98" s="24">
        <v>1825.35</v>
      </c>
      <c r="J98" s="24"/>
      <c r="K98" s="20" t="s">
        <v>12</v>
      </c>
      <c r="L98" s="21">
        <v>132853.06</v>
      </c>
    </row>
    <row r="99" spans="1:12" ht="71.400000000000006" hidden="1" x14ac:dyDescent="0.3">
      <c r="A99" s="15" t="s">
        <v>106</v>
      </c>
      <c r="B99" s="16" t="s">
        <v>141</v>
      </c>
      <c r="C99" s="16" t="s">
        <v>151</v>
      </c>
      <c r="D99" s="16" t="s">
        <v>121</v>
      </c>
      <c r="E99" s="17" t="s">
        <v>17</v>
      </c>
      <c r="F99" s="23" t="s">
        <v>19</v>
      </c>
      <c r="G99" s="23"/>
      <c r="H99" s="17" t="s">
        <v>17</v>
      </c>
      <c r="I99" s="25">
        <v>170</v>
      </c>
      <c r="J99" s="25"/>
      <c r="K99" s="20" t="s">
        <v>12</v>
      </c>
      <c r="L99" s="21">
        <v>132683.06</v>
      </c>
    </row>
    <row r="100" spans="1:12" ht="71.400000000000006" hidden="1" x14ac:dyDescent="0.3">
      <c r="A100" s="15" t="s">
        <v>106</v>
      </c>
      <c r="B100" s="16" t="s">
        <v>141</v>
      </c>
      <c r="C100" s="16" t="s">
        <v>152</v>
      </c>
      <c r="D100" s="16" t="s">
        <v>122</v>
      </c>
      <c r="E100" s="17" t="s">
        <v>17</v>
      </c>
      <c r="F100" s="23" t="s">
        <v>19</v>
      </c>
      <c r="G100" s="23"/>
      <c r="H100" s="17" t="s">
        <v>17</v>
      </c>
      <c r="I100" s="25">
        <v>213.25</v>
      </c>
      <c r="J100" s="25"/>
      <c r="K100" s="20" t="s">
        <v>12</v>
      </c>
      <c r="L100" s="21">
        <v>132469.81</v>
      </c>
    </row>
    <row r="101" spans="1:12" ht="71.400000000000006" hidden="1" x14ac:dyDescent="0.3">
      <c r="A101" s="15" t="s">
        <v>106</v>
      </c>
      <c r="B101" s="16" t="s">
        <v>141</v>
      </c>
      <c r="C101" s="16" t="s">
        <v>153</v>
      </c>
      <c r="D101" s="16" t="s">
        <v>123</v>
      </c>
      <c r="E101" s="17" t="s">
        <v>17</v>
      </c>
      <c r="F101" s="23" t="s">
        <v>19</v>
      </c>
      <c r="G101" s="23"/>
      <c r="H101" s="17" t="s">
        <v>17</v>
      </c>
      <c r="I101" s="24">
        <v>1065.9000000000001</v>
      </c>
      <c r="J101" s="24"/>
      <c r="K101" s="20" t="s">
        <v>12</v>
      </c>
      <c r="L101" s="21">
        <v>131403.91</v>
      </c>
    </row>
    <row r="102" spans="1:12" ht="61.2" hidden="1" x14ac:dyDescent="0.3">
      <c r="A102" s="15" t="s">
        <v>106</v>
      </c>
      <c r="B102" s="16" t="s">
        <v>141</v>
      </c>
      <c r="C102" s="16" t="s">
        <v>154</v>
      </c>
      <c r="D102" s="16" t="s">
        <v>124</v>
      </c>
      <c r="E102" s="17" t="s">
        <v>17</v>
      </c>
      <c r="F102" s="23" t="s">
        <v>19</v>
      </c>
      <c r="G102" s="23"/>
      <c r="H102" s="17" t="s">
        <v>17</v>
      </c>
      <c r="I102" s="25">
        <v>198.15</v>
      </c>
      <c r="J102" s="25"/>
      <c r="K102" s="20" t="s">
        <v>12</v>
      </c>
      <c r="L102" s="21">
        <v>131205.76000000001</v>
      </c>
    </row>
    <row r="103" spans="1:12" ht="61.2" hidden="1" x14ac:dyDescent="0.3">
      <c r="A103" s="15" t="s">
        <v>106</v>
      </c>
      <c r="B103" s="16" t="s">
        <v>141</v>
      </c>
      <c r="C103" s="16" t="s">
        <v>155</v>
      </c>
      <c r="D103" s="16" t="s">
        <v>128</v>
      </c>
      <c r="E103" s="17" t="s">
        <v>17</v>
      </c>
      <c r="F103" s="23" t="s">
        <v>19</v>
      </c>
      <c r="G103" s="23"/>
      <c r="H103" s="17" t="s">
        <v>17</v>
      </c>
      <c r="I103" s="25">
        <v>95.85</v>
      </c>
      <c r="J103" s="25"/>
      <c r="K103" s="20" t="s">
        <v>12</v>
      </c>
      <c r="L103" s="21">
        <v>131109.91</v>
      </c>
    </row>
    <row r="104" spans="1:12" ht="81.599999999999994" hidden="1" x14ac:dyDescent="0.3">
      <c r="A104" s="15" t="s">
        <v>106</v>
      </c>
      <c r="B104" s="16" t="s">
        <v>156</v>
      </c>
      <c r="C104" s="16" t="s">
        <v>157</v>
      </c>
      <c r="D104" s="16" t="s">
        <v>108</v>
      </c>
      <c r="E104" s="17" t="s">
        <v>17</v>
      </c>
      <c r="F104" s="23" t="s">
        <v>19</v>
      </c>
      <c r="G104" s="23"/>
      <c r="H104" s="17" t="s">
        <v>17</v>
      </c>
      <c r="I104" s="25">
        <v>145.25</v>
      </c>
      <c r="J104" s="25"/>
      <c r="K104" s="20" t="s">
        <v>12</v>
      </c>
      <c r="L104" s="21">
        <v>130964.66</v>
      </c>
    </row>
    <row r="105" spans="1:12" ht="71.400000000000006" hidden="1" x14ac:dyDescent="0.3">
      <c r="A105" s="15" t="s">
        <v>106</v>
      </c>
      <c r="B105" s="16" t="s">
        <v>156</v>
      </c>
      <c r="C105" s="16" t="s">
        <v>158</v>
      </c>
      <c r="D105" s="16" t="s">
        <v>110</v>
      </c>
      <c r="E105" s="17" t="s">
        <v>17</v>
      </c>
      <c r="F105" s="23" t="s">
        <v>19</v>
      </c>
      <c r="G105" s="23"/>
      <c r="H105" s="17" t="s">
        <v>17</v>
      </c>
      <c r="I105" s="24">
        <v>1061</v>
      </c>
      <c r="J105" s="24"/>
      <c r="K105" s="20" t="s">
        <v>12</v>
      </c>
      <c r="L105" s="21">
        <v>129903.66</v>
      </c>
    </row>
    <row r="106" spans="1:12" ht="71.400000000000006" hidden="1" x14ac:dyDescent="0.3">
      <c r="A106" s="15" t="s">
        <v>106</v>
      </c>
      <c r="B106" s="16" t="s">
        <v>156</v>
      </c>
      <c r="C106" s="16" t="s">
        <v>159</v>
      </c>
      <c r="D106" s="16" t="s">
        <v>111</v>
      </c>
      <c r="E106" s="17" t="s">
        <v>17</v>
      </c>
      <c r="F106" s="23" t="s">
        <v>19</v>
      </c>
      <c r="G106" s="23"/>
      <c r="H106" s="17" t="s">
        <v>17</v>
      </c>
      <c r="I106" s="25">
        <v>61.7</v>
      </c>
      <c r="J106" s="25"/>
      <c r="K106" s="20" t="s">
        <v>12</v>
      </c>
      <c r="L106" s="21">
        <v>129841.96</v>
      </c>
    </row>
    <row r="107" spans="1:12" ht="71.400000000000006" hidden="1" x14ac:dyDescent="0.3">
      <c r="A107" s="15" t="s">
        <v>106</v>
      </c>
      <c r="B107" s="16" t="s">
        <v>156</v>
      </c>
      <c r="C107" s="16" t="s">
        <v>160</v>
      </c>
      <c r="D107" s="16" t="s">
        <v>112</v>
      </c>
      <c r="E107" s="17" t="s">
        <v>17</v>
      </c>
      <c r="F107" s="23" t="s">
        <v>19</v>
      </c>
      <c r="G107" s="23"/>
      <c r="H107" s="17" t="s">
        <v>17</v>
      </c>
      <c r="I107" s="25">
        <v>136.5</v>
      </c>
      <c r="J107" s="25"/>
      <c r="K107" s="20" t="s">
        <v>12</v>
      </c>
      <c r="L107" s="21">
        <v>129705.46</v>
      </c>
    </row>
    <row r="108" spans="1:12" ht="81.599999999999994" hidden="1" x14ac:dyDescent="0.3">
      <c r="A108" s="15" t="s">
        <v>106</v>
      </c>
      <c r="B108" s="16" t="s">
        <v>156</v>
      </c>
      <c r="C108" s="16" t="s">
        <v>161</v>
      </c>
      <c r="D108" s="16" t="s">
        <v>113</v>
      </c>
      <c r="E108" s="17" t="s">
        <v>17</v>
      </c>
      <c r="F108" s="23" t="s">
        <v>19</v>
      </c>
      <c r="G108" s="23"/>
      <c r="H108" s="17" t="s">
        <v>17</v>
      </c>
      <c r="I108" s="25">
        <v>294</v>
      </c>
      <c r="J108" s="25"/>
      <c r="K108" s="20" t="s">
        <v>12</v>
      </c>
      <c r="L108" s="21">
        <v>129411.46</v>
      </c>
    </row>
    <row r="109" spans="1:12" ht="71.400000000000006" hidden="1" x14ac:dyDescent="0.3">
      <c r="A109" s="15" t="s">
        <v>106</v>
      </c>
      <c r="B109" s="16" t="s">
        <v>156</v>
      </c>
      <c r="C109" s="16" t="s">
        <v>162</v>
      </c>
      <c r="D109" s="16" t="s">
        <v>116</v>
      </c>
      <c r="E109" s="17" t="s">
        <v>17</v>
      </c>
      <c r="F109" s="23" t="s">
        <v>19</v>
      </c>
      <c r="G109" s="23"/>
      <c r="H109" s="17" t="s">
        <v>17</v>
      </c>
      <c r="I109" s="25">
        <v>257.89999999999998</v>
      </c>
      <c r="J109" s="25"/>
      <c r="K109" s="20" t="s">
        <v>12</v>
      </c>
      <c r="L109" s="21">
        <v>129153.56</v>
      </c>
    </row>
    <row r="110" spans="1:12" ht="81.599999999999994" hidden="1" x14ac:dyDescent="0.3">
      <c r="A110" s="15" t="s">
        <v>106</v>
      </c>
      <c r="B110" s="16" t="s">
        <v>156</v>
      </c>
      <c r="C110" s="16" t="s">
        <v>163</v>
      </c>
      <c r="D110" s="16" t="s">
        <v>120</v>
      </c>
      <c r="E110" s="17" t="s">
        <v>17</v>
      </c>
      <c r="F110" s="23" t="s">
        <v>19</v>
      </c>
      <c r="G110" s="23"/>
      <c r="H110" s="17" t="s">
        <v>17</v>
      </c>
      <c r="I110" s="24">
        <v>1825.35</v>
      </c>
      <c r="J110" s="24"/>
      <c r="K110" s="20" t="s">
        <v>12</v>
      </c>
      <c r="L110" s="21">
        <v>127328.21</v>
      </c>
    </row>
    <row r="111" spans="1:12" ht="71.400000000000006" hidden="1" x14ac:dyDescent="0.3">
      <c r="A111" s="15" t="s">
        <v>106</v>
      </c>
      <c r="B111" s="16" t="s">
        <v>156</v>
      </c>
      <c r="C111" s="16" t="s">
        <v>164</v>
      </c>
      <c r="D111" s="16" t="s">
        <v>128</v>
      </c>
      <c r="E111" s="17" t="s">
        <v>17</v>
      </c>
      <c r="F111" s="23" t="s">
        <v>19</v>
      </c>
      <c r="G111" s="23"/>
      <c r="H111" s="17" t="s">
        <v>17</v>
      </c>
      <c r="I111" s="25">
        <v>95.85</v>
      </c>
      <c r="J111" s="25"/>
      <c r="K111" s="20" t="s">
        <v>12</v>
      </c>
      <c r="L111" s="21">
        <v>127232.36</v>
      </c>
    </row>
    <row r="112" spans="1:12" ht="91.8" hidden="1" x14ac:dyDescent="0.3">
      <c r="A112" s="15" t="s">
        <v>106</v>
      </c>
      <c r="B112" s="16" t="s">
        <v>165</v>
      </c>
      <c r="C112" s="16" t="s">
        <v>166</v>
      </c>
      <c r="D112" s="16" t="s">
        <v>108</v>
      </c>
      <c r="E112" s="17" t="s">
        <v>17</v>
      </c>
      <c r="F112" s="23" t="s">
        <v>19</v>
      </c>
      <c r="G112" s="23"/>
      <c r="H112" s="17" t="s">
        <v>17</v>
      </c>
      <c r="I112" s="25">
        <v>145.25</v>
      </c>
      <c r="J112" s="25"/>
      <c r="K112" s="20" t="s">
        <v>12</v>
      </c>
      <c r="L112" s="21">
        <v>127087.11</v>
      </c>
    </row>
    <row r="113" spans="1:12" ht="81.599999999999994" hidden="1" x14ac:dyDescent="0.3">
      <c r="A113" s="15" t="s">
        <v>106</v>
      </c>
      <c r="B113" s="16" t="s">
        <v>165</v>
      </c>
      <c r="C113" s="16" t="s">
        <v>167</v>
      </c>
      <c r="D113" s="16" t="s">
        <v>110</v>
      </c>
      <c r="E113" s="17" t="s">
        <v>17</v>
      </c>
      <c r="F113" s="23" t="s">
        <v>19</v>
      </c>
      <c r="G113" s="23"/>
      <c r="H113" s="17" t="s">
        <v>17</v>
      </c>
      <c r="I113" s="24">
        <v>1061</v>
      </c>
      <c r="J113" s="24"/>
      <c r="K113" s="20" t="s">
        <v>12</v>
      </c>
      <c r="L113" s="21">
        <v>126026.11</v>
      </c>
    </row>
    <row r="114" spans="1:12" ht="81.599999999999994" hidden="1" x14ac:dyDescent="0.3">
      <c r="A114" s="15" t="s">
        <v>106</v>
      </c>
      <c r="B114" s="16" t="s">
        <v>165</v>
      </c>
      <c r="C114" s="16" t="s">
        <v>168</v>
      </c>
      <c r="D114" s="16" t="s">
        <v>111</v>
      </c>
      <c r="E114" s="17" t="s">
        <v>17</v>
      </c>
      <c r="F114" s="23" t="s">
        <v>19</v>
      </c>
      <c r="G114" s="23"/>
      <c r="H114" s="17" t="s">
        <v>17</v>
      </c>
      <c r="I114" s="25">
        <v>61.7</v>
      </c>
      <c r="J114" s="25"/>
      <c r="K114" s="20" t="s">
        <v>12</v>
      </c>
      <c r="L114" s="21">
        <v>125964.41</v>
      </c>
    </row>
    <row r="115" spans="1:12" ht="81.599999999999994" hidden="1" x14ac:dyDescent="0.3">
      <c r="A115" s="15" t="s">
        <v>106</v>
      </c>
      <c r="B115" s="16" t="s">
        <v>165</v>
      </c>
      <c r="C115" s="16" t="s">
        <v>169</v>
      </c>
      <c r="D115" s="16" t="s">
        <v>112</v>
      </c>
      <c r="E115" s="17" t="s">
        <v>17</v>
      </c>
      <c r="F115" s="23" t="s">
        <v>19</v>
      </c>
      <c r="G115" s="23"/>
      <c r="H115" s="17" t="s">
        <v>17</v>
      </c>
      <c r="I115" s="25">
        <v>136.5</v>
      </c>
      <c r="J115" s="25"/>
      <c r="K115" s="20" t="s">
        <v>12</v>
      </c>
      <c r="L115" s="21">
        <v>125827.91</v>
      </c>
    </row>
    <row r="116" spans="1:12" ht="91.8" hidden="1" x14ac:dyDescent="0.3">
      <c r="A116" s="15" t="s">
        <v>106</v>
      </c>
      <c r="B116" s="16" t="s">
        <v>165</v>
      </c>
      <c r="C116" s="16" t="s">
        <v>170</v>
      </c>
      <c r="D116" s="16" t="s">
        <v>113</v>
      </c>
      <c r="E116" s="17" t="s">
        <v>17</v>
      </c>
      <c r="F116" s="23" t="s">
        <v>19</v>
      </c>
      <c r="G116" s="23"/>
      <c r="H116" s="17" t="s">
        <v>17</v>
      </c>
      <c r="I116" s="25">
        <v>294</v>
      </c>
      <c r="J116" s="25"/>
      <c r="K116" s="20" t="s">
        <v>12</v>
      </c>
      <c r="L116" s="21">
        <v>125533.91</v>
      </c>
    </row>
    <row r="117" spans="1:12" ht="81.599999999999994" hidden="1" x14ac:dyDescent="0.3">
      <c r="A117" s="15" t="s">
        <v>106</v>
      </c>
      <c r="B117" s="16" t="s">
        <v>165</v>
      </c>
      <c r="C117" s="16" t="s">
        <v>171</v>
      </c>
      <c r="D117" s="16" t="s">
        <v>116</v>
      </c>
      <c r="E117" s="17" t="s">
        <v>17</v>
      </c>
      <c r="F117" s="23" t="s">
        <v>19</v>
      </c>
      <c r="G117" s="23"/>
      <c r="H117" s="17" t="s">
        <v>17</v>
      </c>
      <c r="I117" s="25">
        <v>257.89999999999998</v>
      </c>
      <c r="J117" s="25"/>
      <c r="K117" s="20" t="s">
        <v>12</v>
      </c>
      <c r="L117" s="21">
        <v>125276.01</v>
      </c>
    </row>
    <row r="118" spans="1:12" ht="91.8" hidden="1" x14ac:dyDescent="0.3">
      <c r="A118" s="15" t="s">
        <v>106</v>
      </c>
      <c r="B118" s="16" t="s">
        <v>165</v>
      </c>
      <c r="C118" s="16" t="s">
        <v>172</v>
      </c>
      <c r="D118" s="16" t="s">
        <v>119</v>
      </c>
      <c r="E118" s="17" t="s">
        <v>17</v>
      </c>
      <c r="F118" s="23" t="s">
        <v>19</v>
      </c>
      <c r="G118" s="23"/>
      <c r="H118" s="17" t="s">
        <v>17</v>
      </c>
      <c r="I118" s="25">
        <v>625</v>
      </c>
      <c r="J118" s="25"/>
      <c r="K118" s="20" t="s">
        <v>12</v>
      </c>
      <c r="L118" s="21">
        <v>124651.01</v>
      </c>
    </row>
    <row r="119" spans="1:12" ht="91.8" hidden="1" x14ac:dyDescent="0.3">
      <c r="A119" s="15" t="s">
        <v>106</v>
      </c>
      <c r="B119" s="16" t="s">
        <v>165</v>
      </c>
      <c r="C119" s="16" t="s">
        <v>173</v>
      </c>
      <c r="D119" s="16" t="s">
        <v>120</v>
      </c>
      <c r="E119" s="17" t="s">
        <v>17</v>
      </c>
      <c r="F119" s="23" t="s">
        <v>19</v>
      </c>
      <c r="G119" s="23"/>
      <c r="H119" s="17" t="s">
        <v>17</v>
      </c>
      <c r="I119" s="24">
        <v>1825.35</v>
      </c>
      <c r="J119" s="24"/>
      <c r="K119" s="20" t="s">
        <v>12</v>
      </c>
      <c r="L119" s="21">
        <v>122825.66</v>
      </c>
    </row>
    <row r="120" spans="1:12" ht="81.599999999999994" hidden="1" x14ac:dyDescent="0.3">
      <c r="A120" s="15" t="s">
        <v>106</v>
      </c>
      <c r="B120" s="16" t="s">
        <v>165</v>
      </c>
      <c r="C120" s="16" t="s">
        <v>174</v>
      </c>
      <c r="D120" s="16" t="s">
        <v>128</v>
      </c>
      <c r="E120" s="17" t="s">
        <v>17</v>
      </c>
      <c r="F120" s="23" t="s">
        <v>19</v>
      </c>
      <c r="G120" s="23"/>
      <c r="H120" s="17" t="s">
        <v>17</v>
      </c>
      <c r="I120" s="25">
        <v>95.85</v>
      </c>
      <c r="J120" s="25"/>
      <c r="K120" s="20" t="s">
        <v>12</v>
      </c>
      <c r="L120" s="21">
        <v>122729.81</v>
      </c>
    </row>
    <row r="121" spans="1:12" ht="71.400000000000006" hidden="1" x14ac:dyDescent="0.3">
      <c r="A121" s="15" t="s">
        <v>106</v>
      </c>
      <c r="B121" s="16" t="s">
        <v>175</v>
      </c>
      <c r="C121" s="16" t="s">
        <v>176</v>
      </c>
      <c r="D121" s="16" t="s">
        <v>108</v>
      </c>
      <c r="E121" s="17" t="s">
        <v>17</v>
      </c>
      <c r="F121" s="23" t="s">
        <v>19</v>
      </c>
      <c r="G121" s="23"/>
      <c r="H121" s="17" t="s">
        <v>17</v>
      </c>
      <c r="I121" s="25">
        <v>145.25</v>
      </c>
      <c r="J121" s="25"/>
      <c r="K121" s="20" t="s">
        <v>12</v>
      </c>
      <c r="L121" s="21">
        <v>122584.56</v>
      </c>
    </row>
    <row r="122" spans="1:12" ht="61.2" hidden="1" x14ac:dyDescent="0.3">
      <c r="A122" s="15" t="s">
        <v>106</v>
      </c>
      <c r="B122" s="16" t="s">
        <v>175</v>
      </c>
      <c r="C122" s="16" t="s">
        <v>177</v>
      </c>
      <c r="D122" s="16" t="s">
        <v>110</v>
      </c>
      <c r="E122" s="17" t="s">
        <v>17</v>
      </c>
      <c r="F122" s="23" t="s">
        <v>19</v>
      </c>
      <c r="G122" s="23"/>
      <c r="H122" s="17" t="s">
        <v>17</v>
      </c>
      <c r="I122" s="24">
        <v>1061</v>
      </c>
      <c r="J122" s="24"/>
      <c r="K122" s="20" t="s">
        <v>12</v>
      </c>
      <c r="L122" s="21">
        <v>121523.56</v>
      </c>
    </row>
    <row r="123" spans="1:12" ht="61.2" hidden="1" x14ac:dyDescent="0.3">
      <c r="A123" s="15" t="s">
        <v>106</v>
      </c>
      <c r="B123" s="16" t="s">
        <v>175</v>
      </c>
      <c r="C123" s="16" t="s">
        <v>178</v>
      </c>
      <c r="D123" s="16" t="s">
        <v>111</v>
      </c>
      <c r="E123" s="17" t="s">
        <v>17</v>
      </c>
      <c r="F123" s="23" t="s">
        <v>19</v>
      </c>
      <c r="G123" s="23"/>
      <c r="H123" s="17" t="s">
        <v>17</v>
      </c>
      <c r="I123" s="25">
        <v>61.7</v>
      </c>
      <c r="J123" s="25"/>
      <c r="K123" s="20" t="s">
        <v>12</v>
      </c>
      <c r="L123" s="21">
        <v>121461.86</v>
      </c>
    </row>
    <row r="124" spans="1:12" ht="61.2" hidden="1" x14ac:dyDescent="0.3">
      <c r="A124" s="15" t="s">
        <v>106</v>
      </c>
      <c r="B124" s="16" t="s">
        <v>175</v>
      </c>
      <c r="C124" s="16" t="s">
        <v>179</v>
      </c>
      <c r="D124" s="16" t="s">
        <v>112</v>
      </c>
      <c r="E124" s="17" t="s">
        <v>17</v>
      </c>
      <c r="F124" s="23" t="s">
        <v>19</v>
      </c>
      <c r="G124" s="23"/>
      <c r="H124" s="17" t="s">
        <v>17</v>
      </c>
      <c r="I124" s="25">
        <v>136.5</v>
      </c>
      <c r="J124" s="25"/>
      <c r="K124" s="20" t="s">
        <v>12</v>
      </c>
      <c r="L124" s="21">
        <v>121325.36</v>
      </c>
    </row>
    <row r="125" spans="1:12" ht="71.400000000000006" hidden="1" x14ac:dyDescent="0.3">
      <c r="A125" s="15" t="s">
        <v>106</v>
      </c>
      <c r="B125" s="16" t="s">
        <v>175</v>
      </c>
      <c r="C125" s="16" t="s">
        <v>180</v>
      </c>
      <c r="D125" s="16" t="s">
        <v>113</v>
      </c>
      <c r="E125" s="17" t="s">
        <v>17</v>
      </c>
      <c r="F125" s="23" t="s">
        <v>19</v>
      </c>
      <c r="G125" s="23"/>
      <c r="H125" s="17" t="s">
        <v>17</v>
      </c>
      <c r="I125" s="25">
        <v>294</v>
      </c>
      <c r="J125" s="25"/>
      <c r="K125" s="20" t="s">
        <v>12</v>
      </c>
      <c r="L125" s="21">
        <v>121031.36</v>
      </c>
    </row>
    <row r="126" spans="1:12" ht="71.400000000000006" hidden="1" x14ac:dyDescent="0.3">
      <c r="A126" s="15" t="s">
        <v>106</v>
      </c>
      <c r="B126" s="16" t="s">
        <v>175</v>
      </c>
      <c r="C126" s="16" t="s">
        <v>181</v>
      </c>
      <c r="D126" s="16" t="s">
        <v>114</v>
      </c>
      <c r="E126" s="17" t="s">
        <v>17</v>
      </c>
      <c r="F126" s="23" t="s">
        <v>19</v>
      </c>
      <c r="G126" s="23"/>
      <c r="H126" s="17" t="s">
        <v>17</v>
      </c>
      <c r="I126" s="25">
        <v>193.35</v>
      </c>
      <c r="J126" s="25"/>
      <c r="K126" s="20" t="s">
        <v>12</v>
      </c>
      <c r="L126" s="21">
        <v>120838.01</v>
      </c>
    </row>
    <row r="127" spans="1:12" ht="61.2" hidden="1" x14ac:dyDescent="0.3">
      <c r="A127" s="15" t="s">
        <v>106</v>
      </c>
      <c r="B127" s="16" t="s">
        <v>175</v>
      </c>
      <c r="C127" s="16" t="s">
        <v>182</v>
      </c>
      <c r="D127" s="16" t="s">
        <v>115</v>
      </c>
      <c r="E127" s="17" t="s">
        <v>17</v>
      </c>
      <c r="F127" s="23" t="s">
        <v>19</v>
      </c>
      <c r="G127" s="23"/>
      <c r="H127" s="17" t="s">
        <v>17</v>
      </c>
      <c r="I127" s="25">
        <v>64.2</v>
      </c>
      <c r="J127" s="25"/>
      <c r="K127" s="20" t="s">
        <v>12</v>
      </c>
      <c r="L127" s="21">
        <v>120773.81</v>
      </c>
    </row>
    <row r="128" spans="1:12" ht="61.2" hidden="1" x14ac:dyDescent="0.3">
      <c r="A128" s="15" t="s">
        <v>106</v>
      </c>
      <c r="B128" s="16" t="s">
        <v>175</v>
      </c>
      <c r="C128" s="16" t="s">
        <v>183</v>
      </c>
      <c r="D128" s="16" t="s">
        <v>117</v>
      </c>
      <c r="E128" s="17" t="s">
        <v>17</v>
      </c>
      <c r="F128" s="23" t="s">
        <v>19</v>
      </c>
      <c r="G128" s="23"/>
      <c r="H128" s="17" t="s">
        <v>17</v>
      </c>
      <c r="I128" s="25">
        <v>100</v>
      </c>
      <c r="J128" s="25"/>
      <c r="K128" s="20" t="s">
        <v>12</v>
      </c>
      <c r="L128" s="21">
        <v>120673.81</v>
      </c>
    </row>
    <row r="129" spans="1:12" ht="61.2" hidden="1" x14ac:dyDescent="0.3">
      <c r="A129" s="15" t="s">
        <v>106</v>
      </c>
      <c r="B129" s="16" t="s">
        <v>175</v>
      </c>
      <c r="C129" s="16" t="s">
        <v>184</v>
      </c>
      <c r="D129" s="16" t="s">
        <v>118</v>
      </c>
      <c r="E129" s="17" t="s">
        <v>17</v>
      </c>
      <c r="F129" s="23" t="s">
        <v>19</v>
      </c>
      <c r="G129" s="23"/>
      <c r="H129" s="17" t="s">
        <v>17</v>
      </c>
      <c r="I129" s="25">
        <v>93.6</v>
      </c>
      <c r="J129" s="25"/>
      <c r="K129" s="20" t="s">
        <v>12</v>
      </c>
      <c r="L129" s="21">
        <v>120580.21</v>
      </c>
    </row>
    <row r="130" spans="1:12" ht="71.400000000000006" hidden="1" x14ac:dyDescent="0.3">
      <c r="A130" s="15" t="s">
        <v>106</v>
      </c>
      <c r="B130" s="16" t="s">
        <v>175</v>
      </c>
      <c r="C130" s="16" t="s">
        <v>185</v>
      </c>
      <c r="D130" s="16" t="s">
        <v>121</v>
      </c>
      <c r="E130" s="17" t="s">
        <v>17</v>
      </c>
      <c r="F130" s="23" t="s">
        <v>19</v>
      </c>
      <c r="G130" s="23"/>
      <c r="H130" s="17" t="s">
        <v>17</v>
      </c>
      <c r="I130" s="25">
        <v>170</v>
      </c>
      <c r="J130" s="25"/>
      <c r="K130" s="20" t="s">
        <v>12</v>
      </c>
      <c r="L130" s="21">
        <v>120410.21</v>
      </c>
    </row>
    <row r="131" spans="1:12" ht="71.400000000000006" hidden="1" x14ac:dyDescent="0.3">
      <c r="A131" s="15" t="s">
        <v>106</v>
      </c>
      <c r="B131" s="16" t="s">
        <v>175</v>
      </c>
      <c r="C131" s="16" t="s">
        <v>186</v>
      </c>
      <c r="D131" s="16" t="s">
        <v>122</v>
      </c>
      <c r="E131" s="17" t="s">
        <v>17</v>
      </c>
      <c r="F131" s="23" t="s">
        <v>19</v>
      </c>
      <c r="G131" s="23"/>
      <c r="H131" s="17" t="s">
        <v>17</v>
      </c>
      <c r="I131" s="25">
        <v>213.25</v>
      </c>
      <c r="J131" s="25"/>
      <c r="K131" s="20" t="s">
        <v>12</v>
      </c>
      <c r="L131" s="21">
        <v>120196.96</v>
      </c>
    </row>
    <row r="132" spans="1:12" ht="71.400000000000006" hidden="1" x14ac:dyDescent="0.3">
      <c r="A132" s="15" t="s">
        <v>106</v>
      </c>
      <c r="B132" s="16" t="s">
        <v>175</v>
      </c>
      <c r="C132" s="16" t="s">
        <v>187</v>
      </c>
      <c r="D132" s="16" t="s">
        <v>123</v>
      </c>
      <c r="E132" s="17" t="s">
        <v>17</v>
      </c>
      <c r="F132" s="23" t="s">
        <v>19</v>
      </c>
      <c r="G132" s="23"/>
      <c r="H132" s="17" t="s">
        <v>17</v>
      </c>
      <c r="I132" s="24">
        <v>1065.9000000000001</v>
      </c>
      <c r="J132" s="24"/>
      <c r="K132" s="20" t="s">
        <v>12</v>
      </c>
      <c r="L132" s="21">
        <v>119131.06</v>
      </c>
    </row>
    <row r="133" spans="1:12" ht="61.2" hidden="1" x14ac:dyDescent="0.3">
      <c r="A133" s="15" t="s">
        <v>106</v>
      </c>
      <c r="B133" s="16" t="s">
        <v>175</v>
      </c>
      <c r="C133" s="16" t="s">
        <v>188</v>
      </c>
      <c r="D133" s="16" t="s">
        <v>124</v>
      </c>
      <c r="E133" s="17" t="s">
        <v>17</v>
      </c>
      <c r="F133" s="23" t="s">
        <v>19</v>
      </c>
      <c r="G133" s="23"/>
      <c r="H133" s="17" t="s">
        <v>17</v>
      </c>
      <c r="I133" s="25">
        <v>198.15</v>
      </c>
      <c r="J133" s="25"/>
      <c r="K133" s="20" t="s">
        <v>12</v>
      </c>
      <c r="L133" s="21">
        <v>118932.91</v>
      </c>
    </row>
    <row r="134" spans="1:12" ht="61.2" hidden="1" x14ac:dyDescent="0.3">
      <c r="A134" s="15" t="s">
        <v>106</v>
      </c>
      <c r="B134" s="16" t="s">
        <v>189</v>
      </c>
      <c r="C134" s="16" t="s">
        <v>190</v>
      </c>
      <c r="D134" s="16" t="s">
        <v>115</v>
      </c>
      <c r="E134" s="17" t="s">
        <v>17</v>
      </c>
      <c r="F134" s="23" t="s">
        <v>19</v>
      </c>
      <c r="G134" s="23"/>
      <c r="H134" s="17" t="s">
        <v>17</v>
      </c>
      <c r="I134" s="25">
        <v>64.2</v>
      </c>
      <c r="J134" s="25"/>
      <c r="K134" s="20" t="s">
        <v>12</v>
      </c>
      <c r="L134" s="21">
        <v>118868.71</v>
      </c>
    </row>
    <row r="135" spans="1:12" ht="71.400000000000006" hidden="1" x14ac:dyDescent="0.3">
      <c r="A135" s="15" t="s">
        <v>106</v>
      </c>
      <c r="B135" s="16" t="s">
        <v>189</v>
      </c>
      <c r="C135" s="16" t="s">
        <v>191</v>
      </c>
      <c r="D135" s="16" t="s">
        <v>121</v>
      </c>
      <c r="E135" s="17" t="s">
        <v>17</v>
      </c>
      <c r="F135" s="23" t="s">
        <v>19</v>
      </c>
      <c r="G135" s="23"/>
      <c r="H135" s="17" t="s">
        <v>17</v>
      </c>
      <c r="I135" s="25">
        <v>170</v>
      </c>
      <c r="J135" s="25"/>
      <c r="K135" s="20" t="s">
        <v>12</v>
      </c>
      <c r="L135" s="21">
        <v>118698.71</v>
      </c>
    </row>
    <row r="136" spans="1:12" ht="91.8" hidden="1" x14ac:dyDescent="0.3">
      <c r="A136" s="15" t="s">
        <v>106</v>
      </c>
      <c r="B136" s="16" t="s">
        <v>192</v>
      </c>
      <c r="C136" s="16" t="s">
        <v>193</v>
      </c>
      <c r="D136" s="16" t="s">
        <v>125</v>
      </c>
      <c r="E136" s="17" t="s">
        <v>17</v>
      </c>
      <c r="F136" s="23" t="s">
        <v>19</v>
      </c>
      <c r="G136" s="23"/>
      <c r="H136" s="17" t="s">
        <v>17</v>
      </c>
      <c r="I136" s="25">
        <v>201.9</v>
      </c>
      <c r="J136" s="25"/>
      <c r="K136" s="20" t="s">
        <v>12</v>
      </c>
      <c r="L136" s="21">
        <v>118496.81</v>
      </c>
    </row>
    <row r="137" spans="1:12" ht="91.8" hidden="1" x14ac:dyDescent="0.3">
      <c r="A137" s="15" t="s">
        <v>106</v>
      </c>
      <c r="B137" s="16" t="s">
        <v>192</v>
      </c>
      <c r="C137" s="16" t="s">
        <v>194</v>
      </c>
      <c r="D137" s="16" t="s">
        <v>126</v>
      </c>
      <c r="E137" s="17" t="s">
        <v>17</v>
      </c>
      <c r="F137" s="23" t="s">
        <v>19</v>
      </c>
      <c r="G137" s="23"/>
      <c r="H137" s="17" t="s">
        <v>17</v>
      </c>
      <c r="I137" s="24">
        <v>2232</v>
      </c>
      <c r="J137" s="24"/>
      <c r="K137" s="20" t="s">
        <v>12</v>
      </c>
      <c r="L137" s="21">
        <v>116264.81</v>
      </c>
    </row>
    <row r="138" spans="1:12" ht="81.599999999999994" hidden="1" x14ac:dyDescent="0.3">
      <c r="A138" s="15" t="s">
        <v>106</v>
      </c>
      <c r="B138" s="16" t="s">
        <v>192</v>
      </c>
      <c r="C138" s="16" t="s">
        <v>195</v>
      </c>
      <c r="D138" s="16" t="s">
        <v>127</v>
      </c>
      <c r="E138" s="17" t="s">
        <v>17</v>
      </c>
      <c r="F138" s="23" t="s">
        <v>19</v>
      </c>
      <c r="G138" s="23"/>
      <c r="H138" s="17" t="s">
        <v>17</v>
      </c>
      <c r="I138" s="25">
        <v>430</v>
      </c>
      <c r="J138" s="25"/>
      <c r="K138" s="20" t="s">
        <v>12</v>
      </c>
      <c r="L138" s="21">
        <v>115834.81</v>
      </c>
    </row>
    <row r="139" spans="1:12" ht="71.400000000000006" x14ac:dyDescent="0.3">
      <c r="A139" s="15" t="s">
        <v>196</v>
      </c>
      <c r="B139" s="16" t="s">
        <v>197</v>
      </c>
      <c r="C139" s="16" t="s">
        <v>96</v>
      </c>
      <c r="D139" s="16" t="s">
        <v>198</v>
      </c>
      <c r="E139" s="17" t="s">
        <v>97</v>
      </c>
      <c r="F139" s="23" t="s">
        <v>19</v>
      </c>
      <c r="G139" s="23"/>
      <c r="H139" s="17" t="s">
        <v>17</v>
      </c>
      <c r="I139" s="24">
        <v>1216.9000000000001</v>
      </c>
      <c r="J139" s="24"/>
      <c r="K139" s="20" t="s">
        <v>12</v>
      </c>
      <c r="L139" s="21">
        <v>114617.91</v>
      </c>
    </row>
    <row r="140" spans="1:12" ht="71.400000000000006" x14ac:dyDescent="0.3">
      <c r="A140" s="15" t="s">
        <v>196</v>
      </c>
      <c r="B140" s="16" t="s">
        <v>197</v>
      </c>
      <c r="C140" s="16" t="s">
        <v>96</v>
      </c>
      <c r="D140" s="16" t="s">
        <v>103</v>
      </c>
      <c r="E140" s="17" t="s">
        <v>97</v>
      </c>
      <c r="F140" s="23" t="s">
        <v>19</v>
      </c>
      <c r="G140" s="23"/>
      <c r="H140" s="17" t="s">
        <v>17</v>
      </c>
      <c r="I140" s="25">
        <v>530.5</v>
      </c>
      <c r="J140" s="25"/>
      <c r="K140" s="20" t="s">
        <v>12</v>
      </c>
      <c r="L140" s="21">
        <v>114087.41</v>
      </c>
    </row>
    <row r="141" spans="1:12" ht="71.400000000000006" x14ac:dyDescent="0.3">
      <c r="A141" s="15" t="s">
        <v>196</v>
      </c>
      <c r="B141" s="16" t="s">
        <v>199</v>
      </c>
      <c r="C141" s="16" t="s">
        <v>96</v>
      </c>
      <c r="D141" s="16" t="s">
        <v>198</v>
      </c>
      <c r="E141" s="17" t="s">
        <v>97</v>
      </c>
      <c r="F141" s="23" t="s">
        <v>19</v>
      </c>
      <c r="G141" s="23"/>
      <c r="H141" s="17" t="s">
        <v>17</v>
      </c>
      <c r="I141" s="25">
        <v>608.45000000000005</v>
      </c>
      <c r="J141" s="25"/>
      <c r="K141" s="20" t="s">
        <v>12</v>
      </c>
      <c r="L141" s="21">
        <v>113478.96</v>
      </c>
    </row>
    <row r="142" spans="1:12" ht="61.2" x14ac:dyDescent="0.3">
      <c r="A142" s="15" t="s">
        <v>196</v>
      </c>
      <c r="B142" s="16" t="s">
        <v>199</v>
      </c>
      <c r="C142" s="16" t="s">
        <v>96</v>
      </c>
      <c r="D142" s="16" t="s">
        <v>200</v>
      </c>
      <c r="E142" s="17" t="s">
        <v>97</v>
      </c>
      <c r="F142" s="23" t="s">
        <v>19</v>
      </c>
      <c r="G142" s="23"/>
      <c r="H142" s="17" t="s">
        <v>17</v>
      </c>
      <c r="I142" s="25">
        <v>380.56</v>
      </c>
      <c r="J142" s="25"/>
      <c r="K142" s="20" t="s">
        <v>12</v>
      </c>
      <c r="L142" s="21">
        <v>113098.4</v>
      </c>
    </row>
    <row r="143" spans="1:12" ht="61.2" x14ac:dyDescent="0.3">
      <c r="A143" s="15" t="s">
        <v>196</v>
      </c>
      <c r="B143" s="16" t="s">
        <v>199</v>
      </c>
      <c r="C143" s="16" t="s">
        <v>96</v>
      </c>
      <c r="D143" s="16" t="s">
        <v>25</v>
      </c>
      <c r="E143" s="17" t="s">
        <v>97</v>
      </c>
      <c r="F143" s="23" t="s">
        <v>19</v>
      </c>
      <c r="G143" s="23"/>
      <c r="H143" s="17" t="s">
        <v>17</v>
      </c>
      <c r="I143" s="25">
        <v>320</v>
      </c>
      <c r="J143" s="25"/>
      <c r="K143" s="20" t="s">
        <v>12</v>
      </c>
      <c r="L143" s="21">
        <v>112778.4</v>
      </c>
    </row>
    <row r="144" spans="1:12" ht="61.2" x14ac:dyDescent="0.3">
      <c r="A144" s="15" t="s">
        <v>196</v>
      </c>
      <c r="B144" s="16" t="s">
        <v>199</v>
      </c>
      <c r="C144" s="16" t="s">
        <v>96</v>
      </c>
      <c r="D144" s="16" t="s">
        <v>201</v>
      </c>
      <c r="E144" s="17" t="s">
        <v>97</v>
      </c>
      <c r="F144" s="23" t="s">
        <v>19</v>
      </c>
      <c r="G144" s="23"/>
      <c r="H144" s="17" t="s">
        <v>17</v>
      </c>
      <c r="I144" s="25">
        <v>148.5</v>
      </c>
      <c r="J144" s="25"/>
      <c r="K144" s="20" t="s">
        <v>12</v>
      </c>
      <c r="L144" s="21">
        <v>112629.9</v>
      </c>
    </row>
    <row r="145" spans="1:12" ht="71.400000000000006" x14ac:dyDescent="0.3">
      <c r="A145" s="15" t="s">
        <v>196</v>
      </c>
      <c r="B145" s="16" t="s">
        <v>202</v>
      </c>
      <c r="C145" s="16" t="s">
        <v>96</v>
      </c>
      <c r="D145" s="16" t="s">
        <v>198</v>
      </c>
      <c r="E145" s="17" t="s">
        <v>97</v>
      </c>
      <c r="F145" s="23" t="s">
        <v>19</v>
      </c>
      <c r="G145" s="23"/>
      <c r="H145" s="17" t="s">
        <v>17</v>
      </c>
      <c r="I145" s="24">
        <v>3042.25</v>
      </c>
      <c r="J145" s="24"/>
      <c r="K145" s="20" t="s">
        <v>12</v>
      </c>
      <c r="L145" s="21">
        <v>109587.65</v>
      </c>
    </row>
    <row r="146" spans="1:12" ht="61.2" x14ac:dyDescent="0.3">
      <c r="A146" s="15" t="s">
        <v>196</v>
      </c>
      <c r="B146" s="16" t="s">
        <v>202</v>
      </c>
      <c r="C146" s="16" t="s">
        <v>96</v>
      </c>
      <c r="D146" s="16" t="s">
        <v>61</v>
      </c>
      <c r="E146" s="17" t="s">
        <v>97</v>
      </c>
      <c r="F146" s="23" t="s">
        <v>19</v>
      </c>
      <c r="G146" s="23"/>
      <c r="H146" s="17" t="s">
        <v>17</v>
      </c>
      <c r="I146" s="25">
        <v>172.75</v>
      </c>
      <c r="J146" s="25"/>
      <c r="K146" s="20" t="s">
        <v>12</v>
      </c>
      <c r="L146" s="21">
        <v>109414.9</v>
      </c>
    </row>
    <row r="147" spans="1:12" ht="61.2" x14ac:dyDescent="0.3">
      <c r="A147" s="15" t="s">
        <v>196</v>
      </c>
      <c r="B147" s="16" t="s">
        <v>202</v>
      </c>
      <c r="C147" s="16" t="s">
        <v>96</v>
      </c>
      <c r="D147" s="16" t="s">
        <v>68</v>
      </c>
      <c r="E147" s="17" t="s">
        <v>97</v>
      </c>
      <c r="F147" s="23" t="s">
        <v>19</v>
      </c>
      <c r="G147" s="23"/>
      <c r="H147" s="17" t="s">
        <v>17</v>
      </c>
      <c r="I147" s="24">
        <v>1701.5</v>
      </c>
      <c r="J147" s="24"/>
      <c r="K147" s="20" t="s">
        <v>12</v>
      </c>
      <c r="L147" s="21">
        <v>107713.4</v>
      </c>
    </row>
    <row r="148" spans="1:12" ht="71.400000000000006" x14ac:dyDescent="0.3">
      <c r="A148" s="15" t="s">
        <v>196</v>
      </c>
      <c r="B148" s="16" t="s">
        <v>203</v>
      </c>
      <c r="C148" s="16" t="s">
        <v>96</v>
      </c>
      <c r="D148" s="16" t="s">
        <v>204</v>
      </c>
      <c r="E148" s="17" t="s">
        <v>97</v>
      </c>
      <c r="F148" s="23" t="s">
        <v>19</v>
      </c>
      <c r="G148" s="23"/>
      <c r="H148" s="17" t="s">
        <v>17</v>
      </c>
      <c r="I148" s="24">
        <v>1477.5</v>
      </c>
      <c r="J148" s="24"/>
      <c r="K148" s="20" t="s">
        <v>12</v>
      </c>
      <c r="L148" s="21">
        <v>106235.9</v>
      </c>
    </row>
    <row r="149" spans="1:12" ht="71.400000000000006" x14ac:dyDescent="0.3">
      <c r="A149" s="15" t="s">
        <v>196</v>
      </c>
      <c r="B149" s="16" t="s">
        <v>205</v>
      </c>
      <c r="C149" s="16" t="s">
        <v>96</v>
      </c>
      <c r="D149" s="16" t="s">
        <v>204</v>
      </c>
      <c r="E149" s="17" t="s">
        <v>97</v>
      </c>
      <c r="F149" s="23" t="s">
        <v>19</v>
      </c>
      <c r="G149" s="23"/>
      <c r="H149" s="17" t="s">
        <v>17</v>
      </c>
      <c r="I149" s="24">
        <v>1477.5</v>
      </c>
      <c r="J149" s="24"/>
      <c r="K149" s="20" t="s">
        <v>12</v>
      </c>
      <c r="L149" s="21">
        <v>104758.39999999999</v>
      </c>
    </row>
    <row r="150" spans="1:12" ht="71.400000000000006" x14ac:dyDescent="0.3">
      <c r="A150" s="15" t="s">
        <v>196</v>
      </c>
      <c r="B150" s="16" t="s">
        <v>205</v>
      </c>
      <c r="C150" s="16" t="s">
        <v>96</v>
      </c>
      <c r="D150" s="16" t="s">
        <v>206</v>
      </c>
      <c r="E150" s="17" t="s">
        <v>97</v>
      </c>
      <c r="F150" s="23" t="s">
        <v>19</v>
      </c>
      <c r="G150" s="23"/>
      <c r="H150" s="17" t="s">
        <v>17</v>
      </c>
      <c r="I150" s="24">
        <v>1477.5</v>
      </c>
      <c r="J150" s="24"/>
      <c r="K150" s="20" t="s">
        <v>12</v>
      </c>
      <c r="L150" s="21">
        <v>103280.9</v>
      </c>
    </row>
    <row r="151" spans="1:12" ht="71.400000000000006" x14ac:dyDescent="0.3">
      <c r="A151" s="15" t="s">
        <v>207</v>
      </c>
      <c r="B151" s="16" t="s">
        <v>208</v>
      </c>
      <c r="C151" s="16" t="s">
        <v>96</v>
      </c>
      <c r="D151" s="16" t="s">
        <v>198</v>
      </c>
      <c r="E151" s="17" t="s">
        <v>97</v>
      </c>
      <c r="F151" s="23" t="s">
        <v>19</v>
      </c>
      <c r="G151" s="23"/>
      <c r="H151" s="17" t="s">
        <v>17</v>
      </c>
      <c r="I151" s="24">
        <v>1216.9000000000001</v>
      </c>
      <c r="J151" s="24"/>
      <c r="K151" s="20" t="s">
        <v>12</v>
      </c>
      <c r="L151" s="21">
        <v>102064</v>
      </c>
    </row>
    <row r="152" spans="1:12" ht="71.400000000000006" x14ac:dyDescent="0.3">
      <c r="A152" s="15" t="s">
        <v>207</v>
      </c>
      <c r="B152" s="16" t="s">
        <v>208</v>
      </c>
      <c r="C152" s="16" t="s">
        <v>96</v>
      </c>
      <c r="D152" s="16" t="s">
        <v>206</v>
      </c>
      <c r="E152" s="17" t="s">
        <v>97</v>
      </c>
      <c r="F152" s="23" t="s">
        <v>19</v>
      </c>
      <c r="G152" s="23"/>
      <c r="H152" s="17" t="s">
        <v>17</v>
      </c>
      <c r="I152" s="24">
        <v>5910</v>
      </c>
      <c r="J152" s="24"/>
      <c r="K152" s="20" t="s">
        <v>12</v>
      </c>
      <c r="L152" s="21">
        <v>96154</v>
      </c>
    </row>
    <row r="153" spans="1:12" ht="71.400000000000006" x14ac:dyDescent="0.3">
      <c r="A153" s="15" t="s">
        <v>207</v>
      </c>
      <c r="B153" s="16" t="s">
        <v>208</v>
      </c>
      <c r="C153" s="16" t="s">
        <v>96</v>
      </c>
      <c r="D153" s="16" t="s">
        <v>209</v>
      </c>
      <c r="E153" s="17" t="s">
        <v>97</v>
      </c>
      <c r="F153" s="23" t="s">
        <v>19</v>
      </c>
      <c r="G153" s="23"/>
      <c r="H153" s="17" t="s">
        <v>17</v>
      </c>
      <c r="I153" s="24">
        <v>1640.15</v>
      </c>
      <c r="J153" s="24"/>
      <c r="K153" s="20" t="s">
        <v>12</v>
      </c>
      <c r="L153" s="21">
        <v>94513.85</v>
      </c>
    </row>
    <row r="154" spans="1:12" ht="71.400000000000006" x14ac:dyDescent="0.3">
      <c r="A154" s="15" t="s">
        <v>210</v>
      </c>
      <c r="B154" s="16" t="s">
        <v>211</v>
      </c>
      <c r="C154" s="16" t="s">
        <v>96</v>
      </c>
      <c r="D154" s="16" t="s">
        <v>212</v>
      </c>
      <c r="E154" s="17" t="s">
        <v>97</v>
      </c>
      <c r="F154" s="23" t="s">
        <v>19</v>
      </c>
      <c r="G154" s="23"/>
      <c r="H154" s="17" t="s">
        <v>17</v>
      </c>
      <c r="I154" s="25">
        <v>750</v>
      </c>
      <c r="J154" s="25"/>
      <c r="K154" s="20" t="s">
        <v>12</v>
      </c>
      <c r="L154" s="21">
        <v>93763.85</v>
      </c>
    </row>
    <row r="155" spans="1:12" ht="71.400000000000006" x14ac:dyDescent="0.3">
      <c r="A155" s="15" t="s">
        <v>210</v>
      </c>
      <c r="B155" s="16" t="s">
        <v>213</v>
      </c>
      <c r="C155" s="16" t="s">
        <v>96</v>
      </c>
      <c r="D155" s="16" t="s">
        <v>214</v>
      </c>
      <c r="E155" s="17" t="s">
        <v>97</v>
      </c>
      <c r="F155" s="23" t="s">
        <v>19</v>
      </c>
      <c r="G155" s="23"/>
      <c r="H155" s="17" t="s">
        <v>17</v>
      </c>
      <c r="I155" s="25">
        <v>442.5</v>
      </c>
      <c r="J155" s="25"/>
      <c r="K155" s="20" t="s">
        <v>12</v>
      </c>
      <c r="L155" s="21">
        <v>93321.35</v>
      </c>
    </row>
    <row r="156" spans="1:12" ht="71.400000000000006" x14ac:dyDescent="0.3">
      <c r="A156" s="15" t="s">
        <v>210</v>
      </c>
      <c r="B156" s="16" t="s">
        <v>213</v>
      </c>
      <c r="C156" s="16" t="s">
        <v>96</v>
      </c>
      <c r="D156" s="16" t="s">
        <v>215</v>
      </c>
      <c r="E156" s="17" t="s">
        <v>97</v>
      </c>
      <c r="F156" s="23" t="s">
        <v>19</v>
      </c>
      <c r="G156" s="23"/>
      <c r="H156" s="17" t="s">
        <v>17</v>
      </c>
      <c r="I156" s="24">
        <v>1381.75</v>
      </c>
      <c r="J156" s="24"/>
      <c r="K156" s="20" t="s">
        <v>12</v>
      </c>
      <c r="L156" s="21">
        <v>91939.6</v>
      </c>
    </row>
    <row r="157" spans="1:12" ht="71.400000000000006" x14ac:dyDescent="0.3">
      <c r="A157" s="15" t="s">
        <v>210</v>
      </c>
      <c r="B157" s="16" t="s">
        <v>213</v>
      </c>
      <c r="C157" s="16" t="s">
        <v>96</v>
      </c>
      <c r="D157" s="16" t="s">
        <v>22</v>
      </c>
      <c r="E157" s="17" t="s">
        <v>97</v>
      </c>
      <c r="F157" s="23" t="s">
        <v>19</v>
      </c>
      <c r="G157" s="23"/>
      <c r="H157" s="17" t="s">
        <v>17</v>
      </c>
      <c r="I157" s="25">
        <v>560</v>
      </c>
      <c r="J157" s="25"/>
      <c r="K157" s="20" t="s">
        <v>12</v>
      </c>
      <c r="L157" s="21">
        <v>91379.6</v>
      </c>
    </row>
    <row r="158" spans="1:12" ht="71.400000000000006" x14ac:dyDescent="0.3">
      <c r="A158" s="15" t="s">
        <v>210</v>
      </c>
      <c r="B158" s="16" t="s">
        <v>216</v>
      </c>
      <c r="C158" s="16" t="s">
        <v>96</v>
      </c>
      <c r="D158" s="16" t="s">
        <v>217</v>
      </c>
      <c r="E158" s="17" t="s">
        <v>97</v>
      </c>
      <c r="F158" s="23" t="s">
        <v>19</v>
      </c>
      <c r="G158" s="23"/>
      <c r="H158" s="17" t="s">
        <v>17</v>
      </c>
      <c r="I158" s="24">
        <v>6084.5</v>
      </c>
      <c r="J158" s="24"/>
      <c r="K158" s="20" t="s">
        <v>12</v>
      </c>
      <c r="L158" s="21">
        <v>85295.1</v>
      </c>
    </row>
    <row r="159" spans="1:12" ht="71.400000000000006" x14ac:dyDescent="0.3">
      <c r="A159" s="15" t="s">
        <v>210</v>
      </c>
      <c r="B159" s="16" t="s">
        <v>216</v>
      </c>
      <c r="C159" s="16" t="s">
        <v>96</v>
      </c>
      <c r="D159" s="16" t="s">
        <v>218</v>
      </c>
      <c r="E159" s="17" t="s">
        <v>97</v>
      </c>
      <c r="F159" s="23" t="s">
        <v>19</v>
      </c>
      <c r="G159" s="23"/>
      <c r="H159" s="17" t="s">
        <v>17</v>
      </c>
      <c r="I159" s="24">
        <v>4250</v>
      </c>
      <c r="J159" s="24"/>
      <c r="K159" s="20" t="s">
        <v>12</v>
      </c>
      <c r="L159" s="21">
        <v>81045.100000000006</v>
      </c>
    </row>
    <row r="160" spans="1:12" ht="71.400000000000006" x14ac:dyDescent="0.3">
      <c r="A160" s="15" t="s">
        <v>210</v>
      </c>
      <c r="B160" s="16" t="s">
        <v>216</v>
      </c>
      <c r="C160" s="16" t="s">
        <v>96</v>
      </c>
      <c r="D160" s="16" t="s">
        <v>219</v>
      </c>
      <c r="E160" s="17" t="s">
        <v>97</v>
      </c>
      <c r="F160" s="23" t="s">
        <v>19</v>
      </c>
      <c r="G160" s="23"/>
      <c r="H160" s="17" t="s">
        <v>17</v>
      </c>
      <c r="I160" s="24">
        <v>7971.5</v>
      </c>
      <c r="J160" s="24"/>
      <c r="K160" s="20" t="s">
        <v>12</v>
      </c>
      <c r="L160" s="21">
        <v>73073.600000000006</v>
      </c>
    </row>
    <row r="161" spans="1:12" ht="71.400000000000006" x14ac:dyDescent="0.3">
      <c r="A161" s="15" t="s">
        <v>210</v>
      </c>
      <c r="B161" s="16" t="s">
        <v>216</v>
      </c>
      <c r="C161" s="16" t="s">
        <v>96</v>
      </c>
      <c r="D161" s="16" t="s">
        <v>204</v>
      </c>
      <c r="E161" s="17" t="s">
        <v>97</v>
      </c>
      <c r="F161" s="23" t="s">
        <v>19</v>
      </c>
      <c r="G161" s="23"/>
      <c r="H161" s="17" t="s">
        <v>17</v>
      </c>
      <c r="I161" s="24">
        <v>5910</v>
      </c>
      <c r="J161" s="24"/>
      <c r="K161" s="20" t="s">
        <v>12</v>
      </c>
      <c r="L161" s="21">
        <v>67163.600000000006</v>
      </c>
    </row>
    <row r="162" spans="1:12" ht="71.400000000000006" hidden="1" x14ac:dyDescent="0.3">
      <c r="A162" s="15" t="s">
        <v>220</v>
      </c>
      <c r="B162" s="16" t="s">
        <v>221</v>
      </c>
      <c r="C162" s="16" t="s">
        <v>222</v>
      </c>
      <c r="D162" s="16" t="s">
        <v>223</v>
      </c>
      <c r="E162" s="17" t="s">
        <v>17</v>
      </c>
      <c r="F162" s="18">
        <v>334</v>
      </c>
      <c r="G162" s="18"/>
      <c r="H162" s="17" t="s">
        <v>24</v>
      </c>
      <c r="I162" s="19" t="s">
        <v>19</v>
      </c>
      <c r="J162" s="19"/>
      <c r="K162" s="20" t="s">
        <v>12</v>
      </c>
      <c r="L162" s="21">
        <v>67497.600000000006</v>
      </c>
    </row>
    <row r="163" spans="1:12" ht="71.400000000000006" hidden="1" x14ac:dyDescent="0.3">
      <c r="A163" s="15" t="s">
        <v>220</v>
      </c>
      <c r="B163" s="16" t="s">
        <v>221</v>
      </c>
      <c r="C163" s="16" t="s">
        <v>224</v>
      </c>
      <c r="D163" s="16" t="s">
        <v>223</v>
      </c>
      <c r="E163" s="17" t="s">
        <v>17</v>
      </c>
      <c r="F163" s="22">
        <v>6084.5</v>
      </c>
      <c r="G163" s="22"/>
      <c r="H163" s="17" t="s">
        <v>24</v>
      </c>
      <c r="I163" s="19" t="s">
        <v>19</v>
      </c>
      <c r="J163" s="19"/>
      <c r="K163" s="20" t="s">
        <v>12</v>
      </c>
      <c r="L163" s="21">
        <v>73582.100000000006</v>
      </c>
    </row>
    <row r="164" spans="1:12" ht="71.400000000000006" hidden="1" x14ac:dyDescent="0.3">
      <c r="A164" s="15" t="s">
        <v>220</v>
      </c>
      <c r="B164" s="16" t="s">
        <v>221</v>
      </c>
      <c r="C164" s="16" t="s">
        <v>225</v>
      </c>
      <c r="D164" s="16" t="s">
        <v>223</v>
      </c>
      <c r="E164" s="17" t="s">
        <v>17</v>
      </c>
      <c r="F164" s="22">
        <v>2524</v>
      </c>
      <c r="G164" s="22"/>
      <c r="H164" s="17" t="s">
        <v>24</v>
      </c>
      <c r="I164" s="19" t="s">
        <v>19</v>
      </c>
      <c r="J164" s="19"/>
      <c r="K164" s="20" t="s">
        <v>12</v>
      </c>
      <c r="L164" s="21">
        <v>76106.100000000006</v>
      </c>
    </row>
    <row r="165" spans="1:12" ht="71.400000000000006" hidden="1" x14ac:dyDescent="0.3">
      <c r="A165" s="15" t="s">
        <v>220</v>
      </c>
      <c r="B165" s="16" t="s">
        <v>221</v>
      </c>
      <c r="C165" s="16" t="s">
        <v>226</v>
      </c>
      <c r="D165" s="16" t="s">
        <v>223</v>
      </c>
      <c r="E165" s="17" t="s">
        <v>17</v>
      </c>
      <c r="F165" s="22">
        <v>1470</v>
      </c>
      <c r="G165" s="22"/>
      <c r="H165" s="17" t="s">
        <v>24</v>
      </c>
      <c r="I165" s="19" t="s">
        <v>19</v>
      </c>
      <c r="J165" s="19"/>
      <c r="K165" s="20" t="s">
        <v>12</v>
      </c>
      <c r="L165" s="21">
        <v>77576.100000000006</v>
      </c>
    </row>
    <row r="166" spans="1:12" ht="71.400000000000006" hidden="1" x14ac:dyDescent="0.3">
      <c r="A166" s="15" t="s">
        <v>220</v>
      </c>
      <c r="B166" s="16" t="s">
        <v>221</v>
      </c>
      <c r="C166" s="16" t="s">
        <v>227</v>
      </c>
      <c r="D166" s="16" t="s">
        <v>223</v>
      </c>
      <c r="E166" s="17" t="s">
        <v>17</v>
      </c>
      <c r="F166" s="18">
        <v>755</v>
      </c>
      <c r="G166" s="18"/>
      <c r="H166" s="17" t="s">
        <v>24</v>
      </c>
      <c r="I166" s="19" t="s">
        <v>19</v>
      </c>
      <c r="J166" s="19"/>
      <c r="K166" s="20" t="s">
        <v>12</v>
      </c>
      <c r="L166" s="21">
        <v>78331.100000000006</v>
      </c>
    </row>
    <row r="167" spans="1:12" ht="71.400000000000006" hidden="1" x14ac:dyDescent="0.3">
      <c r="A167" s="15" t="s">
        <v>220</v>
      </c>
      <c r="B167" s="16" t="s">
        <v>221</v>
      </c>
      <c r="C167" s="16" t="s">
        <v>228</v>
      </c>
      <c r="D167" s="16" t="s">
        <v>223</v>
      </c>
      <c r="E167" s="17" t="s">
        <v>17</v>
      </c>
      <c r="F167" s="18">
        <v>136.80000000000001</v>
      </c>
      <c r="G167" s="18"/>
      <c r="H167" s="17" t="s">
        <v>24</v>
      </c>
      <c r="I167" s="19" t="s">
        <v>19</v>
      </c>
      <c r="J167" s="19"/>
      <c r="K167" s="20" t="s">
        <v>12</v>
      </c>
      <c r="L167" s="21">
        <v>78467.899999999994</v>
      </c>
    </row>
    <row r="168" spans="1:12" ht="71.400000000000006" hidden="1" x14ac:dyDescent="0.3">
      <c r="A168" s="15" t="s">
        <v>220</v>
      </c>
      <c r="B168" s="16" t="s">
        <v>229</v>
      </c>
      <c r="C168" s="16" t="s">
        <v>230</v>
      </c>
      <c r="D168" s="16" t="s">
        <v>222</v>
      </c>
      <c r="E168" s="17" t="s">
        <v>17</v>
      </c>
      <c r="F168" s="23" t="s">
        <v>19</v>
      </c>
      <c r="G168" s="23"/>
      <c r="H168" s="17" t="s">
        <v>17</v>
      </c>
      <c r="I168" s="25">
        <v>167</v>
      </c>
      <c r="J168" s="25"/>
      <c r="K168" s="20" t="s">
        <v>12</v>
      </c>
      <c r="L168" s="21">
        <v>78300.899999999994</v>
      </c>
    </row>
    <row r="169" spans="1:12" ht="61.2" hidden="1" x14ac:dyDescent="0.3">
      <c r="A169" s="15" t="s">
        <v>220</v>
      </c>
      <c r="B169" s="16" t="s">
        <v>229</v>
      </c>
      <c r="C169" s="16" t="s">
        <v>231</v>
      </c>
      <c r="D169" s="16" t="s">
        <v>226</v>
      </c>
      <c r="E169" s="17" t="s">
        <v>17</v>
      </c>
      <c r="F169" s="23" t="s">
        <v>19</v>
      </c>
      <c r="G169" s="23"/>
      <c r="H169" s="17" t="s">
        <v>17</v>
      </c>
      <c r="I169" s="25">
        <v>294</v>
      </c>
      <c r="J169" s="25"/>
      <c r="K169" s="20" t="s">
        <v>12</v>
      </c>
      <c r="L169" s="21">
        <v>78006.899999999994</v>
      </c>
    </row>
    <row r="170" spans="1:12" ht="71.400000000000006" hidden="1" x14ac:dyDescent="0.3">
      <c r="A170" s="15" t="s">
        <v>220</v>
      </c>
      <c r="B170" s="16" t="s">
        <v>229</v>
      </c>
      <c r="C170" s="16" t="s">
        <v>232</v>
      </c>
      <c r="D170" s="16" t="s">
        <v>227</v>
      </c>
      <c r="E170" s="17" t="s">
        <v>17</v>
      </c>
      <c r="F170" s="23" t="s">
        <v>19</v>
      </c>
      <c r="G170" s="23"/>
      <c r="H170" s="17" t="s">
        <v>17</v>
      </c>
      <c r="I170" s="25">
        <v>151</v>
      </c>
      <c r="J170" s="25"/>
      <c r="K170" s="20" t="s">
        <v>12</v>
      </c>
      <c r="L170" s="21">
        <v>77855.899999999994</v>
      </c>
    </row>
    <row r="171" spans="1:12" ht="61.2" hidden="1" x14ac:dyDescent="0.3">
      <c r="A171" s="15" t="s">
        <v>220</v>
      </c>
      <c r="B171" s="16" t="s">
        <v>229</v>
      </c>
      <c r="C171" s="16" t="s">
        <v>233</v>
      </c>
      <c r="D171" s="16" t="s">
        <v>228</v>
      </c>
      <c r="E171" s="17" t="s">
        <v>17</v>
      </c>
      <c r="F171" s="23" t="s">
        <v>19</v>
      </c>
      <c r="G171" s="23"/>
      <c r="H171" s="17" t="s">
        <v>17</v>
      </c>
      <c r="I171" s="25">
        <v>136.80000000000001</v>
      </c>
      <c r="J171" s="25"/>
      <c r="K171" s="20" t="s">
        <v>12</v>
      </c>
      <c r="L171" s="21">
        <v>77719.100000000006</v>
      </c>
    </row>
    <row r="172" spans="1:12" ht="71.400000000000006" hidden="1" x14ac:dyDescent="0.3">
      <c r="A172" s="15" t="s">
        <v>220</v>
      </c>
      <c r="B172" s="16" t="s">
        <v>234</v>
      </c>
      <c r="C172" s="16" t="s">
        <v>235</v>
      </c>
      <c r="D172" s="16" t="s">
        <v>222</v>
      </c>
      <c r="E172" s="17" t="s">
        <v>17</v>
      </c>
      <c r="F172" s="23" t="s">
        <v>19</v>
      </c>
      <c r="G172" s="23"/>
      <c r="H172" s="17" t="s">
        <v>17</v>
      </c>
      <c r="I172" s="25">
        <v>167</v>
      </c>
      <c r="J172" s="25"/>
      <c r="K172" s="20" t="s">
        <v>12</v>
      </c>
      <c r="L172" s="21">
        <v>77552.100000000006</v>
      </c>
    </row>
    <row r="173" spans="1:12" ht="61.2" hidden="1" x14ac:dyDescent="0.3">
      <c r="A173" s="15" t="s">
        <v>220</v>
      </c>
      <c r="B173" s="16" t="s">
        <v>234</v>
      </c>
      <c r="C173" s="16" t="s">
        <v>236</v>
      </c>
      <c r="D173" s="16" t="s">
        <v>226</v>
      </c>
      <c r="E173" s="17" t="s">
        <v>17</v>
      </c>
      <c r="F173" s="23" t="s">
        <v>19</v>
      </c>
      <c r="G173" s="23"/>
      <c r="H173" s="17" t="s">
        <v>17</v>
      </c>
      <c r="I173" s="25">
        <v>294</v>
      </c>
      <c r="J173" s="25"/>
      <c r="K173" s="20" t="s">
        <v>12</v>
      </c>
      <c r="L173" s="21">
        <v>77258.100000000006</v>
      </c>
    </row>
    <row r="174" spans="1:12" ht="71.400000000000006" hidden="1" x14ac:dyDescent="0.3">
      <c r="A174" s="15" t="s">
        <v>220</v>
      </c>
      <c r="B174" s="16" t="s">
        <v>234</v>
      </c>
      <c r="C174" s="16" t="s">
        <v>237</v>
      </c>
      <c r="D174" s="16" t="s">
        <v>227</v>
      </c>
      <c r="E174" s="17" t="s">
        <v>17</v>
      </c>
      <c r="F174" s="23" t="s">
        <v>19</v>
      </c>
      <c r="G174" s="23"/>
      <c r="H174" s="17" t="s">
        <v>17</v>
      </c>
      <c r="I174" s="25">
        <v>151</v>
      </c>
      <c r="J174" s="25"/>
      <c r="K174" s="20" t="s">
        <v>12</v>
      </c>
      <c r="L174" s="21">
        <v>77107.100000000006</v>
      </c>
    </row>
    <row r="175" spans="1:12" ht="71.400000000000006" hidden="1" x14ac:dyDescent="0.3">
      <c r="A175" s="15" t="s">
        <v>220</v>
      </c>
      <c r="B175" s="16" t="s">
        <v>238</v>
      </c>
      <c r="C175" s="16" t="s">
        <v>239</v>
      </c>
      <c r="D175" s="16" t="s">
        <v>224</v>
      </c>
      <c r="E175" s="17" t="s">
        <v>17</v>
      </c>
      <c r="F175" s="23" t="s">
        <v>19</v>
      </c>
      <c r="G175" s="23"/>
      <c r="H175" s="17" t="s">
        <v>17</v>
      </c>
      <c r="I175" s="24">
        <v>6084.5</v>
      </c>
      <c r="J175" s="24"/>
      <c r="K175" s="20" t="s">
        <v>12</v>
      </c>
      <c r="L175" s="21">
        <v>71022.600000000006</v>
      </c>
    </row>
    <row r="176" spans="1:12" ht="71.400000000000006" hidden="1" x14ac:dyDescent="0.3">
      <c r="A176" s="15" t="s">
        <v>220</v>
      </c>
      <c r="B176" s="16" t="s">
        <v>238</v>
      </c>
      <c r="C176" s="16" t="s">
        <v>240</v>
      </c>
      <c r="D176" s="16" t="s">
        <v>225</v>
      </c>
      <c r="E176" s="17" t="s">
        <v>17</v>
      </c>
      <c r="F176" s="23" t="s">
        <v>19</v>
      </c>
      <c r="G176" s="23"/>
      <c r="H176" s="17" t="s">
        <v>17</v>
      </c>
      <c r="I176" s="24">
        <v>2524</v>
      </c>
      <c r="J176" s="24"/>
      <c r="K176" s="20" t="s">
        <v>12</v>
      </c>
      <c r="L176" s="21">
        <v>68498.600000000006</v>
      </c>
    </row>
    <row r="177" spans="1:12" ht="61.2" hidden="1" x14ac:dyDescent="0.3">
      <c r="A177" s="15" t="s">
        <v>220</v>
      </c>
      <c r="B177" s="16" t="s">
        <v>238</v>
      </c>
      <c r="C177" s="16" t="s">
        <v>241</v>
      </c>
      <c r="D177" s="16" t="s">
        <v>226</v>
      </c>
      <c r="E177" s="17" t="s">
        <v>17</v>
      </c>
      <c r="F177" s="23" t="s">
        <v>19</v>
      </c>
      <c r="G177" s="23"/>
      <c r="H177" s="17" t="s">
        <v>17</v>
      </c>
      <c r="I177" s="25">
        <v>294</v>
      </c>
      <c r="J177" s="25"/>
      <c r="K177" s="20" t="s">
        <v>12</v>
      </c>
      <c r="L177" s="21">
        <v>68204.600000000006</v>
      </c>
    </row>
    <row r="178" spans="1:12" ht="71.400000000000006" hidden="1" x14ac:dyDescent="0.3">
      <c r="A178" s="15" t="s">
        <v>220</v>
      </c>
      <c r="B178" s="16" t="s">
        <v>238</v>
      </c>
      <c r="C178" s="16" t="s">
        <v>242</v>
      </c>
      <c r="D178" s="16" t="s">
        <v>227</v>
      </c>
      <c r="E178" s="17" t="s">
        <v>17</v>
      </c>
      <c r="F178" s="23" t="s">
        <v>19</v>
      </c>
      <c r="G178" s="23"/>
      <c r="H178" s="17" t="s">
        <v>17</v>
      </c>
      <c r="I178" s="25">
        <v>151</v>
      </c>
      <c r="J178" s="25"/>
      <c r="K178" s="20" t="s">
        <v>12</v>
      </c>
      <c r="L178" s="21">
        <v>68053.600000000006</v>
      </c>
    </row>
    <row r="179" spans="1:12" ht="61.2" hidden="1" x14ac:dyDescent="0.3">
      <c r="A179" s="15" t="s">
        <v>220</v>
      </c>
      <c r="B179" s="16" t="s">
        <v>243</v>
      </c>
      <c r="C179" s="16" t="s">
        <v>244</v>
      </c>
      <c r="D179" s="16" t="s">
        <v>226</v>
      </c>
      <c r="E179" s="17" t="s">
        <v>17</v>
      </c>
      <c r="F179" s="23" t="s">
        <v>19</v>
      </c>
      <c r="G179" s="23"/>
      <c r="H179" s="17" t="s">
        <v>17</v>
      </c>
      <c r="I179" s="25">
        <v>294</v>
      </c>
      <c r="J179" s="25"/>
      <c r="K179" s="20" t="s">
        <v>12</v>
      </c>
      <c r="L179" s="21">
        <v>67759.600000000006</v>
      </c>
    </row>
    <row r="180" spans="1:12" ht="71.400000000000006" hidden="1" x14ac:dyDescent="0.3">
      <c r="A180" s="15" t="s">
        <v>220</v>
      </c>
      <c r="B180" s="16" t="s">
        <v>243</v>
      </c>
      <c r="C180" s="16" t="s">
        <v>245</v>
      </c>
      <c r="D180" s="16" t="s">
        <v>227</v>
      </c>
      <c r="E180" s="17" t="s">
        <v>17</v>
      </c>
      <c r="F180" s="23" t="s">
        <v>19</v>
      </c>
      <c r="G180" s="23"/>
      <c r="H180" s="17" t="s">
        <v>17</v>
      </c>
      <c r="I180" s="25">
        <v>151</v>
      </c>
      <c r="J180" s="25"/>
      <c r="K180" s="20" t="s">
        <v>12</v>
      </c>
      <c r="L180" s="21">
        <v>67608.600000000006</v>
      </c>
    </row>
    <row r="181" spans="1:12" ht="81.599999999999994" hidden="1" x14ac:dyDescent="0.3">
      <c r="A181" s="15" t="s">
        <v>220</v>
      </c>
      <c r="B181" s="16" t="s">
        <v>246</v>
      </c>
      <c r="C181" s="16" t="s">
        <v>247</v>
      </c>
      <c r="D181" s="16" t="s">
        <v>226</v>
      </c>
      <c r="E181" s="17" t="s">
        <v>17</v>
      </c>
      <c r="F181" s="23" t="s">
        <v>19</v>
      </c>
      <c r="G181" s="23"/>
      <c r="H181" s="17" t="s">
        <v>17</v>
      </c>
      <c r="I181" s="25">
        <v>294</v>
      </c>
      <c r="J181" s="25"/>
      <c r="K181" s="20" t="s">
        <v>12</v>
      </c>
      <c r="L181" s="21">
        <v>67314.600000000006</v>
      </c>
    </row>
    <row r="182" spans="1:12" ht="91.8" hidden="1" x14ac:dyDescent="0.3">
      <c r="A182" s="15" t="s">
        <v>220</v>
      </c>
      <c r="B182" s="16" t="s">
        <v>246</v>
      </c>
      <c r="C182" s="16" t="s">
        <v>248</v>
      </c>
      <c r="D182" s="16" t="s">
        <v>227</v>
      </c>
      <c r="E182" s="17" t="s">
        <v>17</v>
      </c>
      <c r="F182" s="23" t="s">
        <v>19</v>
      </c>
      <c r="G182" s="23"/>
      <c r="H182" s="17" t="s">
        <v>17</v>
      </c>
      <c r="I182" s="25">
        <v>151</v>
      </c>
      <c r="J182" s="25"/>
      <c r="K182" s="20" t="s">
        <v>12</v>
      </c>
      <c r="L182" s="21">
        <v>67163.600000000006</v>
      </c>
    </row>
    <row r="183" spans="1:12" hidden="1" x14ac:dyDescent="0.3">
      <c r="A183" s="26" t="s">
        <v>249</v>
      </c>
      <c r="B183" s="26"/>
      <c r="C183" s="26"/>
      <c r="D183" s="26"/>
      <c r="E183" s="27">
        <v>66554.600000000006</v>
      </c>
      <c r="F183" s="27"/>
      <c r="G183" s="27"/>
      <c r="H183" s="27">
        <v>124385.56</v>
      </c>
      <c r="I183" s="27"/>
      <c r="J183" s="27"/>
      <c r="K183" s="28" t="s">
        <v>12</v>
      </c>
      <c r="L183" s="29">
        <v>67163.600000000006</v>
      </c>
    </row>
    <row r="185" spans="1:12" x14ac:dyDescent="0.3">
      <c r="J185">
        <f>SUBTOTAL(9,I45:J161)</f>
        <v>62014.51</v>
      </c>
    </row>
  </sheetData>
  <autoFilter ref="A1:L183">
    <filterColumn colId="1">
      <filters>
        <filter val="Передача малоцінних активів в експлуатацію ІБ00-000105 від 18.03.2025 15:00:00_x000a_Списание стоимости малоценных активов"/>
        <filter val="Передача малоцінних активів в експлуатацію ІБ00-000106 від 18.03.2025 15:03:46_x000a_Списание стоимости малоценных активов"/>
        <filter val="Передача малоцінних активів в експлуатацію ІБ00-000119 від 26.03.2025 14:10:46_x000a_Списание стоимости малоценных активов"/>
        <filter val="Передача малоцінних активів в експлуатацію ІБ00-000121 від 26.03.2025 14:59:15_x000a_Списание стоимости малоценных активов"/>
        <filter val="Передача малоцінних активів в експлуатацію ІБ00-000123 від 26.03.2025 15:18:28_x000a_Списание стоимости малоценных активов"/>
        <filter val="Передача малоцінних активів в експлуатацію ІБ00-000124 від 26.03.2025 16:25:48_x000a_Списание стоимости малоценных активов"/>
        <filter val="Передача малоцінних активів в експлуатацію ІБ00-000125 від 26.03.2025 16:38:39_x000a_Списание стоимости малоценных активов"/>
        <filter val="Передача малоцінних активів в експлуатацію ІБ00-000128 від 27.03.2025 14:24:32_x000a_Списание стоимости малоценных активов"/>
        <filter val="Передача малоцінних активів в експлуатацію ІБ00-000130 від 28.03.2025 08:21:52_x000a_Списание стоимости малоценных активов"/>
        <filter val="Передача малоцінних активів в експлуатацію ІБ00-000139 від 28.03.2025 20:00:02_x000a_Списание стоимости малоценных активов"/>
        <filter val="Передача малоцінних активів в експлуатацію ІБ00-000140 від 28.03.2025 20:00:06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72">
    <mergeCell ref="F181:G181"/>
    <mergeCell ref="I181:J181"/>
    <mergeCell ref="F182:G182"/>
    <mergeCell ref="I182:J182"/>
    <mergeCell ref="A183:D183"/>
    <mergeCell ref="E183:G183"/>
    <mergeCell ref="H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4"/>
  <sheetViews>
    <sheetView topLeftCell="A33" workbookViewId="0">
      <selection activeCell="J45" sqref="J45"/>
    </sheetView>
  </sheetViews>
  <sheetFormatPr defaultRowHeight="14.4" x14ac:dyDescent="0.3"/>
  <cols>
    <col min="2" max="4" width="24.77734375" customWidth="1"/>
  </cols>
  <sheetData>
    <row r="1" spans="1:12" x14ac:dyDescent="0.3">
      <c r="A1" s="30" t="s">
        <v>4</v>
      </c>
      <c r="B1" s="31" t="s">
        <v>5</v>
      </c>
      <c r="C1" s="31" t="s">
        <v>6</v>
      </c>
      <c r="D1" s="32" t="s">
        <v>7</v>
      </c>
      <c r="E1" s="33" t="s">
        <v>8</v>
      </c>
      <c r="F1" s="33"/>
      <c r="G1" s="33"/>
      <c r="H1" s="34" t="s">
        <v>9</v>
      </c>
      <c r="I1" s="34"/>
      <c r="J1" s="34"/>
      <c r="K1" s="31" t="s">
        <v>10</v>
      </c>
      <c r="L1" s="31"/>
    </row>
    <row r="2" spans="1:12" hidden="1" x14ac:dyDescent="0.3">
      <c r="A2" s="35"/>
      <c r="B2" s="36"/>
      <c r="C2" s="36"/>
      <c r="D2" s="37"/>
      <c r="E2" s="38" t="s">
        <v>11</v>
      </c>
      <c r="F2" s="39"/>
      <c r="G2" s="39"/>
      <c r="H2" s="40" t="s">
        <v>11</v>
      </c>
      <c r="I2" s="41"/>
      <c r="J2" s="41"/>
      <c r="K2" s="35"/>
      <c r="L2" s="42"/>
    </row>
    <row r="3" spans="1:12" ht="61.2" hidden="1" x14ac:dyDescent="0.3">
      <c r="A3" s="43" t="s">
        <v>20</v>
      </c>
      <c r="B3" s="44" t="s">
        <v>251</v>
      </c>
      <c r="C3" s="44" t="s">
        <v>252</v>
      </c>
      <c r="D3" s="44" t="s">
        <v>253</v>
      </c>
      <c r="E3" s="45" t="s">
        <v>17</v>
      </c>
      <c r="F3" s="46">
        <v>367</v>
      </c>
      <c r="G3" s="46"/>
      <c r="H3" s="45" t="s">
        <v>24</v>
      </c>
      <c r="I3" s="47" t="s">
        <v>19</v>
      </c>
      <c r="J3" s="47"/>
      <c r="K3" s="48" t="s">
        <v>12</v>
      </c>
      <c r="L3" s="49">
        <v>9112</v>
      </c>
    </row>
    <row r="4" spans="1:12" ht="61.2" hidden="1" x14ac:dyDescent="0.3">
      <c r="A4" s="43" t="s">
        <v>20</v>
      </c>
      <c r="B4" s="44" t="s">
        <v>251</v>
      </c>
      <c r="C4" s="44" t="s">
        <v>254</v>
      </c>
      <c r="D4" s="44" t="s">
        <v>253</v>
      </c>
      <c r="E4" s="45" t="s">
        <v>17</v>
      </c>
      <c r="F4" s="46">
        <v>100</v>
      </c>
      <c r="G4" s="46"/>
      <c r="H4" s="45" t="s">
        <v>24</v>
      </c>
      <c r="I4" s="47" t="s">
        <v>19</v>
      </c>
      <c r="J4" s="47"/>
      <c r="K4" s="48" t="s">
        <v>12</v>
      </c>
      <c r="L4" s="49">
        <v>9212</v>
      </c>
    </row>
    <row r="5" spans="1:12" ht="61.2" hidden="1" x14ac:dyDescent="0.3">
      <c r="A5" s="43" t="s">
        <v>20</v>
      </c>
      <c r="B5" s="44" t="s">
        <v>251</v>
      </c>
      <c r="C5" s="44" t="s">
        <v>255</v>
      </c>
      <c r="D5" s="44" t="s">
        <v>253</v>
      </c>
      <c r="E5" s="45" t="s">
        <v>17</v>
      </c>
      <c r="F5" s="46">
        <v>694.3</v>
      </c>
      <c r="G5" s="46"/>
      <c r="H5" s="45" t="s">
        <v>24</v>
      </c>
      <c r="I5" s="47" t="s">
        <v>19</v>
      </c>
      <c r="J5" s="47"/>
      <c r="K5" s="48" t="s">
        <v>12</v>
      </c>
      <c r="L5" s="49">
        <v>9906.2999999999993</v>
      </c>
    </row>
    <row r="6" spans="1:12" ht="61.2" hidden="1" x14ac:dyDescent="0.3">
      <c r="A6" s="43" t="s">
        <v>256</v>
      </c>
      <c r="B6" s="44" t="s">
        <v>257</v>
      </c>
      <c r="C6" s="44" t="s">
        <v>258</v>
      </c>
      <c r="D6" s="44" t="s">
        <v>259</v>
      </c>
      <c r="E6" s="45" t="s">
        <v>17</v>
      </c>
      <c r="F6" s="46">
        <v>322.69</v>
      </c>
      <c r="G6" s="46"/>
      <c r="H6" s="45" t="s">
        <v>24</v>
      </c>
      <c r="I6" s="47" t="s">
        <v>19</v>
      </c>
      <c r="J6" s="47"/>
      <c r="K6" s="48" t="s">
        <v>12</v>
      </c>
      <c r="L6" s="49">
        <v>10228.99</v>
      </c>
    </row>
    <row r="7" spans="1:12" ht="51" hidden="1" x14ac:dyDescent="0.3">
      <c r="A7" s="43" t="s">
        <v>26</v>
      </c>
      <c r="B7" s="44" t="s">
        <v>43</v>
      </c>
      <c r="C7" s="44" t="s">
        <v>44</v>
      </c>
      <c r="D7" s="44" t="s">
        <v>32</v>
      </c>
      <c r="E7" s="45" t="s">
        <v>17</v>
      </c>
      <c r="F7" s="46">
        <v>667.5</v>
      </c>
      <c r="G7" s="46"/>
      <c r="H7" s="45" t="s">
        <v>17</v>
      </c>
      <c r="I7" s="47" t="s">
        <v>19</v>
      </c>
      <c r="J7" s="47"/>
      <c r="K7" s="48" t="s">
        <v>12</v>
      </c>
      <c r="L7" s="49">
        <v>10896.49</v>
      </c>
    </row>
    <row r="8" spans="1:12" ht="51" hidden="1" x14ac:dyDescent="0.3">
      <c r="A8" s="43" t="s">
        <v>51</v>
      </c>
      <c r="B8" s="44" t="s">
        <v>74</v>
      </c>
      <c r="C8" s="44" t="s">
        <v>75</v>
      </c>
      <c r="D8" s="44" t="s">
        <v>68</v>
      </c>
      <c r="E8" s="45" t="s">
        <v>17</v>
      </c>
      <c r="F8" s="50">
        <v>1025</v>
      </c>
      <c r="G8" s="50"/>
      <c r="H8" s="45" t="s">
        <v>17</v>
      </c>
      <c r="I8" s="47" t="s">
        <v>19</v>
      </c>
      <c r="J8" s="47"/>
      <c r="K8" s="48" t="s">
        <v>12</v>
      </c>
      <c r="L8" s="49">
        <v>11921.49</v>
      </c>
    </row>
    <row r="9" spans="1:12" ht="51" hidden="1" x14ac:dyDescent="0.3">
      <c r="A9" s="43" t="s">
        <v>76</v>
      </c>
      <c r="B9" s="44" t="s">
        <v>260</v>
      </c>
      <c r="C9" s="44" t="s">
        <v>261</v>
      </c>
      <c r="D9" s="44" t="s">
        <v>29</v>
      </c>
      <c r="E9" s="45" t="s">
        <v>17</v>
      </c>
      <c r="F9" s="46">
        <v>222.5</v>
      </c>
      <c r="G9" s="46"/>
      <c r="H9" s="45" t="s">
        <v>24</v>
      </c>
      <c r="I9" s="47" t="s">
        <v>19</v>
      </c>
      <c r="J9" s="47"/>
      <c r="K9" s="48" t="s">
        <v>12</v>
      </c>
      <c r="L9" s="49">
        <v>12143.99</v>
      </c>
    </row>
    <row r="10" spans="1:12" ht="61.2" hidden="1" x14ac:dyDescent="0.3">
      <c r="A10" s="43" t="s">
        <v>262</v>
      </c>
      <c r="B10" s="44" t="s">
        <v>263</v>
      </c>
      <c r="C10" s="44" t="s">
        <v>264</v>
      </c>
      <c r="D10" s="44" t="s">
        <v>265</v>
      </c>
      <c r="E10" s="45" t="s">
        <v>17</v>
      </c>
      <c r="F10" s="50">
        <v>2050</v>
      </c>
      <c r="G10" s="50"/>
      <c r="H10" s="45" t="s">
        <v>24</v>
      </c>
      <c r="I10" s="47" t="s">
        <v>19</v>
      </c>
      <c r="J10" s="47"/>
      <c r="K10" s="48" t="s">
        <v>12</v>
      </c>
      <c r="L10" s="49">
        <v>14193.99</v>
      </c>
    </row>
    <row r="11" spans="1:12" ht="51" hidden="1" x14ac:dyDescent="0.3">
      <c r="A11" s="43" t="s">
        <v>266</v>
      </c>
      <c r="B11" s="44" t="s">
        <v>267</v>
      </c>
      <c r="C11" s="44" t="s">
        <v>268</v>
      </c>
      <c r="D11" s="44" t="s">
        <v>269</v>
      </c>
      <c r="E11" s="45" t="s">
        <v>17</v>
      </c>
      <c r="F11" s="46">
        <v>988.35</v>
      </c>
      <c r="G11" s="46"/>
      <c r="H11" s="45" t="s">
        <v>24</v>
      </c>
      <c r="I11" s="47" t="s">
        <v>19</v>
      </c>
      <c r="J11" s="47"/>
      <c r="K11" s="48" t="s">
        <v>12</v>
      </c>
      <c r="L11" s="49">
        <v>15182.34</v>
      </c>
    </row>
    <row r="12" spans="1:12" ht="61.2" hidden="1" x14ac:dyDescent="0.3">
      <c r="A12" s="43" t="s">
        <v>106</v>
      </c>
      <c r="B12" s="44" t="s">
        <v>175</v>
      </c>
      <c r="C12" s="44" t="s">
        <v>176</v>
      </c>
      <c r="D12" s="44" t="s">
        <v>108</v>
      </c>
      <c r="E12" s="45" t="s">
        <v>17</v>
      </c>
      <c r="F12" s="46">
        <v>145.25</v>
      </c>
      <c r="G12" s="46"/>
      <c r="H12" s="45" t="s">
        <v>17</v>
      </c>
      <c r="I12" s="47" t="s">
        <v>19</v>
      </c>
      <c r="J12" s="47"/>
      <c r="K12" s="48" t="s">
        <v>12</v>
      </c>
      <c r="L12" s="49">
        <v>15327.59</v>
      </c>
    </row>
    <row r="13" spans="1:12" ht="51" hidden="1" x14ac:dyDescent="0.3">
      <c r="A13" s="43" t="s">
        <v>106</v>
      </c>
      <c r="B13" s="44" t="s">
        <v>175</v>
      </c>
      <c r="C13" s="44" t="s">
        <v>177</v>
      </c>
      <c r="D13" s="44" t="s">
        <v>110</v>
      </c>
      <c r="E13" s="45" t="s">
        <v>17</v>
      </c>
      <c r="F13" s="50">
        <v>1061</v>
      </c>
      <c r="G13" s="50"/>
      <c r="H13" s="45" t="s">
        <v>17</v>
      </c>
      <c r="I13" s="47" t="s">
        <v>19</v>
      </c>
      <c r="J13" s="47"/>
      <c r="K13" s="48" t="s">
        <v>12</v>
      </c>
      <c r="L13" s="49">
        <v>16388.59</v>
      </c>
    </row>
    <row r="14" spans="1:12" ht="51" hidden="1" x14ac:dyDescent="0.3">
      <c r="A14" s="43" t="s">
        <v>106</v>
      </c>
      <c r="B14" s="44" t="s">
        <v>175</v>
      </c>
      <c r="C14" s="44" t="s">
        <v>178</v>
      </c>
      <c r="D14" s="44" t="s">
        <v>111</v>
      </c>
      <c r="E14" s="45" t="s">
        <v>17</v>
      </c>
      <c r="F14" s="46">
        <v>61.7</v>
      </c>
      <c r="G14" s="46"/>
      <c r="H14" s="45" t="s">
        <v>17</v>
      </c>
      <c r="I14" s="47" t="s">
        <v>19</v>
      </c>
      <c r="J14" s="47"/>
      <c r="K14" s="48" t="s">
        <v>12</v>
      </c>
      <c r="L14" s="49">
        <v>16450.29</v>
      </c>
    </row>
    <row r="15" spans="1:12" ht="51" hidden="1" x14ac:dyDescent="0.3">
      <c r="A15" s="43" t="s">
        <v>106</v>
      </c>
      <c r="B15" s="44" t="s">
        <v>175</v>
      </c>
      <c r="C15" s="44" t="s">
        <v>179</v>
      </c>
      <c r="D15" s="44" t="s">
        <v>112</v>
      </c>
      <c r="E15" s="45" t="s">
        <v>17</v>
      </c>
      <c r="F15" s="46">
        <v>136.5</v>
      </c>
      <c r="G15" s="46"/>
      <c r="H15" s="45" t="s">
        <v>17</v>
      </c>
      <c r="I15" s="47" t="s">
        <v>19</v>
      </c>
      <c r="J15" s="47"/>
      <c r="K15" s="48" t="s">
        <v>12</v>
      </c>
      <c r="L15" s="49">
        <v>16586.79</v>
      </c>
    </row>
    <row r="16" spans="1:12" ht="61.2" hidden="1" x14ac:dyDescent="0.3">
      <c r="A16" s="43" t="s">
        <v>106</v>
      </c>
      <c r="B16" s="44" t="s">
        <v>175</v>
      </c>
      <c r="C16" s="44" t="s">
        <v>180</v>
      </c>
      <c r="D16" s="44" t="s">
        <v>113</v>
      </c>
      <c r="E16" s="45" t="s">
        <v>17</v>
      </c>
      <c r="F16" s="46">
        <v>294</v>
      </c>
      <c r="G16" s="46"/>
      <c r="H16" s="45" t="s">
        <v>17</v>
      </c>
      <c r="I16" s="47" t="s">
        <v>19</v>
      </c>
      <c r="J16" s="47"/>
      <c r="K16" s="48" t="s">
        <v>12</v>
      </c>
      <c r="L16" s="49">
        <v>16880.79</v>
      </c>
    </row>
    <row r="17" spans="1:12" ht="61.2" hidden="1" x14ac:dyDescent="0.3">
      <c r="A17" s="43" t="s">
        <v>106</v>
      </c>
      <c r="B17" s="44" t="s">
        <v>175</v>
      </c>
      <c r="C17" s="44" t="s">
        <v>181</v>
      </c>
      <c r="D17" s="44" t="s">
        <v>114</v>
      </c>
      <c r="E17" s="45" t="s">
        <v>17</v>
      </c>
      <c r="F17" s="46">
        <v>193.35</v>
      </c>
      <c r="G17" s="46"/>
      <c r="H17" s="45" t="s">
        <v>17</v>
      </c>
      <c r="I17" s="47" t="s">
        <v>19</v>
      </c>
      <c r="J17" s="47"/>
      <c r="K17" s="48" t="s">
        <v>12</v>
      </c>
      <c r="L17" s="49">
        <v>17074.14</v>
      </c>
    </row>
    <row r="18" spans="1:12" ht="51" hidden="1" x14ac:dyDescent="0.3">
      <c r="A18" s="43" t="s">
        <v>106</v>
      </c>
      <c r="B18" s="44" t="s">
        <v>175</v>
      </c>
      <c r="C18" s="44" t="s">
        <v>182</v>
      </c>
      <c r="D18" s="44" t="s">
        <v>115</v>
      </c>
      <c r="E18" s="45" t="s">
        <v>17</v>
      </c>
      <c r="F18" s="46">
        <v>64.2</v>
      </c>
      <c r="G18" s="46"/>
      <c r="H18" s="45" t="s">
        <v>17</v>
      </c>
      <c r="I18" s="47" t="s">
        <v>19</v>
      </c>
      <c r="J18" s="47"/>
      <c r="K18" s="48" t="s">
        <v>12</v>
      </c>
      <c r="L18" s="49">
        <v>17138.34</v>
      </c>
    </row>
    <row r="19" spans="1:12" ht="51" hidden="1" x14ac:dyDescent="0.3">
      <c r="A19" s="43" t="s">
        <v>106</v>
      </c>
      <c r="B19" s="44" t="s">
        <v>175</v>
      </c>
      <c r="C19" s="44" t="s">
        <v>183</v>
      </c>
      <c r="D19" s="44" t="s">
        <v>117</v>
      </c>
      <c r="E19" s="45" t="s">
        <v>17</v>
      </c>
      <c r="F19" s="46">
        <v>100</v>
      </c>
      <c r="G19" s="46"/>
      <c r="H19" s="45" t="s">
        <v>17</v>
      </c>
      <c r="I19" s="47" t="s">
        <v>19</v>
      </c>
      <c r="J19" s="47"/>
      <c r="K19" s="48" t="s">
        <v>12</v>
      </c>
      <c r="L19" s="49">
        <v>17238.34</v>
      </c>
    </row>
    <row r="20" spans="1:12" ht="51" hidden="1" x14ac:dyDescent="0.3">
      <c r="A20" s="43" t="s">
        <v>106</v>
      </c>
      <c r="B20" s="44" t="s">
        <v>175</v>
      </c>
      <c r="C20" s="44" t="s">
        <v>184</v>
      </c>
      <c r="D20" s="44" t="s">
        <v>118</v>
      </c>
      <c r="E20" s="45" t="s">
        <v>17</v>
      </c>
      <c r="F20" s="46">
        <v>93.6</v>
      </c>
      <c r="G20" s="46"/>
      <c r="H20" s="45" t="s">
        <v>17</v>
      </c>
      <c r="I20" s="47" t="s">
        <v>19</v>
      </c>
      <c r="J20" s="47"/>
      <c r="K20" s="48" t="s">
        <v>12</v>
      </c>
      <c r="L20" s="49">
        <v>17331.939999999999</v>
      </c>
    </row>
    <row r="21" spans="1:12" ht="61.2" hidden="1" x14ac:dyDescent="0.3">
      <c r="A21" s="43" t="s">
        <v>106</v>
      </c>
      <c r="B21" s="44" t="s">
        <v>175</v>
      </c>
      <c r="C21" s="44" t="s">
        <v>185</v>
      </c>
      <c r="D21" s="44" t="s">
        <v>121</v>
      </c>
      <c r="E21" s="45" t="s">
        <v>17</v>
      </c>
      <c r="F21" s="46">
        <v>170</v>
      </c>
      <c r="G21" s="46"/>
      <c r="H21" s="45" t="s">
        <v>17</v>
      </c>
      <c r="I21" s="47" t="s">
        <v>19</v>
      </c>
      <c r="J21" s="47"/>
      <c r="K21" s="48" t="s">
        <v>12</v>
      </c>
      <c r="L21" s="49">
        <v>17501.939999999999</v>
      </c>
    </row>
    <row r="22" spans="1:12" ht="61.2" hidden="1" x14ac:dyDescent="0.3">
      <c r="A22" s="43" t="s">
        <v>106</v>
      </c>
      <c r="B22" s="44" t="s">
        <v>175</v>
      </c>
      <c r="C22" s="44" t="s">
        <v>186</v>
      </c>
      <c r="D22" s="44" t="s">
        <v>122</v>
      </c>
      <c r="E22" s="45" t="s">
        <v>17</v>
      </c>
      <c r="F22" s="46">
        <v>213.25</v>
      </c>
      <c r="G22" s="46"/>
      <c r="H22" s="45" t="s">
        <v>17</v>
      </c>
      <c r="I22" s="47" t="s">
        <v>19</v>
      </c>
      <c r="J22" s="47"/>
      <c r="K22" s="48" t="s">
        <v>12</v>
      </c>
      <c r="L22" s="49">
        <v>17715.189999999999</v>
      </c>
    </row>
    <row r="23" spans="1:12" ht="51" hidden="1" x14ac:dyDescent="0.3">
      <c r="A23" s="43" t="s">
        <v>106</v>
      </c>
      <c r="B23" s="44" t="s">
        <v>175</v>
      </c>
      <c r="C23" s="44" t="s">
        <v>187</v>
      </c>
      <c r="D23" s="44" t="s">
        <v>123</v>
      </c>
      <c r="E23" s="45" t="s">
        <v>17</v>
      </c>
      <c r="F23" s="50">
        <v>1065.9000000000001</v>
      </c>
      <c r="G23" s="50"/>
      <c r="H23" s="45" t="s">
        <v>17</v>
      </c>
      <c r="I23" s="47" t="s">
        <v>19</v>
      </c>
      <c r="J23" s="47"/>
      <c r="K23" s="48" t="s">
        <v>12</v>
      </c>
      <c r="L23" s="49">
        <v>18781.09</v>
      </c>
    </row>
    <row r="24" spans="1:12" ht="51" hidden="1" x14ac:dyDescent="0.3">
      <c r="A24" s="43" t="s">
        <v>106</v>
      </c>
      <c r="B24" s="44" t="s">
        <v>175</v>
      </c>
      <c r="C24" s="44" t="s">
        <v>188</v>
      </c>
      <c r="D24" s="44" t="s">
        <v>124</v>
      </c>
      <c r="E24" s="45" t="s">
        <v>17</v>
      </c>
      <c r="F24" s="46">
        <v>198.15</v>
      </c>
      <c r="G24" s="46"/>
      <c r="H24" s="45" t="s">
        <v>17</v>
      </c>
      <c r="I24" s="47" t="s">
        <v>19</v>
      </c>
      <c r="J24" s="47"/>
      <c r="K24" s="48" t="s">
        <v>12</v>
      </c>
      <c r="L24" s="49">
        <v>18979.240000000002</v>
      </c>
    </row>
    <row r="25" spans="1:12" ht="51" x14ac:dyDescent="0.3">
      <c r="A25" s="43" t="s">
        <v>196</v>
      </c>
      <c r="B25" s="44" t="s">
        <v>270</v>
      </c>
      <c r="C25" s="44" t="s">
        <v>96</v>
      </c>
      <c r="D25" s="44" t="s">
        <v>44</v>
      </c>
      <c r="E25" s="45" t="s">
        <v>97</v>
      </c>
      <c r="F25" s="51" t="s">
        <v>19</v>
      </c>
      <c r="G25" s="51"/>
      <c r="H25" s="45" t="s">
        <v>17</v>
      </c>
      <c r="I25" s="52">
        <v>667.5</v>
      </c>
      <c r="J25" s="52"/>
      <c r="K25" s="48" t="s">
        <v>12</v>
      </c>
      <c r="L25" s="49">
        <v>18311.740000000002</v>
      </c>
    </row>
    <row r="26" spans="1:12" ht="51" x14ac:dyDescent="0.3">
      <c r="A26" s="43" t="s">
        <v>196</v>
      </c>
      <c r="B26" s="44" t="s">
        <v>270</v>
      </c>
      <c r="C26" s="44" t="s">
        <v>96</v>
      </c>
      <c r="D26" s="44" t="s">
        <v>271</v>
      </c>
      <c r="E26" s="45" t="s">
        <v>97</v>
      </c>
      <c r="F26" s="51" t="s">
        <v>19</v>
      </c>
      <c r="G26" s="51"/>
      <c r="H26" s="45" t="s">
        <v>17</v>
      </c>
      <c r="I26" s="53">
        <v>2112.75</v>
      </c>
      <c r="J26" s="53"/>
      <c r="K26" s="48" t="s">
        <v>12</v>
      </c>
      <c r="L26" s="49">
        <v>16198.99</v>
      </c>
    </row>
    <row r="27" spans="1:12" ht="61.2" x14ac:dyDescent="0.3">
      <c r="A27" s="43" t="s">
        <v>196</v>
      </c>
      <c r="B27" s="44" t="s">
        <v>270</v>
      </c>
      <c r="C27" s="44" t="s">
        <v>96</v>
      </c>
      <c r="D27" s="44" t="s">
        <v>272</v>
      </c>
      <c r="E27" s="45" t="s">
        <v>97</v>
      </c>
      <c r="F27" s="51" t="s">
        <v>19</v>
      </c>
      <c r="G27" s="51"/>
      <c r="H27" s="45" t="s">
        <v>17</v>
      </c>
      <c r="I27" s="52">
        <v>294</v>
      </c>
      <c r="J27" s="52"/>
      <c r="K27" s="48" t="s">
        <v>12</v>
      </c>
      <c r="L27" s="49">
        <v>15904.99</v>
      </c>
    </row>
    <row r="28" spans="1:12" ht="61.2" x14ac:dyDescent="0.3">
      <c r="A28" s="43" t="s">
        <v>196</v>
      </c>
      <c r="B28" s="44" t="s">
        <v>270</v>
      </c>
      <c r="C28" s="44" t="s">
        <v>96</v>
      </c>
      <c r="D28" s="44" t="s">
        <v>258</v>
      </c>
      <c r="E28" s="45" t="s">
        <v>97</v>
      </c>
      <c r="F28" s="51" t="s">
        <v>19</v>
      </c>
      <c r="G28" s="51"/>
      <c r="H28" s="45" t="s">
        <v>17</v>
      </c>
      <c r="I28" s="52">
        <v>322.69</v>
      </c>
      <c r="J28" s="52"/>
      <c r="K28" s="48" t="s">
        <v>12</v>
      </c>
      <c r="L28" s="49">
        <v>15582.3</v>
      </c>
    </row>
    <row r="29" spans="1:12" ht="51" x14ac:dyDescent="0.3">
      <c r="A29" s="43" t="s">
        <v>196</v>
      </c>
      <c r="B29" s="44" t="s">
        <v>270</v>
      </c>
      <c r="C29" s="44" t="s">
        <v>96</v>
      </c>
      <c r="D29" s="44" t="s">
        <v>254</v>
      </c>
      <c r="E29" s="45" t="s">
        <v>97</v>
      </c>
      <c r="F29" s="51" t="s">
        <v>19</v>
      </c>
      <c r="G29" s="51"/>
      <c r="H29" s="45" t="s">
        <v>17</v>
      </c>
      <c r="I29" s="52">
        <v>100</v>
      </c>
      <c r="J29" s="52"/>
      <c r="K29" s="48" t="s">
        <v>12</v>
      </c>
      <c r="L29" s="49">
        <v>15482.3</v>
      </c>
    </row>
    <row r="30" spans="1:12" ht="61.2" x14ac:dyDescent="0.3">
      <c r="A30" s="43" t="s">
        <v>196</v>
      </c>
      <c r="B30" s="44" t="s">
        <v>270</v>
      </c>
      <c r="C30" s="44" t="s">
        <v>96</v>
      </c>
      <c r="D30" s="44" t="s">
        <v>255</v>
      </c>
      <c r="E30" s="45" t="s">
        <v>97</v>
      </c>
      <c r="F30" s="51" t="s">
        <v>19</v>
      </c>
      <c r="G30" s="51"/>
      <c r="H30" s="45" t="s">
        <v>17</v>
      </c>
      <c r="I30" s="52">
        <v>694.3</v>
      </c>
      <c r="J30" s="52"/>
      <c r="K30" s="48" t="s">
        <v>12</v>
      </c>
      <c r="L30" s="49">
        <v>14788</v>
      </c>
    </row>
    <row r="31" spans="1:12" ht="51" x14ac:dyDescent="0.3">
      <c r="A31" s="43" t="s">
        <v>196</v>
      </c>
      <c r="B31" s="44" t="s">
        <v>270</v>
      </c>
      <c r="C31" s="44" t="s">
        <v>96</v>
      </c>
      <c r="D31" s="44" t="s">
        <v>252</v>
      </c>
      <c r="E31" s="45" t="s">
        <v>97</v>
      </c>
      <c r="F31" s="51" t="s">
        <v>19</v>
      </c>
      <c r="G31" s="51"/>
      <c r="H31" s="45" t="s">
        <v>17</v>
      </c>
      <c r="I31" s="52">
        <v>367</v>
      </c>
      <c r="J31" s="52"/>
      <c r="K31" s="48" t="s">
        <v>12</v>
      </c>
      <c r="L31" s="49">
        <v>14421</v>
      </c>
    </row>
    <row r="32" spans="1:12" ht="51" x14ac:dyDescent="0.3">
      <c r="A32" s="43" t="s">
        <v>207</v>
      </c>
      <c r="B32" s="44" t="s">
        <v>273</v>
      </c>
      <c r="C32" s="44" t="s">
        <v>96</v>
      </c>
      <c r="D32" s="44" t="s">
        <v>178</v>
      </c>
      <c r="E32" s="45" t="s">
        <v>97</v>
      </c>
      <c r="F32" s="51" t="s">
        <v>19</v>
      </c>
      <c r="G32" s="51"/>
      <c r="H32" s="45" t="s">
        <v>17</v>
      </c>
      <c r="I32" s="52">
        <v>61.7</v>
      </c>
      <c r="J32" s="52"/>
      <c r="K32" s="48" t="s">
        <v>12</v>
      </c>
      <c r="L32" s="49">
        <v>14359.3</v>
      </c>
    </row>
    <row r="33" spans="1:12" ht="61.2" x14ac:dyDescent="0.3">
      <c r="A33" s="43" t="s">
        <v>207</v>
      </c>
      <c r="B33" s="44" t="s">
        <v>273</v>
      </c>
      <c r="C33" s="44" t="s">
        <v>96</v>
      </c>
      <c r="D33" s="44" t="s">
        <v>186</v>
      </c>
      <c r="E33" s="45" t="s">
        <v>97</v>
      </c>
      <c r="F33" s="51" t="s">
        <v>19</v>
      </c>
      <c r="G33" s="51"/>
      <c r="H33" s="45" t="s">
        <v>17</v>
      </c>
      <c r="I33" s="52">
        <v>213.25</v>
      </c>
      <c r="J33" s="52"/>
      <c r="K33" s="48" t="s">
        <v>12</v>
      </c>
      <c r="L33" s="49">
        <v>14146.05</v>
      </c>
    </row>
    <row r="34" spans="1:12" ht="61.2" x14ac:dyDescent="0.3">
      <c r="A34" s="43" t="s">
        <v>207</v>
      </c>
      <c r="B34" s="44" t="s">
        <v>273</v>
      </c>
      <c r="C34" s="44" t="s">
        <v>96</v>
      </c>
      <c r="D34" s="44" t="s">
        <v>176</v>
      </c>
      <c r="E34" s="45" t="s">
        <v>97</v>
      </c>
      <c r="F34" s="51" t="s">
        <v>19</v>
      </c>
      <c r="G34" s="51"/>
      <c r="H34" s="45" t="s">
        <v>17</v>
      </c>
      <c r="I34" s="52">
        <v>145.25</v>
      </c>
      <c r="J34" s="52"/>
      <c r="K34" s="48" t="s">
        <v>12</v>
      </c>
      <c r="L34" s="49">
        <v>14000.8</v>
      </c>
    </row>
    <row r="35" spans="1:12" ht="61.2" x14ac:dyDescent="0.3">
      <c r="A35" s="43" t="s">
        <v>207</v>
      </c>
      <c r="B35" s="44" t="s">
        <v>273</v>
      </c>
      <c r="C35" s="44" t="s">
        <v>96</v>
      </c>
      <c r="D35" s="44" t="s">
        <v>185</v>
      </c>
      <c r="E35" s="45" t="s">
        <v>97</v>
      </c>
      <c r="F35" s="51" t="s">
        <v>19</v>
      </c>
      <c r="G35" s="51"/>
      <c r="H35" s="45" t="s">
        <v>17</v>
      </c>
      <c r="I35" s="52">
        <v>170</v>
      </c>
      <c r="J35" s="52"/>
      <c r="K35" s="48" t="s">
        <v>12</v>
      </c>
      <c r="L35" s="49">
        <v>13830.8</v>
      </c>
    </row>
    <row r="36" spans="1:12" ht="51" x14ac:dyDescent="0.3">
      <c r="A36" s="43" t="s">
        <v>207</v>
      </c>
      <c r="B36" s="44" t="s">
        <v>273</v>
      </c>
      <c r="C36" s="44" t="s">
        <v>96</v>
      </c>
      <c r="D36" s="44" t="s">
        <v>188</v>
      </c>
      <c r="E36" s="45" t="s">
        <v>97</v>
      </c>
      <c r="F36" s="51" t="s">
        <v>19</v>
      </c>
      <c r="G36" s="51"/>
      <c r="H36" s="45" t="s">
        <v>17</v>
      </c>
      <c r="I36" s="52">
        <v>198.15</v>
      </c>
      <c r="J36" s="52"/>
      <c r="K36" s="48" t="s">
        <v>12</v>
      </c>
      <c r="L36" s="49">
        <v>13632.65</v>
      </c>
    </row>
    <row r="37" spans="1:12" ht="51" x14ac:dyDescent="0.3">
      <c r="A37" s="43" t="s">
        <v>207</v>
      </c>
      <c r="B37" s="44" t="s">
        <v>273</v>
      </c>
      <c r="C37" s="44" t="s">
        <v>96</v>
      </c>
      <c r="D37" s="44" t="s">
        <v>179</v>
      </c>
      <c r="E37" s="45" t="s">
        <v>97</v>
      </c>
      <c r="F37" s="51" t="s">
        <v>19</v>
      </c>
      <c r="G37" s="51"/>
      <c r="H37" s="45" t="s">
        <v>17</v>
      </c>
      <c r="I37" s="52">
        <v>136.5</v>
      </c>
      <c r="J37" s="52"/>
      <c r="K37" s="48" t="s">
        <v>12</v>
      </c>
      <c r="L37" s="49">
        <v>13496.15</v>
      </c>
    </row>
    <row r="38" spans="1:12" ht="51" hidden="1" x14ac:dyDescent="0.3">
      <c r="A38" s="43" t="s">
        <v>210</v>
      </c>
      <c r="B38" s="44" t="s">
        <v>274</v>
      </c>
      <c r="C38" s="44" t="s">
        <v>275</v>
      </c>
      <c r="D38" s="44" t="s">
        <v>276</v>
      </c>
      <c r="E38" s="45" t="s">
        <v>17</v>
      </c>
      <c r="F38" s="46">
        <v>804.05</v>
      </c>
      <c r="G38" s="46"/>
      <c r="H38" s="45" t="s">
        <v>24</v>
      </c>
      <c r="I38" s="47" t="s">
        <v>19</v>
      </c>
      <c r="J38" s="47"/>
      <c r="K38" s="48" t="s">
        <v>12</v>
      </c>
      <c r="L38" s="49">
        <v>14300.2</v>
      </c>
    </row>
    <row r="39" spans="1:12" ht="51" hidden="1" x14ac:dyDescent="0.3">
      <c r="A39" s="43" t="s">
        <v>220</v>
      </c>
      <c r="B39" s="44" t="s">
        <v>234</v>
      </c>
      <c r="C39" s="44" t="s">
        <v>235</v>
      </c>
      <c r="D39" s="44" t="s">
        <v>222</v>
      </c>
      <c r="E39" s="45" t="s">
        <v>17</v>
      </c>
      <c r="F39" s="46">
        <v>167</v>
      </c>
      <c r="G39" s="46"/>
      <c r="H39" s="45" t="s">
        <v>17</v>
      </c>
      <c r="I39" s="47" t="s">
        <v>19</v>
      </c>
      <c r="J39" s="47"/>
      <c r="K39" s="48" t="s">
        <v>12</v>
      </c>
      <c r="L39" s="49">
        <v>14467.2</v>
      </c>
    </row>
    <row r="40" spans="1:12" ht="51" hidden="1" x14ac:dyDescent="0.3">
      <c r="A40" s="43" t="s">
        <v>220</v>
      </c>
      <c r="B40" s="44" t="s">
        <v>234</v>
      </c>
      <c r="C40" s="44" t="s">
        <v>236</v>
      </c>
      <c r="D40" s="44" t="s">
        <v>226</v>
      </c>
      <c r="E40" s="45" t="s">
        <v>17</v>
      </c>
      <c r="F40" s="46">
        <v>294</v>
      </c>
      <c r="G40" s="46"/>
      <c r="H40" s="45" t="s">
        <v>17</v>
      </c>
      <c r="I40" s="47" t="s">
        <v>19</v>
      </c>
      <c r="J40" s="47"/>
      <c r="K40" s="48" t="s">
        <v>12</v>
      </c>
      <c r="L40" s="49">
        <v>14761.2</v>
      </c>
    </row>
    <row r="41" spans="1:12" ht="61.2" hidden="1" x14ac:dyDescent="0.3">
      <c r="A41" s="43" t="s">
        <v>220</v>
      </c>
      <c r="B41" s="44" t="s">
        <v>234</v>
      </c>
      <c r="C41" s="44" t="s">
        <v>237</v>
      </c>
      <c r="D41" s="44" t="s">
        <v>227</v>
      </c>
      <c r="E41" s="45" t="s">
        <v>17</v>
      </c>
      <c r="F41" s="46">
        <v>151</v>
      </c>
      <c r="G41" s="46"/>
      <c r="H41" s="45" t="s">
        <v>17</v>
      </c>
      <c r="I41" s="47" t="s">
        <v>19</v>
      </c>
      <c r="J41" s="47"/>
      <c r="K41" s="48" t="s">
        <v>12</v>
      </c>
      <c r="L41" s="49">
        <v>14912.2</v>
      </c>
    </row>
    <row r="42" spans="1:12" hidden="1" x14ac:dyDescent="0.3">
      <c r="A42" s="54" t="s">
        <v>249</v>
      </c>
      <c r="B42" s="54"/>
      <c r="C42" s="54"/>
      <c r="D42" s="54"/>
      <c r="E42" s="55">
        <v>11650.29</v>
      </c>
      <c r="F42" s="55"/>
      <c r="G42" s="55"/>
      <c r="H42" s="55">
        <v>5483.09</v>
      </c>
      <c r="I42" s="55"/>
      <c r="J42" s="55"/>
      <c r="K42" s="56" t="s">
        <v>12</v>
      </c>
      <c r="L42" s="57">
        <v>14912.2</v>
      </c>
    </row>
    <row r="44" spans="1:12" x14ac:dyDescent="0.3">
      <c r="J44">
        <f>SUBTOTAL(9,I25:J37)</f>
        <v>5483.0899999999992</v>
      </c>
    </row>
  </sheetData>
  <autoFilter ref="A1:L42">
    <filterColumn colId="1">
      <filters>
        <filter val="Передача малоцінних активів в експлуатацію ІБ00-000122 від 26.03.2025 15:14:37_x000a_Списание стоимости малоценных активов"/>
        <filter val="Передача малоцінних активів в експлуатацію ІБ00-000126 від 27.03.2025 14:07:43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0">
    <mergeCell ref="F40:G40"/>
    <mergeCell ref="I40:J40"/>
    <mergeCell ref="F41:G41"/>
    <mergeCell ref="I41:J41"/>
    <mergeCell ref="A42:D42"/>
    <mergeCell ref="E42:G42"/>
    <mergeCell ref="H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9"/>
  <sheetViews>
    <sheetView topLeftCell="A6" workbookViewId="0">
      <selection activeCell="J20" sqref="J20"/>
    </sheetView>
  </sheetViews>
  <sheetFormatPr defaultRowHeight="14.4" x14ac:dyDescent="0.3"/>
  <cols>
    <col min="2" max="4" width="22.109375" customWidth="1"/>
  </cols>
  <sheetData>
    <row r="1" spans="1:12" x14ac:dyDescent="0.3">
      <c r="A1" s="58" t="s">
        <v>4</v>
      </c>
      <c r="B1" s="59" t="s">
        <v>5</v>
      </c>
      <c r="C1" s="59" t="s">
        <v>6</v>
      </c>
      <c r="D1" s="60" t="s">
        <v>7</v>
      </c>
      <c r="E1" s="61" t="s">
        <v>8</v>
      </c>
      <c r="F1" s="61"/>
      <c r="G1" s="61"/>
      <c r="H1" s="62" t="s">
        <v>9</v>
      </c>
      <c r="I1" s="62"/>
      <c r="J1" s="62"/>
      <c r="K1" s="59" t="s">
        <v>10</v>
      </c>
      <c r="L1" s="59"/>
    </row>
    <row r="2" spans="1:12" hidden="1" x14ac:dyDescent="0.3">
      <c r="A2" s="63"/>
      <c r="B2" s="64"/>
      <c r="C2" s="64"/>
      <c r="D2" s="65"/>
      <c r="E2" s="66" t="s">
        <v>11</v>
      </c>
      <c r="F2" s="67"/>
      <c r="G2" s="67"/>
      <c r="H2" s="68" t="s">
        <v>11</v>
      </c>
      <c r="I2" s="69"/>
      <c r="J2" s="69"/>
      <c r="K2" s="63"/>
      <c r="L2" s="70"/>
    </row>
    <row r="3" spans="1:12" ht="71.400000000000006" hidden="1" x14ac:dyDescent="0.3">
      <c r="A3" s="71" t="s">
        <v>256</v>
      </c>
      <c r="B3" s="72" t="s">
        <v>277</v>
      </c>
      <c r="C3" s="72" t="s">
        <v>278</v>
      </c>
      <c r="D3" s="72" t="s">
        <v>259</v>
      </c>
      <c r="E3" s="73" t="s">
        <v>17</v>
      </c>
      <c r="F3" s="74">
        <v>363.85</v>
      </c>
      <c r="G3" s="74"/>
      <c r="H3" s="73" t="s">
        <v>24</v>
      </c>
      <c r="I3" s="75" t="s">
        <v>19</v>
      </c>
      <c r="J3" s="75"/>
      <c r="K3" s="76" t="s">
        <v>12</v>
      </c>
      <c r="L3" s="77">
        <v>1554.35</v>
      </c>
    </row>
    <row r="4" spans="1:12" ht="71.400000000000006" x14ac:dyDescent="0.3">
      <c r="A4" s="71" t="s">
        <v>94</v>
      </c>
      <c r="B4" s="72" t="s">
        <v>279</v>
      </c>
      <c r="C4" s="72" t="s">
        <v>96</v>
      </c>
      <c r="D4" s="72" t="s">
        <v>278</v>
      </c>
      <c r="E4" s="73" t="s">
        <v>97</v>
      </c>
      <c r="F4" s="78" t="s">
        <v>19</v>
      </c>
      <c r="G4" s="78"/>
      <c r="H4" s="73" t="s">
        <v>17</v>
      </c>
      <c r="I4" s="79">
        <v>363.85</v>
      </c>
      <c r="J4" s="79"/>
      <c r="K4" s="76" t="s">
        <v>12</v>
      </c>
      <c r="L4" s="77">
        <v>1190.5</v>
      </c>
    </row>
    <row r="5" spans="1:12" ht="61.2" x14ac:dyDescent="0.3">
      <c r="A5" s="71" t="s">
        <v>94</v>
      </c>
      <c r="B5" s="72" t="s">
        <v>279</v>
      </c>
      <c r="C5" s="72" t="s">
        <v>96</v>
      </c>
      <c r="D5" s="72" t="s">
        <v>280</v>
      </c>
      <c r="E5" s="73" t="s">
        <v>97</v>
      </c>
      <c r="F5" s="78" t="s">
        <v>19</v>
      </c>
      <c r="G5" s="78"/>
      <c r="H5" s="73" t="s">
        <v>17</v>
      </c>
      <c r="I5" s="79">
        <v>117.6</v>
      </c>
      <c r="J5" s="79"/>
      <c r="K5" s="76" t="s">
        <v>12</v>
      </c>
      <c r="L5" s="77">
        <v>1072.9000000000001</v>
      </c>
    </row>
    <row r="6" spans="1:12" ht="61.2" x14ac:dyDescent="0.3">
      <c r="A6" s="71" t="s">
        <v>94</v>
      </c>
      <c r="B6" s="72" t="s">
        <v>279</v>
      </c>
      <c r="C6" s="72" t="s">
        <v>96</v>
      </c>
      <c r="D6" s="72" t="s">
        <v>281</v>
      </c>
      <c r="E6" s="73" t="s">
        <v>97</v>
      </c>
      <c r="F6" s="78" t="s">
        <v>19</v>
      </c>
      <c r="G6" s="78"/>
      <c r="H6" s="73" t="s">
        <v>17</v>
      </c>
      <c r="I6" s="79">
        <v>173.4</v>
      </c>
      <c r="J6" s="79"/>
      <c r="K6" s="76" t="s">
        <v>12</v>
      </c>
      <c r="L6" s="80">
        <v>899.5</v>
      </c>
    </row>
    <row r="7" spans="1:12" ht="61.2" hidden="1" x14ac:dyDescent="0.3">
      <c r="A7" s="71" t="s">
        <v>106</v>
      </c>
      <c r="B7" s="72" t="s">
        <v>189</v>
      </c>
      <c r="C7" s="72" t="s">
        <v>190</v>
      </c>
      <c r="D7" s="72" t="s">
        <v>115</v>
      </c>
      <c r="E7" s="73" t="s">
        <v>17</v>
      </c>
      <c r="F7" s="74">
        <v>64.2</v>
      </c>
      <c r="G7" s="74"/>
      <c r="H7" s="73" t="s">
        <v>17</v>
      </c>
      <c r="I7" s="75" t="s">
        <v>19</v>
      </c>
      <c r="J7" s="75"/>
      <c r="K7" s="76" t="s">
        <v>12</v>
      </c>
      <c r="L7" s="80">
        <v>963.7</v>
      </c>
    </row>
    <row r="8" spans="1:12" ht="71.400000000000006" hidden="1" x14ac:dyDescent="0.3">
      <c r="A8" s="71" t="s">
        <v>106</v>
      </c>
      <c r="B8" s="72" t="s">
        <v>189</v>
      </c>
      <c r="C8" s="72" t="s">
        <v>191</v>
      </c>
      <c r="D8" s="72" t="s">
        <v>121</v>
      </c>
      <c r="E8" s="73" t="s">
        <v>17</v>
      </c>
      <c r="F8" s="74">
        <v>170</v>
      </c>
      <c r="G8" s="74"/>
      <c r="H8" s="73" t="s">
        <v>17</v>
      </c>
      <c r="I8" s="75" t="s">
        <v>19</v>
      </c>
      <c r="J8" s="75"/>
      <c r="K8" s="76" t="s">
        <v>12</v>
      </c>
      <c r="L8" s="77">
        <v>1133.7</v>
      </c>
    </row>
    <row r="9" spans="1:12" ht="61.2" x14ac:dyDescent="0.3">
      <c r="A9" s="71" t="s">
        <v>196</v>
      </c>
      <c r="B9" s="72" t="s">
        <v>282</v>
      </c>
      <c r="C9" s="72" t="s">
        <v>96</v>
      </c>
      <c r="D9" s="72" t="s">
        <v>281</v>
      </c>
      <c r="E9" s="73" t="s">
        <v>97</v>
      </c>
      <c r="F9" s="78" t="s">
        <v>19</v>
      </c>
      <c r="G9" s="78"/>
      <c r="H9" s="73" t="s">
        <v>17</v>
      </c>
      <c r="I9" s="79">
        <v>404.6</v>
      </c>
      <c r="J9" s="79"/>
      <c r="K9" s="76" t="s">
        <v>12</v>
      </c>
      <c r="L9" s="80">
        <v>729.1</v>
      </c>
    </row>
    <row r="10" spans="1:12" ht="61.2" x14ac:dyDescent="0.3">
      <c r="A10" s="71" t="s">
        <v>196</v>
      </c>
      <c r="B10" s="72" t="s">
        <v>282</v>
      </c>
      <c r="C10" s="72" t="s">
        <v>96</v>
      </c>
      <c r="D10" s="72" t="s">
        <v>280</v>
      </c>
      <c r="E10" s="73" t="s">
        <v>97</v>
      </c>
      <c r="F10" s="78" t="s">
        <v>19</v>
      </c>
      <c r="G10" s="78"/>
      <c r="H10" s="73" t="s">
        <v>17</v>
      </c>
      <c r="I10" s="79">
        <v>274.39999999999998</v>
      </c>
      <c r="J10" s="79"/>
      <c r="K10" s="76" t="s">
        <v>12</v>
      </c>
      <c r="L10" s="80">
        <v>454.7</v>
      </c>
    </row>
    <row r="11" spans="1:12" ht="71.400000000000006" x14ac:dyDescent="0.3">
      <c r="A11" s="71" t="s">
        <v>196</v>
      </c>
      <c r="B11" s="72" t="s">
        <v>282</v>
      </c>
      <c r="C11" s="72" t="s">
        <v>96</v>
      </c>
      <c r="D11" s="72" t="s">
        <v>283</v>
      </c>
      <c r="E11" s="73" t="s">
        <v>97</v>
      </c>
      <c r="F11" s="78" t="s">
        <v>19</v>
      </c>
      <c r="G11" s="78"/>
      <c r="H11" s="73" t="s">
        <v>17</v>
      </c>
      <c r="I11" s="79">
        <v>220.5</v>
      </c>
      <c r="J11" s="79"/>
      <c r="K11" s="76" t="s">
        <v>12</v>
      </c>
      <c r="L11" s="80">
        <v>234.2</v>
      </c>
    </row>
    <row r="12" spans="1:12" ht="61.2" x14ac:dyDescent="0.3">
      <c r="A12" s="71" t="s">
        <v>210</v>
      </c>
      <c r="B12" s="72" t="s">
        <v>284</v>
      </c>
      <c r="C12" s="72" t="s">
        <v>96</v>
      </c>
      <c r="D12" s="72" t="s">
        <v>190</v>
      </c>
      <c r="E12" s="73" t="s">
        <v>97</v>
      </c>
      <c r="F12" s="78" t="s">
        <v>19</v>
      </c>
      <c r="G12" s="78"/>
      <c r="H12" s="73" t="s">
        <v>17</v>
      </c>
      <c r="I12" s="79">
        <v>64.2</v>
      </c>
      <c r="J12" s="79"/>
      <c r="K12" s="76" t="s">
        <v>12</v>
      </c>
      <c r="L12" s="80">
        <v>170</v>
      </c>
    </row>
    <row r="13" spans="1:12" ht="61.2" hidden="1" x14ac:dyDescent="0.3">
      <c r="A13" s="71" t="s">
        <v>220</v>
      </c>
      <c r="B13" s="72" t="s">
        <v>229</v>
      </c>
      <c r="C13" s="72" t="s">
        <v>230</v>
      </c>
      <c r="D13" s="72" t="s">
        <v>222</v>
      </c>
      <c r="E13" s="73" t="s">
        <v>17</v>
      </c>
      <c r="F13" s="74">
        <v>167</v>
      </c>
      <c r="G13" s="74"/>
      <c r="H13" s="73" t="s">
        <v>17</v>
      </c>
      <c r="I13" s="75" t="s">
        <v>19</v>
      </c>
      <c r="J13" s="75"/>
      <c r="K13" s="76" t="s">
        <v>12</v>
      </c>
      <c r="L13" s="80">
        <v>337</v>
      </c>
    </row>
    <row r="14" spans="1:12" ht="61.2" hidden="1" x14ac:dyDescent="0.3">
      <c r="A14" s="71" t="s">
        <v>220</v>
      </c>
      <c r="B14" s="72" t="s">
        <v>229</v>
      </c>
      <c r="C14" s="72" t="s">
        <v>231</v>
      </c>
      <c r="D14" s="72" t="s">
        <v>226</v>
      </c>
      <c r="E14" s="73" t="s">
        <v>17</v>
      </c>
      <c r="F14" s="74">
        <v>294</v>
      </c>
      <c r="G14" s="74"/>
      <c r="H14" s="73" t="s">
        <v>17</v>
      </c>
      <c r="I14" s="75" t="s">
        <v>19</v>
      </c>
      <c r="J14" s="75"/>
      <c r="K14" s="76" t="s">
        <v>12</v>
      </c>
      <c r="L14" s="80">
        <v>631</v>
      </c>
    </row>
    <row r="15" spans="1:12" ht="71.400000000000006" hidden="1" x14ac:dyDescent="0.3">
      <c r="A15" s="71" t="s">
        <v>220</v>
      </c>
      <c r="B15" s="72" t="s">
        <v>229</v>
      </c>
      <c r="C15" s="72" t="s">
        <v>232</v>
      </c>
      <c r="D15" s="72" t="s">
        <v>227</v>
      </c>
      <c r="E15" s="73" t="s">
        <v>17</v>
      </c>
      <c r="F15" s="74">
        <v>151</v>
      </c>
      <c r="G15" s="74"/>
      <c r="H15" s="73" t="s">
        <v>17</v>
      </c>
      <c r="I15" s="75" t="s">
        <v>19</v>
      </c>
      <c r="J15" s="75"/>
      <c r="K15" s="76" t="s">
        <v>12</v>
      </c>
      <c r="L15" s="80">
        <v>782</v>
      </c>
    </row>
    <row r="16" spans="1:12" ht="61.2" hidden="1" x14ac:dyDescent="0.3">
      <c r="A16" s="71" t="s">
        <v>220</v>
      </c>
      <c r="B16" s="72" t="s">
        <v>229</v>
      </c>
      <c r="C16" s="72" t="s">
        <v>233</v>
      </c>
      <c r="D16" s="72" t="s">
        <v>228</v>
      </c>
      <c r="E16" s="73" t="s">
        <v>17</v>
      </c>
      <c r="F16" s="74">
        <v>136.80000000000001</v>
      </c>
      <c r="G16" s="74"/>
      <c r="H16" s="73" t="s">
        <v>17</v>
      </c>
      <c r="I16" s="75" t="s">
        <v>19</v>
      </c>
      <c r="J16" s="75"/>
      <c r="K16" s="76" t="s">
        <v>12</v>
      </c>
      <c r="L16" s="80">
        <v>918.8</v>
      </c>
    </row>
    <row r="17" spans="1:12" hidden="1" x14ac:dyDescent="0.3">
      <c r="A17" s="81" t="s">
        <v>249</v>
      </c>
      <c r="B17" s="81"/>
      <c r="C17" s="81"/>
      <c r="D17" s="81"/>
      <c r="E17" s="82">
        <v>1346.85</v>
      </c>
      <c r="F17" s="82"/>
      <c r="G17" s="82"/>
      <c r="H17" s="82">
        <v>1618.55</v>
      </c>
      <c r="I17" s="82"/>
      <c r="J17" s="82"/>
      <c r="K17" s="83" t="s">
        <v>12</v>
      </c>
      <c r="L17" s="84">
        <v>918.8</v>
      </c>
    </row>
    <row r="19" spans="1:12" x14ac:dyDescent="0.3">
      <c r="J19">
        <f>SUBTOTAL(9,I4:J12)</f>
        <v>1618.55</v>
      </c>
    </row>
  </sheetData>
  <autoFilter ref="A1:L17">
    <filterColumn colId="1">
      <filters>
        <filter val="Передача малоцінних активів в експлуатацію ІБ00-000104 від 18.03.2025 14:27:00_x000a_Списание стоимости малоценных активов"/>
        <filter val="Передача малоцінних активів в експлуатацію ІБ00-000118 від 26.03.2025 14:10:35_x000a_Списание стоимости малоценных активов"/>
        <filter val="Передача малоцінних активів в експлуатацію ІБ00-000142 від 28.03.2025 20:00:1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0">
    <mergeCell ref="F16:G16"/>
    <mergeCell ref="I16:J16"/>
    <mergeCell ref="A17:D17"/>
    <mergeCell ref="E17:G17"/>
    <mergeCell ref="H17:J17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2"/>
  <sheetViews>
    <sheetView topLeftCell="A16" workbookViewId="0">
      <selection activeCell="J23" sqref="J23"/>
    </sheetView>
  </sheetViews>
  <sheetFormatPr defaultRowHeight="14.4" x14ac:dyDescent="0.3"/>
  <cols>
    <col min="2" max="4" width="19.88671875" customWidth="1"/>
  </cols>
  <sheetData>
    <row r="1" spans="1:12" x14ac:dyDescent="0.3">
      <c r="A1" s="85" t="s">
        <v>4</v>
      </c>
      <c r="B1" s="86" t="s">
        <v>5</v>
      </c>
      <c r="C1" s="86" t="s">
        <v>6</v>
      </c>
      <c r="D1" s="87" t="s">
        <v>7</v>
      </c>
      <c r="E1" s="88" t="s">
        <v>8</v>
      </c>
      <c r="F1" s="88"/>
      <c r="G1" s="88"/>
      <c r="H1" s="89" t="s">
        <v>9</v>
      </c>
      <c r="I1" s="89"/>
      <c r="J1" s="89"/>
      <c r="K1" s="86" t="s">
        <v>10</v>
      </c>
      <c r="L1" s="86"/>
    </row>
    <row r="2" spans="1:12" hidden="1" x14ac:dyDescent="0.3">
      <c r="A2" s="90"/>
      <c r="B2" s="91"/>
      <c r="C2" s="91"/>
      <c r="D2" s="92"/>
      <c r="E2" s="93" t="s">
        <v>11</v>
      </c>
      <c r="F2" s="94"/>
      <c r="G2" s="94"/>
      <c r="H2" s="95" t="s">
        <v>11</v>
      </c>
      <c r="I2" s="96"/>
      <c r="J2" s="96"/>
      <c r="K2" s="90"/>
      <c r="L2" s="97"/>
    </row>
    <row r="3" spans="1:12" ht="81.599999999999994" hidden="1" x14ac:dyDescent="0.3">
      <c r="A3" s="98" t="s">
        <v>26</v>
      </c>
      <c r="B3" s="99" t="s">
        <v>41</v>
      </c>
      <c r="C3" s="99" t="s">
        <v>42</v>
      </c>
      <c r="D3" s="99" t="s">
        <v>31</v>
      </c>
      <c r="E3" s="100" t="s">
        <v>17</v>
      </c>
      <c r="F3" s="101">
        <v>1285.5</v>
      </c>
      <c r="G3" s="101"/>
      <c r="H3" s="100" t="s">
        <v>17</v>
      </c>
      <c r="I3" s="102" t="s">
        <v>19</v>
      </c>
      <c r="J3" s="102"/>
      <c r="K3" s="103" t="s">
        <v>12</v>
      </c>
      <c r="L3" s="104">
        <v>3661.45</v>
      </c>
    </row>
    <row r="4" spans="1:12" ht="81.599999999999994" hidden="1" x14ac:dyDescent="0.3">
      <c r="A4" s="98" t="s">
        <v>106</v>
      </c>
      <c r="B4" s="99" t="s">
        <v>156</v>
      </c>
      <c r="C4" s="99" t="s">
        <v>157</v>
      </c>
      <c r="D4" s="99" t="s">
        <v>108</v>
      </c>
      <c r="E4" s="100" t="s">
        <v>17</v>
      </c>
      <c r="F4" s="105">
        <v>145.25</v>
      </c>
      <c r="G4" s="105"/>
      <c r="H4" s="100" t="s">
        <v>17</v>
      </c>
      <c r="I4" s="102" t="s">
        <v>19</v>
      </c>
      <c r="J4" s="102"/>
      <c r="K4" s="103" t="s">
        <v>12</v>
      </c>
      <c r="L4" s="104">
        <v>3806.7</v>
      </c>
    </row>
    <row r="5" spans="1:12" ht="71.400000000000006" hidden="1" x14ac:dyDescent="0.3">
      <c r="A5" s="98" t="s">
        <v>106</v>
      </c>
      <c r="B5" s="99" t="s">
        <v>156</v>
      </c>
      <c r="C5" s="99" t="s">
        <v>158</v>
      </c>
      <c r="D5" s="99" t="s">
        <v>110</v>
      </c>
      <c r="E5" s="100" t="s">
        <v>17</v>
      </c>
      <c r="F5" s="101">
        <v>1061</v>
      </c>
      <c r="G5" s="101"/>
      <c r="H5" s="100" t="s">
        <v>17</v>
      </c>
      <c r="I5" s="102" t="s">
        <v>19</v>
      </c>
      <c r="J5" s="102"/>
      <c r="K5" s="103" t="s">
        <v>12</v>
      </c>
      <c r="L5" s="104">
        <v>4867.7</v>
      </c>
    </row>
    <row r="6" spans="1:12" ht="71.400000000000006" hidden="1" x14ac:dyDescent="0.3">
      <c r="A6" s="98" t="s">
        <v>106</v>
      </c>
      <c r="B6" s="99" t="s">
        <v>156</v>
      </c>
      <c r="C6" s="99" t="s">
        <v>159</v>
      </c>
      <c r="D6" s="99" t="s">
        <v>111</v>
      </c>
      <c r="E6" s="100" t="s">
        <v>17</v>
      </c>
      <c r="F6" s="105">
        <v>61.7</v>
      </c>
      <c r="G6" s="105"/>
      <c r="H6" s="100" t="s">
        <v>17</v>
      </c>
      <c r="I6" s="102" t="s">
        <v>19</v>
      </c>
      <c r="J6" s="102"/>
      <c r="K6" s="103" t="s">
        <v>12</v>
      </c>
      <c r="L6" s="104">
        <v>4929.3999999999996</v>
      </c>
    </row>
    <row r="7" spans="1:12" ht="71.400000000000006" hidden="1" x14ac:dyDescent="0.3">
      <c r="A7" s="98" t="s">
        <v>106</v>
      </c>
      <c r="B7" s="99" t="s">
        <v>156</v>
      </c>
      <c r="C7" s="99" t="s">
        <v>160</v>
      </c>
      <c r="D7" s="99" t="s">
        <v>112</v>
      </c>
      <c r="E7" s="100" t="s">
        <v>17</v>
      </c>
      <c r="F7" s="105">
        <v>136.5</v>
      </c>
      <c r="G7" s="105"/>
      <c r="H7" s="100" t="s">
        <v>17</v>
      </c>
      <c r="I7" s="102" t="s">
        <v>19</v>
      </c>
      <c r="J7" s="102"/>
      <c r="K7" s="103" t="s">
        <v>12</v>
      </c>
      <c r="L7" s="104">
        <v>5065.8999999999996</v>
      </c>
    </row>
    <row r="8" spans="1:12" ht="81.599999999999994" hidden="1" x14ac:dyDescent="0.3">
      <c r="A8" s="98" t="s">
        <v>106</v>
      </c>
      <c r="B8" s="99" t="s">
        <v>156</v>
      </c>
      <c r="C8" s="99" t="s">
        <v>161</v>
      </c>
      <c r="D8" s="99" t="s">
        <v>113</v>
      </c>
      <c r="E8" s="100" t="s">
        <v>17</v>
      </c>
      <c r="F8" s="105">
        <v>294</v>
      </c>
      <c r="G8" s="105"/>
      <c r="H8" s="100" t="s">
        <v>17</v>
      </c>
      <c r="I8" s="102" t="s">
        <v>19</v>
      </c>
      <c r="J8" s="102"/>
      <c r="K8" s="103" t="s">
        <v>12</v>
      </c>
      <c r="L8" s="104">
        <v>5359.9</v>
      </c>
    </row>
    <row r="9" spans="1:12" ht="71.400000000000006" hidden="1" x14ac:dyDescent="0.3">
      <c r="A9" s="98" t="s">
        <v>106</v>
      </c>
      <c r="B9" s="99" t="s">
        <v>156</v>
      </c>
      <c r="C9" s="99" t="s">
        <v>162</v>
      </c>
      <c r="D9" s="99" t="s">
        <v>116</v>
      </c>
      <c r="E9" s="100" t="s">
        <v>17</v>
      </c>
      <c r="F9" s="105">
        <v>257.89999999999998</v>
      </c>
      <c r="G9" s="105"/>
      <c r="H9" s="100" t="s">
        <v>17</v>
      </c>
      <c r="I9" s="102" t="s">
        <v>19</v>
      </c>
      <c r="J9" s="102"/>
      <c r="K9" s="103" t="s">
        <v>12</v>
      </c>
      <c r="L9" s="104">
        <v>5617.8</v>
      </c>
    </row>
    <row r="10" spans="1:12" ht="81.599999999999994" hidden="1" x14ac:dyDescent="0.3">
      <c r="A10" s="98" t="s">
        <v>106</v>
      </c>
      <c r="B10" s="99" t="s">
        <v>156</v>
      </c>
      <c r="C10" s="99" t="s">
        <v>163</v>
      </c>
      <c r="D10" s="99" t="s">
        <v>120</v>
      </c>
      <c r="E10" s="100" t="s">
        <v>17</v>
      </c>
      <c r="F10" s="101">
        <v>1825.35</v>
      </c>
      <c r="G10" s="101"/>
      <c r="H10" s="100" t="s">
        <v>17</v>
      </c>
      <c r="I10" s="102" t="s">
        <v>19</v>
      </c>
      <c r="J10" s="102"/>
      <c r="K10" s="103" t="s">
        <v>12</v>
      </c>
      <c r="L10" s="104">
        <v>7443.15</v>
      </c>
    </row>
    <row r="11" spans="1:12" ht="71.400000000000006" hidden="1" x14ac:dyDescent="0.3">
      <c r="A11" s="98" t="s">
        <v>106</v>
      </c>
      <c r="B11" s="99" t="s">
        <v>156</v>
      </c>
      <c r="C11" s="99" t="s">
        <v>164</v>
      </c>
      <c r="D11" s="99" t="s">
        <v>128</v>
      </c>
      <c r="E11" s="100" t="s">
        <v>17</v>
      </c>
      <c r="F11" s="105">
        <v>95.85</v>
      </c>
      <c r="G11" s="105"/>
      <c r="H11" s="100" t="s">
        <v>17</v>
      </c>
      <c r="I11" s="102" t="s">
        <v>19</v>
      </c>
      <c r="J11" s="102"/>
      <c r="K11" s="103" t="s">
        <v>12</v>
      </c>
      <c r="L11" s="104">
        <v>7539</v>
      </c>
    </row>
    <row r="12" spans="1:12" ht="81.599999999999994" x14ac:dyDescent="0.3">
      <c r="A12" s="98" t="s">
        <v>196</v>
      </c>
      <c r="B12" s="99" t="s">
        <v>285</v>
      </c>
      <c r="C12" s="99" t="s">
        <v>96</v>
      </c>
      <c r="D12" s="99" t="s">
        <v>286</v>
      </c>
      <c r="E12" s="100" t="s">
        <v>97</v>
      </c>
      <c r="F12" s="106" t="s">
        <v>19</v>
      </c>
      <c r="G12" s="106"/>
      <c r="H12" s="100" t="s">
        <v>17</v>
      </c>
      <c r="I12" s="107">
        <v>511</v>
      </c>
      <c r="J12" s="107"/>
      <c r="K12" s="103" t="s">
        <v>12</v>
      </c>
      <c r="L12" s="104">
        <v>7028</v>
      </c>
    </row>
    <row r="13" spans="1:12" ht="71.400000000000006" x14ac:dyDescent="0.3">
      <c r="A13" s="98" t="s">
        <v>196</v>
      </c>
      <c r="B13" s="99" t="s">
        <v>285</v>
      </c>
      <c r="C13" s="99" t="s">
        <v>96</v>
      </c>
      <c r="D13" s="99" t="s">
        <v>287</v>
      </c>
      <c r="E13" s="100" t="s">
        <v>97</v>
      </c>
      <c r="F13" s="106" t="s">
        <v>19</v>
      </c>
      <c r="G13" s="106"/>
      <c r="H13" s="100" t="s">
        <v>17</v>
      </c>
      <c r="I13" s="107">
        <v>154.25</v>
      </c>
      <c r="J13" s="107"/>
      <c r="K13" s="103" t="s">
        <v>12</v>
      </c>
      <c r="L13" s="104">
        <v>6873.75</v>
      </c>
    </row>
    <row r="14" spans="1:12" ht="81.599999999999994" x14ac:dyDescent="0.3">
      <c r="A14" s="98" t="s">
        <v>196</v>
      </c>
      <c r="B14" s="99" t="s">
        <v>285</v>
      </c>
      <c r="C14" s="99" t="s">
        <v>96</v>
      </c>
      <c r="D14" s="99" t="s">
        <v>288</v>
      </c>
      <c r="E14" s="100" t="s">
        <v>97</v>
      </c>
      <c r="F14" s="106" t="s">
        <v>19</v>
      </c>
      <c r="G14" s="106"/>
      <c r="H14" s="100" t="s">
        <v>17</v>
      </c>
      <c r="I14" s="107">
        <v>294</v>
      </c>
      <c r="J14" s="107"/>
      <c r="K14" s="103" t="s">
        <v>12</v>
      </c>
      <c r="L14" s="104">
        <v>6579.75</v>
      </c>
    </row>
    <row r="15" spans="1:12" ht="71.400000000000006" x14ac:dyDescent="0.3">
      <c r="A15" s="98" t="s">
        <v>196</v>
      </c>
      <c r="B15" s="99" t="s">
        <v>285</v>
      </c>
      <c r="C15" s="99" t="s">
        <v>96</v>
      </c>
      <c r="D15" s="99" t="s">
        <v>289</v>
      </c>
      <c r="E15" s="100" t="s">
        <v>97</v>
      </c>
      <c r="F15" s="106" t="s">
        <v>19</v>
      </c>
      <c r="G15" s="106"/>
      <c r="H15" s="100" t="s">
        <v>17</v>
      </c>
      <c r="I15" s="107">
        <v>100</v>
      </c>
      <c r="J15" s="107"/>
      <c r="K15" s="103" t="s">
        <v>12</v>
      </c>
      <c r="L15" s="104">
        <v>6479.75</v>
      </c>
    </row>
    <row r="16" spans="1:12" ht="81.599999999999994" x14ac:dyDescent="0.3">
      <c r="A16" s="98" t="s">
        <v>210</v>
      </c>
      <c r="B16" s="99" t="s">
        <v>290</v>
      </c>
      <c r="C16" s="99" t="s">
        <v>96</v>
      </c>
      <c r="D16" s="99" t="s">
        <v>161</v>
      </c>
      <c r="E16" s="100" t="s">
        <v>97</v>
      </c>
      <c r="F16" s="106" t="s">
        <v>19</v>
      </c>
      <c r="G16" s="106"/>
      <c r="H16" s="100" t="s">
        <v>17</v>
      </c>
      <c r="I16" s="107">
        <v>294</v>
      </c>
      <c r="J16" s="107"/>
      <c r="K16" s="103" t="s">
        <v>12</v>
      </c>
      <c r="L16" s="104">
        <v>6185.75</v>
      </c>
    </row>
    <row r="17" spans="1:12" ht="71.400000000000006" x14ac:dyDescent="0.3">
      <c r="A17" s="98" t="s">
        <v>210</v>
      </c>
      <c r="B17" s="99" t="s">
        <v>290</v>
      </c>
      <c r="C17" s="99" t="s">
        <v>96</v>
      </c>
      <c r="D17" s="99" t="s">
        <v>164</v>
      </c>
      <c r="E17" s="100" t="s">
        <v>97</v>
      </c>
      <c r="F17" s="106" t="s">
        <v>19</v>
      </c>
      <c r="G17" s="106"/>
      <c r="H17" s="100" t="s">
        <v>17</v>
      </c>
      <c r="I17" s="107">
        <v>95.85</v>
      </c>
      <c r="J17" s="107"/>
      <c r="K17" s="103" t="s">
        <v>12</v>
      </c>
      <c r="L17" s="104">
        <v>6089.9</v>
      </c>
    </row>
    <row r="18" spans="1:12" ht="71.400000000000006" x14ac:dyDescent="0.3">
      <c r="A18" s="98" t="s">
        <v>210</v>
      </c>
      <c r="B18" s="99" t="s">
        <v>290</v>
      </c>
      <c r="C18" s="99" t="s">
        <v>96</v>
      </c>
      <c r="D18" s="99" t="s">
        <v>160</v>
      </c>
      <c r="E18" s="100" t="s">
        <v>97</v>
      </c>
      <c r="F18" s="106" t="s">
        <v>19</v>
      </c>
      <c r="G18" s="106"/>
      <c r="H18" s="100" t="s">
        <v>17</v>
      </c>
      <c r="I18" s="107">
        <v>136.5</v>
      </c>
      <c r="J18" s="107"/>
      <c r="K18" s="103" t="s">
        <v>12</v>
      </c>
      <c r="L18" s="104">
        <v>5953.4</v>
      </c>
    </row>
    <row r="19" spans="1:12" ht="71.400000000000006" x14ac:dyDescent="0.3">
      <c r="A19" s="98" t="s">
        <v>210</v>
      </c>
      <c r="B19" s="99" t="s">
        <v>290</v>
      </c>
      <c r="C19" s="99" t="s">
        <v>96</v>
      </c>
      <c r="D19" s="99" t="s">
        <v>159</v>
      </c>
      <c r="E19" s="100" t="s">
        <v>97</v>
      </c>
      <c r="F19" s="106" t="s">
        <v>19</v>
      </c>
      <c r="G19" s="106"/>
      <c r="H19" s="100" t="s">
        <v>17</v>
      </c>
      <c r="I19" s="107">
        <v>61.7</v>
      </c>
      <c r="J19" s="107"/>
      <c r="K19" s="103" t="s">
        <v>12</v>
      </c>
      <c r="L19" s="104">
        <v>5891.7</v>
      </c>
    </row>
    <row r="20" spans="1:12" hidden="1" x14ac:dyDescent="0.3">
      <c r="A20" s="108" t="s">
        <v>249</v>
      </c>
      <c r="B20" s="108"/>
      <c r="C20" s="108"/>
      <c r="D20" s="108"/>
      <c r="E20" s="109">
        <v>5163.05</v>
      </c>
      <c r="F20" s="109"/>
      <c r="G20" s="109"/>
      <c r="H20" s="109">
        <v>1647.3</v>
      </c>
      <c r="I20" s="109"/>
      <c r="J20" s="109"/>
      <c r="K20" s="110" t="s">
        <v>12</v>
      </c>
      <c r="L20" s="111">
        <v>5891.7</v>
      </c>
    </row>
    <row r="22" spans="1:12" x14ac:dyDescent="0.3">
      <c r="J22">
        <f>SUBTOTAL(9,I12:J19)</f>
        <v>1647.3</v>
      </c>
    </row>
  </sheetData>
  <autoFilter ref="A1:L20">
    <filterColumn colId="1">
      <filters>
        <filter val="Передача малоцінних активів в експлуатацію ІБ00-000120 від 26.03.2025 14:30:39_x000a_Списание стоимости малоценных активов"/>
        <filter val="Передача малоцінних активів в експлуатацію ІБ00-000131 від 28.03.2025 08:54:21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6">
    <mergeCell ref="F19:G19"/>
    <mergeCell ref="I19:J19"/>
    <mergeCell ref="A20:D20"/>
    <mergeCell ref="E20:G20"/>
    <mergeCell ref="H20:J20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77"/>
  <sheetViews>
    <sheetView topLeftCell="A68" workbookViewId="0">
      <selection activeCell="J78" sqref="J78"/>
    </sheetView>
  </sheetViews>
  <sheetFormatPr defaultRowHeight="14.4" x14ac:dyDescent="0.3"/>
  <cols>
    <col min="2" max="4" width="24.6640625" customWidth="1"/>
  </cols>
  <sheetData>
    <row r="1" spans="1:12" x14ac:dyDescent="0.3">
      <c r="A1" s="112" t="s">
        <v>4</v>
      </c>
      <c r="B1" s="113" t="s">
        <v>5</v>
      </c>
      <c r="C1" s="113" t="s">
        <v>6</v>
      </c>
      <c r="D1" s="114" t="s">
        <v>7</v>
      </c>
      <c r="E1" s="115" t="s">
        <v>8</v>
      </c>
      <c r="F1" s="115"/>
      <c r="G1" s="115"/>
      <c r="H1" s="116" t="s">
        <v>9</v>
      </c>
      <c r="I1" s="116"/>
      <c r="J1" s="116"/>
      <c r="K1" s="113" t="s">
        <v>10</v>
      </c>
      <c r="L1" s="113"/>
    </row>
    <row r="2" spans="1:12" hidden="1" x14ac:dyDescent="0.3">
      <c r="A2" s="117"/>
      <c r="B2" s="118"/>
      <c r="C2" s="118"/>
      <c r="D2" s="119"/>
      <c r="E2" s="120" t="s">
        <v>11</v>
      </c>
      <c r="F2" s="121"/>
      <c r="G2" s="121"/>
      <c r="H2" s="122" t="s">
        <v>11</v>
      </c>
      <c r="I2" s="123"/>
      <c r="J2" s="123"/>
      <c r="K2" s="117"/>
      <c r="L2" s="124"/>
    </row>
    <row r="3" spans="1:12" ht="61.2" hidden="1" x14ac:dyDescent="0.3">
      <c r="A3" s="125" t="s">
        <v>291</v>
      </c>
      <c r="B3" s="126" t="s">
        <v>292</v>
      </c>
      <c r="C3" s="126" t="s">
        <v>293</v>
      </c>
      <c r="D3" s="126" t="s">
        <v>294</v>
      </c>
      <c r="E3" s="127" t="s">
        <v>17</v>
      </c>
      <c r="F3" s="128">
        <v>1321.9</v>
      </c>
      <c r="G3" s="128"/>
      <c r="H3" s="127" t="s">
        <v>24</v>
      </c>
      <c r="I3" s="129" t="s">
        <v>19</v>
      </c>
      <c r="J3" s="129"/>
      <c r="K3" s="130" t="s">
        <v>12</v>
      </c>
      <c r="L3" s="131">
        <v>2379.65</v>
      </c>
    </row>
    <row r="4" spans="1:12" ht="61.2" hidden="1" x14ac:dyDescent="0.3">
      <c r="A4" s="125" t="s">
        <v>291</v>
      </c>
      <c r="B4" s="126" t="s">
        <v>292</v>
      </c>
      <c r="C4" s="126" t="s">
        <v>295</v>
      </c>
      <c r="D4" s="126" t="s">
        <v>294</v>
      </c>
      <c r="E4" s="127" t="s">
        <v>17</v>
      </c>
      <c r="F4" s="132">
        <v>852.35</v>
      </c>
      <c r="G4" s="132"/>
      <c r="H4" s="127" t="s">
        <v>24</v>
      </c>
      <c r="I4" s="129" t="s">
        <v>19</v>
      </c>
      <c r="J4" s="129"/>
      <c r="K4" s="130" t="s">
        <v>12</v>
      </c>
      <c r="L4" s="131">
        <v>3232</v>
      </c>
    </row>
    <row r="5" spans="1:12" ht="51" hidden="1" x14ac:dyDescent="0.3">
      <c r="A5" s="125" t="s">
        <v>291</v>
      </c>
      <c r="B5" s="126" t="s">
        <v>292</v>
      </c>
      <c r="C5" s="126" t="s">
        <v>296</v>
      </c>
      <c r="D5" s="126" t="s">
        <v>294</v>
      </c>
      <c r="E5" s="127" t="s">
        <v>17</v>
      </c>
      <c r="F5" s="132">
        <v>328.75</v>
      </c>
      <c r="G5" s="132"/>
      <c r="H5" s="127" t="s">
        <v>24</v>
      </c>
      <c r="I5" s="129" t="s">
        <v>19</v>
      </c>
      <c r="J5" s="129"/>
      <c r="K5" s="130" t="s">
        <v>12</v>
      </c>
      <c r="L5" s="131">
        <v>3560.75</v>
      </c>
    </row>
    <row r="6" spans="1:12" ht="61.2" hidden="1" x14ac:dyDescent="0.3">
      <c r="A6" s="125" t="s">
        <v>291</v>
      </c>
      <c r="B6" s="126" t="s">
        <v>292</v>
      </c>
      <c r="C6" s="126" t="s">
        <v>297</v>
      </c>
      <c r="D6" s="126" t="s">
        <v>294</v>
      </c>
      <c r="E6" s="127" t="s">
        <v>17</v>
      </c>
      <c r="F6" s="132">
        <v>212.8</v>
      </c>
      <c r="G6" s="132"/>
      <c r="H6" s="127" t="s">
        <v>24</v>
      </c>
      <c r="I6" s="129" t="s">
        <v>19</v>
      </c>
      <c r="J6" s="129"/>
      <c r="K6" s="130" t="s">
        <v>12</v>
      </c>
      <c r="L6" s="131">
        <v>3773.55</v>
      </c>
    </row>
    <row r="7" spans="1:12" ht="51" hidden="1" x14ac:dyDescent="0.3">
      <c r="A7" s="125" t="s">
        <v>291</v>
      </c>
      <c r="B7" s="126" t="s">
        <v>292</v>
      </c>
      <c r="C7" s="126" t="s">
        <v>298</v>
      </c>
      <c r="D7" s="126" t="s">
        <v>294</v>
      </c>
      <c r="E7" s="127" t="s">
        <v>17</v>
      </c>
      <c r="F7" s="132">
        <v>798.35</v>
      </c>
      <c r="G7" s="132"/>
      <c r="H7" s="127" t="s">
        <v>24</v>
      </c>
      <c r="I7" s="129" t="s">
        <v>19</v>
      </c>
      <c r="J7" s="129"/>
      <c r="K7" s="130" t="s">
        <v>12</v>
      </c>
      <c r="L7" s="131">
        <v>4571.8999999999996</v>
      </c>
    </row>
    <row r="8" spans="1:12" ht="61.2" hidden="1" x14ac:dyDescent="0.3">
      <c r="A8" s="125" t="s">
        <v>291</v>
      </c>
      <c r="B8" s="126" t="s">
        <v>292</v>
      </c>
      <c r="C8" s="126" t="s">
        <v>299</v>
      </c>
      <c r="D8" s="126" t="s">
        <v>294</v>
      </c>
      <c r="E8" s="127" t="s">
        <v>17</v>
      </c>
      <c r="F8" s="132">
        <v>36</v>
      </c>
      <c r="G8" s="132"/>
      <c r="H8" s="127" t="s">
        <v>24</v>
      </c>
      <c r="I8" s="129" t="s">
        <v>19</v>
      </c>
      <c r="J8" s="129"/>
      <c r="K8" s="130" t="s">
        <v>12</v>
      </c>
      <c r="L8" s="131">
        <v>4607.8999999999996</v>
      </c>
    </row>
    <row r="9" spans="1:12" ht="61.2" hidden="1" x14ac:dyDescent="0.3">
      <c r="A9" s="125" t="s">
        <v>291</v>
      </c>
      <c r="B9" s="126" t="s">
        <v>292</v>
      </c>
      <c r="C9" s="126" t="s">
        <v>300</v>
      </c>
      <c r="D9" s="126" t="s">
        <v>294</v>
      </c>
      <c r="E9" s="127" t="s">
        <v>17</v>
      </c>
      <c r="F9" s="132">
        <v>52.9</v>
      </c>
      <c r="G9" s="132"/>
      <c r="H9" s="127" t="s">
        <v>24</v>
      </c>
      <c r="I9" s="129" t="s">
        <v>19</v>
      </c>
      <c r="J9" s="129"/>
      <c r="K9" s="130" t="s">
        <v>12</v>
      </c>
      <c r="L9" s="131">
        <v>4660.8</v>
      </c>
    </row>
    <row r="10" spans="1:12" ht="61.2" hidden="1" x14ac:dyDescent="0.3">
      <c r="A10" s="125" t="s">
        <v>291</v>
      </c>
      <c r="B10" s="126" t="s">
        <v>292</v>
      </c>
      <c r="C10" s="126" t="s">
        <v>301</v>
      </c>
      <c r="D10" s="126" t="s">
        <v>294</v>
      </c>
      <c r="E10" s="127" t="s">
        <v>17</v>
      </c>
      <c r="F10" s="132">
        <v>35.950000000000003</v>
      </c>
      <c r="G10" s="132"/>
      <c r="H10" s="127" t="s">
        <v>24</v>
      </c>
      <c r="I10" s="129" t="s">
        <v>19</v>
      </c>
      <c r="J10" s="129"/>
      <c r="K10" s="130" t="s">
        <v>12</v>
      </c>
      <c r="L10" s="131">
        <v>4696.75</v>
      </c>
    </row>
    <row r="11" spans="1:12" ht="51" hidden="1" x14ac:dyDescent="0.3">
      <c r="A11" s="125" t="s">
        <v>26</v>
      </c>
      <c r="B11" s="126" t="s">
        <v>45</v>
      </c>
      <c r="C11" s="126" t="s">
        <v>46</v>
      </c>
      <c r="D11" s="126" t="s">
        <v>34</v>
      </c>
      <c r="E11" s="127" t="s">
        <v>17</v>
      </c>
      <c r="F11" s="132">
        <v>275.75</v>
      </c>
      <c r="G11" s="132"/>
      <c r="H11" s="127" t="s">
        <v>17</v>
      </c>
      <c r="I11" s="129" t="s">
        <v>19</v>
      </c>
      <c r="J11" s="129"/>
      <c r="K11" s="130" t="s">
        <v>12</v>
      </c>
      <c r="L11" s="131">
        <v>4972.5</v>
      </c>
    </row>
    <row r="12" spans="1:12" ht="51" hidden="1" x14ac:dyDescent="0.3">
      <c r="A12" s="125" t="s">
        <v>51</v>
      </c>
      <c r="B12" s="126" t="s">
        <v>70</v>
      </c>
      <c r="C12" s="126" t="s">
        <v>71</v>
      </c>
      <c r="D12" s="126" t="s">
        <v>72</v>
      </c>
      <c r="E12" s="127" t="s">
        <v>17</v>
      </c>
      <c r="F12" s="128">
        <v>1660</v>
      </c>
      <c r="G12" s="128"/>
      <c r="H12" s="127" t="s">
        <v>17</v>
      </c>
      <c r="I12" s="129" t="s">
        <v>19</v>
      </c>
      <c r="J12" s="129"/>
      <c r="K12" s="130" t="s">
        <v>12</v>
      </c>
      <c r="L12" s="131">
        <v>6632.5</v>
      </c>
    </row>
    <row r="13" spans="1:12" ht="51" hidden="1" x14ac:dyDescent="0.3">
      <c r="A13" s="125" t="s">
        <v>51</v>
      </c>
      <c r="B13" s="126" t="s">
        <v>70</v>
      </c>
      <c r="C13" s="126" t="s">
        <v>73</v>
      </c>
      <c r="D13" s="126" t="s">
        <v>68</v>
      </c>
      <c r="E13" s="127" t="s">
        <v>17</v>
      </c>
      <c r="F13" s="128">
        <v>6498.5</v>
      </c>
      <c r="G13" s="128"/>
      <c r="H13" s="127" t="s">
        <v>17</v>
      </c>
      <c r="I13" s="129" t="s">
        <v>19</v>
      </c>
      <c r="J13" s="129"/>
      <c r="K13" s="130" t="s">
        <v>12</v>
      </c>
      <c r="L13" s="131">
        <v>13131</v>
      </c>
    </row>
    <row r="14" spans="1:12" ht="51" hidden="1" x14ac:dyDescent="0.3">
      <c r="A14" s="125" t="s">
        <v>76</v>
      </c>
      <c r="B14" s="126" t="s">
        <v>87</v>
      </c>
      <c r="C14" s="126" t="s">
        <v>88</v>
      </c>
      <c r="D14" s="126" t="s">
        <v>82</v>
      </c>
      <c r="E14" s="127" t="s">
        <v>17</v>
      </c>
      <c r="F14" s="132">
        <v>146</v>
      </c>
      <c r="G14" s="132"/>
      <c r="H14" s="127" t="s">
        <v>17</v>
      </c>
      <c r="I14" s="129" t="s">
        <v>19</v>
      </c>
      <c r="J14" s="129"/>
      <c r="K14" s="130" t="s">
        <v>12</v>
      </c>
      <c r="L14" s="131">
        <v>13277</v>
      </c>
    </row>
    <row r="15" spans="1:12" ht="51" hidden="1" x14ac:dyDescent="0.3">
      <c r="A15" s="125" t="s">
        <v>76</v>
      </c>
      <c r="B15" s="126" t="s">
        <v>87</v>
      </c>
      <c r="C15" s="126" t="s">
        <v>89</v>
      </c>
      <c r="D15" s="126" t="s">
        <v>53</v>
      </c>
      <c r="E15" s="127" t="s">
        <v>17</v>
      </c>
      <c r="F15" s="132">
        <v>87.5</v>
      </c>
      <c r="G15" s="132"/>
      <c r="H15" s="127" t="s">
        <v>17</v>
      </c>
      <c r="I15" s="129" t="s">
        <v>19</v>
      </c>
      <c r="J15" s="129"/>
      <c r="K15" s="130" t="s">
        <v>12</v>
      </c>
      <c r="L15" s="131">
        <v>13364.5</v>
      </c>
    </row>
    <row r="16" spans="1:12" ht="51" hidden="1" x14ac:dyDescent="0.3">
      <c r="A16" s="125" t="s">
        <v>76</v>
      </c>
      <c r="B16" s="126" t="s">
        <v>87</v>
      </c>
      <c r="C16" s="126" t="s">
        <v>90</v>
      </c>
      <c r="D16" s="126" t="s">
        <v>85</v>
      </c>
      <c r="E16" s="127" t="s">
        <v>17</v>
      </c>
      <c r="F16" s="132">
        <v>827.1</v>
      </c>
      <c r="G16" s="132"/>
      <c r="H16" s="127" t="s">
        <v>17</v>
      </c>
      <c r="I16" s="129" t="s">
        <v>19</v>
      </c>
      <c r="J16" s="129"/>
      <c r="K16" s="130" t="s">
        <v>12</v>
      </c>
      <c r="L16" s="131">
        <v>14191.6</v>
      </c>
    </row>
    <row r="17" spans="1:12" ht="51" hidden="1" x14ac:dyDescent="0.3">
      <c r="A17" s="125" t="s">
        <v>76</v>
      </c>
      <c r="B17" s="126" t="s">
        <v>87</v>
      </c>
      <c r="C17" s="126" t="s">
        <v>91</v>
      </c>
      <c r="D17" s="126" t="s">
        <v>86</v>
      </c>
      <c r="E17" s="127" t="s">
        <v>17</v>
      </c>
      <c r="F17" s="132">
        <v>204.25</v>
      </c>
      <c r="G17" s="132"/>
      <c r="H17" s="127" t="s">
        <v>17</v>
      </c>
      <c r="I17" s="129" t="s">
        <v>19</v>
      </c>
      <c r="J17" s="129"/>
      <c r="K17" s="130" t="s">
        <v>12</v>
      </c>
      <c r="L17" s="131">
        <v>14395.85</v>
      </c>
    </row>
    <row r="18" spans="1:12" ht="61.2" hidden="1" x14ac:dyDescent="0.3">
      <c r="A18" s="125" t="s">
        <v>262</v>
      </c>
      <c r="B18" s="126" t="s">
        <v>302</v>
      </c>
      <c r="C18" s="126" t="s">
        <v>303</v>
      </c>
      <c r="D18" s="126" t="s">
        <v>265</v>
      </c>
      <c r="E18" s="127" t="s">
        <v>17</v>
      </c>
      <c r="F18" s="128">
        <v>2050</v>
      </c>
      <c r="G18" s="128"/>
      <c r="H18" s="127" t="s">
        <v>24</v>
      </c>
      <c r="I18" s="129" t="s">
        <v>19</v>
      </c>
      <c r="J18" s="129"/>
      <c r="K18" s="130" t="s">
        <v>12</v>
      </c>
      <c r="L18" s="131">
        <v>16445.849999999999</v>
      </c>
    </row>
    <row r="19" spans="1:12" ht="51" hidden="1" x14ac:dyDescent="0.3">
      <c r="A19" s="125" t="s">
        <v>266</v>
      </c>
      <c r="B19" s="126" t="s">
        <v>304</v>
      </c>
      <c r="C19" s="126" t="s">
        <v>305</v>
      </c>
      <c r="D19" s="126" t="s">
        <v>306</v>
      </c>
      <c r="E19" s="127" t="s">
        <v>17</v>
      </c>
      <c r="F19" s="132">
        <v>250</v>
      </c>
      <c r="G19" s="132"/>
      <c r="H19" s="127" t="s">
        <v>24</v>
      </c>
      <c r="I19" s="129" t="s">
        <v>19</v>
      </c>
      <c r="J19" s="129"/>
      <c r="K19" s="130" t="s">
        <v>12</v>
      </c>
      <c r="L19" s="131">
        <v>16695.849999999999</v>
      </c>
    </row>
    <row r="20" spans="1:12" ht="61.2" x14ac:dyDescent="0.3">
      <c r="A20" s="125" t="s">
        <v>94</v>
      </c>
      <c r="B20" s="126" t="s">
        <v>307</v>
      </c>
      <c r="C20" s="126" t="s">
        <v>96</v>
      </c>
      <c r="D20" s="126" t="s">
        <v>308</v>
      </c>
      <c r="E20" s="127" t="s">
        <v>97</v>
      </c>
      <c r="F20" s="133" t="s">
        <v>19</v>
      </c>
      <c r="G20" s="133"/>
      <c r="H20" s="127" t="s">
        <v>17</v>
      </c>
      <c r="I20" s="134">
        <v>318.25</v>
      </c>
      <c r="J20" s="134"/>
      <c r="K20" s="130" t="s">
        <v>12</v>
      </c>
      <c r="L20" s="131">
        <v>16377.6</v>
      </c>
    </row>
    <row r="21" spans="1:12" ht="61.2" x14ac:dyDescent="0.3">
      <c r="A21" s="125" t="s">
        <v>94</v>
      </c>
      <c r="B21" s="126" t="s">
        <v>307</v>
      </c>
      <c r="C21" s="126" t="s">
        <v>96</v>
      </c>
      <c r="D21" s="126" t="s">
        <v>309</v>
      </c>
      <c r="E21" s="127" t="s">
        <v>97</v>
      </c>
      <c r="F21" s="133" t="s">
        <v>19</v>
      </c>
      <c r="G21" s="133"/>
      <c r="H21" s="127" t="s">
        <v>17</v>
      </c>
      <c r="I21" s="134">
        <v>294</v>
      </c>
      <c r="J21" s="134"/>
      <c r="K21" s="130" t="s">
        <v>12</v>
      </c>
      <c r="L21" s="131">
        <v>16083.6</v>
      </c>
    </row>
    <row r="22" spans="1:12" ht="51" x14ac:dyDescent="0.3">
      <c r="A22" s="125" t="s">
        <v>94</v>
      </c>
      <c r="B22" s="126" t="s">
        <v>307</v>
      </c>
      <c r="C22" s="126" t="s">
        <v>96</v>
      </c>
      <c r="D22" s="126" t="s">
        <v>310</v>
      </c>
      <c r="E22" s="127" t="s">
        <v>97</v>
      </c>
      <c r="F22" s="133" t="s">
        <v>19</v>
      </c>
      <c r="G22" s="133"/>
      <c r="H22" s="127" t="s">
        <v>17</v>
      </c>
      <c r="I22" s="134">
        <v>445.5</v>
      </c>
      <c r="J22" s="134"/>
      <c r="K22" s="130" t="s">
        <v>12</v>
      </c>
      <c r="L22" s="131">
        <v>15638.1</v>
      </c>
    </row>
    <row r="23" spans="1:12" ht="61.2" hidden="1" x14ac:dyDescent="0.3">
      <c r="A23" s="125" t="s">
        <v>311</v>
      </c>
      <c r="B23" s="126" t="s">
        <v>312</v>
      </c>
      <c r="C23" s="126" t="s">
        <v>313</v>
      </c>
      <c r="D23" s="126" t="s">
        <v>314</v>
      </c>
      <c r="E23" s="127" t="s">
        <v>17</v>
      </c>
      <c r="F23" s="128">
        <v>1065.9000000000001</v>
      </c>
      <c r="G23" s="128"/>
      <c r="H23" s="127" t="s">
        <v>24</v>
      </c>
      <c r="I23" s="129" t="s">
        <v>19</v>
      </c>
      <c r="J23" s="129"/>
      <c r="K23" s="130" t="s">
        <v>12</v>
      </c>
      <c r="L23" s="131">
        <v>16704</v>
      </c>
    </row>
    <row r="24" spans="1:12" ht="61.2" hidden="1" x14ac:dyDescent="0.3">
      <c r="A24" s="125" t="s">
        <v>311</v>
      </c>
      <c r="B24" s="126" t="s">
        <v>312</v>
      </c>
      <c r="C24" s="126" t="s">
        <v>315</v>
      </c>
      <c r="D24" s="126" t="s">
        <v>314</v>
      </c>
      <c r="E24" s="127" t="s">
        <v>17</v>
      </c>
      <c r="F24" s="128">
        <v>2967.7</v>
      </c>
      <c r="G24" s="128"/>
      <c r="H24" s="127" t="s">
        <v>24</v>
      </c>
      <c r="I24" s="129" t="s">
        <v>19</v>
      </c>
      <c r="J24" s="129"/>
      <c r="K24" s="130" t="s">
        <v>12</v>
      </c>
      <c r="L24" s="131">
        <v>19671.7</v>
      </c>
    </row>
    <row r="25" spans="1:12" ht="61.2" hidden="1" x14ac:dyDescent="0.3">
      <c r="A25" s="125" t="s">
        <v>311</v>
      </c>
      <c r="B25" s="126" t="s">
        <v>316</v>
      </c>
      <c r="C25" s="126" t="s">
        <v>317</v>
      </c>
      <c r="D25" s="126" t="s">
        <v>318</v>
      </c>
      <c r="E25" s="127" t="s">
        <v>17</v>
      </c>
      <c r="F25" s="132">
        <v>462.75</v>
      </c>
      <c r="G25" s="132"/>
      <c r="H25" s="127" t="s">
        <v>24</v>
      </c>
      <c r="I25" s="129" t="s">
        <v>19</v>
      </c>
      <c r="J25" s="129"/>
      <c r="K25" s="130" t="s">
        <v>12</v>
      </c>
      <c r="L25" s="131">
        <v>20134.45</v>
      </c>
    </row>
    <row r="26" spans="1:12" ht="61.2" hidden="1" x14ac:dyDescent="0.3">
      <c r="A26" s="125" t="s">
        <v>311</v>
      </c>
      <c r="B26" s="126" t="s">
        <v>316</v>
      </c>
      <c r="C26" s="126" t="s">
        <v>319</v>
      </c>
      <c r="D26" s="126" t="s">
        <v>318</v>
      </c>
      <c r="E26" s="127" t="s">
        <v>17</v>
      </c>
      <c r="F26" s="132">
        <v>326.75</v>
      </c>
      <c r="G26" s="132"/>
      <c r="H26" s="127" t="s">
        <v>24</v>
      </c>
      <c r="I26" s="129" t="s">
        <v>19</v>
      </c>
      <c r="J26" s="129"/>
      <c r="K26" s="130" t="s">
        <v>12</v>
      </c>
      <c r="L26" s="131">
        <v>20461.2</v>
      </c>
    </row>
    <row r="27" spans="1:12" ht="61.2" hidden="1" x14ac:dyDescent="0.3">
      <c r="A27" s="125" t="s">
        <v>106</v>
      </c>
      <c r="B27" s="126" t="s">
        <v>141</v>
      </c>
      <c r="C27" s="126" t="s">
        <v>142</v>
      </c>
      <c r="D27" s="126" t="s">
        <v>108</v>
      </c>
      <c r="E27" s="127" t="s">
        <v>17</v>
      </c>
      <c r="F27" s="132">
        <v>145.25</v>
      </c>
      <c r="G27" s="132"/>
      <c r="H27" s="127" t="s">
        <v>17</v>
      </c>
      <c r="I27" s="129" t="s">
        <v>19</v>
      </c>
      <c r="J27" s="129"/>
      <c r="K27" s="130" t="s">
        <v>12</v>
      </c>
      <c r="L27" s="131">
        <v>20606.45</v>
      </c>
    </row>
    <row r="28" spans="1:12" ht="51" hidden="1" x14ac:dyDescent="0.3">
      <c r="A28" s="125" t="s">
        <v>106</v>
      </c>
      <c r="B28" s="126" t="s">
        <v>141</v>
      </c>
      <c r="C28" s="126" t="s">
        <v>143</v>
      </c>
      <c r="D28" s="126" t="s">
        <v>110</v>
      </c>
      <c r="E28" s="127" t="s">
        <v>17</v>
      </c>
      <c r="F28" s="128">
        <v>1061</v>
      </c>
      <c r="G28" s="128"/>
      <c r="H28" s="127" t="s">
        <v>17</v>
      </c>
      <c r="I28" s="129" t="s">
        <v>19</v>
      </c>
      <c r="J28" s="129"/>
      <c r="K28" s="130" t="s">
        <v>12</v>
      </c>
      <c r="L28" s="131">
        <v>21667.45</v>
      </c>
    </row>
    <row r="29" spans="1:12" ht="51" hidden="1" x14ac:dyDescent="0.3">
      <c r="A29" s="125" t="s">
        <v>106</v>
      </c>
      <c r="B29" s="126" t="s">
        <v>141</v>
      </c>
      <c r="C29" s="126" t="s">
        <v>144</v>
      </c>
      <c r="D29" s="126" t="s">
        <v>111</v>
      </c>
      <c r="E29" s="127" t="s">
        <v>17</v>
      </c>
      <c r="F29" s="132">
        <v>61.7</v>
      </c>
      <c r="G29" s="132"/>
      <c r="H29" s="127" t="s">
        <v>17</v>
      </c>
      <c r="I29" s="129" t="s">
        <v>19</v>
      </c>
      <c r="J29" s="129"/>
      <c r="K29" s="130" t="s">
        <v>12</v>
      </c>
      <c r="L29" s="131">
        <v>21729.15</v>
      </c>
    </row>
    <row r="30" spans="1:12" ht="51" hidden="1" x14ac:dyDescent="0.3">
      <c r="A30" s="125" t="s">
        <v>106</v>
      </c>
      <c r="B30" s="126" t="s">
        <v>141</v>
      </c>
      <c r="C30" s="126" t="s">
        <v>145</v>
      </c>
      <c r="D30" s="126" t="s">
        <v>112</v>
      </c>
      <c r="E30" s="127" t="s">
        <v>17</v>
      </c>
      <c r="F30" s="132">
        <v>136.5</v>
      </c>
      <c r="G30" s="132"/>
      <c r="H30" s="127" t="s">
        <v>17</v>
      </c>
      <c r="I30" s="129" t="s">
        <v>19</v>
      </c>
      <c r="J30" s="129"/>
      <c r="K30" s="130" t="s">
        <v>12</v>
      </c>
      <c r="L30" s="131">
        <v>21865.65</v>
      </c>
    </row>
    <row r="31" spans="1:12" ht="61.2" hidden="1" x14ac:dyDescent="0.3">
      <c r="A31" s="125" t="s">
        <v>106</v>
      </c>
      <c r="B31" s="126" t="s">
        <v>141</v>
      </c>
      <c r="C31" s="126" t="s">
        <v>146</v>
      </c>
      <c r="D31" s="126" t="s">
        <v>113</v>
      </c>
      <c r="E31" s="127" t="s">
        <v>17</v>
      </c>
      <c r="F31" s="132">
        <v>294</v>
      </c>
      <c r="G31" s="132"/>
      <c r="H31" s="127" t="s">
        <v>17</v>
      </c>
      <c r="I31" s="129" t="s">
        <v>19</v>
      </c>
      <c r="J31" s="129"/>
      <c r="K31" s="130" t="s">
        <v>12</v>
      </c>
      <c r="L31" s="131">
        <v>22159.65</v>
      </c>
    </row>
    <row r="32" spans="1:12" ht="61.2" hidden="1" x14ac:dyDescent="0.3">
      <c r="A32" s="125" t="s">
        <v>106</v>
      </c>
      <c r="B32" s="126" t="s">
        <v>141</v>
      </c>
      <c r="C32" s="126" t="s">
        <v>147</v>
      </c>
      <c r="D32" s="126" t="s">
        <v>114</v>
      </c>
      <c r="E32" s="127" t="s">
        <v>17</v>
      </c>
      <c r="F32" s="132">
        <v>193.35</v>
      </c>
      <c r="G32" s="132"/>
      <c r="H32" s="127" t="s">
        <v>17</v>
      </c>
      <c r="I32" s="129" t="s">
        <v>19</v>
      </c>
      <c r="J32" s="129"/>
      <c r="K32" s="130" t="s">
        <v>12</v>
      </c>
      <c r="L32" s="131">
        <v>22353</v>
      </c>
    </row>
    <row r="33" spans="1:12" ht="51" hidden="1" x14ac:dyDescent="0.3">
      <c r="A33" s="125" t="s">
        <v>106</v>
      </c>
      <c r="B33" s="126" t="s">
        <v>141</v>
      </c>
      <c r="C33" s="126" t="s">
        <v>148</v>
      </c>
      <c r="D33" s="126" t="s">
        <v>115</v>
      </c>
      <c r="E33" s="127" t="s">
        <v>17</v>
      </c>
      <c r="F33" s="132">
        <v>64.2</v>
      </c>
      <c r="G33" s="132"/>
      <c r="H33" s="127" t="s">
        <v>17</v>
      </c>
      <c r="I33" s="129" t="s">
        <v>19</v>
      </c>
      <c r="J33" s="129"/>
      <c r="K33" s="130" t="s">
        <v>12</v>
      </c>
      <c r="L33" s="131">
        <v>22417.200000000001</v>
      </c>
    </row>
    <row r="34" spans="1:12" ht="51" hidden="1" x14ac:dyDescent="0.3">
      <c r="A34" s="125" t="s">
        <v>106</v>
      </c>
      <c r="B34" s="126" t="s">
        <v>141</v>
      </c>
      <c r="C34" s="126" t="s">
        <v>149</v>
      </c>
      <c r="D34" s="126" t="s">
        <v>116</v>
      </c>
      <c r="E34" s="127" t="s">
        <v>17</v>
      </c>
      <c r="F34" s="132">
        <v>257.89999999999998</v>
      </c>
      <c r="G34" s="132"/>
      <c r="H34" s="127" t="s">
        <v>17</v>
      </c>
      <c r="I34" s="129" t="s">
        <v>19</v>
      </c>
      <c r="J34" s="129"/>
      <c r="K34" s="130" t="s">
        <v>12</v>
      </c>
      <c r="L34" s="131">
        <v>22675.1</v>
      </c>
    </row>
    <row r="35" spans="1:12" ht="61.2" hidden="1" x14ac:dyDescent="0.3">
      <c r="A35" s="125" t="s">
        <v>106</v>
      </c>
      <c r="B35" s="126" t="s">
        <v>141</v>
      </c>
      <c r="C35" s="126" t="s">
        <v>150</v>
      </c>
      <c r="D35" s="126" t="s">
        <v>120</v>
      </c>
      <c r="E35" s="127" t="s">
        <v>17</v>
      </c>
      <c r="F35" s="128">
        <v>1825.35</v>
      </c>
      <c r="G35" s="128"/>
      <c r="H35" s="127" t="s">
        <v>17</v>
      </c>
      <c r="I35" s="129" t="s">
        <v>19</v>
      </c>
      <c r="J35" s="129"/>
      <c r="K35" s="130" t="s">
        <v>12</v>
      </c>
      <c r="L35" s="131">
        <v>24500.45</v>
      </c>
    </row>
    <row r="36" spans="1:12" ht="61.2" hidden="1" x14ac:dyDescent="0.3">
      <c r="A36" s="125" t="s">
        <v>106</v>
      </c>
      <c r="B36" s="126" t="s">
        <v>141</v>
      </c>
      <c r="C36" s="126" t="s">
        <v>151</v>
      </c>
      <c r="D36" s="126" t="s">
        <v>121</v>
      </c>
      <c r="E36" s="127" t="s">
        <v>17</v>
      </c>
      <c r="F36" s="132">
        <v>170</v>
      </c>
      <c r="G36" s="132"/>
      <c r="H36" s="127" t="s">
        <v>17</v>
      </c>
      <c r="I36" s="129" t="s">
        <v>19</v>
      </c>
      <c r="J36" s="129"/>
      <c r="K36" s="130" t="s">
        <v>12</v>
      </c>
      <c r="L36" s="131">
        <v>24670.45</v>
      </c>
    </row>
    <row r="37" spans="1:12" ht="61.2" hidden="1" x14ac:dyDescent="0.3">
      <c r="A37" s="125" t="s">
        <v>106</v>
      </c>
      <c r="B37" s="126" t="s">
        <v>141</v>
      </c>
      <c r="C37" s="126" t="s">
        <v>152</v>
      </c>
      <c r="D37" s="126" t="s">
        <v>122</v>
      </c>
      <c r="E37" s="127" t="s">
        <v>17</v>
      </c>
      <c r="F37" s="132">
        <v>213.25</v>
      </c>
      <c r="G37" s="132"/>
      <c r="H37" s="127" t="s">
        <v>17</v>
      </c>
      <c r="I37" s="129" t="s">
        <v>19</v>
      </c>
      <c r="J37" s="129"/>
      <c r="K37" s="130" t="s">
        <v>12</v>
      </c>
      <c r="L37" s="131">
        <v>24883.7</v>
      </c>
    </row>
    <row r="38" spans="1:12" ht="51" hidden="1" x14ac:dyDescent="0.3">
      <c r="A38" s="125" t="s">
        <v>106</v>
      </c>
      <c r="B38" s="126" t="s">
        <v>141</v>
      </c>
      <c r="C38" s="126" t="s">
        <v>153</v>
      </c>
      <c r="D38" s="126" t="s">
        <v>123</v>
      </c>
      <c r="E38" s="127" t="s">
        <v>17</v>
      </c>
      <c r="F38" s="128">
        <v>1065.9000000000001</v>
      </c>
      <c r="G38" s="128"/>
      <c r="H38" s="127" t="s">
        <v>17</v>
      </c>
      <c r="I38" s="129" t="s">
        <v>19</v>
      </c>
      <c r="J38" s="129"/>
      <c r="K38" s="130" t="s">
        <v>12</v>
      </c>
      <c r="L38" s="131">
        <v>25949.599999999999</v>
      </c>
    </row>
    <row r="39" spans="1:12" ht="51" hidden="1" x14ac:dyDescent="0.3">
      <c r="A39" s="125" t="s">
        <v>106</v>
      </c>
      <c r="B39" s="126" t="s">
        <v>141</v>
      </c>
      <c r="C39" s="126" t="s">
        <v>154</v>
      </c>
      <c r="D39" s="126" t="s">
        <v>124</v>
      </c>
      <c r="E39" s="127" t="s">
        <v>17</v>
      </c>
      <c r="F39" s="132">
        <v>198.15</v>
      </c>
      <c r="G39" s="132"/>
      <c r="H39" s="127" t="s">
        <v>17</v>
      </c>
      <c r="I39" s="129" t="s">
        <v>19</v>
      </c>
      <c r="J39" s="129"/>
      <c r="K39" s="130" t="s">
        <v>12</v>
      </c>
      <c r="L39" s="131">
        <v>26147.75</v>
      </c>
    </row>
    <row r="40" spans="1:12" ht="51" hidden="1" x14ac:dyDescent="0.3">
      <c r="A40" s="125" t="s">
        <v>106</v>
      </c>
      <c r="B40" s="126" t="s">
        <v>141</v>
      </c>
      <c r="C40" s="126" t="s">
        <v>155</v>
      </c>
      <c r="D40" s="126" t="s">
        <v>128</v>
      </c>
      <c r="E40" s="127" t="s">
        <v>17</v>
      </c>
      <c r="F40" s="132">
        <v>95.85</v>
      </c>
      <c r="G40" s="132"/>
      <c r="H40" s="127" t="s">
        <v>17</v>
      </c>
      <c r="I40" s="129" t="s">
        <v>19</v>
      </c>
      <c r="J40" s="129"/>
      <c r="K40" s="130" t="s">
        <v>12</v>
      </c>
      <c r="L40" s="131">
        <v>26243.599999999999</v>
      </c>
    </row>
    <row r="41" spans="1:12" ht="61.2" hidden="1" x14ac:dyDescent="0.3">
      <c r="A41" s="125" t="s">
        <v>196</v>
      </c>
      <c r="B41" s="126" t="s">
        <v>320</v>
      </c>
      <c r="C41" s="126" t="s">
        <v>321</v>
      </c>
      <c r="D41" s="126" t="s">
        <v>322</v>
      </c>
      <c r="E41" s="127" t="s">
        <v>17</v>
      </c>
      <c r="F41" s="128">
        <v>2824.32</v>
      </c>
      <c r="G41" s="128"/>
      <c r="H41" s="127" t="s">
        <v>24</v>
      </c>
      <c r="I41" s="129" t="s">
        <v>19</v>
      </c>
      <c r="J41" s="129"/>
      <c r="K41" s="130" t="s">
        <v>12</v>
      </c>
      <c r="L41" s="131">
        <v>29067.919999999998</v>
      </c>
    </row>
    <row r="42" spans="1:12" ht="61.2" hidden="1" x14ac:dyDescent="0.3">
      <c r="A42" s="125" t="s">
        <v>196</v>
      </c>
      <c r="B42" s="126" t="s">
        <v>320</v>
      </c>
      <c r="C42" s="126" t="s">
        <v>323</v>
      </c>
      <c r="D42" s="126" t="s">
        <v>322</v>
      </c>
      <c r="E42" s="127" t="s">
        <v>17</v>
      </c>
      <c r="F42" s="128">
        <v>1426.48</v>
      </c>
      <c r="G42" s="128"/>
      <c r="H42" s="127" t="s">
        <v>24</v>
      </c>
      <c r="I42" s="129" t="s">
        <v>19</v>
      </c>
      <c r="J42" s="129"/>
      <c r="K42" s="130" t="s">
        <v>12</v>
      </c>
      <c r="L42" s="131">
        <v>30494.400000000001</v>
      </c>
    </row>
    <row r="43" spans="1:12" ht="61.2" x14ac:dyDescent="0.3">
      <c r="A43" s="125" t="s">
        <v>207</v>
      </c>
      <c r="B43" s="126" t="s">
        <v>324</v>
      </c>
      <c r="C43" s="126" t="s">
        <v>96</v>
      </c>
      <c r="D43" s="126" t="s">
        <v>150</v>
      </c>
      <c r="E43" s="127" t="s">
        <v>97</v>
      </c>
      <c r="F43" s="133" t="s">
        <v>19</v>
      </c>
      <c r="G43" s="133"/>
      <c r="H43" s="127" t="s">
        <v>17</v>
      </c>
      <c r="I43" s="135">
        <v>1825.35</v>
      </c>
      <c r="J43" s="135"/>
      <c r="K43" s="130" t="s">
        <v>12</v>
      </c>
      <c r="L43" s="131">
        <v>28669.05</v>
      </c>
    </row>
    <row r="44" spans="1:12" ht="51" x14ac:dyDescent="0.3">
      <c r="A44" s="125" t="s">
        <v>207</v>
      </c>
      <c r="B44" s="126" t="s">
        <v>324</v>
      </c>
      <c r="C44" s="126" t="s">
        <v>96</v>
      </c>
      <c r="D44" s="126" t="s">
        <v>88</v>
      </c>
      <c r="E44" s="127" t="s">
        <v>97</v>
      </c>
      <c r="F44" s="133" t="s">
        <v>19</v>
      </c>
      <c r="G44" s="133"/>
      <c r="H44" s="127" t="s">
        <v>17</v>
      </c>
      <c r="I44" s="134">
        <v>146</v>
      </c>
      <c r="J44" s="134"/>
      <c r="K44" s="130" t="s">
        <v>12</v>
      </c>
      <c r="L44" s="131">
        <v>28523.05</v>
      </c>
    </row>
    <row r="45" spans="1:12" ht="51" x14ac:dyDescent="0.3">
      <c r="A45" s="125" t="s">
        <v>207</v>
      </c>
      <c r="B45" s="126" t="s">
        <v>324</v>
      </c>
      <c r="C45" s="126" t="s">
        <v>96</v>
      </c>
      <c r="D45" s="126" t="s">
        <v>149</v>
      </c>
      <c r="E45" s="127" t="s">
        <v>97</v>
      </c>
      <c r="F45" s="133" t="s">
        <v>19</v>
      </c>
      <c r="G45" s="133"/>
      <c r="H45" s="127" t="s">
        <v>17</v>
      </c>
      <c r="I45" s="134">
        <v>257.89999999999998</v>
      </c>
      <c r="J45" s="134"/>
      <c r="K45" s="130" t="s">
        <v>12</v>
      </c>
      <c r="L45" s="131">
        <v>28265.15</v>
      </c>
    </row>
    <row r="46" spans="1:12" ht="51" x14ac:dyDescent="0.3">
      <c r="A46" s="125" t="s">
        <v>207</v>
      </c>
      <c r="B46" s="126" t="s">
        <v>324</v>
      </c>
      <c r="C46" s="126" t="s">
        <v>96</v>
      </c>
      <c r="D46" s="126" t="s">
        <v>143</v>
      </c>
      <c r="E46" s="127" t="s">
        <v>97</v>
      </c>
      <c r="F46" s="133" t="s">
        <v>19</v>
      </c>
      <c r="G46" s="133"/>
      <c r="H46" s="127" t="s">
        <v>17</v>
      </c>
      <c r="I46" s="135">
        <v>1061</v>
      </c>
      <c r="J46" s="135"/>
      <c r="K46" s="130" t="s">
        <v>12</v>
      </c>
      <c r="L46" s="131">
        <v>27204.15</v>
      </c>
    </row>
    <row r="47" spans="1:12" ht="61.2" x14ac:dyDescent="0.3">
      <c r="A47" s="125" t="s">
        <v>207</v>
      </c>
      <c r="B47" s="126" t="s">
        <v>324</v>
      </c>
      <c r="C47" s="126" t="s">
        <v>96</v>
      </c>
      <c r="D47" s="126" t="s">
        <v>142</v>
      </c>
      <c r="E47" s="127" t="s">
        <v>97</v>
      </c>
      <c r="F47" s="133" t="s">
        <v>19</v>
      </c>
      <c r="G47" s="133"/>
      <c r="H47" s="127" t="s">
        <v>17</v>
      </c>
      <c r="I47" s="134">
        <v>145.25</v>
      </c>
      <c r="J47" s="134"/>
      <c r="K47" s="130" t="s">
        <v>12</v>
      </c>
      <c r="L47" s="131">
        <v>27058.9</v>
      </c>
    </row>
    <row r="48" spans="1:12" ht="51" x14ac:dyDescent="0.3">
      <c r="A48" s="125" t="s">
        <v>207</v>
      </c>
      <c r="B48" s="126" t="s">
        <v>324</v>
      </c>
      <c r="C48" s="126" t="s">
        <v>96</v>
      </c>
      <c r="D48" s="126" t="s">
        <v>155</v>
      </c>
      <c r="E48" s="127" t="s">
        <v>97</v>
      </c>
      <c r="F48" s="133" t="s">
        <v>19</v>
      </c>
      <c r="G48" s="133"/>
      <c r="H48" s="127" t="s">
        <v>17</v>
      </c>
      <c r="I48" s="134">
        <v>95.85</v>
      </c>
      <c r="J48" s="134"/>
      <c r="K48" s="130" t="s">
        <v>12</v>
      </c>
      <c r="L48" s="131">
        <v>26963.05</v>
      </c>
    </row>
    <row r="49" spans="1:12" ht="51" x14ac:dyDescent="0.3">
      <c r="A49" s="125" t="s">
        <v>207</v>
      </c>
      <c r="B49" s="126" t="s">
        <v>324</v>
      </c>
      <c r="C49" s="126" t="s">
        <v>96</v>
      </c>
      <c r="D49" s="126" t="s">
        <v>154</v>
      </c>
      <c r="E49" s="127" t="s">
        <v>97</v>
      </c>
      <c r="F49" s="133" t="s">
        <v>19</v>
      </c>
      <c r="G49" s="133"/>
      <c r="H49" s="127" t="s">
        <v>17</v>
      </c>
      <c r="I49" s="134">
        <v>198.15</v>
      </c>
      <c r="J49" s="134"/>
      <c r="K49" s="130" t="s">
        <v>12</v>
      </c>
      <c r="L49" s="131">
        <v>26764.9</v>
      </c>
    </row>
    <row r="50" spans="1:12" ht="51" x14ac:dyDescent="0.3">
      <c r="A50" s="125" t="s">
        <v>207</v>
      </c>
      <c r="B50" s="126" t="s">
        <v>324</v>
      </c>
      <c r="C50" s="126" t="s">
        <v>96</v>
      </c>
      <c r="D50" s="126" t="s">
        <v>145</v>
      </c>
      <c r="E50" s="127" t="s">
        <v>97</v>
      </c>
      <c r="F50" s="133" t="s">
        <v>19</v>
      </c>
      <c r="G50" s="133"/>
      <c r="H50" s="127" t="s">
        <v>17</v>
      </c>
      <c r="I50" s="134">
        <v>136.5</v>
      </c>
      <c r="J50" s="134"/>
      <c r="K50" s="130" t="s">
        <v>12</v>
      </c>
      <c r="L50" s="131">
        <v>26628.400000000001</v>
      </c>
    </row>
    <row r="51" spans="1:12" ht="51" x14ac:dyDescent="0.3">
      <c r="A51" s="125" t="s">
        <v>207</v>
      </c>
      <c r="B51" s="126" t="s">
        <v>324</v>
      </c>
      <c r="C51" s="126" t="s">
        <v>96</v>
      </c>
      <c r="D51" s="126" t="s">
        <v>46</v>
      </c>
      <c r="E51" s="127" t="s">
        <v>97</v>
      </c>
      <c r="F51" s="133" t="s">
        <v>19</v>
      </c>
      <c r="G51" s="133"/>
      <c r="H51" s="127" t="s">
        <v>17</v>
      </c>
      <c r="I51" s="134">
        <v>275.75</v>
      </c>
      <c r="J51" s="134"/>
      <c r="K51" s="130" t="s">
        <v>12</v>
      </c>
      <c r="L51" s="131">
        <v>26352.65</v>
      </c>
    </row>
    <row r="52" spans="1:12" ht="51" x14ac:dyDescent="0.3">
      <c r="A52" s="125" t="s">
        <v>207</v>
      </c>
      <c r="B52" s="126" t="s">
        <v>324</v>
      </c>
      <c r="C52" s="126" t="s">
        <v>96</v>
      </c>
      <c r="D52" s="126" t="s">
        <v>148</v>
      </c>
      <c r="E52" s="127" t="s">
        <v>97</v>
      </c>
      <c r="F52" s="133" t="s">
        <v>19</v>
      </c>
      <c r="G52" s="133"/>
      <c r="H52" s="127" t="s">
        <v>17</v>
      </c>
      <c r="I52" s="134">
        <v>64.2</v>
      </c>
      <c r="J52" s="134"/>
      <c r="K52" s="130" t="s">
        <v>12</v>
      </c>
      <c r="L52" s="131">
        <v>26288.45</v>
      </c>
    </row>
    <row r="53" spans="1:12" ht="61.2" x14ac:dyDescent="0.3">
      <c r="A53" s="125" t="s">
        <v>207</v>
      </c>
      <c r="B53" s="126" t="s">
        <v>324</v>
      </c>
      <c r="C53" s="126" t="s">
        <v>96</v>
      </c>
      <c r="D53" s="126" t="s">
        <v>147</v>
      </c>
      <c r="E53" s="127" t="s">
        <v>97</v>
      </c>
      <c r="F53" s="133" t="s">
        <v>19</v>
      </c>
      <c r="G53" s="133"/>
      <c r="H53" s="127" t="s">
        <v>17</v>
      </c>
      <c r="I53" s="134">
        <v>193.35</v>
      </c>
      <c r="J53" s="134"/>
      <c r="K53" s="130" t="s">
        <v>12</v>
      </c>
      <c r="L53" s="131">
        <v>26095.1</v>
      </c>
    </row>
    <row r="54" spans="1:12" ht="51" x14ac:dyDescent="0.3">
      <c r="A54" s="125" t="s">
        <v>210</v>
      </c>
      <c r="B54" s="126" t="s">
        <v>325</v>
      </c>
      <c r="C54" s="126" t="s">
        <v>96</v>
      </c>
      <c r="D54" s="126" t="s">
        <v>89</v>
      </c>
      <c r="E54" s="127" t="s">
        <v>97</v>
      </c>
      <c r="F54" s="133" t="s">
        <v>19</v>
      </c>
      <c r="G54" s="133"/>
      <c r="H54" s="127" t="s">
        <v>17</v>
      </c>
      <c r="I54" s="134">
        <v>87.5</v>
      </c>
      <c r="J54" s="134"/>
      <c r="K54" s="130" t="s">
        <v>12</v>
      </c>
      <c r="L54" s="131">
        <v>26007.599999999999</v>
      </c>
    </row>
    <row r="55" spans="1:12" ht="51" x14ac:dyDescent="0.3">
      <c r="A55" s="125" t="s">
        <v>210</v>
      </c>
      <c r="B55" s="126" t="s">
        <v>325</v>
      </c>
      <c r="C55" s="126" t="s">
        <v>96</v>
      </c>
      <c r="D55" s="126" t="s">
        <v>90</v>
      </c>
      <c r="E55" s="127" t="s">
        <v>97</v>
      </c>
      <c r="F55" s="133" t="s">
        <v>19</v>
      </c>
      <c r="G55" s="133"/>
      <c r="H55" s="127" t="s">
        <v>17</v>
      </c>
      <c r="I55" s="134">
        <v>827.1</v>
      </c>
      <c r="J55" s="134"/>
      <c r="K55" s="130" t="s">
        <v>12</v>
      </c>
      <c r="L55" s="131">
        <v>25180.5</v>
      </c>
    </row>
    <row r="56" spans="1:12" ht="51" x14ac:dyDescent="0.3">
      <c r="A56" s="125" t="s">
        <v>210</v>
      </c>
      <c r="B56" s="126" t="s">
        <v>326</v>
      </c>
      <c r="C56" s="126" t="s">
        <v>96</v>
      </c>
      <c r="D56" s="126" t="s">
        <v>144</v>
      </c>
      <c r="E56" s="127" t="s">
        <v>97</v>
      </c>
      <c r="F56" s="133" t="s">
        <v>19</v>
      </c>
      <c r="G56" s="133"/>
      <c r="H56" s="127" t="s">
        <v>17</v>
      </c>
      <c r="I56" s="134">
        <v>61.7</v>
      </c>
      <c r="J56" s="134"/>
      <c r="K56" s="130" t="s">
        <v>12</v>
      </c>
      <c r="L56" s="131">
        <v>25118.799999999999</v>
      </c>
    </row>
    <row r="57" spans="1:12" ht="61.2" x14ac:dyDescent="0.3">
      <c r="A57" s="125" t="s">
        <v>210</v>
      </c>
      <c r="B57" s="126" t="s">
        <v>326</v>
      </c>
      <c r="C57" s="126" t="s">
        <v>96</v>
      </c>
      <c r="D57" s="126" t="s">
        <v>152</v>
      </c>
      <c r="E57" s="127" t="s">
        <v>97</v>
      </c>
      <c r="F57" s="133" t="s">
        <v>19</v>
      </c>
      <c r="G57" s="133"/>
      <c r="H57" s="127" t="s">
        <v>17</v>
      </c>
      <c r="I57" s="134">
        <v>213.25</v>
      </c>
      <c r="J57" s="134"/>
      <c r="K57" s="130" t="s">
        <v>12</v>
      </c>
      <c r="L57" s="131">
        <v>24905.55</v>
      </c>
    </row>
    <row r="58" spans="1:12" ht="51" x14ac:dyDescent="0.3">
      <c r="A58" s="125" t="s">
        <v>210</v>
      </c>
      <c r="B58" s="126" t="s">
        <v>326</v>
      </c>
      <c r="C58" s="126" t="s">
        <v>96</v>
      </c>
      <c r="D58" s="126" t="s">
        <v>153</v>
      </c>
      <c r="E58" s="127" t="s">
        <v>97</v>
      </c>
      <c r="F58" s="133" t="s">
        <v>19</v>
      </c>
      <c r="G58" s="133"/>
      <c r="H58" s="127" t="s">
        <v>17</v>
      </c>
      <c r="I58" s="135">
        <v>1065.9000000000001</v>
      </c>
      <c r="J58" s="135"/>
      <c r="K58" s="130" t="s">
        <v>12</v>
      </c>
      <c r="L58" s="131">
        <v>23839.65</v>
      </c>
    </row>
    <row r="59" spans="1:12" ht="51" x14ac:dyDescent="0.3">
      <c r="A59" s="125" t="s">
        <v>210</v>
      </c>
      <c r="B59" s="126" t="s">
        <v>326</v>
      </c>
      <c r="C59" s="126" t="s">
        <v>96</v>
      </c>
      <c r="D59" s="126" t="s">
        <v>305</v>
      </c>
      <c r="E59" s="127" t="s">
        <v>97</v>
      </c>
      <c r="F59" s="133" t="s">
        <v>19</v>
      </c>
      <c r="G59" s="133"/>
      <c r="H59" s="127" t="s">
        <v>17</v>
      </c>
      <c r="I59" s="134">
        <v>250</v>
      </c>
      <c r="J59" s="134"/>
      <c r="K59" s="130" t="s">
        <v>12</v>
      </c>
      <c r="L59" s="131">
        <v>23589.65</v>
      </c>
    </row>
    <row r="60" spans="1:12" ht="61.2" x14ac:dyDescent="0.3">
      <c r="A60" s="125" t="s">
        <v>210</v>
      </c>
      <c r="B60" s="126" t="s">
        <v>326</v>
      </c>
      <c r="C60" s="126" t="s">
        <v>96</v>
      </c>
      <c r="D60" s="126" t="s">
        <v>151</v>
      </c>
      <c r="E60" s="127" t="s">
        <v>97</v>
      </c>
      <c r="F60" s="133" t="s">
        <v>19</v>
      </c>
      <c r="G60" s="133"/>
      <c r="H60" s="127" t="s">
        <v>17</v>
      </c>
      <c r="I60" s="134">
        <v>170</v>
      </c>
      <c r="J60" s="134"/>
      <c r="K60" s="130" t="s">
        <v>12</v>
      </c>
      <c r="L60" s="131">
        <v>23419.65</v>
      </c>
    </row>
    <row r="61" spans="1:12" ht="51" x14ac:dyDescent="0.3">
      <c r="A61" s="125" t="s">
        <v>210</v>
      </c>
      <c r="B61" s="126" t="s">
        <v>326</v>
      </c>
      <c r="C61" s="126" t="s">
        <v>96</v>
      </c>
      <c r="D61" s="126" t="s">
        <v>91</v>
      </c>
      <c r="E61" s="127" t="s">
        <v>97</v>
      </c>
      <c r="F61" s="133" t="s">
        <v>19</v>
      </c>
      <c r="G61" s="133"/>
      <c r="H61" s="127" t="s">
        <v>17</v>
      </c>
      <c r="I61" s="134">
        <v>204.25</v>
      </c>
      <c r="J61" s="134"/>
      <c r="K61" s="130" t="s">
        <v>12</v>
      </c>
      <c r="L61" s="131">
        <v>23215.4</v>
      </c>
    </row>
    <row r="62" spans="1:12" ht="61.2" x14ac:dyDescent="0.3">
      <c r="A62" s="125" t="s">
        <v>210</v>
      </c>
      <c r="B62" s="126" t="s">
        <v>326</v>
      </c>
      <c r="C62" s="126" t="s">
        <v>96</v>
      </c>
      <c r="D62" s="126" t="s">
        <v>146</v>
      </c>
      <c r="E62" s="127" t="s">
        <v>97</v>
      </c>
      <c r="F62" s="133" t="s">
        <v>19</v>
      </c>
      <c r="G62" s="133"/>
      <c r="H62" s="127" t="s">
        <v>17</v>
      </c>
      <c r="I62" s="134">
        <v>294</v>
      </c>
      <c r="J62" s="134"/>
      <c r="K62" s="130" t="s">
        <v>12</v>
      </c>
      <c r="L62" s="131">
        <v>22921.4</v>
      </c>
    </row>
    <row r="63" spans="1:12" ht="61.2" x14ac:dyDescent="0.3">
      <c r="A63" s="125" t="s">
        <v>210</v>
      </c>
      <c r="B63" s="126" t="s">
        <v>327</v>
      </c>
      <c r="C63" s="126" t="s">
        <v>96</v>
      </c>
      <c r="D63" s="126" t="s">
        <v>317</v>
      </c>
      <c r="E63" s="127" t="s">
        <v>97</v>
      </c>
      <c r="F63" s="133" t="s">
        <v>19</v>
      </c>
      <c r="G63" s="133"/>
      <c r="H63" s="127" t="s">
        <v>17</v>
      </c>
      <c r="I63" s="134">
        <v>462.75</v>
      </c>
      <c r="J63" s="134"/>
      <c r="K63" s="130" t="s">
        <v>12</v>
      </c>
      <c r="L63" s="131">
        <v>22458.65</v>
      </c>
    </row>
    <row r="64" spans="1:12" ht="61.2" x14ac:dyDescent="0.3">
      <c r="A64" s="125" t="s">
        <v>210</v>
      </c>
      <c r="B64" s="126" t="s">
        <v>327</v>
      </c>
      <c r="C64" s="126" t="s">
        <v>96</v>
      </c>
      <c r="D64" s="126" t="s">
        <v>319</v>
      </c>
      <c r="E64" s="127" t="s">
        <v>97</v>
      </c>
      <c r="F64" s="133" t="s">
        <v>19</v>
      </c>
      <c r="G64" s="133"/>
      <c r="H64" s="127" t="s">
        <v>17</v>
      </c>
      <c r="I64" s="134">
        <v>326.75</v>
      </c>
      <c r="J64" s="134"/>
      <c r="K64" s="130" t="s">
        <v>12</v>
      </c>
      <c r="L64" s="131">
        <v>22131.9</v>
      </c>
    </row>
    <row r="65" spans="1:12" ht="61.2" x14ac:dyDescent="0.3">
      <c r="A65" s="125" t="s">
        <v>210</v>
      </c>
      <c r="B65" s="126" t="s">
        <v>327</v>
      </c>
      <c r="C65" s="126" t="s">
        <v>96</v>
      </c>
      <c r="D65" s="126" t="s">
        <v>301</v>
      </c>
      <c r="E65" s="127" t="s">
        <v>97</v>
      </c>
      <c r="F65" s="133" t="s">
        <v>19</v>
      </c>
      <c r="G65" s="133"/>
      <c r="H65" s="127" t="s">
        <v>17</v>
      </c>
      <c r="I65" s="134">
        <v>35.950000000000003</v>
      </c>
      <c r="J65" s="134"/>
      <c r="K65" s="130" t="s">
        <v>12</v>
      </c>
      <c r="L65" s="131">
        <v>22095.95</v>
      </c>
    </row>
    <row r="66" spans="1:12" ht="61.2" x14ac:dyDescent="0.3">
      <c r="A66" s="125" t="s">
        <v>210</v>
      </c>
      <c r="B66" s="126" t="s">
        <v>327</v>
      </c>
      <c r="C66" s="126" t="s">
        <v>96</v>
      </c>
      <c r="D66" s="126" t="s">
        <v>300</v>
      </c>
      <c r="E66" s="127" t="s">
        <v>97</v>
      </c>
      <c r="F66" s="133" t="s">
        <v>19</v>
      </c>
      <c r="G66" s="133"/>
      <c r="H66" s="127" t="s">
        <v>17</v>
      </c>
      <c r="I66" s="134">
        <v>52.9</v>
      </c>
      <c r="J66" s="134"/>
      <c r="K66" s="130" t="s">
        <v>12</v>
      </c>
      <c r="L66" s="131">
        <v>22043.05</v>
      </c>
    </row>
    <row r="67" spans="1:12" ht="61.2" x14ac:dyDescent="0.3">
      <c r="A67" s="125" t="s">
        <v>210</v>
      </c>
      <c r="B67" s="126" t="s">
        <v>327</v>
      </c>
      <c r="C67" s="126" t="s">
        <v>96</v>
      </c>
      <c r="D67" s="126" t="s">
        <v>299</v>
      </c>
      <c r="E67" s="127" t="s">
        <v>97</v>
      </c>
      <c r="F67" s="133" t="s">
        <v>19</v>
      </c>
      <c r="G67" s="133"/>
      <c r="H67" s="127" t="s">
        <v>17</v>
      </c>
      <c r="I67" s="134">
        <v>36</v>
      </c>
      <c r="J67" s="134"/>
      <c r="K67" s="130" t="s">
        <v>12</v>
      </c>
      <c r="L67" s="131">
        <v>22007.05</v>
      </c>
    </row>
    <row r="68" spans="1:12" ht="51" x14ac:dyDescent="0.3">
      <c r="A68" s="125" t="s">
        <v>210</v>
      </c>
      <c r="B68" s="126" t="s">
        <v>327</v>
      </c>
      <c r="C68" s="126" t="s">
        <v>96</v>
      </c>
      <c r="D68" s="126" t="s">
        <v>296</v>
      </c>
      <c r="E68" s="127" t="s">
        <v>97</v>
      </c>
      <c r="F68" s="133" t="s">
        <v>19</v>
      </c>
      <c r="G68" s="133"/>
      <c r="H68" s="127" t="s">
        <v>17</v>
      </c>
      <c r="I68" s="134">
        <v>328.75</v>
      </c>
      <c r="J68" s="134"/>
      <c r="K68" s="130" t="s">
        <v>12</v>
      </c>
      <c r="L68" s="131">
        <v>21678.3</v>
      </c>
    </row>
    <row r="69" spans="1:12" ht="51" x14ac:dyDescent="0.3">
      <c r="A69" s="125" t="s">
        <v>210</v>
      </c>
      <c r="B69" s="126" t="s">
        <v>327</v>
      </c>
      <c r="C69" s="126" t="s">
        <v>96</v>
      </c>
      <c r="D69" s="126" t="s">
        <v>298</v>
      </c>
      <c r="E69" s="127" t="s">
        <v>97</v>
      </c>
      <c r="F69" s="133" t="s">
        <v>19</v>
      </c>
      <c r="G69" s="133"/>
      <c r="H69" s="127" t="s">
        <v>17</v>
      </c>
      <c r="I69" s="134">
        <v>798.35</v>
      </c>
      <c r="J69" s="134"/>
      <c r="K69" s="130" t="s">
        <v>12</v>
      </c>
      <c r="L69" s="131">
        <v>20879.95</v>
      </c>
    </row>
    <row r="70" spans="1:12" ht="61.2" x14ac:dyDescent="0.3">
      <c r="A70" s="125" t="s">
        <v>210</v>
      </c>
      <c r="B70" s="126" t="s">
        <v>327</v>
      </c>
      <c r="C70" s="126" t="s">
        <v>96</v>
      </c>
      <c r="D70" s="126" t="s">
        <v>297</v>
      </c>
      <c r="E70" s="127" t="s">
        <v>97</v>
      </c>
      <c r="F70" s="133" t="s">
        <v>19</v>
      </c>
      <c r="G70" s="133"/>
      <c r="H70" s="127" t="s">
        <v>17</v>
      </c>
      <c r="I70" s="134">
        <v>212.8</v>
      </c>
      <c r="J70" s="134"/>
      <c r="K70" s="130" t="s">
        <v>12</v>
      </c>
      <c r="L70" s="131">
        <v>20667.150000000001</v>
      </c>
    </row>
    <row r="71" spans="1:12" ht="61.2" x14ac:dyDescent="0.3">
      <c r="A71" s="125" t="s">
        <v>210</v>
      </c>
      <c r="B71" s="126" t="s">
        <v>327</v>
      </c>
      <c r="C71" s="126" t="s">
        <v>96</v>
      </c>
      <c r="D71" s="126" t="s">
        <v>295</v>
      </c>
      <c r="E71" s="127" t="s">
        <v>97</v>
      </c>
      <c r="F71" s="133" t="s">
        <v>19</v>
      </c>
      <c r="G71" s="133"/>
      <c r="H71" s="127" t="s">
        <v>17</v>
      </c>
      <c r="I71" s="134">
        <v>852.35</v>
      </c>
      <c r="J71" s="134"/>
      <c r="K71" s="130" t="s">
        <v>12</v>
      </c>
      <c r="L71" s="131">
        <v>19814.8</v>
      </c>
    </row>
    <row r="72" spans="1:12" ht="61.2" x14ac:dyDescent="0.3">
      <c r="A72" s="125" t="s">
        <v>210</v>
      </c>
      <c r="B72" s="126" t="s">
        <v>327</v>
      </c>
      <c r="C72" s="126" t="s">
        <v>96</v>
      </c>
      <c r="D72" s="126" t="s">
        <v>293</v>
      </c>
      <c r="E72" s="127" t="s">
        <v>97</v>
      </c>
      <c r="F72" s="133" t="s">
        <v>19</v>
      </c>
      <c r="G72" s="133"/>
      <c r="H72" s="127" t="s">
        <v>17</v>
      </c>
      <c r="I72" s="135">
        <v>1321.9</v>
      </c>
      <c r="J72" s="135"/>
      <c r="K72" s="130" t="s">
        <v>12</v>
      </c>
      <c r="L72" s="131">
        <v>18492.900000000001</v>
      </c>
    </row>
    <row r="73" spans="1:12" ht="51" hidden="1" x14ac:dyDescent="0.3">
      <c r="A73" s="125" t="s">
        <v>220</v>
      </c>
      <c r="B73" s="126" t="s">
        <v>243</v>
      </c>
      <c r="C73" s="126" t="s">
        <v>244</v>
      </c>
      <c r="D73" s="126" t="s">
        <v>226</v>
      </c>
      <c r="E73" s="127" t="s">
        <v>17</v>
      </c>
      <c r="F73" s="132">
        <v>294</v>
      </c>
      <c r="G73" s="132"/>
      <c r="H73" s="127" t="s">
        <v>17</v>
      </c>
      <c r="I73" s="129" t="s">
        <v>19</v>
      </c>
      <c r="J73" s="129"/>
      <c r="K73" s="130" t="s">
        <v>12</v>
      </c>
      <c r="L73" s="131">
        <v>18786.900000000001</v>
      </c>
    </row>
    <row r="74" spans="1:12" ht="61.2" hidden="1" x14ac:dyDescent="0.3">
      <c r="A74" s="125" t="s">
        <v>220</v>
      </c>
      <c r="B74" s="126" t="s">
        <v>243</v>
      </c>
      <c r="C74" s="126" t="s">
        <v>245</v>
      </c>
      <c r="D74" s="126" t="s">
        <v>227</v>
      </c>
      <c r="E74" s="127" t="s">
        <v>17</v>
      </c>
      <c r="F74" s="132">
        <v>151</v>
      </c>
      <c r="G74" s="132"/>
      <c r="H74" s="127" t="s">
        <v>17</v>
      </c>
      <c r="I74" s="129" t="s">
        <v>19</v>
      </c>
      <c r="J74" s="129"/>
      <c r="K74" s="130" t="s">
        <v>12</v>
      </c>
      <c r="L74" s="131">
        <v>18937.900000000001</v>
      </c>
    </row>
    <row r="75" spans="1:12" hidden="1" x14ac:dyDescent="0.3">
      <c r="A75" s="136" t="s">
        <v>249</v>
      </c>
      <c r="B75" s="136"/>
      <c r="C75" s="136"/>
      <c r="D75" s="136"/>
      <c r="E75" s="137">
        <v>30939.4</v>
      </c>
      <c r="F75" s="137"/>
      <c r="G75" s="137"/>
      <c r="H75" s="137">
        <v>13059.25</v>
      </c>
      <c r="I75" s="137"/>
      <c r="J75" s="137"/>
      <c r="K75" s="138" t="s">
        <v>12</v>
      </c>
      <c r="L75" s="139">
        <v>18937.900000000001</v>
      </c>
    </row>
    <row r="77" spans="1:12" x14ac:dyDescent="0.3">
      <c r="J77">
        <f>SUBTOTAL(9,I20:J72)</f>
        <v>13059.25</v>
      </c>
    </row>
  </sheetData>
  <autoFilter ref="A1:L75">
    <filterColumn colId="1">
      <filters>
        <filter val="Передача малоцінних активів в експлуатацію ІБ00-000103 від 18.03.2025 14:20:12_x000a_Списание стоимости малоценных активов"/>
        <filter val="Передача малоцінних активів в експлуатацію ІБ00-000127 від 27.03.2025 14:24:15_x000a_Списание стоимости малоценных активов"/>
        <filter val="Передача малоцінних активів в експлуатацію ІБ00-000129 від 28.03.2025 08:09:31_x000a_Списание стоимости малоценных активов"/>
        <filter val="Передача малоцінних активів в експлуатацію ІБ00-000138 від 28.03.2025 00:00:00_x000a_Списание стоимости малоценных активов"/>
        <filter val="Передача малоцінних активів в експлуатацію ІБ00-000141 від 28.03.2025 20:00:07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56">
    <mergeCell ref="F73:G73"/>
    <mergeCell ref="I73:J73"/>
    <mergeCell ref="F74:G74"/>
    <mergeCell ref="I74:J74"/>
    <mergeCell ref="A75:D75"/>
    <mergeCell ref="E75:G75"/>
    <mergeCell ref="H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</vt:lpstr>
      <vt:lpstr>Глобине-2</vt:lpstr>
      <vt:lpstr>Котельна</vt:lpstr>
      <vt:lpstr>Насосна Градирня</vt:lpstr>
      <vt:lpstr>Резервуар</vt:lpstr>
      <vt:lpstr>Цех екстракції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2025-04-23T16:33:59Z</dcterms:modified>
</cp:coreProperties>
</file>
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Лист1!$A$1:$J$45</definedName>
  </definedNames>
  <calcPr calcId="144525"/>
</workbook>
</file>

<file path=xl/calcChain.xml><?xml version="1.0" encoding="utf-8"?>
<calcChain xmlns="http://schemas.openxmlformats.org/spreadsheetml/2006/main">
  <c r="D46" i="1" l="1"/>
  <c r="D47" i="1"/>
  <c r="D51" i="1" s="1"/>
  <c r="D50" i="1"/>
  <c r="D49" i="1"/>
  <c r="D48" i="1"/>
  <c r="D45" i="1"/>
</calcChain>
</file>

<file path=xl/sharedStrings.xml><?xml version="1.0" encoding="utf-8"?>
<sst xmlns="http://schemas.openxmlformats.org/spreadsheetml/2006/main" count="365" uniqueCount="161">
  <si>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</si>
  <si>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</si>
  <si>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</si>
  <si>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</si>
  <si>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</si>
  <si>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</si>
  <si>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</si>
  <si>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</si>
  <si>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</si>
  <si>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Субпідряд</t>
  </si>
  <si>
    <t>05.03.2025 16:00:00</t>
  </si>
  <si>
    <t>ІБ00-000078</t>
  </si>
  <si>
    <t>АСТАРТА АГРО ПРОТЕЇН ТОВ</t>
  </si>
  <si>
    <t>грн</t>
  </si>
  <si>
    <t>Виробничий (Глобине-2)</t>
  </si>
  <si>
    <t>ТОВ "ІНДАСТРІАЛБУД"</t>
  </si>
  <si>
    <t>Хлань Елена</t>
  </si>
  <si>
    <t xml:space="preserve"> Акт 4/1.25 (Демонтажні роботи)</t>
  </si>
  <si>
    <t>Надходження товарів і послуг ІБ00-000914 від 28.02.2025 20:00:00</t>
  </si>
  <si>
    <t>05.03.2025 16:18:42</t>
  </si>
  <si>
    <t>ІБ00-000093</t>
  </si>
  <si>
    <t xml:space="preserve"> Акт 15/1.14-КМ (Котельня)</t>
  </si>
  <si>
    <t>05.03.2025 16:19:30</t>
  </si>
  <si>
    <t>ІБ00-000094</t>
  </si>
  <si>
    <t>Акт 22/1.3-КБ(Цех екстракції поз. 3 ГБ) МШП 1996,32</t>
  </si>
  <si>
    <t>05.03.2025 16:20:07</t>
  </si>
  <si>
    <t>ІБ00-000095</t>
  </si>
  <si>
    <t>Акт 32/1.3-КМ(Цех екстракції поз. 3 ГБ) МШП 10648 (монтаж м/к)</t>
  </si>
  <si>
    <t>05.03.2025 16:21:34</t>
  </si>
  <si>
    <t>ІБ00-000096</t>
  </si>
  <si>
    <t>Акт 3/1.5-КМ (насосна,градирня)</t>
  </si>
  <si>
    <t>Надходження товарів і послуг ІБ00-001064 від 03.03.2025 18:30:10</t>
  </si>
  <si>
    <t>05.03.2025 16:21:57</t>
  </si>
  <si>
    <t>ІБ00-000097</t>
  </si>
  <si>
    <t>Акт 4/1.5-КМ (насосна,градирня) МШП 1025,97</t>
  </si>
  <si>
    <t>05.03.2025 16:23:25</t>
  </si>
  <si>
    <t>ІБ00-000098</t>
  </si>
  <si>
    <t xml:space="preserve"> Акт 8/1.12-КБ (Резервуарний парк) МШП 7431,80</t>
  </si>
  <si>
    <t>05.03.2025 16:29:03</t>
  </si>
  <si>
    <t>ІБ00-000099</t>
  </si>
  <si>
    <t xml:space="preserve"> Акт 1/1.9-ЗБ</t>
  </si>
  <si>
    <t>10.03.2025 18:00:01</t>
  </si>
  <si>
    <t>ІБ00-000110</t>
  </si>
  <si>
    <t>КАТЕРИНОПІЛЬСЬКИЙ ЕЛЕВАТОР ТОВ</t>
  </si>
  <si>
    <t>Виробничий (Катеринопіль МХП)</t>
  </si>
  <si>
    <t>Акт 4</t>
  </si>
  <si>
    <t>Надходження товарів і послуг ІБ00-001067 від 03.03.2025 18:30:11</t>
  </si>
  <si>
    <t>11.03.2025 19:00:07</t>
  </si>
  <si>
    <t>ІБ00-000122</t>
  </si>
  <si>
    <t xml:space="preserve">КОМРАД ТРЕЙД  ТОВ </t>
  </si>
  <si>
    <t>Виробничий (Путрівка КМД)</t>
  </si>
  <si>
    <t xml:space="preserve">Акт 1 </t>
  </si>
  <si>
    <t>12.03.2025 10:38:04</t>
  </si>
  <si>
    <t>ІБ00-000101</t>
  </si>
  <si>
    <t xml:space="preserve"> Акт 5/1.25 (Демонтажні роботи) роботи підрядника мшп 2955,00</t>
  </si>
  <si>
    <t>Надходження товарів і послуг ІБ00-001069 від 12.03.2025 18:45:27</t>
  </si>
  <si>
    <t>12.03.2025 10:39:42</t>
  </si>
  <si>
    <t>ІБ00-000102</t>
  </si>
  <si>
    <t xml:space="preserve"> Акт 1/1.26_Б мшп 1477,50</t>
  </si>
  <si>
    <t>12.03.2025 10:40:23</t>
  </si>
  <si>
    <t>ІБ00-000103</t>
  </si>
  <si>
    <t xml:space="preserve"> Акт 2/1.9-ЗБ роботи підрядника</t>
  </si>
  <si>
    <t>12.03.2025 10:41:08</t>
  </si>
  <si>
    <t>ІБ00-000104</t>
  </si>
  <si>
    <t>Акт 5/1.5-КМ (насосна,градирня) МШП 2749,90</t>
  </si>
  <si>
    <t>12.03.2025 10:41:30</t>
  </si>
  <si>
    <t>ІБ00-000105</t>
  </si>
  <si>
    <t>Акт 6/1.5-КМ (насосна,градирня) закрывался только материал. Работы не выполнялись</t>
  </si>
  <si>
    <t>12.03.2025 10:42:08</t>
  </si>
  <si>
    <t>ІБ00-000106</t>
  </si>
  <si>
    <t xml:space="preserve"> Акт 9/1.12-КБ (Резервуарний парк) МШП 2680,41</t>
  </si>
  <si>
    <t>12.03.2025 10:42:41</t>
  </si>
  <si>
    <t>ІБ00-000107</t>
  </si>
  <si>
    <t xml:space="preserve"> Акт 16/1.14-КМ (Котельня) МШП 14688,09</t>
  </si>
  <si>
    <t>12.03.2025 10:44:13</t>
  </si>
  <si>
    <t>ІБ00-000108</t>
  </si>
  <si>
    <t>Акт 33/1.3-КМ(Цех екстракції поз. 3 ГБ) завод матеріалів,роботи не виконувалися</t>
  </si>
  <si>
    <t>12.03.2025 10:45:19</t>
  </si>
  <si>
    <t>ІБ00-000109</t>
  </si>
  <si>
    <t>Акт 7/1.4-КБ (резервуар для зберігання розчинника) МШП 1959,25</t>
  </si>
  <si>
    <t>18.03.2025 23:12:35</t>
  </si>
  <si>
    <t>ІБ00-000132</t>
  </si>
  <si>
    <t>Акт 1 Договір № 0703ШД від 07.03.2025</t>
  </si>
  <si>
    <t>19.03.2025 07:49:15</t>
  </si>
  <si>
    <t>ІБ00-000121</t>
  </si>
  <si>
    <t>Акт 35/1.3-КМ(Цех екстракції поз. 3 ГБ)</t>
  </si>
  <si>
    <t>19.03.2025 11:26:25</t>
  </si>
  <si>
    <t>ІБ00-000111</t>
  </si>
  <si>
    <t xml:space="preserve"> Акт 3/1.9-ЗБ підрядні роботи</t>
  </si>
  <si>
    <t>19.03.2025 11:27:18</t>
  </si>
  <si>
    <t>ІБ00-000112</t>
  </si>
  <si>
    <t xml:space="preserve"> Акт 15/1.9-КБ (СПК)</t>
  </si>
  <si>
    <t>19.03.2025 11:27:59</t>
  </si>
  <si>
    <t>ІБ00-000113</t>
  </si>
  <si>
    <t>Акт 8/1.4-КБ (резервуар для зберігання розчинника) мшп 3167,28</t>
  </si>
  <si>
    <t>19.03.2025 11:28:39</t>
  </si>
  <si>
    <t>ІБ00-000114</t>
  </si>
  <si>
    <t>Акт 34/1.3-КМ(Цех екстракції поз. 3 ГБ) монтаж конструкцій без списання</t>
  </si>
  <si>
    <t>19.03.2025 11:29:41</t>
  </si>
  <si>
    <t>ІБ00-000115</t>
  </si>
  <si>
    <t>Акт 23/1.3-КБ(Цех екстракції поз. 3 ГБ) мшп 2259,10</t>
  </si>
  <si>
    <t>19.03.2025 11:30:51</t>
  </si>
  <si>
    <t>ІБ00-000116</t>
  </si>
  <si>
    <t xml:space="preserve"> Акт 19/1.14-КБ (Котельня)</t>
  </si>
  <si>
    <t>19.03.2025 11:31:35</t>
  </si>
  <si>
    <t>ІБ00-000117</t>
  </si>
  <si>
    <t xml:space="preserve"> Акт 6/1.25 (Демонтажні роботи) мшп 750,00</t>
  </si>
  <si>
    <t>19.03.2025 11:35:49</t>
  </si>
  <si>
    <t>ІБ00-000118</t>
  </si>
  <si>
    <t>ГЛОБИНСЬКИЙ ПЕРЕРОБНИЙ ЗАВОД ТОВ</t>
  </si>
  <si>
    <t xml:space="preserve"> Акт 2/ГПЗ мшп 761,20</t>
  </si>
  <si>
    <t>19.03.2025 11:36:28</t>
  </si>
  <si>
    <t>ІБ00-000119</t>
  </si>
  <si>
    <t xml:space="preserve"> Акт 1/ГПЗ</t>
  </si>
  <si>
    <t>Надходження товарів і послуг ІБ00-001132 від 03.03.2025 18:30:14</t>
  </si>
  <si>
    <t>19.03.2025 17:35:13</t>
  </si>
  <si>
    <t>ІБ00-000124</t>
  </si>
  <si>
    <t>Акт 5</t>
  </si>
  <si>
    <t>Надходження товарів і послуг ІБ00-001066 від 04.03.2025 18:00:12</t>
  </si>
  <si>
    <t>20.03.2025 16:30:48</t>
  </si>
  <si>
    <t>ІБ00-000100</t>
  </si>
  <si>
    <t>РЕТАЛ УКРАЇНА ТОВ</t>
  </si>
  <si>
    <t>Виробничий (Ретал ГПУ)</t>
  </si>
  <si>
    <t>Акт № 3 (Ду 2)  Договір підряду №28/07/22 від 28.07.2022  Счёт под оплату</t>
  </si>
  <si>
    <t>25.03.2025 14:28:56</t>
  </si>
  <si>
    <t>ІБ00-000125</t>
  </si>
  <si>
    <t xml:space="preserve"> Акт 2/1.26_Б</t>
  </si>
  <si>
    <t>25.03.2025 14:29:29</t>
  </si>
  <si>
    <t>ІБ00-000126</t>
  </si>
  <si>
    <t>Акт 36/1.3-КМ(Цех екстракції поз. 3 ГБ)</t>
  </si>
  <si>
    <t>25.03.2025 14:30:49</t>
  </si>
  <si>
    <t>ІБ00-000128</t>
  </si>
  <si>
    <t>Акт 8/1.5-КМ (насосна,градирня)</t>
  </si>
  <si>
    <t>25.03.2025 14:31:19</t>
  </si>
  <si>
    <t>ІБ00-000129</t>
  </si>
  <si>
    <t xml:space="preserve"> Акт 4/1.9-ЗБ</t>
  </si>
  <si>
    <t>25.03.2025 14:31:51</t>
  </si>
  <si>
    <t>ІБ00-000130</t>
  </si>
  <si>
    <t>Акт 24/1.3-КБ(Цех екстракції поз. 3 ГБ)</t>
  </si>
  <si>
    <t>26.03.2025 16:03:06</t>
  </si>
  <si>
    <t>ІБ00-000133</t>
  </si>
  <si>
    <t xml:space="preserve"> Акт 20/1.14-КБ (Котельня)</t>
  </si>
  <si>
    <t>26.03.2025 22:31:43</t>
  </si>
  <si>
    <t>ІБ00-000140</t>
  </si>
  <si>
    <t>Акт 6</t>
  </si>
  <si>
    <t>27.03.2025 15:58:05</t>
  </si>
  <si>
    <t>ІБ00-000136</t>
  </si>
  <si>
    <t>Акт № 4 Договір підряду №28/07/22 від 28.07.2022  Счёт под оплату</t>
  </si>
  <si>
    <t>27.03.2025 15:58:36</t>
  </si>
  <si>
    <t>ІБ00-000137</t>
  </si>
  <si>
    <t>Акт № 1 (Ду 3)  Договір підряду №28/07/22 від 28.07.2022  Счёт под оплату</t>
  </si>
  <si>
    <t>27.03.2025 15:59:11</t>
  </si>
  <si>
    <t>ІБ00-000138</t>
  </si>
  <si>
    <t>Акт № 1 (Ду 1)  Договір підряду №28/07/22 від 28.07.2022  Счёт под оплату</t>
  </si>
  <si>
    <t>27.03.2025 16:00:08</t>
  </si>
  <si>
    <t>ІБ00-000139</t>
  </si>
  <si>
    <t>Акт № 4 (Ду 2)  Договір підряду №28/07/22 від 28.07.2022  Счёт под оплату</t>
  </si>
  <si>
    <t>Глобино-2</t>
  </si>
  <si>
    <t>МХП Катеринополь</t>
  </si>
  <si>
    <t>КМД Путровка</t>
  </si>
  <si>
    <t>Ретал.ГПУ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</si>
</sst>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4" fillId="0" borderId="0" xfId="0" applyNumberFormat="1" applyFont="1"/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37" workbookViewId="0">
      <selection activeCell="C55" sqref="C55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50.5546875" bestFit="1" customWidth="1"/>
    <col min="4" max="4" width="12.33203125" bestFit="1" customWidth="1"/>
    <col min="5" max="5" width="7.6640625" bestFit="1" customWidth="1"/>
    <col min="6" max="6" width="22.6640625" bestFit="1" customWidth="1"/>
    <col min="7" max="7" width="16.6640625" bestFit="1" customWidth="1"/>
    <col min="8" max="8" width="14.5546875" bestFit="1" customWidth="1"/>
    <col min="9" max="9" width="60.5546875" bestFit="1" customWidth="1"/>
    <col min="10" max="10" width="4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>
        <v>912599.72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19</v>
      </c>
      <c r="B3" s="2" t="s">
        <v>20</v>
      </c>
      <c r="C3" s="2" t="s">
        <v>12</v>
      </c>
      <c r="D3" s="3">
        <v>118016.38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21</v>
      </c>
      <c r="J3" s="2"/>
    </row>
    <row r="4" spans="1:10" x14ac:dyDescent="0.3">
      <c r="A4" s="2" t="s">
        <v>22</v>
      </c>
      <c r="B4" s="2" t="s">
        <v>23</v>
      </c>
      <c r="C4" s="2" t="s">
        <v>12</v>
      </c>
      <c r="D4" s="3">
        <v>264059.74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24</v>
      </c>
      <c r="J4" s="2"/>
    </row>
    <row r="5" spans="1:10" x14ac:dyDescent="0.3">
      <c r="A5" s="2" t="s">
        <v>25</v>
      </c>
      <c r="B5" s="2" t="s">
        <v>26</v>
      </c>
      <c r="C5" s="2" t="s">
        <v>12</v>
      </c>
      <c r="D5" s="3">
        <v>205483.9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27</v>
      </c>
      <c r="J5" s="2"/>
    </row>
    <row r="6" spans="1:10" x14ac:dyDescent="0.3">
      <c r="A6" s="2" t="s">
        <v>28</v>
      </c>
      <c r="B6" s="2" t="s">
        <v>29</v>
      </c>
      <c r="C6" s="2" t="s">
        <v>12</v>
      </c>
      <c r="D6" s="3">
        <v>313468.52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30</v>
      </c>
      <c r="J6" s="2" t="s">
        <v>31</v>
      </c>
    </row>
    <row r="7" spans="1:10" x14ac:dyDescent="0.3">
      <c r="A7" s="2" t="s">
        <v>32</v>
      </c>
      <c r="B7" s="2" t="s">
        <v>33</v>
      </c>
      <c r="C7" s="2" t="s">
        <v>12</v>
      </c>
      <c r="D7" s="3">
        <v>432960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34</v>
      </c>
      <c r="J7" s="2"/>
    </row>
    <row r="8" spans="1:10" x14ac:dyDescent="0.3">
      <c r="A8" s="2" t="s">
        <v>35</v>
      </c>
      <c r="B8" s="2" t="s">
        <v>36</v>
      </c>
      <c r="C8" s="2" t="s">
        <v>12</v>
      </c>
      <c r="D8" s="3">
        <v>829869.79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37</v>
      </c>
      <c r="J8" s="2"/>
    </row>
    <row r="9" spans="1:10" x14ac:dyDescent="0.3">
      <c r="A9" s="2" t="s">
        <v>38</v>
      </c>
      <c r="B9" s="2" t="s">
        <v>39</v>
      </c>
      <c r="C9" s="2" t="s">
        <v>12</v>
      </c>
      <c r="D9" s="3">
        <v>1955728.21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40</v>
      </c>
      <c r="J9" s="2"/>
    </row>
    <row r="10" spans="1:10" x14ac:dyDescent="0.3">
      <c r="A10" s="2" t="s">
        <v>41</v>
      </c>
      <c r="B10" s="2" t="s">
        <v>42</v>
      </c>
      <c r="C10" s="2" t="s">
        <v>43</v>
      </c>
      <c r="D10" s="3">
        <v>3131287.81</v>
      </c>
      <c r="E10" s="2" t="s">
        <v>13</v>
      </c>
      <c r="F10" s="2" t="s">
        <v>44</v>
      </c>
      <c r="G10" s="2" t="s">
        <v>15</v>
      </c>
      <c r="H10" s="2" t="s">
        <v>16</v>
      </c>
      <c r="I10" s="2" t="s">
        <v>45</v>
      </c>
      <c r="J10" s="2" t="s">
        <v>46</v>
      </c>
    </row>
    <row r="11" spans="1:10" x14ac:dyDescent="0.3">
      <c r="A11" s="2" t="s">
        <v>47</v>
      </c>
      <c r="B11" s="2" t="s">
        <v>48</v>
      </c>
      <c r="C11" s="2" t="s">
        <v>49</v>
      </c>
      <c r="D11" s="3">
        <v>50201.55</v>
      </c>
      <c r="E11" s="2" t="s">
        <v>13</v>
      </c>
      <c r="F11" s="2" t="s">
        <v>50</v>
      </c>
      <c r="G11" s="2" t="s">
        <v>15</v>
      </c>
      <c r="H11" s="2" t="s">
        <v>16</v>
      </c>
      <c r="I11" s="2" t="s">
        <v>51</v>
      </c>
      <c r="J11" s="2"/>
    </row>
    <row r="12" spans="1:10" x14ac:dyDescent="0.3">
      <c r="A12" s="2" t="s">
        <v>52</v>
      </c>
      <c r="B12" s="2" t="s">
        <v>53</v>
      </c>
      <c r="C12" s="2" t="s">
        <v>12</v>
      </c>
      <c r="D12" s="3">
        <v>897258.54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54</v>
      </c>
      <c r="J12" s="2" t="s">
        <v>55</v>
      </c>
    </row>
    <row r="13" spans="1:10" x14ac:dyDescent="0.3">
      <c r="A13" s="2" t="s">
        <v>56</v>
      </c>
      <c r="B13" s="2" t="s">
        <v>57</v>
      </c>
      <c r="C13" s="2" t="s">
        <v>12</v>
      </c>
      <c r="D13" s="3">
        <v>794455.3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58</v>
      </c>
      <c r="J13" s="2"/>
    </row>
    <row r="14" spans="1:10" x14ac:dyDescent="0.3">
      <c r="A14" s="2" t="s">
        <v>59</v>
      </c>
      <c r="B14" s="2" t="s">
        <v>60</v>
      </c>
      <c r="C14" s="2" t="s">
        <v>12</v>
      </c>
      <c r="D14" s="3">
        <v>1403664.83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61</v>
      </c>
      <c r="J14" s="2"/>
    </row>
    <row r="15" spans="1:10" x14ac:dyDescent="0.3">
      <c r="A15" s="2" t="s">
        <v>62</v>
      </c>
      <c r="B15" s="2" t="s">
        <v>63</v>
      </c>
      <c r="C15" s="2" t="s">
        <v>12</v>
      </c>
      <c r="D15" s="3">
        <v>107250.37</v>
      </c>
      <c r="E15" s="2" t="s">
        <v>13</v>
      </c>
      <c r="F15" s="2" t="s">
        <v>14</v>
      </c>
      <c r="G15" s="2" t="s">
        <v>15</v>
      </c>
      <c r="H15" s="2" t="s">
        <v>16</v>
      </c>
      <c r="I15" s="2" t="s">
        <v>64</v>
      </c>
      <c r="J15" s="2"/>
    </row>
    <row r="16" spans="1:10" x14ac:dyDescent="0.3">
      <c r="A16" s="2" t="s">
        <v>65</v>
      </c>
      <c r="B16" s="2" t="s">
        <v>66</v>
      </c>
      <c r="C16" s="2" t="s">
        <v>12</v>
      </c>
      <c r="D16" s="3">
        <v>128830.32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67</v>
      </c>
      <c r="J16" s="2"/>
    </row>
    <row r="17" spans="1:10" x14ac:dyDescent="0.3">
      <c r="A17" s="2" t="s">
        <v>68</v>
      </c>
      <c r="B17" s="2" t="s">
        <v>69</v>
      </c>
      <c r="C17" s="2" t="s">
        <v>12</v>
      </c>
      <c r="D17" s="3">
        <v>375627.56</v>
      </c>
      <c r="E17" s="2" t="s">
        <v>13</v>
      </c>
      <c r="F17" s="2" t="s">
        <v>14</v>
      </c>
      <c r="G17" s="2" t="s">
        <v>15</v>
      </c>
      <c r="H17" s="2" t="s">
        <v>16</v>
      </c>
      <c r="I17" s="2" t="s">
        <v>70</v>
      </c>
      <c r="J17" s="2"/>
    </row>
    <row r="18" spans="1:10" x14ac:dyDescent="0.3">
      <c r="A18" s="2" t="s">
        <v>71</v>
      </c>
      <c r="B18" s="2" t="s">
        <v>72</v>
      </c>
      <c r="C18" s="2" t="s">
        <v>12</v>
      </c>
      <c r="D18" s="3">
        <v>1208751.3600000001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73</v>
      </c>
      <c r="J18" s="2"/>
    </row>
    <row r="19" spans="1:10" x14ac:dyDescent="0.3">
      <c r="A19" s="2" t="s">
        <v>74</v>
      </c>
      <c r="B19" s="2" t="s">
        <v>75</v>
      </c>
      <c r="C19" s="2" t="s">
        <v>12</v>
      </c>
      <c r="D19" s="3">
        <v>2497089.5299999998</v>
      </c>
      <c r="E19" s="2" t="s">
        <v>13</v>
      </c>
      <c r="F19" s="2" t="s">
        <v>14</v>
      </c>
      <c r="G19" s="2" t="s">
        <v>15</v>
      </c>
      <c r="H19" s="2" t="s">
        <v>16</v>
      </c>
      <c r="I19" s="2" t="s">
        <v>76</v>
      </c>
      <c r="J19" s="2"/>
    </row>
    <row r="20" spans="1:10" x14ac:dyDescent="0.3">
      <c r="A20" s="2" t="s">
        <v>77</v>
      </c>
      <c r="B20" s="2" t="s">
        <v>78</v>
      </c>
      <c r="C20" s="2" t="s">
        <v>12</v>
      </c>
      <c r="D20" s="3">
        <v>228326.5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79</v>
      </c>
      <c r="J20" s="2"/>
    </row>
    <row r="21" spans="1:10" x14ac:dyDescent="0.3">
      <c r="A21" s="2" t="s">
        <v>80</v>
      </c>
      <c r="B21" s="2" t="s">
        <v>81</v>
      </c>
      <c r="C21" s="2" t="s">
        <v>43</v>
      </c>
      <c r="D21" s="3">
        <v>211678.97</v>
      </c>
      <c r="E21" s="2" t="s">
        <v>13</v>
      </c>
      <c r="F21" s="2" t="s">
        <v>44</v>
      </c>
      <c r="G21" s="2" t="s">
        <v>15</v>
      </c>
      <c r="H21" s="2" t="s">
        <v>16</v>
      </c>
      <c r="I21" s="2" t="s">
        <v>82</v>
      </c>
      <c r="J21" s="2"/>
    </row>
    <row r="22" spans="1:10" x14ac:dyDescent="0.3">
      <c r="A22" s="2" t="s">
        <v>83</v>
      </c>
      <c r="B22" s="2" t="s">
        <v>84</v>
      </c>
      <c r="C22" s="2" t="s">
        <v>12</v>
      </c>
      <c r="D22" s="3">
        <v>13836489.1</v>
      </c>
      <c r="E22" s="2" t="s">
        <v>13</v>
      </c>
      <c r="F22" s="2" t="s">
        <v>14</v>
      </c>
      <c r="G22" s="2" t="s">
        <v>15</v>
      </c>
      <c r="H22" s="2" t="s">
        <v>16</v>
      </c>
      <c r="I22" s="2" t="s">
        <v>85</v>
      </c>
      <c r="J22" s="2"/>
    </row>
    <row r="23" spans="1:10" x14ac:dyDescent="0.3">
      <c r="A23" s="2" t="s">
        <v>86</v>
      </c>
      <c r="B23" s="2" t="s">
        <v>87</v>
      </c>
      <c r="C23" s="2" t="s">
        <v>12</v>
      </c>
      <c r="D23" s="3">
        <v>2973235.99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88</v>
      </c>
      <c r="J23" s="2"/>
    </row>
    <row r="24" spans="1:10" x14ac:dyDescent="0.3">
      <c r="A24" s="2" t="s">
        <v>89</v>
      </c>
      <c r="B24" s="2" t="s">
        <v>90</v>
      </c>
      <c r="C24" s="2" t="s">
        <v>12</v>
      </c>
      <c r="D24" s="3">
        <v>203040.53</v>
      </c>
      <c r="E24" s="2" t="s">
        <v>13</v>
      </c>
      <c r="F24" s="2" t="s">
        <v>14</v>
      </c>
      <c r="G24" s="2" t="s">
        <v>15</v>
      </c>
      <c r="H24" s="2" t="s">
        <v>16</v>
      </c>
      <c r="I24" s="2" t="s">
        <v>91</v>
      </c>
      <c r="J24" s="2"/>
    </row>
    <row r="25" spans="1:10" x14ac:dyDescent="0.3">
      <c r="A25" s="2" t="s">
        <v>92</v>
      </c>
      <c r="B25" s="2" t="s">
        <v>93</v>
      </c>
      <c r="C25" s="2" t="s">
        <v>12</v>
      </c>
      <c r="D25" s="3">
        <v>392196.97</v>
      </c>
      <c r="E25" s="2" t="s">
        <v>13</v>
      </c>
      <c r="F25" s="2" t="s">
        <v>14</v>
      </c>
      <c r="G25" s="2" t="s">
        <v>15</v>
      </c>
      <c r="H25" s="2" t="s">
        <v>16</v>
      </c>
      <c r="I25" s="2" t="s">
        <v>94</v>
      </c>
      <c r="J25" s="2"/>
    </row>
    <row r="26" spans="1:10" x14ac:dyDescent="0.3">
      <c r="A26" s="2" t="s">
        <v>95</v>
      </c>
      <c r="B26" s="2" t="s">
        <v>96</v>
      </c>
      <c r="C26" s="2" t="s">
        <v>12</v>
      </c>
      <c r="D26" s="3">
        <v>352545.9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97</v>
      </c>
      <c r="J26" s="2"/>
    </row>
    <row r="27" spans="1:10" x14ac:dyDescent="0.3">
      <c r="A27" s="2" t="s">
        <v>98</v>
      </c>
      <c r="B27" s="2" t="s">
        <v>99</v>
      </c>
      <c r="C27" s="2" t="s">
        <v>12</v>
      </c>
      <c r="D27" s="3">
        <v>461427.12</v>
      </c>
      <c r="E27" s="2" t="s">
        <v>13</v>
      </c>
      <c r="F27" s="2" t="s">
        <v>14</v>
      </c>
      <c r="G27" s="2" t="s">
        <v>15</v>
      </c>
      <c r="H27" s="2" t="s">
        <v>16</v>
      </c>
      <c r="I27" s="2" t="s">
        <v>100</v>
      </c>
      <c r="J27" s="2"/>
    </row>
    <row r="28" spans="1:10" x14ac:dyDescent="0.3">
      <c r="A28" s="2" t="s">
        <v>101</v>
      </c>
      <c r="B28" s="2" t="s">
        <v>102</v>
      </c>
      <c r="C28" s="2" t="s">
        <v>12</v>
      </c>
      <c r="D28" s="3">
        <v>802280.33</v>
      </c>
      <c r="E28" s="2" t="s">
        <v>13</v>
      </c>
      <c r="F28" s="2" t="s">
        <v>14</v>
      </c>
      <c r="G28" s="2" t="s">
        <v>15</v>
      </c>
      <c r="H28" s="2" t="s">
        <v>16</v>
      </c>
      <c r="I28" s="2" t="s">
        <v>103</v>
      </c>
      <c r="J28" s="2"/>
    </row>
    <row r="29" spans="1:10" x14ac:dyDescent="0.3">
      <c r="A29" s="2" t="s">
        <v>104</v>
      </c>
      <c r="B29" s="2" t="s">
        <v>105</v>
      </c>
      <c r="C29" s="2" t="s">
        <v>12</v>
      </c>
      <c r="D29" s="3">
        <v>17307.59</v>
      </c>
      <c r="E29" s="2" t="s">
        <v>13</v>
      </c>
      <c r="F29" s="2" t="s">
        <v>14</v>
      </c>
      <c r="G29" s="2" t="s">
        <v>15</v>
      </c>
      <c r="H29" s="2" t="s">
        <v>16</v>
      </c>
      <c r="I29" s="2" t="s">
        <v>106</v>
      </c>
      <c r="J29" s="2"/>
    </row>
    <row r="30" spans="1:10" x14ac:dyDescent="0.3">
      <c r="A30" s="2" t="s">
        <v>107</v>
      </c>
      <c r="B30" s="2" t="s">
        <v>108</v>
      </c>
      <c r="C30" s="2" t="s">
        <v>109</v>
      </c>
      <c r="D30" s="3">
        <v>687244.16</v>
      </c>
      <c r="E30" s="2" t="s">
        <v>13</v>
      </c>
      <c r="F30" s="2" t="s">
        <v>14</v>
      </c>
      <c r="G30" s="2" t="s">
        <v>15</v>
      </c>
      <c r="H30" s="2" t="s">
        <v>16</v>
      </c>
      <c r="I30" s="2" t="s">
        <v>110</v>
      </c>
      <c r="J30" s="2"/>
    </row>
    <row r="31" spans="1:10" x14ac:dyDescent="0.3">
      <c r="A31" s="2" t="s">
        <v>111</v>
      </c>
      <c r="B31" s="2" t="s">
        <v>112</v>
      </c>
      <c r="C31" s="2" t="s">
        <v>109</v>
      </c>
      <c r="D31" s="3">
        <v>1726667.27</v>
      </c>
      <c r="E31" s="2" t="s">
        <v>13</v>
      </c>
      <c r="F31" s="2" t="s">
        <v>14</v>
      </c>
      <c r="G31" s="2" t="s">
        <v>15</v>
      </c>
      <c r="H31" s="2" t="s">
        <v>16</v>
      </c>
      <c r="I31" s="2" t="s">
        <v>113</v>
      </c>
      <c r="J31" s="2" t="s">
        <v>114</v>
      </c>
    </row>
    <row r="32" spans="1:10" x14ac:dyDescent="0.3">
      <c r="A32" s="2" t="s">
        <v>115</v>
      </c>
      <c r="B32" s="2" t="s">
        <v>116</v>
      </c>
      <c r="C32" s="2" t="s">
        <v>43</v>
      </c>
      <c r="D32" s="3">
        <v>3123263.18</v>
      </c>
      <c r="E32" s="2" t="s">
        <v>13</v>
      </c>
      <c r="F32" s="2" t="s">
        <v>44</v>
      </c>
      <c r="G32" s="2" t="s">
        <v>15</v>
      </c>
      <c r="H32" s="2" t="s">
        <v>16</v>
      </c>
      <c r="I32" s="2" t="s">
        <v>117</v>
      </c>
      <c r="J32" s="2" t="s">
        <v>118</v>
      </c>
    </row>
    <row r="33" spans="1:10" x14ac:dyDescent="0.3">
      <c r="A33" s="2" t="s">
        <v>119</v>
      </c>
      <c r="B33" s="2" t="s">
        <v>120</v>
      </c>
      <c r="C33" s="2" t="s">
        <v>121</v>
      </c>
      <c r="D33" s="3">
        <v>619338.14</v>
      </c>
      <c r="E33" s="2" t="s">
        <v>13</v>
      </c>
      <c r="F33" s="2" t="s">
        <v>122</v>
      </c>
      <c r="G33" s="2" t="s">
        <v>15</v>
      </c>
      <c r="H33" s="2" t="s">
        <v>16</v>
      </c>
      <c r="I33" s="2" t="s">
        <v>123</v>
      </c>
      <c r="J33" s="2"/>
    </row>
    <row r="34" spans="1:10" x14ac:dyDescent="0.3">
      <c r="A34" s="2" t="s">
        <v>124</v>
      </c>
      <c r="B34" s="2" t="s">
        <v>125</v>
      </c>
      <c r="C34" s="2" t="s">
        <v>12</v>
      </c>
      <c r="D34" s="3">
        <v>2426298.34</v>
      </c>
      <c r="E34" s="2" t="s">
        <v>13</v>
      </c>
      <c r="F34" s="2" t="s">
        <v>14</v>
      </c>
      <c r="G34" s="2" t="s">
        <v>15</v>
      </c>
      <c r="H34" s="2" t="s">
        <v>16</v>
      </c>
      <c r="I34" s="2" t="s">
        <v>126</v>
      </c>
      <c r="J34" s="2"/>
    </row>
    <row r="35" spans="1:10" x14ac:dyDescent="0.3">
      <c r="A35" s="2" t="s">
        <v>127</v>
      </c>
      <c r="B35" s="2" t="s">
        <v>128</v>
      </c>
      <c r="C35" s="2" t="s">
        <v>12</v>
      </c>
      <c r="D35" s="3">
        <v>1235109.8400000001</v>
      </c>
      <c r="E35" s="2" t="s">
        <v>13</v>
      </c>
      <c r="F35" s="2" t="s">
        <v>14</v>
      </c>
      <c r="G35" s="2" t="s">
        <v>15</v>
      </c>
      <c r="H35" s="2" t="s">
        <v>16</v>
      </c>
      <c r="I35" s="2" t="s">
        <v>129</v>
      </c>
      <c r="J35" s="2"/>
    </row>
    <row r="36" spans="1:10" x14ac:dyDescent="0.3">
      <c r="A36" s="2" t="s">
        <v>130</v>
      </c>
      <c r="B36" s="2" t="s">
        <v>131</v>
      </c>
      <c r="C36" s="2" t="s">
        <v>12</v>
      </c>
      <c r="D36" s="3">
        <v>18815.88</v>
      </c>
      <c r="E36" s="2" t="s">
        <v>13</v>
      </c>
      <c r="F36" s="2" t="s">
        <v>14</v>
      </c>
      <c r="G36" s="2" t="s">
        <v>15</v>
      </c>
      <c r="H36" s="2" t="s">
        <v>16</v>
      </c>
      <c r="I36" s="2" t="s">
        <v>132</v>
      </c>
      <c r="J36" s="2"/>
    </row>
    <row r="37" spans="1:10" x14ac:dyDescent="0.3">
      <c r="A37" s="2" t="s">
        <v>133</v>
      </c>
      <c r="B37" s="2" t="s">
        <v>134</v>
      </c>
      <c r="C37" s="2" t="s">
        <v>12</v>
      </c>
      <c r="D37" s="3">
        <v>1689654.91</v>
      </c>
      <c r="E37" s="2" t="s">
        <v>13</v>
      </c>
      <c r="F37" s="2" t="s">
        <v>14</v>
      </c>
      <c r="G37" s="2" t="s">
        <v>15</v>
      </c>
      <c r="H37" s="2" t="s">
        <v>16</v>
      </c>
      <c r="I37" s="2" t="s">
        <v>135</v>
      </c>
      <c r="J37" s="2"/>
    </row>
    <row r="38" spans="1:10" x14ac:dyDescent="0.3">
      <c r="A38" s="2" t="s">
        <v>136</v>
      </c>
      <c r="B38" s="2" t="s">
        <v>137</v>
      </c>
      <c r="C38" s="2" t="s">
        <v>12</v>
      </c>
      <c r="D38" s="3">
        <v>225847.98</v>
      </c>
      <c r="E38" s="2" t="s">
        <v>13</v>
      </c>
      <c r="F38" s="2" t="s">
        <v>14</v>
      </c>
      <c r="G38" s="2" t="s">
        <v>15</v>
      </c>
      <c r="H38" s="2" t="s">
        <v>16</v>
      </c>
      <c r="I38" s="2" t="s">
        <v>138</v>
      </c>
      <c r="J38" s="2"/>
    </row>
    <row r="39" spans="1:10" x14ac:dyDescent="0.3">
      <c r="A39" s="2" t="s">
        <v>139</v>
      </c>
      <c r="B39" s="2" t="s">
        <v>140</v>
      </c>
      <c r="C39" s="2" t="s">
        <v>12</v>
      </c>
      <c r="D39" s="3">
        <v>274195.68</v>
      </c>
      <c r="E39" s="2" t="s">
        <v>13</v>
      </c>
      <c r="F39" s="2" t="s">
        <v>14</v>
      </c>
      <c r="G39" s="2" t="s">
        <v>15</v>
      </c>
      <c r="H39" s="2" t="s">
        <v>16</v>
      </c>
      <c r="I39" s="2" t="s">
        <v>141</v>
      </c>
      <c r="J39" s="2"/>
    </row>
    <row r="40" spans="1:10" x14ac:dyDescent="0.3">
      <c r="A40" s="2" t="s">
        <v>142</v>
      </c>
      <c r="B40" s="2" t="s">
        <v>143</v>
      </c>
      <c r="C40" s="2" t="s">
        <v>43</v>
      </c>
      <c r="D40" s="3">
        <v>1455123.55</v>
      </c>
      <c r="E40" s="2" t="s">
        <v>13</v>
      </c>
      <c r="F40" s="2" t="s">
        <v>44</v>
      </c>
      <c r="G40" s="2" t="s">
        <v>15</v>
      </c>
      <c r="H40" s="2" t="s">
        <v>16</v>
      </c>
      <c r="I40" s="2" t="s">
        <v>144</v>
      </c>
      <c r="J40" s="2" t="s">
        <v>118</v>
      </c>
    </row>
    <row r="41" spans="1:10" x14ac:dyDescent="0.3">
      <c r="A41" s="2" t="s">
        <v>145</v>
      </c>
      <c r="B41" s="2" t="s">
        <v>146</v>
      </c>
      <c r="C41" s="2" t="s">
        <v>121</v>
      </c>
      <c r="D41" s="3">
        <v>91918.96</v>
      </c>
      <c r="E41" s="2" t="s">
        <v>13</v>
      </c>
      <c r="F41" s="2" t="s">
        <v>122</v>
      </c>
      <c r="G41" s="2" t="s">
        <v>15</v>
      </c>
      <c r="H41" s="2" t="s">
        <v>16</v>
      </c>
      <c r="I41" s="2" t="s">
        <v>147</v>
      </c>
      <c r="J41" s="2"/>
    </row>
    <row r="42" spans="1:10" x14ac:dyDescent="0.3">
      <c r="A42" s="2" t="s">
        <v>148</v>
      </c>
      <c r="B42" s="2" t="s">
        <v>149</v>
      </c>
      <c r="C42" s="2" t="s">
        <v>121</v>
      </c>
      <c r="D42" s="3">
        <v>18699.2</v>
      </c>
      <c r="E42" s="2" t="s">
        <v>13</v>
      </c>
      <c r="F42" s="2" t="s">
        <v>122</v>
      </c>
      <c r="G42" s="2" t="s">
        <v>15</v>
      </c>
      <c r="H42" s="2" t="s">
        <v>16</v>
      </c>
      <c r="I42" s="2" t="s">
        <v>150</v>
      </c>
      <c r="J42" s="2"/>
    </row>
    <row r="43" spans="1:10" x14ac:dyDescent="0.3">
      <c r="A43" s="2" t="s">
        <v>151</v>
      </c>
      <c r="B43" s="2" t="s">
        <v>152</v>
      </c>
      <c r="C43" s="2" t="s">
        <v>121</v>
      </c>
      <c r="D43" s="3">
        <v>50259.67</v>
      </c>
      <c r="E43" s="2" t="s">
        <v>13</v>
      </c>
      <c r="F43" s="2" t="s">
        <v>122</v>
      </c>
      <c r="G43" s="2" t="s">
        <v>15</v>
      </c>
      <c r="H43" s="2" t="s">
        <v>16</v>
      </c>
      <c r="I43" s="2" t="s">
        <v>153</v>
      </c>
      <c r="J43" s="2"/>
    </row>
    <row r="44" spans="1:10" x14ac:dyDescent="0.3">
      <c r="A44" s="2" t="s">
        <v>154</v>
      </c>
      <c r="B44" s="2" t="s">
        <v>155</v>
      </c>
      <c r="C44" s="2" t="s">
        <v>121</v>
      </c>
      <c r="D44" s="3">
        <v>230430.57</v>
      </c>
      <c r="E44" s="2" t="s">
        <v>13</v>
      </c>
      <c r="F44" s="2" t="s">
        <v>122</v>
      </c>
      <c r="G44" s="2" t="s">
        <v>15</v>
      </c>
      <c r="H44" s="2" t="s">
        <v>16</v>
      </c>
      <c r="I44" s="2" t="s">
        <v>156</v>
      </c>
      <c r="J44" s="2"/>
    </row>
    <row r="45" spans="1:10" x14ac:dyDescent="0.3">
      <c r="D45" s="4">
        <f>SUM(D2:D44)</f>
        <v>48977999.759999998</v>
      </c>
    </row>
    <row r="46" spans="1:10" x14ac:dyDescent="0.3">
      <c r="D46" s="5">
        <f>D45-D51</f>
        <v>0</v>
      </c>
    </row>
    <row r="47" spans="1:10" x14ac:dyDescent="0.3">
      <c r="D47" s="4">
        <f>D2+D3+D4+D5+D6+D7+D9+D8+D12+D13+D14+D15+D16+D17+D18+D19+D20+D22+D23+D25+D24+D26+D27+D28+D29+D30+D31+D34+D35+D36+D37+D38+D39</f>
        <v>39995798.159999989</v>
      </c>
      <c r="F47" t="s">
        <v>157</v>
      </c>
    </row>
    <row r="48" spans="1:10" x14ac:dyDescent="0.3">
      <c r="D48" s="4">
        <f>D10+D21+D32+D40</f>
        <v>7921353.5100000007</v>
      </c>
      <c r="F48" t="s">
        <v>158</v>
      </c>
    </row>
    <row r="49" spans="4:6" x14ac:dyDescent="0.3">
      <c r="D49" s="4">
        <f>D11</f>
        <v>50201.55</v>
      </c>
      <c r="F49" t="s">
        <v>159</v>
      </c>
    </row>
    <row r="50" spans="4:6" x14ac:dyDescent="0.3">
      <c r="D50" s="4">
        <f>D33+D41+D42+D43+D44</f>
        <v>1010646.54</v>
      </c>
      <c r="F50" t="s">
        <v>160</v>
      </c>
    </row>
    <row r="51" spans="4:6" x14ac:dyDescent="0.3">
      <c r="D51" s="4">
        <f>SUBTOTAL(9,D47:D50)</f>
        <v>48977999.759999983</v>
      </c>
    </row>
  </sheetData>
  <autoFilter ref="A1:J45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2025-04-23T06:59:34Z</dcterms:modified>
</cp:coreProperties>
</file>
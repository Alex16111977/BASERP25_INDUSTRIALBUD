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tabRatio="869"/>
  </bookViews>
  <sheets>
    <sheet name="СВОД_ГЛОБИНО" sheetId="1" r:id="rId1"/>
    <sheet name="Глобине-2" sheetId="2" r:id="rId2"/>
    <sheet name="Котельна" sheetId="3" r:id="rId3"/>
    <sheet name="Насосна Градирня " sheetId="4" r:id="rId4"/>
    <sheet name="Пункт фасування" sheetId="5" r:id="rId5"/>
    <sheet name="Резервуар для зберігання" sheetId="7" r:id="rId6"/>
    <sheet name="Резервуарний парк" sheetId="6" r:id="rId7"/>
    <sheet name="СПК (Глобине)" sheetId="8" r:id="rId8"/>
    <sheet name="Цех екстракції (Глобине)" sheetId="9" r:id="rId9"/>
    <sheet name="Цех_Глобино" sheetId="10" r:id="rId10"/>
    <sheet name="!" sheetId="11" r:id="rId11"/>
    <sheet name="Турбіна 3" sheetId="12" r:id="rId12"/>
    <sheet name="Катеринопіль МХП" sheetId="13" r:id="rId13"/>
    <sheet name="Путрівка КМД" sheetId="14" r:id="rId14"/>
    <sheet name="Ретал ГПУ" sheetId="15" r:id="rId15"/>
  </sheets>
  <definedNames>
    <definedName name="_xlnm._FilterDatabase" localSheetId="1" hidden="1">'Глобине-2'!$B$1:$D$156</definedName>
    <definedName name="_xlnm._FilterDatabase" localSheetId="12" hidden="1">'Катеринопіль МХП'!$B$51:$D$87</definedName>
    <definedName name="_xlnm._FilterDatabase" localSheetId="2" hidden="1">Котельна!$B$1:$D$90</definedName>
    <definedName name="_xlnm._FilterDatabase" localSheetId="3" hidden="1">'Насосна Градирня '!$B$1:$D$26</definedName>
    <definedName name="_xlnm._FilterDatabase" localSheetId="4" hidden="1">'Пункт фасування'!$B$1:$D$2</definedName>
    <definedName name="_xlnm._FilterDatabase" localSheetId="13" hidden="1">'Путрівка КМД'!$B$1:$D$79</definedName>
    <definedName name="_xlnm._FilterDatabase" localSheetId="5" hidden="1">'Резервуар для зберігання'!$B$1:$D$35</definedName>
    <definedName name="_xlnm._FilterDatabase" localSheetId="6" hidden="1">'Резервуарний парк'!$B$1:$D$67</definedName>
    <definedName name="_xlnm._FilterDatabase" localSheetId="14" hidden="1">'Ретал ГПУ'!$B$1:$D$191</definedName>
    <definedName name="_xlnm._FilterDatabase" localSheetId="7" hidden="1">'СПК (Глобине)'!$B$1:$D$123</definedName>
    <definedName name="_xlnm._FilterDatabase" localSheetId="11" hidden="1">'Турбіна 3'!$B$1:$D$23</definedName>
    <definedName name="_xlnm._FilterDatabase" localSheetId="8" hidden="1">'Цех екстракції (Глобине)'!$B$1:$D$249</definedName>
    <definedName name="_xlnm._FilterDatabase" localSheetId="9" hidden="1">Цех_Глобино!$B$1:$D$58</definedName>
  </definedNames>
  <calcPr calcId="145621"/>
</workbook>
</file>

<file path=xl/calcChain.xml><?xml version="1.0" encoding="utf-8"?>
<calcChain xmlns="http://schemas.openxmlformats.org/spreadsheetml/2006/main">
  <c r="C11" i="1" l="1"/>
  <c r="C10" i="1"/>
  <c r="J60" i="10"/>
  <c r="C9" i="1"/>
  <c r="J251" i="9"/>
  <c r="C8" i="1"/>
  <c r="J125" i="8"/>
  <c r="C7" i="1"/>
  <c r="J69" i="6"/>
  <c r="C6" i="1"/>
  <c r="J37" i="7"/>
  <c r="C4" i="1"/>
  <c r="C3" i="1"/>
  <c r="C2" i="1"/>
  <c r="J28" i="4"/>
  <c r="J92" i="3"/>
  <c r="J158" i="2"/>
  <c r="J193" i="15"/>
  <c r="J81" i="14"/>
  <c r="J89" i="13"/>
  <c r="J49" i="13"/>
  <c r="J25" i="12"/>
</calcChain>
</file>

<file path=xl/sharedStrings.xml><?xml version="1.0" encoding="utf-8"?>
<sst xmlns="http://schemas.openxmlformats.org/spreadsheetml/2006/main" count="9371" uniqueCount="1230">
  <si>
    <t>Глобине-2</t>
  </si>
  <si>
    <t>Котельна (Глобине)</t>
  </si>
  <si>
    <t>Насосна Градирня (Глобине)</t>
  </si>
  <si>
    <t>Пункт фасування та зберігання в бігбегах (Глобине)</t>
  </si>
  <si>
    <t>Резервуар для зберігання розчинника(Глобине)</t>
  </si>
  <si>
    <t>Резервуарний парк соєвої меляси (Глобине)</t>
  </si>
  <si>
    <t>СПК (Глобине)</t>
  </si>
  <si>
    <t>Цех екстракції (Глобине)</t>
  </si>
  <si>
    <t>Цех_Глобино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</si>
  <si>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</si>
  <si>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</si>
  <si>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</si>
  <si>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</si>
  <si>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</si>
  <si>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</si>
  <si>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</si>
  <si>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</si>
  <si>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</si>
  <si>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07.02.2025</t>
  </si>
  <si>
    <t>Надходження товарів і послуг ІБ00-000954 від 07.02.2025 18:16:14
Оприходованы ТМЦ (Зачет аванса поставщику)</t>
  </si>
  <si>
    <t>Обл. НДС
Хомут 400
Надходження товарів і послуг ІБ00-000954 від 07.02.2025 18:16:14
Запоріжжя_Турбіна 3</t>
  </si>
  <si>
    <t>КОТЛОМОНТАЖ ПК
РАХУНКИ_Турбина 3
Рахунок на оплату постачальника ІБ00-000351 від 27.01.2025 18:25:28</t>
  </si>
  <si>
    <t>205</t>
  </si>
  <si>
    <t>631</t>
  </si>
  <si>
    <t xml:space="preserve"> </t>
  </si>
  <si>
    <t>28.02.2025</t>
  </si>
  <si>
    <t>Списання товарів ІБ00-000082 від 28.02.2025 00:00:00
Списаны ТМЦ</t>
  </si>
  <si>
    <t>Обл. НДС
Виробничий (Глобине-2)
Глобине-2
Прямі материальні виробничі витрати крім зворотніх відходів</t>
  </si>
  <si>
    <t>Обл. НДС
Кисень (40л/6,3 м3)
Надходження товарів і послуг ІБ00-000336 від 29.01.2025 18:00:21
Запоріжжя_Турбіна 3</t>
  </si>
  <si>
    <t>231</t>
  </si>
  <si>
    <t>Вимога-накладна ІБ00-000134 від 28.02.2025 22:59:49
Списаны ТМЦ</t>
  </si>
  <si>
    <t>Обл. НДС
Виробничий (Запоріж_Турбіна 3)
ЗапоріжжяТурбина-3
Прямі матеріальні виробничі витрати крім зворотних відходів</t>
  </si>
  <si>
    <t>Обл. НДС
Болт М 24х150  DIN 931
Надходження товарів і послуг ІБ00-000172 від 10.01.2025 20:00:01
Запоріжжя_Турбіна 3</t>
  </si>
  <si>
    <t>Обл. НДС
Болт М24*120  кг
Надходження товарів і послуг ІБ00-006331 від 19.12.2024 18:26:16
Запоріжжя_Турбіна 3</t>
  </si>
  <si>
    <t>Обл. НДС
Шпилька  М24х1000 DIN 975
Надходження товарів і послуг ІБ00-006270 від 01.12.2024 18:00:45
Запоріжжя_Турбіна 3</t>
  </si>
  <si>
    <t>Обл. НДС
Гайка DIN934 M 12
Надходження товарів і послуг ІБ00-006269 від 01.12.2024 18:00:44
Запоріжжя_Турбіна 3</t>
  </si>
  <si>
    <t>Обл. НДС
Гайка М24  DIN 934
Надходження товарів і послуг ІБ00-006331 від 19.12.2024 18:26:16
Запоріжжя_Турбіна 3</t>
  </si>
  <si>
    <t>Обл. НДС
Гайка М24  DIN 934
Надходження товарів і послуг ІБ00-006270 від 01.12.2024 18:00:45
Запоріжжя_Турбіна 3</t>
  </si>
  <si>
    <t>Обл. НДС
Гайка М24  DIN 934
Надходження товарів і послуг ІБ00-000172 від 10.01.2025 20:00:01
Запоріжжя_Турбіна 3</t>
  </si>
  <si>
    <t>Обл. НДС
Шайба М24  DIN125 цб
Надходження товарів і послуг ІБ00-006270 від 01.12.2024 18:00:45
Запоріжжя_Турбіна 3</t>
  </si>
  <si>
    <t>Обл. НДС
Шайба М24  DIN125 цб
Надходження товарів і послуг ІБ00-000172 від 10.01.2025 20:00:01
Запоріжжя_Турбіна 3</t>
  </si>
  <si>
    <t>Обл. НДС
Шайба М24 DIN7980 пружин.цб
Надходження товарів і послуг ІБ00-006270 від 01.12.2024 18:00:45
Запоріжжя_Турбіна 3</t>
  </si>
  <si>
    <t>Обл. НДС
Шайба М24 кг
Надходження товарів і послуг ІБ00-006331 від 19.12.2024 18:26:16
Запоріжжя_Турбіна 3</t>
  </si>
  <si>
    <t>Обл. НДС
Фланець Ду250 Ру16 сталевий
Надходження товарів і послуг ІБ00-006331 від 19.12.2024 18:26:16
Запоріжжя_Турбіна 3</t>
  </si>
  <si>
    <t>Обл. НДС
Прокладка паронітова Ду250
Надходження товарів і послуг ІБ00-006331 від 19.12.2024 18:26:16
Запоріжжя_Турбіна 3</t>
  </si>
  <si>
    <t>Обл. НДС
Світильник ДПП 07В-20-313
Надходження товарів і послуг ІБ00-000137 від 15.01.2025 19:00:11
Запоріжжя_Турбіна 3</t>
  </si>
  <si>
    <t>Обл. НДС
Комплект монтажний д/кондиціонерів
Надходження товарів і послуг ІБ00-006420 від 01.12.2024 18:01:23
Запоріжжя_Турбіна 3</t>
  </si>
  <si>
    <t>Обороти за період та сальдо на кінець</t>
  </si>
  <si>
    <t>12.02.2025</t>
  </si>
  <si>
    <t>Надходження товарів і послуг ІБ00-000618 від 12.02.2025 18:03:08
Оприходованы ТМЦ</t>
  </si>
  <si>
    <t>Обл. НДС
Провід ПВС 4*6,0 м
Надходження товарів і послуг ІБ00-000618 від 12.02.2025 18:03:08
Катеринопіль МХП</t>
  </si>
  <si>
    <t>Лук'ян Михайло Федорович ФОП
 05/02/25 від 05.05.2025_РАХУНКИ_МХП Катеринополь
Рахунок на оплату постачальника ІБ00-000526 від 12.02.2025 18:03:06</t>
  </si>
  <si>
    <t>Обл. НДС
Провід ПВС 3*1,5 бухта 100м
Надходження товарів і послуг ІБ00-000618 від 12.02.2025 18:03:08
Катеринопіль МХП</t>
  </si>
  <si>
    <t>13.02.2025</t>
  </si>
  <si>
    <t>Переміщення товарів ІБ00-000118 від 13.02.2025 18:20:08
Перемещение ТМЦ</t>
  </si>
  <si>
    <t>Обл. НДС
Брус 50*100мм 6 м обрізний
Надходження товарів і послуг ІБ00-004548 від 30.09.2024 18:07:32
Катеринопіль МХП</t>
  </si>
  <si>
    <t>Обл. НДС
Брус 50*100мм 6 м обрізний
Надходження товарів і послуг ІБ00-004548 від 30.09.2024 18:07:32
Путрівка КМД</t>
  </si>
  <si>
    <t>Обл. НДС
Розчинник для фарби і лаку РДФ 4,5 л/3,10 кг
Надходження товарів і послуг ІБ00-000343 від 17.01.2025 19:00:17
Катеринопіль МХП</t>
  </si>
  <si>
    <t>Обл. НДС
Розчинник для фарби і лаку РДФ 4,5 л/3,10 кг
Надходження товарів і послуг ІБ00-000343 від 17.01.2025 19:00:17
Путрівка КМД</t>
  </si>
  <si>
    <t>Обл. НДС
Шуруп г/к по дереву 4,2*76(75)  мм (уп.250шт)
Надходження товарів і послуг ІБ00-004231 від 12.09.2024 18:41:34
Катеринопіль МХП</t>
  </si>
  <si>
    <t>Обл. НДС
Шуруп г/к по дереву 4,2*76(75)  мм (уп.250шт)
Надходження товарів і послуг ІБ00-004231 від 12.09.2024 18:41:34
Путрівка КМД</t>
  </si>
  <si>
    <t>18.02.2025</t>
  </si>
  <si>
    <t>Надходження товарів і послуг ІБ00-000604 від 18.02.2025 20:00:22
Оприходованы ТМЦ</t>
  </si>
  <si>
    <t>Обл. НДС
Плівка п/е 120 мк 2с 50м 150кв м
Надходження товарів і послуг ІБ00-000604 від 18.02.2025 20:00:22
Катеринопіль МХП</t>
  </si>
  <si>
    <t>Лук'ян Михайло Федорович ФОП
 05/02/25 від 05.05.2025_РАХУНКИ_МХП Катеринополь
Рахунок на оплату постачальника ІБ00-000515 від 18.02.2025 20:00:20</t>
  </si>
  <si>
    <t>19.02.2025</t>
  </si>
  <si>
    <t>Надходження товарів і послуг ІБ00-000645 від 19.02.2025 18:22:41
Оприходованы ТМЦ (Зачет аванса поставщику)</t>
  </si>
  <si>
    <t>Обл. НДС
Шайба М12(13) DIN125 140 циинк
Надходження товарів і послуг ІБ00-000645 від 19.02.2025 18:22:41
Катеринопіль МХП</t>
  </si>
  <si>
    <t>ЛЕОМАРК
Договір 12/08-24 від 12.08.2024_МХП Катеринополь
Рахунок на оплату постачальника ІБ00-000496 від 14.02.2025 18:18:38</t>
  </si>
  <si>
    <t>Обл. НДС
Шайба М14(15) DIN125 140 циинк
Надходження товарів і послуг ІБ00-000645 від 19.02.2025 18:22:41
Катеринопіль МХП</t>
  </si>
  <si>
    <t>Обл. НДС
Шайба М16(17) DIN125 140 циинк
Надходження товарів і послуг ІБ00-000645 від 19.02.2025 18:22:41
Катеринопіль МХП</t>
  </si>
  <si>
    <t>Обл. НДС
Гайка DIN934 M12 8 цинк
Надходження товарів і послуг ІБ00-000645 від 19.02.2025 18:22:41
Катеринопіль МХП</t>
  </si>
  <si>
    <t>Обл. НДС
Гайка DIN934 M14 8 цинк
Надходження товарів і послуг ІБ00-000645 від 19.02.2025 18:22:41
Катеринопіль МХП</t>
  </si>
  <si>
    <t>Обл. НДС
Гайка DIN934 M18 8 цинк
Надходження товарів і послуг ІБ00-000645 від 19.02.2025 18:22:41
Катеринопіль МХП</t>
  </si>
  <si>
    <t>Обл. НДС
Гайка DIN934 M20 8 цинк
Надходження товарів і послуг ІБ00-000645 від 19.02.2025 18:22:41
Катеринопіль МХП</t>
  </si>
  <si>
    <t>Обл. НДС
Шайба М20(21) DIN125 140 циинк
Надходження товарів і послуг ІБ00-000645 від 19.02.2025 18:22:41
Катеринопіль МХП</t>
  </si>
  <si>
    <t>Обл. НДС
Шайба М24(25) DIN125 140 циинк
Надходження товарів і послуг ІБ00-000645 від 19.02.2025 18:22:41
Катеринопіль МХП</t>
  </si>
  <si>
    <t>Обл. НДС
Болт М20*80  DIN 931
Надходження товарів і послуг ІБ00-000645 від 19.02.2025 18:22:41
Катеринопіль МХП</t>
  </si>
  <si>
    <t>Обл. НДС
Болт М20*90  DIN 931
Надходження товарів і послуг ІБ00-000645 від 19.02.2025 18:22:41
Катеринопіль МХП</t>
  </si>
  <si>
    <t>Обл. НДС
Болт М24*90  DIN 931
Надходження товарів і послуг ІБ00-000645 від 19.02.2025 18:22:41
Катеринопіль МХП</t>
  </si>
  <si>
    <t>Обл. НДС
Болт М24*120  DIN 931
Надходження товарів і послуг ІБ00-000645 від 19.02.2025 18:22:41
Катеринопіль МХП</t>
  </si>
  <si>
    <t>Обл. НДС
Болт М12*40  DIN 933
Надходження товарів і послуг ІБ00-000645 від 19.02.2025 18:22:41
Катеринопіль МХП</t>
  </si>
  <si>
    <t>Обл. НДС
Болт М12*50  DIN 933
Надходження товарів і послуг ІБ00-000645 від 19.02.2025 18:22:41
Катеринопіль МХП</t>
  </si>
  <si>
    <t>Обл. НДС
Болт М14*50  DIN 933
Надходження товарів і послуг ІБ00-000645 від 19.02.2025 18:22:41
Катеринопіль МХП</t>
  </si>
  <si>
    <t>Обл. НДС
Болт М16*55  DIN 933 цб
Надходження товарів і послуг ІБ00-000645 від 19.02.2025 18:22:41
Катеринопіль МХП</t>
  </si>
  <si>
    <t>Обл. НДС
Болт М16*70  DIN 933
Надходження товарів і послуг ІБ00-000645 від 19.02.2025 18:22:41
Катеринопіль МХП</t>
  </si>
  <si>
    <t>Обл. НДС
Болт М20*70  DIN 933
Надходження товарів і послуг ІБ00-000645 від 19.02.2025 18:22:41
Катеринопіль МХП</t>
  </si>
  <si>
    <t>Обл. НДС
Болт М24*100  DIN 933 цб
Надходження товарів і послуг ІБ00-000645 від 19.02.2025 18:22:41
Катеринопіль МХП</t>
  </si>
  <si>
    <t>Надходження товарів і послуг ІБ00-000645 від 19.02.2025 18:22:41
Оприходованы ТМЦ</t>
  </si>
  <si>
    <t>Обл. НДС
Гайка DIN934 M16 8 цинк
Надходження товарів і послуг ІБ00-000645 від 19.02.2025 18:22:41
Катеринопіль МХП</t>
  </si>
  <si>
    <t>Обл. НДС
Шайба М18(19) DIN125 140 циинк
Надходження товарів і послуг ІБ00-000645 від 19.02.2025 18:22:41
Катеринопіль МХП</t>
  </si>
  <si>
    <t>Переміщення товарів ІБ00-000163 від 19.02.2025 18:22:56
Перемещение ТМЦ</t>
  </si>
  <si>
    <t>Обл. НДС
Шуруп г/к по дереву 4,2*76(75)  мм (уп.250шт)
Надходження товарів і послуг ІБ00-004231 від 12.09.2024 18:41:34
Цех металоконструкцій</t>
  </si>
  <si>
    <t>24.02.2025</t>
  </si>
  <si>
    <t>Надходження товарів і послуг ІБ00-000733 від 24.02.2025 23:35:28
Оприходованы ТМЦ (Зачет аванса поставщику)</t>
  </si>
  <si>
    <t>Обл. НДС
Гайка М24  DIN 934 ЦБ
Надходження товарів і послуг ІБ00-000733 від 24.02.2025 23:35:28
Катеринопіль МХП</t>
  </si>
  <si>
    <t>Солді і Ко ПАТ
Дог № 378542-55/19 від 21.01.2019 р. РАХ_МХП Катер
Рахунок на оплату постачальника ІБ00-000527 від 19.02.2025 18:22:31</t>
  </si>
  <si>
    <t>Обл. НДС
Болт М24*120  DIN 933
Надходження товарів і послуг ІБ00-000733 від 24.02.2025 23:35:28
Катеринопіль МХП</t>
  </si>
  <si>
    <t>Обл. НДС
Болт М20*90  DIN 931
Надходження товарів і послуг ІБ00-000733 від 24.02.2025 23:35:28
Катеринопіль МХП</t>
  </si>
  <si>
    <t>Обл. НДС
Болт М20*75  DIN 931 цб
Надходження товарів і послуг ІБ00-000733 від 24.02.2025 23:35:28
Катеринопіль МХП</t>
  </si>
  <si>
    <t>Обл. НДС
Болт М18*150  DIN 931 цб
Надходження товарів і послуг ІБ00-000733 від 24.02.2025 23:35:28
Катеринопіль МХП</t>
  </si>
  <si>
    <t>Обл. НДС
Болт М18*80  DIN 933 цб
Надходження товарів і послуг ІБ00-000733 від 24.02.2025 23:35:28
Катеринопіль МХП</t>
  </si>
  <si>
    <t>Обл. НДС
Болт М16*60  DIN 933 оц. 8.8цб
Надходження товарів і послуг ІБ00-000733 від 24.02.2025 23:35:28
Катеринопіль МХП</t>
  </si>
  <si>
    <t>Обл. НДС
Болт М16*60  DIN 933 оц. 5,8
Надходження товарів і послуг ІБ00-000733 від 24.02.2025 23:35:28
Катеринопіль МХП</t>
  </si>
  <si>
    <t>Обл. НДС
Болт М14*150  DIN 931 оц. 8,8
Надходження товарів і послуг ІБ00-000733 від 24.02.2025 23:35:28
Катеринопіль МХП</t>
  </si>
  <si>
    <t>26.02.2025</t>
  </si>
  <si>
    <t>Надходження товарів і послуг ІБ00-000730 від 26.02.2025 18:00:30
Оприходованы ТМЦ (Зачет аванса поставщику)</t>
  </si>
  <si>
    <t>Обл. НДС
Розчинник УС Нефрас 0,94 л/ 0,70 кг
Надходження товарів і послуг ІБ00-000730 від 26.02.2025 18:00:30
Катеринопіль МХП</t>
  </si>
  <si>
    <t>Лук'ян Михайло Федорович ФОП
 05/02/25 від 05.05.2025_РАХУНКИ_МХП Катеринополь
Рахунок на оплату постачальника ІБ00-000497 від 13.02.2025 18:20:03</t>
  </si>
  <si>
    <t>Обл. НДС
Емаль ПФ-115 С сіра (50 кг)
Надходження товарів і послуг ІБ00-000730 від 26.02.2025 18:00:30
Катеринопіль МХП</t>
  </si>
  <si>
    <t>Списання товарів ІБ00-000081 від 28.02.2025 00:00:00
Списаны ТМЦ</t>
  </si>
  <si>
    <t>14.02.2025</t>
  </si>
  <si>
    <t>Надходження товарів і послуг ІБ00-000533 від 14.02.2025 18:25:44
Оприходованы ТМЦ</t>
  </si>
  <si>
    <t>Обл. НДС
Балка 45 ст.3пс5, 12м
Надходження товарів і послуг ІБ00-000533 від 14.02.2025 18:25:44
Цех_Катеринопіль МХП</t>
  </si>
  <si>
    <t>МЕТАЛ ХОЛДІНГ ТРЕЙД ТОВ
Договір 01/468/24 від 06.09.2024_Катеринопіль МХП
Рахунок на оплату постачальника ІБ00-000466 від 13.02.2025 18:04:59</t>
  </si>
  <si>
    <t>Обл. НДС
Балка 30 ст.3 пс 5 L=12,04 м
Надходження товарів і послуг ІБ00-000533 від 14.02.2025 18:25:44
Цех_Катеринопіль МХП</t>
  </si>
  <si>
    <t>Надходження дод. витрат ІБ00-000078 від 14.02.2025 18:25:45
Доп. расходы при поступлении товаров</t>
  </si>
  <si>
    <t>Вимога-накладна ІБ00-000081 від 14.02.2025 18:35:36
Списаны ТМЦ</t>
  </si>
  <si>
    <t>Обл. НДС
Виробничий (Цех МХП)
Цех МХП
Прямі матеріальні виробничі витрати крім зворотних відходів</t>
  </si>
  <si>
    <t>Обл. НДС
Кутник 125х125х8 L=12 ст 1-3 сп/пс 5
Надходження товарів і послуг ІБ00-000245 від 22.01.2025 19:00:20
Цех_Катеринопіль МХП</t>
  </si>
  <si>
    <t>Обл. НДС
Лист 10*1500*6000
Надходження товарів і послуг ІБ00-000167 від 20.01.2025 18:00:20
Цех_Катеринопіль МХП</t>
  </si>
  <si>
    <t>Обл. НДС
Лист 14 (г.к.) (1,5х6) imp ((1,5*6,0) S235JR)
Надходження товарів і послуг ІБ00-000188 від 22.01.2025 18:18:24
Цех_Катеринопіль МХП</t>
  </si>
  <si>
    <t>Обл. НДС
Лист 14 (г.к.) (1,5х6) imp ((1,5*6,0) S235JR)
Надходження товарів і послуг ІБ00-000245 від 22.01.2025 19:00:20
Цех_Катеринопіль МХП</t>
  </si>
  <si>
    <t>Обл. НДС
Лист 14 (г.к.) (1,5х6) imp ((1,5*6,0) S235JR)
Надходження товарів і послуг ІБ00-000260 від 23.01.2025 18:20:17
Цех_Катеринопіль МХП</t>
  </si>
  <si>
    <t>Обл. НДС
Лист 12*1500*6000 3 сп/пс5
Надходження товарів і послуг ІБ00-000245 від 22.01.2025 19:00:20
Цех_Катеринопіль МХП</t>
  </si>
  <si>
    <t>Обл. НДС
Лист 20*1500*6000 3 сп/пс5
Надходження товарів і послуг ІБ00-000245 від 22.01.2025 19:00:20
Цех_Катеринопіль МХП</t>
  </si>
  <si>
    <t>Обл. НДС
Лист 30 С255 
Надходження товарів і послуг ІБ00-000245 від 22.01.2025 19:00:20
Цех_Катеринопіль МХП</t>
  </si>
  <si>
    <t>17.02.2025</t>
  </si>
  <si>
    <t>Вимога-накладна ІБ00-000082 від 17.02.2025 23:30:46
Списаны ТМЦ</t>
  </si>
  <si>
    <t>Обл. НДС
Лист 10*1500*6000 3 сп/пс5  7208
Надходження товарів і послуг ІБ00-000245 від 22.01.2025 19:00:20
Цех_Катеринопіль МХП</t>
  </si>
  <si>
    <t>Обл. НДС
Лист 10*1500*6000 3 сп/пс5  7208
Надходження товарів і послуг ІБ00-000244 від 27.01.2025 18:00:04
Цех_Катеринопіль МХП</t>
  </si>
  <si>
    <t>Обл. НДС
Лист 12*1500*6000
Надходження товарів і послуг ІБ00-000188 від 22.01.2025 18:18:24
Цех_Катеринопіль МХП</t>
  </si>
  <si>
    <t>Обл. НДС
Лист 20 (г.к)  (1,5х6) imp ((1,5*6,0) S235JR)
Надходження товарів і послуг ІБ00-000167 від 20.01.2025 18:00:20
Цех_Катеринопіль МХП</t>
  </si>
  <si>
    <t>Обл. НДС
Лист 8 (г.к.) (1,5х6) ((1,5*6,0) 14637 3сп5)
Надходження товарів і послуг ІБ00-000245 від 22.01.2025 19:00:20
Цех_Катеринопіль МХП</t>
  </si>
  <si>
    <t>Обл. НДС
Швелер 18 П ст.3пс
Надходження товарів і послуг ІБ00-000090 від 16.01.2025 15:48:34
Цех_Катеринопіль МХП</t>
  </si>
  <si>
    <t>Обл. НДС
Швелер 16П міра  12,00 м
Надходження товарів і послуг ІБ00-000261 від 27.01.2025 18:25:05
Цех_Катеринопіль МХП</t>
  </si>
  <si>
    <t>Вимога-накладна ІБ00-000105 від 28.02.2025 12:56:44
Списаны ТМЦ</t>
  </si>
  <si>
    <t>Обл. НДС
Лист 8 (г.к.) (1,5х6) ((1,5*6,0) 14637 3сп5)
Надходження товарів і послуг ІБ00-000244 від 27.01.2025 18:00:04
Цех_Катеринопіль МХП</t>
  </si>
  <si>
    <t>Обл. НДС
Труба 80х80х4 (12,05- 8940:2019 08кп/1-3пс)
Надходження товарів і послуг ІБ00-000167 від 20.01.2025 18:00:20
Цех_Катеринопіль МХП</t>
  </si>
  <si>
    <t>Обл. НДС
Труба 100х100х4 (12,05- 8940:2019 08кп/1-3пс)
Надходження товарів і послуг ІБ00-000169 від 17.01.2025 18:59:58
Цех_Катеринопіль МХП</t>
  </si>
  <si>
    <t>Обл. НДС
Швелер 30П
Надходження товарів і послуг ІБ00-000090 від 16.01.2025 15:48:34
Цех_Катеринопіль МХП</t>
  </si>
  <si>
    <t>01.02.2025</t>
  </si>
  <si>
    <t>Переміщення товарів ІБ00-000134 від 01.02.2025 18:11:30
Перемещение ТМЦ</t>
  </si>
  <si>
    <t>Обл. НДС
Розчинник УС Нефрас 0,94 л/ 0,70 кг
Надходження товарів і послуг ІБ00-000035 від 08.01.2025 18:01:35
Путрівка КМД</t>
  </si>
  <si>
    <t>221</t>
  </si>
  <si>
    <t>03.02.2025</t>
  </si>
  <si>
    <t>Надходження товарів і послуг ІБ00-000389 від 03.02.2025 18:04:04
Оприходованы ТМЦ (Зачет аванса поставщику)</t>
  </si>
  <si>
    <t>Обл. НДС
Секція 200*50 мм 4,00мм/4,00 мм 2,43м/2,5 м оц антрацит
Надходження товарів і послуг ІБ00-000389 від 03.02.2025 18:04:04
Путрівка КМД</t>
  </si>
  <si>
    <t>Сітка Захід Україна ТОВ
Договір 19/09/24 від 19.09.2024_КМД Путровка
Списання з банківського рахунку 00000001046 від 28.01.2025 15:32:01</t>
  </si>
  <si>
    <t>Надходження товарів і послуг ІБ00-000409 від 03.02.2025 18:10:12
Оприходованы ТМЦ (Зачет аванса поставщику)</t>
  </si>
  <si>
    <t>Обл. НДС
Цемент М-500 ПЦ ІІ 
Надходження товарів і послуг ІБ00-000409 від 03.02.2025 18:10:12
Путрівка КМД</t>
  </si>
  <si>
    <t>Будівельний двір"ТОВ
Дог поставки № БА-2020/040 від 26.03.2020_КМД Путр
Рахунок на оплату постачальника ІБ00-000265 від 27.01.2025 18:25:21</t>
  </si>
  <si>
    <t>Обл. НДС
Праймер бітумно-каучуковий (18л)
Надходження товарів і послуг ІБ00-000409 від 03.02.2025 18:10:12
Путрівка КМД</t>
  </si>
  <si>
    <t>Надходження дод. витрат ІБ00-000066 від 03.02.2025 18:10:13
Доп. расходы при поступлении товаров (Зачет аванса поставщику)</t>
  </si>
  <si>
    <t>Надходження товарів і послуг ІБ00-000502 від 03.02.2025 18:10:27
Оприходованы ТМЦ (Зачет аванса поставщику)</t>
  </si>
  <si>
    <t>Обл. НДС
Секція 200*50 мм 4,00мм/4,00 мм 2,43м/2,5 м оц антрацит
Надходження товарів і послуг ІБ00-000502 від 03.02.2025 18:10:27
Путрівка КМД</t>
  </si>
  <si>
    <t>Надходження товарів і послуг ІБ00-000502 від 03.02.2025 18:10:27
Оприходованы ТМЦ</t>
  </si>
  <si>
    <t>Обл. НДС
Стовп 60*40 мм*3,0м оц антрацит 1,2мм 6 отв
Надходження товарів і послуг ІБ00-000502 від 03.02.2025 18:10:27
Путрівка КМД</t>
  </si>
  <si>
    <t>Сітка Захід Україна ТОВ
Договір 19/09/24 від 19.09.2024_КМД Путровка
Надходження товарів і послуг ІБ00-000502 від 03.02.2025 18:10:27</t>
  </si>
  <si>
    <t>Обл. НДС
Кріплення 60*40 мм оц антрацит
Надходження товарів і послуг ІБ00-000502 від 03.02.2025 18:10:27
Путрівка КМД</t>
  </si>
  <si>
    <t>Надходження дод. витрат ІБ00-000073 від 03.02.2025 18:10:28
Доп. расходы при поступлении товаров</t>
  </si>
  <si>
    <t>Сітка Захід Україна ТОВ
Договір 19/09/24 від 19.09.2024_КМД Путровка
Надходження дод. витрат ІБ00-000073 від 03.02.2025 18:10:28</t>
  </si>
  <si>
    <t>Надходження товарів і послуг ІБ00-000739 від 03.02.2025 18:10:42
Оприходованы ТМЦ (Зачет аванса поставщику)</t>
  </si>
  <si>
    <t>Обл. НДС
Гідробейс ЕКП стандарт 4,0 
Надходження товарів і послуг ІБ00-000739 від 03.02.2025 18:10:42
Путрівка КМД</t>
  </si>
  <si>
    <t>ЮНІТ БІ ТОВ
РАХУНКИ_КМД Путровка
Рахунок на оплату постачальника ІБ00-000263 від 29.01.2025 18:00:06</t>
  </si>
  <si>
    <t>Обл. НДС
Гідробейс ЕПП стандарт 2,5
Надходження товарів і послуг ІБ00-000739 від 03.02.2025 18:10:42
Путрівка КМД</t>
  </si>
  <si>
    <t>Надходження дод. витрат ІБ00-000104 від 03.02.2025 18:10:43
Доп. расходы при поступлении товаров (Зачет аванса поставщику)</t>
  </si>
  <si>
    <t>Надходження товарів і послуг ІБ00-000535 від 07.02.2025 20:00:09
Оприходованы ТМЦ</t>
  </si>
  <si>
    <t>Обл. НДС
Бетон БСГ С 8/10 Р4 F50 М5
Надходження товарів і послуг ІБ00-000535 від 07.02.2025 20:00:09
Путрівка КМД</t>
  </si>
  <si>
    <t>ГРАНД БЕТОН ТОВ
1428-12/23ГБ від 06.12.2023_Путрівка КМД
Надходження товарів і послуг ІБ00-000535 від 07.02.2025 20:00:09</t>
  </si>
  <si>
    <t>Переміщення товарів ІБ00-000099 від 13.02.2025 18:04:53
Перемещение ТМЦ</t>
  </si>
  <si>
    <t>Обл. НДС
Патрон монтаж. 6,8*11 мм червоні
Надходження товарів і послуг ІБ00-006244 від 12.12.2024 18:00:40
Глобине-2</t>
  </si>
  <si>
    <t>Обл. НДС
Патрон монтаж. 6,8*11 мм червоні
Надходження товарів і послуг ІБ00-006244 від 12.12.2024 18:00:40
Путрівка КМД</t>
  </si>
  <si>
    <t>Обл. НДС
Фіксатор зірочка 25
Надходження товарів і послуг ІБ00-005494 від 04.11.2024 17:13:00
Глобине-2</t>
  </si>
  <si>
    <t>Обл. НДС
Фіксатор зірочка 25
Надходження товарів і послуг ІБ00-005494 від 04.11.2024 17:13:00
Путрівка КМД</t>
  </si>
  <si>
    <t>25.02.2025</t>
  </si>
  <si>
    <t>Переміщення товарів ІБ00-000133 від 25.02.2025 10:00:00
Перемещение ТМЦ</t>
  </si>
  <si>
    <t>Обл. НДС
Труба  89*3 ст1-3 сп/пс L=12000 мм
Надходження товарів і послуг ІБ00-005431 від 17.10.2024 19:38:47
Цех металоконструкцій</t>
  </si>
  <si>
    <t>Обл. НДС
Труба  89*3 ст1-3 сп/пс L=12000 мм
Надходження товарів і послуг ІБ00-005431 від 17.10.2024 19:38:47
Путрівка КМД</t>
  </si>
  <si>
    <t>Обл. НДС
Арматура №10  А500С L=12000 мм
Надходження товарів і послуг ІБ00-005430 від 17.10.2024 19:38:46
Цех металоконструкцій</t>
  </si>
  <si>
    <t>Обл. НДС
Арматура №10  А500С L=12000 мм
Надходження товарів і послуг ІБ00-005430 від 17.10.2024 19:38:46
Путрівка КМД</t>
  </si>
  <si>
    <t>27.02.2025</t>
  </si>
  <si>
    <t>Списання товарів ІБ00-000071 від 27.02.2025 08:31:50
Списаны ТМЦ</t>
  </si>
  <si>
    <t>Обл. НДС
Виробничий (Старокостянтинів)
Старокостянтинів
Прямі виробничі витрати на придбання робіт, послуг</t>
  </si>
  <si>
    <t>Обл. НДС
Дошка обрізна 25*100* 4500 
Надходження товарів і послуг ІБ00-005203 від 23.10.2024 18:16:28
Путрівка КМД</t>
  </si>
  <si>
    <t>Вимога-накладна ІБ00-000097 від 27.02.2025 14:31:50
Списаны ТМЦ</t>
  </si>
  <si>
    <t>Обл. НДС
Виробничий (Путрівка КМД)
Путрівка КМД
Прямі материальні виробничі витрати крім зворотніх відходів</t>
  </si>
  <si>
    <t>Обл. НДС
Бетон С 25/30 Р4 F200, W6, М5
Надходження товарів і послуг ІБ00-006585 від 23.12.2024 12:00:00
Путрівка КМД</t>
  </si>
  <si>
    <t>Обл. НДС
Бетон С 25/30 Р4 F200, W6, М5
Надходження товарів і послуг ІБ00-000235 від 24.01.2025 18:00:02
Путрівка КМД</t>
  </si>
  <si>
    <t>Обл. НДС
Арматура №10  А500С
Надходження товарів і послуг ІБ00-005300 від 23.10.2024 18:16:49
Путрівка КМД</t>
  </si>
  <si>
    <t>Обл. НДС
Арматура №12  А500С
Надходження товарів і послуг ІБ00-005300 від 23.10.2024 18:16:49
Путрівка КМД</t>
  </si>
  <si>
    <t>Обл. НДС
Бетон БСГ В25 Р2 F200 W6 М350 М5
Надходження товарів і послуг ІБ00-000235 від 24.01.2025 18:00:02
Путрівка КМД</t>
  </si>
  <si>
    <t>Обл. НДС
Швелер 18 П ст.3пс
Надходження товарів і послуг ІБ00-005300 від 23.10.2024 18:16:49
Путрівка КМД</t>
  </si>
  <si>
    <t>Обл. НДС
Труба 219*6 зварна
Надходження товарів і послуг ІБ00-005400 від 23.10.2024 18:16:57
Путрівка КМД</t>
  </si>
  <si>
    <t>Обл. НДС
Кутник 50х50х4 L= 6000 мм, ст 3 пс
Надходження товарів і послуг ІБ00-005300 від 23.10.2024 18:16:49
Путрівка КМД</t>
  </si>
  <si>
    <t>Обл. НДС
Круг 18 (6,05 3760 3пс/А240с)
Надходження товарів і послуг ІБ00-005302 від 28.10.2024 17:55:08
Путрівка КМД</t>
  </si>
  <si>
    <t>Обл. НДС
Люк пластик квадр чорний з замком ЛК-56.70.09-ПО легкий А15
Надходження товарів і послуг ІБ00-000295 від 23.01.2025 18:20:25
Путрівка КМД</t>
  </si>
  <si>
    <t>Обл. НДС
Розчин РК Р 12 М100 М5
Надходження товарів і послуг ІБ00-000237 від 25.01.2025 18:00:01
Путрівка КМД</t>
  </si>
  <si>
    <t>Обл. НДС
Гідробейс ЕПП стандарт 2,5 15м кв/рул
Надходження товарів і послуг ІБ00-006494 від 20.12.2024 18:18:17
Путрівка КМД</t>
  </si>
  <si>
    <t>Обл. НДС
Гідробейс ЕКП стандарт 4,0 10м кв/рул
Надходження товарів і послуг ІБ00-006494 від 20.12.2024 18:18:17
Путрівка КМД</t>
  </si>
  <si>
    <t>Обл. НДС
Праймер бітумний Техноніколь №1 (20л)
Надходження товарів і послуг ІБ00-006494 від 20.12.2024 18:18:17
Путрівка КМД</t>
  </si>
  <si>
    <t>Списання товарів ІБ00-000069 від 27.02.2025 14:48:47
Списаны ТМЦ</t>
  </si>
  <si>
    <t>Обл. НДС
Анкер 12х120 д/буд.риштувань цб
Надходження товарів і послуг ІБ00-000186 від 07.01.2025 17:32:13
Путрівка КМД</t>
  </si>
  <si>
    <t>Обл. НДС
Анкер М 10/12*150  розпірний
Надходження товарів і послуг ІБ00-000313 від 22.01.2025 19:00:33
Путрівка КМД</t>
  </si>
  <si>
    <t>Обл. НДС
Газ скраплений  кг
Надходження товарів і послуг ІБ00-000315 від 22.01.2025 19:00:34
Путрівка КМД</t>
  </si>
  <si>
    <t>Обл. НДС
Фанера ФСФ 2500*1250*21 мм лам.
Надходження товарів і послуг ІБ00-005906 від 20.11.2024 18:11:31
Путрівка КМД</t>
  </si>
  <si>
    <t>Обл. НДС
Плита OSB 2500*1250 18 мм (шт)
Надходження товарів і послуг ІБ00-000312 від 09.01.2025 18:00:32
Путрівка КМД</t>
  </si>
  <si>
    <t>Вимога-накладна ІБ00-000098 від 27.02.2025 14:58:02
Списаны ТМЦ</t>
  </si>
  <si>
    <t>Обл. НДС
Секція 200*50 мм 4,00мм/4,00 мм 2,43м/2,5 м оц антрацит
Надходження товарів і послуг ІБ00-005780 від 05.11.2024 20:00:06
Путрівка КМД</t>
  </si>
  <si>
    <t>Обл. НДС
Стовп 60*40 мм*3,0м оц антрацит 1,2мм 6 отв
Надходження товарів і послуг ІБ00-005780 від 05.11.2024 20:00:06
Путрівка КМД</t>
  </si>
  <si>
    <t>Обл. НДС
Кріплення 60*40 мм оц антрацит
Надходження товарів і послуг ІБ00-005429 від 15.10.2024 22:00:08
Путрівка КМД</t>
  </si>
  <si>
    <t>Обл. НДС
Хвіртка 200*50 мм 5,00мм/4,00мм/5,0мм 2,5м/1,0м антрацит 3,5м/80*60мм/2,0мм 60*40мм/1,5мм+замок
Надходження товарів і послуг ІБ00-005780 від 05.11.2024 20:00:06
Путрівка КМД</t>
  </si>
  <si>
    <t>Обл. НДС
Ворота розпаш.200*50 мм 5,00мм/4,00мм/5,0мм 2,5м/4,0м антрацит 3,5м/100*100мм/3,0мм 60*40мм/1,+замок
Надходження товарів і послуг ІБ00-005780 від 05.11.2024 20:00:06
Путрівка КМД</t>
  </si>
  <si>
    <t>Обл. НДС
Бетон С  8/10 Р4 F50 М5
Надходження товарів і послуг ІБ00-000314 від 01.01.2025 19:01:16
Путрівка КМД</t>
  </si>
  <si>
    <t>Обл. НДС
Прожектор 250W 6500К IP65. арк. LMP 103-250т м LEMANSO 
Надходження товарів і послуг ІБ00-005205 від 21.10.2024 17:44:04
Путрівка КМД</t>
  </si>
  <si>
    <t>Обл. НДС
Провід ПВС 3*4
Надходження товарів і послуг ІБ00-005834 від 13.11.2024 17:47:46
Путрівка КМД</t>
  </si>
  <si>
    <t>Обл. НДС
Провід ПВС 3*4
Надходження товарів і послуг ІБ00-005902 від 27.11.2024 18:37:20
Путрівка КМД</t>
  </si>
  <si>
    <t>Обл. НДС
Гофротруба ПП D 32мм (25) 220 TM
Надходження товарів і послуг ІБ00-005204 від 21.10.2024 17:44:03
Путрівка КМД</t>
  </si>
  <si>
    <t>Обл. НДС
Щебінь 40-70
Надходження товарів і послуг ІБ00-000297 від 10.01.2025 20:00:05
Путрівка КМД</t>
  </si>
  <si>
    <t>Обл. НДС
Щебінь 40-70
Надходження товарів і послуг ІБ00-000294 від 11.01.2025 18:00:02
Путрівка КМД</t>
  </si>
  <si>
    <t>Списання товарів ІБ00-000070 від 27.02.2025 15:10:19
Списаны ТМЦ</t>
  </si>
  <si>
    <t>Обл. НДС
Шайба 12 гц 300HV
Надходження товарів і послуг ІБ00-000186 від 07.01.2025 17:32:13
Путрівка КМД</t>
  </si>
  <si>
    <t>Обл. НДС
Siltek  В-25 Суміш універсальна сухий бетон 25 кг
Надходження товарів і послуг ІБ00-005045 від 08.10.2024 18:03:55
Путрівка КМД</t>
  </si>
  <si>
    <t>Обл. НДС
Шайба 10 збільш DIN9021
Надходження товарів і послуг ІБ00-000313 від 22.01.2025 19:00:33
Путрівка КМД</t>
  </si>
  <si>
    <t>Вимога-накладна ІБ00-000104 від 27.02.2025 20:31:54
Списаны ТМЦ</t>
  </si>
  <si>
    <t>Списання товарів ІБ00-000072 від 28.02.2025 08:35:17
Списаны ТМЦ</t>
  </si>
  <si>
    <t>Обл. НДС
Круг 10 (6,05- 30136 3пс)
Надходження товарів і послуг ІБ00-005300 від 23.10.2024 18:16:49
Путрівка КМД</t>
  </si>
  <si>
    <t>Надходження товарів і послуг ІБ00-000613 від 01.02.2025 18:10:40
Оприходованы ТМЦ (Зачет аванса поставщику)</t>
  </si>
  <si>
    <t>Обл. НДС
Стрічка ущільнювальна ТПК УП-4 ППЕ 3*30мм 30м
Надходження товарів і послуг ІБ00-000613 від 01.02.2025 18:10:40
Ретал ГПУ</t>
  </si>
  <si>
    <t>ТПК-ЦЕНТР ТОВ
Договір 13/20/П/011від 21.07.2020_Ретал.ГПУ
Рахунок на оплату постачальника ІБ00-000112 від 14.01.2025 18:05:11</t>
  </si>
  <si>
    <t>Надходження товарів і послуг ІБ00-000614 від 01.02.2025 18:10:41
Оприходованы ТМЦ</t>
  </si>
  <si>
    <t>Обл. НДС
Сендвіч-панель ТПК стінова150 мм МВ 1180 мм С 0,45 PS трапеція 7024М сірий/трапеція 9003 білий
Надходження товарів і послуг ІБ00-000614 від 01.02.2025 18:10:41
Ретал ГПУ</t>
  </si>
  <si>
    <t>ТПК-ЦЕНТР ТОВ
Договір 13/20/П/011від 21.07.2020_Ретал.ГПУ
Рахунок на оплату постачальника ІБ00-005310 від 26.12.2024 19:01:35</t>
  </si>
  <si>
    <t>Надходження товарів і послуг ІБ00-000614 від 01.02.2025 18:10:41
Оприходованы ТМЦ (Зачет аванса поставщику)</t>
  </si>
  <si>
    <t>Надходження товарів і послуг ІБ00-000616 від 01.02.2025 18:10:43
Оприходованы ТМЦ (Зачет аванса поставщику)</t>
  </si>
  <si>
    <t>Обл. НДС
Геотекстиль термо.сірий мат-л нетканий
Надходження товарів і послуг ІБ00-000616 від 01.02.2025 18:10:43
Ретал ГПУ</t>
  </si>
  <si>
    <t>СТАНДАРТ БУД ГРУП
РАХУНКИ_Ретал.ГПУ
Рахунок на оплату постачальника ІБ00-005239 від 24.12.2024 00:00:00</t>
  </si>
  <si>
    <t>Надходження товарів і послуг ІБ00-000616 від 01.02.2025 18:10:43
Оприходованы ТМЦ</t>
  </si>
  <si>
    <t>Обл. НДС
Плита OSB 10*1250*2500 (шт)
Надходження товарів і послуг ІБ00-000616 від 01.02.2025 18:10:43
Ретал ГПУ</t>
  </si>
  <si>
    <t>Обл. НДС
Шуруп гартов 35*30 п=1000
Надходження товарів і послуг ІБ00-000616 від 01.02.2025 18:10:43
Ретал ГПУ</t>
  </si>
  <si>
    <t>Обл. НДС
Саморіз по дереву 4,2х70
Надходження товарів і послуг ІБ00-000616 від 01.02.2025 18:10:43
Ретал ГПУ</t>
  </si>
  <si>
    <t>Надходження товарів і послуг ІБ00-000742 від 01.02.2025 18:11:41
Оприходованы ТМЦ (Зачет аванса поставщику)</t>
  </si>
  <si>
    <t>Обл. НДС
Цегла рядова повнотіла М100
Надходження товарів і послуг ІБ00-000742 від 01.02.2025 18:11:41
Ретал ГПУ</t>
  </si>
  <si>
    <t>СТАНДАРТ БУД ГРУП
РАХУНКИ_Ретал.ГПУ
Рахунок на оплату постачальника ІБ00-000261 від 29.01.2025 18:00:04</t>
  </si>
  <si>
    <t>Надходження товарів і послуг ІБ00-000742 від 01.02.2025 18:11:41
Оприходованы ТМЦ</t>
  </si>
  <si>
    <t>Обл. НДС
Цемент ПЦ ІІ/А-Ш 500 , 25 кг (т)
Надходження товарів і послуг ІБ00-000742 від 01.02.2025 18:11:41
Ретал ГПУ</t>
  </si>
  <si>
    <t>Обл. НДС
Сітка кладочна д.3,2 50*50  0,5*2 
Надходження товарів і послуг ІБ00-000742 від 01.02.2025 18:11:41
Ретал ГПУ</t>
  </si>
  <si>
    <t>Надходження товарів і послуг ІБ00-000888 від 01.02.2025 18:11:54
Оприходованы ТМЦ (Зачет аванса поставщику)</t>
  </si>
  <si>
    <t>Обл. НДС
Аерозольна емаль RAL 7024 темно сірий 400мл глянець універс
Надходження товарів і послуг ІБ00-000888 від 01.02.2025 18:11:54
Ретал ГПУ</t>
  </si>
  <si>
    <t>Епіцентр К ТОВ
б\н Ретал ГПУ
Рахунок на оплату постачальника ІБ00-000178 від 23.01.2025 16:11:17</t>
  </si>
  <si>
    <t>Надходження товарів і послуг ІБ00-000387 від 03.02.2025 18:04:02
Оприходованы ТМЦ</t>
  </si>
  <si>
    <t>Обл. НДС
Трансформатор струму ІМЕ ТАС102 2500/5А 0,5S
Надходження товарів і послуг ІБ00-000387 від 03.02.2025 18:04:02
Ретал ГПУ</t>
  </si>
  <si>
    <t>Преміум Маркет
РАХУНКИ_Ретал.ГПУ
Рахунок на оплату постачальника ІБ00-000260 від 29.01.2025 18:00:03</t>
  </si>
  <si>
    <t>Надходження товарів і послуг ІБ00-000387 від 03.02.2025 18:04:02
Оприходованы ТМЦ (Зачет аванса поставщику)</t>
  </si>
  <si>
    <t>Надходження товарів і послуг ІБ00-000388 від 03.02.2025 18:04:03
Оприходованы ТМЦ (Зачет аванса поставщику)</t>
  </si>
  <si>
    <t>Обл. НДС
Кутник 50х50х4 L= 6000 мм, ст 3 пс
Надходження товарів і послуг ІБ00-000388 від 03.02.2025 18:04:03
Ретал ГПУ</t>
  </si>
  <si>
    <t>АВ МЕТАЛ ГРУП ТОВ
Дог 2420/Р від 05.10.2023_Ретал ГПУ
Рахунок на оплату постачальника ІБ00-000287 від 31.01.2025 09:00:00</t>
  </si>
  <si>
    <t>Обл. НДС
Лист г/к  5*1250*2500 мм
Надходження товарів і послуг ІБ00-000388 від 03.02.2025 18:04:03
Ретал ГПУ</t>
  </si>
  <si>
    <t>Обл. НДС
Труба профільна 50*50*3,0  6 м
Надходження товарів і послуг ІБ00-000388 від 03.02.2025 18:04:03
Ретал ГПУ</t>
  </si>
  <si>
    <t>Обл. НДС
Труба профільна 120*120*4 L=12000 мм
Надходження товарів і послуг ІБ00-000388 від 03.02.2025 18:04:03
Ретал ГПУ</t>
  </si>
  <si>
    <t>Надходження дод. витрат ІБ00-000065 від 03.02.2025 18:10:11
Доп. расходы при поступлении товаров (Зачет аванса поставщику)</t>
  </si>
  <si>
    <t>Надходження дод. витрат ІБ00-000065 від 03.02.2025 18:10:11
Доп. расходы при поступлении товаров</t>
  </si>
  <si>
    <t>04.02.2025</t>
  </si>
  <si>
    <t>Надходження товарів і послуг ІБ00-000362 від 04.02.2025 17:49:56
Оприходованы ТМЦ</t>
  </si>
  <si>
    <t>Обл. НДС
Грунт ГФ-021 сірий
Надходження товарів і послуг ІБ00-000362 від 04.02.2025 17:49:56
Ретал ГПУ</t>
  </si>
  <si>
    <t>Синтез ЛКМ
РАХУНКИ_Ретал ГПУ
Рахунок на оплату постачальника ІБ00-000318 від 04.02.2025 17:49:55</t>
  </si>
  <si>
    <t>Обл. НДС
Емаль ПФ-1189 сірий
Надходження товарів і послуг ІБ00-000362 від 04.02.2025 17:49:56
Ретал ГПУ</t>
  </si>
  <si>
    <t>06.02.2025</t>
  </si>
  <si>
    <t>Надходження товарів і послуг ІБ00-000515 від 06.02.2025 18:36:34
Оприходованы ТМЦ (Зачет аванса поставщику)</t>
  </si>
  <si>
    <t>Обл. НДС
Трансформатор струму TАS102 38*102 2000/5А бік підкл
Надходження товарів і послуг ІБ00-000515 від 06.02.2025 18:36:34
Ретал ГПУ</t>
  </si>
  <si>
    <t>КАРАТ ЛТД"ТОВ
Договір 25/2025 від 24.01.2025_Ретал ГПУ
Рахунок на оплату постачальника ІБ00-000230 від 24.01.2025 18:10:14</t>
  </si>
  <si>
    <t>Обл. НДС
Аналізатор мережі Nemo96 HDLE RS485 1/5А 80-265Vcal/110-300Vcc
Надходження товарів і послуг ІБ00-000515 від 06.02.2025 18:36:34
Ретал ГПУ</t>
  </si>
  <si>
    <t>10.02.2025</t>
  </si>
  <si>
    <t>Надходження товарів і послуг ІБ00-000513 від 10.02.2025 17:47:24
Оприходованы ТМЦ</t>
  </si>
  <si>
    <t>Обл. НДС
З'єднувач стрижня діагональний ф20 мм і полоси 40 мм гар.цинк.
Надходження товарів і послуг ІБ00-000513 від 10.02.2025 17:47:24
Ретал ГПУ</t>
  </si>
  <si>
    <t>СКАЙ-ЕНЕРДЖИ
№ 24/01/25 від 24.01.2025_Рахунки_Ретал ГПУ
Рахунок на оплату постачальника ІБ00-000428 від 06.02.2025 18:36:27</t>
  </si>
  <si>
    <t>Обл. НДС
Провід ПВ-3нгд  6 біл 
Надходження товарів і послуг ІБ00-000513 від 10.02.2025 17:47:24
Ретал ГПУ</t>
  </si>
  <si>
    <t>Обл. НДС
Наконечник НКИ5,5-8 кільце 4-6 мм жовтий
Надходження товарів і послуг ІБ00-000513 від 10.02.2025 17:47:24
Ретал ГПУ</t>
  </si>
  <si>
    <t>Обл. НДС
Провід ПВ-3нгд 50
Надходження товарів і послуг ІБ00-000513 від 10.02.2025 17:47:24
Ретал ГПУ</t>
  </si>
  <si>
    <t>Обл. НДС
Наконечник мідний JG-50/10 лужений 
Надходження товарів і послуг ІБ00-000513 від 10.02.2025 17:47:24
Ретал ГПУ</t>
  </si>
  <si>
    <t>Надходження товарів і послуг ІБ00-000517 від 10.02.2025 17:47:25
Оприходованы ТМЦ (Зачет аванса поставщику)</t>
  </si>
  <si>
    <t>Обл. НДС
Труба профільна 60*60*3, 6м
Надходження товарів і послуг ІБ00-000517 від 10.02.2025 17:47:25
Ретал ГПУ</t>
  </si>
  <si>
    <t>АВ МЕТАЛ ГРУП ТОВ
Дог 2420/Р від 05.10.2023_Ретал ГПУ
Рахунок на оплату постачальника ІБ00-000371 від 06.02.2025 18:36:05</t>
  </si>
  <si>
    <t>Надходження товарів і послуг ІБ00-000518 від 10.02.2025 17:47:26
Оприходованы ТМЦ</t>
  </si>
  <si>
    <t>Обл. НДС
Болт М 6*20  DIN 933 з шест.голівкою цб
Надходження товарів і послуг ІБ00-000518 від 10.02.2025 17:47:26
Ретал ГПУ</t>
  </si>
  <si>
    <t>СТЕМАКС ТОВ
111 РАХУНКИ_Ретал.ГПУ
Рахунок на оплату постачальника ІБ00-000431 від 07.02.2025 18:30:17</t>
  </si>
  <si>
    <t>Обл. НДС
Гайка М 6  DIN 934
Надходження товарів і послуг ІБ00-000518 від 10.02.2025 17:47:26
Ретал ГПУ</t>
  </si>
  <si>
    <t>Обл. НДС
Шайба плоская М 6 цб DIN125
Надходження товарів і послуг ІБ00-000518 від 10.02.2025 17:47:26
Ретал ГПУ</t>
  </si>
  <si>
    <t>Обл. НДС
Стяжка кабельна 7,6*450
Надходження товарів і послуг ІБ00-000518 від 10.02.2025 17:47:26
Ретал ГПУ</t>
  </si>
  <si>
    <t>Обл. НДС
Саморіз  5,5*38 з свердлом,шестигран.гол. і .шайбою
Надходження товарів і послуг ІБ00-000518 від 10.02.2025 17:47:26
Ретал ГПУ</t>
  </si>
  <si>
    <t>Обл. НДС
Шпилька різьбова М10х2000 (DIN975, оц, 4,8)
Надходження товарів і послуг ІБ00-000518 від 10.02.2025 17:47:26
Ретал ГПУ</t>
  </si>
  <si>
    <t>Обл. НДС
Гайка М10  DIN 934
Надходження товарів і послуг ІБ00-000518 від 10.02.2025 17:47:26
Ретал ГПУ</t>
  </si>
  <si>
    <t>Обл. НДС
Шайба збільш М10х30 DIN 9021 
Надходження товарів і послуг ІБ00-000518 від 10.02.2025 17:47:26
Ретал ГПУ</t>
  </si>
  <si>
    <t>11.02.2025</t>
  </si>
  <si>
    <t>Надходження товарів і послуг ІБ00-000514 від 11.02.2025 18:10:00
Оприходованы ТМЦ (Зачет аванса поставщику)</t>
  </si>
  <si>
    <t>Обл. НДС
Полоса 40*4 мм, сталь гарячого цинкування
Надходження товарів і послуг ІБ00-000514 від 11.02.2025 18:10:00
Ретал ГПУ</t>
  </si>
  <si>
    <t>ЕНЕЛ УКРАЇНА
РАХУНКИ_Ретал.ГПУ
Рахунок на оплату постачальника ІБ00-000370 від 03.02.2025 18:10:16</t>
  </si>
  <si>
    <t>Обл. НДС
Заземлювач заклепув D20 к-кт
Надходження товарів і послуг ІБ00-000514 від 11.02.2025 18:10:00
Ретал ГПУ</t>
  </si>
  <si>
    <t>Обл. НДС
Затискач хрестовий 4 отв смуга В40-50-смуга В40-50
Надходження товарів і послуг ІБ00-000514 від 11.02.2025 18:10:00
Ретал ГПУ</t>
  </si>
  <si>
    <t>Обл. НДС
Затискач універс прут DR8-прут DR8
Надходження товарів і послуг ІБ00-000514 від 11.02.2025 18:10:00
Ретал ГПУ</t>
  </si>
  <si>
    <t>Обл. НДС
Тримач прута DR8 покрівел з бетоном закрит
Надходження товарів і послуг ІБ00-000514 від 11.02.2025 18:10:00
Ретал ГПУ</t>
  </si>
  <si>
    <t>Обл. НДС
Колодязь ревізійний 
Надходження товарів і послуг ІБ00-000514 від 11.02.2025 18:10:00
Ретал ГПУ</t>
  </si>
  <si>
    <t>Обл. НДС
Стрічка антикороз 10м
Надходження товарів і послуг ІБ00-000514 від 11.02.2025 18:10:00
Ретал ГПУ</t>
  </si>
  <si>
    <t>Надходження товарів і послуг ІБ00-000514 від 11.02.2025 18:10:00
Оприходованы ТМЦ</t>
  </si>
  <si>
    <t>Обл. НДС
Блискавкоприймач на бетон осн
Надходження товарів і послуг ІБ00-000514 від 11.02.2025 18:10:00
Ретал ГПУ</t>
  </si>
  <si>
    <t>Надходження товарів і послуг ІБ00-000685 від 11.02.2025 21:17:00
Оприходованы ТМЦ (Зачет аванса поставщику)</t>
  </si>
  <si>
    <t>Обл. НДС
СТ17/10 Грунтівка глибокопроникна
Надходження товарів і послуг ІБ00-000685 від 11.02.2025 21:17:00
Ретал ГПУ</t>
  </si>
  <si>
    <t>ЮНІТ БІ ТОВ
РАХУНКИ_Ретал.ГПУ
Рахунок на оплату постачальника ІБ00-000429 від 10.02.2025 17:47:18</t>
  </si>
  <si>
    <t>Обл. НДС
Шпаклівка мінеральна стартова СТ 29/25
Надходження товарів і послуг ІБ00-000685 від 11.02.2025 21:17:00
Ретал ГПУ</t>
  </si>
  <si>
    <t>Надходження товарів і послуг ІБ00-000619 від 12.02.2025 18:03:09
Оприходованы ТМЦ</t>
  </si>
  <si>
    <t>Обл. НДС
Болт М10*60 метр DIN933 5.8цб
Надходження товарів і послуг ІБ00-000619 від 12.02.2025 18:03:09
Ретал ГПУ</t>
  </si>
  <si>
    <t>СКАЙ-ЕНЕРДЖИ
№ 24/01/25 від 24.01.2025_Рахунки_Ретал ГПУ
Рахунок на оплату постачальника ІБ00-000513 від 08.02.2025 10:20:09</t>
  </si>
  <si>
    <t>Обл. НДС
Станина регульов для С-профіля 41*41мм оц
Надходження товарів і послуг ІБ00-000619 від 12.02.2025 18:03:09
Ретал ГПУ</t>
  </si>
  <si>
    <t>Обл. НДС
Профіль С-подібний 41*41, L450мм, тол.2,5 мм отв 13*25 оц
Надходження товарів і послуг ІБ00-000619 від 12.02.2025 18:03:09
Ретал ГПУ</t>
  </si>
  <si>
    <t>Обл. НДС
Профіль С-подібний 41*41, L750мм, тол.2,5 мм отв 13*25 оц
Надходження товарів і послуг ІБ00-000619 від 12.02.2025 18:03:09
Ретал ГПУ</t>
  </si>
  <si>
    <t>Обл. НДС
Кабельрост 600*80мм товщ 1,20мм оц
Надходження товарів і послуг ІБ00-000619 від 12.02.2025 18:03:09
Ретал ГПУ</t>
  </si>
  <si>
    <t>Надходження товарів і послуг ІБ00-000620 від 12.02.2025 18:03:10
Оприходованы ТМЦ</t>
  </si>
  <si>
    <t>Обл. НДС
Гайка зубчата з бурт М6 DIN6923
Надходження товарів і послуг ІБ00-000620 від 12.02.2025 18:03:10
Ретал ГПУ</t>
  </si>
  <si>
    <t>Обл. НДС
Шайба кузовна М10 DIN9021
Надходження товарів і послуг ІБ00-000620 від 12.02.2025 18:03:10
Ретал ГПУ</t>
  </si>
  <si>
    <t>Обл. НДС
Болт DIN 933 М 10х25 5.8 цб пр (150шт)
Надходження товарів і послуг ІБ00-000620 від 12.02.2025 18:03:10
Ретал ГПУ</t>
  </si>
  <si>
    <t>Обл. НДС
Фіксатор кришки лотка Н=80мм
Надходження товарів і послуг ІБ00-000620 від 12.02.2025 18:03:10
Ретал ГПУ</t>
  </si>
  <si>
    <t>Обл. НДС
Гайка М10 ромбовид підпруж для профіля 41*21 та 41*41
Надходження товарів і послуг ІБ00-000620 від 12.02.2025 18:03:10
Ретал ГПУ</t>
  </si>
  <si>
    <t>Обл. НДС
Кришка лотка КЛ100 оц 3000мм лайт
Надходження товарів і послуг ІБ00-000620 від 12.02.2025 18:03:10
Ретал ГПУ</t>
  </si>
  <si>
    <t>Обл. НДС
Струбцина М10
Надходження товарів і послуг ІБ00-000620 від 12.02.2025 18:03:10
Ретал ГПУ</t>
  </si>
  <si>
    <t>Обл. НДС
Кришка лотка 200мм цинк
Надходження товарів і послуг ІБ00-000620 від 12.02.2025 18:03:10
Ретал ГПУ</t>
  </si>
  <si>
    <t>Обл. НДС
Лоток перфорований 100*50 цинк інтегр край
Надходження товарів і послуг ІБ00-000620 від 12.02.2025 18:03:10
Ретал ГПУ</t>
  </si>
  <si>
    <t>Обл. НДС
Станина стельова для профіля 41*41мм оц
Надходження товарів і послуг ІБ00-000620 від 12.02.2025 18:03:10
Ретал ГПУ</t>
  </si>
  <si>
    <t>Обл. НДС
Лоток перфорований 200*80 L 3000, гарячого цинкування
Надходження товарів і послуг ІБ00-000620 від 12.02.2025 18:03:10
Ретал ГПУ</t>
  </si>
  <si>
    <t>Обл. НДС
Профіль С-подібний 41*41, L3000мм, тол.2,5 мм отв 13*25 оц
Надходження товарів і послуг ІБ00-000620 від 12.02.2025 18:03:10
Ретал ГПУ</t>
  </si>
  <si>
    <t>Обл. НДС
Кришка лотка 600мм цинк
Надходження товарів і послуг ІБ00-000620 від 12.02.2025 18:03:10
Ретал ГПУ</t>
  </si>
  <si>
    <t>Обл. НДС
Лоток перфорований 600*80 гарячого цинкування
Надходження товарів і послуг ІБ00-000620 від 12.02.2025 18:03:10
Ретал ГПУ</t>
  </si>
  <si>
    <t>Надходження товарів і послуг ІБ00-000738 від 12.02.2025 18:03:25
Оприходованы ТМЦ (Зачет аванса поставщику)</t>
  </si>
  <si>
    <t>Обл. НДС
Дюбель  6*40 для швидк монтажу з крмірцем з вусами 100шт
Надходження товарів і послуг ІБ00-000738 від 12.02.2025 18:03:25
Ретал ГПУ</t>
  </si>
  <si>
    <t>Будівельний двір"ТОВ
Дог поставки № БА-2020/040 від 26.03.2020 р_Ретал.
Рахунок на оплату постачальника ІБ00-000430 від 10.02.2025 17:47:19</t>
  </si>
  <si>
    <t>Обл. НДС
Портландемент ПЦ ІІ/А-Ш-500 , 25 кг
Надходження товарів і послуг ІБ00-000738 від 12.02.2025 18:03:25
Ретал ГПУ</t>
  </si>
  <si>
    <t>Обл. НДС
Сітка абразив. 115*280мм  Р100  10шт/уп
Надходження товарів і послуг ІБ00-000738 від 12.02.2025 18:03:25
Ретал ГПУ</t>
  </si>
  <si>
    <t>Обл. НДС
Сітка зварна 12,5*12,5-0,8 мм 30 кв м
Надходження товарів і послуг ІБ00-000738 від 12.02.2025 18:03:25
Ретал ГПУ</t>
  </si>
  <si>
    <t>Обл. НДС
Фарба акрилова СТ42/10
Надходження товарів і послуг ІБ00-000738 від 12.02.2025 18:03:25
Ретал ГПУ</t>
  </si>
  <si>
    <t>Обл. НДС
Шліф.шкірка 115мм*5м PS30D
Надходження товарів і послуг ІБ00-000738 від 12.02.2025 18:03:25
Ретал ГПУ</t>
  </si>
  <si>
    <t>Надходження дод. витрат ІБ00-000103 від 12.02.2025 18:03:26
Доп. расходы при поступлении товаров (Зачет аванса поставщику)</t>
  </si>
  <si>
    <t>Надходження товарів і послуг ІБ00-000516 від 13.02.2025 14:31:10
Оприходованы ТМЦ</t>
  </si>
  <si>
    <t>Обл. НДС
Профнастил ПС-10
Надходження товарів і послуг ІБ00-000516 від 13.02.2025 14:31:10
Ретал ГПУ</t>
  </si>
  <si>
    <t>АЛЬБА ПРОФ СТИЛ ТОВ
Договір 2507-3 від 25.07.2023_Ретал ГПУ
Рахунок на оплату постачальника ІБ00-000432 від 03.02.2025 18:10:26</t>
  </si>
  <si>
    <t>Надходження товарів і послуг ІБ00-000516 від 13.02.2025 14:31:10
Оприходованы ТМЦ (Зачет аванса поставщику)</t>
  </si>
  <si>
    <t>Обл. НДС
Саморіз 4,8*19
Надходження товарів і послуг ІБ00-000516 від 13.02.2025 14:31:10
Ретал ГПУ</t>
  </si>
  <si>
    <t>Надходження товарів і послуг ІБ00-000638 від 13.02.2025 18:20:10
Оприходованы ТМЦ (Зачет аванса поставщику)</t>
  </si>
  <si>
    <t>Обл. НДС
Гайка М8 DIN 934 ЦБ
Надходження товарів і послуг ІБ00-000638 від 13.02.2025 18:20:10
Ретал ГПУ</t>
  </si>
  <si>
    <t>Солді і Ко ПАТ
Дог № 378542-55/19 від 21.01.2019 р. РАХ_Ретал.ГПУ
Рахунок на оплату постачальника ІБ00-000449 від 12.02.2025 18:02:37</t>
  </si>
  <si>
    <t>Обл. НДС
Шайба  8 збільш цб D24 s2,0  DIN9021
Надходження товарів і послуг ІБ00-000638 від 13.02.2025 18:20:10
Ретал ГПУ</t>
  </si>
  <si>
    <t>Обл. НДС
DIN933 Болт М8х75 5.8 цб
Надходження товарів і послуг ІБ00-000638 від 13.02.2025 18:20:10
Ретал ГПУ</t>
  </si>
  <si>
    <t>Обл. НДС
Анкер М8х75/20 цб одноконус
Надходження товарів і послуг ІБ00-000638 від 13.02.2025 18:20:10
Ретал ГПУ</t>
  </si>
  <si>
    <t>Надходження товарів і послуг ІБ00-000576 від 14.02.2025 18:35:22
Оприходованы ТМЦ (Зачет аванса поставщику)</t>
  </si>
  <si>
    <t>Обл. НДС
Кутник 50х50х4,0мм , 6м
Надходження товарів і послуг ІБ00-000576 від 14.02.2025 18:35:22
Ретал ГПУ</t>
  </si>
  <si>
    <t>АВ МЕТАЛ ГРУП ТОВ
Дог 2420/Р від 05.10.2023_Ретал ГПУ
Рахунок на оплату постачальника ІБ00-000451 від 12.02.2025 18:02:38</t>
  </si>
  <si>
    <t>Обл. НДС
Труба профільна 50*50*3  L=6 м (пог.м)
Надходження товарів і послуг ІБ00-000576 від 14.02.2025 18:35:22
Ретал ГПУ</t>
  </si>
  <si>
    <t>15.02.2025</t>
  </si>
  <si>
    <t>Надходження товарів і послуг ІБ00-000737 від 15.02.2025 10:25:01
Оприходованы ТМЦ</t>
  </si>
  <si>
    <t>Обл. НДС
Бетон БСГ В20 Р4 F200 W6 М10
Надходження товарів і послуг ІБ00-000737 від 15.02.2025 10:25:01
Ретал ГПУ</t>
  </si>
  <si>
    <t>Будіндустрія-1
Договору 24/12/18-1 від 18.12.2024_Ретал.ГПУ
Надходження товарів і послуг ІБ00-000737 від 15.02.2025 10:25:01</t>
  </si>
  <si>
    <t>Надходження товарів і послуг ІБ00-000737 від 15.02.2025 10:25:01
Оприходованы ТМЦ (Зачет аванса поставщику)</t>
  </si>
  <si>
    <t>Будіндустрія-1
Договору 24/12/18-1 від 18.12.2024_Ретал.ГПУ
Списання з банківського рахунку 00000000074 від 07.01.2025 12:57:05</t>
  </si>
  <si>
    <t>21.02.2025</t>
  </si>
  <si>
    <t>Надходження товарів і послуг ІБ00-000736 від 21.02.2025 18:25:57
Оприходованы ТМЦ (Зачет аванса поставщику)</t>
  </si>
  <si>
    <t>Обл. НДС
Труба профільна 50*50*3  L=6 м (пог.м)
Надходження товарів і послуг ІБ00-000736 від 21.02.2025 18:25:57
Ретал ГПУ</t>
  </si>
  <si>
    <t>АВ МЕТАЛ ГРУП ТОВ
Дог 2420/Р від 05.10.2023_Ретал ГПУ
Рахунок на оплату постачальника ІБ00-000512 від 17.02.2025 23:30:44</t>
  </si>
  <si>
    <t>Надходження товарів і послуг ІБ00-000810 від 26.02.2025 18:00:37
Оприходованы ТМЦ (Зачет аванса поставщику)</t>
  </si>
  <si>
    <t>Обл. НДС
Двері 2100х900 однопол металеві  RAL7024
Надходження товарів і послуг ІБ00-000810 від 26.02.2025 18:00:37
Ретал ГПУ</t>
  </si>
  <si>
    <t>ТІРУС ГРУП
РАХУНКИ_Ретал.ГПУ
Рахунок на оплату постачальника ІБ00-000450 від 13.02.2025 18:04:42</t>
  </si>
  <si>
    <t>Надходження товарів і послуг ІБ00-000810 від 26.02.2025 18:00:37
Оприходованы ТМЦ</t>
  </si>
  <si>
    <t>Обл. НДС
Двері 2000х1200 двоопол металеві  РАЛ-7024 з вентил решітк 600*600
Надходження товарів і послуг ІБ00-000810 від 26.02.2025 18:00:37
Ретал ГПУ</t>
  </si>
  <si>
    <t>Надходження дод. витрат ІБ00-000115 від 26.02.2025 18:00:38
Доп. расходы при поступлении товаров</t>
  </si>
  <si>
    <t>Надходження товарів і послуг ІБ00-000802 від 27.02.2025 21:38:49
Оприходованы ТМЦ (Зачет аванса поставщику)</t>
  </si>
  <si>
    <t>Обл. НДС
Лист рівний
Надходження товарів і послуг ІБ00-000802 від 27.02.2025 21:38:49
Ретал ГПУ</t>
  </si>
  <si>
    <t>АЛЬБА ПРОФ СТИЛ ТОВ
Договір 2507-3 від 25.07.2023_Ретал ГПУ
Рахунок на оплату постачальника ІБ00-000565 від 27.02.2025 20:31:55</t>
  </si>
  <si>
    <t>Надходження товарів і послуг ІБ00-000808 від 27.02.2025 21:38:50
Оприходованы ТМЦ</t>
  </si>
  <si>
    <t>Обл. НДС
Наконечник кабельний 185-16-19-А-УХЛЗ
Надходження товарів і послуг ІБ00-000808 від 27.02.2025 21:38:50
Ретал ГПУ</t>
  </si>
  <si>
    <t>СКАЙ-ЕНЕРДЖИ
№ 24/01/25 від 24.01.2025_Рахунки_Ретал ГПУ
Рахунок на оплату постачальника ІБ00-000683 від 25.02.2025 18:20:09</t>
  </si>
  <si>
    <t>Обл. НДС
Наконечник ал.DL-95/12 В
Надходження товарів і послуг ІБ00-000808 від 27.02.2025 21:38:50
Ретал ГПУ</t>
  </si>
  <si>
    <t>Обл. НДС
Наконечник мід. луджений JG 185/14
Надходження товарів і послуг ІБ00-000808 від 27.02.2025 21:38:50
Ретал ГПУ</t>
  </si>
  <si>
    <t>Обл. НДС
Наконечник мід. луджений JG 95/12
Надходження товарів і послуг ІБ00-000808 від 27.02.2025 21:38:50
Ретал ГПУ</t>
  </si>
  <si>
    <t>Обл. НДС
Профіль С-подібний 41*41, L3000мм, тол.2,5 мм отв 13*25 оц
Надходження товарів і послуг ІБ00-000808 від 27.02.2025 21:38:50
Ретал ГПУ</t>
  </si>
  <si>
    <t>Обл. НДС
Фіксатор кришки лотка Н=80мм
Надходження товарів і послуг ІБ00-000808 від 27.02.2025 21:38:50
Ретал ГПУ</t>
  </si>
  <si>
    <t>Обл. НДС
ТЕХ-Н Гвинт 5,5*32 6гр цб
Надходження товарів і послуг ІБ00-000808 від 27.02.2025 21:38:50
Ретал ГПУ</t>
  </si>
  <si>
    <t>Надходження товарів і послуг ІБ00-000809 від 27.02.2025 21:38:51
Оприходованы ТМЦ (Зачет аванса поставщику)</t>
  </si>
  <si>
    <t>Обл. НДС
Болти DIN 933 12х50 - 8,8  ОЦ.
Надходження товарів і послуг ІБ00-000809 від 27.02.2025 21:38:51
Ретал ГПУ</t>
  </si>
  <si>
    <t>ЛЕОМАРК
Договір 12/08-24 від 12.08.2024_Ретал.ГПУ
Рахунок на оплату постачальника ІБ00-000564 від 26.02.2025 18:00:15</t>
  </si>
  <si>
    <t>Обл. НДС
Гайка DIN934 M 12
Надходження товарів і послуг ІБ00-000809 від 27.02.2025 21:38:51
Ретал ГПУ</t>
  </si>
  <si>
    <t>Обл. НДС
Шайба М12(13) DIN9021 140HV
Надходження товарів і послуг ІБ00-000809 від 27.02.2025 21:38:51
Ретал ГПУ</t>
  </si>
  <si>
    <t>Обл. НДС
Гровер М12 ДІН127
Надходження товарів і послуг ІБ00-000809 від 27.02.2025 21:38:51
Ретал ГПУ</t>
  </si>
  <si>
    <t>Обл. НДС
Болт М10*50  DIN 933
Надходження товарів і послуг ІБ00-000809 від 27.02.2025 21:38:51
Ретал ГПУ</t>
  </si>
  <si>
    <t>Обл. НДС
Гайка М10  DIN 934
Надходження товарів і послуг ІБ00-000809 від 27.02.2025 21:38:51
Ретал ГПУ</t>
  </si>
  <si>
    <t>Обл. НДС
Шайба 10 збільш DIN9021
Надходження товарів і послуг ІБ00-000809 від 27.02.2025 21:38:51
Ретал ГПУ</t>
  </si>
  <si>
    <t>Обл. НДС
Гровер М10 ДІН127
Надходження товарів і послуг ІБ00-000809 від 27.02.2025 21:38:51
Ретал ГПУ</t>
  </si>
  <si>
    <t>Вимога-накладна ІБ00-000135 від 28.02.2025 10:00:00
Списаны ТМЦ</t>
  </si>
  <si>
    <t>Обл. НДС
Виробничий (Ретал ГПУ)
Ретал ГПУ
Прямі матеріальні виробничі витрати крім зворотних відходів</t>
  </si>
  <si>
    <t>Надходження товарів і послуг ІБ00-000803 від 28.02.2025 10:00:33
Оприходованы ТМЦ (Зачет аванса поставщику)</t>
  </si>
  <si>
    <t>Обл. НДС
Гвинт 4,8*19 покрівельний RAL7024
Надходження товарів і послуг ІБ00-000803 від 28.02.2025 10:00:33
Ретал ГПУ</t>
  </si>
  <si>
    <t>ЮНІТ БІ ТОВ
РАХУНКИ_Ретал.ГПУ
Рахунок на оплату постачальника ІБ00-000563 від 25.02.2025 18:19:34</t>
  </si>
  <si>
    <t>Обл. НДС
Герметик поліуритановий 600 мл
Надходження товарів і послуг ІБ00-000803 від 28.02.2025 10:00:33
Ретал ГПУ</t>
  </si>
  <si>
    <t>Обл. НДС
Кутник ПВХ для мокрой штукатурки 3,0м
Надходження товарів і послуг ІБ00-000803 від 28.02.2025 10:00:33
Ретал ГПУ</t>
  </si>
  <si>
    <t>Обл. НДС
Портландемент ПЦ ІІ/А-Ш-500 , 25 кг
Надходження товарів і послуг ІБ00-000803 від 28.02.2025 10:00:33
Ретал ГПУ</t>
  </si>
  <si>
    <t>Обл. НДС
Фарба акрилова СТ42/10
Надходження товарів і послуг ІБ00-000803 від 28.02.2025 10:00:33
Ретал ГПУ</t>
  </si>
  <si>
    <t>Обл. НДС
Шпаклівка мінеральна стартова СТ 29/25
Надходження товарів і послуг ІБ00-000803 від 28.02.2025 10:00:33
Ретал ГПУ</t>
  </si>
  <si>
    <t>Надходження дод. витрат ІБ00-000114 від 28.02.2025 10:00:34
Доп. расходы при поступлении товаров (Зачет аванса поставщику)</t>
  </si>
  <si>
    <t>Вимога-накладна ІБ00-000136 від 28.02.2025 10:10:00
Списаны ТМЦ</t>
  </si>
  <si>
    <t>Обл. НДС
Мастика бітумно-каучукова BauGut гідроізоляція фундаментів 18 кг
Надходження товарів і послуг ІБ00-000119 від 08.01.2025 18:05:16
Ретал ГПУ</t>
  </si>
  <si>
    <t>Обл. НДС
Пісок, т
Надходження товарів і послуг ІБ00-006536 від 28.12.2024 12:00:00
Ретал ГПУ</t>
  </si>
  <si>
    <t>Обл. НДС
Труба профільна 60*60*2, 6м
Надходження товарів і послуг ІБ00-000096 від 15.01.2025 19:00:08
Ретал ГПУ</t>
  </si>
  <si>
    <t>Обл. НДС
Гвинт  5,5/6,3*200  для сендвич-панелей 10мм
Надходження товарів і послуг ІБ00-000100 від 15.01.2025 19:00:09
Ретал ГПУ</t>
  </si>
  <si>
    <t>Обл. НДС
Праймер бітумно-каучуковий (18л)
Надходження товарів і послуг ІБ00-000119 від 08.01.2025 18:05:16
Ретал ГПУ</t>
  </si>
  <si>
    <t>Обл. НДС
Труба профільна 50*50*3,0  6 м
Надходження товарів і послуг ІБ00-000271 від 24.01.2025 18:10:21
Ретал ГПУ</t>
  </si>
  <si>
    <t>Вимога-накладна ІБ00-000137 від 28.02.2025 10:20:00
Списаны ТМЦ</t>
  </si>
  <si>
    <t>Обл. НДС
Арматура № 8  А500С, L=6000 мм
Надходження товарів і послуг ІБ00-006548 від 26.12.2024 12:00:00
Ретал ГПУ</t>
  </si>
  <si>
    <t>Списання товарів ІБ00-000083 від 28.02.2025 10:30:00
Списаны ТМЦ</t>
  </si>
  <si>
    <t>Обл. НДС
Виробничий (Ретал ГПУ)
Ретал ГПУ
Прямі материальні виробничі витрати крім зворотніх відходів</t>
  </si>
  <si>
    <t>Обл. НДС
Розчинник "White Spirit", 10кг
Надходження товарів і послуг ІБ00-000119 від 08.01.2025 18:05:16
Ретал ГПУ</t>
  </si>
  <si>
    <t>Вимога-накладна ІБ00-000138 від 28.02.2025 10:30:00
Списаны ТМЦ</t>
  </si>
  <si>
    <t>Обл. НДС
Шпилька  М8*200 DIN975
Надходження товарів і послуг ІБ00-000384 від 31.01.2025 23:01:04
Ретал ГПУ</t>
  </si>
  <si>
    <t>Обл. НДС
Шайба М8(8,4) DIN9021 140HV
Надходження товарів і послуг ІБ00-000384 від 31.01.2025 23:01:04
Ретал ГПУ</t>
  </si>
  <si>
    <t>Обл. НДС
Гайка М 8  DIN 934
Надходження товарів і послуг ІБ00-000383 від 27.01.2025 18:25:22
Ретал ГПУ</t>
  </si>
  <si>
    <t>Обл. НДС
Кутник 50х50х4 L= 6000 мм, ст 1-3 сп/пс 5
Надходження товарів і послуг ІБ00-000271 від 24.01.2025 18:10:21
Ретал ГПУ</t>
  </si>
  <si>
    <t>Обл. НДС
Лоток перфорований 200*80 L 3000, гарячого цинкування
Надходження товарів і послуг ІБ00-000386 від 30.01.2025 23:00:04
Ретал ГПУ</t>
  </si>
  <si>
    <t>Вимога-накладна ІБ00-000139 від 28.02.2025 10:40:00
Списаны ТМЦ</t>
  </si>
  <si>
    <t>Обл. НДС
Анкер М 8*60 цинк AN217
Надходження товарів і послуг ІБ00-000383 від 27.01.2025 18:25:22
Ретал ГПУ</t>
  </si>
  <si>
    <t>Надходження товарів і послуг ІБ00-000801 від 28.02.2025 23:59:32
Оприходованы ТМЦ</t>
  </si>
  <si>
    <t>Обл. НДС
Саморіз  4,8*19 (з шайбою)
Надходження товарів і послуг ІБ00-000801 від 28.02.2025 23:59:32
Ретал ГПУ</t>
  </si>
  <si>
    <t>Лук'ян Михайло Федорович ФОП
20718 от 26.09.2022 РАХУНКИ_Ретал.ГПУ
Рахунок на оплату постачальника ІБ00-000682 від 27.02.2025 21:38:48</t>
  </si>
  <si>
    <t>Надходження товарів і послуг ІБ00-000811 від 28.02.2025 23:59:38
Оприходованы ТМЦ</t>
  </si>
  <si>
    <t>Обл. НДС
Герм.маст."Теналюкс 131L, 600 мл RAL7040
Надходження товарів і послуг ІБ00-000811 від 28.02.2025 23:59:38
Ретал ГПУ</t>
  </si>
  <si>
    <t>ПРОТЕКС УКРАЇНА
Договір 9  від 11.12.2023_Ретал.ГПУ
Рахунок на оплату постачальника ІБ00-000684 від 28.02.2025 23:59:37</t>
  </si>
  <si>
    <t>Надходження товарів і послуг ІБ00-000353 від 01.02.2025 18:00:04
Оприходованы ТМЦ (Зачет аванса поставщику)</t>
  </si>
  <si>
    <t>Обл. НДС
Бетон С20/25 W6 F75 P4
Надходження товарів і послуг ІБ00-000353 від 01.02.2025 18:00:04
Глобине-2</t>
  </si>
  <si>
    <t>Кременчуцький річковий порт ПРАТ
Договір 112/Б від 15.10.2024_Глобине-2
Списання з банківського рахунку 00000001239 від 31.01.2025 16:20:57</t>
  </si>
  <si>
    <t>Надходження дод. витрат ІБ00-000059 від 01.02.2025 18:05:00
Доп. расходы при поступлении товаров (Зачет аванса поставщику)</t>
  </si>
  <si>
    <t>Переміщення товарів ІБ00-000055 від 01.02.2025 18:10:00
Перемещение ТМЦ</t>
  </si>
  <si>
    <t>Обл. НДС
Бетон С20/25 W6 F75 P4
Надходження товарів і послуг ІБ00-000353 від 01.02.2025 18:00:04
Котельна (Глобине)</t>
  </si>
  <si>
    <t>Переміщення товарів ІБ00-000056 від 01.02.2025 18:10:00
Перемещение ТМЦ</t>
  </si>
  <si>
    <t>Обл. НДС
Бетон С20/25 W6 F75 P4
Надходження товарів і послуг ІБ00-000353 від 01.02.2025 18:00:04
Цех екстракції (Глобине)</t>
  </si>
  <si>
    <t>Переміщення товарів ІБ00-000087 від 01.02.2025 18:10:09
Перемещение ТМЦ</t>
  </si>
  <si>
    <t>Обл. НДС
Піна монтажна  860 мл 
Надходження товарів і послуг ІБ00-006233 від 14.12.2024 17:00:01
Глобине-2</t>
  </si>
  <si>
    <t>Обл. НДС
Піна монтажна  860 мл 
Надходження товарів і послуг ІБ00-006233 від 14.12.2024 17:00:01
СПК (Глобине)</t>
  </si>
  <si>
    <t>Переміщення товарів ІБ00-000089 від 01.02.2025 18:10:11
Перемещение ТМЦ</t>
  </si>
  <si>
    <t>Обл. НДС
Шпонка гідроізоляційна ВР 200  20м п
Надходження товарів і послуг ІБ00-002091 від 21.12.2023 18:14:00
Резервуарний парк соєвої меляси (Глобине)</t>
  </si>
  <si>
    <t>Обл. НДС
Шпонка гідроізоляційна ВР 200  20м п
Надходження товарів і послуг ІБ00-002091 від 21.12.2023 18:14:00
Глобине-2</t>
  </si>
  <si>
    <t>Переміщення товарів ІБ00-000094 від 01.02.2025 18:10:16
Перемещение ТМЦ</t>
  </si>
  <si>
    <t>Обл. НДС
Анкер хімічний 585 мл EРОХ
Надходження товарів і послуг ІБ00-000723 від 29.02.2024 23:00:01
Цех екстракції (Глобине)</t>
  </si>
  <si>
    <t>Обл. НДС
Анкер хімічний 585 мл EРОХ
Надходження товарів і послуг ІБ00-000723 від 29.02.2024 23:00:01
Глобине-2</t>
  </si>
  <si>
    <t>Надходження товарів і послуг ІБ00-000525 від 04.02.2025 18:00:08
Оприходованы ТМЦ</t>
  </si>
  <si>
    <t>Обл. НДС
Труба п/е 25- (2 м)
Надходження товарів і послуг ІБ00-000525 від 04.02.2025 18:00:08
Глобине-2</t>
  </si>
  <si>
    <t>ПРОТЕКС УКРАЇНА
Договір 9  від 11.12.2023_Глобіно2
Рахунок на оплату постачальника ІБ00-000458 від 03.02.2025 18:10:32</t>
  </si>
  <si>
    <t>Обл. НДС
Фіксатор конус
Надходження товарів і послуг ІБ00-000525 від 04.02.2025 18:00:08
Глобине-2</t>
  </si>
  <si>
    <t>Обл. НДС
Фіксатор зірочка 25
Надходження товарів і послуг ІБ00-000525 від 04.02.2025 18:00:08
Глобине-2</t>
  </si>
  <si>
    <t>Обл. НДС
Фіксатор Стілець 50/8-24
Надходження товарів і послуг ІБ00-000525 від 04.02.2025 18:00:08
Глобине-2</t>
  </si>
  <si>
    <t>05.02.2025</t>
  </si>
  <si>
    <t>Надходження товарів і послуг ІБ00-000454 від 05.02.2025 18:00:12
Оприходованы ТМЦ (Зачет аванса поставщику)</t>
  </si>
  <si>
    <t>Обл. НДС
Бетон С 8/10 Р4 доб-10
Надходження товарів і послуг ІБ00-000454 від 05.02.2025 18:00:12
Глобине-2</t>
  </si>
  <si>
    <t>Обл. НДС
Бетон С20/25 W6 F75 P4 доб-10
Надходження товарів і послуг ІБ00-000454 від 05.02.2025 18:00:12
Глобине-2</t>
  </si>
  <si>
    <t>Надходження дод. витрат ІБ00-000069 від 05.02.2025 18:00:13
Доп. расходы при поступлении товаров (Зачет аванса поставщику)</t>
  </si>
  <si>
    <t>Вимога-накладна ІБ00-000065 від 05.02.2025 18:00:14
Списаны ТМЦ</t>
  </si>
  <si>
    <t>Списання товарів ІБ00-000057 від 05.02.2025 18:00:15
Списаны ТМЦ</t>
  </si>
  <si>
    <t>Обл. НДС
Труба п/е 25- (2 м)
Надходження товарів і послуг ІБ00-005516 від 05.11.2024 17:28:14
Глобине-2</t>
  </si>
  <si>
    <t>Списання товарів ІБ00-000058 від 05.02.2025 18:00:19
Списаны ТМЦ</t>
  </si>
  <si>
    <t>Переміщення товарів ІБ00-000090 від 05.02.2025 18:10:00
Перемещение ТМЦ</t>
  </si>
  <si>
    <t>Обл. НДС
Бетон С20/25 W6 F75 P4 доб-10
Надходження товарів і послуг ІБ00-000454 від 05.02.2025 18:00:12
СПК (Глобине)</t>
  </si>
  <si>
    <t>Надходження товарів і послуг ІБ00-000478 від 06.02.2025 15:36:15
Оприходованы ТМЦ (Зачет аванса поставщику)</t>
  </si>
  <si>
    <t>Обл. НДС
Коліно 110/90 ПЕТ терморезист SDR11
Надходження товарів і послуг ІБ00-000478 від 06.02.2025 15:36:15
Глобине-2</t>
  </si>
  <si>
    <t>Лук'янець Максим Миколайович ФОП
РАХУНКИ_Глобине 2
Рахунок на оплату постачальника ІБ00-000305 від 23.01.2025 18:20:30</t>
  </si>
  <si>
    <t>Обл. НДС
Коліно 125/90 ПЕТ терморезист SDR11
Надходження товарів і послуг ІБ00-000478 від 06.02.2025 15:36:15
Глобине-2</t>
  </si>
  <si>
    <t>Надходження товарів і послуг ІБ00-000478 від 06.02.2025 15:36:15
Оприходованы ТМЦ</t>
  </si>
  <si>
    <t>Обл. НДС
Труба ПЕТ125*11,4 16атм чорна SDR11
Надходження товарів і послуг ІБ00-000478 від 06.02.2025 15:36:15
Глобине-2</t>
  </si>
  <si>
    <t>Обл. НДС
Труба ПЕТ110*10 16атм чорна SDR11
Надходження товарів і послуг ІБ00-000478 від 06.02.2025 15:36:15
Глобине-2</t>
  </si>
  <si>
    <t>Надходження дод. витрат ІБ00-000084 від 06.02.2025 16:00:00
Доп. расходы при поступлении товаров</t>
  </si>
  <si>
    <t>Надходження товарів і послуг ІБ00-000464 від 06.02.2025 18:36:11
Оприходованы ТМЦ (Зачет аванса поставщику)</t>
  </si>
  <si>
    <t>Обл. НДС
Пінополістирол фасад шаршавий 1200х600х20мм 0,264 куб м
Надходження товарів і послуг ІБ00-000464 від 06.02.2025 18:36:11
Глобине-2</t>
  </si>
  <si>
    <t>Лозовий Микола Миколайович ФОП
РАХУНКИ_Глобино-2
Рахунок на оплату постачальника ІБ00-000266 від 30.01.2025 00:00:00</t>
  </si>
  <si>
    <t>Переміщення товарів ІБ00-000066 від 06.02.2025 18:36:12
Перемещение ТМЦ</t>
  </si>
  <si>
    <t>Обл. НДС
Пінополістирол фасад шаршавий 1200х600х20мм 0,264 куб м
Надходження товарів і послуг ІБ00-000464 від 06.02.2025 18:36:11
Котельна (Глобине)</t>
  </si>
  <si>
    <t>Переміщення товарів ІБ00-000067 від 06.02.2025 18:36:13
Перемещение ТМЦ</t>
  </si>
  <si>
    <t>Обл. НДС
Пінополістирол фасад шаршавий 1200х600х20мм 0,264 куб м
Надходження товарів і послуг ІБ00-000464 від 06.02.2025 18:36:11
Цех екстракції (Глобине)</t>
  </si>
  <si>
    <t>Надходження товарів і послуг ІБ00-000475 від 06.02.2025 18:36:14
Оприходованы ТМЦ (Зачет аванса поставщику)</t>
  </si>
  <si>
    <t>Обл. НДС
Плінтус дуб леон 60 мм 2,5м №356
Надходження товарів і послуг ІБ00-000475 від 06.02.2025 18:36:14
Глобине-2</t>
  </si>
  <si>
    <t>Лозовий Микола Миколайович ФОП
РАХУНКИ_Глобино-2
Рахунок на оплату постачальника ІБ00-000267 від 30.01.2025 18:00:05</t>
  </si>
  <si>
    <t>Обл. НДС
Кут внутр дуб леон 60 мм 2,5м №356
Надходження товарів і послуг ІБ00-000475 від 06.02.2025 18:36:14
Глобине-2</t>
  </si>
  <si>
    <t>Обл. НДС
З"єднання дуб леон 60 мм 2,5м №356
Надходження товарів і послуг ІБ00-000475 від 06.02.2025 18:36:14
Глобине-2</t>
  </si>
  <si>
    <t>Обл. НДС
Заглушка ліва дуб леон 60 мм 2,5м №356
Надходження товарів і послуг ІБ00-000475 від 06.02.2025 18:36:14
Глобине-2</t>
  </si>
  <si>
    <t>Обл. НДС
Заглушка права дуб леон 60 мм 2,5м №356
Надходження товарів і послуг ІБ00-000475 від 06.02.2025 18:36:14
Глобине-2</t>
  </si>
  <si>
    <t>Обл. НДС
Труба гофра ПВХ з зондом 16мм 50м/бухта
Надходження товарів і послуг ІБ00-000475 від 06.02.2025 18:36:14
Глобине-2</t>
  </si>
  <si>
    <t>Обл. НДС
Провід ПВС 2*1,5
Надходження товарів і послуг ІБ00-000475 від 06.02.2025 18:36:14
Глобине-2</t>
  </si>
  <si>
    <t>Обл. НДС
Розетка 1 гніздо без з/з  біла
Надходження товарів і послуг ІБ00-000475 від 06.02.2025 18:36:14
Глобине-2</t>
  </si>
  <si>
    <t>Обл. НДС
Вимикач 1-клавішний
Надходження товарів і послуг ІБ00-000475 від 06.02.2025 18:36:14
Глобине-2</t>
  </si>
  <si>
    <t>Обл. НДС
Світильник LED 54W 6400К білий
Надходження товарів і послуг ІБ00-000475 від 06.02.2025 18:36:14
Глобине-2</t>
  </si>
  <si>
    <t>Обл. НДС
Світильник лінійний LED 1200мм 36Вт 2700Лм 6500К
Надходження товарів і послуг ІБ00-000475 від 06.02.2025 18:36:14
Глобине-2</t>
  </si>
  <si>
    <t>Надходження товарів і послуг ІБ00-000475 від 06.02.2025 18:36:14
Оприходованы ТМЦ</t>
  </si>
  <si>
    <t>Обл. НДС
Лінолеум 2,5 товщ 2мм захист 0,4мм
Надходження товарів і послуг ІБ00-000475 від 06.02.2025 18:36:14
Глобине-2</t>
  </si>
  <si>
    <t>Переміщення товарів ІБ00-000068 від 06.02.2025 18:36:16
Перемещение ТМЦ</t>
  </si>
  <si>
    <t>Обл. НДС
Коліно 110/90 ПЕТ терморезист SDR11
Надходження товарів і послуг ІБ00-000478 від 06.02.2025 15:36:15
Цех екстракції (Глобине)</t>
  </si>
  <si>
    <t>Обл. НДС
Труба ПЕТ110*10 16атм чорна SDR11
Надходження товарів і послуг ІБ00-000478 від 06.02.2025 15:36:15
Цех екстракції (Глобине)</t>
  </si>
  <si>
    <t>Переміщення товарів ІБ00-000069 від 06.02.2025 18:36:17
Перемещение ТМЦ</t>
  </si>
  <si>
    <t>Обл. НДС
Коліно 125/90 ПЕТ терморезист SDR11
Надходження товарів і послуг ІБ00-000478 від 06.02.2025 15:36:15
Котельна (Глобине)</t>
  </si>
  <si>
    <t>Обл. НДС
Труба ПЕТ125*11,4 16атм чорна SDR11
Надходження товарів і послуг ІБ00-000478 від 06.02.2025 15:36:15
Котельна (Глобине)</t>
  </si>
  <si>
    <t>Надходження товарів і послуг ІБ00-000481 від 06.02.2025 18:36:18
Оприходованы ТМЦ (Зачет аванса поставщику)</t>
  </si>
  <si>
    <t>Обл. НДС
Бетон С20/25 W6 F75 P4 доб-10
Надходження товарів і послуг ІБ00-000481 від 06.02.2025 18:36:18
Глобине-2</t>
  </si>
  <si>
    <t>Надходження дод. витрат ІБ00-000070 від 06.02.2025 18:36:19
Доп. расходы при поступлении товаров (Зачет аванса поставщику)</t>
  </si>
  <si>
    <t>Переміщення товарів ІБ00-000070 від 06.02.2025 18:36:20
Перемещение ТМЦ</t>
  </si>
  <si>
    <t>Обл. НДС
Бетон С20/25 W6 F75 P4 доб-10
Надходження товарів і послуг ІБ00-000481 від 06.02.2025 18:36:18
СПК (Глобине)</t>
  </si>
  <si>
    <t>Переміщення товарів ІБ00-000071 від 06.02.2025 18:36:21
Перемещение ТМЦ</t>
  </si>
  <si>
    <t>Обл. НДС
Бетон С20/25 W6 F75 P4 доб-10
Надходження товарів і послуг ІБ00-000481 від 06.02.2025 18:36:18
Резервуар для зберігання розчинника(Глобине)</t>
  </si>
  <si>
    <t>Надходження товарів і послуг ІБ00-000776 від 06.02.2025 18:36:51
Оприходованы ТМЦ</t>
  </si>
  <si>
    <t>Обл. НДС
Клей-піна монтажна , 860 мл
Надходження товарів і послуг ІБ00-000776 від 06.02.2025 18:36:51
Глобине-2</t>
  </si>
  <si>
    <t>Лозовий Микола Миколайович ФОП
РАХУНКИ_Глобино-2
Рахунок на оплату постачальника ІБ00-000600 від 06.02.2025 18:36:50</t>
  </si>
  <si>
    <t>Обл. НДС
Пінополістирол фасад шаршавий 1200х600х20мм 0,264 куб м
Надходження товарів і послуг ІБ00-000776 від 06.02.2025 18:36:51
Глобине-2</t>
  </si>
  <si>
    <t>Переміщення товарів ІБ00-000159 від 06.02.2025 18:36:52
Перемещение ТМЦ</t>
  </si>
  <si>
    <t>Обл. НДС
Клей-піна монтажна , 860 мл
Надходження товарів і послуг ІБ00-000776 від 06.02.2025 18:36:51
Котельна (Глобине)</t>
  </si>
  <si>
    <t>Переміщення товарів ІБ00-000160 від 06.02.2025 18:36:53
Перемещение ТМЦ</t>
  </si>
  <si>
    <t>Обл. НДС
Клей-піна монтажна , 860 мл
Надходження товарів і послуг ІБ00-000776 від 06.02.2025 18:36:51
Цех екстракції (Глобине)</t>
  </si>
  <si>
    <t>Переміщення товарів ІБ00-000161 від 06.02.2025 18:36:54
Перемещение ТМЦ</t>
  </si>
  <si>
    <t>Обл. НДС
Пінополістирол фасад шаршавий 1200х600х20мм 0,264 куб м
Надходження товарів і послуг ІБ00-000776 від 06.02.2025 18:36:51
Резервуар для зберігання розчинника(Глобине)</t>
  </si>
  <si>
    <t>Надходження товарів і послуг ІБ00-000491 від 07.02.2025 18:30:12
Оприходованы ТМЦ</t>
  </si>
  <si>
    <t>Обл. НДС
Пісок з відсіву дроблення щебеню фр. 0-5мм.
Надходження товарів і послуг ІБ00-000491 від 07.02.2025 18:30:12
Глобине-2</t>
  </si>
  <si>
    <t>Енергія Логістик ТОВ
№28/10-2024 ВІД 28/10/24_Глобине-2
Рахунок на оплату постачальника ІБ00-000420 від 07.02.2025 18:30:11</t>
  </si>
  <si>
    <t>Обл. НДС
Щебінь 20-40
Надходження товарів і послуг ІБ00-000491 від 07.02.2025 18:30:12
Глобине-2</t>
  </si>
  <si>
    <t>Надходження дод. витрат ІБ00-000072 від 07.02.2025 18:30:13
Доп. расходы при поступлении товаров</t>
  </si>
  <si>
    <t>Переміщення товарів ІБ00-000075 від 07.02.2025 18:30:14
Перемещение ТМЦ</t>
  </si>
  <si>
    <t>Обл. НДС
Пісок з відсіву дроблення щебеню фр. 0-5мм.
Надходження товарів і послуг ІБ00-000491 від 07.02.2025 18:30:12
СПК (Глобине)</t>
  </si>
  <si>
    <t>Переміщення товарів ІБ00-000076 від 07.02.2025 18:30:15
Перемещение ТМЦ</t>
  </si>
  <si>
    <t>Обл. НДС
Щебінь 20-40
Надходження товарів і послуг ІБ00-000491 від 07.02.2025 18:30:12
Резервуар для зберігання розчинника(Глобине)</t>
  </si>
  <si>
    <t>08.02.2025</t>
  </si>
  <si>
    <t>Надходження товарів і послуг ІБ00-000522 від 08.02.2025 10:00:03
Оприходованы ТМЦ (Зачет аванса поставщику)</t>
  </si>
  <si>
    <t>Обл. НДС
Бетон С20/25 W6 F75 P4 доб-10
Надходження товарів і послуг ІБ00-000522 від 08.02.2025 10:00:03
Глобине-2</t>
  </si>
  <si>
    <t>Кременчуцький річковий порт ПРАТ
Договір 112/Б від 15.10.2024_Глобине-2
Списання з банківського рахунку 00000001686 від 07.02.2025 17:38:53</t>
  </si>
  <si>
    <t>Надходження дод. витрат ІБ00-000075 від 08.02.2025 10:10:04
Доп. расходы при поступлении товаров (Зачет аванса поставщику)</t>
  </si>
  <si>
    <t>Переміщення товарів ІБ00-000097 від 08.02.2025 10:20:00
Перемещение ТМЦ</t>
  </si>
  <si>
    <t>Обл. НДС
Бетон С20/25 W6 F75 P4 доб-10
Надходження товарів і послуг ІБ00-000481 від 06.02.2025 18:36:18
Котельна (Глобине)</t>
  </si>
  <si>
    <t>Обл. НДС
Бетон С20/25 W6 F75 P4 доб-10
Надходження товарів і послуг ІБ00-000522 від 08.02.2025 10:00:03
Котельна (Глобине)</t>
  </si>
  <si>
    <t>Переміщення товарів ІБ00-000098 від 08.02.2025 10:20:00
Перемещение ТМЦ</t>
  </si>
  <si>
    <t>Обл. НДС
Бетон С20/25 W6 F75 P4 доб-10
Надходження товарів і послуг ІБ00-000522 від 08.02.2025 10:00:03
СПК (Глобине)</t>
  </si>
  <si>
    <t>Переміщення товарів ІБ00-000096 від 08.02.2025 10:20:05
Перемещение ТМЦ</t>
  </si>
  <si>
    <t>Обл. НДС
Бетон С20/25 W6 F75 P4 доб-10
Надходження товарів і послуг ІБ00-000522 від 08.02.2025 10:00:03
Цех екстракції (Глобине)</t>
  </si>
  <si>
    <t>Надходження товарів і послуг ІБ00-000541 від 13.02.2025 18:05:07
Оприходованы ТМЦ (Зачет аванса поставщику)</t>
  </si>
  <si>
    <t>Обл. НДС
Бетон С 8/10 Р4 доб-15
Надходження товарів і послуг ІБ00-000541 від 13.02.2025 18:05:07
Глобине-2</t>
  </si>
  <si>
    <t>Обл. НДС
Бетон С20/25 W6 F75 P4 доб-15
Надходження товарів і послуг ІБ00-000541 від 13.02.2025 18:05:07
Глобине-2</t>
  </si>
  <si>
    <t>Надходження дод. витрат ІБ00-000079 від 13.02.2025 18:05:08
Доп. расходы при поступлении товаров (Зачет аванса поставщику)</t>
  </si>
  <si>
    <t>Переміщення товарів ІБ00-000101 від 13.02.2025 18:15:00
Перемещение ТМЦ</t>
  </si>
  <si>
    <t>Обл. НДС
Бетон С20/25 W6 F75 P4 доб-15
Надходження товарів і послуг ІБ00-000541 від 13.02.2025 18:05:07
Резервуарний парк соєвої меляси (Глобине)</t>
  </si>
  <si>
    <t>Переміщення товарів ІБ00-000102 від 13.02.2025 18:15:00
Перемещение ТМЦ</t>
  </si>
  <si>
    <t>Обл. НДС
Бетон С20/25 W6 F75 P4 доб-15
Надходження товарів і послуг ІБ00-000541 від 13.02.2025 18:05:07
Цех екстракції (Глобине)</t>
  </si>
  <si>
    <t>Переміщення товарів ІБ00-000103 від 13.02.2025 18:15:00
Перемещение ТМЦ</t>
  </si>
  <si>
    <t>Обл. НДС
Бетон С 8/10 Р4 доб-15
Надходження товарів і послуг ІБ00-000541 від 13.02.2025 18:05:07
Резервуар для зберігання розчинника(Глобине)</t>
  </si>
  <si>
    <t>Переміщення товарів ІБ00-000104 від 13.02.2025 18:15:00
Перемещение ТМЦ</t>
  </si>
  <si>
    <t>Обл. НДС
Бетон С 8/10 Р4 доб-15
Надходження товарів і послуг ІБ00-000541 від 13.02.2025 18:05:07
СПК (Глобине)</t>
  </si>
  <si>
    <t>Надходження товарів і послуг ІБ00-000543 від 13.02.2025 18:15:01
Оприходованы ТМЦ</t>
  </si>
  <si>
    <t>Обл. НДС
Провід ПВС 4*4,0 Expert Power
Надходження товарів і послуг ІБ00-000543 від 13.02.2025 18:15:01
Глобине-2</t>
  </si>
  <si>
    <t>СКАЙ-ЕНЕРДЖИ
Рахунки_Глобине-2
Рахунок на оплату постачальника ІБ00-000474 від 10.02.2025 17:47:36</t>
  </si>
  <si>
    <t>Обл. НДС
Провід ПВС 4*2,5 Expert Power
Надходження товарів і послуг ІБ00-000543 від 13.02.2025 18:15:01
Глобине-2</t>
  </si>
  <si>
    <t>Переміщення товарів ІБ00-000105 від 13.02.2025 18:20:00
Перемещение ТМЦ</t>
  </si>
  <si>
    <t>Обл. НДС
Провід ПВС 4*4,0 Expert Power
Надходження товарів і послуг ІБ00-000543 від 13.02.2025 18:15:01
Пожежений резервуар (Глобине)</t>
  </si>
  <si>
    <t>Переміщення товарів ІБ00-000106 від 13.02.2025 18:20:00
Перемещение ТМЦ</t>
  </si>
  <si>
    <t>Обл. НДС
Провід ПВС 4*2,5 Expert Power
Надходження товарів і послуг ІБ00-000543 від 13.02.2025 18:15:01
Пункт фасування та зберігання в бігбегах (Глобине)</t>
  </si>
  <si>
    <t>Надходження товарів і послуг ІБ00-000546 від 14.02.2025 10:00:00
Оприходованы ТМЦ</t>
  </si>
  <si>
    <t>Обл. НДС
Прокат сталевий круглий (кл. А240С) ф10мм, ст.3пс, міра 6м
Надходження товарів і послуг ІБ00-000546 від 14.02.2025 10:00:00
Глобине-2</t>
  </si>
  <si>
    <t>ВІКАНТ фірма ТОВ
10/04-1 від 10.04.2022_Глобине-2 
Рахунок на оплату постачальника ІБ00-000475 від 12.02.2025 18:02:49</t>
  </si>
  <si>
    <t>Обл. НДС
Прокат сталевий круглий (кл. А240С) ф12мм, ст.3пс, міра 6м
Надходження товарів і послуг ІБ00-000546 від 14.02.2025 10:00:00
Глобине-2</t>
  </si>
  <si>
    <t>Обл. НДС
Прокат арматурний №12 мм  А500С  12м
Надходження товарів і послуг ІБ00-000546 від 14.02.2025 10:00:00
Глобине-2</t>
  </si>
  <si>
    <t>Обл. НДС
Прокат арматурний №14 мм  А500С, 12 м
Надходження товарів і послуг ІБ00-000546 від 14.02.2025 10:00:00
Глобине-2</t>
  </si>
  <si>
    <t>Обл. НДС
Кутик 50х50х5мм ст 3пс МІРА
Надходження товарів і послуг ІБ00-000546 від 14.02.2025 10:00:00
Глобине-2</t>
  </si>
  <si>
    <t>Обл. НДС
Дріт 1,2 мм термооброблений
Надходження товарів і послуг ІБ00-000546 від 14.02.2025 10:00:00
Глобине-2</t>
  </si>
  <si>
    <t>Обл. НДС
Прокат арматурний № 8 мм  А500С 12м
Надходження товарів і послуг ІБ00-000546 від 14.02.2025 10:00:00
Глобине-2</t>
  </si>
  <si>
    <t>Обл. НДС
Прокат арматурний №16 мм  А500С
Надходження товарів і послуг ІБ00-000546 від 14.02.2025 10:00:00
Глобине-2</t>
  </si>
  <si>
    <t>Обл. НДС
Кутик 40*40*4 мм ст3пс
Надходження товарів і послуг ІБ00-000546 від 14.02.2025 10:00:00
Глобине-2</t>
  </si>
  <si>
    <t>Переміщення товарів ІБ00-000113 від 14.02.2025 10:10:00
Перемещение ТМЦ</t>
  </si>
  <si>
    <t>Обл. НДС
Прокат сталевий круглий (кл. А240С) ф10мм, ст.3пс, міра 6м
Надходження товарів і послуг ІБ00-000546 від 14.02.2025 10:00:00
Пункт фасування та зберігання в бігбегах (Глобине)</t>
  </si>
  <si>
    <t>Обл. НДС
Прокат сталевий круглий (кл. А240С) ф12мм, ст.3пс, міра 6м
Надходження товарів і послуг ІБ00-000546 від 14.02.2025 10:00:00
Пункт фасування та зберігання в бігбегах (Глобине)</t>
  </si>
  <si>
    <t>Обл. НДС
Прокат арматурний №12 мм  А500С  12м
Надходження товарів і послуг ІБ00-000546 від 14.02.2025 10:00:00
Пункт фасування та зберігання в бігбегах (Глобине)</t>
  </si>
  <si>
    <t>Обл. НДС
Прокат арматурний №14 мм  А500С, 12 м
Надходження товарів і послуг ІБ00-000546 від 14.02.2025 10:00:00
Пункт фасування та зберігання в бігбегах (Глобине)</t>
  </si>
  <si>
    <t>Обл. НДС
Дріт 1,2 мм термооброблений
Надходження товарів і послуг ІБ00-000546 від 14.02.2025 10:00:00
Пункт фасування та зберігання в бігбегах (Глобине)</t>
  </si>
  <si>
    <t>Переміщення товарів ІБ00-000114 від 14.02.2025 10:10:00
Перемещение ТМЦ</t>
  </si>
  <si>
    <t>Обл. НДС
Прокат арматурний №12 мм  А500С  12м
Надходження товарів і послуг ІБ00-000546 від 14.02.2025 10:00:00
Пожежений резервуар (Глобине)</t>
  </si>
  <si>
    <t>Переміщення товарів ІБ00-000115 від 14.02.2025 10:10:00
Перемещение ТМЦ</t>
  </si>
  <si>
    <t>Обл. НДС
Кутик 50х50х5мм ст 3пс МІРА
Надходження товарів і послуг ІБ00-000546 від 14.02.2025 10:00:00
Резервуар для зберігання розчинника(Глобине)</t>
  </si>
  <si>
    <t>Обл. НДС
Прокат арматурний №16 мм  А500С
Надходження товарів і послуг ІБ00-000546 від 14.02.2025 10:00:00
Резервуар для зберігання розчинника(Глобине)</t>
  </si>
  <si>
    <t>Переміщення товарів ІБ00-000116 від 14.02.2025 10:10:00
Перемещение ТМЦ</t>
  </si>
  <si>
    <t>Обл. НДС
Прокат арматурний № 8 мм  А500С 12м
Надходження товарів і послуг ІБ00-000546 від 14.02.2025 10:00:00
Котельна (Глобине)</t>
  </si>
  <si>
    <t>Переміщення товарів ІБ00-000117 від 14.02.2025 10:10:00
Перемещение ТМЦ</t>
  </si>
  <si>
    <t>Обл. НДС
Кутик 40*40*4 мм ст3пс
Надходження товарів і послуг ІБ00-000546 від 14.02.2025 10:00:00
Цех екстракції (Глобине)</t>
  </si>
  <si>
    <t>Надходження товарів і послуг ІБ00-000544 від 14.02.2025 18:25:57
Оприходованы ТМЦ (Зачет аванса поставщику)</t>
  </si>
  <si>
    <t>Обл. НДС
Бетон С20/25 W6 F75 P4 доб-10
Надходження товарів і послуг ІБ00-000544 від 14.02.2025 18:25:57
Глобине-2</t>
  </si>
  <si>
    <t>Надходження дод. витрат ІБ00-000080 від 14.02.2025 18:30:00
Доп. расходы при поступлении товаров (Зачет аванса поставщику)</t>
  </si>
  <si>
    <t>Переміщення товарів ІБ00-000107 від 14.02.2025 18:35:00
Перемещение ТМЦ</t>
  </si>
  <si>
    <t>Обл. НДС
Бетон С20/25 W6 F75 P4 доб-10
Надходження товарів і послуг ІБ00-000544 від 14.02.2025 18:25:57
СПК (Глобине)</t>
  </si>
  <si>
    <t>Переміщення товарів ІБ00-000108 від 14.02.2025 18:35:00
Перемещение ТМЦ</t>
  </si>
  <si>
    <t>Обл. НДС
Бетон С20/25 W6 F75 P4 доб-10
Надходження товарів і послуг ІБ00-000544 від 14.02.2025 18:25:57
Цех екстракції (Глобине)</t>
  </si>
  <si>
    <t>Переміщення товарів ІБ00-000109 від 14.02.2025 18:35:00
Перемещение ТМЦ</t>
  </si>
  <si>
    <t>Обл. НДС
Бетон С20/25 W6 F75 P4 доб-10
Надходження товарів і послуг ІБ00-000544 від 14.02.2025 18:25:57
Резервуарний парк соєвої меляси (Глобине)</t>
  </si>
  <si>
    <t>Надходження товарів і послуг ІБ00-000545 від 15.02.2025 10:00:05
Оприходованы ТМЦ (Зачет аванса поставщику)</t>
  </si>
  <si>
    <t>Обл. НДС
Бетон С20/25 W6 F75 P4 доб-10
Надходження товарів і послуг ІБ00-000545 від 15.02.2025 10:00:05
Глобине-2</t>
  </si>
  <si>
    <t>Надходження дод. витрат ІБ00-000081 від 15.02.2025 10:05:00
Доп. расходы при поступлении товаров (Зачет аванса поставщику)</t>
  </si>
  <si>
    <t>Переміщення товарів ІБ00-000110 від 15.02.2025 10:25:00
Перемещение ТМЦ</t>
  </si>
  <si>
    <t>Обл. НДС
Бетон С20/25 W6 F75 P4 доб-10
Надходження товарів і послуг ІБ00-000545 від 15.02.2025 10:00:05
Резервуарний парк соєвої меляси (Глобине)</t>
  </si>
  <si>
    <t>Переміщення товарів ІБ00-000111 від 15.02.2025 10:25:00
Перемещение ТМЦ</t>
  </si>
  <si>
    <t>Обл. НДС
Бетон С20/25 W6 F75 P4 доб-10
Надходження товарів і послуг ІБ00-000545 від 15.02.2025 10:00:05
Цех екстракції (Глобине)</t>
  </si>
  <si>
    <t>Переміщення товарів ІБ00-000112 від 15.02.2025 10:25:00
Перемещение ТМЦ</t>
  </si>
  <si>
    <t>Обл. НДС
Бетон С20/25 W6 F75 P4 доб-10
Надходження товарів і послуг ІБ00-000545 від 15.02.2025 10:00:05
СПК (Глобине)</t>
  </si>
  <si>
    <t>Надходження товарів і послуг ІБ00-000711 від 18.02.2025 20:00:44
Оприходованы ТМЦ</t>
  </si>
  <si>
    <t>Обл. НДС
Плівка п/е 100 мк, 50м 150м кв
Надходження товарів і послуг ІБ00-000711 від 18.02.2025 20:00:44
Глобине-2</t>
  </si>
  <si>
    <t>Лук'ян Михайло Федорович ФОП
22/08-24-1 от 22.08.2024 (РАХУНКИ)_Глобине-2
Рахунок на оплату постачальника ІБ00-000543 від 17.02.2025 23:45:06</t>
  </si>
  <si>
    <t>Обл. НДС
Гачок для вязки арматури 210 мм
Надходження товарів і послуг ІБ00-000711 від 18.02.2025 20:00:44
Глобине-2</t>
  </si>
  <si>
    <t>Обл. НДС
Шуруп г/к по дереву 3,5*55 мм
Надходження товарів і послуг ІБ00-000711 від 18.02.2025 20:00:44
Глобине-2</t>
  </si>
  <si>
    <t>Обл. НДС
Шуруп г/к по дереву 4,2*76 мм
Надходження товарів і послуг ІБ00-000711 від 18.02.2025 20:00:44
Глобине-2</t>
  </si>
  <si>
    <t>Обл. НДС
Піна монтажна  860 мл 
Надходження товарів і послуг ІБ00-000711 від 18.02.2025 20:00:44
Глобине-2</t>
  </si>
  <si>
    <t>Списання товарів ІБ00-000066 від 19.02.2025 16:15:34
Списаны ТМЦ</t>
  </si>
  <si>
    <t>22.02.2025</t>
  </si>
  <si>
    <t>Переміщення товарів ІБ00-000129 від 22.02.2025 18:00:01
Перемещение ТМЦ</t>
  </si>
  <si>
    <t>Обл. НДС
Болт анкерний MMS 14/20*130 (PЕRІ)
Надходження товарів і послуг ІБ00-001423 від 02.04.2024 17:28:31
Глобине-2</t>
  </si>
  <si>
    <t>Обл. НДС
Болт анкерний MMS 14/20*130 (PЕRІ)
Надходження товарів і послуг ІБ00-001423 від 02.04.2024 17:28:31
Ніжин-3</t>
  </si>
  <si>
    <t>Обл. НДС
Герметик поліуритановий 600 мл
Надходження товарів і послуг ІБ00-001951 від 31.05.2024 09:59:11
Глобине-2</t>
  </si>
  <si>
    <t>Обл. НДС
Герметик поліуритановий 600 мл
Надходження товарів і послуг ІБ00-001951 від 31.05.2024 09:59:11
Ніжин-3</t>
  </si>
  <si>
    <t>Обл. НДС
Герметик поліуритановий hydroflex 40FC 600 мл
Надходження товарів і послуг ІБ00-005818 від 08.11.2024 20:00:17
Глобине-2</t>
  </si>
  <si>
    <t>Обл. НДС
Герметик поліуритановий hydroflex 40FC 600 мл
Надходження товарів і послуг ІБ00-005818 від 08.11.2024 20:00:17
Ніжин-3</t>
  </si>
  <si>
    <t>Обл. НДС
Дюбель цвях 4,5*60
Надходження товарів і послуг ІБ00-002443 від 02.07.2024 17:11:37
Глобине-2</t>
  </si>
  <si>
    <t>Обл. НДС
Дюбель цвях 4,5*60
Надходження товарів і послуг ІБ00-002443 від 02.07.2024 17:11:37
Ніжин-3</t>
  </si>
  <si>
    <t>Обл. НДС
Дюбель-цвях  3,7*50  DN50
Надходження товарів і послуг ІБ00-004591 від 27.09.2024 17:56:32
Глобине-2</t>
  </si>
  <si>
    <t>Обл. НДС
Дюбель-цвях  3,7*50  DN50
Надходження товарів і послуг ІБ00-004591 від 27.09.2024 17:56:32
Ніжин-3</t>
  </si>
  <si>
    <t>Обл. НДС
Провід ПВС 2*2,5 бухта 100м
Надходження товарів і послуг ІБ00-003776 від 30.08.2024 18:46:57
Глобине-2</t>
  </si>
  <si>
    <t>Обл. НДС
Провід ПВС 2*2,5 бухта 100м
Надходження товарів і послуг ІБ00-003776 від 30.08.2024 18:46:57
Ніжин-3</t>
  </si>
  <si>
    <t>Обл. НДС
Провід ПВС 3*2,5 (м)
Надходження товарів і послуг ІБ00-001404 від 12.04.2024 17:23:03
Глобине-2</t>
  </si>
  <si>
    <t>Обл. НДС
Провід ПВС 3*2,5 (м)
Надходження товарів і послуг ІБ00-001404 від 12.04.2024 17:23:03
Ніжин-3</t>
  </si>
  <si>
    <t>Списання товарів ІБ00-000077 від 22.02.2025 20:00:00
Списаны ТМЦ</t>
  </si>
  <si>
    <t>Списання товарів ІБ00-000079 від 22.02.2025 20:00:00
Списаны ТМЦ</t>
  </si>
  <si>
    <t>Надходження товарів і послуг ІБ00-000728 від 22.02.2025 20:00:06
Оприходованы ТМЦ</t>
  </si>
  <si>
    <t>Обл. НДС
Бетон С 8/10 Р4 доб-10
Надходження товарів і послуг ІБ00-000728 від 22.02.2025 20:00:06
Глобине-2</t>
  </si>
  <si>
    <t>Кременчуцький річковий порт ПРАТ
Договір 112/Б від 15.10.2024_Глобине-2
Надходження товарів і послуг ІБ00-000728 від 22.02.2025 20:00:06</t>
  </si>
  <si>
    <t>Надходження дод. витрат ІБ00-000102 від 22.02.2025 20:00:07
Доп. расходы при поступлении товаров</t>
  </si>
  <si>
    <t>Кременчуцький річковий порт ПРАТ
Договір 112/Б від 15.10.2024_Глобине-2
Надходження дод. витрат ІБ00-000102 від 22.02.2025 20:00:07</t>
  </si>
  <si>
    <t>Переміщення товарів ІБ00-000141 від 22.02.2025 20:10:00
Перемещение ТМЦ</t>
  </si>
  <si>
    <t>Обл. НДС
Бетон С 8/10 Р4 доб-10
Надходження товарів і послуг ІБ00-000454 від 05.02.2025 18:00:12
Резервуарний парк соєвої меляси (Глобине)</t>
  </si>
  <si>
    <t>Переміщення товарів ІБ00-000142 від 22.02.2025 20:10:00
Перемещение ТМЦ</t>
  </si>
  <si>
    <t>Обл. НДС
Бетон С 8/10 Р4 доб-10
Надходження товарів і послуг ІБ00-000454 від 05.02.2025 18:00:12
Цех екстракції (Глобине)</t>
  </si>
  <si>
    <t>Обл. НДС
Бетон С 8/10 Р4 доб-10
Надходження товарів і послуг ІБ00-000728 від 22.02.2025 20:00:06
Цех екстракції (Глобине)</t>
  </si>
  <si>
    <t>Надходження товарів і послуг ІБ00-000748 від 25.02.2025 18:19:56
Оприходованы ТМЦ</t>
  </si>
  <si>
    <t>Обл. НДС
Цвяхи 100*4,0  10кг
Надходження товарів і послуг ІБ00-000748 від 25.02.2025 18:19:56
Глобине-2</t>
  </si>
  <si>
    <t>Лук'ян Михайло Федорович ФОП
22/08-24-1 от 22.08.2024 (РАХУНКИ)_Глобине-2
Рахунок на оплату постачальника ІБ00-000653 від 21.02.2025 18:26:06</t>
  </si>
  <si>
    <t>Обл. НДС
Шуруп г/к по дереву 3,5*55 мм
Надходження товарів і послуг ІБ00-000748 від 25.02.2025 18:19:56
Глобине-2</t>
  </si>
  <si>
    <t>Обл. НДС
Шуруп г/к по дереву 4,2*76 мм
Надходження товарів і послуг ІБ00-000748 від 25.02.2025 18:19:56
Глобине-2</t>
  </si>
  <si>
    <t>Переміщення товарів ІБ00-000147 від 25.02.2025 18:20:01
Перемещение ТМЦ</t>
  </si>
  <si>
    <t>Обл. НДС
Цвяхи 100*4,0  10кг
Надходження товарів і послуг ІБ00-000748 від 25.02.2025 18:19:56
Пункт фасування та зберігання в бігбегах (Глобине)</t>
  </si>
  <si>
    <t>Обл. НДС
Шуруп г/к по дереву 3,5*55 мм
Надходження товарів і послуг ІБ00-000711 від 18.02.2025 20:00:44
Пункт фасування та зберігання в бігбегах (Глобине)</t>
  </si>
  <si>
    <t>Переміщення товарів ІБ00-000148 від 25.02.2025 18:20:02
Перемещение ТМЦ</t>
  </si>
  <si>
    <t>Обл. НДС
Шуруп г/к по дереву 4,2*76 мм
Надходження товарів і послуг ІБ00-000711 від 18.02.2025 20:00:44
АПК (Глобине)</t>
  </si>
  <si>
    <t>Переміщення товарів ІБ00-000171 від 27.02.2025 21:38:59
Перемещение ТМЦ</t>
  </si>
  <si>
    <t>Обл. НДС
Фіксатор зірочка 25
Надходження товарів і послуг ІБ00-005494 від 04.11.2024 17:13:00
Резервуарний парк соєвої меляси (Глобине)</t>
  </si>
  <si>
    <t>Обл. НДС
Фанера ламінована 1250*2500*21 мм гл/гл
Надходження товарів і послуг ІБ00-004394 від 20.09.2024 18:19:40
Резервуарний парк соєвої меляси (Глобине)</t>
  </si>
  <si>
    <t>Обл. НДС
Фанера ламінована 1250*2500*21 мм гл/гл
Надходження товарів і послуг ІБ00-004394 від 20.09.2024 18:19:40
Глобине-2</t>
  </si>
  <si>
    <t>Списання товарів ІБ00-000123 від 28.02.2025 20:00:00
Списаны ТМЦ</t>
  </si>
  <si>
    <t>Списання товарів ІБ00-000124 від 28.02.2025 20:00:00
Списаны ТМЦ</t>
  </si>
  <si>
    <t>Переміщення товарів ІБ00-000092 від 01.02.2025 18:10:14
Перемещение ТМЦ</t>
  </si>
  <si>
    <t>Обл. НДС
Щебінь 20-40
Надходження товарів і послуг ІБ00-006224 від 12.12.2024 18:00:32
Котельна (Глобине)</t>
  </si>
  <si>
    <t>Обл. НДС
Щебінь 20-40
Надходження товарів і послуг ІБ00-006224 від 12.12.2024 18:00:32
Цех екстракції (Глобине)</t>
  </si>
  <si>
    <t>Переміщення товарів ІБ00-000093 від 01.02.2025 18:10:15
Перемещение ТМЦ</t>
  </si>
  <si>
    <t>Обл. НДС
Пінополістирол екструдований  20х600х1200мм
Надходження товарів і послуг ІБ00-006461 від 20.12.2024 18:18:13
Котельна (Глобине)</t>
  </si>
  <si>
    <t>Обл. НДС
Пінополістирол екструдований  20х600х1200мм
Надходження товарів і послуг ІБ00-006461 від 20.12.2024 18:18:13
СПК (Глобине)</t>
  </si>
  <si>
    <t>Переміщення товарів ІБ00-000095 від 01.02.2025 18:10:17
Перемещение ТМЦ</t>
  </si>
  <si>
    <t>Обл. НДС
Бетон С20/25 W6 F75 P4 доб-5
Надходження товарів і послуг ІБ00-000087 від 15.01.2025 18:05:18
Котельна (Глобине)</t>
  </si>
  <si>
    <t>Обл. НДС
Бетон С20/25 W6 F75 P4 доб-5
Надходження товарів і послуг ІБ00-000087 від 15.01.2025 18:05:18
Насосна Градирня (Глобине)</t>
  </si>
  <si>
    <t>Обл. НДС
Бетон С20/25 W6 F75 P4 доб-5
Надходження товарів і послуг ІБ00-000148 від 17.01.2025 17:59:51
Котельна (Глобине)</t>
  </si>
  <si>
    <t>Обл. НДС
Бетон С20/25 W6 F75 P4 доб-5
Надходження товарів і послуг ІБ00-000148 від 17.01.2025 17:59:51
Насосна Градирня (Глобине)</t>
  </si>
  <si>
    <t>Переміщення товарів ІБ00-000127 від 01.02.2025 18:10:52
Перемещение ТМЦ</t>
  </si>
  <si>
    <t>Обл. НДС
Щебінь 40-70
Надходження товарів і послуг ІБ00-005821 від 05.11.2024 20:00:09
Насосна Градирня (Глобине)</t>
  </si>
  <si>
    <t>Обл. НДС
Щебінь 40-70
Надходження товарів і послуг ІБ00-005821 від 05.11.2024 20:00:09
Котельна (Глобине)</t>
  </si>
  <si>
    <t>Обл. НДС
Щебінь 40-70
Надходження товарів і послуг ІБ00-005854 від 11.11.2024 18:00:22
Насосна Градирня (Глобине)</t>
  </si>
  <si>
    <t>Обл. НДС
Щебінь 40-70
Надходження товарів і послуг ІБ00-005854 від 11.11.2024 18:00:22
Котельна (Глобине)</t>
  </si>
  <si>
    <t>Переміщення товарів ІБ00-000139 від 01.02.2025 18:11:37
Перемещение ТМЦ</t>
  </si>
  <si>
    <t>Обл. НДС
Кутник 75*75 мм  12 м
Надходження товарів і послуг ІБ00-006410 від 23.12.2024 17:16:14
Цех екстракції (Глобине)</t>
  </si>
  <si>
    <t>Обл. НДС
Кутник 75*75 мм  12 м
Надходження товарів і послуг ІБ00-006410 від 23.12.2024 17:16:14
Котельна (Глобине)</t>
  </si>
  <si>
    <t>Надходження товарів і послуг ІБ00-000418 від 03.02.2025 18:10:14
Оприходованы ТМЦ</t>
  </si>
  <si>
    <t>Обл. НДС
Арматура №18  А-400С/500С 12 м
Надходження товарів і послуг ІБ00-000418 від 03.02.2025 18:10:14
Котельна (Глобине)</t>
  </si>
  <si>
    <t>МЕТАЛ ХОЛДІНГ ТРЕЙД ТОВ
Договір 01/467/24 від 06.09.2024_Глобине-2
Рахунок на оплату постачальника ІБ00-000364 від 31.01.2025 23:20:20</t>
  </si>
  <si>
    <t>Надходження дод. витрат ІБ00-000068 від 03.02.2025 18:10:15
Доп. расходы при поступлении товаров</t>
  </si>
  <si>
    <t>Надходження товарів і послуг ІБ00-000503 від 03.02.2025 18:10:29
Оприходованы ТМЦ (Зачет аванса поставщику)</t>
  </si>
  <si>
    <t>Обл. НДС
Гвинт 3,5*9,5 самосв цб нпкр
Надходження товарів і послуг ІБ00-000503 від 03.02.2025 18:10:29
Котельна (Глобине)</t>
  </si>
  <si>
    <t>Солді і Ко ПАТ
Дог № 378542-55/19 від 21.01.2019 р. РАХ_Глобине-2
Рахунок на оплату постачальника ІБ00-000303 від 23.01.2025 18:20:29</t>
  </si>
  <si>
    <t>Списання товарів ІБ00-000060 від 05.02.2025 00:00:00
Списаны ТМЦ</t>
  </si>
  <si>
    <t>Обл. НДС
Шуруп г/к по дереву 4,2*76 мм
Надходження товарів і послуг ІБ00-000089 від 01.01.2025 18:00:23
Котельна (Глобине)</t>
  </si>
  <si>
    <t>Обл. НДС
Шуруп г/к по дереву 4,2*76 мм
Надходження товарів і послуг ІБ00-000111 від 14.01.2025 18:05:23
Котельна (Глобине)</t>
  </si>
  <si>
    <t>Вимога-накладна ІБ00-000068 від 05.02.2025 18:15:26
Списаны ТМЦ</t>
  </si>
  <si>
    <t>Обл. НДС
Арматура №12  А240С L=6000 мм
Надходження товарів і послуг ІБ00-004646 від 02.10.2024 17:19:54
Котельна (Глобине)</t>
  </si>
  <si>
    <t>Вимога-накладна ІБ00-000069 від 05.02.2025 18:15:29
Списаны ТМЦ</t>
  </si>
  <si>
    <t>Обл. НДС
Плівка п/е рукав 1500*100
Надходження товарів і послуг ІБ00-005781 від 19.11.2024 17:51:41
Котельна (Глобине)</t>
  </si>
  <si>
    <t>Обл. НДС
Кутник 40*40*4,0 мм  6 м
Надходження товарів і послуг ІБ00-006410 від 23.12.2024 17:16:14
Котельна (Глобине)</t>
  </si>
  <si>
    <t>Обл. НДС
Щебінь 20-40
Надходження товарів і послуг ІБ00-006545 від 26.12.2024 12:00:00
Котельна (Глобине)</t>
  </si>
  <si>
    <t>Надходження товарів і послуг ІБ00-000457 від 06.02.2025 15:36:10
Оприходованы ТМЦ</t>
  </si>
  <si>
    <t>Обл. НДС
Труба ПЕТ110*10 16атм чорна SDR11
Надходження товарів і послуг ІБ00-000457 від 06.02.2025 15:36:10
Котельна (Глобине)</t>
  </si>
  <si>
    <t>Лук'янець Максим Миколайович ФОП
РАХУНКИ_Глобине 2
Рахунок на оплату постачальника ІБ00-000304 від 30.01.2025 18:03:04</t>
  </si>
  <si>
    <t>Надходження товарів і послуг ІБ00-000457 від 06.02.2025 15:36:10
Оприходованы ТМЦ (Зачет аванса поставщику)</t>
  </si>
  <si>
    <t>Обл. НДС
Коліно 110/90 ПЕТ терморезист SDR11
Надходження товарів і послуг ІБ00-000457 від 06.02.2025 15:36:10
Котельна (Глобине)</t>
  </si>
  <si>
    <t>Надходження дод. витрат ІБ00-000085 від 06.02.2025 16:00:00
Доп. расходы при поступлении товаров</t>
  </si>
  <si>
    <t>Надходження товарів і послуг ІБ00-000504 від 07.02.2025 18:30:23
Оприходованы ТМЦ (Зачет аванса поставщику)</t>
  </si>
  <si>
    <t>Обл. НДС
Стрижень М 12 8.8 1м цб  DIN 975
Надходження товарів і послуг ІБ00-000504 від 07.02.2025 18:30:23
Котельна (Глобине)</t>
  </si>
  <si>
    <t>Солді і Ко ПАТ
Дог № 378542-55/19 від 21.01.2019 р. РАХ_Глобине-2
Рахунок на оплату постачальника ІБ00-000360 від 31.01.2025 23:20:15</t>
  </si>
  <si>
    <t>Обл. НДС
Стрижень М 16 8.8 1м цб  DIN 975
Надходження товарів і послуг ІБ00-000504 від 07.02.2025 18:30:23
Котельна (Глобине)</t>
  </si>
  <si>
    <t>20.02.2025</t>
  </si>
  <si>
    <t>Списання товарів ІБ00-000076 від 20.02.2025 00:00:00
Списаны ТМЦ</t>
  </si>
  <si>
    <t>Надходження товарів і послуг ІБ00-000644 від 21.02.2025 18:25:40
Оприходованы ТМЦ</t>
  </si>
  <si>
    <t>Обл. НДС
Лист рифл 630х630х3
Надходження товарів і послуг ІБ00-000644 від 21.02.2025 18:25:40
Котельна (Глобине)</t>
  </si>
  <si>
    <t>Метал Монтаж Сервіс Макс ТОВ
Договір 13/01/2025 від 13.01.2025_Глобине 2
Рахунок на оплату постачальника ІБ00-000544 від 20.02.2025 18:11:11</t>
  </si>
  <si>
    <t>Обл. НДС
Лист рифл 920х630х3
Надходження товарів і послуг ІБ00-000644 від 21.02.2025 18:25:40
Котельна (Глобине)</t>
  </si>
  <si>
    <t>Обл. НДС
Лист рифл 920х690х3
Надходження товарів і послуг ІБ00-000644 від 21.02.2025 18:25:40
Котельна (Глобине)</t>
  </si>
  <si>
    <t>Обл. НДС
Лист рифл 920х790х3
Надходження товарів і послуг ІБ00-000644 від 21.02.2025 18:25:40
Котельна (Глобине)</t>
  </si>
  <si>
    <t>Обл. НДС
Лист рифл 690х1350х3
Надходження товарів і послуг ІБ00-000644 від 21.02.2025 18:25:40
Котельна (Глобине)</t>
  </si>
  <si>
    <t>Обл. НДС
Лист рифл 1080х1350х4
Надходження товарів і послуг ІБ00-000644 від 21.02.2025 18:25:40
Котельна (Глобине)</t>
  </si>
  <si>
    <t>Надходження товарів і послуг ІБ00-000709 від 21.02.2025 18:25:51
Оприходованы ТМЦ</t>
  </si>
  <si>
    <t>Обл. НДС
Арматура №18  А500С L=12000 мм
Надходження товарів і послуг ІБ00-000709 від 21.02.2025 18:25:51
Котельна (Глобине)</t>
  </si>
  <si>
    <t>МЕТІНВЕСТ-СМЦ ТОВ
№1778403/01/2023-С от 11.01.2023 РАХУНКИ_Глобино-2
Рахунок на оплату постачальника ІБ00-000645 від 21.02.2025 00:00:00</t>
  </si>
  <si>
    <t>Обл. НДС
Кутик 50х50х5мм ст, 3пс; 6 м
Надходження товарів і послуг ІБ00-000709 від 21.02.2025 18:25:51
Котельна (Глобине)</t>
  </si>
  <si>
    <t>Надходження дод. витрат ІБ00-000098 від 21.02.2025 18:25:52
Доп. расходы при поступлении товаров</t>
  </si>
  <si>
    <t>Надходження товарів і послуг ІБ00-000710 від 21.02.2025 18:25:53
Оприходованы ТМЦ (Зачет аванса поставщику)</t>
  </si>
  <si>
    <t>Обл. НДС
Сходи СС-11Б 1050*330*145
Надходження товарів і послуг ІБ00-000710 від 21.02.2025 18:25:53
Котельна (Глобине)</t>
  </si>
  <si>
    <t>Буддеталь
РАХУНКИ_Глобине-2
Рахунок на оплату постачальника ІБ00-000286 від 23.01.2025 18:20:26</t>
  </si>
  <si>
    <t>Переміщення товарів ІБ00-000175 від 28.02.2025 10:00:00
Перемещение ТМЦ</t>
  </si>
  <si>
    <t>Обл. НДС
Щебінь 20-40
Надходження товарів і послуг ІБ00-006356 від 19.12.2024 12:14:15
Котельна (Глобине)</t>
  </si>
  <si>
    <t>Обл. НДС
Щебінь 20-40
Надходження товарів і послуг ІБ00-006356 від 19.12.2024 12:14:15
Цех екстракції (Глобине)</t>
  </si>
  <si>
    <t>Переміщення товарів ІБ00-000176 від 28.02.2025 10:00:00
Перемещение ТМЦ</t>
  </si>
  <si>
    <t>Обл. НДС
Кутик 40*40*4 мм ст3пс
Надходження товарів і послуг ІБ00-000546 від 14.02.2025 10:00:00
Котельна (Глобине)</t>
  </si>
  <si>
    <t>Обл. НДС
Кутик 75х75х6 мм С255-5 12м
Надходження товарів і послуг ІБ00-000720 від 18.02.2025 20:00:46
Котельна (Глобине)</t>
  </si>
  <si>
    <t>Обл. НДС
Кутик 75х75х6 мм С255-5 12м
Надходження товарів і послуг ІБ00-000720 від 18.02.2025 20:00:46
Цех екстракції (Глобине)</t>
  </si>
  <si>
    <t>Переміщення товарів ІБ00-000177 від 28.02.2025 10:00:00
Перемещение ТМЦ</t>
  </si>
  <si>
    <t>Обл. НДС
Прокат арматурний №12 мм  А500С  12м
Надходження товарів і послуг ІБ00-000546 від 14.02.2025 10:00:00
Котельна (Глобине)</t>
  </si>
  <si>
    <t>Вимога-накладна ІБ00-000147 від 28.02.2025 20:00:00
Списаны ТМЦ</t>
  </si>
  <si>
    <t>Обл. НДС
Виробничий (Глобине-2)
Глобине-2
Прямі матеріальні виробничі витрати крім зворотних відходів</t>
  </si>
  <si>
    <t>Обл. НДС
Швелер 10 (UREAA 100) S275 JR, 12 м
Надходження товарів і послуг ІБ00-006410 від 23.12.2024 17:16:14
Котельна (Глобине)</t>
  </si>
  <si>
    <t>Вимога-накладна ІБ00-000149 від 28.02.2025 20:00:00
Списаны ТМЦ</t>
  </si>
  <si>
    <t>Обл. НДС
Арматура №12  А500С L=12000 мм
Надходження товарів і послуг ІБ00-000054 від 10.01.2025 18:00:05
Котельна (Глобине)</t>
  </si>
  <si>
    <t>Обл. НДС
Гайка М36 DIN 934  
Надходження товарів і послуг ІБ00-005762 від 22.11.2024 18:16:02
Котельна (Глобине)</t>
  </si>
  <si>
    <t>Обл. НДС
DIN 125 Шайба 36 цб 
Надходження товарів і послуг ІБ00-005762 від 22.11.2024 18:16:02
Котельна (Глобине)</t>
  </si>
  <si>
    <t>Обл. НДС
Болт М12*35 DIN 933 
Надходження товарів і послуг ІБ00-005761 від 22.11.2024 18:16:01
Котельна (Глобине)</t>
  </si>
  <si>
    <t>Обл. НДС
Болти DIN 933 12х110 - 5,8  ОЦ.
Надходження товарів і послуг ІБ00-005761 від 22.11.2024 18:16:01
Котельна (Глобине)</t>
  </si>
  <si>
    <t>Обл. НДС
Болти DIN 931 12х120 - 8,8  ОЦ.
Надходження товарів і послуг ІБ00-005761 від 22.11.2024 18:16:01
Котельна (Глобине)</t>
  </si>
  <si>
    <t>Обл. НДС
Болт М16*40  DIN 933
Надходження товарів і послуг ІБ00-005761 від 22.11.2024 18:16:01
Котельна (Глобине)</t>
  </si>
  <si>
    <t>Обл. НДС
Болт М16*45  DIN 933
Надходження товарів і послуг ІБ00-005761 від 22.11.2024 18:16:01
Котельна (Глобине)</t>
  </si>
  <si>
    <t>Обл. НДС
Болт М16*50  DIN 933
Надходження товарів і послуг ІБ00-005761 від 22.11.2024 18:16:01
Котельна (Глобине)</t>
  </si>
  <si>
    <t>Обл. НДС
Болт М16*55  DIN 933 8,8 цб пр
Надходження товарів і послуг ІБ00-005761 від 22.11.2024 18:16:01
Котельна (Глобине)</t>
  </si>
  <si>
    <t>Обл. НДС
Болт М16*60  DIN 933 оц. 8.8цб
Надходження товарів і послуг ІБ00-005761 від 22.11.2024 18:16:01
Котельна (Глобине)</t>
  </si>
  <si>
    <t>Обл. НДС
Болт М20*65  DIN 931
Надходження товарів і послуг ІБ00-005761 від 22.11.2024 18:16:01
Котельна (Глобине)</t>
  </si>
  <si>
    <t>Обл. НДС
Болт М20*70  DIN 931
Надходження товарів і послуг ІБ00-005761 від 22.11.2024 18:16:01
Котельна (Глобине)</t>
  </si>
  <si>
    <t>Обл. НДС
Болт М20*100  DIN 933 з шест.голівкою цб
Надходження товарів і послуг ІБ00-005761 від 22.11.2024 18:16:01
Котельна (Глобине)</t>
  </si>
  <si>
    <t>Обл. НДС
Болт М20*130 10.9 БП ЧР
Надходження товарів і послуг ІБ00-006020 від 26.11.2024 20:00:53
Котельна (Глобине)</t>
  </si>
  <si>
    <t>Обл. НДС
Гайка М12  DIN 934
Надходження товарів і послуг ІБ00-005761 від 22.11.2024 18:16:01
Котельна (Глобине)</t>
  </si>
  <si>
    <t>Обл. НДС
Гайка М16 DIN 934 ЦБ
Надходження товарів і послуг ІБ00-005761 від 22.11.2024 18:16:01
Котельна (Глобине)</t>
  </si>
  <si>
    <t>Обл. НДС
Гайка М20  DIN 934
Надходження товарів і послуг ІБ00-005761 від 22.11.2024 18:16:01
Котельна (Глобине)</t>
  </si>
  <si>
    <t>Обл. НДС
Шайба 12  DIN125 цб
Надходження товарів і послуг ІБ00-005761 від 22.11.2024 18:16:01
Котельна (Глобине)</t>
  </si>
  <si>
    <t>Обл. НДС
Шайба 16  DIN125
Надходження товарів і послуг ІБ00-005761 від 22.11.2024 18:16:01
Котельна (Глобине)</t>
  </si>
  <si>
    <t>Обл. НДС
Шайба 20  DIN125 цб
Надходження товарів і послуг ІБ00-005761 від 22.11.2024 18:16:01
Котельна (Глобине)</t>
  </si>
  <si>
    <t>Обл. НДС
Профілі сталеві листові Н-57 оцинк
Надходження товарів і послуг ІБ00-000185 від 20.01.2025 18:00:26
Котельна (Глобине)</t>
  </si>
  <si>
    <t>Обл. НДС
Дріт 1,2 мм Н-О-Ч
Надходження товарів і послуг ІБ00-000069 від 13.01.2025 17:25:04
Котельна (Глобине)</t>
  </si>
  <si>
    <t>Обл. НДС
Труба 51*2,5 ДСТУ 8938(8732)
Надходження товарів і послуг ІБ00-000195 від 20.01.2025 18:00:30
Котельна (Глобине)</t>
  </si>
  <si>
    <t>Обл. НДС
Труба 159*4 
Надходження товарів і послуг ІБ00-000060 від 10.01.2025 18:00:10
Котельна (Глобине)</t>
  </si>
  <si>
    <t>Обл. НДС
Труба 159*6,0 ДСТУ 8938(8732)
Надходження товарів і послуг ІБ00-000195 від 20.01.2025 18:00:30
Котельна (Глобине)</t>
  </si>
  <si>
    <t>Обл. НДС
Труба 108*4,0 ДСТУ 8943(10704)
Надходження товарів і послуг ІБ00-000195 від 20.01.2025 18:00:30
Котельна (Глобине)</t>
  </si>
  <si>
    <t>Надходження товарів і послуг ІБ00-000538 від 12.02.2025 18:02:48
Оприходованы ТМЦ</t>
  </si>
  <si>
    <t>Обл. НДС
Анкер М 10*100/35 цб/цж одноконусний
Надходження товарів і послуг ІБ00-000538 від 12.02.2025 18:02:48
Насосна Градирня (Глобине)</t>
  </si>
  <si>
    <t>Солді і Ко ПАТ
Дог № 378542-55/19 від 21.01.2019 р. РАХ_Глобине-2
Рахунок на оплату постачальника ІБ00-000471 від 12.02.2025 18:02:47</t>
  </si>
  <si>
    <t>Списання товарів ІБ00-000080 від 20.02.2025 00:00:00
Списаны ТМЦ</t>
  </si>
  <si>
    <t>Обл. НДС
Шуруп г/к по дереву 3,5*55 мм
Надходження товарів і послуг ІБ00-000089 від 01.01.2025 18:00:23
Насосна Градирня (Глобине)</t>
  </si>
  <si>
    <t>Обл. НДС
Шуруп г/к по дереву 4,2*76 мм
Надходження товарів і послуг ІБ00-000089 від 01.01.2025 18:00:23
Насосна Градирня (Глобине)</t>
  </si>
  <si>
    <t>Обл. НДС
Дюбель з уд.ш 6*80
Надходження товарів і послуг ІБ00-000109 від 14.01.2025 18:05:21
Насосна Градирня (Глобине)</t>
  </si>
  <si>
    <t>Обл. НДС
Дюбель-цвях  3,7*50  DN50
Надходження товарів і послуг ІБ00-000089 від 01.01.2025 18:00:23
Насосна Градирня (Глобине)</t>
  </si>
  <si>
    <t>Вимога-накладна ІБ00-000115 від 20.02.2025 00:00:00
Списаны ТМЦ</t>
  </si>
  <si>
    <t>Обл. НДС
Болт М16*45  DIN 933
Надходження товарів і послуг ІБ00-000206 від 22.01.2025 19:00:01
Насосна Градирня (Глобине)</t>
  </si>
  <si>
    <t>Обл. НДС
Болт М16*50  DIN 933 оц. 5,8
Надходження товарів і послуг ІБ00-000206 від 22.01.2025 19:00:01
Насосна Градирня (Глобине)</t>
  </si>
  <si>
    <t>Обл. НДС
Болт М16*65  DIN 933 цб
Надходження товарів і послуг ІБ00-000206 від 22.01.2025 19:00:01
Насосна Градирня (Глобине)</t>
  </si>
  <si>
    <t>Обл. НДС
Болт М16*90  DIN 933 з шест.голівкою цб
Надходження товарів і послуг ІБ00-000206 від 22.01.2025 19:00:01
Насосна Градирня (Глобине)</t>
  </si>
  <si>
    <t>Обл. НДС
Гайка М16  DIN 934 
Надходження товарів і послуг ІБ00-000206 від 22.01.2025 19:00:01
Насосна Градирня (Глобине)</t>
  </si>
  <si>
    <t>Обл. НДС
Шайба 16  DIN125
Надходження товарів і послуг ІБ00-000206 від 22.01.2025 19:00:01
Насосна Градирня (Глобине)</t>
  </si>
  <si>
    <t>Вимога-накладна ІБ00-000083 від 20.02.2025 10:00:00
Списаны ТМЦ</t>
  </si>
  <si>
    <t>Обл. НДС
Бетон С20/25 W6 F75 P4 доб-5
Надходження товарів і послуг ІБ00-000203 від 22.01.2025 18:18:39
Насосна Градирня (Глобине)</t>
  </si>
  <si>
    <t>Вимога-накладна ІБ00-000086 від 20.02.2025 18:11:03
Списаны ТМЦ</t>
  </si>
  <si>
    <t>Вимога-накладна ІБ00-000088 від 20.02.2025 18:11:04
Списаны ТМЦ</t>
  </si>
  <si>
    <t>Обл. НДС
Арматура №12  А240С L=6000 мм
Надходження товарів і послуг ІБ00-004646 від 02.10.2024 17:19:54
Насосна Градирня (Глобине)</t>
  </si>
  <si>
    <t>Обл. НДС
Арматура №16  А500С L=12000 мм
Надходження товарів і послуг ІБ00-004378 від 21.09.2024 23:45:38
Насосна Градирня (Глобине)</t>
  </si>
  <si>
    <t>Переміщення товарів ІБ00-000130 від 01.02.2025 00:00:00
Перемещение ТМЦ</t>
  </si>
  <si>
    <t>Обл. НДС
Щебінь 20-40
Надходження товарів і послуг ІБ00-006196 від 10.12.2024 18:00:19
Резервуар для зберігання розчинника(Глобине)</t>
  </si>
  <si>
    <t>Обл. НДС
Щебінь 20-40
Надходження товарів і послуг ІБ00-006196 від 10.12.2024 18:00:19
Цех екстракції (Глобине)</t>
  </si>
  <si>
    <t>Обл. НДС
Щебінь 20-40
Надходження товарів і послуг ІБ00-006201 від 11.12.2024 18:00:22
Резервуар для зберігання розчинника(Глобине)</t>
  </si>
  <si>
    <t>Обл. НДС
Щебінь 20-40
Надходження товарів і послуг ІБ00-006201 від 11.12.2024 18:00:22
Цех екстракції (Глобине)</t>
  </si>
  <si>
    <t>Обл. НДС
Щебінь 20-40
Надходження товарів і послуг ІБ00-006224 від 12.12.2024 18:00:32
Резервуар для зберігання розчинника(Глобине)</t>
  </si>
  <si>
    <t>Переміщення товарів ІБ00-000121 від 01.02.2025 18:10:37
Перемещение ТМЦ</t>
  </si>
  <si>
    <t>Обл. НДС
Щебінь 20-40
Надходження товарів і послуг ІБ00-006317 від 18.12.2024 18:00:25
Резервуар для зберігання розчинника(Глобине)</t>
  </si>
  <si>
    <t>Обл. НДС
Щебінь 20-40
Надходження товарів і послуг ІБ00-006317 від 18.12.2024 18:00:25
Цех екстракції (Глобине)</t>
  </si>
  <si>
    <t>Переміщення товарів ІБ00-000140 від 01.02.2025 18:11:38
Перемещение ТМЦ</t>
  </si>
  <si>
    <t>Обл. НДС
Пісок з відсіву дроблення щебеню фр. 0-5мм.
Надходження товарів і послуг ІБ00-006313 від 17.12.2024 18:00:22
Резервуар для зберігання розчинника(Глобине)</t>
  </si>
  <si>
    <t>Обл. НДС
Пісок з відсіву дроблення щебеню фр. 0-5мм.
Надходження товарів і послуг ІБ00-006313 від 17.12.2024 18:00:22
СПК (Глобине)</t>
  </si>
  <si>
    <t>Надходження товарів і послуг ІБ00-000488 від 06.02.2025 18:36:23
Оприходованы ТМЦ</t>
  </si>
  <si>
    <t>Обл. НДС
Пісок з відсіву дроблення щебеню фр. 0-5мм.
Надходження товарів і послуг ІБ00-000488 від 06.02.2025 18:36:23
Резервуар для зберігання розчинника(Глобине)</t>
  </si>
  <si>
    <t>Енергія Логістик ТОВ
№28/10-2024 ВІД 28/10/24_Глобине-2
Рахунок на оплату постачальника ІБ00-000418 від 06.02.2025 18:36:22</t>
  </si>
  <si>
    <t>Надходження дод. витрат ІБ00-000071 від 06.02.2025 18:36:24
Доп. расходы при поступлении товаров</t>
  </si>
  <si>
    <t>Вимога-накладна ІБ00-000073 від 12.02.2025 18:02:55
Списаны ТМЦ</t>
  </si>
  <si>
    <t>Надходження товарів і послуг ІБ00-000659 від 13.02.2025 18:20:14
Оприходованы ТМЦ</t>
  </si>
  <si>
    <t>Обл. НДС
Шпонка гідроізоляційна ВД 240
Надходження товарів і послуг ІБ00-000659 від 13.02.2025 18:20:14
Резервуар для зберігання розчинника(Глобине)</t>
  </si>
  <si>
    <t>ПРОТЕКС УКРАЇНА
Договір 9  від 11.12.2023_Глобіно2
Рахунок на оплату постачальника ІБ00-000555 від 11.02.2025 21:16:59</t>
  </si>
  <si>
    <t>Надходження товарів і послуг ІБ00-000655 від 14.02.2025 00:00:00
Оприходованы ТМЦ (Зачет аванса поставщику)</t>
  </si>
  <si>
    <t>Обл. НДС
Труба Дн 273 стал. 8,0мм
Надходження товарів і послуг ІБ00-000655 від 14.02.2025 00:00:00
Резервуар для зберігання розчинника(Глобине)</t>
  </si>
  <si>
    <t>Паритет"ТОВ ТД
Договір 06-09/1 від 06.09.2024_Глобино-2
Рахунок на оплату постачальника ІБ00-000456 від 11.02.2025 18:10:02</t>
  </si>
  <si>
    <t>Обл. НДС
Труба 426х7 стальна
Надходження товарів і послуг ІБ00-000655 від 14.02.2025 00:00:00
Резервуар для зберігання розчинника(Глобине)</t>
  </si>
  <si>
    <t>Надходження товарів і послуг ІБ00-000649 від 17.02.2025 23:45:08
Оприходованы ТМЦ (Зачет аванса поставщику)</t>
  </si>
  <si>
    <t>Обл. НДС
Пенебар SW-55 тип А 5м/рул
Надходження товарів і послуг ІБ00-000649 від 17.02.2025 23:45:08
Резервуар для зберігання розчинника(Глобине)</t>
  </si>
  <si>
    <t>ПЕНЕТРОН УКРАЇНА ТОВ
РАХУНКИ_Глобино-2
Рахунок на оплату постачальника ІБ00-000457 від 10.02.2025 17:47:30</t>
  </si>
  <si>
    <t>Обл. НДС
Пенекрит 5кг/відро
Надходження товарів і послуг ІБ00-000649 від 17.02.2025 23:45:08
Резервуар для зберігання розчинника(Глобине)</t>
  </si>
  <si>
    <t>Вимога-накладна ІБ00-000118 від 20.02.2025 00:00:00
Списаны ТМЦ</t>
  </si>
  <si>
    <t>Надходження товарів і послуг ІБ00-000352 від 01.02.2025 18:00:02
Оприходованы ТМЦ</t>
  </si>
  <si>
    <t>Обл. НДС
Пісок з відсіву дроблення щебеню фр. 0-5мм.
Надходження товарів і послуг ІБ00-000352 від 01.02.2025 18:00:02
Резервуарний парк соєвої меляси (Глобине)</t>
  </si>
  <si>
    <t>Енергія Логістик ТОВ
№28/10-2024 ВІД 28/10/24_Глобине-2
Рахунок на оплату постачальника ІБ00-000313 від 01.02.2025 18:00:01</t>
  </si>
  <si>
    <t>Надходження дод. витрат ІБ00-000058 від 01.02.2025 18:00:03
Доп. расходы при поступлении товаров</t>
  </si>
  <si>
    <t>Переміщення товарів ІБ00-000088 від 01.02.2025 18:10:10
Перемещение ТМЦ</t>
  </si>
  <si>
    <t>Обл. НДС
Бетон С20/25 W6 F75 P4
Надходження товарів і послуг ІБ00-000026 від 08.01.2025 18:00:01
Резервуарний парк соєвої меляси (Глобине)</t>
  </si>
  <si>
    <t>Обл. НДС
Бетон С20/25 W6 F75 P4
Надходження товарів і послуг ІБ00-000026 від 08.01.2025 18:00:01
СПК (Глобине)</t>
  </si>
  <si>
    <t>Обл. НДС
Бетон С20/25 W6 F75 P4
Надходження товарів і послуг ІБ00-000364 від 29.01.2025 18:00:25
Резервуарний парк соєвої меляси (Глобине)</t>
  </si>
  <si>
    <t>Обл. НДС
Бетон С20/25 W6 F75 P4
Надходження товарів і послуг ІБ00-000364 від 29.01.2025 18:00:25
СПК (Глобине)</t>
  </si>
  <si>
    <t>Обл. НДС
Бетон С20/25 W6 F75 P4
Надходження товарів і послуг ІБ00-000363 від 30.01.2025 20:41:51
Резервуарний парк соєвої меляси (Глобине)</t>
  </si>
  <si>
    <t>Обл. НДС
Бетон С20/25 W6 F75 P4
Надходження товарів і послуг ІБ00-000363 від 30.01.2025 20:41:51
СПК (Глобине)</t>
  </si>
  <si>
    <t>Обл. НДС
Пінополістирол екструдований  20х600х1200мм
Надходження товарів і послуг ІБ00-006461 від 20.12.2024 18:18:13
Резервуарний парк соєвої меляси (Глобине)</t>
  </si>
  <si>
    <t>Надходження товарів і послуг ІБ00-000524 від 01.02.2025 18:10:19
Оприходованы ТМЦ</t>
  </si>
  <si>
    <t>Обл. НДС
Шпонка гідроізоляційна ВР 200  20м п
Надходження товарів і послуг ІБ00-000524 від 01.02.2025 18:10:19
Резервуарний парк соєвої меляси (Глобине)</t>
  </si>
  <si>
    <t>ПРОТЕКС УКРАЇНА
Договір 9  від 11.12.2023_Глобіно2
Рахунок на оплату постачальника ІБ00-000378 від 28.01.2025 23:21:45</t>
  </si>
  <si>
    <t>Надходження товарів і послуг ІБ00-000818 від 01.02.2025 18:11:48
Оприходованы ТМЦ</t>
  </si>
  <si>
    <t>Обл. НДС
Гвинт  М10х20 пот/гл DIN912
Надходження товарів і послуг ІБ00-000818 від 01.02.2025 18:11:48
Резервуарний парк соєвої меляси (Глобине)</t>
  </si>
  <si>
    <t>Лук'ян Михайло Федорович ФОП
03062024-1 от 03.06.2024 (РАХУНКИ)_Глобине-2
Рахунок на оплату постачальника ІБ00-000386 від 29.01.2025 18:20:04</t>
  </si>
  <si>
    <t>Вимога-накладна ІБ00-000066 від 05.02.2025 18:00:18
Списаны ТМЦ</t>
  </si>
  <si>
    <t>Обл. НДС
Бетон С20/25 W6 F75 P4 доб-5
Надходження товарів і послуг ІБ00-000238 від 24.01.2025 18:00:03
Резервуарний парк соєвої меляси (Глобине)</t>
  </si>
  <si>
    <t>Надходження товарів і послуг ІБ00-000523 від 07.02.2025 10:00:00
Оприходованы ТМЦ</t>
  </si>
  <si>
    <t>Обл. НДС
Бетон С 8/10 Р4 доб-10
Надходження товарів і послуг ІБ00-000523 від 07.02.2025 10:00:00
Резервуарний парк соєвої меляси (Глобине)</t>
  </si>
  <si>
    <t>Кременчуцький річковий порт ПРАТ
Договір 112/Б від 15.10.2024_Глобине-2
Надходження товарів і послуг ІБ00-000523 від 07.02.2025 10:00:00</t>
  </si>
  <si>
    <t>Надходження товарів і послуг ІБ00-000523 від 07.02.2025 10:00:00
Оприходованы ТМЦ (Зачет аванса поставщику)</t>
  </si>
  <si>
    <t>Надходження дод. витрат ІБ00-000076 від 07.02.2025 10:10:00
Доп. расходы при поступлении товаров</t>
  </si>
  <si>
    <t>Кременчуцький річковий порт ПРАТ
Договір 112/Б від 15.10.2024_Глобине-2
Надходження дод. витрат ІБ00-000076 від 07.02.2025 10:10:00</t>
  </si>
  <si>
    <t>Надходження товарів і послуг ІБ00-000526 від 10.02.2025 17:47:31
Оприходованы ТМЦ</t>
  </si>
  <si>
    <t>Обл. НДС
Арматура композитна 8мм 200м
Надходження товарів і послуг ІБ00-000526 від 10.02.2025 17:47:31
Резервуарний парк соєвої меляси (Глобине)</t>
  </si>
  <si>
    <t>Поліекс Україна ТОВ
РАХУНКИ_Глобино-2
Рахунок на оплату постачальника ІБ00-000388 від 07.01.2025 17:32:16</t>
  </si>
  <si>
    <t>Надходження товарів і послуг ІБ00-000526 від 10.02.2025 17:47:31
Оприходованы ТМЦ (Зачет аванса поставщику)</t>
  </si>
  <si>
    <t>Надходження товарів і послуг ІБ00-000678 від 18.02.2025 20:00:41
Оприходованы ТМЦ</t>
  </si>
  <si>
    <t>Обл. НДС
Бетон С20/25 W6 F75 P4 доб-15
Надходження товарів і послуг ІБ00-000678 від 18.02.2025 20:00:41
Резервуарний парк соєвої меляси (Глобине)</t>
  </si>
  <si>
    <t>Кременчуцький річковий порт ПРАТ
Договір 112/Б від 15.10.2024_Глобине-2
Надходження товарів і послуг ІБ00-000678 від 18.02.2025 20:00:41</t>
  </si>
  <si>
    <t>Надходження товарів і послуг ІБ00-000678 від 18.02.2025 20:00:41
Оприходованы ТМЦ (Зачет аванса поставщику)</t>
  </si>
  <si>
    <t>Надходження дод. витрат ІБ00-000097 від 18.02.2025 20:00:42
Доп. расходы при поступлении товаров</t>
  </si>
  <si>
    <t>Кременчуцький річковий порт ПРАТ
Договір 112/Б від 15.10.2024_Глобине-2
Надходження дод. витрат ІБ00-000097 від 18.02.2025 20:00:42</t>
  </si>
  <si>
    <t>Вимога-накладна ІБ00-000106 від 20.02.2025 18:11:16
Списаны ТМЦ</t>
  </si>
  <si>
    <t>Списання товарів ІБ00-000073 від 20.02.2025 18:11:17
Списаны ТМЦ</t>
  </si>
  <si>
    <t>Обл. НДС
Арматура №12  А500С L=12000 мм
Надходження товарів і послуг ІБ00-000054 від 10.01.2025 18:00:05
Резервуарний парк соєвої меляси (Глобине)</t>
  </si>
  <si>
    <t>Надходження товарів і послуг ІБ00-000757 від 20.02.2025 18:11:49
Оприходованы ТМЦ</t>
  </si>
  <si>
    <t>Обл. НДС
Щебінь 20-40
Надходження товарів і послуг ІБ00-000757 від 20.02.2025 18:11:49
Резервуарний парк соєвої меляси (Глобине)</t>
  </si>
  <si>
    <t>Енергія Логістик ТОВ
№28/10-2024 ВІД 28/10/24_Глобине-2
Рахунок на оплату постачальника ІБ00-000656 від 20.02.2025 18:11:48</t>
  </si>
  <si>
    <t>Надходження дод. витрат ІБ00-000108 від 20.02.2025 18:11:50
Доп. расходы при поступлении товаров</t>
  </si>
  <si>
    <t>Надходження товарів і послуг ІБ00-000758 від 20.02.2025 18:11:52
Оприходованы ТМЦ</t>
  </si>
  <si>
    <t>Обл. НДС
Щебінь 20-40
Надходження товарів і послуг ІБ00-000758 від 20.02.2025 18:11:52
Резервуарний парк соєвої меляси (Глобине)</t>
  </si>
  <si>
    <t>Енергія Логістик ТОВ
№28/10-2024 ВІД 28/10/24_Глобине-2
Рахунок на оплату постачальника ІБ00-000657 від 20.02.2025 18:11:51</t>
  </si>
  <si>
    <t>Надходження товарів і послуг ІБ00-000759 від 21.02.2025 18:26:12
Оприходованы ТМЦ</t>
  </si>
  <si>
    <t>Обл. НДС
Щебінь 20-40
Надходження товарів і послуг ІБ00-000759 від 21.02.2025 18:26:12
Резервуарний парк соєвої меляси (Глобине)</t>
  </si>
  <si>
    <t>Енергія Логістик ТОВ
№28/10-2024 ВІД 28/10/24_Глобине-2
Рахунок на оплату постачальника ІБ00-000658 від 21.02.2025 18:26:11</t>
  </si>
  <si>
    <t>Надходження дод. витрат ІБ00-000109 від 21.02.2025 18:26:13
Доп. расходы при поступлении товаров</t>
  </si>
  <si>
    <t>Надходження товарів і послуг ІБ00-000760 від 21.02.2025 18:26:15
Оприходованы ТМЦ</t>
  </si>
  <si>
    <t>Обл. НДС
Щебінь 20-40
Надходження товарів і послуг ІБ00-000760 від 21.02.2025 18:26:15
Резервуарний парк соєвої меляси (Глобине)</t>
  </si>
  <si>
    <t>Енергія Логістик ТОВ
№28/10-2024 ВІД 28/10/24_Глобине-2
Рахунок на оплату постачальника ІБ00-000659 від 21.02.2025 18:26:14</t>
  </si>
  <si>
    <t>Надходження товарів і послуг ІБ00-000761 від 22.02.2025 20:10:02
Оприходованы ТМЦ</t>
  </si>
  <si>
    <t>Обл. НДС
Щебінь 20-40
Надходження товарів і послуг ІБ00-000761 від 22.02.2025 20:10:02
Резервуарний парк соєвої меляси (Глобине)</t>
  </si>
  <si>
    <t>Енергія Логістик ТОВ
№28/10-2024 ВІД 28/10/24_Глобине-2
Рахунок на оплату постачальника ІБ00-000660 від 22.02.2025 20:10:01</t>
  </si>
  <si>
    <t>Надходження дод. витрат ІБ00-000110 від 22.02.2025 20:10:03
Доп. расходы при поступлении товаров</t>
  </si>
  <si>
    <t>Надходження товарів і послуг ІБ00-000762 від 22.02.2025 20:10:05
Оприходованы ТМЦ</t>
  </si>
  <si>
    <t>Обл. НДС
Щебінь 20-40
Надходження товарів і послуг ІБ00-000762 від 22.02.2025 20:10:05
Резервуарний парк соєвої меляси (Глобине)</t>
  </si>
  <si>
    <t>Енергія Логістик ТОВ
№28/10-2024 ВІД 28/10/24_Глобине-2
Рахунок на оплату постачальника ІБ00-000661 від 22.02.2025 20:10:04</t>
  </si>
  <si>
    <t>Вимога-накладна ІБ00-000142 від 24.02.2025 10:00:00
Списаны ТМЦ</t>
  </si>
  <si>
    <t>Обл. НДС
Бетон С  8/10 Р4  (-5*)
Надходження товарів і послуг ІБ00-000175 від 20.01.2025 18:00:24
Резервуарний парк соєвої меляси (Глобине)</t>
  </si>
  <si>
    <t>Надходження товарів і послуг ІБ00-000763 від 24.02.2025 23:35:30
Оприходованы ТМЦ</t>
  </si>
  <si>
    <t>Обл. НДС
Щебінь 20-40
Надходження товарів і послуг ІБ00-000763 від 24.02.2025 23:35:30
Резервуарний парк соєвої меляси (Глобине)</t>
  </si>
  <si>
    <t>Енергія Логістик ТОВ
№28/10-2024 ВІД 28/10/24_Глобине-2
Рахунок на оплату постачальника ІБ00-000662 від 24.02.2025 23:35:29</t>
  </si>
  <si>
    <t>Надходження дод. витрат ІБ00-000111 від 24.02.2025 23:35:31
Доп. расходы при поступлении товаров</t>
  </si>
  <si>
    <t>Надходження товарів і послуг ІБ00-000765 від 24.02.2025 23:35:33
Оприходованы ТМЦ</t>
  </si>
  <si>
    <t>Обл. НДС
Щебінь 20-40
Надходження товарів і послуг ІБ00-000765 від 24.02.2025 23:35:33
Резервуарний парк соєвої меляси (Глобине)</t>
  </si>
  <si>
    <t>Енергія Логістик ТОВ
№28/10-2024 ВІД 28/10/24_Глобине-2
Рахунок на оплату постачальника ІБ00-000663 від 24.02.2025 23:35:32</t>
  </si>
  <si>
    <t>Надходження товарів і послуг ІБ00-000726 від 26.02.2025 18:00:28
Оприходованы ТМЦ</t>
  </si>
  <si>
    <t>Обл. НДС
Бетон С20/25 W6 F75 P4 доб-10
Надходження товарів і послуг ІБ00-000726 від 26.02.2025 18:00:28
Резервуарний парк соєвої меляси (Глобине)</t>
  </si>
  <si>
    <t>Кременчуцький річковий порт ПРАТ
Договір 112/Б від 15.10.2024_Глобине-2
Надходження товарів і послуг ІБ00-000726 від 26.02.2025 18:00:28</t>
  </si>
  <si>
    <t>Надходження дод. витрат ІБ00-000100 від 26.02.2025 18:00:29
Доп. расходы при поступлении товаров</t>
  </si>
  <si>
    <t>Кременчуцький річковий порт ПРАТ
Договір 112/Б від 15.10.2024_Глобине-2
Надходження дод. витрат ІБ00-000100 від 26.02.2025 18:00:29</t>
  </si>
  <si>
    <t>Переміщення товарів ІБ00-000172 від 28.02.2025 10:00:00
Перемещение ТМЦ</t>
  </si>
  <si>
    <t>Обл. НДС
Щебінь 20-40
Надходження товарів і послуг ІБ00-000759 від 21.02.2025 18:26:12
Генплан підпірна стінка (Глобине)</t>
  </si>
  <si>
    <t>Обл. НДС
Щебінь 20-40
Надходження товарів і послуг ІБ00-000760 від 21.02.2025 18:26:15
Генплан підпірна стінка (Глобине)</t>
  </si>
  <si>
    <t>Обл. НДС
Щебінь 20-40
Надходження товарів і послуг ІБ00-000761 від 22.02.2025 20:10:02
Генплан підпірна стінка (Глобине)</t>
  </si>
  <si>
    <t>Списання товарів ІБ00-000122 від 28.02.2025 20:00:00
Списаны ТМЦ</t>
  </si>
  <si>
    <t>Вимога-накладна ІБ00-000143 від 28.02.2025 20:00:00
Списаны ТМЦ</t>
  </si>
  <si>
    <t>Надходження товарів і послуг ІБ00-000419 від 04.02.2025 17:50:11
Оприходованы ТМЦ</t>
  </si>
  <si>
    <t>Обл. НДС
Пісок з відсіву дроблення щебеню фр. 0-5мм.
Надходження товарів і послуг ІБ00-000419 від 04.02.2025 17:50:11
СПК (Глобине)</t>
  </si>
  <si>
    <t>Енергія Логістик ТОВ
№28/10-2024 ВІД 28/10/24_Глобине-2
Рахунок на оплату постачальника ІБ00-000365 від 04.02.2025 17:50:10</t>
  </si>
  <si>
    <t>Списання товарів ІБ00-000059 від 05.02.2025 00:00:00
Списаны ТМЦ</t>
  </si>
  <si>
    <t>Вимога-накладна ІБ00-000067 від 05.02.2025 18:15:23
Списаны ТМЦ</t>
  </si>
  <si>
    <t>Обл. НДС
Пісок з відсіву дроблення щебеню фр. 0-5мм.
Надходження товарів і послуг ІБ00-006314 від 17.12.2024 18:00:25
СПК (Глобине)</t>
  </si>
  <si>
    <t>Обл. НДС
Пісок з відсіву дроблення щебеню фр. 0-5мм.
Надходження товарів і послуг ІБ00-006315 від 18.12.2024 18:00:23
СПК (Глобине)</t>
  </si>
  <si>
    <t>Обл. НДС
Пісок з відсіву дроблення щебеню фр. 0-5мм.
Надходження товарів і послуг ІБ00-006355 від 19.12.2024 18:26:23
СПК (Глобине)</t>
  </si>
  <si>
    <t>Обл. НДС
Пісок з відсіву дроблення щебеню фр. 0-5мм.
Надходження товарів і послуг ІБ00-006362 від 20.12.2024 12:00:00
СПК (Глобине)</t>
  </si>
  <si>
    <t>Обл. НДС
Пісок з відсіву дроблення щебеню фр. 0-5мм.
Надходження товарів і послуг ІБ00-000190 від 21.01.2025 18:00:08
СПК (Глобине)</t>
  </si>
  <si>
    <t>Обл. НДС
Пісок з відсіву дроблення щебеню фр. 0-5мм.
Надходження товарів і послуг ІБ00-000201 від 22.01.2025 18:18:35
СПК (Глобине)</t>
  </si>
  <si>
    <t>Обл. НДС
Пісок з відсіву дроблення щебеню фр. 0-5мм.
Надходження товарів і послуг ІБ00-000202 від 22.01.2025 18:18:37
СПК (Глобине)</t>
  </si>
  <si>
    <t>Обл. НДС
Пісок з відсіву дроблення щебеню фр. 0-5мм.
Надходження товарів і послуг ІБ00-000204 від 23.01.2025 18:00:05
СПК (Глобине)</t>
  </si>
  <si>
    <t>Обл. НДС
Пісок з відсіву дроблення щебеню фр. 0-5мм.
Надходження товарів і послуг ІБ00-000205 від 23.01.2025 18:00:07
СПК (Глобине)</t>
  </si>
  <si>
    <t>Обл. НДС
Пісок з відсіву дроблення щебеню фр. 0-5мм.
Надходження товарів і послуг ІБ00-000257 від 27.01.2025 18:19:37
СПК (Глобине)</t>
  </si>
  <si>
    <t>Обл. НДС
Бетон С  8/10 Р4  (-5*)
Надходження товарів і послуг ІБ00-000148 від 17.01.2025 17:59:51
СПК (Глобине)</t>
  </si>
  <si>
    <t>Обл. НДС
Бетон С  8/10 Р4  (-5*)
Надходження товарів і послуг ІБ00-000238 від 24.01.2025 18:00:03
СПК (Глобине)</t>
  </si>
  <si>
    <t>Обл. НДС
Бетон С  8/10 доб-10
Надходження товарів і послуг ІБ00-005899 від 27.11.2024 18:37:16
СПК (Глобине)</t>
  </si>
  <si>
    <t>Обл. НДС
Бетон С20/25 W6 F75 P4
Надходження товарів і послуг ІБ00-000368 від 31.01.2025 16:00:16
СПК (Глобине)</t>
  </si>
  <si>
    <t>Надходження товарів і послуг ІБ00-000456 від 06.02.2025 18:36:09
Оприходованы ТМЦ</t>
  </si>
  <si>
    <t>Обл. НДС
Труба 110/3000 2,7мм тришарова
Надходження товарів і послуг ІБ00-000456 від 06.02.2025 18:36:09
СПК (Глобине)</t>
  </si>
  <si>
    <t>Лук'янець Максим Миколайович ФОП
РАХУНКИ_Глобине 2
Рахунок на оплату постачальника ІБ00-000408 від 03.02.2025 18:10:23</t>
  </si>
  <si>
    <t>Обл. НДС
Коліно 110/90  зн
Надходження товарів і послуг ІБ00-000456 від 06.02.2025 18:36:09
СПК (Глобине)</t>
  </si>
  <si>
    <t>Обл. НДС
Трійник 110/50/90° 
Надходження товарів і послуг ІБ00-000456 від 06.02.2025 18:36:09
СПК (Глобине)</t>
  </si>
  <si>
    <t>Обл. НДС
Трійник 110/110/90° 
Надходження товарів і послуг ІБ00-000456 від 06.02.2025 18:36:09
СПК (Глобине)</t>
  </si>
  <si>
    <t>Обл. НДС
Труба 50/500/1,8 тришар
Надходження товарів і послуг ІБ00-000456 від 06.02.2025 18:36:09
СПК (Глобине)</t>
  </si>
  <si>
    <t>Обл. НДС
Труба 50/3000/1,8 тришар
Надходження товарів і послуг ІБ00-000456 від 06.02.2025 18:36:09
СПК (Глобине)</t>
  </si>
  <si>
    <t>Обл. НДС
Труба 50/2000/1,8 тришар
Надходження товарів і послуг ІБ00-000456 від 06.02.2025 18:36:09
СПК (Глобине)</t>
  </si>
  <si>
    <t>Вимога-накладна ІБ00-000074 від 12.02.2025 18:02:56
Списаны ТМЦ</t>
  </si>
  <si>
    <t>Обл. НДС
Мастика бітумно-каучукова 18 кг
Надходження товарів і послуг ІБ00-006461 від 20.12.2024 18:18:13
СПК (Глобине)</t>
  </si>
  <si>
    <t>Обл. НДС
Розріджувач лакофарб універс 4л (2,8кг)
Надходження товарів і послуг ІБ00-006461 від 20.12.2024 18:18:13
СПК (Глобине)</t>
  </si>
  <si>
    <t>Списання товарів ІБ00-000074 від 20.02.2025 00:00:00
Списаны ТМЦ</t>
  </si>
  <si>
    <t>Вимога-накладна ІБ00-000107 від 20.02.2025 00:00:00
Списаны ТМЦ</t>
  </si>
  <si>
    <t>Обл. НДС
Бетон С  8/10 Р4
Надходження товарів і послуг ІБ00-005688 від 14.11.2024 23:01:12
СПК (Глобине)</t>
  </si>
  <si>
    <t>Обл. НДС
Бетон С  8/10 Р4
Надходження товарів і послуг ІБ00-000364 від 29.01.2025 18:00:25
СПК (Глобине)</t>
  </si>
  <si>
    <t>Вимога-накладна ІБ00-000087 від 20.02.2025 08:54:07
Списаны ТМЦ</t>
  </si>
  <si>
    <t>Обл. НДС
Прокат стальний гарячекатаний круглий ф 10 мм А240 ст3пс
Надходження товарів і послуг ІБ00-005514 від 07.11.2024 17:17:17
СПК (Глобине)</t>
  </si>
  <si>
    <t>Надходження товарів і послуг ІБ00-000606 від 20.02.2025 18:10:55
Оприходованы ТМЦ</t>
  </si>
  <si>
    <t>Обл. НДС
Бетон С20/25 W6 F75 P4 доб-10
Надходження товарів і послуг ІБ00-000606 від 20.02.2025 18:10:55
СПК (Глобине)</t>
  </si>
  <si>
    <t>Кременчуцький річковий порт ПРАТ
Договір 112/Б від 15.10.2024_Глобине-2
Надходження товарів і послуг ІБ00-000606 від 20.02.2025 18:10:55</t>
  </si>
  <si>
    <t>Надходження товарів і послуг ІБ00-000606 від 20.02.2025 18:10:55
Оприходованы ТМЦ (Зачет аванса поставщику)</t>
  </si>
  <si>
    <t>Надходження дод. витрат ІБ00-000089 від 20.02.2025 18:10:56
Доп. расходы при поступлении товаров</t>
  </si>
  <si>
    <t>Кременчуцький річковий порт ПРАТ
Договір 112/Б від 15.10.2024_Глобине-2
Надходження дод. витрат ІБ00-000089 від 20.02.2025 18:10:56</t>
  </si>
  <si>
    <t>Надходження товарів і послуг ІБ00-000727 від 24.02.2025 23:35:26
Оприходованы ТМЦ</t>
  </si>
  <si>
    <t>Обл. НДС
Бетон С20/25 W6 F75 P4 доб-10
Надходження товарів і послуг ІБ00-000727 від 24.02.2025 23:35:26
СПК (Глобине)</t>
  </si>
  <si>
    <t>Кременчуцький річковий порт ПРАТ
Договір 112/Б від 15.10.2024_Глобине-2
Надходження товарів і послуг ІБ00-000727 від 24.02.2025 23:35:26</t>
  </si>
  <si>
    <t>Надходження дод. витрат ІБ00-000101 від 24.02.2025 23:35:27
Доп. расходы при поступлении товаров</t>
  </si>
  <si>
    <t>Кременчуцький річковий порт ПРАТ
Договір 112/Б від 15.10.2024_Глобине-2
Надходження дод. витрат ІБ00-000101 від 24.02.2025 23:35:27</t>
  </si>
  <si>
    <t>Надходження товарів і послуг ІБ00-000829 від 24.02.2025 23:35:37
Оприходованы ТМЦ (Зачет аванса поставщику)</t>
  </si>
  <si>
    <t>Обл. НДС
Ригель Р5 2Р6.3.83-5 L=6740
Надходження товарів і послуг ІБ00-000829 від 24.02.2025 23:35:37
СПК (Глобине)</t>
  </si>
  <si>
    <t>БМЗ БЕТОН ПП
Договір ПП/М 221-2 від 14.01.2025 _Глобино-2
Рахунок на оплату постачальника ІБ00-000358 від 28.01.2025 23:21:44</t>
  </si>
  <si>
    <t>Обл. НДС
Плита ребриста РП1а РП 6.2.65-2 L=6240
Надходження товарів і послуг ІБ00-000829 від 24.02.2025 23:35:37
СПК (Глобине)</t>
  </si>
  <si>
    <t>Обл. НДС
Плита ребриста РП2а РП 6.2.53-2 
Надходження товарів і послуг ІБ00-000829 від 24.02.2025 23:35:37
СПК (Глобине)</t>
  </si>
  <si>
    <t>Надходження товарів і послуг ІБ00-000830 від 24.02.2025 23:35:38
Оприходованы ТМЦ (Зачет аванса поставщику)</t>
  </si>
  <si>
    <t>Обл. НДС
Колона К6н 4КН 48.124-13-3 L=10650
Надходження товарів і послуг ІБ00-000830 від 24.02.2025 23:35:38
СПК (Глобине)</t>
  </si>
  <si>
    <t>Обл. НДС
Колона К7н 4КН 48.124-13-4 L=10650
Надходження товарів і послуг ІБ00-000830 від 24.02.2025 23:35:38
СПК (Глобине)</t>
  </si>
  <si>
    <t>Обл. НДС
Ригель Р5 2Р6.3.83-5 L=6740
Надходження товарів і послуг ІБ00-000830 від 24.02.2025 23:35:38
СПК (Глобине)</t>
  </si>
  <si>
    <t>Обл. НДС
Плита ребриста РП2 РП 6.2.53-2 
Надходження товарів і послуг ІБ00-000830 від 24.02.2025 23:35:38
СПК (Глобине)</t>
  </si>
  <si>
    <t>Надходження дод. витрат ІБ00-000137 від 24.02.2025 23:40:00
Доп. расходы при поступлении товаров (Зачет аванса поставщику)</t>
  </si>
  <si>
    <t>Надходження дод. витрат ІБ00-000138 від 24.02.2025 23:40:00
Доп. расходы при поступлении товаров (Зачет аванса поставщику)</t>
  </si>
  <si>
    <t>Надходження товарів і послуг ІБ00-000827 від 27.02.2025 21:38:53
Оприходованы ТМЦ (Зачет аванса поставщику)</t>
  </si>
  <si>
    <t>Обл. НДС
Плита ребриста РП1а РП 6.2.65-2 L=6240
Надходження товарів і послуг ІБ00-000827 від 27.02.2025 21:38:53
СПК (Глобине)</t>
  </si>
  <si>
    <t>Обл. НДС
Плита перекриття ПП1 3ПГ 12-1АІІІв L=6660
Надходження товарів і послуг ІБ00-000827 від 27.02.2025 21:38:53
СПК (Глобине)</t>
  </si>
  <si>
    <t>Обл. НДС
Плита перекриття ПП2 3ПГ 12-1АІІІв  В=1200 L=6660
Надходження товарів і послуг ІБ00-000827 від 27.02.2025 21:38:53
СПК (Глобине)</t>
  </si>
  <si>
    <t>Надходження товарів і послуг ІБ00-000828 від 27.02.2025 21:38:54
Оприходованы ТМЦ (Зачет аванса поставщику)</t>
  </si>
  <si>
    <t>Обл. НДС
Плита ребриста РП1 РП 6.2.65-2 L=6240
Надходження товарів і послуг ІБ00-000828 від 27.02.2025 21:38:54
СПК (Глобине)</t>
  </si>
  <si>
    <t>Обл. НДС
Плита ребриста РП1а РП 6.2.65-2 L=6240
Надходження товарів і послуг ІБ00-000828 від 27.02.2025 21:38:54
СПК (Глобине)</t>
  </si>
  <si>
    <t>Обл. НДС
Плита перекриття ПП1 3ПГ 12-1АІІІв L=6660
Надходження товарів і послуг ІБ00-000828 від 27.02.2025 21:38:54
СПК (Глобине)</t>
  </si>
  <si>
    <t>Обл. НДС
Плита перекриття ПП2 3ПГ 12-1АІІІв  В=1200 L=6660
Надходження товарів і послуг ІБ00-000828 від 27.02.2025 21:38:54
СПК (Глобине)</t>
  </si>
  <si>
    <t>Надходження дод. витрат ІБ00-000139 від 27.02.2025 22:00:00
Доп. расходы при поступлении товаров (Зачет аванса поставщику)</t>
  </si>
  <si>
    <t>Надходження дод. витрат ІБ00-000140 від 27.02.2025 22:00:00
Доп. расходы при поступлении товаров (Зачет аванса поставщику)</t>
  </si>
  <si>
    <t>Переміщення товарів ІБ00-000174 від 28.02.2025 10:00:00
Перемещение ТМЦ</t>
  </si>
  <si>
    <t>Обл. НДС
Пісок з відсіву дроблення щебеню фр. 0-5мм.
Надходження товарів і послуг ІБ00-000257 від 27.01.2025 18:19:37
Генплан підпірна стінка (Глобине)</t>
  </si>
  <si>
    <t>Надходження товарів і послуг ІБ00-000951 від 28.02.2025 18:00:00
Оприходованы ТМЦ (Зачет аванса поставщику)</t>
  </si>
  <si>
    <t>Обл. НДС
Колона К8н 4КН 48.124-13-5 L=10650
Надходження товарів і послуг ІБ00-000951 від 28.02.2025 18:00:00
СПК (Глобине)</t>
  </si>
  <si>
    <t>Обл. НДС
Колона К9н 4КН 48.124-13-6 L=10650
Надходження товарів і послуг ІБ00-000951 від 28.02.2025 18:00:00
СПК (Глобине)</t>
  </si>
  <si>
    <t>Обл. НДС
Колона К28н 4КН 48.124-13-11 L=10650
Надходження товарів і послуг ІБ00-000951 від 28.02.2025 18:00:00
СПК (Глобине)</t>
  </si>
  <si>
    <t>Обл. НДС
Колона К29н 4КН 48.124-13-12 L=10650
Надходження товарів і послуг ІБ00-000951 від 28.02.2025 18:00:00
СПК (Глобине)</t>
  </si>
  <si>
    <t>Надходження товарів і послуг ІБ00-001010 від 28.02.2025 18:00:00
Оприходованы ТМЦ (Зачет аванса поставщику)</t>
  </si>
  <si>
    <t>Обл. НДС
Плита ребриста РП1 РП 6.2.65-2 L=6240
Надходження товарів і послуг ІБ00-001010 від 28.02.2025 18:00:00
СПК (Глобине)</t>
  </si>
  <si>
    <t>Обл. НДС
Плита ребриста РП1а РП 6.2.65-2 L=6240
Надходження товарів і послуг ІБ00-001010 від 28.02.2025 18:00:00
СПК (Глобине)</t>
  </si>
  <si>
    <t>Обл. НДС
Плита перекриття ПП1 3ПГ 12-1АІІІв L=6660
Надходження товарів і послуг ІБ00-001010 від 28.02.2025 18:00:00
СПК (Глобине)</t>
  </si>
  <si>
    <t>Обл. НДС
Плита перекриття ПП2 3ПГ 12-1АІІІв  В=1200 L=6660
Надходження товарів і послуг ІБ00-001010 від 28.02.2025 18:00:00
СПК (Глобине)</t>
  </si>
  <si>
    <t>Надходження дод. витрат ІБ00-000141 від 28.02.2025 18:10:00
Доп. расходы при поступлении товаров (Зачет аванса поставщику)</t>
  </si>
  <si>
    <t>Надходження дод. витрат ІБ00-000142 від 28.02.2025 18:10:00
Доп. расходы при поступлении товаров (Зачет аванса поставщику)</t>
  </si>
  <si>
    <t>Списання товарів ІБ00-000075 від 28.02.2025 20:00:00
Списаны ТМЦ</t>
  </si>
  <si>
    <t>Вимога-накладна ІБ00-000145 від 28.02.2025 20:00:00
Списаны ТМЦ</t>
  </si>
  <si>
    <t>Надходження товарів і послуг ІБ00-000455 від 04.02.2025 17:50:19
Оприходованы ТМЦ (Зачет аванса поставщику)</t>
  </si>
  <si>
    <t>Обл. НДС
Бункер 24255
Надходження товарів і послуг ІБ00-000455 від 04.02.2025 17:50:19
Цех екстракції (Глобине)</t>
  </si>
  <si>
    <t>ЕЛМАШ ТОВ
Договору №031224П від 03.12.2024_Глобино 2
Рахунок на оплату постачальника ІБ00-000076 від 10.01.2025 18:00:19</t>
  </si>
  <si>
    <t>Обл. НДС
Бункер 24380
Надходження товарів і послуг ІБ00-000455 від 04.02.2025 17:50:19
Цех екстракції (Глобине)</t>
  </si>
  <si>
    <t>Обл. НДС
Бункер 24297
Надходження товарів і послуг ІБ00-000455 від 04.02.2025 17:50:19
Цех екстракції (Глобине)</t>
  </si>
  <si>
    <t>Обл. НДС
Бункер 24379
Надходження товарів і послуг ІБ00-000455 від 04.02.2025 17:50:19
Цех екстракції (Глобине)</t>
  </si>
  <si>
    <t>Надходження товарів і послуг ІБ00-000455 від 04.02.2025 17:50:19
Оприходованы ТМЦ</t>
  </si>
  <si>
    <t>Обл. НДС
Труба 24399
Надходження товарів і послуг ІБ00-000455 від 04.02.2025 17:50:19
Цех екстракції (Глобине)</t>
  </si>
  <si>
    <t>Вимога-накладна ІБ00-000070 від 05.02.2025 18:15:34
Списаны ТМЦ</t>
  </si>
  <si>
    <t>Обл. НДС
Бетон С20/25 W6 F75 P4
Надходження товарів і послуг ІБ00-000368 від 31.01.2025 16:00:16
Цех екстракції (Глобине)</t>
  </si>
  <si>
    <t>Обл. НДС
Кондуктор ростверка Р-7
Надходження товарів і послуг ІБ00-000232 від 24.01.2025 18:00:01
Цех екстракції (Глобине)</t>
  </si>
  <si>
    <t>Обл. НДС
Кондуктор ростверка Р-9
Надходження товарів і послуг ІБ00-000232 від 24.01.2025 18:00:01
Цех екстракції (Глобине)</t>
  </si>
  <si>
    <t>Обл. НДС
Кондуктор ростверка Р-10
Надходження товарів і послуг ІБ00-000232 від 24.01.2025 18:00:01
Цех екстракції (Глобине)</t>
  </si>
  <si>
    <t>Списання товарів ІБ00-000061 від 05.02.2025 18:15:35
Списаны ТМЦ</t>
  </si>
  <si>
    <t>Обл. НДС
Плита OSB 10 мм
Надходження товарів і послуг ІБ00-000072 від 01.01.2025 18:00:10
Цех екстракції (Глобине)</t>
  </si>
  <si>
    <t>Обл. НДС
Шуруп г/к по дереву 3,5*55 мм
Надходження товарів і послуг ІБ00-000110 від 14.01.2025 18:05:22
Цех екстракції (Глобине)</t>
  </si>
  <si>
    <t>Обл. НДС
Шуруп г/к по дереву 4,2*76 мм
Надходження товарів і послуг ІБ00-000110 від 14.01.2025 18:05:22
Цех екстракції (Глобине)</t>
  </si>
  <si>
    <t>Вимога-накладна ІБ00-000071 від 05.02.2025 18:15:40
Списаны ТМЦ</t>
  </si>
  <si>
    <t>Обл. НДС
Болт М12*50 8,8 цб ЧР 
Надходження товарів і послуг ІБ00-006418 від 23.12.2024 17:16:18
Цех екстракції (Глобине)</t>
  </si>
  <si>
    <t>Обл. НДС
Болт М16*55 8,8 цб пр 
Надходження товарів і послуг ІБ00-006418 від 23.12.2024 17:16:18
Цех екстракції (Глобине)</t>
  </si>
  <si>
    <t>Обл. НДС
Болт М16*55 8,8 цб ЧР 
Надходження товарів і послуг ІБ00-006418 від 23.12.2024 17:16:18
Цех екстракції (Глобине)</t>
  </si>
  <si>
    <t>Обл. НДС
Болт М16*60 8,8 цб ЧР 
Надходження товарів і послуг ІБ00-006418 від 23.12.2024 17:16:18
Цех екстракції (Глобине)</t>
  </si>
  <si>
    <t>Обл. НДС
Болт М16*65 8,8 цб ЧР 
Надходження товарів і послуг ІБ00-006418 від 23.12.2024 17:16:18
Цех екстракції (Глобине)</t>
  </si>
  <si>
    <t>Обл. НДС
Болт М20*60  DIN 933 оц
Надходження товарів і послуг ІБ00-000104 від 16.01.2025 17:31:06
Цех екстракції (Глобине)</t>
  </si>
  <si>
    <t>Обл. НДС
Болт М20*60 8,8 цб пр 
Надходження товарів і послуг ІБ00-006418 від 23.12.2024 17:16:18
Цех екстракції (Глобине)</t>
  </si>
  <si>
    <t>Обл. НДС
Болт М20*65 8,8 цб ЧР 
Надходження товарів і послуг ІБ00-006418 від 23.12.2024 17:16:18
Цех екстракції (Глобине)</t>
  </si>
  <si>
    <t>Обл. НДС
Болт М20*70 8,8 цб ЧР 
Надходження товарів і послуг ІБ00-006418 від 23.12.2024 17:16:18
Цех екстракції (Глобине)</t>
  </si>
  <si>
    <t>Обл. НДС
Болт М20-85 8,8 цб ЧР 
Надходження товарів і послуг ІБ00-006418 від 23.12.2024 17:16:18
Цех екстракції (Глобине)</t>
  </si>
  <si>
    <t>Обл. НДС
Гайка М12 8 цб  S18 до кл.м.8.8
Надходження товарів і послуг ІБ00-006418 від 23.12.2024 17:16:18
Цех екстракції (Глобине)</t>
  </si>
  <si>
    <t>Обл. НДС
Гайка М16 8 цб до кл.м.8.8
Надходження товарів і послуг ІБ00-006418 від 23.12.2024 17:16:18
Цех екстракції (Глобине)</t>
  </si>
  <si>
    <t>Обл. НДС
Гайка М20 8 цб до кл.м.8.8
Надходження товарів і послуг ІБ00-006418 від 23.12.2024 17:16:18
Цех екстракції (Глобине)</t>
  </si>
  <si>
    <t>Обл. НДС
Шайба 12 цб 140 HVдо кл.м.4.6-8.8
Надходження товарів і послуг ІБ00-006418 від 23.12.2024 17:16:18
Цех екстракції (Глобине)</t>
  </si>
  <si>
    <t>Обл. НДС
Шайба 16 цб 140HV до кл.м.4.6-8.8
Надходження товарів і послуг ІБ00-006418 від 23.12.2024 17:16:18
Цех екстракції (Глобине)</t>
  </si>
  <si>
    <t>Обл. НДС
Шайба 20 цб 140HV до кл.м.4.6-8.8
Надходження товарів і послуг ІБ00-006418 від 23.12.2024 17:16:18
Цех екстракції (Глобине)</t>
  </si>
  <si>
    <t>Обл. НДС
Стрижень М 12 8.8 1м цб 
Надходження товарів і послуг ІБ00-006418 від 23.12.2024 17:16:18
Цех екстракції (Глобине)</t>
  </si>
  <si>
    <t>Обл. НДС
Болт М24*100 HV БП VARVIT
Надходження товарів і послуг ІБ00-006418 від 23.12.2024 17:16:18
Цех екстракції (Глобине)</t>
  </si>
  <si>
    <t>Обл. НДС
Болт М24*120 HV БП Fram
Надходження товарів і послуг ІБ00-006418 від 23.12.2024 17:16:18
Цех екстракції (Глобине)</t>
  </si>
  <si>
    <t>Обл. НДС
Гайка М24 HV БП Fram
Надходження товарів і послуг ІБ00-006418 від 23.12.2024 17:16:18
Цех екстракції (Глобине)</t>
  </si>
  <si>
    <t>Обл. НДС
Гайка М24 HV БП VARVIT
Надходження товарів і послуг ІБ00-006418 від 23.12.2024 17:16:18
Цех екстракції (Глобине)</t>
  </si>
  <si>
    <t>Обл. НДС
Шайба М24  БП VARVIT 300HV
Надходження товарів і послуг ІБ00-006418 від 23.12.2024 17:16:18
Цех екстракції (Глобине)</t>
  </si>
  <si>
    <t>Обл. НДС
Шайба М24 БП Fram 300HV
Надходження товарів і послуг ІБ00-006418 від 23.12.2024 17:16:18
Цех екстракції (Глобине)</t>
  </si>
  <si>
    <t>Обл. НДС
Гайка М24 6 цб DIN934
Надходження товарів і послуг ІБ00-006056 від 06.12.2024 18:14:28
Цех екстракції (Глобине)</t>
  </si>
  <si>
    <t>Обл. НДС
Гайка М30 6 цб DIN934
Надходження товарів і послуг ІБ00-006056 від 06.12.2024 18:14:28
Цех екстракції (Глобине)</t>
  </si>
  <si>
    <t>Обл. НДС
Гайка М42 6 цб DIN934
Надходження товарів і послуг ІБ00-006056 від 06.12.2024 18:14:28
Цех екстракції (Глобине)</t>
  </si>
  <si>
    <t>Обл. НДС
DIN125-1 Шайба 24 цб 140HV до кл.м. 4.6-8.8
Надходження товарів і послуг ІБ00-006056 від 06.12.2024 18:14:28
Цех екстракції (Глобине)</t>
  </si>
  <si>
    <t>Обл. НДС
DIN125-1 Шайба 30 цб 140HV до кл.м. 4.6-8.8
Надходження товарів і послуг ІБ00-006056 від 06.12.2024 18:14:28
Цех екстракції (Глобине)</t>
  </si>
  <si>
    <t>Обл. НДС
DIN125-1 Шайба 42 цб 140HV до кл.м. 4.6-8.8
Надходження товарів і послуг ІБ00-006056 від 06.12.2024 18:14:28
Цех екстракції (Глобине)</t>
  </si>
  <si>
    <t>Надходження товарів і послуг ІБ00-000520 від 11.02.2025 18:10:01
Оприходованы ТМЦ</t>
  </si>
  <si>
    <t>Обл. НДС
Труба профільна 100*100*5 мм, 12 м
Надходження товарів і послуг ІБ00-000520 від 11.02.2025 18:10:01
Цех екстракції (Глобине)</t>
  </si>
  <si>
    <t>АВ МЕТАЛ ГРУП ТОВ
Дог 2420/Р от 05.10.2023від 05.10.2023_Глобино-2
Рахунок на оплату постачальника ІБ00-000448 від 07.02.2025 20:00:03</t>
  </si>
  <si>
    <t>Вимога-накладна ІБ00-000072 від 13.02.2025 14:59:34
Списаны ТМЦ</t>
  </si>
  <si>
    <t>Надходження товарів і послуг ІБ00-000532 від 13.02.2025 18:04:54
Оприходованы ТМЦ</t>
  </si>
  <si>
    <t>Обл. НДС
Труба профільна 40*40*3,0  L=6000 мм ст1-3 сп/пс
Надходження товарів і послуг ІБ00-000532 від 13.02.2025 18:04:54
Цех екстракції (Глобине)</t>
  </si>
  <si>
    <t>МЕТІНВЕСТ-СМЦ ТОВ
№1778403/01/2023-С от 11.01.2023 РАХУНКИ_Глобино-2
Рахунок на оплату постачальника ІБ00-000460 від 14.02.2025 16:57:40</t>
  </si>
  <si>
    <t>Обл. НДС
Труба профільна 40*40*2 мм;ст.1-3пс; 6м
Надходження товарів і послуг ІБ00-000532 від 13.02.2025 18:04:54
Цех екстракції (Глобине)</t>
  </si>
  <si>
    <t>Надходження товарів і послуг ІБ00-000536 від 13.02.2025 18:05:03
Оприходованы ТМЦ</t>
  </si>
  <si>
    <t>Обл. НДС
Круг г/к 18 мм 6м ст1-3сп/пс
Надходження товарів і послуг ІБ00-000536 від 13.02.2025 18:05:03
Цех екстракції (Глобине)</t>
  </si>
  <si>
    <t>Надходження товарів і послуг ІБ00-000537 від 13.02.2025 18:05:04
Оприходованы ТМЦ</t>
  </si>
  <si>
    <t>Обл. НДС
Кутник 75*75 мм  6,0 мм, S235 JR 12 м
Надходження товарів і послуг ІБ00-000537 від 13.02.2025 18:05:04
Цех екстракції (Глобине)</t>
  </si>
  <si>
    <t>Обл. НДС
Швелер 16П міра  12,00 м
Надходження товарів і послуг ІБ00-000537 від 13.02.2025 18:05:04
Цех екстракції (Глобине)</t>
  </si>
  <si>
    <t>Обл. НДС
швелер № 18П; ст. 3пс5; 12 м
Надходження товарів і послуг ІБ00-000537 від 13.02.2025 18:05:04
Цех екстракції (Глобине)</t>
  </si>
  <si>
    <t>Обл. НДС
Лист г/к  4*1500*6000 мм
Надходження товарів і послуг ІБ00-000537 від 13.02.2025 18:05:04
Цех екстракції (Глобине)</t>
  </si>
  <si>
    <t>Обл. НДС
Лист г/к  6*1500*6000 мм; 1-3 сп/пс, 5 кат.необр.кром
Надходження товарів і послуг ІБ00-000537 від 13.02.2025 18:05:04
Цех екстракції (Глобине)</t>
  </si>
  <si>
    <t>Обл. НДС
Лист г/к 10*1500*6000 мм
Надходження товарів і послуг ІБ00-000537 від 13.02.2025 18:05:04
Цех екстракції (Глобине)</t>
  </si>
  <si>
    <t>Надходження товарів і послуг ІБ00-000540 від 13.02.2025 18:05:06
Оприходованы ТМЦ</t>
  </si>
  <si>
    <t>Обл. НДС
Болт М16*55  DIN 933 8,8 цб пр
Надходження товарів і послуг ІБ00-000540 від 13.02.2025 18:05:06
Цех екстракції (Глобине)</t>
  </si>
  <si>
    <t>Солді і Ко ПАТ
Дог № 378542-55/19 від 21.01.2019 р. РАХ_Глобине-2
Рахунок на оплату постачальника ІБ00-000473 від 06.02.2025 18:36:38</t>
  </si>
  <si>
    <t>Обл. НДС
Болт М16*55  DIN 931 8,8 цб пр
Надходження товарів і послуг ІБ00-000540 від 13.02.2025 18:05:06
Цех екстракції (Глобине)</t>
  </si>
  <si>
    <t>Обл. НДС
Болт М16*60 DIN931
Надходження товарів і послуг ІБ00-000540 від 13.02.2025 18:05:06
Цех екстракції (Глобине)</t>
  </si>
  <si>
    <t>Обл. НДС
Болт М16*65  з шест.голівкою пов.різьба цб
Надходження товарів і послуг ІБ00-000540 від 13.02.2025 18:05:06
Цех екстракції (Глобине)</t>
  </si>
  <si>
    <t>Обл. НДС
Болт М16*70  DIN 931
Надходження товарів і послуг ІБ00-000540 від 13.02.2025 18:05:06
Цех екстракції (Глобине)</t>
  </si>
  <si>
    <t>Обл. НДС
Болт М16*80  DIN 931
Надходження товарів і послуг ІБ00-000540 від 13.02.2025 18:05:06
Цех екстракції (Глобине)</t>
  </si>
  <si>
    <t>Обл. НДС
Гайка М16 8 цб
Надходження товарів і послуг ІБ00-000540 від 13.02.2025 18:05:06
Цех екстракції (Глобине)</t>
  </si>
  <si>
    <t>Обл. НДС
Шайба 16  DIN125
Надходження товарів і послуг ІБ00-000540 від 13.02.2025 18:05:06
Цех екстракції (Глобине)</t>
  </si>
  <si>
    <t>Обл. НДС
Болт М20*75
Надходження товарів і послуг ІБ00-000540 від 13.02.2025 18:05:06
Цех екстракції (Глобине)</t>
  </si>
  <si>
    <t>Обл. НДС
Гайка М20
Надходження товарів і послуг ІБ00-000540 від 13.02.2025 18:05:06
Цех екстракції (Глобине)</t>
  </si>
  <si>
    <t>Обл. НДС
Шайба М20
Надходження товарів і послуг ІБ00-000540 від 13.02.2025 18:05:06
Цех екстракції (Глобине)</t>
  </si>
  <si>
    <t>Обл. НДС
Болт М20*65  DIN 931
Надходження товарів і послуг ІБ00-000540 від 13.02.2025 18:05:06
Цех екстракції (Глобине)</t>
  </si>
  <si>
    <t>Обл. НДС
Болт М20*70  DIN 931
Надходження товарів і послуг ІБ00-000540 від 13.02.2025 18:05:06
Цех екстракції (Глобине)</t>
  </si>
  <si>
    <t>Обл. НДС
Болт М20*75  DIN 931 цб
Надходження товарів і послуг ІБ00-000540 від 13.02.2025 18:05:06
Цех екстракції (Глобине)</t>
  </si>
  <si>
    <t>Обл. НДС
Болт М20*80  DIN 931
Надходження товарів і послуг ІБ00-000540 від 13.02.2025 18:05:06
Цех екстракції (Глобине)</t>
  </si>
  <si>
    <t>Обл. НДС
Болт М20*85  DIN 931
Надходження товарів і послуг ІБ00-000540 від 13.02.2025 18:05:06
Цех екстракції (Глобине)</t>
  </si>
  <si>
    <t>Обл. НДС
Болт М20*140  DIN 931
Надходження товарів і послуг ІБ00-000540 від 13.02.2025 18:05:06
Цех екстракції (Глобине)</t>
  </si>
  <si>
    <t>Обл. НДС
Болт М20*150  DIN 931
Надходження товарів і послуг ІБ00-000540 від 13.02.2025 18:05:06
Цех екстракції (Глобине)</t>
  </si>
  <si>
    <t>Обл. НДС
Шайба 20  DIN125 цб
Надходження товарів і послуг ІБ00-000540 від 13.02.2025 18:05:06
Цех екстракції (Глобине)</t>
  </si>
  <si>
    <t>Обл. НДС
Болт М20*65
Надходження товарів і послуг ІБ00-000540 від 13.02.2025 18:05:06
Цех екстракції (Глобине)</t>
  </si>
  <si>
    <t>Обл. НДС
Болт М20*70  DIN 6914
Надходження товарів і послуг ІБ00-000540 від 13.02.2025 18:05:06
Цех екстракції (Глобине)</t>
  </si>
  <si>
    <t>Обл. НДС
Болт М20*70  ЕN14399/4
Надходження товарів і послуг ІБ00-000540 від 13.02.2025 18:05:06
Цех екстракції (Глобине)</t>
  </si>
  <si>
    <t>Обл. НДС
Болт М20*90  ЕN14399/4
Надходження товарів і послуг ІБ00-000540 від 13.02.2025 18:05:06
Цех екстракції (Глобине)</t>
  </si>
  <si>
    <t>Обл. НДС
Болт М20*95  ЕN14399/4
Надходження товарів і послуг ІБ00-000540 від 13.02.2025 18:05:06
Цех екстракції (Глобине)</t>
  </si>
  <si>
    <t>Обл. НДС
Гайка М20 ЕN14399/4 гц
Надходження товарів і послуг ІБ00-000540 від 13.02.2025 18:05:06
Цех екстракції (Глобине)</t>
  </si>
  <si>
    <t>Обл. НДС
Гайка М20 ЕN14399/4 бп
Надходження товарів і послуг ІБ00-000540 від 13.02.2025 18:05:06
Цех екстракції (Глобине)</t>
  </si>
  <si>
    <t>Обл. НДС
Шайба М20 ЕN14399/4 гц
Надходження товарів і послуг ІБ00-000540 від 13.02.2025 18:05:06
Цех екстракції (Глобине)</t>
  </si>
  <si>
    <t>Надходження товарів і послуг ІБ00-000718 від 18.02.2025 20:00:45
Оприходованы ТМЦ</t>
  </si>
  <si>
    <t>Обл. НДС
Труба 100х100х5 мм; ст. 3пс5; 12 м
Надходження товарів і послуг ІБ00-000718 від 18.02.2025 20:00:45
Цех екстракції (Глобине)</t>
  </si>
  <si>
    <t>МЕТІНВЕСТ-СМЦ ТОВ
№1778403/01/2023-С от 11.01.2023 РАХУНКИ_Глобино-2
Рахунок на оплату постачальника ІБ00-000648 від 19.02.2025 18:22:44</t>
  </si>
  <si>
    <t>Обл. НДС
Труба 160х160x5 (12,05-8940:2019 08кп/1-3пс)
Надходження товарів і послуг ІБ00-000718 від 18.02.2025 20:00:45
Цех екстракції (Глобине)</t>
  </si>
  <si>
    <t>Надходження товарів і послуг ІБ00-000720 від 18.02.2025 20:00:46
Оприходованы ТМЦ</t>
  </si>
  <si>
    <t>МЕТІНВЕСТ-СМЦ ТОВ
№1778403/01/2023-С от 11.01.2023 РАХУНКИ_Глобино-2
Рахунок на оплату постачальника ІБ00-000646 від 20.02.2025 18:11:43</t>
  </si>
  <si>
    <t>Обл. НДС
Кутики 100х100х7 мм; ст. 3пс5; 12 м
Надходження товарів і послуг ІБ00-000720 від 18.02.2025 20:00:46
Цех екстракції (Глобине)</t>
  </si>
  <si>
    <t>Обл. НДС
Лист  4*1500*6000 3 сп/пс 5
Надходження товарів і послуг ІБ00-000720 від 18.02.2025 20:00:46
Цех екстракції (Глобине)</t>
  </si>
  <si>
    <t>Обл. НДС
Лист г/к  6*1500*6000 1-3 сп/пс
Надходження товарів і послуг ІБ00-000720 від 18.02.2025 20:00:46
Цех екстракції (Глобине)</t>
  </si>
  <si>
    <t>Обл. НДС
Лист г/к  8*1500*6000 1-3 сп/пс
Надходження товарів і послуг ІБ00-000720 від 18.02.2025 20:00:46
Цех екстракції (Глобине)</t>
  </si>
  <si>
    <t>Обл. НДС
Лист 12*1500*6000 3 сп/пс5
Надходження товарів і послуг ІБ00-000720 від 18.02.2025 20:00:46
Цех екстракції (Глобине)</t>
  </si>
  <si>
    <t>Обл. НДС
Лист г/к 20*2000*6000, 1-3 пс/сп 5 кат.
Надходження товарів і послуг ІБ00-000720 від 18.02.2025 20:00:46
Цех екстракції (Глобине)</t>
  </si>
  <si>
    <t>Обл. НДС
Лист г/к 10*1500*6000 1-3 сп/пс
Надходження товарів і послуг ІБ00-000720 від 18.02.2025 20:00:46
Цех екстракції (Глобине)</t>
  </si>
  <si>
    <t>Надходження товарів і послуг ІБ00-000721 від 18.02.2025 20:00:47
Оприходованы ТМЦ</t>
  </si>
  <si>
    <t>Обл. НДС
Лист  4*1500*6000 мм, ст.3пс5
Надходження товарів і послуг ІБ00-000721 від 18.02.2025 20:00:47
Цех екстракції (Глобине)</t>
  </si>
  <si>
    <t>Обл. НДС
Лист г/к  6*1500*6000 1-3 сп/пс
Надходження товарів і послуг ІБ00-000721 від 18.02.2025 20:00:47
Цех екстракції (Глобине)</t>
  </si>
  <si>
    <t>Обл. НДС
Лист г/к  8*1500*6000 1-3 сп/пс
Надходження товарів і послуг ІБ00-000721 від 18.02.2025 20:00:47
Цех екстракції (Глобине)</t>
  </si>
  <si>
    <t>Обл. НДС
Лист г/к 14*2000*12000, 1-3 пс/сп 5 кат.
Надходження товарів і послуг ІБ00-000721 від 18.02.2025 20:00:47
Цех екстракції (Глобине)</t>
  </si>
  <si>
    <t>Обл. НДС
Лист г/к 18*2000*6000, S235 JR
Надходження товарів і послуг ІБ00-000721 від 18.02.2025 20:00:47
Цех екстракції (Глобине)</t>
  </si>
  <si>
    <t>Вимога-накладна ІБ00-000075 від 19.02.2025 15:58:40
Списаны ТМЦ</t>
  </si>
  <si>
    <t>Обл. НДС
Труба 159*4 
Надходження товарів і послуг ІБ00-000060 від 10.01.2025 18:00:10
Цех екстракції (Глобине)</t>
  </si>
  <si>
    <t>Обл. НДС
Труба 325*8,0  
Надходження товарів і послуг ІБ00-000060 від 10.01.2025 18:00:10
Цех екстракції (Глобине)</t>
  </si>
  <si>
    <t>Вимога-накладна ІБ00-000076 від 19.02.2025 17:00:25
Списаны ТМЦ</t>
  </si>
  <si>
    <t>Обл. НДС
Лист г/к  4*1500*6000 мм
Надходження товарів і послуг ІБ00-005335 від 29.10.2024 22:00:09
Цех екстракції (Глобине)</t>
  </si>
  <si>
    <t>Обл. НДС
Лист г/к  4,0 мм 1500х6000, S235JR
Надходження товарів і послуг ІБ00-006404 від 23.12.2024 17:16:10
Цех екстракції (Глобине)</t>
  </si>
  <si>
    <t>Обл. НДС
Лист г/к 4,0 мм 1500*6000, S235 JR
Надходження товарів і послуг ІБ00-006503 від 30.12.2024 12:00:00
Цех екстракції (Глобине)</t>
  </si>
  <si>
    <t>Обл. НДС
Лист г/к 12,0 мм 1500*6000, S235 JR
Надходження товарів і послуг ІБ00-000275 від 22.01.2025 19:00:25
Цех екстракції (Глобине)</t>
  </si>
  <si>
    <t>Обл. НДС
Лист г/к 20,0 мм 2000*6000, S235 JR
Надходження товарів і послуг ІБ00-006501 від 30.12.2024 12:00:00
Цех екстракції (Глобине)</t>
  </si>
  <si>
    <t>Надходження товарів і послуг ІБ00-000589 від 19.02.2025 18:22:16
Оприходованы ТМЦ</t>
  </si>
  <si>
    <t>Обл. НДС
Бетон С20/25 W6 F75 P4 доб-10
Надходження товарів і послуг ІБ00-000589 від 19.02.2025 18:22:16
Цех екстракції (Глобине)</t>
  </si>
  <si>
    <t>Кременчуцький річковий порт ПРАТ
Договір 112/Б від 15.10.2024_Глобине-2
Надходження товарів і послуг ІБ00-000589 від 19.02.2025 18:22:16</t>
  </si>
  <si>
    <t>Надходження дод. витрат ІБ00-000088 від 19.02.2025 18:22:17
Доп. расходы при поступлении товаров</t>
  </si>
  <si>
    <t>Кременчуцький річковий порт ПРАТ
Договір 112/Б від 15.10.2024_Глобине-2
Надходження дод. витрат ІБ00-000088 від 19.02.2025 18:22:17</t>
  </si>
  <si>
    <t>Надходження товарів і послуг ІБ00-000716 від 19.02.2025 18:22:45
Оприходованы ТМЦ</t>
  </si>
  <si>
    <t>Обл. НДС
Труба  40*40*3 мм  08кп/1-3 пс, L=6 м
Надходження товарів і послуг ІБ00-000716 від 19.02.2025 18:22:45
Цех екстракції (Глобине)</t>
  </si>
  <si>
    <t>Обл. НДС
Труба профільна 80*80*4 L=12 м
Надходження товарів і послуг ІБ00-000716 від 19.02.2025 18:22:45
Цех екстракції (Глобине)</t>
  </si>
  <si>
    <t>Обл. НДС
Труба 40*20*2  L=6 м стS235JRH
Надходження товарів і послуг ІБ00-000716 від 19.02.2025 18:22:45
Цех екстракції (Глобине)</t>
  </si>
  <si>
    <t>Надходження товарів і послуг ІБ00-000717 від 19.02.2025 18:22:46
Оприходованы ТМЦ</t>
  </si>
  <si>
    <t>Обл. НДС
Кутник 75*75 мм  6,0 мм, S235 JR 12 м
Надходження товарів і послуг ІБ00-000717 від 19.02.2025 18:22:46
Цех екстракції (Глобине)</t>
  </si>
  <si>
    <t>Обл. НДС
Кутики 100х100х7 мм; ст. 3пс5; 12 м
Надходження товарів і послуг ІБ00-000717 від 19.02.2025 18:22:46
Цех екстракції (Глобине)</t>
  </si>
  <si>
    <t>Обл. НДС
Швелер 20П L= 12м
Надходження товарів і послуг ІБ00-000717 від 19.02.2025 18:22:46
Цех екстракції (Глобине)</t>
  </si>
  <si>
    <t>Обл. НДС
Лист г/к 12*1500*6000 мм 3 пс
Надходження товарів і послуг ІБ00-000717 від 19.02.2025 18:22:46
Цех екстракції (Глобине)</t>
  </si>
  <si>
    <t>Надходження товарів і послуг ІБ00-000719 від 19.02.2025 18:22:47
Оприходованы ТМЦ</t>
  </si>
  <si>
    <t>Обл. НДС
Труба 100х100х5 мм; ст. 3пс5; 12 м
Надходження товарів і послуг ІБ00-000719 від 19.02.2025 18:22:47
Цех екстракції (Глобине)</t>
  </si>
  <si>
    <t>Надходження товарів і послуг ІБ00-000722 від 19.02.2025 18:22:48
Оприходованы ТМЦ</t>
  </si>
  <si>
    <t>Обл. НДС
Швелер 20П міра 12,00 м 
Надходження товарів і послуг ІБ00-000722 від 19.02.2025 18:22:48
Цех екстракції (Глобине)</t>
  </si>
  <si>
    <t>Обл. НДС
Лист г/к 14*1500*6000, 1-3 пс/сп 5 кат
Надходження товарів і послуг ІБ00-000722 від 19.02.2025 18:22:48
Цех екстракції (Глобине)</t>
  </si>
  <si>
    <t>Обл. НДС
Лист г/к 16*1500*6000 мм; ст.3 сп/пс 5 кат.необр.кромка
Надходження товарів і послуг ІБ00-000722 від 19.02.2025 18:22:48
Цех екстракції (Глобине)</t>
  </si>
  <si>
    <t>Надходження товарів і послуг ІБ00-000723 від 19.02.2025 18:22:50
Оприходованы ТМЦ</t>
  </si>
  <si>
    <t>Обл. НДС
Лист г/к 16*1500*6000 мм; ст.3 сп/пс 5 кат.необр.кромка
Надходження товарів і послуг ІБ00-000723 від 19.02.2025 18:22:50
Цех екстракції (Глобине)</t>
  </si>
  <si>
    <t>МЕТІНВЕСТ-СМЦ ТОВ
№1778403/01/2023-С от 11.01.2023 РАХУНКИ_Глобино-2
Рахунок на оплату постачальника ІБ00-000649 від 19.02.2025 18:22:49</t>
  </si>
  <si>
    <t>Надходження товарів і послуг ІБ00-000724 від 19.02.2025 18:22:51
Оприходованы ТМЦ</t>
  </si>
  <si>
    <t>Обл. НДС
Труба профільна 40*40*3,0  L=6000 мм ст1-3 сп/пс
Надходження товарів і послуг ІБ00-000724 від 19.02.2025 18:22:51
Цех екстракції (Глобине)</t>
  </si>
  <si>
    <t>Обл. НДС
Труба 40*20*2  L=6 м стS235JRH
Надходження товарів і послуг ІБ00-000724 від 19.02.2025 18:22:51
Цех екстракції (Глобине)</t>
  </si>
  <si>
    <t>Списання товарів ІБ00-000078 від 20.02.2025 00:00:00
Списаны ТМЦ</t>
  </si>
  <si>
    <t>Обл. НДС
Дріт 1,2 мм Н-О-Ч
Надходження товарів і послуг ІБ00-000069 від 13.01.2025 17:25:04
Цех екстракції (Глобине)</t>
  </si>
  <si>
    <t>Вимога-накладна ІБ00-000108 від 20.02.2025 00:00:00
Списаны ТМЦ</t>
  </si>
  <si>
    <t>Вимога-накладна ІБ00-000114 від 20.02.2025 00:00:00
Списаны ТМЦ</t>
  </si>
  <si>
    <t>Обл. НДС
Труба профільна100х100 мм 5,0 мм, 12 м
Надходження товарів і послуг ІБ00-006404 від 23.12.2024 17:16:10
Цех екстракції (Глобине)</t>
  </si>
  <si>
    <t>Обл. НДС
Балка 20 ІРЕ200 12м S275JR
Надходження товарів і послуг ІБ00-005333 від 28.10.2024 17:55:20
Цех екстракції (Глобине)</t>
  </si>
  <si>
    <t>Обл. НДС
Балка 20 ІРЕ200 12м S275JR
Надходження товарів і послуг ІБ00-006504 від 30.12.2024 12:00:00
Цех екстракції (Глобине)</t>
  </si>
  <si>
    <t>Обл. НДС
Балка 20 ІРЕ200 12м S275JR
Надходження товарів і послуг ІБ00-000378 від 28.01.2025 23:21:42
Цех екстракції (Глобине)</t>
  </si>
  <si>
    <t>Обл. НДС
Швелер 16П  7216
Надходження товарів і послуг ІБ00-005352 від 30.10.2024 20:04:12
Цех екстракції (Глобине)</t>
  </si>
  <si>
    <t>Обл. НДС
Швелер 24П міра 12,00 м 
Надходження товарів і послуг ІБ00-006404 від 23.12.2024 17:16:10
Цех екстракції (Глобине)</t>
  </si>
  <si>
    <t>Обл. НДС
Швелер 24П ст.3сп/пс 5, 12 м
Надходження товарів і послуг ІБ00-000178 від 16.01.2025 17:55:14
Цех екстракції (Глобине)</t>
  </si>
  <si>
    <t>Обл. НДС
Швелер 24П/У ст.1-3сп/пс 5, 12м
Надходження товарів і послуг ІБ00-005352 від 30.10.2024 20:04:12
Цех екстракції (Глобине)</t>
  </si>
  <si>
    <t>Обл. НДС
Лист г/к  4,0*1500*6000 мм; ст.3 сп/пс 5 кат.необ.кр.
Надходження товарів і послуг ІБ00-000181 від 15.01.2025 22:00:08
Цех екстракції (Глобине)</t>
  </si>
  <si>
    <t>Обл. НДС
Лист г/к  6*1500*6000 1-3 сп/пс
Надходження товарів і послуг ІБ00-005335 від 29.10.2024 22:00:09
Цех екстракції (Глобине)</t>
  </si>
  <si>
    <t>Обл. НДС
Лист г/к  8*1500*6000 1-3 сп/пс
Надходження товарів і послуг ІБ00-005335 від 29.10.2024 22:00:09
Цех екстракції (Глобине)</t>
  </si>
  <si>
    <t>Обл. НДС
Лист г/к  8*1500*6000 мм; ст.3 сп/пс 5 кат.необр.кромка
Надходження товарів і послуг ІБ00-000181 від 15.01.2025 22:00:08
Цех екстракції (Глобине)</t>
  </si>
  <si>
    <t>Вимога-накладна ІБ00-000085 від 20.02.2025 18:11:02
Списаны ТМЦ</t>
  </si>
  <si>
    <t>Надходження товарів і послуг ІБ00-000712 від 20.02.2025 18:11:44
Оприходованы ТМЦ</t>
  </si>
  <si>
    <t>Обл. НДС
Швелер 22П ст.1-3сп/пс 5, L= 12м
Надходження товарів і послуг ІБ00-000712 від 20.02.2025 18:11:44
Цех екстракції (Глобине)</t>
  </si>
  <si>
    <t>Обл. НДС
Швелер 24П міра 12,00 м 
Надходження товарів і послуг ІБ00-000712 від 20.02.2025 18:11:44
Цех екстракції (Глобине)</t>
  </si>
  <si>
    <t>Обл. НДС
Лист г/к 30*2000*6000, 1-3пс/сп 5 кат.
Надходження товарів і послуг ІБ00-000712 від 20.02.2025 18:11:44
Цех екстракції (Глобине)</t>
  </si>
  <si>
    <t>Надходження товарів і послуг ІБ00-000713 від 20.02.2025 18:11:45
Оприходованы ТМЦ</t>
  </si>
  <si>
    <t>Обл. НДС
Швелер 16 ст.3 пс 5, 12м
Надходження товарів і послуг ІБ00-000713 від 20.02.2025 18:11:45
Цех екстракції (Глобине)</t>
  </si>
  <si>
    <t>Обл. НДС
Швелер 22П ст.1-3сп/пс 5, L= 12м
Надходження товарів і послуг ІБ00-000713 від 20.02.2025 18:11:45
Цех екстракції (Глобине)</t>
  </si>
  <si>
    <t>Обл. НДС
Лист г/к 10*1500*6000 1-3 сп/пс
Надходження товарів і послуг ІБ00-000713 від 20.02.2025 18:11:45
Цех екстракції (Глобине)</t>
  </si>
  <si>
    <t>Надходження товарів і послуг ІБ00-000714 від 21.02.2025 18:25:55
Оприходованы ТМЦ</t>
  </si>
  <si>
    <t>Обл. НДС
Лист г/к 14*1500*6000, 1-3 пс/сп 5 кат
Надходження товарів і послуг ІБ00-000714 від 21.02.2025 18:25:55
Цех екстракції (Глобине)</t>
  </si>
  <si>
    <t>МЕТІНВЕСТ-СМЦ ТОВ
№1778403/01/2023-С от 11.01.2023 РАХУНКИ_Глобино-2
Рахунок на оплату постачальника ІБ00-000647 від 21.02.2025 18:25:54</t>
  </si>
  <si>
    <t>Обл. НДС
Лист г/к 16*1500*6000 мм 3 пс
Надходження товарів і послуг ІБ00-000714 від 21.02.2025 18:25:55
Цех екстракції (Глобине)</t>
  </si>
  <si>
    <t>Надходження товарів і послуг ІБ00-000715 від 21.02.2025 18:25:56
Оприходованы ТМЦ</t>
  </si>
  <si>
    <t>Обл. НДС
Лист г/к 30*2000*6000, 1-3пс/сп 5 кат.
Надходження товарів і послуг ІБ00-000715 від 21.02.2025 18:25:56
Цех екстракції (Глобине)</t>
  </si>
  <si>
    <t>Обл. НДС
Лист г/к 16*1500*6000 мм 3 пс
Надходження товарів і послуг ІБ00-000715 від 21.02.2025 18:25:56
Цех екстракції (Глобине)</t>
  </si>
  <si>
    <t>Надходження товарів і послуг ІБ00-000725 від 27.02.2025 20:32:07
Оприходованы ТМЦ</t>
  </si>
  <si>
    <t>Обл. НДС
Бетон С20/25 W6 F75 P4 доб-10
Надходження товарів і послуг ІБ00-000725 від 27.02.2025 20:32:07
Цех екстракції (Глобине)</t>
  </si>
  <si>
    <t>Кременчуцький річковий порт ПРАТ
Договір 112/Б від 15.10.2024_Глобине-2
Надходження товарів і послуг ІБ00-000725 від 27.02.2025 20:32:07</t>
  </si>
  <si>
    <t>Надходження дод. витрат ІБ00-000099 від 27.02.2025 20:35:00
Доп. расходы при поступлении товаров</t>
  </si>
  <si>
    <t>Кременчуцький річковий порт ПРАТ
Договір 112/Б від 15.10.2024_Глобине-2
Надходження дод. витрат ІБ00-000099 від 27.02.2025 20:35:00</t>
  </si>
  <si>
    <t>Вимога-накладна ІБ00-000084 від 27.02.2025 21:38:39
Списаны ТМЦ</t>
  </si>
  <si>
    <t>Переміщення товарів ІБ00-000173 від 28.02.2025 10:00:00
Перемещение ТМЦ</t>
  </si>
  <si>
    <t>Обл. НДС
Щебінь 20-40
Надходження товарів і послуг ІБ00-006317 від 18.12.2024 18:00:25
Генплан підпірна стінка (Глобине)</t>
  </si>
  <si>
    <t>Вимога-накладна ІБ00-000156 від 28.02.2025 20:00:00
Списаны ТМЦ</t>
  </si>
  <si>
    <t>Обл. НДС
Труба профільна 120*120*5 L=12000 мм стS235JRH
Надходження товарів і послуг ІБ00-000146 від 15.01.2025 22:00:01
Цех екстракції (Глобине)</t>
  </si>
  <si>
    <t>Обл. НДС
Труба 160*160*5  ст 1-3 пс , L=12 м
Надходження товарів і послуг ІБ00-000177 від 17.01.2025 19:00:04
Цех екстракції (Глобине)</t>
  </si>
  <si>
    <t>Обл. НДС
Лист г/к 10*2000*12000, 1-3пс/сп 5 кат.
Надходження товарів і послуг ІБ00-000181 від 15.01.2025 22:00:08
Цех екстракції (Глобине)</t>
  </si>
  <si>
    <t>Вимога-накладна ІБ00-000157 від 28.02.2025 20:00:00
Списаны ТМЦ</t>
  </si>
  <si>
    <t>Обл. НДС
Лист г/к 10,0 мм 1500*6000, S235 JR
Надходження товарів і послуг ІБ00-006503 від 30.12.2024 12:00:00
Цех екстракції (Глобине)</t>
  </si>
  <si>
    <t>Обл. НДС
Лист г/к 30*1500*6000 мм обр кромка
Надходження товарів і послуг ІБ00-005335 від 29.10.2024 22:00:09
Цех екстракції (Глобине)</t>
  </si>
  <si>
    <t>Обл. НДС
Лист г/к 30*1500*6000 мм необр кромка
Надходження товарів і послуг ІБ00-005335 від 29.10.2024 22:00:09
Цех екстракції (Глобине)</t>
  </si>
  <si>
    <t>Обл. НДС
Лист г/к 30,0 мм 1500*6000, S235 JR
Надходження товарів і послуг ІБ00-000146 від 15.01.2025 22:00:01
Цех екстракції (Глобине)</t>
  </si>
  <si>
    <t>Обл. НДС
Лист г/к 30*1500*6000 мм необр кромка
Надходження товарів і послуг ІБ00-000178 від 16.01.2025 17:55:14
Цех екстракції (Глобине)</t>
  </si>
  <si>
    <t>Вимога-накладна ІБ00-000158 від 28.02.2025 20:00:00
Списаны ТМЦ</t>
  </si>
  <si>
    <t>Обл. НДС
Лист г/к 18*1500*6000, S235 JR
Надходження товарів і послуг ІБ00-000275 від 22.01.2025 19:00:25
Цех екстракції (Глобине)</t>
  </si>
  <si>
    <t>Обл. НДС
Лист г/к 18*2000*6000, S235 JR
Надходження товарів і послуг ІБ00-005330 від 29.10.2024 22:00:05
Цех екстракції (Глобине)</t>
  </si>
  <si>
    <t>Вимога-накладна ІБ00-000159 від 28.02.2025 20:00:00
Списаны ТМЦ</t>
  </si>
  <si>
    <t>Обл. НДС
Лист г/к  6*1500*6000 мм ст.3сп5
Надходження товарів і послуг ІБ00-000178 від 16.01.2025 17:55:14
Цех екстракції (Глобине)</t>
  </si>
  <si>
    <t>Обл. НДС
Лист г/к  6*1500*6000 1-3 сп/пс
Надходження товарів і послуг ІБ00-005544 від 07.11.2024 17:17:34
Цех екстракції (Глобине)</t>
  </si>
  <si>
    <t>Обл. НДС
Лист г/к 14,0 мм 1500х6000, S235JR (7208519800)
Надходження товарів і послуг ІБ00-006404 від 23.12.2024 17:16:10
Цех екстракції (Глобине)</t>
  </si>
  <si>
    <t>Обл. НДС
Лист г/к 20*1500*6000, S355J2
Надходження товарів і послуг ІБ00-000179 від 16.01.2025 17:55:15
Цех екстракції (Глобине)</t>
  </si>
  <si>
    <t>Обл. НДС
Лист г/к 20*1500*6000, S355J2
Надходження товарів і послуг ІБ00-000180 від 17.01.2025 19:00:05
Цех екстракції (Глобине)</t>
  </si>
  <si>
    <t>Обл. НДС
Лист г/к 30*2000*6000, 1-3пс/сп 5 кат.
Надходження товарів і послуг ІБ00-005544 від 07.11.2024 17:17:34
Цех екстракції (Глобине)</t>
  </si>
  <si>
    <t>Обл. НДС
Лист г/к 40*1500*6000, S355JR
Надходження товарів і послуг ІБ00-000146 від 15.01.2025 22:00:01
Цех екстракції (Глобине)</t>
  </si>
  <si>
    <t>Надходження дод. витрат ІБ00-000087 від 07.02.2025 00:00:00
Доп. расходы при поступлении товаров</t>
  </si>
  <si>
    <t>Обл. НДС
Кутник 63х63х6
Надходження товарів і послуг ІБ00-000587 від 07.02.2025 20:00:11
Цех_Глобино</t>
  </si>
  <si>
    <t>МЕТАЛ ХОЛДІНГ ТРЕЙД ТОВ
Договір 01/467/24 від 06.09.2024_Глобине-2
Рахунок на оплату постачальника ІБ00-000447 від 04.02.2025 18:00:07</t>
  </si>
  <si>
    <t>Обл. НДС
Швелер 16У (160 12,05- 8240 3пс)
Надходження товарів і послуг ІБ00-000587 від 07.02.2025 20:00:11
Цех_Глобино</t>
  </si>
  <si>
    <t>Обл. НДС
Швелер 20П
Надходження товарів і послуг ІБ00-000587 від 07.02.2025 20:00:11
Цех_Глобино</t>
  </si>
  <si>
    <t>Обл. НДС
Швелер 24П ст.3сп/пс 5, 12 м
Надходження товарів і послуг ІБ00-000587 від 07.02.2025 20:00:11
Цех_Глобино</t>
  </si>
  <si>
    <t>Обл. НДС
Швелер 30П міра 12,00 м 
Надходження товарів і послуг ІБ00-000587 від 07.02.2025 20:00:11
Цех_Глобино</t>
  </si>
  <si>
    <t>Обл. НДС
Лист 4 (г.к)  (1,5х6) ((1,5*6,0) 14637 3сп5)
Надходження товарів і послуг ІБ00-000587 від 07.02.2025 20:00:11
Цех_Глобино</t>
  </si>
  <si>
    <t>Обл. НДС
Лист г/к 10*2000*6000, 1-3пс/сп 5 кат.
Надходження товарів і послуг ІБ00-000587 від 07.02.2025 20:00:11
Цех_Глобино</t>
  </si>
  <si>
    <t>Обл. НДС
Лист г/к 20*1500*6000, S355J2
Надходження товарів і послуг ІБ00-000587 від 07.02.2025 20:00:11
Цех_Глобино</t>
  </si>
  <si>
    <t>Обл. НДС
Лист г/к 30, S355J2
Надходження товарів і послуг ІБ00-000587 від 07.02.2025 20:00:11
Цех_Глобино</t>
  </si>
  <si>
    <t>Обл. НДС
Балка 30
Надходження товарів і послуг ІБ00-000587 від 07.02.2025 20:00:11
Цех_Глобино</t>
  </si>
  <si>
    <t>Обл. НДС
Труба 60х60х4,0мм МІРА 6м
Надходження товарів і послуг ІБ00-000587 від 07.02.2025 20:00:11
Цех_Глобино</t>
  </si>
  <si>
    <t>Обл. НДС
Труба 80х80х4 (12,05- 8940:2019 08кп/1-3пс)
Надходження товарів і послуг ІБ00-000587 від 07.02.2025 20:00:11
Цех_Глобино</t>
  </si>
  <si>
    <t>Обл. НДС
труба 100*100*4,0мм 12м
Надходження товарів і послуг ІБ00-000587 від 07.02.2025 20:00:11
Цех_Глобино</t>
  </si>
  <si>
    <t>Обл. НДС
Труба 219*6 ст1-3 сп/пс L=6,05
Надходження товарів і послуг ІБ00-000587 від 07.02.2025 20:00:11
Цех_Глобино</t>
  </si>
  <si>
    <t>Надходження товарів і послуг ІБ00-000548 від 07.02.2025 20:00:10
Оприходованы ТМЦ</t>
  </si>
  <si>
    <t>Обл. НДС
Стрижень М 20 8.8 1м цб  DIN 975
Надходження товарів і послуг ІБ00-000548 від 07.02.2025 20:00:10
Цех_Глобино</t>
  </si>
  <si>
    <t>Солді і Ко ПАТ
Дог № 378542-55/19 від 21.01.2019 р. РАХ_Глобине-2
Рахунок на оплату постачальника ІБ00-000476 від 04.02.2025 18:00:09</t>
  </si>
  <si>
    <t>Надходження товарів і послуг ІБ00-000587 від 07.02.2025 20:00:11
Оприходованы ТМЦ</t>
  </si>
  <si>
    <t>Надходження товарів і послуг ІБ00-000519 від 12.02.2025 18:02:32
Оприходованы ТМЦ</t>
  </si>
  <si>
    <t>Обл. НДС
Балка №36
Надходження товарів і послуг ІБ00-000519 від 12.02.2025 18:02:32
Цех_Глобино</t>
  </si>
  <si>
    <t>МЕТАЛ ХОЛДІНГ ТРЕЙД ТОВ
Дог поставки № 1506/21 від 15.06.2021 р.Глобино-2
Надходження товарів і послуг ІБ00-000519 від 12.02.2025 18:02:32</t>
  </si>
  <si>
    <t>Обл. НДС
Балка 30
Надходження товарів і послуг ІБ00-000519 від 12.02.2025 18:02:32
Цех_Глобино</t>
  </si>
  <si>
    <t>Надходження дод. витрат ІБ00-000074 від 12.02.2025 18:02:33
Доп. расходы при поступлении товаров</t>
  </si>
  <si>
    <t>МЕТАЛ ХОЛДІНГ ТРЕЙД ТОВ
Дог поставки № 1506/21 від 15.06.2021 р.Глобино-2
Надходження дод. витрат ІБ00-000074 від 12.02.2025 18:02:33</t>
  </si>
  <si>
    <t>Надходження товарів і послуг ІБ00-000534 від 14.02.2025 18:25:46
Оприходованы ТМЦ</t>
  </si>
  <si>
    <t>Обл. НДС
Труба 273*6,0
Надходження товарів і послуг ІБ00-000534 від 14.02.2025 18:25:46
Цех_Глобино</t>
  </si>
  <si>
    <t>Вимога-накладна ІБ00-000127 від 21.02.2025 18:25:58
Списаны ТМЦ</t>
  </si>
  <si>
    <t>Обл. НДС
Виробничий (Глобине-2)
Цех Глобино
Прямі матеріальні виробничі витрати крім зворотних відходів</t>
  </si>
  <si>
    <t>Обл. НДС
Лист 4 (г.к)  (1,5х6) ((1,5*6,0) 14637 3сп5)
Надходження товарів і послуг ІБ00-006577 від 30.12.2024 21:00:07
Цех_Глобино</t>
  </si>
  <si>
    <t>Обл. НДС
Швелер № 14П; ст. 3пс5; 12 м
Надходження товарів і послуг ІБ00-006577 від 30.12.2024 21:00:07
Цех_Глобино</t>
  </si>
  <si>
    <t>Обл. НДС
Швелер № 14П; ст. 3пс5; 12 м
Надходження товарів і послуг ІБ00-000065 від 10.01.2025 18:15:17
Цех_Глобино</t>
  </si>
  <si>
    <t>Обл. НДС
Труба 50х30х3 (6,05- S235/S275)
Надходження товарів і послуг ІБ00-006577 від 30.12.2024 21:00:07
Цех_Глобино</t>
  </si>
  <si>
    <t>Обл. НДС
Труба 40х20х2
Надходження товарів і послуг ІБ00-006577 від 30.12.2024 21:00:07
Цех_Глобино</t>
  </si>
  <si>
    <t>Обл. НДС
Лист 8 (г.к)  (1,5х6) ((1,5*6,0) 14637 3сп5)
Надходження товарів і послуг ІБ00-006577 від 30.12.2024 21:00:07
Цех_Глобино</t>
  </si>
  <si>
    <t>Обл. НДС
Труба 40*40*3 мм ст.1-3пс, 6 м
Надходження товарів і послуг ІБ00-006577 від 30.12.2024 21:00:07
Цех_Глобино</t>
  </si>
  <si>
    <t>Вимога-накладна ІБ00-000128 від 21.02.2025 18:25:59
Списаны ТМЦ</t>
  </si>
  <si>
    <t>Обл. НДС
Балка ІРN 240
Надходження товарів і послуг ІБ00-000156 від 20.01.2025 17:50:00
Цех_Глобино</t>
  </si>
  <si>
    <t>Вимога-накладна ІБ00-000130 від 21.02.2025 18:26:16
Списаны ТМЦ</t>
  </si>
  <si>
    <t>Обл. НДС
Лист г/к 10*2000*6000, 1-3пс/сп 5 кат.
Надходження товарів і послуг ІБ00-006577 від 30.12.2024 21:00:07
Цех_Глобино</t>
  </si>
  <si>
    <t>Обл. НДС
Лист г/к 20*1500*6000, S355J2
Надходження товарів і послуг ІБ00-006577 від 30.12.2024 21:00:07
Цех_Глобино</t>
  </si>
  <si>
    <t>Обл. НДС
Лист г/к 20*1500*6000, S355J2
Надходження товарів і послуг ІБ00-000065 від 10.01.2025 18:15:17
Цех_Глобино</t>
  </si>
  <si>
    <t>Надходження товарів і послуг ІБ00-000636 від 24.02.2025 23:35:07
Оприходованы ТМЦ</t>
  </si>
  <si>
    <t>Обл. НДС
Лист г/к 10*2000*6000, 1-3пс/сп 5 кат.
Надходження товарів і послуг ІБ00-000636 від 24.02.2025 23:35:07
Цех_Глобино</t>
  </si>
  <si>
    <t>МЕТІНВЕСТ-СМЦ ТОВ
№1778403/01/2023-С от 11.01.2023 РАХУНКИ_Глобино-2
Рахунок на оплату постачальника ІБ00-000533 від 24.02.2025 00:00:00</t>
  </si>
  <si>
    <t>Обл. НДС
Лист г/к 20*1500*6000, S355J2
Надходження товарів і послуг ІБ00-000636 від 24.02.2025 23:35:07
Цех_Глобино</t>
  </si>
  <si>
    <t>Надходження дод. витрат ІБ00-000096 від 24.02.2025 23:35:09
Доп. расходы при поступлении товаров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</si>
</sst>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21"/>
      <name val="Arial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6">
    <xf numFmtId="0" fontId="0" fillId="0" borderId="0" xfId="0"/>
    <xf numFmtId="0" fontId="2" fillId="2" borderId="1" xfId="1" applyNumberFormat="1" applyFont="1" applyFill="1" applyBorder="1" applyAlignment="1">
      <alignment vertical="top" wrapText="1" indent="1"/>
    </xf>
    <xf numFmtId="0" fontId="3" fillId="2" borderId="2" xfId="2" applyNumberFormat="1" applyFont="1" applyFill="1" applyBorder="1" applyAlignment="1">
      <alignment vertical="top"/>
    </xf>
    <xf numFmtId="0" fontId="3" fillId="2" borderId="3" xfId="2" applyNumberFormat="1" applyFont="1" applyFill="1" applyBorder="1" applyAlignment="1">
      <alignment vertical="top"/>
    </xf>
    <xf numFmtId="0" fontId="3" fillId="2" borderId="4" xfId="2" applyNumberFormat="1" applyFont="1" applyFill="1" applyBorder="1" applyAlignment="1">
      <alignment vertical="top"/>
    </xf>
    <xf numFmtId="0" fontId="3" fillId="2" borderId="3" xfId="2" applyNumberFormat="1" applyFont="1" applyFill="1" applyBorder="1" applyAlignment="1">
      <alignment horizontal="center" vertical="top"/>
    </xf>
    <xf numFmtId="0" fontId="3" fillId="2" borderId="5" xfId="2" applyNumberFormat="1" applyFont="1" applyFill="1" applyBorder="1" applyAlignment="1">
      <alignment horizontal="center" vertical="top"/>
    </xf>
    <xf numFmtId="0" fontId="3" fillId="2" borderId="6" xfId="2" applyNumberFormat="1" applyFont="1" applyFill="1" applyBorder="1" applyAlignment="1">
      <alignment vertical="top"/>
    </xf>
    <xf numFmtId="0" fontId="3" fillId="2" borderId="7" xfId="2" applyNumberFormat="1" applyFont="1" applyFill="1" applyBorder="1" applyAlignment="1">
      <alignment vertical="top"/>
    </xf>
    <xf numFmtId="0" fontId="3" fillId="2" borderId="8" xfId="2" applyNumberFormat="1" applyFont="1" applyFill="1" applyBorder="1" applyAlignment="1">
      <alignment vertical="top"/>
    </xf>
    <xf numFmtId="0" fontId="3" fillId="2" borderId="5" xfId="2" applyNumberFormat="1" applyFont="1" applyFill="1" applyBorder="1" applyAlignment="1">
      <alignment vertical="top"/>
    </xf>
    <xf numFmtId="0" fontId="3" fillId="2" borderId="9" xfId="2" applyNumberFormat="1" applyFont="1" applyFill="1" applyBorder="1" applyAlignment="1">
      <alignment vertical="top"/>
    </xf>
    <xf numFmtId="0" fontId="3" fillId="2" borderId="9" xfId="2" applyNumberFormat="1" applyFont="1" applyFill="1" applyBorder="1" applyAlignment="1">
      <alignment vertical="top"/>
    </xf>
    <xf numFmtId="0" fontId="3" fillId="2" borderId="10" xfId="2" applyNumberFormat="1" applyFont="1" applyFill="1" applyBorder="1" applyAlignment="1">
      <alignment vertical="top"/>
    </xf>
    <xf numFmtId="0" fontId="3" fillId="2" borderId="11" xfId="2" applyNumberFormat="1" applyFont="1" applyFill="1" applyBorder="1" applyAlignment="1">
      <alignment vertical="top"/>
    </xf>
    <xf numFmtId="0" fontId="4" fillId="0" borderId="1" xfId="2" applyNumberFormat="1" applyFont="1" applyBorder="1" applyAlignment="1">
      <alignment vertical="top"/>
    </xf>
    <xf numFmtId="0" fontId="4" fillId="0" borderId="1" xfId="2" applyNumberFormat="1" applyFont="1" applyBorder="1" applyAlignment="1">
      <alignment vertical="top" wrapText="1"/>
    </xf>
    <xf numFmtId="0" fontId="4" fillId="0" borderId="1" xfId="2" applyNumberFormat="1" applyFont="1" applyBorder="1" applyAlignment="1">
      <alignment horizontal="left" vertical="top"/>
    </xf>
    <xf numFmtId="4" fontId="4" fillId="0" borderId="1" xfId="2" applyNumberFormat="1" applyFont="1" applyBorder="1" applyAlignment="1">
      <alignment horizontal="right" vertical="top" wrapText="1"/>
    </xf>
    <xf numFmtId="0" fontId="4" fillId="0" borderId="13" xfId="2" applyNumberFormat="1" applyFont="1" applyBorder="1" applyAlignment="1">
      <alignment horizontal="right" vertical="top" wrapText="1"/>
    </xf>
    <xf numFmtId="0" fontId="4" fillId="0" borderId="12" xfId="2" applyNumberFormat="1" applyFont="1" applyBorder="1" applyAlignment="1">
      <alignment horizontal="center" vertical="top"/>
    </xf>
    <xf numFmtId="4" fontId="4" fillId="0" borderId="13" xfId="2" applyNumberFormat="1" applyFont="1" applyBorder="1" applyAlignment="1">
      <alignment horizontal="right" vertical="top" wrapText="1"/>
    </xf>
    <xf numFmtId="0" fontId="4" fillId="0" borderId="1" xfId="2" applyNumberFormat="1" applyFont="1" applyBorder="1" applyAlignment="1">
      <alignment horizontal="right" vertical="top" wrapText="1"/>
    </xf>
    <xf numFmtId="2" fontId="4" fillId="0" borderId="13" xfId="2" applyNumberFormat="1" applyFont="1" applyBorder="1" applyAlignment="1">
      <alignment horizontal="right" vertical="top" wrapText="1"/>
    </xf>
    <xf numFmtId="4" fontId="4" fillId="0" borderId="13" xfId="2" applyNumberFormat="1" applyFont="1" applyBorder="1" applyAlignment="1">
      <alignment horizontal="right" vertical="top" wrapText="1"/>
    </xf>
    <xf numFmtId="0" fontId="5" fillId="2" borderId="1" xfId="2" applyNumberFormat="1" applyFont="1" applyFill="1" applyBorder="1" applyAlignment="1">
      <alignment vertical="top"/>
    </xf>
    <xf numFmtId="4" fontId="5" fillId="2" borderId="1" xfId="2" applyNumberFormat="1" applyFont="1" applyFill="1" applyBorder="1" applyAlignment="1">
      <alignment horizontal="right" vertical="top" wrapText="1"/>
    </xf>
    <xf numFmtId="0" fontId="5" fillId="2" borderId="12" xfId="2" applyNumberFormat="1" applyFont="1" applyFill="1" applyBorder="1" applyAlignment="1">
      <alignment horizontal="center" vertical="top"/>
    </xf>
    <xf numFmtId="4" fontId="5" fillId="2" borderId="13" xfId="2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3" fillId="2" borderId="2" xfId="3" applyNumberFormat="1" applyFont="1" applyFill="1" applyBorder="1" applyAlignment="1">
      <alignment vertical="top"/>
    </xf>
    <xf numFmtId="0" fontId="3" fillId="2" borderId="3" xfId="3" applyNumberFormat="1" applyFont="1" applyFill="1" applyBorder="1" applyAlignment="1">
      <alignment vertical="top"/>
    </xf>
    <xf numFmtId="0" fontId="3" fillId="2" borderId="4" xfId="3" applyNumberFormat="1" applyFont="1" applyFill="1" applyBorder="1" applyAlignment="1">
      <alignment vertical="top"/>
    </xf>
    <xf numFmtId="0" fontId="3" fillId="2" borderId="3" xfId="3" applyNumberFormat="1" applyFont="1" applyFill="1" applyBorder="1" applyAlignment="1">
      <alignment horizontal="center" vertical="top"/>
    </xf>
    <xf numFmtId="0" fontId="3" fillId="2" borderId="5" xfId="3" applyNumberFormat="1" applyFont="1" applyFill="1" applyBorder="1" applyAlignment="1">
      <alignment horizontal="center" vertical="top"/>
    </xf>
    <xf numFmtId="0" fontId="3" fillId="2" borderId="6" xfId="3" applyNumberFormat="1" applyFont="1" applyFill="1" applyBorder="1" applyAlignment="1">
      <alignment vertical="top"/>
    </xf>
    <xf numFmtId="0" fontId="3" fillId="2" borderId="7" xfId="3" applyNumberFormat="1" applyFont="1" applyFill="1" applyBorder="1" applyAlignment="1">
      <alignment vertical="top"/>
    </xf>
    <xf numFmtId="0" fontId="3" fillId="2" borderId="8" xfId="3" applyNumberFormat="1" applyFont="1" applyFill="1" applyBorder="1" applyAlignment="1">
      <alignment vertical="top"/>
    </xf>
    <xf numFmtId="0" fontId="3" fillId="2" borderId="5" xfId="3" applyNumberFormat="1" applyFont="1" applyFill="1" applyBorder="1" applyAlignment="1">
      <alignment vertical="top"/>
    </xf>
    <xf numFmtId="0" fontId="3" fillId="2" borderId="9" xfId="3" applyNumberFormat="1" applyFont="1" applyFill="1" applyBorder="1" applyAlignment="1">
      <alignment vertical="top"/>
    </xf>
    <xf numFmtId="0" fontId="3" fillId="2" borderId="9" xfId="3" applyNumberFormat="1" applyFont="1" applyFill="1" applyBorder="1" applyAlignment="1">
      <alignment vertical="top"/>
    </xf>
    <xf numFmtId="0" fontId="3" fillId="2" borderId="10" xfId="3" applyNumberFormat="1" applyFont="1" applyFill="1" applyBorder="1" applyAlignment="1">
      <alignment vertical="top"/>
    </xf>
    <xf numFmtId="0" fontId="3" fillId="2" borderId="11" xfId="3" applyNumberFormat="1" applyFont="1" applyFill="1" applyBorder="1" applyAlignment="1">
      <alignment vertical="top"/>
    </xf>
    <xf numFmtId="0" fontId="4" fillId="0" borderId="1" xfId="3" applyNumberFormat="1" applyFont="1" applyBorder="1" applyAlignment="1">
      <alignment vertical="top"/>
    </xf>
    <xf numFmtId="0" fontId="4" fillId="0" borderId="1" xfId="3" applyNumberFormat="1" applyFont="1" applyBorder="1" applyAlignment="1">
      <alignment vertical="top" wrapText="1"/>
    </xf>
    <xf numFmtId="0" fontId="4" fillId="0" borderId="1" xfId="3" applyNumberFormat="1" applyFont="1" applyBorder="1" applyAlignment="1">
      <alignment horizontal="left" vertical="top"/>
    </xf>
    <xf numFmtId="4" fontId="4" fillId="0" borderId="1" xfId="3" applyNumberFormat="1" applyFont="1" applyBorder="1" applyAlignment="1">
      <alignment horizontal="right" vertical="top" wrapText="1"/>
    </xf>
    <xf numFmtId="0" fontId="4" fillId="0" borderId="13" xfId="3" applyNumberFormat="1" applyFont="1" applyBorder="1" applyAlignment="1">
      <alignment horizontal="right" vertical="top" wrapText="1"/>
    </xf>
    <xf numFmtId="0" fontId="4" fillId="0" borderId="12" xfId="3" applyNumberFormat="1" applyFont="1" applyBorder="1" applyAlignment="1">
      <alignment horizontal="center" vertical="top"/>
    </xf>
    <xf numFmtId="4" fontId="4" fillId="0" borderId="13" xfId="3" applyNumberFormat="1" applyFont="1" applyBorder="1" applyAlignment="1">
      <alignment horizontal="right" vertical="top" wrapText="1"/>
    </xf>
    <xf numFmtId="2" fontId="4" fillId="0" borderId="1" xfId="3" applyNumberFormat="1" applyFont="1" applyBorder="1" applyAlignment="1">
      <alignment horizontal="right" vertical="top" wrapText="1"/>
    </xf>
    <xf numFmtId="0" fontId="4" fillId="0" borderId="1" xfId="3" applyNumberFormat="1" applyFont="1" applyBorder="1" applyAlignment="1">
      <alignment horizontal="right" vertical="top" wrapText="1"/>
    </xf>
    <xf numFmtId="2" fontId="4" fillId="0" borderId="13" xfId="3" applyNumberFormat="1" applyFont="1" applyBorder="1" applyAlignment="1">
      <alignment horizontal="right" vertical="top" wrapText="1"/>
    </xf>
    <xf numFmtId="4" fontId="4" fillId="0" borderId="13" xfId="3" applyNumberFormat="1" applyFont="1" applyBorder="1" applyAlignment="1">
      <alignment horizontal="right" vertical="top" wrapText="1"/>
    </xf>
    <xf numFmtId="0" fontId="5" fillId="2" borderId="1" xfId="3" applyNumberFormat="1" applyFont="1" applyFill="1" applyBorder="1" applyAlignment="1">
      <alignment vertical="top"/>
    </xf>
    <xf numFmtId="4" fontId="5" fillId="2" borderId="1" xfId="3" applyNumberFormat="1" applyFont="1" applyFill="1" applyBorder="1" applyAlignment="1">
      <alignment horizontal="right" vertical="top" wrapText="1"/>
    </xf>
    <xf numFmtId="0" fontId="5" fillId="2" borderId="12" xfId="3" applyNumberFormat="1" applyFont="1" applyFill="1" applyBorder="1" applyAlignment="1">
      <alignment horizontal="center" vertical="top"/>
    </xf>
    <xf numFmtId="4" fontId="5" fillId="2" borderId="13" xfId="3" applyNumberFormat="1" applyFont="1" applyFill="1" applyBorder="1" applyAlignment="1">
      <alignment horizontal="right" vertical="top" wrapText="1"/>
    </xf>
    <xf numFmtId="0" fontId="3" fillId="2" borderId="2" xfId="4" applyNumberFormat="1" applyFont="1" applyFill="1" applyBorder="1" applyAlignment="1">
      <alignment vertical="top"/>
    </xf>
    <xf numFmtId="0" fontId="3" fillId="2" borderId="3" xfId="4" applyNumberFormat="1" applyFont="1" applyFill="1" applyBorder="1" applyAlignment="1">
      <alignment vertical="top"/>
    </xf>
    <xf numFmtId="0" fontId="3" fillId="2" borderId="4" xfId="4" applyNumberFormat="1" applyFont="1" applyFill="1" applyBorder="1" applyAlignment="1">
      <alignment vertical="top"/>
    </xf>
    <xf numFmtId="0" fontId="3" fillId="2" borderId="3" xfId="4" applyNumberFormat="1" applyFont="1" applyFill="1" applyBorder="1" applyAlignment="1">
      <alignment horizontal="center" vertical="top"/>
    </xf>
    <xf numFmtId="0" fontId="3" fillId="2" borderId="5" xfId="4" applyNumberFormat="1" applyFont="1" applyFill="1" applyBorder="1" applyAlignment="1">
      <alignment horizontal="center" vertical="top"/>
    </xf>
    <xf numFmtId="0" fontId="3" fillId="2" borderId="6" xfId="4" applyNumberFormat="1" applyFont="1" applyFill="1" applyBorder="1" applyAlignment="1">
      <alignment vertical="top"/>
    </xf>
    <xf numFmtId="0" fontId="3" fillId="2" borderId="7" xfId="4" applyNumberFormat="1" applyFont="1" applyFill="1" applyBorder="1" applyAlignment="1">
      <alignment vertical="top"/>
    </xf>
    <xf numFmtId="0" fontId="3" fillId="2" borderId="8" xfId="4" applyNumberFormat="1" applyFont="1" applyFill="1" applyBorder="1" applyAlignment="1">
      <alignment vertical="top"/>
    </xf>
    <xf numFmtId="0" fontId="3" fillId="2" borderId="5" xfId="4" applyNumberFormat="1" applyFont="1" applyFill="1" applyBorder="1" applyAlignment="1">
      <alignment vertical="top"/>
    </xf>
    <xf numFmtId="0" fontId="3" fillId="2" borderId="9" xfId="4" applyNumberFormat="1" applyFont="1" applyFill="1" applyBorder="1" applyAlignment="1">
      <alignment vertical="top"/>
    </xf>
    <xf numFmtId="0" fontId="3" fillId="2" borderId="9" xfId="4" applyNumberFormat="1" applyFont="1" applyFill="1" applyBorder="1" applyAlignment="1">
      <alignment vertical="top"/>
    </xf>
    <xf numFmtId="0" fontId="3" fillId="2" borderId="10" xfId="4" applyNumberFormat="1" applyFont="1" applyFill="1" applyBorder="1" applyAlignment="1">
      <alignment vertical="top"/>
    </xf>
    <xf numFmtId="0" fontId="3" fillId="2" borderId="11" xfId="4" applyNumberFormat="1" applyFont="1" applyFill="1" applyBorder="1" applyAlignment="1">
      <alignment vertical="top"/>
    </xf>
    <xf numFmtId="0" fontId="4" fillId="0" borderId="1" xfId="4" applyNumberFormat="1" applyFont="1" applyBorder="1" applyAlignment="1">
      <alignment vertical="top"/>
    </xf>
    <xf numFmtId="0" fontId="4" fillId="0" borderId="1" xfId="4" applyNumberFormat="1" applyFont="1" applyBorder="1" applyAlignment="1">
      <alignment vertical="top" wrapText="1"/>
    </xf>
    <xf numFmtId="0" fontId="4" fillId="0" borderId="1" xfId="4" applyNumberFormat="1" applyFont="1" applyBorder="1" applyAlignment="1">
      <alignment horizontal="left" vertical="top"/>
    </xf>
    <xf numFmtId="2" fontId="4" fillId="0" borderId="1" xfId="4" applyNumberFormat="1" applyFont="1" applyBorder="1" applyAlignment="1">
      <alignment horizontal="right" vertical="top" wrapText="1"/>
    </xf>
    <xf numFmtId="0" fontId="4" fillId="0" borderId="13" xfId="4" applyNumberFormat="1" applyFont="1" applyBorder="1" applyAlignment="1">
      <alignment horizontal="right" vertical="top" wrapText="1"/>
    </xf>
    <xf numFmtId="0" fontId="4" fillId="0" borderId="12" xfId="4" applyNumberFormat="1" applyFont="1" applyBorder="1" applyAlignment="1">
      <alignment horizontal="center" vertical="top"/>
    </xf>
    <xf numFmtId="4" fontId="4" fillId="0" borderId="13" xfId="4" applyNumberFormat="1" applyFont="1" applyBorder="1" applyAlignment="1">
      <alignment horizontal="right" vertical="top" wrapText="1"/>
    </xf>
    <xf numFmtId="4" fontId="4" fillId="0" borderId="1" xfId="4" applyNumberFormat="1" applyFont="1" applyBorder="1" applyAlignment="1">
      <alignment horizontal="right" vertical="top" wrapText="1"/>
    </xf>
    <xf numFmtId="0" fontId="4" fillId="0" borderId="1" xfId="4" applyNumberFormat="1" applyFont="1" applyBorder="1" applyAlignment="1">
      <alignment horizontal="right" vertical="top" wrapText="1"/>
    </xf>
    <xf numFmtId="2" fontId="4" fillId="0" borderId="13" xfId="4" applyNumberFormat="1" applyFont="1" applyBorder="1" applyAlignment="1">
      <alignment horizontal="right" vertical="top" wrapText="1"/>
    </xf>
    <xf numFmtId="4" fontId="4" fillId="0" borderId="13" xfId="4" applyNumberFormat="1" applyFont="1" applyBorder="1" applyAlignment="1">
      <alignment horizontal="right" vertical="top" wrapText="1"/>
    </xf>
    <xf numFmtId="0" fontId="5" fillId="2" borderId="1" xfId="4" applyNumberFormat="1" applyFont="1" applyFill="1" applyBorder="1" applyAlignment="1">
      <alignment vertical="top"/>
    </xf>
    <xf numFmtId="4" fontId="5" fillId="2" borderId="1" xfId="4" applyNumberFormat="1" applyFont="1" applyFill="1" applyBorder="1" applyAlignment="1">
      <alignment horizontal="right" vertical="top" wrapText="1"/>
    </xf>
    <xf numFmtId="0" fontId="5" fillId="2" borderId="12" xfId="4" applyNumberFormat="1" applyFont="1" applyFill="1" applyBorder="1" applyAlignment="1">
      <alignment horizontal="center" vertical="top"/>
    </xf>
    <xf numFmtId="4" fontId="5" fillId="2" borderId="13" xfId="4" applyNumberFormat="1" applyFont="1" applyFill="1" applyBorder="1" applyAlignment="1">
      <alignment horizontal="right" vertical="top" wrapText="1"/>
    </xf>
    <xf numFmtId="0" fontId="3" fillId="2" borderId="2" xfId="5" applyNumberFormat="1" applyFont="1" applyFill="1" applyBorder="1" applyAlignment="1">
      <alignment vertical="top"/>
    </xf>
    <xf numFmtId="0" fontId="3" fillId="2" borderId="3" xfId="5" applyNumberFormat="1" applyFont="1" applyFill="1" applyBorder="1" applyAlignment="1">
      <alignment vertical="top"/>
    </xf>
    <xf numFmtId="0" fontId="3" fillId="2" borderId="4" xfId="5" applyNumberFormat="1" applyFont="1" applyFill="1" applyBorder="1" applyAlignment="1">
      <alignment vertical="top"/>
    </xf>
    <xf numFmtId="0" fontId="3" fillId="2" borderId="3" xfId="5" applyNumberFormat="1" applyFont="1" applyFill="1" applyBorder="1" applyAlignment="1">
      <alignment horizontal="center" vertical="top"/>
    </xf>
    <xf numFmtId="0" fontId="3" fillId="2" borderId="5" xfId="5" applyNumberFormat="1" applyFont="1" applyFill="1" applyBorder="1" applyAlignment="1">
      <alignment horizontal="center" vertical="top"/>
    </xf>
    <xf numFmtId="0" fontId="3" fillId="2" borderId="6" xfId="5" applyNumberFormat="1" applyFont="1" applyFill="1" applyBorder="1" applyAlignment="1">
      <alignment vertical="top"/>
    </xf>
    <xf numFmtId="0" fontId="3" fillId="2" borderId="7" xfId="5" applyNumberFormat="1" applyFont="1" applyFill="1" applyBorder="1" applyAlignment="1">
      <alignment vertical="top"/>
    </xf>
    <xf numFmtId="0" fontId="3" fillId="2" borderId="8" xfId="5" applyNumberFormat="1" applyFont="1" applyFill="1" applyBorder="1" applyAlignment="1">
      <alignment vertical="top"/>
    </xf>
    <xf numFmtId="0" fontId="3" fillId="2" borderId="5" xfId="5" applyNumberFormat="1" applyFont="1" applyFill="1" applyBorder="1" applyAlignment="1">
      <alignment vertical="top"/>
    </xf>
    <xf numFmtId="0" fontId="3" fillId="2" borderId="9" xfId="5" applyNumberFormat="1" applyFont="1" applyFill="1" applyBorder="1" applyAlignment="1">
      <alignment vertical="top"/>
    </xf>
    <xf numFmtId="0" fontId="3" fillId="2" borderId="9" xfId="5" applyNumberFormat="1" applyFont="1" applyFill="1" applyBorder="1" applyAlignment="1">
      <alignment vertical="top"/>
    </xf>
    <xf numFmtId="0" fontId="3" fillId="2" borderId="10" xfId="5" applyNumberFormat="1" applyFont="1" applyFill="1" applyBorder="1" applyAlignment="1">
      <alignment vertical="top"/>
    </xf>
    <xf numFmtId="0" fontId="3" fillId="2" borderId="11" xfId="5" applyNumberFormat="1" applyFont="1" applyFill="1" applyBorder="1" applyAlignment="1">
      <alignment vertical="top"/>
    </xf>
    <xf numFmtId="0" fontId="4" fillId="0" borderId="1" xfId="5" applyNumberFormat="1" applyFont="1" applyBorder="1" applyAlignment="1">
      <alignment vertical="top"/>
    </xf>
    <xf numFmtId="0" fontId="4" fillId="0" borderId="1" xfId="5" applyNumberFormat="1" applyFont="1" applyBorder="1" applyAlignment="1">
      <alignment vertical="top" wrapText="1"/>
    </xf>
    <xf numFmtId="0" fontId="4" fillId="0" borderId="1" xfId="5" applyNumberFormat="1" applyFont="1" applyBorder="1" applyAlignment="1">
      <alignment horizontal="left" vertical="top"/>
    </xf>
    <xf numFmtId="4" fontId="4" fillId="0" borderId="1" xfId="5" applyNumberFormat="1" applyFont="1" applyBorder="1" applyAlignment="1">
      <alignment horizontal="right" vertical="top" wrapText="1"/>
    </xf>
    <xf numFmtId="0" fontId="4" fillId="0" borderId="13" xfId="5" applyNumberFormat="1" applyFont="1" applyBorder="1" applyAlignment="1">
      <alignment horizontal="right" vertical="top" wrapText="1"/>
    </xf>
    <xf numFmtId="0" fontId="4" fillId="0" borderId="12" xfId="5" applyNumberFormat="1" applyFont="1" applyBorder="1" applyAlignment="1">
      <alignment horizontal="center" vertical="top"/>
    </xf>
    <xf numFmtId="4" fontId="4" fillId="0" borderId="13" xfId="5" applyNumberFormat="1" applyFont="1" applyBorder="1" applyAlignment="1">
      <alignment horizontal="right" vertical="top" wrapText="1"/>
    </xf>
    <xf numFmtId="2" fontId="4" fillId="0" borderId="1" xfId="5" applyNumberFormat="1" applyFont="1" applyBorder="1" applyAlignment="1">
      <alignment horizontal="right" vertical="top" wrapText="1"/>
    </xf>
    <xf numFmtId="0" fontId="4" fillId="0" borderId="1" xfId="5" applyNumberFormat="1" applyFont="1" applyBorder="1" applyAlignment="1">
      <alignment horizontal="right" vertical="top" wrapText="1"/>
    </xf>
    <xf numFmtId="4" fontId="4" fillId="0" borderId="13" xfId="5" applyNumberFormat="1" applyFont="1" applyBorder="1" applyAlignment="1">
      <alignment horizontal="right" vertical="top" wrapText="1"/>
    </xf>
    <xf numFmtId="2" fontId="4" fillId="0" borderId="13" xfId="5" applyNumberFormat="1" applyFont="1" applyBorder="1" applyAlignment="1">
      <alignment horizontal="right" vertical="top" wrapText="1"/>
    </xf>
    <xf numFmtId="0" fontId="5" fillId="2" borderId="1" xfId="5" applyNumberFormat="1" applyFont="1" applyFill="1" applyBorder="1" applyAlignment="1">
      <alignment vertical="top"/>
    </xf>
    <xf numFmtId="4" fontId="5" fillId="2" borderId="1" xfId="5" applyNumberFormat="1" applyFont="1" applyFill="1" applyBorder="1" applyAlignment="1">
      <alignment horizontal="right" vertical="top" wrapText="1"/>
    </xf>
    <xf numFmtId="0" fontId="5" fillId="2" borderId="12" xfId="5" applyNumberFormat="1" applyFont="1" applyFill="1" applyBorder="1" applyAlignment="1">
      <alignment horizontal="center" vertical="top"/>
    </xf>
    <xf numFmtId="4" fontId="5" fillId="2" borderId="13" xfId="5" applyNumberFormat="1" applyFont="1" applyFill="1" applyBorder="1" applyAlignment="1">
      <alignment horizontal="right" vertical="top" wrapText="1"/>
    </xf>
    <xf numFmtId="0" fontId="3" fillId="2" borderId="2" xfId="6" applyNumberFormat="1" applyFont="1" applyFill="1" applyBorder="1" applyAlignment="1">
      <alignment vertical="top"/>
    </xf>
    <xf numFmtId="0" fontId="3" fillId="2" borderId="3" xfId="6" applyNumberFormat="1" applyFont="1" applyFill="1" applyBorder="1" applyAlignment="1">
      <alignment vertical="top"/>
    </xf>
    <xf numFmtId="0" fontId="3" fillId="2" borderId="4" xfId="6" applyNumberFormat="1" applyFont="1" applyFill="1" applyBorder="1" applyAlignment="1">
      <alignment vertical="top"/>
    </xf>
    <xf numFmtId="0" fontId="3" fillId="2" borderId="3" xfId="6" applyNumberFormat="1" applyFont="1" applyFill="1" applyBorder="1" applyAlignment="1">
      <alignment horizontal="center" vertical="top"/>
    </xf>
    <xf numFmtId="0" fontId="3" fillId="2" borderId="5" xfId="6" applyNumberFormat="1" applyFont="1" applyFill="1" applyBorder="1" applyAlignment="1">
      <alignment horizontal="center" vertical="top"/>
    </xf>
    <xf numFmtId="0" fontId="3" fillId="2" borderId="6" xfId="6" applyNumberFormat="1" applyFont="1" applyFill="1" applyBorder="1" applyAlignment="1">
      <alignment vertical="top"/>
    </xf>
    <xf numFmtId="0" fontId="3" fillId="2" borderId="7" xfId="6" applyNumberFormat="1" applyFont="1" applyFill="1" applyBorder="1" applyAlignment="1">
      <alignment vertical="top"/>
    </xf>
    <xf numFmtId="0" fontId="3" fillId="2" borderId="8" xfId="6" applyNumberFormat="1" applyFont="1" applyFill="1" applyBorder="1" applyAlignment="1">
      <alignment vertical="top"/>
    </xf>
    <xf numFmtId="0" fontId="3" fillId="2" borderId="5" xfId="6" applyNumberFormat="1" applyFont="1" applyFill="1" applyBorder="1" applyAlignment="1">
      <alignment vertical="top"/>
    </xf>
    <xf numFmtId="0" fontId="3" fillId="2" borderId="9" xfId="6" applyNumberFormat="1" applyFont="1" applyFill="1" applyBorder="1" applyAlignment="1">
      <alignment vertical="top"/>
    </xf>
    <xf numFmtId="0" fontId="3" fillId="2" borderId="9" xfId="6" applyNumberFormat="1" applyFont="1" applyFill="1" applyBorder="1" applyAlignment="1">
      <alignment vertical="top"/>
    </xf>
    <xf numFmtId="0" fontId="3" fillId="2" borderId="10" xfId="6" applyNumberFormat="1" applyFont="1" applyFill="1" applyBorder="1" applyAlignment="1">
      <alignment vertical="top"/>
    </xf>
    <xf numFmtId="0" fontId="3" fillId="2" borderId="11" xfId="6" applyNumberFormat="1" applyFont="1" applyFill="1" applyBorder="1" applyAlignment="1">
      <alignment vertical="top"/>
    </xf>
    <xf numFmtId="0" fontId="4" fillId="0" borderId="1" xfId="6" applyNumberFormat="1" applyFont="1" applyBorder="1" applyAlignment="1">
      <alignment vertical="top"/>
    </xf>
    <xf numFmtId="0" fontId="4" fillId="0" borderId="1" xfId="6" applyNumberFormat="1" applyFont="1" applyBorder="1" applyAlignment="1">
      <alignment vertical="top" wrapText="1"/>
    </xf>
    <xf numFmtId="0" fontId="4" fillId="0" borderId="1" xfId="6" applyNumberFormat="1" applyFont="1" applyBorder="1" applyAlignment="1">
      <alignment horizontal="left" vertical="top"/>
    </xf>
    <xf numFmtId="4" fontId="4" fillId="0" borderId="1" xfId="6" applyNumberFormat="1" applyFont="1" applyBorder="1" applyAlignment="1">
      <alignment horizontal="right" vertical="top" wrapText="1"/>
    </xf>
    <xf numFmtId="0" fontId="4" fillId="0" borderId="13" xfId="6" applyNumberFormat="1" applyFont="1" applyBorder="1" applyAlignment="1">
      <alignment horizontal="right" vertical="top" wrapText="1"/>
    </xf>
    <xf numFmtId="0" fontId="4" fillId="0" borderId="12" xfId="6" applyNumberFormat="1" applyFont="1" applyBorder="1" applyAlignment="1">
      <alignment horizontal="center" vertical="top"/>
    </xf>
    <xf numFmtId="4" fontId="4" fillId="0" borderId="13" xfId="6" applyNumberFormat="1" applyFont="1" applyBorder="1" applyAlignment="1">
      <alignment horizontal="right" vertical="top" wrapText="1"/>
    </xf>
    <xf numFmtId="0" fontId="4" fillId="0" borderId="1" xfId="6" applyNumberFormat="1" applyFont="1" applyBorder="1" applyAlignment="1">
      <alignment horizontal="right" vertical="top" wrapText="1"/>
    </xf>
    <xf numFmtId="4" fontId="4" fillId="0" borderId="13" xfId="6" applyNumberFormat="1" applyFont="1" applyBorder="1" applyAlignment="1">
      <alignment horizontal="right" vertical="top" wrapText="1"/>
    </xf>
    <xf numFmtId="2" fontId="4" fillId="0" borderId="1" xfId="6" applyNumberFormat="1" applyFont="1" applyBorder="1" applyAlignment="1">
      <alignment horizontal="right" vertical="top" wrapText="1"/>
    </xf>
    <xf numFmtId="2" fontId="4" fillId="0" borderId="13" xfId="6" applyNumberFormat="1" applyFont="1" applyBorder="1" applyAlignment="1">
      <alignment horizontal="right" vertical="top" wrapText="1"/>
    </xf>
    <xf numFmtId="0" fontId="5" fillId="2" borderId="1" xfId="6" applyNumberFormat="1" applyFont="1" applyFill="1" applyBorder="1" applyAlignment="1">
      <alignment vertical="top"/>
    </xf>
    <xf numFmtId="4" fontId="5" fillId="2" borderId="1" xfId="6" applyNumberFormat="1" applyFont="1" applyFill="1" applyBorder="1" applyAlignment="1">
      <alignment horizontal="right" vertical="top" wrapText="1"/>
    </xf>
    <xf numFmtId="0" fontId="5" fillId="2" borderId="12" xfId="6" applyNumberFormat="1" applyFont="1" applyFill="1" applyBorder="1" applyAlignment="1">
      <alignment horizontal="center" vertical="top"/>
    </xf>
    <xf numFmtId="4" fontId="5" fillId="2" borderId="13" xfId="6" applyNumberFormat="1" applyFont="1" applyFill="1" applyBorder="1" applyAlignment="1">
      <alignment horizontal="right" vertical="top" wrapText="1"/>
    </xf>
    <xf numFmtId="0" fontId="3" fillId="2" borderId="2" xfId="7" applyNumberFormat="1" applyFont="1" applyFill="1" applyBorder="1" applyAlignment="1">
      <alignment vertical="top"/>
    </xf>
    <xf numFmtId="0" fontId="3" fillId="2" borderId="3" xfId="7" applyNumberFormat="1" applyFont="1" applyFill="1" applyBorder="1" applyAlignment="1">
      <alignment vertical="top"/>
    </xf>
    <xf numFmtId="0" fontId="3" fillId="2" borderId="4" xfId="7" applyNumberFormat="1" applyFont="1" applyFill="1" applyBorder="1" applyAlignment="1">
      <alignment vertical="top"/>
    </xf>
    <xf numFmtId="0" fontId="3" fillId="2" borderId="3" xfId="7" applyNumberFormat="1" applyFont="1" applyFill="1" applyBorder="1" applyAlignment="1">
      <alignment horizontal="center" vertical="top"/>
    </xf>
    <xf numFmtId="0" fontId="3" fillId="2" borderId="5" xfId="7" applyNumberFormat="1" applyFont="1" applyFill="1" applyBorder="1" applyAlignment="1">
      <alignment horizontal="center" vertical="top"/>
    </xf>
    <xf numFmtId="0" fontId="3" fillId="2" borderId="6" xfId="7" applyNumberFormat="1" applyFont="1" applyFill="1" applyBorder="1" applyAlignment="1">
      <alignment vertical="top"/>
    </xf>
    <xf numFmtId="0" fontId="3" fillId="2" borderId="7" xfId="7" applyNumberFormat="1" applyFont="1" applyFill="1" applyBorder="1" applyAlignment="1">
      <alignment vertical="top"/>
    </xf>
    <xf numFmtId="0" fontId="3" fillId="2" borderId="8" xfId="7" applyNumberFormat="1" applyFont="1" applyFill="1" applyBorder="1" applyAlignment="1">
      <alignment vertical="top"/>
    </xf>
    <xf numFmtId="0" fontId="3" fillId="2" borderId="5" xfId="7" applyNumberFormat="1" applyFont="1" applyFill="1" applyBorder="1" applyAlignment="1">
      <alignment vertical="top"/>
    </xf>
    <xf numFmtId="0" fontId="3" fillId="2" borderId="9" xfId="7" applyNumberFormat="1" applyFont="1" applyFill="1" applyBorder="1" applyAlignment="1">
      <alignment vertical="top"/>
    </xf>
    <xf numFmtId="0" fontId="3" fillId="2" borderId="9" xfId="7" applyNumberFormat="1" applyFont="1" applyFill="1" applyBorder="1" applyAlignment="1">
      <alignment vertical="top"/>
    </xf>
    <xf numFmtId="0" fontId="3" fillId="2" borderId="10" xfId="7" applyNumberFormat="1" applyFont="1" applyFill="1" applyBorder="1" applyAlignment="1">
      <alignment vertical="top"/>
    </xf>
    <xf numFmtId="0" fontId="3" fillId="2" borderId="11" xfId="7" applyNumberFormat="1" applyFont="1" applyFill="1" applyBorder="1" applyAlignment="1">
      <alignment vertical="top"/>
    </xf>
    <xf numFmtId="0" fontId="4" fillId="0" borderId="1" xfId="7" applyNumberFormat="1" applyFont="1" applyBorder="1" applyAlignment="1">
      <alignment vertical="top"/>
    </xf>
    <xf numFmtId="0" fontId="4" fillId="0" borderId="1" xfId="7" applyNumberFormat="1" applyFont="1" applyBorder="1" applyAlignment="1">
      <alignment vertical="top" wrapText="1"/>
    </xf>
    <xf numFmtId="0" fontId="4" fillId="0" borderId="1" xfId="7" applyNumberFormat="1" applyFont="1" applyBorder="1" applyAlignment="1">
      <alignment horizontal="left" vertical="top"/>
    </xf>
    <xf numFmtId="4" fontId="4" fillId="0" borderId="1" xfId="7" applyNumberFormat="1" applyFont="1" applyBorder="1" applyAlignment="1">
      <alignment horizontal="right" vertical="top" wrapText="1"/>
    </xf>
    <xf numFmtId="0" fontId="4" fillId="0" borderId="13" xfId="7" applyNumberFormat="1" applyFont="1" applyBorder="1" applyAlignment="1">
      <alignment horizontal="right" vertical="top" wrapText="1"/>
    </xf>
    <xf numFmtId="0" fontId="4" fillId="0" borderId="12" xfId="7" applyNumberFormat="1" applyFont="1" applyBorder="1" applyAlignment="1">
      <alignment horizontal="center" vertical="top"/>
    </xf>
    <xf numFmtId="4" fontId="4" fillId="0" borderId="13" xfId="7" applyNumberFormat="1" applyFont="1" applyBorder="1" applyAlignment="1">
      <alignment horizontal="right" vertical="top" wrapText="1"/>
    </xf>
    <xf numFmtId="0" fontId="4" fillId="0" borderId="1" xfId="7" applyNumberFormat="1" applyFont="1" applyBorder="1" applyAlignment="1">
      <alignment horizontal="right" vertical="top" wrapText="1"/>
    </xf>
    <xf numFmtId="4" fontId="4" fillId="0" borderId="13" xfId="7" applyNumberFormat="1" applyFont="1" applyBorder="1" applyAlignment="1">
      <alignment horizontal="right" vertical="top" wrapText="1"/>
    </xf>
    <xf numFmtId="2" fontId="4" fillId="0" borderId="1" xfId="7" applyNumberFormat="1" applyFont="1" applyBorder="1" applyAlignment="1">
      <alignment horizontal="right" vertical="top" wrapText="1"/>
    </xf>
    <xf numFmtId="2" fontId="4" fillId="0" borderId="13" xfId="7" applyNumberFormat="1" applyFont="1" applyBorder="1" applyAlignment="1">
      <alignment horizontal="right" vertical="top" wrapText="1"/>
    </xf>
    <xf numFmtId="0" fontId="5" fillId="2" borderId="1" xfId="7" applyNumberFormat="1" applyFont="1" applyFill="1" applyBorder="1" applyAlignment="1">
      <alignment vertical="top"/>
    </xf>
    <xf numFmtId="4" fontId="5" fillId="2" borderId="1" xfId="7" applyNumberFormat="1" applyFont="1" applyFill="1" applyBorder="1" applyAlignment="1">
      <alignment horizontal="right" vertical="top" wrapText="1"/>
    </xf>
    <xf numFmtId="0" fontId="5" fillId="2" borderId="12" xfId="7" applyNumberFormat="1" applyFont="1" applyFill="1" applyBorder="1" applyAlignment="1">
      <alignment horizontal="center" vertical="top"/>
    </xf>
    <xf numFmtId="4" fontId="5" fillId="2" borderId="13" xfId="7" applyNumberFormat="1" applyFont="1" applyFill="1" applyBorder="1" applyAlignment="1">
      <alignment horizontal="right" vertical="top" wrapText="1"/>
    </xf>
    <xf numFmtId="0" fontId="3" fillId="2" borderId="2" xfId="8" applyNumberFormat="1" applyFont="1" applyFill="1" applyBorder="1" applyAlignment="1">
      <alignment vertical="top"/>
    </xf>
    <xf numFmtId="0" fontId="3" fillId="2" borderId="3" xfId="8" applyNumberFormat="1" applyFont="1" applyFill="1" applyBorder="1" applyAlignment="1">
      <alignment vertical="top"/>
    </xf>
    <xf numFmtId="0" fontId="3" fillId="2" borderId="4" xfId="8" applyNumberFormat="1" applyFont="1" applyFill="1" applyBorder="1" applyAlignment="1">
      <alignment vertical="top"/>
    </xf>
    <xf numFmtId="0" fontId="3" fillId="2" borderId="3" xfId="8" applyNumberFormat="1" applyFont="1" applyFill="1" applyBorder="1" applyAlignment="1">
      <alignment horizontal="center" vertical="top"/>
    </xf>
    <xf numFmtId="0" fontId="3" fillId="2" borderId="5" xfId="8" applyNumberFormat="1" applyFont="1" applyFill="1" applyBorder="1" applyAlignment="1">
      <alignment horizontal="center" vertical="top"/>
    </xf>
    <xf numFmtId="0" fontId="3" fillId="2" borderId="6" xfId="8" applyNumberFormat="1" applyFont="1" applyFill="1" applyBorder="1" applyAlignment="1">
      <alignment vertical="top"/>
    </xf>
    <xf numFmtId="0" fontId="3" fillId="2" borderId="7" xfId="8" applyNumberFormat="1" applyFont="1" applyFill="1" applyBorder="1" applyAlignment="1">
      <alignment vertical="top"/>
    </xf>
    <xf numFmtId="0" fontId="3" fillId="2" borderId="8" xfId="8" applyNumberFormat="1" applyFont="1" applyFill="1" applyBorder="1" applyAlignment="1">
      <alignment vertical="top"/>
    </xf>
    <xf numFmtId="0" fontId="3" fillId="2" borderId="5" xfId="8" applyNumberFormat="1" applyFont="1" applyFill="1" applyBorder="1" applyAlignment="1">
      <alignment vertical="top"/>
    </xf>
    <xf numFmtId="0" fontId="3" fillId="2" borderId="9" xfId="8" applyNumberFormat="1" applyFont="1" applyFill="1" applyBorder="1" applyAlignment="1">
      <alignment vertical="top"/>
    </xf>
    <xf numFmtId="0" fontId="3" fillId="2" borderId="9" xfId="8" applyNumberFormat="1" applyFont="1" applyFill="1" applyBorder="1" applyAlignment="1">
      <alignment vertical="top"/>
    </xf>
    <xf numFmtId="0" fontId="3" fillId="2" borderId="10" xfId="8" applyNumberFormat="1" applyFont="1" applyFill="1" applyBorder="1" applyAlignment="1">
      <alignment vertical="top"/>
    </xf>
    <xf numFmtId="0" fontId="3" fillId="2" borderId="11" xfId="8" applyNumberFormat="1" applyFont="1" applyFill="1" applyBorder="1" applyAlignment="1">
      <alignment vertical="top"/>
    </xf>
    <xf numFmtId="0" fontId="4" fillId="0" borderId="1" xfId="8" applyNumberFormat="1" applyFont="1" applyBorder="1" applyAlignment="1">
      <alignment vertical="top"/>
    </xf>
    <xf numFmtId="0" fontId="4" fillId="0" borderId="1" xfId="8" applyNumberFormat="1" applyFont="1" applyBorder="1" applyAlignment="1">
      <alignment vertical="top" wrapText="1"/>
    </xf>
    <xf numFmtId="0" fontId="4" fillId="0" borderId="1" xfId="8" applyNumberFormat="1" applyFont="1" applyBorder="1" applyAlignment="1">
      <alignment horizontal="left" vertical="top"/>
    </xf>
    <xf numFmtId="0" fontId="4" fillId="0" borderId="1" xfId="8" applyNumberFormat="1" applyFont="1" applyBorder="1" applyAlignment="1">
      <alignment horizontal="right" vertical="top" wrapText="1"/>
    </xf>
    <xf numFmtId="4" fontId="4" fillId="0" borderId="13" xfId="8" applyNumberFormat="1" applyFont="1" applyBorder="1" applyAlignment="1">
      <alignment horizontal="right" vertical="top" wrapText="1"/>
    </xf>
    <xf numFmtId="0" fontId="4" fillId="0" borderId="12" xfId="8" applyNumberFormat="1" applyFont="1" applyBorder="1" applyAlignment="1">
      <alignment horizontal="center" vertical="top"/>
    </xf>
    <xf numFmtId="4" fontId="4" fillId="0" borderId="13" xfId="8" applyNumberFormat="1" applyFont="1" applyBorder="1" applyAlignment="1">
      <alignment horizontal="right" vertical="top" wrapText="1"/>
    </xf>
    <xf numFmtId="4" fontId="4" fillId="0" borderId="1" xfId="8" applyNumberFormat="1" applyFont="1" applyBorder="1" applyAlignment="1">
      <alignment horizontal="right" vertical="top" wrapText="1"/>
    </xf>
    <xf numFmtId="0" fontId="4" fillId="0" borderId="13" xfId="8" applyNumberFormat="1" applyFont="1" applyBorder="1" applyAlignment="1">
      <alignment horizontal="right" vertical="top" wrapText="1"/>
    </xf>
    <xf numFmtId="2" fontId="4" fillId="0" borderId="1" xfId="8" applyNumberFormat="1" applyFont="1" applyBorder="1" applyAlignment="1">
      <alignment horizontal="right" vertical="top" wrapText="1"/>
    </xf>
    <xf numFmtId="2" fontId="4" fillId="0" borderId="13" xfId="8" applyNumberFormat="1" applyFont="1" applyBorder="1" applyAlignment="1">
      <alignment horizontal="right" vertical="top" wrapText="1"/>
    </xf>
    <xf numFmtId="0" fontId="5" fillId="2" borderId="1" xfId="8" applyNumberFormat="1" applyFont="1" applyFill="1" applyBorder="1" applyAlignment="1">
      <alignment vertical="top"/>
    </xf>
    <xf numFmtId="4" fontId="5" fillId="2" borderId="1" xfId="8" applyNumberFormat="1" applyFont="1" applyFill="1" applyBorder="1" applyAlignment="1">
      <alignment horizontal="right" vertical="top" wrapText="1"/>
    </xf>
    <xf numFmtId="0" fontId="5" fillId="2" borderId="12" xfId="8" applyNumberFormat="1" applyFont="1" applyFill="1" applyBorder="1" applyAlignment="1">
      <alignment horizontal="center" vertical="top"/>
    </xf>
    <xf numFmtId="4" fontId="5" fillId="2" borderId="13" xfId="8" applyNumberFormat="1" applyFont="1" applyFill="1" applyBorder="1" applyAlignment="1">
      <alignment horizontal="right" vertical="top" wrapText="1"/>
    </xf>
    <xf numFmtId="0" fontId="3" fillId="2" borderId="2" xfId="9" applyNumberFormat="1" applyFont="1" applyFill="1" applyBorder="1" applyAlignment="1">
      <alignment vertical="top"/>
    </xf>
    <xf numFmtId="0" fontId="3" fillId="2" borderId="3" xfId="9" applyNumberFormat="1" applyFont="1" applyFill="1" applyBorder="1" applyAlignment="1">
      <alignment vertical="top"/>
    </xf>
    <xf numFmtId="0" fontId="3" fillId="2" borderId="4" xfId="9" applyNumberFormat="1" applyFont="1" applyFill="1" applyBorder="1" applyAlignment="1">
      <alignment vertical="top"/>
    </xf>
    <xf numFmtId="0" fontId="3" fillId="2" borderId="3" xfId="9" applyNumberFormat="1" applyFont="1" applyFill="1" applyBorder="1" applyAlignment="1">
      <alignment horizontal="center" vertical="top"/>
    </xf>
    <xf numFmtId="0" fontId="3" fillId="2" borderId="5" xfId="9" applyNumberFormat="1" applyFont="1" applyFill="1" applyBorder="1" applyAlignment="1">
      <alignment horizontal="center" vertical="top"/>
    </xf>
    <xf numFmtId="0" fontId="3" fillId="2" borderId="6" xfId="9" applyNumberFormat="1" applyFont="1" applyFill="1" applyBorder="1" applyAlignment="1">
      <alignment vertical="top"/>
    </xf>
    <xf numFmtId="0" fontId="3" fillId="2" borderId="7" xfId="9" applyNumberFormat="1" applyFont="1" applyFill="1" applyBorder="1" applyAlignment="1">
      <alignment vertical="top"/>
    </xf>
    <xf numFmtId="0" fontId="3" fillId="2" borderId="8" xfId="9" applyNumberFormat="1" applyFont="1" applyFill="1" applyBorder="1" applyAlignment="1">
      <alignment vertical="top"/>
    </xf>
    <xf numFmtId="0" fontId="3" fillId="2" borderId="5" xfId="9" applyNumberFormat="1" applyFont="1" applyFill="1" applyBorder="1" applyAlignment="1">
      <alignment vertical="top"/>
    </xf>
    <xf numFmtId="0" fontId="3" fillId="2" borderId="9" xfId="9" applyNumberFormat="1" applyFont="1" applyFill="1" applyBorder="1" applyAlignment="1">
      <alignment vertical="top"/>
    </xf>
    <xf numFmtId="0" fontId="3" fillId="2" borderId="9" xfId="9" applyNumberFormat="1" applyFont="1" applyFill="1" applyBorder="1" applyAlignment="1">
      <alignment vertical="top"/>
    </xf>
    <xf numFmtId="0" fontId="3" fillId="2" borderId="10" xfId="9" applyNumberFormat="1" applyFont="1" applyFill="1" applyBorder="1" applyAlignment="1">
      <alignment vertical="top"/>
    </xf>
    <xf numFmtId="0" fontId="3" fillId="2" borderId="11" xfId="9" applyNumberFormat="1" applyFont="1" applyFill="1" applyBorder="1" applyAlignment="1">
      <alignment vertical="top"/>
    </xf>
    <xf numFmtId="0" fontId="4" fillId="0" borderId="1" xfId="9" applyNumberFormat="1" applyFont="1" applyBorder="1" applyAlignment="1">
      <alignment vertical="top"/>
    </xf>
    <xf numFmtId="0" fontId="4" fillId="0" borderId="1" xfId="9" applyNumberFormat="1" applyFont="1" applyBorder="1" applyAlignment="1">
      <alignment vertical="top" wrapText="1"/>
    </xf>
    <xf numFmtId="0" fontId="4" fillId="0" borderId="1" xfId="9" applyNumberFormat="1" applyFont="1" applyBorder="1" applyAlignment="1">
      <alignment horizontal="left" vertical="top"/>
    </xf>
    <xf numFmtId="4" fontId="4" fillId="0" borderId="1" xfId="9" applyNumberFormat="1" applyFont="1" applyBorder="1" applyAlignment="1">
      <alignment horizontal="right" vertical="top" wrapText="1"/>
    </xf>
    <xf numFmtId="0" fontId="4" fillId="0" borderId="13" xfId="9" applyNumberFormat="1" applyFont="1" applyBorder="1" applyAlignment="1">
      <alignment horizontal="right" vertical="top" wrapText="1"/>
    </xf>
    <xf numFmtId="0" fontId="4" fillId="0" borderId="12" xfId="9" applyNumberFormat="1" applyFont="1" applyBorder="1" applyAlignment="1">
      <alignment horizontal="center" vertical="top"/>
    </xf>
    <xf numFmtId="4" fontId="4" fillId="0" borderId="13" xfId="9" applyNumberFormat="1" applyFont="1" applyBorder="1" applyAlignment="1">
      <alignment horizontal="right" vertical="top" wrapText="1"/>
    </xf>
    <xf numFmtId="2" fontId="4" fillId="0" borderId="1" xfId="9" applyNumberFormat="1" applyFont="1" applyBorder="1" applyAlignment="1">
      <alignment horizontal="right" vertical="top" wrapText="1"/>
    </xf>
    <xf numFmtId="0" fontId="4" fillId="0" borderId="1" xfId="9" applyNumberFormat="1" applyFont="1" applyBorder="1" applyAlignment="1">
      <alignment horizontal="right" vertical="top" wrapText="1"/>
    </xf>
    <xf numFmtId="4" fontId="4" fillId="0" borderId="13" xfId="9" applyNumberFormat="1" applyFont="1" applyBorder="1" applyAlignment="1">
      <alignment horizontal="right" vertical="top" wrapText="1"/>
    </xf>
    <xf numFmtId="0" fontId="5" fillId="2" borderId="1" xfId="9" applyNumberFormat="1" applyFont="1" applyFill="1" applyBorder="1" applyAlignment="1">
      <alignment vertical="top"/>
    </xf>
    <xf numFmtId="4" fontId="5" fillId="2" borderId="1" xfId="9" applyNumberFormat="1" applyFont="1" applyFill="1" applyBorder="1" applyAlignment="1">
      <alignment horizontal="right" vertical="top" wrapText="1"/>
    </xf>
    <xf numFmtId="0" fontId="5" fillId="2" borderId="12" xfId="9" applyNumberFormat="1" applyFont="1" applyFill="1" applyBorder="1" applyAlignment="1">
      <alignment horizontal="center" vertical="top"/>
    </xf>
    <xf numFmtId="4" fontId="5" fillId="2" borderId="13" xfId="9" applyNumberFormat="1" applyFont="1" applyFill="1" applyBorder="1" applyAlignment="1">
      <alignment horizontal="right" vertical="top" wrapText="1"/>
    </xf>
    <xf numFmtId="4" fontId="0" fillId="0" borderId="0" xfId="0" applyNumberFormat="1" applyAlignment="1">
      <alignment horizontal="center" vertical="center"/>
    </xf>
    <xf numFmtId="0" fontId="3" fillId="2" borderId="2" xfId="10" applyNumberFormat="1" applyFont="1" applyFill="1" applyBorder="1" applyAlignment="1">
      <alignment vertical="top"/>
    </xf>
    <xf numFmtId="0" fontId="3" fillId="2" borderId="3" xfId="10" applyNumberFormat="1" applyFont="1" applyFill="1" applyBorder="1" applyAlignment="1">
      <alignment vertical="top"/>
    </xf>
    <xf numFmtId="0" fontId="3" fillId="2" borderId="4" xfId="10" applyNumberFormat="1" applyFont="1" applyFill="1" applyBorder="1" applyAlignment="1">
      <alignment vertical="top"/>
    </xf>
    <xf numFmtId="0" fontId="3" fillId="2" borderId="3" xfId="10" applyNumberFormat="1" applyFont="1" applyFill="1" applyBorder="1" applyAlignment="1">
      <alignment horizontal="center" vertical="top"/>
    </xf>
    <xf numFmtId="0" fontId="3" fillId="2" borderId="5" xfId="10" applyNumberFormat="1" applyFont="1" applyFill="1" applyBorder="1" applyAlignment="1">
      <alignment horizontal="center" vertical="top"/>
    </xf>
    <xf numFmtId="0" fontId="3" fillId="2" borderId="6" xfId="10" applyNumberFormat="1" applyFont="1" applyFill="1" applyBorder="1" applyAlignment="1">
      <alignment vertical="top"/>
    </xf>
    <xf numFmtId="0" fontId="3" fillId="2" borderId="7" xfId="10" applyNumberFormat="1" applyFont="1" applyFill="1" applyBorder="1" applyAlignment="1">
      <alignment vertical="top"/>
    </xf>
    <xf numFmtId="0" fontId="3" fillId="2" borderId="8" xfId="10" applyNumberFormat="1" applyFont="1" applyFill="1" applyBorder="1" applyAlignment="1">
      <alignment vertical="top"/>
    </xf>
    <xf numFmtId="0" fontId="3" fillId="2" borderId="5" xfId="10" applyNumberFormat="1" applyFont="1" applyFill="1" applyBorder="1" applyAlignment="1">
      <alignment vertical="top"/>
    </xf>
    <xf numFmtId="0" fontId="3" fillId="2" borderId="9" xfId="10" applyNumberFormat="1" applyFont="1" applyFill="1" applyBorder="1" applyAlignment="1">
      <alignment vertical="top"/>
    </xf>
    <xf numFmtId="0" fontId="3" fillId="2" borderId="9" xfId="10" applyNumberFormat="1" applyFont="1" applyFill="1" applyBorder="1" applyAlignment="1">
      <alignment vertical="top"/>
    </xf>
    <xf numFmtId="0" fontId="3" fillId="2" borderId="10" xfId="10" applyNumberFormat="1" applyFont="1" applyFill="1" applyBorder="1" applyAlignment="1">
      <alignment vertical="top"/>
    </xf>
    <xf numFmtId="0" fontId="3" fillId="2" borderId="11" xfId="10" applyNumberFormat="1" applyFont="1" applyFill="1" applyBorder="1" applyAlignment="1">
      <alignment vertical="top"/>
    </xf>
    <xf numFmtId="0" fontId="4" fillId="0" borderId="1" xfId="10" applyNumberFormat="1" applyFont="1" applyBorder="1" applyAlignment="1">
      <alignment vertical="top"/>
    </xf>
    <xf numFmtId="0" fontId="4" fillId="0" borderId="1" xfId="10" applyNumberFormat="1" applyFont="1" applyBorder="1" applyAlignment="1">
      <alignment vertical="top" wrapText="1"/>
    </xf>
    <xf numFmtId="0" fontId="4" fillId="0" borderId="1" xfId="10" applyNumberFormat="1" applyFont="1" applyBorder="1" applyAlignment="1">
      <alignment horizontal="left" vertical="top"/>
    </xf>
    <xf numFmtId="4" fontId="4" fillId="0" borderId="1" xfId="10" applyNumberFormat="1" applyFont="1" applyBorder="1" applyAlignment="1">
      <alignment horizontal="right" vertical="top" wrapText="1"/>
    </xf>
    <xf numFmtId="0" fontId="4" fillId="0" borderId="13" xfId="10" applyNumberFormat="1" applyFont="1" applyBorder="1" applyAlignment="1">
      <alignment horizontal="right" vertical="top" wrapText="1"/>
    </xf>
    <xf numFmtId="0" fontId="4" fillId="0" borderId="12" xfId="10" applyNumberFormat="1" applyFont="1" applyBorder="1" applyAlignment="1">
      <alignment horizontal="center" vertical="top"/>
    </xf>
    <xf numFmtId="4" fontId="4" fillId="0" borderId="13" xfId="10" applyNumberFormat="1" applyFont="1" applyBorder="1" applyAlignment="1">
      <alignment horizontal="right" vertical="top" wrapText="1"/>
    </xf>
    <xf numFmtId="2" fontId="4" fillId="0" borderId="1" xfId="10" applyNumberFormat="1" applyFont="1" applyBorder="1" applyAlignment="1">
      <alignment horizontal="right" vertical="top" wrapText="1"/>
    </xf>
    <xf numFmtId="0" fontId="4" fillId="0" borderId="1" xfId="10" applyNumberFormat="1" applyFont="1" applyBorder="1" applyAlignment="1">
      <alignment horizontal="right" vertical="top" wrapText="1"/>
    </xf>
    <xf numFmtId="4" fontId="4" fillId="0" borderId="13" xfId="10" applyNumberFormat="1" applyFont="1" applyBorder="1" applyAlignment="1">
      <alignment horizontal="right" vertical="top" wrapText="1"/>
    </xf>
    <xf numFmtId="2" fontId="4" fillId="0" borderId="13" xfId="10" applyNumberFormat="1" applyFont="1" applyBorder="1" applyAlignment="1">
      <alignment horizontal="right" vertical="top" wrapText="1"/>
    </xf>
    <xf numFmtId="0" fontId="5" fillId="2" borderId="1" xfId="10" applyNumberFormat="1" applyFont="1" applyFill="1" applyBorder="1" applyAlignment="1">
      <alignment vertical="top"/>
    </xf>
    <xf numFmtId="4" fontId="5" fillId="2" borderId="1" xfId="10" applyNumberFormat="1" applyFont="1" applyFill="1" applyBorder="1" applyAlignment="1">
      <alignment horizontal="right" vertical="top" wrapText="1"/>
    </xf>
    <xf numFmtId="0" fontId="5" fillId="2" borderId="12" xfId="10" applyNumberFormat="1" applyFont="1" applyFill="1" applyBorder="1" applyAlignment="1">
      <alignment horizontal="center" vertical="top"/>
    </xf>
    <xf numFmtId="4" fontId="5" fillId="2" borderId="13" xfId="10" applyNumberFormat="1" applyFont="1" applyFill="1" applyBorder="1" applyAlignment="1">
      <alignment horizontal="right" vertical="top" wrapText="1"/>
    </xf>
    <xf numFmtId="0" fontId="3" fillId="2" borderId="2" xfId="11" applyNumberFormat="1" applyFont="1" applyFill="1" applyBorder="1" applyAlignment="1">
      <alignment vertical="top"/>
    </xf>
    <xf numFmtId="0" fontId="3" fillId="2" borderId="3" xfId="11" applyNumberFormat="1" applyFont="1" applyFill="1" applyBorder="1" applyAlignment="1">
      <alignment vertical="top"/>
    </xf>
    <xf numFmtId="0" fontId="3" fillId="2" borderId="4" xfId="11" applyNumberFormat="1" applyFont="1" applyFill="1" applyBorder="1" applyAlignment="1">
      <alignment vertical="top"/>
    </xf>
    <xf numFmtId="0" fontId="3" fillId="2" borderId="3" xfId="11" applyNumberFormat="1" applyFont="1" applyFill="1" applyBorder="1" applyAlignment="1">
      <alignment horizontal="center" vertical="top"/>
    </xf>
    <xf numFmtId="0" fontId="3" fillId="2" borderId="5" xfId="11" applyNumberFormat="1" applyFont="1" applyFill="1" applyBorder="1" applyAlignment="1">
      <alignment horizontal="center" vertical="top"/>
    </xf>
    <xf numFmtId="0" fontId="3" fillId="2" borderId="6" xfId="11" applyNumberFormat="1" applyFont="1" applyFill="1" applyBorder="1" applyAlignment="1">
      <alignment vertical="top"/>
    </xf>
    <xf numFmtId="0" fontId="3" fillId="2" borderId="7" xfId="11" applyNumberFormat="1" applyFont="1" applyFill="1" applyBorder="1" applyAlignment="1">
      <alignment vertical="top"/>
    </xf>
    <xf numFmtId="0" fontId="3" fillId="2" borderId="8" xfId="11" applyNumberFormat="1" applyFont="1" applyFill="1" applyBorder="1" applyAlignment="1">
      <alignment vertical="top"/>
    </xf>
    <xf numFmtId="0" fontId="3" fillId="2" borderId="5" xfId="11" applyNumberFormat="1" applyFont="1" applyFill="1" applyBorder="1" applyAlignment="1">
      <alignment vertical="top"/>
    </xf>
    <xf numFmtId="0" fontId="3" fillId="2" borderId="9" xfId="11" applyNumberFormat="1" applyFont="1" applyFill="1" applyBorder="1" applyAlignment="1">
      <alignment vertical="top"/>
    </xf>
    <xf numFmtId="0" fontId="3" fillId="2" borderId="9" xfId="11" applyNumberFormat="1" applyFont="1" applyFill="1" applyBorder="1" applyAlignment="1">
      <alignment vertical="top"/>
    </xf>
    <xf numFmtId="0" fontId="3" fillId="2" borderId="10" xfId="11" applyNumberFormat="1" applyFont="1" applyFill="1" applyBorder="1" applyAlignment="1">
      <alignment vertical="top"/>
    </xf>
    <xf numFmtId="0" fontId="3" fillId="2" borderId="11" xfId="11" applyNumberFormat="1" applyFont="1" applyFill="1" applyBorder="1" applyAlignment="1">
      <alignment vertical="top"/>
    </xf>
    <xf numFmtId="0" fontId="4" fillId="0" borderId="1" xfId="11" applyNumberFormat="1" applyFont="1" applyBorder="1" applyAlignment="1">
      <alignment vertical="top"/>
    </xf>
    <xf numFmtId="0" fontId="4" fillId="0" borderId="1" xfId="11" applyNumberFormat="1" applyFont="1" applyBorder="1" applyAlignment="1">
      <alignment vertical="top" wrapText="1"/>
    </xf>
    <xf numFmtId="0" fontId="4" fillId="0" borderId="1" xfId="11" applyNumberFormat="1" applyFont="1" applyBorder="1" applyAlignment="1">
      <alignment horizontal="left" vertical="top"/>
    </xf>
    <xf numFmtId="4" fontId="4" fillId="0" borderId="1" xfId="11" applyNumberFormat="1" applyFont="1" applyBorder="1" applyAlignment="1">
      <alignment horizontal="right" vertical="top" wrapText="1"/>
    </xf>
    <xf numFmtId="0" fontId="4" fillId="0" borderId="13" xfId="11" applyNumberFormat="1" applyFont="1" applyBorder="1" applyAlignment="1">
      <alignment horizontal="right" vertical="top" wrapText="1"/>
    </xf>
    <xf numFmtId="0" fontId="4" fillId="0" borderId="12" xfId="11" applyNumberFormat="1" applyFont="1" applyBorder="1" applyAlignment="1">
      <alignment horizontal="center" vertical="top"/>
    </xf>
    <xf numFmtId="4" fontId="4" fillId="0" borderId="13" xfId="11" applyNumberFormat="1" applyFont="1" applyBorder="1" applyAlignment="1">
      <alignment horizontal="right" vertical="top" wrapText="1"/>
    </xf>
    <xf numFmtId="2" fontId="4" fillId="0" borderId="1" xfId="11" applyNumberFormat="1" applyFont="1" applyBorder="1" applyAlignment="1">
      <alignment horizontal="right" vertical="top" wrapText="1"/>
    </xf>
    <xf numFmtId="0" fontId="4" fillId="0" borderId="1" xfId="11" applyNumberFormat="1" applyFont="1" applyBorder="1" applyAlignment="1">
      <alignment horizontal="right" vertical="top" wrapText="1"/>
    </xf>
    <xf numFmtId="2" fontId="4" fillId="0" borderId="13" xfId="11" applyNumberFormat="1" applyFont="1" applyBorder="1" applyAlignment="1">
      <alignment horizontal="right" vertical="top" wrapText="1"/>
    </xf>
    <xf numFmtId="4" fontId="4" fillId="0" borderId="13" xfId="11" applyNumberFormat="1" applyFont="1" applyBorder="1" applyAlignment="1">
      <alignment horizontal="right" vertical="top" wrapText="1"/>
    </xf>
    <xf numFmtId="0" fontId="5" fillId="2" borderId="1" xfId="11" applyNumberFormat="1" applyFont="1" applyFill="1" applyBorder="1" applyAlignment="1">
      <alignment vertical="top"/>
    </xf>
    <xf numFmtId="4" fontId="5" fillId="2" borderId="1" xfId="11" applyNumberFormat="1" applyFont="1" applyFill="1" applyBorder="1" applyAlignment="1">
      <alignment horizontal="right" vertical="top" wrapText="1"/>
    </xf>
    <xf numFmtId="0" fontId="5" fillId="2" borderId="12" xfId="11" applyNumberFormat="1" applyFont="1" applyFill="1" applyBorder="1" applyAlignment="1">
      <alignment horizontal="center" vertical="top"/>
    </xf>
    <xf numFmtId="4" fontId="5" fillId="2" borderId="13" xfId="11" applyNumberFormat="1" applyFont="1" applyFill="1" applyBorder="1" applyAlignment="1">
      <alignment horizontal="right" vertical="top" wrapText="1"/>
    </xf>
    <xf numFmtId="0" fontId="3" fillId="2" borderId="2" xfId="12" applyNumberFormat="1" applyFont="1" applyFill="1" applyBorder="1" applyAlignment="1">
      <alignment vertical="top"/>
    </xf>
    <xf numFmtId="0" fontId="3" fillId="2" borderId="3" xfId="12" applyNumberFormat="1" applyFont="1" applyFill="1" applyBorder="1" applyAlignment="1">
      <alignment vertical="top"/>
    </xf>
    <xf numFmtId="0" fontId="3" fillId="2" borderId="4" xfId="12" applyNumberFormat="1" applyFont="1" applyFill="1" applyBorder="1" applyAlignment="1">
      <alignment vertical="top"/>
    </xf>
    <xf numFmtId="0" fontId="3" fillId="2" borderId="3" xfId="12" applyNumberFormat="1" applyFont="1" applyFill="1" applyBorder="1" applyAlignment="1">
      <alignment horizontal="center" vertical="top"/>
    </xf>
    <xf numFmtId="0" fontId="3" fillId="2" borderId="5" xfId="12" applyNumberFormat="1" applyFont="1" applyFill="1" applyBorder="1" applyAlignment="1">
      <alignment horizontal="center" vertical="top"/>
    </xf>
    <xf numFmtId="0" fontId="3" fillId="2" borderId="6" xfId="12" applyNumberFormat="1" applyFont="1" applyFill="1" applyBorder="1" applyAlignment="1">
      <alignment vertical="top"/>
    </xf>
    <xf numFmtId="0" fontId="3" fillId="2" borderId="7" xfId="12" applyNumberFormat="1" applyFont="1" applyFill="1" applyBorder="1" applyAlignment="1">
      <alignment vertical="top"/>
    </xf>
    <xf numFmtId="0" fontId="3" fillId="2" borderId="8" xfId="12" applyNumberFormat="1" applyFont="1" applyFill="1" applyBorder="1" applyAlignment="1">
      <alignment vertical="top"/>
    </xf>
    <xf numFmtId="0" fontId="3" fillId="2" borderId="5" xfId="12" applyNumberFormat="1" applyFont="1" applyFill="1" applyBorder="1" applyAlignment="1">
      <alignment vertical="top"/>
    </xf>
    <xf numFmtId="0" fontId="3" fillId="2" borderId="9" xfId="12" applyNumberFormat="1" applyFont="1" applyFill="1" applyBorder="1" applyAlignment="1">
      <alignment vertical="top"/>
    </xf>
    <xf numFmtId="0" fontId="3" fillId="2" borderId="9" xfId="12" applyNumberFormat="1" applyFont="1" applyFill="1" applyBorder="1" applyAlignment="1">
      <alignment vertical="top"/>
    </xf>
    <xf numFmtId="0" fontId="3" fillId="2" borderId="10" xfId="12" applyNumberFormat="1" applyFont="1" applyFill="1" applyBorder="1" applyAlignment="1">
      <alignment vertical="top"/>
    </xf>
    <xf numFmtId="0" fontId="3" fillId="2" borderId="11" xfId="12" applyNumberFormat="1" applyFont="1" applyFill="1" applyBorder="1" applyAlignment="1">
      <alignment vertical="top"/>
    </xf>
    <xf numFmtId="0" fontId="4" fillId="0" borderId="1" xfId="12" applyNumberFormat="1" applyFont="1" applyBorder="1" applyAlignment="1">
      <alignment vertical="top"/>
    </xf>
    <xf numFmtId="0" fontId="4" fillId="0" borderId="1" xfId="12" applyNumberFormat="1" applyFont="1" applyBorder="1" applyAlignment="1">
      <alignment vertical="top" wrapText="1"/>
    </xf>
    <xf numFmtId="0" fontId="4" fillId="0" borderId="1" xfId="12" applyNumberFormat="1" applyFont="1" applyBorder="1" applyAlignment="1">
      <alignment horizontal="left" vertical="top"/>
    </xf>
    <xf numFmtId="0" fontId="4" fillId="0" borderId="1" xfId="12" applyNumberFormat="1" applyFont="1" applyBorder="1" applyAlignment="1">
      <alignment horizontal="right" vertical="top" wrapText="1"/>
    </xf>
    <xf numFmtId="2" fontId="4" fillId="0" borderId="13" xfId="12" applyNumberFormat="1" applyFont="1" applyBorder="1" applyAlignment="1">
      <alignment horizontal="right" vertical="top" wrapText="1"/>
    </xf>
    <xf numFmtId="0" fontId="4" fillId="0" borderId="12" xfId="12" applyNumberFormat="1" applyFont="1" applyBorder="1" applyAlignment="1">
      <alignment horizontal="center" vertical="top"/>
    </xf>
    <xf numFmtId="4" fontId="4" fillId="0" borderId="13" xfId="12" applyNumberFormat="1" applyFont="1" applyBorder="1" applyAlignment="1">
      <alignment horizontal="right" vertical="top" wrapText="1"/>
    </xf>
    <xf numFmtId="4" fontId="4" fillId="0" borderId="13" xfId="12" applyNumberFormat="1" applyFont="1" applyBorder="1" applyAlignment="1">
      <alignment horizontal="right" vertical="top" wrapText="1"/>
    </xf>
    <xf numFmtId="4" fontId="4" fillId="0" borderId="1" xfId="12" applyNumberFormat="1" applyFont="1" applyBorder="1" applyAlignment="1">
      <alignment horizontal="right" vertical="top" wrapText="1"/>
    </xf>
    <xf numFmtId="0" fontId="4" fillId="0" borderId="13" xfId="12" applyNumberFormat="1" applyFont="1" applyBorder="1" applyAlignment="1">
      <alignment horizontal="right" vertical="top" wrapText="1"/>
    </xf>
    <xf numFmtId="2" fontId="4" fillId="0" borderId="1" xfId="12" applyNumberFormat="1" applyFont="1" applyBorder="1" applyAlignment="1">
      <alignment horizontal="right" vertical="top" wrapText="1"/>
    </xf>
    <xf numFmtId="0" fontId="5" fillId="2" borderId="1" xfId="12" applyNumberFormat="1" applyFont="1" applyFill="1" applyBorder="1" applyAlignment="1">
      <alignment vertical="top"/>
    </xf>
    <xf numFmtId="4" fontId="5" fillId="2" borderId="1" xfId="12" applyNumberFormat="1" applyFont="1" applyFill="1" applyBorder="1" applyAlignment="1">
      <alignment horizontal="right" vertical="top" wrapText="1"/>
    </xf>
    <xf numFmtId="0" fontId="5" fillId="2" borderId="12" xfId="12" applyNumberFormat="1" applyFont="1" applyFill="1" applyBorder="1" applyAlignment="1">
      <alignment horizontal="center" vertical="top"/>
    </xf>
    <xf numFmtId="4" fontId="5" fillId="2" borderId="13" xfId="12" applyNumberFormat="1" applyFont="1" applyFill="1" applyBorder="1" applyAlignment="1">
      <alignment horizontal="right" vertical="top" wrapText="1"/>
    </xf>
    <xf numFmtId="0" fontId="3" fillId="2" borderId="2" xfId="13" applyNumberFormat="1" applyFont="1" applyFill="1" applyBorder="1" applyAlignment="1">
      <alignment vertical="top"/>
    </xf>
    <xf numFmtId="0" fontId="3" fillId="2" borderId="3" xfId="13" applyNumberFormat="1" applyFont="1" applyFill="1" applyBorder="1" applyAlignment="1">
      <alignment vertical="top"/>
    </xf>
    <xf numFmtId="0" fontId="3" fillId="2" borderId="4" xfId="13" applyNumberFormat="1" applyFont="1" applyFill="1" applyBorder="1" applyAlignment="1">
      <alignment vertical="top"/>
    </xf>
    <xf numFmtId="0" fontId="3" fillId="2" borderId="3" xfId="13" applyNumberFormat="1" applyFont="1" applyFill="1" applyBorder="1" applyAlignment="1">
      <alignment horizontal="center" vertical="top"/>
    </xf>
    <xf numFmtId="0" fontId="3" fillId="2" borderId="5" xfId="13" applyNumberFormat="1" applyFont="1" applyFill="1" applyBorder="1" applyAlignment="1">
      <alignment horizontal="center" vertical="top"/>
    </xf>
    <xf numFmtId="0" fontId="3" fillId="2" borderId="6" xfId="13" applyNumberFormat="1" applyFont="1" applyFill="1" applyBorder="1" applyAlignment="1">
      <alignment vertical="top"/>
    </xf>
    <xf numFmtId="0" fontId="3" fillId="2" borderId="7" xfId="13" applyNumberFormat="1" applyFont="1" applyFill="1" applyBorder="1" applyAlignment="1">
      <alignment vertical="top"/>
    </xf>
    <xf numFmtId="0" fontId="3" fillId="2" borderId="8" xfId="13" applyNumberFormat="1" applyFont="1" applyFill="1" applyBorder="1" applyAlignment="1">
      <alignment vertical="top"/>
    </xf>
    <xf numFmtId="0" fontId="3" fillId="2" borderId="5" xfId="13" applyNumberFormat="1" applyFont="1" applyFill="1" applyBorder="1" applyAlignment="1">
      <alignment vertical="top"/>
    </xf>
    <xf numFmtId="0" fontId="3" fillId="2" borderId="9" xfId="13" applyNumberFormat="1" applyFont="1" applyFill="1" applyBorder="1" applyAlignment="1">
      <alignment vertical="top"/>
    </xf>
    <xf numFmtId="0" fontId="3" fillId="2" borderId="9" xfId="13" applyNumberFormat="1" applyFont="1" applyFill="1" applyBorder="1" applyAlignment="1">
      <alignment vertical="top"/>
    </xf>
    <xf numFmtId="0" fontId="3" fillId="2" borderId="10" xfId="13" applyNumberFormat="1" applyFont="1" applyFill="1" applyBorder="1" applyAlignment="1">
      <alignment vertical="top"/>
    </xf>
    <xf numFmtId="0" fontId="3" fillId="2" borderId="11" xfId="13" applyNumberFormat="1" applyFont="1" applyFill="1" applyBorder="1" applyAlignment="1">
      <alignment vertical="top"/>
    </xf>
    <xf numFmtId="0" fontId="4" fillId="0" borderId="1" xfId="13" applyNumberFormat="1" applyFont="1" applyBorder="1" applyAlignment="1">
      <alignment vertical="top"/>
    </xf>
    <xf numFmtId="0" fontId="4" fillId="0" borderId="1" xfId="13" applyNumberFormat="1" applyFont="1" applyBorder="1" applyAlignment="1">
      <alignment vertical="top" wrapText="1"/>
    </xf>
    <xf numFmtId="0" fontId="4" fillId="0" borderId="1" xfId="13" applyNumberFormat="1" applyFont="1" applyBorder="1" applyAlignment="1">
      <alignment horizontal="left" vertical="top"/>
    </xf>
    <xf numFmtId="0" fontId="4" fillId="0" borderId="1" xfId="13" applyNumberFormat="1" applyFont="1" applyBorder="1" applyAlignment="1">
      <alignment horizontal="right" vertical="top" wrapText="1"/>
    </xf>
    <xf numFmtId="4" fontId="4" fillId="0" borderId="13" xfId="13" applyNumberFormat="1" applyFont="1" applyBorder="1" applyAlignment="1">
      <alignment horizontal="right" vertical="top" wrapText="1"/>
    </xf>
    <xf numFmtId="0" fontId="4" fillId="0" borderId="12" xfId="13" applyNumberFormat="1" applyFont="1" applyBorder="1" applyAlignment="1">
      <alignment horizontal="center" vertical="top"/>
    </xf>
    <xf numFmtId="4" fontId="4" fillId="0" borderId="13" xfId="13" applyNumberFormat="1" applyFont="1" applyBorder="1" applyAlignment="1">
      <alignment horizontal="right" vertical="top" wrapText="1"/>
    </xf>
    <xf numFmtId="4" fontId="4" fillId="0" borderId="1" xfId="13" applyNumberFormat="1" applyFont="1" applyBorder="1" applyAlignment="1">
      <alignment horizontal="right" vertical="top" wrapText="1"/>
    </xf>
    <xf numFmtId="0" fontId="4" fillId="0" borderId="13" xfId="13" applyNumberFormat="1" applyFont="1" applyBorder="1" applyAlignment="1">
      <alignment horizontal="right" vertical="top" wrapText="1"/>
    </xf>
    <xf numFmtId="2" fontId="4" fillId="0" borderId="13" xfId="13" applyNumberFormat="1" applyFont="1" applyBorder="1" applyAlignment="1">
      <alignment horizontal="right" vertical="top" wrapText="1"/>
    </xf>
    <xf numFmtId="2" fontId="4" fillId="0" borderId="1" xfId="13" applyNumberFormat="1" applyFont="1" applyBorder="1" applyAlignment="1">
      <alignment horizontal="right" vertical="top" wrapText="1"/>
    </xf>
    <xf numFmtId="0" fontId="5" fillId="2" borderId="1" xfId="13" applyNumberFormat="1" applyFont="1" applyFill="1" applyBorder="1" applyAlignment="1">
      <alignment vertical="top"/>
    </xf>
    <xf numFmtId="4" fontId="5" fillId="2" borderId="1" xfId="13" applyNumberFormat="1" applyFont="1" applyFill="1" applyBorder="1" applyAlignment="1">
      <alignment horizontal="right" vertical="top" wrapText="1"/>
    </xf>
    <xf numFmtId="0" fontId="5" fillId="2" borderId="12" xfId="13" applyNumberFormat="1" applyFont="1" applyFill="1" applyBorder="1" applyAlignment="1">
      <alignment horizontal="center" vertical="top"/>
    </xf>
    <xf numFmtId="4" fontId="5" fillId="2" borderId="13" xfId="13" applyNumberFormat="1" applyFont="1" applyFill="1" applyBorder="1" applyAlignment="1">
      <alignment horizontal="right" vertical="top" wrapText="1"/>
    </xf>
    <xf numFmtId="0" fontId="3" fillId="2" borderId="2" xfId="14" applyNumberFormat="1" applyFont="1" applyFill="1" applyBorder="1" applyAlignment="1">
      <alignment vertical="top"/>
    </xf>
    <xf numFmtId="0" fontId="3" fillId="2" borderId="3" xfId="14" applyNumberFormat="1" applyFont="1" applyFill="1" applyBorder="1" applyAlignment="1">
      <alignment vertical="top"/>
    </xf>
    <xf numFmtId="0" fontId="3" fillId="2" borderId="4" xfId="14" applyNumberFormat="1" applyFont="1" applyFill="1" applyBorder="1" applyAlignment="1">
      <alignment vertical="top"/>
    </xf>
    <xf numFmtId="0" fontId="3" fillId="2" borderId="3" xfId="14" applyNumberFormat="1" applyFont="1" applyFill="1" applyBorder="1" applyAlignment="1">
      <alignment horizontal="center" vertical="top"/>
    </xf>
    <xf numFmtId="0" fontId="3" fillId="2" borderId="5" xfId="14" applyNumberFormat="1" applyFont="1" applyFill="1" applyBorder="1" applyAlignment="1">
      <alignment horizontal="center" vertical="top"/>
    </xf>
    <xf numFmtId="0" fontId="3" fillId="2" borderId="6" xfId="14" applyNumberFormat="1" applyFont="1" applyFill="1" applyBorder="1" applyAlignment="1">
      <alignment vertical="top"/>
    </xf>
    <xf numFmtId="0" fontId="3" fillId="2" borderId="7" xfId="14" applyNumberFormat="1" applyFont="1" applyFill="1" applyBorder="1" applyAlignment="1">
      <alignment vertical="top"/>
    </xf>
    <xf numFmtId="0" fontId="3" fillId="2" borderId="8" xfId="14" applyNumberFormat="1" applyFont="1" applyFill="1" applyBorder="1" applyAlignment="1">
      <alignment vertical="top"/>
    </xf>
    <xf numFmtId="0" fontId="3" fillId="2" borderId="5" xfId="14" applyNumberFormat="1" applyFont="1" applyFill="1" applyBorder="1" applyAlignment="1">
      <alignment vertical="top"/>
    </xf>
    <xf numFmtId="0" fontId="3" fillId="2" borderId="9" xfId="14" applyNumberFormat="1" applyFont="1" applyFill="1" applyBorder="1" applyAlignment="1">
      <alignment vertical="top"/>
    </xf>
    <xf numFmtId="0" fontId="3" fillId="2" borderId="9" xfId="14" applyNumberFormat="1" applyFont="1" applyFill="1" applyBorder="1" applyAlignment="1">
      <alignment vertical="top"/>
    </xf>
    <xf numFmtId="0" fontId="3" fillId="2" borderId="10" xfId="14" applyNumberFormat="1" applyFont="1" applyFill="1" applyBorder="1" applyAlignment="1">
      <alignment vertical="top"/>
    </xf>
    <xf numFmtId="0" fontId="3" fillId="2" borderId="11" xfId="14" applyNumberFormat="1" applyFont="1" applyFill="1" applyBorder="1" applyAlignment="1">
      <alignment vertical="top"/>
    </xf>
    <xf numFmtId="0" fontId="4" fillId="0" borderId="1" xfId="14" applyNumberFormat="1" applyFont="1" applyBorder="1" applyAlignment="1">
      <alignment vertical="top"/>
    </xf>
    <xf numFmtId="0" fontId="4" fillId="0" borderId="1" xfId="14" applyNumberFormat="1" applyFont="1" applyBorder="1" applyAlignment="1">
      <alignment vertical="top" wrapText="1"/>
    </xf>
    <xf numFmtId="0" fontId="4" fillId="0" borderId="1" xfId="14" applyNumberFormat="1" applyFont="1" applyBorder="1" applyAlignment="1">
      <alignment horizontal="left" vertical="top"/>
    </xf>
    <xf numFmtId="2" fontId="4" fillId="0" borderId="1" xfId="14" applyNumberFormat="1" applyFont="1" applyBorder="1" applyAlignment="1">
      <alignment horizontal="right" vertical="top" wrapText="1"/>
    </xf>
    <xf numFmtId="0" fontId="4" fillId="0" borderId="13" xfId="14" applyNumberFormat="1" applyFont="1" applyBorder="1" applyAlignment="1">
      <alignment horizontal="right" vertical="top" wrapText="1"/>
    </xf>
    <xf numFmtId="0" fontId="4" fillId="0" borderId="12" xfId="14" applyNumberFormat="1" applyFont="1" applyBorder="1" applyAlignment="1">
      <alignment horizontal="center" vertical="top"/>
    </xf>
    <xf numFmtId="4" fontId="4" fillId="0" borderId="13" xfId="14" applyNumberFormat="1" applyFont="1" applyBorder="1" applyAlignment="1">
      <alignment horizontal="right" vertical="top" wrapText="1"/>
    </xf>
    <xf numFmtId="4" fontId="4" fillId="0" borderId="1" xfId="14" applyNumberFormat="1" applyFont="1" applyBorder="1" applyAlignment="1">
      <alignment horizontal="right" vertical="top" wrapText="1"/>
    </xf>
    <xf numFmtId="0" fontId="4" fillId="0" borderId="1" xfId="14" applyNumberFormat="1" applyFont="1" applyBorder="1" applyAlignment="1">
      <alignment horizontal="right" vertical="top" wrapText="1"/>
    </xf>
    <xf numFmtId="2" fontId="4" fillId="0" borderId="13" xfId="14" applyNumberFormat="1" applyFont="1" applyBorder="1" applyAlignment="1">
      <alignment horizontal="right" vertical="top" wrapText="1"/>
    </xf>
    <xf numFmtId="4" fontId="4" fillId="0" borderId="13" xfId="14" applyNumberFormat="1" applyFont="1" applyBorder="1" applyAlignment="1">
      <alignment horizontal="right" vertical="top" wrapText="1"/>
    </xf>
    <xf numFmtId="0" fontId="5" fillId="2" borderId="1" xfId="14" applyNumberFormat="1" applyFont="1" applyFill="1" applyBorder="1" applyAlignment="1">
      <alignment vertical="top"/>
    </xf>
    <xf numFmtId="4" fontId="5" fillId="2" borderId="1" xfId="14" applyNumberFormat="1" applyFont="1" applyFill="1" applyBorder="1" applyAlignment="1">
      <alignment horizontal="right" vertical="top" wrapText="1"/>
    </xf>
    <xf numFmtId="0" fontId="5" fillId="2" borderId="12" xfId="14" applyNumberFormat="1" applyFont="1" applyFill="1" applyBorder="1" applyAlignment="1">
      <alignment horizontal="center" vertical="top"/>
    </xf>
    <xf numFmtId="4" fontId="5" fillId="2" borderId="13" xfId="14" applyNumberFormat="1" applyFont="1" applyFill="1" applyBorder="1" applyAlignment="1">
      <alignment horizontal="right" vertical="top" wrapText="1"/>
    </xf>
  </cellXfs>
  <cellStyles count="15">
    <cellStyle name="Обычный" xfId="0" builtinId="0"/>
    <cellStyle name="Обычный_Глобине-2" xfId="6"/>
    <cellStyle name="Обычный_Глобино" xfId="1"/>
    <cellStyle name="Обычный_Катеринопіль МХП" xfId="3"/>
    <cellStyle name="Обычный_Котельна" xfId="7"/>
    <cellStyle name="Обычный_Насосна Градирня" xfId="8"/>
    <cellStyle name="Обычный_Пункт фасування" xfId="9"/>
    <cellStyle name="Обычный_Путрівка КМД" xfId="4"/>
    <cellStyle name="Обычный_Резервуар для зберігання" xfId="10"/>
    <cellStyle name="Обычный_Резервуарний парк" xfId="11"/>
    <cellStyle name="Обычный_Ретал ГПУ" xfId="5"/>
    <cellStyle name="Обычный_СПК (Глобине)" xfId="12"/>
    <cellStyle name="Обычный_Турбіна 3" xfId="2"/>
    <cellStyle name="Обычный_Цех екстракції (Глобине)" xfId="13"/>
    <cellStyle name="Обычный_Цех_Глобино" xfId="1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1"/>
  <sheetViews>
    <sheetView tabSelected="1" workbookViewId="0">
      <selection activeCell="C11" sqref="C11"/>
    </sheetView>
  </sheetViews>
  <sheetFormatPr defaultRowHeight="14.4" x14ac:dyDescent="0.3"/>
  <cols>
    <col min="1" max="1" width="3.88671875" customWidth="1"/>
    <col min="2" max="2" width="34.44140625" customWidth="1"/>
    <col min="3" max="3" width="13.77734375" customWidth="1"/>
  </cols>
  <sheetData>
    <row r="2" spans="2:3" x14ac:dyDescent="0.3">
      <c r="B2" s="1" t="s">
        <v>0</v>
      </c>
      <c r="C2" s="225">
        <f>'Глобине-2'!J158</f>
        <v>70837.596000000005</v>
      </c>
    </row>
    <row r="3" spans="2:3" x14ac:dyDescent="0.3">
      <c r="B3" s="1" t="s">
        <v>1</v>
      </c>
      <c r="C3" s="225">
        <f>Котельна!J92</f>
        <v>638686.47599999979</v>
      </c>
    </row>
    <row r="4" spans="2:3" x14ac:dyDescent="0.3">
      <c r="B4" s="1" t="s">
        <v>2</v>
      </c>
      <c r="C4" s="225">
        <f>'Насосна Градирня '!J28</f>
        <v>78034.439999999988</v>
      </c>
    </row>
    <row r="5" spans="2:3" ht="20.399999999999999" x14ac:dyDescent="0.3">
      <c r="B5" s="1" t="s">
        <v>3</v>
      </c>
      <c r="C5" s="225">
        <v>0</v>
      </c>
    </row>
    <row r="6" spans="2:3" x14ac:dyDescent="0.3">
      <c r="B6" s="1" t="s">
        <v>4</v>
      </c>
      <c r="C6" s="225">
        <f>'Резервуар для зберігання'!J37</f>
        <v>356643.51600000006</v>
      </c>
    </row>
    <row r="7" spans="2:3" x14ac:dyDescent="0.3">
      <c r="B7" s="1" t="s">
        <v>5</v>
      </c>
      <c r="C7" s="225">
        <f>'Резервуарний парк'!J69</f>
        <v>952397.94000000006</v>
      </c>
    </row>
    <row r="8" spans="2:3" x14ac:dyDescent="0.3">
      <c r="B8" s="1" t="s">
        <v>6</v>
      </c>
      <c r="C8" s="225">
        <f>'СПК (Глобине)'!J125</f>
        <v>728107.56</v>
      </c>
    </row>
    <row r="9" spans="2:3" x14ac:dyDescent="0.3">
      <c r="B9" s="1" t="s">
        <v>7</v>
      </c>
      <c r="C9" s="225">
        <f>'Цех екстракції (Глобине)'!J251</f>
        <v>4934146.0320000006</v>
      </c>
    </row>
    <row r="10" spans="2:3" x14ac:dyDescent="0.3">
      <c r="B10" s="1" t="s">
        <v>8</v>
      </c>
      <c r="C10" s="225">
        <f>'СПК (Глобине)'!J125</f>
        <v>728107.56</v>
      </c>
    </row>
    <row r="11" spans="2:3" x14ac:dyDescent="0.3">
      <c r="C11" s="225">
        <f>SUM(C2:C10)</f>
        <v>8486961.120000001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58"/>
  <sheetViews>
    <sheetView topLeftCell="A151" workbookViewId="0">
      <selection activeCell="J158" sqref="J158"/>
    </sheetView>
  </sheetViews>
  <sheetFormatPr defaultRowHeight="14.4" x14ac:dyDescent="0.3"/>
  <cols>
    <col min="2" max="4" width="18.21875" customWidth="1"/>
  </cols>
  <sheetData>
    <row r="1" spans="1:12" x14ac:dyDescent="0.3">
      <c r="A1" s="114" t="s">
        <v>9</v>
      </c>
      <c r="B1" s="115" t="s">
        <v>10</v>
      </c>
      <c r="C1" s="115" t="s">
        <v>11</v>
      </c>
      <c r="D1" s="116" t="s">
        <v>12</v>
      </c>
      <c r="E1" s="117" t="s">
        <v>13</v>
      </c>
      <c r="F1" s="117"/>
      <c r="G1" s="117"/>
      <c r="H1" s="118" t="s">
        <v>14</v>
      </c>
      <c r="I1" s="118"/>
      <c r="J1" s="118"/>
      <c r="K1" s="115" t="s">
        <v>15</v>
      </c>
      <c r="L1" s="115"/>
    </row>
    <row r="2" spans="1:12" hidden="1" x14ac:dyDescent="0.3">
      <c r="A2" s="119"/>
      <c r="B2" s="120"/>
      <c r="C2" s="120"/>
      <c r="D2" s="121"/>
      <c r="E2" s="122" t="s">
        <v>16</v>
      </c>
      <c r="F2" s="123"/>
      <c r="G2" s="123"/>
      <c r="H2" s="124" t="s">
        <v>16</v>
      </c>
      <c r="I2" s="125"/>
      <c r="J2" s="125"/>
      <c r="K2" s="119"/>
      <c r="L2" s="126"/>
    </row>
    <row r="3" spans="1:12" ht="71.400000000000006" hidden="1" x14ac:dyDescent="0.3">
      <c r="A3" s="127" t="s">
        <v>141</v>
      </c>
      <c r="B3" s="128" t="s">
        <v>430</v>
      </c>
      <c r="C3" s="128" t="s">
        <v>431</v>
      </c>
      <c r="D3" s="128" t="s">
        <v>432</v>
      </c>
      <c r="E3" s="129" t="s">
        <v>22</v>
      </c>
      <c r="F3" s="130">
        <v>127440</v>
      </c>
      <c r="G3" s="130"/>
      <c r="H3" s="129" t="s">
        <v>23</v>
      </c>
      <c r="I3" s="131" t="s">
        <v>24</v>
      </c>
      <c r="J3" s="131"/>
      <c r="K3" s="132" t="s">
        <v>17</v>
      </c>
      <c r="L3" s="133">
        <v>271058.51</v>
      </c>
    </row>
    <row r="4" spans="1:12" ht="71.400000000000006" hidden="1" x14ac:dyDescent="0.3">
      <c r="A4" s="127" t="s">
        <v>141</v>
      </c>
      <c r="B4" s="128" t="s">
        <v>433</v>
      </c>
      <c r="C4" s="128" t="s">
        <v>431</v>
      </c>
      <c r="D4" s="128" t="s">
        <v>432</v>
      </c>
      <c r="E4" s="129" t="s">
        <v>22</v>
      </c>
      <c r="F4" s="130">
        <v>30127.5</v>
      </c>
      <c r="G4" s="130"/>
      <c r="H4" s="129" t="s">
        <v>23</v>
      </c>
      <c r="I4" s="131" t="s">
        <v>24</v>
      </c>
      <c r="J4" s="131"/>
      <c r="K4" s="132" t="s">
        <v>17</v>
      </c>
      <c r="L4" s="133">
        <v>301186.01</v>
      </c>
    </row>
    <row r="5" spans="1:12" ht="61.2" hidden="1" x14ac:dyDescent="0.3">
      <c r="A5" s="127" t="s">
        <v>141</v>
      </c>
      <c r="B5" s="128" t="s">
        <v>434</v>
      </c>
      <c r="C5" s="128" t="s">
        <v>435</v>
      </c>
      <c r="D5" s="128" t="s">
        <v>431</v>
      </c>
      <c r="E5" s="129" t="s">
        <v>22</v>
      </c>
      <c r="F5" s="134" t="s">
        <v>24</v>
      </c>
      <c r="G5" s="134"/>
      <c r="H5" s="129" t="s">
        <v>22</v>
      </c>
      <c r="I5" s="135">
        <v>62370.47</v>
      </c>
      <c r="J5" s="135"/>
      <c r="K5" s="132" t="s">
        <v>17</v>
      </c>
      <c r="L5" s="133">
        <v>238815.54</v>
      </c>
    </row>
    <row r="6" spans="1:12" ht="61.2" hidden="1" x14ac:dyDescent="0.3">
      <c r="A6" s="127" t="s">
        <v>141</v>
      </c>
      <c r="B6" s="128" t="s">
        <v>436</v>
      </c>
      <c r="C6" s="128" t="s">
        <v>437</v>
      </c>
      <c r="D6" s="128" t="s">
        <v>431</v>
      </c>
      <c r="E6" s="129" t="s">
        <v>22</v>
      </c>
      <c r="F6" s="134" t="s">
        <v>24</v>
      </c>
      <c r="G6" s="134"/>
      <c r="H6" s="129" t="s">
        <v>22</v>
      </c>
      <c r="I6" s="135">
        <v>95197.03</v>
      </c>
      <c r="J6" s="135"/>
      <c r="K6" s="132" t="s">
        <v>17</v>
      </c>
      <c r="L6" s="133">
        <v>143618.51</v>
      </c>
    </row>
    <row r="7" spans="1:12" ht="61.2" hidden="1" x14ac:dyDescent="0.3">
      <c r="A7" s="127" t="s">
        <v>141</v>
      </c>
      <c r="B7" s="128" t="s">
        <v>438</v>
      </c>
      <c r="C7" s="128" t="s">
        <v>439</v>
      </c>
      <c r="D7" s="128" t="s">
        <v>440</v>
      </c>
      <c r="E7" s="129" t="s">
        <v>22</v>
      </c>
      <c r="F7" s="136">
        <v>950</v>
      </c>
      <c r="G7" s="136"/>
      <c r="H7" s="129" t="s">
        <v>22</v>
      </c>
      <c r="I7" s="131" t="s">
        <v>24</v>
      </c>
      <c r="J7" s="131"/>
      <c r="K7" s="132" t="s">
        <v>17</v>
      </c>
      <c r="L7" s="133">
        <v>144568.51</v>
      </c>
    </row>
    <row r="8" spans="1:12" ht="81.599999999999994" hidden="1" x14ac:dyDescent="0.3">
      <c r="A8" s="127" t="s">
        <v>141</v>
      </c>
      <c r="B8" s="128" t="s">
        <v>441</v>
      </c>
      <c r="C8" s="128" t="s">
        <v>442</v>
      </c>
      <c r="D8" s="128" t="s">
        <v>443</v>
      </c>
      <c r="E8" s="129" t="s">
        <v>22</v>
      </c>
      <c r="F8" s="134" t="s">
        <v>24</v>
      </c>
      <c r="G8" s="134"/>
      <c r="H8" s="129" t="s">
        <v>22</v>
      </c>
      <c r="I8" s="137">
        <v>839.5</v>
      </c>
      <c r="J8" s="137"/>
      <c r="K8" s="132" t="s">
        <v>17</v>
      </c>
      <c r="L8" s="133">
        <v>143729.01</v>
      </c>
    </row>
    <row r="9" spans="1:12" ht="71.400000000000006" hidden="1" x14ac:dyDescent="0.3">
      <c r="A9" s="127" t="s">
        <v>141</v>
      </c>
      <c r="B9" s="128" t="s">
        <v>444</v>
      </c>
      <c r="C9" s="128" t="s">
        <v>445</v>
      </c>
      <c r="D9" s="128" t="s">
        <v>446</v>
      </c>
      <c r="E9" s="129" t="s">
        <v>22</v>
      </c>
      <c r="F9" s="134" t="s">
        <v>24</v>
      </c>
      <c r="G9" s="134"/>
      <c r="H9" s="129" t="s">
        <v>22</v>
      </c>
      <c r="I9" s="135">
        <v>2342.8000000000002</v>
      </c>
      <c r="J9" s="135"/>
      <c r="K9" s="132" t="s">
        <v>17</v>
      </c>
      <c r="L9" s="133">
        <v>141386.21</v>
      </c>
    </row>
    <row r="10" spans="1:12" ht="71.400000000000006" hidden="1" x14ac:dyDescent="0.3">
      <c r="A10" s="127" t="s">
        <v>262</v>
      </c>
      <c r="B10" s="128" t="s">
        <v>447</v>
      </c>
      <c r="C10" s="128" t="s">
        <v>448</v>
      </c>
      <c r="D10" s="128" t="s">
        <v>449</v>
      </c>
      <c r="E10" s="129" t="s">
        <v>22</v>
      </c>
      <c r="F10" s="130">
        <v>2390</v>
      </c>
      <c r="G10" s="130"/>
      <c r="H10" s="129" t="s">
        <v>23</v>
      </c>
      <c r="I10" s="131" t="s">
        <v>24</v>
      </c>
      <c r="J10" s="131"/>
      <c r="K10" s="132" t="s">
        <v>17</v>
      </c>
      <c r="L10" s="133">
        <v>143776.21</v>
      </c>
    </row>
    <row r="11" spans="1:12" ht="71.400000000000006" hidden="1" x14ac:dyDescent="0.3">
      <c r="A11" s="127" t="s">
        <v>262</v>
      </c>
      <c r="B11" s="128" t="s">
        <v>447</v>
      </c>
      <c r="C11" s="128" t="s">
        <v>450</v>
      </c>
      <c r="D11" s="128" t="s">
        <v>449</v>
      </c>
      <c r="E11" s="129" t="s">
        <v>22</v>
      </c>
      <c r="F11" s="136">
        <v>900</v>
      </c>
      <c r="G11" s="136"/>
      <c r="H11" s="129" t="s">
        <v>23</v>
      </c>
      <c r="I11" s="131" t="s">
        <v>24</v>
      </c>
      <c r="J11" s="131"/>
      <c r="K11" s="132" t="s">
        <v>17</v>
      </c>
      <c r="L11" s="133">
        <v>144676.21</v>
      </c>
    </row>
    <row r="12" spans="1:12" ht="71.400000000000006" hidden="1" x14ac:dyDescent="0.3">
      <c r="A12" s="127" t="s">
        <v>262</v>
      </c>
      <c r="B12" s="128" t="s">
        <v>447</v>
      </c>
      <c r="C12" s="128" t="s">
        <v>451</v>
      </c>
      <c r="D12" s="128" t="s">
        <v>449</v>
      </c>
      <c r="E12" s="129" t="s">
        <v>22</v>
      </c>
      <c r="F12" s="136">
        <v>766.7</v>
      </c>
      <c r="G12" s="136"/>
      <c r="H12" s="129" t="s">
        <v>23</v>
      </c>
      <c r="I12" s="131" t="s">
        <v>24</v>
      </c>
      <c r="J12" s="131"/>
      <c r="K12" s="132" t="s">
        <v>17</v>
      </c>
      <c r="L12" s="133">
        <v>145442.91</v>
      </c>
    </row>
    <row r="13" spans="1:12" ht="71.400000000000006" hidden="1" x14ac:dyDescent="0.3">
      <c r="A13" s="127" t="s">
        <v>262</v>
      </c>
      <c r="B13" s="128" t="s">
        <v>447</v>
      </c>
      <c r="C13" s="128" t="s">
        <v>452</v>
      </c>
      <c r="D13" s="128" t="s">
        <v>449</v>
      </c>
      <c r="E13" s="129" t="s">
        <v>22</v>
      </c>
      <c r="F13" s="130">
        <v>3900</v>
      </c>
      <c r="G13" s="130"/>
      <c r="H13" s="129" t="s">
        <v>23</v>
      </c>
      <c r="I13" s="131" t="s">
        <v>24</v>
      </c>
      <c r="J13" s="131"/>
      <c r="K13" s="132" t="s">
        <v>17</v>
      </c>
      <c r="L13" s="133">
        <v>149342.91</v>
      </c>
    </row>
    <row r="14" spans="1:12" ht="71.400000000000006" hidden="1" x14ac:dyDescent="0.3">
      <c r="A14" s="127" t="s">
        <v>453</v>
      </c>
      <c r="B14" s="128" t="s">
        <v>454</v>
      </c>
      <c r="C14" s="128" t="s">
        <v>455</v>
      </c>
      <c r="D14" s="128" t="s">
        <v>432</v>
      </c>
      <c r="E14" s="129" t="s">
        <v>22</v>
      </c>
      <c r="F14" s="130">
        <v>29625</v>
      </c>
      <c r="G14" s="130"/>
      <c r="H14" s="129" t="s">
        <v>23</v>
      </c>
      <c r="I14" s="131" t="s">
        <v>24</v>
      </c>
      <c r="J14" s="131"/>
      <c r="K14" s="132" t="s">
        <v>17</v>
      </c>
      <c r="L14" s="133">
        <v>178967.91</v>
      </c>
    </row>
    <row r="15" spans="1:12" ht="71.400000000000006" hidden="1" x14ac:dyDescent="0.3">
      <c r="A15" s="127" t="s">
        <v>453</v>
      </c>
      <c r="B15" s="128" t="s">
        <v>454</v>
      </c>
      <c r="C15" s="128" t="s">
        <v>456</v>
      </c>
      <c r="D15" s="128" t="s">
        <v>432</v>
      </c>
      <c r="E15" s="129" t="s">
        <v>22</v>
      </c>
      <c r="F15" s="130">
        <v>68977.5</v>
      </c>
      <c r="G15" s="130"/>
      <c r="H15" s="129" t="s">
        <v>23</v>
      </c>
      <c r="I15" s="131" t="s">
        <v>24</v>
      </c>
      <c r="J15" s="131"/>
      <c r="K15" s="132" t="s">
        <v>17</v>
      </c>
      <c r="L15" s="133">
        <v>247945.41</v>
      </c>
    </row>
    <row r="16" spans="1:12" ht="71.400000000000006" hidden="1" x14ac:dyDescent="0.3">
      <c r="A16" s="127" t="s">
        <v>453</v>
      </c>
      <c r="B16" s="128" t="s">
        <v>457</v>
      </c>
      <c r="C16" s="128" t="s">
        <v>455</v>
      </c>
      <c r="D16" s="128" t="s">
        <v>432</v>
      </c>
      <c r="E16" s="129" t="s">
        <v>22</v>
      </c>
      <c r="F16" s="130">
        <v>11862.09</v>
      </c>
      <c r="G16" s="130"/>
      <c r="H16" s="129" t="s">
        <v>23</v>
      </c>
      <c r="I16" s="131" t="s">
        <v>24</v>
      </c>
      <c r="J16" s="131"/>
      <c r="K16" s="132" t="s">
        <v>17</v>
      </c>
      <c r="L16" s="133">
        <v>259807.5</v>
      </c>
    </row>
    <row r="17" spans="1:12" ht="71.400000000000006" hidden="1" x14ac:dyDescent="0.3">
      <c r="A17" s="127" t="s">
        <v>453</v>
      </c>
      <c r="B17" s="128" t="s">
        <v>457</v>
      </c>
      <c r="C17" s="128" t="s">
        <v>456</v>
      </c>
      <c r="D17" s="128" t="s">
        <v>432</v>
      </c>
      <c r="E17" s="129" t="s">
        <v>22</v>
      </c>
      <c r="F17" s="130">
        <v>27619.16</v>
      </c>
      <c r="G17" s="130"/>
      <c r="H17" s="129" t="s">
        <v>23</v>
      </c>
      <c r="I17" s="131" t="s">
        <v>24</v>
      </c>
      <c r="J17" s="131"/>
      <c r="K17" s="132" t="s">
        <v>17</v>
      </c>
      <c r="L17" s="133">
        <v>287426.65999999997</v>
      </c>
    </row>
    <row r="18" spans="1:12" ht="71.400000000000006" x14ac:dyDescent="0.3">
      <c r="A18" s="127" t="s">
        <v>453</v>
      </c>
      <c r="B18" s="128" t="s">
        <v>458</v>
      </c>
      <c r="C18" s="128" t="s">
        <v>27</v>
      </c>
      <c r="D18" s="128" t="s">
        <v>443</v>
      </c>
      <c r="E18" s="129" t="s">
        <v>29</v>
      </c>
      <c r="F18" s="134" t="s">
        <v>24</v>
      </c>
      <c r="G18" s="134"/>
      <c r="H18" s="129" t="s">
        <v>22</v>
      </c>
      <c r="I18" s="135">
        <v>1022</v>
      </c>
      <c r="J18" s="135"/>
      <c r="K18" s="132" t="s">
        <v>17</v>
      </c>
      <c r="L18" s="133">
        <v>286404.65999999997</v>
      </c>
    </row>
    <row r="19" spans="1:12" ht="71.400000000000006" x14ac:dyDescent="0.3">
      <c r="A19" s="127" t="s">
        <v>453</v>
      </c>
      <c r="B19" s="128" t="s">
        <v>458</v>
      </c>
      <c r="C19" s="128" t="s">
        <v>27</v>
      </c>
      <c r="D19" s="128" t="s">
        <v>456</v>
      </c>
      <c r="E19" s="129" t="s">
        <v>29</v>
      </c>
      <c r="F19" s="134" t="s">
        <v>24</v>
      </c>
      <c r="G19" s="134"/>
      <c r="H19" s="129" t="s">
        <v>22</v>
      </c>
      <c r="I19" s="135">
        <v>53010.73</v>
      </c>
      <c r="J19" s="135"/>
      <c r="K19" s="132" t="s">
        <v>17</v>
      </c>
      <c r="L19" s="133">
        <v>233393.93</v>
      </c>
    </row>
    <row r="20" spans="1:12" ht="61.2" x14ac:dyDescent="0.3">
      <c r="A20" s="127" t="s">
        <v>453</v>
      </c>
      <c r="B20" s="128" t="s">
        <v>459</v>
      </c>
      <c r="C20" s="128" t="s">
        <v>27</v>
      </c>
      <c r="D20" s="128" t="s">
        <v>460</v>
      </c>
      <c r="E20" s="129" t="s">
        <v>29</v>
      </c>
      <c r="F20" s="134" t="s">
        <v>24</v>
      </c>
      <c r="G20" s="134"/>
      <c r="H20" s="129" t="s">
        <v>22</v>
      </c>
      <c r="I20" s="137">
        <v>251.25</v>
      </c>
      <c r="J20" s="137"/>
      <c r="K20" s="132" t="s">
        <v>17</v>
      </c>
      <c r="L20" s="133">
        <v>233142.68</v>
      </c>
    </row>
    <row r="21" spans="1:12" ht="61.2" x14ac:dyDescent="0.3">
      <c r="A21" s="127" t="s">
        <v>453</v>
      </c>
      <c r="B21" s="128" t="s">
        <v>461</v>
      </c>
      <c r="C21" s="128" t="s">
        <v>27</v>
      </c>
      <c r="D21" s="128" t="s">
        <v>439</v>
      </c>
      <c r="E21" s="129" t="s">
        <v>29</v>
      </c>
      <c r="F21" s="134" t="s">
        <v>24</v>
      </c>
      <c r="G21" s="134"/>
      <c r="H21" s="129" t="s">
        <v>22</v>
      </c>
      <c r="I21" s="137">
        <v>950</v>
      </c>
      <c r="J21" s="137"/>
      <c r="K21" s="132" t="s">
        <v>17</v>
      </c>
      <c r="L21" s="133">
        <v>232192.68</v>
      </c>
    </row>
    <row r="22" spans="1:12" ht="61.2" x14ac:dyDescent="0.3">
      <c r="A22" s="127" t="s">
        <v>453</v>
      </c>
      <c r="B22" s="128" t="s">
        <v>461</v>
      </c>
      <c r="C22" s="128" t="s">
        <v>27</v>
      </c>
      <c r="D22" s="128" t="s">
        <v>460</v>
      </c>
      <c r="E22" s="129" t="s">
        <v>29</v>
      </c>
      <c r="F22" s="134" t="s">
        <v>24</v>
      </c>
      <c r="G22" s="134"/>
      <c r="H22" s="129" t="s">
        <v>22</v>
      </c>
      <c r="I22" s="137">
        <v>502.5</v>
      </c>
      <c r="J22" s="137"/>
      <c r="K22" s="132" t="s">
        <v>17</v>
      </c>
      <c r="L22" s="133">
        <v>231690.18</v>
      </c>
    </row>
    <row r="23" spans="1:12" ht="71.400000000000006" hidden="1" x14ac:dyDescent="0.3">
      <c r="A23" s="127" t="s">
        <v>453</v>
      </c>
      <c r="B23" s="128" t="s">
        <v>462</v>
      </c>
      <c r="C23" s="128" t="s">
        <v>463</v>
      </c>
      <c r="D23" s="128" t="s">
        <v>456</v>
      </c>
      <c r="E23" s="129" t="s">
        <v>22</v>
      </c>
      <c r="F23" s="134" t="s">
        <v>24</v>
      </c>
      <c r="G23" s="134"/>
      <c r="H23" s="129" t="s">
        <v>22</v>
      </c>
      <c r="I23" s="135">
        <v>39775.1</v>
      </c>
      <c r="J23" s="135"/>
      <c r="K23" s="132" t="s">
        <v>17</v>
      </c>
      <c r="L23" s="133">
        <v>191915.08</v>
      </c>
    </row>
    <row r="24" spans="1:12" ht="71.400000000000006" hidden="1" x14ac:dyDescent="0.3">
      <c r="A24" s="127" t="s">
        <v>267</v>
      </c>
      <c r="B24" s="128" t="s">
        <v>464</v>
      </c>
      <c r="C24" s="128" t="s">
        <v>465</v>
      </c>
      <c r="D24" s="128" t="s">
        <v>466</v>
      </c>
      <c r="E24" s="129" t="s">
        <v>22</v>
      </c>
      <c r="F24" s="130">
        <v>3928</v>
      </c>
      <c r="G24" s="130"/>
      <c r="H24" s="129" t="s">
        <v>23</v>
      </c>
      <c r="I24" s="131" t="s">
        <v>24</v>
      </c>
      <c r="J24" s="131"/>
      <c r="K24" s="132" t="s">
        <v>17</v>
      </c>
      <c r="L24" s="133">
        <v>195843.08</v>
      </c>
    </row>
    <row r="25" spans="1:12" ht="71.400000000000006" hidden="1" x14ac:dyDescent="0.3">
      <c r="A25" s="127" t="s">
        <v>267</v>
      </c>
      <c r="B25" s="128" t="s">
        <v>464</v>
      </c>
      <c r="C25" s="128" t="s">
        <v>467</v>
      </c>
      <c r="D25" s="128" t="s">
        <v>466</v>
      </c>
      <c r="E25" s="129" t="s">
        <v>22</v>
      </c>
      <c r="F25" s="130">
        <v>2740</v>
      </c>
      <c r="G25" s="130"/>
      <c r="H25" s="129" t="s">
        <v>23</v>
      </c>
      <c r="I25" s="131" t="s">
        <v>24</v>
      </c>
      <c r="J25" s="131"/>
      <c r="K25" s="132" t="s">
        <v>17</v>
      </c>
      <c r="L25" s="133">
        <v>198583.08</v>
      </c>
    </row>
    <row r="26" spans="1:12" ht="71.400000000000006" hidden="1" x14ac:dyDescent="0.3">
      <c r="A26" s="127" t="s">
        <v>267</v>
      </c>
      <c r="B26" s="128" t="s">
        <v>468</v>
      </c>
      <c r="C26" s="128" t="s">
        <v>469</v>
      </c>
      <c r="D26" s="128" t="s">
        <v>466</v>
      </c>
      <c r="E26" s="129" t="s">
        <v>22</v>
      </c>
      <c r="F26" s="136">
        <v>518.5</v>
      </c>
      <c r="G26" s="136"/>
      <c r="H26" s="129" t="s">
        <v>23</v>
      </c>
      <c r="I26" s="131" t="s">
        <v>24</v>
      </c>
      <c r="J26" s="131"/>
      <c r="K26" s="132" t="s">
        <v>17</v>
      </c>
      <c r="L26" s="133">
        <v>199101.58</v>
      </c>
    </row>
    <row r="27" spans="1:12" ht="71.400000000000006" hidden="1" x14ac:dyDescent="0.3">
      <c r="A27" s="127" t="s">
        <v>267</v>
      </c>
      <c r="B27" s="128" t="s">
        <v>464</v>
      </c>
      <c r="C27" s="128" t="s">
        <v>469</v>
      </c>
      <c r="D27" s="128" t="s">
        <v>466</v>
      </c>
      <c r="E27" s="129" t="s">
        <v>22</v>
      </c>
      <c r="F27" s="130">
        <v>5106.5</v>
      </c>
      <c r="G27" s="130"/>
      <c r="H27" s="129" t="s">
        <v>23</v>
      </c>
      <c r="I27" s="131" t="s">
        <v>24</v>
      </c>
      <c r="J27" s="131"/>
      <c r="K27" s="132" t="s">
        <v>17</v>
      </c>
      <c r="L27" s="133">
        <v>204208.08</v>
      </c>
    </row>
    <row r="28" spans="1:12" ht="71.400000000000006" hidden="1" x14ac:dyDescent="0.3">
      <c r="A28" s="127" t="s">
        <v>267</v>
      </c>
      <c r="B28" s="128" t="s">
        <v>468</v>
      </c>
      <c r="C28" s="128" t="s">
        <v>470</v>
      </c>
      <c r="D28" s="128" t="s">
        <v>466</v>
      </c>
      <c r="E28" s="129" t="s">
        <v>22</v>
      </c>
      <c r="F28" s="130">
        <v>6656</v>
      </c>
      <c r="G28" s="130"/>
      <c r="H28" s="129" t="s">
        <v>23</v>
      </c>
      <c r="I28" s="131" t="s">
        <v>24</v>
      </c>
      <c r="J28" s="131"/>
      <c r="K28" s="132" t="s">
        <v>17</v>
      </c>
      <c r="L28" s="133">
        <v>210864.08</v>
      </c>
    </row>
    <row r="29" spans="1:12" ht="71.400000000000006" hidden="1" x14ac:dyDescent="0.3">
      <c r="A29" s="127" t="s">
        <v>267</v>
      </c>
      <c r="B29" s="128" t="s">
        <v>471</v>
      </c>
      <c r="C29" s="128" t="s">
        <v>465</v>
      </c>
      <c r="D29" s="128" t="s">
        <v>466</v>
      </c>
      <c r="E29" s="129" t="s">
        <v>22</v>
      </c>
      <c r="F29" s="136">
        <v>953.55</v>
      </c>
      <c r="G29" s="136"/>
      <c r="H29" s="129" t="s">
        <v>23</v>
      </c>
      <c r="I29" s="131" t="s">
        <v>24</v>
      </c>
      <c r="J29" s="131"/>
      <c r="K29" s="132" t="s">
        <v>17</v>
      </c>
      <c r="L29" s="133">
        <v>211817.63</v>
      </c>
    </row>
    <row r="30" spans="1:12" ht="71.400000000000006" hidden="1" x14ac:dyDescent="0.3">
      <c r="A30" s="127" t="s">
        <v>267</v>
      </c>
      <c r="B30" s="128" t="s">
        <v>471</v>
      </c>
      <c r="C30" s="128" t="s">
        <v>467</v>
      </c>
      <c r="D30" s="128" t="s">
        <v>466</v>
      </c>
      <c r="E30" s="129" t="s">
        <v>22</v>
      </c>
      <c r="F30" s="136">
        <v>665.15</v>
      </c>
      <c r="G30" s="136"/>
      <c r="H30" s="129" t="s">
        <v>23</v>
      </c>
      <c r="I30" s="131" t="s">
        <v>24</v>
      </c>
      <c r="J30" s="131"/>
      <c r="K30" s="132" t="s">
        <v>17</v>
      </c>
      <c r="L30" s="133">
        <v>212482.78</v>
      </c>
    </row>
    <row r="31" spans="1:12" ht="71.400000000000006" hidden="1" x14ac:dyDescent="0.3">
      <c r="A31" s="127" t="s">
        <v>267</v>
      </c>
      <c r="B31" s="128" t="s">
        <v>471</v>
      </c>
      <c r="C31" s="128" t="s">
        <v>469</v>
      </c>
      <c r="D31" s="128" t="s">
        <v>466</v>
      </c>
      <c r="E31" s="129" t="s">
        <v>22</v>
      </c>
      <c r="F31" s="130">
        <v>1365.51</v>
      </c>
      <c r="G31" s="130"/>
      <c r="H31" s="129" t="s">
        <v>23</v>
      </c>
      <c r="I31" s="131" t="s">
        <v>24</v>
      </c>
      <c r="J31" s="131"/>
      <c r="K31" s="132" t="s">
        <v>17</v>
      </c>
      <c r="L31" s="133">
        <v>213848.29</v>
      </c>
    </row>
    <row r="32" spans="1:12" ht="71.400000000000006" hidden="1" x14ac:dyDescent="0.3">
      <c r="A32" s="127" t="s">
        <v>267</v>
      </c>
      <c r="B32" s="128" t="s">
        <v>471</v>
      </c>
      <c r="C32" s="128" t="s">
        <v>470</v>
      </c>
      <c r="D32" s="128" t="s">
        <v>466</v>
      </c>
      <c r="E32" s="129" t="s">
        <v>22</v>
      </c>
      <c r="F32" s="130">
        <v>1615.79</v>
      </c>
      <c r="G32" s="130"/>
      <c r="H32" s="129" t="s">
        <v>23</v>
      </c>
      <c r="I32" s="131" t="s">
        <v>24</v>
      </c>
      <c r="J32" s="131"/>
      <c r="K32" s="132" t="s">
        <v>17</v>
      </c>
      <c r="L32" s="133">
        <v>215464.08</v>
      </c>
    </row>
    <row r="33" spans="1:12" ht="91.8" hidden="1" x14ac:dyDescent="0.3">
      <c r="A33" s="127" t="s">
        <v>267</v>
      </c>
      <c r="B33" s="128" t="s">
        <v>472</v>
      </c>
      <c r="C33" s="128" t="s">
        <v>473</v>
      </c>
      <c r="D33" s="128" t="s">
        <v>474</v>
      </c>
      <c r="E33" s="129" t="s">
        <v>22</v>
      </c>
      <c r="F33" s="130">
        <v>6370</v>
      </c>
      <c r="G33" s="130"/>
      <c r="H33" s="129" t="s">
        <v>23</v>
      </c>
      <c r="I33" s="131" t="s">
        <v>24</v>
      </c>
      <c r="J33" s="131"/>
      <c r="K33" s="132" t="s">
        <v>17</v>
      </c>
      <c r="L33" s="133">
        <v>221834.08</v>
      </c>
    </row>
    <row r="34" spans="1:12" ht="91.8" hidden="1" x14ac:dyDescent="0.3">
      <c r="A34" s="127" t="s">
        <v>267</v>
      </c>
      <c r="B34" s="128" t="s">
        <v>475</v>
      </c>
      <c r="C34" s="128" t="s">
        <v>476</v>
      </c>
      <c r="D34" s="128" t="s">
        <v>473</v>
      </c>
      <c r="E34" s="129" t="s">
        <v>22</v>
      </c>
      <c r="F34" s="134" t="s">
        <v>24</v>
      </c>
      <c r="G34" s="134"/>
      <c r="H34" s="129" t="s">
        <v>22</v>
      </c>
      <c r="I34" s="135">
        <v>4550</v>
      </c>
      <c r="J34" s="135"/>
      <c r="K34" s="132" t="s">
        <v>17</v>
      </c>
      <c r="L34" s="133">
        <v>217284.08</v>
      </c>
    </row>
    <row r="35" spans="1:12" ht="91.8" hidden="1" x14ac:dyDescent="0.3">
      <c r="A35" s="127" t="s">
        <v>267</v>
      </c>
      <c r="B35" s="128" t="s">
        <v>477</v>
      </c>
      <c r="C35" s="128" t="s">
        <v>478</v>
      </c>
      <c r="D35" s="128" t="s">
        <v>473</v>
      </c>
      <c r="E35" s="129" t="s">
        <v>22</v>
      </c>
      <c r="F35" s="134" t="s">
        <v>24</v>
      </c>
      <c r="G35" s="134"/>
      <c r="H35" s="129" t="s">
        <v>22</v>
      </c>
      <c r="I35" s="135">
        <v>1820</v>
      </c>
      <c r="J35" s="135"/>
      <c r="K35" s="132" t="s">
        <v>17</v>
      </c>
      <c r="L35" s="133">
        <v>215464.08</v>
      </c>
    </row>
    <row r="36" spans="1:12" ht="71.400000000000006" hidden="1" x14ac:dyDescent="0.3">
      <c r="A36" s="127" t="s">
        <v>267</v>
      </c>
      <c r="B36" s="128" t="s">
        <v>479</v>
      </c>
      <c r="C36" s="128" t="s">
        <v>480</v>
      </c>
      <c r="D36" s="128" t="s">
        <v>481</v>
      </c>
      <c r="E36" s="129" t="s">
        <v>22</v>
      </c>
      <c r="F36" s="130">
        <v>1120</v>
      </c>
      <c r="G36" s="130"/>
      <c r="H36" s="129" t="s">
        <v>23</v>
      </c>
      <c r="I36" s="131" t="s">
        <v>24</v>
      </c>
      <c r="J36" s="131"/>
      <c r="K36" s="132" t="s">
        <v>17</v>
      </c>
      <c r="L36" s="133">
        <v>216584.08</v>
      </c>
    </row>
    <row r="37" spans="1:12" ht="71.400000000000006" hidden="1" x14ac:dyDescent="0.3">
      <c r="A37" s="127" t="s">
        <v>267</v>
      </c>
      <c r="B37" s="128" t="s">
        <v>479</v>
      </c>
      <c r="C37" s="128" t="s">
        <v>482</v>
      </c>
      <c r="D37" s="128" t="s">
        <v>481</v>
      </c>
      <c r="E37" s="129" t="s">
        <v>22</v>
      </c>
      <c r="F37" s="136">
        <v>64</v>
      </c>
      <c r="G37" s="136"/>
      <c r="H37" s="129" t="s">
        <v>23</v>
      </c>
      <c r="I37" s="131" t="s">
        <v>24</v>
      </c>
      <c r="J37" s="131"/>
      <c r="K37" s="132" t="s">
        <v>17</v>
      </c>
      <c r="L37" s="133">
        <v>216648.08</v>
      </c>
    </row>
    <row r="38" spans="1:12" ht="71.400000000000006" hidden="1" x14ac:dyDescent="0.3">
      <c r="A38" s="127" t="s">
        <v>267</v>
      </c>
      <c r="B38" s="128" t="s">
        <v>479</v>
      </c>
      <c r="C38" s="128" t="s">
        <v>483</v>
      </c>
      <c r="D38" s="128" t="s">
        <v>481</v>
      </c>
      <c r="E38" s="129" t="s">
        <v>22</v>
      </c>
      <c r="F38" s="136">
        <v>160</v>
      </c>
      <c r="G38" s="136"/>
      <c r="H38" s="129" t="s">
        <v>23</v>
      </c>
      <c r="I38" s="131" t="s">
        <v>24</v>
      </c>
      <c r="J38" s="131"/>
      <c r="K38" s="132" t="s">
        <v>17</v>
      </c>
      <c r="L38" s="133">
        <v>216808.08</v>
      </c>
    </row>
    <row r="39" spans="1:12" ht="71.400000000000006" hidden="1" x14ac:dyDescent="0.3">
      <c r="A39" s="127" t="s">
        <v>267</v>
      </c>
      <c r="B39" s="128" t="s">
        <v>479</v>
      </c>
      <c r="C39" s="128" t="s">
        <v>484</v>
      </c>
      <c r="D39" s="128" t="s">
        <v>481</v>
      </c>
      <c r="E39" s="129" t="s">
        <v>22</v>
      </c>
      <c r="F39" s="136">
        <v>16</v>
      </c>
      <c r="G39" s="136"/>
      <c r="H39" s="129" t="s">
        <v>23</v>
      </c>
      <c r="I39" s="131" t="s">
        <v>24</v>
      </c>
      <c r="J39" s="131"/>
      <c r="K39" s="132" t="s">
        <v>17</v>
      </c>
      <c r="L39" s="133">
        <v>216824.08</v>
      </c>
    </row>
    <row r="40" spans="1:12" ht="71.400000000000006" hidden="1" x14ac:dyDescent="0.3">
      <c r="A40" s="127" t="s">
        <v>267</v>
      </c>
      <c r="B40" s="128" t="s">
        <v>479</v>
      </c>
      <c r="C40" s="128" t="s">
        <v>485</v>
      </c>
      <c r="D40" s="128" t="s">
        <v>481</v>
      </c>
      <c r="E40" s="129" t="s">
        <v>22</v>
      </c>
      <c r="F40" s="136">
        <v>16</v>
      </c>
      <c r="G40" s="136"/>
      <c r="H40" s="129" t="s">
        <v>23</v>
      </c>
      <c r="I40" s="131" t="s">
        <v>24</v>
      </c>
      <c r="J40" s="131"/>
      <c r="K40" s="132" t="s">
        <v>17</v>
      </c>
      <c r="L40" s="133">
        <v>216840.08</v>
      </c>
    </row>
    <row r="41" spans="1:12" ht="71.400000000000006" hidden="1" x14ac:dyDescent="0.3">
      <c r="A41" s="127" t="s">
        <v>267</v>
      </c>
      <c r="B41" s="128" t="s">
        <v>479</v>
      </c>
      <c r="C41" s="128" t="s">
        <v>486</v>
      </c>
      <c r="D41" s="128" t="s">
        <v>481</v>
      </c>
      <c r="E41" s="129" t="s">
        <v>22</v>
      </c>
      <c r="F41" s="136">
        <v>780</v>
      </c>
      <c r="G41" s="136"/>
      <c r="H41" s="129" t="s">
        <v>23</v>
      </c>
      <c r="I41" s="131" t="s">
        <v>24</v>
      </c>
      <c r="J41" s="131"/>
      <c r="K41" s="132" t="s">
        <v>17</v>
      </c>
      <c r="L41" s="133">
        <v>217620.08</v>
      </c>
    </row>
    <row r="42" spans="1:12" ht="71.400000000000006" hidden="1" x14ac:dyDescent="0.3">
      <c r="A42" s="127" t="s">
        <v>267</v>
      </c>
      <c r="B42" s="128" t="s">
        <v>479</v>
      </c>
      <c r="C42" s="128" t="s">
        <v>487</v>
      </c>
      <c r="D42" s="128" t="s">
        <v>481</v>
      </c>
      <c r="E42" s="129" t="s">
        <v>22</v>
      </c>
      <c r="F42" s="136">
        <v>750</v>
      </c>
      <c r="G42" s="136"/>
      <c r="H42" s="129" t="s">
        <v>23</v>
      </c>
      <c r="I42" s="131" t="s">
        <v>24</v>
      </c>
      <c r="J42" s="131"/>
      <c r="K42" s="132" t="s">
        <v>17</v>
      </c>
      <c r="L42" s="133">
        <v>218370.08</v>
      </c>
    </row>
    <row r="43" spans="1:12" ht="71.400000000000006" hidden="1" x14ac:dyDescent="0.3">
      <c r="A43" s="127" t="s">
        <v>267</v>
      </c>
      <c r="B43" s="128" t="s">
        <v>479</v>
      </c>
      <c r="C43" s="128" t="s">
        <v>488</v>
      </c>
      <c r="D43" s="128" t="s">
        <v>481</v>
      </c>
      <c r="E43" s="129" t="s">
        <v>22</v>
      </c>
      <c r="F43" s="136">
        <v>240</v>
      </c>
      <c r="G43" s="136"/>
      <c r="H43" s="129" t="s">
        <v>23</v>
      </c>
      <c r="I43" s="131" t="s">
        <v>24</v>
      </c>
      <c r="J43" s="131"/>
      <c r="K43" s="132" t="s">
        <v>17</v>
      </c>
      <c r="L43" s="133">
        <v>218610.08</v>
      </c>
    </row>
    <row r="44" spans="1:12" ht="71.400000000000006" hidden="1" x14ac:dyDescent="0.3">
      <c r="A44" s="127" t="s">
        <v>267</v>
      </c>
      <c r="B44" s="128" t="s">
        <v>479</v>
      </c>
      <c r="C44" s="128" t="s">
        <v>489</v>
      </c>
      <c r="D44" s="128" t="s">
        <v>481</v>
      </c>
      <c r="E44" s="129" t="s">
        <v>22</v>
      </c>
      <c r="F44" s="136">
        <v>120</v>
      </c>
      <c r="G44" s="136"/>
      <c r="H44" s="129" t="s">
        <v>23</v>
      </c>
      <c r="I44" s="131" t="s">
        <v>24</v>
      </c>
      <c r="J44" s="131"/>
      <c r="K44" s="132" t="s">
        <v>17</v>
      </c>
      <c r="L44" s="133">
        <v>218730.08</v>
      </c>
    </row>
    <row r="45" spans="1:12" ht="71.400000000000006" hidden="1" x14ac:dyDescent="0.3">
      <c r="A45" s="127" t="s">
        <v>267</v>
      </c>
      <c r="B45" s="128" t="s">
        <v>479</v>
      </c>
      <c r="C45" s="128" t="s">
        <v>490</v>
      </c>
      <c r="D45" s="128" t="s">
        <v>481</v>
      </c>
      <c r="E45" s="129" t="s">
        <v>22</v>
      </c>
      <c r="F45" s="136">
        <v>890</v>
      </c>
      <c r="G45" s="136"/>
      <c r="H45" s="129" t="s">
        <v>23</v>
      </c>
      <c r="I45" s="131" t="s">
        <v>24</v>
      </c>
      <c r="J45" s="131"/>
      <c r="K45" s="132" t="s">
        <v>17</v>
      </c>
      <c r="L45" s="133">
        <v>219620.08</v>
      </c>
    </row>
    <row r="46" spans="1:12" ht="81.599999999999994" hidden="1" x14ac:dyDescent="0.3">
      <c r="A46" s="127" t="s">
        <v>267</v>
      </c>
      <c r="B46" s="128" t="s">
        <v>479</v>
      </c>
      <c r="C46" s="128" t="s">
        <v>491</v>
      </c>
      <c r="D46" s="128" t="s">
        <v>481</v>
      </c>
      <c r="E46" s="129" t="s">
        <v>22</v>
      </c>
      <c r="F46" s="136">
        <v>510</v>
      </c>
      <c r="G46" s="136"/>
      <c r="H46" s="129" t="s">
        <v>23</v>
      </c>
      <c r="I46" s="131" t="s">
        <v>24</v>
      </c>
      <c r="J46" s="131"/>
      <c r="K46" s="132" t="s">
        <v>17</v>
      </c>
      <c r="L46" s="133">
        <v>220130.08</v>
      </c>
    </row>
    <row r="47" spans="1:12" ht="71.400000000000006" hidden="1" x14ac:dyDescent="0.3">
      <c r="A47" s="127" t="s">
        <v>267</v>
      </c>
      <c r="B47" s="128" t="s">
        <v>492</v>
      </c>
      <c r="C47" s="128" t="s">
        <v>493</v>
      </c>
      <c r="D47" s="128" t="s">
        <v>481</v>
      </c>
      <c r="E47" s="129" t="s">
        <v>22</v>
      </c>
      <c r="F47" s="130">
        <v>2409.1999999999998</v>
      </c>
      <c r="G47" s="130"/>
      <c r="H47" s="129" t="s">
        <v>23</v>
      </c>
      <c r="I47" s="131" t="s">
        <v>24</v>
      </c>
      <c r="J47" s="131"/>
      <c r="K47" s="132" t="s">
        <v>17</v>
      </c>
      <c r="L47" s="133">
        <v>222539.28</v>
      </c>
    </row>
    <row r="48" spans="1:12" ht="71.400000000000006" hidden="1" x14ac:dyDescent="0.3">
      <c r="A48" s="127" t="s">
        <v>267</v>
      </c>
      <c r="B48" s="128" t="s">
        <v>479</v>
      </c>
      <c r="C48" s="128" t="s">
        <v>493</v>
      </c>
      <c r="D48" s="128" t="s">
        <v>481</v>
      </c>
      <c r="E48" s="129" t="s">
        <v>22</v>
      </c>
      <c r="F48" s="130">
        <v>11690.8</v>
      </c>
      <c r="G48" s="130"/>
      <c r="H48" s="129" t="s">
        <v>23</v>
      </c>
      <c r="I48" s="131" t="s">
        <v>24</v>
      </c>
      <c r="J48" s="131"/>
      <c r="K48" s="132" t="s">
        <v>17</v>
      </c>
      <c r="L48" s="133">
        <v>234230.08</v>
      </c>
    </row>
    <row r="49" spans="1:12" ht="71.400000000000006" hidden="1" x14ac:dyDescent="0.3">
      <c r="A49" s="127" t="s">
        <v>267</v>
      </c>
      <c r="B49" s="128" t="s">
        <v>494</v>
      </c>
      <c r="C49" s="128" t="s">
        <v>495</v>
      </c>
      <c r="D49" s="128" t="s">
        <v>465</v>
      </c>
      <c r="E49" s="129" t="s">
        <v>22</v>
      </c>
      <c r="F49" s="134" t="s">
        <v>24</v>
      </c>
      <c r="G49" s="134"/>
      <c r="H49" s="129" t="s">
        <v>22</v>
      </c>
      <c r="I49" s="135">
        <v>4881.55</v>
      </c>
      <c r="J49" s="135"/>
      <c r="K49" s="132" t="s">
        <v>17</v>
      </c>
      <c r="L49" s="133">
        <v>229348.53</v>
      </c>
    </row>
    <row r="50" spans="1:12" ht="71.400000000000006" hidden="1" x14ac:dyDescent="0.3">
      <c r="A50" s="127" t="s">
        <v>267</v>
      </c>
      <c r="B50" s="128" t="s">
        <v>494</v>
      </c>
      <c r="C50" s="128" t="s">
        <v>496</v>
      </c>
      <c r="D50" s="128" t="s">
        <v>470</v>
      </c>
      <c r="E50" s="129" t="s">
        <v>22</v>
      </c>
      <c r="F50" s="134" t="s">
        <v>24</v>
      </c>
      <c r="G50" s="134"/>
      <c r="H50" s="129" t="s">
        <v>22</v>
      </c>
      <c r="I50" s="135">
        <v>8271.7900000000009</v>
      </c>
      <c r="J50" s="135"/>
      <c r="K50" s="132" t="s">
        <v>17</v>
      </c>
      <c r="L50" s="133">
        <v>221076.74</v>
      </c>
    </row>
    <row r="51" spans="1:12" ht="71.400000000000006" hidden="1" x14ac:dyDescent="0.3">
      <c r="A51" s="127" t="s">
        <v>267</v>
      </c>
      <c r="B51" s="128" t="s">
        <v>497</v>
      </c>
      <c r="C51" s="128" t="s">
        <v>498</v>
      </c>
      <c r="D51" s="128" t="s">
        <v>467</v>
      </c>
      <c r="E51" s="129" t="s">
        <v>22</v>
      </c>
      <c r="F51" s="134" t="s">
        <v>24</v>
      </c>
      <c r="G51" s="134"/>
      <c r="H51" s="129" t="s">
        <v>22</v>
      </c>
      <c r="I51" s="135">
        <v>3405.15</v>
      </c>
      <c r="J51" s="135"/>
      <c r="K51" s="132" t="s">
        <v>17</v>
      </c>
      <c r="L51" s="133">
        <v>217671.59</v>
      </c>
    </row>
    <row r="52" spans="1:12" ht="71.400000000000006" hidden="1" x14ac:dyDescent="0.3">
      <c r="A52" s="127" t="s">
        <v>267</v>
      </c>
      <c r="B52" s="128" t="s">
        <v>497</v>
      </c>
      <c r="C52" s="128" t="s">
        <v>499</v>
      </c>
      <c r="D52" s="128" t="s">
        <v>469</v>
      </c>
      <c r="E52" s="129" t="s">
        <v>22</v>
      </c>
      <c r="F52" s="134" t="s">
        <v>24</v>
      </c>
      <c r="G52" s="134"/>
      <c r="H52" s="129" t="s">
        <v>22</v>
      </c>
      <c r="I52" s="135">
        <v>6990.51</v>
      </c>
      <c r="J52" s="135"/>
      <c r="K52" s="132" t="s">
        <v>17</v>
      </c>
      <c r="L52" s="133">
        <v>210681.08</v>
      </c>
    </row>
    <row r="53" spans="1:12" ht="71.400000000000006" hidden="1" x14ac:dyDescent="0.3">
      <c r="A53" s="127" t="s">
        <v>267</v>
      </c>
      <c r="B53" s="128" t="s">
        <v>500</v>
      </c>
      <c r="C53" s="128" t="s">
        <v>501</v>
      </c>
      <c r="D53" s="128" t="s">
        <v>432</v>
      </c>
      <c r="E53" s="129" t="s">
        <v>22</v>
      </c>
      <c r="F53" s="130">
        <v>68977.5</v>
      </c>
      <c r="G53" s="130"/>
      <c r="H53" s="129" t="s">
        <v>23</v>
      </c>
      <c r="I53" s="131" t="s">
        <v>24</v>
      </c>
      <c r="J53" s="131"/>
      <c r="K53" s="132" t="s">
        <v>17</v>
      </c>
      <c r="L53" s="133">
        <v>279658.58</v>
      </c>
    </row>
    <row r="54" spans="1:12" ht="71.400000000000006" hidden="1" x14ac:dyDescent="0.3">
      <c r="A54" s="127" t="s">
        <v>267</v>
      </c>
      <c r="B54" s="128" t="s">
        <v>502</v>
      </c>
      <c r="C54" s="128" t="s">
        <v>501</v>
      </c>
      <c r="D54" s="128" t="s">
        <v>432</v>
      </c>
      <c r="E54" s="129" t="s">
        <v>22</v>
      </c>
      <c r="F54" s="130">
        <v>25080</v>
      </c>
      <c r="G54" s="130"/>
      <c r="H54" s="129" t="s">
        <v>23</v>
      </c>
      <c r="I54" s="131" t="s">
        <v>24</v>
      </c>
      <c r="J54" s="131"/>
      <c r="K54" s="132" t="s">
        <v>17</v>
      </c>
      <c r="L54" s="133">
        <v>304738.58</v>
      </c>
    </row>
    <row r="55" spans="1:12" ht="71.400000000000006" hidden="1" x14ac:dyDescent="0.3">
      <c r="A55" s="127" t="s">
        <v>267</v>
      </c>
      <c r="B55" s="128" t="s">
        <v>503</v>
      </c>
      <c r="C55" s="128" t="s">
        <v>463</v>
      </c>
      <c r="D55" s="128" t="s">
        <v>456</v>
      </c>
      <c r="E55" s="129" t="s">
        <v>22</v>
      </c>
      <c r="F55" s="134" t="s">
        <v>24</v>
      </c>
      <c r="G55" s="134"/>
      <c r="H55" s="129" t="s">
        <v>22</v>
      </c>
      <c r="I55" s="135">
        <v>3810.83</v>
      </c>
      <c r="J55" s="135"/>
      <c r="K55" s="132" t="s">
        <v>17</v>
      </c>
      <c r="L55" s="133">
        <v>300927.75</v>
      </c>
    </row>
    <row r="56" spans="1:12" ht="71.400000000000006" hidden="1" x14ac:dyDescent="0.3">
      <c r="A56" s="127" t="s">
        <v>267</v>
      </c>
      <c r="B56" s="128" t="s">
        <v>503</v>
      </c>
      <c r="C56" s="128" t="s">
        <v>504</v>
      </c>
      <c r="D56" s="128" t="s">
        <v>501</v>
      </c>
      <c r="E56" s="129" t="s">
        <v>22</v>
      </c>
      <c r="F56" s="134" t="s">
        <v>24</v>
      </c>
      <c r="G56" s="134"/>
      <c r="H56" s="129" t="s">
        <v>22</v>
      </c>
      <c r="I56" s="135">
        <v>35018.9</v>
      </c>
      <c r="J56" s="135"/>
      <c r="K56" s="132" t="s">
        <v>17</v>
      </c>
      <c r="L56" s="133">
        <v>265908.84999999998</v>
      </c>
    </row>
    <row r="57" spans="1:12" ht="91.8" hidden="1" x14ac:dyDescent="0.3">
      <c r="A57" s="127" t="s">
        <v>267</v>
      </c>
      <c r="B57" s="128" t="s">
        <v>505</v>
      </c>
      <c r="C57" s="128" t="s">
        <v>506</v>
      </c>
      <c r="D57" s="128" t="s">
        <v>501</v>
      </c>
      <c r="E57" s="129" t="s">
        <v>22</v>
      </c>
      <c r="F57" s="134" t="s">
        <v>24</v>
      </c>
      <c r="G57" s="134"/>
      <c r="H57" s="129" t="s">
        <v>22</v>
      </c>
      <c r="I57" s="135">
        <v>55327.94</v>
      </c>
      <c r="J57" s="135"/>
      <c r="K57" s="132" t="s">
        <v>17</v>
      </c>
      <c r="L57" s="133">
        <v>210580.91</v>
      </c>
    </row>
    <row r="58" spans="1:12" ht="71.400000000000006" hidden="1" x14ac:dyDescent="0.3">
      <c r="A58" s="127" t="s">
        <v>267</v>
      </c>
      <c r="B58" s="128" t="s">
        <v>507</v>
      </c>
      <c r="C58" s="128" t="s">
        <v>508</v>
      </c>
      <c r="D58" s="128" t="s">
        <v>509</v>
      </c>
      <c r="E58" s="129" t="s">
        <v>22</v>
      </c>
      <c r="F58" s="130">
        <v>2190</v>
      </c>
      <c r="G58" s="130"/>
      <c r="H58" s="129" t="s">
        <v>23</v>
      </c>
      <c r="I58" s="131" t="s">
        <v>24</v>
      </c>
      <c r="J58" s="131"/>
      <c r="K58" s="132" t="s">
        <v>17</v>
      </c>
      <c r="L58" s="133">
        <v>212770.91</v>
      </c>
    </row>
    <row r="59" spans="1:12" ht="91.8" hidden="1" x14ac:dyDescent="0.3">
      <c r="A59" s="127" t="s">
        <v>267</v>
      </c>
      <c r="B59" s="128" t="s">
        <v>507</v>
      </c>
      <c r="C59" s="128" t="s">
        <v>510</v>
      </c>
      <c r="D59" s="128" t="s">
        <v>509</v>
      </c>
      <c r="E59" s="129" t="s">
        <v>22</v>
      </c>
      <c r="F59" s="136">
        <v>195</v>
      </c>
      <c r="G59" s="136"/>
      <c r="H59" s="129" t="s">
        <v>23</v>
      </c>
      <c r="I59" s="131" t="s">
        <v>24</v>
      </c>
      <c r="J59" s="131"/>
      <c r="K59" s="132" t="s">
        <v>17</v>
      </c>
      <c r="L59" s="133">
        <v>212965.91</v>
      </c>
    </row>
    <row r="60" spans="1:12" ht="91.8" hidden="1" x14ac:dyDescent="0.3">
      <c r="A60" s="127" t="s">
        <v>267</v>
      </c>
      <c r="B60" s="128" t="s">
        <v>507</v>
      </c>
      <c r="C60" s="128" t="s">
        <v>510</v>
      </c>
      <c r="D60" s="128" t="s">
        <v>509</v>
      </c>
      <c r="E60" s="129" t="s">
        <v>22</v>
      </c>
      <c r="F60" s="130">
        <v>10200</v>
      </c>
      <c r="G60" s="130"/>
      <c r="H60" s="129" t="s">
        <v>23</v>
      </c>
      <c r="I60" s="131" t="s">
        <v>24</v>
      </c>
      <c r="J60" s="131"/>
      <c r="K60" s="132" t="s">
        <v>17</v>
      </c>
      <c r="L60" s="133">
        <v>223165.91</v>
      </c>
    </row>
    <row r="61" spans="1:12" ht="71.400000000000006" hidden="1" x14ac:dyDescent="0.3">
      <c r="A61" s="127" t="s">
        <v>267</v>
      </c>
      <c r="B61" s="128" t="s">
        <v>511</v>
      </c>
      <c r="C61" s="128" t="s">
        <v>512</v>
      </c>
      <c r="D61" s="128" t="s">
        <v>508</v>
      </c>
      <c r="E61" s="129" t="s">
        <v>22</v>
      </c>
      <c r="F61" s="134" t="s">
        <v>24</v>
      </c>
      <c r="G61" s="134"/>
      <c r="H61" s="129" t="s">
        <v>22</v>
      </c>
      <c r="I61" s="135">
        <v>1251.43</v>
      </c>
      <c r="J61" s="135"/>
      <c r="K61" s="132" t="s">
        <v>17</v>
      </c>
      <c r="L61" s="133">
        <v>221914.48</v>
      </c>
    </row>
    <row r="62" spans="1:12" ht="71.400000000000006" hidden="1" x14ac:dyDescent="0.3">
      <c r="A62" s="127" t="s">
        <v>267</v>
      </c>
      <c r="B62" s="128" t="s">
        <v>513</v>
      </c>
      <c r="C62" s="128" t="s">
        <v>514</v>
      </c>
      <c r="D62" s="128" t="s">
        <v>508</v>
      </c>
      <c r="E62" s="129" t="s">
        <v>22</v>
      </c>
      <c r="F62" s="134" t="s">
        <v>24</v>
      </c>
      <c r="G62" s="134"/>
      <c r="H62" s="129" t="s">
        <v>22</v>
      </c>
      <c r="I62" s="137">
        <v>938.57</v>
      </c>
      <c r="J62" s="137"/>
      <c r="K62" s="132" t="s">
        <v>17</v>
      </c>
      <c r="L62" s="133">
        <v>220975.91</v>
      </c>
    </row>
    <row r="63" spans="1:12" ht="112.2" hidden="1" x14ac:dyDescent="0.3">
      <c r="A63" s="127" t="s">
        <v>267</v>
      </c>
      <c r="B63" s="128" t="s">
        <v>515</v>
      </c>
      <c r="C63" s="128" t="s">
        <v>516</v>
      </c>
      <c r="D63" s="128" t="s">
        <v>510</v>
      </c>
      <c r="E63" s="129" t="s">
        <v>22</v>
      </c>
      <c r="F63" s="134" t="s">
        <v>24</v>
      </c>
      <c r="G63" s="134"/>
      <c r="H63" s="129" t="s">
        <v>22</v>
      </c>
      <c r="I63" s="137">
        <v>224.35</v>
      </c>
      <c r="J63" s="137"/>
      <c r="K63" s="132" t="s">
        <v>17</v>
      </c>
      <c r="L63" s="133">
        <v>220751.56</v>
      </c>
    </row>
    <row r="64" spans="1:12" ht="112.2" hidden="1" x14ac:dyDescent="0.3">
      <c r="A64" s="127" t="s">
        <v>267</v>
      </c>
      <c r="B64" s="128" t="s">
        <v>515</v>
      </c>
      <c r="C64" s="128" t="s">
        <v>516</v>
      </c>
      <c r="D64" s="128" t="s">
        <v>510</v>
      </c>
      <c r="E64" s="129" t="s">
        <v>22</v>
      </c>
      <c r="F64" s="134" t="s">
        <v>24</v>
      </c>
      <c r="G64" s="134"/>
      <c r="H64" s="129" t="s">
        <v>22</v>
      </c>
      <c r="I64" s="135">
        <v>10170.65</v>
      </c>
      <c r="J64" s="135"/>
      <c r="K64" s="132" t="s">
        <v>17</v>
      </c>
      <c r="L64" s="133">
        <v>210580.91</v>
      </c>
    </row>
    <row r="65" spans="1:12" ht="81.599999999999994" hidden="1" x14ac:dyDescent="0.3">
      <c r="A65" s="127" t="s">
        <v>18</v>
      </c>
      <c r="B65" s="128" t="s">
        <v>517</v>
      </c>
      <c r="C65" s="128" t="s">
        <v>518</v>
      </c>
      <c r="D65" s="128" t="s">
        <v>519</v>
      </c>
      <c r="E65" s="129" t="s">
        <v>22</v>
      </c>
      <c r="F65" s="130">
        <v>14091</v>
      </c>
      <c r="G65" s="130"/>
      <c r="H65" s="129" t="s">
        <v>23</v>
      </c>
      <c r="I65" s="131" t="s">
        <v>24</v>
      </c>
      <c r="J65" s="131"/>
      <c r="K65" s="132" t="s">
        <v>17</v>
      </c>
      <c r="L65" s="133">
        <v>224671.91</v>
      </c>
    </row>
    <row r="66" spans="1:12" ht="71.400000000000006" hidden="1" x14ac:dyDescent="0.3">
      <c r="A66" s="127" t="s">
        <v>18</v>
      </c>
      <c r="B66" s="128" t="s">
        <v>517</v>
      </c>
      <c r="C66" s="128" t="s">
        <v>520</v>
      </c>
      <c r="D66" s="128" t="s">
        <v>519</v>
      </c>
      <c r="E66" s="129" t="s">
        <v>22</v>
      </c>
      <c r="F66" s="130">
        <v>53367.83</v>
      </c>
      <c r="G66" s="130"/>
      <c r="H66" s="129" t="s">
        <v>23</v>
      </c>
      <c r="I66" s="131" t="s">
        <v>24</v>
      </c>
      <c r="J66" s="131"/>
      <c r="K66" s="132" t="s">
        <v>17</v>
      </c>
      <c r="L66" s="133">
        <v>278039.74</v>
      </c>
    </row>
    <row r="67" spans="1:12" ht="81.599999999999994" hidden="1" x14ac:dyDescent="0.3">
      <c r="A67" s="127" t="s">
        <v>18</v>
      </c>
      <c r="B67" s="128" t="s">
        <v>521</v>
      </c>
      <c r="C67" s="128" t="s">
        <v>518</v>
      </c>
      <c r="D67" s="128" t="s">
        <v>519</v>
      </c>
      <c r="E67" s="129" t="s">
        <v>22</v>
      </c>
      <c r="F67" s="130">
        <v>32879</v>
      </c>
      <c r="G67" s="130"/>
      <c r="H67" s="129" t="s">
        <v>23</v>
      </c>
      <c r="I67" s="131" t="s">
        <v>24</v>
      </c>
      <c r="J67" s="131"/>
      <c r="K67" s="132" t="s">
        <v>17</v>
      </c>
      <c r="L67" s="133">
        <v>310918.74</v>
      </c>
    </row>
    <row r="68" spans="1:12" ht="71.400000000000006" hidden="1" x14ac:dyDescent="0.3">
      <c r="A68" s="127" t="s">
        <v>18</v>
      </c>
      <c r="B68" s="128" t="s">
        <v>521</v>
      </c>
      <c r="C68" s="128" t="s">
        <v>520</v>
      </c>
      <c r="D68" s="128" t="s">
        <v>519</v>
      </c>
      <c r="E68" s="129" t="s">
        <v>22</v>
      </c>
      <c r="F68" s="130">
        <v>58985.5</v>
      </c>
      <c r="G68" s="130"/>
      <c r="H68" s="129" t="s">
        <v>23</v>
      </c>
      <c r="I68" s="131" t="s">
        <v>24</v>
      </c>
      <c r="J68" s="131"/>
      <c r="K68" s="132" t="s">
        <v>17</v>
      </c>
      <c r="L68" s="133">
        <v>369904.24</v>
      </c>
    </row>
    <row r="69" spans="1:12" ht="81.599999999999994" hidden="1" x14ac:dyDescent="0.3">
      <c r="A69" s="127" t="s">
        <v>18</v>
      </c>
      <c r="B69" s="128" t="s">
        <v>522</v>
      </c>
      <c r="C69" s="128" t="s">
        <v>523</v>
      </c>
      <c r="D69" s="128" t="s">
        <v>518</v>
      </c>
      <c r="E69" s="129" t="s">
        <v>22</v>
      </c>
      <c r="F69" s="134" t="s">
        <v>24</v>
      </c>
      <c r="G69" s="134"/>
      <c r="H69" s="129" t="s">
        <v>22</v>
      </c>
      <c r="I69" s="135">
        <v>46970</v>
      </c>
      <c r="J69" s="135"/>
      <c r="K69" s="132" t="s">
        <v>17</v>
      </c>
      <c r="L69" s="133">
        <v>322934.24</v>
      </c>
    </row>
    <row r="70" spans="1:12" ht="81.599999999999994" hidden="1" x14ac:dyDescent="0.3">
      <c r="A70" s="127" t="s">
        <v>18</v>
      </c>
      <c r="B70" s="128" t="s">
        <v>524</v>
      </c>
      <c r="C70" s="128" t="s">
        <v>525</v>
      </c>
      <c r="D70" s="128" t="s">
        <v>520</v>
      </c>
      <c r="E70" s="129" t="s">
        <v>22</v>
      </c>
      <c r="F70" s="134" t="s">
        <v>24</v>
      </c>
      <c r="G70" s="134"/>
      <c r="H70" s="129" t="s">
        <v>22</v>
      </c>
      <c r="I70" s="135">
        <v>112353.33</v>
      </c>
      <c r="J70" s="135"/>
      <c r="K70" s="132" t="s">
        <v>17</v>
      </c>
      <c r="L70" s="133">
        <v>210580.91</v>
      </c>
    </row>
    <row r="71" spans="1:12" ht="71.400000000000006" hidden="1" x14ac:dyDescent="0.3">
      <c r="A71" s="127" t="s">
        <v>526</v>
      </c>
      <c r="B71" s="128" t="s">
        <v>527</v>
      </c>
      <c r="C71" s="128" t="s">
        <v>528</v>
      </c>
      <c r="D71" s="128" t="s">
        <v>529</v>
      </c>
      <c r="E71" s="129" t="s">
        <v>22</v>
      </c>
      <c r="F71" s="130">
        <v>100289.1</v>
      </c>
      <c r="G71" s="130"/>
      <c r="H71" s="129" t="s">
        <v>23</v>
      </c>
      <c r="I71" s="131" t="s">
        <v>24</v>
      </c>
      <c r="J71" s="131"/>
      <c r="K71" s="132" t="s">
        <v>17</v>
      </c>
      <c r="L71" s="133">
        <v>310870.01</v>
      </c>
    </row>
    <row r="72" spans="1:12" ht="71.400000000000006" hidden="1" x14ac:dyDescent="0.3">
      <c r="A72" s="127" t="s">
        <v>526</v>
      </c>
      <c r="B72" s="128" t="s">
        <v>527</v>
      </c>
      <c r="C72" s="128" t="s">
        <v>528</v>
      </c>
      <c r="D72" s="128" t="s">
        <v>432</v>
      </c>
      <c r="E72" s="129" t="s">
        <v>22</v>
      </c>
      <c r="F72" s="130">
        <v>16025.9</v>
      </c>
      <c r="G72" s="130"/>
      <c r="H72" s="129" t="s">
        <v>23</v>
      </c>
      <c r="I72" s="131" t="s">
        <v>24</v>
      </c>
      <c r="J72" s="131"/>
      <c r="K72" s="132" t="s">
        <v>17</v>
      </c>
      <c r="L72" s="133">
        <v>326895.90999999997</v>
      </c>
    </row>
    <row r="73" spans="1:12" ht="71.400000000000006" hidden="1" x14ac:dyDescent="0.3">
      <c r="A73" s="127" t="s">
        <v>526</v>
      </c>
      <c r="B73" s="128" t="s">
        <v>530</v>
      </c>
      <c r="C73" s="128" t="s">
        <v>528</v>
      </c>
      <c r="D73" s="128" t="s">
        <v>529</v>
      </c>
      <c r="E73" s="129" t="s">
        <v>22</v>
      </c>
      <c r="F73" s="130">
        <v>30600.5</v>
      </c>
      <c r="G73" s="130"/>
      <c r="H73" s="129" t="s">
        <v>23</v>
      </c>
      <c r="I73" s="131" t="s">
        <v>24</v>
      </c>
      <c r="J73" s="131"/>
      <c r="K73" s="132" t="s">
        <v>17</v>
      </c>
      <c r="L73" s="133">
        <v>357496.41</v>
      </c>
    </row>
    <row r="74" spans="1:12" ht="71.400000000000006" hidden="1" x14ac:dyDescent="0.3">
      <c r="A74" s="127" t="s">
        <v>526</v>
      </c>
      <c r="B74" s="128" t="s">
        <v>531</v>
      </c>
      <c r="C74" s="128" t="s">
        <v>532</v>
      </c>
      <c r="D74" s="128" t="s">
        <v>501</v>
      </c>
      <c r="E74" s="129" t="s">
        <v>22</v>
      </c>
      <c r="F74" s="134" t="s">
        <v>24</v>
      </c>
      <c r="G74" s="134"/>
      <c r="H74" s="129" t="s">
        <v>22</v>
      </c>
      <c r="I74" s="135">
        <v>3710.66</v>
      </c>
      <c r="J74" s="135"/>
      <c r="K74" s="132" t="s">
        <v>17</v>
      </c>
      <c r="L74" s="133">
        <v>353785.75</v>
      </c>
    </row>
    <row r="75" spans="1:12" ht="71.400000000000006" hidden="1" x14ac:dyDescent="0.3">
      <c r="A75" s="127" t="s">
        <v>526</v>
      </c>
      <c r="B75" s="128" t="s">
        <v>531</v>
      </c>
      <c r="C75" s="128" t="s">
        <v>533</v>
      </c>
      <c r="D75" s="128" t="s">
        <v>528</v>
      </c>
      <c r="E75" s="129" t="s">
        <v>22</v>
      </c>
      <c r="F75" s="134" t="s">
        <v>24</v>
      </c>
      <c r="G75" s="134"/>
      <c r="H75" s="129" t="s">
        <v>22</v>
      </c>
      <c r="I75" s="135">
        <v>92228.77</v>
      </c>
      <c r="J75" s="135"/>
      <c r="K75" s="132" t="s">
        <v>17</v>
      </c>
      <c r="L75" s="133">
        <v>261556.98</v>
      </c>
    </row>
    <row r="76" spans="1:12" ht="71.400000000000006" hidden="1" x14ac:dyDescent="0.3">
      <c r="A76" s="127" t="s">
        <v>526</v>
      </c>
      <c r="B76" s="128" t="s">
        <v>534</v>
      </c>
      <c r="C76" s="128" t="s">
        <v>535</v>
      </c>
      <c r="D76" s="128" t="s">
        <v>528</v>
      </c>
      <c r="E76" s="129" t="s">
        <v>22</v>
      </c>
      <c r="F76" s="134" t="s">
        <v>24</v>
      </c>
      <c r="G76" s="134"/>
      <c r="H76" s="129" t="s">
        <v>22</v>
      </c>
      <c r="I76" s="135">
        <v>17083.2</v>
      </c>
      <c r="J76" s="135"/>
      <c r="K76" s="132" t="s">
        <v>17</v>
      </c>
      <c r="L76" s="133">
        <v>244473.78</v>
      </c>
    </row>
    <row r="77" spans="1:12" ht="71.400000000000006" hidden="1" x14ac:dyDescent="0.3">
      <c r="A77" s="127" t="s">
        <v>526</v>
      </c>
      <c r="B77" s="128" t="s">
        <v>536</v>
      </c>
      <c r="C77" s="128" t="s">
        <v>537</v>
      </c>
      <c r="D77" s="128" t="s">
        <v>528</v>
      </c>
      <c r="E77" s="129" t="s">
        <v>22</v>
      </c>
      <c r="F77" s="134" t="s">
        <v>24</v>
      </c>
      <c r="G77" s="134"/>
      <c r="H77" s="129" t="s">
        <v>22</v>
      </c>
      <c r="I77" s="135">
        <v>34166.39</v>
      </c>
      <c r="J77" s="135"/>
      <c r="K77" s="132" t="s">
        <v>17</v>
      </c>
      <c r="L77" s="133">
        <v>210307.39</v>
      </c>
    </row>
    <row r="78" spans="1:12" ht="71.400000000000006" hidden="1" x14ac:dyDescent="0.3">
      <c r="A78" s="127" t="s">
        <v>53</v>
      </c>
      <c r="B78" s="128" t="s">
        <v>170</v>
      </c>
      <c r="C78" s="128" t="s">
        <v>171</v>
      </c>
      <c r="D78" s="128" t="s">
        <v>172</v>
      </c>
      <c r="E78" s="129" t="s">
        <v>22</v>
      </c>
      <c r="F78" s="136">
        <v>633.82000000000005</v>
      </c>
      <c r="G78" s="136"/>
      <c r="H78" s="129" t="s">
        <v>22</v>
      </c>
      <c r="I78" s="131" t="s">
        <v>24</v>
      </c>
      <c r="J78" s="131"/>
      <c r="K78" s="132" t="s">
        <v>17</v>
      </c>
      <c r="L78" s="133">
        <v>210941.21</v>
      </c>
    </row>
    <row r="79" spans="1:12" ht="61.2" hidden="1" x14ac:dyDescent="0.3">
      <c r="A79" s="127" t="s">
        <v>53</v>
      </c>
      <c r="B79" s="128" t="s">
        <v>170</v>
      </c>
      <c r="C79" s="128" t="s">
        <v>173</v>
      </c>
      <c r="D79" s="128" t="s">
        <v>174</v>
      </c>
      <c r="E79" s="129" t="s">
        <v>22</v>
      </c>
      <c r="F79" s="136">
        <v>500</v>
      </c>
      <c r="G79" s="136"/>
      <c r="H79" s="129" t="s">
        <v>22</v>
      </c>
      <c r="I79" s="131" t="s">
        <v>24</v>
      </c>
      <c r="J79" s="131"/>
      <c r="K79" s="132" t="s">
        <v>17</v>
      </c>
      <c r="L79" s="133">
        <v>211441.21</v>
      </c>
    </row>
    <row r="80" spans="1:12" ht="71.400000000000006" hidden="1" x14ac:dyDescent="0.3">
      <c r="A80" s="127" t="s">
        <v>53</v>
      </c>
      <c r="B80" s="128" t="s">
        <v>538</v>
      </c>
      <c r="C80" s="128" t="s">
        <v>539</v>
      </c>
      <c r="D80" s="128" t="s">
        <v>529</v>
      </c>
      <c r="E80" s="129" t="s">
        <v>22</v>
      </c>
      <c r="F80" s="130">
        <v>20000</v>
      </c>
      <c r="G80" s="130"/>
      <c r="H80" s="129" t="s">
        <v>23</v>
      </c>
      <c r="I80" s="131" t="s">
        <v>24</v>
      </c>
      <c r="J80" s="131"/>
      <c r="K80" s="132" t="s">
        <v>17</v>
      </c>
      <c r="L80" s="133">
        <v>231441.21</v>
      </c>
    </row>
    <row r="81" spans="1:12" ht="71.400000000000006" hidden="1" x14ac:dyDescent="0.3">
      <c r="A81" s="127" t="s">
        <v>53</v>
      </c>
      <c r="B81" s="128" t="s">
        <v>538</v>
      </c>
      <c r="C81" s="128" t="s">
        <v>540</v>
      </c>
      <c r="D81" s="128" t="s">
        <v>529</v>
      </c>
      <c r="E81" s="129" t="s">
        <v>22</v>
      </c>
      <c r="F81" s="130">
        <v>105105</v>
      </c>
      <c r="G81" s="130"/>
      <c r="H81" s="129" t="s">
        <v>23</v>
      </c>
      <c r="I81" s="131" t="s">
        <v>24</v>
      </c>
      <c r="J81" s="131"/>
      <c r="K81" s="132" t="s">
        <v>17</v>
      </c>
      <c r="L81" s="133">
        <v>336546.21</v>
      </c>
    </row>
    <row r="82" spans="1:12" ht="71.400000000000006" hidden="1" x14ac:dyDescent="0.3">
      <c r="A82" s="127" t="s">
        <v>53</v>
      </c>
      <c r="B82" s="128" t="s">
        <v>541</v>
      </c>
      <c r="C82" s="128" t="s">
        <v>539</v>
      </c>
      <c r="D82" s="128" t="s">
        <v>529</v>
      </c>
      <c r="E82" s="129" t="s">
        <v>22</v>
      </c>
      <c r="F82" s="130">
        <v>6339.95</v>
      </c>
      <c r="G82" s="130"/>
      <c r="H82" s="129" t="s">
        <v>23</v>
      </c>
      <c r="I82" s="131" t="s">
        <v>24</v>
      </c>
      <c r="J82" s="131"/>
      <c r="K82" s="132" t="s">
        <v>17</v>
      </c>
      <c r="L82" s="133">
        <v>342886.16</v>
      </c>
    </row>
    <row r="83" spans="1:12" ht="71.400000000000006" hidden="1" x14ac:dyDescent="0.3">
      <c r="A83" s="127" t="s">
        <v>53</v>
      </c>
      <c r="B83" s="128" t="s">
        <v>541</v>
      </c>
      <c r="C83" s="128" t="s">
        <v>540</v>
      </c>
      <c r="D83" s="128" t="s">
        <v>529</v>
      </c>
      <c r="E83" s="129" t="s">
        <v>22</v>
      </c>
      <c r="F83" s="130">
        <v>33318.050000000003</v>
      </c>
      <c r="G83" s="130"/>
      <c r="H83" s="129" t="s">
        <v>23</v>
      </c>
      <c r="I83" s="131" t="s">
        <v>24</v>
      </c>
      <c r="J83" s="131"/>
      <c r="K83" s="132" t="s">
        <v>17</v>
      </c>
      <c r="L83" s="133">
        <v>376204.21</v>
      </c>
    </row>
    <row r="84" spans="1:12" ht="81.599999999999994" hidden="1" x14ac:dyDescent="0.3">
      <c r="A84" s="127" t="s">
        <v>53</v>
      </c>
      <c r="B84" s="128" t="s">
        <v>542</v>
      </c>
      <c r="C84" s="128" t="s">
        <v>543</v>
      </c>
      <c r="D84" s="128" t="s">
        <v>540</v>
      </c>
      <c r="E84" s="129" t="s">
        <v>22</v>
      </c>
      <c r="F84" s="134" t="s">
        <v>24</v>
      </c>
      <c r="G84" s="134"/>
      <c r="H84" s="129" t="s">
        <v>22</v>
      </c>
      <c r="I84" s="135">
        <v>102469.01</v>
      </c>
      <c r="J84" s="135"/>
      <c r="K84" s="132" t="s">
        <v>17</v>
      </c>
      <c r="L84" s="133">
        <v>273735.2</v>
      </c>
    </row>
    <row r="85" spans="1:12" ht="71.400000000000006" hidden="1" x14ac:dyDescent="0.3">
      <c r="A85" s="127" t="s">
        <v>53</v>
      </c>
      <c r="B85" s="128" t="s">
        <v>544</v>
      </c>
      <c r="C85" s="128" t="s">
        <v>545</v>
      </c>
      <c r="D85" s="128" t="s">
        <v>540</v>
      </c>
      <c r="E85" s="129" t="s">
        <v>22</v>
      </c>
      <c r="F85" s="134" t="s">
        <v>24</v>
      </c>
      <c r="G85" s="134"/>
      <c r="H85" s="129" t="s">
        <v>22</v>
      </c>
      <c r="I85" s="135">
        <v>35954.04</v>
      </c>
      <c r="J85" s="135"/>
      <c r="K85" s="132" t="s">
        <v>17</v>
      </c>
      <c r="L85" s="133">
        <v>237781.16</v>
      </c>
    </row>
    <row r="86" spans="1:12" ht="81.599999999999994" hidden="1" x14ac:dyDescent="0.3">
      <c r="A86" s="127" t="s">
        <v>53</v>
      </c>
      <c r="B86" s="128" t="s">
        <v>546</v>
      </c>
      <c r="C86" s="128" t="s">
        <v>547</v>
      </c>
      <c r="D86" s="128" t="s">
        <v>539</v>
      </c>
      <c r="E86" s="129" t="s">
        <v>22</v>
      </c>
      <c r="F86" s="134" t="s">
        <v>24</v>
      </c>
      <c r="G86" s="134"/>
      <c r="H86" s="129" t="s">
        <v>22</v>
      </c>
      <c r="I86" s="135">
        <v>13169.98</v>
      </c>
      <c r="J86" s="135"/>
      <c r="K86" s="132" t="s">
        <v>17</v>
      </c>
      <c r="L86" s="133">
        <v>224611.18</v>
      </c>
    </row>
    <row r="87" spans="1:12" ht="61.2" hidden="1" x14ac:dyDescent="0.3">
      <c r="A87" s="127" t="s">
        <v>53</v>
      </c>
      <c r="B87" s="128" t="s">
        <v>548</v>
      </c>
      <c r="C87" s="128" t="s">
        <v>549</v>
      </c>
      <c r="D87" s="128" t="s">
        <v>539</v>
      </c>
      <c r="E87" s="129" t="s">
        <v>22</v>
      </c>
      <c r="F87" s="134" t="s">
        <v>24</v>
      </c>
      <c r="G87" s="134"/>
      <c r="H87" s="129" t="s">
        <v>22</v>
      </c>
      <c r="I87" s="135">
        <v>13169.97</v>
      </c>
      <c r="J87" s="135"/>
      <c r="K87" s="132" t="s">
        <v>17</v>
      </c>
      <c r="L87" s="133">
        <v>211441.21</v>
      </c>
    </row>
    <row r="88" spans="1:12" ht="71.400000000000006" hidden="1" x14ac:dyDescent="0.3">
      <c r="A88" s="127" t="s">
        <v>53</v>
      </c>
      <c r="B88" s="128" t="s">
        <v>550</v>
      </c>
      <c r="C88" s="128" t="s">
        <v>551</v>
      </c>
      <c r="D88" s="128" t="s">
        <v>552</v>
      </c>
      <c r="E88" s="129" t="s">
        <v>22</v>
      </c>
      <c r="F88" s="130">
        <v>8285</v>
      </c>
      <c r="G88" s="130"/>
      <c r="H88" s="129" t="s">
        <v>23</v>
      </c>
      <c r="I88" s="131" t="s">
        <v>24</v>
      </c>
      <c r="J88" s="131"/>
      <c r="K88" s="132" t="s">
        <v>17</v>
      </c>
      <c r="L88" s="133">
        <v>219726.21</v>
      </c>
    </row>
    <row r="89" spans="1:12" ht="71.400000000000006" hidden="1" x14ac:dyDescent="0.3">
      <c r="A89" s="127" t="s">
        <v>53</v>
      </c>
      <c r="B89" s="128" t="s">
        <v>550</v>
      </c>
      <c r="C89" s="128" t="s">
        <v>553</v>
      </c>
      <c r="D89" s="128" t="s">
        <v>552</v>
      </c>
      <c r="E89" s="129" t="s">
        <v>22</v>
      </c>
      <c r="F89" s="130">
        <v>7387.5</v>
      </c>
      <c r="G89" s="130"/>
      <c r="H89" s="129" t="s">
        <v>23</v>
      </c>
      <c r="I89" s="131" t="s">
        <v>24</v>
      </c>
      <c r="J89" s="131"/>
      <c r="K89" s="132" t="s">
        <v>17</v>
      </c>
      <c r="L89" s="133">
        <v>227113.71</v>
      </c>
    </row>
    <row r="90" spans="1:12" ht="81.599999999999994" hidden="1" x14ac:dyDescent="0.3">
      <c r="A90" s="127" t="s">
        <v>53</v>
      </c>
      <c r="B90" s="128" t="s">
        <v>554</v>
      </c>
      <c r="C90" s="128" t="s">
        <v>555</v>
      </c>
      <c r="D90" s="128" t="s">
        <v>551</v>
      </c>
      <c r="E90" s="129" t="s">
        <v>22</v>
      </c>
      <c r="F90" s="134" t="s">
        <v>24</v>
      </c>
      <c r="G90" s="134"/>
      <c r="H90" s="129" t="s">
        <v>22</v>
      </c>
      <c r="I90" s="135">
        <v>8285</v>
      </c>
      <c r="J90" s="135"/>
      <c r="K90" s="132" t="s">
        <v>17</v>
      </c>
      <c r="L90" s="133">
        <v>218828.71</v>
      </c>
    </row>
    <row r="91" spans="1:12" ht="91.8" hidden="1" x14ac:dyDescent="0.3">
      <c r="A91" s="127" t="s">
        <v>53</v>
      </c>
      <c r="B91" s="128" t="s">
        <v>556</v>
      </c>
      <c r="C91" s="128" t="s">
        <v>557</v>
      </c>
      <c r="D91" s="128" t="s">
        <v>553</v>
      </c>
      <c r="E91" s="129" t="s">
        <v>22</v>
      </c>
      <c r="F91" s="134" t="s">
        <v>24</v>
      </c>
      <c r="G91" s="134"/>
      <c r="H91" s="129" t="s">
        <v>22</v>
      </c>
      <c r="I91" s="135">
        <v>7387.5</v>
      </c>
      <c r="J91" s="135"/>
      <c r="K91" s="132" t="s">
        <v>17</v>
      </c>
      <c r="L91" s="133">
        <v>211441.21</v>
      </c>
    </row>
    <row r="92" spans="1:12" ht="81.599999999999994" hidden="1" x14ac:dyDescent="0.3">
      <c r="A92" s="127" t="s">
        <v>111</v>
      </c>
      <c r="B92" s="128" t="s">
        <v>558</v>
      </c>
      <c r="C92" s="128" t="s">
        <v>559</v>
      </c>
      <c r="D92" s="128" t="s">
        <v>560</v>
      </c>
      <c r="E92" s="129" t="s">
        <v>22</v>
      </c>
      <c r="F92" s="130">
        <v>19240</v>
      </c>
      <c r="G92" s="130"/>
      <c r="H92" s="129" t="s">
        <v>23</v>
      </c>
      <c r="I92" s="131" t="s">
        <v>24</v>
      </c>
      <c r="J92" s="131"/>
      <c r="K92" s="132" t="s">
        <v>17</v>
      </c>
      <c r="L92" s="133">
        <v>230681.21</v>
      </c>
    </row>
    <row r="93" spans="1:12" ht="81.599999999999994" hidden="1" x14ac:dyDescent="0.3">
      <c r="A93" s="127" t="s">
        <v>111</v>
      </c>
      <c r="B93" s="128" t="s">
        <v>558</v>
      </c>
      <c r="C93" s="128" t="s">
        <v>561</v>
      </c>
      <c r="D93" s="128" t="s">
        <v>560</v>
      </c>
      <c r="E93" s="129" t="s">
        <v>22</v>
      </c>
      <c r="F93" s="130">
        <v>7800</v>
      </c>
      <c r="G93" s="130"/>
      <c r="H93" s="129" t="s">
        <v>23</v>
      </c>
      <c r="I93" s="131" t="s">
        <v>24</v>
      </c>
      <c r="J93" s="131"/>
      <c r="K93" s="132" t="s">
        <v>17</v>
      </c>
      <c r="L93" s="133">
        <v>238481.21</v>
      </c>
    </row>
    <row r="94" spans="1:12" ht="71.400000000000006" hidden="1" x14ac:dyDescent="0.3">
      <c r="A94" s="127" t="s">
        <v>111</v>
      </c>
      <c r="B94" s="128" t="s">
        <v>558</v>
      </c>
      <c r="C94" s="128" t="s">
        <v>562</v>
      </c>
      <c r="D94" s="128" t="s">
        <v>560</v>
      </c>
      <c r="E94" s="129" t="s">
        <v>22</v>
      </c>
      <c r="F94" s="130">
        <v>380266.67</v>
      </c>
      <c r="G94" s="130"/>
      <c r="H94" s="129" t="s">
        <v>23</v>
      </c>
      <c r="I94" s="131" t="s">
        <v>24</v>
      </c>
      <c r="J94" s="131"/>
      <c r="K94" s="132" t="s">
        <v>17</v>
      </c>
      <c r="L94" s="133">
        <v>618747.88</v>
      </c>
    </row>
    <row r="95" spans="1:12" ht="71.400000000000006" hidden="1" x14ac:dyDescent="0.3">
      <c r="A95" s="127" t="s">
        <v>111</v>
      </c>
      <c r="B95" s="128" t="s">
        <v>558</v>
      </c>
      <c r="C95" s="128" t="s">
        <v>563</v>
      </c>
      <c r="D95" s="128" t="s">
        <v>560</v>
      </c>
      <c r="E95" s="129" t="s">
        <v>22</v>
      </c>
      <c r="F95" s="130">
        <v>52958.33</v>
      </c>
      <c r="G95" s="130"/>
      <c r="H95" s="129" t="s">
        <v>23</v>
      </c>
      <c r="I95" s="131" t="s">
        <v>24</v>
      </c>
      <c r="J95" s="131"/>
      <c r="K95" s="132" t="s">
        <v>17</v>
      </c>
      <c r="L95" s="133">
        <v>671706.21</v>
      </c>
    </row>
    <row r="96" spans="1:12" ht="71.400000000000006" hidden="1" x14ac:dyDescent="0.3">
      <c r="A96" s="127" t="s">
        <v>111</v>
      </c>
      <c r="B96" s="128" t="s">
        <v>558</v>
      </c>
      <c r="C96" s="128" t="s">
        <v>564</v>
      </c>
      <c r="D96" s="128" t="s">
        <v>560</v>
      </c>
      <c r="E96" s="129" t="s">
        <v>22</v>
      </c>
      <c r="F96" s="130">
        <v>3510</v>
      </c>
      <c r="G96" s="130"/>
      <c r="H96" s="129" t="s">
        <v>23</v>
      </c>
      <c r="I96" s="131" t="s">
        <v>24</v>
      </c>
      <c r="J96" s="131"/>
      <c r="K96" s="132" t="s">
        <v>17</v>
      </c>
      <c r="L96" s="133">
        <v>675216.21</v>
      </c>
    </row>
    <row r="97" spans="1:12" ht="71.400000000000006" hidden="1" x14ac:dyDescent="0.3">
      <c r="A97" s="127" t="s">
        <v>111</v>
      </c>
      <c r="B97" s="128" t="s">
        <v>558</v>
      </c>
      <c r="C97" s="128" t="s">
        <v>565</v>
      </c>
      <c r="D97" s="128" t="s">
        <v>560</v>
      </c>
      <c r="E97" s="129" t="s">
        <v>22</v>
      </c>
      <c r="F97" s="130">
        <v>2284.92</v>
      </c>
      <c r="G97" s="130"/>
      <c r="H97" s="129" t="s">
        <v>23</v>
      </c>
      <c r="I97" s="131" t="s">
        <v>24</v>
      </c>
      <c r="J97" s="131"/>
      <c r="K97" s="132" t="s">
        <v>17</v>
      </c>
      <c r="L97" s="133">
        <v>677501.13</v>
      </c>
    </row>
    <row r="98" spans="1:12" ht="71.400000000000006" hidden="1" x14ac:dyDescent="0.3">
      <c r="A98" s="127" t="s">
        <v>111</v>
      </c>
      <c r="B98" s="128" t="s">
        <v>558</v>
      </c>
      <c r="C98" s="128" t="s">
        <v>566</v>
      </c>
      <c r="D98" s="128" t="s">
        <v>560</v>
      </c>
      <c r="E98" s="129" t="s">
        <v>22</v>
      </c>
      <c r="F98" s="130">
        <v>35550</v>
      </c>
      <c r="G98" s="130"/>
      <c r="H98" s="129" t="s">
        <v>23</v>
      </c>
      <c r="I98" s="131" t="s">
        <v>24</v>
      </c>
      <c r="J98" s="131"/>
      <c r="K98" s="132" t="s">
        <v>17</v>
      </c>
      <c r="L98" s="133">
        <v>713051.13</v>
      </c>
    </row>
    <row r="99" spans="1:12" ht="71.400000000000006" hidden="1" x14ac:dyDescent="0.3">
      <c r="A99" s="127" t="s">
        <v>111</v>
      </c>
      <c r="B99" s="128" t="s">
        <v>558</v>
      </c>
      <c r="C99" s="128" t="s">
        <v>567</v>
      </c>
      <c r="D99" s="128" t="s">
        <v>560</v>
      </c>
      <c r="E99" s="129" t="s">
        <v>22</v>
      </c>
      <c r="F99" s="130">
        <v>31258.33</v>
      </c>
      <c r="G99" s="130"/>
      <c r="H99" s="129" t="s">
        <v>23</v>
      </c>
      <c r="I99" s="131" t="s">
        <v>24</v>
      </c>
      <c r="J99" s="131"/>
      <c r="K99" s="132" t="s">
        <v>17</v>
      </c>
      <c r="L99" s="133">
        <v>744309.46</v>
      </c>
    </row>
    <row r="100" spans="1:12" ht="71.400000000000006" hidden="1" x14ac:dyDescent="0.3">
      <c r="A100" s="127" t="s">
        <v>111</v>
      </c>
      <c r="B100" s="128" t="s">
        <v>558</v>
      </c>
      <c r="C100" s="128" t="s">
        <v>568</v>
      </c>
      <c r="D100" s="128" t="s">
        <v>560</v>
      </c>
      <c r="E100" s="129" t="s">
        <v>22</v>
      </c>
      <c r="F100" s="130">
        <v>22950</v>
      </c>
      <c r="G100" s="130"/>
      <c r="H100" s="129" t="s">
        <v>23</v>
      </c>
      <c r="I100" s="131" t="s">
        <v>24</v>
      </c>
      <c r="J100" s="131"/>
      <c r="K100" s="132" t="s">
        <v>17</v>
      </c>
      <c r="L100" s="133">
        <v>767259.46</v>
      </c>
    </row>
    <row r="101" spans="1:12" ht="102" hidden="1" x14ac:dyDescent="0.3">
      <c r="A101" s="127" t="s">
        <v>111</v>
      </c>
      <c r="B101" s="128" t="s">
        <v>569</v>
      </c>
      <c r="C101" s="128" t="s">
        <v>570</v>
      </c>
      <c r="D101" s="128" t="s">
        <v>559</v>
      </c>
      <c r="E101" s="129" t="s">
        <v>22</v>
      </c>
      <c r="F101" s="134" t="s">
        <v>24</v>
      </c>
      <c r="G101" s="134"/>
      <c r="H101" s="129" t="s">
        <v>22</v>
      </c>
      <c r="I101" s="135">
        <v>19240</v>
      </c>
      <c r="J101" s="135"/>
      <c r="K101" s="132" t="s">
        <v>17</v>
      </c>
      <c r="L101" s="133">
        <v>748019.46</v>
      </c>
    </row>
    <row r="102" spans="1:12" ht="102" hidden="1" x14ac:dyDescent="0.3">
      <c r="A102" s="127" t="s">
        <v>111</v>
      </c>
      <c r="B102" s="128" t="s">
        <v>569</v>
      </c>
      <c r="C102" s="128" t="s">
        <v>571</v>
      </c>
      <c r="D102" s="128" t="s">
        <v>561</v>
      </c>
      <c r="E102" s="129" t="s">
        <v>22</v>
      </c>
      <c r="F102" s="134" t="s">
        <v>24</v>
      </c>
      <c r="G102" s="134"/>
      <c r="H102" s="129" t="s">
        <v>22</v>
      </c>
      <c r="I102" s="135">
        <v>7800</v>
      </c>
      <c r="J102" s="135"/>
      <c r="K102" s="132" t="s">
        <v>17</v>
      </c>
      <c r="L102" s="133">
        <v>740219.46</v>
      </c>
    </row>
    <row r="103" spans="1:12" ht="91.8" hidden="1" x14ac:dyDescent="0.3">
      <c r="A103" s="127" t="s">
        <v>111</v>
      </c>
      <c r="B103" s="128" t="s">
        <v>569</v>
      </c>
      <c r="C103" s="128" t="s">
        <v>572</v>
      </c>
      <c r="D103" s="128" t="s">
        <v>562</v>
      </c>
      <c r="E103" s="129" t="s">
        <v>22</v>
      </c>
      <c r="F103" s="134" t="s">
        <v>24</v>
      </c>
      <c r="G103" s="134"/>
      <c r="H103" s="129" t="s">
        <v>22</v>
      </c>
      <c r="I103" s="135">
        <v>150866.67000000001</v>
      </c>
      <c r="J103" s="135"/>
      <c r="K103" s="132" t="s">
        <v>17</v>
      </c>
      <c r="L103" s="133">
        <v>589352.79</v>
      </c>
    </row>
    <row r="104" spans="1:12" ht="91.8" hidden="1" x14ac:dyDescent="0.3">
      <c r="A104" s="127" t="s">
        <v>111</v>
      </c>
      <c r="B104" s="128" t="s">
        <v>569</v>
      </c>
      <c r="C104" s="128" t="s">
        <v>573</v>
      </c>
      <c r="D104" s="128" t="s">
        <v>563</v>
      </c>
      <c r="E104" s="129" t="s">
        <v>22</v>
      </c>
      <c r="F104" s="134" t="s">
        <v>24</v>
      </c>
      <c r="G104" s="134"/>
      <c r="H104" s="129" t="s">
        <v>22</v>
      </c>
      <c r="I104" s="135">
        <v>52958.33</v>
      </c>
      <c r="J104" s="135"/>
      <c r="K104" s="132" t="s">
        <v>17</v>
      </c>
      <c r="L104" s="133">
        <v>536394.46</v>
      </c>
    </row>
    <row r="105" spans="1:12" ht="91.8" hidden="1" x14ac:dyDescent="0.3">
      <c r="A105" s="127" t="s">
        <v>111</v>
      </c>
      <c r="B105" s="128" t="s">
        <v>569</v>
      </c>
      <c r="C105" s="128" t="s">
        <v>574</v>
      </c>
      <c r="D105" s="128" t="s">
        <v>565</v>
      </c>
      <c r="E105" s="129" t="s">
        <v>22</v>
      </c>
      <c r="F105" s="134" t="s">
        <v>24</v>
      </c>
      <c r="G105" s="134"/>
      <c r="H105" s="129" t="s">
        <v>22</v>
      </c>
      <c r="I105" s="135">
        <v>2284.92</v>
      </c>
      <c r="J105" s="135"/>
      <c r="K105" s="132" t="s">
        <v>17</v>
      </c>
      <c r="L105" s="133">
        <v>534109.54</v>
      </c>
    </row>
    <row r="106" spans="1:12" ht="81.599999999999994" hidden="1" x14ac:dyDescent="0.3">
      <c r="A106" s="127" t="s">
        <v>111</v>
      </c>
      <c r="B106" s="128" t="s">
        <v>575</v>
      </c>
      <c r="C106" s="128" t="s">
        <v>576</v>
      </c>
      <c r="D106" s="128" t="s">
        <v>562</v>
      </c>
      <c r="E106" s="129" t="s">
        <v>22</v>
      </c>
      <c r="F106" s="134" t="s">
        <v>24</v>
      </c>
      <c r="G106" s="134"/>
      <c r="H106" s="129" t="s">
        <v>22</v>
      </c>
      <c r="I106" s="135">
        <v>229400</v>
      </c>
      <c r="J106" s="135"/>
      <c r="K106" s="132" t="s">
        <v>17</v>
      </c>
      <c r="L106" s="133">
        <v>304709.53999999998</v>
      </c>
    </row>
    <row r="107" spans="1:12" ht="91.8" hidden="1" x14ac:dyDescent="0.3">
      <c r="A107" s="127" t="s">
        <v>111</v>
      </c>
      <c r="B107" s="128" t="s">
        <v>577</v>
      </c>
      <c r="C107" s="128" t="s">
        <v>578</v>
      </c>
      <c r="D107" s="128" t="s">
        <v>564</v>
      </c>
      <c r="E107" s="129" t="s">
        <v>22</v>
      </c>
      <c r="F107" s="134" t="s">
        <v>24</v>
      </c>
      <c r="G107" s="134"/>
      <c r="H107" s="129" t="s">
        <v>22</v>
      </c>
      <c r="I107" s="135">
        <v>3510</v>
      </c>
      <c r="J107" s="135"/>
      <c r="K107" s="132" t="s">
        <v>17</v>
      </c>
      <c r="L107" s="133">
        <v>301199.53999999998</v>
      </c>
    </row>
    <row r="108" spans="1:12" ht="91.8" hidden="1" x14ac:dyDescent="0.3">
      <c r="A108" s="127" t="s">
        <v>111</v>
      </c>
      <c r="B108" s="128" t="s">
        <v>577</v>
      </c>
      <c r="C108" s="128" t="s">
        <v>579</v>
      </c>
      <c r="D108" s="128" t="s">
        <v>567</v>
      </c>
      <c r="E108" s="129" t="s">
        <v>22</v>
      </c>
      <c r="F108" s="134" t="s">
        <v>24</v>
      </c>
      <c r="G108" s="134"/>
      <c r="H108" s="129" t="s">
        <v>22</v>
      </c>
      <c r="I108" s="135">
        <v>31258.33</v>
      </c>
      <c r="J108" s="135"/>
      <c r="K108" s="132" t="s">
        <v>17</v>
      </c>
      <c r="L108" s="133">
        <v>269941.21000000002</v>
      </c>
    </row>
    <row r="109" spans="1:12" ht="71.400000000000006" hidden="1" x14ac:dyDescent="0.3">
      <c r="A109" s="127" t="s">
        <v>111</v>
      </c>
      <c r="B109" s="128" t="s">
        <v>580</v>
      </c>
      <c r="C109" s="128" t="s">
        <v>581</v>
      </c>
      <c r="D109" s="128" t="s">
        <v>566</v>
      </c>
      <c r="E109" s="129" t="s">
        <v>22</v>
      </c>
      <c r="F109" s="134" t="s">
        <v>24</v>
      </c>
      <c r="G109" s="134"/>
      <c r="H109" s="129" t="s">
        <v>22</v>
      </c>
      <c r="I109" s="135">
        <v>35550</v>
      </c>
      <c r="J109" s="135"/>
      <c r="K109" s="132" t="s">
        <v>17</v>
      </c>
      <c r="L109" s="133">
        <v>234391.21</v>
      </c>
    </row>
    <row r="110" spans="1:12" ht="61.2" hidden="1" x14ac:dyDescent="0.3">
      <c r="A110" s="127" t="s">
        <v>111</v>
      </c>
      <c r="B110" s="128" t="s">
        <v>582</v>
      </c>
      <c r="C110" s="128" t="s">
        <v>583</v>
      </c>
      <c r="D110" s="128" t="s">
        <v>568</v>
      </c>
      <c r="E110" s="129" t="s">
        <v>22</v>
      </c>
      <c r="F110" s="134" t="s">
        <v>24</v>
      </c>
      <c r="G110" s="134"/>
      <c r="H110" s="129" t="s">
        <v>22</v>
      </c>
      <c r="I110" s="135">
        <v>22950</v>
      </c>
      <c r="J110" s="135"/>
      <c r="K110" s="132" t="s">
        <v>17</v>
      </c>
      <c r="L110" s="133">
        <v>211441.21</v>
      </c>
    </row>
    <row r="111" spans="1:12" ht="71.400000000000006" hidden="1" x14ac:dyDescent="0.3">
      <c r="A111" s="127" t="s">
        <v>111</v>
      </c>
      <c r="B111" s="128" t="s">
        <v>584</v>
      </c>
      <c r="C111" s="128" t="s">
        <v>585</v>
      </c>
      <c r="D111" s="128" t="s">
        <v>529</v>
      </c>
      <c r="E111" s="129" t="s">
        <v>22</v>
      </c>
      <c r="F111" s="130">
        <v>105495</v>
      </c>
      <c r="G111" s="130"/>
      <c r="H111" s="129" t="s">
        <v>23</v>
      </c>
      <c r="I111" s="131" t="s">
        <v>24</v>
      </c>
      <c r="J111" s="131"/>
      <c r="K111" s="132" t="s">
        <v>17</v>
      </c>
      <c r="L111" s="133">
        <v>316936.21000000002</v>
      </c>
    </row>
    <row r="112" spans="1:12" ht="71.400000000000006" hidden="1" x14ac:dyDescent="0.3">
      <c r="A112" s="127" t="s">
        <v>111</v>
      </c>
      <c r="B112" s="128" t="s">
        <v>586</v>
      </c>
      <c r="C112" s="128" t="s">
        <v>585</v>
      </c>
      <c r="D112" s="128" t="s">
        <v>529</v>
      </c>
      <c r="E112" s="129" t="s">
        <v>22</v>
      </c>
      <c r="F112" s="130">
        <v>31059.5</v>
      </c>
      <c r="G112" s="130"/>
      <c r="H112" s="129" t="s">
        <v>23</v>
      </c>
      <c r="I112" s="131" t="s">
        <v>24</v>
      </c>
      <c r="J112" s="131"/>
      <c r="K112" s="132" t="s">
        <v>17</v>
      </c>
      <c r="L112" s="133">
        <v>347995.71</v>
      </c>
    </row>
    <row r="113" spans="1:12" ht="71.400000000000006" hidden="1" x14ac:dyDescent="0.3">
      <c r="A113" s="127" t="s">
        <v>111</v>
      </c>
      <c r="B113" s="128" t="s">
        <v>587</v>
      </c>
      <c r="C113" s="128" t="s">
        <v>535</v>
      </c>
      <c r="D113" s="128" t="s">
        <v>528</v>
      </c>
      <c r="E113" s="129" t="s">
        <v>22</v>
      </c>
      <c r="F113" s="134" t="s">
        <v>24</v>
      </c>
      <c r="G113" s="134"/>
      <c r="H113" s="129" t="s">
        <v>22</v>
      </c>
      <c r="I113" s="135">
        <v>3437.14</v>
      </c>
      <c r="J113" s="135"/>
      <c r="K113" s="132" t="s">
        <v>17</v>
      </c>
      <c r="L113" s="133">
        <v>344558.57</v>
      </c>
    </row>
    <row r="114" spans="1:12" ht="71.400000000000006" hidden="1" x14ac:dyDescent="0.3">
      <c r="A114" s="127" t="s">
        <v>111</v>
      </c>
      <c r="B114" s="128" t="s">
        <v>587</v>
      </c>
      <c r="C114" s="128" t="s">
        <v>588</v>
      </c>
      <c r="D114" s="128" t="s">
        <v>585</v>
      </c>
      <c r="E114" s="129" t="s">
        <v>22</v>
      </c>
      <c r="F114" s="134" t="s">
        <v>24</v>
      </c>
      <c r="G114" s="134"/>
      <c r="H114" s="129" t="s">
        <v>22</v>
      </c>
      <c r="I114" s="135">
        <v>29740.87</v>
      </c>
      <c r="J114" s="135"/>
      <c r="K114" s="132" t="s">
        <v>17</v>
      </c>
      <c r="L114" s="133">
        <v>314817.7</v>
      </c>
    </row>
    <row r="115" spans="1:12" ht="71.400000000000006" hidden="1" x14ac:dyDescent="0.3">
      <c r="A115" s="127" t="s">
        <v>111</v>
      </c>
      <c r="B115" s="128" t="s">
        <v>589</v>
      </c>
      <c r="C115" s="128" t="s">
        <v>590</v>
      </c>
      <c r="D115" s="128" t="s">
        <v>585</v>
      </c>
      <c r="E115" s="129" t="s">
        <v>22</v>
      </c>
      <c r="F115" s="134" t="s">
        <v>24</v>
      </c>
      <c r="G115" s="134"/>
      <c r="H115" s="129" t="s">
        <v>22</v>
      </c>
      <c r="I115" s="135">
        <v>3501.4</v>
      </c>
      <c r="J115" s="135"/>
      <c r="K115" s="132" t="s">
        <v>17</v>
      </c>
      <c r="L115" s="133">
        <v>311316.3</v>
      </c>
    </row>
    <row r="116" spans="1:12" ht="81.599999999999994" hidden="1" x14ac:dyDescent="0.3">
      <c r="A116" s="127" t="s">
        <v>111</v>
      </c>
      <c r="B116" s="128" t="s">
        <v>591</v>
      </c>
      <c r="C116" s="128" t="s">
        <v>592</v>
      </c>
      <c r="D116" s="128" t="s">
        <v>585</v>
      </c>
      <c r="E116" s="129" t="s">
        <v>22</v>
      </c>
      <c r="F116" s="134" t="s">
        <v>24</v>
      </c>
      <c r="G116" s="134"/>
      <c r="H116" s="129" t="s">
        <v>22</v>
      </c>
      <c r="I116" s="135">
        <v>99789.83</v>
      </c>
      <c r="J116" s="135"/>
      <c r="K116" s="132" t="s">
        <v>17</v>
      </c>
      <c r="L116" s="133">
        <v>211526.47</v>
      </c>
    </row>
    <row r="117" spans="1:12" ht="71.400000000000006" hidden="1" x14ac:dyDescent="0.3">
      <c r="A117" s="127" t="s">
        <v>355</v>
      </c>
      <c r="B117" s="128" t="s">
        <v>593</v>
      </c>
      <c r="C117" s="128" t="s">
        <v>594</v>
      </c>
      <c r="D117" s="128" t="s">
        <v>529</v>
      </c>
      <c r="E117" s="129" t="s">
        <v>22</v>
      </c>
      <c r="F117" s="130">
        <v>119020</v>
      </c>
      <c r="G117" s="130"/>
      <c r="H117" s="129" t="s">
        <v>23</v>
      </c>
      <c r="I117" s="131" t="s">
        <v>24</v>
      </c>
      <c r="J117" s="131"/>
      <c r="K117" s="132" t="s">
        <v>17</v>
      </c>
      <c r="L117" s="133">
        <v>330546.46999999997</v>
      </c>
    </row>
    <row r="118" spans="1:12" ht="71.400000000000006" hidden="1" x14ac:dyDescent="0.3">
      <c r="A118" s="127" t="s">
        <v>355</v>
      </c>
      <c r="B118" s="128" t="s">
        <v>595</v>
      </c>
      <c r="C118" s="128" t="s">
        <v>594</v>
      </c>
      <c r="D118" s="128" t="s">
        <v>529</v>
      </c>
      <c r="E118" s="129" t="s">
        <v>22</v>
      </c>
      <c r="F118" s="130">
        <v>38429.5</v>
      </c>
      <c r="G118" s="130"/>
      <c r="H118" s="129" t="s">
        <v>23</v>
      </c>
      <c r="I118" s="131" t="s">
        <v>24</v>
      </c>
      <c r="J118" s="131"/>
      <c r="K118" s="132" t="s">
        <v>17</v>
      </c>
      <c r="L118" s="133">
        <v>368975.97</v>
      </c>
    </row>
    <row r="119" spans="1:12" ht="81.599999999999994" hidden="1" x14ac:dyDescent="0.3">
      <c r="A119" s="127" t="s">
        <v>355</v>
      </c>
      <c r="B119" s="128" t="s">
        <v>596</v>
      </c>
      <c r="C119" s="128" t="s">
        <v>592</v>
      </c>
      <c r="D119" s="128" t="s">
        <v>585</v>
      </c>
      <c r="E119" s="129" t="s">
        <v>22</v>
      </c>
      <c r="F119" s="134" t="s">
        <v>24</v>
      </c>
      <c r="G119" s="134"/>
      <c r="H119" s="129" t="s">
        <v>22</v>
      </c>
      <c r="I119" s="135">
        <v>3522.4</v>
      </c>
      <c r="J119" s="135"/>
      <c r="K119" s="132" t="s">
        <v>17</v>
      </c>
      <c r="L119" s="133">
        <v>365453.57</v>
      </c>
    </row>
    <row r="120" spans="1:12" ht="81.599999999999994" hidden="1" x14ac:dyDescent="0.3">
      <c r="A120" s="127" t="s">
        <v>355</v>
      </c>
      <c r="B120" s="128" t="s">
        <v>596</v>
      </c>
      <c r="C120" s="128" t="s">
        <v>597</v>
      </c>
      <c r="D120" s="128" t="s">
        <v>594</v>
      </c>
      <c r="E120" s="129" t="s">
        <v>22</v>
      </c>
      <c r="F120" s="134" t="s">
        <v>24</v>
      </c>
      <c r="G120" s="134"/>
      <c r="H120" s="129" t="s">
        <v>22</v>
      </c>
      <c r="I120" s="135">
        <v>98384.47</v>
      </c>
      <c r="J120" s="135"/>
      <c r="K120" s="132" t="s">
        <v>17</v>
      </c>
      <c r="L120" s="133">
        <v>267069.09999999998</v>
      </c>
    </row>
    <row r="121" spans="1:12" ht="71.400000000000006" hidden="1" x14ac:dyDescent="0.3">
      <c r="A121" s="127" t="s">
        <v>355</v>
      </c>
      <c r="B121" s="128" t="s">
        <v>598</v>
      </c>
      <c r="C121" s="128" t="s">
        <v>599</v>
      </c>
      <c r="D121" s="128" t="s">
        <v>594</v>
      </c>
      <c r="E121" s="129" t="s">
        <v>22</v>
      </c>
      <c r="F121" s="134" t="s">
        <v>24</v>
      </c>
      <c r="G121" s="134"/>
      <c r="H121" s="129" t="s">
        <v>22</v>
      </c>
      <c r="I121" s="135">
        <v>37573.18</v>
      </c>
      <c r="J121" s="135"/>
      <c r="K121" s="132" t="s">
        <v>17</v>
      </c>
      <c r="L121" s="133">
        <v>229495.92</v>
      </c>
    </row>
    <row r="122" spans="1:12" ht="71.400000000000006" hidden="1" x14ac:dyDescent="0.3">
      <c r="A122" s="127" t="s">
        <v>355</v>
      </c>
      <c r="B122" s="128" t="s">
        <v>600</v>
      </c>
      <c r="C122" s="128" t="s">
        <v>601</v>
      </c>
      <c r="D122" s="128" t="s">
        <v>594</v>
      </c>
      <c r="E122" s="129" t="s">
        <v>22</v>
      </c>
      <c r="F122" s="134" t="s">
        <v>24</v>
      </c>
      <c r="G122" s="134"/>
      <c r="H122" s="129" t="s">
        <v>22</v>
      </c>
      <c r="I122" s="135">
        <v>17891.990000000002</v>
      </c>
      <c r="J122" s="135"/>
      <c r="K122" s="132" t="s">
        <v>17</v>
      </c>
      <c r="L122" s="133">
        <v>211603.93</v>
      </c>
    </row>
    <row r="123" spans="1:12" ht="81.599999999999994" hidden="1" x14ac:dyDescent="0.3">
      <c r="A123" s="127" t="s">
        <v>61</v>
      </c>
      <c r="B123" s="128" t="s">
        <v>602</v>
      </c>
      <c r="C123" s="128" t="s">
        <v>603</v>
      </c>
      <c r="D123" s="128" t="s">
        <v>604</v>
      </c>
      <c r="E123" s="129" t="s">
        <v>22</v>
      </c>
      <c r="F123" s="130">
        <v>3666.8</v>
      </c>
      <c r="G123" s="130"/>
      <c r="H123" s="129" t="s">
        <v>23</v>
      </c>
      <c r="I123" s="131" t="s">
        <v>24</v>
      </c>
      <c r="J123" s="131"/>
      <c r="K123" s="132" t="s">
        <v>17</v>
      </c>
      <c r="L123" s="133">
        <v>215270.73</v>
      </c>
    </row>
    <row r="124" spans="1:12" ht="81.599999999999994" hidden="1" x14ac:dyDescent="0.3">
      <c r="A124" s="127" t="s">
        <v>61</v>
      </c>
      <c r="B124" s="128" t="s">
        <v>602</v>
      </c>
      <c r="C124" s="128" t="s">
        <v>605</v>
      </c>
      <c r="D124" s="128" t="s">
        <v>604</v>
      </c>
      <c r="E124" s="129" t="s">
        <v>22</v>
      </c>
      <c r="F124" s="136">
        <v>183.8</v>
      </c>
      <c r="G124" s="136"/>
      <c r="H124" s="129" t="s">
        <v>23</v>
      </c>
      <c r="I124" s="131" t="s">
        <v>24</v>
      </c>
      <c r="J124" s="131"/>
      <c r="K124" s="132" t="s">
        <v>17</v>
      </c>
      <c r="L124" s="133">
        <v>215454.53</v>
      </c>
    </row>
    <row r="125" spans="1:12" ht="81.599999999999994" hidden="1" x14ac:dyDescent="0.3">
      <c r="A125" s="127" t="s">
        <v>61</v>
      </c>
      <c r="B125" s="128" t="s">
        <v>602</v>
      </c>
      <c r="C125" s="128" t="s">
        <v>606</v>
      </c>
      <c r="D125" s="128" t="s">
        <v>604</v>
      </c>
      <c r="E125" s="129" t="s">
        <v>22</v>
      </c>
      <c r="F125" s="136">
        <v>990.5</v>
      </c>
      <c r="G125" s="136"/>
      <c r="H125" s="129" t="s">
        <v>23</v>
      </c>
      <c r="I125" s="131" t="s">
        <v>24</v>
      </c>
      <c r="J125" s="131"/>
      <c r="K125" s="132" t="s">
        <v>17</v>
      </c>
      <c r="L125" s="133">
        <v>216445.03</v>
      </c>
    </row>
    <row r="126" spans="1:12" ht="81.599999999999994" hidden="1" x14ac:dyDescent="0.3">
      <c r="A126" s="127" t="s">
        <v>61</v>
      </c>
      <c r="B126" s="128" t="s">
        <v>602</v>
      </c>
      <c r="C126" s="128" t="s">
        <v>607</v>
      </c>
      <c r="D126" s="128" t="s">
        <v>604</v>
      </c>
      <c r="E126" s="129" t="s">
        <v>22</v>
      </c>
      <c r="F126" s="136">
        <v>365</v>
      </c>
      <c r="G126" s="136"/>
      <c r="H126" s="129" t="s">
        <v>23</v>
      </c>
      <c r="I126" s="131" t="s">
        <v>24</v>
      </c>
      <c r="J126" s="131"/>
      <c r="K126" s="132" t="s">
        <v>17</v>
      </c>
      <c r="L126" s="133">
        <v>216810.03</v>
      </c>
    </row>
    <row r="127" spans="1:12" ht="81.599999999999994" hidden="1" x14ac:dyDescent="0.3">
      <c r="A127" s="127" t="s">
        <v>61</v>
      </c>
      <c r="B127" s="128" t="s">
        <v>602</v>
      </c>
      <c r="C127" s="128" t="s">
        <v>608</v>
      </c>
      <c r="D127" s="128" t="s">
        <v>604</v>
      </c>
      <c r="E127" s="129" t="s">
        <v>22</v>
      </c>
      <c r="F127" s="130">
        <v>4800</v>
      </c>
      <c r="G127" s="130"/>
      <c r="H127" s="129" t="s">
        <v>23</v>
      </c>
      <c r="I127" s="131" t="s">
        <v>24</v>
      </c>
      <c r="J127" s="131"/>
      <c r="K127" s="132" t="s">
        <v>17</v>
      </c>
      <c r="L127" s="133">
        <v>221610.03</v>
      </c>
    </row>
    <row r="128" spans="1:12" ht="71.400000000000006" x14ac:dyDescent="0.3">
      <c r="A128" s="127" t="s">
        <v>65</v>
      </c>
      <c r="B128" s="128" t="s">
        <v>609</v>
      </c>
      <c r="C128" s="128" t="s">
        <v>27</v>
      </c>
      <c r="D128" s="128" t="s">
        <v>488</v>
      </c>
      <c r="E128" s="129" t="s">
        <v>29</v>
      </c>
      <c r="F128" s="134" t="s">
        <v>24</v>
      </c>
      <c r="G128" s="134"/>
      <c r="H128" s="129" t="s">
        <v>22</v>
      </c>
      <c r="I128" s="137">
        <v>240</v>
      </c>
      <c r="J128" s="137"/>
      <c r="K128" s="132" t="s">
        <v>17</v>
      </c>
      <c r="L128" s="133">
        <v>221370.03</v>
      </c>
    </row>
    <row r="129" spans="1:12" ht="71.400000000000006" hidden="1" x14ac:dyDescent="0.3">
      <c r="A129" s="127" t="s">
        <v>610</v>
      </c>
      <c r="B129" s="128" t="s">
        <v>611</v>
      </c>
      <c r="C129" s="128" t="s">
        <v>612</v>
      </c>
      <c r="D129" s="128" t="s">
        <v>613</v>
      </c>
      <c r="E129" s="129" t="s">
        <v>22</v>
      </c>
      <c r="F129" s="130">
        <v>4790.3999999999996</v>
      </c>
      <c r="G129" s="130"/>
      <c r="H129" s="129" t="s">
        <v>22</v>
      </c>
      <c r="I129" s="131" t="s">
        <v>24</v>
      </c>
      <c r="J129" s="131"/>
      <c r="K129" s="132" t="s">
        <v>17</v>
      </c>
      <c r="L129" s="133">
        <v>226160.43</v>
      </c>
    </row>
    <row r="130" spans="1:12" ht="71.400000000000006" hidden="1" x14ac:dyDescent="0.3">
      <c r="A130" s="127" t="s">
        <v>610</v>
      </c>
      <c r="B130" s="128" t="s">
        <v>611</v>
      </c>
      <c r="C130" s="128" t="s">
        <v>614</v>
      </c>
      <c r="D130" s="128" t="s">
        <v>615</v>
      </c>
      <c r="E130" s="129" t="s">
        <v>22</v>
      </c>
      <c r="F130" s="136">
        <v>775.45</v>
      </c>
      <c r="G130" s="136"/>
      <c r="H130" s="129" t="s">
        <v>22</v>
      </c>
      <c r="I130" s="131" t="s">
        <v>24</v>
      </c>
      <c r="J130" s="131"/>
      <c r="K130" s="132" t="s">
        <v>17</v>
      </c>
      <c r="L130" s="133">
        <v>226935.88</v>
      </c>
    </row>
    <row r="131" spans="1:12" ht="71.400000000000006" hidden="1" x14ac:dyDescent="0.3">
      <c r="A131" s="127" t="s">
        <v>610</v>
      </c>
      <c r="B131" s="128" t="s">
        <v>611</v>
      </c>
      <c r="C131" s="128" t="s">
        <v>616</v>
      </c>
      <c r="D131" s="128" t="s">
        <v>617</v>
      </c>
      <c r="E131" s="129" t="s">
        <v>22</v>
      </c>
      <c r="F131" s="130">
        <v>4915</v>
      </c>
      <c r="G131" s="130"/>
      <c r="H131" s="129" t="s">
        <v>22</v>
      </c>
      <c r="I131" s="131" t="s">
        <v>24</v>
      </c>
      <c r="J131" s="131"/>
      <c r="K131" s="132" t="s">
        <v>17</v>
      </c>
      <c r="L131" s="133">
        <v>231850.88</v>
      </c>
    </row>
    <row r="132" spans="1:12" ht="61.2" hidden="1" x14ac:dyDescent="0.3">
      <c r="A132" s="127" t="s">
        <v>610</v>
      </c>
      <c r="B132" s="128" t="s">
        <v>611</v>
      </c>
      <c r="C132" s="128" t="s">
        <v>618</v>
      </c>
      <c r="D132" s="128" t="s">
        <v>619</v>
      </c>
      <c r="E132" s="129" t="s">
        <v>22</v>
      </c>
      <c r="F132" s="130">
        <v>2364.5</v>
      </c>
      <c r="G132" s="130"/>
      <c r="H132" s="129" t="s">
        <v>22</v>
      </c>
      <c r="I132" s="131" t="s">
        <v>24</v>
      </c>
      <c r="J132" s="131"/>
      <c r="K132" s="132" t="s">
        <v>17</v>
      </c>
      <c r="L132" s="133">
        <v>234215.38</v>
      </c>
    </row>
    <row r="133" spans="1:12" ht="71.400000000000006" hidden="1" x14ac:dyDescent="0.3">
      <c r="A133" s="127" t="s">
        <v>610</v>
      </c>
      <c r="B133" s="128" t="s">
        <v>611</v>
      </c>
      <c r="C133" s="128" t="s">
        <v>620</v>
      </c>
      <c r="D133" s="128" t="s">
        <v>621</v>
      </c>
      <c r="E133" s="129" t="s">
        <v>22</v>
      </c>
      <c r="F133" s="130">
        <v>1114.5999999999999</v>
      </c>
      <c r="G133" s="130"/>
      <c r="H133" s="129" t="s">
        <v>22</v>
      </c>
      <c r="I133" s="131" t="s">
        <v>24</v>
      </c>
      <c r="J133" s="131"/>
      <c r="K133" s="132" t="s">
        <v>17</v>
      </c>
      <c r="L133" s="133">
        <v>235329.98</v>
      </c>
    </row>
    <row r="134" spans="1:12" ht="71.400000000000006" hidden="1" x14ac:dyDescent="0.3">
      <c r="A134" s="127" t="s">
        <v>610</v>
      </c>
      <c r="B134" s="128" t="s">
        <v>611</v>
      </c>
      <c r="C134" s="128" t="s">
        <v>622</v>
      </c>
      <c r="D134" s="128" t="s">
        <v>623</v>
      </c>
      <c r="E134" s="129" t="s">
        <v>22</v>
      </c>
      <c r="F134" s="130">
        <v>2988.75</v>
      </c>
      <c r="G134" s="130"/>
      <c r="H134" s="129" t="s">
        <v>22</v>
      </c>
      <c r="I134" s="131" t="s">
        <v>24</v>
      </c>
      <c r="J134" s="131"/>
      <c r="K134" s="132" t="s">
        <v>17</v>
      </c>
      <c r="L134" s="133">
        <v>238318.73</v>
      </c>
    </row>
    <row r="135" spans="1:12" ht="61.2" hidden="1" x14ac:dyDescent="0.3">
      <c r="A135" s="127" t="s">
        <v>610</v>
      </c>
      <c r="B135" s="128" t="s">
        <v>611</v>
      </c>
      <c r="C135" s="128" t="s">
        <v>624</v>
      </c>
      <c r="D135" s="128" t="s">
        <v>625</v>
      </c>
      <c r="E135" s="129" t="s">
        <v>22</v>
      </c>
      <c r="F135" s="130">
        <v>3082.48</v>
      </c>
      <c r="G135" s="130"/>
      <c r="H135" s="129" t="s">
        <v>22</v>
      </c>
      <c r="I135" s="131" t="s">
        <v>24</v>
      </c>
      <c r="J135" s="131"/>
      <c r="K135" s="132" t="s">
        <v>17</v>
      </c>
      <c r="L135" s="133">
        <v>241401.21</v>
      </c>
    </row>
    <row r="136" spans="1:12" ht="81.599999999999994" x14ac:dyDescent="0.3">
      <c r="A136" s="127" t="s">
        <v>610</v>
      </c>
      <c r="B136" s="128" t="s">
        <v>626</v>
      </c>
      <c r="C136" s="128" t="s">
        <v>27</v>
      </c>
      <c r="D136" s="128" t="s">
        <v>491</v>
      </c>
      <c r="E136" s="129" t="s">
        <v>29</v>
      </c>
      <c r="F136" s="134" t="s">
        <v>24</v>
      </c>
      <c r="G136" s="134"/>
      <c r="H136" s="129" t="s">
        <v>22</v>
      </c>
      <c r="I136" s="137">
        <v>255</v>
      </c>
      <c r="J136" s="137"/>
      <c r="K136" s="132" t="s">
        <v>17</v>
      </c>
      <c r="L136" s="133">
        <v>241146.21</v>
      </c>
    </row>
    <row r="137" spans="1:12" ht="61.2" x14ac:dyDescent="0.3">
      <c r="A137" s="127" t="s">
        <v>610</v>
      </c>
      <c r="B137" s="128" t="s">
        <v>627</v>
      </c>
      <c r="C137" s="128" t="s">
        <v>27</v>
      </c>
      <c r="D137" s="128" t="s">
        <v>618</v>
      </c>
      <c r="E137" s="129" t="s">
        <v>29</v>
      </c>
      <c r="F137" s="134" t="s">
        <v>24</v>
      </c>
      <c r="G137" s="134"/>
      <c r="H137" s="129" t="s">
        <v>22</v>
      </c>
      <c r="I137" s="137">
        <v>236.45</v>
      </c>
      <c r="J137" s="137"/>
      <c r="K137" s="132" t="s">
        <v>17</v>
      </c>
      <c r="L137" s="133">
        <v>240909.76</v>
      </c>
    </row>
    <row r="138" spans="1:12" ht="71.400000000000006" hidden="1" x14ac:dyDescent="0.3">
      <c r="A138" s="127" t="s">
        <v>610</v>
      </c>
      <c r="B138" s="128" t="s">
        <v>628</v>
      </c>
      <c r="C138" s="128" t="s">
        <v>629</v>
      </c>
      <c r="D138" s="128" t="s">
        <v>630</v>
      </c>
      <c r="E138" s="129" t="s">
        <v>22</v>
      </c>
      <c r="F138" s="130">
        <v>39500</v>
      </c>
      <c r="G138" s="130"/>
      <c r="H138" s="129" t="s">
        <v>23</v>
      </c>
      <c r="I138" s="131" t="s">
        <v>24</v>
      </c>
      <c r="J138" s="131"/>
      <c r="K138" s="132" t="s">
        <v>17</v>
      </c>
      <c r="L138" s="133">
        <v>280409.76</v>
      </c>
    </row>
    <row r="139" spans="1:12" ht="71.400000000000006" hidden="1" x14ac:dyDescent="0.3">
      <c r="A139" s="127" t="s">
        <v>610</v>
      </c>
      <c r="B139" s="128" t="s">
        <v>631</v>
      </c>
      <c r="C139" s="128" t="s">
        <v>629</v>
      </c>
      <c r="D139" s="128" t="s">
        <v>632</v>
      </c>
      <c r="E139" s="129" t="s">
        <v>22</v>
      </c>
      <c r="F139" s="130">
        <v>15077.5</v>
      </c>
      <c r="G139" s="130"/>
      <c r="H139" s="129" t="s">
        <v>23</v>
      </c>
      <c r="I139" s="131" t="s">
        <v>24</v>
      </c>
      <c r="J139" s="131"/>
      <c r="K139" s="132" t="s">
        <v>17</v>
      </c>
      <c r="L139" s="133">
        <v>295487.26</v>
      </c>
    </row>
    <row r="140" spans="1:12" ht="71.400000000000006" hidden="1" x14ac:dyDescent="0.3">
      <c r="A140" s="127" t="s">
        <v>610</v>
      </c>
      <c r="B140" s="128" t="s">
        <v>633</v>
      </c>
      <c r="C140" s="128" t="s">
        <v>634</v>
      </c>
      <c r="D140" s="128" t="s">
        <v>455</v>
      </c>
      <c r="E140" s="129" t="s">
        <v>22</v>
      </c>
      <c r="F140" s="134" t="s">
        <v>24</v>
      </c>
      <c r="G140" s="134"/>
      <c r="H140" s="129" t="s">
        <v>22</v>
      </c>
      <c r="I140" s="135">
        <v>40795.64</v>
      </c>
      <c r="J140" s="135"/>
      <c r="K140" s="132" t="s">
        <v>17</v>
      </c>
      <c r="L140" s="133">
        <v>254691.62</v>
      </c>
    </row>
    <row r="141" spans="1:12" ht="61.2" hidden="1" x14ac:dyDescent="0.3">
      <c r="A141" s="127" t="s">
        <v>610</v>
      </c>
      <c r="B141" s="128" t="s">
        <v>635</v>
      </c>
      <c r="C141" s="128" t="s">
        <v>636</v>
      </c>
      <c r="D141" s="128" t="s">
        <v>455</v>
      </c>
      <c r="E141" s="129" t="s">
        <v>22</v>
      </c>
      <c r="F141" s="134" t="s">
        <v>24</v>
      </c>
      <c r="G141" s="134"/>
      <c r="H141" s="129" t="s">
        <v>22</v>
      </c>
      <c r="I141" s="137">
        <v>691.45</v>
      </c>
      <c r="J141" s="137"/>
      <c r="K141" s="132" t="s">
        <v>17</v>
      </c>
      <c r="L141" s="133">
        <v>254000.17</v>
      </c>
    </row>
    <row r="142" spans="1:12" ht="61.2" hidden="1" x14ac:dyDescent="0.3">
      <c r="A142" s="127" t="s">
        <v>610</v>
      </c>
      <c r="B142" s="128" t="s">
        <v>635</v>
      </c>
      <c r="C142" s="128" t="s">
        <v>637</v>
      </c>
      <c r="D142" s="128" t="s">
        <v>629</v>
      </c>
      <c r="E142" s="129" t="s">
        <v>22</v>
      </c>
      <c r="F142" s="134" t="s">
        <v>24</v>
      </c>
      <c r="G142" s="134"/>
      <c r="H142" s="129" t="s">
        <v>22</v>
      </c>
      <c r="I142" s="135">
        <v>13644.38</v>
      </c>
      <c r="J142" s="135"/>
      <c r="K142" s="132" t="s">
        <v>17</v>
      </c>
      <c r="L142" s="133">
        <v>240355.79</v>
      </c>
    </row>
    <row r="143" spans="1:12" ht="81.599999999999994" hidden="1" x14ac:dyDescent="0.3">
      <c r="A143" s="127" t="s">
        <v>175</v>
      </c>
      <c r="B143" s="128" t="s">
        <v>638</v>
      </c>
      <c r="C143" s="128" t="s">
        <v>639</v>
      </c>
      <c r="D143" s="128" t="s">
        <v>640</v>
      </c>
      <c r="E143" s="129" t="s">
        <v>22</v>
      </c>
      <c r="F143" s="136">
        <v>150.44999999999999</v>
      </c>
      <c r="G143" s="136"/>
      <c r="H143" s="129" t="s">
        <v>23</v>
      </c>
      <c r="I143" s="131" t="s">
        <v>24</v>
      </c>
      <c r="J143" s="131"/>
      <c r="K143" s="132" t="s">
        <v>17</v>
      </c>
      <c r="L143" s="133">
        <v>240506.23999999999</v>
      </c>
    </row>
    <row r="144" spans="1:12" ht="81.599999999999994" hidden="1" x14ac:dyDescent="0.3">
      <c r="A144" s="127" t="s">
        <v>175</v>
      </c>
      <c r="B144" s="128" t="s">
        <v>638</v>
      </c>
      <c r="C144" s="128" t="s">
        <v>641</v>
      </c>
      <c r="D144" s="128" t="s">
        <v>640</v>
      </c>
      <c r="E144" s="129" t="s">
        <v>22</v>
      </c>
      <c r="F144" s="136">
        <v>198.1</v>
      </c>
      <c r="G144" s="136"/>
      <c r="H144" s="129" t="s">
        <v>23</v>
      </c>
      <c r="I144" s="131" t="s">
        <v>24</v>
      </c>
      <c r="J144" s="131"/>
      <c r="K144" s="132" t="s">
        <v>17</v>
      </c>
      <c r="L144" s="133">
        <v>240704.34</v>
      </c>
    </row>
    <row r="145" spans="1:12" ht="81.599999999999994" hidden="1" x14ac:dyDescent="0.3">
      <c r="A145" s="127" t="s">
        <v>175</v>
      </c>
      <c r="B145" s="128" t="s">
        <v>638</v>
      </c>
      <c r="C145" s="128" t="s">
        <v>642</v>
      </c>
      <c r="D145" s="128" t="s">
        <v>640</v>
      </c>
      <c r="E145" s="129" t="s">
        <v>22</v>
      </c>
      <c r="F145" s="136">
        <v>365</v>
      </c>
      <c r="G145" s="136"/>
      <c r="H145" s="129" t="s">
        <v>23</v>
      </c>
      <c r="I145" s="131" t="s">
        <v>24</v>
      </c>
      <c r="J145" s="131"/>
      <c r="K145" s="132" t="s">
        <v>17</v>
      </c>
      <c r="L145" s="133">
        <v>241069.34</v>
      </c>
    </row>
    <row r="146" spans="1:12" ht="81.599999999999994" hidden="1" x14ac:dyDescent="0.3">
      <c r="A146" s="127" t="s">
        <v>175</v>
      </c>
      <c r="B146" s="128" t="s">
        <v>643</v>
      </c>
      <c r="C146" s="128" t="s">
        <v>644</v>
      </c>
      <c r="D146" s="128" t="s">
        <v>639</v>
      </c>
      <c r="E146" s="129" t="s">
        <v>22</v>
      </c>
      <c r="F146" s="134" t="s">
        <v>24</v>
      </c>
      <c r="G146" s="134"/>
      <c r="H146" s="129" t="s">
        <v>22</v>
      </c>
      <c r="I146" s="137">
        <v>150.44999999999999</v>
      </c>
      <c r="J146" s="137"/>
      <c r="K146" s="132" t="s">
        <v>17</v>
      </c>
      <c r="L146" s="133">
        <v>240918.89</v>
      </c>
    </row>
    <row r="147" spans="1:12" ht="91.8" hidden="1" x14ac:dyDescent="0.3">
      <c r="A147" s="127" t="s">
        <v>175</v>
      </c>
      <c r="B147" s="128" t="s">
        <v>643</v>
      </c>
      <c r="C147" s="128" t="s">
        <v>645</v>
      </c>
      <c r="D147" s="128" t="s">
        <v>606</v>
      </c>
      <c r="E147" s="129" t="s">
        <v>22</v>
      </c>
      <c r="F147" s="134" t="s">
        <v>24</v>
      </c>
      <c r="G147" s="134"/>
      <c r="H147" s="129" t="s">
        <v>22</v>
      </c>
      <c r="I147" s="137">
        <v>198.1</v>
      </c>
      <c r="J147" s="137"/>
      <c r="K147" s="132" t="s">
        <v>17</v>
      </c>
      <c r="L147" s="133">
        <v>240720.79</v>
      </c>
    </row>
    <row r="148" spans="1:12" ht="71.400000000000006" hidden="1" x14ac:dyDescent="0.3">
      <c r="A148" s="127" t="s">
        <v>175</v>
      </c>
      <c r="B148" s="128" t="s">
        <v>646</v>
      </c>
      <c r="C148" s="128" t="s">
        <v>647</v>
      </c>
      <c r="D148" s="128" t="s">
        <v>607</v>
      </c>
      <c r="E148" s="129" t="s">
        <v>22</v>
      </c>
      <c r="F148" s="134" t="s">
        <v>24</v>
      </c>
      <c r="G148" s="134"/>
      <c r="H148" s="129" t="s">
        <v>22</v>
      </c>
      <c r="I148" s="137">
        <v>91.25</v>
      </c>
      <c r="J148" s="137"/>
      <c r="K148" s="132" t="s">
        <v>17</v>
      </c>
      <c r="L148" s="133">
        <v>240629.54</v>
      </c>
    </row>
    <row r="149" spans="1:12" ht="71.400000000000006" hidden="1" x14ac:dyDescent="0.3">
      <c r="A149" s="127" t="s">
        <v>181</v>
      </c>
      <c r="B149" s="128" t="s">
        <v>648</v>
      </c>
      <c r="C149" s="128" t="s">
        <v>649</v>
      </c>
      <c r="D149" s="128" t="s">
        <v>173</v>
      </c>
      <c r="E149" s="129" t="s">
        <v>22</v>
      </c>
      <c r="F149" s="134" t="s">
        <v>24</v>
      </c>
      <c r="G149" s="134"/>
      <c r="H149" s="129" t="s">
        <v>22</v>
      </c>
      <c r="I149" s="137">
        <v>500</v>
      </c>
      <c r="J149" s="137"/>
      <c r="K149" s="132" t="s">
        <v>17</v>
      </c>
      <c r="L149" s="133">
        <v>240129.54</v>
      </c>
    </row>
    <row r="150" spans="1:12" ht="81.599999999999994" hidden="1" x14ac:dyDescent="0.3">
      <c r="A150" s="127" t="s">
        <v>181</v>
      </c>
      <c r="B150" s="128" t="s">
        <v>648</v>
      </c>
      <c r="C150" s="128" t="s">
        <v>650</v>
      </c>
      <c r="D150" s="128" t="s">
        <v>651</v>
      </c>
      <c r="E150" s="129" t="s">
        <v>22</v>
      </c>
      <c r="F150" s="134" t="s">
        <v>24</v>
      </c>
      <c r="G150" s="134"/>
      <c r="H150" s="129" t="s">
        <v>22</v>
      </c>
      <c r="I150" s="135">
        <v>5158.46</v>
      </c>
      <c r="J150" s="135"/>
      <c r="K150" s="132" t="s">
        <v>17</v>
      </c>
      <c r="L150" s="133">
        <v>234971.08</v>
      </c>
    </row>
    <row r="151" spans="1:12" ht="71.400000000000006" x14ac:dyDescent="0.3">
      <c r="A151" s="127" t="s">
        <v>25</v>
      </c>
      <c r="B151" s="128" t="s">
        <v>652</v>
      </c>
      <c r="C151" s="128" t="s">
        <v>27</v>
      </c>
      <c r="D151" s="128" t="s">
        <v>605</v>
      </c>
      <c r="E151" s="129" t="s">
        <v>29</v>
      </c>
      <c r="F151" s="134" t="s">
        <v>24</v>
      </c>
      <c r="G151" s="134"/>
      <c r="H151" s="129" t="s">
        <v>22</v>
      </c>
      <c r="I151" s="137">
        <v>183.8</v>
      </c>
      <c r="J151" s="137"/>
      <c r="K151" s="132" t="s">
        <v>17</v>
      </c>
      <c r="L151" s="133">
        <v>234787.28</v>
      </c>
    </row>
    <row r="152" spans="1:12" ht="61.2" x14ac:dyDescent="0.3">
      <c r="A152" s="127" t="s">
        <v>25</v>
      </c>
      <c r="B152" s="128" t="s">
        <v>653</v>
      </c>
      <c r="C152" s="128" t="s">
        <v>27</v>
      </c>
      <c r="D152" s="128" t="s">
        <v>489</v>
      </c>
      <c r="E152" s="129" t="s">
        <v>29</v>
      </c>
      <c r="F152" s="134" t="s">
        <v>24</v>
      </c>
      <c r="G152" s="134"/>
      <c r="H152" s="129" t="s">
        <v>22</v>
      </c>
      <c r="I152" s="137">
        <v>120</v>
      </c>
      <c r="J152" s="137"/>
      <c r="K152" s="132" t="s">
        <v>17</v>
      </c>
      <c r="L152" s="133">
        <v>234667.28</v>
      </c>
    </row>
    <row r="153" spans="1:12" ht="71.400000000000006" x14ac:dyDescent="0.3">
      <c r="A153" s="127" t="s">
        <v>25</v>
      </c>
      <c r="B153" s="128" t="s">
        <v>653</v>
      </c>
      <c r="C153" s="128" t="s">
        <v>27</v>
      </c>
      <c r="D153" s="128" t="s">
        <v>620</v>
      </c>
      <c r="E153" s="129" t="s">
        <v>29</v>
      </c>
      <c r="F153" s="134" t="s">
        <v>24</v>
      </c>
      <c r="G153" s="134"/>
      <c r="H153" s="129" t="s">
        <v>22</v>
      </c>
      <c r="I153" s="135">
        <v>1114.5999999999999</v>
      </c>
      <c r="J153" s="135"/>
      <c r="K153" s="132" t="s">
        <v>17</v>
      </c>
      <c r="L153" s="133">
        <v>233552.68</v>
      </c>
    </row>
    <row r="154" spans="1:12" ht="71.400000000000006" x14ac:dyDescent="0.3">
      <c r="A154" s="127" t="s">
        <v>25</v>
      </c>
      <c r="B154" s="128" t="s">
        <v>653</v>
      </c>
      <c r="C154" s="128" t="s">
        <v>27</v>
      </c>
      <c r="D154" s="128" t="s">
        <v>490</v>
      </c>
      <c r="E154" s="129" t="s">
        <v>29</v>
      </c>
      <c r="F154" s="134" t="s">
        <v>24</v>
      </c>
      <c r="G154" s="134"/>
      <c r="H154" s="129" t="s">
        <v>22</v>
      </c>
      <c r="I154" s="137">
        <v>890</v>
      </c>
      <c r="J154" s="137"/>
      <c r="K154" s="132" t="s">
        <v>17</v>
      </c>
      <c r="L154" s="133">
        <v>232662.68</v>
      </c>
    </row>
    <row r="155" spans="1:12" ht="81.599999999999994" x14ac:dyDescent="0.3">
      <c r="A155" s="127" t="s">
        <v>25</v>
      </c>
      <c r="B155" s="128" t="s">
        <v>653</v>
      </c>
      <c r="C155" s="128" t="s">
        <v>27</v>
      </c>
      <c r="D155" s="128" t="s">
        <v>491</v>
      </c>
      <c r="E155" s="129" t="s">
        <v>29</v>
      </c>
      <c r="F155" s="134" t="s">
        <v>24</v>
      </c>
      <c r="G155" s="134"/>
      <c r="H155" s="129" t="s">
        <v>22</v>
      </c>
      <c r="I155" s="137">
        <v>255</v>
      </c>
      <c r="J155" s="137"/>
      <c r="K155" s="132" t="s">
        <v>17</v>
      </c>
      <c r="L155" s="133">
        <v>232407.67999999999</v>
      </c>
    </row>
    <row r="156" spans="1:12" hidden="1" x14ac:dyDescent="0.3">
      <c r="A156" s="138" t="s">
        <v>47</v>
      </c>
      <c r="B156" s="138"/>
      <c r="C156" s="138"/>
      <c r="D156" s="138"/>
      <c r="E156" s="139">
        <v>1882844.18</v>
      </c>
      <c r="F156" s="139"/>
      <c r="G156" s="139"/>
      <c r="H156" s="139">
        <v>1794055.01</v>
      </c>
      <c r="I156" s="139"/>
      <c r="J156" s="139"/>
      <c r="K156" s="140" t="s">
        <v>17</v>
      </c>
      <c r="L156" s="141">
        <v>232407.67999999999</v>
      </c>
    </row>
    <row r="158" spans="1:12" x14ac:dyDescent="0.3">
      <c r="J158" s="29">
        <f>SUBTOTAL(9,I18:J155)*1.2</f>
        <v>70837.596000000005</v>
      </c>
    </row>
  </sheetData>
  <autoFilter ref="B1:D156">
    <filterColumn colId="0">
      <filters>
        <filter val="Вимога-накладна ІБ00-000065 від 05.02.2025 18:00:14_x000a_Списаны ТМЦ"/>
        <filter val="Списання товарів ІБ00-000057 від 05.02.2025 18:00:15_x000a_Списаны ТМЦ"/>
        <filter val="Списання товарів ІБ00-000058 від 05.02.2025 18:00:19_x000a_Списаны ТМЦ"/>
        <filter val="Списання товарів ІБ00-000066 від 19.02.2025 16:15:34_x000a_Списаны ТМЦ"/>
        <filter val="Списання товарів ІБ00-000077 від 22.02.2025 20:00:00_x000a_Списаны ТМЦ"/>
        <filter val="Списання товарів ІБ00-000079 від 22.02.2025 20:00:00_x000a_Списаны ТМЦ"/>
        <filter val="Списання товарів ІБ00-000123 від 28.02.2025 20:00:00_x000a_Списаны ТМЦ"/>
        <filter val="Списання товарів ІБ00-000124 від 28.02.2025 20:00:00_x000a_Списаны ТМЦ"/>
      </filters>
    </filterColumn>
  </autoFilter>
  <mergeCells count="318">
    <mergeCell ref="F154:G154"/>
    <mergeCell ref="I154:J154"/>
    <mergeCell ref="F155:G155"/>
    <mergeCell ref="I155:J155"/>
    <mergeCell ref="A156:D156"/>
    <mergeCell ref="E156:G156"/>
    <mergeCell ref="H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92"/>
  <sheetViews>
    <sheetView topLeftCell="A88" workbookViewId="0">
      <selection activeCell="J92" sqref="J92"/>
    </sheetView>
  </sheetViews>
  <sheetFormatPr defaultRowHeight="14.4" x14ac:dyDescent="0.3"/>
  <cols>
    <col min="2" max="4" width="19.77734375" customWidth="1"/>
    <col min="10" max="10" width="9.88671875" bestFit="1" customWidth="1"/>
  </cols>
  <sheetData>
    <row r="1" spans="1:12" x14ac:dyDescent="0.3">
      <c r="A1" s="142" t="s">
        <v>9</v>
      </c>
      <c r="B1" s="143" t="s">
        <v>10</v>
      </c>
      <c r="C1" s="143" t="s">
        <v>11</v>
      </c>
      <c r="D1" s="144" t="s">
        <v>12</v>
      </c>
      <c r="E1" s="145" t="s">
        <v>13</v>
      </c>
      <c r="F1" s="145"/>
      <c r="G1" s="145"/>
      <c r="H1" s="146" t="s">
        <v>14</v>
      </c>
      <c r="I1" s="146"/>
      <c r="J1" s="146"/>
      <c r="K1" s="143" t="s">
        <v>15</v>
      </c>
      <c r="L1" s="143"/>
    </row>
    <row r="2" spans="1:12" hidden="1" x14ac:dyDescent="0.3">
      <c r="A2" s="147"/>
      <c r="B2" s="148"/>
      <c r="C2" s="148"/>
      <c r="D2" s="149"/>
      <c r="E2" s="150" t="s">
        <v>16</v>
      </c>
      <c r="F2" s="151"/>
      <c r="G2" s="151"/>
      <c r="H2" s="152" t="s">
        <v>16</v>
      </c>
      <c r="I2" s="153"/>
      <c r="J2" s="153"/>
      <c r="K2" s="147"/>
      <c r="L2" s="154"/>
    </row>
    <row r="3" spans="1:12" ht="61.2" hidden="1" x14ac:dyDescent="0.3">
      <c r="A3" s="155" t="s">
        <v>141</v>
      </c>
      <c r="B3" s="156" t="s">
        <v>434</v>
      </c>
      <c r="C3" s="156" t="s">
        <v>435</v>
      </c>
      <c r="D3" s="156" t="s">
        <v>431</v>
      </c>
      <c r="E3" s="157" t="s">
        <v>22</v>
      </c>
      <c r="F3" s="158">
        <v>62370.47</v>
      </c>
      <c r="G3" s="158"/>
      <c r="H3" s="157" t="s">
        <v>22</v>
      </c>
      <c r="I3" s="159" t="s">
        <v>24</v>
      </c>
      <c r="J3" s="159"/>
      <c r="K3" s="160" t="s">
        <v>17</v>
      </c>
      <c r="L3" s="161">
        <v>591721</v>
      </c>
    </row>
    <row r="4" spans="1:12" ht="61.2" hidden="1" x14ac:dyDescent="0.3">
      <c r="A4" s="155" t="s">
        <v>141</v>
      </c>
      <c r="B4" s="156" t="s">
        <v>654</v>
      </c>
      <c r="C4" s="156" t="s">
        <v>655</v>
      </c>
      <c r="D4" s="156" t="s">
        <v>656</v>
      </c>
      <c r="E4" s="157" t="s">
        <v>22</v>
      </c>
      <c r="F4" s="158">
        <v>26455.21</v>
      </c>
      <c r="G4" s="158"/>
      <c r="H4" s="157" t="s">
        <v>22</v>
      </c>
      <c r="I4" s="159" t="s">
        <v>24</v>
      </c>
      <c r="J4" s="159"/>
      <c r="K4" s="160" t="s">
        <v>17</v>
      </c>
      <c r="L4" s="161">
        <v>618176.21</v>
      </c>
    </row>
    <row r="5" spans="1:12" ht="81.599999999999994" hidden="1" x14ac:dyDescent="0.3">
      <c r="A5" s="155" t="s">
        <v>141</v>
      </c>
      <c r="B5" s="156" t="s">
        <v>657</v>
      </c>
      <c r="C5" s="156" t="s">
        <v>658</v>
      </c>
      <c r="D5" s="156" t="s">
        <v>659</v>
      </c>
      <c r="E5" s="157" t="s">
        <v>22</v>
      </c>
      <c r="F5" s="158">
        <v>1269.83</v>
      </c>
      <c r="G5" s="158"/>
      <c r="H5" s="157" t="s">
        <v>22</v>
      </c>
      <c r="I5" s="159" t="s">
        <v>24</v>
      </c>
      <c r="J5" s="159"/>
      <c r="K5" s="160" t="s">
        <v>17</v>
      </c>
      <c r="L5" s="161">
        <v>619446.04</v>
      </c>
    </row>
    <row r="6" spans="1:12" ht="81.599999999999994" hidden="1" x14ac:dyDescent="0.3">
      <c r="A6" s="155" t="s">
        <v>141</v>
      </c>
      <c r="B6" s="156" t="s">
        <v>660</v>
      </c>
      <c r="C6" s="156" t="s">
        <v>661</v>
      </c>
      <c r="D6" s="156" t="s">
        <v>662</v>
      </c>
      <c r="E6" s="157" t="s">
        <v>22</v>
      </c>
      <c r="F6" s="158">
        <v>11554</v>
      </c>
      <c r="G6" s="158"/>
      <c r="H6" s="157" t="s">
        <v>22</v>
      </c>
      <c r="I6" s="159" t="s">
        <v>24</v>
      </c>
      <c r="J6" s="159"/>
      <c r="K6" s="160" t="s">
        <v>17</v>
      </c>
      <c r="L6" s="161">
        <v>631000.04</v>
      </c>
    </row>
    <row r="7" spans="1:12" ht="81.599999999999994" hidden="1" x14ac:dyDescent="0.3">
      <c r="A7" s="155" t="s">
        <v>141</v>
      </c>
      <c r="B7" s="156" t="s">
        <v>660</v>
      </c>
      <c r="C7" s="156" t="s">
        <v>663</v>
      </c>
      <c r="D7" s="156" t="s">
        <v>664</v>
      </c>
      <c r="E7" s="157" t="s">
        <v>22</v>
      </c>
      <c r="F7" s="158">
        <v>2504.1799999999998</v>
      </c>
      <c r="G7" s="158"/>
      <c r="H7" s="157" t="s">
        <v>22</v>
      </c>
      <c r="I7" s="159" t="s">
        <v>24</v>
      </c>
      <c r="J7" s="159"/>
      <c r="K7" s="160" t="s">
        <v>17</v>
      </c>
      <c r="L7" s="161">
        <v>633504.22</v>
      </c>
    </row>
    <row r="8" spans="1:12" ht="71.400000000000006" hidden="1" x14ac:dyDescent="0.3">
      <c r="A8" s="155" t="s">
        <v>141</v>
      </c>
      <c r="B8" s="156" t="s">
        <v>665</v>
      </c>
      <c r="C8" s="156" t="s">
        <v>666</v>
      </c>
      <c r="D8" s="156" t="s">
        <v>667</v>
      </c>
      <c r="E8" s="157" t="s">
        <v>22</v>
      </c>
      <c r="F8" s="162" t="s">
        <v>24</v>
      </c>
      <c r="G8" s="162"/>
      <c r="H8" s="157" t="s">
        <v>22</v>
      </c>
      <c r="I8" s="163">
        <v>20275.5</v>
      </c>
      <c r="J8" s="163"/>
      <c r="K8" s="160" t="s">
        <v>17</v>
      </c>
      <c r="L8" s="161">
        <v>613228.72</v>
      </c>
    </row>
    <row r="9" spans="1:12" ht="71.400000000000006" hidden="1" x14ac:dyDescent="0.3">
      <c r="A9" s="155" t="s">
        <v>141</v>
      </c>
      <c r="B9" s="156" t="s">
        <v>665</v>
      </c>
      <c r="C9" s="156" t="s">
        <v>668</v>
      </c>
      <c r="D9" s="156" t="s">
        <v>669</v>
      </c>
      <c r="E9" s="157" t="s">
        <v>22</v>
      </c>
      <c r="F9" s="162" t="s">
        <v>24</v>
      </c>
      <c r="G9" s="162"/>
      <c r="H9" s="157" t="s">
        <v>22</v>
      </c>
      <c r="I9" s="163">
        <v>11501</v>
      </c>
      <c r="J9" s="163"/>
      <c r="K9" s="160" t="s">
        <v>17</v>
      </c>
      <c r="L9" s="161">
        <v>601727.72</v>
      </c>
    </row>
    <row r="10" spans="1:12" ht="61.2" hidden="1" x14ac:dyDescent="0.3">
      <c r="A10" s="155" t="s">
        <v>141</v>
      </c>
      <c r="B10" s="156" t="s">
        <v>670</v>
      </c>
      <c r="C10" s="156" t="s">
        <v>671</v>
      </c>
      <c r="D10" s="156" t="s">
        <v>672</v>
      </c>
      <c r="E10" s="157" t="s">
        <v>22</v>
      </c>
      <c r="F10" s="162" t="s">
        <v>24</v>
      </c>
      <c r="G10" s="162"/>
      <c r="H10" s="157" t="s">
        <v>22</v>
      </c>
      <c r="I10" s="163">
        <v>1043.42</v>
      </c>
      <c r="J10" s="163"/>
      <c r="K10" s="160" t="s">
        <v>17</v>
      </c>
      <c r="L10" s="161">
        <v>600684.30000000005</v>
      </c>
    </row>
    <row r="11" spans="1:12" ht="71.400000000000006" hidden="1" x14ac:dyDescent="0.3">
      <c r="A11" s="155" t="s">
        <v>145</v>
      </c>
      <c r="B11" s="156" t="s">
        <v>673</v>
      </c>
      <c r="C11" s="156" t="s">
        <v>674</v>
      </c>
      <c r="D11" s="156" t="s">
        <v>675</v>
      </c>
      <c r="E11" s="157" t="s">
        <v>22</v>
      </c>
      <c r="F11" s="158">
        <v>15266.77</v>
      </c>
      <c r="G11" s="158"/>
      <c r="H11" s="157" t="s">
        <v>23</v>
      </c>
      <c r="I11" s="159" t="s">
        <v>24</v>
      </c>
      <c r="J11" s="159"/>
      <c r="K11" s="160" t="s">
        <v>17</v>
      </c>
      <c r="L11" s="161">
        <v>615951.06999999995</v>
      </c>
    </row>
    <row r="12" spans="1:12" ht="71.400000000000006" hidden="1" x14ac:dyDescent="0.3">
      <c r="A12" s="155" t="s">
        <v>145</v>
      </c>
      <c r="B12" s="156" t="s">
        <v>676</v>
      </c>
      <c r="C12" s="156" t="s">
        <v>674</v>
      </c>
      <c r="D12" s="156" t="s">
        <v>675</v>
      </c>
      <c r="E12" s="157" t="s">
        <v>22</v>
      </c>
      <c r="F12" s="158">
        <v>7710</v>
      </c>
      <c r="G12" s="158"/>
      <c r="H12" s="157" t="s">
        <v>23</v>
      </c>
      <c r="I12" s="159" t="s">
        <v>24</v>
      </c>
      <c r="J12" s="159"/>
      <c r="K12" s="160" t="s">
        <v>17</v>
      </c>
      <c r="L12" s="161">
        <v>623661.06999999995</v>
      </c>
    </row>
    <row r="13" spans="1:12" ht="71.400000000000006" hidden="1" x14ac:dyDescent="0.3">
      <c r="A13" s="155" t="s">
        <v>145</v>
      </c>
      <c r="B13" s="156" t="s">
        <v>677</v>
      </c>
      <c r="C13" s="156" t="s">
        <v>678</v>
      </c>
      <c r="D13" s="156" t="s">
        <v>679</v>
      </c>
      <c r="E13" s="157" t="s">
        <v>22</v>
      </c>
      <c r="F13" s="164">
        <v>234.33</v>
      </c>
      <c r="G13" s="164"/>
      <c r="H13" s="157" t="s">
        <v>23</v>
      </c>
      <c r="I13" s="159" t="s">
        <v>24</v>
      </c>
      <c r="J13" s="159"/>
      <c r="K13" s="160" t="s">
        <v>17</v>
      </c>
      <c r="L13" s="161">
        <v>623895.4</v>
      </c>
    </row>
    <row r="14" spans="1:12" ht="71.400000000000006" x14ac:dyDescent="0.3">
      <c r="A14" s="155" t="s">
        <v>453</v>
      </c>
      <c r="B14" s="156" t="s">
        <v>680</v>
      </c>
      <c r="C14" s="156" t="s">
        <v>27</v>
      </c>
      <c r="D14" s="156" t="s">
        <v>681</v>
      </c>
      <c r="E14" s="157" t="s">
        <v>29</v>
      </c>
      <c r="F14" s="162" t="s">
        <v>24</v>
      </c>
      <c r="G14" s="162"/>
      <c r="H14" s="157" t="s">
        <v>22</v>
      </c>
      <c r="I14" s="165">
        <v>91.25</v>
      </c>
      <c r="J14" s="165"/>
      <c r="K14" s="160" t="s">
        <v>17</v>
      </c>
      <c r="L14" s="161">
        <v>623804.15</v>
      </c>
    </row>
    <row r="15" spans="1:12" ht="71.400000000000006" x14ac:dyDescent="0.3">
      <c r="A15" s="155" t="s">
        <v>453</v>
      </c>
      <c r="B15" s="156" t="s">
        <v>680</v>
      </c>
      <c r="C15" s="156" t="s">
        <v>27</v>
      </c>
      <c r="D15" s="156" t="s">
        <v>682</v>
      </c>
      <c r="E15" s="157" t="s">
        <v>29</v>
      </c>
      <c r="F15" s="162" t="s">
        <v>24</v>
      </c>
      <c r="G15" s="162"/>
      <c r="H15" s="157" t="s">
        <v>22</v>
      </c>
      <c r="I15" s="165">
        <v>182.5</v>
      </c>
      <c r="J15" s="165"/>
      <c r="K15" s="160" t="s">
        <v>17</v>
      </c>
      <c r="L15" s="161">
        <v>623621.65</v>
      </c>
    </row>
    <row r="16" spans="1:12" ht="71.400000000000006" x14ac:dyDescent="0.3">
      <c r="A16" s="155" t="s">
        <v>453</v>
      </c>
      <c r="B16" s="156" t="s">
        <v>683</v>
      </c>
      <c r="C16" s="156" t="s">
        <v>27</v>
      </c>
      <c r="D16" s="156" t="s">
        <v>684</v>
      </c>
      <c r="E16" s="157" t="s">
        <v>29</v>
      </c>
      <c r="F16" s="162" t="s">
        <v>24</v>
      </c>
      <c r="G16" s="162"/>
      <c r="H16" s="157" t="s">
        <v>22</v>
      </c>
      <c r="I16" s="163">
        <v>2238.33</v>
      </c>
      <c r="J16" s="163"/>
      <c r="K16" s="160" t="s">
        <v>17</v>
      </c>
      <c r="L16" s="161">
        <v>621383.31999999995</v>
      </c>
    </row>
    <row r="17" spans="1:12" ht="61.2" x14ac:dyDescent="0.3">
      <c r="A17" s="155" t="s">
        <v>453</v>
      </c>
      <c r="B17" s="156" t="s">
        <v>685</v>
      </c>
      <c r="C17" s="156" t="s">
        <v>27</v>
      </c>
      <c r="D17" s="156" t="s">
        <v>686</v>
      </c>
      <c r="E17" s="157" t="s">
        <v>29</v>
      </c>
      <c r="F17" s="162" t="s">
        <v>24</v>
      </c>
      <c r="G17" s="162"/>
      <c r="H17" s="157" t="s">
        <v>22</v>
      </c>
      <c r="I17" s="163">
        <v>1351.75</v>
      </c>
      <c r="J17" s="163"/>
      <c r="K17" s="160" t="s">
        <v>17</v>
      </c>
      <c r="L17" s="161">
        <v>620031.56999999995</v>
      </c>
    </row>
    <row r="18" spans="1:12" ht="61.2" x14ac:dyDescent="0.3">
      <c r="A18" s="155" t="s">
        <v>453</v>
      </c>
      <c r="B18" s="156" t="s">
        <v>685</v>
      </c>
      <c r="C18" s="156" t="s">
        <v>27</v>
      </c>
      <c r="D18" s="156" t="s">
        <v>435</v>
      </c>
      <c r="E18" s="157" t="s">
        <v>29</v>
      </c>
      <c r="F18" s="162" t="s">
        <v>24</v>
      </c>
      <c r="G18" s="162"/>
      <c r="H18" s="157" t="s">
        <v>22</v>
      </c>
      <c r="I18" s="163">
        <v>62370.47</v>
      </c>
      <c r="J18" s="163"/>
      <c r="K18" s="160" t="s">
        <v>17</v>
      </c>
      <c r="L18" s="161">
        <v>557661.1</v>
      </c>
    </row>
    <row r="19" spans="1:12" ht="71.400000000000006" x14ac:dyDescent="0.3">
      <c r="A19" s="155" t="s">
        <v>453</v>
      </c>
      <c r="B19" s="156" t="s">
        <v>685</v>
      </c>
      <c r="C19" s="156" t="s">
        <v>27</v>
      </c>
      <c r="D19" s="156" t="s">
        <v>661</v>
      </c>
      <c r="E19" s="157" t="s">
        <v>29</v>
      </c>
      <c r="F19" s="162" t="s">
        <v>24</v>
      </c>
      <c r="G19" s="162"/>
      <c r="H19" s="157" t="s">
        <v>22</v>
      </c>
      <c r="I19" s="163">
        <v>4197.95</v>
      </c>
      <c r="J19" s="163"/>
      <c r="K19" s="160" t="s">
        <v>17</v>
      </c>
      <c r="L19" s="161">
        <v>553463.15</v>
      </c>
    </row>
    <row r="20" spans="1:12" ht="71.400000000000006" x14ac:dyDescent="0.3">
      <c r="A20" s="155" t="s">
        <v>453</v>
      </c>
      <c r="B20" s="156" t="s">
        <v>685</v>
      </c>
      <c r="C20" s="156" t="s">
        <v>27</v>
      </c>
      <c r="D20" s="156" t="s">
        <v>661</v>
      </c>
      <c r="E20" s="157" t="s">
        <v>29</v>
      </c>
      <c r="F20" s="162" t="s">
        <v>24</v>
      </c>
      <c r="G20" s="162"/>
      <c r="H20" s="157" t="s">
        <v>22</v>
      </c>
      <c r="I20" s="163">
        <v>7356.05</v>
      </c>
      <c r="J20" s="163"/>
      <c r="K20" s="160" t="s">
        <v>17</v>
      </c>
      <c r="L20" s="161">
        <v>546107.1</v>
      </c>
    </row>
    <row r="21" spans="1:12" ht="71.400000000000006" x14ac:dyDescent="0.3">
      <c r="A21" s="155" t="s">
        <v>453</v>
      </c>
      <c r="B21" s="156" t="s">
        <v>685</v>
      </c>
      <c r="C21" s="156" t="s">
        <v>27</v>
      </c>
      <c r="D21" s="156" t="s">
        <v>663</v>
      </c>
      <c r="E21" s="157" t="s">
        <v>29</v>
      </c>
      <c r="F21" s="162" t="s">
        <v>24</v>
      </c>
      <c r="G21" s="162"/>
      <c r="H21" s="157" t="s">
        <v>22</v>
      </c>
      <c r="I21" s="163">
        <v>2504.1799999999998</v>
      </c>
      <c r="J21" s="163"/>
      <c r="K21" s="160" t="s">
        <v>17</v>
      </c>
      <c r="L21" s="161">
        <v>543602.92000000004</v>
      </c>
    </row>
    <row r="22" spans="1:12" ht="61.2" x14ac:dyDescent="0.3">
      <c r="A22" s="155" t="s">
        <v>453</v>
      </c>
      <c r="B22" s="156" t="s">
        <v>685</v>
      </c>
      <c r="C22" s="156" t="s">
        <v>27</v>
      </c>
      <c r="D22" s="156" t="s">
        <v>687</v>
      </c>
      <c r="E22" s="157" t="s">
        <v>29</v>
      </c>
      <c r="F22" s="162" t="s">
        <v>24</v>
      </c>
      <c r="G22" s="162"/>
      <c r="H22" s="157" t="s">
        <v>22</v>
      </c>
      <c r="I22" s="163">
        <v>5382.3</v>
      </c>
      <c r="J22" s="163"/>
      <c r="K22" s="160" t="s">
        <v>17</v>
      </c>
      <c r="L22" s="161">
        <v>538220.62</v>
      </c>
    </row>
    <row r="23" spans="1:12" ht="61.2" x14ac:dyDescent="0.3">
      <c r="A23" s="155" t="s">
        <v>453</v>
      </c>
      <c r="B23" s="156" t="s">
        <v>685</v>
      </c>
      <c r="C23" s="156" t="s">
        <v>27</v>
      </c>
      <c r="D23" s="156" t="s">
        <v>655</v>
      </c>
      <c r="E23" s="157" t="s">
        <v>29</v>
      </c>
      <c r="F23" s="162" t="s">
        <v>24</v>
      </c>
      <c r="G23" s="162"/>
      <c r="H23" s="157" t="s">
        <v>22</v>
      </c>
      <c r="I23" s="163">
        <v>26455.21</v>
      </c>
      <c r="J23" s="163"/>
      <c r="K23" s="160" t="s">
        <v>17</v>
      </c>
      <c r="L23" s="161">
        <v>511765.41</v>
      </c>
    </row>
    <row r="24" spans="1:12" ht="61.2" x14ac:dyDescent="0.3">
      <c r="A24" s="155" t="s">
        <v>453</v>
      </c>
      <c r="B24" s="156" t="s">
        <v>685</v>
      </c>
      <c r="C24" s="156" t="s">
        <v>27</v>
      </c>
      <c r="D24" s="156" t="s">
        <v>688</v>
      </c>
      <c r="E24" s="157" t="s">
        <v>29</v>
      </c>
      <c r="F24" s="162" t="s">
        <v>24</v>
      </c>
      <c r="G24" s="162"/>
      <c r="H24" s="157" t="s">
        <v>22</v>
      </c>
      <c r="I24" s="163">
        <v>2071.92</v>
      </c>
      <c r="J24" s="163"/>
      <c r="K24" s="160" t="s">
        <v>17</v>
      </c>
      <c r="L24" s="161">
        <v>509693.49</v>
      </c>
    </row>
    <row r="25" spans="1:12" ht="61.2" x14ac:dyDescent="0.3">
      <c r="A25" s="155" t="s">
        <v>453</v>
      </c>
      <c r="B25" s="156" t="s">
        <v>685</v>
      </c>
      <c r="C25" s="156" t="s">
        <v>27</v>
      </c>
      <c r="D25" s="156" t="s">
        <v>688</v>
      </c>
      <c r="E25" s="157" t="s">
        <v>29</v>
      </c>
      <c r="F25" s="162" t="s">
        <v>24</v>
      </c>
      <c r="G25" s="162"/>
      <c r="H25" s="157" t="s">
        <v>22</v>
      </c>
      <c r="I25" s="163">
        <v>12149.74</v>
      </c>
      <c r="J25" s="163"/>
      <c r="K25" s="160" t="s">
        <v>17</v>
      </c>
      <c r="L25" s="161">
        <v>497543.75</v>
      </c>
    </row>
    <row r="26" spans="1:12" ht="81.599999999999994" x14ac:dyDescent="0.3">
      <c r="A26" s="155" t="s">
        <v>453</v>
      </c>
      <c r="B26" s="156" t="s">
        <v>685</v>
      </c>
      <c r="C26" s="156" t="s">
        <v>27</v>
      </c>
      <c r="D26" s="156" t="s">
        <v>658</v>
      </c>
      <c r="E26" s="157" t="s">
        <v>29</v>
      </c>
      <c r="F26" s="162" t="s">
        <v>24</v>
      </c>
      <c r="G26" s="162"/>
      <c r="H26" s="157" t="s">
        <v>22</v>
      </c>
      <c r="I26" s="165">
        <v>732.59</v>
      </c>
      <c r="J26" s="165"/>
      <c r="K26" s="160" t="s">
        <v>17</v>
      </c>
      <c r="L26" s="161">
        <v>496811.16</v>
      </c>
    </row>
    <row r="27" spans="1:12" ht="71.400000000000006" hidden="1" x14ac:dyDescent="0.3">
      <c r="A27" s="155" t="s">
        <v>267</v>
      </c>
      <c r="B27" s="156" t="s">
        <v>689</v>
      </c>
      <c r="C27" s="156" t="s">
        <v>690</v>
      </c>
      <c r="D27" s="156" t="s">
        <v>691</v>
      </c>
      <c r="E27" s="157" t="s">
        <v>22</v>
      </c>
      <c r="F27" s="164">
        <v>652.5</v>
      </c>
      <c r="G27" s="164"/>
      <c r="H27" s="157" t="s">
        <v>23</v>
      </c>
      <c r="I27" s="159" t="s">
        <v>24</v>
      </c>
      <c r="J27" s="159"/>
      <c r="K27" s="160" t="s">
        <v>17</v>
      </c>
      <c r="L27" s="161">
        <v>497463.66</v>
      </c>
    </row>
    <row r="28" spans="1:12" ht="71.400000000000006" hidden="1" x14ac:dyDescent="0.3">
      <c r="A28" s="155" t="s">
        <v>267</v>
      </c>
      <c r="B28" s="156" t="s">
        <v>692</v>
      </c>
      <c r="C28" s="156" t="s">
        <v>690</v>
      </c>
      <c r="D28" s="156" t="s">
        <v>691</v>
      </c>
      <c r="E28" s="157" t="s">
        <v>22</v>
      </c>
      <c r="F28" s="158">
        <v>3507.5</v>
      </c>
      <c r="G28" s="158"/>
      <c r="H28" s="157" t="s">
        <v>23</v>
      </c>
      <c r="I28" s="159" t="s">
        <v>24</v>
      </c>
      <c r="J28" s="159"/>
      <c r="K28" s="160" t="s">
        <v>17</v>
      </c>
      <c r="L28" s="161">
        <v>500971.16</v>
      </c>
    </row>
    <row r="29" spans="1:12" ht="71.400000000000006" hidden="1" x14ac:dyDescent="0.3">
      <c r="A29" s="155" t="s">
        <v>267</v>
      </c>
      <c r="B29" s="156" t="s">
        <v>689</v>
      </c>
      <c r="C29" s="156" t="s">
        <v>693</v>
      </c>
      <c r="D29" s="156" t="s">
        <v>691</v>
      </c>
      <c r="E29" s="157" t="s">
        <v>22</v>
      </c>
      <c r="F29" s="158">
        <v>1655</v>
      </c>
      <c r="G29" s="158"/>
      <c r="H29" s="157" t="s">
        <v>23</v>
      </c>
      <c r="I29" s="159" t="s">
        <v>24</v>
      </c>
      <c r="J29" s="159"/>
      <c r="K29" s="160" t="s">
        <v>17</v>
      </c>
      <c r="L29" s="161">
        <v>502626.16</v>
      </c>
    </row>
    <row r="30" spans="1:12" ht="71.400000000000006" hidden="1" x14ac:dyDescent="0.3">
      <c r="A30" s="155" t="s">
        <v>267</v>
      </c>
      <c r="B30" s="156" t="s">
        <v>694</v>
      </c>
      <c r="C30" s="156" t="s">
        <v>690</v>
      </c>
      <c r="D30" s="156" t="s">
        <v>691</v>
      </c>
      <c r="E30" s="157" t="s">
        <v>22</v>
      </c>
      <c r="F30" s="164">
        <v>858.47</v>
      </c>
      <c r="G30" s="164"/>
      <c r="H30" s="157" t="s">
        <v>23</v>
      </c>
      <c r="I30" s="159" t="s">
        <v>24</v>
      </c>
      <c r="J30" s="159"/>
      <c r="K30" s="160" t="s">
        <v>17</v>
      </c>
      <c r="L30" s="161">
        <v>503484.63</v>
      </c>
    </row>
    <row r="31" spans="1:12" ht="71.400000000000006" hidden="1" x14ac:dyDescent="0.3">
      <c r="A31" s="155" t="s">
        <v>267</v>
      </c>
      <c r="B31" s="156" t="s">
        <v>694</v>
      </c>
      <c r="C31" s="156" t="s">
        <v>693</v>
      </c>
      <c r="D31" s="156" t="s">
        <v>691</v>
      </c>
      <c r="E31" s="157" t="s">
        <v>22</v>
      </c>
      <c r="F31" s="164">
        <v>341.53</v>
      </c>
      <c r="G31" s="164"/>
      <c r="H31" s="157" t="s">
        <v>23</v>
      </c>
      <c r="I31" s="159" t="s">
        <v>24</v>
      </c>
      <c r="J31" s="159"/>
      <c r="K31" s="160" t="s">
        <v>17</v>
      </c>
      <c r="L31" s="161">
        <v>503826.16</v>
      </c>
    </row>
    <row r="32" spans="1:12" ht="81.599999999999994" hidden="1" x14ac:dyDescent="0.3">
      <c r="A32" s="155" t="s">
        <v>267</v>
      </c>
      <c r="B32" s="156" t="s">
        <v>475</v>
      </c>
      <c r="C32" s="156" t="s">
        <v>476</v>
      </c>
      <c r="D32" s="156" t="s">
        <v>473</v>
      </c>
      <c r="E32" s="157" t="s">
        <v>22</v>
      </c>
      <c r="F32" s="158">
        <v>4550</v>
      </c>
      <c r="G32" s="158"/>
      <c r="H32" s="157" t="s">
        <v>22</v>
      </c>
      <c r="I32" s="159" t="s">
        <v>24</v>
      </c>
      <c r="J32" s="159"/>
      <c r="K32" s="160" t="s">
        <v>17</v>
      </c>
      <c r="L32" s="161">
        <v>508376.16</v>
      </c>
    </row>
    <row r="33" spans="1:12" ht="71.400000000000006" hidden="1" x14ac:dyDescent="0.3">
      <c r="A33" s="155" t="s">
        <v>267</v>
      </c>
      <c r="B33" s="156" t="s">
        <v>497</v>
      </c>
      <c r="C33" s="156" t="s">
        <v>498</v>
      </c>
      <c r="D33" s="156" t="s">
        <v>467</v>
      </c>
      <c r="E33" s="157" t="s">
        <v>22</v>
      </c>
      <c r="F33" s="158">
        <v>3405.15</v>
      </c>
      <c r="G33" s="158"/>
      <c r="H33" s="157" t="s">
        <v>22</v>
      </c>
      <c r="I33" s="159" t="s">
        <v>24</v>
      </c>
      <c r="J33" s="159"/>
      <c r="K33" s="160" t="s">
        <v>17</v>
      </c>
      <c r="L33" s="161">
        <v>511781.31</v>
      </c>
    </row>
    <row r="34" spans="1:12" ht="71.400000000000006" hidden="1" x14ac:dyDescent="0.3">
      <c r="A34" s="155" t="s">
        <v>267</v>
      </c>
      <c r="B34" s="156" t="s">
        <v>497</v>
      </c>
      <c r="C34" s="156" t="s">
        <v>499</v>
      </c>
      <c r="D34" s="156" t="s">
        <v>469</v>
      </c>
      <c r="E34" s="157" t="s">
        <v>22</v>
      </c>
      <c r="F34" s="158">
        <v>6990.51</v>
      </c>
      <c r="G34" s="158"/>
      <c r="H34" s="157" t="s">
        <v>22</v>
      </c>
      <c r="I34" s="159" t="s">
        <v>24</v>
      </c>
      <c r="J34" s="159"/>
      <c r="K34" s="160" t="s">
        <v>17</v>
      </c>
      <c r="L34" s="161">
        <v>518771.82</v>
      </c>
    </row>
    <row r="35" spans="1:12" ht="71.400000000000006" hidden="1" x14ac:dyDescent="0.3">
      <c r="A35" s="155" t="s">
        <v>267</v>
      </c>
      <c r="B35" s="156" t="s">
        <v>511</v>
      </c>
      <c r="C35" s="156" t="s">
        <v>512</v>
      </c>
      <c r="D35" s="156" t="s">
        <v>508</v>
      </c>
      <c r="E35" s="157" t="s">
        <v>22</v>
      </c>
      <c r="F35" s="158">
        <v>1251.43</v>
      </c>
      <c r="G35" s="158"/>
      <c r="H35" s="157" t="s">
        <v>22</v>
      </c>
      <c r="I35" s="159" t="s">
        <v>24</v>
      </c>
      <c r="J35" s="159"/>
      <c r="K35" s="160" t="s">
        <v>17</v>
      </c>
      <c r="L35" s="161">
        <v>520023.25</v>
      </c>
    </row>
    <row r="36" spans="1:12" ht="71.400000000000006" hidden="1" x14ac:dyDescent="0.3">
      <c r="A36" s="155" t="s">
        <v>18</v>
      </c>
      <c r="B36" s="156" t="s">
        <v>695</v>
      </c>
      <c r="C36" s="156" t="s">
        <v>696</v>
      </c>
      <c r="D36" s="156" t="s">
        <v>697</v>
      </c>
      <c r="E36" s="157" t="s">
        <v>22</v>
      </c>
      <c r="F36" s="164">
        <v>54.07</v>
      </c>
      <c r="G36" s="164"/>
      <c r="H36" s="157" t="s">
        <v>23</v>
      </c>
      <c r="I36" s="159" t="s">
        <v>24</v>
      </c>
      <c r="J36" s="159"/>
      <c r="K36" s="160" t="s">
        <v>17</v>
      </c>
      <c r="L36" s="161">
        <v>520077.32</v>
      </c>
    </row>
    <row r="37" spans="1:12" ht="71.400000000000006" hidden="1" x14ac:dyDescent="0.3">
      <c r="A37" s="155" t="s">
        <v>18</v>
      </c>
      <c r="B37" s="156" t="s">
        <v>695</v>
      </c>
      <c r="C37" s="156" t="s">
        <v>698</v>
      </c>
      <c r="D37" s="156" t="s">
        <v>697</v>
      </c>
      <c r="E37" s="157" t="s">
        <v>22</v>
      </c>
      <c r="F37" s="164">
        <v>302.83</v>
      </c>
      <c r="G37" s="164"/>
      <c r="H37" s="157" t="s">
        <v>23</v>
      </c>
      <c r="I37" s="159" t="s">
        <v>24</v>
      </c>
      <c r="J37" s="159"/>
      <c r="K37" s="160" t="s">
        <v>17</v>
      </c>
      <c r="L37" s="161">
        <v>520380.15</v>
      </c>
    </row>
    <row r="38" spans="1:12" ht="71.400000000000006" hidden="1" x14ac:dyDescent="0.3">
      <c r="A38" s="155" t="s">
        <v>526</v>
      </c>
      <c r="B38" s="156" t="s">
        <v>531</v>
      </c>
      <c r="C38" s="156" t="s">
        <v>532</v>
      </c>
      <c r="D38" s="156" t="s">
        <v>501</v>
      </c>
      <c r="E38" s="157" t="s">
        <v>22</v>
      </c>
      <c r="F38" s="158">
        <v>3710.66</v>
      </c>
      <c r="G38" s="158"/>
      <c r="H38" s="157" t="s">
        <v>22</v>
      </c>
      <c r="I38" s="159" t="s">
        <v>24</v>
      </c>
      <c r="J38" s="159"/>
      <c r="K38" s="160" t="s">
        <v>17</v>
      </c>
      <c r="L38" s="161">
        <v>524090.81</v>
      </c>
    </row>
    <row r="39" spans="1:12" ht="71.400000000000006" hidden="1" x14ac:dyDescent="0.3">
      <c r="A39" s="155" t="s">
        <v>526</v>
      </c>
      <c r="B39" s="156" t="s">
        <v>531</v>
      </c>
      <c r="C39" s="156" t="s">
        <v>533</v>
      </c>
      <c r="D39" s="156" t="s">
        <v>528</v>
      </c>
      <c r="E39" s="157" t="s">
        <v>22</v>
      </c>
      <c r="F39" s="158">
        <v>92228.77</v>
      </c>
      <c r="G39" s="158"/>
      <c r="H39" s="157" t="s">
        <v>22</v>
      </c>
      <c r="I39" s="159" t="s">
        <v>24</v>
      </c>
      <c r="J39" s="159"/>
      <c r="K39" s="160" t="s">
        <v>17</v>
      </c>
      <c r="L39" s="161">
        <v>616319.57999999996</v>
      </c>
    </row>
    <row r="40" spans="1:12" ht="71.400000000000006" hidden="1" x14ac:dyDescent="0.3">
      <c r="A40" s="155" t="s">
        <v>111</v>
      </c>
      <c r="B40" s="156" t="s">
        <v>580</v>
      </c>
      <c r="C40" s="156" t="s">
        <v>581</v>
      </c>
      <c r="D40" s="156" t="s">
        <v>566</v>
      </c>
      <c r="E40" s="157" t="s">
        <v>22</v>
      </c>
      <c r="F40" s="158">
        <v>35550</v>
      </c>
      <c r="G40" s="158"/>
      <c r="H40" s="157" t="s">
        <v>22</v>
      </c>
      <c r="I40" s="159" t="s">
        <v>24</v>
      </c>
      <c r="J40" s="159"/>
      <c r="K40" s="160" t="s">
        <v>17</v>
      </c>
      <c r="L40" s="161">
        <v>651869.57999999996</v>
      </c>
    </row>
    <row r="41" spans="1:12" ht="71.400000000000006" x14ac:dyDescent="0.3">
      <c r="A41" s="155" t="s">
        <v>699</v>
      </c>
      <c r="B41" s="156" t="s">
        <v>700</v>
      </c>
      <c r="C41" s="156" t="s">
        <v>27</v>
      </c>
      <c r="D41" s="156" t="s">
        <v>678</v>
      </c>
      <c r="E41" s="157" t="s">
        <v>29</v>
      </c>
      <c r="F41" s="162" t="s">
        <v>24</v>
      </c>
      <c r="G41" s="162"/>
      <c r="H41" s="157" t="s">
        <v>22</v>
      </c>
      <c r="I41" s="165">
        <v>234.33</v>
      </c>
      <c r="J41" s="165"/>
      <c r="K41" s="160" t="s">
        <v>17</v>
      </c>
      <c r="L41" s="161">
        <v>651635.25</v>
      </c>
    </row>
    <row r="42" spans="1:12" ht="71.400000000000006" hidden="1" x14ac:dyDescent="0.3">
      <c r="A42" s="155" t="s">
        <v>361</v>
      </c>
      <c r="B42" s="156" t="s">
        <v>701</v>
      </c>
      <c r="C42" s="156" t="s">
        <v>702</v>
      </c>
      <c r="D42" s="156" t="s">
        <v>703</v>
      </c>
      <c r="E42" s="157" t="s">
        <v>22</v>
      </c>
      <c r="F42" s="158">
        <v>3600</v>
      </c>
      <c r="G42" s="158"/>
      <c r="H42" s="157" t="s">
        <v>23</v>
      </c>
      <c r="I42" s="159" t="s">
        <v>24</v>
      </c>
      <c r="J42" s="159"/>
      <c r="K42" s="160" t="s">
        <v>17</v>
      </c>
      <c r="L42" s="161">
        <v>655235.25</v>
      </c>
    </row>
    <row r="43" spans="1:12" ht="71.400000000000006" hidden="1" x14ac:dyDescent="0.3">
      <c r="A43" s="155" t="s">
        <v>361</v>
      </c>
      <c r="B43" s="156" t="s">
        <v>701</v>
      </c>
      <c r="C43" s="156" t="s">
        <v>704</v>
      </c>
      <c r="D43" s="156" t="s">
        <v>703</v>
      </c>
      <c r="E43" s="157" t="s">
        <v>22</v>
      </c>
      <c r="F43" s="158">
        <v>2400</v>
      </c>
      <c r="G43" s="158"/>
      <c r="H43" s="157" t="s">
        <v>23</v>
      </c>
      <c r="I43" s="159" t="s">
        <v>24</v>
      </c>
      <c r="J43" s="159"/>
      <c r="K43" s="160" t="s">
        <v>17</v>
      </c>
      <c r="L43" s="161">
        <v>657635.25</v>
      </c>
    </row>
    <row r="44" spans="1:12" ht="71.400000000000006" hidden="1" x14ac:dyDescent="0.3">
      <c r="A44" s="155" t="s">
        <v>361</v>
      </c>
      <c r="B44" s="156" t="s">
        <v>701</v>
      </c>
      <c r="C44" s="156" t="s">
        <v>705</v>
      </c>
      <c r="D44" s="156" t="s">
        <v>703</v>
      </c>
      <c r="E44" s="157" t="s">
        <v>22</v>
      </c>
      <c r="F44" s="158">
        <v>7200</v>
      </c>
      <c r="G44" s="158"/>
      <c r="H44" s="157" t="s">
        <v>23</v>
      </c>
      <c r="I44" s="159" t="s">
        <v>24</v>
      </c>
      <c r="J44" s="159"/>
      <c r="K44" s="160" t="s">
        <v>17</v>
      </c>
      <c r="L44" s="161">
        <v>664835.25</v>
      </c>
    </row>
    <row r="45" spans="1:12" ht="71.400000000000006" hidden="1" x14ac:dyDescent="0.3">
      <c r="A45" s="155" t="s">
        <v>361</v>
      </c>
      <c r="B45" s="156" t="s">
        <v>701</v>
      </c>
      <c r="C45" s="156" t="s">
        <v>706</v>
      </c>
      <c r="D45" s="156" t="s">
        <v>703</v>
      </c>
      <c r="E45" s="157" t="s">
        <v>22</v>
      </c>
      <c r="F45" s="158">
        <v>8400</v>
      </c>
      <c r="G45" s="158"/>
      <c r="H45" s="157" t="s">
        <v>23</v>
      </c>
      <c r="I45" s="159" t="s">
        <v>24</v>
      </c>
      <c r="J45" s="159"/>
      <c r="K45" s="160" t="s">
        <v>17</v>
      </c>
      <c r="L45" s="161">
        <v>673235.25</v>
      </c>
    </row>
    <row r="46" spans="1:12" ht="71.400000000000006" hidden="1" x14ac:dyDescent="0.3">
      <c r="A46" s="155" t="s">
        <v>361</v>
      </c>
      <c r="B46" s="156" t="s">
        <v>701</v>
      </c>
      <c r="C46" s="156" t="s">
        <v>707</v>
      </c>
      <c r="D46" s="156" t="s">
        <v>703</v>
      </c>
      <c r="E46" s="157" t="s">
        <v>22</v>
      </c>
      <c r="F46" s="158">
        <v>3100</v>
      </c>
      <c r="G46" s="158"/>
      <c r="H46" s="157" t="s">
        <v>23</v>
      </c>
      <c r="I46" s="159" t="s">
        <v>24</v>
      </c>
      <c r="J46" s="159"/>
      <c r="K46" s="160" t="s">
        <v>17</v>
      </c>
      <c r="L46" s="161">
        <v>676335.25</v>
      </c>
    </row>
    <row r="47" spans="1:12" ht="71.400000000000006" hidden="1" x14ac:dyDescent="0.3">
      <c r="A47" s="155" t="s">
        <v>361</v>
      </c>
      <c r="B47" s="156" t="s">
        <v>701</v>
      </c>
      <c r="C47" s="156" t="s">
        <v>708</v>
      </c>
      <c r="D47" s="156" t="s">
        <v>703</v>
      </c>
      <c r="E47" s="157" t="s">
        <v>22</v>
      </c>
      <c r="F47" s="158">
        <v>1600</v>
      </c>
      <c r="G47" s="158"/>
      <c r="H47" s="157" t="s">
        <v>23</v>
      </c>
      <c r="I47" s="159" t="s">
        <v>24</v>
      </c>
      <c r="J47" s="159"/>
      <c r="K47" s="160" t="s">
        <v>17</v>
      </c>
      <c r="L47" s="161">
        <v>677935.25</v>
      </c>
    </row>
    <row r="48" spans="1:12" ht="71.400000000000006" hidden="1" x14ac:dyDescent="0.3">
      <c r="A48" s="155" t="s">
        <v>361</v>
      </c>
      <c r="B48" s="156" t="s">
        <v>709</v>
      </c>
      <c r="C48" s="156" t="s">
        <v>710</v>
      </c>
      <c r="D48" s="156" t="s">
        <v>711</v>
      </c>
      <c r="E48" s="157" t="s">
        <v>22</v>
      </c>
      <c r="F48" s="158">
        <v>1033.33</v>
      </c>
      <c r="G48" s="158"/>
      <c r="H48" s="157" t="s">
        <v>23</v>
      </c>
      <c r="I48" s="159" t="s">
        <v>24</v>
      </c>
      <c r="J48" s="159"/>
      <c r="K48" s="160" t="s">
        <v>17</v>
      </c>
      <c r="L48" s="161">
        <v>678968.58</v>
      </c>
    </row>
    <row r="49" spans="1:12" ht="71.400000000000006" hidden="1" x14ac:dyDescent="0.3">
      <c r="A49" s="155" t="s">
        <v>361</v>
      </c>
      <c r="B49" s="156" t="s">
        <v>709</v>
      </c>
      <c r="C49" s="156" t="s">
        <v>712</v>
      </c>
      <c r="D49" s="156" t="s">
        <v>711</v>
      </c>
      <c r="E49" s="157" t="s">
        <v>22</v>
      </c>
      <c r="F49" s="158">
        <v>9178.58</v>
      </c>
      <c r="G49" s="158"/>
      <c r="H49" s="157" t="s">
        <v>23</v>
      </c>
      <c r="I49" s="159" t="s">
        <v>24</v>
      </c>
      <c r="J49" s="159"/>
      <c r="K49" s="160" t="s">
        <v>17</v>
      </c>
      <c r="L49" s="161">
        <v>688147.16</v>
      </c>
    </row>
    <row r="50" spans="1:12" ht="71.400000000000006" hidden="1" x14ac:dyDescent="0.3">
      <c r="A50" s="155" t="s">
        <v>361</v>
      </c>
      <c r="B50" s="156" t="s">
        <v>713</v>
      </c>
      <c r="C50" s="156" t="s">
        <v>710</v>
      </c>
      <c r="D50" s="156" t="s">
        <v>711</v>
      </c>
      <c r="E50" s="157" t="s">
        <v>22</v>
      </c>
      <c r="F50" s="158">
        <v>1180.54</v>
      </c>
      <c r="G50" s="158"/>
      <c r="H50" s="157" t="s">
        <v>23</v>
      </c>
      <c r="I50" s="159" t="s">
        <v>24</v>
      </c>
      <c r="J50" s="159"/>
      <c r="K50" s="160" t="s">
        <v>17</v>
      </c>
      <c r="L50" s="161">
        <v>689327.7</v>
      </c>
    </row>
    <row r="51" spans="1:12" ht="71.400000000000006" hidden="1" x14ac:dyDescent="0.3">
      <c r="A51" s="155" t="s">
        <v>361</v>
      </c>
      <c r="B51" s="156" t="s">
        <v>713</v>
      </c>
      <c r="C51" s="156" t="s">
        <v>712</v>
      </c>
      <c r="D51" s="156" t="s">
        <v>711</v>
      </c>
      <c r="E51" s="157" t="s">
        <v>22</v>
      </c>
      <c r="F51" s="158">
        <v>10486.13</v>
      </c>
      <c r="G51" s="158"/>
      <c r="H51" s="157" t="s">
        <v>23</v>
      </c>
      <c r="I51" s="159" t="s">
        <v>24</v>
      </c>
      <c r="J51" s="159"/>
      <c r="K51" s="160" t="s">
        <v>17</v>
      </c>
      <c r="L51" s="161">
        <v>699813.83</v>
      </c>
    </row>
    <row r="52" spans="1:12" ht="71.400000000000006" hidden="1" x14ac:dyDescent="0.3">
      <c r="A52" s="155" t="s">
        <v>361</v>
      </c>
      <c r="B52" s="156" t="s">
        <v>714</v>
      </c>
      <c r="C52" s="156" t="s">
        <v>715</v>
      </c>
      <c r="D52" s="156" t="s">
        <v>716</v>
      </c>
      <c r="E52" s="157" t="s">
        <v>22</v>
      </c>
      <c r="F52" s="158">
        <v>2624.87</v>
      </c>
      <c r="G52" s="158"/>
      <c r="H52" s="157" t="s">
        <v>23</v>
      </c>
      <c r="I52" s="159" t="s">
        <v>24</v>
      </c>
      <c r="J52" s="159"/>
      <c r="K52" s="160" t="s">
        <v>17</v>
      </c>
      <c r="L52" s="161">
        <v>702438.7</v>
      </c>
    </row>
    <row r="53" spans="1:12" ht="61.2" hidden="1" x14ac:dyDescent="0.3">
      <c r="A53" s="155" t="s">
        <v>25</v>
      </c>
      <c r="B53" s="156" t="s">
        <v>717</v>
      </c>
      <c r="C53" s="156" t="s">
        <v>718</v>
      </c>
      <c r="D53" s="156" t="s">
        <v>719</v>
      </c>
      <c r="E53" s="157" t="s">
        <v>22</v>
      </c>
      <c r="F53" s="158">
        <v>34830</v>
      </c>
      <c r="G53" s="158"/>
      <c r="H53" s="157" t="s">
        <v>22</v>
      </c>
      <c r="I53" s="159" t="s">
        <v>24</v>
      </c>
      <c r="J53" s="159"/>
      <c r="K53" s="160" t="s">
        <v>17</v>
      </c>
      <c r="L53" s="161">
        <v>737268.7</v>
      </c>
    </row>
    <row r="54" spans="1:12" ht="61.2" hidden="1" x14ac:dyDescent="0.3">
      <c r="A54" s="155" t="s">
        <v>25</v>
      </c>
      <c r="B54" s="156" t="s">
        <v>720</v>
      </c>
      <c r="C54" s="156" t="s">
        <v>721</v>
      </c>
      <c r="D54" s="156" t="s">
        <v>583</v>
      </c>
      <c r="E54" s="157" t="s">
        <v>22</v>
      </c>
      <c r="F54" s="158">
        <v>5508</v>
      </c>
      <c r="G54" s="158"/>
      <c r="H54" s="157" t="s">
        <v>22</v>
      </c>
      <c r="I54" s="159" t="s">
        <v>24</v>
      </c>
      <c r="J54" s="159"/>
      <c r="K54" s="160" t="s">
        <v>17</v>
      </c>
      <c r="L54" s="161">
        <v>742776.7</v>
      </c>
    </row>
    <row r="55" spans="1:12" ht="71.400000000000006" hidden="1" x14ac:dyDescent="0.3">
      <c r="A55" s="155" t="s">
        <v>25</v>
      </c>
      <c r="B55" s="156" t="s">
        <v>720</v>
      </c>
      <c r="C55" s="156" t="s">
        <v>722</v>
      </c>
      <c r="D55" s="156" t="s">
        <v>723</v>
      </c>
      <c r="E55" s="157" t="s">
        <v>22</v>
      </c>
      <c r="F55" s="158">
        <v>3484</v>
      </c>
      <c r="G55" s="158"/>
      <c r="H55" s="157" t="s">
        <v>22</v>
      </c>
      <c r="I55" s="159" t="s">
        <v>24</v>
      </c>
      <c r="J55" s="159"/>
      <c r="K55" s="160" t="s">
        <v>17</v>
      </c>
      <c r="L55" s="161">
        <v>746260.7</v>
      </c>
    </row>
    <row r="56" spans="1:12" ht="91.8" hidden="1" x14ac:dyDescent="0.3">
      <c r="A56" s="155" t="s">
        <v>25</v>
      </c>
      <c r="B56" s="156" t="s">
        <v>724</v>
      </c>
      <c r="C56" s="156" t="s">
        <v>725</v>
      </c>
      <c r="D56" s="156" t="s">
        <v>572</v>
      </c>
      <c r="E56" s="157" t="s">
        <v>22</v>
      </c>
      <c r="F56" s="158">
        <v>95945</v>
      </c>
      <c r="G56" s="158"/>
      <c r="H56" s="157" t="s">
        <v>22</v>
      </c>
      <c r="I56" s="159" t="s">
        <v>24</v>
      </c>
      <c r="J56" s="159"/>
      <c r="K56" s="160" t="s">
        <v>17</v>
      </c>
      <c r="L56" s="161">
        <v>842205.7</v>
      </c>
    </row>
    <row r="57" spans="1:12" ht="71.400000000000006" x14ac:dyDescent="0.3">
      <c r="A57" s="155" t="s">
        <v>25</v>
      </c>
      <c r="B57" s="156" t="s">
        <v>726</v>
      </c>
      <c r="C57" s="156" t="s">
        <v>727</v>
      </c>
      <c r="D57" s="156" t="s">
        <v>728</v>
      </c>
      <c r="E57" s="157" t="s">
        <v>29</v>
      </c>
      <c r="F57" s="162" t="s">
        <v>24</v>
      </c>
      <c r="G57" s="162"/>
      <c r="H57" s="157" t="s">
        <v>22</v>
      </c>
      <c r="I57" s="163">
        <v>7134.42</v>
      </c>
      <c r="J57" s="163"/>
      <c r="K57" s="160" t="s">
        <v>17</v>
      </c>
      <c r="L57" s="161">
        <v>835071.28</v>
      </c>
    </row>
    <row r="58" spans="1:12" ht="61.2" x14ac:dyDescent="0.3">
      <c r="A58" s="155" t="s">
        <v>25</v>
      </c>
      <c r="B58" s="156" t="s">
        <v>726</v>
      </c>
      <c r="C58" s="156" t="s">
        <v>727</v>
      </c>
      <c r="D58" s="156" t="s">
        <v>721</v>
      </c>
      <c r="E58" s="157" t="s">
        <v>29</v>
      </c>
      <c r="F58" s="162" t="s">
        <v>24</v>
      </c>
      <c r="G58" s="162"/>
      <c r="H58" s="157" t="s">
        <v>22</v>
      </c>
      <c r="I58" s="163">
        <v>5508</v>
      </c>
      <c r="J58" s="163"/>
      <c r="K58" s="160" t="s">
        <v>17</v>
      </c>
      <c r="L58" s="161">
        <v>829563.28</v>
      </c>
    </row>
    <row r="59" spans="1:12" ht="61.2" x14ac:dyDescent="0.3">
      <c r="A59" s="155" t="s">
        <v>25</v>
      </c>
      <c r="B59" s="156" t="s">
        <v>729</v>
      </c>
      <c r="C59" s="156" t="s">
        <v>727</v>
      </c>
      <c r="D59" s="156" t="s">
        <v>672</v>
      </c>
      <c r="E59" s="157" t="s">
        <v>29</v>
      </c>
      <c r="F59" s="162" t="s">
        <v>24</v>
      </c>
      <c r="G59" s="162"/>
      <c r="H59" s="157" t="s">
        <v>22</v>
      </c>
      <c r="I59" s="163">
        <v>13509.49</v>
      </c>
      <c r="J59" s="163"/>
      <c r="K59" s="160" t="s">
        <v>17</v>
      </c>
      <c r="L59" s="161">
        <v>816053.79</v>
      </c>
    </row>
    <row r="60" spans="1:12" ht="71.400000000000006" x14ac:dyDescent="0.3">
      <c r="A60" s="155" t="s">
        <v>25</v>
      </c>
      <c r="B60" s="156" t="s">
        <v>729</v>
      </c>
      <c r="C60" s="156" t="s">
        <v>727</v>
      </c>
      <c r="D60" s="156" t="s">
        <v>722</v>
      </c>
      <c r="E60" s="157" t="s">
        <v>29</v>
      </c>
      <c r="F60" s="162" t="s">
        <v>24</v>
      </c>
      <c r="G60" s="162"/>
      <c r="H60" s="157" t="s">
        <v>22</v>
      </c>
      <c r="I60" s="163">
        <v>3484</v>
      </c>
      <c r="J60" s="163"/>
      <c r="K60" s="160" t="s">
        <v>17</v>
      </c>
      <c r="L60" s="161">
        <v>812569.79</v>
      </c>
    </row>
    <row r="61" spans="1:12" ht="71.400000000000006" x14ac:dyDescent="0.3">
      <c r="A61" s="155" t="s">
        <v>25</v>
      </c>
      <c r="B61" s="156" t="s">
        <v>729</v>
      </c>
      <c r="C61" s="156" t="s">
        <v>727</v>
      </c>
      <c r="D61" s="156" t="s">
        <v>730</v>
      </c>
      <c r="E61" s="157" t="s">
        <v>29</v>
      </c>
      <c r="F61" s="162" t="s">
        <v>24</v>
      </c>
      <c r="G61" s="162"/>
      <c r="H61" s="157" t="s">
        <v>22</v>
      </c>
      <c r="I61" s="165">
        <v>376.87</v>
      </c>
      <c r="J61" s="165"/>
      <c r="K61" s="160" t="s">
        <v>17</v>
      </c>
      <c r="L61" s="161">
        <v>812192.92</v>
      </c>
    </row>
    <row r="62" spans="1:12" ht="61.2" x14ac:dyDescent="0.3">
      <c r="A62" s="155" t="s">
        <v>25</v>
      </c>
      <c r="B62" s="156" t="s">
        <v>729</v>
      </c>
      <c r="C62" s="156" t="s">
        <v>727</v>
      </c>
      <c r="D62" s="156" t="s">
        <v>731</v>
      </c>
      <c r="E62" s="157" t="s">
        <v>29</v>
      </c>
      <c r="F62" s="162" t="s">
        <v>24</v>
      </c>
      <c r="G62" s="162"/>
      <c r="H62" s="157" t="s">
        <v>22</v>
      </c>
      <c r="I62" s="163">
        <v>21880.06</v>
      </c>
      <c r="J62" s="163"/>
      <c r="K62" s="160" t="s">
        <v>17</v>
      </c>
      <c r="L62" s="161">
        <v>790312.86</v>
      </c>
    </row>
    <row r="63" spans="1:12" ht="61.2" x14ac:dyDescent="0.3">
      <c r="A63" s="155" t="s">
        <v>25</v>
      </c>
      <c r="B63" s="156" t="s">
        <v>729</v>
      </c>
      <c r="C63" s="156" t="s">
        <v>727</v>
      </c>
      <c r="D63" s="156" t="s">
        <v>732</v>
      </c>
      <c r="E63" s="157" t="s">
        <v>29</v>
      </c>
      <c r="F63" s="162" t="s">
        <v>24</v>
      </c>
      <c r="G63" s="162"/>
      <c r="H63" s="157" t="s">
        <v>22</v>
      </c>
      <c r="I63" s="163">
        <v>2576.08</v>
      </c>
      <c r="J63" s="163"/>
      <c r="K63" s="160" t="s">
        <v>17</v>
      </c>
      <c r="L63" s="161">
        <v>787736.78</v>
      </c>
    </row>
    <row r="64" spans="1:12" ht="61.2" x14ac:dyDescent="0.3">
      <c r="A64" s="155" t="s">
        <v>25</v>
      </c>
      <c r="B64" s="156" t="s">
        <v>729</v>
      </c>
      <c r="C64" s="156" t="s">
        <v>727</v>
      </c>
      <c r="D64" s="156" t="s">
        <v>733</v>
      </c>
      <c r="E64" s="157" t="s">
        <v>29</v>
      </c>
      <c r="F64" s="162" t="s">
        <v>24</v>
      </c>
      <c r="G64" s="162"/>
      <c r="H64" s="157" t="s">
        <v>22</v>
      </c>
      <c r="I64" s="165">
        <v>925.95</v>
      </c>
      <c r="J64" s="165"/>
      <c r="K64" s="160" t="s">
        <v>17</v>
      </c>
      <c r="L64" s="161">
        <v>786810.83</v>
      </c>
    </row>
    <row r="65" spans="1:12" ht="71.400000000000006" x14ac:dyDescent="0.3">
      <c r="A65" s="155" t="s">
        <v>25</v>
      </c>
      <c r="B65" s="156" t="s">
        <v>729</v>
      </c>
      <c r="C65" s="156" t="s">
        <v>727</v>
      </c>
      <c r="D65" s="156" t="s">
        <v>734</v>
      </c>
      <c r="E65" s="157" t="s">
        <v>29</v>
      </c>
      <c r="F65" s="162" t="s">
        <v>24</v>
      </c>
      <c r="G65" s="162"/>
      <c r="H65" s="157" t="s">
        <v>22</v>
      </c>
      <c r="I65" s="165">
        <v>241.63</v>
      </c>
      <c r="J65" s="165"/>
      <c r="K65" s="160" t="s">
        <v>17</v>
      </c>
      <c r="L65" s="161">
        <v>786569.2</v>
      </c>
    </row>
    <row r="66" spans="1:12" ht="71.400000000000006" x14ac:dyDescent="0.3">
      <c r="A66" s="155" t="s">
        <v>25</v>
      </c>
      <c r="B66" s="156" t="s">
        <v>729</v>
      </c>
      <c r="C66" s="156" t="s">
        <v>727</v>
      </c>
      <c r="D66" s="156" t="s">
        <v>735</v>
      </c>
      <c r="E66" s="157" t="s">
        <v>29</v>
      </c>
      <c r="F66" s="162" t="s">
        <v>24</v>
      </c>
      <c r="G66" s="162"/>
      <c r="H66" s="157" t="s">
        <v>22</v>
      </c>
      <c r="I66" s="165">
        <v>95.35</v>
      </c>
      <c r="J66" s="165"/>
      <c r="K66" s="160" t="s">
        <v>17</v>
      </c>
      <c r="L66" s="161">
        <v>786473.85</v>
      </c>
    </row>
    <row r="67" spans="1:12" ht="61.2" x14ac:dyDescent="0.3">
      <c r="A67" s="155" t="s">
        <v>25</v>
      </c>
      <c r="B67" s="156" t="s">
        <v>729</v>
      </c>
      <c r="C67" s="156" t="s">
        <v>727</v>
      </c>
      <c r="D67" s="156" t="s">
        <v>736</v>
      </c>
      <c r="E67" s="157" t="s">
        <v>29</v>
      </c>
      <c r="F67" s="162" t="s">
        <v>24</v>
      </c>
      <c r="G67" s="162"/>
      <c r="H67" s="157" t="s">
        <v>22</v>
      </c>
      <c r="I67" s="165">
        <v>441.96</v>
      </c>
      <c r="J67" s="165"/>
      <c r="K67" s="160" t="s">
        <v>17</v>
      </c>
      <c r="L67" s="161">
        <v>786031.89</v>
      </c>
    </row>
    <row r="68" spans="1:12" ht="61.2" x14ac:dyDescent="0.3">
      <c r="A68" s="155" t="s">
        <v>25</v>
      </c>
      <c r="B68" s="156" t="s">
        <v>729</v>
      </c>
      <c r="C68" s="156" t="s">
        <v>727</v>
      </c>
      <c r="D68" s="156" t="s">
        <v>737</v>
      </c>
      <c r="E68" s="157" t="s">
        <v>29</v>
      </c>
      <c r="F68" s="162" t="s">
        <v>24</v>
      </c>
      <c r="G68" s="162"/>
      <c r="H68" s="157" t="s">
        <v>22</v>
      </c>
      <c r="I68" s="165">
        <v>346.25</v>
      </c>
      <c r="J68" s="165"/>
      <c r="K68" s="160" t="s">
        <v>17</v>
      </c>
      <c r="L68" s="161">
        <v>785685.64</v>
      </c>
    </row>
    <row r="69" spans="1:12" ht="61.2" x14ac:dyDescent="0.3">
      <c r="A69" s="155" t="s">
        <v>25</v>
      </c>
      <c r="B69" s="156" t="s">
        <v>729</v>
      </c>
      <c r="C69" s="156" t="s">
        <v>727</v>
      </c>
      <c r="D69" s="156" t="s">
        <v>738</v>
      </c>
      <c r="E69" s="157" t="s">
        <v>29</v>
      </c>
      <c r="F69" s="162" t="s">
        <v>24</v>
      </c>
      <c r="G69" s="162"/>
      <c r="H69" s="157" t="s">
        <v>22</v>
      </c>
      <c r="I69" s="165">
        <v>35.590000000000003</v>
      </c>
      <c r="J69" s="165"/>
      <c r="K69" s="160" t="s">
        <v>17</v>
      </c>
      <c r="L69" s="161">
        <v>785650.05</v>
      </c>
    </row>
    <row r="70" spans="1:12" ht="71.400000000000006" x14ac:dyDescent="0.3">
      <c r="A70" s="155" t="s">
        <v>25</v>
      </c>
      <c r="B70" s="156" t="s">
        <v>729</v>
      </c>
      <c r="C70" s="156" t="s">
        <v>727</v>
      </c>
      <c r="D70" s="156" t="s">
        <v>739</v>
      </c>
      <c r="E70" s="157" t="s">
        <v>29</v>
      </c>
      <c r="F70" s="162" t="s">
        <v>24</v>
      </c>
      <c r="G70" s="162"/>
      <c r="H70" s="157" t="s">
        <v>22</v>
      </c>
      <c r="I70" s="163">
        <v>19470.400000000001</v>
      </c>
      <c r="J70" s="163"/>
      <c r="K70" s="160" t="s">
        <v>17</v>
      </c>
      <c r="L70" s="161">
        <v>766179.65</v>
      </c>
    </row>
    <row r="71" spans="1:12" ht="71.400000000000006" x14ac:dyDescent="0.3">
      <c r="A71" s="155" t="s">
        <v>25</v>
      </c>
      <c r="B71" s="156" t="s">
        <v>729</v>
      </c>
      <c r="C71" s="156" t="s">
        <v>727</v>
      </c>
      <c r="D71" s="156" t="s">
        <v>740</v>
      </c>
      <c r="E71" s="157" t="s">
        <v>29</v>
      </c>
      <c r="F71" s="162" t="s">
        <v>24</v>
      </c>
      <c r="G71" s="162"/>
      <c r="H71" s="157" t="s">
        <v>22</v>
      </c>
      <c r="I71" s="163">
        <v>2795.81</v>
      </c>
      <c r="J71" s="163"/>
      <c r="K71" s="160" t="s">
        <v>17</v>
      </c>
      <c r="L71" s="161">
        <v>763383.84</v>
      </c>
    </row>
    <row r="72" spans="1:12" ht="61.2" x14ac:dyDescent="0.3">
      <c r="A72" s="155" t="s">
        <v>25</v>
      </c>
      <c r="B72" s="156" t="s">
        <v>729</v>
      </c>
      <c r="C72" s="156" t="s">
        <v>727</v>
      </c>
      <c r="D72" s="156" t="s">
        <v>741</v>
      </c>
      <c r="E72" s="157" t="s">
        <v>29</v>
      </c>
      <c r="F72" s="162" t="s">
        <v>24</v>
      </c>
      <c r="G72" s="162"/>
      <c r="H72" s="157" t="s">
        <v>22</v>
      </c>
      <c r="I72" s="165">
        <v>203.2</v>
      </c>
      <c r="J72" s="165"/>
      <c r="K72" s="160" t="s">
        <v>17</v>
      </c>
      <c r="L72" s="161">
        <v>763180.64</v>
      </c>
    </row>
    <row r="73" spans="1:12" ht="61.2" x14ac:dyDescent="0.3">
      <c r="A73" s="155" t="s">
        <v>25</v>
      </c>
      <c r="B73" s="156" t="s">
        <v>729</v>
      </c>
      <c r="C73" s="156" t="s">
        <v>727</v>
      </c>
      <c r="D73" s="156" t="s">
        <v>742</v>
      </c>
      <c r="E73" s="157" t="s">
        <v>29</v>
      </c>
      <c r="F73" s="162" t="s">
        <v>24</v>
      </c>
      <c r="G73" s="162"/>
      <c r="H73" s="157" t="s">
        <v>22</v>
      </c>
      <c r="I73" s="163">
        <v>1178.99</v>
      </c>
      <c r="J73" s="163"/>
      <c r="K73" s="160" t="s">
        <v>17</v>
      </c>
      <c r="L73" s="161">
        <v>762001.65</v>
      </c>
    </row>
    <row r="74" spans="1:12" ht="71.400000000000006" x14ac:dyDescent="0.3">
      <c r="A74" s="155" t="s">
        <v>25</v>
      </c>
      <c r="B74" s="156" t="s">
        <v>729</v>
      </c>
      <c r="C74" s="156" t="s">
        <v>727</v>
      </c>
      <c r="D74" s="156" t="s">
        <v>743</v>
      </c>
      <c r="E74" s="157" t="s">
        <v>29</v>
      </c>
      <c r="F74" s="162" t="s">
        <v>24</v>
      </c>
      <c r="G74" s="162"/>
      <c r="H74" s="157" t="s">
        <v>22</v>
      </c>
      <c r="I74" s="163">
        <v>3834.59</v>
      </c>
      <c r="J74" s="163"/>
      <c r="K74" s="160" t="s">
        <v>17</v>
      </c>
      <c r="L74" s="161">
        <v>758167.06</v>
      </c>
    </row>
    <row r="75" spans="1:12" ht="61.2" x14ac:dyDescent="0.3">
      <c r="A75" s="155" t="s">
        <v>25</v>
      </c>
      <c r="B75" s="156" t="s">
        <v>729</v>
      </c>
      <c r="C75" s="156" t="s">
        <v>727</v>
      </c>
      <c r="D75" s="156" t="s">
        <v>744</v>
      </c>
      <c r="E75" s="157" t="s">
        <v>29</v>
      </c>
      <c r="F75" s="162" t="s">
        <v>24</v>
      </c>
      <c r="G75" s="162"/>
      <c r="H75" s="157" t="s">
        <v>22</v>
      </c>
      <c r="I75" s="163">
        <v>6901.22</v>
      </c>
      <c r="J75" s="163"/>
      <c r="K75" s="160" t="s">
        <v>17</v>
      </c>
      <c r="L75" s="161">
        <v>751265.84</v>
      </c>
    </row>
    <row r="76" spans="1:12" ht="61.2" x14ac:dyDescent="0.3">
      <c r="A76" s="155" t="s">
        <v>25</v>
      </c>
      <c r="B76" s="156" t="s">
        <v>729</v>
      </c>
      <c r="C76" s="156" t="s">
        <v>727</v>
      </c>
      <c r="D76" s="156" t="s">
        <v>745</v>
      </c>
      <c r="E76" s="157" t="s">
        <v>29</v>
      </c>
      <c r="F76" s="162" t="s">
        <v>24</v>
      </c>
      <c r="G76" s="162"/>
      <c r="H76" s="157" t="s">
        <v>22</v>
      </c>
      <c r="I76" s="165">
        <v>348.1</v>
      </c>
      <c r="J76" s="165"/>
      <c r="K76" s="160" t="s">
        <v>17</v>
      </c>
      <c r="L76" s="161">
        <v>750917.74</v>
      </c>
    </row>
    <row r="77" spans="1:12" ht="61.2" x14ac:dyDescent="0.3">
      <c r="A77" s="155" t="s">
        <v>25</v>
      </c>
      <c r="B77" s="156" t="s">
        <v>729</v>
      </c>
      <c r="C77" s="156" t="s">
        <v>727</v>
      </c>
      <c r="D77" s="156" t="s">
        <v>746</v>
      </c>
      <c r="E77" s="157" t="s">
        <v>29</v>
      </c>
      <c r="F77" s="162" t="s">
        <v>24</v>
      </c>
      <c r="G77" s="162"/>
      <c r="H77" s="157" t="s">
        <v>22</v>
      </c>
      <c r="I77" s="163">
        <v>12601.01</v>
      </c>
      <c r="J77" s="163"/>
      <c r="K77" s="160" t="s">
        <v>17</v>
      </c>
      <c r="L77" s="161">
        <v>738316.73</v>
      </c>
    </row>
    <row r="78" spans="1:12" ht="61.2" x14ac:dyDescent="0.3">
      <c r="A78" s="155" t="s">
        <v>25</v>
      </c>
      <c r="B78" s="156" t="s">
        <v>729</v>
      </c>
      <c r="C78" s="156" t="s">
        <v>727</v>
      </c>
      <c r="D78" s="156" t="s">
        <v>747</v>
      </c>
      <c r="E78" s="157" t="s">
        <v>29</v>
      </c>
      <c r="F78" s="162" t="s">
        <v>24</v>
      </c>
      <c r="G78" s="162"/>
      <c r="H78" s="157" t="s">
        <v>22</v>
      </c>
      <c r="I78" s="163">
        <v>5823.2</v>
      </c>
      <c r="J78" s="163"/>
      <c r="K78" s="160" t="s">
        <v>17</v>
      </c>
      <c r="L78" s="161">
        <v>732493.53</v>
      </c>
    </row>
    <row r="79" spans="1:12" ht="61.2" x14ac:dyDescent="0.3">
      <c r="A79" s="155" t="s">
        <v>25</v>
      </c>
      <c r="B79" s="156" t="s">
        <v>729</v>
      </c>
      <c r="C79" s="156" t="s">
        <v>727</v>
      </c>
      <c r="D79" s="156" t="s">
        <v>748</v>
      </c>
      <c r="E79" s="157" t="s">
        <v>29</v>
      </c>
      <c r="F79" s="162" t="s">
        <v>24</v>
      </c>
      <c r="G79" s="162"/>
      <c r="H79" s="157" t="s">
        <v>22</v>
      </c>
      <c r="I79" s="165">
        <v>196.66</v>
      </c>
      <c r="J79" s="165"/>
      <c r="K79" s="160" t="s">
        <v>17</v>
      </c>
      <c r="L79" s="161">
        <v>732296.87</v>
      </c>
    </row>
    <row r="80" spans="1:12" ht="61.2" x14ac:dyDescent="0.3">
      <c r="A80" s="155" t="s">
        <v>25</v>
      </c>
      <c r="B80" s="156" t="s">
        <v>729</v>
      </c>
      <c r="C80" s="156" t="s">
        <v>727</v>
      </c>
      <c r="D80" s="156" t="s">
        <v>749</v>
      </c>
      <c r="E80" s="157" t="s">
        <v>29</v>
      </c>
      <c r="F80" s="162" t="s">
        <v>24</v>
      </c>
      <c r="G80" s="162"/>
      <c r="H80" s="157" t="s">
        <v>22</v>
      </c>
      <c r="I80" s="163">
        <v>3701.93</v>
      </c>
      <c r="J80" s="163"/>
      <c r="K80" s="160" t="s">
        <v>17</v>
      </c>
      <c r="L80" s="161">
        <v>728594.94</v>
      </c>
    </row>
    <row r="81" spans="1:12" ht="61.2" x14ac:dyDescent="0.3">
      <c r="A81" s="155" t="s">
        <v>25</v>
      </c>
      <c r="B81" s="156" t="s">
        <v>729</v>
      </c>
      <c r="C81" s="156" t="s">
        <v>727</v>
      </c>
      <c r="D81" s="156" t="s">
        <v>750</v>
      </c>
      <c r="E81" s="157" t="s">
        <v>29</v>
      </c>
      <c r="F81" s="162" t="s">
        <v>24</v>
      </c>
      <c r="G81" s="162"/>
      <c r="H81" s="157" t="s">
        <v>22</v>
      </c>
      <c r="I81" s="163">
        <v>1043.6099999999999</v>
      </c>
      <c r="J81" s="163"/>
      <c r="K81" s="160" t="s">
        <v>17</v>
      </c>
      <c r="L81" s="161">
        <v>727551.33</v>
      </c>
    </row>
    <row r="82" spans="1:12" ht="71.400000000000006" x14ac:dyDescent="0.3">
      <c r="A82" s="155" t="s">
        <v>25</v>
      </c>
      <c r="B82" s="156" t="s">
        <v>729</v>
      </c>
      <c r="C82" s="156" t="s">
        <v>727</v>
      </c>
      <c r="D82" s="156" t="s">
        <v>751</v>
      </c>
      <c r="E82" s="157" t="s">
        <v>29</v>
      </c>
      <c r="F82" s="162" t="s">
        <v>24</v>
      </c>
      <c r="G82" s="162"/>
      <c r="H82" s="157" t="s">
        <v>22</v>
      </c>
      <c r="I82" s="163">
        <v>166199.73000000001</v>
      </c>
      <c r="J82" s="163"/>
      <c r="K82" s="160" t="s">
        <v>17</v>
      </c>
      <c r="L82" s="161">
        <v>561351.6</v>
      </c>
    </row>
    <row r="83" spans="1:12" ht="71.400000000000006" x14ac:dyDescent="0.3">
      <c r="A83" s="155" t="s">
        <v>25</v>
      </c>
      <c r="B83" s="156" t="s">
        <v>729</v>
      </c>
      <c r="C83" s="156" t="s">
        <v>727</v>
      </c>
      <c r="D83" s="156" t="s">
        <v>730</v>
      </c>
      <c r="E83" s="157" t="s">
        <v>29</v>
      </c>
      <c r="F83" s="162" t="s">
        <v>24</v>
      </c>
      <c r="G83" s="162"/>
      <c r="H83" s="157" t="s">
        <v>22</v>
      </c>
      <c r="I83" s="163">
        <v>20703</v>
      </c>
      <c r="J83" s="163"/>
      <c r="K83" s="160" t="s">
        <v>17</v>
      </c>
      <c r="L83" s="161">
        <v>540648.6</v>
      </c>
    </row>
    <row r="84" spans="1:12" ht="71.400000000000006" x14ac:dyDescent="0.3">
      <c r="A84" s="155" t="s">
        <v>25</v>
      </c>
      <c r="B84" s="156" t="s">
        <v>729</v>
      </c>
      <c r="C84" s="156" t="s">
        <v>727</v>
      </c>
      <c r="D84" s="156" t="s">
        <v>725</v>
      </c>
      <c r="E84" s="157" t="s">
        <v>29</v>
      </c>
      <c r="F84" s="162" t="s">
        <v>24</v>
      </c>
      <c r="G84" s="162"/>
      <c r="H84" s="157" t="s">
        <v>22</v>
      </c>
      <c r="I84" s="163">
        <v>95945</v>
      </c>
      <c r="J84" s="163"/>
      <c r="K84" s="160" t="s">
        <v>17</v>
      </c>
      <c r="L84" s="161">
        <v>444703.6</v>
      </c>
    </row>
    <row r="85" spans="1:12" ht="61.2" x14ac:dyDescent="0.3">
      <c r="A85" s="155" t="s">
        <v>25</v>
      </c>
      <c r="B85" s="156" t="s">
        <v>729</v>
      </c>
      <c r="C85" s="156" t="s">
        <v>727</v>
      </c>
      <c r="D85" s="156" t="s">
        <v>752</v>
      </c>
      <c r="E85" s="157" t="s">
        <v>29</v>
      </c>
      <c r="F85" s="162" t="s">
        <v>24</v>
      </c>
      <c r="G85" s="162"/>
      <c r="H85" s="157" t="s">
        <v>22</v>
      </c>
      <c r="I85" s="163">
        <v>1388.9</v>
      </c>
      <c r="J85" s="163"/>
      <c r="K85" s="160" t="s">
        <v>17</v>
      </c>
      <c r="L85" s="161">
        <v>443314.7</v>
      </c>
    </row>
    <row r="86" spans="1:12" ht="71.400000000000006" x14ac:dyDescent="0.3">
      <c r="A86" s="155" t="s">
        <v>25</v>
      </c>
      <c r="B86" s="156" t="s">
        <v>729</v>
      </c>
      <c r="C86" s="156" t="s">
        <v>727</v>
      </c>
      <c r="D86" s="156" t="s">
        <v>753</v>
      </c>
      <c r="E86" s="157" t="s">
        <v>29</v>
      </c>
      <c r="F86" s="162" t="s">
        <v>24</v>
      </c>
      <c r="G86" s="162"/>
      <c r="H86" s="157" t="s">
        <v>22</v>
      </c>
      <c r="I86" s="165">
        <v>866.32</v>
      </c>
      <c r="J86" s="165"/>
      <c r="K86" s="160" t="s">
        <v>17</v>
      </c>
      <c r="L86" s="161">
        <v>442448.38</v>
      </c>
    </row>
    <row r="87" spans="1:12" ht="61.2" x14ac:dyDescent="0.3">
      <c r="A87" s="155" t="s">
        <v>25</v>
      </c>
      <c r="B87" s="156" t="s">
        <v>729</v>
      </c>
      <c r="C87" s="156" t="s">
        <v>727</v>
      </c>
      <c r="D87" s="156" t="s">
        <v>754</v>
      </c>
      <c r="E87" s="157" t="s">
        <v>29</v>
      </c>
      <c r="F87" s="162" t="s">
        <v>24</v>
      </c>
      <c r="G87" s="162"/>
      <c r="H87" s="157" t="s">
        <v>22</v>
      </c>
      <c r="I87" s="165">
        <v>872.44</v>
      </c>
      <c r="J87" s="165"/>
      <c r="K87" s="160" t="s">
        <v>17</v>
      </c>
      <c r="L87" s="161">
        <v>441575.94</v>
      </c>
    </row>
    <row r="88" spans="1:12" ht="71.400000000000006" x14ac:dyDescent="0.3">
      <c r="A88" s="155" t="s">
        <v>25</v>
      </c>
      <c r="B88" s="156" t="s">
        <v>729</v>
      </c>
      <c r="C88" s="156" t="s">
        <v>727</v>
      </c>
      <c r="D88" s="156" t="s">
        <v>755</v>
      </c>
      <c r="E88" s="157" t="s">
        <v>29</v>
      </c>
      <c r="F88" s="162" t="s">
        <v>24</v>
      </c>
      <c r="G88" s="162"/>
      <c r="H88" s="157" t="s">
        <v>22</v>
      </c>
      <c r="I88" s="163">
        <v>3130.4</v>
      </c>
      <c r="J88" s="163"/>
      <c r="K88" s="160" t="s">
        <v>17</v>
      </c>
      <c r="L88" s="161">
        <v>438445.54</v>
      </c>
    </row>
    <row r="89" spans="1:12" ht="71.400000000000006" x14ac:dyDescent="0.3">
      <c r="A89" s="155" t="s">
        <v>25</v>
      </c>
      <c r="B89" s="156" t="s">
        <v>729</v>
      </c>
      <c r="C89" s="156" t="s">
        <v>727</v>
      </c>
      <c r="D89" s="156" t="s">
        <v>756</v>
      </c>
      <c r="E89" s="157" t="s">
        <v>29</v>
      </c>
      <c r="F89" s="162" t="s">
        <v>24</v>
      </c>
      <c r="G89" s="162"/>
      <c r="H89" s="157" t="s">
        <v>22</v>
      </c>
      <c r="I89" s="163">
        <v>1160</v>
      </c>
      <c r="J89" s="163"/>
      <c r="K89" s="160" t="s">
        <v>17</v>
      </c>
      <c r="L89" s="161">
        <v>437285.54</v>
      </c>
    </row>
    <row r="90" spans="1:12" hidden="1" x14ac:dyDescent="0.3">
      <c r="A90" s="166" t="s">
        <v>47</v>
      </c>
      <c r="B90" s="166"/>
      <c r="C90" s="166"/>
      <c r="D90" s="166"/>
      <c r="E90" s="167">
        <v>472993.66</v>
      </c>
      <c r="F90" s="167"/>
      <c r="G90" s="167"/>
      <c r="H90" s="167">
        <v>565058.65</v>
      </c>
      <c r="I90" s="167"/>
      <c r="J90" s="167"/>
      <c r="K90" s="168" t="s">
        <v>17</v>
      </c>
      <c r="L90" s="169">
        <v>437285.54</v>
      </c>
    </row>
    <row r="92" spans="1:12" x14ac:dyDescent="0.3">
      <c r="J92" s="29">
        <f>SUBTOTAL(9,I14:J89)*1.2</f>
        <v>638686.47599999979</v>
      </c>
    </row>
  </sheetData>
  <autoFilter ref="B1:D90">
    <filterColumn colId="0">
      <filters>
        <filter val="Вимога-накладна ІБ00-000068 від 05.02.2025 18:15:26_x000a_Списаны ТМЦ"/>
        <filter val="Вимога-накладна ІБ00-000069 від 05.02.2025 18:15:29_x000a_Списаны ТМЦ"/>
        <filter val="Вимога-накладна ІБ00-000147 від 28.02.2025 20:00:00_x000a_Списаны ТМЦ"/>
        <filter val="Вимога-накладна ІБ00-000149 від 28.02.2025 20:00:00_x000a_Списаны ТМЦ"/>
        <filter val="Списання товарів ІБ00-000060 від 05.02.2025 00:00:00_x000a_Списаны ТМЦ"/>
        <filter val="Списання товарів ІБ00-000076 від 20.02.2025 00:00:00_x000a_Списаны ТМЦ"/>
      </filters>
    </filterColumn>
  </autoFilter>
  <mergeCells count="186">
    <mergeCell ref="F88:G88"/>
    <mergeCell ref="I88:J88"/>
    <mergeCell ref="F89:G89"/>
    <mergeCell ref="I89:J89"/>
    <mergeCell ref="A90:D90"/>
    <mergeCell ref="E90:G90"/>
    <mergeCell ref="H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8"/>
  <sheetViews>
    <sheetView topLeftCell="A22" workbookViewId="0">
      <selection activeCell="J28" sqref="J28"/>
    </sheetView>
  </sheetViews>
  <sheetFormatPr defaultRowHeight="14.4" x14ac:dyDescent="0.3"/>
  <cols>
    <col min="2" max="4" width="18.5546875" customWidth="1"/>
  </cols>
  <sheetData>
    <row r="1" spans="1:12" x14ac:dyDescent="0.3">
      <c r="A1" s="170" t="s">
        <v>9</v>
      </c>
      <c r="B1" s="171" t="s">
        <v>10</v>
      </c>
      <c r="C1" s="171" t="s">
        <v>11</v>
      </c>
      <c r="D1" s="172" t="s">
        <v>12</v>
      </c>
      <c r="E1" s="173" t="s">
        <v>13</v>
      </c>
      <c r="F1" s="173"/>
      <c r="G1" s="173"/>
      <c r="H1" s="174" t="s">
        <v>14</v>
      </c>
      <c r="I1" s="174"/>
      <c r="J1" s="174"/>
      <c r="K1" s="171" t="s">
        <v>15</v>
      </c>
      <c r="L1" s="171"/>
    </row>
    <row r="2" spans="1:12" hidden="1" x14ac:dyDescent="0.3">
      <c r="A2" s="175"/>
      <c r="B2" s="176"/>
      <c r="C2" s="176"/>
      <c r="D2" s="177"/>
      <c r="E2" s="178" t="s">
        <v>16</v>
      </c>
      <c r="F2" s="179"/>
      <c r="G2" s="179"/>
      <c r="H2" s="180" t="s">
        <v>16</v>
      </c>
      <c r="I2" s="181"/>
      <c r="J2" s="181"/>
      <c r="K2" s="175"/>
      <c r="L2" s="182"/>
    </row>
    <row r="3" spans="1:12" ht="81.599999999999994" hidden="1" x14ac:dyDescent="0.3">
      <c r="A3" s="183" t="s">
        <v>141</v>
      </c>
      <c r="B3" s="184" t="s">
        <v>660</v>
      </c>
      <c r="C3" s="184" t="s">
        <v>661</v>
      </c>
      <c r="D3" s="184" t="s">
        <v>662</v>
      </c>
      <c r="E3" s="185" t="s">
        <v>22</v>
      </c>
      <c r="F3" s="186" t="s">
        <v>24</v>
      </c>
      <c r="G3" s="186"/>
      <c r="H3" s="185" t="s">
        <v>22</v>
      </c>
      <c r="I3" s="187">
        <v>11554</v>
      </c>
      <c r="J3" s="187"/>
      <c r="K3" s="188" t="s">
        <v>17</v>
      </c>
      <c r="L3" s="189">
        <v>49789.71</v>
      </c>
    </row>
    <row r="4" spans="1:12" ht="81.599999999999994" hidden="1" x14ac:dyDescent="0.3">
      <c r="A4" s="183" t="s">
        <v>141</v>
      </c>
      <c r="B4" s="184" t="s">
        <v>660</v>
      </c>
      <c r="C4" s="184" t="s">
        <v>663</v>
      </c>
      <c r="D4" s="184" t="s">
        <v>664</v>
      </c>
      <c r="E4" s="185" t="s">
        <v>22</v>
      </c>
      <c r="F4" s="186" t="s">
        <v>24</v>
      </c>
      <c r="G4" s="186"/>
      <c r="H4" s="185" t="s">
        <v>22</v>
      </c>
      <c r="I4" s="187">
        <v>2504.1799999999998</v>
      </c>
      <c r="J4" s="187"/>
      <c r="K4" s="188" t="s">
        <v>17</v>
      </c>
      <c r="L4" s="189">
        <v>47285.53</v>
      </c>
    </row>
    <row r="5" spans="1:12" ht="71.400000000000006" hidden="1" x14ac:dyDescent="0.3">
      <c r="A5" s="183" t="s">
        <v>141</v>
      </c>
      <c r="B5" s="184" t="s">
        <v>665</v>
      </c>
      <c r="C5" s="184" t="s">
        <v>666</v>
      </c>
      <c r="D5" s="184" t="s">
        <v>667</v>
      </c>
      <c r="E5" s="185" t="s">
        <v>22</v>
      </c>
      <c r="F5" s="190">
        <v>20275.5</v>
      </c>
      <c r="G5" s="190"/>
      <c r="H5" s="185" t="s">
        <v>22</v>
      </c>
      <c r="I5" s="191" t="s">
        <v>24</v>
      </c>
      <c r="J5" s="191"/>
      <c r="K5" s="188" t="s">
        <v>17</v>
      </c>
      <c r="L5" s="189">
        <v>67561.03</v>
      </c>
    </row>
    <row r="6" spans="1:12" ht="71.400000000000006" hidden="1" x14ac:dyDescent="0.3">
      <c r="A6" s="183" t="s">
        <v>141</v>
      </c>
      <c r="B6" s="184" t="s">
        <v>665</v>
      </c>
      <c r="C6" s="184" t="s">
        <v>668</v>
      </c>
      <c r="D6" s="184" t="s">
        <v>669</v>
      </c>
      <c r="E6" s="185" t="s">
        <v>22</v>
      </c>
      <c r="F6" s="190">
        <v>11501</v>
      </c>
      <c r="G6" s="190"/>
      <c r="H6" s="185" t="s">
        <v>22</v>
      </c>
      <c r="I6" s="191" t="s">
        <v>24</v>
      </c>
      <c r="J6" s="191"/>
      <c r="K6" s="188" t="s">
        <v>17</v>
      </c>
      <c r="L6" s="189">
        <v>79062.03</v>
      </c>
    </row>
    <row r="7" spans="1:12" ht="81.599999999999994" hidden="1" x14ac:dyDescent="0.3">
      <c r="A7" s="183" t="s">
        <v>48</v>
      </c>
      <c r="B7" s="184" t="s">
        <v>757</v>
      </c>
      <c r="C7" s="184" t="s">
        <v>758</v>
      </c>
      <c r="D7" s="184" t="s">
        <v>759</v>
      </c>
      <c r="E7" s="185" t="s">
        <v>22</v>
      </c>
      <c r="F7" s="192">
        <v>568.89</v>
      </c>
      <c r="G7" s="192"/>
      <c r="H7" s="185" t="s">
        <v>23</v>
      </c>
      <c r="I7" s="191" t="s">
        <v>24</v>
      </c>
      <c r="J7" s="191"/>
      <c r="K7" s="188" t="s">
        <v>17</v>
      </c>
      <c r="L7" s="189">
        <v>79630.92</v>
      </c>
    </row>
    <row r="8" spans="1:12" ht="81.599999999999994" x14ac:dyDescent="0.3">
      <c r="A8" s="183" t="s">
        <v>699</v>
      </c>
      <c r="B8" s="184" t="s">
        <v>760</v>
      </c>
      <c r="C8" s="184" t="s">
        <v>27</v>
      </c>
      <c r="D8" s="184" t="s">
        <v>761</v>
      </c>
      <c r="E8" s="185" t="s">
        <v>29</v>
      </c>
      <c r="F8" s="186" t="s">
        <v>24</v>
      </c>
      <c r="G8" s="186"/>
      <c r="H8" s="185" t="s">
        <v>22</v>
      </c>
      <c r="I8" s="193">
        <v>97.55</v>
      </c>
      <c r="J8" s="193"/>
      <c r="K8" s="188" t="s">
        <v>17</v>
      </c>
      <c r="L8" s="189">
        <v>79533.37</v>
      </c>
    </row>
    <row r="9" spans="1:12" ht="81.599999999999994" x14ac:dyDescent="0.3">
      <c r="A9" s="183" t="s">
        <v>699</v>
      </c>
      <c r="B9" s="184" t="s">
        <v>760</v>
      </c>
      <c r="C9" s="184" t="s">
        <v>27</v>
      </c>
      <c r="D9" s="184" t="s">
        <v>762</v>
      </c>
      <c r="E9" s="185" t="s">
        <v>29</v>
      </c>
      <c r="F9" s="186" t="s">
        <v>24</v>
      </c>
      <c r="G9" s="186"/>
      <c r="H9" s="185" t="s">
        <v>22</v>
      </c>
      <c r="I9" s="193">
        <v>91.25</v>
      </c>
      <c r="J9" s="193"/>
      <c r="K9" s="188" t="s">
        <v>17</v>
      </c>
      <c r="L9" s="189">
        <v>79442.12</v>
      </c>
    </row>
    <row r="10" spans="1:12" ht="71.400000000000006" x14ac:dyDescent="0.3">
      <c r="A10" s="183" t="s">
        <v>699</v>
      </c>
      <c r="B10" s="184" t="s">
        <v>760</v>
      </c>
      <c r="C10" s="184" t="s">
        <v>27</v>
      </c>
      <c r="D10" s="184" t="s">
        <v>763</v>
      </c>
      <c r="E10" s="185" t="s">
        <v>29</v>
      </c>
      <c r="F10" s="186" t="s">
        <v>24</v>
      </c>
      <c r="G10" s="186"/>
      <c r="H10" s="185" t="s">
        <v>22</v>
      </c>
      <c r="I10" s="193">
        <v>77</v>
      </c>
      <c r="J10" s="193"/>
      <c r="K10" s="188" t="s">
        <v>17</v>
      </c>
      <c r="L10" s="189">
        <v>79365.119999999995</v>
      </c>
    </row>
    <row r="11" spans="1:12" ht="81.599999999999994" x14ac:dyDescent="0.3">
      <c r="A11" s="183" t="s">
        <v>699</v>
      </c>
      <c r="B11" s="184" t="s">
        <v>760</v>
      </c>
      <c r="C11" s="184" t="s">
        <v>27</v>
      </c>
      <c r="D11" s="184" t="s">
        <v>764</v>
      </c>
      <c r="E11" s="185" t="s">
        <v>29</v>
      </c>
      <c r="F11" s="186" t="s">
        <v>24</v>
      </c>
      <c r="G11" s="186"/>
      <c r="H11" s="185" t="s">
        <v>22</v>
      </c>
      <c r="I11" s="193">
        <v>144.80000000000001</v>
      </c>
      <c r="J11" s="193"/>
      <c r="K11" s="188" t="s">
        <v>17</v>
      </c>
      <c r="L11" s="189">
        <v>79220.320000000007</v>
      </c>
    </row>
    <row r="12" spans="1:12" ht="81.599999999999994" x14ac:dyDescent="0.3">
      <c r="A12" s="183" t="s">
        <v>699</v>
      </c>
      <c r="B12" s="184" t="s">
        <v>760</v>
      </c>
      <c r="C12" s="184" t="s">
        <v>27</v>
      </c>
      <c r="D12" s="184" t="s">
        <v>758</v>
      </c>
      <c r="E12" s="185" t="s">
        <v>29</v>
      </c>
      <c r="F12" s="186" t="s">
        <v>24</v>
      </c>
      <c r="G12" s="186"/>
      <c r="H12" s="185" t="s">
        <v>22</v>
      </c>
      <c r="I12" s="193">
        <v>568.89</v>
      </c>
      <c r="J12" s="193"/>
      <c r="K12" s="188" t="s">
        <v>17</v>
      </c>
      <c r="L12" s="189">
        <v>78651.429999999993</v>
      </c>
    </row>
    <row r="13" spans="1:12" ht="71.400000000000006" x14ac:dyDescent="0.3">
      <c r="A13" s="183" t="s">
        <v>699</v>
      </c>
      <c r="B13" s="184" t="s">
        <v>765</v>
      </c>
      <c r="C13" s="184" t="s">
        <v>27</v>
      </c>
      <c r="D13" s="184" t="s">
        <v>766</v>
      </c>
      <c r="E13" s="185" t="s">
        <v>29</v>
      </c>
      <c r="F13" s="186" t="s">
        <v>24</v>
      </c>
      <c r="G13" s="186"/>
      <c r="H13" s="185" t="s">
        <v>22</v>
      </c>
      <c r="I13" s="193">
        <v>607.24</v>
      </c>
      <c r="J13" s="193"/>
      <c r="K13" s="188" t="s">
        <v>17</v>
      </c>
      <c r="L13" s="189">
        <v>78044.19</v>
      </c>
    </row>
    <row r="14" spans="1:12" ht="81.599999999999994" x14ac:dyDescent="0.3">
      <c r="A14" s="183" t="s">
        <v>699</v>
      </c>
      <c r="B14" s="184" t="s">
        <v>765</v>
      </c>
      <c r="C14" s="184" t="s">
        <v>27</v>
      </c>
      <c r="D14" s="184" t="s">
        <v>767</v>
      </c>
      <c r="E14" s="185" t="s">
        <v>29</v>
      </c>
      <c r="F14" s="186" t="s">
        <v>24</v>
      </c>
      <c r="G14" s="186"/>
      <c r="H14" s="185" t="s">
        <v>22</v>
      </c>
      <c r="I14" s="193">
        <v>362.58</v>
      </c>
      <c r="J14" s="193"/>
      <c r="K14" s="188" t="s">
        <v>17</v>
      </c>
      <c r="L14" s="189">
        <v>77681.61</v>
      </c>
    </row>
    <row r="15" spans="1:12" ht="71.400000000000006" x14ac:dyDescent="0.3">
      <c r="A15" s="183" t="s">
        <v>699</v>
      </c>
      <c r="B15" s="184" t="s">
        <v>765</v>
      </c>
      <c r="C15" s="184" t="s">
        <v>27</v>
      </c>
      <c r="D15" s="184" t="s">
        <v>768</v>
      </c>
      <c r="E15" s="185" t="s">
        <v>29</v>
      </c>
      <c r="F15" s="186" t="s">
        <v>24</v>
      </c>
      <c r="G15" s="186"/>
      <c r="H15" s="185" t="s">
        <v>22</v>
      </c>
      <c r="I15" s="193">
        <v>298.62</v>
      </c>
      <c r="J15" s="193"/>
      <c r="K15" s="188" t="s">
        <v>17</v>
      </c>
      <c r="L15" s="189">
        <v>77382.990000000005</v>
      </c>
    </row>
    <row r="16" spans="1:12" ht="81.599999999999994" x14ac:dyDescent="0.3">
      <c r="A16" s="183" t="s">
        <v>699</v>
      </c>
      <c r="B16" s="184" t="s">
        <v>765</v>
      </c>
      <c r="C16" s="184" t="s">
        <v>27</v>
      </c>
      <c r="D16" s="184" t="s">
        <v>769</v>
      </c>
      <c r="E16" s="185" t="s">
        <v>29</v>
      </c>
      <c r="F16" s="186" t="s">
        <v>24</v>
      </c>
      <c r="G16" s="186"/>
      <c r="H16" s="185" t="s">
        <v>22</v>
      </c>
      <c r="I16" s="193">
        <v>209.6</v>
      </c>
      <c r="J16" s="193"/>
      <c r="K16" s="188" t="s">
        <v>17</v>
      </c>
      <c r="L16" s="189">
        <v>77173.39</v>
      </c>
    </row>
    <row r="17" spans="1:12" ht="71.400000000000006" x14ac:dyDescent="0.3">
      <c r="A17" s="183" t="s">
        <v>699</v>
      </c>
      <c r="B17" s="184" t="s">
        <v>765</v>
      </c>
      <c r="C17" s="184" t="s">
        <v>27</v>
      </c>
      <c r="D17" s="184" t="s">
        <v>770</v>
      </c>
      <c r="E17" s="185" t="s">
        <v>29</v>
      </c>
      <c r="F17" s="186" t="s">
        <v>24</v>
      </c>
      <c r="G17" s="186"/>
      <c r="H17" s="185" t="s">
        <v>22</v>
      </c>
      <c r="I17" s="193">
        <v>552.9</v>
      </c>
      <c r="J17" s="193"/>
      <c r="K17" s="188" t="s">
        <v>17</v>
      </c>
      <c r="L17" s="189">
        <v>76620.490000000005</v>
      </c>
    </row>
    <row r="18" spans="1:12" ht="71.400000000000006" x14ac:dyDescent="0.3">
      <c r="A18" s="183" t="s">
        <v>699</v>
      </c>
      <c r="B18" s="184" t="s">
        <v>765</v>
      </c>
      <c r="C18" s="184" t="s">
        <v>27</v>
      </c>
      <c r="D18" s="184" t="s">
        <v>771</v>
      </c>
      <c r="E18" s="185" t="s">
        <v>29</v>
      </c>
      <c r="F18" s="186" t="s">
        <v>24</v>
      </c>
      <c r="G18" s="186"/>
      <c r="H18" s="185" t="s">
        <v>22</v>
      </c>
      <c r="I18" s="193">
        <v>254.54</v>
      </c>
      <c r="J18" s="193"/>
      <c r="K18" s="188" t="s">
        <v>17</v>
      </c>
      <c r="L18" s="189">
        <v>76365.95</v>
      </c>
    </row>
    <row r="19" spans="1:12" ht="81.599999999999994" x14ac:dyDescent="0.3">
      <c r="A19" s="183" t="s">
        <v>699</v>
      </c>
      <c r="B19" s="184" t="s">
        <v>772</v>
      </c>
      <c r="C19" s="184" t="s">
        <v>27</v>
      </c>
      <c r="D19" s="184" t="s">
        <v>664</v>
      </c>
      <c r="E19" s="185" t="s">
        <v>29</v>
      </c>
      <c r="F19" s="186" t="s">
        <v>24</v>
      </c>
      <c r="G19" s="186"/>
      <c r="H19" s="185" t="s">
        <v>22</v>
      </c>
      <c r="I19" s="187">
        <v>5517.68</v>
      </c>
      <c r="J19" s="187"/>
      <c r="K19" s="188" t="s">
        <v>17</v>
      </c>
      <c r="L19" s="189">
        <v>70848.27</v>
      </c>
    </row>
    <row r="20" spans="1:12" ht="81.599999999999994" x14ac:dyDescent="0.3">
      <c r="A20" s="183" t="s">
        <v>699</v>
      </c>
      <c r="B20" s="184" t="s">
        <v>772</v>
      </c>
      <c r="C20" s="184" t="s">
        <v>27</v>
      </c>
      <c r="D20" s="184" t="s">
        <v>664</v>
      </c>
      <c r="E20" s="185" t="s">
        <v>29</v>
      </c>
      <c r="F20" s="186" t="s">
        <v>24</v>
      </c>
      <c r="G20" s="186"/>
      <c r="H20" s="185" t="s">
        <v>22</v>
      </c>
      <c r="I20" s="187">
        <v>14897.73</v>
      </c>
      <c r="J20" s="187"/>
      <c r="K20" s="188" t="s">
        <v>17</v>
      </c>
      <c r="L20" s="189">
        <v>55950.54</v>
      </c>
    </row>
    <row r="21" spans="1:12" ht="81.599999999999994" x14ac:dyDescent="0.3">
      <c r="A21" s="183" t="s">
        <v>699</v>
      </c>
      <c r="B21" s="184" t="s">
        <v>772</v>
      </c>
      <c r="C21" s="184" t="s">
        <v>27</v>
      </c>
      <c r="D21" s="184" t="s">
        <v>773</v>
      </c>
      <c r="E21" s="185" t="s">
        <v>29</v>
      </c>
      <c r="F21" s="186" t="s">
        <v>24</v>
      </c>
      <c r="G21" s="186"/>
      <c r="H21" s="185" t="s">
        <v>22</v>
      </c>
      <c r="I21" s="187">
        <v>4981.49</v>
      </c>
      <c r="J21" s="187"/>
      <c r="K21" s="188" t="s">
        <v>17</v>
      </c>
      <c r="L21" s="189">
        <v>50969.05</v>
      </c>
    </row>
    <row r="22" spans="1:12" ht="71.400000000000006" x14ac:dyDescent="0.3">
      <c r="A22" s="183" t="s">
        <v>699</v>
      </c>
      <c r="B22" s="184" t="s">
        <v>774</v>
      </c>
      <c r="C22" s="184" t="s">
        <v>27</v>
      </c>
      <c r="D22" s="184" t="s">
        <v>666</v>
      </c>
      <c r="E22" s="185" t="s">
        <v>29</v>
      </c>
      <c r="F22" s="186" t="s">
        <v>24</v>
      </c>
      <c r="G22" s="186"/>
      <c r="H22" s="185" t="s">
        <v>22</v>
      </c>
      <c r="I22" s="187">
        <v>20275.5</v>
      </c>
      <c r="J22" s="187"/>
      <c r="K22" s="188" t="s">
        <v>17</v>
      </c>
      <c r="L22" s="189">
        <v>30693.55</v>
      </c>
    </row>
    <row r="23" spans="1:12" ht="71.400000000000006" x14ac:dyDescent="0.3">
      <c r="A23" s="183" t="s">
        <v>699</v>
      </c>
      <c r="B23" s="184" t="s">
        <v>774</v>
      </c>
      <c r="C23" s="184" t="s">
        <v>27</v>
      </c>
      <c r="D23" s="184" t="s">
        <v>668</v>
      </c>
      <c r="E23" s="185" t="s">
        <v>29</v>
      </c>
      <c r="F23" s="186" t="s">
        <v>24</v>
      </c>
      <c r="G23" s="186"/>
      <c r="H23" s="185" t="s">
        <v>22</v>
      </c>
      <c r="I23" s="187">
        <v>11501</v>
      </c>
      <c r="J23" s="187"/>
      <c r="K23" s="188" t="s">
        <v>17</v>
      </c>
      <c r="L23" s="189">
        <v>19192.55</v>
      </c>
    </row>
    <row r="24" spans="1:12" ht="81.599999999999994" x14ac:dyDescent="0.3">
      <c r="A24" s="183" t="s">
        <v>699</v>
      </c>
      <c r="B24" s="184" t="s">
        <v>775</v>
      </c>
      <c r="C24" s="184" t="s">
        <v>27</v>
      </c>
      <c r="D24" s="184" t="s">
        <v>776</v>
      </c>
      <c r="E24" s="185" t="s">
        <v>29</v>
      </c>
      <c r="F24" s="186" t="s">
        <v>24</v>
      </c>
      <c r="G24" s="186"/>
      <c r="H24" s="185" t="s">
        <v>22</v>
      </c>
      <c r="I24" s="187">
        <v>2133</v>
      </c>
      <c r="J24" s="187"/>
      <c r="K24" s="188" t="s">
        <v>17</v>
      </c>
      <c r="L24" s="189">
        <v>17059.55</v>
      </c>
    </row>
    <row r="25" spans="1:12" ht="81.599999999999994" x14ac:dyDescent="0.3">
      <c r="A25" s="183" t="s">
        <v>699</v>
      </c>
      <c r="B25" s="184" t="s">
        <v>775</v>
      </c>
      <c r="C25" s="184" t="s">
        <v>27</v>
      </c>
      <c r="D25" s="184" t="s">
        <v>777</v>
      </c>
      <c r="E25" s="185" t="s">
        <v>29</v>
      </c>
      <c r="F25" s="186" t="s">
        <v>24</v>
      </c>
      <c r="G25" s="186"/>
      <c r="H25" s="185" t="s">
        <v>22</v>
      </c>
      <c r="I25" s="187">
        <v>2457.33</v>
      </c>
      <c r="J25" s="187"/>
      <c r="K25" s="188" t="s">
        <v>17</v>
      </c>
      <c r="L25" s="189">
        <v>14602.22</v>
      </c>
    </row>
    <row r="26" spans="1:12" hidden="1" x14ac:dyDescent="0.3">
      <c r="A26" s="194" t="s">
        <v>47</v>
      </c>
      <c r="B26" s="194"/>
      <c r="C26" s="194"/>
      <c r="D26" s="194"/>
      <c r="E26" s="195">
        <v>32345.39</v>
      </c>
      <c r="F26" s="195"/>
      <c r="G26" s="195"/>
      <c r="H26" s="195">
        <v>79086.880000000005</v>
      </c>
      <c r="I26" s="195"/>
      <c r="J26" s="195"/>
      <c r="K26" s="196" t="s">
        <v>17</v>
      </c>
      <c r="L26" s="197">
        <v>14602.22</v>
      </c>
    </row>
    <row r="28" spans="1:12" x14ac:dyDescent="0.3">
      <c r="J28" s="29">
        <f>SUBTOTAL(9,I8:J25)*1.2</f>
        <v>78034.439999999988</v>
      </c>
    </row>
  </sheetData>
  <autoFilter ref="B1:D26">
    <filterColumn colId="0">
      <filters>
        <filter val="Вимога-накладна ІБ00-000083 від 20.02.2025 10:00:00_x000a_Списаны ТМЦ"/>
        <filter val="Вимога-накладна ІБ00-000086 від 20.02.2025 18:11:03_x000a_Списаны ТМЦ"/>
        <filter val="Вимога-накладна ІБ00-000088 від 20.02.2025 18:11:04_x000a_Списаны ТМЦ"/>
        <filter val="Вимога-накладна ІБ00-000115 від 20.02.2025 00:00:00_x000a_Списаны ТМЦ"/>
        <filter val="Списання товарів ІБ00-000080 від 20.02.2025 00:00:00_x000a_Списаны ТМЦ"/>
      </filters>
    </filterColumn>
  </autoFilter>
  <mergeCells count="58">
    <mergeCell ref="F25:G25"/>
    <mergeCell ref="I25:J25"/>
    <mergeCell ref="A26:D26"/>
    <mergeCell ref="E26:G26"/>
    <mergeCell ref="H26:J26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C5" sqref="C5"/>
    </sheetView>
  </sheetViews>
  <sheetFormatPr defaultRowHeight="14.4" x14ac:dyDescent="0.3"/>
  <cols>
    <col min="1" max="1" width="8.6640625" customWidth="1"/>
    <col min="2" max="4" width="22.6640625" customWidth="1"/>
  </cols>
  <sheetData>
    <row r="1" spans="1:12" x14ac:dyDescent="0.3">
      <c r="A1" s="198" t="s">
        <v>9</v>
      </c>
      <c r="B1" s="199" t="s">
        <v>10</v>
      </c>
      <c r="C1" s="199" t="s">
        <v>11</v>
      </c>
      <c r="D1" s="200" t="s">
        <v>12</v>
      </c>
      <c r="E1" s="201" t="s">
        <v>13</v>
      </c>
      <c r="F1" s="201"/>
      <c r="G1" s="201"/>
      <c r="H1" s="202" t="s">
        <v>14</v>
      </c>
      <c r="I1" s="202"/>
      <c r="J1" s="202"/>
      <c r="K1" s="199" t="s">
        <v>15</v>
      </c>
      <c r="L1" s="199"/>
    </row>
    <row r="2" spans="1:12" x14ac:dyDescent="0.3">
      <c r="A2" s="203"/>
      <c r="B2" s="204"/>
      <c r="C2" s="204"/>
      <c r="D2" s="205"/>
      <c r="E2" s="206" t="s">
        <v>16</v>
      </c>
      <c r="F2" s="207"/>
      <c r="G2" s="207"/>
      <c r="H2" s="208" t="s">
        <v>16</v>
      </c>
      <c r="I2" s="209"/>
      <c r="J2" s="209"/>
      <c r="K2" s="203"/>
      <c r="L2" s="210"/>
    </row>
    <row r="3" spans="1:12" ht="71.400000000000006" x14ac:dyDescent="0.3">
      <c r="A3" s="211" t="s">
        <v>53</v>
      </c>
      <c r="B3" s="212" t="s">
        <v>556</v>
      </c>
      <c r="C3" s="212" t="s">
        <v>557</v>
      </c>
      <c r="D3" s="212" t="s">
        <v>553</v>
      </c>
      <c r="E3" s="213" t="s">
        <v>22</v>
      </c>
      <c r="F3" s="214">
        <v>7387.5</v>
      </c>
      <c r="G3" s="214"/>
      <c r="H3" s="213" t="s">
        <v>22</v>
      </c>
      <c r="I3" s="215" t="s">
        <v>24</v>
      </c>
      <c r="J3" s="215"/>
      <c r="K3" s="216" t="s">
        <v>17</v>
      </c>
      <c r="L3" s="217">
        <v>7387.5</v>
      </c>
    </row>
    <row r="4" spans="1:12" ht="81.599999999999994" x14ac:dyDescent="0.3">
      <c r="A4" s="211" t="s">
        <v>111</v>
      </c>
      <c r="B4" s="212" t="s">
        <v>569</v>
      </c>
      <c r="C4" s="212" t="s">
        <v>570</v>
      </c>
      <c r="D4" s="212" t="s">
        <v>559</v>
      </c>
      <c r="E4" s="213" t="s">
        <v>22</v>
      </c>
      <c r="F4" s="214">
        <v>19240</v>
      </c>
      <c r="G4" s="214"/>
      <c r="H4" s="213" t="s">
        <v>22</v>
      </c>
      <c r="I4" s="215" t="s">
        <v>24</v>
      </c>
      <c r="J4" s="215"/>
      <c r="K4" s="216" t="s">
        <v>17</v>
      </c>
      <c r="L4" s="217">
        <v>26627.5</v>
      </c>
    </row>
    <row r="5" spans="1:12" ht="81.599999999999994" x14ac:dyDescent="0.3">
      <c r="A5" s="211" t="s">
        <v>111</v>
      </c>
      <c r="B5" s="212" t="s">
        <v>569</v>
      </c>
      <c r="C5" s="212" t="s">
        <v>571</v>
      </c>
      <c r="D5" s="212" t="s">
        <v>561</v>
      </c>
      <c r="E5" s="213" t="s">
        <v>22</v>
      </c>
      <c r="F5" s="214">
        <v>7800</v>
      </c>
      <c r="G5" s="214"/>
      <c r="H5" s="213" t="s">
        <v>22</v>
      </c>
      <c r="I5" s="215" t="s">
        <v>24</v>
      </c>
      <c r="J5" s="215"/>
      <c r="K5" s="216" t="s">
        <v>17</v>
      </c>
      <c r="L5" s="217">
        <v>34427.5</v>
      </c>
    </row>
    <row r="6" spans="1:12" ht="81.599999999999994" x14ac:dyDescent="0.3">
      <c r="A6" s="211" t="s">
        <v>111</v>
      </c>
      <c r="B6" s="212" t="s">
        <v>569</v>
      </c>
      <c r="C6" s="212" t="s">
        <v>572</v>
      </c>
      <c r="D6" s="212" t="s">
        <v>562</v>
      </c>
      <c r="E6" s="213" t="s">
        <v>22</v>
      </c>
      <c r="F6" s="214">
        <v>150866.67000000001</v>
      </c>
      <c r="G6" s="214"/>
      <c r="H6" s="213" t="s">
        <v>22</v>
      </c>
      <c r="I6" s="215" t="s">
        <v>24</v>
      </c>
      <c r="J6" s="215"/>
      <c r="K6" s="216" t="s">
        <v>17</v>
      </c>
      <c r="L6" s="217">
        <v>185294.17</v>
      </c>
    </row>
    <row r="7" spans="1:12" ht="81.599999999999994" x14ac:dyDescent="0.3">
      <c r="A7" s="211" t="s">
        <v>111</v>
      </c>
      <c r="B7" s="212" t="s">
        <v>569</v>
      </c>
      <c r="C7" s="212" t="s">
        <v>573</v>
      </c>
      <c r="D7" s="212" t="s">
        <v>563</v>
      </c>
      <c r="E7" s="213" t="s">
        <v>22</v>
      </c>
      <c r="F7" s="214">
        <v>52958.33</v>
      </c>
      <c r="G7" s="214"/>
      <c r="H7" s="213" t="s">
        <v>22</v>
      </c>
      <c r="I7" s="215" t="s">
        <v>24</v>
      </c>
      <c r="J7" s="215"/>
      <c r="K7" s="216" t="s">
        <v>17</v>
      </c>
      <c r="L7" s="217">
        <v>238252.5</v>
      </c>
    </row>
    <row r="8" spans="1:12" ht="71.400000000000006" x14ac:dyDescent="0.3">
      <c r="A8" s="211" t="s">
        <v>111</v>
      </c>
      <c r="B8" s="212" t="s">
        <v>569</v>
      </c>
      <c r="C8" s="212" t="s">
        <v>574</v>
      </c>
      <c r="D8" s="212" t="s">
        <v>565</v>
      </c>
      <c r="E8" s="213" t="s">
        <v>22</v>
      </c>
      <c r="F8" s="214">
        <v>2284.92</v>
      </c>
      <c r="G8" s="214"/>
      <c r="H8" s="213" t="s">
        <v>22</v>
      </c>
      <c r="I8" s="215" t="s">
        <v>24</v>
      </c>
      <c r="J8" s="215"/>
      <c r="K8" s="216" t="s">
        <v>17</v>
      </c>
      <c r="L8" s="217">
        <v>240537.42</v>
      </c>
    </row>
    <row r="9" spans="1:12" ht="71.400000000000006" x14ac:dyDescent="0.3">
      <c r="A9" s="211" t="s">
        <v>175</v>
      </c>
      <c r="B9" s="212" t="s">
        <v>643</v>
      </c>
      <c r="C9" s="212" t="s">
        <v>644</v>
      </c>
      <c r="D9" s="212" t="s">
        <v>639</v>
      </c>
      <c r="E9" s="213" t="s">
        <v>22</v>
      </c>
      <c r="F9" s="218">
        <v>150.44999999999999</v>
      </c>
      <c r="G9" s="218"/>
      <c r="H9" s="213" t="s">
        <v>22</v>
      </c>
      <c r="I9" s="215" t="s">
        <v>24</v>
      </c>
      <c r="J9" s="215"/>
      <c r="K9" s="216" t="s">
        <v>17</v>
      </c>
      <c r="L9" s="217">
        <v>240687.87</v>
      </c>
    </row>
    <row r="10" spans="1:12" ht="71.400000000000006" x14ac:dyDescent="0.3">
      <c r="A10" s="211" t="s">
        <v>175</v>
      </c>
      <c r="B10" s="212" t="s">
        <v>643</v>
      </c>
      <c r="C10" s="212" t="s">
        <v>645</v>
      </c>
      <c r="D10" s="212" t="s">
        <v>606</v>
      </c>
      <c r="E10" s="213" t="s">
        <v>22</v>
      </c>
      <c r="F10" s="218">
        <v>198.1</v>
      </c>
      <c r="G10" s="218"/>
      <c r="H10" s="213" t="s">
        <v>22</v>
      </c>
      <c r="I10" s="215" t="s">
        <v>24</v>
      </c>
      <c r="J10" s="215"/>
      <c r="K10" s="216" t="s">
        <v>17</v>
      </c>
      <c r="L10" s="217">
        <v>240885.97</v>
      </c>
    </row>
    <row r="11" spans="1:12" ht="81.599999999999994" x14ac:dyDescent="0.3">
      <c r="A11" s="211" t="s">
        <v>25</v>
      </c>
      <c r="B11" s="212" t="s">
        <v>724</v>
      </c>
      <c r="C11" s="212" t="s">
        <v>725</v>
      </c>
      <c r="D11" s="212" t="s">
        <v>572</v>
      </c>
      <c r="E11" s="213" t="s">
        <v>22</v>
      </c>
      <c r="F11" s="219" t="s">
        <v>24</v>
      </c>
      <c r="G11" s="219"/>
      <c r="H11" s="213" t="s">
        <v>22</v>
      </c>
      <c r="I11" s="220">
        <v>95945</v>
      </c>
      <c r="J11" s="220"/>
      <c r="K11" s="216" t="s">
        <v>17</v>
      </c>
      <c r="L11" s="217">
        <v>144940.97</v>
      </c>
    </row>
    <row r="12" spans="1:12" x14ac:dyDescent="0.3">
      <c r="A12" s="221" t="s">
        <v>47</v>
      </c>
      <c r="B12" s="221"/>
      <c r="C12" s="221"/>
      <c r="D12" s="221"/>
      <c r="E12" s="222">
        <v>240885.97</v>
      </c>
      <c r="F12" s="222"/>
      <c r="G12" s="222"/>
      <c r="H12" s="222">
        <v>95945</v>
      </c>
      <c r="I12" s="222"/>
      <c r="J12" s="222"/>
      <c r="K12" s="223" t="s">
        <v>17</v>
      </c>
      <c r="L12" s="224">
        <v>144940.97</v>
      </c>
    </row>
  </sheetData>
  <autoFilter ref="B1:D2"/>
  <mergeCells count="30">
    <mergeCell ref="F10:G10"/>
    <mergeCell ref="I10:J10"/>
    <mergeCell ref="F11:G11"/>
    <mergeCell ref="I11:J11"/>
    <mergeCell ref="A12:D12"/>
    <mergeCell ref="E12:G12"/>
    <mergeCell ref="H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7"/>
  <sheetViews>
    <sheetView topLeftCell="A31" workbookViewId="0">
      <selection activeCell="J37" sqref="J37"/>
    </sheetView>
  </sheetViews>
  <sheetFormatPr defaultRowHeight="14.4" x14ac:dyDescent="0.3"/>
  <cols>
    <col min="2" max="4" width="19.88671875" customWidth="1"/>
    <col min="10" max="10" width="9.88671875" bestFit="1" customWidth="1"/>
  </cols>
  <sheetData>
    <row r="1" spans="1:12" x14ac:dyDescent="0.3">
      <c r="A1" s="226" t="s">
        <v>9</v>
      </c>
      <c r="B1" s="227" t="s">
        <v>10</v>
      </c>
      <c r="C1" s="227" t="s">
        <v>11</v>
      </c>
      <c r="D1" s="228" t="s">
        <v>12</v>
      </c>
      <c r="E1" s="229" t="s">
        <v>13</v>
      </c>
      <c r="F1" s="229"/>
      <c r="G1" s="229"/>
      <c r="H1" s="230" t="s">
        <v>14</v>
      </c>
      <c r="I1" s="230"/>
      <c r="J1" s="230"/>
      <c r="K1" s="227" t="s">
        <v>15</v>
      </c>
      <c r="L1" s="227"/>
    </row>
    <row r="2" spans="1:12" hidden="1" x14ac:dyDescent="0.3">
      <c r="A2" s="231"/>
      <c r="B2" s="232"/>
      <c r="C2" s="232"/>
      <c r="D2" s="233"/>
      <c r="E2" s="234" t="s">
        <v>16</v>
      </c>
      <c r="F2" s="235"/>
      <c r="G2" s="235"/>
      <c r="H2" s="236" t="s">
        <v>16</v>
      </c>
      <c r="I2" s="237"/>
      <c r="J2" s="237"/>
      <c r="K2" s="231"/>
      <c r="L2" s="238"/>
    </row>
    <row r="3" spans="1:12" ht="71.400000000000006" hidden="1" x14ac:dyDescent="0.3">
      <c r="A3" s="239" t="s">
        <v>141</v>
      </c>
      <c r="B3" s="240" t="s">
        <v>778</v>
      </c>
      <c r="C3" s="240" t="s">
        <v>779</v>
      </c>
      <c r="D3" s="240" t="s">
        <v>780</v>
      </c>
      <c r="E3" s="241" t="s">
        <v>22</v>
      </c>
      <c r="F3" s="242">
        <v>4510.67</v>
      </c>
      <c r="G3" s="242"/>
      <c r="H3" s="241" t="s">
        <v>22</v>
      </c>
      <c r="I3" s="243" t="s">
        <v>24</v>
      </c>
      <c r="J3" s="243"/>
      <c r="K3" s="244" t="s">
        <v>17</v>
      </c>
      <c r="L3" s="245">
        <v>4510.67</v>
      </c>
    </row>
    <row r="4" spans="1:12" ht="142.80000000000001" hidden="1" x14ac:dyDescent="0.3">
      <c r="A4" s="239" t="s">
        <v>141</v>
      </c>
      <c r="B4" s="240" t="s">
        <v>778</v>
      </c>
      <c r="C4" s="240" t="s">
        <v>781</v>
      </c>
      <c r="D4" s="240" t="s">
        <v>782</v>
      </c>
      <c r="E4" s="241" t="s">
        <v>22</v>
      </c>
      <c r="F4" s="242">
        <v>95477.16</v>
      </c>
      <c r="G4" s="242"/>
      <c r="H4" s="241" t="s">
        <v>22</v>
      </c>
      <c r="I4" s="243" t="s">
        <v>24</v>
      </c>
      <c r="J4" s="243"/>
      <c r="K4" s="244" t="s">
        <v>17</v>
      </c>
      <c r="L4" s="245">
        <v>99987.83</v>
      </c>
    </row>
    <row r="5" spans="1:12" ht="142.80000000000001" hidden="1" x14ac:dyDescent="0.3">
      <c r="A5" s="239" t="s">
        <v>141</v>
      </c>
      <c r="B5" s="240" t="s">
        <v>778</v>
      </c>
      <c r="C5" s="240" t="s">
        <v>783</v>
      </c>
      <c r="D5" s="240" t="s">
        <v>656</v>
      </c>
      <c r="E5" s="241" t="s">
        <v>22</v>
      </c>
      <c r="F5" s="242">
        <v>9476.9699999999993</v>
      </c>
      <c r="G5" s="242"/>
      <c r="H5" s="241" t="s">
        <v>22</v>
      </c>
      <c r="I5" s="243" t="s">
        <v>24</v>
      </c>
      <c r="J5" s="243"/>
      <c r="K5" s="244" t="s">
        <v>17</v>
      </c>
      <c r="L5" s="245">
        <v>109464.8</v>
      </c>
    </row>
    <row r="6" spans="1:12" ht="142.80000000000001" hidden="1" x14ac:dyDescent="0.3">
      <c r="A6" s="239" t="s">
        <v>141</v>
      </c>
      <c r="B6" s="240" t="s">
        <v>784</v>
      </c>
      <c r="C6" s="240" t="s">
        <v>783</v>
      </c>
      <c r="D6" s="240" t="s">
        <v>656</v>
      </c>
      <c r="E6" s="241" t="s">
        <v>22</v>
      </c>
      <c r="F6" s="242">
        <v>10108.82</v>
      </c>
      <c r="G6" s="242"/>
      <c r="H6" s="241" t="s">
        <v>22</v>
      </c>
      <c r="I6" s="243" t="s">
        <v>24</v>
      </c>
      <c r="J6" s="243"/>
      <c r="K6" s="244" t="s">
        <v>17</v>
      </c>
      <c r="L6" s="245">
        <v>119573.62</v>
      </c>
    </row>
    <row r="7" spans="1:12" ht="142.80000000000001" hidden="1" x14ac:dyDescent="0.3">
      <c r="A7" s="239" t="s">
        <v>141</v>
      </c>
      <c r="B7" s="240" t="s">
        <v>784</v>
      </c>
      <c r="C7" s="240" t="s">
        <v>785</v>
      </c>
      <c r="D7" s="240" t="s">
        <v>786</v>
      </c>
      <c r="E7" s="241" t="s">
        <v>22</v>
      </c>
      <c r="F7" s="242">
        <v>7356</v>
      </c>
      <c r="G7" s="242"/>
      <c r="H7" s="241" t="s">
        <v>22</v>
      </c>
      <c r="I7" s="243" t="s">
        <v>24</v>
      </c>
      <c r="J7" s="243"/>
      <c r="K7" s="244" t="s">
        <v>17</v>
      </c>
      <c r="L7" s="245">
        <v>126929.62</v>
      </c>
    </row>
    <row r="8" spans="1:12" ht="173.4" hidden="1" x14ac:dyDescent="0.3">
      <c r="A8" s="239" t="s">
        <v>141</v>
      </c>
      <c r="B8" s="240" t="s">
        <v>787</v>
      </c>
      <c r="C8" s="240" t="s">
        <v>788</v>
      </c>
      <c r="D8" s="240" t="s">
        <v>789</v>
      </c>
      <c r="E8" s="241" t="s">
        <v>22</v>
      </c>
      <c r="F8" s="242">
        <v>17510</v>
      </c>
      <c r="G8" s="242"/>
      <c r="H8" s="241" t="s">
        <v>22</v>
      </c>
      <c r="I8" s="243" t="s">
        <v>24</v>
      </c>
      <c r="J8" s="243"/>
      <c r="K8" s="244" t="s">
        <v>17</v>
      </c>
      <c r="L8" s="245">
        <v>144439.62</v>
      </c>
    </row>
    <row r="9" spans="1:12" ht="163.19999999999999" hidden="1" x14ac:dyDescent="0.3">
      <c r="A9" s="239" t="s">
        <v>267</v>
      </c>
      <c r="B9" s="240" t="s">
        <v>505</v>
      </c>
      <c r="C9" s="240" t="s">
        <v>506</v>
      </c>
      <c r="D9" s="240" t="s">
        <v>501</v>
      </c>
      <c r="E9" s="241" t="s">
        <v>22</v>
      </c>
      <c r="F9" s="242">
        <v>55327.94</v>
      </c>
      <c r="G9" s="242"/>
      <c r="H9" s="241" t="s">
        <v>22</v>
      </c>
      <c r="I9" s="243" t="s">
        <v>24</v>
      </c>
      <c r="J9" s="243"/>
      <c r="K9" s="244" t="s">
        <v>17</v>
      </c>
      <c r="L9" s="245">
        <v>199767.56</v>
      </c>
    </row>
    <row r="10" spans="1:12" ht="173.4" hidden="1" x14ac:dyDescent="0.3">
      <c r="A10" s="239" t="s">
        <v>267</v>
      </c>
      <c r="B10" s="240" t="s">
        <v>790</v>
      </c>
      <c r="C10" s="240" t="s">
        <v>791</v>
      </c>
      <c r="D10" s="240" t="s">
        <v>792</v>
      </c>
      <c r="E10" s="241" t="s">
        <v>22</v>
      </c>
      <c r="F10" s="242">
        <v>8172</v>
      </c>
      <c r="G10" s="242"/>
      <c r="H10" s="241" t="s">
        <v>23</v>
      </c>
      <c r="I10" s="243" t="s">
        <v>24</v>
      </c>
      <c r="J10" s="243"/>
      <c r="K10" s="244" t="s">
        <v>17</v>
      </c>
      <c r="L10" s="245">
        <v>207939.56</v>
      </c>
    </row>
    <row r="11" spans="1:12" ht="173.4" hidden="1" x14ac:dyDescent="0.3">
      <c r="A11" s="239" t="s">
        <v>267</v>
      </c>
      <c r="B11" s="240" t="s">
        <v>793</v>
      </c>
      <c r="C11" s="240" t="s">
        <v>791</v>
      </c>
      <c r="D11" s="240" t="s">
        <v>792</v>
      </c>
      <c r="E11" s="241" t="s">
        <v>22</v>
      </c>
      <c r="F11" s="242">
        <v>19068</v>
      </c>
      <c r="G11" s="242"/>
      <c r="H11" s="241" t="s">
        <v>23</v>
      </c>
      <c r="I11" s="243" t="s">
        <v>24</v>
      </c>
      <c r="J11" s="243"/>
      <c r="K11" s="244" t="s">
        <v>17</v>
      </c>
      <c r="L11" s="245">
        <v>227007.56</v>
      </c>
    </row>
    <row r="12" spans="1:12" ht="183.6" hidden="1" x14ac:dyDescent="0.3">
      <c r="A12" s="239" t="s">
        <v>267</v>
      </c>
      <c r="B12" s="240" t="s">
        <v>515</v>
      </c>
      <c r="C12" s="240" t="s">
        <v>516</v>
      </c>
      <c r="D12" s="240" t="s">
        <v>510</v>
      </c>
      <c r="E12" s="241" t="s">
        <v>22</v>
      </c>
      <c r="F12" s="246">
        <v>224.35</v>
      </c>
      <c r="G12" s="246"/>
      <c r="H12" s="241" t="s">
        <v>22</v>
      </c>
      <c r="I12" s="243" t="s">
        <v>24</v>
      </c>
      <c r="J12" s="243"/>
      <c r="K12" s="244" t="s">
        <v>17</v>
      </c>
      <c r="L12" s="245">
        <v>227231.91</v>
      </c>
    </row>
    <row r="13" spans="1:12" ht="183.6" hidden="1" x14ac:dyDescent="0.3">
      <c r="A13" s="239" t="s">
        <v>267</v>
      </c>
      <c r="B13" s="240" t="s">
        <v>515</v>
      </c>
      <c r="C13" s="240" t="s">
        <v>516</v>
      </c>
      <c r="D13" s="240" t="s">
        <v>510</v>
      </c>
      <c r="E13" s="241" t="s">
        <v>22</v>
      </c>
      <c r="F13" s="242">
        <v>10170.65</v>
      </c>
      <c r="G13" s="242"/>
      <c r="H13" s="241" t="s">
        <v>22</v>
      </c>
      <c r="I13" s="243" t="s">
        <v>24</v>
      </c>
      <c r="J13" s="243"/>
      <c r="K13" s="244" t="s">
        <v>17</v>
      </c>
      <c r="L13" s="245">
        <v>237402.56</v>
      </c>
    </row>
    <row r="14" spans="1:12" ht="142.80000000000001" hidden="1" x14ac:dyDescent="0.3">
      <c r="A14" s="239" t="s">
        <v>18</v>
      </c>
      <c r="B14" s="240" t="s">
        <v>524</v>
      </c>
      <c r="C14" s="240" t="s">
        <v>525</v>
      </c>
      <c r="D14" s="240" t="s">
        <v>520</v>
      </c>
      <c r="E14" s="241" t="s">
        <v>22</v>
      </c>
      <c r="F14" s="242">
        <v>112353.33</v>
      </c>
      <c r="G14" s="242"/>
      <c r="H14" s="241" t="s">
        <v>22</v>
      </c>
      <c r="I14" s="243" t="s">
        <v>24</v>
      </c>
      <c r="J14" s="243"/>
      <c r="K14" s="244" t="s">
        <v>17</v>
      </c>
      <c r="L14" s="245">
        <v>349755.89</v>
      </c>
    </row>
    <row r="15" spans="1:12" ht="71.400000000000006" x14ac:dyDescent="0.3">
      <c r="A15" s="239" t="s">
        <v>48</v>
      </c>
      <c r="B15" s="240" t="s">
        <v>794</v>
      </c>
      <c r="C15" s="240" t="s">
        <v>27</v>
      </c>
      <c r="D15" s="240" t="s">
        <v>781</v>
      </c>
      <c r="E15" s="241" t="s">
        <v>29</v>
      </c>
      <c r="F15" s="247" t="s">
        <v>24</v>
      </c>
      <c r="G15" s="247"/>
      <c r="H15" s="241" t="s">
        <v>22</v>
      </c>
      <c r="I15" s="248">
        <v>17314.259999999998</v>
      </c>
      <c r="J15" s="248"/>
      <c r="K15" s="244" t="s">
        <v>17</v>
      </c>
      <c r="L15" s="245">
        <v>332441.63</v>
      </c>
    </row>
    <row r="16" spans="1:12" ht="71.400000000000006" x14ac:dyDescent="0.3">
      <c r="A16" s="239" t="s">
        <v>48</v>
      </c>
      <c r="B16" s="240" t="s">
        <v>794</v>
      </c>
      <c r="C16" s="240" t="s">
        <v>27</v>
      </c>
      <c r="D16" s="240" t="s">
        <v>525</v>
      </c>
      <c r="E16" s="241" t="s">
        <v>29</v>
      </c>
      <c r="F16" s="247" t="s">
        <v>24</v>
      </c>
      <c r="G16" s="247"/>
      <c r="H16" s="241" t="s">
        <v>22</v>
      </c>
      <c r="I16" s="248">
        <v>96923.33</v>
      </c>
      <c r="J16" s="248"/>
      <c r="K16" s="244" t="s">
        <v>17</v>
      </c>
      <c r="L16" s="245">
        <v>235518.3</v>
      </c>
    </row>
    <row r="17" spans="1:12" ht="71.400000000000006" x14ac:dyDescent="0.3">
      <c r="A17" s="239" t="s">
        <v>48</v>
      </c>
      <c r="B17" s="240" t="s">
        <v>794</v>
      </c>
      <c r="C17" s="240" t="s">
        <v>27</v>
      </c>
      <c r="D17" s="240" t="s">
        <v>525</v>
      </c>
      <c r="E17" s="241" t="s">
        <v>29</v>
      </c>
      <c r="F17" s="247" t="s">
        <v>24</v>
      </c>
      <c r="G17" s="247"/>
      <c r="H17" s="241" t="s">
        <v>22</v>
      </c>
      <c r="I17" s="248">
        <v>15430</v>
      </c>
      <c r="J17" s="248"/>
      <c r="K17" s="244" t="s">
        <v>17</v>
      </c>
      <c r="L17" s="245">
        <v>220088.3</v>
      </c>
    </row>
    <row r="18" spans="1:12" ht="71.400000000000006" hidden="1" x14ac:dyDescent="0.3">
      <c r="A18" s="239" t="s">
        <v>53</v>
      </c>
      <c r="B18" s="240" t="s">
        <v>546</v>
      </c>
      <c r="C18" s="240" t="s">
        <v>547</v>
      </c>
      <c r="D18" s="240" t="s">
        <v>539</v>
      </c>
      <c r="E18" s="241" t="s">
        <v>22</v>
      </c>
      <c r="F18" s="242">
        <v>13169.98</v>
      </c>
      <c r="G18" s="242"/>
      <c r="H18" s="241" t="s">
        <v>22</v>
      </c>
      <c r="I18" s="243" t="s">
        <v>24</v>
      </c>
      <c r="J18" s="243"/>
      <c r="K18" s="244" t="s">
        <v>17</v>
      </c>
      <c r="L18" s="245">
        <v>233258.28</v>
      </c>
    </row>
    <row r="19" spans="1:12" ht="153" hidden="1" x14ac:dyDescent="0.3">
      <c r="A19" s="239" t="s">
        <v>53</v>
      </c>
      <c r="B19" s="240" t="s">
        <v>795</v>
      </c>
      <c r="C19" s="240" t="s">
        <v>796</v>
      </c>
      <c r="D19" s="240" t="s">
        <v>797</v>
      </c>
      <c r="E19" s="241" t="s">
        <v>22</v>
      </c>
      <c r="F19" s="242">
        <v>5375</v>
      </c>
      <c r="G19" s="242"/>
      <c r="H19" s="241" t="s">
        <v>23</v>
      </c>
      <c r="I19" s="243" t="s">
        <v>24</v>
      </c>
      <c r="J19" s="243"/>
      <c r="K19" s="244" t="s">
        <v>17</v>
      </c>
      <c r="L19" s="245">
        <v>238633.28</v>
      </c>
    </row>
    <row r="20" spans="1:12" ht="153" hidden="1" x14ac:dyDescent="0.3">
      <c r="A20" s="239" t="s">
        <v>111</v>
      </c>
      <c r="B20" s="240" t="s">
        <v>798</v>
      </c>
      <c r="C20" s="240" t="s">
        <v>799</v>
      </c>
      <c r="D20" s="240" t="s">
        <v>800</v>
      </c>
      <c r="E20" s="241" t="s">
        <v>22</v>
      </c>
      <c r="F20" s="242">
        <v>7145.53</v>
      </c>
      <c r="G20" s="242"/>
      <c r="H20" s="241" t="s">
        <v>23</v>
      </c>
      <c r="I20" s="243" t="s">
        <v>24</v>
      </c>
      <c r="J20" s="243"/>
      <c r="K20" s="244" t="s">
        <v>17</v>
      </c>
      <c r="L20" s="245">
        <v>245778.81</v>
      </c>
    </row>
    <row r="21" spans="1:12" ht="153" hidden="1" x14ac:dyDescent="0.3">
      <c r="A21" s="239" t="s">
        <v>111</v>
      </c>
      <c r="B21" s="240" t="s">
        <v>798</v>
      </c>
      <c r="C21" s="240" t="s">
        <v>801</v>
      </c>
      <c r="D21" s="240" t="s">
        <v>800</v>
      </c>
      <c r="E21" s="241" t="s">
        <v>22</v>
      </c>
      <c r="F21" s="246">
        <v>837.82</v>
      </c>
      <c r="G21" s="246"/>
      <c r="H21" s="241" t="s">
        <v>23</v>
      </c>
      <c r="I21" s="243" t="s">
        <v>24</v>
      </c>
      <c r="J21" s="243"/>
      <c r="K21" s="244" t="s">
        <v>17</v>
      </c>
      <c r="L21" s="245">
        <v>246616.63</v>
      </c>
    </row>
    <row r="22" spans="1:12" ht="153" hidden="1" x14ac:dyDescent="0.3">
      <c r="A22" s="239" t="s">
        <v>111</v>
      </c>
      <c r="B22" s="240" t="s">
        <v>577</v>
      </c>
      <c r="C22" s="240" t="s">
        <v>578</v>
      </c>
      <c r="D22" s="240" t="s">
        <v>564</v>
      </c>
      <c r="E22" s="241" t="s">
        <v>22</v>
      </c>
      <c r="F22" s="242">
        <v>3510</v>
      </c>
      <c r="G22" s="242"/>
      <c r="H22" s="241" t="s">
        <v>22</v>
      </c>
      <c r="I22" s="243" t="s">
        <v>24</v>
      </c>
      <c r="J22" s="243"/>
      <c r="K22" s="244" t="s">
        <v>17</v>
      </c>
      <c r="L22" s="245">
        <v>250126.63</v>
      </c>
    </row>
    <row r="23" spans="1:12" ht="163.19999999999999" hidden="1" x14ac:dyDescent="0.3">
      <c r="A23" s="239" t="s">
        <v>111</v>
      </c>
      <c r="B23" s="240" t="s">
        <v>577</v>
      </c>
      <c r="C23" s="240" t="s">
        <v>579</v>
      </c>
      <c r="D23" s="240" t="s">
        <v>567</v>
      </c>
      <c r="E23" s="241" t="s">
        <v>22</v>
      </c>
      <c r="F23" s="242">
        <v>31258.33</v>
      </c>
      <c r="G23" s="242"/>
      <c r="H23" s="241" t="s">
        <v>22</v>
      </c>
      <c r="I23" s="243" t="s">
        <v>24</v>
      </c>
      <c r="J23" s="243"/>
      <c r="K23" s="244" t="s">
        <v>17</v>
      </c>
      <c r="L23" s="245">
        <v>281384.96000000002</v>
      </c>
    </row>
    <row r="24" spans="1:12" ht="153" hidden="1" x14ac:dyDescent="0.3">
      <c r="A24" s="239" t="s">
        <v>127</v>
      </c>
      <c r="B24" s="240" t="s">
        <v>802</v>
      </c>
      <c r="C24" s="240" t="s">
        <v>803</v>
      </c>
      <c r="D24" s="240" t="s">
        <v>804</v>
      </c>
      <c r="E24" s="241" t="s">
        <v>22</v>
      </c>
      <c r="F24" s="242">
        <v>1187.5</v>
      </c>
      <c r="G24" s="242"/>
      <c r="H24" s="241" t="s">
        <v>23</v>
      </c>
      <c r="I24" s="243" t="s">
        <v>24</v>
      </c>
      <c r="J24" s="243"/>
      <c r="K24" s="244" t="s">
        <v>17</v>
      </c>
      <c r="L24" s="245">
        <v>282572.46000000002</v>
      </c>
    </row>
    <row r="25" spans="1:12" ht="142.80000000000001" hidden="1" x14ac:dyDescent="0.3">
      <c r="A25" s="239" t="s">
        <v>127</v>
      </c>
      <c r="B25" s="240" t="s">
        <v>802</v>
      </c>
      <c r="C25" s="240" t="s">
        <v>805</v>
      </c>
      <c r="D25" s="240" t="s">
        <v>804</v>
      </c>
      <c r="E25" s="241" t="s">
        <v>22</v>
      </c>
      <c r="F25" s="242">
        <v>1145.83</v>
      </c>
      <c r="G25" s="242"/>
      <c r="H25" s="241" t="s">
        <v>23</v>
      </c>
      <c r="I25" s="243" t="s">
        <v>24</v>
      </c>
      <c r="J25" s="243"/>
      <c r="K25" s="244" t="s">
        <v>17</v>
      </c>
      <c r="L25" s="245">
        <v>283718.28999999998</v>
      </c>
    </row>
    <row r="26" spans="1:12" ht="71.400000000000006" x14ac:dyDescent="0.3">
      <c r="A26" s="239" t="s">
        <v>699</v>
      </c>
      <c r="B26" s="240" t="s">
        <v>806</v>
      </c>
      <c r="C26" s="240" t="s">
        <v>27</v>
      </c>
      <c r="D26" s="240" t="s">
        <v>779</v>
      </c>
      <c r="E26" s="241" t="s">
        <v>29</v>
      </c>
      <c r="F26" s="247" t="s">
        <v>24</v>
      </c>
      <c r="G26" s="247"/>
      <c r="H26" s="241" t="s">
        <v>22</v>
      </c>
      <c r="I26" s="248">
        <v>4510.67</v>
      </c>
      <c r="J26" s="248"/>
      <c r="K26" s="244" t="s">
        <v>17</v>
      </c>
      <c r="L26" s="245">
        <v>279207.62</v>
      </c>
    </row>
    <row r="27" spans="1:12" ht="71.400000000000006" x14ac:dyDescent="0.3">
      <c r="A27" s="239" t="s">
        <v>699</v>
      </c>
      <c r="B27" s="240" t="s">
        <v>806</v>
      </c>
      <c r="C27" s="240" t="s">
        <v>27</v>
      </c>
      <c r="D27" s="240" t="s">
        <v>781</v>
      </c>
      <c r="E27" s="241" t="s">
        <v>29</v>
      </c>
      <c r="F27" s="247" t="s">
        <v>24</v>
      </c>
      <c r="G27" s="247"/>
      <c r="H27" s="241" t="s">
        <v>22</v>
      </c>
      <c r="I27" s="248">
        <v>78162.899999999994</v>
      </c>
      <c r="J27" s="248"/>
      <c r="K27" s="244" t="s">
        <v>17</v>
      </c>
      <c r="L27" s="245">
        <v>201044.72</v>
      </c>
    </row>
    <row r="28" spans="1:12" ht="71.400000000000006" x14ac:dyDescent="0.3">
      <c r="A28" s="239" t="s">
        <v>699</v>
      </c>
      <c r="B28" s="240" t="s">
        <v>806</v>
      </c>
      <c r="C28" s="240" t="s">
        <v>27</v>
      </c>
      <c r="D28" s="240" t="s">
        <v>783</v>
      </c>
      <c r="E28" s="241" t="s">
        <v>29</v>
      </c>
      <c r="F28" s="247" t="s">
        <v>24</v>
      </c>
      <c r="G28" s="247"/>
      <c r="H28" s="241" t="s">
        <v>22</v>
      </c>
      <c r="I28" s="249">
        <v>583.44000000000005</v>
      </c>
      <c r="J28" s="249"/>
      <c r="K28" s="244" t="s">
        <v>17</v>
      </c>
      <c r="L28" s="245">
        <v>200461.28</v>
      </c>
    </row>
    <row r="29" spans="1:12" ht="71.400000000000006" x14ac:dyDescent="0.3">
      <c r="A29" s="239" t="s">
        <v>699</v>
      </c>
      <c r="B29" s="240" t="s">
        <v>806</v>
      </c>
      <c r="C29" s="240" t="s">
        <v>27</v>
      </c>
      <c r="D29" s="240" t="s">
        <v>783</v>
      </c>
      <c r="E29" s="241" t="s">
        <v>29</v>
      </c>
      <c r="F29" s="247" t="s">
        <v>24</v>
      </c>
      <c r="G29" s="247"/>
      <c r="H29" s="241" t="s">
        <v>22</v>
      </c>
      <c r="I29" s="248">
        <v>19002.349999999999</v>
      </c>
      <c r="J29" s="248"/>
      <c r="K29" s="244" t="s">
        <v>17</v>
      </c>
      <c r="L29" s="245">
        <v>181458.93</v>
      </c>
    </row>
    <row r="30" spans="1:12" ht="71.400000000000006" x14ac:dyDescent="0.3">
      <c r="A30" s="239" t="s">
        <v>699</v>
      </c>
      <c r="B30" s="240" t="s">
        <v>806</v>
      </c>
      <c r="C30" s="240" t="s">
        <v>27</v>
      </c>
      <c r="D30" s="240" t="s">
        <v>785</v>
      </c>
      <c r="E30" s="241" t="s">
        <v>29</v>
      </c>
      <c r="F30" s="247" t="s">
        <v>24</v>
      </c>
      <c r="G30" s="247"/>
      <c r="H30" s="241" t="s">
        <v>22</v>
      </c>
      <c r="I30" s="248">
        <v>7356</v>
      </c>
      <c r="J30" s="248"/>
      <c r="K30" s="244" t="s">
        <v>17</v>
      </c>
      <c r="L30" s="245">
        <v>174102.93</v>
      </c>
    </row>
    <row r="31" spans="1:12" ht="71.400000000000006" x14ac:dyDescent="0.3">
      <c r="A31" s="239" t="s">
        <v>699</v>
      </c>
      <c r="B31" s="240" t="s">
        <v>806</v>
      </c>
      <c r="C31" s="240" t="s">
        <v>27</v>
      </c>
      <c r="D31" s="240" t="s">
        <v>547</v>
      </c>
      <c r="E31" s="241" t="s">
        <v>29</v>
      </c>
      <c r="F31" s="247" t="s">
        <v>24</v>
      </c>
      <c r="G31" s="247"/>
      <c r="H31" s="241" t="s">
        <v>22</v>
      </c>
      <c r="I31" s="248">
        <v>13169.98</v>
      </c>
      <c r="J31" s="248"/>
      <c r="K31" s="244" t="s">
        <v>17</v>
      </c>
      <c r="L31" s="245">
        <v>160932.95000000001</v>
      </c>
    </row>
    <row r="32" spans="1:12" ht="81.599999999999994" x14ac:dyDescent="0.3">
      <c r="A32" s="239" t="s">
        <v>699</v>
      </c>
      <c r="B32" s="240" t="s">
        <v>806</v>
      </c>
      <c r="C32" s="240" t="s">
        <v>27</v>
      </c>
      <c r="D32" s="240" t="s">
        <v>788</v>
      </c>
      <c r="E32" s="241" t="s">
        <v>29</v>
      </c>
      <c r="F32" s="247" t="s">
        <v>24</v>
      </c>
      <c r="G32" s="247"/>
      <c r="H32" s="241" t="s">
        <v>22</v>
      </c>
      <c r="I32" s="248">
        <v>17510</v>
      </c>
      <c r="J32" s="248"/>
      <c r="K32" s="244" t="s">
        <v>17</v>
      </c>
      <c r="L32" s="245">
        <v>143422.95000000001</v>
      </c>
    </row>
    <row r="33" spans="1:12" ht="81.599999999999994" x14ac:dyDescent="0.3">
      <c r="A33" s="239" t="s">
        <v>699</v>
      </c>
      <c r="B33" s="240" t="s">
        <v>806</v>
      </c>
      <c r="C33" s="240" t="s">
        <v>27</v>
      </c>
      <c r="D33" s="240" t="s">
        <v>791</v>
      </c>
      <c r="E33" s="241" t="s">
        <v>29</v>
      </c>
      <c r="F33" s="247" t="s">
        <v>24</v>
      </c>
      <c r="G33" s="247"/>
      <c r="H33" s="241" t="s">
        <v>22</v>
      </c>
      <c r="I33" s="248">
        <v>9730</v>
      </c>
      <c r="J33" s="248"/>
      <c r="K33" s="244" t="s">
        <v>17</v>
      </c>
      <c r="L33" s="245">
        <v>133692.95000000001</v>
      </c>
    </row>
    <row r="34" spans="1:12" ht="81.599999999999994" x14ac:dyDescent="0.3">
      <c r="A34" s="239" t="s">
        <v>699</v>
      </c>
      <c r="B34" s="240" t="s">
        <v>806</v>
      </c>
      <c r="C34" s="240" t="s">
        <v>27</v>
      </c>
      <c r="D34" s="240" t="s">
        <v>791</v>
      </c>
      <c r="E34" s="241" t="s">
        <v>29</v>
      </c>
      <c r="F34" s="247" t="s">
        <v>24</v>
      </c>
      <c r="G34" s="247"/>
      <c r="H34" s="241" t="s">
        <v>22</v>
      </c>
      <c r="I34" s="248">
        <v>17510</v>
      </c>
      <c r="J34" s="248"/>
      <c r="K34" s="244" t="s">
        <v>17</v>
      </c>
      <c r="L34" s="245">
        <v>116182.95</v>
      </c>
    </row>
    <row r="35" spans="1:12" hidden="1" x14ac:dyDescent="0.3">
      <c r="A35" s="250" t="s">
        <v>47</v>
      </c>
      <c r="B35" s="250"/>
      <c r="C35" s="250"/>
      <c r="D35" s="250"/>
      <c r="E35" s="251">
        <v>413385.88</v>
      </c>
      <c r="F35" s="251"/>
      <c r="G35" s="251"/>
      <c r="H35" s="251">
        <v>297202.93</v>
      </c>
      <c r="I35" s="251"/>
      <c r="J35" s="251"/>
      <c r="K35" s="252" t="s">
        <v>17</v>
      </c>
      <c r="L35" s="253">
        <v>116182.95</v>
      </c>
    </row>
    <row r="37" spans="1:12" x14ac:dyDescent="0.3">
      <c r="J37" s="29">
        <f>SUBTOTAL(9,I15:J34)*1.2</f>
        <v>356643.51600000006</v>
      </c>
    </row>
  </sheetData>
  <autoFilter ref="B1:D35">
    <filterColumn colId="0">
      <filters>
        <filter val="Вимога-накладна ІБ00-000073 від 12.02.2025 18:02:55_x000a_Списаны ТМЦ"/>
        <filter val="Вимога-накладна ІБ00-000118 від 20.02.2025 00:00:00_x000a_Списаны ТМЦ"/>
      </filters>
    </filterColumn>
  </autoFilter>
  <mergeCells count="76">
    <mergeCell ref="F34:G34"/>
    <mergeCell ref="I34:J34"/>
    <mergeCell ref="A35:D35"/>
    <mergeCell ref="E35:G35"/>
    <mergeCell ref="H35:J35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69"/>
  <sheetViews>
    <sheetView topLeftCell="A60" workbookViewId="0">
      <selection activeCell="J69" sqref="J69"/>
    </sheetView>
  </sheetViews>
  <sheetFormatPr defaultRowHeight="14.4" x14ac:dyDescent="0.3"/>
  <cols>
    <col min="2" max="4" width="31.5546875" customWidth="1"/>
    <col min="10" max="10" width="9.88671875" bestFit="1" customWidth="1"/>
  </cols>
  <sheetData>
    <row r="1" spans="1:12" x14ac:dyDescent="0.3">
      <c r="A1" s="254" t="s">
        <v>9</v>
      </c>
      <c r="B1" s="255" t="s">
        <v>10</v>
      </c>
      <c r="C1" s="255" t="s">
        <v>11</v>
      </c>
      <c r="D1" s="256" t="s">
        <v>12</v>
      </c>
      <c r="E1" s="257" t="s">
        <v>13</v>
      </c>
      <c r="F1" s="257"/>
      <c r="G1" s="257"/>
      <c r="H1" s="258" t="s">
        <v>14</v>
      </c>
      <c r="I1" s="258"/>
      <c r="J1" s="258"/>
      <c r="K1" s="255" t="s">
        <v>15</v>
      </c>
      <c r="L1" s="255"/>
    </row>
    <row r="2" spans="1:12" hidden="1" x14ac:dyDescent="0.3">
      <c r="A2" s="259"/>
      <c r="B2" s="260"/>
      <c r="C2" s="260"/>
      <c r="D2" s="261"/>
      <c r="E2" s="262" t="s">
        <v>16</v>
      </c>
      <c r="F2" s="263"/>
      <c r="G2" s="263"/>
      <c r="H2" s="264" t="s">
        <v>16</v>
      </c>
      <c r="I2" s="265"/>
      <c r="J2" s="265"/>
      <c r="K2" s="259"/>
      <c r="L2" s="266"/>
    </row>
    <row r="3" spans="1:12" ht="61.2" hidden="1" x14ac:dyDescent="0.3">
      <c r="A3" s="267" t="s">
        <v>141</v>
      </c>
      <c r="B3" s="268" t="s">
        <v>807</v>
      </c>
      <c r="C3" s="268" t="s">
        <v>808</v>
      </c>
      <c r="D3" s="268" t="s">
        <v>809</v>
      </c>
      <c r="E3" s="269" t="s">
        <v>22</v>
      </c>
      <c r="F3" s="270">
        <v>8151</v>
      </c>
      <c r="G3" s="270"/>
      <c r="H3" s="269" t="s">
        <v>23</v>
      </c>
      <c r="I3" s="271" t="s">
        <v>24</v>
      </c>
      <c r="J3" s="271"/>
      <c r="K3" s="272" t="s">
        <v>17</v>
      </c>
      <c r="L3" s="273">
        <v>190754.53</v>
      </c>
    </row>
    <row r="4" spans="1:12" ht="61.2" hidden="1" x14ac:dyDescent="0.3">
      <c r="A4" s="267" t="s">
        <v>141</v>
      </c>
      <c r="B4" s="268" t="s">
        <v>810</v>
      </c>
      <c r="C4" s="268" t="s">
        <v>808</v>
      </c>
      <c r="D4" s="268" t="s">
        <v>809</v>
      </c>
      <c r="E4" s="269" t="s">
        <v>22</v>
      </c>
      <c r="F4" s="270">
        <v>19019</v>
      </c>
      <c r="G4" s="270"/>
      <c r="H4" s="269" t="s">
        <v>23</v>
      </c>
      <c r="I4" s="271" t="s">
        <v>24</v>
      </c>
      <c r="J4" s="271"/>
      <c r="K4" s="272" t="s">
        <v>17</v>
      </c>
      <c r="L4" s="273">
        <v>209773.53</v>
      </c>
    </row>
    <row r="5" spans="1:12" ht="51" hidden="1" x14ac:dyDescent="0.3">
      <c r="A5" s="267" t="s">
        <v>141</v>
      </c>
      <c r="B5" s="268" t="s">
        <v>811</v>
      </c>
      <c r="C5" s="268" t="s">
        <v>812</v>
      </c>
      <c r="D5" s="268" t="s">
        <v>813</v>
      </c>
      <c r="E5" s="269" t="s">
        <v>22</v>
      </c>
      <c r="F5" s="270">
        <v>6307.8</v>
      </c>
      <c r="G5" s="270"/>
      <c r="H5" s="269" t="s">
        <v>22</v>
      </c>
      <c r="I5" s="271" t="s">
        <v>24</v>
      </c>
      <c r="J5" s="271"/>
      <c r="K5" s="272" t="s">
        <v>17</v>
      </c>
      <c r="L5" s="273">
        <v>216081.33</v>
      </c>
    </row>
    <row r="6" spans="1:12" ht="51" hidden="1" x14ac:dyDescent="0.3">
      <c r="A6" s="267" t="s">
        <v>141</v>
      </c>
      <c r="B6" s="268" t="s">
        <v>811</v>
      </c>
      <c r="C6" s="268" t="s">
        <v>814</v>
      </c>
      <c r="D6" s="268" t="s">
        <v>815</v>
      </c>
      <c r="E6" s="269" t="s">
        <v>22</v>
      </c>
      <c r="F6" s="270">
        <v>1753.8</v>
      </c>
      <c r="G6" s="270"/>
      <c r="H6" s="269" t="s">
        <v>22</v>
      </c>
      <c r="I6" s="271" t="s">
        <v>24</v>
      </c>
      <c r="J6" s="271"/>
      <c r="K6" s="272" t="s">
        <v>17</v>
      </c>
      <c r="L6" s="273">
        <v>217835.13</v>
      </c>
    </row>
    <row r="7" spans="1:12" ht="51" hidden="1" x14ac:dyDescent="0.3">
      <c r="A7" s="267" t="s">
        <v>141</v>
      </c>
      <c r="B7" s="268" t="s">
        <v>811</v>
      </c>
      <c r="C7" s="268" t="s">
        <v>816</v>
      </c>
      <c r="D7" s="268" t="s">
        <v>817</v>
      </c>
      <c r="E7" s="269" t="s">
        <v>22</v>
      </c>
      <c r="F7" s="270">
        <v>9826.42</v>
      </c>
      <c r="G7" s="270"/>
      <c r="H7" s="269" t="s">
        <v>22</v>
      </c>
      <c r="I7" s="271" t="s">
        <v>24</v>
      </c>
      <c r="J7" s="271"/>
      <c r="K7" s="272" t="s">
        <v>17</v>
      </c>
      <c r="L7" s="273">
        <v>227661.55</v>
      </c>
    </row>
    <row r="8" spans="1:12" ht="61.2" hidden="1" x14ac:dyDescent="0.3">
      <c r="A8" s="267" t="s">
        <v>141</v>
      </c>
      <c r="B8" s="268" t="s">
        <v>811</v>
      </c>
      <c r="C8" s="268" t="s">
        <v>818</v>
      </c>
      <c r="D8" s="268" t="s">
        <v>659</v>
      </c>
      <c r="E8" s="269" t="s">
        <v>22</v>
      </c>
      <c r="F8" s="274">
        <v>97.68</v>
      </c>
      <c r="G8" s="274"/>
      <c r="H8" s="269" t="s">
        <v>22</v>
      </c>
      <c r="I8" s="271" t="s">
        <v>24</v>
      </c>
      <c r="J8" s="271"/>
      <c r="K8" s="272" t="s">
        <v>17</v>
      </c>
      <c r="L8" s="273">
        <v>227759.23</v>
      </c>
    </row>
    <row r="9" spans="1:12" ht="51" hidden="1" x14ac:dyDescent="0.3">
      <c r="A9" s="267" t="s">
        <v>141</v>
      </c>
      <c r="B9" s="268" t="s">
        <v>441</v>
      </c>
      <c r="C9" s="268" t="s">
        <v>442</v>
      </c>
      <c r="D9" s="268" t="s">
        <v>443</v>
      </c>
      <c r="E9" s="269" t="s">
        <v>22</v>
      </c>
      <c r="F9" s="274">
        <v>839.5</v>
      </c>
      <c r="G9" s="274"/>
      <c r="H9" s="269" t="s">
        <v>22</v>
      </c>
      <c r="I9" s="271" t="s">
        <v>24</v>
      </c>
      <c r="J9" s="271"/>
      <c r="K9" s="272" t="s">
        <v>17</v>
      </c>
      <c r="L9" s="273">
        <v>228598.73</v>
      </c>
    </row>
    <row r="10" spans="1:12" ht="51" hidden="1" x14ac:dyDescent="0.3">
      <c r="A10" s="267" t="s">
        <v>141</v>
      </c>
      <c r="B10" s="268" t="s">
        <v>819</v>
      </c>
      <c r="C10" s="268" t="s">
        <v>820</v>
      </c>
      <c r="D10" s="268" t="s">
        <v>821</v>
      </c>
      <c r="E10" s="269" t="s">
        <v>22</v>
      </c>
      <c r="F10" s="270">
        <v>4238</v>
      </c>
      <c r="G10" s="270"/>
      <c r="H10" s="269" t="s">
        <v>23</v>
      </c>
      <c r="I10" s="271" t="s">
        <v>24</v>
      </c>
      <c r="J10" s="271"/>
      <c r="K10" s="272" t="s">
        <v>17</v>
      </c>
      <c r="L10" s="273">
        <v>232836.73</v>
      </c>
    </row>
    <row r="11" spans="1:12" ht="51" hidden="1" x14ac:dyDescent="0.3">
      <c r="A11" s="267" t="s">
        <v>141</v>
      </c>
      <c r="B11" s="268" t="s">
        <v>822</v>
      </c>
      <c r="C11" s="268" t="s">
        <v>823</v>
      </c>
      <c r="D11" s="268" t="s">
        <v>824</v>
      </c>
      <c r="E11" s="269" t="s">
        <v>22</v>
      </c>
      <c r="F11" s="274">
        <v>47.5</v>
      </c>
      <c r="G11" s="274"/>
      <c r="H11" s="269" t="s">
        <v>23</v>
      </c>
      <c r="I11" s="271" t="s">
        <v>24</v>
      </c>
      <c r="J11" s="271"/>
      <c r="K11" s="272" t="s">
        <v>17</v>
      </c>
      <c r="L11" s="273">
        <v>232884.23</v>
      </c>
    </row>
    <row r="12" spans="1:12" ht="51" x14ac:dyDescent="0.3">
      <c r="A12" s="267" t="s">
        <v>453</v>
      </c>
      <c r="B12" s="268" t="s">
        <v>825</v>
      </c>
      <c r="C12" s="268" t="s">
        <v>27</v>
      </c>
      <c r="D12" s="268" t="s">
        <v>442</v>
      </c>
      <c r="E12" s="269" t="s">
        <v>29</v>
      </c>
      <c r="F12" s="275" t="s">
        <v>24</v>
      </c>
      <c r="G12" s="275"/>
      <c r="H12" s="269" t="s">
        <v>22</v>
      </c>
      <c r="I12" s="276">
        <v>839.5</v>
      </c>
      <c r="J12" s="276"/>
      <c r="K12" s="272" t="s">
        <v>17</v>
      </c>
      <c r="L12" s="273">
        <v>232044.73</v>
      </c>
    </row>
    <row r="13" spans="1:12" ht="51" x14ac:dyDescent="0.3">
      <c r="A13" s="267" t="s">
        <v>453</v>
      </c>
      <c r="B13" s="268" t="s">
        <v>825</v>
      </c>
      <c r="C13" s="268" t="s">
        <v>27</v>
      </c>
      <c r="D13" s="268" t="s">
        <v>812</v>
      </c>
      <c r="E13" s="269" t="s">
        <v>29</v>
      </c>
      <c r="F13" s="275" t="s">
        <v>24</v>
      </c>
      <c r="G13" s="275"/>
      <c r="H13" s="269" t="s">
        <v>22</v>
      </c>
      <c r="I13" s="277">
        <v>6307.8</v>
      </c>
      <c r="J13" s="277"/>
      <c r="K13" s="272" t="s">
        <v>17</v>
      </c>
      <c r="L13" s="273">
        <v>225736.93</v>
      </c>
    </row>
    <row r="14" spans="1:12" ht="51" x14ac:dyDescent="0.3">
      <c r="A14" s="267" t="s">
        <v>453</v>
      </c>
      <c r="B14" s="268" t="s">
        <v>825</v>
      </c>
      <c r="C14" s="268" t="s">
        <v>27</v>
      </c>
      <c r="D14" s="268" t="s">
        <v>814</v>
      </c>
      <c r="E14" s="269" t="s">
        <v>29</v>
      </c>
      <c r="F14" s="275" t="s">
        <v>24</v>
      </c>
      <c r="G14" s="275"/>
      <c r="H14" s="269" t="s">
        <v>22</v>
      </c>
      <c r="I14" s="277">
        <v>1753.8</v>
      </c>
      <c r="J14" s="277"/>
      <c r="K14" s="272" t="s">
        <v>17</v>
      </c>
      <c r="L14" s="273">
        <v>223983.13</v>
      </c>
    </row>
    <row r="15" spans="1:12" ht="51" x14ac:dyDescent="0.3">
      <c r="A15" s="267" t="s">
        <v>453</v>
      </c>
      <c r="B15" s="268" t="s">
        <v>825</v>
      </c>
      <c r="C15" s="268" t="s">
        <v>27</v>
      </c>
      <c r="D15" s="268" t="s">
        <v>816</v>
      </c>
      <c r="E15" s="269" t="s">
        <v>29</v>
      </c>
      <c r="F15" s="275" t="s">
        <v>24</v>
      </c>
      <c r="G15" s="275"/>
      <c r="H15" s="269" t="s">
        <v>22</v>
      </c>
      <c r="I15" s="277">
        <v>76032.78</v>
      </c>
      <c r="J15" s="277"/>
      <c r="K15" s="272" t="s">
        <v>17</v>
      </c>
      <c r="L15" s="273">
        <v>147950.35</v>
      </c>
    </row>
    <row r="16" spans="1:12" ht="51" x14ac:dyDescent="0.3">
      <c r="A16" s="267" t="s">
        <v>453</v>
      </c>
      <c r="B16" s="268" t="s">
        <v>825</v>
      </c>
      <c r="C16" s="268" t="s">
        <v>27</v>
      </c>
      <c r="D16" s="268" t="s">
        <v>816</v>
      </c>
      <c r="E16" s="269" t="s">
        <v>29</v>
      </c>
      <c r="F16" s="275" t="s">
        <v>24</v>
      </c>
      <c r="G16" s="275"/>
      <c r="H16" s="269" t="s">
        <v>22</v>
      </c>
      <c r="I16" s="277">
        <v>1742.27</v>
      </c>
      <c r="J16" s="277"/>
      <c r="K16" s="272" t="s">
        <v>17</v>
      </c>
      <c r="L16" s="273">
        <v>146208.07999999999</v>
      </c>
    </row>
    <row r="17" spans="1:12" ht="51" x14ac:dyDescent="0.3">
      <c r="A17" s="267" t="s">
        <v>453</v>
      </c>
      <c r="B17" s="268" t="s">
        <v>825</v>
      </c>
      <c r="C17" s="268" t="s">
        <v>27</v>
      </c>
      <c r="D17" s="268" t="s">
        <v>826</v>
      </c>
      <c r="E17" s="269" t="s">
        <v>29</v>
      </c>
      <c r="F17" s="275" t="s">
        <v>24</v>
      </c>
      <c r="G17" s="275"/>
      <c r="H17" s="269" t="s">
        <v>22</v>
      </c>
      <c r="I17" s="277">
        <v>82988.639999999999</v>
      </c>
      <c r="J17" s="277"/>
      <c r="K17" s="272" t="s">
        <v>17</v>
      </c>
      <c r="L17" s="273">
        <v>63219.44</v>
      </c>
    </row>
    <row r="18" spans="1:12" ht="61.2" x14ac:dyDescent="0.3">
      <c r="A18" s="267" t="s">
        <v>453</v>
      </c>
      <c r="B18" s="268" t="s">
        <v>825</v>
      </c>
      <c r="C18" s="268" t="s">
        <v>27</v>
      </c>
      <c r="D18" s="268" t="s">
        <v>818</v>
      </c>
      <c r="E18" s="269" t="s">
        <v>29</v>
      </c>
      <c r="F18" s="275" t="s">
        <v>24</v>
      </c>
      <c r="G18" s="275"/>
      <c r="H18" s="269" t="s">
        <v>22</v>
      </c>
      <c r="I18" s="276">
        <v>97.68</v>
      </c>
      <c r="J18" s="276"/>
      <c r="K18" s="272" t="s">
        <v>17</v>
      </c>
      <c r="L18" s="273">
        <v>63121.760000000002</v>
      </c>
    </row>
    <row r="19" spans="1:12" ht="51" hidden="1" x14ac:dyDescent="0.3">
      <c r="A19" s="267" t="s">
        <v>18</v>
      </c>
      <c r="B19" s="268" t="s">
        <v>827</v>
      </c>
      <c r="C19" s="268" t="s">
        <v>828</v>
      </c>
      <c r="D19" s="268" t="s">
        <v>829</v>
      </c>
      <c r="E19" s="269" t="s">
        <v>22</v>
      </c>
      <c r="F19" s="270">
        <v>13599.1</v>
      </c>
      <c r="G19" s="270"/>
      <c r="H19" s="269" t="s">
        <v>23</v>
      </c>
      <c r="I19" s="271" t="s">
        <v>24</v>
      </c>
      <c r="J19" s="271"/>
      <c r="K19" s="272" t="s">
        <v>17</v>
      </c>
      <c r="L19" s="273">
        <v>76720.86</v>
      </c>
    </row>
    <row r="20" spans="1:12" ht="51" hidden="1" x14ac:dyDescent="0.3">
      <c r="A20" s="267" t="s">
        <v>18</v>
      </c>
      <c r="B20" s="268" t="s">
        <v>830</v>
      </c>
      <c r="C20" s="268" t="s">
        <v>828</v>
      </c>
      <c r="D20" s="268" t="s">
        <v>432</v>
      </c>
      <c r="E20" s="269" t="s">
        <v>22</v>
      </c>
      <c r="F20" s="270">
        <v>16025.9</v>
      </c>
      <c r="G20" s="270"/>
      <c r="H20" s="269" t="s">
        <v>23</v>
      </c>
      <c r="I20" s="271" t="s">
        <v>24</v>
      </c>
      <c r="J20" s="271"/>
      <c r="K20" s="272" t="s">
        <v>17</v>
      </c>
      <c r="L20" s="273">
        <v>92746.76</v>
      </c>
    </row>
    <row r="21" spans="1:12" ht="51" hidden="1" x14ac:dyDescent="0.3">
      <c r="A21" s="267" t="s">
        <v>18</v>
      </c>
      <c r="B21" s="268" t="s">
        <v>831</v>
      </c>
      <c r="C21" s="268" t="s">
        <v>828</v>
      </c>
      <c r="D21" s="268" t="s">
        <v>832</v>
      </c>
      <c r="E21" s="269" t="s">
        <v>22</v>
      </c>
      <c r="F21" s="270">
        <v>15644.5</v>
      </c>
      <c r="G21" s="270"/>
      <c r="H21" s="269" t="s">
        <v>23</v>
      </c>
      <c r="I21" s="271" t="s">
        <v>24</v>
      </c>
      <c r="J21" s="271"/>
      <c r="K21" s="272" t="s">
        <v>17</v>
      </c>
      <c r="L21" s="273">
        <v>108391.26</v>
      </c>
    </row>
    <row r="22" spans="1:12" ht="51" hidden="1" x14ac:dyDescent="0.3">
      <c r="A22" s="267" t="s">
        <v>272</v>
      </c>
      <c r="B22" s="268" t="s">
        <v>833</v>
      </c>
      <c r="C22" s="268" t="s">
        <v>834</v>
      </c>
      <c r="D22" s="268" t="s">
        <v>835</v>
      </c>
      <c r="E22" s="269" t="s">
        <v>22</v>
      </c>
      <c r="F22" s="274">
        <v>898.4</v>
      </c>
      <c r="G22" s="274"/>
      <c r="H22" s="269" t="s">
        <v>23</v>
      </c>
      <c r="I22" s="271" t="s">
        <v>24</v>
      </c>
      <c r="J22" s="271"/>
      <c r="K22" s="272" t="s">
        <v>17</v>
      </c>
      <c r="L22" s="273">
        <v>109289.66</v>
      </c>
    </row>
    <row r="23" spans="1:12" ht="51" hidden="1" x14ac:dyDescent="0.3">
      <c r="A23" s="267" t="s">
        <v>272</v>
      </c>
      <c r="B23" s="268" t="s">
        <v>836</v>
      </c>
      <c r="C23" s="268" t="s">
        <v>834</v>
      </c>
      <c r="D23" s="268" t="s">
        <v>835</v>
      </c>
      <c r="E23" s="269" t="s">
        <v>22</v>
      </c>
      <c r="F23" s="270">
        <v>21561.599999999999</v>
      </c>
      <c r="G23" s="270"/>
      <c r="H23" s="269" t="s">
        <v>23</v>
      </c>
      <c r="I23" s="271" t="s">
        <v>24</v>
      </c>
      <c r="J23" s="271"/>
      <c r="K23" s="272" t="s">
        <v>17</v>
      </c>
      <c r="L23" s="273">
        <v>130851.26</v>
      </c>
    </row>
    <row r="24" spans="1:12" ht="51" hidden="1" x14ac:dyDescent="0.3">
      <c r="A24" s="267" t="s">
        <v>53</v>
      </c>
      <c r="B24" s="268" t="s">
        <v>542</v>
      </c>
      <c r="C24" s="268" t="s">
        <v>543</v>
      </c>
      <c r="D24" s="268" t="s">
        <v>540</v>
      </c>
      <c r="E24" s="269" t="s">
        <v>22</v>
      </c>
      <c r="F24" s="270">
        <v>102469.01</v>
      </c>
      <c r="G24" s="270"/>
      <c r="H24" s="269" t="s">
        <v>22</v>
      </c>
      <c r="I24" s="271" t="s">
        <v>24</v>
      </c>
      <c r="J24" s="271"/>
      <c r="K24" s="272" t="s">
        <v>17</v>
      </c>
      <c r="L24" s="273">
        <v>233320.27</v>
      </c>
    </row>
    <row r="25" spans="1:12" ht="51" hidden="1" x14ac:dyDescent="0.3">
      <c r="A25" s="267" t="s">
        <v>111</v>
      </c>
      <c r="B25" s="268" t="s">
        <v>591</v>
      </c>
      <c r="C25" s="268" t="s">
        <v>592</v>
      </c>
      <c r="D25" s="268" t="s">
        <v>585</v>
      </c>
      <c r="E25" s="269" t="s">
        <v>22</v>
      </c>
      <c r="F25" s="270">
        <v>99789.83</v>
      </c>
      <c r="G25" s="270"/>
      <c r="H25" s="269" t="s">
        <v>22</v>
      </c>
      <c r="I25" s="271" t="s">
        <v>24</v>
      </c>
      <c r="J25" s="271"/>
      <c r="K25" s="272" t="s">
        <v>17</v>
      </c>
      <c r="L25" s="273">
        <v>333110.09999999998</v>
      </c>
    </row>
    <row r="26" spans="1:12" ht="51" hidden="1" x14ac:dyDescent="0.3">
      <c r="A26" s="267" t="s">
        <v>355</v>
      </c>
      <c r="B26" s="268" t="s">
        <v>596</v>
      </c>
      <c r="C26" s="268" t="s">
        <v>592</v>
      </c>
      <c r="D26" s="268" t="s">
        <v>585</v>
      </c>
      <c r="E26" s="269" t="s">
        <v>22</v>
      </c>
      <c r="F26" s="270">
        <v>3522.4</v>
      </c>
      <c r="G26" s="270"/>
      <c r="H26" s="269" t="s">
        <v>22</v>
      </c>
      <c r="I26" s="271" t="s">
        <v>24</v>
      </c>
      <c r="J26" s="271"/>
      <c r="K26" s="272" t="s">
        <v>17</v>
      </c>
      <c r="L26" s="273">
        <v>336632.5</v>
      </c>
    </row>
    <row r="27" spans="1:12" ht="51" hidden="1" x14ac:dyDescent="0.3">
      <c r="A27" s="267" t="s">
        <v>355</v>
      </c>
      <c r="B27" s="268" t="s">
        <v>596</v>
      </c>
      <c r="C27" s="268" t="s">
        <v>597</v>
      </c>
      <c r="D27" s="268" t="s">
        <v>594</v>
      </c>
      <c r="E27" s="269" t="s">
        <v>22</v>
      </c>
      <c r="F27" s="270">
        <v>98384.47</v>
      </c>
      <c r="G27" s="270"/>
      <c r="H27" s="269" t="s">
        <v>22</v>
      </c>
      <c r="I27" s="271" t="s">
        <v>24</v>
      </c>
      <c r="J27" s="271"/>
      <c r="K27" s="272" t="s">
        <v>17</v>
      </c>
      <c r="L27" s="273">
        <v>435016.97</v>
      </c>
    </row>
    <row r="28" spans="1:12" ht="51" hidden="1" x14ac:dyDescent="0.3">
      <c r="A28" s="267" t="s">
        <v>61</v>
      </c>
      <c r="B28" s="268" t="s">
        <v>837</v>
      </c>
      <c r="C28" s="268" t="s">
        <v>838</v>
      </c>
      <c r="D28" s="268" t="s">
        <v>839</v>
      </c>
      <c r="E28" s="269" t="s">
        <v>22</v>
      </c>
      <c r="F28" s="270">
        <v>28260.6</v>
      </c>
      <c r="G28" s="270"/>
      <c r="H28" s="269" t="s">
        <v>23</v>
      </c>
      <c r="I28" s="271" t="s">
        <v>24</v>
      </c>
      <c r="J28" s="271"/>
      <c r="K28" s="272" t="s">
        <v>17</v>
      </c>
      <c r="L28" s="273">
        <v>463277.57</v>
      </c>
    </row>
    <row r="29" spans="1:12" ht="51" hidden="1" x14ac:dyDescent="0.3">
      <c r="A29" s="267" t="s">
        <v>61</v>
      </c>
      <c r="B29" s="268" t="s">
        <v>840</v>
      </c>
      <c r="C29" s="268" t="s">
        <v>838</v>
      </c>
      <c r="D29" s="268" t="s">
        <v>529</v>
      </c>
      <c r="E29" s="269" t="s">
        <v>22</v>
      </c>
      <c r="F29" s="270">
        <v>50909.4</v>
      </c>
      <c r="G29" s="270"/>
      <c r="H29" s="269" t="s">
        <v>23</v>
      </c>
      <c r="I29" s="271" t="s">
        <v>24</v>
      </c>
      <c r="J29" s="271"/>
      <c r="K29" s="272" t="s">
        <v>17</v>
      </c>
      <c r="L29" s="273">
        <v>514186.97</v>
      </c>
    </row>
    <row r="30" spans="1:12" ht="51" hidden="1" x14ac:dyDescent="0.3">
      <c r="A30" s="267" t="s">
        <v>61</v>
      </c>
      <c r="B30" s="268" t="s">
        <v>841</v>
      </c>
      <c r="C30" s="268" t="s">
        <v>838</v>
      </c>
      <c r="D30" s="268" t="s">
        <v>842</v>
      </c>
      <c r="E30" s="269" t="s">
        <v>22</v>
      </c>
      <c r="F30" s="270">
        <v>22339.51</v>
      </c>
      <c r="G30" s="270"/>
      <c r="H30" s="269" t="s">
        <v>23</v>
      </c>
      <c r="I30" s="271" t="s">
        <v>24</v>
      </c>
      <c r="J30" s="271"/>
      <c r="K30" s="272" t="s">
        <v>17</v>
      </c>
      <c r="L30" s="273">
        <v>536526.48</v>
      </c>
    </row>
    <row r="31" spans="1:12" ht="51" x14ac:dyDescent="0.3">
      <c r="A31" s="267" t="s">
        <v>699</v>
      </c>
      <c r="B31" s="268" t="s">
        <v>843</v>
      </c>
      <c r="C31" s="268" t="s">
        <v>27</v>
      </c>
      <c r="D31" s="268" t="s">
        <v>592</v>
      </c>
      <c r="E31" s="269" t="s">
        <v>29</v>
      </c>
      <c r="F31" s="275" t="s">
        <v>24</v>
      </c>
      <c r="G31" s="275"/>
      <c r="H31" s="269" t="s">
        <v>22</v>
      </c>
      <c r="I31" s="277">
        <v>96267.42</v>
      </c>
      <c r="J31" s="277"/>
      <c r="K31" s="272" t="s">
        <v>17</v>
      </c>
      <c r="L31" s="273">
        <v>440259.06</v>
      </c>
    </row>
    <row r="32" spans="1:12" ht="51" x14ac:dyDescent="0.3">
      <c r="A32" s="267" t="s">
        <v>699</v>
      </c>
      <c r="B32" s="268" t="s">
        <v>843</v>
      </c>
      <c r="C32" s="268" t="s">
        <v>27</v>
      </c>
      <c r="D32" s="268" t="s">
        <v>592</v>
      </c>
      <c r="E32" s="269" t="s">
        <v>29</v>
      </c>
      <c r="F32" s="275" t="s">
        <v>24</v>
      </c>
      <c r="G32" s="275"/>
      <c r="H32" s="269" t="s">
        <v>22</v>
      </c>
      <c r="I32" s="277">
        <v>4432.7700000000004</v>
      </c>
      <c r="J32" s="277"/>
      <c r="K32" s="272" t="s">
        <v>17</v>
      </c>
      <c r="L32" s="273">
        <v>435826.29</v>
      </c>
    </row>
    <row r="33" spans="1:12" ht="51" x14ac:dyDescent="0.3">
      <c r="A33" s="267" t="s">
        <v>699</v>
      </c>
      <c r="B33" s="268" t="s">
        <v>844</v>
      </c>
      <c r="C33" s="268" t="s">
        <v>27</v>
      </c>
      <c r="D33" s="268" t="s">
        <v>845</v>
      </c>
      <c r="E33" s="269" t="s">
        <v>29</v>
      </c>
      <c r="F33" s="275" t="s">
        <v>24</v>
      </c>
      <c r="G33" s="275"/>
      <c r="H33" s="269" t="s">
        <v>22</v>
      </c>
      <c r="I33" s="276">
        <v>251.25</v>
      </c>
      <c r="J33" s="276"/>
      <c r="K33" s="272" t="s">
        <v>17</v>
      </c>
      <c r="L33" s="273">
        <v>435575.03999999998</v>
      </c>
    </row>
    <row r="34" spans="1:12" ht="51" hidden="1" x14ac:dyDescent="0.3">
      <c r="A34" s="267" t="s">
        <v>699</v>
      </c>
      <c r="B34" s="268" t="s">
        <v>846</v>
      </c>
      <c r="C34" s="268" t="s">
        <v>847</v>
      </c>
      <c r="D34" s="268" t="s">
        <v>848</v>
      </c>
      <c r="E34" s="269" t="s">
        <v>22</v>
      </c>
      <c r="F34" s="270">
        <v>23104</v>
      </c>
      <c r="G34" s="270"/>
      <c r="H34" s="269" t="s">
        <v>23</v>
      </c>
      <c r="I34" s="271" t="s">
        <v>24</v>
      </c>
      <c r="J34" s="271"/>
      <c r="K34" s="272" t="s">
        <v>17</v>
      </c>
      <c r="L34" s="273">
        <v>458679.03999999998</v>
      </c>
    </row>
    <row r="35" spans="1:12" ht="51" hidden="1" x14ac:dyDescent="0.3">
      <c r="A35" s="267" t="s">
        <v>699</v>
      </c>
      <c r="B35" s="268" t="s">
        <v>849</v>
      </c>
      <c r="C35" s="268" t="s">
        <v>847</v>
      </c>
      <c r="D35" s="268" t="s">
        <v>848</v>
      </c>
      <c r="E35" s="269" t="s">
        <v>22</v>
      </c>
      <c r="F35" s="270">
        <v>25536</v>
      </c>
      <c r="G35" s="270"/>
      <c r="H35" s="269" t="s">
        <v>23</v>
      </c>
      <c r="I35" s="271" t="s">
        <v>24</v>
      </c>
      <c r="J35" s="271"/>
      <c r="K35" s="272" t="s">
        <v>17</v>
      </c>
      <c r="L35" s="273">
        <v>484215.03999999998</v>
      </c>
    </row>
    <row r="36" spans="1:12" ht="51" hidden="1" x14ac:dyDescent="0.3">
      <c r="A36" s="267" t="s">
        <v>699</v>
      </c>
      <c r="B36" s="268" t="s">
        <v>850</v>
      </c>
      <c r="C36" s="268" t="s">
        <v>851</v>
      </c>
      <c r="D36" s="268" t="s">
        <v>852</v>
      </c>
      <c r="E36" s="269" t="s">
        <v>22</v>
      </c>
      <c r="F36" s="270">
        <v>4013.5</v>
      </c>
      <c r="G36" s="270"/>
      <c r="H36" s="269" t="s">
        <v>23</v>
      </c>
      <c r="I36" s="271" t="s">
        <v>24</v>
      </c>
      <c r="J36" s="271"/>
      <c r="K36" s="272" t="s">
        <v>17</v>
      </c>
      <c r="L36" s="273">
        <v>488228.54</v>
      </c>
    </row>
    <row r="37" spans="1:12" ht="51" hidden="1" x14ac:dyDescent="0.3">
      <c r="A37" s="267" t="s">
        <v>361</v>
      </c>
      <c r="B37" s="268" t="s">
        <v>853</v>
      </c>
      <c r="C37" s="268" t="s">
        <v>854</v>
      </c>
      <c r="D37" s="268" t="s">
        <v>855</v>
      </c>
      <c r="E37" s="269" t="s">
        <v>22</v>
      </c>
      <c r="F37" s="270">
        <v>34573.67</v>
      </c>
      <c r="G37" s="270"/>
      <c r="H37" s="269" t="s">
        <v>23</v>
      </c>
      <c r="I37" s="271" t="s">
        <v>24</v>
      </c>
      <c r="J37" s="271"/>
      <c r="K37" s="272" t="s">
        <v>17</v>
      </c>
      <c r="L37" s="273">
        <v>522802.21</v>
      </c>
    </row>
    <row r="38" spans="1:12" ht="51" hidden="1" x14ac:dyDescent="0.3">
      <c r="A38" s="267" t="s">
        <v>361</v>
      </c>
      <c r="B38" s="268" t="s">
        <v>856</v>
      </c>
      <c r="C38" s="268" t="s">
        <v>854</v>
      </c>
      <c r="D38" s="268" t="s">
        <v>855</v>
      </c>
      <c r="E38" s="269" t="s">
        <v>22</v>
      </c>
      <c r="F38" s="270">
        <v>38213</v>
      </c>
      <c r="G38" s="270"/>
      <c r="H38" s="269" t="s">
        <v>23</v>
      </c>
      <c r="I38" s="271" t="s">
        <v>24</v>
      </c>
      <c r="J38" s="271"/>
      <c r="K38" s="272" t="s">
        <v>17</v>
      </c>
      <c r="L38" s="273">
        <v>561015.21</v>
      </c>
    </row>
    <row r="39" spans="1:12" ht="51" hidden="1" x14ac:dyDescent="0.3">
      <c r="A39" s="267" t="s">
        <v>361</v>
      </c>
      <c r="B39" s="268" t="s">
        <v>857</v>
      </c>
      <c r="C39" s="268" t="s">
        <v>858</v>
      </c>
      <c r="D39" s="268" t="s">
        <v>859</v>
      </c>
      <c r="E39" s="269" t="s">
        <v>22</v>
      </c>
      <c r="F39" s="270">
        <v>8145.83</v>
      </c>
      <c r="G39" s="270"/>
      <c r="H39" s="269" t="s">
        <v>23</v>
      </c>
      <c r="I39" s="271" t="s">
        <v>24</v>
      </c>
      <c r="J39" s="271"/>
      <c r="K39" s="272" t="s">
        <v>17</v>
      </c>
      <c r="L39" s="273">
        <v>569161.04</v>
      </c>
    </row>
    <row r="40" spans="1:12" ht="51" hidden="1" x14ac:dyDescent="0.3">
      <c r="A40" s="267" t="s">
        <v>610</v>
      </c>
      <c r="B40" s="268" t="s">
        <v>633</v>
      </c>
      <c r="C40" s="268" t="s">
        <v>634</v>
      </c>
      <c r="D40" s="268" t="s">
        <v>455</v>
      </c>
      <c r="E40" s="269" t="s">
        <v>22</v>
      </c>
      <c r="F40" s="270">
        <v>40795.64</v>
      </c>
      <c r="G40" s="270"/>
      <c r="H40" s="269" t="s">
        <v>22</v>
      </c>
      <c r="I40" s="271" t="s">
        <v>24</v>
      </c>
      <c r="J40" s="271"/>
      <c r="K40" s="272" t="s">
        <v>17</v>
      </c>
      <c r="L40" s="273">
        <v>609956.68000000005</v>
      </c>
    </row>
    <row r="41" spans="1:12" ht="51" hidden="1" x14ac:dyDescent="0.3">
      <c r="A41" s="267" t="s">
        <v>610</v>
      </c>
      <c r="B41" s="268" t="s">
        <v>860</v>
      </c>
      <c r="C41" s="268" t="s">
        <v>861</v>
      </c>
      <c r="D41" s="268" t="s">
        <v>862</v>
      </c>
      <c r="E41" s="269" t="s">
        <v>22</v>
      </c>
      <c r="F41" s="270">
        <v>22958.33</v>
      </c>
      <c r="G41" s="270"/>
      <c r="H41" s="269" t="s">
        <v>23</v>
      </c>
      <c r="I41" s="271" t="s">
        <v>24</v>
      </c>
      <c r="J41" s="271"/>
      <c r="K41" s="272" t="s">
        <v>17</v>
      </c>
      <c r="L41" s="273">
        <v>632915.01</v>
      </c>
    </row>
    <row r="42" spans="1:12" ht="51" hidden="1" x14ac:dyDescent="0.3">
      <c r="A42" s="267" t="s">
        <v>610</v>
      </c>
      <c r="B42" s="268" t="s">
        <v>863</v>
      </c>
      <c r="C42" s="268" t="s">
        <v>861</v>
      </c>
      <c r="D42" s="268" t="s">
        <v>862</v>
      </c>
      <c r="E42" s="269" t="s">
        <v>22</v>
      </c>
      <c r="F42" s="270">
        <v>25375</v>
      </c>
      <c r="G42" s="270"/>
      <c r="H42" s="269" t="s">
        <v>23</v>
      </c>
      <c r="I42" s="271" t="s">
        <v>24</v>
      </c>
      <c r="J42" s="271"/>
      <c r="K42" s="272" t="s">
        <v>17</v>
      </c>
      <c r="L42" s="273">
        <v>658290.01</v>
      </c>
    </row>
    <row r="43" spans="1:12" ht="51" hidden="1" x14ac:dyDescent="0.3">
      <c r="A43" s="267" t="s">
        <v>610</v>
      </c>
      <c r="B43" s="268" t="s">
        <v>864</v>
      </c>
      <c r="C43" s="268" t="s">
        <v>865</v>
      </c>
      <c r="D43" s="268" t="s">
        <v>866</v>
      </c>
      <c r="E43" s="269" t="s">
        <v>22</v>
      </c>
      <c r="F43" s="270">
        <v>8119</v>
      </c>
      <c r="G43" s="270"/>
      <c r="H43" s="269" t="s">
        <v>23</v>
      </c>
      <c r="I43" s="271" t="s">
        <v>24</v>
      </c>
      <c r="J43" s="271"/>
      <c r="K43" s="272" t="s">
        <v>17</v>
      </c>
      <c r="L43" s="273">
        <v>666409.01</v>
      </c>
    </row>
    <row r="44" spans="1:12" ht="51" x14ac:dyDescent="0.3">
      <c r="A44" s="267" t="s">
        <v>93</v>
      </c>
      <c r="B44" s="268" t="s">
        <v>867</v>
      </c>
      <c r="C44" s="268" t="s">
        <v>727</v>
      </c>
      <c r="D44" s="268" t="s">
        <v>634</v>
      </c>
      <c r="E44" s="269" t="s">
        <v>29</v>
      </c>
      <c r="F44" s="275" t="s">
        <v>24</v>
      </c>
      <c r="G44" s="275"/>
      <c r="H44" s="269" t="s">
        <v>22</v>
      </c>
      <c r="I44" s="277">
        <v>40795.64</v>
      </c>
      <c r="J44" s="277"/>
      <c r="K44" s="272" t="s">
        <v>17</v>
      </c>
      <c r="L44" s="273">
        <v>625613.37</v>
      </c>
    </row>
    <row r="45" spans="1:12" ht="51" x14ac:dyDescent="0.3">
      <c r="A45" s="267" t="s">
        <v>93</v>
      </c>
      <c r="B45" s="268" t="s">
        <v>867</v>
      </c>
      <c r="C45" s="268" t="s">
        <v>727</v>
      </c>
      <c r="D45" s="268" t="s">
        <v>828</v>
      </c>
      <c r="E45" s="269" t="s">
        <v>29</v>
      </c>
      <c r="F45" s="275" t="s">
        <v>24</v>
      </c>
      <c r="G45" s="275"/>
      <c r="H45" s="269" t="s">
        <v>22</v>
      </c>
      <c r="I45" s="277">
        <v>45269.5</v>
      </c>
      <c r="J45" s="277"/>
      <c r="K45" s="272" t="s">
        <v>17</v>
      </c>
      <c r="L45" s="273">
        <v>580343.87</v>
      </c>
    </row>
    <row r="46" spans="1:12" ht="51" x14ac:dyDescent="0.3">
      <c r="A46" s="267" t="s">
        <v>93</v>
      </c>
      <c r="B46" s="268" t="s">
        <v>867</v>
      </c>
      <c r="C46" s="268" t="s">
        <v>727</v>
      </c>
      <c r="D46" s="268" t="s">
        <v>847</v>
      </c>
      <c r="E46" s="269" t="s">
        <v>29</v>
      </c>
      <c r="F46" s="275" t="s">
        <v>24</v>
      </c>
      <c r="G46" s="275"/>
      <c r="H46" s="269" t="s">
        <v>22</v>
      </c>
      <c r="I46" s="277">
        <v>48640</v>
      </c>
      <c r="J46" s="277"/>
      <c r="K46" s="272" t="s">
        <v>17</v>
      </c>
      <c r="L46" s="273">
        <v>531703.87</v>
      </c>
    </row>
    <row r="47" spans="1:12" ht="51" x14ac:dyDescent="0.3">
      <c r="A47" s="267" t="s">
        <v>93</v>
      </c>
      <c r="B47" s="268" t="s">
        <v>867</v>
      </c>
      <c r="C47" s="268" t="s">
        <v>727</v>
      </c>
      <c r="D47" s="268" t="s">
        <v>851</v>
      </c>
      <c r="E47" s="269" t="s">
        <v>29</v>
      </c>
      <c r="F47" s="275" t="s">
        <v>24</v>
      </c>
      <c r="G47" s="275"/>
      <c r="H47" s="269" t="s">
        <v>22</v>
      </c>
      <c r="I47" s="277">
        <v>4013.5</v>
      </c>
      <c r="J47" s="277"/>
      <c r="K47" s="272" t="s">
        <v>17</v>
      </c>
      <c r="L47" s="273">
        <v>527690.37</v>
      </c>
    </row>
    <row r="48" spans="1:12" ht="51" x14ac:dyDescent="0.3">
      <c r="A48" s="267" t="s">
        <v>93</v>
      </c>
      <c r="B48" s="268" t="s">
        <v>867</v>
      </c>
      <c r="C48" s="268" t="s">
        <v>727</v>
      </c>
      <c r="D48" s="268" t="s">
        <v>854</v>
      </c>
      <c r="E48" s="269" t="s">
        <v>29</v>
      </c>
      <c r="F48" s="275" t="s">
        <v>24</v>
      </c>
      <c r="G48" s="275"/>
      <c r="H48" s="269" t="s">
        <v>22</v>
      </c>
      <c r="I48" s="277">
        <v>56713.34</v>
      </c>
      <c r="J48" s="277"/>
      <c r="K48" s="272" t="s">
        <v>17</v>
      </c>
      <c r="L48" s="273">
        <v>470977.03</v>
      </c>
    </row>
    <row r="49" spans="1:12" ht="51" x14ac:dyDescent="0.3">
      <c r="A49" s="267" t="s">
        <v>93</v>
      </c>
      <c r="B49" s="268" t="s">
        <v>867</v>
      </c>
      <c r="C49" s="268" t="s">
        <v>727</v>
      </c>
      <c r="D49" s="268" t="s">
        <v>868</v>
      </c>
      <c r="E49" s="269" t="s">
        <v>29</v>
      </c>
      <c r="F49" s="275" t="s">
        <v>24</v>
      </c>
      <c r="G49" s="275"/>
      <c r="H49" s="269" t="s">
        <v>22</v>
      </c>
      <c r="I49" s="277">
        <v>1488.5</v>
      </c>
      <c r="J49" s="277"/>
      <c r="K49" s="272" t="s">
        <v>17</v>
      </c>
      <c r="L49" s="273">
        <v>469488.53</v>
      </c>
    </row>
    <row r="50" spans="1:12" ht="51" hidden="1" x14ac:dyDescent="0.3">
      <c r="A50" s="267" t="s">
        <v>93</v>
      </c>
      <c r="B50" s="268" t="s">
        <v>869</v>
      </c>
      <c r="C50" s="268" t="s">
        <v>870</v>
      </c>
      <c r="D50" s="268" t="s">
        <v>871</v>
      </c>
      <c r="E50" s="269" t="s">
        <v>22</v>
      </c>
      <c r="F50" s="270">
        <v>6061</v>
      </c>
      <c r="G50" s="270"/>
      <c r="H50" s="269" t="s">
        <v>23</v>
      </c>
      <c r="I50" s="271" t="s">
        <v>24</v>
      </c>
      <c r="J50" s="271"/>
      <c r="K50" s="272" t="s">
        <v>17</v>
      </c>
      <c r="L50" s="273">
        <v>475549.53</v>
      </c>
    </row>
    <row r="51" spans="1:12" ht="51" hidden="1" x14ac:dyDescent="0.3">
      <c r="A51" s="267" t="s">
        <v>93</v>
      </c>
      <c r="B51" s="268" t="s">
        <v>872</v>
      </c>
      <c r="C51" s="268" t="s">
        <v>870</v>
      </c>
      <c r="D51" s="268" t="s">
        <v>871</v>
      </c>
      <c r="E51" s="269" t="s">
        <v>22</v>
      </c>
      <c r="F51" s="270">
        <v>6699</v>
      </c>
      <c r="G51" s="270"/>
      <c r="H51" s="269" t="s">
        <v>23</v>
      </c>
      <c r="I51" s="271" t="s">
        <v>24</v>
      </c>
      <c r="J51" s="271"/>
      <c r="K51" s="272" t="s">
        <v>17</v>
      </c>
      <c r="L51" s="273">
        <v>482248.53</v>
      </c>
    </row>
    <row r="52" spans="1:12" ht="51" hidden="1" x14ac:dyDescent="0.3">
      <c r="A52" s="267" t="s">
        <v>93</v>
      </c>
      <c r="B52" s="268" t="s">
        <v>873</v>
      </c>
      <c r="C52" s="268" t="s">
        <v>874</v>
      </c>
      <c r="D52" s="268" t="s">
        <v>875</v>
      </c>
      <c r="E52" s="269" t="s">
        <v>22</v>
      </c>
      <c r="F52" s="270">
        <v>4128.5</v>
      </c>
      <c r="G52" s="270"/>
      <c r="H52" s="269" t="s">
        <v>23</v>
      </c>
      <c r="I52" s="271" t="s">
        <v>24</v>
      </c>
      <c r="J52" s="271"/>
      <c r="K52" s="272" t="s">
        <v>17</v>
      </c>
      <c r="L52" s="273">
        <v>486377.03</v>
      </c>
    </row>
    <row r="53" spans="1:12" ht="51" hidden="1" x14ac:dyDescent="0.3">
      <c r="A53" s="267" t="s">
        <v>105</v>
      </c>
      <c r="B53" s="268" t="s">
        <v>876</v>
      </c>
      <c r="C53" s="268" t="s">
        <v>877</v>
      </c>
      <c r="D53" s="268" t="s">
        <v>878</v>
      </c>
      <c r="E53" s="269" t="s">
        <v>22</v>
      </c>
      <c r="F53" s="270">
        <v>166222.5</v>
      </c>
      <c r="G53" s="270"/>
      <c r="H53" s="269" t="s">
        <v>23</v>
      </c>
      <c r="I53" s="271" t="s">
        <v>24</v>
      </c>
      <c r="J53" s="271"/>
      <c r="K53" s="272" t="s">
        <v>17</v>
      </c>
      <c r="L53" s="273">
        <v>652599.53</v>
      </c>
    </row>
    <row r="54" spans="1:12" ht="51" hidden="1" x14ac:dyDescent="0.3">
      <c r="A54" s="267" t="s">
        <v>105</v>
      </c>
      <c r="B54" s="268" t="s">
        <v>879</v>
      </c>
      <c r="C54" s="268" t="s">
        <v>877</v>
      </c>
      <c r="D54" s="268" t="s">
        <v>880</v>
      </c>
      <c r="E54" s="269" t="s">
        <v>22</v>
      </c>
      <c r="F54" s="270">
        <v>44220</v>
      </c>
      <c r="G54" s="270"/>
      <c r="H54" s="269" t="s">
        <v>23</v>
      </c>
      <c r="I54" s="271" t="s">
        <v>24</v>
      </c>
      <c r="J54" s="271"/>
      <c r="K54" s="272" t="s">
        <v>17</v>
      </c>
      <c r="L54" s="273">
        <v>696819.53</v>
      </c>
    </row>
    <row r="55" spans="1:12" ht="51" hidden="1" x14ac:dyDescent="0.3">
      <c r="A55" s="267" t="s">
        <v>181</v>
      </c>
      <c r="B55" s="268" t="s">
        <v>648</v>
      </c>
      <c r="C55" s="268" t="s">
        <v>649</v>
      </c>
      <c r="D55" s="268" t="s">
        <v>173</v>
      </c>
      <c r="E55" s="269" t="s">
        <v>22</v>
      </c>
      <c r="F55" s="274">
        <v>500</v>
      </c>
      <c r="G55" s="274"/>
      <c r="H55" s="269" t="s">
        <v>22</v>
      </c>
      <c r="I55" s="271" t="s">
        <v>24</v>
      </c>
      <c r="J55" s="271"/>
      <c r="K55" s="272" t="s">
        <v>17</v>
      </c>
      <c r="L55" s="273">
        <v>697319.53</v>
      </c>
    </row>
    <row r="56" spans="1:12" ht="51" hidden="1" x14ac:dyDescent="0.3">
      <c r="A56" s="267" t="s">
        <v>181</v>
      </c>
      <c r="B56" s="268" t="s">
        <v>648</v>
      </c>
      <c r="C56" s="268" t="s">
        <v>650</v>
      </c>
      <c r="D56" s="268" t="s">
        <v>651</v>
      </c>
      <c r="E56" s="269" t="s">
        <v>22</v>
      </c>
      <c r="F56" s="270">
        <v>5158.46</v>
      </c>
      <c r="G56" s="270"/>
      <c r="H56" s="269" t="s">
        <v>22</v>
      </c>
      <c r="I56" s="271" t="s">
        <v>24</v>
      </c>
      <c r="J56" s="271"/>
      <c r="K56" s="272" t="s">
        <v>17</v>
      </c>
      <c r="L56" s="273">
        <v>702477.99</v>
      </c>
    </row>
    <row r="57" spans="1:12" ht="51" hidden="1" x14ac:dyDescent="0.3">
      <c r="A57" s="267" t="s">
        <v>25</v>
      </c>
      <c r="B57" s="268" t="s">
        <v>881</v>
      </c>
      <c r="C57" s="268" t="s">
        <v>882</v>
      </c>
      <c r="D57" s="268" t="s">
        <v>854</v>
      </c>
      <c r="E57" s="269" t="s">
        <v>22</v>
      </c>
      <c r="F57" s="275" t="s">
        <v>24</v>
      </c>
      <c r="G57" s="275"/>
      <c r="H57" s="269" t="s">
        <v>22</v>
      </c>
      <c r="I57" s="277">
        <v>16073.33</v>
      </c>
      <c r="J57" s="277"/>
      <c r="K57" s="272" t="s">
        <v>17</v>
      </c>
      <c r="L57" s="273">
        <v>686404.66</v>
      </c>
    </row>
    <row r="58" spans="1:12" ht="51" hidden="1" x14ac:dyDescent="0.3">
      <c r="A58" s="267" t="s">
        <v>25</v>
      </c>
      <c r="B58" s="268" t="s">
        <v>881</v>
      </c>
      <c r="C58" s="268" t="s">
        <v>883</v>
      </c>
      <c r="D58" s="268" t="s">
        <v>858</v>
      </c>
      <c r="E58" s="269" t="s">
        <v>22</v>
      </c>
      <c r="F58" s="275" t="s">
        <v>24</v>
      </c>
      <c r="G58" s="275"/>
      <c r="H58" s="269" t="s">
        <v>22</v>
      </c>
      <c r="I58" s="277">
        <v>8145.83</v>
      </c>
      <c r="J58" s="277"/>
      <c r="K58" s="272" t="s">
        <v>17</v>
      </c>
      <c r="L58" s="273">
        <v>678258.83</v>
      </c>
    </row>
    <row r="59" spans="1:12" ht="51" hidden="1" x14ac:dyDescent="0.3">
      <c r="A59" s="267" t="s">
        <v>25</v>
      </c>
      <c r="B59" s="268" t="s">
        <v>881</v>
      </c>
      <c r="C59" s="268" t="s">
        <v>884</v>
      </c>
      <c r="D59" s="268" t="s">
        <v>861</v>
      </c>
      <c r="E59" s="269" t="s">
        <v>22</v>
      </c>
      <c r="F59" s="275" t="s">
        <v>24</v>
      </c>
      <c r="G59" s="275"/>
      <c r="H59" s="269" t="s">
        <v>22</v>
      </c>
      <c r="I59" s="276">
        <v>60</v>
      </c>
      <c r="J59" s="276"/>
      <c r="K59" s="272" t="s">
        <v>17</v>
      </c>
      <c r="L59" s="273">
        <v>678198.83</v>
      </c>
    </row>
    <row r="60" spans="1:12" ht="51" x14ac:dyDescent="0.3">
      <c r="A60" s="267" t="s">
        <v>25</v>
      </c>
      <c r="B60" s="268" t="s">
        <v>885</v>
      </c>
      <c r="C60" s="268" t="s">
        <v>727</v>
      </c>
      <c r="D60" s="268" t="s">
        <v>823</v>
      </c>
      <c r="E60" s="269" t="s">
        <v>29</v>
      </c>
      <c r="F60" s="275" t="s">
        <v>24</v>
      </c>
      <c r="G60" s="275"/>
      <c r="H60" s="269" t="s">
        <v>22</v>
      </c>
      <c r="I60" s="276">
        <v>47.5</v>
      </c>
      <c r="J60" s="276"/>
      <c r="K60" s="272" t="s">
        <v>17</v>
      </c>
      <c r="L60" s="273">
        <v>678151.33</v>
      </c>
    </row>
    <row r="61" spans="1:12" ht="51" x14ac:dyDescent="0.3">
      <c r="A61" s="267" t="s">
        <v>25</v>
      </c>
      <c r="B61" s="268" t="s">
        <v>885</v>
      </c>
      <c r="C61" s="268" t="s">
        <v>727</v>
      </c>
      <c r="D61" s="268" t="s">
        <v>650</v>
      </c>
      <c r="E61" s="269" t="s">
        <v>29</v>
      </c>
      <c r="F61" s="275" t="s">
        <v>24</v>
      </c>
      <c r="G61" s="275"/>
      <c r="H61" s="269" t="s">
        <v>22</v>
      </c>
      <c r="I61" s="277">
        <v>5158.46</v>
      </c>
      <c r="J61" s="277"/>
      <c r="K61" s="272" t="s">
        <v>17</v>
      </c>
      <c r="L61" s="273">
        <v>672992.87</v>
      </c>
    </row>
    <row r="62" spans="1:12" ht="51" x14ac:dyDescent="0.3">
      <c r="A62" s="267" t="s">
        <v>25</v>
      </c>
      <c r="B62" s="268" t="s">
        <v>885</v>
      </c>
      <c r="C62" s="268" t="s">
        <v>727</v>
      </c>
      <c r="D62" s="268" t="s">
        <v>649</v>
      </c>
      <c r="E62" s="269" t="s">
        <v>29</v>
      </c>
      <c r="F62" s="275" t="s">
        <v>24</v>
      </c>
      <c r="G62" s="275"/>
      <c r="H62" s="269" t="s">
        <v>22</v>
      </c>
      <c r="I62" s="276">
        <v>500</v>
      </c>
      <c r="J62" s="276"/>
      <c r="K62" s="272" t="s">
        <v>17</v>
      </c>
      <c r="L62" s="273">
        <v>672492.87</v>
      </c>
    </row>
    <row r="63" spans="1:12" ht="51" x14ac:dyDescent="0.3">
      <c r="A63" s="267" t="s">
        <v>25</v>
      </c>
      <c r="B63" s="268" t="s">
        <v>886</v>
      </c>
      <c r="C63" s="268" t="s">
        <v>727</v>
      </c>
      <c r="D63" s="268" t="s">
        <v>816</v>
      </c>
      <c r="E63" s="269" t="s">
        <v>29</v>
      </c>
      <c r="F63" s="275" t="s">
        <v>24</v>
      </c>
      <c r="G63" s="275"/>
      <c r="H63" s="269" t="s">
        <v>22</v>
      </c>
      <c r="I63" s="277">
        <v>8885.59</v>
      </c>
      <c r="J63" s="277"/>
      <c r="K63" s="272" t="s">
        <v>17</v>
      </c>
      <c r="L63" s="273">
        <v>663607.28</v>
      </c>
    </row>
    <row r="64" spans="1:12" ht="51" x14ac:dyDescent="0.3">
      <c r="A64" s="267" t="s">
        <v>25</v>
      </c>
      <c r="B64" s="268" t="s">
        <v>886</v>
      </c>
      <c r="C64" s="268" t="s">
        <v>727</v>
      </c>
      <c r="D64" s="268" t="s">
        <v>592</v>
      </c>
      <c r="E64" s="269" t="s">
        <v>29</v>
      </c>
      <c r="F64" s="275" t="s">
        <v>24</v>
      </c>
      <c r="G64" s="275"/>
      <c r="H64" s="269" t="s">
        <v>22</v>
      </c>
      <c r="I64" s="277">
        <v>2612.04</v>
      </c>
      <c r="J64" s="277"/>
      <c r="K64" s="272" t="s">
        <v>17</v>
      </c>
      <c r="L64" s="273">
        <v>660995.24</v>
      </c>
    </row>
    <row r="65" spans="1:12" ht="51" x14ac:dyDescent="0.3">
      <c r="A65" s="267" t="s">
        <v>25</v>
      </c>
      <c r="B65" s="268" t="s">
        <v>886</v>
      </c>
      <c r="C65" s="268" t="s">
        <v>727</v>
      </c>
      <c r="D65" s="268" t="s">
        <v>597</v>
      </c>
      <c r="E65" s="269" t="s">
        <v>29</v>
      </c>
      <c r="F65" s="275" t="s">
        <v>24</v>
      </c>
      <c r="G65" s="275"/>
      <c r="H65" s="269" t="s">
        <v>22</v>
      </c>
      <c r="I65" s="277">
        <v>98384.47</v>
      </c>
      <c r="J65" s="277"/>
      <c r="K65" s="272" t="s">
        <v>17</v>
      </c>
      <c r="L65" s="273">
        <v>562610.77</v>
      </c>
    </row>
    <row r="66" spans="1:12" ht="51" x14ac:dyDescent="0.3">
      <c r="A66" s="267" t="s">
        <v>25</v>
      </c>
      <c r="B66" s="268" t="s">
        <v>886</v>
      </c>
      <c r="C66" s="268" t="s">
        <v>727</v>
      </c>
      <c r="D66" s="268" t="s">
        <v>877</v>
      </c>
      <c r="E66" s="269" t="s">
        <v>29</v>
      </c>
      <c r="F66" s="275" t="s">
        <v>24</v>
      </c>
      <c r="G66" s="275"/>
      <c r="H66" s="269" t="s">
        <v>22</v>
      </c>
      <c r="I66" s="277">
        <v>210442.5</v>
      </c>
      <c r="J66" s="277"/>
      <c r="K66" s="272" t="s">
        <v>17</v>
      </c>
      <c r="L66" s="273">
        <v>352168.27</v>
      </c>
    </row>
    <row r="67" spans="1:12" hidden="1" x14ac:dyDescent="0.3">
      <c r="A67" s="278" t="s">
        <v>47</v>
      </c>
      <c r="B67" s="278"/>
      <c r="C67" s="278"/>
      <c r="D67" s="278"/>
      <c r="E67" s="279">
        <v>987508.85</v>
      </c>
      <c r="F67" s="279"/>
      <c r="G67" s="279"/>
      <c r="H67" s="279">
        <v>817944.11</v>
      </c>
      <c r="I67" s="279"/>
      <c r="J67" s="279"/>
      <c r="K67" s="280" t="s">
        <v>17</v>
      </c>
      <c r="L67" s="281">
        <v>352168.27</v>
      </c>
    </row>
    <row r="69" spans="1:12" x14ac:dyDescent="0.3">
      <c r="J69" s="29">
        <f>SUBTOTAL(9,I12:J66)*1.2</f>
        <v>952397.94000000006</v>
      </c>
    </row>
  </sheetData>
  <autoFilter ref="B1:D67">
    <filterColumn colId="0">
      <filters>
        <filter val="Вимога-накладна ІБ00-000066 від 05.02.2025 18:00:18_x000a_Списаны ТМЦ"/>
        <filter val="Вимога-накладна ІБ00-000106 від 20.02.2025 18:11:16_x000a_Списаны ТМЦ"/>
        <filter val="Вимога-накладна ІБ00-000142 від 24.02.2025 10:00:00_x000a_Списаны ТМЦ"/>
        <filter val="Вимога-накладна ІБ00-000143 від 28.02.2025 20:00:00_x000a_Списаны ТМЦ"/>
        <filter val="Списання товарів ІБ00-000073 від 20.02.2025 18:11:17_x000a_Списаны ТМЦ"/>
        <filter val="Списання товарів ІБ00-000122 від 28.02.2025 20:00:00_x000a_Списаны ТМЦ"/>
      </filters>
    </filterColumn>
  </autoFilter>
  <mergeCells count="140">
    <mergeCell ref="A67:D67"/>
    <mergeCell ref="E67:G67"/>
    <mergeCell ref="H67:J67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25"/>
  <sheetViews>
    <sheetView topLeftCell="A118" workbookViewId="0">
      <selection activeCell="J125" sqref="J125"/>
    </sheetView>
  </sheetViews>
  <sheetFormatPr defaultRowHeight="14.4" x14ac:dyDescent="0.3"/>
  <cols>
    <col min="2" max="4" width="20" customWidth="1"/>
    <col min="10" max="10" width="9.88671875" bestFit="1" customWidth="1"/>
  </cols>
  <sheetData>
    <row r="1" spans="1:12" x14ac:dyDescent="0.3">
      <c r="A1" s="282" t="s">
        <v>9</v>
      </c>
      <c r="B1" s="283" t="s">
        <v>10</v>
      </c>
      <c r="C1" s="283" t="s">
        <v>11</v>
      </c>
      <c r="D1" s="284" t="s">
        <v>12</v>
      </c>
      <c r="E1" s="285" t="s">
        <v>13</v>
      </c>
      <c r="F1" s="285"/>
      <c r="G1" s="285"/>
      <c r="H1" s="286" t="s">
        <v>14</v>
      </c>
      <c r="I1" s="286"/>
      <c r="J1" s="286"/>
      <c r="K1" s="283" t="s">
        <v>15</v>
      </c>
      <c r="L1" s="283"/>
    </row>
    <row r="2" spans="1:12" hidden="1" x14ac:dyDescent="0.3">
      <c r="A2" s="287"/>
      <c r="B2" s="288"/>
      <c r="C2" s="288"/>
      <c r="D2" s="289"/>
      <c r="E2" s="290" t="s">
        <v>16</v>
      </c>
      <c r="F2" s="291"/>
      <c r="G2" s="291"/>
      <c r="H2" s="292" t="s">
        <v>16</v>
      </c>
      <c r="I2" s="293"/>
      <c r="J2" s="293"/>
      <c r="K2" s="287"/>
      <c r="L2" s="294"/>
    </row>
    <row r="3" spans="1:12" ht="61.2" hidden="1" x14ac:dyDescent="0.3">
      <c r="A3" s="295" t="s">
        <v>141</v>
      </c>
      <c r="B3" s="296" t="s">
        <v>438</v>
      </c>
      <c r="C3" s="296" t="s">
        <v>439</v>
      </c>
      <c r="D3" s="296" t="s">
        <v>440</v>
      </c>
      <c r="E3" s="297" t="s">
        <v>22</v>
      </c>
      <c r="F3" s="298" t="s">
        <v>24</v>
      </c>
      <c r="G3" s="298"/>
      <c r="H3" s="297" t="s">
        <v>22</v>
      </c>
      <c r="I3" s="299">
        <v>950</v>
      </c>
      <c r="J3" s="299"/>
      <c r="K3" s="300" t="s">
        <v>17</v>
      </c>
      <c r="L3" s="301">
        <v>500369.62</v>
      </c>
    </row>
    <row r="4" spans="1:12" ht="71.400000000000006" hidden="1" x14ac:dyDescent="0.3">
      <c r="A4" s="295" t="s">
        <v>141</v>
      </c>
      <c r="B4" s="296" t="s">
        <v>811</v>
      </c>
      <c r="C4" s="296" t="s">
        <v>812</v>
      </c>
      <c r="D4" s="296" t="s">
        <v>813</v>
      </c>
      <c r="E4" s="297" t="s">
        <v>22</v>
      </c>
      <c r="F4" s="298" t="s">
        <v>24</v>
      </c>
      <c r="G4" s="298"/>
      <c r="H4" s="297" t="s">
        <v>22</v>
      </c>
      <c r="I4" s="302">
        <v>6307.8</v>
      </c>
      <c r="J4" s="302"/>
      <c r="K4" s="300" t="s">
        <v>17</v>
      </c>
      <c r="L4" s="301">
        <v>494061.82</v>
      </c>
    </row>
    <row r="5" spans="1:12" ht="71.400000000000006" hidden="1" x14ac:dyDescent="0.3">
      <c r="A5" s="295" t="s">
        <v>141</v>
      </c>
      <c r="B5" s="296" t="s">
        <v>811</v>
      </c>
      <c r="C5" s="296" t="s">
        <v>814</v>
      </c>
      <c r="D5" s="296" t="s">
        <v>815</v>
      </c>
      <c r="E5" s="297" t="s">
        <v>22</v>
      </c>
      <c r="F5" s="298" t="s">
        <v>24</v>
      </c>
      <c r="G5" s="298"/>
      <c r="H5" s="297" t="s">
        <v>22</v>
      </c>
      <c r="I5" s="302">
        <v>1753.8</v>
      </c>
      <c r="J5" s="302"/>
      <c r="K5" s="300" t="s">
        <v>17</v>
      </c>
      <c r="L5" s="301">
        <v>492308.02</v>
      </c>
    </row>
    <row r="6" spans="1:12" ht="71.400000000000006" hidden="1" x14ac:dyDescent="0.3">
      <c r="A6" s="295" t="s">
        <v>141</v>
      </c>
      <c r="B6" s="296" t="s">
        <v>811</v>
      </c>
      <c r="C6" s="296" t="s">
        <v>816</v>
      </c>
      <c r="D6" s="296" t="s">
        <v>817</v>
      </c>
      <c r="E6" s="297" t="s">
        <v>22</v>
      </c>
      <c r="F6" s="298" t="s">
        <v>24</v>
      </c>
      <c r="G6" s="298"/>
      <c r="H6" s="297" t="s">
        <v>22</v>
      </c>
      <c r="I6" s="302">
        <v>9826.42</v>
      </c>
      <c r="J6" s="302"/>
      <c r="K6" s="300" t="s">
        <v>17</v>
      </c>
      <c r="L6" s="301">
        <v>482481.6</v>
      </c>
    </row>
    <row r="7" spans="1:12" ht="91.8" hidden="1" x14ac:dyDescent="0.3">
      <c r="A7" s="295" t="s">
        <v>141</v>
      </c>
      <c r="B7" s="296" t="s">
        <v>811</v>
      </c>
      <c r="C7" s="296" t="s">
        <v>818</v>
      </c>
      <c r="D7" s="296" t="s">
        <v>659</v>
      </c>
      <c r="E7" s="297" t="s">
        <v>22</v>
      </c>
      <c r="F7" s="298" t="s">
        <v>24</v>
      </c>
      <c r="G7" s="298"/>
      <c r="H7" s="297" t="s">
        <v>22</v>
      </c>
      <c r="I7" s="299">
        <v>97.68</v>
      </c>
      <c r="J7" s="299"/>
      <c r="K7" s="300" t="s">
        <v>17</v>
      </c>
      <c r="L7" s="301">
        <v>482383.92</v>
      </c>
    </row>
    <row r="8" spans="1:12" ht="81.599999999999994" hidden="1" x14ac:dyDescent="0.3">
      <c r="A8" s="295" t="s">
        <v>141</v>
      </c>
      <c r="B8" s="296" t="s">
        <v>657</v>
      </c>
      <c r="C8" s="296" t="s">
        <v>658</v>
      </c>
      <c r="D8" s="296" t="s">
        <v>659</v>
      </c>
      <c r="E8" s="297" t="s">
        <v>22</v>
      </c>
      <c r="F8" s="298" t="s">
        <v>24</v>
      </c>
      <c r="G8" s="298"/>
      <c r="H8" s="297" t="s">
        <v>22</v>
      </c>
      <c r="I8" s="302">
        <v>1269.83</v>
      </c>
      <c r="J8" s="302"/>
      <c r="K8" s="300" t="s">
        <v>17</v>
      </c>
      <c r="L8" s="301">
        <v>481114.09</v>
      </c>
    </row>
    <row r="9" spans="1:12" ht="81.599999999999994" hidden="1" x14ac:dyDescent="0.3">
      <c r="A9" s="295" t="s">
        <v>141</v>
      </c>
      <c r="B9" s="296" t="s">
        <v>787</v>
      </c>
      <c r="C9" s="296" t="s">
        <v>788</v>
      </c>
      <c r="D9" s="296" t="s">
        <v>789</v>
      </c>
      <c r="E9" s="297" t="s">
        <v>22</v>
      </c>
      <c r="F9" s="298" t="s">
        <v>24</v>
      </c>
      <c r="G9" s="298"/>
      <c r="H9" s="297" t="s">
        <v>22</v>
      </c>
      <c r="I9" s="302">
        <v>17510</v>
      </c>
      <c r="J9" s="302"/>
      <c r="K9" s="300" t="s">
        <v>17</v>
      </c>
      <c r="L9" s="301">
        <v>463604.09</v>
      </c>
    </row>
    <row r="10" spans="1:12" ht="71.400000000000006" hidden="1" x14ac:dyDescent="0.3">
      <c r="A10" s="295" t="s">
        <v>262</v>
      </c>
      <c r="B10" s="296" t="s">
        <v>887</v>
      </c>
      <c r="C10" s="296" t="s">
        <v>888</v>
      </c>
      <c r="D10" s="296" t="s">
        <v>889</v>
      </c>
      <c r="E10" s="297" t="s">
        <v>22</v>
      </c>
      <c r="F10" s="303">
        <v>6501</v>
      </c>
      <c r="G10" s="303"/>
      <c r="H10" s="297" t="s">
        <v>23</v>
      </c>
      <c r="I10" s="304" t="s">
        <v>24</v>
      </c>
      <c r="J10" s="304"/>
      <c r="K10" s="300" t="s">
        <v>17</v>
      </c>
      <c r="L10" s="301">
        <v>470105.09</v>
      </c>
    </row>
    <row r="11" spans="1:12" ht="61.2" x14ac:dyDescent="0.3">
      <c r="A11" s="295" t="s">
        <v>453</v>
      </c>
      <c r="B11" s="296" t="s">
        <v>890</v>
      </c>
      <c r="C11" s="296" t="s">
        <v>27</v>
      </c>
      <c r="D11" s="296" t="s">
        <v>440</v>
      </c>
      <c r="E11" s="297" t="s">
        <v>29</v>
      </c>
      <c r="F11" s="298" t="s">
        <v>24</v>
      </c>
      <c r="G11" s="298"/>
      <c r="H11" s="297" t="s">
        <v>22</v>
      </c>
      <c r="I11" s="302">
        <v>1900</v>
      </c>
      <c r="J11" s="302"/>
      <c r="K11" s="300" t="s">
        <v>17</v>
      </c>
      <c r="L11" s="301">
        <v>468205.09</v>
      </c>
    </row>
    <row r="12" spans="1:12" ht="71.400000000000006" hidden="1" x14ac:dyDescent="0.3">
      <c r="A12" s="295" t="s">
        <v>453</v>
      </c>
      <c r="B12" s="296" t="s">
        <v>462</v>
      </c>
      <c r="C12" s="296" t="s">
        <v>463</v>
      </c>
      <c r="D12" s="296" t="s">
        <v>456</v>
      </c>
      <c r="E12" s="297" t="s">
        <v>22</v>
      </c>
      <c r="F12" s="303">
        <v>39775.1</v>
      </c>
      <c r="G12" s="303"/>
      <c r="H12" s="297" t="s">
        <v>22</v>
      </c>
      <c r="I12" s="304" t="s">
        <v>24</v>
      </c>
      <c r="J12" s="304"/>
      <c r="K12" s="300" t="s">
        <v>17</v>
      </c>
      <c r="L12" s="301">
        <v>507980.19</v>
      </c>
    </row>
    <row r="13" spans="1:12" ht="71.400000000000006" x14ac:dyDescent="0.3">
      <c r="A13" s="295" t="s">
        <v>453</v>
      </c>
      <c r="B13" s="296" t="s">
        <v>891</v>
      </c>
      <c r="C13" s="296" t="s">
        <v>27</v>
      </c>
      <c r="D13" s="296" t="s">
        <v>789</v>
      </c>
      <c r="E13" s="297" t="s">
        <v>29</v>
      </c>
      <c r="F13" s="298" t="s">
        <v>24</v>
      </c>
      <c r="G13" s="298"/>
      <c r="H13" s="297" t="s">
        <v>22</v>
      </c>
      <c r="I13" s="302">
        <v>10880</v>
      </c>
      <c r="J13" s="302"/>
      <c r="K13" s="300" t="s">
        <v>17</v>
      </c>
      <c r="L13" s="301">
        <v>497100.19</v>
      </c>
    </row>
    <row r="14" spans="1:12" ht="71.400000000000006" x14ac:dyDescent="0.3">
      <c r="A14" s="295" t="s">
        <v>453</v>
      </c>
      <c r="B14" s="296" t="s">
        <v>891</v>
      </c>
      <c r="C14" s="296" t="s">
        <v>27</v>
      </c>
      <c r="D14" s="296" t="s">
        <v>789</v>
      </c>
      <c r="E14" s="297" t="s">
        <v>29</v>
      </c>
      <c r="F14" s="298" t="s">
        <v>24</v>
      </c>
      <c r="G14" s="298"/>
      <c r="H14" s="297" t="s">
        <v>22</v>
      </c>
      <c r="I14" s="302">
        <v>45120</v>
      </c>
      <c r="J14" s="302"/>
      <c r="K14" s="300" t="s">
        <v>17</v>
      </c>
      <c r="L14" s="301">
        <v>451980.19</v>
      </c>
    </row>
    <row r="15" spans="1:12" ht="71.400000000000006" x14ac:dyDescent="0.3">
      <c r="A15" s="295" t="s">
        <v>453</v>
      </c>
      <c r="B15" s="296" t="s">
        <v>891</v>
      </c>
      <c r="C15" s="296" t="s">
        <v>27</v>
      </c>
      <c r="D15" s="296" t="s">
        <v>789</v>
      </c>
      <c r="E15" s="297" t="s">
        <v>29</v>
      </c>
      <c r="F15" s="298" t="s">
        <v>24</v>
      </c>
      <c r="G15" s="298"/>
      <c r="H15" s="297" t="s">
        <v>22</v>
      </c>
      <c r="I15" s="302">
        <v>6305</v>
      </c>
      <c r="J15" s="302"/>
      <c r="K15" s="300" t="s">
        <v>17</v>
      </c>
      <c r="L15" s="301">
        <v>445675.19</v>
      </c>
    </row>
    <row r="16" spans="1:12" ht="71.400000000000006" x14ac:dyDescent="0.3">
      <c r="A16" s="295" t="s">
        <v>453</v>
      </c>
      <c r="B16" s="296" t="s">
        <v>891</v>
      </c>
      <c r="C16" s="296" t="s">
        <v>27</v>
      </c>
      <c r="D16" s="296" t="s">
        <v>892</v>
      </c>
      <c r="E16" s="297" t="s">
        <v>29</v>
      </c>
      <c r="F16" s="298" t="s">
        <v>24</v>
      </c>
      <c r="G16" s="298"/>
      <c r="H16" s="297" t="s">
        <v>22</v>
      </c>
      <c r="I16" s="302">
        <v>6424.5</v>
      </c>
      <c r="J16" s="302"/>
      <c r="K16" s="300" t="s">
        <v>17</v>
      </c>
      <c r="L16" s="301">
        <v>439250.69</v>
      </c>
    </row>
    <row r="17" spans="1:12" ht="71.400000000000006" x14ac:dyDescent="0.3">
      <c r="A17" s="295" t="s">
        <v>453</v>
      </c>
      <c r="B17" s="296" t="s">
        <v>891</v>
      </c>
      <c r="C17" s="296" t="s">
        <v>27</v>
      </c>
      <c r="D17" s="296" t="s">
        <v>893</v>
      </c>
      <c r="E17" s="297" t="s">
        <v>29</v>
      </c>
      <c r="F17" s="298" t="s">
        <v>24</v>
      </c>
      <c r="G17" s="298"/>
      <c r="H17" s="297" t="s">
        <v>22</v>
      </c>
      <c r="I17" s="302">
        <v>3204</v>
      </c>
      <c r="J17" s="302"/>
      <c r="K17" s="300" t="s">
        <v>17</v>
      </c>
      <c r="L17" s="301">
        <v>436046.69</v>
      </c>
    </row>
    <row r="18" spans="1:12" ht="71.400000000000006" x14ac:dyDescent="0.3">
      <c r="A18" s="295" t="s">
        <v>453</v>
      </c>
      <c r="B18" s="296" t="s">
        <v>891</v>
      </c>
      <c r="C18" s="296" t="s">
        <v>27</v>
      </c>
      <c r="D18" s="296" t="s">
        <v>894</v>
      </c>
      <c r="E18" s="297" t="s">
        <v>29</v>
      </c>
      <c r="F18" s="298" t="s">
        <v>24</v>
      </c>
      <c r="G18" s="298"/>
      <c r="H18" s="297" t="s">
        <v>22</v>
      </c>
      <c r="I18" s="302">
        <v>3226.5</v>
      </c>
      <c r="J18" s="302"/>
      <c r="K18" s="300" t="s">
        <v>17</v>
      </c>
      <c r="L18" s="301">
        <v>432820.19</v>
      </c>
    </row>
    <row r="19" spans="1:12" ht="71.400000000000006" x14ac:dyDescent="0.3">
      <c r="A19" s="295" t="s">
        <v>453</v>
      </c>
      <c r="B19" s="296" t="s">
        <v>891</v>
      </c>
      <c r="C19" s="296" t="s">
        <v>27</v>
      </c>
      <c r="D19" s="296" t="s">
        <v>895</v>
      </c>
      <c r="E19" s="297" t="s">
        <v>29</v>
      </c>
      <c r="F19" s="298" t="s">
        <v>24</v>
      </c>
      <c r="G19" s="298"/>
      <c r="H19" s="297" t="s">
        <v>22</v>
      </c>
      <c r="I19" s="302">
        <v>3285</v>
      </c>
      <c r="J19" s="302"/>
      <c r="K19" s="300" t="s">
        <v>17</v>
      </c>
      <c r="L19" s="301">
        <v>429535.19</v>
      </c>
    </row>
    <row r="20" spans="1:12" ht="71.400000000000006" x14ac:dyDescent="0.3">
      <c r="A20" s="295" t="s">
        <v>453</v>
      </c>
      <c r="B20" s="296" t="s">
        <v>891</v>
      </c>
      <c r="C20" s="296" t="s">
        <v>27</v>
      </c>
      <c r="D20" s="296" t="s">
        <v>896</v>
      </c>
      <c r="E20" s="297" t="s">
        <v>29</v>
      </c>
      <c r="F20" s="298" t="s">
        <v>24</v>
      </c>
      <c r="G20" s="298"/>
      <c r="H20" s="297" t="s">
        <v>22</v>
      </c>
      <c r="I20" s="302">
        <v>19710</v>
      </c>
      <c r="J20" s="302"/>
      <c r="K20" s="300" t="s">
        <v>17</v>
      </c>
      <c r="L20" s="301">
        <v>409825.19</v>
      </c>
    </row>
    <row r="21" spans="1:12" ht="71.400000000000006" x14ac:dyDescent="0.3">
      <c r="A21" s="295" t="s">
        <v>453</v>
      </c>
      <c r="B21" s="296" t="s">
        <v>891</v>
      </c>
      <c r="C21" s="296" t="s">
        <v>27</v>
      </c>
      <c r="D21" s="296" t="s">
        <v>896</v>
      </c>
      <c r="E21" s="297" t="s">
        <v>29</v>
      </c>
      <c r="F21" s="298" t="s">
        <v>24</v>
      </c>
      <c r="G21" s="298"/>
      <c r="H21" s="297" t="s">
        <v>22</v>
      </c>
      <c r="I21" s="302">
        <v>10755</v>
      </c>
      <c r="J21" s="302"/>
      <c r="K21" s="300" t="s">
        <v>17</v>
      </c>
      <c r="L21" s="301">
        <v>399070.19</v>
      </c>
    </row>
    <row r="22" spans="1:12" ht="71.400000000000006" x14ac:dyDescent="0.3">
      <c r="A22" s="295" t="s">
        <v>453</v>
      </c>
      <c r="B22" s="296" t="s">
        <v>891</v>
      </c>
      <c r="C22" s="296" t="s">
        <v>27</v>
      </c>
      <c r="D22" s="296" t="s">
        <v>896</v>
      </c>
      <c r="E22" s="297" t="s">
        <v>29</v>
      </c>
      <c r="F22" s="298" t="s">
        <v>24</v>
      </c>
      <c r="G22" s="298"/>
      <c r="H22" s="297" t="s">
        <v>22</v>
      </c>
      <c r="I22" s="302">
        <v>24385</v>
      </c>
      <c r="J22" s="302"/>
      <c r="K22" s="300" t="s">
        <v>17</v>
      </c>
      <c r="L22" s="301">
        <v>374685.19</v>
      </c>
    </row>
    <row r="23" spans="1:12" ht="71.400000000000006" x14ac:dyDescent="0.3">
      <c r="A23" s="295" t="s">
        <v>453</v>
      </c>
      <c r="B23" s="296" t="s">
        <v>891</v>
      </c>
      <c r="C23" s="296" t="s">
        <v>27</v>
      </c>
      <c r="D23" s="296" t="s">
        <v>897</v>
      </c>
      <c r="E23" s="297" t="s">
        <v>29</v>
      </c>
      <c r="F23" s="298" t="s">
        <v>24</v>
      </c>
      <c r="G23" s="298"/>
      <c r="H23" s="297" t="s">
        <v>22</v>
      </c>
      <c r="I23" s="302">
        <v>3264</v>
      </c>
      <c r="J23" s="302"/>
      <c r="K23" s="300" t="s">
        <v>17</v>
      </c>
      <c r="L23" s="301">
        <v>371421.19</v>
      </c>
    </row>
    <row r="24" spans="1:12" ht="71.400000000000006" x14ac:dyDescent="0.3">
      <c r="A24" s="295" t="s">
        <v>453</v>
      </c>
      <c r="B24" s="296" t="s">
        <v>891</v>
      </c>
      <c r="C24" s="296" t="s">
        <v>27</v>
      </c>
      <c r="D24" s="296" t="s">
        <v>898</v>
      </c>
      <c r="E24" s="297" t="s">
        <v>29</v>
      </c>
      <c r="F24" s="298" t="s">
        <v>24</v>
      </c>
      <c r="G24" s="298"/>
      <c r="H24" s="297" t="s">
        <v>22</v>
      </c>
      <c r="I24" s="302">
        <v>1135</v>
      </c>
      <c r="J24" s="302"/>
      <c r="K24" s="300" t="s">
        <v>17</v>
      </c>
      <c r="L24" s="301">
        <v>370286.19</v>
      </c>
    </row>
    <row r="25" spans="1:12" ht="71.400000000000006" x14ac:dyDescent="0.3">
      <c r="A25" s="295" t="s">
        <v>453</v>
      </c>
      <c r="B25" s="296" t="s">
        <v>891</v>
      </c>
      <c r="C25" s="296" t="s">
        <v>27</v>
      </c>
      <c r="D25" s="296" t="s">
        <v>898</v>
      </c>
      <c r="E25" s="297" t="s">
        <v>29</v>
      </c>
      <c r="F25" s="298" t="s">
        <v>24</v>
      </c>
      <c r="G25" s="298"/>
      <c r="H25" s="297" t="s">
        <v>22</v>
      </c>
      <c r="I25" s="302">
        <v>44740</v>
      </c>
      <c r="J25" s="302"/>
      <c r="K25" s="300" t="s">
        <v>17</v>
      </c>
      <c r="L25" s="301">
        <v>325546.19</v>
      </c>
    </row>
    <row r="26" spans="1:12" ht="71.400000000000006" x14ac:dyDescent="0.3">
      <c r="A26" s="295" t="s">
        <v>453</v>
      </c>
      <c r="B26" s="296" t="s">
        <v>891</v>
      </c>
      <c r="C26" s="296" t="s">
        <v>27</v>
      </c>
      <c r="D26" s="296" t="s">
        <v>899</v>
      </c>
      <c r="E26" s="297" t="s">
        <v>29</v>
      </c>
      <c r="F26" s="298" t="s">
        <v>24</v>
      </c>
      <c r="G26" s="298"/>
      <c r="H26" s="297" t="s">
        <v>22</v>
      </c>
      <c r="I26" s="302">
        <v>3033</v>
      </c>
      <c r="J26" s="302"/>
      <c r="K26" s="300" t="s">
        <v>17</v>
      </c>
      <c r="L26" s="301">
        <v>322513.19</v>
      </c>
    </row>
    <row r="27" spans="1:12" ht="71.400000000000006" x14ac:dyDescent="0.3">
      <c r="A27" s="295" t="s">
        <v>453</v>
      </c>
      <c r="B27" s="296" t="s">
        <v>891</v>
      </c>
      <c r="C27" s="296" t="s">
        <v>27</v>
      </c>
      <c r="D27" s="296" t="s">
        <v>899</v>
      </c>
      <c r="E27" s="297" t="s">
        <v>29</v>
      </c>
      <c r="F27" s="298" t="s">
        <v>24</v>
      </c>
      <c r="G27" s="298"/>
      <c r="H27" s="297" t="s">
        <v>22</v>
      </c>
      <c r="I27" s="299">
        <v>166.5</v>
      </c>
      <c r="J27" s="299"/>
      <c r="K27" s="300" t="s">
        <v>17</v>
      </c>
      <c r="L27" s="301">
        <v>322346.69</v>
      </c>
    </row>
    <row r="28" spans="1:12" ht="71.400000000000006" x14ac:dyDescent="0.3">
      <c r="A28" s="295" t="s">
        <v>453</v>
      </c>
      <c r="B28" s="296" t="s">
        <v>891</v>
      </c>
      <c r="C28" s="296" t="s">
        <v>27</v>
      </c>
      <c r="D28" s="296" t="s">
        <v>900</v>
      </c>
      <c r="E28" s="297" t="s">
        <v>29</v>
      </c>
      <c r="F28" s="298" t="s">
        <v>24</v>
      </c>
      <c r="G28" s="298"/>
      <c r="H28" s="297" t="s">
        <v>22</v>
      </c>
      <c r="I28" s="302">
        <v>10125</v>
      </c>
      <c r="J28" s="302"/>
      <c r="K28" s="300" t="s">
        <v>17</v>
      </c>
      <c r="L28" s="301">
        <v>312221.69</v>
      </c>
    </row>
    <row r="29" spans="1:12" ht="71.400000000000006" x14ac:dyDescent="0.3">
      <c r="A29" s="295" t="s">
        <v>453</v>
      </c>
      <c r="B29" s="296" t="s">
        <v>891</v>
      </c>
      <c r="C29" s="296" t="s">
        <v>27</v>
      </c>
      <c r="D29" s="296" t="s">
        <v>900</v>
      </c>
      <c r="E29" s="297" t="s">
        <v>29</v>
      </c>
      <c r="F29" s="298" t="s">
        <v>24</v>
      </c>
      <c r="G29" s="298"/>
      <c r="H29" s="297" t="s">
        <v>22</v>
      </c>
      <c r="I29" s="302">
        <v>10950</v>
      </c>
      <c r="J29" s="302"/>
      <c r="K29" s="300" t="s">
        <v>17</v>
      </c>
      <c r="L29" s="301">
        <v>301271.69</v>
      </c>
    </row>
    <row r="30" spans="1:12" ht="71.400000000000006" x14ac:dyDescent="0.3">
      <c r="A30" s="295" t="s">
        <v>453</v>
      </c>
      <c r="B30" s="296" t="s">
        <v>891</v>
      </c>
      <c r="C30" s="296" t="s">
        <v>27</v>
      </c>
      <c r="D30" s="296" t="s">
        <v>900</v>
      </c>
      <c r="E30" s="297" t="s">
        <v>29</v>
      </c>
      <c r="F30" s="298" t="s">
        <v>24</v>
      </c>
      <c r="G30" s="298"/>
      <c r="H30" s="297" t="s">
        <v>22</v>
      </c>
      <c r="I30" s="302">
        <v>15325</v>
      </c>
      <c r="J30" s="302"/>
      <c r="K30" s="300" t="s">
        <v>17</v>
      </c>
      <c r="L30" s="301">
        <v>285946.69</v>
      </c>
    </row>
    <row r="31" spans="1:12" ht="71.400000000000006" x14ac:dyDescent="0.3">
      <c r="A31" s="295" t="s">
        <v>453</v>
      </c>
      <c r="B31" s="296" t="s">
        <v>891</v>
      </c>
      <c r="C31" s="296" t="s">
        <v>27</v>
      </c>
      <c r="D31" s="296" t="s">
        <v>901</v>
      </c>
      <c r="E31" s="297" t="s">
        <v>29</v>
      </c>
      <c r="F31" s="298" t="s">
        <v>24</v>
      </c>
      <c r="G31" s="298"/>
      <c r="H31" s="297" t="s">
        <v>22</v>
      </c>
      <c r="I31" s="302">
        <v>6090</v>
      </c>
      <c r="J31" s="302"/>
      <c r="K31" s="300" t="s">
        <v>17</v>
      </c>
      <c r="L31" s="301">
        <v>279856.69</v>
      </c>
    </row>
    <row r="32" spans="1:12" ht="71.400000000000006" x14ac:dyDescent="0.3">
      <c r="A32" s="295" t="s">
        <v>453</v>
      </c>
      <c r="B32" s="296" t="s">
        <v>891</v>
      </c>
      <c r="C32" s="296" t="s">
        <v>27</v>
      </c>
      <c r="D32" s="296" t="s">
        <v>901</v>
      </c>
      <c r="E32" s="297" t="s">
        <v>29</v>
      </c>
      <c r="F32" s="298" t="s">
        <v>24</v>
      </c>
      <c r="G32" s="298"/>
      <c r="H32" s="297" t="s">
        <v>22</v>
      </c>
      <c r="I32" s="302">
        <v>8385</v>
      </c>
      <c r="J32" s="302"/>
      <c r="K32" s="300" t="s">
        <v>17</v>
      </c>
      <c r="L32" s="301">
        <v>271471.69</v>
      </c>
    </row>
    <row r="33" spans="1:12" ht="61.2" x14ac:dyDescent="0.3">
      <c r="A33" s="295" t="s">
        <v>453</v>
      </c>
      <c r="B33" s="296" t="s">
        <v>891</v>
      </c>
      <c r="C33" s="296" t="s">
        <v>27</v>
      </c>
      <c r="D33" s="296" t="s">
        <v>902</v>
      </c>
      <c r="E33" s="297" t="s">
        <v>29</v>
      </c>
      <c r="F33" s="298" t="s">
        <v>24</v>
      </c>
      <c r="G33" s="298"/>
      <c r="H33" s="297" t="s">
        <v>22</v>
      </c>
      <c r="I33" s="299">
        <v>996.15</v>
      </c>
      <c r="J33" s="299"/>
      <c r="K33" s="300" t="s">
        <v>17</v>
      </c>
      <c r="L33" s="301">
        <v>270475.53999999998</v>
      </c>
    </row>
    <row r="34" spans="1:12" ht="61.2" x14ac:dyDescent="0.3">
      <c r="A34" s="295" t="s">
        <v>453</v>
      </c>
      <c r="B34" s="296" t="s">
        <v>891</v>
      </c>
      <c r="C34" s="296" t="s">
        <v>27</v>
      </c>
      <c r="D34" s="296" t="s">
        <v>903</v>
      </c>
      <c r="E34" s="297" t="s">
        <v>29</v>
      </c>
      <c r="F34" s="298" t="s">
        <v>24</v>
      </c>
      <c r="G34" s="298"/>
      <c r="H34" s="297" t="s">
        <v>22</v>
      </c>
      <c r="I34" s="302">
        <v>14666.78</v>
      </c>
      <c r="J34" s="302"/>
      <c r="K34" s="300" t="s">
        <v>17</v>
      </c>
      <c r="L34" s="301">
        <v>255808.76</v>
      </c>
    </row>
    <row r="35" spans="1:12" ht="61.2" x14ac:dyDescent="0.3">
      <c r="A35" s="295" t="s">
        <v>453</v>
      </c>
      <c r="B35" s="296" t="s">
        <v>891</v>
      </c>
      <c r="C35" s="296" t="s">
        <v>27</v>
      </c>
      <c r="D35" s="296" t="s">
        <v>904</v>
      </c>
      <c r="E35" s="297" t="s">
        <v>29</v>
      </c>
      <c r="F35" s="298" t="s">
        <v>24</v>
      </c>
      <c r="G35" s="298"/>
      <c r="H35" s="297" t="s">
        <v>22</v>
      </c>
      <c r="I35" s="299">
        <v>800.79</v>
      </c>
      <c r="J35" s="299"/>
      <c r="K35" s="300" t="s">
        <v>17</v>
      </c>
      <c r="L35" s="301">
        <v>255007.97</v>
      </c>
    </row>
    <row r="36" spans="1:12" ht="61.2" x14ac:dyDescent="0.3">
      <c r="A36" s="295" t="s">
        <v>453</v>
      </c>
      <c r="B36" s="296" t="s">
        <v>891</v>
      </c>
      <c r="C36" s="296" t="s">
        <v>27</v>
      </c>
      <c r="D36" s="296" t="s">
        <v>817</v>
      </c>
      <c r="E36" s="297" t="s">
        <v>29</v>
      </c>
      <c r="F36" s="298" t="s">
        <v>24</v>
      </c>
      <c r="G36" s="298"/>
      <c r="H36" s="297" t="s">
        <v>22</v>
      </c>
      <c r="I36" s="299">
        <v>627.22</v>
      </c>
      <c r="J36" s="299"/>
      <c r="K36" s="300" t="s">
        <v>17</v>
      </c>
      <c r="L36" s="301">
        <v>254380.75</v>
      </c>
    </row>
    <row r="37" spans="1:12" ht="61.2" x14ac:dyDescent="0.3">
      <c r="A37" s="295" t="s">
        <v>453</v>
      </c>
      <c r="B37" s="296" t="s">
        <v>891</v>
      </c>
      <c r="C37" s="296" t="s">
        <v>27</v>
      </c>
      <c r="D37" s="296" t="s">
        <v>905</v>
      </c>
      <c r="E37" s="297" t="s">
        <v>29</v>
      </c>
      <c r="F37" s="298" t="s">
        <v>24</v>
      </c>
      <c r="G37" s="298"/>
      <c r="H37" s="297" t="s">
        <v>22</v>
      </c>
      <c r="I37" s="302">
        <v>59066.95</v>
      </c>
      <c r="J37" s="302"/>
      <c r="K37" s="300" t="s">
        <v>17</v>
      </c>
      <c r="L37" s="301">
        <v>195313.8</v>
      </c>
    </row>
    <row r="38" spans="1:12" ht="71.400000000000006" x14ac:dyDescent="0.3">
      <c r="A38" s="295" t="s">
        <v>453</v>
      </c>
      <c r="B38" s="296" t="s">
        <v>891</v>
      </c>
      <c r="C38" s="296" t="s">
        <v>27</v>
      </c>
      <c r="D38" s="296" t="s">
        <v>463</v>
      </c>
      <c r="E38" s="297" t="s">
        <v>29</v>
      </c>
      <c r="F38" s="298" t="s">
        <v>24</v>
      </c>
      <c r="G38" s="298"/>
      <c r="H38" s="297" t="s">
        <v>22</v>
      </c>
      <c r="I38" s="302">
        <v>39775.1</v>
      </c>
      <c r="J38" s="302"/>
      <c r="K38" s="300" t="s">
        <v>17</v>
      </c>
      <c r="L38" s="301">
        <v>155538.70000000001</v>
      </c>
    </row>
    <row r="39" spans="1:12" ht="61.2" x14ac:dyDescent="0.3">
      <c r="A39" s="295" t="s">
        <v>453</v>
      </c>
      <c r="B39" s="296" t="s">
        <v>891</v>
      </c>
      <c r="C39" s="296" t="s">
        <v>27</v>
      </c>
      <c r="D39" s="296" t="s">
        <v>905</v>
      </c>
      <c r="E39" s="297" t="s">
        <v>29</v>
      </c>
      <c r="F39" s="298" t="s">
        <v>24</v>
      </c>
      <c r="G39" s="298"/>
      <c r="H39" s="297" t="s">
        <v>22</v>
      </c>
      <c r="I39" s="299">
        <v>667.84</v>
      </c>
      <c r="J39" s="299"/>
      <c r="K39" s="300" t="s">
        <v>17</v>
      </c>
      <c r="L39" s="301">
        <v>154870.85999999999</v>
      </c>
    </row>
    <row r="40" spans="1:12" ht="71.400000000000006" hidden="1" x14ac:dyDescent="0.3">
      <c r="A40" s="295" t="s">
        <v>267</v>
      </c>
      <c r="B40" s="296" t="s">
        <v>906</v>
      </c>
      <c r="C40" s="296" t="s">
        <v>907</v>
      </c>
      <c r="D40" s="296" t="s">
        <v>908</v>
      </c>
      <c r="E40" s="297" t="s">
        <v>22</v>
      </c>
      <c r="F40" s="303">
        <v>2730</v>
      </c>
      <c r="G40" s="303"/>
      <c r="H40" s="297" t="s">
        <v>23</v>
      </c>
      <c r="I40" s="304" t="s">
        <v>24</v>
      </c>
      <c r="J40" s="304"/>
      <c r="K40" s="300" t="s">
        <v>17</v>
      </c>
      <c r="L40" s="301">
        <v>157600.85999999999</v>
      </c>
    </row>
    <row r="41" spans="1:12" ht="61.2" hidden="1" x14ac:dyDescent="0.3">
      <c r="A41" s="295" t="s">
        <v>267</v>
      </c>
      <c r="B41" s="296" t="s">
        <v>906</v>
      </c>
      <c r="C41" s="296" t="s">
        <v>909</v>
      </c>
      <c r="D41" s="296" t="s">
        <v>908</v>
      </c>
      <c r="E41" s="297" t="s">
        <v>22</v>
      </c>
      <c r="F41" s="305">
        <v>46</v>
      </c>
      <c r="G41" s="305"/>
      <c r="H41" s="297" t="s">
        <v>23</v>
      </c>
      <c r="I41" s="304" t="s">
        <v>24</v>
      </c>
      <c r="J41" s="304"/>
      <c r="K41" s="300" t="s">
        <v>17</v>
      </c>
      <c r="L41" s="301">
        <v>157646.85999999999</v>
      </c>
    </row>
    <row r="42" spans="1:12" ht="61.2" hidden="1" x14ac:dyDescent="0.3">
      <c r="A42" s="295" t="s">
        <v>267</v>
      </c>
      <c r="B42" s="296" t="s">
        <v>906</v>
      </c>
      <c r="C42" s="296" t="s">
        <v>910</v>
      </c>
      <c r="D42" s="296" t="s">
        <v>908</v>
      </c>
      <c r="E42" s="297" t="s">
        <v>22</v>
      </c>
      <c r="F42" s="305">
        <v>57</v>
      </c>
      <c r="G42" s="305"/>
      <c r="H42" s="297" t="s">
        <v>23</v>
      </c>
      <c r="I42" s="304" t="s">
        <v>24</v>
      </c>
      <c r="J42" s="304"/>
      <c r="K42" s="300" t="s">
        <v>17</v>
      </c>
      <c r="L42" s="301">
        <v>157703.85999999999</v>
      </c>
    </row>
    <row r="43" spans="1:12" ht="61.2" hidden="1" x14ac:dyDescent="0.3">
      <c r="A43" s="295" t="s">
        <v>267</v>
      </c>
      <c r="B43" s="296" t="s">
        <v>906</v>
      </c>
      <c r="C43" s="296" t="s">
        <v>911</v>
      </c>
      <c r="D43" s="296" t="s">
        <v>908</v>
      </c>
      <c r="E43" s="297" t="s">
        <v>22</v>
      </c>
      <c r="F43" s="305">
        <v>141</v>
      </c>
      <c r="G43" s="305"/>
      <c r="H43" s="297" t="s">
        <v>23</v>
      </c>
      <c r="I43" s="304" t="s">
        <v>24</v>
      </c>
      <c r="J43" s="304"/>
      <c r="K43" s="300" t="s">
        <v>17</v>
      </c>
      <c r="L43" s="301">
        <v>157844.85999999999</v>
      </c>
    </row>
    <row r="44" spans="1:12" ht="61.2" hidden="1" x14ac:dyDescent="0.3">
      <c r="A44" s="295" t="s">
        <v>267</v>
      </c>
      <c r="B44" s="296" t="s">
        <v>906</v>
      </c>
      <c r="C44" s="296" t="s">
        <v>912</v>
      </c>
      <c r="D44" s="296" t="s">
        <v>908</v>
      </c>
      <c r="E44" s="297" t="s">
        <v>22</v>
      </c>
      <c r="F44" s="305">
        <v>38.5</v>
      </c>
      <c r="G44" s="305"/>
      <c r="H44" s="297" t="s">
        <v>23</v>
      </c>
      <c r="I44" s="304" t="s">
        <v>24</v>
      </c>
      <c r="J44" s="304"/>
      <c r="K44" s="300" t="s">
        <v>17</v>
      </c>
      <c r="L44" s="301">
        <v>157883.35999999999</v>
      </c>
    </row>
    <row r="45" spans="1:12" ht="61.2" hidden="1" x14ac:dyDescent="0.3">
      <c r="A45" s="295" t="s">
        <v>267</v>
      </c>
      <c r="B45" s="296" t="s">
        <v>906</v>
      </c>
      <c r="C45" s="296" t="s">
        <v>913</v>
      </c>
      <c r="D45" s="296" t="s">
        <v>908</v>
      </c>
      <c r="E45" s="297" t="s">
        <v>22</v>
      </c>
      <c r="F45" s="305">
        <v>148.5</v>
      </c>
      <c r="G45" s="305"/>
      <c r="H45" s="297" t="s">
        <v>23</v>
      </c>
      <c r="I45" s="304" t="s">
        <v>24</v>
      </c>
      <c r="J45" s="304"/>
      <c r="K45" s="300" t="s">
        <v>17</v>
      </c>
      <c r="L45" s="301">
        <v>158031.85999999999</v>
      </c>
    </row>
    <row r="46" spans="1:12" ht="61.2" hidden="1" x14ac:dyDescent="0.3">
      <c r="A46" s="295" t="s">
        <v>267</v>
      </c>
      <c r="B46" s="296" t="s">
        <v>906</v>
      </c>
      <c r="C46" s="296" t="s">
        <v>914</v>
      </c>
      <c r="D46" s="296" t="s">
        <v>908</v>
      </c>
      <c r="E46" s="297" t="s">
        <v>22</v>
      </c>
      <c r="F46" s="305">
        <v>101.5</v>
      </c>
      <c r="G46" s="305"/>
      <c r="H46" s="297" t="s">
        <v>23</v>
      </c>
      <c r="I46" s="304" t="s">
        <v>24</v>
      </c>
      <c r="J46" s="304"/>
      <c r="K46" s="300" t="s">
        <v>17</v>
      </c>
      <c r="L46" s="301">
        <v>158133.35999999999</v>
      </c>
    </row>
    <row r="47" spans="1:12" ht="71.400000000000006" hidden="1" x14ac:dyDescent="0.3">
      <c r="A47" s="295" t="s">
        <v>267</v>
      </c>
      <c r="B47" s="296" t="s">
        <v>503</v>
      </c>
      <c r="C47" s="296" t="s">
        <v>463</v>
      </c>
      <c r="D47" s="296" t="s">
        <v>456</v>
      </c>
      <c r="E47" s="297" t="s">
        <v>22</v>
      </c>
      <c r="F47" s="303">
        <v>3810.83</v>
      </c>
      <c r="G47" s="303"/>
      <c r="H47" s="297" t="s">
        <v>22</v>
      </c>
      <c r="I47" s="304" t="s">
        <v>24</v>
      </c>
      <c r="J47" s="304"/>
      <c r="K47" s="300" t="s">
        <v>17</v>
      </c>
      <c r="L47" s="301">
        <v>161944.19</v>
      </c>
    </row>
    <row r="48" spans="1:12" ht="71.400000000000006" hidden="1" x14ac:dyDescent="0.3">
      <c r="A48" s="295" t="s">
        <v>267</v>
      </c>
      <c r="B48" s="296" t="s">
        <v>503</v>
      </c>
      <c r="C48" s="296" t="s">
        <v>504</v>
      </c>
      <c r="D48" s="296" t="s">
        <v>501</v>
      </c>
      <c r="E48" s="297" t="s">
        <v>22</v>
      </c>
      <c r="F48" s="303">
        <v>35018.9</v>
      </c>
      <c r="G48" s="303"/>
      <c r="H48" s="297" t="s">
        <v>22</v>
      </c>
      <c r="I48" s="304" t="s">
        <v>24</v>
      </c>
      <c r="J48" s="304"/>
      <c r="K48" s="300" t="s">
        <v>17</v>
      </c>
      <c r="L48" s="301">
        <v>196963.09</v>
      </c>
    </row>
    <row r="49" spans="1:12" ht="71.400000000000006" hidden="1" x14ac:dyDescent="0.3">
      <c r="A49" s="295" t="s">
        <v>18</v>
      </c>
      <c r="B49" s="296" t="s">
        <v>522</v>
      </c>
      <c r="C49" s="296" t="s">
        <v>523</v>
      </c>
      <c r="D49" s="296" t="s">
        <v>518</v>
      </c>
      <c r="E49" s="297" t="s">
        <v>22</v>
      </c>
      <c r="F49" s="303">
        <v>46970</v>
      </c>
      <c r="G49" s="303"/>
      <c r="H49" s="297" t="s">
        <v>22</v>
      </c>
      <c r="I49" s="304" t="s">
        <v>24</v>
      </c>
      <c r="J49" s="304"/>
      <c r="K49" s="300" t="s">
        <v>17</v>
      </c>
      <c r="L49" s="301">
        <v>243933.09</v>
      </c>
    </row>
    <row r="50" spans="1:12" ht="71.400000000000006" hidden="1" x14ac:dyDescent="0.3">
      <c r="A50" s="295" t="s">
        <v>526</v>
      </c>
      <c r="B50" s="296" t="s">
        <v>534</v>
      </c>
      <c r="C50" s="296" t="s">
        <v>535</v>
      </c>
      <c r="D50" s="296" t="s">
        <v>528</v>
      </c>
      <c r="E50" s="297" t="s">
        <v>22</v>
      </c>
      <c r="F50" s="303">
        <v>17083.2</v>
      </c>
      <c r="G50" s="303"/>
      <c r="H50" s="297" t="s">
        <v>22</v>
      </c>
      <c r="I50" s="304" t="s">
        <v>24</v>
      </c>
      <c r="J50" s="304"/>
      <c r="K50" s="300" t="s">
        <v>17</v>
      </c>
      <c r="L50" s="301">
        <v>261016.29</v>
      </c>
    </row>
    <row r="51" spans="1:12" ht="71.400000000000006" x14ac:dyDescent="0.3">
      <c r="A51" s="295" t="s">
        <v>48</v>
      </c>
      <c r="B51" s="296" t="s">
        <v>915</v>
      </c>
      <c r="C51" s="296" t="s">
        <v>27</v>
      </c>
      <c r="D51" s="296" t="s">
        <v>916</v>
      </c>
      <c r="E51" s="297" t="s">
        <v>29</v>
      </c>
      <c r="F51" s="298" t="s">
        <v>24</v>
      </c>
      <c r="G51" s="298"/>
      <c r="H51" s="297" t="s">
        <v>22</v>
      </c>
      <c r="I51" s="302">
        <v>61437.5</v>
      </c>
      <c r="J51" s="302"/>
      <c r="K51" s="300" t="s">
        <v>17</v>
      </c>
      <c r="L51" s="301">
        <v>199578.79</v>
      </c>
    </row>
    <row r="52" spans="1:12" ht="71.400000000000006" x14ac:dyDescent="0.3">
      <c r="A52" s="295" t="s">
        <v>48</v>
      </c>
      <c r="B52" s="296" t="s">
        <v>915</v>
      </c>
      <c r="C52" s="296" t="s">
        <v>27</v>
      </c>
      <c r="D52" s="296" t="s">
        <v>917</v>
      </c>
      <c r="E52" s="297" t="s">
        <v>29</v>
      </c>
      <c r="F52" s="298" t="s">
        <v>24</v>
      </c>
      <c r="G52" s="298"/>
      <c r="H52" s="297" t="s">
        <v>22</v>
      </c>
      <c r="I52" s="302">
        <v>4341.5600000000004</v>
      </c>
      <c r="J52" s="302"/>
      <c r="K52" s="300" t="s">
        <v>17</v>
      </c>
      <c r="L52" s="301">
        <v>195237.23</v>
      </c>
    </row>
    <row r="53" spans="1:12" ht="61.2" hidden="1" x14ac:dyDescent="0.3">
      <c r="A53" s="295" t="s">
        <v>53</v>
      </c>
      <c r="B53" s="296" t="s">
        <v>548</v>
      </c>
      <c r="C53" s="296" t="s">
        <v>549</v>
      </c>
      <c r="D53" s="296" t="s">
        <v>539</v>
      </c>
      <c r="E53" s="297" t="s">
        <v>22</v>
      </c>
      <c r="F53" s="303">
        <v>13169.97</v>
      </c>
      <c r="G53" s="303"/>
      <c r="H53" s="297" t="s">
        <v>22</v>
      </c>
      <c r="I53" s="304" t="s">
        <v>24</v>
      </c>
      <c r="J53" s="304"/>
      <c r="K53" s="300" t="s">
        <v>17</v>
      </c>
      <c r="L53" s="301">
        <v>208407.2</v>
      </c>
    </row>
    <row r="54" spans="1:12" ht="71.400000000000006" hidden="1" x14ac:dyDescent="0.3">
      <c r="A54" s="295" t="s">
        <v>111</v>
      </c>
      <c r="B54" s="296" t="s">
        <v>587</v>
      </c>
      <c r="C54" s="296" t="s">
        <v>535</v>
      </c>
      <c r="D54" s="296" t="s">
        <v>528</v>
      </c>
      <c r="E54" s="297" t="s">
        <v>22</v>
      </c>
      <c r="F54" s="303">
        <v>3437.14</v>
      </c>
      <c r="G54" s="303"/>
      <c r="H54" s="297" t="s">
        <v>22</v>
      </c>
      <c r="I54" s="304" t="s">
        <v>24</v>
      </c>
      <c r="J54" s="304"/>
      <c r="K54" s="300" t="s">
        <v>17</v>
      </c>
      <c r="L54" s="301">
        <v>211844.34</v>
      </c>
    </row>
    <row r="55" spans="1:12" ht="71.400000000000006" hidden="1" x14ac:dyDescent="0.3">
      <c r="A55" s="295" t="s">
        <v>111</v>
      </c>
      <c r="B55" s="296" t="s">
        <v>587</v>
      </c>
      <c r="C55" s="296" t="s">
        <v>588</v>
      </c>
      <c r="D55" s="296" t="s">
        <v>585</v>
      </c>
      <c r="E55" s="297" t="s">
        <v>22</v>
      </c>
      <c r="F55" s="303">
        <v>29740.87</v>
      </c>
      <c r="G55" s="303"/>
      <c r="H55" s="297" t="s">
        <v>22</v>
      </c>
      <c r="I55" s="304" t="s">
        <v>24</v>
      </c>
      <c r="J55" s="304"/>
      <c r="K55" s="300" t="s">
        <v>17</v>
      </c>
      <c r="L55" s="301">
        <v>241585.21</v>
      </c>
    </row>
    <row r="56" spans="1:12" ht="71.400000000000006" hidden="1" x14ac:dyDescent="0.3">
      <c r="A56" s="295" t="s">
        <v>355</v>
      </c>
      <c r="B56" s="296" t="s">
        <v>600</v>
      </c>
      <c r="C56" s="296" t="s">
        <v>601</v>
      </c>
      <c r="D56" s="296" t="s">
        <v>594</v>
      </c>
      <c r="E56" s="297" t="s">
        <v>22</v>
      </c>
      <c r="F56" s="303">
        <v>17891.990000000002</v>
      </c>
      <c r="G56" s="303"/>
      <c r="H56" s="297" t="s">
        <v>22</v>
      </c>
      <c r="I56" s="304" t="s">
        <v>24</v>
      </c>
      <c r="J56" s="304"/>
      <c r="K56" s="300" t="s">
        <v>17</v>
      </c>
      <c r="L56" s="301">
        <v>259477.2</v>
      </c>
    </row>
    <row r="57" spans="1:12" ht="61.2" x14ac:dyDescent="0.3">
      <c r="A57" s="295" t="s">
        <v>699</v>
      </c>
      <c r="B57" s="296" t="s">
        <v>918</v>
      </c>
      <c r="C57" s="296" t="s">
        <v>27</v>
      </c>
      <c r="D57" s="296" t="s">
        <v>440</v>
      </c>
      <c r="E57" s="297" t="s">
        <v>29</v>
      </c>
      <c r="F57" s="298" t="s">
        <v>24</v>
      </c>
      <c r="G57" s="298"/>
      <c r="H57" s="297" t="s">
        <v>22</v>
      </c>
      <c r="I57" s="299">
        <v>950</v>
      </c>
      <c r="J57" s="299"/>
      <c r="K57" s="300" t="s">
        <v>17</v>
      </c>
      <c r="L57" s="301">
        <v>258527.2</v>
      </c>
    </row>
    <row r="58" spans="1:12" ht="71.400000000000006" x14ac:dyDescent="0.3">
      <c r="A58" s="295" t="s">
        <v>699</v>
      </c>
      <c r="B58" s="296" t="s">
        <v>919</v>
      </c>
      <c r="C58" s="296" t="s">
        <v>27</v>
      </c>
      <c r="D58" s="296" t="s">
        <v>463</v>
      </c>
      <c r="E58" s="297" t="s">
        <v>29</v>
      </c>
      <c r="F58" s="298" t="s">
        <v>24</v>
      </c>
      <c r="G58" s="298"/>
      <c r="H58" s="297" t="s">
        <v>22</v>
      </c>
      <c r="I58" s="302">
        <v>3810.83</v>
      </c>
      <c r="J58" s="302"/>
      <c r="K58" s="300" t="s">
        <v>17</v>
      </c>
      <c r="L58" s="301">
        <v>254716.37</v>
      </c>
    </row>
    <row r="59" spans="1:12" ht="71.400000000000006" x14ac:dyDescent="0.3">
      <c r="A59" s="295" t="s">
        <v>699</v>
      </c>
      <c r="B59" s="296" t="s">
        <v>919</v>
      </c>
      <c r="C59" s="296" t="s">
        <v>27</v>
      </c>
      <c r="D59" s="296" t="s">
        <v>504</v>
      </c>
      <c r="E59" s="297" t="s">
        <v>29</v>
      </c>
      <c r="F59" s="298" t="s">
        <v>24</v>
      </c>
      <c r="G59" s="298"/>
      <c r="H59" s="297" t="s">
        <v>22</v>
      </c>
      <c r="I59" s="302">
        <v>18442.650000000001</v>
      </c>
      <c r="J59" s="302"/>
      <c r="K59" s="300" t="s">
        <v>17</v>
      </c>
      <c r="L59" s="301">
        <v>236273.72</v>
      </c>
    </row>
    <row r="60" spans="1:12" ht="71.400000000000006" x14ac:dyDescent="0.3">
      <c r="A60" s="295" t="s">
        <v>699</v>
      </c>
      <c r="B60" s="296" t="s">
        <v>919</v>
      </c>
      <c r="C60" s="296" t="s">
        <v>27</v>
      </c>
      <c r="D60" s="296" t="s">
        <v>504</v>
      </c>
      <c r="E60" s="297" t="s">
        <v>29</v>
      </c>
      <c r="F60" s="298" t="s">
        <v>24</v>
      </c>
      <c r="G60" s="298"/>
      <c r="H60" s="297" t="s">
        <v>22</v>
      </c>
      <c r="I60" s="302">
        <v>16576.25</v>
      </c>
      <c r="J60" s="302"/>
      <c r="K60" s="300" t="s">
        <v>17</v>
      </c>
      <c r="L60" s="301">
        <v>219697.47</v>
      </c>
    </row>
    <row r="61" spans="1:12" ht="71.400000000000006" x14ac:dyDescent="0.3">
      <c r="A61" s="295" t="s">
        <v>699</v>
      </c>
      <c r="B61" s="296" t="s">
        <v>919</v>
      </c>
      <c r="C61" s="296" t="s">
        <v>27</v>
      </c>
      <c r="D61" s="296" t="s">
        <v>535</v>
      </c>
      <c r="E61" s="297" t="s">
        <v>29</v>
      </c>
      <c r="F61" s="298" t="s">
        <v>24</v>
      </c>
      <c r="G61" s="298"/>
      <c r="H61" s="297" t="s">
        <v>22</v>
      </c>
      <c r="I61" s="302">
        <v>13666.56</v>
      </c>
      <c r="J61" s="302"/>
      <c r="K61" s="300" t="s">
        <v>17</v>
      </c>
      <c r="L61" s="301">
        <v>206030.91</v>
      </c>
    </row>
    <row r="62" spans="1:12" ht="71.400000000000006" x14ac:dyDescent="0.3">
      <c r="A62" s="295" t="s">
        <v>699</v>
      </c>
      <c r="B62" s="296" t="s">
        <v>919</v>
      </c>
      <c r="C62" s="296" t="s">
        <v>27</v>
      </c>
      <c r="D62" s="296" t="s">
        <v>535</v>
      </c>
      <c r="E62" s="297" t="s">
        <v>29</v>
      </c>
      <c r="F62" s="298" t="s">
        <v>24</v>
      </c>
      <c r="G62" s="298"/>
      <c r="H62" s="297" t="s">
        <v>22</v>
      </c>
      <c r="I62" s="302">
        <v>6853.78</v>
      </c>
      <c r="J62" s="302"/>
      <c r="K62" s="300" t="s">
        <v>17</v>
      </c>
      <c r="L62" s="301">
        <v>199177.13</v>
      </c>
    </row>
    <row r="63" spans="1:12" ht="71.400000000000006" x14ac:dyDescent="0.3">
      <c r="A63" s="295" t="s">
        <v>699</v>
      </c>
      <c r="B63" s="296" t="s">
        <v>919</v>
      </c>
      <c r="C63" s="296" t="s">
        <v>27</v>
      </c>
      <c r="D63" s="296" t="s">
        <v>588</v>
      </c>
      <c r="E63" s="297" t="s">
        <v>29</v>
      </c>
      <c r="F63" s="298" t="s">
        <v>24</v>
      </c>
      <c r="G63" s="298"/>
      <c r="H63" s="297" t="s">
        <v>22</v>
      </c>
      <c r="I63" s="302">
        <v>7051.81</v>
      </c>
      <c r="J63" s="302"/>
      <c r="K63" s="300" t="s">
        <v>17</v>
      </c>
      <c r="L63" s="301">
        <v>192125.32</v>
      </c>
    </row>
    <row r="64" spans="1:12" ht="61.2" x14ac:dyDescent="0.3">
      <c r="A64" s="295" t="s">
        <v>699</v>
      </c>
      <c r="B64" s="296" t="s">
        <v>919</v>
      </c>
      <c r="C64" s="296" t="s">
        <v>27</v>
      </c>
      <c r="D64" s="296" t="s">
        <v>920</v>
      </c>
      <c r="E64" s="297" t="s">
        <v>29</v>
      </c>
      <c r="F64" s="298" t="s">
        <v>24</v>
      </c>
      <c r="G64" s="298"/>
      <c r="H64" s="297" t="s">
        <v>22</v>
      </c>
      <c r="I64" s="302">
        <v>13124.71</v>
      </c>
      <c r="J64" s="302"/>
      <c r="K64" s="300" t="s">
        <v>17</v>
      </c>
      <c r="L64" s="301">
        <v>179000.61</v>
      </c>
    </row>
    <row r="65" spans="1:12" ht="61.2" x14ac:dyDescent="0.3">
      <c r="A65" s="295" t="s">
        <v>699</v>
      </c>
      <c r="B65" s="296" t="s">
        <v>919</v>
      </c>
      <c r="C65" s="296" t="s">
        <v>27</v>
      </c>
      <c r="D65" s="296" t="s">
        <v>921</v>
      </c>
      <c r="E65" s="297" t="s">
        <v>29</v>
      </c>
      <c r="F65" s="298" t="s">
        <v>24</v>
      </c>
      <c r="G65" s="298"/>
      <c r="H65" s="297" t="s">
        <v>22</v>
      </c>
      <c r="I65" s="302">
        <v>1963.33</v>
      </c>
      <c r="J65" s="302"/>
      <c r="K65" s="300" t="s">
        <v>17</v>
      </c>
      <c r="L65" s="301">
        <v>177037.28</v>
      </c>
    </row>
    <row r="66" spans="1:12" ht="81.599999999999994" x14ac:dyDescent="0.3">
      <c r="A66" s="295" t="s">
        <v>699</v>
      </c>
      <c r="B66" s="296" t="s">
        <v>922</v>
      </c>
      <c r="C66" s="296" t="s">
        <v>27</v>
      </c>
      <c r="D66" s="296" t="s">
        <v>923</v>
      </c>
      <c r="E66" s="297" t="s">
        <v>29</v>
      </c>
      <c r="F66" s="298" t="s">
        <v>24</v>
      </c>
      <c r="G66" s="298"/>
      <c r="H66" s="297" t="s">
        <v>22</v>
      </c>
      <c r="I66" s="302">
        <v>10887.5</v>
      </c>
      <c r="J66" s="302"/>
      <c r="K66" s="300" t="s">
        <v>17</v>
      </c>
      <c r="L66" s="301">
        <v>166149.78</v>
      </c>
    </row>
    <row r="67" spans="1:12" ht="71.400000000000006" hidden="1" x14ac:dyDescent="0.3">
      <c r="A67" s="295" t="s">
        <v>699</v>
      </c>
      <c r="B67" s="296" t="s">
        <v>924</v>
      </c>
      <c r="C67" s="296" t="s">
        <v>925</v>
      </c>
      <c r="D67" s="296" t="s">
        <v>926</v>
      </c>
      <c r="E67" s="297" t="s">
        <v>22</v>
      </c>
      <c r="F67" s="303">
        <v>22584.1</v>
      </c>
      <c r="G67" s="303"/>
      <c r="H67" s="297" t="s">
        <v>23</v>
      </c>
      <c r="I67" s="304" t="s">
        <v>24</v>
      </c>
      <c r="J67" s="304"/>
      <c r="K67" s="300" t="s">
        <v>17</v>
      </c>
      <c r="L67" s="301">
        <v>188733.88</v>
      </c>
    </row>
    <row r="68" spans="1:12" ht="71.400000000000006" hidden="1" x14ac:dyDescent="0.3">
      <c r="A68" s="295" t="s">
        <v>699</v>
      </c>
      <c r="B68" s="296" t="s">
        <v>927</v>
      </c>
      <c r="C68" s="296" t="s">
        <v>925</v>
      </c>
      <c r="D68" s="296" t="s">
        <v>529</v>
      </c>
      <c r="E68" s="297" t="s">
        <v>22</v>
      </c>
      <c r="F68" s="303">
        <v>11228.4</v>
      </c>
      <c r="G68" s="303"/>
      <c r="H68" s="297" t="s">
        <v>23</v>
      </c>
      <c r="I68" s="304" t="s">
        <v>24</v>
      </c>
      <c r="J68" s="304"/>
      <c r="K68" s="300" t="s">
        <v>17</v>
      </c>
      <c r="L68" s="301">
        <v>199962.28</v>
      </c>
    </row>
    <row r="69" spans="1:12" ht="71.400000000000006" hidden="1" x14ac:dyDescent="0.3">
      <c r="A69" s="295" t="s">
        <v>699</v>
      </c>
      <c r="B69" s="296" t="s">
        <v>928</v>
      </c>
      <c r="C69" s="296" t="s">
        <v>925</v>
      </c>
      <c r="D69" s="296" t="s">
        <v>929</v>
      </c>
      <c r="E69" s="297" t="s">
        <v>22</v>
      </c>
      <c r="F69" s="303">
        <v>14740</v>
      </c>
      <c r="G69" s="303"/>
      <c r="H69" s="297" t="s">
        <v>23</v>
      </c>
      <c r="I69" s="304" t="s">
        <v>24</v>
      </c>
      <c r="J69" s="304"/>
      <c r="K69" s="300" t="s">
        <v>17</v>
      </c>
      <c r="L69" s="301">
        <v>214702.28</v>
      </c>
    </row>
    <row r="70" spans="1:12" ht="71.400000000000006" hidden="1" x14ac:dyDescent="0.3">
      <c r="A70" s="295" t="s">
        <v>93</v>
      </c>
      <c r="B70" s="296" t="s">
        <v>930</v>
      </c>
      <c r="C70" s="296" t="s">
        <v>931</v>
      </c>
      <c r="D70" s="296" t="s">
        <v>932</v>
      </c>
      <c r="E70" s="297" t="s">
        <v>22</v>
      </c>
      <c r="F70" s="303">
        <v>33812.5</v>
      </c>
      <c r="G70" s="303"/>
      <c r="H70" s="297" t="s">
        <v>23</v>
      </c>
      <c r="I70" s="304" t="s">
        <v>24</v>
      </c>
      <c r="J70" s="304"/>
      <c r="K70" s="300" t="s">
        <v>17</v>
      </c>
      <c r="L70" s="301">
        <v>248514.78</v>
      </c>
    </row>
    <row r="71" spans="1:12" ht="71.400000000000006" hidden="1" x14ac:dyDescent="0.3">
      <c r="A71" s="295" t="s">
        <v>93</v>
      </c>
      <c r="B71" s="296" t="s">
        <v>933</v>
      </c>
      <c r="C71" s="296" t="s">
        <v>931</v>
      </c>
      <c r="D71" s="296" t="s">
        <v>934</v>
      </c>
      <c r="E71" s="297" t="s">
        <v>22</v>
      </c>
      <c r="F71" s="303">
        <v>14740</v>
      </c>
      <c r="G71" s="303"/>
      <c r="H71" s="297" t="s">
        <v>23</v>
      </c>
      <c r="I71" s="304" t="s">
        <v>24</v>
      </c>
      <c r="J71" s="304"/>
      <c r="K71" s="300" t="s">
        <v>17</v>
      </c>
      <c r="L71" s="301">
        <v>263254.78000000003</v>
      </c>
    </row>
    <row r="72" spans="1:12" ht="71.400000000000006" hidden="1" x14ac:dyDescent="0.3">
      <c r="A72" s="295" t="s">
        <v>93</v>
      </c>
      <c r="B72" s="296" t="s">
        <v>935</v>
      </c>
      <c r="C72" s="296" t="s">
        <v>936</v>
      </c>
      <c r="D72" s="296" t="s">
        <v>937</v>
      </c>
      <c r="E72" s="297" t="s">
        <v>22</v>
      </c>
      <c r="F72" s="303">
        <v>60486</v>
      </c>
      <c r="G72" s="303"/>
      <c r="H72" s="297" t="s">
        <v>23</v>
      </c>
      <c r="I72" s="304" t="s">
        <v>24</v>
      </c>
      <c r="J72" s="304"/>
      <c r="K72" s="300" t="s">
        <v>17</v>
      </c>
      <c r="L72" s="301">
        <v>323740.78000000003</v>
      </c>
    </row>
    <row r="73" spans="1:12" ht="71.400000000000006" hidden="1" x14ac:dyDescent="0.3">
      <c r="A73" s="295" t="s">
        <v>93</v>
      </c>
      <c r="B73" s="296" t="s">
        <v>935</v>
      </c>
      <c r="C73" s="296" t="s">
        <v>938</v>
      </c>
      <c r="D73" s="296" t="s">
        <v>937</v>
      </c>
      <c r="E73" s="297" t="s">
        <v>22</v>
      </c>
      <c r="F73" s="303">
        <v>75368</v>
      </c>
      <c r="G73" s="303"/>
      <c r="H73" s="297" t="s">
        <v>23</v>
      </c>
      <c r="I73" s="304" t="s">
        <v>24</v>
      </c>
      <c r="J73" s="304"/>
      <c r="K73" s="300" t="s">
        <v>17</v>
      </c>
      <c r="L73" s="301">
        <v>399108.78</v>
      </c>
    </row>
    <row r="74" spans="1:12" ht="71.400000000000006" hidden="1" x14ac:dyDescent="0.3">
      <c r="A74" s="295" t="s">
        <v>93</v>
      </c>
      <c r="B74" s="296" t="s">
        <v>935</v>
      </c>
      <c r="C74" s="296" t="s">
        <v>939</v>
      </c>
      <c r="D74" s="296" t="s">
        <v>937</v>
      </c>
      <c r="E74" s="297" t="s">
        <v>22</v>
      </c>
      <c r="F74" s="303">
        <v>17348</v>
      </c>
      <c r="G74" s="303"/>
      <c r="H74" s="297" t="s">
        <v>23</v>
      </c>
      <c r="I74" s="304" t="s">
        <v>24</v>
      </c>
      <c r="J74" s="304"/>
      <c r="K74" s="300" t="s">
        <v>17</v>
      </c>
      <c r="L74" s="301">
        <v>416456.78</v>
      </c>
    </row>
    <row r="75" spans="1:12" ht="71.400000000000006" hidden="1" x14ac:dyDescent="0.3">
      <c r="A75" s="295" t="s">
        <v>93</v>
      </c>
      <c r="B75" s="296" t="s">
        <v>940</v>
      </c>
      <c r="C75" s="296" t="s">
        <v>941</v>
      </c>
      <c r="D75" s="296" t="s">
        <v>937</v>
      </c>
      <c r="E75" s="297" t="s">
        <v>22</v>
      </c>
      <c r="F75" s="303">
        <v>75235</v>
      </c>
      <c r="G75" s="303"/>
      <c r="H75" s="297" t="s">
        <v>23</v>
      </c>
      <c r="I75" s="304" t="s">
        <v>24</v>
      </c>
      <c r="J75" s="304"/>
      <c r="K75" s="300" t="s">
        <v>17</v>
      </c>
      <c r="L75" s="301">
        <v>491691.78</v>
      </c>
    </row>
    <row r="76" spans="1:12" ht="71.400000000000006" hidden="1" x14ac:dyDescent="0.3">
      <c r="A76" s="295" t="s">
        <v>93</v>
      </c>
      <c r="B76" s="296" t="s">
        <v>940</v>
      </c>
      <c r="C76" s="296" t="s">
        <v>942</v>
      </c>
      <c r="D76" s="296" t="s">
        <v>937</v>
      </c>
      <c r="E76" s="297" t="s">
        <v>22</v>
      </c>
      <c r="F76" s="303">
        <v>75840</v>
      </c>
      <c r="G76" s="303"/>
      <c r="H76" s="297" t="s">
        <v>23</v>
      </c>
      <c r="I76" s="304" t="s">
        <v>24</v>
      </c>
      <c r="J76" s="304"/>
      <c r="K76" s="300" t="s">
        <v>17</v>
      </c>
      <c r="L76" s="301">
        <v>567531.78</v>
      </c>
    </row>
    <row r="77" spans="1:12" ht="71.400000000000006" hidden="1" x14ac:dyDescent="0.3">
      <c r="A77" s="295" t="s">
        <v>93</v>
      </c>
      <c r="B77" s="296" t="s">
        <v>940</v>
      </c>
      <c r="C77" s="296" t="s">
        <v>943</v>
      </c>
      <c r="D77" s="296" t="s">
        <v>937</v>
      </c>
      <c r="E77" s="297" t="s">
        <v>22</v>
      </c>
      <c r="F77" s="303">
        <v>60486</v>
      </c>
      <c r="G77" s="303"/>
      <c r="H77" s="297" t="s">
        <v>23</v>
      </c>
      <c r="I77" s="304" t="s">
        <v>24</v>
      </c>
      <c r="J77" s="304"/>
      <c r="K77" s="300" t="s">
        <v>17</v>
      </c>
      <c r="L77" s="301">
        <v>628017.78</v>
      </c>
    </row>
    <row r="78" spans="1:12" ht="71.400000000000006" hidden="1" x14ac:dyDescent="0.3">
      <c r="A78" s="295" t="s">
        <v>93</v>
      </c>
      <c r="B78" s="296" t="s">
        <v>940</v>
      </c>
      <c r="C78" s="296" t="s">
        <v>944</v>
      </c>
      <c r="D78" s="296" t="s">
        <v>937</v>
      </c>
      <c r="E78" s="297" t="s">
        <v>22</v>
      </c>
      <c r="F78" s="303">
        <v>30920</v>
      </c>
      <c r="G78" s="303"/>
      <c r="H78" s="297" t="s">
        <v>23</v>
      </c>
      <c r="I78" s="304" t="s">
        <v>24</v>
      </c>
      <c r="J78" s="304"/>
      <c r="K78" s="300" t="s">
        <v>17</v>
      </c>
      <c r="L78" s="301">
        <v>658937.78</v>
      </c>
    </row>
    <row r="79" spans="1:12" ht="71.400000000000006" hidden="1" x14ac:dyDescent="0.3">
      <c r="A79" s="295" t="s">
        <v>93</v>
      </c>
      <c r="B79" s="296" t="s">
        <v>945</v>
      </c>
      <c r="C79" s="296" t="s">
        <v>936</v>
      </c>
      <c r="D79" s="296" t="s">
        <v>937</v>
      </c>
      <c r="E79" s="297" t="s">
        <v>22</v>
      </c>
      <c r="F79" s="303">
        <v>1555.31</v>
      </c>
      <c r="G79" s="303"/>
      <c r="H79" s="297" t="s">
        <v>23</v>
      </c>
      <c r="I79" s="304" t="s">
        <v>24</v>
      </c>
      <c r="J79" s="304"/>
      <c r="K79" s="300" t="s">
        <v>17</v>
      </c>
      <c r="L79" s="301">
        <v>660493.09</v>
      </c>
    </row>
    <row r="80" spans="1:12" ht="71.400000000000006" hidden="1" x14ac:dyDescent="0.3">
      <c r="A80" s="295" t="s">
        <v>93</v>
      </c>
      <c r="B80" s="296" t="s">
        <v>945</v>
      </c>
      <c r="C80" s="296" t="s">
        <v>938</v>
      </c>
      <c r="D80" s="296" t="s">
        <v>937</v>
      </c>
      <c r="E80" s="297" t="s">
        <v>22</v>
      </c>
      <c r="F80" s="303">
        <v>1937.97</v>
      </c>
      <c r="G80" s="303"/>
      <c r="H80" s="297" t="s">
        <v>23</v>
      </c>
      <c r="I80" s="304" t="s">
        <v>24</v>
      </c>
      <c r="J80" s="304"/>
      <c r="K80" s="300" t="s">
        <v>17</v>
      </c>
      <c r="L80" s="301">
        <v>662431.06000000006</v>
      </c>
    </row>
    <row r="81" spans="1:12" ht="71.400000000000006" hidden="1" x14ac:dyDescent="0.3">
      <c r="A81" s="295" t="s">
        <v>93</v>
      </c>
      <c r="B81" s="296" t="s">
        <v>945</v>
      </c>
      <c r="C81" s="296" t="s">
        <v>939</v>
      </c>
      <c r="D81" s="296" t="s">
        <v>937</v>
      </c>
      <c r="E81" s="297" t="s">
        <v>22</v>
      </c>
      <c r="F81" s="305">
        <v>446.08</v>
      </c>
      <c r="G81" s="305"/>
      <c r="H81" s="297" t="s">
        <v>23</v>
      </c>
      <c r="I81" s="304" t="s">
        <v>24</v>
      </c>
      <c r="J81" s="304"/>
      <c r="K81" s="300" t="s">
        <v>17</v>
      </c>
      <c r="L81" s="301">
        <v>662877.14</v>
      </c>
    </row>
    <row r="82" spans="1:12" ht="71.400000000000006" hidden="1" x14ac:dyDescent="0.3">
      <c r="A82" s="295" t="s">
        <v>93</v>
      </c>
      <c r="B82" s="296" t="s">
        <v>946</v>
      </c>
      <c r="C82" s="296" t="s">
        <v>941</v>
      </c>
      <c r="D82" s="296" t="s">
        <v>937</v>
      </c>
      <c r="E82" s="297" t="s">
        <v>22</v>
      </c>
      <c r="F82" s="303">
        <v>1934.55</v>
      </c>
      <c r="G82" s="303"/>
      <c r="H82" s="297" t="s">
        <v>23</v>
      </c>
      <c r="I82" s="304" t="s">
        <v>24</v>
      </c>
      <c r="J82" s="304"/>
      <c r="K82" s="300" t="s">
        <v>17</v>
      </c>
      <c r="L82" s="301">
        <v>664811.68999999994</v>
      </c>
    </row>
    <row r="83" spans="1:12" ht="71.400000000000006" hidden="1" x14ac:dyDescent="0.3">
      <c r="A83" s="295" t="s">
        <v>93</v>
      </c>
      <c r="B83" s="296" t="s">
        <v>946</v>
      </c>
      <c r="C83" s="296" t="s">
        <v>942</v>
      </c>
      <c r="D83" s="296" t="s">
        <v>937</v>
      </c>
      <c r="E83" s="297" t="s">
        <v>22</v>
      </c>
      <c r="F83" s="303">
        <v>1950.11</v>
      </c>
      <c r="G83" s="303"/>
      <c r="H83" s="297" t="s">
        <v>23</v>
      </c>
      <c r="I83" s="304" t="s">
        <v>24</v>
      </c>
      <c r="J83" s="304"/>
      <c r="K83" s="300" t="s">
        <v>17</v>
      </c>
      <c r="L83" s="301">
        <v>666761.80000000005</v>
      </c>
    </row>
    <row r="84" spans="1:12" ht="71.400000000000006" hidden="1" x14ac:dyDescent="0.3">
      <c r="A84" s="295" t="s">
        <v>93</v>
      </c>
      <c r="B84" s="296" t="s">
        <v>946</v>
      </c>
      <c r="C84" s="296" t="s">
        <v>943</v>
      </c>
      <c r="D84" s="296" t="s">
        <v>937</v>
      </c>
      <c r="E84" s="297" t="s">
        <v>22</v>
      </c>
      <c r="F84" s="303">
        <v>1555.31</v>
      </c>
      <c r="G84" s="303"/>
      <c r="H84" s="297" t="s">
        <v>23</v>
      </c>
      <c r="I84" s="304" t="s">
        <v>24</v>
      </c>
      <c r="J84" s="304"/>
      <c r="K84" s="300" t="s">
        <v>17</v>
      </c>
      <c r="L84" s="301">
        <v>668317.11</v>
      </c>
    </row>
    <row r="85" spans="1:12" ht="71.400000000000006" hidden="1" x14ac:dyDescent="0.3">
      <c r="A85" s="295" t="s">
        <v>93</v>
      </c>
      <c r="B85" s="296" t="s">
        <v>946</v>
      </c>
      <c r="C85" s="296" t="s">
        <v>944</v>
      </c>
      <c r="D85" s="296" t="s">
        <v>937</v>
      </c>
      <c r="E85" s="297" t="s">
        <v>22</v>
      </c>
      <c r="F85" s="305">
        <v>795.06</v>
      </c>
      <c r="G85" s="305"/>
      <c r="H85" s="297" t="s">
        <v>23</v>
      </c>
      <c r="I85" s="304" t="s">
        <v>24</v>
      </c>
      <c r="J85" s="304"/>
      <c r="K85" s="300" t="s">
        <v>17</v>
      </c>
      <c r="L85" s="301">
        <v>669112.17000000004</v>
      </c>
    </row>
    <row r="86" spans="1:12" ht="71.400000000000006" hidden="1" x14ac:dyDescent="0.3">
      <c r="A86" s="295" t="s">
        <v>181</v>
      </c>
      <c r="B86" s="296" t="s">
        <v>947</v>
      </c>
      <c r="C86" s="296" t="s">
        <v>948</v>
      </c>
      <c r="D86" s="296" t="s">
        <v>937</v>
      </c>
      <c r="E86" s="297" t="s">
        <v>22</v>
      </c>
      <c r="F86" s="303">
        <v>37684</v>
      </c>
      <c r="G86" s="303"/>
      <c r="H86" s="297" t="s">
        <v>23</v>
      </c>
      <c r="I86" s="304" t="s">
        <v>24</v>
      </c>
      <c r="J86" s="304"/>
      <c r="K86" s="300" t="s">
        <v>17</v>
      </c>
      <c r="L86" s="301">
        <v>706796.17</v>
      </c>
    </row>
    <row r="87" spans="1:12" ht="71.400000000000006" hidden="1" x14ac:dyDescent="0.3">
      <c r="A87" s="295" t="s">
        <v>181</v>
      </c>
      <c r="B87" s="296" t="s">
        <v>947</v>
      </c>
      <c r="C87" s="296" t="s">
        <v>949</v>
      </c>
      <c r="D87" s="296" t="s">
        <v>937</v>
      </c>
      <c r="E87" s="297" t="s">
        <v>22</v>
      </c>
      <c r="F87" s="303">
        <v>94050</v>
      </c>
      <c r="G87" s="303"/>
      <c r="H87" s="297" t="s">
        <v>23</v>
      </c>
      <c r="I87" s="304" t="s">
        <v>24</v>
      </c>
      <c r="J87" s="304"/>
      <c r="K87" s="300" t="s">
        <v>17</v>
      </c>
      <c r="L87" s="301">
        <v>800846.17</v>
      </c>
    </row>
    <row r="88" spans="1:12" ht="71.400000000000006" hidden="1" x14ac:dyDescent="0.3">
      <c r="A88" s="295" t="s">
        <v>181</v>
      </c>
      <c r="B88" s="296" t="s">
        <v>947</v>
      </c>
      <c r="C88" s="296" t="s">
        <v>950</v>
      </c>
      <c r="D88" s="296" t="s">
        <v>937</v>
      </c>
      <c r="E88" s="297" t="s">
        <v>22</v>
      </c>
      <c r="F88" s="303">
        <v>89895</v>
      </c>
      <c r="G88" s="303"/>
      <c r="H88" s="297" t="s">
        <v>23</v>
      </c>
      <c r="I88" s="304" t="s">
        <v>24</v>
      </c>
      <c r="J88" s="304"/>
      <c r="K88" s="300" t="s">
        <v>17</v>
      </c>
      <c r="L88" s="301">
        <v>890741.17</v>
      </c>
    </row>
    <row r="89" spans="1:12" ht="71.400000000000006" hidden="1" x14ac:dyDescent="0.3">
      <c r="A89" s="295" t="s">
        <v>181</v>
      </c>
      <c r="B89" s="296" t="s">
        <v>951</v>
      </c>
      <c r="C89" s="296" t="s">
        <v>952</v>
      </c>
      <c r="D89" s="296" t="s">
        <v>937</v>
      </c>
      <c r="E89" s="297" t="s">
        <v>22</v>
      </c>
      <c r="F89" s="303">
        <v>18555</v>
      </c>
      <c r="G89" s="303"/>
      <c r="H89" s="297" t="s">
        <v>23</v>
      </c>
      <c r="I89" s="304" t="s">
        <v>24</v>
      </c>
      <c r="J89" s="304"/>
      <c r="K89" s="300" t="s">
        <v>17</v>
      </c>
      <c r="L89" s="301">
        <v>909296.17</v>
      </c>
    </row>
    <row r="90" spans="1:12" ht="71.400000000000006" hidden="1" x14ac:dyDescent="0.3">
      <c r="A90" s="295" t="s">
        <v>181</v>
      </c>
      <c r="B90" s="296" t="s">
        <v>951</v>
      </c>
      <c r="C90" s="296" t="s">
        <v>953</v>
      </c>
      <c r="D90" s="296" t="s">
        <v>937</v>
      </c>
      <c r="E90" s="297" t="s">
        <v>22</v>
      </c>
      <c r="F90" s="303">
        <v>18842</v>
      </c>
      <c r="G90" s="303"/>
      <c r="H90" s="297" t="s">
        <v>23</v>
      </c>
      <c r="I90" s="304" t="s">
        <v>24</v>
      </c>
      <c r="J90" s="304"/>
      <c r="K90" s="300" t="s">
        <v>17</v>
      </c>
      <c r="L90" s="301">
        <v>928138.17</v>
      </c>
    </row>
    <row r="91" spans="1:12" ht="71.400000000000006" hidden="1" x14ac:dyDescent="0.3">
      <c r="A91" s="295" t="s">
        <v>181</v>
      </c>
      <c r="B91" s="296" t="s">
        <v>951</v>
      </c>
      <c r="C91" s="296" t="s">
        <v>954</v>
      </c>
      <c r="D91" s="296" t="s">
        <v>937</v>
      </c>
      <c r="E91" s="297" t="s">
        <v>22</v>
      </c>
      <c r="F91" s="303">
        <v>94050</v>
      </c>
      <c r="G91" s="303"/>
      <c r="H91" s="297" t="s">
        <v>23</v>
      </c>
      <c r="I91" s="304" t="s">
        <v>24</v>
      </c>
      <c r="J91" s="304"/>
      <c r="K91" s="300" t="s">
        <v>17</v>
      </c>
      <c r="L91" s="301">
        <v>1022188.17</v>
      </c>
    </row>
    <row r="92" spans="1:12" ht="71.400000000000006" hidden="1" x14ac:dyDescent="0.3">
      <c r="A92" s="295" t="s">
        <v>181</v>
      </c>
      <c r="B92" s="296" t="s">
        <v>951</v>
      </c>
      <c r="C92" s="296" t="s">
        <v>955</v>
      </c>
      <c r="D92" s="296" t="s">
        <v>937</v>
      </c>
      <c r="E92" s="297" t="s">
        <v>22</v>
      </c>
      <c r="F92" s="303">
        <v>89895</v>
      </c>
      <c r="G92" s="303"/>
      <c r="H92" s="297" t="s">
        <v>23</v>
      </c>
      <c r="I92" s="304" t="s">
        <v>24</v>
      </c>
      <c r="J92" s="304"/>
      <c r="K92" s="300" t="s">
        <v>17</v>
      </c>
      <c r="L92" s="301">
        <v>1112083.17</v>
      </c>
    </row>
    <row r="93" spans="1:12" ht="71.400000000000006" hidden="1" x14ac:dyDescent="0.3">
      <c r="A93" s="295" t="s">
        <v>181</v>
      </c>
      <c r="B93" s="296" t="s">
        <v>956</v>
      </c>
      <c r="C93" s="296" t="s">
        <v>948</v>
      </c>
      <c r="D93" s="296" t="s">
        <v>937</v>
      </c>
      <c r="E93" s="297" t="s">
        <v>22</v>
      </c>
      <c r="F93" s="305">
        <v>968.99</v>
      </c>
      <c r="G93" s="305"/>
      <c r="H93" s="297" t="s">
        <v>23</v>
      </c>
      <c r="I93" s="304" t="s">
        <v>24</v>
      </c>
      <c r="J93" s="304"/>
      <c r="K93" s="300" t="s">
        <v>17</v>
      </c>
      <c r="L93" s="301">
        <v>1113052.1599999999</v>
      </c>
    </row>
    <row r="94" spans="1:12" ht="71.400000000000006" hidden="1" x14ac:dyDescent="0.3">
      <c r="A94" s="295" t="s">
        <v>181</v>
      </c>
      <c r="B94" s="296" t="s">
        <v>956</v>
      </c>
      <c r="C94" s="296" t="s">
        <v>949</v>
      </c>
      <c r="D94" s="296" t="s">
        <v>937</v>
      </c>
      <c r="E94" s="297" t="s">
        <v>22</v>
      </c>
      <c r="F94" s="303">
        <v>2418.35</v>
      </c>
      <c r="G94" s="303"/>
      <c r="H94" s="297" t="s">
        <v>23</v>
      </c>
      <c r="I94" s="304" t="s">
        <v>24</v>
      </c>
      <c r="J94" s="304"/>
      <c r="K94" s="300" t="s">
        <v>17</v>
      </c>
      <c r="L94" s="301">
        <v>1115470.51</v>
      </c>
    </row>
    <row r="95" spans="1:12" ht="71.400000000000006" hidden="1" x14ac:dyDescent="0.3">
      <c r="A95" s="295" t="s">
        <v>181</v>
      </c>
      <c r="B95" s="296" t="s">
        <v>956</v>
      </c>
      <c r="C95" s="296" t="s">
        <v>950</v>
      </c>
      <c r="D95" s="296" t="s">
        <v>937</v>
      </c>
      <c r="E95" s="297" t="s">
        <v>22</v>
      </c>
      <c r="F95" s="303">
        <v>2311.5100000000002</v>
      </c>
      <c r="G95" s="303"/>
      <c r="H95" s="297" t="s">
        <v>23</v>
      </c>
      <c r="I95" s="304" t="s">
        <v>24</v>
      </c>
      <c r="J95" s="304"/>
      <c r="K95" s="300" t="s">
        <v>17</v>
      </c>
      <c r="L95" s="301">
        <v>1117782.02</v>
      </c>
    </row>
    <row r="96" spans="1:12" ht="71.400000000000006" hidden="1" x14ac:dyDescent="0.3">
      <c r="A96" s="295" t="s">
        <v>181</v>
      </c>
      <c r="B96" s="296" t="s">
        <v>957</v>
      </c>
      <c r="C96" s="296" t="s">
        <v>952</v>
      </c>
      <c r="D96" s="296" t="s">
        <v>937</v>
      </c>
      <c r="E96" s="297" t="s">
        <v>22</v>
      </c>
      <c r="F96" s="305">
        <v>477.11</v>
      </c>
      <c r="G96" s="305"/>
      <c r="H96" s="297" t="s">
        <v>23</v>
      </c>
      <c r="I96" s="304" t="s">
        <v>24</v>
      </c>
      <c r="J96" s="304"/>
      <c r="K96" s="300" t="s">
        <v>17</v>
      </c>
      <c r="L96" s="301">
        <v>1118259.1299999999</v>
      </c>
    </row>
    <row r="97" spans="1:12" ht="71.400000000000006" hidden="1" x14ac:dyDescent="0.3">
      <c r="A97" s="295" t="s">
        <v>181</v>
      </c>
      <c r="B97" s="296" t="s">
        <v>957</v>
      </c>
      <c r="C97" s="296" t="s">
        <v>953</v>
      </c>
      <c r="D97" s="296" t="s">
        <v>937</v>
      </c>
      <c r="E97" s="297" t="s">
        <v>22</v>
      </c>
      <c r="F97" s="305">
        <v>484.49</v>
      </c>
      <c r="G97" s="305"/>
      <c r="H97" s="297" t="s">
        <v>23</v>
      </c>
      <c r="I97" s="304" t="s">
        <v>24</v>
      </c>
      <c r="J97" s="304"/>
      <c r="K97" s="300" t="s">
        <v>17</v>
      </c>
      <c r="L97" s="301">
        <v>1118743.6200000001</v>
      </c>
    </row>
    <row r="98" spans="1:12" ht="71.400000000000006" hidden="1" x14ac:dyDescent="0.3">
      <c r="A98" s="295" t="s">
        <v>181</v>
      </c>
      <c r="B98" s="296" t="s">
        <v>957</v>
      </c>
      <c r="C98" s="296" t="s">
        <v>954</v>
      </c>
      <c r="D98" s="296" t="s">
        <v>937</v>
      </c>
      <c r="E98" s="297" t="s">
        <v>22</v>
      </c>
      <c r="F98" s="303">
        <v>2418.36</v>
      </c>
      <c r="G98" s="303"/>
      <c r="H98" s="297" t="s">
        <v>23</v>
      </c>
      <c r="I98" s="304" t="s">
        <v>24</v>
      </c>
      <c r="J98" s="304"/>
      <c r="K98" s="300" t="s">
        <v>17</v>
      </c>
      <c r="L98" s="301">
        <v>1121161.98</v>
      </c>
    </row>
    <row r="99" spans="1:12" ht="71.400000000000006" hidden="1" x14ac:dyDescent="0.3">
      <c r="A99" s="295" t="s">
        <v>181</v>
      </c>
      <c r="B99" s="296" t="s">
        <v>957</v>
      </c>
      <c r="C99" s="296" t="s">
        <v>955</v>
      </c>
      <c r="D99" s="296" t="s">
        <v>937</v>
      </c>
      <c r="E99" s="297" t="s">
        <v>22</v>
      </c>
      <c r="F99" s="303">
        <v>2311.5100000000002</v>
      </c>
      <c r="G99" s="303"/>
      <c r="H99" s="297" t="s">
        <v>23</v>
      </c>
      <c r="I99" s="304" t="s">
        <v>24</v>
      </c>
      <c r="J99" s="304"/>
      <c r="K99" s="300" t="s">
        <v>17</v>
      </c>
      <c r="L99" s="301">
        <v>1123473.49</v>
      </c>
    </row>
    <row r="100" spans="1:12" ht="81.599999999999994" hidden="1" x14ac:dyDescent="0.3">
      <c r="A100" s="295" t="s">
        <v>25</v>
      </c>
      <c r="B100" s="296" t="s">
        <v>958</v>
      </c>
      <c r="C100" s="296" t="s">
        <v>959</v>
      </c>
      <c r="D100" s="296" t="s">
        <v>901</v>
      </c>
      <c r="E100" s="297" t="s">
        <v>22</v>
      </c>
      <c r="F100" s="298" t="s">
        <v>24</v>
      </c>
      <c r="G100" s="298"/>
      <c r="H100" s="297" t="s">
        <v>22</v>
      </c>
      <c r="I100" s="302">
        <v>1250</v>
      </c>
      <c r="J100" s="302"/>
      <c r="K100" s="300" t="s">
        <v>17</v>
      </c>
      <c r="L100" s="301">
        <v>1122223.49</v>
      </c>
    </row>
    <row r="101" spans="1:12" ht="71.400000000000006" hidden="1" x14ac:dyDescent="0.3">
      <c r="A101" s="295" t="s">
        <v>25</v>
      </c>
      <c r="B101" s="296" t="s">
        <v>960</v>
      </c>
      <c r="C101" s="296" t="s">
        <v>961</v>
      </c>
      <c r="D101" s="296" t="s">
        <v>937</v>
      </c>
      <c r="E101" s="297" t="s">
        <v>22</v>
      </c>
      <c r="F101" s="303">
        <v>73345</v>
      </c>
      <c r="G101" s="303"/>
      <c r="H101" s="297" t="s">
        <v>23</v>
      </c>
      <c r="I101" s="304" t="s">
        <v>24</v>
      </c>
      <c r="J101" s="304"/>
      <c r="K101" s="300" t="s">
        <v>17</v>
      </c>
      <c r="L101" s="301">
        <v>1195568.49</v>
      </c>
    </row>
    <row r="102" spans="1:12" ht="71.400000000000006" hidden="1" x14ac:dyDescent="0.3">
      <c r="A102" s="295" t="s">
        <v>25</v>
      </c>
      <c r="B102" s="296" t="s">
        <v>960</v>
      </c>
      <c r="C102" s="296" t="s">
        <v>962</v>
      </c>
      <c r="D102" s="296" t="s">
        <v>937</v>
      </c>
      <c r="E102" s="297" t="s">
        <v>22</v>
      </c>
      <c r="F102" s="303">
        <v>71786</v>
      </c>
      <c r="G102" s="303"/>
      <c r="H102" s="297" t="s">
        <v>23</v>
      </c>
      <c r="I102" s="304" t="s">
        <v>24</v>
      </c>
      <c r="J102" s="304"/>
      <c r="K102" s="300" t="s">
        <v>17</v>
      </c>
      <c r="L102" s="301">
        <v>1267354.49</v>
      </c>
    </row>
    <row r="103" spans="1:12" ht="71.400000000000006" hidden="1" x14ac:dyDescent="0.3">
      <c r="A103" s="295" t="s">
        <v>25</v>
      </c>
      <c r="B103" s="296" t="s">
        <v>960</v>
      </c>
      <c r="C103" s="296" t="s">
        <v>963</v>
      </c>
      <c r="D103" s="296" t="s">
        <v>937</v>
      </c>
      <c r="E103" s="297" t="s">
        <v>22</v>
      </c>
      <c r="F103" s="303">
        <v>75715</v>
      </c>
      <c r="G103" s="303"/>
      <c r="H103" s="297" t="s">
        <v>23</v>
      </c>
      <c r="I103" s="304" t="s">
        <v>24</v>
      </c>
      <c r="J103" s="304"/>
      <c r="K103" s="300" t="s">
        <v>17</v>
      </c>
      <c r="L103" s="301">
        <v>1343069.49</v>
      </c>
    </row>
    <row r="104" spans="1:12" ht="71.400000000000006" hidden="1" x14ac:dyDescent="0.3">
      <c r="A104" s="295" t="s">
        <v>25</v>
      </c>
      <c r="B104" s="296" t="s">
        <v>960</v>
      </c>
      <c r="C104" s="296" t="s">
        <v>964</v>
      </c>
      <c r="D104" s="296" t="s">
        <v>937</v>
      </c>
      <c r="E104" s="297" t="s">
        <v>22</v>
      </c>
      <c r="F104" s="303">
        <v>72534</v>
      </c>
      <c r="G104" s="303"/>
      <c r="H104" s="297" t="s">
        <v>23</v>
      </c>
      <c r="I104" s="304" t="s">
        <v>24</v>
      </c>
      <c r="J104" s="304"/>
      <c r="K104" s="300" t="s">
        <v>17</v>
      </c>
      <c r="L104" s="301">
        <v>1415603.49</v>
      </c>
    </row>
    <row r="105" spans="1:12" ht="71.400000000000006" hidden="1" x14ac:dyDescent="0.3">
      <c r="A105" s="295" t="s">
        <v>25</v>
      </c>
      <c r="B105" s="296" t="s">
        <v>965</v>
      </c>
      <c r="C105" s="296" t="s">
        <v>966</v>
      </c>
      <c r="D105" s="296" t="s">
        <v>937</v>
      </c>
      <c r="E105" s="297" t="s">
        <v>22</v>
      </c>
      <c r="F105" s="303">
        <v>18555</v>
      </c>
      <c r="G105" s="303"/>
      <c r="H105" s="297" t="s">
        <v>23</v>
      </c>
      <c r="I105" s="304" t="s">
        <v>24</v>
      </c>
      <c r="J105" s="304"/>
      <c r="K105" s="300" t="s">
        <v>17</v>
      </c>
      <c r="L105" s="301">
        <v>1434158.49</v>
      </c>
    </row>
    <row r="106" spans="1:12" ht="71.400000000000006" hidden="1" x14ac:dyDescent="0.3">
      <c r="A106" s="295" t="s">
        <v>25</v>
      </c>
      <c r="B106" s="296" t="s">
        <v>965</v>
      </c>
      <c r="C106" s="296" t="s">
        <v>967</v>
      </c>
      <c r="D106" s="296" t="s">
        <v>937</v>
      </c>
      <c r="E106" s="297" t="s">
        <v>22</v>
      </c>
      <c r="F106" s="303">
        <v>18842</v>
      </c>
      <c r="G106" s="303"/>
      <c r="H106" s="297" t="s">
        <v>23</v>
      </c>
      <c r="I106" s="304" t="s">
        <v>24</v>
      </c>
      <c r="J106" s="304"/>
      <c r="K106" s="300" t="s">
        <v>17</v>
      </c>
      <c r="L106" s="301">
        <v>1453000.49</v>
      </c>
    </row>
    <row r="107" spans="1:12" ht="71.400000000000006" hidden="1" x14ac:dyDescent="0.3">
      <c r="A107" s="295" t="s">
        <v>25</v>
      </c>
      <c r="B107" s="296" t="s">
        <v>965</v>
      </c>
      <c r="C107" s="296" t="s">
        <v>968</v>
      </c>
      <c r="D107" s="296" t="s">
        <v>937</v>
      </c>
      <c r="E107" s="297" t="s">
        <v>22</v>
      </c>
      <c r="F107" s="303">
        <v>94050</v>
      </c>
      <c r="G107" s="303"/>
      <c r="H107" s="297" t="s">
        <v>23</v>
      </c>
      <c r="I107" s="304" t="s">
        <v>24</v>
      </c>
      <c r="J107" s="304"/>
      <c r="K107" s="300" t="s">
        <v>17</v>
      </c>
      <c r="L107" s="301">
        <v>1547050.49</v>
      </c>
    </row>
    <row r="108" spans="1:12" ht="71.400000000000006" hidden="1" x14ac:dyDescent="0.3">
      <c r="A108" s="295" t="s">
        <v>25</v>
      </c>
      <c r="B108" s="296" t="s">
        <v>965</v>
      </c>
      <c r="C108" s="296" t="s">
        <v>969</v>
      </c>
      <c r="D108" s="296" t="s">
        <v>937</v>
      </c>
      <c r="E108" s="297" t="s">
        <v>22</v>
      </c>
      <c r="F108" s="303">
        <v>89895</v>
      </c>
      <c r="G108" s="303"/>
      <c r="H108" s="297" t="s">
        <v>23</v>
      </c>
      <c r="I108" s="304" t="s">
        <v>24</v>
      </c>
      <c r="J108" s="304"/>
      <c r="K108" s="300" t="s">
        <v>17</v>
      </c>
      <c r="L108" s="301">
        <v>1636945.49</v>
      </c>
    </row>
    <row r="109" spans="1:12" ht="71.400000000000006" hidden="1" x14ac:dyDescent="0.3">
      <c r="A109" s="295" t="s">
        <v>25</v>
      </c>
      <c r="B109" s="296" t="s">
        <v>970</v>
      </c>
      <c r="C109" s="296" t="s">
        <v>961</v>
      </c>
      <c r="D109" s="296" t="s">
        <v>937</v>
      </c>
      <c r="E109" s="297" t="s">
        <v>22</v>
      </c>
      <c r="F109" s="303">
        <v>1885.96</v>
      </c>
      <c r="G109" s="303"/>
      <c r="H109" s="297" t="s">
        <v>23</v>
      </c>
      <c r="I109" s="304" t="s">
        <v>24</v>
      </c>
      <c r="J109" s="304"/>
      <c r="K109" s="300" t="s">
        <v>17</v>
      </c>
      <c r="L109" s="301">
        <v>1638831.45</v>
      </c>
    </row>
    <row r="110" spans="1:12" ht="71.400000000000006" hidden="1" x14ac:dyDescent="0.3">
      <c r="A110" s="295" t="s">
        <v>25</v>
      </c>
      <c r="B110" s="296" t="s">
        <v>970</v>
      </c>
      <c r="C110" s="296" t="s">
        <v>962</v>
      </c>
      <c r="D110" s="296" t="s">
        <v>937</v>
      </c>
      <c r="E110" s="297" t="s">
        <v>22</v>
      </c>
      <c r="F110" s="303">
        <v>1845.87</v>
      </c>
      <c r="G110" s="303"/>
      <c r="H110" s="297" t="s">
        <v>23</v>
      </c>
      <c r="I110" s="304" t="s">
        <v>24</v>
      </c>
      <c r="J110" s="304"/>
      <c r="K110" s="300" t="s">
        <v>17</v>
      </c>
      <c r="L110" s="301">
        <v>1640677.32</v>
      </c>
    </row>
    <row r="111" spans="1:12" ht="71.400000000000006" hidden="1" x14ac:dyDescent="0.3">
      <c r="A111" s="295" t="s">
        <v>25</v>
      </c>
      <c r="B111" s="296" t="s">
        <v>970</v>
      </c>
      <c r="C111" s="296" t="s">
        <v>963</v>
      </c>
      <c r="D111" s="296" t="s">
        <v>937</v>
      </c>
      <c r="E111" s="297" t="s">
        <v>22</v>
      </c>
      <c r="F111" s="303">
        <v>1946.89</v>
      </c>
      <c r="G111" s="303"/>
      <c r="H111" s="297" t="s">
        <v>23</v>
      </c>
      <c r="I111" s="304" t="s">
        <v>24</v>
      </c>
      <c r="J111" s="304"/>
      <c r="K111" s="300" t="s">
        <v>17</v>
      </c>
      <c r="L111" s="301">
        <v>1642624.21</v>
      </c>
    </row>
    <row r="112" spans="1:12" ht="71.400000000000006" hidden="1" x14ac:dyDescent="0.3">
      <c r="A112" s="295" t="s">
        <v>25</v>
      </c>
      <c r="B112" s="296" t="s">
        <v>970</v>
      </c>
      <c r="C112" s="296" t="s">
        <v>964</v>
      </c>
      <c r="D112" s="296" t="s">
        <v>937</v>
      </c>
      <c r="E112" s="297" t="s">
        <v>22</v>
      </c>
      <c r="F112" s="303">
        <v>1865.1</v>
      </c>
      <c r="G112" s="303"/>
      <c r="H112" s="297" t="s">
        <v>23</v>
      </c>
      <c r="I112" s="304" t="s">
        <v>24</v>
      </c>
      <c r="J112" s="304"/>
      <c r="K112" s="300" t="s">
        <v>17</v>
      </c>
      <c r="L112" s="301">
        <v>1644489.31</v>
      </c>
    </row>
    <row r="113" spans="1:12" ht="71.400000000000006" hidden="1" x14ac:dyDescent="0.3">
      <c r="A113" s="295" t="s">
        <v>25</v>
      </c>
      <c r="B113" s="296" t="s">
        <v>971</v>
      </c>
      <c r="C113" s="296" t="s">
        <v>966</v>
      </c>
      <c r="D113" s="296" t="s">
        <v>937</v>
      </c>
      <c r="E113" s="297" t="s">
        <v>22</v>
      </c>
      <c r="F113" s="305">
        <v>477.12</v>
      </c>
      <c r="G113" s="305"/>
      <c r="H113" s="297" t="s">
        <v>23</v>
      </c>
      <c r="I113" s="304" t="s">
        <v>24</v>
      </c>
      <c r="J113" s="304"/>
      <c r="K113" s="300" t="s">
        <v>17</v>
      </c>
      <c r="L113" s="301">
        <v>1644966.43</v>
      </c>
    </row>
    <row r="114" spans="1:12" ht="71.400000000000006" hidden="1" x14ac:dyDescent="0.3">
      <c r="A114" s="295" t="s">
        <v>25</v>
      </c>
      <c r="B114" s="296" t="s">
        <v>971</v>
      </c>
      <c r="C114" s="296" t="s">
        <v>967</v>
      </c>
      <c r="D114" s="296" t="s">
        <v>937</v>
      </c>
      <c r="E114" s="297" t="s">
        <v>22</v>
      </c>
      <c r="F114" s="305">
        <v>484.49</v>
      </c>
      <c r="G114" s="305"/>
      <c r="H114" s="297" t="s">
        <v>23</v>
      </c>
      <c r="I114" s="304" t="s">
        <v>24</v>
      </c>
      <c r="J114" s="304"/>
      <c r="K114" s="300" t="s">
        <v>17</v>
      </c>
      <c r="L114" s="301">
        <v>1645450.92</v>
      </c>
    </row>
    <row r="115" spans="1:12" ht="71.400000000000006" hidden="1" x14ac:dyDescent="0.3">
      <c r="A115" s="295" t="s">
        <v>25</v>
      </c>
      <c r="B115" s="296" t="s">
        <v>971</v>
      </c>
      <c r="C115" s="296" t="s">
        <v>968</v>
      </c>
      <c r="D115" s="296" t="s">
        <v>937</v>
      </c>
      <c r="E115" s="297" t="s">
        <v>22</v>
      </c>
      <c r="F115" s="303">
        <v>2418.34</v>
      </c>
      <c r="G115" s="303"/>
      <c r="H115" s="297" t="s">
        <v>23</v>
      </c>
      <c r="I115" s="304" t="s">
        <v>24</v>
      </c>
      <c r="J115" s="304"/>
      <c r="K115" s="300" t="s">
        <v>17</v>
      </c>
      <c r="L115" s="301">
        <v>1647869.26</v>
      </c>
    </row>
    <row r="116" spans="1:12" ht="71.400000000000006" hidden="1" x14ac:dyDescent="0.3">
      <c r="A116" s="295" t="s">
        <v>25</v>
      </c>
      <c r="B116" s="296" t="s">
        <v>971</v>
      </c>
      <c r="C116" s="296" t="s">
        <v>969</v>
      </c>
      <c r="D116" s="296" t="s">
        <v>937</v>
      </c>
      <c r="E116" s="297" t="s">
        <v>22</v>
      </c>
      <c r="F116" s="303">
        <v>2311.52</v>
      </c>
      <c r="G116" s="303"/>
      <c r="H116" s="297" t="s">
        <v>23</v>
      </c>
      <c r="I116" s="304" t="s">
        <v>24</v>
      </c>
      <c r="J116" s="304"/>
      <c r="K116" s="300" t="s">
        <v>17</v>
      </c>
      <c r="L116" s="301">
        <v>1650180.78</v>
      </c>
    </row>
    <row r="117" spans="1:12" ht="61.2" x14ac:dyDescent="0.3">
      <c r="A117" s="295" t="s">
        <v>25</v>
      </c>
      <c r="B117" s="296" t="s">
        <v>972</v>
      </c>
      <c r="C117" s="296" t="s">
        <v>27</v>
      </c>
      <c r="D117" s="296" t="s">
        <v>440</v>
      </c>
      <c r="E117" s="297" t="s">
        <v>29</v>
      </c>
      <c r="F117" s="298" t="s">
        <v>24</v>
      </c>
      <c r="G117" s="298"/>
      <c r="H117" s="297" t="s">
        <v>22</v>
      </c>
      <c r="I117" s="299">
        <v>760</v>
      </c>
      <c r="J117" s="299"/>
      <c r="K117" s="300" t="s">
        <v>17</v>
      </c>
      <c r="L117" s="301">
        <v>1649420.78</v>
      </c>
    </row>
    <row r="118" spans="1:12" ht="71.400000000000006" x14ac:dyDescent="0.3">
      <c r="A118" s="295" t="s">
        <v>25</v>
      </c>
      <c r="B118" s="296" t="s">
        <v>973</v>
      </c>
      <c r="C118" s="296" t="s">
        <v>727</v>
      </c>
      <c r="D118" s="296" t="s">
        <v>588</v>
      </c>
      <c r="E118" s="297" t="s">
        <v>29</v>
      </c>
      <c r="F118" s="298" t="s">
        <v>24</v>
      </c>
      <c r="G118" s="298"/>
      <c r="H118" s="297" t="s">
        <v>22</v>
      </c>
      <c r="I118" s="302">
        <v>22689.06</v>
      </c>
      <c r="J118" s="302"/>
      <c r="K118" s="300" t="s">
        <v>17</v>
      </c>
      <c r="L118" s="301">
        <v>1626731.72</v>
      </c>
    </row>
    <row r="119" spans="1:12" ht="71.400000000000006" x14ac:dyDescent="0.3">
      <c r="A119" s="295" t="s">
        <v>25</v>
      </c>
      <c r="B119" s="296" t="s">
        <v>973</v>
      </c>
      <c r="C119" s="296" t="s">
        <v>727</v>
      </c>
      <c r="D119" s="296" t="s">
        <v>601</v>
      </c>
      <c r="E119" s="297" t="s">
        <v>29</v>
      </c>
      <c r="F119" s="298" t="s">
        <v>24</v>
      </c>
      <c r="G119" s="298"/>
      <c r="H119" s="297" t="s">
        <v>22</v>
      </c>
      <c r="I119" s="302">
        <v>17891.990000000002</v>
      </c>
      <c r="J119" s="302"/>
      <c r="K119" s="300" t="s">
        <v>17</v>
      </c>
      <c r="L119" s="301">
        <v>1608839.73</v>
      </c>
    </row>
    <row r="120" spans="1:12" ht="71.400000000000006" x14ac:dyDescent="0.3">
      <c r="A120" s="295" t="s">
        <v>25</v>
      </c>
      <c r="B120" s="296" t="s">
        <v>973</v>
      </c>
      <c r="C120" s="296" t="s">
        <v>727</v>
      </c>
      <c r="D120" s="296" t="s">
        <v>925</v>
      </c>
      <c r="E120" s="297" t="s">
        <v>29</v>
      </c>
      <c r="F120" s="298" t="s">
        <v>24</v>
      </c>
      <c r="G120" s="298"/>
      <c r="H120" s="297" t="s">
        <v>22</v>
      </c>
      <c r="I120" s="302">
        <v>48552.5</v>
      </c>
      <c r="J120" s="302"/>
      <c r="K120" s="300" t="s">
        <v>17</v>
      </c>
      <c r="L120" s="301">
        <v>1560287.23</v>
      </c>
    </row>
    <row r="121" spans="1:12" ht="71.400000000000006" x14ac:dyDescent="0.3">
      <c r="A121" s="295" t="s">
        <v>25</v>
      </c>
      <c r="B121" s="296" t="s">
        <v>973</v>
      </c>
      <c r="C121" s="296" t="s">
        <v>727</v>
      </c>
      <c r="D121" s="296" t="s">
        <v>917</v>
      </c>
      <c r="E121" s="297" t="s">
        <v>29</v>
      </c>
      <c r="F121" s="298" t="s">
        <v>24</v>
      </c>
      <c r="G121" s="298"/>
      <c r="H121" s="297" t="s">
        <v>22</v>
      </c>
      <c r="I121" s="299">
        <v>289.44</v>
      </c>
      <c r="J121" s="299"/>
      <c r="K121" s="300" t="s">
        <v>17</v>
      </c>
      <c r="L121" s="301">
        <v>1559997.79</v>
      </c>
    </row>
    <row r="122" spans="1:12" ht="71.400000000000006" x14ac:dyDescent="0.3">
      <c r="A122" s="295" t="s">
        <v>25</v>
      </c>
      <c r="B122" s="296" t="s">
        <v>973</v>
      </c>
      <c r="C122" s="296" t="s">
        <v>727</v>
      </c>
      <c r="D122" s="296" t="s">
        <v>916</v>
      </c>
      <c r="E122" s="297" t="s">
        <v>29</v>
      </c>
      <c r="F122" s="298" t="s">
        <v>24</v>
      </c>
      <c r="G122" s="298"/>
      <c r="H122" s="297" t="s">
        <v>22</v>
      </c>
      <c r="I122" s="302">
        <v>2457.5</v>
      </c>
      <c r="J122" s="302"/>
      <c r="K122" s="300" t="s">
        <v>17</v>
      </c>
      <c r="L122" s="301">
        <v>1557540.29</v>
      </c>
    </row>
    <row r="123" spans="1:12" hidden="1" x14ac:dyDescent="0.3">
      <c r="A123" s="306" t="s">
        <v>47</v>
      </c>
      <c r="B123" s="306"/>
      <c r="C123" s="306"/>
      <c r="D123" s="306"/>
      <c r="E123" s="307">
        <v>1701942.5</v>
      </c>
      <c r="F123" s="307"/>
      <c r="G123" s="307"/>
      <c r="H123" s="307">
        <v>645721.82999999996</v>
      </c>
      <c r="I123" s="307"/>
      <c r="J123" s="307"/>
      <c r="K123" s="308" t="s">
        <v>17</v>
      </c>
      <c r="L123" s="309">
        <v>1557540.29</v>
      </c>
    </row>
    <row r="125" spans="1:12" x14ac:dyDescent="0.3">
      <c r="J125" s="29">
        <f>SUBTOTAL(9,I11:J122)*1.2</f>
        <v>728107.56</v>
      </c>
    </row>
  </sheetData>
  <autoFilter ref="B1:D123">
    <filterColumn colId="0">
      <filters>
        <filter val="Вимога-накладна ІБ00-000067 від 05.02.2025 18:15:23_x000a_Списаны ТМЦ"/>
        <filter val="Вимога-накладна ІБ00-000074 від 12.02.2025 18:02:56_x000a_Списаны ТМЦ"/>
        <filter val="Вимога-накладна ІБ00-000087 від 20.02.2025 08:54:07_x000a_Списаны ТМЦ"/>
        <filter val="Вимога-накладна ІБ00-000107 від 20.02.2025 00:00:00_x000a_Списаны ТМЦ"/>
        <filter val="Вимога-накладна ІБ00-000145 від 28.02.2025 20:00:00_x000a_Списаны ТМЦ"/>
        <filter val="Списання товарів ІБ00-000059 від 05.02.2025 00:00:00_x000a_Списаны ТМЦ"/>
        <filter val="Списання товарів ІБ00-000074 від 20.02.2025 00:00:00_x000a_Списаны ТМЦ"/>
        <filter val="Списання товарів ІБ00-000075 від 28.02.2025 20:00:00_x000a_Списаны ТМЦ"/>
      </filters>
    </filterColumn>
  </autoFilter>
  <mergeCells count="252">
    <mergeCell ref="F121:G121"/>
    <mergeCell ref="I121:J121"/>
    <mergeCell ref="F122:G122"/>
    <mergeCell ref="I122:J122"/>
    <mergeCell ref="A123:D123"/>
    <mergeCell ref="E123:G123"/>
    <mergeCell ref="H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51"/>
  <sheetViews>
    <sheetView topLeftCell="A242" workbookViewId="0">
      <selection activeCell="J251" sqref="J251"/>
    </sheetView>
  </sheetViews>
  <sheetFormatPr defaultRowHeight="14.4" x14ac:dyDescent="0.3"/>
  <cols>
    <col min="2" max="4" width="38" customWidth="1"/>
    <col min="10" max="10" width="11.33203125" bestFit="1" customWidth="1"/>
  </cols>
  <sheetData>
    <row r="1" spans="1:12" x14ac:dyDescent="0.3">
      <c r="A1" s="310" t="s">
        <v>9</v>
      </c>
      <c r="B1" s="311" t="s">
        <v>10</v>
      </c>
      <c r="C1" s="311" t="s">
        <v>11</v>
      </c>
      <c r="D1" s="312" t="s">
        <v>12</v>
      </c>
      <c r="E1" s="313" t="s">
        <v>13</v>
      </c>
      <c r="F1" s="313"/>
      <c r="G1" s="313"/>
      <c r="H1" s="314" t="s">
        <v>14</v>
      </c>
      <c r="I1" s="314"/>
      <c r="J1" s="314"/>
      <c r="K1" s="311" t="s">
        <v>15</v>
      </c>
      <c r="L1" s="311"/>
    </row>
    <row r="2" spans="1:12" hidden="1" x14ac:dyDescent="0.3">
      <c r="A2" s="315"/>
      <c r="B2" s="316"/>
      <c r="C2" s="316"/>
      <c r="D2" s="317"/>
      <c r="E2" s="318" t="s">
        <v>16</v>
      </c>
      <c r="F2" s="319"/>
      <c r="G2" s="319"/>
      <c r="H2" s="320" t="s">
        <v>16</v>
      </c>
      <c r="I2" s="321"/>
      <c r="J2" s="321"/>
      <c r="K2" s="315"/>
      <c r="L2" s="322"/>
    </row>
    <row r="3" spans="1:12" ht="51" hidden="1" x14ac:dyDescent="0.3">
      <c r="A3" s="323" t="s">
        <v>141</v>
      </c>
      <c r="B3" s="324" t="s">
        <v>778</v>
      </c>
      <c r="C3" s="324" t="s">
        <v>779</v>
      </c>
      <c r="D3" s="324" t="s">
        <v>780</v>
      </c>
      <c r="E3" s="325" t="s">
        <v>22</v>
      </c>
      <c r="F3" s="326" t="s">
        <v>24</v>
      </c>
      <c r="G3" s="326"/>
      <c r="H3" s="325" t="s">
        <v>22</v>
      </c>
      <c r="I3" s="327">
        <v>4510.67</v>
      </c>
      <c r="J3" s="327"/>
      <c r="K3" s="328" t="s">
        <v>17</v>
      </c>
      <c r="L3" s="329">
        <v>5356338.3600000003</v>
      </c>
    </row>
    <row r="4" spans="1:12" ht="51" hidden="1" x14ac:dyDescent="0.3">
      <c r="A4" s="323" t="s">
        <v>141</v>
      </c>
      <c r="B4" s="324" t="s">
        <v>778</v>
      </c>
      <c r="C4" s="324" t="s">
        <v>781</v>
      </c>
      <c r="D4" s="324" t="s">
        <v>782</v>
      </c>
      <c r="E4" s="325" t="s">
        <v>22</v>
      </c>
      <c r="F4" s="326" t="s">
        <v>24</v>
      </c>
      <c r="G4" s="326"/>
      <c r="H4" s="325" t="s">
        <v>22</v>
      </c>
      <c r="I4" s="327">
        <v>95477.16</v>
      </c>
      <c r="J4" s="327"/>
      <c r="K4" s="328" t="s">
        <v>17</v>
      </c>
      <c r="L4" s="329">
        <v>5260861.2</v>
      </c>
    </row>
    <row r="5" spans="1:12" ht="51" hidden="1" x14ac:dyDescent="0.3">
      <c r="A5" s="323" t="s">
        <v>141</v>
      </c>
      <c r="B5" s="324" t="s">
        <v>778</v>
      </c>
      <c r="C5" s="324" t="s">
        <v>783</v>
      </c>
      <c r="D5" s="324" t="s">
        <v>656</v>
      </c>
      <c r="E5" s="325" t="s">
        <v>22</v>
      </c>
      <c r="F5" s="326" t="s">
        <v>24</v>
      </c>
      <c r="G5" s="326"/>
      <c r="H5" s="325" t="s">
        <v>22</v>
      </c>
      <c r="I5" s="327">
        <v>9476.9699999999993</v>
      </c>
      <c r="J5" s="327"/>
      <c r="K5" s="328" t="s">
        <v>17</v>
      </c>
      <c r="L5" s="329">
        <v>5251384.2300000004</v>
      </c>
    </row>
    <row r="6" spans="1:12" ht="51" hidden="1" x14ac:dyDescent="0.3">
      <c r="A6" s="323" t="s">
        <v>141</v>
      </c>
      <c r="B6" s="324" t="s">
        <v>436</v>
      </c>
      <c r="C6" s="324" t="s">
        <v>437</v>
      </c>
      <c r="D6" s="324" t="s">
        <v>431</v>
      </c>
      <c r="E6" s="325" t="s">
        <v>22</v>
      </c>
      <c r="F6" s="330">
        <v>95197.03</v>
      </c>
      <c r="G6" s="330"/>
      <c r="H6" s="325" t="s">
        <v>22</v>
      </c>
      <c r="I6" s="331" t="s">
        <v>24</v>
      </c>
      <c r="J6" s="331"/>
      <c r="K6" s="328" t="s">
        <v>17</v>
      </c>
      <c r="L6" s="329">
        <v>5346581.26</v>
      </c>
    </row>
    <row r="7" spans="1:12" ht="51" hidden="1" x14ac:dyDescent="0.3">
      <c r="A7" s="323" t="s">
        <v>141</v>
      </c>
      <c r="B7" s="324" t="s">
        <v>654</v>
      </c>
      <c r="C7" s="324" t="s">
        <v>655</v>
      </c>
      <c r="D7" s="324" t="s">
        <v>656</v>
      </c>
      <c r="E7" s="325" t="s">
        <v>22</v>
      </c>
      <c r="F7" s="326" t="s">
        <v>24</v>
      </c>
      <c r="G7" s="326"/>
      <c r="H7" s="325" t="s">
        <v>22</v>
      </c>
      <c r="I7" s="327">
        <v>26455.21</v>
      </c>
      <c r="J7" s="327"/>
      <c r="K7" s="328" t="s">
        <v>17</v>
      </c>
      <c r="L7" s="329">
        <v>5320126.05</v>
      </c>
    </row>
    <row r="8" spans="1:12" ht="51" hidden="1" x14ac:dyDescent="0.3">
      <c r="A8" s="323" t="s">
        <v>141</v>
      </c>
      <c r="B8" s="324" t="s">
        <v>444</v>
      </c>
      <c r="C8" s="324" t="s">
        <v>445</v>
      </c>
      <c r="D8" s="324" t="s">
        <v>446</v>
      </c>
      <c r="E8" s="325" t="s">
        <v>22</v>
      </c>
      <c r="F8" s="330">
        <v>2342.8000000000002</v>
      </c>
      <c r="G8" s="330"/>
      <c r="H8" s="325" t="s">
        <v>22</v>
      </c>
      <c r="I8" s="331" t="s">
        <v>24</v>
      </c>
      <c r="J8" s="331"/>
      <c r="K8" s="328" t="s">
        <v>17</v>
      </c>
      <c r="L8" s="329">
        <v>5322468.8499999996</v>
      </c>
    </row>
    <row r="9" spans="1:12" ht="51" hidden="1" x14ac:dyDescent="0.3">
      <c r="A9" s="323" t="s">
        <v>141</v>
      </c>
      <c r="B9" s="324" t="s">
        <v>784</v>
      </c>
      <c r="C9" s="324" t="s">
        <v>783</v>
      </c>
      <c r="D9" s="324" t="s">
        <v>656</v>
      </c>
      <c r="E9" s="325" t="s">
        <v>22</v>
      </c>
      <c r="F9" s="326" t="s">
        <v>24</v>
      </c>
      <c r="G9" s="326"/>
      <c r="H9" s="325" t="s">
        <v>22</v>
      </c>
      <c r="I9" s="327">
        <v>10108.82</v>
      </c>
      <c r="J9" s="327"/>
      <c r="K9" s="328" t="s">
        <v>17</v>
      </c>
      <c r="L9" s="329">
        <v>5312360.03</v>
      </c>
    </row>
    <row r="10" spans="1:12" ht="51" hidden="1" x14ac:dyDescent="0.3">
      <c r="A10" s="323" t="s">
        <v>141</v>
      </c>
      <c r="B10" s="324" t="s">
        <v>784</v>
      </c>
      <c r="C10" s="324" t="s">
        <v>785</v>
      </c>
      <c r="D10" s="324" t="s">
        <v>786</v>
      </c>
      <c r="E10" s="325" t="s">
        <v>22</v>
      </c>
      <c r="F10" s="326" t="s">
        <v>24</v>
      </c>
      <c r="G10" s="326"/>
      <c r="H10" s="325" t="s">
        <v>22</v>
      </c>
      <c r="I10" s="327">
        <v>7356</v>
      </c>
      <c r="J10" s="327"/>
      <c r="K10" s="328" t="s">
        <v>17</v>
      </c>
      <c r="L10" s="329">
        <v>5305004.03</v>
      </c>
    </row>
    <row r="11" spans="1:12" ht="51" hidden="1" x14ac:dyDescent="0.3">
      <c r="A11" s="323" t="s">
        <v>141</v>
      </c>
      <c r="B11" s="324" t="s">
        <v>670</v>
      </c>
      <c r="C11" s="324" t="s">
        <v>671</v>
      </c>
      <c r="D11" s="324" t="s">
        <v>672</v>
      </c>
      <c r="E11" s="325" t="s">
        <v>22</v>
      </c>
      <c r="F11" s="330">
        <v>1043.42</v>
      </c>
      <c r="G11" s="330"/>
      <c r="H11" s="325" t="s">
        <v>22</v>
      </c>
      <c r="I11" s="331" t="s">
        <v>24</v>
      </c>
      <c r="J11" s="331"/>
      <c r="K11" s="328" t="s">
        <v>17</v>
      </c>
      <c r="L11" s="329">
        <v>5306047.45</v>
      </c>
    </row>
    <row r="12" spans="1:12" ht="51" hidden="1" x14ac:dyDescent="0.3">
      <c r="A12" s="323" t="s">
        <v>262</v>
      </c>
      <c r="B12" s="324" t="s">
        <v>974</v>
      </c>
      <c r="C12" s="324" t="s">
        <v>975</v>
      </c>
      <c r="D12" s="324" t="s">
        <v>976</v>
      </c>
      <c r="E12" s="325" t="s">
        <v>22</v>
      </c>
      <c r="F12" s="330">
        <v>57315</v>
      </c>
      <c r="G12" s="330"/>
      <c r="H12" s="325" t="s">
        <v>23</v>
      </c>
      <c r="I12" s="331" t="s">
        <v>24</v>
      </c>
      <c r="J12" s="331"/>
      <c r="K12" s="328" t="s">
        <v>17</v>
      </c>
      <c r="L12" s="329">
        <v>5363362.45</v>
      </c>
    </row>
    <row r="13" spans="1:12" ht="51" hidden="1" x14ac:dyDescent="0.3">
      <c r="A13" s="323" t="s">
        <v>262</v>
      </c>
      <c r="B13" s="324" t="s">
        <v>974</v>
      </c>
      <c r="C13" s="324" t="s">
        <v>977</v>
      </c>
      <c r="D13" s="324" t="s">
        <v>976</v>
      </c>
      <c r="E13" s="325" t="s">
        <v>22</v>
      </c>
      <c r="F13" s="330">
        <v>26995</v>
      </c>
      <c r="G13" s="330"/>
      <c r="H13" s="325" t="s">
        <v>23</v>
      </c>
      <c r="I13" s="331" t="s">
        <v>24</v>
      </c>
      <c r="J13" s="331"/>
      <c r="K13" s="328" t="s">
        <v>17</v>
      </c>
      <c r="L13" s="329">
        <v>5390357.4500000002</v>
      </c>
    </row>
    <row r="14" spans="1:12" ht="51" hidden="1" x14ac:dyDescent="0.3">
      <c r="A14" s="323" t="s">
        <v>262</v>
      </c>
      <c r="B14" s="324" t="s">
        <v>974</v>
      </c>
      <c r="C14" s="324" t="s">
        <v>978</v>
      </c>
      <c r="D14" s="324" t="s">
        <v>976</v>
      </c>
      <c r="E14" s="325" t="s">
        <v>22</v>
      </c>
      <c r="F14" s="330">
        <v>43505</v>
      </c>
      <c r="G14" s="330"/>
      <c r="H14" s="325" t="s">
        <v>23</v>
      </c>
      <c r="I14" s="331" t="s">
        <v>24</v>
      </c>
      <c r="J14" s="331"/>
      <c r="K14" s="328" t="s">
        <v>17</v>
      </c>
      <c r="L14" s="329">
        <v>5433862.4500000002</v>
      </c>
    </row>
    <row r="15" spans="1:12" ht="51" hidden="1" x14ac:dyDescent="0.3">
      <c r="A15" s="323" t="s">
        <v>262</v>
      </c>
      <c r="B15" s="324" t="s">
        <v>974</v>
      </c>
      <c r="C15" s="324" t="s">
        <v>979</v>
      </c>
      <c r="D15" s="324" t="s">
        <v>976</v>
      </c>
      <c r="E15" s="325" t="s">
        <v>22</v>
      </c>
      <c r="F15" s="330">
        <v>23270</v>
      </c>
      <c r="G15" s="330"/>
      <c r="H15" s="325" t="s">
        <v>23</v>
      </c>
      <c r="I15" s="331" t="s">
        <v>24</v>
      </c>
      <c r="J15" s="331"/>
      <c r="K15" s="328" t="s">
        <v>17</v>
      </c>
      <c r="L15" s="329">
        <v>5457132.4500000002</v>
      </c>
    </row>
    <row r="16" spans="1:12" ht="51" hidden="1" x14ac:dyDescent="0.3">
      <c r="A16" s="323" t="s">
        <v>262</v>
      </c>
      <c r="B16" s="324" t="s">
        <v>980</v>
      </c>
      <c r="C16" s="324" t="s">
        <v>981</v>
      </c>
      <c r="D16" s="324" t="s">
        <v>976</v>
      </c>
      <c r="E16" s="325" t="s">
        <v>22</v>
      </c>
      <c r="F16" s="330">
        <v>41090.400000000001</v>
      </c>
      <c r="G16" s="330"/>
      <c r="H16" s="325" t="s">
        <v>23</v>
      </c>
      <c r="I16" s="331" t="s">
        <v>24</v>
      </c>
      <c r="J16" s="331"/>
      <c r="K16" s="328" t="s">
        <v>17</v>
      </c>
      <c r="L16" s="329">
        <v>5498222.8499999996</v>
      </c>
    </row>
    <row r="17" spans="1:12" ht="51" hidden="1" x14ac:dyDescent="0.3">
      <c r="A17" s="323" t="s">
        <v>262</v>
      </c>
      <c r="B17" s="324" t="s">
        <v>974</v>
      </c>
      <c r="C17" s="324" t="s">
        <v>981</v>
      </c>
      <c r="D17" s="324" t="s">
        <v>976</v>
      </c>
      <c r="E17" s="325" t="s">
        <v>22</v>
      </c>
      <c r="F17" s="330">
        <v>79659.600000000006</v>
      </c>
      <c r="G17" s="330"/>
      <c r="H17" s="325" t="s">
        <v>23</v>
      </c>
      <c r="I17" s="331" t="s">
        <v>24</v>
      </c>
      <c r="J17" s="331"/>
      <c r="K17" s="328" t="s">
        <v>17</v>
      </c>
      <c r="L17" s="329">
        <v>5577882.4500000002</v>
      </c>
    </row>
    <row r="18" spans="1:12" ht="51" x14ac:dyDescent="0.3">
      <c r="A18" s="323" t="s">
        <v>453</v>
      </c>
      <c r="B18" s="324" t="s">
        <v>982</v>
      </c>
      <c r="C18" s="324" t="s">
        <v>27</v>
      </c>
      <c r="D18" s="324" t="s">
        <v>983</v>
      </c>
      <c r="E18" s="325" t="s">
        <v>29</v>
      </c>
      <c r="F18" s="326" t="s">
        <v>24</v>
      </c>
      <c r="G18" s="326"/>
      <c r="H18" s="325" t="s">
        <v>22</v>
      </c>
      <c r="I18" s="327">
        <v>1484.09</v>
      </c>
      <c r="J18" s="327"/>
      <c r="K18" s="328" t="s">
        <v>17</v>
      </c>
      <c r="L18" s="329">
        <v>5576398.3600000003</v>
      </c>
    </row>
    <row r="19" spans="1:12" ht="51" x14ac:dyDescent="0.3">
      <c r="A19" s="323" t="s">
        <v>453</v>
      </c>
      <c r="B19" s="324" t="s">
        <v>982</v>
      </c>
      <c r="C19" s="324" t="s">
        <v>27</v>
      </c>
      <c r="D19" s="324" t="s">
        <v>437</v>
      </c>
      <c r="E19" s="325" t="s">
        <v>29</v>
      </c>
      <c r="F19" s="326" t="s">
        <v>24</v>
      </c>
      <c r="G19" s="326"/>
      <c r="H19" s="325" t="s">
        <v>22</v>
      </c>
      <c r="I19" s="327">
        <v>71003.850000000006</v>
      </c>
      <c r="J19" s="327"/>
      <c r="K19" s="328" t="s">
        <v>17</v>
      </c>
      <c r="L19" s="329">
        <v>5505394.5099999998</v>
      </c>
    </row>
    <row r="20" spans="1:12" ht="51" x14ac:dyDescent="0.3">
      <c r="A20" s="323" t="s">
        <v>453</v>
      </c>
      <c r="B20" s="324" t="s">
        <v>982</v>
      </c>
      <c r="C20" s="324" t="s">
        <v>27</v>
      </c>
      <c r="D20" s="324" t="s">
        <v>984</v>
      </c>
      <c r="E20" s="325" t="s">
        <v>29</v>
      </c>
      <c r="F20" s="326" t="s">
        <v>24</v>
      </c>
      <c r="G20" s="326"/>
      <c r="H20" s="325" t="s">
        <v>22</v>
      </c>
      <c r="I20" s="327">
        <v>60000</v>
      </c>
      <c r="J20" s="327"/>
      <c r="K20" s="328" t="s">
        <v>17</v>
      </c>
      <c r="L20" s="329">
        <v>5445394.5099999998</v>
      </c>
    </row>
    <row r="21" spans="1:12" ht="51" x14ac:dyDescent="0.3">
      <c r="A21" s="323" t="s">
        <v>453</v>
      </c>
      <c r="B21" s="324" t="s">
        <v>982</v>
      </c>
      <c r="C21" s="324" t="s">
        <v>27</v>
      </c>
      <c r="D21" s="324" t="s">
        <v>985</v>
      </c>
      <c r="E21" s="325" t="s">
        <v>29</v>
      </c>
      <c r="F21" s="326" t="s">
        <v>24</v>
      </c>
      <c r="G21" s="326"/>
      <c r="H21" s="325" t="s">
        <v>22</v>
      </c>
      <c r="I21" s="327">
        <v>25000</v>
      </c>
      <c r="J21" s="327"/>
      <c r="K21" s="328" t="s">
        <v>17</v>
      </c>
      <c r="L21" s="329">
        <v>5420394.5099999998</v>
      </c>
    </row>
    <row r="22" spans="1:12" ht="51" x14ac:dyDescent="0.3">
      <c r="A22" s="323" t="s">
        <v>453</v>
      </c>
      <c r="B22" s="324" t="s">
        <v>982</v>
      </c>
      <c r="C22" s="324" t="s">
        <v>27</v>
      </c>
      <c r="D22" s="324" t="s">
        <v>986</v>
      </c>
      <c r="E22" s="325" t="s">
        <v>29</v>
      </c>
      <c r="F22" s="326" t="s">
        <v>24</v>
      </c>
      <c r="G22" s="326"/>
      <c r="H22" s="325" t="s">
        <v>22</v>
      </c>
      <c r="I22" s="327">
        <v>33800</v>
      </c>
      <c r="J22" s="327"/>
      <c r="K22" s="328" t="s">
        <v>17</v>
      </c>
      <c r="L22" s="329">
        <v>5386594.5099999998</v>
      </c>
    </row>
    <row r="23" spans="1:12" ht="51" x14ac:dyDescent="0.3">
      <c r="A23" s="323" t="s">
        <v>453</v>
      </c>
      <c r="B23" s="324" t="s">
        <v>987</v>
      </c>
      <c r="C23" s="324" t="s">
        <v>27</v>
      </c>
      <c r="D23" s="324" t="s">
        <v>988</v>
      </c>
      <c r="E23" s="325" t="s">
        <v>29</v>
      </c>
      <c r="F23" s="326" t="s">
        <v>24</v>
      </c>
      <c r="G23" s="326"/>
      <c r="H23" s="325" t="s">
        <v>22</v>
      </c>
      <c r="I23" s="327">
        <v>1576</v>
      </c>
      <c r="J23" s="327"/>
      <c r="K23" s="328" t="s">
        <v>17</v>
      </c>
      <c r="L23" s="329">
        <v>5385018.5099999998</v>
      </c>
    </row>
    <row r="24" spans="1:12" ht="51" x14ac:dyDescent="0.3">
      <c r="A24" s="323" t="s">
        <v>453</v>
      </c>
      <c r="B24" s="324" t="s">
        <v>987</v>
      </c>
      <c r="C24" s="324" t="s">
        <v>27</v>
      </c>
      <c r="D24" s="324" t="s">
        <v>989</v>
      </c>
      <c r="E24" s="325" t="s">
        <v>29</v>
      </c>
      <c r="F24" s="326" t="s">
        <v>24</v>
      </c>
      <c r="G24" s="326"/>
      <c r="H24" s="325" t="s">
        <v>22</v>
      </c>
      <c r="I24" s="332">
        <v>198.1</v>
      </c>
      <c r="J24" s="332"/>
      <c r="K24" s="328" t="s">
        <v>17</v>
      </c>
      <c r="L24" s="329">
        <v>5384820.4100000001</v>
      </c>
    </row>
    <row r="25" spans="1:12" ht="51" x14ac:dyDescent="0.3">
      <c r="A25" s="323" t="s">
        <v>453</v>
      </c>
      <c r="B25" s="324" t="s">
        <v>987</v>
      </c>
      <c r="C25" s="324" t="s">
        <v>27</v>
      </c>
      <c r="D25" s="324" t="s">
        <v>990</v>
      </c>
      <c r="E25" s="325" t="s">
        <v>29</v>
      </c>
      <c r="F25" s="326" t="s">
        <v>24</v>
      </c>
      <c r="G25" s="326"/>
      <c r="H25" s="325" t="s">
        <v>22</v>
      </c>
      <c r="I25" s="332">
        <v>91.25</v>
      </c>
      <c r="J25" s="332"/>
      <c r="K25" s="328" t="s">
        <v>17</v>
      </c>
      <c r="L25" s="329">
        <v>5384729.1600000001</v>
      </c>
    </row>
    <row r="26" spans="1:12" ht="51" x14ac:dyDescent="0.3">
      <c r="A26" s="323" t="s">
        <v>453</v>
      </c>
      <c r="B26" s="324" t="s">
        <v>991</v>
      </c>
      <c r="C26" s="324" t="s">
        <v>27</v>
      </c>
      <c r="D26" s="324" t="s">
        <v>992</v>
      </c>
      <c r="E26" s="325" t="s">
        <v>29</v>
      </c>
      <c r="F26" s="326" t="s">
        <v>24</v>
      </c>
      <c r="G26" s="326"/>
      <c r="H26" s="325" t="s">
        <v>22</v>
      </c>
      <c r="I26" s="332">
        <v>297.11</v>
      </c>
      <c r="J26" s="332"/>
      <c r="K26" s="328" t="s">
        <v>17</v>
      </c>
      <c r="L26" s="329">
        <v>5384432.0499999998</v>
      </c>
    </row>
    <row r="27" spans="1:12" ht="51" x14ac:dyDescent="0.3">
      <c r="A27" s="323" t="s">
        <v>453</v>
      </c>
      <c r="B27" s="324" t="s">
        <v>991</v>
      </c>
      <c r="C27" s="324" t="s">
        <v>27</v>
      </c>
      <c r="D27" s="324" t="s">
        <v>993</v>
      </c>
      <c r="E27" s="325" t="s">
        <v>29</v>
      </c>
      <c r="F27" s="326" t="s">
        <v>24</v>
      </c>
      <c r="G27" s="326"/>
      <c r="H27" s="325" t="s">
        <v>22</v>
      </c>
      <c r="I27" s="327">
        <v>9544.81</v>
      </c>
      <c r="J27" s="327"/>
      <c r="K27" s="328" t="s">
        <v>17</v>
      </c>
      <c r="L27" s="329">
        <v>5374887.2400000002</v>
      </c>
    </row>
    <row r="28" spans="1:12" ht="51" x14ac:dyDescent="0.3">
      <c r="A28" s="323" t="s">
        <v>453</v>
      </c>
      <c r="B28" s="324" t="s">
        <v>991</v>
      </c>
      <c r="C28" s="324" t="s">
        <v>27</v>
      </c>
      <c r="D28" s="324" t="s">
        <v>994</v>
      </c>
      <c r="E28" s="325" t="s">
        <v>29</v>
      </c>
      <c r="F28" s="326" t="s">
        <v>24</v>
      </c>
      <c r="G28" s="326"/>
      <c r="H28" s="325" t="s">
        <v>22</v>
      </c>
      <c r="I28" s="332">
        <v>516.98</v>
      </c>
      <c r="J28" s="332"/>
      <c r="K28" s="328" t="s">
        <v>17</v>
      </c>
      <c r="L28" s="329">
        <v>5374370.2599999998</v>
      </c>
    </row>
    <row r="29" spans="1:12" ht="51" x14ac:dyDescent="0.3">
      <c r="A29" s="323" t="s">
        <v>453</v>
      </c>
      <c r="B29" s="324" t="s">
        <v>991</v>
      </c>
      <c r="C29" s="324" t="s">
        <v>27</v>
      </c>
      <c r="D29" s="324" t="s">
        <v>995</v>
      </c>
      <c r="E29" s="325" t="s">
        <v>29</v>
      </c>
      <c r="F29" s="326" t="s">
        <v>24</v>
      </c>
      <c r="G29" s="326"/>
      <c r="H29" s="325" t="s">
        <v>22</v>
      </c>
      <c r="I29" s="332">
        <v>427.23</v>
      </c>
      <c r="J29" s="332"/>
      <c r="K29" s="328" t="s">
        <v>17</v>
      </c>
      <c r="L29" s="329">
        <v>5373943.0300000003</v>
      </c>
    </row>
    <row r="30" spans="1:12" ht="51" x14ac:dyDescent="0.3">
      <c r="A30" s="323" t="s">
        <v>453</v>
      </c>
      <c r="B30" s="324" t="s">
        <v>991</v>
      </c>
      <c r="C30" s="324" t="s">
        <v>27</v>
      </c>
      <c r="D30" s="324" t="s">
        <v>996</v>
      </c>
      <c r="E30" s="325" t="s">
        <v>29</v>
      </c>
      <c r="F30" s="326" t="s">
        <v>24</v>
      </c>
      <c r="G30" s="326"/>
      <c r="H30" s="325" t="s">
        <v>22</v>
      </c>
      <c r="I30" s="332">
        <v>183.05</v>
      </c>
      <c r="J30" s="332"/>
      <c r="K30" s="328" t="s">
        <v>17</v>
      </c>
      <c r="L30" s="329">
        <v>5373759.9800000004</v>
      </c>
    </row>
    <row r="31" spans="1:12" ht="51" x14ac:dyDescent="0.3">
      <c r="A31" s="323" t="s">
        <v>453</v>
      </c>
      <c r="B31" s="324" t="s">
        <v>991</v>
      </c>
      <c r="C31" s="324" t="s">
        <v>27</v>
      </c>
      <c r="D31" s="324" t="s">
        <v>997</v>
      </c>
      <c r="E31" s="325" t="s">
        <v>29</v>
      </c>
      <c r="F31" s="326" t="s">
        <v>24</v>
      </c>
      <c r="G31" s="326"/>
      <c r="H31" s="325" t="s">
        <v>22</v>
      </c>
      <c r="I31" s="327">
        <v>11743.3</v>
      </c>
      <c r="J31" s="327"/>
      <c r="K31" s="328" t="s">
        <v>17</v>
      </c>
      <c r="L31" s="329">
        <v>5362016.68</v>
      </c>
    </row>
    <row r="32" spans="1:12" ht="51" x14ac:dyDescent="0.3">
      <c r="A32" s="323" t="s">
        <v>453</v>
      </c>
      <c r="B32" s="324" t="s">
        <v>991</v>
      </c>
      <c r="C32" s="324" t="s">
        <v>27</v>
      </c>
      <c r="D32" s="324" t="s">
        <v>998</v>
      </c>
      <c r="E32" s="325" t="s">
        <v>29</v>
      </c>
      <c r="F32" s="326" t="s">
        <v>24</v>
      </c>
      <c r="G32" s="326"/>
      <c r="H32" s="325" t="s">
        <v>22</v>
      </c>
      <c r="I32" s="327">
        <v>53521.26</v>
      </c>
      <c r="J32" s="327"/>
      <c r="K32" s="328" t="s">
        <v>17</v>
      </c>
      <c r="L32" s="329">
        <v>5308495.42</v>
      </c>
    </row>
    <row r="33" spans="1:12" ht="51" x14ac:dyDescent="0.3">
      <c r="A33" s="323" t="s">
        <v>453</v>
      </c>
      <c r="B33" s="324" t="s">
        <v>991</v>
      </c>
      <c r="C33" s="324" t="s">
        <v>27</v>
      </c>
      <c r="D33" s="324" t="s">
        <v>999</v>
      </c>
      <c r="E33" s="325" t="s">
        <v>29</v>
      </c>
      <c r="F33" s="326" t="s">
        <v>24</v>
      </c>
      <c r="G33" s="326"/>
      <c r="H33" s="325" t="s">
        <v>22</v>
      </c>
      <c r="I33" s="327">
        <v>18815.580000000002</v>
      </c>
      <c r="J33" s="327"/>
      <c r="K33" s="328" t="s">
        <v>17</v>
      </c>
      <c r="L33" s="329">
        <v>5289679.84</v>
      </c>
    </row>
    <row r="34" spans="1:12" ht="51" x14ac:dyDescent="0.3">
      <c r="A34" s="323" t="s">
        <v>453</v>
      </c>
      <c r="B34" s="324" t="s">
        <v>991</v>
      </c>
      <c r="C34" s="324" t="s">
        <v>27</v>
      </c>
      <c r="D34" s="324" t="s">
        <v>1000</v>
      </c>
      <c r="E34" s="325" t="s">
        <v>29</v>
      </c>
      <c r="F34" s="326" t="s">
        <v>24</v>
      </c>
      <c r="G34" s="326"/>
      <c r="H34" s="325" t="s">
        <v>22</v>
      </c>
      <c r="I34" s="327">
        <v>8799.85</v>
      </c>
      <c r="J34" s="327"/>
      <c r="K34" s="328" t="s">
        <v>17</v>
      </c>
      <c r="L34" s="329">
        <v>5280879.99</v>
      </c>
    </row>
    <row r="35" spans="1:12" ht="51" x14ac:dyDescent="0.3">
      <c r="A35" s="323" t="s">
        <v>453</v>
      </c>
      <c r="B35" s="324" t="s">
        <v>991</v>
      </c>
      <c r="C35" s="324" t="s">
        <v>27</v>
      </c>
      <c r="D35" s="324" t="s">
        <v>1001</v>
      </c>
      <c r="E35" s="325" t="s">
        <v>29</v>
      </c>
      <c r="F35" s="326" t="s">
        <v>24</v>
      </c>
      <c r="G35" s="326"/>
      <c r="H35" s="325" t="s">
        <v>22</v>
      </c>
      <c r="I35" s="327">
        <v>1780.13</v>
      </c>
      <c r="J35" s="327"/>
      <c r="K35" s="328" t="s">
        <v>17</v>
      </c>
      <c r="L35" s="329">
        <v>5279099.8600000003</v>
      </c>
    </row>
    <row r="36" spans="1:12" ht="51" x14ac:dyDescent="0.3">
      <c r="A36" s="323" t="s">
        <v>453</v>
      </c>
      <c r="B36" s="324" t="s">
        <v>991</v>
      </c>
      <c r="C36" s="324" t="s">
        <v>27</v>
      </c>
      <c r="D36" s="324" t="s">
        <v>1002</v>
      </c>
      <c r="E36" s="325" t="s">
        <v>29</v>
      </c>
      <c r="F36" s="326" t="s">
        <v>24</v>
      </c>
      <c r="G36" s="326"/>
      <c r="H36" s="325" t="s">
        <v>22</v>
      </c>
      <c r="I36" s="332">
        <v>166.08</v>
      </c>
      <c r="J36" s="332"/>
      <c r="K36" s="328" t="s">
        <v>17</v>
      </c>
      <c r="L36" s="329">
        <v>5278933.78</v>
      </c>
    </row>
    <row r="37" spans="1:12" ht="51" x14ac:dyDescent="0.3">
      <c r="A37" s="323" t="s">
        <v>453</v>
      </c>
      <c r="B37" s="324" t="s">
        <v>991</v>
      </c>
      <c r="C37" s="324" t="s">
        <v>27</v>
      </c>
      <c r="D37" s="324" t="s">
        <v>1003</v>
      </c>
      <c r="E37" s="325" t="s">
        <v>29</v>
      </c>
      <c r="F37" s="326" t="s">
        <v>24</v>
      </c>
      <c r="G37" s="326"/>
      <c r="H37" s="325" t="s">
        <v>22</v>
      </c>
      <c r="I37" s="327">
        <v>7043.9</v>
      </c>
      <c r="J37" s="327"/>
      <c r="K37" s="328" t="s">
        <v>17</v>
      </c>
      <c r="L37" s="329">
        <v>5271889.88</v>
      </c>
    </row>
    <row r="38" spans="1:12" ht="51" x14ac:dyDescent="0.3">
      <c r="A38" s="323" t="s">
        <v>453</v>
      </c>
      <c r="B38" s="324" t="s">
        <v>991</v>
      </c>
      <c r="C38" s="324" t="s">
        <v>27</v>
      </c>
      <c r="D38" s="324" t="s">
        <v>1004</v>
      </c>
      <c r="E38" s="325" t="s">
        <v>29</v>
      </c>
      <c r="F38" s="326" t="s">
        <v>24</v>
      </c>
      <c r="G38" s="326"/>
      <c r="H38" s="325" t="s">
        <v>22</v>
      </c>
      <c r="I38" s="327">
        <v>71507.570000000007</v>
      </c>
      <c r="J38" s="327"/>
      <c r="K38" s="328" t="s">
        <v>17</v>
      </c>
      <c r="L38" s="329">
        <v>5200382.3099999996</v>
      </c>
    </row>
    <row r="39" spans="1:12" ht="51" x14ac:dyDescent="0.3">
      <c r="A39" s="323" t="s">
        <v>453</v>
      </c>
      <c r="B39" s="324" t="s">
        <v>991</v>
      </c>
      <c r="C39" s="324" t="s">
        <v>27</v>
      </c>
      <c r="D39" s="324" t="s">
        <v>1005</v>
      </c>
      <c r="E39" s="325" t="s">
        <v>29</v>
      </c>
      <c r="F39" s="326" t="s">
        <v>24</v>
      </c>
      <c r="G39" s="326"/>
      <c r="H39" s="325" t="s">
        <v>22</v>
      </c>
      <c r="I39" s="332">
        <v>79.5</v>
      </c>
      <c r="J39" s="332"/>
      <c r="K39" s="328" t="s">
        <v>17</v>
      </c>
      <c r="L39" s="329">
        <v>5200302.8099999996</v>
      </c>
    </row>
    <row r="40" spans="1:12" ht="51" x14ac:dyDescent="0.3">
      <c r="A40" s="323" t="s">
        <v>453</v>
      </c>
      <c r="B40" s="324" t="s">
        <v>991</v>
      </c>
      <c r="C40" s="324" t="s">
        <v>27</v>
      </c>
      <c r="D40" s="324" t="s">
        <v>1006</v>
      </c>
      <c r="E40" s="325" t="s">
        <v>29</v>
      </c>
      <c r="F40" s="326" t="s">
        <v>24</v>
      </c>
      <c r="G40" s="326"/>
      <c r="H40" s="325" t="s">
        <v>22</v>
      </c>
      <c r="I40" s="327">
        <v>1637.52</v>
      </c>
      <c r="J40" s="327"/>
      <c r="K40" s="328" t="s">
        <v>17</v>
      </c>
      <c r="L40" s="329">
        <v>5198665.29</v>
      </c>
    </row>
    <row r="41" spans="1:12" ht="51" x14ac:dyDescent="0.3">
      <c r="A41" s="323" t="s">
        <v>453</v>
      </c>
      <c r="B41" s="324" t="s">
        <v>991</v>
      </c>
      <c r="C41" s="324" t="s">
        <v>27</v>
      </c>
      <c r="D41" s="324" t="s">
        <v>1007</v>
      </c>
      <c r="E41" s="325" t="s">
        <v>29</v>
      </c>
      <c r="F41" s="326" t="s">
        <v>24</v>
      </c>
      <c r="G41" s="326"/>
      <c r="H41" s="325" t="s">
        <v>22</v>
      </c>
      <c r="I41" s="327">
        <v>12495.58</v>
      </c>
      <c r="J41" s="327"/>
      <c r="K41" s="328" t="s">
        <v>17</v>
      </c>
      <c r="L41" s="329">
        <v>5186169.71</v>
      </c>
    </row>
    <row r="42" spans="1:12" ht="51" x14ac:dyDescent="0.3">
      <c r="A42" s="323" t="s">
        <v>453</v>
      </c>
      <c r="B42" s="324" t="s">
        <v>991</v>
      </c>
      <c r="C42" s="324" t="s">
        <v>27</v>
      </c>
      <c r="D42" s="324" t="s">
        <v>1008</v>
      </c>
      <c r="E42" s="325" t="s">
        <v>29</v>
      </c>
      <c r="F42" s="326" t="s">
        <v>24</v>
      </c>
      <c r="G42" s="326"/>
      <c r="H42" s="325" t="s">
        <v>22</v>
      </c>
      <c r="I42" s="327">
        <v>1773.63</v>
      </c>
      <c r="J42" s="327"/>
      <c r="K42" s="328" t="s">
        <v>17</v>
      </c>
      <c r="L42" s="329">
        <v>5184396.08</v>
      </c>
    </row>
    <row r="43" spans="1:12" ht="51" x14ac:dyDescent="0.3">
      <c r="A43" s="323" t="s">
        <v>453</v>
      </c>
      <c r="B43" s="324" t="s">
        <v>991</v>
      </c>
      <c r="C43" s="324" t="s">
        <v>27</v>
      </c>
      <c r="D43" s="324" t="s">
        <v>445</v>
      </c>
      <c r="E43" s="325" t="s">
        <v>29</v>
      </c>
      <c r="F43" s="326" t="s">
        <v>24</v>
      </c>
      <c r="G43" s="326"/>
      <c r="H43" s="325" t="s">
        <v>22</v>
      </c>
      <c r="I43" s="327">
        <v>2342.8000000000002</v>
      </c>
      <c r="J43" s="327"/>
      <c r="K43" s="328" t="s">
        <v>17</v>
      </c>
      <c r="L43" s="329">
        <v>5182053.28</v>
      </c>
    </row>
    <row r="44" spans="1:12" ht="51" x14ac:dyDescent="0.3">
      <c r="A44" s="323" t="s">
        <v>453</v>
      </c>
      <c r="B44" s="324" t="s">
        <v>991</v>
      </c>
      <c r="C44" s="324" t="s">
        <v>27</v>
      </c>
      <c r="D44" s="324" t="s">
        <v>1009</v>
      </c>
      <c r="E44" s="325" t="s">
        <v>29</v>
      </c>
      <c r="F44" s="326" t="s">
        <v>24</v>
      </c>
      <c r="G44" s="326"/>
      <c r="H44" s="325" t="s">
        <v>22</v>
      </c>
      <c r="I44" s="327">
        <v>23815.72</v>
      </c>
      <c r="J44" s="327"/>
      <c r="K44" s="328" t="s">
        <v>17</v>
      </c>
      <c r="L44" s="329">
        <v>5158237.5599999996</v>
      </c>
    </row>
    <row r="45" spans="1:12" ht="51" x14ac:dyDescent="0.3">
      <c r="A45" s="323" t="s">
        <v>453</v>
      </c>
      <c r="B45" s="324" t="s">
        <v>991</v>
      </c>
      <c r="C45" s="324" t="s">
        <v>27</v>
      </c>
      <c r="D45" s="324" t="s">
        <v>1010</v>
      </c>
      <c r="E45" s="325" t="s">
        <v>29</v>
      </c>
      <c r="F45" s="326" t="s">
        <v>24</v>
      </c>
      <c r="G45" s="326"/>
      <c r="H45" s="325" t="s">
        <v>22</v>
      </c>
      <c r="I45" s="327">
        <v>72417.960000000006</v>
      </c>
      <c r="J45" s="327"/>
      <c r="K45" s="328" t="s">
        <v>17</v>
      </c>
      <c r="L45" s="329">
        <v>5085819.5999999996</v>
      </c>
    </row>
    <row r="46" spans="1:12" ht="51" x14ac:dyDescent="0.3">
      <c r="A46" s="323" t="s">
        <v>453</v>
      </c>
      <c r="B46" s="324" t="s">
        <v>991</v>
      </c>
      <c r="C46" s="324" t="s">
        <v>27</v>
      </c>
      <c r="D46" s="324" t="s">
        <v>1011</v>
      </c>
      <c r="E46" s="325" t="s">
        <v>29</v>
      </c>
      <c r="F46" s="326" t="s">
        <v>24</v>
      </c>
      <c r="G46" s="326"/>
      <c r="H46" s="325" t="s">
        <v>22</v>
      </c>
      <c r="I46" s="327">
        <v>43221.78</v>
      </c>
      <c r="J46" s="327"/>
      <c r="K46" s="328" t="s">
        <v>17</v>
      </c>
      <c r="L46" s="329">
        <v>5042597.82</v>
      </c>
    </row>
    <row r="47" spans="1:12" ht="51" x14ac:dyDescent="0.3">
      <c r="A47" s="323" t="s">
        <v>453</v>
      </c>
      <c r="B47" s="324" t="s">
        <v>991</v>
      </c>
      <c r="C47" s="324" t="s">
        <v>27</v>
      </c>
      <c r="D47" s="324" t="s">
        <v>1012</v>
      </c>
      <c r="E47" s="325" t="s">
        <v>29</v>
      </c>
      <c r="F47" s="326" t="s">
        <v>24</v>
      </c>
      <c r="G47" s="326"/>
      <c r="H47" s="325" t="s">
        <v>22</v>
      </c>
      <c r="I47" s="327">
        <v>9847.8799999999992</v>
      </c>
      <c r="J47" s="327"/>
      <c r="K47" s="328" t="s">
        <v>17</v>
      </c>
      <c r="L47" s="329">
        <v>5032749.9400000004</v>
      </c>
    </row>
    <row r="48" spans="1:12" ht="51" x14ac:dyDescent="0.3">
      <c r="A48" s="323" t="s">
        <v>453</v>
      </c>
      <c r="B48" s="324" t="s">
        <v>991</v>
      </c>
      <c r="C48" s="324" t="s">
        <v>27</v>
      </c>
      <c r="D48" s="324" t="s">
        <v>1013</v>
      </c>
      <c r="E48" s="325" t="s">
        <v>29</v>
      </c>
      <c r="F48" s="326" t="s">
        <v>24</v>
      </c>
      <c r="G48" s="326"/>
      <c r="H48" s="325" t="s">
        <v>22</v>
      </c>
      <c r="I48" s="327">
        <v>5143.8999999999996</v>
      </c>
      <c r="J48" s="327"/>
      <c r="K48" s="328" t="s">
        <v>17</v>
      </c>
      <c r="L48" s="329">
        <v>5027606.04</v>
      </c>
    </row>
    <row r="49" spans="1:12" ht="51" x14ac:dyDescent="0.3">
      <c r="A49" s="323" t="s">
        <v>453</v>
      </c>
      <c r="B49" s="324" t="s">
        <v>991</v>
      </c>
      <c r="C49" s="324" t="s">
        <v>27</v>
      </c>
      <c r="D49" s="324" t="s">
        <v>1014</v>
      </c>
      <c r="E49" s="325" t="s">
        <v>29</v>
      </c>
      <c r="F49" s="326" t="s">
        <v>24</v>
      </c>
      <c r="G49" s="326"/>
      <c r="H49" s="325" t="s">
        <v>22</v>
      </c>
      <c r="I49" s="327">
        <v>19406.82</v>
      </c>
      <c r="J49" s="327"/>
      <c r="K49" s="328" t="s">
        <v>17</v>
      </c>
      <c r="L49" s="329">
        <v>5008199.22</v>
      </c>
    </row>
    <row r="50" spans="1:12" ht="51" x14ac:dyDescent="0.3">
      <c r="A50" s="323" t="s">
        <v>453</v>
      </c>
      <c r="B50" s="324" t="s">
        <v>991</v>
      </c>
      <c r="C50" s="324" t="s">
        <v>27</v>
      </c>
      <c r="D50" s="324" t="s">
        <v>1015</v>
      </c>
      <c r="E50" s="325" t="s">
        <v>29</v>
      </c>
      <c r="F50" s="326" t="s">
        <v>24</v>
      </c>
      <c r="G50" s="326"/>
      <c r="H50" s="325" t="s">
        <v>22</v>
      </c>
      <c r="I50" s="327">
        <v>1352.3</v>
      </c>
      <c r="J50" s="327"/>
      <c r="K50" s="328" t="s">
        <v>17</v>
      </c>
      <c r="L50" s="329">
        <v>5006846.92</v>
      </c>
    </row>
    <row r="51" spans="1:12" ht="51" x14ac:dyDescent="0.3">
      <c r="A51" s="323" t="s">
        <v>453</v>
      </c>
      <c r="B51" s="324" t="s">
        <v>991</v>
      </c>
      <c r="C51" s="324" t="s">
        <v>27</v>
      </c>
      <c r="D51" s="324" t="s">
        <v>1016</v>
      </c>
      <c r="E51" s="325" t="s">
        <v>29</v>
      </c>
      <c r="F51" s="326" t="s">
        <v>24</v>
      </c>
      <c r="G51" s="326"/>
      <c r="H51" s="325" t="s">
        <v>22</v>
      </c>
      <c r="I51" s="327">
        <v>2374.9699999999998</v>
      </c>
      <c r="J51" s="327"/>
      <c r="K51" s="328" t="s">
        <v>17</v>
      </c>
      <c r="L51" s="329">
        <v>5004471.95</v>
      </c>
    </row>
    <row r="52" spans="1:12" ht="51" x14ac:dyDescent="0.3">
      <c r="A52" s="323" t="s">
        <v>453</v>
      </c>
      <c r="B52" s="324" t="s">
        <v>991</v>
      </c>
      <c r="C52" s="324" t="s">
        <v>27</v>
      </c>
      <c r="D52" s="324" t="s">
        <v>1017</v>
      </c>
      <c r="E52" s="325" t="s">
        <v>29</v>
      </c>
      <c r="F52" s="326" t="s">
        <v>24</v>
      </c>
      <c r="G52" s="326"/>
      <c r="H52" s="325" t="s">
        <v>22</v>
      </c>
      <c r="I52" s="327">
        <v>36839.599999999999</v>
      </c>
      <c r="J52" s="327"/>
      <c r="K52" s="328" t="s">
        <v>17</v>
      </c>
      <c r="L52" s="329">
        <v>4967632.3499999996</v>
      </c>
    </row>
    <row r="53" spans="1:12" ht="51" x14ac:dyDescent="0.3">
      <c r="A53" s="323" t="s">
        <v>453</v>
      </c>
      <c r="B53" s="324" t="s">
        <v>991</v>
      </c>
      <c r="C53" s="324" t="s">
        <v>27</v>
      </c>
      <c r="D53" s="324" t="s">
        <v>1018</v>
      </c>
      <c r="E53" s="325" t="s">
        <v>29</v>
      </c>
      <c r="F53" s="326" t="s">
        <v>24</v>
      </c>
      <c r="G53" s="326"/>
      <c r="H53" s="325" t="s">
        <v>22</v>
      </c>
      <c r="I53" s="332">
        <v>231.24</v>
      </c>
      <c r="J53" s="332"/>
      <c r="K53" s="328" t="s">
        <v>17</v>
      </c>
      <c r="L53" s="329">
        <v>4967401.1100000003</v>
      </c>
    </row>
    <row r="54" spans="1:12" ht="51" x14ac:dyDescent="0.3">
      <c r="A54" s="323" t="s">
        <v>453</v>
      </c>
      <c r="B54" s="324" t="s">
        <v>991</v>
      </c>
      <c r="C54" s="324" t="s">
        <v>27</v>
      </c>
      <c r="D54" s="324" t="s">
        <v>1019</v>
      </c>
      <c r="E54" s="325" t="s">
        <v>29</v>
      </c>
      <c r="F54" s="326" t="s">
        <v>24</v>
      </c>
      <c r="G54" s="326"/>
      <c r="H54" s="325" t="s">
        <v>22</v>
      </c>
      <c r="I54" s="332">
        <v>376.09</v>
      </c>
      <c r="J54" s="332"/>
      <c r="K54" s="328" t="s">
        <v>17</v>
      </c>
      <c r="L54" s="329">
        <v>4967025.0199999996</v>
      </c>
    </row>
    <row r="55" spans="1:12" ht="51" x14ac:dyDescent="0.3">
      <c r="A55" s="323" t="s">
        <v>453</v>
      </c>
      <c r="B55" s="324" t="s">
        <v>991</v>
      </c>
      <c r="C55" s="324" t="s">
        <v>27</v>
      </c>
      <c r="D55" s="324" t="s">
        <v>1020</v>
      </c>
      <c r="E55" s="325" t="s">
        <v>29</v>
      </c>
      <c r="F55" s="326" t="s">
        <v>24</v>
      </c>
      <c r="G55" s="326"/>
      <c r="H55" s="325" t="s">
        <v>22</v>
      </c>
      <c r="I55" s="327">
        <v>7603.84</v>
      </c>
      <c r="J55" s="327"/>
      <c r="K55" s="328" t="s">
        <v>17</v>
      </c>
      <c r="L55" s="329">
        <v>4959421.18</v>
      </c>
    </row>
    <row r="56" spans="1:12" ht="61.2" hidden="1" x14ac:dyDescent="0.3">
      <c r="A56" s="323" t="s">
        <v>267</v>
      </c>
      <c r="B56" s="324" t="s">
        <v>477</v>
      </c>
      <c r="C56" s="324" t="s">
        <v>478</v>
      </c>
      <c r="D56" s="324" t="s">
        <v>473</v>
      </c>
      <c r="E56" s="325" t="s">
        <v>22</v>
      </c>
      <c r="F56" s="330">
        <v>1820</v>
      </c>
      <c r="G56" s="330"/>
      <c r="H56" s="325" t="s">
        <v>22</v>
      </c>
      <c r="I56" s="331" t="s">
        <v>24</v>
      </c>
      <c r="J56" s="331"/>
      <c r="K56" s="328" t="s">
        <v>17</v>
      </c>
      <c r="L56" s="329">
        <v>4961241.18</v>
      </c>
    </row>
    <row r="57" spans="1:12" ht="51" hidden="1" x14ac:dyDescent="0.3">
      <c r="A57" s="323" t="s">
        <v>267</v>
      </c>
      <c r="B57" s="324" t="s">
        <v>494</v>
      </c>
      <c r="C57" s="324" t="s">
        <v>495</v>
      </c>
      <c r="D57" s="324" t="s">
        <v>465</v>
      </c>
      <c r="E57" s="325" t="s">
        <v>22</v>
      </c>
      <c r="F57" s="330">
        <v>4881.55</v>
      </c>
      <c r="G57" s="330"/>
      <c r="H57" s="325" t="s">
        <v>22</v>
      </c>
      <c r="I57" s="331" t="s">
        <v>24</v>
      </c>
      <c r="J57" s="331"/>
      <c r="K57" s="328" t="s">
        <v>17</v>
      </c>
      <c r="L57" s="329">
        <v>4966122.7300000004</v>
      </c>
    </row>
    <row r="58" spans="1:12" ht="51" hidden="1" x14ac:dyDescent="0.3">
      <c r="A58" s="323" t="s">
        <v>267</v>
      </c>
      <c r="B58" s="324" t="s">
        <v>494</v>
      </c>
      <c r="C58" s="324" t="s">
        <v>496</v>
      </c>
      <c r="D58" s="324" t="s">
        <v>470</v>
      </c>
      <c r="E58" s="325" t="s">
        <v>22</v>
      </c>
      <c r="F58" s="330">
        <v>8271.7900000000009</v>
      </c>
      <c r="G58" s="330"/>
      <c r="H58" s="325" t="s">
        <v>22</v>
      </c>
      <c r="I58" s="331" t="s">
        <v>24</v>
      </c>
      <c r="J58" s="331"/>
      <c r="K58" s="328" t="s">
        <v>17</v>
      </c>
      <c r="L58" s="329">
        <v>4974394.5199999996</v>
      </c>
    </row>
    <row r="59" spans="1:12" ht="51" hidden="1" x14ac:dyDescent="0.3">
      <c r="A59" s="323" t="s">
        <v>267</v>
      </c>
      <c r="B59" s="324" t="s">
        <v>513</v>
      </c>
      <c r="C59" s="324" t="s">
        <v>514</v>
      </c>
      <c r="D59" s="324" t="s">
        <v>508</v>
      </c>
      <c r="E59" s="325" t="s">
        <v>22</v>
      </c>
      <c r="F59" s="333">
        <v>938.57</v>
      </c>
      <c r="G59" s="333"/>
      <c r="H59" s="325" t="s">
        <v>22</v>
      </c>
      <c r="I59" s="331" t="s">
        <v>24</v>
      </c>
      <c r="J59" s="331"/>
      <c r="K59" s="328" t="s">
        <v>17</v>
      </c>
      <c r="L59" s="329">
        <v>4975333.09</v>
      </c>
    </row>
    <row r="60" spans="1:12" ht="51" hidden="1" x14ac:dyDescent="0.3">
      <c r="A60" s="323" t="s">
        <v>526</v>
      </c>
      <c r="B60" s="324" t="s">
        <v>536</v>
      </c>
      <c r="C60" s="324" t="s">
        <v>537</v>
      </c>
      <c r="D60" s="324" t="s">
        <v>528</v>
      </c>
      <c r="E60" s="325" t="s">
        <v>22</v>
      </c>
      <c r="F60" s="330">
        <v>34166.39</v>
      </c>
      <c r="G60" s="330"/>
      <c r="H60" s="325" t="s">
        <v>22</v>
      </c>
      <c r="I60" s="331" t="s">
        <v>24</v>
      </c>
      <c r="J60" s="331"/>
      <c r="K60" s="328" t="s">
        <v>17</v>
      </c>
      <c r="L60" s="329">
        <v>5009499.4800000004</v>
      </c>
    </row>
    <row r="61" spans="1:12" ht="51" hidden="1" x14ac:dyDescent="0.3">
      <c r="A61" s="323" t="s">
        <v>293</v>
      </c>
      <c r="B61" s="324" t="s">
        <v>1021</v>
      </c>
      <c r="C61" s="324" t="s">
        <v>1022</v>
      </c>
      <c r="D61" s="324" t="s">
        <v>1023</v>
      </c>
      <c r="E61" s="325" t="s">
        <v>22</v>
      </c>
      <c r="F61" s="330">
        <v>151342.39000000001</v>
      </c>
      <c r="G61" s="330"/>
      <c r="H61" s="325" t="s">
        <v>23</v>
      </c>
      <c r="I61" s="331" t="s">
        <v>24</v>
      </c>
      <c r="J61" s="331"/>
      <c r="K61" s="328" t="s">
        <v>17</v>
      </c>
      <c r="L61" s="329">
        <v>5160841.87</v>
      </c>
    </row>
    <row r="62" spans="1:12" ht="51" x14ac:dyDescent="0.3">
      <c r="A62" s="323" t="s">
        <v>53</v>
      </c>
      <c r="B62" s="324" t="s">
        <v>1024</v>
      </c>
      <c r="C62" s="324" t="s">
        <v>27</v>
      </c>
      <c r="D62" s="324" t="s">
        <v>975</v>
      </c>
      <c r="E62" s="325" t="s">
        <v>29</v>
      </c>
      <c r="F62" s="326" t="s">
        <v>24</v>
      </c>
      <c r="G62" s="326"/>
      <c r="H62" s="325" t="s">
        <v>22</v>
      </c>
      <c r="I62" s="327">
        <v>57315</v>
      </c>
      <c r="J62" s="327"/>
      <c r="K62" s="328" t="s">
        <v>17</v>
      </c>
      <c r="L62" s="329">
        <v>5103526.87</v>
      </c>
    </row>
    <row r="63" spans="1:12" ht="51" x14ac:dyDescent="0.3">
      <c r="A63" s="323" t="s">
        <v>53</v>
      </c>
      <c r="B63" s="324" t="s">
        <v>1024</v>
      </c>
      <c r="C63" s="324" t="s">
        <v>27</v>
      </c>
      <c r="D63" s="324" t="s">
        <v>978</v>
      </c>
      <c r="E63" s="325" t="s">
        <v>29</v>
      </c>
      <c r="F63" s="326" t="s">
        <v>24</v>
      </c>
      <c r="G63" s="326"/>
      <c r="H63" s="325" t="s">
        <v>22</v>
      </c>
      <c r="I63" s="327">
        <v>43505</v>
      </c>
      <c r="J63" s="327"/>
      <c r="K63" s="328" t="s">
        <v>17</v>
      </c>
      <c r="L63" s="329">
        <v>5060021.87</v>
      </c>
    </row>
    <row r="64" spans="1:12" ht="51" x14ac:dyDescent="0.3">
      <c r="A64" s="323" t="s">
        <v>53</v>
      </c>
      <c r="B64" s="324" t="s">
        <v>1024</v>
      </c>
      <c r="C64" s="324" t="s">
        <v>27</v>
      </c>
      <c r="D64" s="324" t="s">
        <v>979</v>
      </c>
      <c r="E64" s="325" t="s">
        <v>29</v>
      </c>
      <c r="F64" s="326" t="s">
        <v>24</v>
      </c>
      <c r="G64" s="326"/>
      <c r="H64" s="325" t="s">
        <v>22</v>
      </c>
      <c r="I64" s="327">
        <v>23270</v>
      </c>
      <c r="J64" s="327"/>
      <c r="K64" s="328" t="s">
        <v>17</v>
      </c>
      <c r="L64" s="329">
        <v>5036751.87</v>
      </c>
    </row>
    <row r="65" spans="1:12" ht="51" x14ac:dyDescent="0.3">
      <c r="A65" s="323" t="s">
        <v>53</v>
      </c>
      <c r="B65" s="324" t="s">
        <v>1024</v>
      </c>
      <c r="C65" s="324" t="s">
        <v>27</v>
      </c>
      <c r="D65" s="324" t="s">
        <v>977</v>
      </c>
      <c r="E65" s="325" t="s">
        <v>29</v>
      </c>
      <c r="F65" s="326" t="s">
        <v>24</v>
      </c>
      <c r="G65" s="326"/>
      <c r="H65" s="325" t="s">
        <v>22</v>
      </c>
      <c r="I65" s="327">
        <v>26995</v>
      </c>
      <c r="J65" s="327"/>
      <c r="K65" s="328" t="s">
        <v>17</v>
      </c>
      <c r="L65" s="329">
        <v>5009756.87</v>
      </c>
    </row>
    <row r="66" spans="1:12" ht="51" x14ac:dyDescent="0.3">
      <c r="A66" s="323" t="s">
        <v>53</v>
      </c>
      <c r="B66" s="324" t="s">
        <v>1024</v>
      </c>
      <c r="C66" s="324" t="s">
        <v>27</v>
      </c>
      <c r="D66" s="324" t="s">
        <v>981</v>
      </c>
      <c r="E66" s="325" t="s">
        <v>29</v>
      </c>
      <c r="F66" s="326" t="s">
        <v>24</v>
      </c>
      <c r="G66" s="326"/>
      <c r="H66" s="325" t="s">
        <v>22</v>
      </c>
      <c r="I66" s="327">
        <v>120750</v>
      </c>
      <c r="J66" s="327"/>
      <c r="K66" s="328" t="s">
        <v>17</v>
      </c>
      <c r="L66" s="329">
        <v>4889006.87</v>
      </c>
    </row>
    <row r="67" spans="1:12" ht="51" hidden="1" x14ac:dyDescent="0.3">
      <c r="A67" s="323" t="s">
        <v>53</v>
      </c>
      <c r="B67" s="324" t="s">
        <v>1025</v>
      </c>
      <c r="C67" s="324" t="s">
        <v>1026</v>
      </c>
      <c r="D67" s="324" t="s">
        <v>1027</v>
      </c>
      <c r="E67" s="325" t="s">
        <v>22</v>
      </c>
      <c r="F67" s="330">
        <v>235583.81</v>
      </c>
      <c r="G67" s="330"/>
      <c r="H67" s="325" t="s">
        <v>23</v>
      </c>
      <c r="I67" s="331" t="s">
        <v>24</v>
      </c>
      <c r="J67" s="331"/>
      <c r="K67" s="328" t="s">
        <v>17</v>
      </c>
      <c r="L67" s="329">
        <v>5124590.68</v>
      </c>
    </row>
    <row r="68" spans="1:12" ht="51" hidden="1" x14ac:dyDescent="0.3">
      <c r="A68" s="323" t="s">
        <v>53</v>
      </c>
      <c r="B68" s="324" t="s">
        <v>1025</v>
      </c>
      <c r="C68" s="324" t="s">
        <v>1028</v>
      </c>
      <c r="D68" s="324" t="s">
        <v>1027</v>
      </c>
      <c r="E68" s="325" t="s">
        <v>22</v>
      </c>
      <c r="F68" s="330">
        <v>46076.33</v>
      </c>
      <c r="G68" s="330"/>
      <c r="H68" s="325" t="s">
        <v>23</v>
      </c>
      <c r="I68" s="331" t="s">
        <v>24</v>
      </c>
      <c r="J68" s="331"/>
      <c r="K68" s="328" t="s">
        <v>17</v>
      </c>
      <c r="L68" s="329">
        <v>5170667.01</v>
      </c>
    </row>
    <row r="69" spans="1:12" ht="51" hidden="1" x14ac:dyDescent="0.3">
      <c r="A69" s="323" t="s">
        <v>53</v>
      </c>
      <c r="B69" s="324" t="s">
        <v>1029</v>
      </c>
      <c r="C69" s="324" t="s">
        <v>1030</v>
      </c>
      <c r="D69" s="324" t="s">
        <v>1027</v>
      </c>
      <c r="E69" s="325" t="s">
        <v>22</v>
      </c>
      <c r="F69" s="333">
        <v>676.4</v>
      </c>
      <c r="G69" s="333"/>
      <c r="H69" s="325" t="s">
        <v>23</v>
      </c>
      <c r="I69" s="331" t="s">
        <v>24</v>
      </c>
      <c r="J69" s="331"/>
      <c r="K69" s="328" t="s">
        <v>17</v>
      </c>
      <c r="L69" s="329">
        <v>5171343.41</v>
      </c>
    </row>
    <row r="70" spans="1:12" ht="51" hidden="1" x14ac:dyDescent="0.3">
      <c r="A70" s="323" t="s">
        <v>53</v>
      </c>
      <c r="B70" s="324" t="s">
        <v>1031</v>
      </c>
      <c r="C70" s="324" t="s">
        <v>1032</v>
      </c>
      <c r="D70" s="324" t="s">
        <v>1027</v>
      </c>
      <c r="E70" s="325" t="s">
        <v>22</v>
      </c>
      <c r="F70" s="330">
        <v>2080</v>
      </c>
      <c r="G70" s="330"/>
      <c r="H70" s="325" t="s">
        <v>23</v>
      </c>
      <c r="I70" s="331" t="s">
        <v>24</v>
      </c>
      <c r="J70" s="331"/>
      <c r="K70" s="328" t="s">
        <v>17</v>
      </c>
      <c r="L70" s="329">
        <v>5173423.41</v>
      </c>
    </row>
    <row r="71" spans="1:12" ht="51" hidden="1" x14ac:dyDescent="0.3">
      <c r="A71" s="323" t="s">
        <v>53</v>
      </c>
      <c r="B71" s="324" t="s">
        <v>1031</v>
      </c>
      <c r="C71" s="324" t="s">
        <v>1033</v>
      </c>
      <c r="D71" s="324" t="s">
        <v>1027</v>
      </c>
      <c r="E71" s="325" t="s">
        <v>22</v>
      </c>
      <c r="F71" s="330">
        <v>120857.24</v>
      </c>
      <c r="G71" s="330"/>
      <c r="H71" s="325" t="s">
        <v>23</v>
      </c>
      <c r="I71" s="331" t="s">
        <v>24</v>
      </c>
      <c r="J71" s="331"/>
      <c r="K71" s="328" t="s">
        <v>17</v>
      </c>
      <c r="L71" s="329">
        <v>5294280.6500000004</v>
      </c>
    </row>
    <row r="72" spans="1:12" ht="51" hidden="1" x14ac:dyDescent="0.3">
      <c r="A72" s="323" t="s">
        <v>53</v>
      </c>
      <c r="B72" s="324" t="s">
        <v>1031</v>
      </c>
      <c r="C72" s="324" t="s">
        <v>1034</v>
      </c>
      <c r="D72" s="324" t="s">
        <v>1027</v>
      </c>
      <c r="E72" s="325" t="s">
        <v>22</v>
      </c>
      <c r="F72" s="330">
        <v>8996.67</v>
      </c>
      <c r="G72" s="330"/>
      <c r="H72" s="325" t="s">
        <v>23</v>
      </c>
      <c r="I72" s="331" t="s">
        <v>24</v>
      </c>
      <c r="J72" s="331"/>
      <c r="K72" s="328" t="s">
        <v>17</v>
      </c>
      <c r="L72" s="329">
        <v>5303277.32</v>
      </c>
    </row>
    <row r="73" spans="1:12" ht="51" hidden="1" x14ac:dyDescent="0.3">
      <c r="A73" s="323" t="s">
        <v>53</v>
      </c>
      <c r="B73" s="324" t="s">
        <v>1031</v>
      </c>
      <c r="C73" s="324" t="s">
        <v>1035</v>
      </c>
      <c r="D73" s="324" t="s">
        <v>1027</v>
      </c>
      <c r="E73" s="325" t="s">
        <v>22</v>
      </c>
      <c r="F73" s="330">
        <v>93310</v>
      </c>
      <c r="G73" s="330"/>
      <c r="H73" s="325" t="s">
        <v>23</v>
      </c>
      <c r="I73" s="331" t="s">
        <v>24</v>
      </c>
      <c r="J73" s="331"/>
      <c r="K73" s="328" t="s">
        <v>17</v>
      </c>
      <c r="L73" s="329">
        <v>5396587.3200000003</v>
      </c>
    </row>
    <row r="74" spans="1:12" ht="51" hidden="1" x14ac:dyDescent="0.3">
      <c r="A74" s="323" t="s">
        <v>53</v>
      </c>
      <c r="B74" s="324" t="s">
        <v>1031</v>
      </c>
      <c r="C74" s="324" t="s">
        <v>1036</v>
      </c>
      <c r="D74" s="324" t="s">
        <v>1027</v>
      </c>
      <c r="E74" s="325" t="s">
        <v>22</v>
      </c>
      <c r="F74" s="330">
        <v>11121.25</v>
      </c>
      <c r="G74" s="330"/>
      <c r="H74" s="325" t="s">
        <v>23</v>
      </c>
      <c r="I74" s="331" t="s">
        <v>24</v>
      </c>
      <c r="J74" s="331"/>
      <c r="K74" s="328" t="s">
        <v>17</v>
      </c>
      <c r="L74" s="329">
        <v>5407708.5700000003</v>
      </c>
    </row>
    <row r="75" spans="1:12" ht="51" hidden="1" x14ac:dyDescent="0.3">
      <c r="A75" s="323" t="s">
        <v>53</v>
      </c>
      <c r="B75" s="324" t="s">
        <v>1031</v>
      </c>
      <c r="C75" s="324" t="s">
        <v>1037</v>
      </c>
      <c r="D75" s="324" t="s">
        <v>1027</v>
      </c>
      <c r="E75" s="325" t="s">
        <v>22</v>
      </c>
      <c r="F75" s="330">
        <v>19927.34</v>
      </c>
      <c r="G75" s="330"/>
      <c r="H75" s="325" t="s">
        <v>23</v>
      </c>
      <c r="I75" s="331" t="s">
        <v>24</v>
      </c>
      <c r="J75" s="331"/>
      <c r="K75" s="328" t="s">
        <v>17</v>
      </c>
      <c r="L75" s="329">
        <v>5427635.9100000001</v>
      </c>
    </row>
    <row r="76" spans="1:12" ht="51" hidden="1" x14ac:dyDescent="0.3">
      <c r="A76" s="323" t="s">
        <v>53</v>
      </c>
      <c r="B76" s="324" t="s">
        <v>1038</v>
      </c>
      <c r="C76" s="324" t="s">
        <v>1039</v>
      </c>
      <c r="D76" s="324" t="s">
        <v>1040</v>
      </c>
      <c r="E76" s="325" t="s">
        <v>22</v>
      </c>
      <c r="F76" s="330">
        <v>19370.439999999999</v>
      </c>
      <c r="G76" s="330"/>
      <c r="H76" s="325" t="s">
        <v>23</v>
      </c>
      <c r="I76" s="331" t="s">
        <v>24</v>
      </c>
      <c r="J76" s="331"/>
      <c r="K76" s="328" t="s">
        <v>17</v>
      </c>
      <c r="L76" s="329">
        <v>5447006.3499999996</v>
      </c>
    </row>
    <row r="77" spans="1:12" ht="51" hidden="1" x14ac:dyDescent="0.3">
      <c r="A77" s="323" t="s">
        <v>53</v>
      </c>
      <c r="B77" s="324" t="s">
        <v>1038</v>
      </c>
      <c r="C77" s="324" t="s">
        <v>1041</v>
      </c>
      <c r="D77" s="324" t="s">
        <v>1040</v>
      </c>
      <c r="E77" s="325" t="s">
        <v>22</v>
      </c>
      <c r="F77" s="330">
        <v>1877.07</v>
      </c>
      <c r="G77" s="330"/>
      <c r="H77" s="325" t="s">
        <v>23</v>
      </c>
      <c r="I77" s="331" t="s">
        <v>24</v>
      </c>
      <c r="J77" s="331"/>
      <c r="K77" s="328" t="s">
        <v>17</v>
      </c>
      <c r="L77" s="329">
        <v>5448883.4199999999</v>
      </c>
    </row>
    <row r="78" spans="1:12" ht="51" hidden="1" x14ac:dyDescent="0.3">
      <c r="A78" s="323" t="s">
        <v>53</v>
      </c>
      <c r="B78" s="324" t="s">
        <v>1038</v>
      </c>
      <c r="C78" s="324" t="s">
        <v>1042</v>
      </c>
      <c r="D78" s="324" t="s">
        <v>1040</v>
      </c>
      <c r="E78" s="325" t="s">
        <v>22</v>
      </c>
      <c r="F78" s="333">
        <v>680.4</v>
      </c>
      <c r="G78" s="333"/>
      <c r="H78" s="325" t="s">
        <v>23</v>
      </c>
      <c r="I78" s="331" t="s">
        <v>24</v>
      </c>
      <c r="J78" s="331"/>
      <c r="K78" s="328" t="s">
        <v>17</v>
      </c>
      <c r="L78" s="329">
        <v>5449563.8200000003</v>
      </c>
    </row>
    <row r="79" spans="1:12" ht="51" hidden="1" x14ac:dyDescent="0.3">
      <c r="A79" s="323" t="s">
        <v>53</v>
      </c>
      <c r="B79" s="324" t="s">
        <v>1038</v>
      </c>
      <c r="C79" s="324" t="s">
        <v>1043</v>
      </c>
      <c r="D79" s="324" t="s">
        <v>1040</v>
      </c>
      <c r="E79" s="325" t="s">
        <v>22</v>
      </c>
      <c r="F79" s="330">
        <v>1312.59</v>
      </c>
      <c r="G79" s="330"/>
      <c r="H79" s="325" t="s">
        <v>23</v>
      </c>
      <c r="I79" s="331" t="s">
        <v>24</v>
      </c>
      <c r="J79" s="331"/>
      <c r="K79" s="328" t="s">
        <v>17</v>
      </c>
      <c r="L79" s="329">
        <v>5450876.4100000001</v>
      </c>
    </row>
    <row r="80" spans="1:12" ht="51" hidden="1" x14ac:dyDescent="0.3">
      <c r="A80" s="323" t="s">
        <v>53</v>
      </c>
      <c r="B80" s="324" t="s">
        <v>1038</v>
      </c>
      <c r="C80" s="324" t="s">
        <v>1044</v>
      </c>
      <c r="D80" s="324" t="s">
        <v>1040</v>
      </c>
      <c r="E80" s="325" t="s">
        <v>22</v>
      </c>
      <c r="F80" s="333">
        <v>213.14</v>
      </c>
      <c r="G80" s="333"/>
      <c r="H80" s="325" t="s">
        <v>23</v>
      </c>
      <c r="I80" s="331" t="s">
        <v>24</v>
      </c>
      <c r="J80" s="331"/>
      <c r="K80" s="328" t="s">
        <v>17</v>
      </c>
      <c r="L80" s="329">
        <v>5451089.5499999998</v>
      </c>
    </row>
    <row r="81" spans="1:12" ht="51" hidden="1" x14ac:dyDescent="0.3">
      <c r="A81" s="323" t="s">
        <v>53</v>
      </c>
      <c r="B81" s="324" t="s">
        <v>1038</v>
      </c>
      <c r="C81" s="324" t="s">
        <v>1045</v>
      </c>
      <c r="D81" s="324" t="s">
        <v>1040</v>
      </c>
      <c r="E81" s="325" t="s">
        <v>22</v>
      </c>
      <c r="F81" s="333">
        <v>224.82</v>
      </c>
      <c r="G81" s="333"/>
      <c r="H81" s="325" t="s">
        <v>23</v>
      </c>
      <c r="I81" s="331" t="s">
        <v>24</v>
      </c>
      <c r="J81" s="331"/>
      <c r="K81" s="328" t="s">
        <v>17</v>
      </c>
      <c r="L81" s="329">
        <v>5451314.3700000001</v>
      </c>
    </row>
    <row r="82" spans="1:12" ht="51" hidden="1" x14ac:dyDescent="0.3">
      <c r="A82" s="323" t="s">
        <v>53</v>
      </c>
      <c r="B82" s="324" t="s">
        <v>1038</v>
      </c>
      <c r="C82" s="324" t="s">
        <v>1046</v>
      </c>
      <c r="D82" s="324" t="s">
        <v>1040</v>
      </c>
      <c r="E82" s="325" t="s">
        <v>22</v>
      </c>
      <c r="F82" s="330">
        <v>15003.07</v>
      </c>
      <c r="G82" s="330"/>
      <c r="H82" s="325" t="s">
        <v>23</v>
      </c>
      <c r="I82" s="331" t="s">
        <v>24</v>
      </c>
      <c r="J82" s="331"/>
      <c r="K82" s="328" t="s">
        <v>17</v>
      </c>
      <c r="L82" s="329">
        <v>5466317.4400000004</v>
      </c>
    </row>
    <row r="83" spans="1:12" ht="51" hidden="1" x14ac:dyDescent="0.3">
      <c r="A83" s="323" t="s">
        <v>53</v>
      </c>
      <c r="B83" s="324" t="s">
        <v>1038</v>
      </c>
      <c r="C83" s="324" t="s">
        <v>1047</v>
      </c>
      <c r="D83" s="324" t="s">
        <v>1040</v>
      </c>
      <c r="E83" s="325" t="s">
        <v>22</v>
      </c>
      <c r="F83" s="330">
        <v>3506.3</v>
      </c>
      <c r="G83" s="330"/>
      <c r="H83" s="325" t="s">
        <v>23</v>
      </c>
      <c r="I83" s="331" t="s">
        <v>24</v>
      </c>
      <c r="J83" s="331"/>
      <c r="K83" s="328" t="s">
        <v>17</v>
      </c>
      <c r="L83" s="329">
        <v>5469823.7400000002</v>
      </c>
    </row>
    <row r="84" spans="1:12" ht="51" hidden="1" x14ac:dyDescent="0.3">
      <c r="A84" s="323" t="s">
        <v>53</v>
      </c>
      <c r="B84" s="324" t="s">
        <v>1038</v>
      </c>
      <c r="C84" s="324" t="s">
        <v>1048</v>
      </c>
      <c r="D84" s="324" t="s">
        <v>1040</v>
      </c>
      <c r="E84" s="325" t="s">
        <v>22</v>
      </c>
      <c r="F84" s="330">
        <v>44194.06</v>
      </c>
      <c r="G84" s="330"/>
      <c r="H84" s="325" t="s">
        <v>23</v>
      </c>
      <c r="I84" s="331" t="s">
        <v>24</v>
      </c>
      <c r="J84" s="331"/>
      <c r="K84" s="328" t="s">
        <v>17</v>
      </c>
      <c r="L84" s="329">
        <v>5514017.7999999998</v>
      </c>
    </row>
    <row r="85" spans="1:12" ht="51" hidden="1" x14ac:dyDescent="0.3">
      <c r="A85" s="323" t="s">
        <v>53</v>
      </c>
      <c r="B85" s="324" t="s">
        <v>1038</v>
      </c>
      <c r="C85" s="324" t="s">
        <v>1049</v>
      </c>
      <c r="D85" s="324" t="s">
        <v>1040</v>
      </c>
      <c r="E85" s="325" t="s">
        <v>22</v>
      </c>
      <c r="F85" s="330">
        <v>19510.32</v>
      </c>
      <c r="G85" s="330"/>
      <c r="H85" s="325" t="s">
        <v>23</v>
      </c>
      <c r="I85" s="331" t="s">
        <v>24</v>
      </c>
      <c r="J85" s="331"/>
      <c r="K85" s="328" t="s">
        <v>17</v>
      </c>
      <c r="L85" s="329">
        <v>5533528.1200000001</v>
      </c>
    </row>
    <row r="86" spans="1:12" ht="51" hidden="1" x14ac:dyDescent="0.3">
      <c r="A86" s="323" t="s">
        <v>53</v>
      </c>
      <c r="B86" s="324" t="s">
        <v>1038</v>
      </c>
      <c r="C86" s="324" t="s">
        <v>1050</v>
      </c>
      <c r="D86" s="324" t="s">
        <v>1040</v>
      </c>
      <c r="E86" s="325" t="s">
        <v>22</v>
      </c>
      <c r="F86" s="330">
        <v>13021.15</v>
      </c>
      <c r="G86" s="330"/>
      <c r="H86" s="325" t="s">
        <v>23</v>
      </c>
      <c r="I86" s="331" t="s">
        <v>24</v>
      </c>
      <c r="J86" s="331"/>
      <c r="K86" s="328" t="s">
        <v>17</v>
      </c>
      <c r="L86" s="329">
        <v>5546549.2699999996</v>
      </c>
    </row>
    <row r="87" spans="1:12" ht="51" hidden="1" x14ac:dyDescent="0.3">
      <c r="A87" s="323" t="s">
        <v>53</v>
      </c>
      <c r="B87" s="324" t="s">
        <v>1038</v>
      </c>
      <c r="C87" s="324" t="s">
        <v>1051</v>
      </c>
      <c r="D87" s="324" t="s">
        <v>1040</v>
      </c>
      <c r="E87" s="325" t="s">
        <v>22</v>
      </c>
      <c r="F87" s="330">
        <v>23344.17</v>
      </c>
      <c r="G87" s="330"/>
      <c r="H87" s="325" t="s">
        <v>23</v>
      </c>
      <c r="I87" s="331" t="s">
        <v>24</v>
      </c>
      <c r="J87" s="331"/>
      <c r="K87" s="328" t="s">
        <v>17</v>
      </c>
      <c r="L87" s="329">
        <v>5569893.4400000004</v>
      </c>
    </row>
    <row r="88" spans="1:12" ht="51" hidden="1" x14ac:dyDescent="0.3">
      <c r="A88" s="323" t="s">
        <v>53</v>
      </c>
      <c r="B88" s="324" t="s">
        <v>1038</v>
      </c>
      <c r="C88" s="324" t="s">
        <v>1052</v>
      </c>
      <c r="D88" s="324" t="s">
        <v>1040</v>
      </c>
      <c r="E88" s="325" t="s">
        <v>22</v>
      </c>
      <c r="F88" s="330">
        <v>12264.21</v>
      </c>
      <c r="G88" s="330"/>
      <c r="H88" s="325" t="s">
        <v>23</v>
      </c>
      <c r="I88" s="331" t="s">
        <v>24</v>
      </c>
      <c r="J88" s="331"/>
      <c r="K88" s="328" t="s">
        <v>17</v>
      </c>
      <c r="L88" s="329">
        <v>5582157.6500000004</v>
      </c>
    </row>
    <row r="89" spans="1:12" ht="51" hidden="1" x14ac:dyDescent="0.3">
      <c r="A89" s="323" t="s">
        <v>53</v>
      </c>
      <c r="B89" s="324" t="s">
        <v>1038</v>
      </c>
      <c r="C89" s="324" t="s">
        <v>1053</v>
      </c>
      <c r="D89" s="324" t="s">
        <v>1040</v>
      </c>
      <c r="E89" s="325" t="s">
        <v>22</v>
      </c>
      <c r="F89" s="333">
        <v>303.19</v>
      </c>
      <c r="G89" s="333"/>
      <c r="H89" s="325" t="s">
        <v>23</v>
      </c>
      <c r="I89" s="331" t="s">
        <v>24</v>
      </c>
      <c r="J89" s="331"/>
      <c r="K89" s="328" t="s">
        <v>17</v>
      </c>
      <c r="L89" s="329">
        <v>5582460.8399999999</v>
      </c>
    </row>
    <row r="90" spans="1:12" ht="51" hidden="1" x14ac:dyDescent="0.3">
      <c r="A90" s="323" t="s">
        <v>53</v>
      </c>
      <c r="B90" s="324" t="s">
        <v>1038</v>
      </c>
      <c r="C90" s="324" t="s">
        <v>1054</v>
      </c>
      <c r="D90" s="324" t="s">
        <v>1040</v>
      </c>
      <c r="E90" s="325" t="s">
        <v>22</v>
      </c>
      <c r="F90" s="333">
        <v>413.45</v>
      </c>
      <c r="G90" s="333"/>
      <c r="H90" s="325" t="s">
        <v>23</v>
      </c>
      <c r="I90" s="331" t="s">
        <v>24</v>
      </c>
      <c r="J90" s="331"/>
      <c r="K90" s="328" t="s">
        <v>17</v>
      </c>
      <c r="L90" s="329">
        <v>5582874.29</v>
      </c>
    </row>
    <row r="91" spans="1:12" ht="51" hidden="1" x14ac:dyDescent="0.3">
      <c r="A91" s="323" t="s">
        <v>53</v>
      </c>
      <c r="B91" s="324" t="s">
        <v>1038</v>
      </c>
      <c r="C91" s="324" t="s">
        <v>1055</v>
      </c>
      <c r="D91" s="324" t="s">
        <v>1040</v>
      </c>
      <c r="E91" s="325" t="s">
        <v>22</v>
      </c>
      <c r="F91" s="330">
        <v>3100.92</v>
      </c>
      <c r="G91" s="330"/>
      <c r="H91" s="325" t="s">
        <v>23</v>
      </c>
      <c r="I91" s="331" t="s">
        <v>24</v>
      </c>
      <c r="J91" s="331"/>
      <c r="K91" s="328" t="s">
        <v>17</v>
      </c>
      <c r="L91" s="329">
        <v>5585975.21</v>
      </c>
    </row>
    <row r="92" spans="1:12" ht="51" hidden="1" x14ac:dyDescent="0.3">
      <c r="A92" s="323" t="s">
        <v>53</v>
      </c>
      <c r="B92" s="324" t="s">
        <v>1038</v>
      </c>
      <c r="C92" s="324" t="s">
        <v>1056</v>
      </c>
      <c r="D92" s="324" t="s">
        <v>1040</v>
      </c>
      <c r="E92" s="325" t="s">
        <v>22</v>
      </c>
      <c r="F92" s="330">
        <v>2885.42</v>
      </c>
      <c r="G92" s="330"/>
      <c r="H92" s="325" t="s">
        <v>23</v>
      </c>
      <c r="I92" s="331" t="s">
        <v>24</v>
      </c>
      <c r="J92" s="331"/>
      <c r="K92" s="328" t="s">
        <v>17</v>
      </c>
      <c r="L92" s="329">
        <v>5588860.6299999999</v>
      </c>
    </row>
    <row r="93" spans="1:12" ht="51" hidden="1" x14ac:dyDescent="0.3">
      <c r="A93" s="323" t="s">
        <v>53</v>
      </c>
      <c r="B93" s="324" t="s">
        <v>1038</v>
      </c>
      <c r="C93" s="324" t="s">
        <v>1057</v>
      </c>
      <c r="D93" s="324" t="s">
        <v>1040</v>
      </c>
      <c r="E93" s="325" t="s">
        <v>22</v>
      </c>
      <c r="F93" s="330">
        <v>4160.5600000000004</v>
      </c>
      <c r="G93" s="330"/>
      <c r="H93" s="325" t="s">
        <v>23</v>
      </c>
      <c r="I93" s="331" t="s">
        <v>24</v>
      </c>
      <c r="J93" s="331"/>
      <c r="K93" s="328" t="s">
        <v>17</v>
      </c>
      <c r="L93" s="329">
        <v>5593021.1900000004</v>
      </c>
    </row>
    <row r="94" spans="1:12" ht="51" hidden="1" x14ac:dyDescent="0.3">
      <c r="A94" s="323" t="s">
        <v>53</v>
      </c>
      <c r="B94" s="324" t="s">
        <v>1038</v>
      </c>
      <c r="C94" s="324" t="s">
        <v>1049</v>
      </c>
      <c r="D94" s="324" t="s">
        <v>1040</v>
      </c>
      <c r="E94" s="325" t="s">
        <v>22</v>
      </c>
      <c r="F94" s="330">
        <v>30244.99</v>
      </c>
      <c r="G94" s="330"/>
      <c r="H94" s="325" t="s">
        <v>23</v>
      </c>
      <c r="I94" s="331" t="s">
        <v>24</v>
      </c>
      <c r="J94" s="331"/>
      <c r="K94" s="328" t="s">
        <v>17</v>
      </c>
      <c r="L94" s="329">
        <v>5623266.1799999997</v>
      </c>
    </row>
    <row r="95" spans="1:12" ht="51" hidden="1" x14ac:dyDescent="0.3">
      <c r="A95" s="323" t="s">
        <v>53</v>
      </c>
      <c r="B95" s="324" t="s">
        <v>1038</v>
      </c>
      <c r="C95" s="324" t="s">
        <v>1058</v>
      </c>
      <c r="D95" s="324" t="s">
        <v>1040</v>
      </c>
      <c r="E95" s="325" t="s">
        <v>22</v>
      </c>
      <c r="F95" s="330">
        <v>5295.72</v>
      </c>
      <c r="G95" s="330"/>
      <c r="H95" s="325" t="s">
        <v>23</v>
      </c>
      <c r="I95" s="331" t="s">
        <v>24</v>
      </c>
      <c r="J95" s="331"/>
      <c r="K95" s="328" t="s">
        <v>17</v>
      </c>
      <c r="L95" s="329">
        <v>5628561.9000000004</v>
      </c>
    </row>
    <row r="96" spans="1:12" ht="51" hidden="1" x14ac:dyDescent="0.3">
      <c r="A96" s="323" t="s">
        <v>53</v>
      </c>
      <c r="B96" s="324" t="s">
        <v>1038</v>
      </c>
      <c r="C96" s="324" t="s">
        <v>1059</v>
      </c>
      <c r="D96" s="324" t="s">
        <v>1040</v>
      </c>
      <c r="E96" s="325" t="s">
        <v>22</v>
      </c>
      <c r="F96" s="330">
        <v>5490.64</v>
      </c>
      <c r="G96" s="330"/>
      <c r="H96" s="325" t="s">
        <v>23</v>
      </c>
      <c r="I96" s="331" t="s">
        <v>24</v>
      </c>
      <c r="J96" s="331"/>
      <c r="K96" s="328" t="s">
        <v>17</v>
      </c>
      <c r="L96" s="329">
        <v>5634052.54</v>
      </c>
    </row>
    <row r="97" spans="1:12" ht="51" hidden="1" x14ac:dyDescent="0.3">
      <c r="A97" s="323" t="s">
        <v>53</v>
      </c>
      <c r="B97" s="324" t="s">
        <v>1038</v>
      </c>
      <c r="C97" s="324" t="s">
        <v>1060</v>
      </c>
      <c r="D97" s="324" t="s">
        <v>1040</v>
      </c>
      <c r="E97" s="325" t="s">
        <v>22</v>
      </c>
      <c r="F97" s="330">
        <v>20768.54</v>
      </c>
      <c r="G97" s="330"/>
      <c r="H97" s="325" t="s">
        <v>23</v>
      </c>
      <c r="I97" s="331" t="s">
        <v>24</v>
      </c>
      <c r="J97" s="331"/>
      <c r="K97" s="328" t="s">
        <v>17</v>
      </c>
      <c r="L97" s="329">
        <v>5654821.0800000001</v>
      </c>
    </row>
    <row r="98" spans="1:12" ht="51" hidden="1" x14ac:dyDescent="0.3">
      <c r="A98" s="323" t="s">
        <v>53</v>
      </c>
      <c r="B98" s="324" t="s">
        <v>1038</v>
      </c>
      <c r="C98" s="324" t="s">
        <v>1061</v>
      </c>
      <c r="D98" s="324" t="s">
        <v>1040</v>
      </c>
      <c r="E98" s="325" t="s">
        <v>22</v>
      </c>
      <c r="F98" s="330">
        <v>35443.65</v>
      </c>
      <c r="G98" s="330"/>
      <c r="H98" s="325" t="s">
        <v>23</v>
      </c>
      <c r="I98" s="331" t="s">
        <v>24</v>
      </c>
      <c r="J98" s="331"/>
      <c r="K98" s="328" t="s">
        <v>17</v>
      </c>
      <c r="L98" s="329">
        <v>5690264.7300000004</v>
      </c>
    </row>
    <row r="99" spans="1:12" ht="51" hidden="1" x14ac:dyDescent="0.3">
      <c r="A99" s="323" t="s">
        <v>53</v>
      </c>
      <c r="B99" s="324" t="s">
        <v>1038</v>
      </c>
      <c r="C99" s="324" t="s">
        <v>1062</v>
      </c>
      <c r="D99" s="324" t="s">
        <v>1040</v>
      </c>
      <c r="E99" s="325" t="s">
        <v>22</v>
      </c>
      <c r="F99" s="330">
        <v>10237.48</v>
      </c>
      <c r="G99" s="330"/>
      <c r="H99" s="325" t="s">
        <v>23</v>
      </c>
      <c r="I99" s="331" t="s">
        <v>24</v>
      </c>
      <c r="J99" s="331"/>
      <c r="K99" s="328" t="s">
        <v>17</v>
      </c>
      <c r="L99" s="329">
        <v>5700502.21</v>
      </c>
    </row>
    <row r="100" spans="1:12" ht="51" hidden="1" x14ac:dyDescent="0.3">
      <c r="A100" s="323" t="s">
        <v>53</v>
      </c>
      <c r="B100" s="324" t="s">
        <v>1038</v>
      </c>
      <c r="C100" s="324" t="s">
        <v>1063</v>
      </c>
      <c r="D100" s="324" t="s">
        <v>1040</v>
      </c>
      <c r="E100" s="325" t="s">
        <v>22</v>
      </c>
      <c r="F100" s="330">
        <v>19060.93</v>
      </c>
      <c r="G100" s="330"/>
      <c r="H100" s="325" t="s">
        <v>23</v>
      </c>
      <c r="I100" s="331" t="s">
        <v>24</v>
      </c>
      <c r="J100" s="331"/>
      <c r="K100" s="328" t="s">
        <v>17</v>
      </c>
      <c r="L100" s="329">
        <v>5719563.1399999997</v>
      </c>
    </row>
    <row r="101" spans="1:12" ht="51" hidden="1" x14ac:dyDescent="0.3">
      <c r="A101" s="323" t="s">
        <v>53</v>
      </c>
      <c r="B101" s="324" t="s">
        <v>1038</v>
      </c>
      <c r="C101" s="324" t="s">
        <v>1064</v>
      </c>
      <c r="D101" s="324" t="s">
        <v>1040</v>
      </c>
      <c r="E101" s="325" t="s">
        <v>22</v>
      </c>
      <c r="F101" s="330">
        <v>20474.169999999998</v>
      </c>
      <c r="G101" s="330"/>
      <c r="H101" s="325" t="s">
        <v>23</v>
      </c>
      <c r="I101" s="331" t="s">
        <v>24</v>
      </c>
      <c r="J101" s="331"/>
      <c r="K101" s="328" t="s">
        <v>17</v>
      </c>
      <c r="L101" s="329">
        <v>5740037.3099999996</v>
      </c>
    </row>
    <row r="102" spans="1:12" ht="51" hidden="1" x14ac:dyDescent="0.3">
      <c r="A102" s="323" t="s">
        <v>53</v>
      </c>
      <c r="B102" s="324" t="s">
        <v>1038</v>
      </c>
      <c r="C102" s="324" t="s">
        <v>1065</v>
      </c>
      <c r="D102" s="324" t="s">
        <v>1040</v>
      </c>
      <c r="E102" s="325" t="s">
        <v>22</v>
      </c>
      <c r="F102" s="330">
        <v>7754.22</v>
      </c>
      <c r="G102" s="330"/>
      <c r="H102" s="325" t="s">
        <v>23</v>
      </c>
      <c r="I102" s="331" t="s">
        <v>24</v>
      </c>
      <c r="J102" s="331"/>
      <c r="K102" s="328" t="s">
        <v>17</v>
      </c>
      <c r="L102" s="329">
        <v>5747791.5300000003</v>
      </c>
    </row>
    <row r="103" spans="1:12" ht="51" hidden="1" x14ac:dyDescent="0.3">
      <c r="A103" s="323" t="s">
        <v>53</v>
      </c>
      <c r="B103" s="324" t="s">
        <v>1038</v>
      </c>
      <c r="C103" s="324" t="s">
        <v>1066</v>
      </c>
      <c r="D103" s="324" t="s">
        <v>1040</v>
      </c>
      <c r="E103" s="325" t="s">
        <v>22</v>
      </c>
      <c r="F103" s="330">
        <v>26238.98</v>
      </c>
      <c r="G103" s="330"/>
      <c r="H103" s="325" t="s">
        <v>23</v>
      </c>
      <c r="I103" s="331" t="s">
        <v>24</v>
      </c>
      <c r="J103" s="331"/>
      <c r="K103" s="328" t="s">
        <v>17</v>
      </c>
      <c r="L103" s="329">
        <v>5774030.5099999998</v>
      </c>
    </row>
    <row r="104" spans="1:12" ht="51" hidden="1" x14ac:dyDescent="0.3">
      <c r="A104" s="323" t="s">
        <v>53</v>
      </c>
      <c r="B104" s="324" t="s">
        <v>544</v>
      </c>
      <c r="C104" s="324" t="s">
        <v>545</v>
      </c>
      <c r="D104" s="324" t="s">
        <v>540</v>
      </c>
      <c r="E104" s="325" t="s">
        <v>22</v>
      </c>
      <c r="F104" s="330">
        <v>35954.04</v>
      </c>
      <c r="G104" s="330"/>
      <c r="H104" s="325" t="s">
        <v>22</v>
      </c>
      <c r="I104" s="331" t="s">
        <v>24</v>
      </c>
      <c r="J104" s="331"/>
      <c r="K104" s="328" t="s">
        <v>17</v>
      </c>
      <c r="L104" s="329">
        <v>5809984.5499999998</v>
      </c>
    </row>
    <row r="105" spans="1:12" ht="51" hidden="1" x14ac:dyDescent="0.3">
      <c r="A105" s="323" t="s">
        <v>111</v>
      </c>
      <c r="B105" s="324" t="s">
        <v>582</v>
      </c>
      <c r="C105" s="324" t="s">
        <v>583</v>
      </c>
      <c r="D105" s="324" t="s">
        <v>568</v>
      </c>
      <c r="E105" s="325" t="s">
        <v>22</v>
      </c>
      <c r="F105" s="330">
        <v>22950</v>
      </c>
      <c r="G105" s="330"/>
      <c r="H105" s="325" t="s">
        <v>22</v>
      </c>
      <c r="I105" s="331" t="s">
        <v>24</v>
      </c>
      <c r="J105" s="331"/>
      <c r="K105" s="328" t="s">
        <v>17</v>
      </c>
      <c r="L105" s="329">
        <v>5832934.5499999998</v>
      </c>
    </row>
    <row r="106" spans="1:12" ht="51" hidden="1" x14ac:dyDescent="0.3">
      <c r="A106" s="323" t="s">
        <v>111</v>
      </c>
      <c r="B106" s="324" t="s">
        <v>589</v>
      </c>
      <c r="C106" s="324" t="s">
        <v>590</v>
      </c>
      <c r="D106" s="324" t="s">
        <v>585</v>
      </c>
      <c r="E106" s="325" t="s">
        <v>22</v>
      </c>
      <c r="F106" s="330">
        <v>3501.4</v>
      </c>
      <c r="G106" s="330"/>
      <c r="H106" s="325" t="s">
        <v>22</v>
      </c>
      <c r="I106" s="331" t="s">
        <v>24</v>
      </c>
      <c r="J106" s="331"/>
      <c r="K106" s="328" t="s">
        <v>17</v>
      </c>
      <c r="L106" s="329">
        <v>5836435.9500000002</v>
      </c>
    </row>
    <row r="107" spans="1:12" ht="51" hidden="1" x14ac:dyDescent="0.3">
      <c r="A107" s="323" t="s">
        <v>355</v>
      </c>
      <c r="B107" s="324" t="s">
        <v>598</v>
      </c>
      <c r="C107" s="324" t="s">
        <v>599</v>
      </c>
      <c r="D107" s="324" t="s">
        <v>594</v>
      </c>
      <c r="E107" s="325" t="s">
        <v>22</v>
      </c>
      <c r="F107" s="330">
        <v>37573.18</v>
      </c>
      <c r="G107" s="330"/>
      <c r="H107" s="325" t="s">
        <v>22</v>
      </c>
      <c r="I107" s="331" t="s">
        <v>24</v>
      </c>
      <c r="J107" s="331"/>
      <c r="K107" s="328" t="s">
        <v>17</v>
      </c>
      <c r="L107" s="329">
        <v>5874009.1299999999</v>
      </c>
    </row>
    <row r="108" spans="1:12" ht="51" hidden="1" x14ac:dyDescent="0.3">
      <c r="A108" s="323" t="s">
        <v>61</v>
      </c>
      <c r="B108" s="324" t="s">
        <v>1067</v>
      </c>
      <c r="C108" s="324" t="s">
        <v>1068</v>
      </c>
      <c r="D108" s="324" t="s">
        <v>1069</v>
      </c>
      <c r="E108" s="325" t="s">
        <v>22</v>
      </c>
      <c r="F108" s="330">
        <v>276225</v>
      </c>
      <c r="G108" s="330"/>
      <c r="H108" s="325" t="s">
        <v>23</v>
      </c>
      <c r="I108" s="331" t="s">
        <v>24</v>
      </c>
      <c r="J108" s="331"/>
      <c r="K108" s="328" t="s">
        <v>17</v>
      </c>
      <c r="L108" s="329">
        <v>6150234.1299999999</v>
      </c>
    </row>
    <row r="109" spans="1:12" ht="51" hidden="1" x14ac:dyDescent="0.3">
      <c r="A109" s="323" t="s">
        <v>61</v>
      </c>
      <c r="B109" s="324" t="s">
        <v>1067</v>
      </c>
      <c r="C109" s="324" t="s">
        <v>1070</v>
      </c>
      <c r="D109" s="324" t="s">
        <v>1069</v>
      </c>
      <c r="E109" s="325" t="s">
        <v>22</v>
      </c>
      <c r="F109" s="330">
        <v>16293.75</v>
      </c>
      <c r="G109" s="330"/>
      <c r="H109" s="325" t="s">
        <v>23</v>
      </c>
      <c r="I109" s="331" t="s">
        <v>24</v>
      </c>
      <c r="J109" s="331"/>
      <c r="K109" s="328" t="s">
        <v>17</v>
      </c>
      <c r="L109" s="329">
        <v>6166527.8799999999</v>
      </c>
    </row>
    <row r="110" spans="1:12" ht="51" hidden="1" x14ac:dyDescent="0.3">
      <c r="A110" s="323" t="s">
        <v>61</v>
      </c>
      <c r="B110" s="324" t="s">
        <v>1071</v>
      </c>
      <c r="C110" s="324" t="s">
        <v>723</v>
      </c>
      <c r="D110" s="324" t="s">
        <v>1072</v>
      </c>
      <c r="E110" s="325" t="s">
        <v>22</v>
      </c>
      <c r="F110" s="330">
        <v>8840</v>
      </c>
      <c r="G110" s="330"/>
      <c r="H110" s="325" t="s">
        <v>23</v>
      </c>
      <c r="I110" s="331" t="s">
        <v>24</v>
      </c>
      <c r="J110" s="331"/>
      <c r="K110" s="328" t="s">
        <v>17</v>
      </c>
      <c r="L110" s="329">
        <v>6175367.8799999999</v>
      </c>
    </row>
    <row r="111" spans="1:12" ht="51" hidden="1" x14ac:dyDescent="0.3">
      <c r="A111" s="323" t="s">
        <v>61</v>
      </c>
      <c r="B111" s="324" t="s">
        <v>1071</v>
      </c>
      <c r="C111" s="324" t="s">
        <v>1073</v>
      </c>
      <c r="D111" s="324" t="s">
        <v>1072</v>
      </c>
      <c r="E111" s="325" t="s">
        <v>22</v>
      </c>
      <c r="F111" s="330">
        <v>3699.58</v>
      </c>
      <c r="G111" s="330"/>
      <c r="H111" s="325" t="s">
        <v>23</v>
      </c>
      <c r="I111" s="331" t="s">
        <v>24</v>
      </c>
      <c r="J111" s="331"/>
      <c r="K111" s="328" t="s">
        <v>17</v>
      </c>
      <c r="L111" s="329">
        <v>6179067.46</v>
      </c>
    </row>
    <row r="112" spans="1:12" ht="51" hidden="1" x14ac:dyDescent="0.3">
      <c r="A112" s="323" t="s">
        <v>61</v>
      </c>
      <c r="B112" s="324" t="s">
        <v>1071</v>
      </c>
      <c r="C112" s="324" t="s">
        <v>1074</v>
      </c>
      <c r="D112" s="324" t="s">
        <v>1072</v>
      </c>
      <c r="E112" s="325" t="s">
        <v>22</v>
      </c>
      <c r="F112" s="330">
        <v>23327.5</v>
      </c>
      <c r="G112" s="330"/>
      <c r="H112" s="325" t="s">
        <v>23</v>
      </c>
      <c r="I112" s="331" t="s">
        <v>24</v>
      </c>
      <c r="J112" s="331"/>
      <c r="K112" s="328" t="s">
        <v>17</v>
      </c>
      <c r="L112" s="329">
        <v>6202394.96</v>
      </c>
    </row>
    <row r="113" spans="1:12" ht="51" hidden="1" x14ac:dyDescent="0.3">
      <c r="A113" s="323" t="s">
        <v>61</v>
      </c>
      <c r="B113" s="324" t="s">
        <v>1071</v>
      </c>
      <c r="C113" s="324" t="s">
        <v>1075</v>
      </c>
      <c r="D113" s="324" t="s">
        <v>1072</v>
      </c>
      <c r="E113" s="325" t="s">
        <v>22</v>
      </c>
      <c r="F113" s="330">
        <v>34177.5</v>
      </c>
      <c r="G113" s="330"/>
      <c r="H113" s="325" t="s">
        <v>23</v>
      </c>
      <c r="I113" s="331" t="s">
        <v>24</v>
      </c>
      <c r="J113" s="331"/>
      <c r="K113" s="328" t="s">
        <v>17</v>
      </c>
      <c r="L113" s="329">
        <v>6236572.46</v>
      </c>
    </row>
    <row r="114" spans="1:12" ht="51" hidden="1" x14ac:dyDescent="0.3">
      <c r="A114" s="323" t="s">
        <v>61</v>
      </c>
      <c r="B114" s="324" t="s">
        <v>1071</v>
      </c>
      <c r="C114" s="324" t="s">
        <v>1076</v>
      </c>
      <c r="D114" s="324" t="s">
        <v>1072</v>
      </c>
      <c r="E114" s="325" t="s">
        <v>22</v>
      </c>
      <c r="F114" s="330">
        <v>45570</v>
      </c>
      <c r="G114" s="330"/>
      <c r="H114" s="325" t="s">
        <v>23</v>
      </c>
      <c r="I114" s="331" t="s">
        <v>24</v>
      </c>
      <c r="J114" s="331"/>
      <c r="K114" s="328" t="s">
        <v>17</v>
      </c>
      <c r="L114" s="329">
        <v>6282142.46</v>
      </c>
    </row>
    <row r="115" spans="1:12" ht="51" hidden="1" x14ac:dyDescent="0.3">
      <c r="A115" s="323" t="s">
        <v>61</v>
      </c>
      <c r="B115" s="324" t="s">
        <v>1071</v>
      </c>
      <c r="C115" s="324" t="s">
        <v>1077</v>
      </c>
      <c r="D115" s="324" t="s">
        <v>1072</v>
      </c>
      <c r="E115" s="325" t="s">
        <v>22</v>
      </c>
      <c r="F115" s="330">
        <v>190993.69</v>
      </c>
      <c r="G115" s="330"/>
      <c r="H115" s="325" t="s">
        <v>23</v>
      </c>
      <c r="I115" s="331" t="s">
        <v>24</v>
      </c>
      <c r="J115" s="331"/>
      <c r="K115" s="328" t="s">
        <v>17</v>
      </c>
      <c r="L115" s="329">
        <v>6473136.1500000004</v>
      </c>
    </row>
    <row r="116" spans="1:12" ht="51" hidden="1" x14ac:dyDescent="0.3">
      <c r="A116" s="323" t="s">
        <v>61</v>
      </c>
      <c r="B116" s="324" t="s">
        <v>1071</v>
      </c>
      <c r="C116" s="324" t="s">
        <v>1078</v>
      </c>
      <c r="D116" s="324" t="s">
        <v>1072</v>
      </c>
      <c r="E116" s="325" t="s">
        <v>22</v>
      </c>
      <c r="F116" s="330">
        <v>281932.78000000003</v>
      </c>
      <c r="G116" s="330"/>
      <c r="H116" s="325" t="s">
        <v>23</v>
      </c>
      <c r="I116" s="331" t="s">
        <v>24</v>
      </c>
      <c r="J116" s="331"/>
      <c r="K116" s="328" t="s">
        <v>17</v>
      </c>
      <c r="L116" s="329">
        <v>6755068.9299999997</v>
      </c>
    </row>
    <row r="117" spans="1:12" ht="51" hidden="1" x14ac:dyDescent="0.3">
      <c r="A117" s="323" t="s">
        <v>61</v>
      </c>
      <c r="B117" s="324" t="s">
        <v>1071</v>
      </c>
      <c r="C117" s="324" t="s">
        <v>1079</v>
      </c>
      <c r="D117" s="324" t="s">
        <v>1072</v>
      </c>
      <c r="E117" s="325" t="s">
        <v>22</v>
      </c>
      <c r="F117" s="330">
        <v>42798.71</v>
      </c>
      <c r="G117" s="330"/>
      <c r="H117" s="325" t="s">
        <v>23</v>
      </c>
      <c r="I117" s="331" t="s">
        <v>24</v>
      </c>
      <c r="J117" s="331"/>
      <c r="K117" s="328" t="s">
        <v>17</v>
      </c>
      <c r="L117" s="329">
        <v>6797867.6399999997</v>
      </c>
    </row>
    <row r="118" spans="1:12" ht="51" hidden="1" x14ac:dyDescent="0.3">
      <c r="A118" s="323" t="s">
        <v>61</v>
      </c>
      <c r="B118" s="324" t="s">
        <v>1080</v>
      </c>
      <c r="C118" s="324" t="s">
        <v>1081</v>
      </c>
      <c r="D118" s="324" t="s">
        <v>1069</v>
      </c>
      <c r="E118" s="325" t="s">
        <v>22</v>
      </c>
      <c r="F118" s="330">
        <v>31736.25</v>
      </c>
      <c r="G118" s="330"/>
      <c r="H118" s="325" t="s">
        <v>23</v>
      </c>
      <c r="I118" s="331" t="s">
        <v>24</v>
      </c>
      <c r="J118" s="331"/>
      <c r="K118" s="328" t="s">
        <v>17</v>
      </c>
      <c r="L118" s="329">
        <v>6829603.8899999997</v>
      </c>
    </row>
    <row r="119" spans="1:12" ht="51" hidden="1" x14ac:dyDescent="0.3">
      <c r="A119" s="323" t="s">
        <v>61</v>
      </c>
      <c r="B119" s="324" t="s">
        <v>1080</v>
      </c>
      <c r="C119" s="324" t="s">
        <v>1082</v>
      </c>
      <c r="D119" s="324" t="s">
        <v>1069</v>
      </c>
      <c r="E119" s="325" t="s">
        <v>22</v>
      </c>
      <c r="F119" s="330">
        <v>11935</v>
      </c>
      <c r="G119" s="330"/>
      <c r="H119" s="325" t="s">
        <v>23</v>
      </c>
      <c r="I119" s="331" t="s">
        <v>24</v>
      </c>
      <c r="J119" s="331"/>
      <c r="K119" s="328" t="s">
        <v>17</v>
      </c>
      <c r="L119" s="329">
        <v>6841538.8899999997</v>
      </c>
    </row>
    <row r="120" spans="1:12" ht="51" hidden="1" x14ac:dyDescent="0.3">
      <c r="A120" s="323" t="s">
        <v>61</v>
      </c>
      <c r="B120" s="324" t="s">
        <v>1080</v>
      </c>
      <c r="C120" s="324" t="s">
        <v>1083</v>
      </c>
      <c r="D120" s="324" t="s">
        <v>1069</v>
      </c>
      <c r="E120" s="325" t="s">
        <v>22</v>
      </c>
      <c r="F120" s="330">
        <v>45298.75</v>
      </c>
      <c r="G120" s="330"/>
      <c r="H120" s="325" t="s">
        <v>23</v>
      </c>
      <c r="I120" s="331" t="s">
        <v>24</v>
      </c>
      <c r="J120" s="331"/>
      <c r="K120" s="328" t="s">
        <v>17</v>
      </c>
      <c r="L120" s="329">
        <v>6886837.6399999997</v>
      </c>
    </row>
    <row r="121" spans="1:12" ht="51" hidden="1" x14ac:dyDescent="0.3">
      <c r="A121" s="323" t="s">
        <v>61</v>
      </c>
      <c r="B121" s="324" t="s">
        <v>1080</v>
      </c>
      <c r="C121" s="324" t="s">
        <v>1084</v>
      </c>
      <c r="D121" s="324" t="s">
        <v>1069</v>
      </c>
      <c r="E121" s="325" t="s">
        <v>22</v>
      </c>
      <c r="F121" s="330">
        <v>150437.35</v>
      </c>
      <c r="G121" s="330"/>
      <c r="H121" s="325" t="s">
        <v>23</v>
      </c>
      <c r="I121" s="331" t="s">
        <v>24</v>
      </c>
      <c r="J121" s="331"/>
      <c r="K121" s="328" t="s">
        <v>17</v>
      </c>
      <c r="L121" s="329">
        <v>7037274.9900000002</v>
      </c>
    </row>
    <row r="122" spans="1:12" ht="51" hidden="1" x14ac:dyDescent="0.3">
      <c r="A122" s="323" t="s">
        <v>61</v>
      </c>
      <c r="B122" s="324" t="s">
        <v>1080</v>
      </c>
      <c r="C122" s="324" t="s">
        <v>1085</v>
      </c>
      <c r="D122" s="324" t="s">
        <v>1069</v>
      </c>
      <c r="E122" s="325" t="s">
        <v>22</v>
      </c>
      <c r="F122" s="330">
        <v>95988.01</v>
      </c>
      <c r="G122" s="330"/>
      <c r="H122" s="325" t="s">
        <v>23</v>
      </c>
      <c r="I122" s="331" t="s">
        <v>24</v>
      </c>
      <c r="J122" s="331"/>
      <c r="K122" s="328" t="s">
        <v>17</v>
      </c>
      <c r="L122" s="329">
        <v>7133263</v>
      </c>
    </row>
    <row r="123" spans="1:12" ht="51" x14ac:dyDescent="0.3">
      <c r="A123" s="323" t="s">
        <v>65</v>
      </c>
      <c r="B123" s="324" t="s">
        <v>1086</v>
      </c>
      <c r="C123" s="324" t="s">
        <v>27</v>
      </c>
      <c r="D123" s="324" t="s">
        <v>437</v>
      </c>
      <c r="E123" s="325" t="s">
        <v>29</v>
      </c>
      <c r="F123" s="326" t="s">
        <v>24</v>
      </c>
      <c r="G123" s="326"/>
      <c r="H123" s="325" t="s">
        <v>22</v>
      </c>
      <c r="I123" s="327">
        <v>24193.18</v>
      </c>
      <c r="J123" s="327"/>
      <c r="K123" s="328" t="s">
        <v>17</v>
      </c>
      <c r="L123" s="329">
        <v>7109069.8200000003</v>
      </c>
    </row>
    <row r="124" spans="1:12" ht="51" x14ac:dyDescent="0.3">
      <c r="A124" s="323" t="s">
        <v>65</v>
      </c>
      <c r="B124" s="324" t="s">
        <v>1086</v>
      </c>
      <c r="C124" s="324" t="s">
        <v>27</v>
      </c>
      <c r="D124" s="324" t="s">
        <v>537</v>
      </c>
      <c r="E124" s="325" t="s">
        <v>29</v>
      </c>
      <c r="F124" s="326" t="s">
        <v>24</v>
      </c>
      <c r="G124" s="326"/>
      <c r="H124" s="325" t="s">
        <v>22</v>
      </c>
      <c r="I124" s="327">
        <v>34166.39</v>
      </c>
      <c r="J124" s="327"/>
      <c r="K124" s="328" t="s">
        <v>17</v>
      </c>
      <c r="L124" s="329">
        <v>7074903.4299999997</v>
      </c>
    </row>
    <row r="125" spans="1:12" ht="51" x14ac:dyDescent="0.3">
      <c r="A125" s="323" t="s">
        <v>65</v>
      </c>
      <c r="B125" s="324" t="s">
        <v>1086</v>
      </c>
      <c r="C125" s="324" t="s">
        <v>27</v>
      </c>
      <c r="D125" s="324" t="s">
        <v>590</v>
      </c>
      <c r="E125" s="325" t="s">
        <v>29</v>
      </c>
      <c r="F125" s="326" t="s">
        <v>24</v>
      </c>
      <c r="G125" s="326"/>
      <c r="H125" s="325" t="s">
        <v>22</v>
      </c>
      <c r="I125" s="327">
        <v>1750.7</v>
      </c>
      <c r="J125" s="327"/>
      <c r="K125" s="328" t="s">
        <v>17</v>
      </c>
      <c r="L125" s="329">
        <v>7073152.7300000004</v>
      </c>
    </row>
    <row r="126" spans="1:12" ht="51" x14ac:dyDescent="0.3">
      <c r="A126" s="323" t="s">
        <v>65</v>
      </c>
      <c r="B126" s="324" t="s">
        <v>1086</v>
      </c>
      <c r="C126" s="324" t="s">
        <v>27</v>
      </c>
      <c r="D126" s="324" t="s">
        <v>590</v>
      </c>
      <c r="E126" s="325" t="s">
        <v>29</v>
      </c>
      <c r="F126" s="326" t="s">
        <v>24</v>
      </c>
      <c r="G126" s="326"/>
      <c r="H126" s="325" t="s">
        <v>22</v>
      </c>
      <c r="I126" s="327">
        <v>1750.7</v>
      </c>
      <c r="J126" s="327"/>
      <c r="K126" s="328" t="s">
        <v>17</v>
      </c>
      <c r="L126" s="329">
        <v>7071402.0300000003</v>
      </c>
    </row>
    <row r="127" spans="1:12" ht="51" x14ac:dyDescent="0.3">
      <c r="A127" s="323" t="s">
        <v>65</v>
      </c>
      <c r="B127" s="324" t="s">
        <v>1086</v>
      </c>
      <c r="C127" s="324" t="s">
        <v>27</v>
      </c>
      <c r="D127" s="324" t="s">
        <v>599</v>
      </c>
      <c r="E127" s="325" t="s">
        <v>29</v>
      </c>
      <c r="F127" s="326" t="s">
        <v>24</v>
      </c>
      <c r="G127" s="326"/>
      <c r="H127" s="325" t="s">
        <v>22</v>
      </c>
      <c r="I127" s="327">
        <v>1810.67</v>
      </c>
      <c r="J127" s="327"/>
      <c r="K127" s="328" t="s">
        <v>17</v>
      </c>
      <c r="L127" s="329">
        <v>7069591.3600000003</v>
      </c>
    </row>
    <row r="128" spans="1:12" ht="51" x14ac:dyDescent="0.3">
      <c r="A128" s="323" t="s">
        <v>65</v>
      </c>
      <c r="B128" s="324" t="s">
        <v>1086</v>
      </c>
      <c r="C128" s="324" t="s">
        <v>27</v>
      </c>
      <c r="D128" s="324" t="s">
        <v>599</v>
      </c>
      <c r="E128" s="325" t="s">
        <v>29</v>
      </c>
      <c r="F128" s="326" t="s">
        <v>24</v>
      </c>
      <c r="G128" s="326"/>
      <c r="H128" s="325" t="s">
        <v>22</v>
      </c>
      <c r="I128" s="327">
        <v>17856.21</v>
      </c>
      <c r="J128" s="327"/>
      <c r="K128" s="328" t="s">
        <v>17</v>
      </c>
      <c r="L128" s="329">
        <v>7051735.1500000004</v>
      </c>
    </row>
    <row r="129" spans="1:12" ht="51" x14ac:dyDescent="0.3">
      <c r="A129" s="323" t="s">
        <v>65</v>
      </c>
      <c r="B129" s="324" t="s">
        <v>1086</v>
      </c>
      <c r="C129" s="324" t="s">
        <v>27</v>
      </c>
      <c r="D129" s="324" t="s">
        <v>1087</v>
      </c>
      <c r="E129" s="325" t="s">
        <v>29</v>
      </c>
      <c r="F129" s="326" t="s">
        <v>24</v>
      </c>
      <c r="G129" s="326"/>
      <c r="H129" s="325" t="s">
        <v>22</v>
      </c>
      <c r="I129" s="327">
        <v>2617.3200000000002</v>
      </c>
      <c r="J129" s="327"/>
      <c r="K129" s="328" t="s">
        <v>17</v>
      </c>
      <c r="L129" s="329">
        <v>7049117.8300000001</v>
      </c>
    </row>
    <row r="130" spans="1:12" ht="51" x14ac:dyDescent="0.3">
      <c r="A130" s="323" t="s">
        <v>65</v>
      </c>
      <c r="B130" s="324" t="s">
        <v>1086</v>
      </c>
      <c r="C130" s="324" t="s">
        <v>27</v>
      </c>
      <c r="D130" s="324" t="s">
        <v>1088</v>
      </c>
      <c r="E130" s="325" t="s">
        <v>29</v>
      </c>
      <c r="F130" s="326" t="s">
        <v>24</v>
      </c>
      <c r="G130" s="326"/>
      <c r="H130" s="325" t="s">
        <v>22</v>
      </c>
      <c r="I130" s="327">
        <v>4155.3900000000003</v>
      </c>
      <c r="J130" s="327"/>
      <c r="K130" s="328" t="s">
        <v>17</v>
      </c>
      <c r="L130" s="329">
        <v>7044962.4400000004</v>
      </c>
    </row>
    <row r="131" spans="1:12" ht="51" x14ac:dyDescent="0.3">
      <c r="A131" s="323" t="s">
        <v>65</v>
      </c>
      <c r="B131" s="324" t="s">
        <v>1089</v>
      </c>
      <c r="C131" s="324" t="s">
        <v>27</v>
      </c>
      <c r="D131" s="324" t="s">
        <v>1090</v>
      </c>
      <c r="E131" s="325" t="s">
        <v>29</v>
      </c>
      <c r="F131" s="326" t="s">
        <v>24</v>
      </c>
      <c r="G131" s="326"/>
      <c r="H131" s="325" t="s">
        <v>22</v>
      </c>
      <c r="I131" s="327">
        <v>4301.7299999999996</v>
      </c>
      <c r="J131" s="327"/>
      <c r="K131" s="328" t="s">
        <v>17</v>
      </c>
      <c r="L131" s="329">
        <v>7040660.71</v>
      </c>
    </row>
    <row r="132" spans="1:12" ht="51" x14ac:dyDescent="0.3">
      <c r="A132" s="323" t="s">
        <v>65</v>
      </c>
      <c r="B132" s="324" t="s">
        <v>1089</v>
      </c>
      <c r="C132" s="324" t="s">
        <v>27</v>
      </c>
      <c r="D132" s="324" t="s">
        <v>1091</v>
      </c>
      <c r="E132" s="325" t="s">
        <v>29</v>
      </c>
      <c r="F132" s="326" t="s">
        <v>24</v>
      </c>
      <c r="G132" s="326"/>
      <c r="H132" s="325" t="s">
        <v>22</v>
      </c>
      <c r="I132" s="332">
        <v>317.52999999999997</v>
      </c>
      <c r="J132" s="332"/>
      <c r="K132" s="328" t="s">
        <v>17</v>
      </c>
      <c r="L132" s="329">
        <v>7040343.1799999997</v>
      </c>
    </row>
    <row r="133" spans="1:12" ht="51" x14ac:dyDescent="0.3">
      <c r="A133" s="323" t="s">
        <v>65</v>
      </c>
      <c r="B133" s="324" t="s">
        <v>1089</v>
      </c>
      <c r="C133" s="324" t="s">
        <v>27</v>
      </c>
      <c r="D133" s="324" t="s">
        <v>1092</v>
      </c>
      <c r="E133" s="325" t="s">
        <v>29</v>
      </c>
      <c r="F133" s="326" t="s">
        <v>24</v>
      </c>
      <c r="G133" s="326"/>
      <c r="H133" s="325" t="s">
        <v>22</v>
      </c>
      <c r="I133" s="327">
        <v>7736.56</v>
      </c>
      <c r="J133" s="327"/>
      <c r="K133" s="328" t="s">
        <v>17</v>
      </c>
      <c r="L133" s="329">
        <v>7032606.6200000001</v>
      </c>
    </row>
    <row r="134" spans="1:12" ht="51" x14ac:dyDescent="0.3">
      <c r="A134" s="323" t="s">
        <v>65</v>
      </c>
      <c r="B134" s="324" t="s">
        <v>1089</v>
      </c>
      <c r="C134" s="324" t="s">
        <v>27</v>
      </c>
      <c r="D134" s="324" t="s">
        <v>1035</v>
      </c>
      <c r="E134" s="325" t="s">
        <v>29</v>
      </c>
      <c r="F134" s="326" t="s">
        <v>24</v>
      </c>
      <c r="G134" s="326"/>
      <c r="H134" s="325" t="s">
        <v>22</v>
      </c>
      <c r="I134" s="327">
        <v>5072.37</v>
      </c>
      <c r="J134" s="327"/>
      <c r="K134" s="328" t="s">
        <v>17</v>
      </c>
      <c r="L134" s="329">
        <v>7027534.25</v>
      </c>
    </row>
    <row r="135" spans="1:12" ht="51" x14ac:dyDescent="0.3">
      <c r="A135" s="323" t="s">
        <v>65</v>
      </c>
      <c r="B135" s="324" t="s">
        <v>1089</v>
      </c>
      <c r="C135" s="324" t="s">
        <v>27</v>
      </c>
      <c r="D135" s="324" t="s">
        <v>1037</v>
      </c>
      <c r="E135" s="325" t="s">
        <v>29</v>
      </c>
      <c r="F135" s="326" t="s">
        <v>24</v>
      </c>
      <c r="G135" s="326"/>
      <c r="H135" s="325" t="s">
        <v>22</v>
      </c>
      <c r="I135" s="327">
        <v>6315</v>
      </c>
      <c r="J135" s="327"/>
      <c r="K135" s="328" t="s">
        <v>17</v>
      </c>
      <c r="L135" s="329">
        <v>7021219.25</v>
      </c>
    </row>
    <row r="136" spans="1:12" ht="51" x14ac:dyDescent="0.3">
      <c r="A136" s="323" t="s">
        <v>65</v>
      </c>
      <c r="B136" s="324" t="s">
        <v>1089</v>
      </c>
      <c r="C136" s="324" t="s">
        <v>27</v>
      </c>
      <c r="D136" s="324" t="s">
        <v>1093</v>
      </c>
      <c r="E136" s="325" t="s">
        <v>29</v>
      </c>
      <c r="F136" s="326" t="s">
        <v>24</v>
      </c>
      <c r="G136" s="326"/>
      <c r="H136" s="325" t="s">
        <v>22</v>
      </c>
      <c r="I136" s="332">
        <v>671.5</v>
      </c>
      <c r="J136" s="332"/>
      <c r="K136" s="328" t="s">
        <v>17</v>
      </c>
      <c r="L136" s="329">
        <v>7020547.75</v>
      </c>
    </row>
    <row r="137" spans="1:12" ht="51" x14ac:dyDescent="0.3">
      <c r="A137" s="323" t="s">
        <v>65</v>
      </c>
      <c r="B137" s="324" t="s">
        <v>1089</v>
      </c>
      <c r="C137" s="324" t="s">
        <v>27</v>
      </c>
      <c r="D137" s="324" t="s">
        <v>1094</v>
      </c>
      <c r="E137" s="325" t="s">
        <v>29</v>
      </c>
      <c r="F137" s="326" t="s">
        <v>24</v>
      </c>
      <c r="G137" s="326"/>
      <c r="H137" s="325" t="s">
        <v>22</v>
      </c>
      <c r="I137" s="327">
        <v>53546.69</v>
      </c>
      <c r="J137" s="327"/>
      <c r="K137" s="328" t="s">
        <v>17</v>
      </c>
      <c r="L137" s="329">
        <v>6967001.0599999996</v>
      </c>
    </row>
    <row r="138" spans="1:12" ht="51" hidden="1" x14ac:dyDescent="0.3">
      <c r="A138" s="323" t="s">
        <v>65</v>
      </c>
      <c r="B138" s="324" t="s">
        <v>1095</v>
      </c>
      <c r="C138" s="324" t="s">
        <v>1096</v>
      </c>
      <c r="D138" s="324" t="s">
        <v>1097</v>
      </c>
      <c r="E138" s="325" t="s">
        <v>22</v>
      </c>
      <c r="F138" s="330">
        <v>25697.5</v>
      </c>
      <c r="G138" s="330"/>
      <c r="H138" s="325" t="s">
        <v>23</v>
      </c>
      <c r="I138" s="331" t="s">
        <v>24</v>
      </c>
      <c r="J138" s="331"/>
      <c r="K138" s="328" t="s">
        <v>17</v>
      </c>
      <c r="L138" s="329">
        <v>6992698.5599999996</v>
      </c>
    </row>
    <row r="139" spans="1:12" ht="51" hidden="1" x14ac:dyDescent="0.3">
      <c r="A139" s="323" t="s">
        <v>65</v>
      </c>
      <c r="B139" s="324" t="s">
        <v>1098</v>
      </c>
      <c r="C139" s="324" t="s">
        <v>1096</v>
      </c>
      <c r="D139" s="324" t="s">
        <v>1099</v>
      </c>
      <c r="E139" s="325" t="s">
        <v>22</v>
      </c>
      <c r="F139" s="330">
        <v>7370</v>
      </c>
      <c r="G139" s="330"/>
      <c r="H139" s="325" t="s">
        <v>23</v>
      </c>
      <c r="I139" s="331" t="s">
        <v>24</v>
      </c>
      <c r="J139" s="331"/>
      <c r="K139" s="328" t="s">
        <v>17</v>
      </c>
      <c r="L139" s="329">
        <v>7000068.5599999996</v>
      </c>
    </row>
    <row r="140" spans="1:12" ht="51" hidden="1" x14ac:dyDescent="0.3">
      <c r="A140" s="323" t="s">
        <v>65</v>
      </c>
      <c r="B140" s="324" t="s">
        <v>1100</v>
      </c>
      <c r="C140" s="324" t="s">
        <v>1101</v>
      </c>
      <c r="D140" s="324" t="s">
        <v>1069</v>
      </c>
      <c r="E140" s="325" t="s">
        <v>22</v>
      </c>
      <c r="F140" s="330">
        <v>67170.83</v>
      </c>
      <c r="G140" s="330"/>
      <c r="H140" s="325" t="s">
        <v>23</v>
      </c>
      <c r="I140" s="331" t="s">
        <v>24</v>
      </c>
      <c r="J140" s="331"/>
      <c r="K140" s="328" t="s">
        <v>17</v>
      </c>
      <c r="L140" s="329">
        <v>7067239.3899999997</v>
      </c>
    </row>
    <row r="141" spans="1:12" ht="51" hidden="1" x14ac:dyDescent="0.3">
      <c r="A141" s="323" t="s">
        <v>65</v>
      </c>
      <c r="B141" s="324" t="s">
        <v>1100</v>
      </c>
      <c r="C141" s="324" t="s">
        <v>1102</v>
      </c>
      <c r="D141" s="324" t="s">
        <v>1069</v>
      </c>
      <c r="E141" s="325" t="s">
        <v>22</v>
      </c>
      <c r="F141" s="330">
        <v>3144.17</v>
      </c>
      <c r="G141" s="330"/>
      <c r="H141" s="325" t="s">
        <v>23</v>
      </c>
      <c r="I141" s="331" t="s">
        <v>24</v>
      </c>
      <c r="J141" s="331"/>
      <c r="K141" s="328" t="s">
        <v>17</v>
      </c>
      <c r="L141" s="329">
        <v>7070383.5599999996</v>
      </c>
    </row>
    <row r="142" spans="1:12" ht="51" hidden="1" x14ac:dyDescent="0.3">
      <c r="A142" s="323" t="s">
        <v>65</v>
      </c>
      <c r="B142" s="324" t="s">
        <v>1100</v>
      </c>
      <c r="C142" s="324" t="s">
        <v>1103</v>
      </c>
      <c r="D142" s="324" t="s">
        <v>1069</v>
      </c>
      <c r="E142" s="325" t="s">
        <v>22</v>
      </c>
      <c r="F142" s="330">
        <v>11433.33</v>
      </c>
      <c r="G142" s="330"/>
      <c r="H142" s="325" t="s">
        <v>23</v>
      </c>
      <c r="I142" s="331" t="s">
        <v>24</v>
      </c>
      <c r="J142" s="331"/>
      <c r="K142" s="328" t="s">
        <v>17</v>
      </c>
      <c r="L142" s="329">
        <v>7081816.8899999997</v>
      </c>
    </row>
    <row r="143" spans="1:12" ht="51" hidden="1" x14ac:dyDescent="0.3">
      <c r="A143" s="323" t="s">
        <v>65</v>
      </c>
      <c r="B143" s="324" t="s">
        <v>1104</v>
      </c>
      <c r="C143" s="324" t="s">
        <v>1105</v>
      </c>
      <c r="D143" s="324" t="s">
        <v>1069</v>
      </c>
      <c r="E143" s="325" t="s">
        <v>22</v>
      </c>
      <c r="F143" s="330">
        <v>2210</v>
      </c>
      <c r="G143" s="330"/>
      <c r="H143" s="325" t="s">
        <v>23</v>
      </c>
      <c r="I143" s="331" t="s">
        <v>24</v>
      </c>
      <c r="J143" s="331"/>
      <c r="K143" s="328" t="s">
        <v>17</v>
      </c>
      <c r="L143" s="329">
        <v>7084026.8899999997</v>
      </c>
    </row>
    <row r="144" spans="1:12" ht="51" hidden="1" x14ac:dyDescent="0.3">
      <c r="A144" s="323" t="s">
        <v>65</v>
      </c>
      <c r="B144" s="324" t="s">
        <v>1104</v>
      </c>
      <c r="C144" s="324" t="s">
        <v>1106</v>
      </c>
      <c r="D144" s="324" t="s">
        <v>1069</v>
      </c>
      <c r="E144" s="325" t="s">
        <v>22</v>
      </c>
      <c r="F144" s="330">
        <v>7683.75</v>
      </c>
      <c r="G144" s="330"/>
      <c r="H144" s="325" t="s">
        <v>23</v>
      </c>
      <c r="I144" s="331" t="s">
        <v>24</v>
      </c>
      <c r="J144" s="331"/>
      <c r="K144" s="328" t="s">
        <v>17</v>
      </c>
      <c r="L144" s="329">
        <v>7091710.6399999997</v>
      </c>
    </row>
    <row r="145" spans="1:12" ht="51" hidden="1" x14ac:dyDescent="0.3">
      <c r="A145" s="323" t="s">
        <v>65</v>
      </c>
      <c r="B145" s="324" t="s">
        <v>1104</v>
      </c>
      <c r="C145" s="324" t="s">
        <v>1107</v>
      </c>
      <c r="D145" s="324" t="s">
        <v>1069</v>
      </c>
      <c r="E145" s="325" t="s">
        <v>22</v>
      </c>
      <c r="F145" s="330">
        <v>35151.29</v>
      </c>
      <c r="G145" s="330"/>
      <c r="H145" s="325" t="s">
        <v>23</v>
      </c>
      <c r="I145" s="331" t="s">
        <v>24</v>
      </c>
      <c r="J145" s="331"/>
      <c r="K145" s="328" t="s">
        <v>17</v>
      </c>
      <c r="L145" s="329">
        <v>7126861.9299999997</v>
      </c>
    </row>
    <row r="146" spans="1:12" ht="51" hidden="1" x14ac:dyDescent="0.3">
      <c r="A146" s="323" t="s">
        <v>65</v>
      </c>
      <c r="B146" s="324" t="s">
        <v>1104</v>
      </c>
      <c r="C146" s="324" t="s">
        <v>1108</v>
      </c>
      <c r="D146" s="324" t="s">
        <v>1069</v>
      </c>
      <c r="E146" s="325" t="s">
        <v>22</v>
      </c>
      <c r="F146" s="330">
        <v>503235.39</v>
      </c>
      <c r="G146" s="330"/>
      <c r="H146" s="325" t="s">
        <v>23</v>
      </c>
      <c r="I146" s="331" t="s">
        <v>24</v>
      </c>
      <c r="J146" s="331"/>
      <c r="K146" s="328" t="s">
        <v>17</v>
      </c>
      <c r="L146" s="329">
        <v>7630097.3200000003</v>
      </c>
    </row>
    <row r="147" spans="1:12" ht="51" hidden="1" x14ac:dyDescent="0.3">
      <c r="A147" s="323" t="s">
        <v>65</v>
      </c>
      <c r="B147" s="324" t="s">
        <v>1109</v>
      </c>
      <c r="C147" s="324" t="s">
        <v>1110</v>
      </c>
      <c r="D147" s="324" t="s">
        <v>1072</v>
      </c>
      <c r="E147" s="325" t="s">
        <v>22</v>
      </c>
      <c r="F147" s="330">
        <v>251285</v>
      </c>
      <c r="G147" s="330"/>
      <c r="H147" s="325" t="s">
        <v>23</v>
      </c>
      <c r="I147" s="331" t="s">
        <v>24</v>
      </c>
      <c r="J147" s="331"/>
      <c r="K147" s="328" t="s">
        <v>17</v>
      </c>
      <c r="L147" s="329">
        <v>7881382.3200000003</v>
      </c>
    </row>
    <row r="148" spans="1:12" ht="51" hidden="1" x14ac:dyDescent="0.3">
      <c r="A148" s="323" t="s">
        <v>65</v>
      </c>
      <c r="B148" s="324" t="s">
        <v>1111</v>
      </c>
      <c r="C148" s="324" t="s">
        <v>1112</v>
      </c>
      <c r="D148" s="324" t="s">
        <v>1072</v>
      </c>
      <c r="E148" s="325" t="s">
        <v>22</v>
      </c>
      <c r="F148" s="330">
        <v>8689.08</v>
      </c>
      <c r="G148" s="330"/>
      <c r="H148" s="325" t="s">
        <v>23</v>
      </c>
      <c r="I148" s="331" t="s">
        <v>24</v>
      </c>
      <c r="J148" s="331"/>
      <c r="K148" s="328" t="s">
        <v>17</v>
      </c>
      <c r="L148" s="329">
        <v>7890071.4000000004</v>
      </c>
    </row>
    <row r="149" spans="1:12" ht="51" hidden="1" x14ac:dyDescent="0.3">
      <c r="A149" s="323" t="s">
        <v>65</v>
      </c>
      <c r="B149" s="324" t="s">
        <v>1111</v>
      </c>
      <c r="C149" s="324" t="s">
        <v>1113</v>
      </c>
      <c r="D149" s="324" t="s">
        <v>1072</v>
      </c>
      <c r="E149" s="325" t="s">
        <v>22</v>
      </c>
      <c r="F149" s="330">
        <v>251056.36</v>
      </c>
      <c r="G149" s="330"/>
      <c r="H149" s="325" t="s">
        <v>23</v>
      </c>
      <c r="I149" s="331" t="s">
        <v>24</v>
      </c>
      <c r="J149" s="331"/>
      <c r="K149" s="328" t="s">
        <v>17</v>
      </c>
      <c r="L149" s="329">
        <v>8141127.7599999998</v>
      </c>
    </row>
    <row r="150" spans="1:12" ht="61.2" hidden="1" x14ac:dyDescent="0.3">
      <c r="A150" s="323" t="s">
        <v>65</v>
      </c>
      <c r="B150" s="324" t="s">
        <v>1111</v>
      </c>
      <c r="C150" s="324" t="s">
        <v>1114</v>
      </c>
      <c r="D150" s="324" t="s">
        <v>1072</v>
      </c>
      <c r="E150" s="325" t="s">
        <v>22</v>
      </c>
      <c r="F150" s="330">
        <v>63992.01</v>
      </c>
      <c r="G150" s="330"/>
      <c r="H150" s="325" t="s">
        <v>23</v>
      </c>
      <c r="I150" s="331" t="s">
        <v>24</v>
      </c>
      <c r="J150" s="331"/>
      <c r="K150" s="328" t="s">
        <v>17</v>
      </c>
      <c r="L150" s="329">
        <v>8205119.7699999996</v>
      </c>
    </row>
    <row r="151" spans="1:12" ht="61.2" hidden="1" x14ac:dyDescent="0.3">
      <c r="A151" s="323" t="s">
        <v>65</v>
      </c>
      <c r="B151" s="324" t="s">
        <v>1115</v>
      </c>
      <c r="C151" s="324" t="s">
        <v>1116</v>
      </c>
      <c r="D151" s="324" t="s">
        <v>1117</v>
      </c>
      <c r="E151" s="325" t="s">
        <v>22</v>
      </c>
      <c r="F151" s="330">
        <v>572981.06999999995</v>
      </c>
      <c r="G151" s="330"/>
      <c r="H151" s="325" t="s">
        <v>23</v>
      </c>
      <c r="I151" s="331" t="s">
        <v>24</v>
      </c>
      <c r="J151" s="331"/>
      <c r="K151" s="328" t="s">
        <v>17</v>
      </c>
      <c r="L151" s="329">
        <v>8778100.8399999999</v>
      </c>
    </row>
    <row r="152" spans="1:12" ht="51" hidden="1" x14ac:dyDescent="0.3">
      <c r="A152" s="323" t="s">
        <v>65</v>
      </c>
      <c r="B152" s="324" t="s">
        <v>1118</v>
      </c>
      <c r="C152" s="324" t="s">
        <v>1119</v>
      </c>
      <c r="D152" s="324" t="s">
        <v>1072</v>
      </c>
      <c r="E152" s="325" t="s">
        <v>22</v>
      </c>
      <c r="F152" s="330">
        <v>19150.830000000002</v>
      </c>
      <c r="G152" s="330"/>
      <c r="H152" s="325" t="s">
        <v>23</v>
      </c>
      <c r="I152" s="331" t="s">
        <v>24</v>
      </c>
      <c r="J152" s="331"/>
      <c r="K152" s="328" t="s">
        <v>17</v>
      </c>
      <c r="L152" s="329">
        <v>8797251.6699999999</v>
      </c>
    </row>
    <row r="153" spans="1:12" ht="51" hidden="1" x14ac:dyDescent="0.3">
      <c r="A153" s="323" t="s">
        <v>65</v>
      </c>
      <c r="B153" s="324" t="s">
        <v>1118</v>
      </c>
      <c r="C153" s="324" t="s">
        <v>1120</v>
      </c>
      <c r="D153" s="324" t="s">
        <v>1072</v>
      </c>
      <c r="E153" s="325" t="s">
        <v>22</v>
      </c>
      <c r="F153" s="330">
        <v>3858.75</v>
      </c>
      <c r="G153" s="330"/>
      <c r="H153" s="325" t="s">
        <v>23</v>
      </c>
      <c r="I153" s="331" t="s">
        <v>24</v>
      </c>
      <c r="J153" s="331"/>
      <c r="K153" s="328" t="s">
        <v>17</v>
      </c>
      <c r="L153" s="329">
        <v>8801110.4199999999</v>
      </c>
    </row>
    <row r="154" spans="1:12" ht="51" x14ac:dyDescent="0.3">
      <c r="A154" s="323" t="s">
        <v>699</v>
      </c>
      <c r="B154" s="324" t="s">
        <v>1121</v>
      </c>
      <c r="C154" s="324" t="s">
        <v>27</v>
      </c>
      <c r="D154" s="324" t="s">
        <v>1122</v>
      </c>
      <c r="E154" s="325" t="s">
        <v>29</v>
      </c>
      <c r="F154" s="326" t="s">
        <v>24</v>
      </c>
      <c r="G154" s="326"/>
      <c r="H154" s="325" t="s">
        <v>22</v>
      </c>
      <c r="I154" s="327">
        <v>1615</v>
      </c>
      <c r="J154" s="327"/>
      <c r="K154" s="328" t="s">
        <v>17</v>
      </c>
      <c r="L154" s="329">
        <v>8799495.4199999999</v>
      </c>
    </row>
    <row r="155" spans="1:12" ht="51" x14ac:dyDescent="0.3">
      <c r="A155" s="323" t="s">
        <v>699</v>
      </c>
      <c r="B155" s="324" t="s">
        <v>1123</v>
      </c>
      <c r="C155" s="324" t="s">
        <v>27</v>
      </c>
      <c r="D155" s="324" t="s">
        <v>599</v>
      </c>
      <c r="E155" s="325" t="s">
        <v>29</v>
      </c>
      <c r="F155" s="326" t="s">
        <v>24</v>
      </c>
      <c r="G155" s="326"/>
      <c r="H155" s="325" t="s">
        <v>22</v>
      </c>
      <c r="I155" s="327">
        <v>3599.87</v>
      </c>
      <c r="J155" s="327"/>
      <c r="K155" s="328" t="s">
        <v>17</v>
      </c>
      <c r="L155" s="329">
        <v>8795895.5500000007</v>
      </c>
    </row>
    <row r="156" spans="1:12" ht="51" x14ac:dyDescent="0.3">
      <c r="A156" s="323" t="s">
        <v>699</v>
      </c>
      <c r="B156" s="324" t="s">
        <v>1123</v>
      </c>
      <c r="C156" s="324" t="s">
        <v>27</v>
      </c>
      <c r="D156" s="324" t="s">
        <v>599</v>
      </c>
      <c r="E156" s="325" t="s">
        <v>29</v>
      </c>
      <c r="F156" s="326" t="s">
        <v>24</v>
      </c>
      <c r="G156" s="326"/>
      <c r="H156" s="325" t="s">
        <v>22</v>
      </c>
      <c r="I156" s="327">
        <v>14306.43</v>
      </c>
      <c r="J156" s="327"/>
      <c r="K156" s="328" t="s">
        <v>17</v>
      </c>
      <c r="L156" s="329">
        <v>8781589.1199999992</v>
      </c>
    </row>
    <row r="157" spans="1:12" ht="51" x14ac:dyDescent="0.3">
      <c r="A157" s="323" t="s">
        <v>699</v>
      </c>
      <c r="B157" s="324" t="s">
        <v>1123</v>
      </c>
      <c r="C157" s="324" t="s">
        <v>27</v>
      </c>
      <c r="D157" s="324" t="s">
        <v>1096</v>
      </c>
      <c r="E157" s="325" t="s">
        <v>29</v>
      </c>
      <c r="F157" s="326" t="s">
        <v>24</v>
      </c>
      <c r="G157" s="326"/>
      <c r="H157" s="325" t="s">
        <v>22</v>
      </c>
      <c r="I157" s="327">
        <v>4893.99</v>
      </c>
      <c r="J157" s="327"/>
      <c r="K157" s="328" t="s">
        <v>17</v>
      </c>
      <c r="L157" s="329">
        <v>8776695.1300000008</v>
      </c>
    </row>
    <row r="158" spans="1:12" ht="51" x14ac:dyDescent="0.3">
      <c r="A158" s="323" t="s">
        <v>699</v>
      </c>
      <c r="B158" s="324" t="s">
        <v>1123</v>
      </c>
      <c r="C158" s="324" t="s">
        <v>27</v>
      </c>
      <c r="D158" s="324" t="s">
        <v>545</v>
      </c>
      <c r="E158" s="325" t="s">
        <v>29</v>
      </c>
      <c r="F158" s="326" t="s">
        <v>24</v>
      </c>
      <c r="G158" s="326"/>
      <c r="H158" s="325" t="s">
        <v>22</v>
      </c>
      <c r="I158" s="327">
        <v>35954.04</v>
      </c>
      <c r="J158" s="327"/>
      <c r="K158" s="328" t="s">
        <v>17</v>
      </c>
      <c r="L158" s="329">
        <v>8740741.0899999999</v>
      </c>
    </row>
    <row r="159" spans="1:12" ht="51" x14ac:dyDescent="0.3">
      <c r="A159" s="323" t="s">
        <v>699</v>
      </c>
      <c r="B159" s="324" t="s">
        <v>1123</v>
      </c>
      <c r="C159" s="324" t="s">
        <v>27</v>
      </c>
      <c r="D159" s="324" t="s">
        <v>1096</v>
      </c>
      <c r="E159" s="325" t="s">
        <v>29</v>
      </c>
      <c r="F159" s="326" t="s">
        <v>24</v>
      </c>
      <c r="G159" s="326"/>
      <c r="H159" s="325" t="s">
        <v>22</v>
      </c>
      <c r="I159" s="327">
        <v>8214.66</v>
      </c>
      <c r="J159" s="327"/>
      <c r="K159" s="328" t="s">
        <v>17</v>
      </c>
      <c r="L159" s="329">
        <v>8732526.4299999997</v>
      </c>
    </row>
    <row r="160" spans="1:12" ht="51" x14ac:dyDescent="0.3">
      <c r="A160" s="323" t="s">
        <v>699</v>
      </c>
      <c r="B160" s="324" t="s">
        <v>1124</v>
      </c>
      <c r="C160" s="324" t="s">
        <v>27</v>
      </c>
      <c r="D160" s="324" t="s">
        <v>1022</v>
      </c>
      <c r="E160" s="325" t="s">
        <v>29</v>
      </c>
      <c r="F160" s="326" t="s">
        <v>24</v>
      </c>
      <c r="G160" s="326"/>
      <c r="H160" s="325" t="s">
        <v>22</v>
      </c>
      <c r="I160" s="327">
        <v>151342.39000000001</v>
      </c>
      <c r="J160" s="327"/>
      <c r="K160" s="328" t="s">
        <v>17</v>
      </c>
      <c r="L160" s="329">
        <v>8581184.0399999991</v>
      </c>
    </row>
    <row r="161" spans="1:12" ht="51" x14ac:dyDescent="0.3">
      <c r="A161" s="323" t="s">
        <v>699</v>
      </c>
      <c r="B161" s="324" t="s">
        <v>1124</v>
      </c>
      <c r="C161" s="324" t="s">
        <v>27</v>
      </c>
      <c r="D161" s="324" t="s">
        <v>1125</v>
      </c>
      <c r="E161" s="325" t="s">
        <v>29</v>
      </c>
      <c r="F161" s="326" t="s">
        <v>24</v>
      </c>
      <c r="G161" s="326"/>
      <c r="H161" s="325" t="s">
        <v>22</v>
      </c>
      <c r="I161" s="327">
        <v>3818.52</v>
      </c>
      <c r="J161" s="327"/>
      <c r="K161" s="328" t="s">
        <v>17</v>
      </c>
      <c r="L161" s="329">
        <v>8577365.5199999996</v>
      </c>
    </row>
    <row r="162" spans="1:12" ht="51" x14ac:dyDescent="0.3">
      <c r="A162" s="323" t="s">
        <v>699</v>
      </c>
      <c r="B162" s="324" t="s">
        <v>1124</v>
      </c>
      <c r="C162" s="324" t="s">
        <v>27</v>
      </c>
      <c r="D162" s="324" t="s">
        <v>1126</v>
      </c>
      <c r="E162" s="325" t="s">
        <v>29</v>
      </c>
      <c r="F162" s="326" t="s">
        <v>24</v>
      </c>
      <c r="G162" s="326"/>
      <c r="H162" s="325" t="s">
        <v>22</v>
      </c>
      <c r="I162" s="327">
        <v>72479.38</v>
      </c>
      <c r="J162" s="327"/>
      <c r="K162" s="328" t="s">
        <v>17</v>
      </c>
      <c r="L162" s="329">
        <v>8504886.1400000006</v>
      </c>
    </row>
    <row r="163" spans="1:12" ht="51" x14ac:dyDescent="0.3">
      <c r="A163" s="323" t="s">
        <v>699</v>
      </c>
      <c r="B163" s="324" t="s">
        <v>1124</v>
      </c>
      <c r="C163" s="324" t="s">
        <v>27</v>
      </c>
      <c r="D163" s="324" t="s">
        <v>1127</v>
      </c>
      <c r="E163" s="325" t="s">
        <v>29</v>
      </c>
      <c r="F163" s="326" t="s">
        <v>24</v>
      </c>
      <c r="G163" s="326"/>
      <c r="H163" s="325" t="s">
        <v>22</v>
      </c>
      <c r="I163" s="327">
        <v>18739.32</v>
      </c>
      <c r="J163" s="327"/>
      <c r="K163" s="328" t="s">
        <v>17</v>
      </c>
      <c r="L163" s="329">
        <v>8486146.8200000003</v>
      </c>
    </row>
    <row r="164" spans="1:12" ht="51" x14ac:dyDescent="0.3">
      <c r="A164" s="323" t="s">
        <v>699</v>
      </c>
      <c r="B164" s="324" t="s">
        <v>1124</v>
      </c>
      <c r="C164" s="324" t="s">
        <v>27</v>
      </c>
      <c r="D164" s="324" t="s">
        <v>1128</v>
      </c>
      <c r="E164" s="325" t="s">
        <v>29</v>
      </c>
      <c r="F164" s="326" t="s">
        <v>24</v>
      </c>
      <c r="G164" s="326"/>
      <c r="H164" s="325" t="s">
        <v>22</v>
      </c>
      <c r="I164" s="327">
        <v>98782.86</v>
      </c>
      <c r="J164" s="327"/>
      <c r="K164" s="328" t="s">
        <v>17</v>
      </c>
      <c r="L164" s="329">
        <v>8387363.96</v>
      </c>
    </row>
    <row r="165" spans="1:12" ht="51" x14ac:dyDescent="0.3">
      <c r="A165" s="323" t="s">
        <v>699</v>
      </c>
      <c r="B165" s="324" t="s">
        <v>1124</v>
      </c>
      <c r="C165" s="324" t="s">
        <v>27</v>
      </c>
      <c r="D165" s="324" t="s">
        <v>671</v>
      </c>
      <c r="E165" s="325" t="s">
        <v>29</v>
      </c>
      <c r="F165" s="326" t="s">
        <v>24</v>
      </c>
      <c r="G165" s="326"/>
      <c r="H165" s="325" t="s">
        <v>22</v>
      </c>
      <c r="I165" s="327">
        <v>1043.42</v>
      </c>
      <c r="J165" s="327"/>
      <c r="K165" s="328" t="s">
        <v>17</v>
      </c>
      <c r="L165" s="329">
        <v>8386320.54</v>
      </c>
    </row>
    <row r="166" spans="1:12" ht="51" x14ac:dyDescent="0.3">
      <c r="A166" s="323" t="s">
        <v>699</v>
      </c>
      <c r="B166" s="324" t="s">
        <v>1124</v>
      </c>
      <c r="C166" s="324" t="s">
        <v>27</v>
      </c>
      <c r="D166" s="324" t="s">
        <v>1129</v>
      </c>
      <c r="E166" s="325" t="s">
        <v>29</v>
      </c>
      <c r="F166" s="326" t="s">
        <v>24</v>
      </c>
      <c r="G166" s="326"/>
      <c r="H166" s="325" t="s">
        <v>22</v>
      </c>
      <c r="I166" s="327">
        <v>1001.76</v>
      </c>
      <c r="J166" s="327"/>
      <c r="K166" s="328" t="s">
        <v>17</v>
      </c>
      <c r="L166" s="329">
        <v>8385318.7800000003</v>
      </c>
    </row>
    <row r="167" spans="1:12" ht="51" x14ac:dyDescent="0.3">
      <c r="A167" s="323" t="s">
        <v>699</v>
      </c>
      <c r="B167" s="324" t="s">
        <v>1124</v>
      </c>
      <c r="C167" s="324" t="s">
        <v>27</v>
      </c>
      <c r="D167" s="324" t="s">
        <v>1130</v>
      </c>
      <c r="E167" s="325" t="s">
        <v>29</v>
      </c>
      <c r="F167" s="326" t="s">
        <v>24</v>
      </c>
      <c r="G167" s="326"/>
      <c r="H167" s="325" t="s">
        <v>22</v>
      </c>
      <c r="I167" s="327">
        <v>14930.24</v>
      </c>
      <c r="J167" s="327"/>
      <c r="K167" s="328" t="s">
        <v>17</v>
      </c>
      <c r="L167" s="329">
        <v>8370388.54</v>
      </c>
    </row>
    <row r="168" spans="1:12" ht="51" x14ac:dyDescent="0.3">
      <c r="A168" s="323" t="s">
        <v>699</v>
      </c>
      <c r="B168" s="324" t="s">
        <v>1124</v>
      </c>
      <c r="C168" s="324" t="s">
        <v>27</v>
      </c>
      <c r="D168" s="324" t="s">
        <v>1131</v>
      </c>
      <c r="E168" s="325" t="s">
        <v>29</v>
      </c>
      <c r="F168" s="326" t="s">
        <v>24</v>
      </c>
      <c r="G168" s="326"/>
      <c r="H168" s="325" t="s">
        <v>22</v>
      </c>
      <c r="I168" s="327">
        <v>135123.01999999999</v>
      </c>
      <c r="J168" s="327"/>
      <c r="K168" s="328" t="s">
        <v>17</v>
      </c>
      <c r="L168" s="329">
        <v>8235265.5199999996</v>
      </c>
    </row>
    <row r="169" spans="1:12" ht="51" x14ac:dyDescent="0.3">
      <c r="A169" s="323" t="s">
        <v>699</v>
      </c>
      <c r="B169" s="324" t="s">
        <v>1124</v>
      </c>
      <c r="C169" s="324" t="s">
        <v>27</v>
      </c>
      <c r="D169" s="324" t="s">
        <v>1132</v>
      </c>
      <c r="E169" s="325" t="s">
        <v>29</v>
      </c>
      <c r="F169" s="326" t="s">
        <v>24</v>
      </c>
      <c r="G169" s="326"/>
      <c r="H169" s="325" t="s">
        <v>22</v>
      </c>
      <c r="I169" s="327">
        <v>134670.79999999999</v>
      </c>
      <c r="J169" s="327"/>
      <c r="K169" s="328" t="s">
        <v>17</v>
      </c>
      <c r="L169" s="329">
        <v>8100594.7199999997</v>
      </c>
    </row>
    <row r="170" spans="1:12" ht="51" x14ac:dyDescent="0.3">
      <c r="A170" s="323" t="s">
        <v>699</v>
      </c>
      <c r="B170" s="324" t="s">
        <v>1124</v>
      </c>
      <c r="C170" s="324" t="s">
        <v>27</v>
      </c>
      <c r="D170" s="324" t="s">
        <v>1133</v>
      </c>
      <c r="E170" s="325" t="s">
        <v>29</v>
      </c>
      <c r="F170" s="326" t="s">
        <v>24</v>
      </c>
      <c r="G170" s="326"/>
      <c r="H170" s="325" t="s">
        <v>22</v>
      </c>
      <c r="I170" s="332">
        <v>530</v>
      </c>
      <c r="J170" s="332"/>
      <c r="K170" s="328" t="s">
        <v>17</v>
      </c>
      <c r="L170" s="329">
        <v>8100064.7199999997</v>
      </c>
    </row>
    <row r="171" spans="1:12" ht="51" x14ac:dyDescent="0.3">
      <c r="A171" s="323" t="s">
        <v>699</v>
      </c>
      <c r="B171" s="324" t="s">
        <v>1124</v>
      </c>
      <c r="C171" s="324" t="s">
        <v>27</v>
      </c>
      <c r="D171" s="324" t="s">
        <v>1134</v>
      </c>
      <c r="E171" s="325" t="s">
        <v>29</v>
      </c>
      <c r="F171" s="326" t="s">
        <v>24</v>
      </c>
      <c r="G171" s="326"/>
      <c r="H171" s="325" t="s">
        <v>22</v>
      </c>
      <c r="I171" s="332">
        <v>754.2</v>
      </c>
      <c r="J171" s="332"/>
      <c r="K171" s="328" t="s">
        <v>17</v>
      </c>
      <c r="L171" s="329">
        <v>8099310.5199999996</v>
      </c>
    </row>
    <row r="172" spans="1:12" ht="51" x14ac:dyDescent="0.3">
      <c r="A172" s="323" t="s">
        <v>699</v>
      </c>
      <c r="B172" s="324" t="s">
        <v>1124</v>
      </c>
      <c r="C172" s="324" t="s">
        <v>27</v>
      </c>
      <c r="D172" s="324" t="s">
        <v>1135</v>
      </c>
      <c r="E172" s="325" t="s">
        <v>29</v>
      </c>
      <c r="F172" s="326" t="s">
        <v>24</v>
      </c>
      <c r="G172" s="326"/>
      <c r="H172" s="325" t="s">
        <v>22</v>
      </c>
      <c r="I172" s="332">
        <v>865.93</v>
      </c>
      <c r="J172" s="332"/>
      <c r="K172" s="328" t="s">
        <v>17</v>
      </c>
      <c r="L172" s="329">
        <v>8098444.5899999999</v>
      </c>
    </row>
    <row r="173" spans="1:12" ht="61.2" x14ac:dyDescent="0.3">
      <c r="A173" s="323" t="s">
        <v>699</v>
      </c>
      <c r="B173" s="324" t="s">
        <v>1124</v>
      </c>
      <c r="C173" s="324" t="s">
        <v>27</v>
      </c>
      <c r="D173" s="324" t="s">
        <v>1136</v>
      </c>
      <c r="E173" s="325" t="s">
        <v>29</v>
      </c>
      <c r="F173" s="326" t="s">
        <v>24</v>
      </c>
      <c r="G173" s="326"/>
      <c r="H173" s="325" t="s">
        <v>22</v>
      </c>
      <c r="I173" s="327">
        <v>1749</v>
      </c>
      <c r="J173" s="327"/>
      <c r="K173" s="328" t="s">
        <v>17</v>
      </c>
      <c r="L173" s="329">
        <v>8096695.5899999999</v>
      </c>
    </row>
    <row r="174" spans="1:12" ht="51" x14ac:dyDescent="0.3">
      <c r="A174" s="323" t="s">
        <v>699</v>
      </c>
      <c r="B174" s="324" t="s">
        <v>1124</v>
      </c>
      <c r="C174" s="324" t="s">
        <v>27</v>
      </c>
      <c r="D174" s="324" t="s">
        <v>1037</v>
      </c>
      <c r="E174" s="325" t="s">
        <v>29</v>
      </c>
      <c r="F174" s="326" t="s">
        <v>24</v>
      </c>
      <c r="G174" s="326"/>
      <c r="H174" s="325" t="s">
        <v>22</v>
      </c>
      <c r="I174" s="327">
        <v>5978.2</v>
      </c>
      <c r="J174" s="327"/>
      <c r="K174" s="328" t="s">
        <v>17</v>
      </c>
      <c r="L174" s="329">
        <v>8090717.3899999997</v>
      </c>
    </row>
    <row r="175" spans="1:12" ht="51" x14ac:dyDescent="0.3">
      <c r="A175" s="323" t="s">
        <v>699</v>
      </c>
      <c r="B175" s="324" t="s">
        <v>1124</v>
      </c>
      <c r="C175" s="324" t="s">
        <v>27</v>
      </c>
      <c r="D175" s="324" t="s">
        <v>1094</v>
      </c>
      <c r="E175" s="325" t="s">
        <v>29</v>
      </c>
      <c r="F175" s="326" t="s">
        <v>24</v>
      </c>
      <c r="G175" s="326"/>
      <c r="H175" s="325" t="s">
        <v>22</v>
      </c>
      <c r="I175" s="327">
        <v>3293.43</v>
      </c>
      <c r="J175" s="327"/>
      <c r="K175" s="328" t="s">
        <v>17</v>
      </c>
      <c r="L175" s="329">
        <v>8087423.96</v>
      </c>
    </row>
    <row r="176" spans="1:12" ht="51" x14ac:dyDescent="0.3">
      <c r="A176" s="323" t="s">
        <v>699</v>
      </c>
      <c r="B176" s="324" t="s">
        <v>1137</v>
      </c>
      <c r="C176" s="324" t="s">
        <v>27</v>
      </c>
      <c r="D176" s="324" t="s">
        <v>1032</v>
      </c>
      <c r="E176" s="325" t="s">
        <v>29</v>
      </c>
      <c r="F176" s="326" t="s">
        <v>24</v>
      </c>
      <c r="G176" s="326"/>
      <c r="H176" s="325" t="s">
        <v>22</v>
      </c>
      <c r="I176" s="327">
        <v>2080</v>
      </c>
      <c r="J176" s="327"/>
      <c r="K176" s="328" t="s">
        <v>17</v>
      </c>
      <c r="L176" s="329">
        <v>8085343.96</v>
      </c>
    </row>
    <row r="177" spans="1:12" ht="51" hidden="1" x14ac:dyDescent="0.3">
      <c r="A177" s="323" t="s">
        <v>699</v>
      </c>
      <c r="B177" s="324" t="s">
        <v>1138</v>
      </c>
      <c r="C177" s="324" t="s">
        <v>1139</v>
      </c>
      <c r="D177" s="324" t="s">
        <v>1072</v>
      </c>
      <c r="E177" s="325" t="s">
        <v>22</v>
      </c>
      <c r="F177" s="330">
        <v>121137.62</v>
      </c>
      <c r="G177" s="330"/>
      <c r="H177" s="325" t="s">
        <v>23</v>
      </c>
      <c r="I177" s="331" t="s">
        <v>24</v>
      </c>
      <c r="J177" s="331"/>
      <c r="K177" s="328" t="s">
        <v>17</v>
      </c>
      <c r="L177" s="329">
        <v>8206481.5800000001</v>
      </c>
    </row>
    <row r="178" spans="1:12" ht="51" hidden="1" x14ac:dyDescent="0.3">
      <c r="A178" s="323" t="s">
        <v>699</v>
      </c>
      <c r="B178" s="324" t="s">
        <v>1138</v>
      </c>
      <c r="C178" s="324" t="s">
        <v>1140</v>
      </c>
      <c r="D178" s="324" t="s">
        <v>1072</v>
      </c>
      <c r="E178" s="325" t="s">
        <v>22</v>
      </c>
      <c r="F178" s="330">
        <v>775667.61</v>
      </c>
      <c r="G178" s="330"/>
      <c r="H178" s="325" t="s">
        <v>23</v>
      </c>
      <c r="I178" s="331" t="s">
        <v>24</v>
      </c>
      <c r="J178" s="331"/>
      <c r="K178" s="328" t="s">
        <v>17</v>
      </c>
      <c r="L178" s="329">
        <v>8982149.1899999995</v>
      </c>
    </row>
    <row r="179" spans="1:12" ht="51" hidden="1" x14ac:dyDescent="0.3">
      <c r="A179" s="323" t="s">
        <v>699</v>
      </c>
      <c r="B179" s="324" t="s">
        <v>1138</v>
      </c>
      <c r="C179" s="324" t="s">
        <v>1141</v>
      </c>
      <c r="D179" s="324" t="s">
        <v>1072</v>
      </c>
      <c r="E179" s="325" t="s">
        <v>22</v>
      </c>
      <c r="F179" s="330">
        <v>101816.68</v>
      </c>
      <c r="G179" s="330"/>
      <c r="H179" s="325" t="s">
        <v>23</v>
      </c>
      <c r="I179" s="331" t="s">
        <v>24</v>
      </c>
      <c r="J179" s="331"/>
      <c r="K179" s="328" t="s">
        <v>17</v>
      </c>
      <c r="L179" s="329">
        <v>9083965.8699999992</v>
      </c>
    </row>
    <row r="180" spans="1:12" ht="51" hidden="1" x14ac:dyDescent="0.3">
      <c r="A180" s="323" t="s">
        <v>699</v>
      </c>
      <c r="B180" s="324" t="s">
        <v>1142</v>
      </c>
      <c r="C180" s="324" t="s">
        <v>1143</v>
      </c>
      <c r="D180" s="324" t="s">
        <v>1072</v>
      </c>
      <c r="E180" s="325" t="s">
        <v>22</v>
      </c>
      <c r="F180" s="330">
        <v>33571.46</v>
      </c>
      <c r="G180" s="330"/>
      <c r="H180" s="325" t="s">
        <v>23</v>
      </c>
      <c r="I180" s="331" t="s">
        <v>24</v>
      </c>
      <c r="J180" s="331"/>
      <c r="K180" s="328" t="s">
        <v>17</v>
      </c>
      <c r="L180" s="329">
        <v>9117537.3300000001</v>
      </c>
    </row>
    <row r="181" spans="1:12" ht="51" hidden="1" x14ac:dyDescent="0.3">
      <c r="A181" s="323" t="s">
        <v>699</v>
      </c>
      <c r="B181" s="324" t="s">
        <v>1142</v>
      </c>
      <c r="C181" s="324" t="s">
        <v>1144</v>
      </c>
      <c r="D181" s="324" t="s">
        <v>1072</v>
      </c>
      <c r="E181" s="325" t="s">
        <v>22</v>
      </c>
      <c r="F181" s="330">
        <v>774700.45</v>
      </c>
      <c r="G181" s="330"/>
      <c r="H181" s="325" t="s">
        <v>23</v>
      </c>
      <c r="I181" s="331" t="s">
        <v>24</v>
      </c>
      <c r="J181" s="331"/>
      <c r="K181" s="328" t="s">
        <v>17</v>
      </c>
      <c r="L181" s="329">
        <v>9892237.7799999993</v>
      </c>
    </row>
    <row r="182" spans="1:12" ht="51" hidden="1" x14ac:dyDescent="0.3">
      <c r="A182" s="323" t="s">
        <v>699</v>
      </c>
      <c r="B182" s="324" t="s">
        <v>1142</v>
      </c>
      <c r="C182" s="324" t="s">
        <v>1145</v>
      </c>
      <c r="D182" s="324" t="s">
        <v>1072</v>
      </c>
      <c r="E182" s="325" t="s">
        <v>22</v>
      </c>
      <c r="F182" s="330">
        <v>139772.01999999999</v>
      </c>
      <c r="G182" s="330"/>
      <c r="H182" s="325" t="s">
        <v>23</v>
      </c>
      <c r="I182" s="331" t="s">
        <v>24</v>
      </c>
      <c r="J182" s="331"/>
      <c r="K182" s="328" t="s">
        <v>17</v>
      </c>
      <c r="L182" s="329">
        <v>10032009.800000001</v>
      </c>
    </row>
    <row r="183" spans="1:12" ht="51" hidden="1" x14ac:dyDescent="0.3">
      <c r="A183" s="323" t="s">
        <v>361</v>
      </c>
      <c r="B183" s="324" t="s">
        <v>1146</v>
      </c>
      <c r="C183" s="324" t="s">
        <v>1147</v>
      </c>
      <c r="D183" s="324" t="s">
        <v>1148</v>
      </c>
      <c r="E183" s="325" t="s">
        <v>22</v>
      </c>
      <c r="F183" s="330">
        <v>84200.01</v>
      </c>
      <c r="G183" s="330"/>
      <c r="H183" s="325" t="s">
        <v>23</v>
      </c>
      <c r="I183" s="331" t="s">
        <v>24</v>
      </c>
      <c r="J183" s="331"/>
      <c r="K183" s="328" t="s">
        <v>17</v>
      </c>
      <c r="L183" s="329">
        <v>10116209.810000001</v>
      </c>
    </row>
    <row r="184" spans="1:12" ht="51" hidden="1" x14ac:dyDescent="0.3">
      <c r="A184" s="323" t="s">
        <v>361</v>
      </c>
      <c r="B184" s="324" t="s">
        <v>1146</v>
      </c>
      <c r="C184" s="324" t="s">
        <v>1149</v>
      </c>
      <c r="D184" s="324" t="s">
        <v>1148</v>
      </c>
      <c r="E184" s="325" t="s">
        <v>22</v>
      </c>
      <c r="F184" s="330">
        <v>352377.04</v>
      </c>
      <c r="G184" s="330"/>
      <c r="H184" s="325" t="s">
        <v>23</v>
      </c>
      <c r="I184" s="331" t="s">
        <v>24</v>
      </c>
      <c r="J184" s="331"/>
      <c r="K184" s="328" t="s">
        <v>17</v>
      </c>
      <c r="L184" s="329">
        <v>10468586.85</v>
      </c>
    </row>
    <row r="185" spans="1:12" ht="51" hidden="1" x14ac:dyDescent="0.3">
      <c r="A185" s="323" t="s">
        <v>361</v>
      </c>
      <c r="B185" s="324" t="s">
        <v>1150</v>
      </c>
      <c r="C185" s="324" t="s">
        <v>1151</v>
      </c>
      <c r="D185" s="324" t="s">
        <v>1148</v>
      </c>
      <c r="E185" s="325" t="s">
        <v>22</v>
      </c>
      <c r="F185" s="330">
        <v>96555.01</v>
      </c>
      <c r="G185" s="330"/>
      <c r="H185" s="325" t="s">
        <v>23</v>
      </c>
      <c r="I185" s="331" t="s">
        <v>24</v>
      </c>
      <c r="J185" s="331"/>
      <c r="K185" s="328" t="s">
        <v>17</v>
      </c>
      <c r="L185" s="329">
        <v>10565141.859999999</v>
      </c>
    </row>
    <row r="186" spans="1:12" ht="51" hidden="1" x14ac:dyDescent="0.3">
      <c r="A186" s="323" t="s">
        <v>361</v>
      </c>
      <c r="B186" s="324" t="s">
        <v>1150</v>
      </c>
      <c r="C186" s="324" t="s">
        <v>1152</v>
      </c>
      <c r="D186" s="324" t="s">
        <v>1148</v>
      </c>
      <c r="E186" s="325" t="s">
        <v>22</v>
      </c>
      <c r="F186" s="330">
        <v>94584.68</v>
      </c>
      <c r="G186" s="330"/>
      <c r="H186" s="325" t="s">
        <v>23</v>
      </c>
      <c r="I186" s="331" t="s">
        <v>24</v>
      </c>
      <c r="J186" s="331"/>
      <c r="K186" s="328" t="s">
        <v>17</v>
      </c>
      <c r="L186" s="329">
        <v>10659726.539999999</v>
      </c>
    </row>
    <row r="187" spans="1:12" ht="51" hidden="1" x14ac:dyDescent="0.3">
      <c r="A187" s="323" t="s">
        <v>610</v>
      </c>
      <c r="B187" s="324" t="s">
        <v>635</v>
      </c>
      <c r="C187" s="324" t="s">
        <v>636</v>
      </c>
      <c r="D187" s="324" t="s">
        <v>455</v>
      </c>
      <c r="E187" s="325" t="s">
        <v>22</v>
      </c>
      <c r="F187" s="333">
        <v>691.45</v>
      </c>
      <c r="G187" s="333"/>
      <c r="H187" s="325" t="s">
        <v>22</v>
      </c>
      <c r="I187" s="331" t="s">
        <v>24</v>
      </c>
      <c r="J187" s="331"/>
      <c r="K187" s="328" t="s">
        <v>17</v>
      </c>
      <c r="L187" s="329">
        <v>10660417.99</v>
      </c>
    </row>
    <row r="188" spans="1:12" ht="51" hidden="1" x14ac:dyDescent="0.3">
      <c r="A188" s="323" t="s">
        <v>610</v>
      </c>
      <c r="B188" s="324" t="s">
        <v>635</v>
      </c>
      <c r="C188" s="324" t="s">
        <v>637</v>
      </c>
      <c r="D188" s="324" t="s">
        <v>629</v>
      </c>
      <c r="E188" s="325" t="s">
        <v>22</v>
      </c>
      <c r="F188" s="330">
        <v>13644.38</v>
      </c>
      <c r="G188" s="330"/>
      <c r="H188" s="325" t="s">
        <v>22</v>
      </c>
      <c r="I188" s="331" t="s">
        <v>24</v>
      </c>
      <c r="J188" s="331"/>
      <c r="K188" s="328" t="s">
        <v>17</v>
      </c>
      <c r="L188" s="329">
        <v>10674062.369999999</v>
      </c>
    </row>
    <row r="189" spans="1:12" ht="51" hidden="1" x14ac:dyDescent="0.3">
      <c r="A189" s="323" t="s">
        <v>181</v>
      </c>
      <c r="B189" s="324" t="s">
        <v>1153</v>
      </c>
      <c r="C189" s="324" t="s">
        <v>1154</v>
      </c>
      <c r="D189" s="324" t="s">
        <v>1155</v>
      </c>
      <c r="E189" s="325" t="s">
        <v>22</v>
      </c>
      <c r="F189" s="330">
        <v>44925</v>
      </c>
      <c r="G189" s="330"/>
      <c r="H189" s="325" t="s">
        <v>23</v>
      </c>
      <c r="I189" s="331" t="s">
        <v>24</v>
      </c>
      <c r="J189" s="331"/>
      <c r="K189" s="328" t="s">
        <v>17</v>
      </c>
      <c r="L189" s="329">
        <v>10718987.369999999</v>
      </c>
    </row>
    <row r="190" spans="1:12" ht="51" hidden="1" x14ac:dyDescent="0.3">
      <c r="A190" s="323" t="s">
        <v>181</v>
      </c>
      <c r="B190" s="324" t="s">
        <v>1156</v>
      </c>
      <c r="C190" s="324" t="s">
        <v>1154</v>
      </c>
      <c r="D190" s="324" t="s">
        <v>1157</v>
      </c>
      <c r="E190" s="325" t="s">
        <v>22</v>
      </c>
      <c r="F190" s="330">
        <v>15644.5</v>
      </c>
      <c r="G190" s="330"/>
      <c r="H190" s="325" t="s">
        <v>23</v>
      </c>
      <c r="I190" s="331" t="s">
        <v>24</v>
      </c>
      <c r="J190" s="331"/>
      <c r="K190" s="328" t="s">
        <v>17</v>
      </c>
      <c r="L190" s="329">
        <v>10734631.869999999</v>
      </c>
    </row>
    <row r="191" spans="1:12" ht="51" x14ac:dyDescent="0.3">
      <c r="A191" s="323" t="s">
        <v>181</v>
      </c>
      <c r="B191" s="324" t="s">
        <v>1158</v>
      </c>
      <c r="C191" s="324" t="s">
        <v>27</v>
      </c>
      <c r="D191" s="324" t="s">
        <v>1096</v>
      </c>
      <c r="E191" s="325" t="s">
        <v>29</v>
      </c>
      <c r="F191" s="326" t="s">
        <v>24</v>
      </c>
      <c r="G191" s="326"/>
      <c r="H191" s="325" t="s">
        <v>22</v>
      </c>
      <c r="I191" s="327">
        <v>19958.849999999999</v>
      </c>
      <c r="J191" s="327"/>
      <c r="K191" s="328" t="s">
        <v>17</v>
      </c>
      <c r="L191" s="329">
        <v>10714673.02</v>
      </c>
    </row>
    <row r="192" spans="1:12" ht="51" x14ac:dyDescent="0.3">
      <c r="A192" s="323" t="s">
        <v>181</v>
      </c>
      <c r="B192" s="324" t="s">
        <v>1158</v>
      </c>
      <c r="C192" s="324" t="s">
        <v>27</v>
      </c>
      <c r="D192" s="324" t="s">
        <v>1154</v>
      </c>
      <c r="E192" s="325" t="s">
        <v>29</v>
      </c>
      <c r="F192" s="326" t="s">
        <v>24</v>
      </c>
      <c r="G192" s="326"/>
      <c r="H192" s="325" t="s">
        <v>22</v>
      </c>
      <c r="I192" s="327">
        <v>13591.8</v>
      </c>
      <c r="J192" s="327"/>
      <c r="K192" s="328" t="s">
        <v>17</v>
      </c>
      <c r="L192" s="329">
        <v>10701081.220000001</v>
      </c>
    </row>
    <row r="193" spans="1:12" ht="51" hidden="1" x14ac:dyDescent="0.3">
      <c r="A193" s="323" t="s">
        <v>25</v>
      </c>
      <c r="B193" s="324" t="s">
        <v>1159</v>
      </c>
      <c r="C193" s="324" t="s">
        <v>1160</v>
      </c>
      <c r="D193" s="324" t="s">
        <v>786</v>
      </c>
      <c r="E193" s="325" t="s">
        <v>22</v>
      </c>
      <c r="F193" s="326" t="s">
        <v>24</v>
      </c>
      <c r="G193" s="326"/>
      <c r="H193" s="325" t="s">
        <v>22</v>
      </c>
      <c r="I193" s="327">
        <v>28317.33</v>
      </c>
      <c r="J193" s="327"/>
      <c r="K193" s="328" t="s">
        <v>17</v>
      </c>
      <c r="L193" s="329">
        <v>10672763.890000001</v>
      </c>
    </row>
    <row r="194" spans="1:12" ht="51" hidden="1" x14ac:dyDescent="0.3">
      <c r="A194" s="323" t="s">
        <v>25</v>
      </c>
      <c r="B194" s="324" t="s">
        <v>717</v>
      </c>
      <c r="C194" s="324" t="s">
        <v>718</v>
      </c>
      <c r="D194" s="324" t="s">
        <v>719</v>
      </c>
      <c r="E194" s="325" t="s">
        <v>22</v>
      </c>
      <c r="F194" s="326" t="s">
        <v>24</v>
      </c>
      <c r="G194" s="326"/>
      <c r="H194" s="325" t="s">
        <v>22</v>
      </c>
      <c r="I194" s="327">
        <v>34830</v>
      </c>
      <c r="J194" s="327"/>
      <c r="K194" s="328" t="s">
        <v>17</v>
      </c>
      <c r="L194" s="329">
        <v>10637933.890000001</v>
      </c>
    </row>
    <row r="195" spans="1:12" ht="51" hidden="1" x14ac:dyDescent="0.3">
      <c r="A195" s="323" t="s">
        <v>25</v>
      </c>
      <c r="B195" s="324" t="s">
        <v>720</v>
      </c>
      <c r="C195" s="324" t="s">
        <v>721</v>
      </c>
      <c r="D195" s="324" t="s">
        <v>583</v>
      </c>
      <c r="E195" s="325" t="s">
        <v>22</v>
      </c>
      <c r="F195" s="326" t="s">
        <v>24</v>
      </c>
      <c r="G195" s="326"/>
      <c r="H195" s="325" t="s">
        <v>22</v>
      </c>
      <c r="I195" s="327">
        <v>5508</v>
      </c>
      <c r="J195" s="327"/>
      <c r="K195" s="328" t="s">
        <v>17</v>
      </c>
      <c r="L195" s="329">
        <v>10632425.890000001</v>
      </c>
    </row>
    <row r="196" spans="1:12" ht="51" hidden="1" x14ac:dyDescent="0.3">
      <c r="A196" s="323" t="s">
        <v>25</v>
      </c>
      <c r="B196" s="324" t="s">
        <v>720</v>
      </c>
      <c r="C196" s="324" t="s">
        <v>722</v>
      </c>
      <c r="D196" s="324" t="s">
        <v>723</v>
      </c>
      <c r="E196" s="325" t="s">
        <v>22</v>
      </c>
      <c r="F196" s="326" t="s">
        <v>24</v>
      </c>
      <c r="G196" s="326"/>
      <c r="H196" s="325" t="s">
        <v>22</v>
      </c>
      <c r="I196" s="327">
        <v>3484</v>
      </c>
      <c r="J196" s="327"/>
      <c r="K196" s="328" t="s">
        <v>17</v>
      </c>
      <c r="L196" s="329">
        <v>10628941.890000001</v>
      </c>
    </row>
    <row r="197" spans="1:12" ht="51" x14ac:dyDescent="0.3">
      <c r="A197" s="323" t="s">
        <v>25</v>
      </c>
      <c r="B197" s="324" t="s">
        <v>1161</v>
      </c>
      <c r="C197" s="324" t="s">
        <v>727</v>
      </c>
      <c r="D197" s="324" t="s">
        <v>1162</v>
      </c>
      <c r="E197" s="325" t="s">
        <v>29</v>
      </c>
      <c r="F197" s="326" t="s">
        <v>24</v>
      </c>
      <c r="G197" s="326"/>
      <c r="H197" s="325" t="s">
        <v>22</v>
      </c>
      <c r="I197" s="327">
        <v>42600</v>
      </c>
      <c r="J197" s="327"/>
      <c r="K197" s="328" t="s">
        <v>17</v>
      </c>
      <c r="L197" s="329">
        <v>10586341.890000001</v>
      </c>
    </row>
    <row r="198" spans="1:12" ht="51" x14ac:dyDescent="0.3">
      <c r="A198" s="323" t="s">
        <v>25</v>
      </c>
      <c r="B198" s="324" t="s">
        <v>1161</v>
      </c>
      <c r="C198" s="324" t="s">
        <v>727</v>
      </c>
      <c r="D198" s="324" t="s">
        <v>1163</v>
      </c>
      <c r="E198" s="325" t="s">
        <v>29</v>
      </c>
      <c r="F198" s="326" t="s">
        <v>24</v>
      </c>
      <c r="G198" s="326"/>
      <c r="H198" s="325" t="s">
        <v>22</v>
      </c>
      <c r="I198" s="327">
        <v>31927.5</v>
      </c>
      <c r="J198" s="327"/>
      <c r="K198" s="328" t="s">
        <v>17</v>
      </c>
      <c r="L198" s="329">
        <v>10554414.390000001</v>
      </c>
    </row>
    <row r="199" spans="1:12" ht="51" x14ac:dyDescent="0.3">
      <c r="A199" s="323" t="s">
        <v>25</v>
      </c>
      <c r="B199" s="324" t="s">
        <v>1161</v>
      </c>
      <c r="C199" s="324" t="s">
        <v>727</v>
      </c>
      <c r="D199" s="324" t="s">
        <v>1070</v>
      </c>
      <c r="E199" s="325" t="s">
        <v>29</v>
      </c>
      <c r="F199" s="326" t="s">
        <v>24</v>
      </c>
      <c r="G199" s="326"/>
      <c r="H199" s="325" t="s">
        <v>22</v>
      </c>
      <c r="I199" s="327">
        <v>2014.5</v>
      </c>
      <c r="J199" s="327"/>
      <c r="K199" s="328" t="s">
        <v>17</v>
      </c>
      <c r="L199" s="329">
        <v>10552399.890000001</v>
      </c>
    </row>
    <row r="200" spans="1:12" ht="51" x14ac:dyDescent="0.3">
      <c r="A200" s="323" t="s">
        <v>25</v>
      </c>
      <c r="B200" s="324" t="s">
        <v>1161</v>
      </c>
      <c r="C200" s="324" t="s">
        <v>727</v>
      </c>
      <c r="D200" s="324" t="s">
        <v>1140</v>
      </c>
      <c r="E200" s="325" t="s">
        <v>29</v>
      </c>
      <c r="F200" s="326" t="s">
        <v>24</v>
      </c>
      <c r="G200" s="326"/>
      <c r="H200" s="325" t="s">
        <v>22</v>
      </c>
      <c r="I200" s="327">
        <v>143334.09</v>
      </c>
      <c r="J200" s="327"/>
      <c r="K200" s="328" t="s">
        <v>17</v>
      </c>
      <c r="L200" s="329">
        <v>10409065.800000001</v>
      </c>
    </row>
    <row r="201" spans="1:12" ht="51" x14ac:dyDescent="0.3">
      <c r="A201" s="323" t="s">
        <v>25</v>
      </c>
      <c r="B201" s="324" t="s">
        <v>1161</v>
      </c>
      <c r="C201" s="324" t="s">
        <v>727</v>
      </c>
      <c r="D201" s="324" t="s">
        <v>1132</v>
      </c>
      <c r="E201" s="325" t="s">
        <v>29</v>
      </c>
      <c r="F201" s="326" t="s">
        <v>24</v>
      </c>
      <c r="G201" s="326"/>
      <c r="H201" s="325" t="s">
        <v>22</v>
      </c>
      <c r="I201" s="327">
        <v>117752.6</v>
      </c>
      <c r="J201" s="327"/>
      <c r="K201" s="328" t="s">
        <v>17</v>
      </c>
      <c r="L201" s="329">
        <v>10291313.199999999</v>
      </c>
    </row>
    <row r="202" spans="1:12" ht="51" x14ac:dyDescent="0.3">
      <c r="A202" s="323" t="s">
        <v>25</v>
      </c>
      <c r="B202" s="324" t="s">
        <v>1161</v>
      </c>
      <c r="C202" s="324" t="s">
        <v>727</v>
      </c>
      <c r="D202" s="324" t="s">
        <v>1140</v>
      </c>
      <c r="E202" s="325" t="s">
        <v>29</v>
      </c>
      <c r="F202" s="326" t="s">
        <v>24</v>
      </c>
      <c r="G202" s="326"/>
      <c r="H202" s="325" t="s">
        <v>22</v>
      </c>
      <c r="I202" s="327">
        <v>410610.58</v>
      </c>
      <c r="J202" s="327"/>
      <c r="K202" s="328" t="s">
        <v>17</v>
      </c>
      <c r="L202" s="329">
        <v>9880702.6199999992</v>
      </c>
    </row>
    <row r="203" spans="1:12" ht="51" x14ac:dyDescent="0.3">
      <c r="A203" s="323" t="s">
        <v>25</v>
      </c>
      <c r="B203" s="324" t="s">
        <v>1161</v>
      </c>
      <c r="C203" s="324" t="s">
        <v>727</v>
      </c>
      <c r="D203" s="324" t="s">
        <v>1134</v>
      </c>
      <c r="E203" s="325" t="s">
        <v>29</v>
      </c>
      <c r="F203" s="326" t="s">
        <v>24</v>
      </c>
      <c r="G203" s="326"/>
      <c r="H203" s="325" t="s">
        <v>22</v>
      </c>
      <c r="I203" s="327">
        <v>1005.6</v>
      </c>
      <c r="J203" s="327"/>
      <c r="K203" s="328" t="s">
        <v>17</v>
      </c>
      <c r="L203" s="329">
        <v>9879697.0199999996</v>
      </c>
    </row>
    <row r="204" spans="1:12" ht="51" x14ac:dyDescent="0.3">
      <c r="A204" s="323" t="s">
        <v>25</v>
      </c>
      <c r="B204" s="324" t="s">
        <v>1161</v>
      </c>
      <c r="C204" s="324" t="s">
        <v>727</v>
      </c>
      <c r="D204" s="324" t="s">
        <v>1076</v>
      </c>
      <c r="E204" s="325" t="s">
        <v>29</v>
      </c>
      <c r="F204" s="326" t="s">
        <v>24</v>
      </c>
      <c r="G204" s="326"/>
      <c r="H204" s="325" t="s">
        <v>22</v>
      </c>
      <c r="I204" s="332">
        <v>976.5</v>
      </c>
      <c r="J204" s="332"/>
      <c r="K204" s="328" t="s">
        <v>17</v>
      </c>
      <c r="L204" s="329">
        <v>9878720.5199999996</v>
      </c>
    </row>
    <row r="205" spans="1:12" ht="51" x14ac:dyDescent="0.3">
      <c r="A205" s="323" t="s">
        <v>25</v>
      </c>
      <c r="B205" s="324" t="s">
        <v>1161</v>
      </c>
      <c r="C205" s="324" t="s">
        <v>727</v>
      </c>
      <c r="D205" s="324" t="s">
        <v>1164</v>
      </c>
      <c r="E205" s="325" t="s">
        <v>29</v>
      </c>
      <c r="F205" s="326" t="s">
        <v>24</v>
      </c>
      <c r="G205" s="326"/>
      <c r="H205" s="325" t="s">
        <v>22</v>
      </c>
      <c r="I205" s="327">
        <v>10072.5</v>
      </c>
      <c r="J205" s="327"/>
      <c r="K205" s="328" t="s">
        <v>17</v>
      </c>
      <c r="L205" s="329">
        <v>9868648.0199999996</v>
      </c>
    </row>
    <row r="206" spans="1:12" ht="51" x14ac:dyDescent="0.3">
      <c r="A206" s="323" t="s">
        <v>25</v>
      </c>
      <c r="B206" s="324" t="s">
        <v>1161</v>
      </c>
      <c r="C206" s="324" t="s">
        <v>727</v>
      </c>
      <c r="D206" s="324" t="s">
        <v>1164</v>
      </c>
      <c r="E206" s="325" t="s">
        <v>29</v>
      </c>
      <c r="F206" s="326" t="s">
        <v>24</v>
      </c>
      <c r="G206" s="326"/>
      <c r="H206" s="325" t="s">
        <v>22</v>
      </c>
      <c r="I206" s="327">
        <v>13318.08</v>
      </c>
      <c r="J206" s="327"/>
      <c r="K206" s="328" t="s">
        <v>17</v>
      </c>
      <c r="L206" s="329">
        <v>9855329.9399999995</v>
      </c>
    </row>
    <row r="207" spans="1:12" ht="51" x14ac:dyDescent="0.3">
      <c r="A207" s="323" t="s">
        <v>25</v>
      </c>
      <c r="B207" s="324" t="s">
        <v>1165</v>
      </c>
      <c r="C207" s="324" t="s">
        <v>727</v>
      </c>
      <c r="D207" s="324" t="s">
        <v>1134</v>
      </c>
      <c r="E207" s="325" t="s">
        <v>29</v>
      </c>
      <c r="F207" s="326" t="s">
        <v>24</v>
      </c>
      <c r="G207" s="326"/>
      <c r="H207" s="325" t="s">
        <v>22</v>
      </c>
      <c r="I207" s="332">
        <v>810.07</v>
      </c>
      <c r="J207" s="332"/>
      <c r="K207" s="328" t="s">
        <v>17</v>
      </c>
      <c r="L207" s="329">
        <v>9854519.8699999992</v>
      </c>
    </row>
    <row r="208" spans="1:12" ht="51" x14ac:dyDescent="0.3">
      <c r="A208" s="323" t="s">
        <v>25</v>
      </c>
      <c r="B208" s="324" t="s">
        <v>1165</v>
      </c>
      <c r="C208" s="324" t="s">
        <v>727</v>
      </c>
      <c r="D208" s="324" t="s">
        <v>1076</v>
      </c>
      <c r="E208" s="325" t="s">
        <v>29</v>
      </c>
      <c r="F208" s="326" t="s">
        <v>24</v>
      </c>
      <c r="G208" s="326"/>
      <c r="H208" s="325" t="s">
        <v>22</v>
      </c>
      <c r="I208" s="327">
        <v>15298.5</v>
      </c>
      <c r="J208" s="327"/>
      <c r="K208" s="328" t="s">
        <v>17</v>
      </c>
      <c r="L208" s="329">
        <v>9839221.3699999992</v>
      </c>
    </row>
    <row r="209" spans="1:12" ht="61.2" x14ac:dyDescent="0.3">
      <c r="A209" s="323" t="s">
        <v>25</v>
      </c>
      <c r="B209" s="324" t="s">
        <v>1165</v>
      </c>
      <c r="C209" s="324" t="s">
        <v>727</v>
      </c>
      <c r="D209" s="324" t="s">
        <v>1136</v>
      </c>
      <c r="E209" s="325" t="s">
        <v>29</v>
      </c>
      <c r="F209" s="326" t="s">
        <v>24</v>
      </c>
      <c r="G209" s="326"/>
      <c r="H209" s="325" t="s">
        <v>22</v>
      </c>
      <c r="I209" s="327">
        <v>4690.5</v>
      </c>
      <c r="J209" s="327"/>
      <c r="K209" s="328" t="s">
        <v>17</v>
      </c>
      <c r="L209" s="329">
        <v>9834530.8699999992</v>
      </c>
    </row>
    <row r="210" spans="1:12" ht="51" x14ac:dyDescent="0.3">
      <c r="A210" s="323" t="s">
        <v>25</v>
      </c>
      <c r="B210" s="324" t="s">
        <v>1165</v>
      </c>
      <c r="C210" s="324" t="s">
        <v>727</v>
      </c>
      <c r="D210" s="324" t="s">
        <v>1166</v>
      </c>
      <c r="E210" s="325" t="s">
        <v>29</v>
      </c>
      <c r="F210" s="326" t="s">
        <v>24</v>
      </c>
      <c r="G210" s="326"/>
      <c r="H210" s="325" t="s">
        <v>22</v>
      </c>
      <c r="I210" s="327">
        <v>1306.02</v>
      </c>
      <c r="J210" s="327"/>
      <c r="K210" s="328" t="s">
        <v>17</v>
      </c>
      <c r="L210" s="329">
        <v>9833224.8499999996</v>
      </c>
    </row>
    <row r="211" spans="1:12" ht="51" x14ac:dyDescent="0.3">
      <c r="A211" s="323" t="s">
        <v>25</v>
      </c>
      <c r="B211" s="324" t="s">
        <v>1165</v>
      </c>
      <c r="C211" s="324" t="s">
        <v>727</v>
      </c>
      <c r="D211" s="324" t="s">
        <v>1166</v>
      </c>
      <c r="E211" s="325" t="s">
        <v>29</v>
      </c>
      <c r="F211" s="326" t="s">
        <v>24</v>
      </c>
      <c r="G211" s="326"/>
      <c r="H211" s="325" t="s">
        <v>22</v>
      </c>
      <c r="I211" s="332">
        <v>681.4</v>
      </c>
      <c r="J211" s="332"/>
      <c r="K211" s="328" t="s">
        <v>17</v>
      </c>
      <c r="L211" s="329">
        <v>9832543.4499999993</v>
      </c>
    </row>
    <row r="212" spans="1:12" ht="51" x14ac:dyDescent="0.3">
      <c r="A212" s="323" t="s">
        <v>25</v>
      </c>
      <c r="B212" s="324" t="s">
        <v>1165</v>
      </c>
      <c r="C212" s="324" t="s">
        <v>727</v>
      </c>
      <c r="D212" s="324" t="s">
        <v>1093</v>
      </c>
      <c r="E212" s="325" t="s">
        <v>29</v>
      </c>
      <c r="F212" s="326" t="s">
        <v>24</v>
      </c>
      <c r="G212" s="326"/>
      <c r="H212" s="325" t="s">
        <v>22</v>
      </c>
      <c r="I212" s="327">
        <v>25824.77</v>
      </c>
      <c r="J212" s="327"/>
      <c r="K212" s="328" t="s">
        <v>17</v>
      </c>
      <c r="L212" s="329">
        <v>9806718.6799999997</v>
      </c>
    </row>
    <row r="213" spans="1:12" ht="51" x14ac:dyDescent="0.3">
      <c r="A213" s="323" t="s">
        <v>25</v>
      </c>
      <c r="B213" s="324" t="s">
        <v>1165</v>
      </c>
      <c r="C213" s="324" t="s">
        <v>727</v>
      </c>
      <c r="D213" s="324" t="s">
        <v>1093</v>
      </c>
      <c r="E213" s="325" t="s">
        <v>29</v>
      </c>
      <c r="F213" s="326" t="s">
        <v>24</v>
      </c>
      <c r="G213" s="326"/>
      <c r="H213" s="325" t="s">
        <v>22</v>
      </c>
      <c r="I213" s="327">
        <v>87295.01</v>
      </c>
      <c r="J213" s="327"/>
      <c r="K213" s="328" t="s">
        <v>17</v>
      </c>
      <c r="L213" s="329">
        <v>9719423.6699999999</v>
      </c>
    </row>
    <row r="214" spans="1:12" ht="51" x14ac:dyDescent="0.3">
      <c r="A214" s="323" t="s">
        <v>25</v>
      </c>
      <c r="B214" s="324" t="s">
        <v>1165</v>
      </c>
      <c r="C214" s="324" t="s">
        <v>727</v>
      </c>
      <c r="D214" s="324" t="s">
        <v>1093</v>
      </c>
      <c r="E214" s="325" t="s">
        <v>29</v>
      </c>
      <c r="F214" s="326" t="s">
        <v>24</v>
      </c>
      <c r="G214" s="326"/>
      <c r="H214" s="325" t="s">
        <v>22</v>
      </c>
      <c r="I214" s="327">
        <v>19109.77</v>
      </c>
      <c r="J214" s="327"/>
      <c r="K214" s="328" t="s">
        <v>17</v>
      </c>
      <c r="L214" s="329">
        <v>9700313.9000000004</v>
      </c>
    </row>
    <row r="215" spans="1:12" ht="51" x14ac:dyDescent="0.3">
      <c r="A215" s="323" t="s">
        <v>25</v>
      </c>
      <c r="B215" s="324" t="s">
        <v>1165</v>
      </c>
      <c r="C215" s="324" t="s">
        <v>727</v>
      </c>
      <c r="D215" s="324" t="s">
        <v>1149</v>
      </c>
      <c r="E215" s="325" t="s">
        <v>29</v>
      </c>
      <c r="F215" s="326" t="s">
        <v>24</v>
      </c>
      <c r="G215" s="326"/>
      <c r="H215" s="325" t="s">
        <v>22</v>
      </c>
      <c r="I215" s="327">
        <v>9823.33</v>
      </c>
      <c r="J215" s="327"/>
      <c r="K215" s="328" t="s">
        <v>17</v>
      </c>
      <c r="L215" s="329">
        <v>9690490.5700000003</v>
      </c>
    </row>
    <row r="216" spans="1:12" ht="51" x14ac:dyDescent="0.3">
      <c r="A216" s="323" t="s">
        <v>25</v>
      </c>
      <c r="B216" s="324" t="s">
        <v>1165</v>
      </c>
      <c r="C216" s="324" t="s">
        <v>727</v>
      </c>
      <c r="D216" s="324" t="s">
        <v>1149</v>
      </c>
      <c r="E216" s="325" t="s">
        <v>29</v>
      </c>
      <c r="F216" s="326" t="s">
        <v>24</v>
      </c>
      <c r="G216" s="326"/>
      <c r="H216" s="325" t="s">
        <v>22</v>
      </c>
      <c r="I216" s="327">
        <v>31097.87</v>
      </c>
      <c r="J216" s="327"/>
      <c r="K216" s="328" t="s">
        <v>17</v>
      </c>
      <c r="L216" s="329">
        <v>9659392.6999999993</v>
      </c>
    </row>
    <row r="217" spans="1:12" ht="51" x14ac:dyDescent="0.3">
      <c r="A217" s="323" t="s">
        <v>25</v>
      </c>
      <c r="B217" s="324" t="s">
        <v>1165</v>
      </c>
      <c r="C217" s="324" t="s">
        <v>727</v>
      </c>
      <c r="D217" s="324" t="s">
        <v>1149</v>
      </c>
      <c r="E217" s="325" t="s">
        <v>29</v>
      </c>
      <c r="F217" s="326" t="s">
        <v>24</v>
      </c>
      <c r="G217" s="326"/>
      <c r="H217" s="325" t="s">
        <v>22</v>
      </c>
      <c r="I217" s="327">
        <v>114848.81</v>
      </c>
      <c r="J217" s="327"/>
      <c r="K217" s="328" t="s">
        <v>17</v>
      </c>
      <c r="L217" s="329">
        <v>9544543.8900000006</v>
      </c>
    </row>
    <row r="218" spans="1:12" ht="51" x14ac:dyDescent="0.3">
      <c r="A218" s="323" t="s">
        <v>25</v>
      </c>
      <c r="B218" s="324" t="s">
        <v>1165</v>
      </c>
      <c r="C218" s="324" t="s">
        <v>727</v>
      </c>
      <c r="D218" s="324" t="s">
        <v>1149</v>
      </c>
      <c r="E218" s="325" t="s">
        <v>29</v>
      </c>
      <c r="F218" s="326" t="s">
        <v>24</v>
      </c>
      <c r="G218" s="326"/>
      <c r="H218" s="325" t="s">
        <v>22</v>
      </c>
      <c r="I218" s="327">
        <v>120911.22</v>
      </c>
      <c r="J218" s="327"/>
      <c r="K218" s="328" t="s">
        <v>17</v>
      </c>
      <c r="L218" s="329">
        <v>9423632.6699999999</v>
      </c>
    </row>
    <row r="219" spans="1:12" ht="51" x14ac:dyDescent="0.3">
      <c r="A219" s="323" t="s">
        <v>25</v>
      </c>
      <c r="B219" s="324" t="s">
        <v>1165</v>
      </c>
      <c r="C219" s="324" t="s">
        <v>727</v>
      </c>
      <c r="D219" s="324" t="s">
        <v>1078</v>
      </c>
      <c r="E219" s="325" t="s">
        <v>29</v>
      </c>
      <c r="F219" s="326" t="s">
        <v>24</v>
      </c>
      <c r="G219" s="326"/>
      <c r="H219" s="325" t="s">
        <v>22</v>
      </c>
      <c r="I219" s="327">
        <v>1286.95</v>
      </c>
      <c r="J219" s="327"/>
      <c r="K219" s="328" t="s">
        <v>17</v>
      </c>
      <c r="L219" s="329">
        <v>9422345.7200000007</v>
      </c>
    </row>
    <row r="220" spans="1:12" ht="51" x14ac:dyDescent="0.3">
      <c r="A220" s="323" t="s">
        <v>25</v>
      </c>
      <c r="B220" s="324" t="s">
        <v>1165</v>
      </c>
      <c r="C220" s="324" t="s">
        <v>727</v>
      </c>
      <c r="D220" s="324" t="s">
        <v>1167</v>
      </c>
      <c r="E220" s="325" t="s">
        <v>29</v>
      </c>
      <c r="F220" s="326" t="s">
        <v>24</v>
      </c>
      <c r="G220" s="326"/>
      <c r="H220" s="325" t="s">
        <v>22</v>
      </c>
      <c r="I220" s="327">
        <v>45675.1</v>
      </c>
      <c r="J220" s="327"/>
      <c r="K220" s="328" t="s">
        <v>17</v>
      </c>
      <c r="L220" s="329">
        <v>9376670.6199999992</v>
      </c>
    </row>
    <row r="221" spans="1:12" ht="51" x14ac:dyDescent="0.3">
      <c r="A221" s="323" t="s">
        <v>25</v>
      </c>
      <c r="B221" s="324" t="s">
        <v>1165</v>
      </c>
      <c r="C221" s="324" t="s">
        <v>727</v>
      </c>
      <c r="D221" s="324" t="s">
        <v>1168</v>
      </c>
      <c r="E221" s="325" t="s">
        <v>29</v>
      </c>
      <c r="F221" s="326" t="s">
        <v>24</v>
      </c>
      <c r="G221" s="326"/>
      <c r="H221" s="325" t="s">
        <v>22</v>
      </c>
      <c r="I221" s="327">
        <v>1166.25</v>
      </c>
      <c r="J221" s="327"/>
      <c r="K221" s="328" t="s">
        <v>17</v>
      </c>
      <c r="L221" s="329">
        <v>9375504.3699999992</v>
      </c>
    </row>
    <row r="222" spans="1:12" ht="51" x14ac:dyDescent="0.3">
      <c r="A222" s="323" t="s">
        <v>25</v>
      </c>
      <c r="B222" s="324" t="s">
        <v>1165</v>
      </c>
      <c r="C222" s="324" t="s">
        <v>727</v>
      </c>
      <c r="D222" s="324" t="s">
        <v>1169</v>
      </c>
      <c r="E222" s="325" t="s">
        <v>29</v>
      </c>
      <c r="F222" s="326" t="s">
        <v>24</v>
      </c>
      <c r="G222" s="326"/>
      <c r="H222" s="325" t="s">
        <v>22</v>
      </c>
      <c r="I222" s="327">
        <v>6720.35</v>
      </c>
      <c r="J222" s="327"/>
      <c r="K222" s="328" t="s">
        <v>17</v>
      </c>
      <c r="L222" s="329">
        <v>9368784.0199999996</v>
      </c>
    </row>
    <row r="223" spans="1:12" ht="51" x14ac:dyDescent="0.3">
      <c r="A223" s="323" t="s">
        <v>25</v>
      </c>
      <c r="B223" s="324" t="s">
        <v>1165</v>
      </c>
      <c r="C223" s="324" t="s">
        <v>727</v>
      </c>
      <c r="D223" s="324" t="s">
        <v>1170</v>
      </c>
      <c r="E223" s="325" t="s">
        <v>29</v>
      </c>
      <c r="F223" s="326" t="s">
        <v>24</v>
      </c>
      <c r="G223" s="326"/>
      <c r="H223" s="325" t="s">
        <v>22</v>
      </c>
      <c r="I223" s="327">
        <v>9574.83</v>
      </c>
      <c r="J223" s="327"/>
      <c r="K223" s="328" t="s">
        <v>17</v>
      </c>
      <c r="L223" s="329">
        <v>9359209.1899999995</v>
      </c>
    </row>
    <row r="224" spans="1:12" ht="51" x14ac:dyDescent="0.3">
      <c r="A224" s="323" t="s">
        <v>25</v>
      </c>
      <c r="B224" s="324" t="s">
        <v>1171</v>
      </c>
      <c r="C224" s="324" t="s">
        <v>727</v>
      </c>
      <c r="D224" s="324" t="s">
        <v>1134</v>
      </c>
      <c r="E224" s="325" t="s">
        <v>29</v>
      </c>
      <c r="F224" s="326" t="s">
        <v>24</v>
      </c>
      <c r="G224" s="326"/>
      <c r="H224" s="325" t="s">
        <v>22</v>
      </c>
      <c r="I224" s="332">
        <v>363.13</v>
      </c>
      <c r="J224" s="332"/>
      <c r="K224" s="328" t="s">
        <v>17</v>
      </c>
      <c r="L224" s="329">
        <v>9358846.0600000005</v>
      </c>
    </row>
    <row r="225" spans="1:12" ht="51" x14ac:dyDescent="0.3">
      <c r="A225" s="323" t="s">
        <v>25</v>
      </c>
      <c r="B225" s="324" t="s">
        <v>1171</v>
      </c>
      <c r="C225" s="324" t="s">
        <v>727</v>
      </c>
      <c r="D225" s="324" t="s">
        <v>1076</v>
      </c>
      <c r="E225" s="325" t="s">
        <v>29</v>
      </c>
      <c r="F225" s="326" t="s">
        <v>24</v>
      </c>
      <c r="G225" s="326"/>
      <c r="H225" s="325" t="s">
        <v>22</v>
      </c>
      <c r="I225" s="327">
        <v>18580.62</v>
      </c>
      <c r="J225" s="327"/>
      <c r="K225" s="328" t="s">
        <v>17</v>
      </c>
      <c r="L225" s="329">
        <v>9340265.4399999995</v>
      </c>
    </row>
    <row r="226" spans="1:12" ht="51" x14ac:dyDescent="0.3">
      <c r="A226" s="323" t="s">
        <v>25</v>
      </c>
      <c r="B226" s="324" t="s">
        <v>1171</v>
      </c>
      <c r="C226" s="324" t="s">
        <v>727</v>
      </c>
      <c r="D226" s="324" t="s">
        <v>1166</v>
      </c>
      <c r="E226" s="325" t="s">
        <v>29</v>
      </c>
      <c r="F226" s="326" t="s">
        <v>24</v>
      </c>
      <c r="G226" s="326"/>
      <c r="H226" s="325" t="s">
        <v>22</v>
      </c>
      <c r="I226" s="327">
        <v>1902.24</v>
      </c>
      <c r="J226" s="327"/>
      <c r="K226" s="328" t="s">
        <v>17</v>
      </c>
      <c r="L226" s="329">
        <v>9338363.1999999993</v>
      </c>
    </row>
    <row r="227" spans="1:12" ht="51" x14ac:dyDescent="0.3">
      <c r="A227" s="323" t="s">
        <v>25</v>
      </c>
      <c r="B227" s="324" t="s">
        <v>1171</v>
      </c>
      <c r="C227" s="324" t="s">
        <v>727</v>
      </c>
      <c r="D227" s="324" t="s">
        <v>1166</v>
      </c>
      <c r="E227" s="325" t="s">
        <v>29</v>
      </c>
      <c r="F227" s="326" t="s">
        <v>24</v>
      </c>
      <c r="G227" s="326"/>
      <c r="H227" s="325" t="s">
        <v>22</v>
      </c>
      <c r="I227" s="332">
        <v>511.05</v>
      </c>
      <c r="J227" s="332"/>
      <c r="K227" s="328" t="s">
        <v>17</v>
      </c>
      <c r="L227" s="329">
        <v>9337852.1500000004</v>
      </c>
    </row>
    <row r="228" spans="1:12" ht="51" x14ac:dyDescent="0.3">
      <c r="A228" s="323" t="s">
        <v>25</v>
      </c>
      <c r="B228" s="324" t="s">
        <v>1171</v>
      </c>
      <c r="C228" s="324" t="s">
        <v>727</v>
      </c>
      <c r="D228" s="324" t="s">
        <v>1093</v>
      </c>
      <c r="E228" s="325" t="s">
        <v>29</v>
      </c>
      <c r="F228" s="326" t="s">
        <v>24</v>
      </c>
      <c r="G228" s="326"/>
      <c r="H228" s="325" t="s">
        <v>22</v>
      </c>
      <c r="I228" s="327">
        <v>72438.080000000002</v>
      </c>
      <c r="J228" s="327"/>
      <c r="K228" s="328" t="s">
        <v>17</v>
      </c>
      <c r="L228" s="329">
        <v>9265414.0700000003</v>
      </c>
    </row>
    <row r="229" spans="1:12" ht="51" x14ac:dyDescent="0.3">
      <c r="A229" s="323" t="s">
        <v>25</v>
      </c>
      <c r="B229" s="324" t="s">
        <v>1171</v>
      </c>
      <c r="C229" s="324" t="s">
        <v>727</v>
      </c>
      <c r="D229" s="324" t="s">
        <v>1113</v>
      </c>
      <c r="E229" s="325" t="s">
        <v>29</v>
      </c>
      <c r="F229" s="326" t="s">
        <v>24</v>
      </c>
      <c r="G229" s="326"/>
      <c r="H229" s="325" t="s">
        <v>22</v>
      </c>
      <c r="I229" s="327">
        <v>60062.67</v>
      </c>
      <c r="J229" s="327"/>
      <c r="K229" s="328" t="s">
        <v>17</v>
      </c>
      <c r="L229" s="329">
        <v>9205351.4000000004</v>
      </c>
    </row>
    <row r="230" spans="1:12" ht="51" x14ac:dyDescent="0.3">
      <c r="A230" s="323" t="s">
        <v>25</v>
      </c>
      <c r="B230" s="324" t="s">
        <v>1171</v>
      </c>
      <c r="C230" s="324" t="s">
        <v>727</v>
      </c>
      <c r="D230" s="324" t="s">
        <v>1149</v>
      </c>
      <c r="E230" s="325" t="s">
        <v>29</v>
      </c>
      <c r="F230" s="326" t="s">
        <v>24</v>
      </c>
      <c r="G230" s="326"/>
      <c r="H230" s="325" t="s">
        <v>22</v>
      </c>
      <c r="I230" s="327">
        <v>75695.81</v>
      </c>
      <c r="J230" s="327"/>
      <c r="K230" s="328" t="s">
        <v>17</v>
      </c>
      <c r="L230" s="329">
        <v>9129655.5899999999</v>
      </c>
    </row>
    <row r="231" spans="1:12" ht="51" x14ac:dyDescent="0.3">
      <c r="A231" s="323" t="s">
        <v>25</v>
      </c>
      <c r="B231" s="324" t="s">
        <v>1171</v>
      </c>
      <c r="C231" s="324" t="s">
        <v>727</v>
      </c>
      <c r="D231" s="324" t="s">
        <v>1152</v>
      </c>
      <c r="E231" s="325" t="s">
        <v>29</v>
      </c>
      <c r="F231" s="326" t="s">
        <v>24</v>
      </c>
      <c r="G231" s="326"/>
      <c r="H231" s="325" t="s">
        <v>22</v>
      </c>
      <c r="I231" s="327">
        <v>18888.87</v>
      </c>
      <c r="J231" s="327"/>
      <c r="K231" s="328" t="s">
        <v>17</v>
      </c>
      <c r="L231" s="329">
        <v>9110766.7200000007</v>
      </c>
    </row>
    <row r="232" spans="1:12" ht="61.2" x14ac:dyDescent="0.3">
      <c r="A232" s="323" t="s">
        <v>25</v>
      </c>
      <c r="B232" s="324" t="s">
        <v>1171</v>
      </c>
      <c r="C232" s="324" t="s">
        <v>727</v>
      </c>
      <c r="D232" s="324" t="s">
        <v>1114</v>
      </c>
      <c r="E232" s="325" t="s">
        <v>29</v>
      </c>
      <c r="F232" s="326" t="s">
        <v>24</v>
      </c>
      <c r="G232" s="326"/>
      <c r="H232" s="325" t="s">
        <v>22</v>
      </c>
      <c r="I232" s="327">
        <v>40472.14</v>
      </c>
      <c r="J232" s="327"/>
      <c r="K232" s="328" t="s">
        <v>17</v>
      </c>
      <c r="L232" s="329">
        <v>9070294.5800000001</v>
      </c>
    </row>
    <row r="233" spans="1:12" ht="51" x14ac:dyDescent="0.3">
      <c r="A233" s="323" t="s">
        <v>25</v>
      </c>
      <c r="B233" s="324" t="s">
        <v>1171</v>
      </c>
      <c r="C233" s="324" t="s">
        <v>727</v>
      </c>
      <c r="D233" s="324" t="s">
        <v>1172</v>
      </c>
      <c r="E233" s="325" t="s">
        <v>29</v>
      </c>
      <c r="F233" s="326" t="s">
        <v>24</v>
      </c>
      <c r="G233" s="326"/>
      <c r="H233" s="325" t="s">
        <v>22</v>
      </c>
      <c r="I233" s="327">
        <v>91184.12</v>
      </c>
      <c r="J233" s="327"/>
      <c r="K233" s="328" t="s">
        <v>17</v>
      </c>
      <c r="L233" s="329">
        <v>8979110.4600000009</v>
      </c>
    </row>
    <row r="234" spans="1:12" ht="51" x14ac:dyDescent="0.3">
      <c r="A234" s="323" t="s">
        <v>25</v>
      </c>
      <c r="B234" s="324" t="s">
        <v>1171</v>
      </c>
      <c r="C234" s="324" t="s">
        <v>727</v>
      </c>
      <c r="D234" s="324" t="s">
        <v>1173</v>
      </c>
      <c r="E234" s="325" t="s">
        <v>29</v>
      </c>
      <c r="F234" s="326" t="s">
        <v>24</v>
      </c>
      <c r="G234" s="326"/>
      <c r="H234" s="325" t="s">
        <v>22</v>
      </c>
      <c r="I234" s="327">
        <v>6564.67</v>
      </c>
      <c r="J234" s="327"/>
      <c r="K234" s="328" t="s">
        <v>17</v>
      </c>
      <c r="L234" s="329">
        <v>8972545.7899999991</v>
      </c>
    </row>
    <row r="235" spans="1:12" ht="51" x14ac:dyDescent="0.3">
      <c r="A235" s="323" t="s">
        <v>25</v>
      </c>
      <c r="B235" s="324" t="s">
        <v>1171</v>
      </c>
      <c r="C235" s="324" t="s">
        <v>727</v>
      </c>
      <c r="D235" s="324" t="s">
        <v>1170</v>
      </c>
      <c r="E235" s="325" t="s">
        <v>29</v>
      </c>
      <c r="F235" s="326" t="s">
        <v>24</v>
      </c>
      <c r="G235" s="326"/>
      <c r="H235" s="325" t="s">
        <v>22</v>
      </c>
      <c r="I235" s="327">
        <v>52780</v>
      </c>
      <c r="J235" s="327"/>
      <c r="K235" s="328" t="s">
        <v>17</v>
      </c>
      <c r="L235" s="329">
        <v>8919765.7899999991</v>
      </c>
    </row>
    <row r="236" spans="1:12" ht="51" x14ac:dyDescent="0.3">
      <c r="A236" s="323" t="s">
        <v>25</v>
      </c>
      <c r="B236" s="324" t="s">
        <v>1174</v>
      </c>
      <c r="C236" s="324" t="s">
        <v>727</v>
      </c>
      <c r="D236" s="324" t="s">
        <v>1175</v>
      </c>
      <c r="E236" s="325" t="s">
        <v>29</v>
      </c>
      <c r="F236" s="326" t="s">
        <v>24</v>
      </c>
      <c r="G236" s="326"/>
      <c r="H236" s="325" t="s">
        <v>22</v>
      </c>
      <c r="I236" s="327">
        <v>11130</v>
      </c>
      <c r="J236" s="327"/>
      <c r="K236" s="328" t="s">
        <v>17</v>
      </c>
      <c r="L236" s="329">
        <v>8908635.7899999991</v>
      </c>
    </row>
    <row r="237" spans="1:12" ht="51" x14ac:dyDescent="0.3">
      <c r="A237" s="323" t="s">
        <v>25</v>
      </c>
      <c r="B237" s="324" t="s">
        <v>1174</v>
      </c>
      <c r="C237" s="324" t="s">
        <v>727</v>
      </c>
      <c r="D237" s="324" t="s">
        <v>1134</v>
      </c>
      <c r="E237" s="325" t="s">
        <v>29</v>
      </c>
      <c r="F237" s="326" t="s">
        <v>24</v>
      </c>
      <c r="G237" s="326"/>
      <c r="H237" s="325" t="s">
        <v>22</v>
      </c>
      <c r="I237" s="327">
        <v>2122.9299999999998</v>
      </c>
      <c r="J237" s="327"/>
      <c r="K237" s="328" t="s">
        <v>17</v>
      </c>
      <c r="L237" s="329">
        <v>8906512.8599999994</v>
      </c>
    </row>
    <row r="238" spans="1:12" ht="51" x14ac:dyDescent="0.3">
      <c r="A238" s="323" t="s">
        <v>25</v>
      </c>
      <c r="B238" s="324" t="s">
        <v>1174</v>
      </c>
      <c r="C238" s="324" t="s">
        <v>727</v>
      </c>
      <c r="D238" s="324" t="s">
        <v>1134</v>
      </c>
      <c r="E238" s="325" t="s">
        <v>29</v>
      </c>
      <c r="F238" s="326" t="s">
        <v>24</v>
      </c>
      <c r="G238" s="326"/>
      <c r="H238" s="325" t="s">
        <v>22</v>
      </c>
      <c r="I238" s="327">
        <v>2653.67</v>
      </c>
      <c r="J238" s="327"/>
      <c r="K238" s="328" t="s">
        <v>17</v>
      </c>
      <c r="L238" s="329">
        <v>8903859.1899999995</v>
      </c>
    </row>
    <row r="239" spans="1:12" ht="51" x14ac:dyDescent="0.3">
      <c r="A239" s="323" t="s">
        <v>25</v>
      </c>
      <c r="B239" s="324" t="s">
        <v>1174</v>
      </c>
      <c r="C239" s="324" t="s">
        <v>727</v>
      </c>
      <c r="D239" s="324" t="s">
        <v>1176</v>
      </c>
      <c r="E239" s="325" t="s">
        <v>29</v>
      </c>
      <c r="F239" s="326" t="s">
        <v>24</v>
      </c>
      <c r="G239" s="326"/>
      <c r="H239" s="325" t="s">
        <v>22</v>
      </c>
      <c r="I239" s="327">
        <v>1117.33</v>
      </c>
      <c r="J239" s="327"/>
      <c r="K239" s="328" t="s">
        <v>17</v>
      </c>
      <c r="L239" s="329">
        <v>8902741.8599999994</v>
      </c>
    </row>
    <row r="240" spans="1:12" ht="61.2" x14ac:dyDescent="0.3">
      <c r="A240" s="323" t="s">
        <v>25</v>
      </c>
      <c r="B240" s="324" t="s">
        <v>1174</v>
      </c>
      <c r="C240" s="324" t="s">
        <v>727</v>
      </c>
      <c r="D240" s="324" t="s">
        <v>1136</v>
      </c>
      <c r="E240" s="325" t="s">
        <v>29</v>
      </c>
      <c r="F240" s="326" t="s">
        <v>24</v>
      </c>
      <c r="G240" s="326"/>
      <c r="H240" s="325" t="s">
        <v>22</v>
      </c>
      <c r="I240" s="332">
        <v>79.5</v>
      </c>
      <c r="J240" s="332"/>
      <c r="K240" s="328" t="s">
        <v>17</v>
      </c>
      <c r="L240" s="329">
        <v>8902662.3599999994</v>
      </c>
    </row>
    <row r="241" spans="1:12" ht="51" x14ac:dyDescent="0.3">
      <c r="A241" s="323" t="s">
        <v>25</v>
      </c>
      <c r="B241" s="324" t="s">
        <v>1174</v>
      </c>
      <c r="C241" s="324" t="s">
        <v>727</v>
      </c>
      <c r="D241" s="324" t="s">
        <v>1166</v>
      </c>
      <c r="E241" s="325" t="s">
        <v>29</v>
      </c>
      <c r="F241" s="326" t="s">
        <v>24</v>
      </c>
      <c r="G241" s="326"/>
      <c r="H241" s="325" t="s">
        <v>22</v>
      </c>
      <c r="I241" s="327">
        <v>9454.42</v>
      </c>
      <c r="J241" s="327"/>
      <c r="K241" s="328" t="s">
        <v>17</v>
      </c>
      <c r="L241" s="329">
        <v>8893207.9399999995</v>
      </c>
    </row>
    <row r="242" spans="1:12" ht="51" x14ac:dyDescent="0.3">
      <c r="A242" s="323" t="s">
        <v>25</v>
      </c>
      <c r="B242" s="324" t="s">
        <v>1174</v>
      </c>
      <c r="C242" s="324" t="s">
        <v>727</v>
      </c>
      <c r="D242" s="324" t="s">
        <v>1177</v>
      </c>
      <c r="E242" s="325" t="s">
        <v>29</v>
      </c>
      <c r="F242" s="326" t="s">
        <v>24</v>
      </c>
      <c r="G242" s="326"/>
      <c r="H242" s="325" t="s">
        <v>22</v>
      </c>
      <c r="I242" s="327">
        <v>121101.54</v>
      </c>
      <c r="J242" s="327"/>
      <c r="K242" s="328" t="s">
        <v>17</v>
      </c>
      <c r="L242" s="329">
        <v>8772106.4000000004</v>
      </c>
    </row>
    <row r="243" spans="1:12" ht="61.2" x14ac:dyDescent="0.3">
      <c r="A243" s="323" t="s">
        <v>25</v>
      </c>
      <c r="B243" s="324" t="s">
        <v>1174</v>
      </c>
      <c r="C243" s="324" t="s">
        <v>727</v>
      </c>
      <c r="D243" s="324" t="s">
        <v>1114</v>
      </c>
      <c r="E243" s="325" t="s">
        <v>29</v>
      </c>
      <c r="F243" s="326" t="s">
        <v>24</v>
      </c>
      <c r="G243" s="326"/>
      <c r="H243" s="325" t="s">
        <v>22</v>
      </c>
      <c r="I243" s="327">
        <v>20572.87</v>
      </c>
      <c r="J243" s="327"/>
      <c r="K243" s="328" t="s">
        <v>17</v>
      </c>
      <c r="L243" s="329">
        <v>8751533.5299999993</v>
      </c>
    </row>
    <row r="244" spans="1:12" ht="51" x14ac:dyDescent="0.3">
      <c r="A244" s="323" t="s">
        <v>25</v>
      </c>
      <c r="B244" s="324" t="s">
        <v>1174</v>
      </c>
      <c r="C244" s="324" t="s">
        <v>727</v>
      </c>
      <c r="D244" s="324" t="s">
        <v>1078</v>
      </c>
      <c r="E244" s="325" t="s">
        <v>29</v>
      </c>
      <c r="F244" s="326" t="s">
        <v>24</v>
      </c>
      <c r="G244" s="326"/>
      <c r="H244" s="325" t="s">
        <v>22</v>
      </c>
      <c r="I244" s="327">
        <v>121302.93</v>
      </c>
      <c r="J244" s="327"/>
      <c r="K244" s="328" t="s">
        <v>17</v>
      </c>
      <c r="L244" s="329">
        <v>8630230.5999999996</v>
      </c>
    </row>
    <row r="245" spans="1:12" ht="51" x14ac:dyDescent="0.3">
      <c r="A245" s="323" t="s">
        <v>25</v>
      </c>
      <c r="B245" s="324" t="s">
        <v>1174</v>
      </c>
      <c r="C245" s="324" t="s">
        <v>727</v>
      </c>
      <c r="D245" s="324" t="s">
        <v>1178</v>
      </c>
      <c r="E245" s="325" t="s">
        <v>29</v>
      </c>
      <c r="F245" s="326" t="s">
        <v>24</v>
      </c>
      <c r="G245" s="326"/>
      <c r="H245" s="325" t="s">
        <v>22</v>
      </c>
      <c r="I245" s="327">
        <v>165189.01999999999</v>
      </c>
      <c r="J245" s="327"/>
      <c r="K245" s="328" t="s">
        <v>17</v>
      </c>
      <c r="L245" s="329">
        <v>8465041.5800000001</v>
      </c>
    </row>
    <row r="246" spans="1:12" ht="51" x14ac:dyDescent="0.3">
      <c r="A246" s="323" t="s">
        <v>25</v>
      </c>
      <c r="B246" s="324" t="s">
        <v>1174</v>
      </c>
      <c r="C246" s="324" t="s">
        <v>727</v>
      </c>
      <c r="D246" s="324" t="s">
        <v>1179</v>
      </c>
      <c r="E246" s="325" t="s">
        <v>29</v>
      </c>
      <c r="F246" s="326" t="s">
        <v>24</v>
      </c>
      <c r="G246" s="326"/>
      <c r="H246" s="325" t="s">
        <v>22</v>
      </c>
      <c r="I246" s="327">
        <v>75040.13</v>
      </c>
      <c r="J246" s="327"/>
      <c r="K246" s="328" t="s">
        <v>17</v>
      </c>
      <c r="L246" s="329">
        <v>8390001.4499999993</v>
      </c>
    </row>
    <row r="247" spans="1:12" ht="51" x14ac:dyDescent="0.3">
      <c r="A247" s="323" t="s">
        <v>25</v>
      </c>
      <c r="B247" s="324" t="s">
        <v>1174</v>
      </c>
      <c r="C247" s="324" t="s">
        <v>727</v>
      </c>
      <c r="D247" s="324" t="s">
        <v>1180</v>
      </c>
      <c r="E247" s="325" t="s">
        <v>29</v>
      </c>
      <c r="F247" s="326" t="s">
        <v>24</v>
      </c>
      <c r="G247" s="326"/>
      <c r="H247" s="325" t="s">
        <v>22</v>
      </c>
      <c r="I247" s="327">
        <v>28020.05</v>
      </c>
      <c r="J247" s="327"/>
      <c r="K247" s="328" t="s">
        <v>17</v>
      </c>
      <c r="L247" s="329">
        <v>8361981.4000000004</v>
      </c>
    </row>
    <row r="248" spans="1:12" ht="51" x14ac:dyDescent="0.3">
      <c r="A248" s="323" t="s">
        <v>25</v>
      </c>
      <c r="B248" s="324" t="s">
        <v>1174</v>
      </c>
      <c r="C248" s="324" t="s">
        <v>727</v>
      </c>
      <c r="D248" s="324" t="s">
        <v>1181</v>
      </c>
      <c r="E248" s="325" t="s">
        <v>29</v>
      </c>
      <c r="F248" s="326" t="s">
        <v>24</v>
      </c>
      <c r="G248" s="326"/>
      <c r="H248" s="325" t="s">
        <v>22</v>
      </c>
      <c r="I248" s="327">
        <v>38952.550000000003</v>
      </c>
      <c r="J248" s="327"/>
      <c r="K248" s="328" t="s">
        <v>17</v>
      </c>
      <c r="L248" s="329">
        <v>8323028.8499999996</v>
      </c>
    </row>
    <row r="249" spans="1:12" hidden="1" x14ac:dyDescent="0.3">
      <c r="A249" s="334" t="s">
        <v>47</v>
      </c>
      <c r="B249" s="334"/>
      <c r="C249" s="334"/>
      <c r="D249" s="334"/>
      <c r="E249" s="335">
        <v>7299492.3399999999</v>
      </c>
      <c r="F249" s="335"/>
      <c r="G249" s="335"/>
      <c r="H249" s="335">
        <v>4337312.5199999996</v>
      </c>
      <c r="I249" s="335"/>
      <c r="J249" s="335"/>
      <c r="K249" s="336" t="s">
        <v>17</v>
      </c>
      <c r="L249" s="337">
        <v>8323028.8499999996</v>
      </c>
    </row>
    <row r="251" spans="1:12" x14ac:dyDescent="0.3">
      <c r="J251" s="29">
        <f>SUBTOTAL(9,I18:J248)*1.2</f>
        <v>4934146.0320000006</v>
      </c>
    </row>
  </sheetData>
  <autoFilter ref="B1:D249">
    <filterColumn colId="0">
      <filters>
        <filter val="Вимога-накладна ІБ00-000070 від 05.02.2025 18:15:34_x000a_Списаны ТМЦ"/>
        <filter val="Вимога-накладна ІБ00-000071 від 05.02.2025 18:15:40_x000a_Списаны ТМЦ"/>
        <filter val="Вимога-накладна ІБ00-000072 від 13.02.2025 14:59:34_x000a_Списаны ТМЦ"/>
        <filter val="Вимога-накладна ІБ00-000075 від 19.02.2025 15:58:40_x000a_Списаны ТМЦ"/>
        <filter val="Вимога-накладна ІБ00-000076 від 19.02.2025 17:00:25_x000a_Списаны ТМЦ"/>
        <filter val="Вимога-накладна ІБ00-000084 від 27.02.2025 21:38:39_x000a_Списаны ТМЦ"/>
        <filter val="Вимога-накладна ІБ00-000085 від 20.02.2025 18:11:02_x000a_Списаны ТМЦ"/>
        <filter val="Вимога-накладна ІБ00-000108 від 20.02.2025 00:00:00_x000a_Списаны ТМЦ"/>
        <filter val="Вимога-накладна ІБ00-000114 від 20.02.2025 00:00:00_x000a_Списаны ТМЦ"/>
        <filter val="Вимога-накладна ІБ00-000156 від 28.02.2025 20:00:00_x000a_Списаны ТМЦ"/>
        <filter val="Вимога-накладна ІБ00-000157 від 28.02.2025 20:00:00_x000a_Списаны ТМЦ"/>
        <filter val="Вимога-накладна ІБ00-000158 від 28.02.2025 20:00:00_x000a_Списаны ТМЦ"/>
        <filter val="Вимога-накладна ІБ00-000159 від 28.02.2025 20:00:00_x000a_Списаны ТМЦ"/>
        <filter val="Списання товарів ІБ00-000061 від 05.02.2025 18:15:35_x000a_Списаны ТМЦ"/>
        <filter val="Списання товарів ІБ00-000078 від 20.02.2025 00:00:00_x000a_Списаны ТМЦ"/>
      </filters>
    </filterColumn>
  </autoFilter>
  <mergeCells count="504">
    <mergeCell ref="F247:G247"/>
    <mergeCell ref="I247:J247"/>
    <mergeCell ref="F248:G248"/>
    <mergeCell ref="I248:J248"/>
    <mergeCell ref="A249:D249"/>
    <mergeCell ref="E249:G249"/>
    <mergeCell ref="H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60"/>
  <sheetViews>
    <sheetView topLeftCell="A48" workbookViewId="0">
      <selection activeCell="B62" sqref="B62"/>
    </sheetView>
  </sheetViews>
  <sheetFormatPr defaultRowHeight="14.4" x14ac:dyDescent="0.3"/>
  <cols>
    <col min="2" max="4" width="22.77734375" customWidth="1"/>
    <col min="10" max="10" width="9.88671875" bestFit="1" customWidth="1"/>
  </cols>
  <sheetData>
    <row r="1" spans="1:12" x14ac:dyDescent="0.3">
      <c r="A1" s="338" t="s">
        <v>9</v>
      </c>
      <c r="B1" s="339" t="s">
        <v>10</v>
      </c>
      <c r="C1" s="339" t="s">
        <v>11</v>
      </c>
      <c r="D1" s="340" t="s">
        <v>12</v>
      </c>
      <c r="E1" s="341" t="s">
        <v>13</v>
      </c>
      <c r="F1" s="341"/>
      <c r="G1" s="341"/>
      <c r="H1" s="342" t="s">
        <v>14</v>
      </c>
      <c r="I1" s="342"/>
      <c r="J1" s="342"/>
      <c r="K1" s="339" t="s">
        <v>15</v>
      </c>
      <c r="L1" s="339"/>
    </row>
    <row r="2" spans="1:12" hidden="1" x14ac:dyDescent="0.3">
      <c r="A2" s="343"/>
      <c r="B2" s="344"/>
      <c r="C2" s="344"/>
      <c r="D2" s="345"/>
      <c r="E2" s="346" t="s">
        <v>16</v>
      </c>
      <c r="F2" s="347"/>
      <c r="G2" s="347"/>
      <c r="H2" s="348" t="s">
        <v>16</v>
      </c>
      <c r="I2" s="349"/>
      <c r="J2" s="349"/>
      <c r="K2" s="343"/>
      <c r="L2" s="350"/>
    </row>
    <row r="3" spans="1:12" ht="61.2" hidden="1" x14ac:dyDescent="0.3">
      <c r="A3" s="351" t="s">
        <v>18</v>
      </c>
      <c r="B3" s="352" t="s">
        <v>1182</v>
      </c>
      <c r="C3" s="352" t="s">
        <v>1183</v>
      </c>
      <c r="D3" s="352" t="s">
        <v>1184</v>
      </c>
      <c r="E3" s="353" t="s">
        <v>22</v>
      </c>
      <c r="F3" s="354">
        <v>36.79</v>
      </c>
      <c r="G3" s="354"/>
      <c r="H3" s="353" t="s">
        <v>23</v>
      </c>
      <c r="I3" s="355" t="s">
        <v>24</v>
      </c>
      <c r="J3" s="355"/>
      <c r="K3" s="356" t="s">
        <v>17</v>
      </c>
      <c r="L3" s="357">
        <v>184318.48</v>
      </c>
    </row>
    <row r="4" spans="1:12" ht="71.400000000000006" hidden="1" x14ac:dyDescent="0.3">
      <c r="A4" s="351" t="s">
        <v>18</v>
      </c>
      <c r="B4" s="352" t="s">
        <v>1182</v>
      </c>
      <c r="C4" s="352" t="s">
        <v>1185</v>
      </c>
      <c r="D4" s="352" t="s">
        <v>1184</v>
      </c>
      <c r="E4" s="353" t="s">
        <v>22</v>
      </c>
      <c r="F4" s="358">
        <v>1633.29</v>
      </c>
      <c r="G4" s="358"/>
      <c r="H4" s="353" t="s">
        <v>23</v>
      </c>
      <c r="I4" s="355" t="s">
        <v>24</v>
      </c>
      <c r="J4" s="355"/>
      <c r="K4" s="356" t="s">
        <v>17</v>
      </c>
      <c r="L4" s="357">
        <v>185951.77</v>
      </c>
    </row>
    <row r="5" spans="1:12" ht="61.2" hidden="1" x14ac:dyDescent="0.3">
      <c r="A5" s="351" t="s">
        <v>18</v>
      </c>
      <c r="B5" s="352" t="s">
        <v>1182</v>
      </c>
      <c r="C5" s="352" t="s">
        <v>1186</v>
      </c>
      <c r="D5" s="352" t="s">
        <v>1184</v>
      </c>
      <c r="E5" s="353" t="s">
        <v>22</v>
      </c>
      <c r="F5" s="354">
        <v>92.13</v>
      </c>
      <c r="G5" s="354"/>
      <c r="H5" s="353" t="s">
        <v>23</v>
      </c>
      <c r="I5" s="355" t="s">
        <v>24</v>
      </c>
      <c r="J5" s="355"/>
      <c r="K5" s="356" t="s">
        <v>17</v>
      </c>
      <c r="L5" s="357">
        <v>186043.9</v>
      </c>
    </row>
    <row r="6" spans="1:12" ht="61.2" hidden="1" x14ac:dyDescent="0.3">
      <c r="A6" s="351" t="s">
        <v>18</v>
      </c>
      <c r="B6" s="352" t="s">
        <v>1182</v>
      </c>
      <c r="C6" s="352" t="s">
        <v>1187</v>
      </c>
      <c r="D6" s="352" t="s">
        <v>1184</v>
      </c>
      <c r="E6" s="353" t="s">
        <v>22</v>
      </c>
      <c r="F6" s="354">
        <v>147.87</v>
      </c>
      <c r="G6" s="354"/>
      <c r="H6" s="353" t="s">
        <v>23</v>
      </c>
      <c r="I6" s="355" t="s">
        <v>24</v>
      </c>
      <c r="J6" s="355"/>
      <c r="K6" s="356" t="s">
        <v>17</v>
      </c>
      <c r="L6" s="357">
        <v>186191.77</v>
      </c>
    </row>
    <row r="7" spans="1:12" ht="61.2" hidden="1" x14ac:dyDescent="0.3">
      <c r="A7" s="351" t="s">
        <v>18</v>
      </c>
      <c r="B7" s="352" t="s">
        <v>1182</v>
      </c>
      <c r="C7" s="352" t="s">
        <v>1188</v>
      </c>
      <c r="D7" s="352" t="s">
        <v>1184</v>
      </c>
      <c r="E7" s="353" t="s">
        <v>22</v>
      </c>
      <c r="F7" s="354">
        <v>300.83</v>
      </c>
      <c r="G7" s="354"/>
      <c r="H7" s="353" t="s">
        <v>23</v>
      </c>
      <c r="I7" s="355" t="s">
        <v>24</v>
      </c>
      <c r="J7" s="355"/>
      <c r="K7" s="356" t="s">
        <v>17</v>
      </c>
      <c r="L7" s="357">
        <v>186492.6</v>
      </c>
    </row>
    <row r="8" spans="1:12" ht="71.400000000000006" hidden="1" x14ac:dyDescent="0.3">
      <c r="A8" s="351" t="s">
        <v>18</v>
      </c>
      <c r="B8" s="352" t="s">
        <v>1182</v>
      </c>
      <c r="C8" s="352" t="s">
        <v>1189</v>
      </c>
      <c r="D8" s="352" t="s">
        <v>1184</v>
      </c>
      <c r="E8" s="353" t="s">
        <v>22</v>
      </c>
      <c r="F8" s="354">
        <v>6.85</v>
      </c>
      <c r="G8" s="354"/>
      <c r="H8" s="353" t="s">
        <v>23</v>
      </c>
      <c r="I8" s="355" t="s">
        <v>24</v>
      </c>
      <c r="J8" s="355"/>
      <c r="K8" s="356" t="s">
        <v>17</v>
      </c>
      <c r="L8" s="357">
        <v>186499.45</v>
      </c>
    </row>
    <row r="9" spans="1:12" ht="71.400000000000006" hidden="1" x14ac:dyDescent="0.3">
      <c r="A9" s="351" t="s">
        <v>18</v>
      </c>
      <c r="B9" s="352" t="s">
        <v>1182</v>
      </c>
      <c r="C9" s="352" t="s">
        <v>1190</v>
      </c>
      <c r="D9" s="352" t="s">
        <v>1184</v>
      </c>
      <c r="E9" s="353" t="s">
        <v>22</v>
      </c>
      <c r="F9" s="354">
        <v>967.81</v>
      </c>
      <c r="G9" s="354"/>
      <c r="H9" s="353" t="s">
        <v>23</v>
      </c>
      <c r="I9" s="355" t="s">
        <v>24</v>
      </c>
      <c r="J9" s="355"/>
      <c r="K9" s="356" t="s">
        <v>17</v>
      </c>
      <c r="L9" s="357">
        <v>187467.26</v>
      </c>
    </row>
    <row r="10" spans="1:12" ht="61.2" hidden="1" x14ac:dyDescent="0.3">
      <c r="A10" s="351" t="s">
        <v>18</v>
      </c>
      <c r="B10" s="352" t="s">
        <v>1182</v>
      </c>
      <c r="C10" s="352" t="s">
        <v>1191</v>
      </c>
      <c r="D10" s="352" t="s">
        <v>1184</v>
      </c>
      <c r="E10" s="353" t="s">
        <v>22</v>
      </c>
      <c r="F10" s="354">
        <v>692.77</v>
      </c>
      <c r="G10" s="354"/>
      <c r="H10" s="353" t="s">
        <v>23</v>
      </c>
      <c r="I10" s="355" t="s">
        <v>24</v>
      </c>
      <c r="J10" s="355"/>
      <c r="K10" s="356" t="s">
        <v>17</v>
      </c>
      <c r="L10" s="357">
        <v>188160.03</v>
      </c>
    </row>
    <row r="11" spans="1:12" ht="61.2" hidden="1" x14ac:dyDescent="0.3">
      <c r="A11" s="351" t="s">
        <v>18</v>
      </c>
      <c r="B11" s="352" t="s">
        <v>1182</v>
      </c>
      <c r="C11" s="352" t="s">
        <v>1192</v>
      </c>
      <c r="D11" s="352" t="s">
        <v>1184</v>
      </c>
      <c r="E11" s="353" t="s">
        <v>22</v>
      </c>
      <c r="F11" s="354">
        <v>149.56</v>
      </c>
      <c r="G11" s="354"/>
      <c r="H11" s="353" t="s">
        <v>23</v>
      </c>
      <c r="I11" s="355" t="s">
        <v>24</v>
      </c>
      <c r="J11" s="355"/>
      <c r="K11" s="356" t="s">
        <v>17</v>
      </c>
      <c r="L11" s="357">
        <v>188309.59</v>
      </c>
    </row>
    <row r="12" spans="1:12" ht="61.2" hidden="1" x14ac:dyDescent="0.3">
      <c r="A12" s="351" t="s">
        <v>18</v>
      </c>
      <c r="B12" s="352" t="s">
        <v>1182</v>
      </c>
      <c r="C12" s="352" t="s">
        <v>1193</v>
      </c>
      <c r="D12" s="352" t="s">
        <v>1184</v>
      </c>
      <c r="E12" s="353" t="s">
        <v>22</v>
      </c>
      <c r="F12" s="354">
        <v>183.94</v>
      </c>
      <c r="G12" s="354"/>
      <c r="H12" s="353" t="s">
        <v>23</v>
      </c>
      <c r="I12" s="355" t="s">
        <v>24</v>
      </c>
      <c r="J12" s="355"/>
      <c r="K12" s="356" t="s">
        <v>17</v>
      </c>
      <c r="L12" s="357">
        <v>188493.53</v>
      </c>
    </row>
    <row r="13" spans="1:12" ht="61.2" hidden="1" x14ac:dyDescent="0.3">
      <c r="A13" s="351" t="s">
        <v>18</v>
      </c>
      <c r="B13" s="352" t="s">
        <v>1182</v>
      </c>
      <c r="C13" s="352" t="s">
        <v>1194</v>
      </c>
      <c r="D13" s="352" t="s">
        <v>1184</v>
      </c>
      <c r="E13" s="353" t="s">
        <v>22</v>
      </c>
      <c r="F13" s="354">
        <v>570.83000000000004</v>
      </c>
      <c r="G13" s="354"/>
      <c r="H13" s="353" t="s">
        <v>23</v>
      </c>
      <c r="I13" s="355" t="s">
        <v>24</v>
      </c>
      <c r="J13" s="355"/>
      <c r="K13" s="356" t="s">
        <v>17</v>
      </c>
      <c r="L13" s="357">
        <v>189064.36</v>
      </c>
    </row>
    <row r="14" spans="1:12" ht="71.400000000000006" hidden="1" x14ac:dyDescent="0.3">
      <c r="A14" s="351" t="s">
        <v>18</v>
      </c>
      <c r="B14" s="352" t="s">
        <v>1182</v>
      </c>
      <c r="C14" s="352" t="s">
        <v>1195</v>
      </c>
      <c r="D14" s="352" t="s">
        <v>1184</v>
      </c>
      <c r="E14" s="353" t="s">
        <v>22</v>
      </c>
      <c r="F14" s="354">
        <v>258.69</v>
      </c>
      <c r="G14" s="354"/>
      <c r="H14" s="353" t="s">
        <v>23</v>
      </c>
      <c r="I14" s="355" t="s">
        <v>24</v>
      </c>
      <c r="J14" s="355"/>
      <c r="K14" s="356" t="s">
        <v>17</v>
      </c>
      <c r="L14" s="357">
        <v>189323.05</v>
      </c>
    </row>
    <row r="15" spans="1:12" ht="61.2" hidden="1" x14ac:dyDescent="0.3">
      <c r="A15" s="351" t="s">
        <v>18</v>
      </c>
      <c r="B15" s="352" t="s">
        <v>1182</v>
      </c>
      <c r="C15" s="352" t="s">
        <v>1196</v>
      </c>
      <c r="D15" s="352" t="s">
        <v>1184</v>
      </c>
      <c r="E15" s="353" t="s">
        <v>22</v>
      </c>
      <c r="F15" s="354">
        <v>80.67</v>
      </c>
      <c r="G15" s="354"/>
      <c r="H15" s="353" t="s">
        <v>23</v>
      </c>
      <c r="I15" s="355" t="s">
        <v>24</v>
      </c>
      <c r="J15" s="355"/>
      <c r="K15" s="356" t="s">
        <v>17</v>
      </c>
      <c r="L15" s="357">
        <v>189403.72</v>
      </c>
    </row>
    <row r="16" spans="1:12" ht="61.2" hidden="1" x14ac:dyDescent="0.3">
      <c r="A16" s="351" t="s">
        <v>18</v>
      </c>
      <c r="B16" s="352" t="s">
        <v>1182</v>
      </c>
      <c r="C16" s="352" t="s">
        <v>1197</v>
      </c>
      <c r="D16" s="352" t="s">
        <v>1184</v>
      </c>
      <c r="E16" s="353" t="s">
        <v>22</v>
      </c>
      <c r="F16" s="358">
        <v>1231.47</v>
      </c>
      <c r="G16" s="358"/>
      <c r="H16" s="353" t="s">
        <v>23</v>
      </c>
      <c r="I16" s="355" t="s">
        <v>24</v>
      </c>
      <c r="J16" s="355"/>
      <c r="K16" s="356" t="s">
        <v>17</v>
      </c>
      <c r="L16" s="357">
        <v>190635.19</v>
      </c>
    </row>
    <row r="17" spans="1:12" ht="71.400000000000006" hidden="1" x14ac:dyDescent="0.3">
      <c r="A17" s="351" t="s">
        <v>18</v>
      </c>
      <c r="B17" s="352" t="s">
        <v>1198</v>
      </c>
      <c r="C17" s="352" t="s">
        <v>1199</v>
      </c>
      <c r="D17" s="352" t="s">
        <v>1200</v>
      </c>
      <c r="E17" s="353" t="s">
        <v>22</v>
      </c>
      <c r="F17" s="358">
        <v>1031.05</v>
      </c>
      <c r="G17" s="358"/>
      <c r="H17" s="353" t="s">
        <v>23</v>
      </c>
      <c r="I17" s="355" t="s">
        <v>24</v>
      </c>
      <c r="J17" s="355"/>
      <c r="K17" s="356" t="s">
        <v>17</v>
      </c>
      <c r="L17" s="357">
        <v>191666.24</v>
      </c>
    </row>
    <row r="18" spans="1:12" ht="61.2" hidden="1" x14ac:dyDescent="0.3">
      <c r="A18" s="351" t="s">
        <v>18</v>
      </c>
      <c r="B18" s="352" t="s">
        <v>1201</v>
      </c>
      <c r="C18" s="352" t="s">
        <v>1183</v>
      </c>
      <c r="D18" s="352" t="s">
        <v>1184</v>
      </c>
      <c r="E18" s="353" t="s">
        <v>22</v>
      </c>
      <c r="F18" s="358">
        <v>3579.88</v>
      </c>
      <c r="G18" s="358"/>
      <c r="H18" s="353" t="s">
        <v>23</v>
      </c>
      <c r="I18" s="355" t="s">
        <v>24</v>
      </c>
      <c r="J18" s="355"/>
      <c r="K18" s="356" t="s">
        <v>17</v>
      </c>
      <c r="L18" s="357">
        <v>195246.12</v>
      </c>
    </row>
    <row r="19" spans="1:12" ht="71.400000000000006" hidden="1" x14ac:dyDescent="0.3">
      <c r="A19" s="351" t="s">
        <v>18</v>
      </c>
      <c r="B19" s="352" t="s">
        <v>1201</v>
      </c>
      <c r="C19" s="352" t="s">
        <v>1185</v>
      </c>
      <c r="D19" s="352" t="s">
        <v>1184</v>
      </c>
      <c r="E19" s="353" t="s">
        <v>22</v>
      </c>
      <c r="F19" s="358">
        <v>158908.74</v>
      </c>
      <c r="G19" s="358"/>
      <c r="H19" s="353" t="s">
        <v>23</v>
      </c>
      <c r="I19" s="355" t="s">
        <v>24</v>
      </c>
      <c r="J19" s="355"/>
      <c r="K19" s="356" t="s">
        <v>17</v>
      </c>
      <c r="L19" s="357">
        <v>354154.86</v>
      </c>
    </row>
    <row r="20" spans="1:12" ht="61.2" hidden="1" x14ac:dyDescent="0.3">
      <c r="A20" s="351" t="s">
        <v>18</v>
      </c>
      <c r="B20" s="352" t="s">
        <v>1201</v>
      </c>
      <c r="C20" s="352" t="s">
        <v>1186</v>
      </c>
      <c r="D20" s="352" t="s">
        <v>1184</v>
      </c>
      <c r="E20" s="353" t="s">
        <v>22</v>
      </c>
      <c r="F20" s="358">
        <v>8964.08</v>
      </c>
      <c r="G20" s="358"/>
      <c r="H20" s="353" t="s">
        <v>23</v>
      </c>
      <c r="I20" s="355" t="s">
        <v>24</v>
      </c>
      <c r="J20" s="355"/>
      <c r="K20" s="356" t="s">
        <v>17</v>
      </c>
      <c r="L20" s="357">
        <v>363118.94</v>
      </c>
    </row>
    <row r="21" spans="1:12" ht="61.2" hidden="1" x14ac:dyDescent="0.3">
      <c r="A21" s="351" t="s">
        <v>18</v>
      </c>
      <c r="B21" s="352" t="s">
        <v>1201</v>
      </c>
      <c r="C21" s="352" t="s">
        <v>1187</v>
      </c>
      <c r="D21" s="352" t="s">
        <v>1184</v>
      </c>
      <c r="E21" s="353" t="s">
        <v>22</v>
      </c>
      <c r="F21" s="358">
        <v>14386.42</v>
      </c>
      <c r="G21" s="358"/>
      <c r="H21" s="353" t="s">
        <v>23</v>
      </c>
      <c r="I21" s="355" t="s">
        <v>24</v>
      </c>
      <c r="J21" s="355"/>
      <c r="K21" s="356" t="s">
        <v>17</v>
      </c>
      <c r="L21" s="357">
        <v>377505.36</v>
      </c>
    </row>
    <row r="22" spans="1:12" ht="61.2" hidden="1" x14ac:dyDescent="0.3">
      <c r="A22" s="351" t="s">
        <v>18</v>
      </c>
      <c r="B22" s="352" t="s">
        <v>1201</v>
      </c>
      <c r="C22" s="352" t="s">
        <v>1188</v>
      </c>
      <c r="D22" s="352" t="s">
        <v>1184</v>
      </c>
      <c r="E22" s="353" t="s">
        <v>22</v>
      </c>
      <c r="F22" s="358">
        <v>29268.91</v>
      </c>
      <c r="G22" s="358"/>
      <c r="H22" s="353" t="s">
        <v>23</v>
      </c>
      <c r="I22" s="355" t="s">
        <v>24</v>
      </c>
      <c r="J22" s="355"/>
      <c r="K22" s="356" t="s">
        <v>17</v>
      </c>
      <c r="L22" s="357">
        <v>406774.27</v>
      </c>
    </row>
    <row r="23" spans="1:12" ht="71.400000000000006" hidden="1" x14ac:dyDescent="0.3">
      <c r="A23" s="351" t="s">
        <v>18</v>
      </c>
      <c r="B23" s="352" t="s">
        <v>1201</v>
      </c>
      <c r="C23" s="352" t="s">
        <v>1189</v>
      </c>
      <c r="D23" s="352" t="s">
        <v>1184</v>
      </c>
      <c r="E23" s="353" t="s">
        <v>22</v>
      </c>
      <c r="F23" s="354">
        <v>666.1</v>
      </c>
      <c r="G23" s="354"/>
      <c r="H23" s="353" t="s">
        <v>23</v>
      </c>
      <c r="I23" s="355" t="s">
        <v>24</v>
      </c>
      <c r="J23" s="355"/>
      <c r="K23" s="356" t="s">
        <v>17</v>
      </c>
      <c r="L23" s="357">
        <v>407440.37</v>
      </c>
    </row>
    <row r="24" spans="1:12" ht="71.400000000000006" hidden="1" x14ac:dyDescent="0.3">
      <c r="A24" s="351" t="s">
        <v>18</v>
      </c>
      <c r="B24" s="352" t="s">
        <v>1201</v>
      </c>
      <c r="C24" s="352" t="s">
        <v>1190</v>
      </c>
      <c r="D24" s="352" t="s">
        <v>1184</v>
      </c>
      <c r="E24" s="353" t="s">
        <v>22</v>
      </c>
      <c r="F24" s="358">
        <v>94162.5</v>
      </c>
      <c r="G24" s="358"/>
      <c r="H24" s="353" t="s">
        <v>23</v>
      </c>
      <c r="I24" s="355" t="s">
        <v>24</v>
      </c>
      <c r="J24" s="355"/>
      <c r="K24" s="356" t="s">
        <v>17</v>
      </c>
      <c r="L24" s="357">
        <v>501602.87</v>
      </c>
    </row>
    <row r="25" spans="1:12" ht="61.2" hidden="1" x14ac:dyDescent="0.3">
      <c r="A25" s="351" t="s">
        <v>18</v>
      </c>
      <c r="B25" s="352" t="s">
        <v>1201</v>
      </c>
      <c r="C25" s="352" t="s">
        <v>1191</v>
      </c>
      <c r="D25" s="352" t="s">
        <v>1184</v>
      </c>
      <c r="E25" s="353" t="s">
        <v>22</v>
      </c>
      <c r="F25" s="358">
        <v>67402.5</v>
      </c>
      <c r="G25" s="358"/>
      <c r="H25" s="353" t="s">
        <v>23</v>
      </c>
      <c r="I25" s="355" t="s">
        <v>24</v>
      </c>
      <c r="J25" s="355"/>
      <c r="K25" s="356" t="s">
        <v>17</v>
      </c>
      <c r="L25" s="357">
        <v>569005.37</v>
      </c>
    </row>
    <row r="26" spans="1:12" ht="61.2" hidden="1" x14ac:dyDescent="0.3">
      <c r="A26" s="351" t="s">
        <v>18</v>
      </c>
      <c r="B26" s="352" t="s">
        <v>1201</v>
      </c>
      <c r="C26" s="352" t="s">
        <v>1192</v>
      </c>
      <c r="D26" s="352" t="s">
        <v>1184</v>
      </c>
      <c r="E26" s="353" t="s">
        <v>22</v>
      </c>
      <c r="F26" s="358">
        <v>14551.17</v>
      </c>
      <c r="G26" s="358"/>
      <c r="H26" s="353" t="s">
        <v>23</v>
      </c>
      <c r="I26" s="355" t="s">
        <v>24</v>
      </c>
      <c r="J26" s="355"/>
      <c r="K26" s="356" t="s">
        <v>17</v>
      </c>
      <c r="L26" s="357">
        <v>583556.54</v>
      </c>
    </row>
    <row r="27" spans="1:12" ht="61.2" hidden="1" x14ac:dyDescent="0.3">
      <c r="A27" s="351" t="s">
        <v>18</v>
      </c>
      <c r="B27" s="352" t="s">
        <v>1201</v>
      </c>
      <c r="C27" s="352" t="s">
        <v>1193</v>
      </c>
      <c r="D27" s="352" t="s">
        <v>1184</v>
      </c>
      <c r="E27" s="353" t="s">
        <v>22</v>
      </c>
      <c r="F27" s="358">
        <v>17896.669999999998</v>
      </c>
      <c r="G27" s="358"/>
      <c r="H27" s="353" t="s">
        <v>23</v>
      </c>
      <c r="I27" s="355" t="s">
        <v>24</v>
      </c>
      <c r="J27" s="355"/>
      <c r="K27" s="356" t="s">
        <v>17</v>
      </c>
      <c r="L27" s="357">
        <v>601453.21</v>
      </c>
    </row>
    <row r="28" spans="1:12" ht="61.2" hidden="1" x14ac:dyDescent="0.3">
      <c r="A28" s="351" t="s">
        <v>18</v>
      </c>
      <c r="B28" s="352" t="s">
        <v>1201</v>
      </c>
      <c r="C28" s="352" t="s">
        <v>1194</v>
      </c>
      <c r="D28" s="352" t="s">
        <v>1184</v>
      </c>
      <c r="E28" s="353" t="s">
        <v>22</v>
      </c>
      <c r="F28" s="358">
        <v>55538.34</v>
      </c>
      <c r="G28" s="358"/>
      <c r="H28" s="353" t="s">
        <v>23</v>
      </c>
      <c r="I28" s="355" t="s">
        <v>24</v>
      </c>
      <c r="J28" s="355"/>
      <c r="K28" s="356" t="s">
        <v>17</v>
      </c>
      <c r="L28" s="357">
        <v>656991.55000000005</v>
      </c>
    </row>
    <row r="29" spans="1:12" ht="71.400000000000006" hidden="1" x14ac:dyDescent="0.3">
      <c r="A29" s="351" t="s">
        <v>18</v>
      </c>
      <c r="B29" s="352" t="s">
        <v>1201</v>
      </c>
      <c r="C29" s="352" t="s">
        <v>1195</v>
      </c>
      <c r="D29" s="352" t="s">
        <v>1184</v>
      </c>
      <c r="E29" s="353" t="s">
        <v>22</v>
      </c>
      <c r="F29" s="358">
        <v>25169.5</v>
      </c>
      <c r="G29" s="358"/>
      <c r="H29" s="353" t="s">
        <v>23</v>
      </c>
      <c r="I29" s="355" t="s">
        <v>24</v>
      </c>
      <c r="J29" s="355"/>
      <c r="K29" s="356" t="s">
        <v>17</v>
      </c>
      <c r="L29" s="357">
        <v>682161.05</v>
      </c>
    </row>
    <row r="30" spans="1:12" ht="61.2" hidden="1" x14ac:dyDescent="0.3">
      <c r="A30" s="351" t="s">
        <v>18</v>
      </c>
      <c r="B30" s="352" t="s">
        <v>1201</v>
      </c>
      <c r="C30" s="352" t="s">
        <v>1196</v>
      </c>
      <c r="D30" s="352" t="s">
        <v>1184</v>
      </c>
      <c r="E30" s="353" t="s">
        <v>22</v>
      </c>
      <c r="F30" s="358">
        <v>7849.08</v>
      </c>
      <c r="G30" s="358"/>
      <c r="H30" s="353" t="s">
        <v>23</v>
      </c>
      <c r="I30" s="355" t="s">
        <v>24</v>
      </c>
      <c r="J30" s="355"/>
      <c r="K30" s="356" t="s">
        <v>17</v>
      </c>
      <c r="L30" s="357">
        <v>690010.13</v>
      </c>
    </row>
    <row r="31" spans="1:12" ht="61.2" hidden="1" x14ac:dyDescent="0.3">
      <c r="A31" s="351" t="s">
        <v>18</v>
      </c>
      <c r="B31" s="352" t="s">
        <v>1201</v>
      </c>
      <c r="C31" s="352" t="s">
        <v>1197</v>
      </c>
      <c r="D31" s="352" t="s">
        <v>1184</v>
      </c>
      <c r="E31" s="353" t="s">
        <v>22</v>
      </c>
      <c r="F31" s="358">
        <v>119815</v>
      </c>
      <c r="G31" s="358"/>
      <c r="H31" s="353" t="s">
        <v>23</v>
      </c>
      <c r="I31" s="355" t="s">
        <v>24</v>
      </c>
      <c r="J31" s="355"/>
      <c r="K31" s="356" t="s">
        <v>17</v>
      </c>
      <c r="L31" s="357">
        <v>809825.13</v>
      </c>
    </row>
    <row r="32" spans="1:12" ht="61.2" hidden="1" x14ac:dyDescent="0.3">
      <c r="A32" s="351" t="s">
        <v>48</v>
      </c>
      <c r="B32" s="352" t="s">
        <v>1202</v>
      </c>
      <c r="C32" s="352" t="s">
        <v>1203</v>
      </c>
      <c r="D32" s="352" t="s">
        <v>1204</v>
      </c>
      <c r="E32" s="353" t="s">
        <v>22</v>
      </c>
      <c r="F32" s="358">
        <v>57391.67</v>
      </c>
      <c r="G32" s="358"/>
      <c r="H32" s="353" t="s">
        <v>23</v>
      </c>
      <c r="I32" s="355" t="s">
        <v>24</v>
      </c>
      <c r="J32" s="355"/>
      <c r="K32" s="356" t="s">
        <v>17</v>
      </c>
      <c r="L32" s="357">
        <v>867216.8</v>
      </c>
    </row>
    <row r="33" spans="1:12" ht="61.2" hidden="1" x14ac:dyDescent="0.3">
      <c r="A33" s="351" t="s">
        <v>48</v>
      </c>
      <c r="B33" s="352" t="s">
        <v>1202</v>
      </c>
      <c r="C33" s="352" t="s">
        <v>1205</v>
      </c>
      <c r="D33" s="352" t="s">
        <v>1204</v>
      </c>
      <c r="E33" s="353" t="s">
        <v>22</v>
      </c>
      <c r="F33" s="358">
        <v>8776.25</v>
      </c>
      <c r="G33" s="358"/>
      <c r="H33" s="353" t="s">
        <v>23</v>
      </c>
      <c r="I33" s="355" t="s">
        <v>24</v>
      </c>
      <c r="J33" s="355"/>
      <c r="K33" s="356" t="s">
        <v>17</v>
      </c>
      <c r="L33" s="357">
        <v>875993.05</v>
      </c>
    </row>
    <row r="34" spans="1:12" ht="61.2" hidden="1" x14ac:dyDescent="0.3">
      <c r="A34" s="351" t="s">
        <v>48</v>
      </c>
      <c r="B34" s="352" t="s">
        <v>1206</v>
      </c>
      <c r="C34" s="352" t="s">
        <v>1203</v>
      </c>
      <c r="D34" s="352" t="s">
        <v>1207</v>
      </c>
      <c r="E34" s="353" t="s">
        <v>22</v>
      </c>
      <c r="F34" s="354">
        <v>82.4</v>
      </c>
      <c r="G34" s="354"/>
      <c r="H34" s="353" t="s">
        <v>23</v>
      </c>
      <c r="I34" s="355" t="s">
        <v>24</v>
      </c>
      <c r="J34" s="355"/>
      <c r="K34" s="356" t="s">
        <v>17</v>
      </c>
      <c r="L34" s="357">
        <v>876075.45</v>
      </c>
    </row>
    <row r="35" spans="1:12" ht="61.2" hidden="1" x14ac:dyDescent="0.3">
      <c r="A35" s="351" t="s">
        <v>48</v>
      </c>
      <c r="B35" s="352" t="s">
        <v>1206</v>
      </c>
      <c r="C35" s="352" t="s">
        <v>1205</v>
      </c>
      <c r="D35" s="352" t="s">
        <v>1207</v>
      </c>
      <c r="E35" s="353" t="s">
        <v>22</v>
      </c>
      <c r="F35" s="354">
        <v>12.6</v>
      </c>
      <c r="G35" s="354"/>
      <c r="H35" s="353" t="s">
        <v>23</v>
      </c>
      <c r="I35" s="355" t="s">
        <v>24</v>
      </c>
      <c r="J35" s="355"/>
      <c r="K35" s="356" t="s">
        <v>17</v>
      </c>
      <c r="L35" s="357">
        <v>876088.05</v>
      </c>
    </row>
    <row r="36" spans="1:12" ht="61.2" hidden="1" x14ac:dyDescent="0.3">
      <c r="A36" s="351" t="s">
        <v>111</v>
      </c>
      <c r="B36" s="352" t="s">
        <v>1208</v>
      </c>
      <c r="C36" s="352" t="s">
        <v>1209</v>
      </c>
      <c r="D36" s="352" t="s">
        <v>1184</v>
      </c>
      <c r="E36" s="353" t="s">
        <v>22</v>
      </c>
      <c r="F36" s="358">
        <v>122914.99</v>
      </c>
      <c r="G36" s="358"/>
      <c r="H36" s="353" t="s">
        <v>23</v>
      </c>
      <c r="I36" s="355" t="s">
        <v>24</v>
      </c>
      <c r="J36" s="355"/>
      <c r="K36" s="356" t="s">
        <v>17</v>
      </c>
      <c r="L36" s="357">
        <v>999003.04</v>
      </c>
    </row>
    <row r="37" spans="1:12" ht="71.400000000000006" x14ac:dyDescent="0.3">
      <c r="A37" s="351" t="s">
        <v>361</v>
      </c>
      <c r="B37" s="352" t="s">
        <v>1210</v>
      </c>
      <c r="C37" s="352" t="s">
        <v>1211</v>
      </c>
      <c r="D37" s="352" t="s">
        <v>1212</v>
      </c>
      <c r="E37" s="353" t="s">
        <v>29</v>
      </c>
      <c r="F37" s="359" t="s">
        <v>24</v>
      </c>
      <c r="G37" s="359"/>
      <c r="H37" s="353" t="s">
        <v>22</v>
      </c>
      <c r="I37" s="360">
        <v>281.64999999999998</v>
      </c>
      <c r="J37" s="360"/>
      <c r="K37" s="356" t="s">
        <v>17</v>
      </c>
      <c r="L37" s="357">
        <v>998721.39</v>
      </c>
    </row>
    <row r="38" spans="1:12" ht="61.2" x14ac:dyDescent="0.3">
      <c r="A38" s="351" t="s">
        <v>361</v>
      </c>
      <c r="B38" s="352" t="s">
        <v>1210</v>
      </c>
      <c r="C38" s="352" t="s">
        <v>1211</v>
      </c>
      <c r="D38" s="352" t="s">
        <v>1213</v>
      </c>
      <c r="E38" s="353" t="s">
        <v>29</v>
      </c>
      <c r="F38" s="359" t="s">
        <v>24</v>
      </c>
      <c r="G38" s="359"/>
      <c r="H38" s="353" t="s">
        <v>22</v>
      </c>
      <c r="I38" s="361">
        <v>29314.75</v>
      </c>
      <c r="J38" s="361"/>
      <c r="K38" s="356" t="s">
        <v>17</v>
      </c>
      <c r="L38" s="357">
        <v>969406.64</v>
      </c>
    </row>
    <row r="39" spans="1:12" ht="61.2" x14ac:dyDescent="0.3">
      <c r="A39" s="351" t="s">
        <v>361</v>
      </c>
      <c r="B39" s="352" t="s">
        <v>1210</v>
      </c>
      <c r="C39" s="352" t="s">
        <v>1211</v>
      </c>
      <c r="D39" s="352" t="s">
        <v>1214</v>
      </c>
      <c r="E39" s="353" t="s">
        <v>29</v>
      </c>
      <c r="F39" s="359" t="s">
        <v>24</v>
      </c>
      <c r="G39" s="359"/>
      <c r="H39" s="353" t="s">
        <v>22</v>
      </c>
      <c r="I39" s="361">
        <v>1036.3499999999999</v>
      </c>
      <c r="J39" s="361"/>
      <c r="K39" s="356" t="s">
        <v>17</v>
      </c>
      <c r="L39" s="357">
        <v>968370.29</v>
      </c>
    </row>
    <row r="40" spans="1:12" ht="71.400000000000006" x14ac:dyDescent="0.3">
      <c r="A40" s="351" t="s">
        <v>361</v>
      </c>
      <c r="B40" s="352" t="s">
        <v>1210</v>
      </c>
      <c r="C40" s="352" t="s">
        <v>1211</v>
      </c>
      <c r="D40" s="352" t="s">
        <v>1215</v>
      </c>
      <c r="E40" s="353" t="s">
        <v>29</v>
      </c>
      <c r="F40" s="359" t="s">
        <v>24</v>
      </c>
      <c r="G40" s="359"/>
      <c r="H40" s="353" t="s">
        <v>22</v>
      </c>
      <c r="I40" s="361">
        <v>21119.38</v>
      </c>
      <c r="J40" s="361"/>
      <c r="K40" s="356" t="s">
        <v>17</v>
      </c>
      <c r="L40" s="357">
        <v>947250.91</v>
      </c>
    </row>
    <row r="41" spans="1:12" ht="61.2" x14ac:dyDescent="0.3">
      <c r="A41" s="351" t="s">
        <v>361</v>
      </c>
      <c r="B41" s="352" t="s">
        <v>1210</v>
      </c>
      <c r="C41" s="352" t="s">
        <v>1211</v>
      </c>
      <c r="D41" s="352" t="s">
        <v>1216</v>
      </c>
      <c r="E41" s="353" t="s">
        <v>29</v>
      </c>
      <c r="F41" s="359" t="s">
        <v>24</v>
      </c>
      <c r="G41" s="359"/>
      <c r="H41" s="353" t="s">
        <v>22</v>
      </c>
      <c r="I41" s="360">
        <v>93.05</v>
      </c>
      <c r="J41" s="360"/>
      <c r="K41" s="356" t="s">
        <v>17</v>
      </c>
      <c r="L41" s="357">
        <v>947157.86</v>
      </c>
    </row>
    <row r="42" spans="1:12" ht="71.400000000000006" x14ac:dyDescent="0.3">
      <c r="A42" s="351" t="s">
        <v>361</v>
      </c>
      <c r="B42" s="352" t="s">
        <v>1210</v>
      </c>
      <c r="C42" s="352" t="s">
        <v>1211</v>
      </c>
      <c r="D42" s="352" t="s">
        <v>1217</v>
      </c>
      <c r="E42" s="353" t="s">
        <v>29</v>
      </c>
      <c r="F42" s="359" t="s">
        <v>24</v>
      </c>
      <c r="G42" s="359"/>
      <c r="H42" s="353" t="s">
        <v>22</v>
      </c>
      <c r="I42" s="360">
        <v>469.41</v>
      </c>
      <c r="J42" s="360"/>
      <c r="K42" s="356" t="s">
        <v>17</v>
      </c>
      <c r="L42" s="357">
        <v>946688.45</v>
      </c>
    </row>
    <row r="43" spans="1:12" ht="61.2" x14ac:dyDescent="0.3">
      <c r="A43" s="351" t="s">
        <v>361</v>
      </c>
      <c r="B43" s="352" t="s">
        <v>1210</v>
      </c>
      <c r="C43" s="352" t="s">
        <v>1211</v>
      </c>
      <c r="D43" s="352" t="s">
        <v>1218</v>
      </c>
      <c r="E43" s="353" t="s">
        <v>29</v>
      </c>
      <c r="F43" s="359" t="s">
        <v>24</v>
      </c>
      <c r="G43" s="359"/>
      <c r="H43" s="353" t="s">
        <v>22</v>
      </c>
      <c r="I43" s="360">
        <v>775.31</v>
      </c>
      <c r="J43" s="360"/>
      <c r="K43" s="356" t="s">
        <v>17</v>
      </c>
      <c r="L43" s="357">
        <v>945913.14</v>
      </c>
    </row>
    <row r="44" spans="1:12" ht="61.2" x14ac:dyDescent="0.3">
      <c r="A44" s="351" t="s">
        <v>361</v>
      </c>
      <c r="B44" s="352" t="s">
        <v>1219</v>
      </c>
      <c r="C44" s="352" t="s">
        <v>1211</v>
      </c>
      <c r="D44" s="352" t="s">
        <v>1220</v>
      </c>
      <c r="E44" s="353" t="s">
        <v>29</v>
      </c>
      <c r="F44" s="359" t="s">
        <v>24</v>
      </c>
      <c r="G44" s="359"/>
      <c r="H44" s="353" t="s">
        <v>22</v>
      </c>
      <c r="I44" s="361">
        <v>29374.05</v>
      </c>
      <c r="J44" s="361"/>
      <c r="K44" s="356" t="s">
        <v>17</v>
      </c>
      <c r="L44" s="357">
        <v>916539.09</v>
      </c>
    </row>
    <row r="45" spans="1:12" ht="61.2" x14ac:dyDescent="0.3">
      <c r="A45" s="351" t="s">
        <v>361</v>
      </c>
      <c r="B45" s="352" t="s">
        <v>1221</v>
      </c>
      <c r="C45" s="352" t="s">
        <v>1211</v>
      </c>
      <c r="D45" s="352" t="s">
        <v>1197</v>
      </c>
      <c r="E45" s="353" t="s">
        <v>29</v>
      </c>
      <c r="F45" s="359" t="s">
        <v>24</v>
      </c>
      <c r="G45" s="359"/>
      <c r="H45" s="353" t="s">
        <v>22</v>
      </c>
      <c r="I45" s="361">
        <v>121046.47</v>
      </c>
      <c r="J45" s="361"/>
      <c r="K45" s="356" t="s">
        <v>17</v>
      </c>
      <c r="L45" s="357">
        <v>795492.62</v>
      </c>
    </row>
    <row r="46" spans="1:12" ht="71.400000000000006" x14ac:dyDescent="0.3">
      <c r="A46" s="351" t="s">
        <v>361</v>
      </c>
      <c r="B46" s="352" t="s">
        <v>1221</v>
      </c>
      <c r="C46" s="352" t="s">
        <v>1211</v>
      </c>
      <c r="D46" s="352" t="s">
        <v>1199</v>
      </c>
      <c r="E46" s="353" t="s">
        <v>29</v>
      </c>
      <c r="F46" s="359" t="s">
        <v>24</v>
      </c>
      <c r="G46" s="359"/>
      <c r="H46" s="353" t="s">
        <v>22</v>
      </c>
      <c r="I46" s="361">
        <v>1031.05</v>
      </c>
      <c r="J46" s="361"/>
      <c r="K46" s="356" t="s">
        <v>17</v>
      </c>
      <c r="L46" s="357">
        <v>794461.57</v>
      </c>
    </row>
    <row r="47" spans="1:12" ht="71.400000000000006" x14ac:dyDescent="0.3">
      <c r="A47" s="351" t="s">
        <v>361</v>
      </c>
      <c r="B47" s="352" t="s">
        <v>1221</v>
      </c>
      <c r="C47" s="352" t="s">
        <v>1211</v>
      </c>
      <c r="D47" s="352" t="s">
        <v>1222</v>
      </c>
      <c r="E47" s="353" t="s">
        <v>29</v>
      </c>
      <c r="F47" s="359" t="s">
        <v>24</v>
      </c>
      <c r="G47" s="359"/>
      <c r="H47" s="353" t="s">
        <v>22</v>
      </c>
      <c r="I47" s="361">
        <v>4103.66</v>
      </c>
      <c r="J47" s="361"/>
      <c r="K47" s="356" t="s">
        <v>17</v>
      </c>
      <c r="L47" s="357">
        <v>790357.91</v>
      </c>
    </row>
    <row r="48" spans="1:12" ht="71.400000000000006" x14ac:dyDescent="0.3">
      <c r="A48" s="351" t="s">
        <v>361</v>
      </c>
      <c r="B48" s="352" t="s">
        <v>1221</v>
      </c>
      <c r="C48" s="352" t="s">
        <v>1211</v>
      </c>
      <c r="D48" s="352" t="s">
        <v>1190</v>
      </c>
      <c r="E48" s="353" t="s">
        <v>29</v>
      </c>
      <c r="F48" s="359" t="s">
        <v>24</v>
      </c>
      <c r="G48" s="359"/>
      <c r="H48" s="353" t="s">
        <v>22</v>
      </c>
      <c r="I48" s="361">
        <v>39050.410000000003</v>
      </c>
      <c r="J48" s="361"/>
      <c r="K48" s="356" t="s">
        <v>17</v>
      </c>
      <c r="L48" s="357">
        <v>751307.5</v>
      </c>
    </row>
    <row r="49" spans="1:12" ht="61.2" x14ac:dyDescent="0.3">
      <c r="A49" s="351" t="s">
        <v>361</v>
      </c>
      <c r="B49" s="352" t="s">
        <v>1221</v>
      </c>
      <c r="C49" s="352" t="s">
        <v>1211</v>
      </c>
      <c r="D49" s="352" t="s">
        <v>1209</v>
      </c>
      <c r="E49" s="353" t="s">
        <v>29</v>
      </c>
      <c r="F49" s="359" t="s">
        <v>24</v>
      </c>
      <c r="G49" s="359"/>
      <c r="H49" s="353" t="s">
        <v>22</v>
      </c>
      <c r="I49" s="361">
        <v>94549.99</v>
      </c>
      <c r="J49" s="361"/>
      <c r="K49" s="356" t="s">
        <v>17</v>
      </c>
      <c r="L49" s="357">
        <v>656757.51</v>
      </c>
    </row>
    <row r="50" spans="1:12" ht="61.2" x14ac:dyDescent="0.3">
      <c r="A50" s="351" t="s">
        <v>361</v>
      </c>
      <c r="B50" s="352" t="s">
        <v>1221</v>
      </c>
      <c r="C50" s="352" t="s">
        <v>1211</v>
      </c>
      <c r="D50" s="352" t="s">
        <v>1192</v>
      </c>
      <c r="E50" s="353" t="s">
        <v>29</v>
      </c>
      <c r="F50" s="359" t="s">
        <v>24</v>
      </c>
      <c r="G50" s="359"/>
      <c r="H50" s="353" t="s">
        <v>22</v>
      </c>
      <c r="I50" s="361">
        <v>10023.23</v>
      </c>
      <c r="J50" s="361"/>
      <c r="K50" s="356" t="s">
        <v>17</v>
      </c>
      <c r="L50" s="357">
        <v>646734.28</v>
      </c>
    </row>
    <row r="51" spans="1:12" ht="61.2" x14ac:dyDescent="0.3">
      <c r="A51" s="351" t="s">
        <v>361</v>
      </c>
      <c r="B51" s="352" t="s">
        <v>1221</v>
      </c>
      <c r="C51" s="352" t="s">
        <v>1211</v>
      </c>
      <c r="D51" s="352" t="s">
        <v>1223</v>
      </c>
      <c r="E51" s="353" t="s">
        <v>29</v>
      </c>
      <c r="F51" s="359" t="s">
        <v>24</v>
      </c>
      <c r="G51" s="359"/>
      <c r="H51" s="353" t="s">
        <v>22</v>
      </c>
      <c r="I51" s="361">
        <v>3438.21</v>
      </c>
      <c r="J51" s="361"/>
      <c r="K51" s="356" t="s">
        <v>17</v>
      </c>
      <c r="L51" s="357">
        <v>643296.06999999995</v>
      </c>
    </row>
    <row r="52" spans="1:12" ht="61.2" x14ac:dyDescent="0.3">
      <c r="A52" s="351" t="s">
        <v>361</v>
      </c>
      <c r="B52" s="352" t="s">
        <v>1221</v>
      </c>
      <c r="C52" s="352" t="s">
        <v>1211</v>
      </c>
      <c r="D52" s="352" t="s">
        <v>1224</v>
      </c>
      <c r="E52" s="353" t="s">
        <v>29</v>
      </c>
      <c r="F52" s="359" t="s">
        <v>24</v>
      </c>
      <c r="G52" s="359"/>
      <c r="H52" s="353" t="s">
        <v>22</v>
      </c>
      <c r="I52" s="361">
        <v>2079.27</v>
      </c>
      <c r="J52" s="361"/>
      <c r="K52" s="356" t="s">
        <v>17</v>
      </c>
      <c r="L52" s="357">
        <v>641216.80000000005</v>
      </c>
    </row>
    <row r="53" spans="1:12" ht="61.2" x14ac:dyDescent="0.3">
      <c r="A53" s="351" t="s">
        <v>361</v>
      </c>
      <c r="B53" s="352" t="s">
        <v>1221</v>
      </c>
      <c r="C53" s="352" t="s">
        <v>1211</v>
      </c>
      <c r="D53" s="352" t="s">
        <v>1191</v>
      </c>
      <c r="E53" s="353" t="s">
        <v>29</v>
      </c>
      <c r="F53" s="359" t="s">
        <v>24</v>
      </c>
      <c r="G53" s="359"/>
      <c r="H53" s="353" t="s">
        <v>22</v>
      </c>
      <c r="I53" s="361">
        <v>39692.370000000003</v>
      </c>
      <c r="J53" s="361"/>
      <c r="K53" s="356" t="s">
        <v>17</v>
      </c>
      <c r="L53" s="357">
        <v>601524.43000000005</v>
      </c>
    </row>
    <row r="54" spans="1:12" ht="71.400000000000006" hidden="1" x14ac:dyDescent="0.3">
      <c r="A54" s="351" t="s">
        <v>93</v>
      </c>
      <c r="B54" s="352" t="s">
        <v>1225</v>
      </c>
      <c r="C54" s="352" t="s">
        <v>1226</v>
      </c>
      <c r="D54" s="352" t="s">
        <v>1227</v>
      </c>
      <c r="E54" s="353" t="s">
        <v>22</v>
      </c>
      <c r="F54" s="358">
        <v>40038.120000000003</v>
      </c>
      <c r="G54" s="358"/>
      <c r="H54" s="353" t="s">
        <v>23</v>
      </c>
      <c r="I54" s="355" t="s">
        <v>24</v>
      </c>
      <c r="J54" s="355"/>
      <c r="K54" s="356" t="s">
        <v>17</v>
      </c>
      <c r="L54" s="357">
        <v>641562.55000000005</v>
      </c>
    </row>
    <row r="55" spans="1:12" ht="61.2" hidden="1" x14ac:dyDescent="0.3">
      <c r="A55" s="351" t="s">
        <v>93</v>
      </c>
      <c r="B55" s="352" t="s">
        <v>1225</v>
      </c>
      <c r="C55" s="352" t="s">
        <v>1228</v>
      </c>
      <c r="D55" s="352" t="s">
        <v>1227</v>
      </c>
      <c r="E55" s="353" t="s">
        <v>22</v>
      </c>
      <c r="F55" s="358">
        <v>80360.2</v>
      </c>
      <c r="G55" s="358"/>
      <c r="H55" s="353" t="s">
        <v>23</v>
      </c>
      <c r="I55" s="355" t="s">
        <v>24</v>
      </c>
      <c r="J55" s="355"/>
      <c r="K55" s="356" t="s">
        <v>17</v>
      </c>
      <c r="L55" s="357">
        <v>721922.75</v>
      </c>
    </row>
    <row r="56" spans="1:12" ht="71.400000000000006" hidden="1" x14ac:dyDescent="0.3">
      <c r="A56" s="351" t="s">
        <v>93</v>
      </c>
      <c r="B56" s="352" t="s">
        <v>1229</v>
      </c>
      <c r="C56" s="352" t="s">
        <v>1226</v>
      </c>
      <c r="D56" s="352" t="s">
        <v>1227</v>
      </c>
      <c r="E56" s="353" t="s">
        <v>22</v>
      </c>
      <c r="F56" s="358">
        <v>4711.09</v>
      </c>
      <c r="G56" s="358"/>
      <c r="H56" s="353" t="s">
        <v>23</v>
      </c>
      <c r="I56" s="355" t="s">
        <v>24</v>
      </c>
      <c r="J56" s="355"/>
      <c r="K56" s="356" t="s">
        <v>17</v>
      </c>
      <c r="L56" s="357">
        <v>726633.84</v>
      </c>
    </row>
    <row r="57" spans="1:12" ht="61.2" hidden="1" x14ac:dyDescent="0.3">
      <c r="A57" s="351" t="s">
        <v>93</v>
      </c>
      <c r="B57" s="352" t="s">
        <v>1229</v>
      </c>
      <c r="C57" s="352" t="s">
        <v>1228</v>
      </c>
      <c r="D57" s="352" t="s">
        <v>1227</v>
      </c>
      <c r="E57" s="353" t="s">
        <v>22</v>
      </c>
      <c r="F57" s="358">
        <v>9455.58</v>
      </c>
      <c r="G57" s="358"/>
      <c r="H57" s="353" t="s">
        <v>23</v>
      </c>
      <c r="I57" s="355" t="s">
        <v>24</v>
      </c>
      <c r="J57" s="355"/>
      <c r="K57" s="356" t="s">
        <v>17</v>
      </c>
      <c r="L57" s="357">
        <v>736089.42</v>
      </c>
    </row>
    <row r="58" spans="1:12" hidden="1" x14ac:dyDescent="0.3">
      <c r="A58" s="362" t="s">
        <v>47</v>
      </c>
      <c r="B58" s="362"/>
      <c r="C58" s="362"/>
      <c r="D58" s="362"/>
      <c r="E58" s="363">
        <v>949286.34</v>
      </c>
      <c r="F58" s="363"/>
      <c r="G58" s="363"/>
      <c r="H58" s="363">
        <v>397478.61</v>
      </c>
      <c r="I58" s="363"/>
      <c r="J58" s="363"/>
      <c r="K58" s="364" t="s">
        <v>17</v>
      </c>
      <c r="L58" s="365">
        <v>736089.42</v>
      </c>
    </row>
    <row r="60" spans="1:12" x14ac:dyDescent="0.3">
      <c r="J60" s="29">
        <f>SUBTOTAL(9,I37:J53)*1.2</f>
        <v>476974.33200000005</v>
      </c>
    </row>
  </sheetData>
  <autoFilter ref="B1:D58">
    <filterColumn colId="0">
      <filters>
        <filter val="Вимога-накладна ІБ00-000127 від 21.02.2025 18:25:58_x000a_Списаны ТМЦ"/>
        <filter val="Вимога-накладна ІБ00-000128 від 21.02.2025 18:25:59_x000a_Списаны ТМЦ"/>
        <filter val="Вимога-накладна ІБ00-000130 від 21.02.2025 18:26:16_x000a_Списаны ТМЦ"/>
      </filters>
    </filterColumn>
  </autoFilter>
  <mergeCells count="122">
    <mergeCell ref="A58:D58"/>
    <mergeCell ref="E58:G58"/>
    <mergeCell ref="H58:J58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T26" sqref="T26"/>
    </sheetView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5"/>
  <sheetViews>
    <sheetView topLeftCell="A16" workbookViewId="0">
      <selection activeCell="J25" sqref="J25"/>
    </sheetView>
  </sheetViews>
  <sheetFormatPr defaultRowHeight="14.4" x14ac:dyDescent="0.3"/>
  <cols>
    <col min="2" max="4" width="24.6640625" customWidth="1"/>
  </cols>
  <sheetData>
    <row r="1" spans="1:12" x14ac:dyDescent="0.3">
      <c r="A1" s="2" t="s">
        <v>9</v>
      </c>
      <c r="B1" s="3" t="s">
        <v>10</v>
      </c>
      <c r="C1" s="3" t="s">
        <v>11</v>
      </c>
      <c r="D1" s="4" t="s">
        <v>12</v>
      </c>
      <c r="E1" s="5" t="s">
        <v>13</v>
      </c>
      <c r="F1" s="5"/>
      <c r="G1" s="5"/>
      <c r="H1" s="6" t="s">
        <v>14</v>
      </c>
      <c r="I1" s="6"/>
      <c r="J1" s="6"/>
      <c r="K1" s="3" t="s">
        <v>15</v>
      </c>
      <c r="L1" s="3"/>
    </row>
    <row r="2" spans="1:12" hidden="1" x14ac:dyDescent="0.3">
      <c r="A2" s="7"/>
      <c r="B2" s="8"/>
      <c r="C2" s="8"/>
      <c r="D2" s="9"/>
      <c r="E2" s="10" t="s">
        <v>16</v>
      </c>
      <c r="F2" s="11"/>
      <c r="G2" s="11"/>
      <c r="H2" s="12" t="s">
        <v>16</v>
      </c>
      <c r="I2" s="13"/>
      <c r="J2" s="13"/>
      <c r="K2" s="7"/>
      <c r="L2" s="14"/>
    </row>
    <row r="3" spans="1:12" ht="51" hidden="1" x14ac:dyDescent="0.3">
      <c r="A3" s="15" t="s">
        <v>18</v>
      </c>
      <c r="B3" s="16" t="s">
        <v>19</v>
      </c>
      <c r="C3" s="16" t="s">
        <v>20</v>
      </c>
      <c r="D3" s="16" t="s">
        <v>21</v>
      </c>
      <c r="E3" s="17" t="s">
        <v>22</v>
      </c>
      <c r="F3" s="18">
        <v>7500</v>
      </c>
      <c r="G3" s="18"/>
      <c r="H3" s="17" t="s">
        <v>23</v>
      </c>
      <c r="I3" s="19" t="s">
        <v>24</v>
      </c>
      <c r="J3" s="19"/>
      <c r="K3" s="20" t="s">
        <v>17</v>
      </c>
      <c r="L3" s="21">
        <v>99706.43</v>
      </c>
    </row>
    <row r="4" spans="1:12" ht="51" x14ac:dyDescent="0.3">
      <c r="A4" s="15" t="s">
        <v>25</v>
      </c>
      <c r="B4" s="16" t="s">
        <v>26</v>
      </c>
      <c r="C4" s="16" t="s">
        <v>27</v>
      </c>
      <c r="D4" s="16" t="s">
        <v>28</v>
      </c>
      <c r="E4" s="17" t="s">
        <v>29</v>
      </c>
      <c r="F4" s="22" t="s">
        <v>24</v>
      </c>
      <c r="G4" s="22"/>
      <c r="H4" s="17" t="s">
        <v>22</v>
      </c>
      <c r="I4" s="23">
        <v>500</v>
      </c>
      <c r="J4" s="23"/>
      <c r="K4" s="20" t="s">
        <v>17</v>
      </c>
      <c r="L4" s="21">
        <v>99206.43</v>
      </c>
    </row>
    <row r="5" spans="1:12" ht="51" x14ac:dyDescent="0.3">
      <c r="A5" s="15" t="s">
        <v>25</v>
      </c>
      <c r="B5" s="16" t="s">
        <v>30</v>
      </c>
      <c r="C5" s="16" t="s">
        <v>31</v>
      </c>
      <c r="D5" s="16" t="s">
        <v>32</v>
      </c>
      <c r="E5" s="17" t="s">
        <v>29</v>
      </c>
      <c r="F5" s="22" t="s">
        <v>24</v>
      </c>
      <c r="G5" s="22"/>
      <c r="H5" s="17" t="s">
        <v>22</v>
      </c>
      <c r="I5" s="24">
        <v>1483.3</v>
      </c>
      <c r="J5" s="24"/>
      <c r="K5" s="20" t="s">
        <v>17</v>
      </c>
      <c r="L5" s="21">
        <v>97723.13</v>
      </c>
    </row>
    <row r="6" spans="1:12" ht="51" x14ac:dyDescent="0.3">
      <c r="A6" s="15" t="s">
        <v>25</v>
      </c>
      <c r="B6" s="16" t="s">
        <v>30</v>
      </c>
      <c r="C6" s="16" t="s">
        <v>31</v>
      </c>
      <c r="D6" s="16" t="s">
        <v>33</v>
      </c>
      <c r="E6" s="17" t="s">
        <v>29</v>
      </c>
      <c r="F6" s="22" t="s">
        <v>24</v>
      </c>
      <c r="G6" s="22"/>
      <c r="H6" s="17" t="s">
        <v>22</v>
      </c>
      <c r="I6" s="24">
        <v>1120</v>
      </c>
      <c r="J6" s="24"/>
      <c r="K6" s="20" t="s">
        <v>17</v>
      </c>
      <c r="L6" s="21">
        <v>96603.13</v>
      </c>
    </row>
    <row r="7" spans="1:12" ht="51" x14ac:dyDescent="0.3">
      <c r="A7" s="15" t="s">
        <v>25</v>
      </c>
      <c r="B7" s="16" t="s">
        <v>30</v>
      </c>
      <c r="C7" s="16" t="s">
        <v>31</v>
      </c>
      <c r="D7" s="16" t="s">
        <v>34</v>
      </c>
      <c r="E7" s="17" t="s">
        <v>29</v>
      </c>
      <c r="F7" s="22" t="s">
        <v>24</v>
      </c>
      <c r="G7" s="22"/>
      <c r="H7" s="17" t="s">
        <v>22</v>
      </c>
      <c r="I7" s="23">
        <v>731.8</v>
      </c>
      <c r="J7" s="23"/>
      <c r="K7" s="20" t="s">
        <v>17</v>
      </c>
      <c r="L7" s="21">
        <v>95871.33</v>
      </c>
    </row>
    <row r="8" spans="1:12" ht="51" x14ac:dyDescent="0.3">
      <c r="A8" s="15" t="s">
        <v>25</v>
      </c>
      <c r="B8" s="16" t="s">
        <v>30</v>
      </c>
      <c r="C8" s="16" t="s">
        <v>31</v>
      </c>
      <c r="D8" s="16" t="s">
        <v>35</v>
      </c>
      <c r="E8" s="17" t="s">
        <v>29</v>
      </c>
      <c r="F8" s="22" t="s">
        <v>24</v>
      </c>
      <c r="G8" s="22"/>
      <c r="H8" s="17" t="s">
        <v>22</v>
      </c>
      <c r="I8" s="23">
        <v>89.42</v>
      </c>
      <c r="J8" s="23"/>
      <c r="K8" s="20" t="s">
        <v>17</v>
      </c>
      <c r="L8" s="21">
        <v>95781.91</v>
      </c>
    </row>
    <row r="9" spans="1:12" ht="51" x14ac:dyDescent="0.3">
      <c r="A9" s="15" t="s">
        <v>25</v>
      </c>
      <c r="B9" s="16" t="s">
        <v>30</v>
      </c>
      <c r="C9" s="16" t="s">
        <v>31</v>
      </c>
      <c r="D9" s="16" t="s">
        <v>36</v>
      </c>
      <c r="E9" s="17" t="s">
        <v>29</v>
      </c>
      <c r="F9" s="22" t="s">
        <v>24</v>
      </c>
      <c r="G9" s="22"/>
      <c r="H9" s="17" t="s">
        <v>22</v>
      </c>
      <c r="I9" s="23">
        <v>286.88</v>
      </c>
      <c r="J9" s="23"/>
      <c r="K9" s="20" t="s">
        <v>17</v>
      </c>
      <c r="L9" s="21">
        <v>95495.03</v>
      </c>
    </row>
    <row r="10" spans="1:12" ht="51" x14ac:dyDescent="0.3">
      <c r="A10" s="15" t="s">
        <v>25</v>
      </c>
      <c r="B10" s="16" t="s">
        <v>30</v>
      </c>
      <c r="C10" s="16" t="s">
        <v>31</v>
      </c>
      <c r="D10" s="16" t="s">
        <v>37</v>
      </c>
      <c r="E10" s="17" t="s">
        <v>29</v>
      </c>
      <c r="F10" s="22" t="s">
        <v>24</v>
      </c>
      <c r="G10" s="22"/>
      <c r="H10" s="17" t="s">
        <v>22</v>
      </c>
      <c r="I10" s="23">
        <v>156.38999999999999</v>
      </c>
      <c r="J10" s="23"/>
      <c r="K10" s="20" t="s">
        <v>17</v>
      </c>
      <c r="L10" s="21">
        <v>95338.64</v>
      </c>
    </row>
    <row r="11" spans="1:12" ht="51" x14ac:dyDescent="0.3">
      <c r="A11" s="15" t="s">
        <v>25</v>
      </c>
      <c r="B11" s="16" t="s">
        <v>30</v>
      </c>
      <c r="C11" s="16" t="s">
        <v>31</v>
      </c>
      <c r="D11" s="16" t="s">
        <v>37</v>
      </c>
      <c r="E11" s="17" t="s">
        <v>29</v>
      </c>
      <c r="F11" s="22" t="s">
        <v>24</v>
      </c>
      <c r="G11" s="22"/>
      <c r="H11" s="17" t="s">
        <v>22</v>
      </c>
      <c r="I11" s="23">
        <v>156.38</v>
      </c>
      <c r="J11" s="23"/>
      <c r="K11" s="20" t="s">
        <v>17</v>
      </c>
      <c r="L11" s="21">
        <v>95182.26</v>
      </c>
    </row>
    <row r="12" spans="1:12" ht="51" x14ac:dyDescent="0.3">
      <c r="A12" s="15" t="s">
        <v>25</v>
      </c>
      <c r="B12" s="16" t="s">
        <v>30</v>
      </c>
      <c r="C12" s="16" t="s">
        <v>31</v>
      </c>
      <c r="D12" s="16" t="s">
        <v>38</v>
      </c>
      <c r="E12" s="17" t="s">
        <v>29</v>
      </c>
      <c r="F12" s="22" t="s">
        <v>24</v>
      </c>
      <c r="G12" s="22"/>
      <c r="H12" s="17" t="s">
        <v>22</v>
      </c>
      <c r="I12" s="23">
        <v>307.22000000000003</v>
      </c>
      <c r="J12" s="23"/>
      <c r="K12" s="20" t="s">
        <v>17</v>
      </c>
      <c r="L12" s="21">
        <v>94875.04</v>
      </c>
    </row>
    <row r="13" spans="1:12" ht="51" x14ac:dyDescent="0.3">
      <c r="A13" s="15" t="s">
        <v>25</v>
      </c>
      <c r="B13" s="16" t="s">
        <v>30</v>
      </c>
      <c r="C13" s="16" t="s">
        <v>31</v>
      </c>
      <c r="D13" s="16" t="s">
        <v>39</v>
      </c>
      <c r="E13" s="17" t="s">
        <v>29</v>
      </c>
      <c r="F13" s="22" t="s">
        <v>24</v>
      </c>
      <c r="G13" s="22"/>
      <c r="H13" s="17" t="s">
        <v>22</v>
      </c>
      <c r="I13" s="23">
        <v>40.450000000000003</v>
      </c>
      <c r="J13" s="23"/>
      <c r="K13" s="20" t="s">
        <v>17</v>
      </c>
      <c r="L13" s="21">
        <v>94834.59</v>
      </c>
    </row>
    <row r="14" spans="1:12" ht="51" x14ac:dyDescent="0.3">
      <c r="A14" s="15" t="s">
        <v>25</v>
      </c>
      <c r="B14" s="16" t="s">
        <v>30</v>
      </c>
      <c r="C14" s="16" t="s">
        <v>31</v>
      </c>
      <c r="D14" s="16" t="s">
        <v>40</v>
      </c>
      <c r="E14" s="17" t="s">
        <v>29</v>
      </c>
      <c r="F14" s="22" t="s">
        <v>24</v>
      </c>
      <c r="G14" s="22"/>
      <c r="H14" s="17" t="s">
        <v>22</v>
      </c>
      <c r="I14" s="23">
        <v>50.96</v>
      </c>
      <c r="J14" s="23"/>
      <c r="K14" s="20" t="s">
        <v>17</v>
      </c>
      <c r="L14" s="21">
        <v>94783.63</v>
      </c>
    </row>
    <row r="15" spans="1:12" ht="51" x14ac:dyDescent="0.3">
      <c r="A15" s="15" t="s">
        <v>25</v>
      </c>
      <c r="B15" s="16" t="s">
        <v>30</v>
      </c>
      <c r="C15" s="16" t="s">
        <v>31</v>
      </c>
      <c r="D15" s="16" t="s">
        <v>40</v>
      </c>
      <c r="E15" s="17" t="s">
        <v>29</v>
      </c>
      <c r="F15" s="22" t="s">
        <v>24</v>
      </c>
      <c r="G15" s="22"/>
      <c r="H15" s="17" t="s">
        <v>22</v>
      </c>
      <c r="I15" s="23">
        <v>50.96</v>
      </c>
      <c r="J15" s="23"/>
      <c r="K15" s="20" t="s">
        <v>17</v>
      </c>
      <c r="L15" s="21">
        <v>94732.67</v>
      </c>
    </row>
    <row r="16" spans="1:12" ht="51" x14ac:dyDescent="0.3">
      <c r="A16" s="15" t="s">
        <v>25</v>
      </c>
      <c r="B16" s="16" t="s">
        <v>30</v>
      </c>
      <c r="C16" s="16" t="s">
        <v>31</v>
      </c>
      <c r="D16" s="16" t="s">
        <v>41</v>
      </c>
      <c r="E16" s="17" t="s">
        <v>29</v>
      </c>
      <c r="F16" s="22" t="s">
        <v>24</v>
      </c>
      <c r="G16" s="22"/>
      <c r="H16" s="17" t="s">
        <v>22</v>
      </c>
      <c r="I16" s="23">
        <v>28.34</v>
      </c>
      <c r="J16" s="23"/>
      <c r="K16" s="20" t="s">
        <v>17</v>
      </c>
      <c r="L16" s="21">
        <v>94704.33</v>
      </c>
    </row>
    <row r="17" spans="1:12" ht="51" x14ac:dyDescent="0.3">
      <c r="A17" s="15" t="s">
        <v>25</v>
      </c>
      <c r="B17" s="16" t="s">
        <v>30</v>
      </c>
      <c r="C17" s="16" t="s">
        <v>31</v>
      </c>
      <c r="D17" s="16" t="s">
        <v>42</v>
      </c>
      <c r="E17" s="17" t="s">
        <v>29</v>
      </c>
      <c r="F17" s="22" t="s">
        <v>24</v>
      </c>
      <c r="G17" s="22"/>
      <c r="H17" s="17" t="s">
        <v>22</v>
      </c>
      <c r="I17" s="23">
        <v>136</v>
      </c>
      <c r="J17" s="23"/>
      <c r="K17" s="20" t="s">
        <v>17</v>
      </c>
      <c r="L17" s="21">
        <v>94568.33</v>
      </c>
    </row>
    <row r="18" spans="1:12" ht="51" x14ac:dyDescent="0.3">
      <c r="A18" s="15" t="s">
        <v>25</v>
      </c>
      <c r="B18" s="16" t="s">
        <v>30</v>
      </c>
      <c r="C18" s="16" t="s">
        <v>31</v>
      </c>
      <c r="D18" s="16" t="s">
        <v>43</v>
      </c>
      <c r="E18" s="17" t="s">
        <v>29</v>
      </c>
      <c r="F18" s="22" t="s">
        <v>24</v>
      </c>
      <c r="G18" s="22"/>
      <c r="H18" s="17" t="s">
        <v>22</v>
      </c>
      <c r="I18" s="24">
        <v>2275.2800000000002</v>
      </c>
      <c r="J18" s="24"/>
      <c r="K18" s="20" t="s">
        <v>17</v>
      </c>
      <c r="L18" s="21">
        <v>92293.05</v>
      </c>
    </row>
    <row r="19" spans="1:12" ht="51" x14ac:dyDescent="0.3">
      <c r="A19" s="15" t="s">
        <v>25</v>
      </c>
      <c r="B19" s="16" t="s">
        <v>30</v>
      </c>
      <c r="C19" s="16" t="s">
        <v>31</v>
      </c>
      <c r="D19" s="16" t="s">
        <v>44</v>
      </c>
      <c r="E19" s="17" t="s">
        <v>29</v>
      </c>
      <c r="F19" s="22" t="s">
        <v>24</v>
      </c>
      <c r="G19" s="22"/>
      <c r="H19" s="17" t="s">
        <v>22</v>
      </c>
      <c r="I19" s="23">
        <v>354.12</v>
      </c>
      <c r="J19" s="23"/>
      <c r="K19" s="20" t="s">
        <v>17</v>
      </c>
      <c r="L19" s="21">
        <v>91938.93</v>
      </c>
    </row>
    <row r="20" spans="1:12" ht="51" x14ac:dyDescent="0.3">
      <c r="A20" s="15" t="s">
        <v>25</v>
      </c>
      <c r="B20" s="16" t="s">
        <v>30</v>
      </c>
      <c r="C20" s="16" t="s">
        <v>31</v>
      </c>
      <c r="D20" s="16" t="s">
        <v>45</v>
      </c>
      <c r="E20" s="17" t="s">
        <v>29</v>
      </c>
      <c r="F20" s="22" t="s">
        <v>24</v>
      </c>
      <c r="G20" s="22"/>
      <c r="H20" s="17" t="s">
        <v>22</v>
      </c>
      <c r="I20" s="24">
        <v>1695.14</v>
      </c>
      <c r="J20" s="24"/>
      <c r="K20" s="20" t="s">
        <v>17</v>
      </c>
      <c r="L20" s="21">
        <v>90243.79</v>
      </c>
    </row>
    <row r="21" spans="1:12" ht="61.2" x14ac:dyDescent="0.3">
      <c r="A21" s="15" t="s">
        <v>25</v>
      </c>
      <c r="B21" s="16" t="s">
        <v>30</v>
      </c>
      <c r="C21" s="16" t="s">
        <v>31</v>
      </c>
      <c r="D21" s="16" t="s">
        <v>46</v>
      </c>
      <c r="E21" s="17" t="s">
        <v>29</v>
      </c>
      <c r="F21" s="22" t="s">
        <v>24</v>
      </c>
      <c r="G21" s="22"/>
      <c r="H21" s="17" t="s">
        <v>22</v>
      </c>
      <c r="I21" s="24">
        <v>19200</v>
      </c>
      <c r="J21" s="24"/>
      <c r="K21" s="20" t="s">
        <v>17</v>
      </c>
      <c r="L21" s="21">
        <v>71043.789999999994</v>
      </c>
    </row>
    <row r="22" spans="1:12" ht="51" x14ac:dyDescent="0.3">
      <c r="A22" s="15" t="s">
        <v>25</v>
      </c>
      <c r="B22" s="16" t="s">
        <v>30</v>
      </c>
      <c r="C22" s="16" t="s">
        <v>31</v>
      </c>
      <c r="D22" s="16" t="s">
        <v>20</v>
      </c>
      <c r="E22" s="17" t="s">
        <v>29</v>
      </c>
      <c r="F22" s="22" t="s">
        <v>24</v>
      </c>
      <c r="G22" s="22"/>
      <c r="H22" s="17" t="s">
        <v>22</v>
      </c>
      <c r="I22" s="24">
        <v>7500</v>
      </c>
      <c r="J22" s="24"/>
      <c r="K22" s="20" t="s">
        <v>17</v>
      </c>
      <c r="L22" s="21">
        <v>63543.79</v>
      </c>
    </row>
    <row r="23" spans="1:12" hidden="1" x14ac:dyDescent="0.3">
      <c r="A23" s="25" t="s">
        <v>47</v>
      </c>
      <c r="B23" s="25"/>
      <c r="C23" s="25"/>
      <c r="D23" s="25"/>
      <c r="E23" s="26">
        <v>7500</v>
      </c>
      <c r="F23" s="26"/>
      <c r="G23" s="26"/>
      <c r="H23" s="26">
        <v>36162.639999999999</v>
      </c>
      <c r="I23" s="26"/>
      <c r="J23" s="26"/>
      <c r="K23" s="27" t="s">
        <v>17</v>
      </c>
      <c r="L23" s="28">
        <v>63543.79</v>
      </c>
    </row>
    <row r="25" spans="1:12" x14ac:dyDescent="0.3">
      <c r="J25" s="29">
        <f>SUBTOTAL(9,I4:J22)*1.2</f>
        <v>43395.167999999998</v>
      </c>
    </row>
  </sheetData>
  <autoFilter ref="B1:D23">
    <filterColumn colId="0">
      <filters>
        <filter val="Вимога-накладна ІБ00-000134 від 28.02.2025 22:59:49_x000a_Списаны ТМЦ"/>
        <filter val="Списання товарів ІБ00-000082 від 28.02.2025 00:00:00_x000a_Списаны ТМЦ"/>
      </filters>
    </filterColumn>
  </autoFilter>
  <mergeCells count="52">
    <mergeCell ref="F22:G22"/>
    <mergeCell ref="I22:J22"/>
    <mergeCell ref="A23:D23"/>
    <mergeCell ref="E23:G23"/>
    <mergeCell ref="H23:J23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89"/>
  <sheetViews>
    <sheetView topLeftCell="A82" workbookViewId="0">
      <selection activeCell="J89" sqref="J89"/>
    </sheetView>
  </sheetViews>
  <sheetFormatPr defaultRowHeight="14.4" x14ac:dyDescent="0.3"/>
  <cols>
    <col min="2" max="4" width="17.6640625" customWidth="1"/>
    <col min="10" max="10" width="11.33203125" bestFit="1" customWidth="1"/>
  </cols>
  <sheetData>
    <row r="1" spans="1:12" x14ac:dyDescent="0.3">
      <c r="A1" s="30" t="s">
        <v>9</v>
      </c>
      <c r="B1" s="31" t="s">
        <v>10</v>
      </c>
      <c r="C1" s="31" t="s">
        <v>11</v>
      </c>
      <c r="D1" s="32" t="s">
        <v>12</v>
      </c>
      <c r="E1" s="33" t="s">
        <v>13</v>
      </c>
      <c r="F1" s="33"/>
      <c r="G1" s="33"/>
      <c r="H1" s="34" t="s">
        <v>14</v>
      </c>
      <c r="I1" s="34"/>
      <c r="J1" s="34"/>
      <c r="K1" s="31" t="s">
        <v>15</v>
      </c>
      <c r="L1" s="31"/>
    </row>
    <row r="2" spans="1:12" x14ac:dyDescent="0.3">
      <c r="A2" s="35"/>
      <c r="B2" s="36"/>
      <c r="C2" s="36"/>
      <c r="D2" s="37"/>
      <c r="E2" s="38" t="s">
        <v>16</v>
      </c>
      <c r="F2" s="39"/>
      <c r="G2" s="39"/>
      <c r="H2" s="40" t="s">
        <v>16</v>
      </c>
      <c r="I2" s="41"/>
      <c r="J2" s="41"/>
      <c r="K2" s="35"/>
      <c r="L2" s="42"/>
    </row>
    <row r="3" spans="1:12" ht="91.8" x14ac:dyDescent="0.3">
      <c r="A3" s="43" t="s">
        <v>48</v>
      </c>
      <c r="B3" s="44" t="s">
        <v>49</v>
      </c>
      <c r="C3" s="44" t="s">
        <v>50</v>
      </c>
      <c r="D3" s="44" t="s">
        <v>51</v>
      </c>
      <c r="E3" s="45" t="s">
        <v>22</v>
      </c>
      <c r="F3" s="46">
        <v>6020</v>
      </c>
      <c r="G3" s="46"/>
      <c r="H3" s="45" t="s">
        <v>23</v>
      </c>
      <c r="I3" s="47" t="s">
        <v>24</v>
      </c>
      <c r="J3" s="47"/>
      <c r="K3" s="48" t="s">
        <v>17</v>
      </c>
      <c r="L3" s="49">
        <v>6020</v>
      </c>
    </row>
    <row r="4" spans="1:12" ht="91.8" x14ac:dyDescent="0.3">
      <c r="A4" s="43" t="s">
        <v>48</v>
      </c>
      <c r="B4" s="44" t="s">
        <v>49</v>
      </c>
      <c r="C4" s="44" t="s">
        <v>52</v>
      </c>
      <c r="D4" s="44" t="s">
        <v>51</v>
      </c>
      <c r="E4" s="45" t="s">
        <v>22</v>
      </c>
      <c r="F4" s="46">
        <v>2492.15</v>
      </c>
      <c r="G4" s="46"/>
      <c r="H4" s="45" t="s">
        <v>23</v>
      </c>
      <c r="I4" s="47" t="s">
        <v>24</v>
      </c>
      <c r="J4" s="47"/>
      <c r="K4" s="48" t="s">
        <v>17</v>
      </c>
      <c r="L4" s="49">
        <v>8512.15</v>
      </c>
    </row>
    <row r="5" spans="1:12" ht="71.400000000000006" x14ac:dyDescent="0.3">
      <c r="A5" s="43" t="s">
        <v>53</v>
      </c>
      <c r="B5" s="44" t="s">
        <v>54</v>
      </c>
      <c r="C5" s="44" t="s">
        <v>55</v>
      </c>
      <c r="D5" s="44" t="s">
        <v>56</v>
      </c>
      <c r="E5" s="45" t="s">
        <v>22</v>
      </c>
      <c r="F5" s="46">
        <v>2390.4</v>
      </c>
      <c r="G5" s="46"/>
      <c r="H5" s="45" t="s">
        <v>22</v>
      </c>
      <c r="I5" s="47" t="s">
        <v>24</v>
      </c>
      <c r="J5" s="47"/>
      <c r="K5" s="48" t="s">
        <v>17</v>
      </c>
      <c r="L5" s="49">
        <v>10902.55</v>
      </c>
    </row>
    <row r="6" spans="1:12" ht="71.400000000000006" x14ac:dyDescent="0.3">
      <c r="A6" s="43" t="s">
        <v>53</v>
      </c>
      <c r="B6" s="44" t="s">
        <v>54</v>
      </c>
      <c r="C6" s="44" t="s">
        <v>57</v>
      </c>
      <c r="D6" s="44" t="s">
        <v>58</v>
      </c>
      <c r="E6" s="45" t="s">
        <v>22</v>
      </c>
      <c r="F6" s="50">
        <v>509.78</v>
      </c>
      <c r="G6" s="50"/>
      <c r="H6" s="45" t="s">
        <v>22</v>
      </c>
      <c r="I6" s="47" t="s">
        <v>24</v>
      </c>
      <c r="J6" s="47"/>
      <c r="K6" s="48" t="s">
        <v>17</v>
      </c>
      <c r="L6" s="49">
        <v>11412.33</v>
      </c>
    </row>
    <row r="7" spans="1:12" ht="81.599999999999994" x14ac:dyDescent="0.3">
      <c r="A7" s="43" t="s">
        <v>53</v>
      </c>
      <c r="B7" s="44" t="s">
        <v>54</v>
      </c>
      <c r="C7" s="44" t="s">
        <v>59</v>
      </c>
      <c r="D7" s="44" t="s">
        <v>60</v>
      </c>
      <c r="E7" s="45" t="s">
        <v>22</v>
      </c>
      <c r="F7" s="50">
        <v>101.35</v>
      </c>
      <c r="G7" s="50"/>
      <c r="H7" s="45" t="s">
        <v>22</v>
      </c>
      <c r="I7" s="47" t="s">
        <v>24</v>
      </c>
      <c r="J7" s="47"/>
      <c r="K7" s="48" t="s">
        <v>17</v>
      </c>
      <c r="L7" s="49">
        <v>11513.68</v>
      </c>
    </row>
    <row r="8" spans="1:12" ht="91.8" x14ac:dyDescent="0.3">
      <c r="A8" s="43" t="s">
        <v>61</v>
      </c>
      <c r="B8" s="44" t="s">
        <v>62</v>
      </c>
      <c r="C8" s="44" t="s">
        <v>63</v>
      </c>
      <c r="D8" s="44" t="s">
        <v>64</v>
      </c>
      <c r="E8" s="45" t="s">
        <v>22</v>
      </c>
      <c r="F8" s="46">
        <v>1141.5999999999999</v>
      </c>
      <c r="G8" s="46"/>
      <c r="H8" s="45" t="s">
        <v>23</v>
      </c>
      <c r="I8" s="47" t="s">
        <v>24</v>
      </c>
      <c r="J8" s="47"/>
      <c r="K8" s="48" t="s">
        <v>17</v>
      </c>
      <c r="L8" s="49">
        <v>12655.28</v>
      </c>
    </row>
    <row r="9" spans="1:12" ht="81.599999999999994" x14ac:dyDescent="0.3">
      <c r="A9" s="43" t="s">
        <v>65</v>
      </c>
      <c r="B9" s="44" t="s">
        <v>66</v>
      </c>
      <c r="C9" s="44" t="s">
        <v>67</v>
      </c>
      <c r="D9" s="44" t="s">
        <v>68</v>
      </c>
      <c r="E9" s="45" t="s">
        <v>22</v>
      </c>
      <c r="F9" s="50">
        <v>771.08</v>
      </c>
      <c r="G9" s="50"/>
      <c r="H9" s="45" t="s">
        <v>23</v>
      </c>
      <c r="I9" s="47" t="s">
        <v>24</v>
      </c>
      <c r="J9" s="47"/>
      <c r="K9" s="48" t="s">
        <v>17</v>
      </c>
      <c r="L9" s="49">
        <v>13426.36</v>
      </c>
    </row>
    <row r="10" spans="1:12" ht="81.599999999999994" x14ac:dyDescent="0.3">
      <c r="A10" s="43" t="s">
        <v>65</v>
      </c>
      <c r="B10" s="44" t="s">
        <v>66</v>
      </c>
      <c r="C10" s="44" t="s">
        <v>69</v>
      </c>
      <c r="D10" s="44" t="s">
        <v>68</v>
      </c>
      <c r="E10" s="45" t="s">
        <v>22</v>
      </c>
      <c r="F10" s="50">
        <v>5.0199999999999996</v>
      </c>
      <c r="G10" s="50"/>
      <c r="H10" s="45" t="s">
        <v>23</v>
      </c>
      <c r="I10" s="47" t="s">
        <v>24</v>
      </c>
      <c r="J10" s="47"/>
      <c r="K10" s="48" t="s">
        <v>17</v>
      </c>
      <c r="L10" s="49">
        <v>13431.38</v>
      </c>
    </row>
    <row r="11" spans="1:12" ht="81.599999999999994" x14ac:dyDescent="0.3">
      <c r="A11" s="43" t="s">
        <v>65</v>
      </c>
      <c r="B11" s="44" t="s">
        <v>66</v>
      </c>
      <c r="C11" s="44" t="s">
        <v>70</v>
      </c>
      <c r="D11" s="44" t="s">
        <v>68</v>
      </c>
      <c r="E11" s="45" t="s">
        <v>22</v>
      </c>
      <c r="F11" s="46">
        <v>3625.33</v>
      </c>
      <c r="G11" s="46"/>
      <c r="H11" s="45" t="s">
        <v>23</v>
      </c>
      <c r="I11" s="47" t="s">
        <v>24</v>
      </c>
      <c r="J11" s="47"/>
      <c r="K11" s="48" t="s">
        <v>17</v>
      </c>
      <c r="L11" s="49">
        <v>17056.71</v>
      </c>
    </row>
    <row r="12" spans="1:12" ht="81.599999999999994" x14ac:dyDescent="0.3">
      <c r="A12" s="43" t="s">
        <v>65</v>
      </c>
      <c r="B12" s="44" t="s">
        <v>66</v>
      </c>
      <c r="C12" s="44" t="s">
        <v>71</v>
      </c>
      <c r="D12" s="44" t="s">
        <v>68</v>
      </c>
      <c r="E12" s="45" t="s">
        <v>22</v>
      </c>
      <c r="F12" s="46">
        <v>2451.65</v>
      </c>
      <c r="G12" s="46"/>
      <c r="H12" s="45" t="s">
        <v>23</v>
      </c>
      <c r="I12" s="47" t="s">
        <v>24</v>
      </c>
      <c r="J12" s="47"/>
      <c r="K12" s="48" t="s">
        <v>17</v>
      </c>
      <c r="L12" s="49">
        <v>19508.36</v>
      </c>
    </row>
    <row r="13" spans="1:12" ht="81.599999999999994" x14ac:dyDescent="0.3">
      <c r="A13" s="43" t="s">
        <v>65</v>
      </c>
      <c r="B13" s="44" t="s">
        <v>66</v>
      </c>
      <c r="C13" s="44" t="s">
        <v>72</v>
      </c>
      <c r="D13" s="44" t="s">
        <v>68</v>
      </c>
      <c r="E13" s="45" t="s">
        <v>22</v>
      </c>
      <c r="F13" s="46">
        <v>2479.5100000000002</v>
      </c>
      <c r="G13" s="46"/>
      <c r="H13" s="45" t="s">
        <v>23</v>
      </c>
      <c r="I13" s="47" t="s">
        <v>24</v>
      </c>
      <c r="J13" s="47"/>
      <c r="K13" s="48" t="s">
        <v>17</v>
      </c>
      <c r="L13" s="49">
        <v>21987.87</v>
      </c>
    </row>
    <row r="14" spans="1:12" ht="81.599999999999994" x14ac:dyDescent="0.3">
      <c r="A14" s="43" t="s">
        <v>65</v>
      </c>
      <c r="B14" s="44" t="s">
        <v>66</v>
      </c>
      <c r="C14" s="44" t="s">
        <v>73</v>
      </c>
      <c r="D14" s="44" t="s">
        <v>68</v>
      </c>
      <c r="E14" s="45" t="s">
        <v>22</v>
      </c>
      <c r="F14" s="50">
        <v>101.4</v>
      </c>
      <c r="G14" s="50"/>
      <c r="H14" s="45" t="s">
        <v>23</v>
      </c>
      <c r="I14" s="47" t="s">
        <v>24</v>
      </c>
      <c r="J14" s="47"/>
      <c r="K14" s="48" t="s">
        <v>17</v>
      </c>
      <c r="L14" s="49">
        <v>22089.27</v>
      </c>
    </row>
    <row r="15" spans="1:12" ht="81.599999999999994" x14ac:dyDescent="0.3">
      <c r="A15" s="43" t="s">
        <v>65</v>
      </c>
      <c r="B15" s="44" t="s">
        <v>66</v>
      </c>
      <c r="C15" s="44" t="s">
        <v>74</v>
      </c>
      <c r="D15" s="44" t="s">
        <v>68</v>
      </c>
      <c r="E15" s="45" t="s">
        <v>22</v>
      </c>
      <c r="F15" s="50">
        <v>305.5</v>
      </c>
      <c r="G15" s="50"/>
      <c r="H15" s="45" t="s">
        <v>23</v>
      </c>
      <c r="I15" s="47" t="s">
        <v>24</v>
      </c>
      <c r="J15" s="47"/>
      <c r="K15" s="48" t="s">
        <v>17</v>
      </c>
      <c r="L15" s="49">
        <v>22394.77</v>
      </c>
    </row>
    <row r="16" spans="1:12" ht="81.599999999999994" x14ac:dyDescent="0.3">
      <c r="A16" s="43" t="s">
        <v>65</v>
      </c>
      <c r="B16" s="44" t="s">
        <v>66</v>
      </c>
      <c r="C16" s="44" t="s">
        <v>75</v>
      </c>
      <c r="D16" s="44" t="s">
        <v>68</v>
      </c>
      <c r="E16" s="45" t="s">
        <v>22</v>
      </c>
      <c r="F16" s="50">
        <v>110.03</v>
      </c>
      <c r="G16" s="50"/>
      <c r="H16" s="45" t="s">
        <v>23</v>
      </c>
      <c r="I16" s="47" t="s">
        <v>24</v>
      </c>
      <c r="J16" s="47"/>
      <c r="K16" s="48" t="s">
        <v>17</v>
      </c>
      <c r="L16" s="49">
        <v>22504.799999999999</v>
      </c>
    </row>
    <row r="17" spans="1:12" ht="81.599999999999994" x14ac:dyDescent="0.3">
      <c r="A17" s="43" t="s">
        <v>65</v>
      </c>
      <c r="B17" s="44" t="s">
        <v>66</v>
      </c>
      <c r="C17" s="44" t="s">
        <v>76</v>
      </c>
      <c r="D17" s="44" t="s">
        <v>68</v>
      </c>
      <c r="E17" s="45" t="s">
        <v>22</v>
      </c>
      <c r="F17" s="46">
        <v>1592.5</v>
      </c>
      <c r="G17" s="46"/>
      <c r="H17" s="45" t="s">
        <v>23</v>
      </c>
      <c r="I17" s="47" t="s">
        <v>24</v>
      </c>
      <c r="J17" s="47"/>
      <c r="K17" s="48" t="s">
        <v>17</v>
      </c>
      <c r="L17" s="49">
        <v>24097.3</v>
      </c>
    </row>
    <row r="18" spans="1:12" ht="81.599999999999994" x14ac:dyDescent="0.3">
      <c r="A18" s="43" t="s">
        <v>65</v>
      </c>
      <c r="B18" s="44" t="s">
        <v>66</v>
      </c>
      <c r="C18" s="44" t="s">
        <v>77</v>
      </c>
      <c r="D18" s="44" t="s">
        <v>68</v>
      </c>
      <c r="E18" s="45" t="s">
        <v>22</v>
      </c>
      <c r="F18" s="46">
        <v>4438.7299999999996</v>
      </c>
      <c r="G18" s="46"/>
      <c r="H18" s="45" t="s">
        <v>23</v>
      </c>
      <c r="I18" s="47" t="s">
        <v>24</v>
      </c>
      <c r="J18" s="47"/>
      <c r="K18" s="48" t="s">
        <v>17</v>
      </c>
      <c r="L18" s="49">
        <v>28536.03</v>
      </c>
    </row>
    <row r="19" spans="1:12" ht="81.599999999999994" x14ac:dyDescent="0.3">
      <c r="A19" s="43" t="s">
        <v>65</v>
      </c>
      <c r="B19" s="44" t="s">
        <v>66</v>
      </c>
      <c r="C19" s="44" t="s">
        <v>78</v>
      </c>
      <c r="D19" s="44" t="s">
        <v>68</v>
      </c>
      <c r="E19" s="45" t="s">
        <v>22</v>
      </c>
      <c r="F19" s="46">
        <v>22706.77</v>
      </c>
      <c r="G19" s="46"/>
      <c r="H19" s="45" t="s">
        <v>23</v>
      </c>
      <c r="I19" s="47" t="s">
        <v>24</v>
      </c>
      <c r="J19" s="47"/>
      <c r="K19" s="48" t="s">
        <v>17</v>
      </c>
      <c r="L19" s="49">
        <v>51242.8</v>
      </c>
    </row>
    <row r="20" spans="1:12" ht="81.599999999999994" x14ac:dyDescent="0.3">
      <c r="A20" s="43" t="s">
        <v>65</v>
      </c>
      <c r="B20" s="44" t="s">
        <v>66</v>
      </c>
      <c r="C20" s="44" t="s">
        <v>79</v>
      </c>
      <c r="D20" s="44" t="s">
        <v>68</v>
      </c>
      <c r="E20" s="45" t="s">
        <v>22</v>
      </c>
      <c r="F20" s="46">
        <v>1778.4</v>
      </c>
      <c r="G20" s="46"/>
      <c r="H20" s="45" t="s">
        <v>23</v>
      </c>
      <c r="I20" s="47" t="s">
        <v>24</v>
      </c>
      <c r="J20" s="47"/>
      <c r="K20" s="48" t="s">
        <v>17</v>
      </c>
      <c r="L20" s="49">
        <v>53021.2</v>
      </c>
    </row>
    <row r="21" spans="1:12" ht="81.599999999999994" x14ac:dyDescent="0.3">
      <c r="A21" s="43" t="s">
        <v>65</v>
      </c>
      <c r="B21" s="44" t="s">
        <v>66</v>
      </c>
      <c r="C21" s="44" t="s">
        <v>80</v>
      </c>
      <c r="D21" s="44" t="s">
        <v>68</v>
      </c>
      <c r="E21" s="45" t="s">
        <v>22</v>
      </c>
      <c r="F21" s="46">
        <v>10356.450000000001</v>
      </c>
      <c r="G21" s="46"/>
      <c r="H21" s="45" t="s">
        <v>23</v>
      </c>
      <c r="I21" s="47" t="s">
        <v>24</v>
      </c>
      <c r="J21" s="47"/>
      <c r="K21" s="48" t="s">
        <v>17</v>
      </c>
      <c r="L21" s="49">
        <v>63377.65</v>
      </c>
    </row>
    <row r="22" spans="1:12" ht="81.599999999999994" x14ac:dyDescent="0.3">
      <c r="A22" s="43" t="s">
        <v>65</v>
      </c>
      <c r="B22" s="44" t="s">
        <v>66</v>
      </c>
      <c r="C22" s="44" t="s">
        <v>81</v>
      </c>
      <c r="D22" s="44" t="s">
        <v>68</v>
      </c>
      <c r="E22" s="45" t="s">
        <v>22</v>
      </c>
      <c r="F22" s="46">
        <v>4115.46</v>
      </c>
      <c r="G22" s="46"/>
      <c r="H22" s="45" t="s">
        <v>23</v>
      </c>
      <c r="I22" s="47" t="s">
        <v>24</v>
      </c>
      <c r="J22" s="47"/>
      <c r="K22" s="48" t="s">
        <v>17</v>
      </c>
      <c r="L22" s="49">
        <v>67493.11</v>
      </c>
    </row>
    <row r="23" spans="1:12" ht="81.599999999999994" x14ac:dyDescent="0.3">
      <c r="A23" s="43" t="s">
        <v>65</v>
      </c>
      <c r="B23" s="44" t="s">
        <v>66</v>
      </c>
      <c r="C23" s="44" t="s">
        <v>82</v>
      </c>
      <c r="D23" s="44" t="s">
        <v>68</v>
      </c>
      <c r="E23" s="45" t="s">
        <v>22</v>
      </c>
      <c r="F23" s="50">
        <v>83.99</v>
      </c>
      <c r="G23" s="50"/>
      <c r="H23" s="45" t="s">
        <v>23</v>
      </c>
      <c r="I23" s="47" t="s">
        <v>24</v>
      </c>
      <c r="J23" s="47"/>
      <c r="K23" s="48" t="s">
        <v>17</v>
      </c>
      <c r="L23" s="49">
        <v>67577.100000000006</v>
      </c>
    </row>
    <row r="24" spans="1:12" ht="81.599999999999994" x14ac:dyDescent="0.3">
      <c r="A24" s="43" t="s">
        <v>65</v>
      </c>
      <c r="B24" s="44" t="s">
        <v>66</v>
      </c>
      <c r="C24" s="44" t="s">
        <v>83</v>
      </c>
      <c r="D24" s="44" t="s">
        <v>68</v>
      </c>
      <c r="E24" s="45" t="s">
        <v>22</v>
      </c>
      <c r="F24" s="46">
        <v>3731.8</v>
      </c>
      <c r="G24" s="46"/>
      <c r="H24" s="45" t="s">
        <v>23</v>
      </c>
      <c r="I24" s="47" t="s">
        <v>24</v>
      </c>
      <c r="J24" s="47"/>
      <c r="K24" s="48" t="s">
        <v>17</v>
      </c>
      <c r="L24" s="49">
        <v>71308.899999999994</v>
      </c>
    </row>
    <row r="25" spans="1:12" ht="81.599999999999994" x14ac:dyDescent="0.3">
      <c r="A25" s="43" t="s">
        <v>65</v>
      </c>
      <c r="B25" s="44" t="s">
        <v>66</v>
      </c>
      <c r="C25" s="44" t="s">
        <v>84</v>
      </c>
      <c r="D25" s="44" t="s">
        <v>68</v>
      </c>
      <c r="E25" s="45" t="s">
        <v>22</v>
      </c>
      <c r="F25" s="46">
        <v>21888.37</v>
      </c>
      <c r="G25" s="46"/>
      <c r="H25" s="45" t="s">
        <v>23</v>
      </c>
      <c r="I25" s="47" t="s">
        <v>24</v>
      </c>
      <c r="J25" s="47"/>
      <c r="K25" s="48" t="s">
        <v>17</v>
      </c>
      <c r="L25" s="49">
        <v>93197.27</v>
      </c>
    </row>
    <row r="26" spans="1:12" ht="81.599999999999994" x14ac:dyDescent="0.3">
      <c r="A26" s="43" t="s">
        <v>65</v>
      </c>
      <c r="B26" s="44" t="s">
        <v>66</v>
      </c>
      <c r="C26" s="44" t="s">
        <v>85</v>
      </c>
      <c r="D26" s="44" t="s">
        <v>68</v>
      </c>
      <c r="E26" s="45" t="s">
        <v>22</v>
      </c>
      <c r="F26" s="50">
        <v>283.92</v>
      </c>
      <c r="G26" s="50"/>
      <c r="H26" s="45" t="s">
        <v>23</v>
      </c>
      <c r="I26" s="47" t="s">
        <v>24</v>
      </c>
      <c r="J26" s="47"/>
      <c r="K26" s="48" t="s">
        <v>17</v>
      </c>
      <c r="L26" s="49">
        <v>93481.19</v>
      </c>
    </row>
    <row r="27" spans="1:12" ht="81.599999999999994" x14ac:dyDescent="0.3">
      <c r="A27" s="43" t="s">
        <v>65</v>
      </c>
      <c r="B27" s="44" t="s">
        <v>66</v>
      </c>
      <c r="C27" s="44" t="s">
        <v>86</v>
      </c>
      <c r="D27" s="44" t="s">
        <v>68</v>
      </c>
      <c r="E27" s="45" t="s">
        <v>22</v>
      </c>
      <c r="F27" s="50">
        <v>703.04</v>
      </c>
      <c r="G27" s="50"/>
      <c r="H27" s="45" t="s">
        <v>23</v>
      </c>
      <c r="I27" s="47" t="s">
        <v>24</v>
      </c>
      <c r="J27" s="47"/>
      <c r="K27" s="48" t="s">
        <v>17</v>
      </c>
      <c r="L27" s="49">
        <v>94184.23</v>
      </c>
    </row>
    <row r="28" spans="1:12" ht="81.599999999999994" x14ac:dyDescent="0.3">
      <c r="A28" s="43" t="s">
        <v>65</v>
      </c>
      <c r="B28" s="44" t="s">
        <v>66</v>
      </c>
      <c r="C28" s="44" t="s">
        <v>87</v>
      </c>
      <c r="D28" s="44" t="s">
        <v>68</v>
      </c>
      <c r="E28" s="45" t="s">
        <v>22</v>
      </c>
      <c r="F28" s="46">
        <v>14514.24</v>
      </c>
      <c r="G28" s="46"/>
      <c r="H28" s="45" t="s">
        <v>23</v>
      </c>
      <c r="I28" s="47" t="s">
        <v>24</v>
      </c>
      <c r="J28" s="47"/>
      <c r="K28" s="48" t="s">
        <v>17</v>
      </c>
      <c r="L28" s="49">
        <v>108698.47</v>
      </c>
    </row>
    <row r="29" spans="1:12" ht="81.599999999999994" x14ac:dyDescent="0.3">
      <c r="A29" s="43" t="s">
        <v>65</v>
      </c>
      <c r="B29" s="44" t="s">
        <v>88</v>
      </c>
      <c r="C29" s="44" t="s">
        <v>89</v>
      </c>
      <c r="D29" s="44" t="s">
        <v>68</v>
      </c>
      <c r="E29" s="45" t="s">
        <v>22</v>
      </c>
      <c r="F29" s="46">
        <v>6125.75</v>
      </c>
      <c r="G29" s="46"/>
      <c r="H29" s="45" t="s">
        <v>23</v>
      </c>
      <c r="I29" s="47" t="s">
        <v>24</v>
      </c>
      <c r="J29" s="47"/>
      <c r="K29" s="48" t="s">
        <v>17</v>
      </c>
      <c r="L29" s="49">
        <v>114824.22</v>
      </c>
    </row>
    <row r="30" spans="1:12" ht="81.599999999999994" x14ac:dyDescent="0.3">
      <c r="A30" s="43" t="s">
        <v>65</v>
      </c>
      <c r="B30" s="44" t="s">
        <v>66</v>
      </c>
      <c r="C30" s="44" t="s">
        <v>89</v>
      </c>
      <c r="D30" s="44" t="s">
        <v>68</v>
      </c>
      <c r="E30" s="45" t="s">
        <v>22</v>
      </c>
      <c r="F30" s="46">
        <v>10909.64</v>
      </c>
      <c r="G30" s="46"/>
      <c r="H30" s="45" t="s">
        <v>23</v>
      </c>
      <c r="I30" s="47" t="s">
        <v>24</v>
      </c>
      <c r="J30" s="47"/>
      <c r="K30" s="48" t="s">
        <v>17</v>
      </c>
      <c r="L30" s="49">
        <v>125733.86</v>
      </c>
    </row>
    <row r="31" spans="1:12" ht="81.599999999999994" x14ac:dyDescent="0.3">
      <c r="A31" s="43" t="s">
        <v>65</v>
      </c>
      <c r="B31" s="44" t="s">
        <v>88</v>
      </c>
      <c r="C31" s="44" t="s">
        <v>90</v>
      </c>
      <c r="D31" s="44" t="s">
        <v>68</v>
      </c>
      <c r="E31" s="45" t="s">
        <v>22</v>
      </c>
      <c r="F31" s="50">
        <v>22.98</v>
      </c>
      <c r="G31" s="50"/>
      <c r="H31" s="45" t="s">
        <v>23</v>
      </c>
      <c r="I31" s="47" t="s">
        <v>24</v>
      </c>
      <c r="J31" s="47"/>
      <c r="K31" s="48" t="s">
        <v>17</v>
      </c>
      <c r="L31" s="49">
        <v>125756.84</v>
      </c>
    </row>
    <row r="32" spans="1:12" ht="81.599999999999994" x14ac:dyDescent="0.3">
      <c r="A32" s="43" t="s">
        <v>65</v>
      </c>
      <c r="B32" s="44" t="s">
        <v>91</v>
      </c>
      <c r="C32" s="44" t="s">
        <v>92</v>
      </c>
      <c r="D32" s="44" t="s">
        <v>59</v>
      </c>
      <c r="E32" s="45" t="s">
        <v>22</v>
      </c>
      <c r="F32" s="51" t="s">
        <v>24</v>
      </c>
      <c r="G32" s="51"/>
      <c r="H32" s="45" t="s">
        <v>22</v>
      </c>
      <c r="I32" s="52">
        <v>101.35</v>
      </c>
      <c r="J32" s="52"/>
      <c r="K32" s="48" t="s">
        <v>17</v>
      </c>
      <c r="L32" s="49">
        <v>125655.49</v>
      </c>
    </row>
    <row r="33" spans="1:12" ht="81.599999999999994" x14ac:dyDescent="0.3">
      <c r="A33" s="43" t="s">
        <v>93</v>
      </c>
      <c r="B33" s="44" t="s">
        <v>94</v>
      </c>
      <c r="C33" s="44" t="s">
        <v>95</v>
      </c>
      <c r="D33" s="44" t="s">
        <v>96</v>
      </c>
      <c r="E33" s="45" t="s">
        <v>22</v>
      </c>
      <c r="F33" s="46">
        <v>3286.85</v>
      </c>
      <c r="G33" s="46"/>
      <c r="H33" s="45" t="s">
        <v>23</v>
      </c>
      <c r="I33" s="47" t="s">
        <v>24</v>
      </c>
      <c r="J33" s="47"/>
      <c r="K33" s="48" t="s">
        <v>17</v>
      </c>
      <c r="L33" s="49">
        <v>128942.34</v>
      </c>
    </row>
    <row r="34" spans="1:12" ht="81.599999999999994" x14ac:dyDescent="0.3">
      <c r="A34" s="43" t="s">
        <v>93</v>
      </c>
      <c r="B34" s="44" t="s">
        <v>94</v>
      </c>
      <c r="C34" s="44" t="s">
        <v>97</v>
      </c>
      <c r="D34" s="44" t="s">
        <v>96</v>
      </c>
      <c r="E34" s="45" t="s">
        <v>22</v>
      </c>
      <c r="F34" s="46">
        <v>7415.1</v>
      </c>
      <c r="G34" s="46"/>
      <c r="H34" s="45" t="s">
        <v>23</v>
      </c>
      <c r="I34" s="47" t="s">
        <v>24</v>
      </c>
      <c r="J34" s="47"/>
      <c r="K34" s="48" t="s">
        <v>17</v>
      </c>
      <c r="L34" s="49">
        <v>136357.44</v>
      </c>
    </row>
    <row r="35" spans="1:12" ht="81.599999999999994" x14ac:dyDescent="0.3">
      <c r="A35" s="43" t="s">
        <v>93</v>
      </c>
      <c r="B35" s="44" t="s">
        <v>94</v>
      </c>
      <c r="C35" s="44" t="s">
        <v>98</v>
      </c>
      <c r="D35" s="44" t="s">
        <v>96</v>
      </c>
      <c r="E35" s="45" t="s">
        <v>22</v>
      </c>
      <c r="F35" s="50">
        <v>344.77</v>
      </c>
      <c r="G35" s="50"/>
      <c r="H35" s="45" t="s">
        <v>23</v>
      </c>
      <c r="I35" s="47" t="s">
        <v>24</v>
      </c>
      <c r="J35" s="47"/>
      <c r="K35" s="48" t="s">
        <v>17</v>
      </c>
      <c r="L35" s="49">
        <v>136702.21</v>
      </c>
    </row>
    <row r="36" spans="1:12" ht="81.599999999999994" x14ac:dyDescent="0.3">
      <c r="A36" s="43" t="s">
        <v>93</v>
      </c>
      <c r="B36" s="44" t="s">
        <v>94</v>
      </c>
      <c r="C36" s="44" t="s">
        <v>99</v>
      </c>
      <c r="D36" s="44" t="s">
        <v>96</v>
      </c>
      <c r="E36" s="45" t="s">
        <v>22</v>
      </c>
      <c r="F36" s="50">
        <v>402.44</v>
      </c>
      <c r="G36" s="50"/>
      <c r="H36" s="45" t="s">
        <v>23</v>
      </c>
      <c r="I36" s="47" t="s">
        <v>24</v>
      </c>
      <c r="J36" s="47"/>
      <c r="K36" s="48" t="s">
        <v>17</v>
      </c>
      <c r="L36" s="49">
        <v>137104.65</v>
      </c>
    </row>
    <row r="37" spans="1:12" ht="81.599999999999994" x14ac:dyDescent="0.3">
      <c r="A37" s="43" t="s">
        <v>93</v>
      </c>
      <c r="B37" s="44" t="s">
        <v>94</v>
      </c>
      <c r="C37" s="44" t="s">
        <v>100</v>
      </c>
      <c r="D37" s="44" t="s">
        <v>96</v>
      </c>
      <c r="E37" s="45" t="s">
        <v>22</v>
      </c>
      <c r="F37" s="50">
        <v>216.51</v>
      </c>
      <c r="G37" s="50"/>
      <c r="H37" s="45" t="s">
        <v>23</v>
      </c>
      <c r="I37" s="47" t="s">
        <v>24</v>
      </c>
      <c r="J37" s="47"/>
      <c r="K37" s="48" t="s">
        <v>17</v>
      </c>
      <c r="L37" s="49">
        <v>137321.16</v>
      </c>
    </row>
    <row r="38" spans="1:12" ht="81.599999999999994" x14ac:dyDescent="0.3">
      <c r="A38" s="43" t="s">
        <v>93</v>
      </c>
      <c r="B38" s="44" t="s">
        <v>94</v>
      </c>
      <c r="C38" s="44" t="s">
        <v>101</v>
      </c>
      <c r="D38" s="44" t="s">
        <v>96</v>
      </c>
      <c r="E38" s="45" t="s">
        <v>22</v>
      </c>
      <c r="F38" s="50">
        <v>90.71</v>
      </c>
      <c r="G38" s="50"/>
      <c r="H38" s="45" t="s">
        <v>23</v>
      </c>
      <c r="I38" s="47" t="s">
        <v>24</v>
      </c>
      <c r="J38" s="47"/>
      <c r="K38" s="48" t="s">
        <v>17</v>
      </c>
      <c r="L38" s="49">
        <v>137411.87</v>
      </c>
    </row>
    <row r="39" spans="1:12" ht="81.599999999999994" x14ac:dyDescent="0.3">
      <c r="A39" s="43" t="s">
        <v>93</v>
      </c>
      <c r="B39" s="44" t="s">
        <v>94</v>
      </c>
      <c r="C39" s="44" t="s">
        <v>102</v>
      </c>
      <c r="D39" s="44" t="s">
        <v>96</v>
      </c>
      <c r="E39" s="45" t="s">
        <v>22</v>
      </c>
      <c r="F39" s="46">
        <v>2037.96</v>
      </c>
      <c r="G39" s="46"/>
      <c r="H39" s="45" t="s">
        <v>23</v>
      </c>
      <c r="I39" s="47" t="s">
        <v>24</v>
      </c>
      <c r="J39" s="47"/>
      <c r="K39" s="48" t="s">
        <v>17</v>
      </c>
      <c r="L39" s="49">
        <v>139449.82999999999</v>
      </c>
    </row>
    <row r="40" spans="1:12" ht="81.599999999999994" x14ac:dyDescent="0.3">
      <c r="A40" s="43" t="s">
        <v>93</v>
      </c>
      <c r="B40" s="44" t="s">
        <v>94</v>
      </c>
      <c r="C40" s="44" t="s">
        <v>103</v>
      </c>
      <c r="D40" s="44" t="s">
        <v>96</v>
      </c>
      <c r="E40" s="45" t="s">
        <v>22</v>
      </c>
      <c r="F40" s="46">
        <v>5467.56</v>
      </c>
      <c r="G40" s="46"/>
      <c r="H40" s="45" t="s">
        <v>23</v>
      </c>
      <c r="I40" s="47" t="s">
        <v>24</v>
      </c>
      <c r="J40" s="47"/>
      <c r="K40" s="48" t="s">
        <v>17</v>
      </c>
      <c r="L40" s="49">
        <v>144917.39000000001</v>
      </c>
    </row>
    <row r="41" spans="1:12" ht="81.599999999999994" x14ac:dyDescent="0.3">
      <c r="A41" s="43" t="s">
        <v>93</v>
      </c>
      <c r="B41" s="44" t="s">
        <v>94</v>
      </c>
      <c r="C41" s="44" t="s">
        <v>104</v>
      </c>
      <c r="D41" s="44" t="s">
        <v>96</v>
      </c>
      <c r="E41" s="45" t="s">
        <v>22</v>
      </c>
      <c r="F41" s="46">
        <v>5511.23</v>
      </c>
      <c r="G41" s="46"/>
      <c r="H41" s="45" t="s">
        <v>23</v>
      </c>
      <c r="I41" s="47" t="s">
        <v>24</v>
      </c>
      <c r="J41" s="47"/>
      <c r="K41" s="48" t="s">
        <v>17</v>
      </c>
      <c r="L41" s="49">
        <v>150428.62</v>
      </c>
    </row>
    <row r="42" spans="1:12" ht="91.8" x14ac:dyDescent="0.3">
      <c r="A42" s="43" t="s">
        <v>105</v>
      </c>
      <c r="B42" s="44" t="s">
        <v>106</v>
      </c>
      <c r="C42" s="44" t="s">
        <v>107</v>
      </c>
      <c r="D42" s="44" t="s">
        <v>108</v>
      </c>
      <c r="E42" s="45" t="s">
        <v>22</v>
      </c>
      <c r="F42" s="46">
        <v>2792.5</v>
      </c>
      <c r="G42" s="46"/>
      <c r="H42" s="45" t="s">
        <v>23</v>
      </c>
      <c r="I42" s="47" t="s">
        <v>24</v>
      </c>
      <c r="J42" s="47"/>
      <c r="K42" s="48" t="s">
        <v>17</v>
      </c>
      <c r="L42" s="49">
        <v>153221.12</v>
      </c>
    </row>
    <row r="43" spans="1:12" ht="91.8" x14ac:dyDescent="0.3">
      <c r="A43" s="43" t="s">
        <v>105</v>
      </c>
      <c r="B43" s="44" t="s">
        <v>106</v>
      </c>
      <c r="C43" s="44" t="s">
        <v>109</v>
      </c>
      <c r="D43" s="44" t="s">
        <v>108</v>
      </c>
      <c r="E43" s="45" t="s">
        <v>22</v>
      </c>
      <c r="F43" s="46">
        <v>43335</v>
      </c>
      <c r="G43" s="46"/>
      <c r="H43" s="45" t="s">
        <v>23</v>
      </c>
      <c r="I43" s="47" t="s">
        <v>24</v>
      </c>
      <c r="J43" s="47"/>
      <c r="K43" s="48" t="s">
        <v>17</v>
      </c>
      <c r="L43" s="49">
        <v>196556.12</v>
      </c>
    </row>
    <row r="44" spans="1:12" ht="71.400000000000006" x14ac:dyDescent="0.3">
      <c r="A44" s="43" t="s">
        <v>25</v>
      </c>
      <c r="B44" s="44" t="s">
        <v>110</v>
      </c>
      <c r="C44" s="44" t="s">
        <v>27</v>
      </c>
      <c r="D44" s="44" t="s">
        <v>55</v>
      </c>
      <c r="E44" s="45" t="s">
        <v>29</v>
      </c>
      <c r="F44" s="51" t="s">
        <v>24</v>
      </c>
      <c r="G44" s="51"/>
      <c r="H44" s="45" t="s">
        <v>22</v>
      </c>
      <c r="I44" s="52">
        <v>996</v>
      </c>
      <c r="J44" s="52"/>
      <c r="K44" s="48" t="s">
        <v>17</v>
      </c>
      <c r="L44" s="49">
        <v>195560.12</v>
      </c>
    </row>
    <row r="45" spans="1:12" ht="61.2" x14ac:dyDescent="0.3">
      <c r="A45" s="43" t="s">
        <v>25</v>
      </c>
      <c r="B45" s="44" t="s">
        <v>110</v>
      </c>
      <c r="C45" s="44" t="s">
        <v>27</v>
      </c>
      <c r="D45" s="44" t="s">
        <v>50</v>
      </c>
      <c r="E45" s="45" t="s">
        <v>29</v>
      </c>
      <c r="F45" s="51" t="s">
        <v>24</v>
      </c>
      <c r="G45" s="51"/>
      <c r="H45" s="45" t="s">
        <v>22</v>
      </c>
      <c r="I45" s="53">
        <v>1204</v>
      </c>
      <c r="J45" s="53"/>
      <c r="K45" s="48" t="s">
        <v>17</v>
      </c>
      <c r="L45" s="49">
        <v>194356.12</v>
      </c>
    </row>
    <row r="46" spans="1:12" ht="71.400000000000006" x14ac:dyDescent="0.3">
      <c r="A46" s="43" t="s">
        <v>25</v>
      </c>
      <c r="B46" s="44" t="s">
        <v>110</v>
      </c>
      <c r="C46" s="44" t="s">
        <v>27</v>
      </c>
      <c r="D46" s="44" t="s">
        <v>52</v>
      </c>
      <c r="E46" s="45" t="s">
        <v>29</v>
      </c>
      <c r="F46" s="51" t="s">
        <v>24</v>
      </c>
      <c r="G46" s="51"/>
      <c r="H46" s="45" t="s">
        <v>22</v>
      </c>
      <c r="I46" s="53">
        <v>1246.08</v>
      </c>
      <c r="J46" s="53"/>
      <c r="K46" s="48" t="s">
        <v>17</v>
      </c>
      <c r="L46" s="49">
        <v>193110.04</v>
      </c>
    </row>
    <row r="47" spans="1:12" x14ac:dyDescent="0.3">
      <c r="A47" s="54" t="s">
        <v>47</v>
      </c>
      <c r="B47" s="54"/>
      <c r="C47" s="54"/>
      <c r="D47" s="54"/>
      <c r="E47" s="55">
        <v>196657.47</v>
      </c>
      <c r="F47" s="55"/>
      <c r="G47" s="55"/>
      <c r="H47" s="55">
        <v>3547.43</v>
      </c>
      <c r="I47" s="55"/>
      <c r="J47" s="55"/>
      <c r="K47" s="56" t="s">
        <v>17</v>
      </c>
      <c r="L47" s="57">
        <v>193110.04</v>
      </c>
    </row>
    <row r="49" spans="1:12" x14ac:dyDescent="0.3">
      <c r="J49">
        <f>SUBTOTAL(9,I44:J46)*1.2</f>
        <v>4135.2959999999994</v>
      </c>
    </row>
    <row r="51" spans="1:12" x14ac:dyDescent="0.3">
      <c r="A51" s="30" t="s">
        <v>9</v>
      </c>
      <c r="B51" s="31" t="s">
        <v>10</v>
      </c>
      <c r="C51" s="31" t="s">
        <v>11</v>
      </c>
      <c r="D51" s="32" t="s">
        <v>12</v>
      </c>
      <c r="E51" s="33" t="s">
        <v>13</v>
      </c>
      <c r="F51" s="33"/>
      <c r="G51" s="33"/>
      <c r="H51" s="34" t="s">
        <v>14</v>
      </c>
      <c r="I51" s="34"/>
      <c r="J51" s="34"/>
      <c r="K51" s="31" t="s">
        <v>15</v>
      </c>
      <c r="L51" s="31"/>
    </row>
    <row r="52" spans="1:12" x14ac:dyDescent="0.3">
      <c r="A52" s="35"/>
      <c r="B52" s="36"/>
      <c r="C52" s="36"/>
      <c r="D52" s="37"/>
      <c r="E52" s="38" t="s">
        <v>16</v>
      </c>
      <c r="F52" s="39"/>
      <c r="G52" s="39"/>
      <c r="H52" s="40" t="s">
        <v>16</v>
      </c>
      <c r="I52" s="41"/>
      <c r="J52" s="41"/>
      <c r="K52" s="35"/>
      <c r="L52" s="42"/>
    </row>
    <row r="53" spans="1:12" ht="91.8" hidden="1" x14ac:dyDescent="0.3">
      <c r="A53" s="43" t="s">
        <v>111</v>
      </c>
      <c r="B53" s="44" t="s">
        <v>112</v>
      </c>
      <c r="C53" s="44" t="s">
        <v>113</v>
      </c>
      <c r="D53" s="44" t="s">
        <v>114</v>
      </c>
      <c r="E53" s="45" t="s">
        <v>22</v>
      </c>
      <c r="F53" s="46">
        <v>19450.439999999999</v>
      </c>
      <c r="G53" s="46"/>
      <c r="H53" s="45" t="s">
        <v>23</v>
      </c>
      <c r="I53" s="47" t="s">
        <v>24</v>
      </c>
      <c r="J53" s="47"/>
      <c r="K53" s="48" t="s">
        <v>17</v>
      </c>
      <c r="L53" s="49">
        <v>5147109.58</v>
      </c>
    </row>
    <row r="54" spans="1:12" ht="91.8" hidden="1" x14ac:dyDescent="0.3">
      <c r="A54" s="43" t="s">
        <v>111</v>
      </c>
      <c r="B54" s="44" t="s">
        <v>112</v>
      </c>
      <c r="C54" s="44" t="s">
        <v>115</v>
      </c>
      <c r="D54" s="44" t="s">
        <v>114</v>
      </c>
      <c r="E54" s="45" t="s">
        <v>22</v>
      </c>
      <c r="F54" s="46">
        <v>38206.19</v>
      </c>
      <c r="G54" s="46"/>
      <c r="H54" s="45" t="s">
        <v>23</v>
      </c>
      <c r="I54" s="47" t="s">
        <v>24</v>
      </c>
      <c r="J54" s="47"/>
      <c r="K54" s="48" t="s">
        <v>17</v>
      </c>
      <c r="L54" s="49">
        <v>5185315.7699999996</v>
      </c>
    </row>
    <row r="55" spans="1:12" ht="91.8" hidden="1" x14ac:dyDescent="0.3">
      <c r="A55" s="43" t="s">
        <v>111</v>
      </c>
      <c r="B55" s="44" t="s">
        <v>116</v>
      </c>
      <c r="C55" s="44" t="s">
        <v>113</v>
      </c>
      <c r="D55" s="44" t="s">
        <v>114</v>
      </c>
      <c r="E55" s="45" t="s">
        <v>22</v>
      </c>
      <c r="F55" s="50">
        <v>41.49</v>
      </c>
      <c r="G55" s="50"/>
      <c r="H55" s="45" t="s">
        <v>23</v>
      </c>
      <c r="I55" s="47" t="s">
        <v>24</v>
      </c>
      <c r="J55" s="47"/>
      <c r="K55" s="48" t="s">
        <v>17</v>
      </c>
      <c r="L55" s="49">
        <v>5185357.26</v>
      </c>
    </row>
    <row r="56" spans="1:12" ht="91.8" hidden="1" x14ac:dyDescent="0.3">
      <c r="A56" s="43" t="s">
        <v>111</v>
      </c>
      <c r="B56" s="44" t="s">
        <v>116</v>
      </c>
      <c r="C56" s="44" t="s">
        <v>115</v>
      </c>
      <c r="D56" s="44" t="s">
        <v>114</v>
      </c>
      <c r="E56" s="45" t="s">
        <v>22</v>
      </c>
      <c r="F56" s="50">
        <v>81.510000000000005</v>
      </c>
      <c r="G56" s="50"/>
      <c r="H56" s="45" t="s">
        <v>23</v>
      </c>
      <c r="I56" s="47" t="s">
        <v>24</v>
      </c>
      <c r="J56" s="47"/>
      <c r="K56" s="48" t="s">
        <v>17</v>
      </c>
      <c r="L56" s="49">
        <v>5185438.7699999996</v>
      </c>
    </row>
    <row r="57" spans="1:12" ht="71.400000000000006" x14ac:dyDescent="0.3">
      <c r="A57" s="43" t="s">
        <v>111</v>
      </c>
      <c r="B57" s="44" t="s">
        <v>117</v>
      </c>
      <c r="C57" s="44" t="s">
        <v>118</v>
      </c>
      <c r="D57" s="44" t="s">
        <v>119</v>
      </c>
      <c r="E57" s="45" t="s">
        <v>29</v>
      </c>
      <c r="F57" s="51" t="s">
        <v>24</v>
      </c>
      <c r="G57" s="51"/>
      <c r="H57" s="45" t="s">
        <v>22</v>
      </c>
      <c r="I57" s="53">
        <v>14519.1</v>
      </c>
      <c r="J57" s="53"/>
      <c r="K57" s="48" t="s">
        <v>17</v>
      </c>
      <c r="L57" s="49">
        <v>5170919.67</v>
      </c>
    </row>
    <row r="58" spans="1:12" ht="61.2" x14ac:dyDescent="0.3">
      <c r="A58" s="43" t="s">
        <v>111</v>
      </c>
      <c r="B58" s="44" t="s">
        <v>117</v>
      </c>
      <c r="C58" s="44" t="s">
        <v>118</v>
      </c>
      <c r="D58" s="44" t="s">
        <v>120</v>
      </c>
      <c r="E58" s="45" t="s">
        <v>29</v>
      </c>
      <c r="F58" s="51" t="s">
        <v>24</v>
      </c>
      <c r="G58" s="51"/>
      <c r="H58" s="45" t="s">
        <v>22</v>
      </c>
      <c r="I58" s="53">
        <v>142598.10999999999</v>
      </c>
      <c r="J58" s="53"/>
      <c r="K58" s="48" t="s">
        <v>17</v>
      </c>
      <c r="L58" s="49">
        <v>5028321.5599999996</v>
      </c>
    </row>
    <row r="59" spans="1:12" ht="71.400000000000006" x14ac:dyDescent="0.3">
      <c r="A59" s="43" t="s">
        <v>111</v>
      </c>
      <c r="B59" s="44" t="s">
        <v>117</v>
      </c>
      <c r="C59" s="44" t="s">
        <v>118</v>
      </c>
      <c r="D59" s="44" t="s">
        <v>121</v>
      </c>
      <c r="E59" s="45" t="s">
        <v>29</v>
      </c>
      <c r="F59" s="51" t="s">
        <v>24</v>
      </c>
      <c r="G59" s="51"/>
      <c r="H59" s="45" t="s">
        <v>22</v>
      </c>
      <c r="I59" s="53">
        <v>12254.68</v>
      </c>
      <c r="J59" s="53"/>
      <c r="K59" s="48" t="s">
        <v>17</v>
      </c>
      <c r="L59" s="49">
        <v>5016066.88</v>
      </c>
    </row>
    <row r="60" spans="1:12" ht="71.400000000000006" x14ac:dyDescent="0.3">
      <c r="A60" s="43" t="s">
        <v>111</v>
      </c>
      <c r="B60" s="44" t="s">
        <v>117</v>
      </c>
      <c r="C60" s="44" t="s">
        <v>118</v>
      </c>
      <c r="D60" s="44" t="s">
        <v>122</v>
      </c>
      <c r="E60" s="45" t="s">
        <v>29</v>
      </c>
      <c r="F60" s="51" t="s">
        <v>24</v>
      </c>
      <c r="G60" s="51"/>
      <c r="H60" s="45" t="s">
        <v>22</v>
      </c>
      <c r="I60" s="53">
        <v>7723.1</v>
      </c>
      <c r="J60" s="53"/>
      <c r="K60" s="48" t="s">
        <v>17</v>
      </c>
      <c r="L60" s="49">
        <v>5008343.78</v>
      </c>
    </row>
    <row r="61" spans="1:12" ht="71.400000000000006" x14ac:dyDescent="0.3">
      <c r="A61" s="43" t="s">
        <v>111</v>
      </c>
      <c r="B61" s="44" t="s">
        <v>117</v>
      </c>
      <c r="C61" s="44" t="s">
        <v>118</v>
      </c>
      <c r="D61" s="44" t="s">
        <v>123</v>
      </c>
      <c r="E61" s="45" t="s">
        <v>29</v>
      </c>
      <c r="F61" s="51" t="s">
        <v>24</v>
      </c>
      <c r="G61" s="51"/>
      <c r="H61" s="45" t="s">
        <v>22</v>
      </c>
      <c r="I61" s="53">
        <v>295162.07</v>
      </c>
      <c r="J61" s="53"/>
      <c r="K61" s="48" t="s">
        <v>17</v>
      </c>
      <c r="L61" s="49">
        <v>4713181.71</v>
      </c>
    </row>
    <row r="62" spans="1:12" ht="71.400000000000006" x14ac:dyDescent="0.3">
      <c r="A62" s="43" t="s">
        <v>111</v>
      </c>
      <c r="B62" s="44" t="s">
        <v>117</v>
      </c>
      <c r="C62" s="44" t="s">
        <v>118</v>
      </c>
      <c r="D62" s="44" t="s">
        <v>124</v>
      </c>
      <c r="E62" s="45" t="s">
        <v>29</v>
      </c>
      <c r="F62" s="51" t="s">
        <v>24</v>
      </c>
      <c r="G62" s="51"/>
      <c r="H62" s="45" t="s">
        <v>22</v>
      </c>
      <c r="I62" s="53">
        <v>17578.41</v>
      </c>
      <c r="J62" s="53"/>
      <c r="K62" s="48" t="s">
        <v>17</v>
      </c>
      <c r="L62" s="49">
        <v>4695603.3</v>
      </c>
    </row>
    <row r="63" spans="1:12" ht="71.400000000000006" x14ac:dyDescent="0.3">
      <c r="A63" s="43" t="s">
        <v>111</v>
      </c>
      <c r="B63" s="44" t="s">
        <v>117</v>
      </c>
      <c r="C63" s="44" t="s">
        <v>118</v>
      </c>
      <c r="D63" s="44" t="s">
        <v>125</v>
      </c>
      <c r="E63" s="45" t="s">
        <v>29</v>
      </c>
      <c r="F63" s="51" t="s">
        <v>24</v>
      </c>
      <c r="G63" s="51"/>
      <c r="H63" s="45" t="s">
        <v>22</v>
      </c>
      <c r="I63" s="53">
        <v>26196.28</v>
      </c>
      <c r="J63" s="53"/>
      <c r="K63" s="48" t="s">
        <v>17</v>
      </c>
      <c r="L63" s="49">
        <v>4669407.0199999996</v>
      </c>
    </row>
    <row r="64" spans="1:12" ht="61.2" x14ac:dyDescent="0.3">
      <c r="A64" s="43" t="s">
        <v>111</v>
      </c>
      <c r="B64" s="44" t="s">
        <v>117</v>
      </c>
      <c r="C64" s="44" t="s">
        <v>118</v>
      </c>
      <c r="D64" s="44" t="s">
        <v>126</v>
      </c>
      <c r="E64" s="45" t="s">
        <v>29</v>
      </c>
      <c r="F64" s="51" t="s">
        <v>24</v>
      </c>
      <c r="G64" s="51"/>
      <c r="H64" s="45" t="s">
        <v>22</v>
      </c>
      <c r="I64" s="53">
        <v>75839.03</v>
      </c>
      <c r="J64" s="53"/>
      <c r="K64" s="48" t="s">
        <v>17</v>
      </c>
      <c r="L64" s="49">
        <v>4593567.99</v>
      </c>
    </row>
    <row r="65" spans="1:12" ht="71.400000000000006" x14ac:dyDescent="0.3">
      <c r="A65" s="43" t="s">
        <v>127</v>
      </c>
      <c r="B65" s="44" t="s">
        <v>128</v>
      </c>
      <c r="C65" s="44" t="s">
        <v>118</v>
      </c>
      <c r="D65" s="44" t="s">
        <v>119</v>
      </c>
      <c r="E65" s="45" t="s">
        <v>29</v>
      </c>
      <c r="F65" s="51" t="s">
        <v>24</v>
      </c>
      <c r="G65" s="51"/>
      <c r="H65" s="45" t="s">
        <v>22</v>
      </c>
      <c r="I65" s="53">
        <v>12444.95</v>
      </c>
      <c r="J65" s="53"/>
      <c r="K65" s="48" t="s">
        <v>17</v>
      </c>
      <c r="L65" s="49">
        <v>4581123.04</v>
      </c>
    </row>
    <row r="66" spans="1:12" ht="71.400000000000006" x14ac:dyDescent="0.3">
      <c r="A66" s="43" t="s">
        <v>127</v>
      </c>
      <c r="B66" s="44" t="s">
        <v>128</v>
      </c>
      <c r="C66" s="44" t="s">
        <v>118</v>
      </c>
      <c r="D66" s="44" t="s">
        <v>129</v>
      </c>
      <c r="E66" s="45" t="s">
        <v>29</v>
      </c>
      <c r="F66" s="51" t="s">
        <v>24</v>
      </c>
      <c r="G66" s="51"/>
      <c r="H66" s="45" t="s">
        <v>22</v>
      </c>
      <c r="I66" s="53">
        <v>19176.05</v>
      </c>
      <c r="J66" s="53"/>
      <c r="K66" s="48" t="s">
        <v>17</v>
      </c>
      <c r="L66" s="49">
        <v>4561946.99</v>
      </c>
    </row>
    <row r="67" spans="1:12" ht="71.400000000000006" x14ac:dyDescent="0.3">
      <c r="A67" s="43" t="s">
        <v>127</v>
      </c>
      <c r="B67" s="44" t="s">
        <v>128</v>
      </c>
      <c r="C67" s="44" t="s">
        <v>118</v>
      </c>
      <c r="D67" s="44" t="s">
        <v>130</v>
      </c>
      <c r="E67" s="45" t="s">
        <v>29</v>
      </c>
      <c r="F67" s="51" t="s">
        <v>24</v>
      </c>
      <c r="G67" s="51"/>
      <c r="H67" s="45" t="s">
        <v>22</v>
      </c>
      <c r="I67" s="53">
        <v>48436.58</v>
      </c>
      <c r="J67" s="53"/>
      <c r="K67" s="48" t="s">
        <v>17</v>
      </c>
      <c r="L67" s="49">
        <v>4513510.41</v>
      </c>
    </row>
    <row r="68" spans="1:12" ht="71.400000000000006" x14ac:dyDescent="0.3">
      <c r="A68" s="43" t="s">
        <v>127</v>
      </c>
      <c r="B68" s="44" t="s">
        <v>128</v>
      </c>
      <c r="C68" s="44" t="s">
        <v>118</v>
      </c>
      <c r="D68" s="44" t="s">
        <v>123</v>
      </c>
      <c r="E68" s="45" t="s">
        <v>29</v>
      </c>
      <c r="F68" s="51" t="s">
        <v>24</v>
      </c>
      <c r="G68" s="51"/>
      <c r="H68" s="45" t="s">
        <v>22</v>
      </c>
      <c r="I68" s="53">
        <v>152586.44</v>
      </c>
      <c r="J68" s="53"/>
      <c r="K68" s="48" t="s">
        <v>17</v>
      </c>
      <c r="L68" s="49">
        <v>4360923.97</v>
      </c>
    </row>
    <row r="69" spans="1:12" ht="61.2" x14ac:dyDescent="0.3">
      <c r="A69" s="43" t="s">
        <v>127</v>
      </c>
      <c r="B69" s="44" t="s">
        <v>128</v>
      </c>
      <c r="C69" s="44" t="s">
        <v>118</v>
      </c>
      <c r="D69" s="44" t="s">
        <v>131</v>
      </c>
      <c r="E69" s="45" t="s">
        <v>29</v>
      </c>
      <c r="F69" s="51" t="s">
        <v>24</v>
      </c>
      <c r="G69" s="51"/>
      <c r="H69" s="45" t="s">
        <v>22</v>
      </c>
      <c r="I69" s="53">
        <v>22040.79</v>
      </c>
      <c r="J69" s="53"/>
      <c r="K69" s="48" t="s">
        <v>17</v>
      </c>
      <c r="L69" s="49">
        <v>4338883.18</v>
      </c>
    </row>
    <row r="70" spans="1:12" ht="71.400000000000006" x14ac:dyDescent="0.3">
      <c r="A70" s="43" t="s">
        <v>127</v>
      </c>
      <c r="B70" s="44" t="s">
        <v>128</v>
      </c>
      <c r="C70" s="44" t="s">
        <v>118</v>
      </c>
      <c r="D70" s="44" t="s">
        <v>132</v>
      </c>
      <c r="E70" s="45" t="s">
        <v>29</v>
      </c>
      <c r="F70" s="51" t="s">
        <v>24</v>
      </c>
      <c r="G70" s="51"/>
      <c r="H70" s="45" t="s">
        <v>22</v>
      </c>
      <c r="I70" s="53">
        <v>7810.24</v>
      </c>
      <c r="J70" s="53"/>
      <c r="K70" s="48" t="s">
        <v>17</v>
      </c>
      <c r="L70" s="49">
        <v>4331072.9400000004</v>
      </c>
    </row>
    <row r="71" spans="1:12" ht="61.2" x14ac:dyDescent="0.3">
      <c r="A71" s="43" t="s">
        <v>127</v>
      </c>
      <c r="B71" s="44" t="s">
        <v>128</v>
      </c>
      <c r="C71" s="44" t="s">
        <v>118</v>
      </c>
      <c r="D71" s="44" t="s">
        <v>126</v>
      </c>
      <c r="E71" s="45" t="s">
        <v>29</v>
      </c>
      <c r="F71" s="51" t="s">
        <v>24</v>
      </c>
      <c r="G71" s="51"/>
      <c r="H71" s="45" t="s">
        <v>22</v>
      </c>
      <c r="I71" s="53">
        <v>16036.45</v>
      </c>
      <c r="J71" s="53"/>
      <c r="K71" s="48" t="s">
        <v>17</v>
      </c>
      <c r="L71" s="49">
        <v>4315036.49</v>
      </c>
    </row>
    <row r="72" spans="1:12" ht="71.400000000000006" x14ac:dyDescent="0.3">
      <c r="A72" s="43" t="s">
        <v>127</v>
      </c>
      <c r="B72" s="44" t="s">
        <v>128</v>
      </c>
      <c r="C72" s="44" t="s">
        <v>118</v>
      </c>
      <c r="D72" s="44" t="s">
        <v>133</v>
      </c>
      <c r="E72" s="45" t="s">
        <v>29</v>
      </c>
      <c r="F72" s="51" t="s">
        <v>24</v>
      </c>
      <c r="G72" s="51"/>
      <c r="H72" s="45" t="s">
        <v>22</v>
      </c>
      <c r="I72" s="53">
        <v>3981.7</v>
      </c>
      <c r="J72" s="53"/>
      <c r="K72" s="48" t="s">
        <v>17</v>
      </c>
      <c r="L72" s="49">
        <v>4311054.79</v>
      </c>
    </row>
    <row r="73" spans="1:12" ht="61.2" x14ac:dyDescent="0.3">
      <c r="A73" s="43" t="s">
        <v>127</v>
      </c>
      <c r="B73" s="44" t="s">
        <v>128</v>
      </c>
      <c r="C73" s="44" t="s">
        <v>118</v>
      </c>
      <c r="D73" s="44" t="s">
        <v>134</v>
      </c>
      <c r="E73" s="45" t="s">
        <v>29</v>
      </c>
      <c r="F73" s="51" t="s">
        <v>24</v>
      </c>
      <c r="G73" s="51"/>
      <c r="H73" s="45" t="s">
        <v>22</v>
      </c>
      <c r="I73" s="53">
        <v>175568.1</v>
      </c>
      <c r="J73" s="53"/>
      <c r="K73" s="48" t="s">
        <v>17</v>
      </c>
      <c r="L73" s="49">
        <v>4135486.69</v>
      </c>
    </row>
    <row r="74" spans="1:12" ht="71.400000000000006" x14ac:dyDescent="0.3">
      <c r="A74" s="43" t="s">
        <v>127</v>
      </c>
      <c r="B74" s="44" t="s">
        <v>128</v>
      </c>
      <c r="C74" s="44" t="s">
        <v>118</v>
      </c>
      <c r="D74" s="44" t="s">
        <v>135</v>
      </c>
      <c r="E74" s="45" t="s">
        <v>29</v>
      </c>
      <c r="F74" s="51" t="s">
        <v>24</v>
      </c>
      <c r="G74" s="51"/>
      <c r="H74" s="45" t="s">
        <v>22</v>
      </c>
      <c r="I74" s="53">
        <v>32680.42</v>
      </c>
      <c r="J74" s="53"/>
      <c r="K74" s="48" t="s">
        <v>17</v>
      </c>
      <c r="L74" s="49">
        <v>4102806.27</v>
      </c>
    </row>
    <row r="75" spans="1:12" ht="61.2" x14ac:dyDescent="0.3">
      <c r="A75" s="43" t="s">
        <v>25</v>
      </c>
      <c r="B75" s="44" t="s">
        <v>136</v>
      </c>
      <c r="C75" s="44" t="s">
        <v>118</v>
      </c>
      <c r="D75" s="44" t="s">
        <v>131</v>
      </c>
      <c r="E75" s="45" t="s">
        <v>29</v>
      </c>
      <c r="F75" s="51" t="s">
        <v>24</v>
      </c>
      <c r="G75" s="51"/>
      <c r="H75" s="45" t="s">
        <v>22</v>
      </c>
      <c r="I75" s="53">
        <v>49077.5</v>
      </c>
      <c r="J75" s="53"/>
      <c r="K75" s="48" t="s">
        <v>17</v>
      </c>
      <c r="L75" s="49">
        <v>4053728.77</v>
      </c>
    </row>
    <row r="76" spans="1:12" ht="71.400000000000006" x14ac:dyDescent="0.3">
      <c r="A76" s="43" t="s">
        <v>25</v>
      </c>
      <c r="B76" s="44" t="s">
        <v>136</v>
      </c>
      <c r="C76" s="44" t="s">
        <v>118</v>
      </c>
      <c r="D76" s="44" t="s">
        <v>119</v>
      </c>
      <c r="E76" s="45" t="s">
        <v>29</v>
      </c>
      <c r="F76" s="51" t="s">
        <v>24</v>
      </c>
      <c r="G76" s="51"/>
      <c r="H76" s="45" t="s">
        <v>22</v>
      </c>
      <c r="I76" s="53">
        <v>9541.1200000000008</v>
      </c>
      <c r="J76" s="53"/>
      <c r="K76" s="48" t="s">
        <v>17</v>
      </c>
      <c r="L76" s="49">
        <v>4044187.65</v>
      </c>
    </row>
    <row r="77" spans="1:12" ht="71.400000000000006" x14ac:dyDescent="0.3">
      <c r="A77" s="43" t="s">
        <v>25</v>
      </c>
      <c r="B77" s="44" t="s">
        <v>136</v>
      </c>
      <c r="C77" s="44" t="s">
        <v>118</v>
      </c>
      <c r="D77" s="44" t="s">
        <v>133</v>
      </c>
      <c r="E77" s="45" t="s">
        <v>29</v>
      </c>
      <c r="F77" s="51" t="s">
        <v>24</v>
      </c>
      <c r="G77" s="51"/>
      <c r="H77" s="45" t="s">
        <v>22</v>
      </c>
      <c r="I77" s="53">
        <v>5403.73</v>
      </c>
      <c r="J77" s="53"/>
      <c r="K77" s="48" t="s">
        <v>17</v>
      </c>
      <c r="L77" s="49">
        <v>4038783.92</v>
      </c>
    </row>
    <row r="78" spans="1:12" ht="71.400000000000006" x14ac:dyDescent="0.3">
      <c r="A78" s="43" t="s">
        <v>25</v>
      </c>
      <c r="B78" s="44" t="s">
        <v>136</v>
      </c>
      <c r="C78" s="44" t="s">
        <v>118</v>
      </c>
      <c r="D78" s="44" t="s">
        <v>137</v>
      </c>
      <c r="E78" s="45" t="s">
        <v>29</v>
      </c>
      <c r="F78" s="51" t="s">
        <v>24</v>
      </c>
      <c r="G78" s="51"/>
      <c r="H78" s="45" t="s">
        <v>22</v>
      </c>
      <c r="I78" s="53">
        <v>6600.64</v>
      </c>
      <c r="J78" s="53"/>
      <c r="K78" s="48" t="s">
        <v>17</v>
      </c>
      <c r="L78" s="49">
        <v>4032183.28</v>
      </c>
    </row>
    <row r="79" spans="1:12" ht="71.400000000000006" x14ac:dyDescent="0.3">
      <c r="A79" s="43" t="s">
        <v>25</v>
      </c>
      <c r="B79" s="44" t="s">
        <v>136</v>
      </c>
      <c r="C79" s="44" t="s">
        <v>118</v>
      </c>
      <c r="D79" s="44" t="s">
        <v>130</v>
      </c>
      <c r="E79" s="45" t="s">
        <v>29</v>
      </c>
      <c r="F79" s="51" t="s">
        <v>24</v>
      </c>
      <c r="G79" s="51"/>
      <c r="H79" s="45" t="s">
        <v>22</v>
      </c>
      <c r="I79" s="53">
        <v>59614.25</v>
      </c>
      <c r="J79" s="53"/>
      <c r="K79" s="48" t="s">
        <v>17</v>
      </c>
      <c r="L79" s="49">
        <v>3972569.03</v>
      </c>
    </row>
    <row r="80" spans="1:12" ht="71.400000000000006" x14ac:dyDescent="0.3">
      <c r="A80" s="43" t="s">
        <v>25</v>
      </c>
      <c r="B80" s="44" t="s">
        <v>136</v>
      </c>
      <c r="C80" s="44" t="s">
        <v>118</v>
      </c>
      <c r="D80" s="44" t="s">
        <v>125</v>
      </c>
      <c r="E80" s="45" t="s">
        <v>29</v>
      </c>
      <c r="F80" s="51" t="s">
        <v>24</v>
      </c>
      <c r="G80" s="51"/>
      <c r="H80" s="45" t="s">
        <v>22</v>
      </c>
      <c r="I80" s="53">
        <v>9525.92</v>
      </c>
      <c r="J80" s="53"/>
      <c r="K80" s="48" t="s">
        <v>17</v>
      </c>
      <c r="L80" s="49">
        <v>3963043.11</v>
      </c>
    </row>
    <row r="81" spans="1:12" ht="71.400000000000006" x14ac:dyDescent="0.3">
      <c r="A81" s="43" t="s">
        <v>25</v>
      </c>
      <c r="B81" s="44" t="s">
        <v>136</v>
      </c>
      <c r="C81" s="44" t="s">
        <v>118</v>
      </c>
      <c r="D81" s="44" t="s">
        <v>132</v>
      </c>
      <c r="E81" s="45" t="s">
        <v>29</v>
      </c>
      <c r="F81" s="51" t="s">
        <v>24</v>
      </c>
      <c r="G81" s="51"/>
      <c r="H81" s="45" t="s">
        <v>22</v>
      </c>
      <c r="I81" s="53">
        <v>12496.38</v>
      </c>
      <c r="J81" s="53"/>
      <c r="K81" s="48" t="s">
        <v>17</v>
      </c>
      <c r="L81" s="49">
        <v>3950546.73</v>
      </c>
    </row>
    <row r="82" spans="1:12" ht="61.2" x14ac:dyDescent="0.3">
      <c r="A82" s="43" t="s">
        <v>25</v>
      </c>
      <c r="B82" s="44" t="s">
        <v>136</v>
      </c>
      <c r="C82" s="44" t="s">
        <v>118</v>
      </c>
      <c r="D82" s="44" t="s">
        <v>126</v>
      </c>
      <c r="E82" s="45" t="s">
        <v>29</v>
      </c>
      <c r="F82" s="51" t="s">
        <v>24</v>
      </c>
      <c r="G82" s="51"/>
      <c r="H82" s="45" t="s">
        <v>22</v>
      </c>
      <c r="I82" s="53">
        <v>8686.41</v>
      </c>
      <c r="J82" s="53"/>
      <c r="K82" s="48" t="s">
        <v>17</v>
      </c>
      <c r="L82" s="49">
        <v>3941860.32</v>
      </c>
    </row>
    <row r="83" spans="1:12" ht="71.400000000000006" x14ac:dyDescent="0.3">
      <c r="A83" s="43" t="s">
        <v>25</v>
      </c>
      <c r="B83" s="44" t="s">
        <v>136</v>
      </c>
      <c r="C83" s="44" t="s">
        <v>118</v>
      </c>
      <c r="D83" s="44" t="s">
        <v>123</v>
      </c>
      <c r="E83" s="45" t="s">
        <v>29</v>
      </c>
      <c r="F83" s="51" t="s">
        <v>24</v>
      </c>
      <c r="G83" s="51"/>
      <c r="H83" s="45" t="s">
        <v>22</v>
      </c>
      <c r="I83" s="53">
        <v>91837.07</v>
      </c>
      <c r="J83" s="53"/>
      <c r="K83" s="48" t="s">
        <v>17</v>
      </c>
      <c r="L83" s="49">
        <v>3850023.25</v>
      </c>
    </row>
    <row r="84" spans="1:12" ht="71.400000000000006" x14ac:dyDescent="0.3">
      <c r="A84" s="43" t="s">
        <v>25</v>
      </c>
      <c r="B84" s="44" t="s">
        <v>136</v>
      </c>
      <c r="C84" s="44" t="s">
        <v>118</v>
      </c>
      <c r="D84" s="44" t="s">
        <v>138</v>
      </c>
      <c r="E84" s="45" t="s">
        <v>29</v>
      </c>
      <c r="F84" s="51" t="s">
        <v>24</v>
      </c>
      <c r="G84" s="51"/>
      <c r="H84" s="45" t="s">
        <v>22</v>
      </c>
      <c r="I84" s="53">
        <v>34567.699999999997</v>
      </c>
      <c r="J84" s="53"/>
      <c r="K84" s="48" t="s">
        <v>17</v>
      </c>
      <c r="L84" s="49">
        <v>3815455.55</v>
      </c>
    </row>
    <row r="85" spans="1:12" ht="71.400000000000006" x14ac:dyDescent="0.3">
      <c r="A85" s="43" t="s">
        <v>25</v>
      </c>
      <c r="B85" s="44" t="s">
        <v>136</v>
      </c>
      <c r="C85" s="44" t="s">
        <v>118</v>
      </c>
      <c r="D85" s="44" t="s">
        <v>139</v>
      </c>
      <c r="E85" s="45" t="s">
        <v>29</v>
      </c>
      <c r="F85" s="51" t="s">
        <v>24</v>
      </c>
      <c r="G85" s="51"/>
      <c r="H85" s="45" t="s">
        <v>22</v>
      </c>
      <c r="I85" s="53">
        <v>54092.04</v>
      </c>
      <c r="J85" s="53"/>
      <c r="K85" s="48" t="s">
        <v>17</v>
      </c>
      <c r="L85" s="49">
        <v>3761363.51</v>
      </c>
    </row>
    <row r="86" spans="1:12" ht="61.2" x14ac:dyDescent="0.3">
      <c r="A86" s="43" t="s">
        <v>25</v>
      </c>
      <c r="B86" s="44" t="s">
        <v>136</v>
      </c>
      <c r="C86" s="44" t="s">
        <v>118</v>
      </c>
      <c r="D86" s="44" t="s">
        <v>140</v>
      </c>
      <c r="E86" s="45" t="s">
        <v>29</v>
      </c>
      <c r="F86" s="51" t="s">
        <v>24</v>
      </c>
      <c r="G86" s="51"/>
      <c r="H86" s="45" t="s">
        <v>22</v>
      </c>
      <c r="I86" s="53">
        <v>78074.38</v>
      </c>
      <c r="J86" s="53"/>
      <c r="K86" s="48" t="s">
        <v>17</v>
      </c>
      <c r="L86" s="49">
        <v>3683289.13</v>
      </c>
    </row>
    <row r="87" spans="1:12" x14ac:dyDescent="0.3">
      <c r="A87" s="54" t="s">
        <v>47</v>
      </c>
      <c r="B87" s="54"/>
      <c r="C87" s="54"/>
      <c r="D87" s="54"/>
      <c r="E87" s="55">
        <v>57779.63</v>
      </c>
      <c r="F87" s="55"/>
      <c r="G87" s="55"/>
      <c r="H87" s="55">
        <v>1502149.64</v>
      </c>
      <c r="I87" s="55"/>
      <c r="J87" s="55"/>
      <c r="K87" s="56" t="s">
        <v>17</v>
      </c>
      <c r="L87" s="57">
        <v>3683289.13</v>
      </c>
    </row>
    <row r="89" spans="1:12" x14ac:dyDescent="0.3">
      <c r="J89" s="29">
        <f>SUBTOTAL(9,I57:J86)*1.2</f>
        <v>1802579.5679999995</v>
      </c>
    </row>
  </sheetData>
  <autoFilter ref="B51:D87">
    <filterColumn colId="0">
      <filters blank="1">
        <filter val="Вимога-накладна ІБ00-000081 від 14.02.2025 18:35:36_x000a_Списаны ТМЦ"/>
        <filter val="Вимога-накладна ІБ00-000082 від 17.02.2025 23:30:46_x000a_Списаны ТМЦ"/>
        <filter val="Вимога-накладна ІБ00-000105 від 28.02.2025 12:56:44_x000a_Списаны ТМЦ"/>
      </filters>
    </filterColumn>
  </autoFilter>
  <mergeCells count="180">
    <mergeCell ref="F86:G86"/>
    <mergeCell ref="I86:J86"/>
    <mergeCell ref="A87:D87"/>
    <mergeCell ref="E87:G87"/>
    <mergeCell ref="H87:J87"/>
    <mergeCell ref="F83:G83"/>
    <mergeCell ref="I83:J83"/>
    <mergeCell ref="F84:G84"/>
    <mergeCell ref="I84:J84"/>
    <mergeCell ref="F85:G85"/>
    <mergeCell ref="I85:J85"/>
    <mergeCell ref="F80:G80"/>
    <mergeCell ref="I80:J80"/>
    <mergeCell ref="F81:G81"/>
    <mergeCell ref="I81:J81"/>
    <mergeCell ref="F82:G82"/>
    <mergeCell ref="I82:J82"/>
    <mergeCell ref="F77:G77"/>
    <mergeCell ref="I77:J77"/>
    <mergeCell ref="F78:G78"/>
    <mergeCell ref="I78:J78"/>
    <mergeCell ref="F79:G79"/>
    <mergeCell ref="I79:J79"/>
    <mergeCell ref="F74:G74"/>
    <mergeCell ref="I74:J74"/>
    <mergeCell ref="F75:G75"/>
    <mergeCell ref="I75:J75"/>
    <mergeCell ref="F76:G76"/>
    <mergeCell ref="I76:J76"/>
    <mergeCell ref="F71:G71"/>
    <mergeCell ref="I71:J71"/>
    <mergeCell ref="F72:G72"/>
    <mergeCell ref="I72:J72"/>
    <mergeCell ref="F73:G73"/>
    <mergeCell ref="I73:J73"/>
    <mergeCell ref="F68:G68"/>
    <mergeCell ref="I68:J68"/>
    <mergeCell ref="F69:G69"/>
    <mergeCell ref="I69:J69"/>
    <mergeCell ref="F70:G70"/>
    <mergeCell ref="I70:J70"/>
    <mergeCell ref="F65:G65"/>
    <mergeCell ref="I65:J65"/>
    <mergeCell ref="F66:G66"/>
    <mergeCell ref="I66:J66"/>
    <mergeCell ref="F67:G67"/>
    <mergeCell ref="I67:J67"/>
    <mergeCell ref="F62:G62"/>
    <mergeCell ref="I62:J62"/>
    <mergeCell ref="F63:G63"/>
    <mergeCell ref="I63:J63"/>
    <mergeCell ref="F64:G64"/>
    <mergeCell ref="I64:J64"/>
    <mergeCell ref="F59:G59"/>
    <mergeCell ref="I59:J59"/>
    <mergeCell ref="F60:G60"/>
    <mergeCell ref="I60:J60"/>
    <mergeCell ref="F61:G61"/>
    <mergeCell ref="I61:J61"/>
    <mergeCell ref="F56:G56"/>
    <mergeCell ref="I56:J56"/>
    <mergeCell ref="F57:G57"/>
    <mergeCell ref="I57:J57"/>
    <mergeCell ref="F58:G58"/>
    <mergeCell ref="I58:J58"/>
    <mergeCell ref="F53:G53"/>
    <mergeCell ref="I53:J53"/>
    <mergeCell ref="F54:G54"/>
    <mergeCell ref="I54:J54"/>
    <mergeCell ref="F55:G55"/>
    <mergeCell ref="I55:J55"/>
    <mergeCell ref="H51:J51"/>
    <mergeCell ref="K51:L52"/>
    <mergeCell ref="F52:G52"/>
    <mergeCell ref="I52:J52"/>
    <mergeCell ref="F46:G46"/>
    <mergeCell ref="I46:J46"/>
    <mergeCell ref="A47:D47"/>
    <mergeCell ref="E47:G47"/>
    <mergeCell ref="H47:J47"/>
    <mergeCell ref="A51:A52"/>
    <mergeCell ref="B51:B52"/>
    <mergeCell ref="C51:C52"/>
    <mergeCell ref="D51:D52"/>
    <mergeCell ref="E51:G51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81"/>
  <sheetViews>
    <sheetView topLeftCell="A72" workbookViewId="0">
      <selection activeCell="J81" sqref="J81"/>
    </sheetView>
  </sheetViews>
  <sheetFormatPr defaultRowHeight="14.4" x14ac:dyDescent="0.3"/>
  <cols>
    <col min="2" max="4" width="31.77734375" customWidth="1"/>
    <col min="10" max="10" width="9.88671875" bestFit="1" customWidth="1"/>
  </cols>
  <sheetData>
    <row r="1" spans="1:12" x14ac:dyDescent="0.3">
      <c r="A1" s="58" t="s">
        <v>9</v>
      </c>
      <c r="B1" s="59" t="s">
        <v>10</v>
      </c>
      <c r="C1" s="59" t="s">
        <v>11</v>
      </c>
      <c r="D1" s="60" t="s">
        <v>12</v>
      </c>
      <c r="E1" s="61" t="s">
        <v>13</v>
      </c>
      <c r="F1" s="61"/>
      <c r="G1" s="61"/>
      <c r="H1" s="62" t="s">
        <v>14</v>
      </c>
      <c r="I1" s="62"/>
      <c r="J1" s="62"/>
      <c r="K1" s="59" t="s">
        <v>15</v>
      </c>
      <c r="L1" s="59"/>
    </row>
    <row r="2" spans="1:12" hidden="1" x14ac:dyDescent="0.3">
      <c r="A2" s="63"/>
      <c r="B2" s="64"/>
      <c r="C2" s="64"/>
      <c r="D2" s="65"/>
      <c r="E2" s="66" t="s">
        <v>16</v>
      </c>
      <c r="F2" s="67"/>
      <c r="G2" s="67"/>
      <c r="H2" s="68" t="s">
        <v>16</v>
      </c>
      <c r="I2" s="69"/>
      <c r="J2" s="69"/>
      <c r="K2" s="63"/>
      <c r="L2" s="70"/>
    </row>
    <row r="3" spans="1:12" ht="51" hidden="1" x14ac:dyDescent="0.3">
      <c r="A3" s="71" t="s">
        <v>141</v>
      </c>
      <c r="B3" s="72" t="s">
        <v>142</v>
      </c>
      <c r="C3" s="72" t="s">
        <v>143</v>
      </c>
      <c r="D3" s="72" t="s">
        <v>143</v>
      </c>
      <c r="E3" s="73" t="s">
        <v>22</v>
      </c>
      <c r="F3" s="74">
        <v>69</v>
      </c>
      <c r="G3" s="74"/>
      <c r="H3" s="73" t="s">
        <v>144</v>
      </c>
      <c r="I3" s="75" t="s">
        <v>24</v>
      </c>
      <c r="J3" s="75"/>
      <c r="K3" s="76" t="s">
        <v>17</v>
      </c>
      <c r="L3" s="77">
        <v>409329.06</v>
      </c>
    </row>
    <row r="4" spans="1:12" ht="61.2" hidden="1" x14ac:dyDescent="0.3">
      <c r="A4" s="71" t="s">
        <v>145</v>
      </c>
      <c r="B4" s="72" t="s">
        <v>146</v>
      </c>
      <c r="C4" s="72" t="s">
        <v>147</v>
      </c>
      <c r="D4" s="72" t="s">
        <v>148</v>
      </c>
      <c r="E4" s="73" t="s">
        <v>22</v>
      </c>
      <c r="F4" s="78">
        <v>1020.52</v>
      </c>
      <c r="G4" s="78"/>
      <c r="H4" s="73" t="s">
        <v>23</v>
      </c>
      <c r="I4" s="75" t="s">
        <v>24</v>
      </c>
      <c r="J4" s="75"/>
      <c r="K4" s="76" t="s">
        <v>17</v>
      </c>
      <c r="L4" s="77">
        <v>410349.58</v>
      </c>
    </row>
    <row r="5" spans="1:12" ht="51" hidden="1" x14ac:dyDescent="0.3">
      <c r="A5" s="71" t="s">
        <v>145</v>
      </c>
      <c r="B5" s="72" t="s">
        <v>149</v>
      </c>
      <c r="C5" s="72" t="s">
        <v>150</v>
      </c>
      <c r="D5" s="72" t="s">
        <v>151</v>
      </c>
      <c r="E5" s="73" t="s">
        <v>22</v>
      </c>
      <c r="F5" s="74">
        <v>713.3</v>
      </c>
      <c r="G5" s="74"/>
      <c r="H5" s="73" t="s">
        <v>23</v>
      </c>
      <c r="I5" s="75" t="s">
        <v>24</v>
      </c>
      <c r="J5" s="75"/>
      <c r="K5" s="76" t="s">
        <v>17</v>
      </c>
      <c r="L5" s="77">
        <v>411062.88</v>
      </c>
    </row>
    <row r="6" spans="1:12" ht="51" hidden="1" x14ac:dyDescent="0.3">
      <c r="A6" s="71" t="s">
        <v>145</v>
      </c>
      <c r="B6" s="72" t="s">
        <v>149</v>
      </c>
      <c r="C6" s="72" t="s">
        <v>152</v>
      </c>
      <c r="D6" s="72" t="s">
        <v>151</v>
      </c>
      <c r="E6" s="73" t="s">
        <v>22</v>
      </c>
      <c r="F6" s="78">
        <v>4354</v>
      </c>
      <c r="G6" s="78"/>
      <c r="H6" s="73" t="s">
        <v>23</v>
      </c>
      <c r="I6" s="75" t="s">
        <v>24</v>
      </c>
      <c r="J6" s="75"/>
      <c r="K6" s="76" t="s">
        <v>17</v>
      </c>
      <c r="L6" s="77">
        <v>415416.88</v>
      </c>
    </row>
    <row r="7" spans="1:12" ht="51" hidden="1" x14ac:dyDescent="0.3">
      <c r="A7" s="71" t="s">
        <v>145</v>
      </c>
      <c r="B7" s="72" t="s">
        <v>153</v>
      </c>
      <c r="C7" s="72" t="s">
        <v>150</v>
      </c>
      <c r="D7" s="72" t="s">
        <v>151</v>
      </c>
      <c r="E7" s="73" t="s">
        <v>22</v>
      </c>
      <c r="F7" s="74">
        <v>154.84</v>
      </c>
      <c r="G7" s="74"/>
      <c r="H7" s="73" t="s">
        <v>23</v>
      </c>
      <c r="I7" s="75" t="s">
        <v>24</v>
      </c>
      <c r="J7" s="75"/>
      <c r="K7" s="76" t="s">
        <v>17</v>
      </c>
      <c r="L7" s="77">
        <v>415571.72</v>
      </c>
    </row>
    <row r="8" spans="1:12" ht="51" hidden="1" x14ac:dyDescent="0.3">
      <c r="A8" s="71" t="s">
        <v>145</v>
      </c>
      <c r="B8" s="72" t="s">
        <v>153</v>
      </c>
      <c r="C8" s="72" t="s">
        <v>152</v>
      </c>
      <c r="D8" s="72" t="s">
        <v>151</v>
      </c>
      <c r="E8" s="73" t="s">
        <v>22</v>
      </c>
      <c r="F8" s="74">
        <v>945.16</v>
      </c>
      <c r="G8" s="74"/>
      <c r="H8" s="73" t="s">
        <v>23</v>
      </c>
      <c r="I8" s="75" t="s">
        <v>24</v>
      </c>
      <c r="J8" s="75"/>
      <c r="K8" s="76" t="s">
        <v>17</v>
      </c>
      <c r="L8" s="77">
        <v>416516.88</v>
      </c>
    </row>
    <row r="9" spans="1:12" ht="61.2" hidden="1" x14ac:dyDescent="0.3">
      <c r="A9" s="71" t="s">
        <v>145</v>
      </c>
      <c r="B9" s="72" t="s">
        <v>154</v>
      </c>
      <c r="C9" s="72" t="s">
        <v>155</v>
      </c>
      <c r="D9" s="72" t="s">
        <v>148</v>
      </c>
      <c r="E9" s="73" t="s">
        <v>22</v>
      </c>
      <c r="F9" s="78">
        <v>9857.2000000000007</v>
      </c>
      <c r="G9" s="78"/>
      <c r="H9" s="73" t="s">
        <v>23</v>
      </c>
      <c r="I9" s="75" t="s">
        <v>24</v>
      </c>
      <c r="J9" s="75"/>
      <c r="K9" s="76" t="s">
        <v>17</v>
      </c>
      <c r="L9" s="77">
        <v>426374.08</v>
      </c>
    </row>
    <row r="10" spans="1:12" ht="51" hidden="1" x14ac:dyDescent="0.3">
      <c r="A10" s="71" t="s">
        <v>145</v>
      </c>
      <c r="B10" s="72" t="s">
        <v>156</v>
      </c>
      <c r="C10" s="72" t="s">
        <v>157</v>
      </c>
      <c r="D10" s="72" t="s">
        <v>158</v>
      </c>
      <c r="E10" s="73" t="s">
        <v>22</v>
      </c>
      <c r="F10" s="78">
        <v>1958.86</v>
      </c>
      <c r="G10" s="78"/>
      <c r="H10" s="73" t="s">
        <v>23</v>
      </c>
      <c r="I10" s="75" t="s">
        <v>24</v>
      </c>
      <c r="J10" s="75"/>
      <c r="K10" s="76" t="s">
        <v>17</v>
      </c>
      <c r="L10" s="77">
        <v>428332.94</v>
      </c>
    </row>
    <row r="11" spans="1:12" ht="51" hidden="1" x14ac:dyDescent="0.3">
      <c r="A11" s="71" t="s">
        <v>145</v>
      </c>
      <c r="B11" s="72" t="s">
        <v>154</v>
      </c>
      <c r="C11" s="72" t="s">
        <v>157</v>
      </c>
      <c r="D11" s="72" t="s">
        <v>148</v>
      </c>
      <c r="E11" s="73" t="s">
        <v>22</v>
      </c>
      <c r="F11" s="78">
        <v>2863.54</v>
      </c>
      <c r="G11" s="78"/>
      <c r="H11" s="73" t="s">
        <v>23</v>
      </c>
      <c r="I11" s="75" t="s">
        <v>24</v>
      </c>
      <c r="J11" s="75"/>
      <c r="K11" s="76" t="s">
        <v>17</v>
      </c>
      <c r="L11" s="77">
        <v>431196.48</v>
      </c>
    </row>
    <row r="12" spans="1:12" ht="51" hidden="1" x14ac:dyDescent="0.3">
      <c r="A12" s="71" t="s">
        <v>145</v>
      </c>
      <c r="B12" s="72" t="s">
        <v>156</v>
      </c>
      <c r="C12" s="72" t="s">
        <v>159</v>
      </c>
      <c r="D12" s="72" t="s">
        <v>158</v>
      </c>
      <c r="E12" s="73" t="s">
        <v>22</v>
      </c>
      <c r="F12" s="74">
        <v>650.39</v>
      </c>
      <c r="G12" s="74"/>
      <c r="H12" s="73" t="s">
        <v>23</v>
      </c>
      <c r="I12" s="75" t="s">
        <v>24</v>
      </c>
      <c r="J12" s="75"/>
      <c r="K12" s="76" t="s">
        <v>17</v>
      </c>
      <c r="L12" s="77">
        <v>431846.87</v>
      </c>
    </row>
    <row r="13" spans="1:12" ht="61.2" hidden="1" x14ac:dyDescent="0.3">
      <c r="A13" s="71" t="s">
        <v>145</v>
      </c>
      <c r="B13" s="72" t="s">
        <v>160</v>
      </c>
      <c r="C13" s="72" t="s">
        <v>155</v>
      </c>
      <c r="D13" s="72" t="s">
        <v>161</v>
      </c>
      <c r="E13" s="73" t="s">
        <v>22</v>
      </c>
      <c r="F13" s="74">
        <v>803.75</v>
      </c>
      <c r="G13" s="74"/>
      <c r="H13" s="73" t="s">
        <v>23</v>
      </c>
      <c r="I13" s="75" t="s">
        <v>24</v>
      </c>
      <c r="J13" s="75"/>
      <c r="K13" s="76" t="s">
        <v>17</v>
      </c>
      <c r="L13" s="77">
        <v>432650.62</v>
      </c>
    </row>
    <row r="14" spans="1:12" ht="51" hidden="1" x14ac:dyDescent="0.3">
      <c r="A14" s="71" t="s">
        <v>145</v>
      </c>
      <c r="B14" s="72" t="s">
        <v>160</v>
      </c>
      <c r="C14" s="72" t="s">
        <v>157</v>
      </c>
      <c r="D14" s="72" t="s">
        <v>161</v>
      </c>
      <c r="E14" s="73" t="s">
        <v>22</v>
      </c>
      <c r="F14" s="74">
        <v>393.22</v>
      </c>
      <c r="G14" s="74"/>
      <c r="H14" s="73" t="s">
        <v>23</v>
      </c>
      <c r="I14" s="75" t="s">
        <v>24</v>
      </c>
      <c r="J14" s="75"/>
      <c r="K14" s="76" t="s">
        <v>17</v>
      </c>
      <c r="L14" s="77">
        <v>433043.84</v>
      </c>
    </row>
    <row r="15" spans="1:12" ht="51" hidden="1" x14ac:dyDescent="0.3">
      <c r="A15" s="71" t="s">
        <v>145</v>
      </c>
      <c r="B15" s="72" t="s">
        <v>160</v>
      </c>
      <c r="C15" s="72" t="s">
        <v>159</v>
      </c>
      <c r="D15" s="72" t="s">
        <v>161</v>
      </c>
      <c r="E15" s="73" t="s">
        <v>22</v>
      </c>
      <c r="F15" s="74">
        <v>53.03</v>
      </c>
      <c r="G15" s="74"/>
      <c r="H15" s="73" t="s">
        <v>23</v>
      </c>
      <c r="I15" s="75" t="s">
        <v>24</v>
      </c>
      <c r="J15" s="75"/>
      <c r="K15" s="76" t="s">
        <v>17</v>
      </c>
      <c r="L15" s="77">
        <v>433096.87</v>
      </c>
    </row>
    <row r="16" spans="1:12" ht="51" hidden="1" x14ac:dyDescent="0.3">
      <c r="A16" s="71" t="s">
        <v>145</v>
      </c>
      <c r="B16" s="72" t="s">
        <v>162</v>
      </c>
      <c r="C16" s="72" t="s">
        <v>163</v>
      </c>
      <c r="D16" s="72" t="s">
        <v>164</v>
      </c>
      <c r="E16" s="73" t="s">
        <v>22</v>
      </c>
      <c r="F16" s="78">
        <v>3045.3</v>
      </c>
      <c r="G16" s="78"/>
      <c r="H16" s="73" t="s">
        <v>23</v>
      </c>
      <c r="I16" s="75" t="s">
        <v>24</v>
      </c>
      <c r="J16" s="75"/>
      <c r="K16" s="76" t="s">
        <v>17</v>
      </c>
      <c r="L16" s="77">
        <v>436142.17</v>
      </c>
    </row>
    <row r="17" spans="1:12" ht="51" hidden="1" x14ac:dyDescent="0.3">
      <c r="A17" s="71" t="s">
        <v>145</v>
      </c>
      <c r="B17" s="72" t="s">
        <v>162</v>
      </c>
      <c r="C17" s="72" t="s">
        <v>165</v>
      </c>
      <c r="D17" s="72" t="s">
        <v>164</v>
      </c>
      <c r="E17" s="73" t="s">
        <v>22</v>
      </c>
      <c r="F17" s="78">
        <v>2492.9</v>
      </c>
      <c r="G17" s="78"/>
      <c r="H17" s="73" t="s">
        <v>23</v>
      </c>
      <c r="I17" s="75" t="s">
        <v>24</v>
      </c>
      <c r="J17" s="75"/>
      <c r="K17" s="76" t="s">
        <v>17</v>
      </c>
      <c r="L17" s="77">
        <v>438635.07</v>
      </c>
    </row>
    <row r="18" spans="1:12" ht="51" hidden="1" x14ac:dyDescent="0.3">
      <c r="A18" s="71" t="s">
        <v>145</v>
      </c>
      <c r="B18" s="72" t="s">
        <v>166</v>
      </c>
      <c r="C18" s="72" t="s">
        <v>163</v>
      </c>
      <c r="D18" s="72" t="s">
        <v>164</v>
      </c>
      <c r="E18" s="73" t="s">
        <v>22</v>
      </c>
      <c r="F18" s="74">
        <v>329.93</v>
      </c>
      <c r="G18" s="74"/>
      <c r="H18" s="73" t="s">
        <v>23</v>
      </c>
      <c r="I18" s="75" t="s">
        <v>24</v>
      </c>
      <c r="J18" s="75"/>
      <c r="K18" s="76" t="s">
        <v>17</v>
      </c>
      <c r="L18" s="77">
        <v>438965</v>
      </c>
    </row>
    <row r="19" spans="1:12" ht="51" hidden="1" x14ac:dyDescent="0.3">
      <c r="A19" s="71" t="s">
        <v>145</v>
      </c>
      <c r="B19" s="72" t="s">
        <v>166</v>
      </c>
      <c r="C19" s="72" t="s">
        <v>165</v>
      </c>
      <c r="D19" s="72" t="s">
        <v>164</v>
      </c>
      <c r="E19" s="73" t="s">
        <v>22</v>
      </c>
      <c r="F19" s="74">
        <v>270.07</v>
      </c>
      <c r="G19" s="74"/>
      <c r="H19" s="73" t="s">
        <v>23</v>
      </c>
      <c r="I19" s="75" t="s">
        <v>24</v>
      </c>
      <c r="J19" s="75"/>
      <c r="K19" s="76" t="s">
        <v>17</v>
      </c>
      <c r="L19" s="77">
        <v>439235.07</v>
      </c>
    </row>
    <row r="20" spans="1:12" ht="51" hidden="1" x14ac:dyDescent="0.3">
      <c r="A20" s="71" t="s">
        <v>18</v>
      </c>
      <c r="B20" s="72" t="s">
        <v>167</v>
      </c>
      <c r="C20" s="72" t="s">
        <v>168</v>
      </c>
      <c r="D20" s="72" t="s">
        <v>169</v>
      </c>
      <c r="E20" s="73" t="s">
        <v>22</v>
      </c>
      <c r="F20" s="78">
        <v>6283.33</v>
      </c>
      <c r="G20" s="78"/>
      <c r="H20" s="73" t="s">
        <v>23</v>
      </c>
      <c r="I20" s="75" t="s">
        <v>24</v>
      </c>
      <c r="J20" s="75"/>
      <c r="K20" s="76" t="s">
        <v>17</v>
      </c>
      <c r="L20" s="77">
        <v>445518.4</v>
      </c>
    </row>
    <row r="21" spans="1:12" ht="51" hidden="1" x14ac:dyDescent="0.3">
      <c r="A21" s="71" t="s">
        <v>53</v>
      </c>
      <c r="B21" s="72" t="s">
        <v>170</v>
      </c>
      <c r="C21" s="72" t="s">
        <v>171</v>
      </c>
      <c r="D21" s="72" t="s">
        <v>172</v>
      </c>
      <c r="E21" s="73" t="s">
        <v>22</v>
      </c>
      <c r="F21" s="79" t="s">
        <v>24</v>
      </c>
      <c r="G21" s="79"/>
      <c r="H21" s="73" t="s">
        <v>22</v>
      </c>
      <c r="I21" s="80">
        <v>633.82000000000005</v>
      </c>
      <c r="J21" s="80"/>
      <c r="K21" s="76" t="s">
        <v>17</v>
      </c>
      <c r="L21" s="77">
        <v>444884.58</v>
      </c>
    </row>
    <row r="22" spans="1:12" ht="51" hidden="1" x14ac:dyDescent="0.3">
      <c r="A22" s="71" t="s">
        <v>53</v>
      </c>
      <c r="B22" s="72" t="s">
        <v>170</v>
      </c>
      <c r="C22" s="72" t="s">
        <v>173</v>
      </c>
      <c r="D22" s="72" t="s">
        <v>174</v>
      </c>
      <c r="E22" s="73" t="s">
        <v>22</v>
      </c>
      <c r="F22" s="79" t="s">
        <v>24</v>
      </c>
      <c r="G22" s="79"/>
      <c r="H22" s="73" t="s">
        <v>22</v>
      </c>
      <c r="I22" s="80">
        <v>500</v>
      </c>
      <c r="J22" s="80"/>
      <c r="K22" s="76" t="s">
        <v>17</v>
      </c>
      <c r="L22" s="77">
        <v>444384.58</v>
      </c>
    </row>
    <row r="23" spans="1:12" ht="51" hidden="1" x14ac:dyDescent="0.3">
      <c r="A23" s="71" t="s">
        <v>53</v>
      </c>
      <c r="B23" s="72" t="s">
        <v>54</v>
      </c>
      <c r="C23" s="72" t="s">
        <v>55</v>
      </c>
      <c r="D23" s="72" t="s">
        <v>56</v>
      </c>
      <c r="E23" s="73" t="s">
        <v>22</v>
      </c>
      <c r="F23" s="79" t="s">
        <v>24</v>
      </c>
      <c r="G23" s="79"/>
      <c r="H23" s="73" t="s">
        <v>22</v>
      </c>
      <c r="I23" s="81">
        <v>2390.4</v>
      </c>
      <c r="J23" s="81"/>
      <c r="K23" s="76" t="s">
        <v>17</v>
      </c>
      <c r="L23" s="77">
        <v>441994.18</v>
      </c>
    </row>
    <row r="24" spans="1:12" ht="61.2" hidden="1" x14ac:dyDescent="0.3">
      <c r="A24" s="71" t="s">
        <v>53</v>
      </c>
      <c r="B24" s="72" t="s">
        <v>54</v>
      </c>
      <c r="C24" s="72" t="s">
        <v>57</v>
      </c>
      <c r="D24" s="72" t="s">
        <v>58</v>
      </c>
      <c r="E24" s="73" t="s">
        <v>22</v>
      </c>
      <c r="F24" s="79" t="s">
        <v>24</v>
      </c>
      <c r="G24" s="79"/>
      <c r="H24" s="73" t="s">
        <v>22</v>
      </c>
      <c r="I24" s="80">
        <v>509.78</v>
      </c>
      <c r="J24" s="80"/>
      <c r="K24" s="76" t="s">
        <v>17</v>
      </c>
      <c r="L24" s="77">
        <v>441484.4</v>
      </c>
    </row>
    <row r="25" spans="1:12" ht="61.2" hidden="1" x14ac:dyDescent="0.3">
      <c r="A25" s="71" t="s">
        <v>53</v>
      </c>
      <c r="B25" s="72" t="s">
        <v>54</v>
      </c>
      <c r="C25" s="72" t="s">
        <v>59</v>
      </c>
      <c r="D25" s="72" t="s">
        <v>60</v>
      </c>
      <c r="E25" s="73" t="s">
        <v>22</v>
      </c>
      <c r="F25" s="79" t="s">
        <v>24</v>
      </c>
      <c r="G25" s="79"/>
      <c r="H25" s="73" t="s">
        <v>22</v>
      </c>
      <c r="I25" s="80">
        <v>101.35</v>
      </c>
      <c r="J25" s="80"/>
      <c r="K25" s="76" t="s">
        <v>17</v>
      </c>
      <c r="L25" s="77">
        <v>441383.05</v>
      </c>
    </row>
    <row r="26" spans="1:12" ht="51" hidden="1" x14ac:dyDescent="0.3">
      <c r="A26" s="71" t="s">
        <v>175</v>
      </c>
      <c r="B26" s="72" t="s">
        <v>176</v>
      </c>
      <c r="C26" s="72" t="s">
        <v>177</v>
      </c>
      <c r="D26" s="72" t="s">
        <v>178</v>
      </c>
      <c r="E26" s="73" t="s">
        <v>22</v>
      </c>
      <c r="F26" s="79" t="s">
        <v>24</v>
      </c>
      <c r="G26" s="79"/>
      <c r="H26" s="73" t="s">
        <v>22</v>
      </c>
      <c r="I26" s="81">
        <v>10702.74</v>
      </c>
      <c r="J26" s="81"/>
      <c r="K26" s="76" t="s">
        <v>17</v>
      </c>
      <c r="L26" s="77">
        <v>430680.31</v>
      </c>
    </row>
    <row r="27" spans="1:12" ht="51" hidden="1" x14ac:dyDescent="0.3">
      <c r="A27" s="71" t="s">
        <v>175</v>
      </c>
      <c r="B27" s="72" t="s">
        <v>176</v>
      </c>
      <c r="C27" s="72" t="s">
        <v>179</v>
      </c>
      <c r="D27" s="72" t="s">
        <v>180</v>
      </c>
      <c r="E27" s="73" t="s">
        <v>22</v>
      </c>
      <c r="F27" s="79" t="s">
        <v>24</v>
      </c>
      <c r="G27" s="79"/>
      <c r="H27" s="73" t="s">
        <v>22</v>
      </c>
      <c r="I27" s="81">
        <v>1460.3</v>
      </c>
      <c r="J27" s="81"/>
      <c r="K27" s="76" t="s">
        <v>17</v>
      </c>
      <c r="L27" s="77">
        <v>429220.01</v>
      </c>
    </row>
    <row r="28" spans="1:12" ht="51" x14ac:dyDescent="0.3">
      <c r="A28" s="71" t="s">
        <v>181</v>
      </c>
      <c r="B28" s="72" t="s">
        <v>182</v>
      </c>
      <c r="C28" s="72" t="s">
        <v>183</v>
      </c>
      <c r="D28" s="72" t="s">
        <v>184</v>
      </c>
      <c r="E28" s="73" t="s">
        <v>29</v>
      </c>
      <c r="F28" s="79" t="s">
        <v>24</v>
      </c>
      <c r="G28" s="79"/>
      <c r="H28" s="73" t="s">
        <v>22</v>
      </c>
      <c r="I28" s="80">
        <v>503.42</v>
      </c>
      <c r="J28" s="80"/>
      <c r="K28" s="76" t="s">
        <v>17</v>
      </c>
      <c r="L28" s="77">
        <v>428716.59</v>
      </c>
    </row>
    <row r="29" spans="1:12" ht="51" x14ac:dyDescent="0.3">
      <c r="A29" s="71" t="s">
        <v>181</v>
      </c>
      <c r="B29" s="72" t="s">
        <v>185</v>
      </c>
      <c r="C29" s="72" t="s">
        <v>186</v>
      </c>
      <c r="D29" s="72" t="s">
        <v>187</v>
      </c>
      <c r="E29" s="73" t="s">
        <v>29</v>
      </c>
      <c r="F29" s="79" t="s">
        <v>24</v>
      </c>
      <c r="G29" s="79"/>
      <c r="H29" s="73" t="s">
        <v>22</v>
      </c>
      <c r="I29" s="81">
        <v>2585.1799999999998</v>
      </c>
      <c r="J29" s="81"/>
      <c r="K29" s="76" t="s">
        <v>17</v>
      </c>
      <c r="L29" s="77">
        <v>426131.41</v>
      </c>
    </row>
    <row r="30" spans="1:12" ht="51" x14ac:dyDescent="0.3">
      <c r="A30" s="71" t="s">
        <v>181</v>
      </c>
      <c r="B30" s="72" t="s">
        <v>185</v>
      </c>
      <c r="C30" s="72" t="s">
        <v>186</v>
      </c>
      <c r="D30" s="72" t="s">
        <v>188</v>
      </c>
      <c r="E30" s="73" t="s">
        <v>29</v>
      </c>
      <c r="F30" s="79" t="s">
        <v>24</v>
      </c>
      <c r="G30" s="79"/>
      <c r="H30" s="73" t="s">
        <v>22</v>
      </c>
      <c r="I30" s="81">
        <v>3775.65</v>
      </c>
      <c r="J30" s="81"/>
      <c r="K30" s="76" t="s">
        <v>17</v>
      </c>
      <c r="L30" s="77">
        <v>422355.76</v>
      </c>
    </row>
    <row r="31" spans="1:12" ht="51" x14ac:dyDescent="0.3">
      <c r="A31" s="71" t="s">
        <v>181</v>
      </c>
      <c r="B31" s="72" t="s">
        <v>185</v>
      </c>
      <c r="C31" s="72" t="s">
        <v>186</v>
      </c>
      <c r="D31" s="72" t="s">
        <v>189</v>
      </c>
      <c r="E31" s="73" t="s">
        <v>29</v>
      </c>
      <c r="F31" s="79" t="s">
        <v>24</v>
      </c>
      <c r="G31" s="79"/>
      <c r="H31" s="73" t="s">
        <v>22</v>
      </c>
      <c r="I31" s="81">
        <v>3179.07</v>
      </c>
      <c r="J31" s="81"/>
      <c r="K31" s="76" t="s">
        <v>17</v>
      </c>
      <c r="L31" s="77">
        <v>419176.69</v>
      </c>
    </row>
    <row r="32" spans="1:12" ht="51" x14ac:dyDescent="0.3">
      <c r="A32" s="71" t="s">
        <v>181</v>
      </c>
      <c r="B32" s="72" t="s">
        <v>185</v>
      </c>
      <c r="C32" s="72" t="s">
        <v>186</v>
      </c>
      <c r="D32" s="72" t="s">
        <v>190</v>
      </c>
      <c r="E32" s="73" t="s">
        <v>29</v>
      </c>
      <c r="F32" s="79" t="s">
        <v>24</v>
      </c>
      <c r="G32" s="79"/>
      <c r="H32" s="73" t="s">
        <v>22</v>
      </c>
      <c r="I32" s="81">
        <v>5546.67</v>
      </c>
      <c r="J32" s="81"/>
      <c r="K32" s="76" t="s">
        <v>17</v>
      </c>
      <c r="L32" s="77">
        <v>413630.02</v>
      </c>
    </row>
    <row r="33" spans="1:12" ht="51" x14ac:dyDescent="0.3">
      <c r="A33" s="71" t="s">
        <v>181</v>
      </c>
      <c r="B33" s="72" t="s">
        <v>185</v>
      </c>
      <c r="C33" s="72" t="s">
        <v>186</v>
      </c>
      <c r="D33" s="72" t="s">
        <v>191</v>
      </c>
      <c r="E33" s="73" t="s">
        <v>29</v>
      </c>
      <c r="F33" s="79" t="s">
        <v>24</v>
      </c>
      <c r="G33" s="79"/>
      <c r="H33" s="73" t="s">
        <v>22</v>
      </c>
      <c r="I33" s="81">
        <v>5937.5</v>
      </c>
      <c r="J33" s="81"/>
      <c r="K33" s="76" t="s">
        <v>17</v>
      </c>
      <c r="L33" s="77">
        <v>407692.52</v>
      </c>
    </row>
    <row r="34" spans="1:12" ht="51" x14ac:dyDescent="0.3">
      <c r="A34" s="71" t="s">
        <v>181</v>
      </c>
      <c r="B34" s="72" t="s">
        <v>185</v>
      </c>
      <c r="C34" s="72" t="s">
        <v>186</v>
      </c>
      <c r="D34" s="72" t="s">
        <v>188</v>
      </c>
      <c r="E34" s="73" t="s">
        <v>29</v>
      </c>
      <c r="F34" s="79" t="s">
        <v>24</v>
      </c>
      <c r="G34" s="79"/>
      <c r="H34" s="73" t="s">
        <v>22</v>
      </c>
      <c r="I34" s="81">
        <v>1283.51</v>
      </c>
      <c r="J34" s="81"/>
      <c r="K34" s="76" t="s">
        <v>17</v>
      </c>
      <c r="L34" s="77">
        <v>406409.01</v>
      </c>
    </row>
    <row r="35" spans="1:12" ht="51" x14ac:dyDescent="0.3">
      <c r="A35" s="71" t="s">
        <v>181</v>
      </c>
      <c r="B35" s="72" t="s">
        <v>185</v>
      </c>
      <c r="C35" s="72" t="s">
        <v>186</v>
      </c>
      <c r="D35" s="72" t="s">
        <v>192</v>
      </c>
      <c r="E35" s="73" t="s">
        <v>29</v>
      </c>
      <c r="F35" s="79" t="s">
        <v>24</v>
      </c>
      <c r="G35" s="79"/>
      <c r="H35" s="73" t="s">
        <v>22</v>
      </c>
      <c r="I35" s="81">
        <v>6731.39</v>
      </c>
      <c r="J35" s="81"/>
      <c r="K35" s="76" t="s">
        <v>17</v>
      </c>
      <c r="L35" s="77">
        <v>399677.62</v>
      </c>
    </row>
    <row r="36" spans="1:12" ht="51" x14ac:dyDescent="0.3">
      <c r="A36" s="71" t="s">
        <v>181</v>
      </c>
      <c r="B36" s="72" t="s">
        <v>185</v>
      </c>
      <c r="C36" s="72" t="s">
        <v>186</v>
      </c>
      <c r="D36" s="72" t="s">
        <v>193</v>
      </c>
      <c r="E36" s="73" t="s">
        <v>29</v>
      </c>
      <c r="F36" s="79" t="s">
        <v>24</v>
      </c>
      <c r="G36" s="79"/>
      <c r="H36" s="73" t="s">
        <v>22</v>
      </c>
      <c r="I36" s="81">
        <v>2210</v>
      </c>
      <c r="J36" s="81"/>
      <c r="K36" s="76" t="s">
        <v>17</v>
      </c>
      <c r="L36" s="77">
        <v>397467.62</v>
      </c>
    </row>
    <row r="37" spans="1:12" ht="51" x14ac:dyDescent="0.3">
      <c r="A37" s="71" t="s">
        <v>181</v>
      </c>
      <c r="B37" s="72" t="s">
        <v>185</v>
      </c>
      <c r="C37" s="72" t="s">
        <v>186</v>
      </c>
      <c r="D37" s="72" t="s">
        <v>194</v>
      </c>
      <c r="E37" s="73" t="s">
        <v>29</v>
      </c>
      <c r="F37" s="79" t="s">
        <v>24</v>
      </c>
      <c r="G37" s="79"/>
      <c r="H37" s="73" t="s">
        <v>22</v>
      </c>
      <c r="I37" s="80">
        <v>586.16999999999996</v>
      </c>
      <c r="J37" s="80"/>
      <c r="K37" s="76" t="s">
        <v>17</v>
      </c>
      <c r="L37" s="77">
        <v>396881.45</v>
      </c>
    </row>
    <row r="38" spans="1:12" ht="51" x14ac:dyDescent="0.3">
      <c r="A38" s="71" t="s">
        <v>181</v>
      </c>
      <c r="B38" s="72" t="s">
        <v>185</v>
      </c>
      <c r="C38" s="72" t="s">
        <v>186</v>
      </c>
      <c r="D38" s="72" t="s">
        <v>195</v>
      </c>
      <c r="E38" s="73" t="s">
        <v>29</v>
      </c>
      <c r="F38" s="79" t="s">
        <v>24</v>
      </c>
      <c r="G38" s="79"/>
      <c r="H38" s="73" t="s">
        <v>22</v>
      </c>
      <c r="I38" s="80">
        <v>306.12</v>
      </c>
      <c r="J38" s="80"/>
      <c r="K38" s="76" t="s">
        <v>17</v>
      </c>
      <c r="L38" s="77">
        <v>396575.33</v>
      </c>
    </row>
    <row r="39" spans="1:12" ht="61.2" x14ac:dyDescent="0.3">
      <c r="A39" s="71" t="s">
        <v>181</v>
      </c>
      <c r="B39" s="72" t="s">
        <v>185</v>
      </c>
      <c r="C39" s="72" t="s">
        <v>186</v>
      </c>
      <c r="D39" s="72" t="s">
        <v>196</v>
      </c>
      <c r="E39" s="73" t="s">
        <v>29</v>
      </c>
      <c r="F39" s="79" t="s">
        <v>24</v>
      </c>
      <c r="G39" s="79"/>
      <c r="H39" s="73" t="s">
        <v>22</v>
      </c>
      <c r="I39" s="80">
        <v>776.65</v>
      </c>
      <c r="J39" s="80"/>
      <c r="K39" s="76" t="s">
        <v>17</v>
      </c>
      <c r="L39" s="77">
        <v>395798.68</v>
      </c>
    </row>
    <row r="40" spans="1:12" ht="51" x14ac:dyDescent="0.3">
      <c r="A40" s="71" t="s">
        <v>181</v>
      </c>
      <c r="B40" s="72" t="s">
        <v>185</v>
      </c>
      <c r="C40" s="72" t="s">
        <v>186</v>
      </c>
      <c r="D40" s="72" t="s">
        <v>197</v>
      </c>
      <c r="E40" s="73" t="s">
        <v>29</v>
      </c>
      <c r="F40" s="79" t="s">
        <v>24</v>
      </c>
      <c r="G40" s="79"/>
      <c r="H40" s="73" t="s">
        <v>22</v>
      </c>
      <c r="I40" s="81">
        <v>16684.169999999998</v>
      </c>
      <c r="J40" s="81"/>
      <c r="K40" s="76" t="s">
        <v>17</v>
      </c>
      <c r="L40" s="77">
        <v>379114.51</v>
      </c>
    </row>
    <row r="41" spans="1:12" ht="51" x14ac:dyDescent="0.3">
      <c r="A41" s="71" t="s">
        <v>181</v>
      </c>
      <c r="B41" s="72" t="s">
        <v>185</v>
      </c>
      <c r="C41" s="72" t="s">
        <v>186</v>
      </c>
      <c r="D41" s="72" t="s">
        <v>198</v>
      </c>
      <c r="E41" s="73" t="s">
        <v>29</v>
      </c>
      <c r="F41" s="79" t="s">
        <v>24</v>
      </c>
      <c r="G41" s="79"/>
      <c r="H41" s="73" t="s">
        <v>22</v>
      </c>
      <c r="I41" s="81">
        <v>25168.080000000002</v>
      </c>
      <c r="J41" s="81"/>
      <c r="K41" s="76" t="s">
        <v>17</v>
      </c>
      <c r="L41" s="77">
        <v>353946.43</v>
      </c>
    </row>
    <row r="42" spans="1:12" ht="51" x14ac:dyDescent="0.3">
      <c r="A42" s="71" t="s">
        <v>181</v>
      </c>
      <c r="B42" s="72" t="s">
        <v>185</v>
      </c>
      <c r="C42" s="72" t="s">
        <v>186</v>
      </c>
      <c r="D42" s="72" t="s">
        <v>199</v>
      </c>
      <c r="E42" s="73" t="s">
        <v>29</v>
      </c>
      <c r="F42" s="79" t="s">
        <v>24</v>
      </c>
      <c r="G42" s="79"/>
      <c r="H42" s="73" t="s">
        <v>22</v>
      </c>
      <c r="I42" s="81">
        <v>29695.43</v>
      </c>
      <c r="J42" s="81"/>
      <c r="K42" s="76" t="s">
        <v>17</v>
      </c>
      <c r="L42" s="77">
        <v>324251</v>
      </c>
    </row>
    <row r="43" spans="1:12" ht="51" x14ac:dyDescent="0.3">
      <c r="A43" s="71" t="s">
        <v>181</v>
      </c>
      <c r="B43" s="72" t="s">
        <v>185</v>
      </c>
      <c r="C43" s="72" t="s">
        <v>186</v>
      </c>
      <c r="D43" s="72" t="s">
        <v>200</v>
      </c>
      <c r="E43" s="73" t="s">
        <v>29</v>
      </c>
      <c r="F43" s="79" t="s">
        <v>24</v>
      </c>
      <c r="G43" s="79"/>
      <c r="H43" s="73" t="s">
        <v>22</v>
      </c>
      <c r="I43" s="81">
        <v>1696.06</v>
      </c>
      <c r="J43" s="81"/>
      <c r="K43" s="76" t="s">
        <v>17</v>
      </c>
      <c r="L43" s="77">
        <v>322554.94</v>
      </c>
    </row>
    <row r="44" spans="1:12" ht="51" x14ac:dyDescent="0.3">
      <c r="A44" s="71" t="s">
        <v>181</v>
      </c>
      <c r="B44" s="72" t="s">
        <v>185</v>
      </c>
      <c r="C44" s="72" t="s">
        <v>186</v>
      </c>
      <c r="D44" s="72" t="s">
        <v>152</v>
      </c>
      <c r="E44" s="73" t="s">
        <v>29</v>
      </c>
      <c r="F44" s="79" t="s">
        <v>24</v>
      </c>
      <c r="G44" s="79"/>
      <c r="H44" s="73" t="s">
        <v>22</v>
      </c>
      <c r="I44" s="81">
        <v>5299.16</v>
      </c>
      <c r="J44" s="81"/>
      <c r="K44" s="76" t="s">
        <v>17</v>
      </c>
      <c r="L44" s="77">
        <v>317255.78000000003</v>
      </c>
    </row>
    <row r="45" spans="1:12" ht="51" x14ac:dyDescent="0.3">
      <c r="A45" s="71" t="s">
        <v>181</v>
      </c>
      <c r="B45" s="72" t="s">
        <v>185</v>
      </c>
      <c r="C45" s="72" t="s">
        <v>186</v>
      </c>
      <c r="D45" s="72" t="s">
        <v>143</v>
      </c>
      <c r="E45" s="73" t="s">
        <v>29</v>
      </c>
      <c r="F45" s="79" t="s">
        <v>24</v>
      </c>
      <c r="G45" s="79"/>
      <c r="H45" s="73" t="s">
        <v>22</v>
      </c>
      <c r="I45" s="80">
        <v>69</v>
      </c>
      <c r="J45" s="80"/>
      <c r="K45" s="76" t="s">
        <v>17</v>
      </c>
      <c r="L45" s="77">
        <v>317186.78000000003</v>
      </c>
    </row>
    <row r="46" spans="1:12" ht="51" x14ac:dyDescent="0.3">
      <c r="A46" s="71" t="s">
        <v>181</v>
      </c>
      <c r="B46" s="72" t="s">
        <v>201</v>
      </c>
      <c r="C46" s="72" t="s">
        <v>183</v>
      </c>
      <c r="D46" s="72" t="s">
        <v>202</v>
      </c>
      <c r="E46" s="73" t="s">
        <v>29</v>
      </c>
      <c r="F46" s="79" t="s">
        <v>24</v>
      </c>
      <c r="G46" s="79"/>
      <c r="H46" s="73" t="s">
        <v>22</v>
      </c>
      <c r="I46" s="80">
        <v>73.42</v>
      </c>
      <c r="J46" s="80"/>
      <c r="K46" s="76" t="s">
        <v>17</v>
      </c>
      <c r="L46" s="77">
        <v>317113.36</v>
      </c>
    </row>
    <row r="47" spans="1:12" ht="51" x14ac:dyDescent="0.3">
      <c r="A47" s="71" t="s">
        <v>181</v>
      </c>
      <c r="B47" s="72" t="s">
        <v>201</v>
      </c>
      <c r="C47" s="72" t="s">
        <v>183</v>
      </c>
      <c r="D47" s="72" t="s">
        <v>203</v>
      </c>
      <c r="E47" s="73" t="s">
        <v>29</v>
      </c>
      <c r="F47" s="79" t="s">
        <v>24</v>
      </c>
      <c r="G47" s="79"/>
      <c r="H47" s="73" t="s">
        <v>22</v>
      </c>
      <c r="I47" s="80">
        <v>125.45</v>
      </c>
      <c r="J47" s="80"/>
      <c r="K47" s="76" t="s">
        <v>17</v>
      </c>
      <c r="L47" s="77">
        <v>316987.90999999997</v>
      </c>
    </row>
    <row r="48" spans="1:12" ht="51" x14ac:dyDescent="0.3">
      <c r="A48" s="71" t="s">
        <v>181</v>
      </c>
      <c r="B48" s="72" t="s">
        <v>201</v>
      </c>
      <c r="C48" s="72" t="s">
        <v>183</v>
      </c>
      <c r="D48" s="72" t="s">
        <v>204</v>
      </c>
      <c r="E48" s="73" t="s">
        <v>29</v>
      </c>
      <c r="F48" s="79" t="s">
        <v>24</v>
      </c>
      <c r="G48" s="79"/>
      <c r="H48" s="73" t="s">
        <v>22</v>
      </c>
      <c r="I48" s="81">
        <v>8999.9699999999993</v>
      </c>
      <c r="J48" s="81"/>
      <c r="K48" s="76" t="s">
        <v>17</v>
      </c>
      <c r="L48" s="77">
        <v>307987.94</v>
      </c>
    </row>
    <row r="49" spans="1:12" ht="51" x14ac:dyDescent="0.3">
      <c r="A49" s="71" t="s">
        <v>181</v>
      </c>
      <c r="B49" s="72" t="s">
        <v>201</v>
      </c>
      <c r="C49" s="72" t="s">
        <v>183</v>
      </c>
      <c r="D49" s="72" t="s">
        <v>205</v>
      </c>
      <c r="E49" s="73" t="s">
        <v>29</v>
      </c>
      <c r="F49" s="79" t="s">
        <v>24</v>
      </c>
      <c r="G49" s="79"/>
      <c r="H49" s="73" t="s">
        <v>22</v>
      </c>
      <c r="I49" s="81">
        <v>2000</v>
      </c>
      <c r="J49" s="81"/>
      <c r="K49" s="76" t="s">
        <v>17</v>
      </c>
      <c r="L49" s="77">
        <v>305987.94</v>
      </c>
    </row>
    <row r="50" spans="1:12" ht="51" x14ac:dyDescent="0.3">
      <c r="A50" s="71" t="s">
        <v>181</v>
      </c>
      <c r="B50" s="72" t="s">
        <v>201</v>
      </c>
      <c r="C50" s="72" t="s">
        <v>183</v>
      </c>
      <c r="D50" s="72" t="s">
        <v>206</v>
      </c>
      <c r="E50" s="73" t="s">
        <v>29</v>
      </c>
      <c r="F50" s="79" t="s">
        <v>24</v>
      </c>
      <c r="G50" s="79"/>
      <c r="H50" s="73" t="s">
        <v>22</v>
      </c>
      <c r="I50" s="81">
        <v>3113.4</v>
      </c>
      <c r="J50" s="81"/>
      <c r="K50" s="76" t="s">
        <v>17</v>
      </c>
      <c r="L50" s="77">
        <v>302874.53999999998</v>
      </c>
    </row>
    <row r="51" spans="1:12" ht="61.2" x14ac:dyDescent="0.3">
      <c r="A51" s="71" t="s">
        <v>181</v>
      </c>
      <c r="B51" s="72" t="s">
        <v>207</v>
      </c>
      <c r="C51" s="72" t="s">
        <v>186</v>
      </c>
      <c r="D51" s="72" t="s">
        <v>208</v>
      </c>
      <c r="E51" s="73" t="s">
        <v>29</v>
      </c>
      <c r="F51" s="79" t="s">
        <v>24</v>
      </c>
      <c r="G51" s="79"/>
      <c r="H51" s="73" t="s">
        <v>22</v>
      </c>
      <c r="I51" s="81">
        <v>25091.03</v>
      </c>
      <c r="J51" s="81"/>
      <c r="K51" s="76" t="s">
        <v>17</v>
      </c>
      <c r="L51" s="77">
        <v>277783.51</v>
      </c>
    </row>
    <row r="52" spans="1:12" ht="61.2" x14ac:dyDescent="0.3">
      <c r="A52" s="71" t="s">
        <v>181</v>
      </c>
      <c r="B52" s="72" t="s">
        <v>207</v>
      </c>
      <c r="C52" s="72" t="s">
        <v>186</v>
      </c>
      <c r="D52" s="72" t="s">
        <v>147</v>
      </c>
      <c r="E52" s="73" t="s">
        <v>29</v>
      </c>
      <c r="F52" s="79" t="s">
        <v>24</v>
      </c>
      <c r="G52" s="79"/>
      <c r="H52" s="73" t="s">
        <v>22</v>
      </c>
      <c r="I52" s="81">
        <v>1020.52</v>
      </c>
      <c r="J52" s="81"/>
      <c r="K52" s="76" t="s">
        <v>17</v>
      </c>
      <c r="L52" s="77">
        <v>276762.99</v>
      </c>
    </row>
    <row r="53" spans="1:12" ht="61.2" x14ac:dyDescent="0.3">
      <c r="A53" s="71" t="s">
        <v>181</v>
      </c>
      <c r="B53" s="72" t="s">
        <v>207</v>
      </c>
      <c r="C53" s="72" t="s">
        <v>186</v>
      </c>
      <c r="D53" s="72" t="s">
        <v>155</v>
      </c>
      <c r="E53" s="73" t="s">
        <v>29</v>
      </c>
      <c r="F53" s="79" t="s">
        <v>24</v>
      </c>
      <c r="G53" s="79"/>
      <c r="H53" s="73" t="s">
        <v>22</v>
      </c>
      <c r="I53" s="81">
        <v>10660.95</v>
      </c>
      <c r="J53" s="81"/>
      <c r="K53" s="76" t="s">
        <v>17</v>
      </c>
      <c r="L53" s="77">
        <v>266102.03999999998</v>
      </c>
    </row>
    <row r="54" spans="1:12" ht="51" x14ac:dyDescent="0.3">
      <c r="A54" s="71" t="s">
        <v>181</v>
      </c>
      <c r="B54" s="72" t="s">
        <v>207</v>
      </c>
      <c r="C54" s="72" t="s">
        <v>186</v>
      </c>
      <c r="D54" s="72" t="s">
        <v>209</v>
      </c>
      <c r="E54" s="73" t="s">
        <v>29</v>
      </c>
      <c r="F54" s="79" t="s">
        <v>24</v>
      </c>
      <c r="G54" s="79"/>
      <c r="H54" s="73" t="s">
        <v>22</v>
      </c>
      <c r="I54" s="81">
        <v>8955.92</v>
      </c>
      <c r="J54" s="81"/>
      <c r="K54" s="76" t="s">
        <v>17</v>
      </c>
      <c r="L54" s="77">
        <v>257146.12</v>
      </c>
    </row>
    <row r="55" spans="1:12" ht="51" x14ac:dyDescent="0.3">
      <c r="A55" s="71" t="s">
        <v>181</v>
      </c>
      <c r="B55" s="72" t="s">
        <v>207</v>
      </c>
      <c r="C55" s="72" t="s">
        <v>186</v>
      </c>
      <c r="D55" s="72" t="s">
        <v>157</v>
      </c>
      <c r="E55" s="73" t="s">
        <v>29</v>
      </c>
      <c r="F55" s="79" t="s">
        <v>24</v>
      </c>
      <c r="G55" s="79"/>
      <c r="H55" s="73" t="s">
        <v>22</v>
      </c>
      <c r="I55" s="81">
        <v>5215.62</v>
      </c>
      <c r="J55" s="81"/>
      <c r="K55" s="76" t="s">
        <v>17</v>
      </c>
      <c r="L55" s="77">
        <v>251930.5</v>
      </c>
    </row>
    <row r="56" spans="1:12" ht="51" x14ac:dyDescent="0.3">
      <c r="A56" s="71" t="s">
        <v>181</v>
      </c>
      <c r="B56" s="72" t="s">
        <v>207</v>
      </c>
      <c r="C56" s="72" t="s">
        <v>186</v>
      </c>
      <c r="D56" s="72" t="s">
        <v>210</v>
      </c>
      <c r="E56" s="73" t="s">
        <v>29</v>
      </c>
      <c r="F56" s="79" t="s">
        <v>24</v>
      </c>
      <c r="G56" s="79"/>
      <c r="H56" s="73" t="s">
        <v>22</v>
      </c>
      <c r="I56" s="81">
        <v>1238.67</v>
      </c>
      <c r="J56" s="81"/>
      <c r="K56" s="76" t="s">
        <v>17</v>
      </c>
      <c r="L56" s="77">
        <v>250691.83</v>
      </c>
    </row>
    <row r="57" spans="1:12" ht="51" x14ac:dyDescent="0.3">
      <c r="A57" s="71" t="s">
        <v>181</v>
      </c>
      <c r="B57" s="72" t="s">
        <v>207</v>
      </c>
      <c r="C57" s="72" t="s">
        <v>186</v>
      </c>
      <c r="D57" s="72" t="s">
        <v>159</v>
      </c>
      <c r="E57" s="73" t="s">
        <v>29</v>
      </c>
      <c r="F57" s="79" t="s">
        <v>24</v>
      </c>
      <c r="G57" s="79"/>
      <c r="H57" s="73" t="s">
        <v>22</v>
      </c>
      <c r="I57" s="80">
        <v>410.33</v>
      </c>
      <c r="J57" s="80"/>
      <c r="K57" s="76" t="s">
        <v>17</v>
      </c>
      <c r="L57" s="77">
        <v>250281.5</v>
      </c>
    </row>
    <row r="58" spans="1:12" ht="71.400000000000006" x14ac:dyDescent="0.3">
      <c r="A58" s="71" t="s">
        <v>181</v>
      </c>
      <c r="B58" s="72" t="s">
        <v>207</v>
      </c>
      <c r="C58" s="72" t="s">
        <v>186</v>
      </c>
      <c r="D58" s="72" t="s">
        <v>211</v>
      </c>
      <c r="E58" s="73" t="s">
        <v>29</v>
      </c>
      <c r="F58" s="79" t="s">
        <v>24</v>
      </c>
      <c r="G58" s="79"/>
      <c r="H58" s="73" t="s">
        <v>22</v>
      </c>
      <c r="I58" s="81">
        <v>7720.08</v>
      </c>
      <c r="J58" s="81"/>
      <c r="K58" s="76" t="s">
        <v>17</v>
      </c>
      <c r="L58" s="77">
        <v>242561.42</v>
      </c>
    </row>
    <row r="59" spans="1:12" ht="71.400000000000006" x14ac:dyDescent="0.3">
      <c r="A59" s="71" t="s">
        <v>181</v>
      </c>
      <c r="B59" s="72" t="s">
        <v>207</v>
      </c>
      <c r="C59" s="72" t="s">
        <v>186</v>
      </c>
      <c r="D59" s="72" t="s">
        <v>212</v>
      </c>
      <c r="E59" s="73" t="s">
        <v>29</v>
      </c>
      <c r="F59" s="79" t="s">
        <v>24</v>
      </c>
      <c r="G59" s="79"/>
      <c r="H59" s="73" t="s">
        <v>22</v>
      </c>
      <c r="I59" s="81">
        <v>31194.33</v>
      </c>
      <c r="J59" s="81"/>
      <c r="K59" s="76" t="s">
        <v>17</v>
      </c>
      <c r="L59" s="77">
        <v>211367.09</v>
      </c>
    </row>
    <row r="60" spans="1:12" ht="51" x14ac:dyDescent="0.3">
      <c r="A60" s="71" t="s">
        <v>181</v>
      </c>
      <c r="B60" s="72" t="s">
        <v>207</v>
      </c>
      <c r="C60" s="72" t="s">
        <v>186</v>
      </c>
      <c r="D60" s="72" t="s">
        <v>168</v>
      </c>
      <c r="E60" s="73" t="s">
        <v>29</v>
      </c>
      <c r="F60" s="79" t="s">
        <v>24</v>
      </c>
      <c r="G60" s="79"/>
      <c r="H60" s="73" t="s">
        <v>22</v>
      </c>
      <c r="I60" s="81">
        <v>6283.33</v>
      </c>
      <c r="J60" s="81"/>
      <c r="K60" s="76" t="s">
        <v>17</v>
      </c>
      <c r="L60" s="77">
        <v>205083.76</v>
      </c>
    </row>
    <row r="61" spans="1:12" ht="51" x14ac:dyDescent="0.3">
      <c r="A61" s="71" t="s">
        <v>181</v>
      </c>
      <c r="B61" s="72" t="s">
        <v>207</v>
      </c>
      <c r="C61" s="72" t="s">
        <v>186</v>
      </c>
      <c r="D61" s="72" t="s">
        <v>213</v>
      </c>
      <c r="E61" s="73" t="s">
        <v>29</v>
      </c>
      <c r="F61" s="79" t="s">
        <v>24</v>
      </c>
      <c r="G61" s="79"/>
      <c r="H61" s="73" t="s">
        <v>22</v>
      </c>
      <c r="I61" s="81">
        <v>6283.33</v>
      </c>
      <c r="J61" s="81"/>
      <c r="K61" s="76" t="s">
        <v>17</v>
      </c>
      <c r="L61" s="77">
        <v>198800.43</v>
      </c>
    </row>
    <row r="62" spans="1:12" ht="61.2" x14ac:dyDescent="0.3">
      <c r="A62" s="71" t="s">
        <v>181</v>
      </c>
      <c r="B62" s="72" t="s">
        <v>207</v>
      </c>
      <c r="C62" s="72" t="s">
        <v>186</v>
      </c>
      <c r="D62" s="72" t="s">
        <v>214</v>
      </c>
      <c r="E62" s="73" t="s">
        <v>29</v>
      </c>
      <c r="F62" s="79" t="s">
        <v>24</v>
      </c>
      <c r="G62" s="79"/>
      <c r="H62" s="73" t="s">
        <v>22</v>
      </c>
      <c r="I62" s="81">
        <v>8693.4599999999991</v>
      </c>
      <c r="J62" s="81"/>
      <c r="K62" s="76" t="s">
        <v>17</v>
      </c>
      <c r="L62" s="77">
        <v>190106.97</v>
      </c>
    </row>
    <row r="63" spans="1:12" ht="51" x14ac:dyDescent="0.3">
      <c r="A63" s="71" t="s">
        <v>181</v>
      </c>
      <c r="B63" s="72" t="s">
        <v>207</v>
      </c>
      <c r="C63" s="72" t="s">
        <v>186</v>
      </c>
      <c r="D63" s="72" t="s">
        <v>215</v>
      </c>
      <c r="E63" s="73" t="s">
        <v>29</v>
      </c>
      <c r="F63" s="79" t="s">
        <v>24</v>
      </c>
      <c r="G63" s="79"/>
      <c r="H63" s="73" t="s">
        <v>22</v>
      </c>
      <c r="I63" s="81">
        <v>16609.580000000002</v>
      </c>
      <c r="J63" s="81"/>
      <c r="K63" s="76" t="s">
        <v>17</v>
      </c>
      <c r="L63" s="77">
        <v>173497.39</v>
      </c>
    </row>
    <row r="64" spans="1:12" ht="51" x14ac:dyDescent="0.3">
      <c r="A64" s="71" t="s">
        <v>181</v>
      </c>
      <c r="B64" s="72" t="s">
        <v>207</v>
      </c>
      <c r="C64" s="72" t="s">
        <v>186</v>
      </c>
      <c r="D64" s="72" t="s">
        <v>215</v>
      </c>
      <c r="E64" s="73" t="s">
        <v>29</v>
      </c>
      <c r="F64" s="79" t="s">
        <v>24</v>
      </c>
      <c r="G64" s="79"/>
      <c r="H64" s="73" t="s">
        <v>22</v>
      </c>
      <c r="I64" s="81">
        <v>34257.26</v>
      </c>
      <c r="J64" s="81"/>
      <c r="K64" s="76" t="s">
        <v>17</v>
      </c>
      <c r="L64" s="77">
        <v>139240.13</v>
      </c>
    </row>
    <row r="65" spans="1:12" ht="51" x14ac:dyDescent="0.3">
      <c r="A65" s="71" t="s">
        <v>181</v>
      </c>
      <c r="B65" s="72" t="s">
        <v>207</v>
      </c>
      <c r="C65" s="72" t="s">
        <v>186</v>
      </c>
      <c r="D65" s="72" t="s">
        <v>216</v>
      </c>
      <c r="E65" s="73" t="s">
        <v>29</v>
      </c>
      <c r="F65" s="79" t="s">
        <v>24</v>
      </c>
      <c r="G65" s="79"/>
      <c r="H65" s="73" t="s">
        <v>22</v>
      </c>
      <c r="I65" s="81">
        <v>16609.580000000002</v>
      </c>
      <c r="J65" s="81"/>
      <c r="K65" s="76" t="s">
        <v>17</v>
      </c>
      <c r="L65" s="77">
        <v>122630.55</v>
      </c>
    </row>
    <row r="66" spans="1:12" ht="51" x14ac:dyDescent="0.3">
      <c r="A66" s="71" t="s">
        <v>181</v>
      </c>
      <c r="B66" s="72" t="s">
        <v>207</v>
      </c>
      <c r="C66" s="72" t="s">
        <v>186</v>
      </c>
      <c r="D66" s="72" t="s">
        <v>217</v>
      </c>
      <c r="E66" s="73" t="s">
        <v>29</v>
      </c>
      <c r="F66" s="79" t="s">
        <v>24</v>
      </c>
      <c r="G66" s="79"/>
      <c r="H66" s="73" t="s">
        <v>22</v>
      </c>
      <c r="I66" s="81">
        <v>6800</v>
      </c>
      <c r="J66" s="81"/>
      <c r="K66" s="76" t="s">
        <v>17</v>
      </c>
      <c r="L66" s="77">
        <v>115830.55</v>
      </c>
    </row>
    <row r="67" spans="1:12" ht="51" x14ac:dyDescent="0.3">
      <c r="A67" s="71" t="s">
        <v>181</v>
      </c>
      <c r="B67" s="72" t="s">
        <v>207</v>
      </c>
      <c r="C67" s="72" t="s">
        <v>186</v>
      </c>
      <c r="D67" s="72" t="s">
        <v>218</v>
      </c>
      <c r="E67" s="73" t="s">
        <v>29</v>
      </c>
      <c r="F67" s="79" t="s">
        <v>24</v>
      </c>
      <c r="G67" s="79"/>
      <c r="H67" s="73" t="s">
        <v>22</v>
      </c>
      <c r="I67" s="81">
        <v>29958.75</v>
      </c>
      <c r="J67" s="81"/>
      <c r="K67" s="76" t="s">
        <v>17</v>
      </c>
      <c r="L67" s="77">
        <v>85871.8</v>
      </c>
    </row>
    <row r="68" spans="1:12" ht="51" x14ac:dyDescent="0.3">
      <c r="A68" s="71" t="s">
        <v>181</v>
      </c>
      <c r="B68" s="72" t="s">
        <v>207</v>
      </c>
      <c r="C68" s="72" t="s">
        <v>186</v>
      </c>
      <c r="D68" s="72" t="s">
        <v>219</v>
      </c>
      <c r="E68" s="73" t="s">
        <v>29</v>
      </c>
      <c r="F68" s="79" t="s">
        <v>24</v>
      </c>
      <c r="G68" s="79"/>
      <c r="H68" s="73" t="s">
        <v>22</v>
      </c>
      <c r="I68" s="81">
        <v>24516</v>
      </c>
      <c r="J68" s="81"/>
      <c r="K68" s="76" t="s">
        <v>17</v>
      </c>
      <c r="L68" s="77">
        <v>61355.8</v>
      </c>
    </row>
    <row r="69" spans="1:12" ht="51" x14ac:dyDescent="0.3">
      <c r="A69" s="71" t="s">
        <v>181</v>
      </c>
      <c r="B69" s="72" t="s">
        <v>220</v>
      </c>
      <c r="C69" s="72" t="s">
        <v>183</v>
      </c>
      <c r="D69" s="72" t="s">
        <v>221</v>
      </c>
      <c r="E69" s="73" t="s">
        <v>29</v>
      </c>
      <c r="F69" s="79" t="s">
        <v>24</v>
      </c>
      <c r="G69" s="79"/>
      <c r="H69" s="73" t="s">
        <v>22</v>
      </c>
      <c r="I69" s="80">
        <v>32.770000000000003</v>
      </c>
      <c r="J69" s="80"/>
      <c r="K69" s="76" t="s">
        <v>17</v>
      </c>
      <c r="L69" s="77">
        <v>61323.03</v>
      </c>
    </row>
    <row r="70" spans="1:12" ht="61.2" x14ac:dyDescent="0.3">
      <c r="A70" s="71" t="s">
        <v>181</v>
      </c>
      <c r="B70" s="72" t="s">
        <v>220</v>
      </c>
      <c r="C70" s="72" t="s">
        <v>183</v>
      </c>
      <c r="D70" s="72" t="s">
        <v>222</v>
      </c>
      <c r="E70" s="73" t="s">
        <v>29</v>
      </c>
      <c r="F70" s="79" t="s">
        <v>24</v>
      </c>
      <c r="G70" s="79"/>
      <c r="H70" s="73" t="s">
        <v>22</v>
      </c>
      <c r="I70" s="80">
        <v>217</v>
      </c>
      <c r="J70" s="80"/>
      <c r="K70" s="76" t="s">
        <v>17</v>
      </c>
      <c r="L70" s="77">
        <v>61106.03</v>
      </c>
    </row>
    <row r="71" spans="1:12" ht="51" x14ac:dyDescent="0.3">
      <c r="A71" s="71" t="s">
        <v>181</v>
      </c>
      <c r="B71" s="72" t="s">
        <v>220</v>
      </c>
      <c r="C71" s="72" t="s">
        <v>183</v>
      </c>
      <c r="D71" s="72" t="s">
        <v>223</v>
      </c>
      <c r="E71" s="73" t="s">
        <v>29</v>
      </c>
      <c r="F71" s="79" t="s">
        <v>24</v>
      </c>
      <c r="G71" s="79"/>
      <c r="H71" s="73" t="s">
        <v>22</v>
      </c>
      <c r="I71" s="80">
        <v>34.5</v>
      </c>
      <c r="J71" s="80"/>
      <c r="K71" s="76" t="s">
        <v>17</v>
      </c>
      <c r="L71" s="77">
        <v>61071.53</v>
      </c>
    </row>
    <row r="72" spans="1:12" ht="51" x14ac:dyDescent="0.3">
      <c r="A72" s="71" t="s">
        <v>181</v>
      </c>
      <c r="B72" s="72" t="s">
        <v>224</v>
      </c>
      <c r="C72" s="72" t="s">
        <v>186</v>
      </c>
      <c r="D72" s="72" t="s">
        <v>219</v>
      </c>
      <c r="E72" s="73" t="s">
        <v>29</v>
      </c>
      <c r="F72" s="79" t="s">
        <v>24</v>
      </c>
      <c r="G72" s="79"/>
      <c r="H72" s="73" t="s">
        <v>22</v>
      </c>
      <c r="I72" s="81">
        <v>5859</v>
      </c>
      <c r="J72" s="81"/>
      <c r="K72" s="76" t="s">
        <v>17</v>
      </c>
      <c r="L72" s="77">
        <v>55212.53</v>
      </c>
    </row>
    <row r="73" spans="1:12" ht="51" x14ac:dyDescent="0.3">
      <c r="A73" s="71" t="s">
        <v>25</v>
      </c>
      <c r="B73" s="72" t="s">
        <v>225</v>
      </c>
      <c r="C73" s="72" t="s">
        <v>183</v>
      </c>
      <c r="D73" s="72" t="s">
        <v>56</v>
      </c>
      <c r="E73" s="73" t="s">
        <v>29</v>
      </c>
      <c r="F73" s="79" t="s">
        <v>24</v>
      </c>
      <c r="G73" s="79"/>
      <c r="H73" s="73" t="s">
        <v>22</v>
      </c>
      <c r="I73" s="81">
        <v>7071.6</v>
      </c>
      <c r="J73" s="81"/>
      <c r="K73" s="76" t="s">
        <v>17</v>
      </c>
      <c r="L73" s="77">
        <v>48140.93</v>
      </c>
    </row>
    <row r="74" spans="1:12" ht="51" x14ac:dyDescent="0.3">
      <c r="A74" s="71" t="s">
        <v>25</v>
      </c>
      <c r="B74" s="72" t="s">
        <v>225</v>
      </c>
      <c r="C74" s="72" t="s">
        <v>183</v>
      </c>
      <c r="D74" s="72" t="s">
        <v>184</v>
      </c>
      <c r="E74" s="73" t="s">
        <v>29</v>
      </c>
      <c r="F74" s="79" t="s">
        <v>24</v>
      </c>
      <c r="G74" s="79"/>
      <c r="H74" s="73" t="s">
        <v>22</v>
      </c>
      <c r="I74" s="81">
        <v>1485.08</v>
      </c>
      <c r="J74" s="81"/>
      <c r="K74" s="76" t="s">
        <v>17</v>
      </c>
      <c r="L74" s="77">
        <v>46655.85</v>
      </c>
    </row>
    <row r="75" spans="1:12" ht="51" x14ac:dyDescent="0.3">
      <c r="A75" s="71" t="s">
        <v>25</v>
      </c>
      <c r="B75" s="72" t="s">
        <v>225</v>
      </c>
      <c r="C75" s="72" t="s">
        <v>183</v>
      </c>
      <c r="D75" s="72" t="s">
        <v>189</v>
      </c>
      <c r="E75" s="73" t="s">
        <v>29</v>
      </c>
      <c r="F75" s="79" t="s">
        <v>24</v>
      </c>
      <c r="G75" s="79"/>
      <c r="H75" s="73" t="s">
        <v>22</v>
      </c>
      <c r="I75" s="80">
        <v>618.92999999999995</v>
      </c>
      <c r="J75" s="80"/>
      <c r="K75" s="76" t="s">
        <v>17</v>
      </c>
      <c r="L75" s="77">
        <v>46036.92</v>
      </c>
    </row>
    <row r="76" spans="1:12" ht="51" x14ac:dyDescent="0.3">
      <c r="A76" s="71" t="s">
        <v>25</v>
      </c>
      <c r="B76" s="72" t="s">
        <v>225</v>
      </c>
      <c r="C76" s="72" t="s">
        <v>183</v>
      </c>
      <c r="D76" s="72" t="s">
        <v>180</v>
      </c>
      <c r="E76" s="73" t="s">
        <v>29</v>
      </c>
      <c r="F76" s="79" t="s">
        <v>24</v>
      </c>
      <c r="G76" s="79"/>
      <c r="H76" s="73" t="s">
        <v>22</v>
      </c>
      <c r="I76" s="80">
        <v>601.29999999999995</v>
      </c>
      <c r="J76" s="80"/>
      <c r="K76" s="76" t="s">
        <v>17</v>
      </c>
      <c r="L76" s="77">
        <v>45435.62</v>
      </c>
    </row>
    <row r="77" spans="1:12" ht="51" x14ac:dyDescent="0.3">
      <c r="A77" s="71" t="s">
        <v>25</v>
      </c>
      <c r="B77" s="72" t="s">
        <v>225</v>
      </c>
      <c r="C77" s="72" t="s">
        <v>183</v>
      </c>
      <c r="D77" s="72" t="s">
        <v>190</v>
      </c>
      <c r="E77" s="73" t="s">
        <v>29</v>
      </c>
      <c r="F77" s="79" t="s">
        <v>24</v>
      </c>
      <c r="G77" s="79"/>
      <c r="H77" s="73" t="s">
        <v>22</v>
      </c>
      <c r="I77" s="80">
        <v>426.67</v>
      </c>
      <c r="J77" s="80"/>
      <c r="K77" s="76" t="s">
        <v>17</v>
      </c>
      <c r="L77" s="77">
        <v>45008.95</v>
      </c>
    </row>
    <row r="78" spans="1:12" ht="51" x14ac:dyDescent="0.3">
      <c r="A78" s="71" t="s">
        <v>25</v>
      </c>
      <c r="B78" s="72" t="s">
        <v>225</v>
      </c>
      <c r="C78" s="72" t="s">
        <v>183</v>
      </c>
      <c r="D78" s="72" t="s">
        <v>226</v>
      </c>
      <c r="E78" s="73" t="s">
        <v>29</v>
      </c>
      <c r="F78" s="79" t="s">
        <v>24</v>
      </c>
      <c r="G78" s="79"/>
      <c r="H78" s="73" t="s">
        <v>22</v>
      </c>
      <c r="I78" s="81">
        <v>1416.67</v>
      </c>
      <c r="J78" s="81"/>
      <c r="K78" s="76" t="s">
        <v>17</v>
      </c>
      <c r="L78" s="77">
        <v>43592.28</v>
      </c>
    </row>
    <row r="79" spans="1:12" hidden="1" x14ac:dyDescent="0.3">
      <c r="A79" s="82" t="s">
        <v>47</v>
      </c>
      <c r="B79" s="82"/>
      <c r="C79" s="82"/>
      <c r="D79" s="82"/>
      <c r="E79" s="83">
        <v>36258.339999999997</v>
      </c>
      <c r="F79" s="83"/>
      <c r="G79" s="83"/>
      <c r="H79" s="83">
        <v>401926.12</v>
      </c>
      <c r="I79" s="83"/>
      <c r="J79" s="83"/>
      <c r="K79" s="84" t="s">
        <v>17</v>
      </c>
      <c r="L79" s="85">
        <v>43592.28</v>
      </c>
    </row>
    <row r="81" spans="10:10" x14ac:dyDescent="0.3">
      <c r="J81" s="29">
        <f>SUBTOTAL(9,I28:J78)*1.2</f>
        <v>462753.2759999999</v>
      </c>
    </row>
  </sheetData>
  <autoFilter ref="B1:D79">
    <filterColumn colId="0">
      <filters>
        <filter val="Вимога-накладна ІБ00-000097 від 27.02.2025 14:31:50_x000a_Списаны ТМЦ"/>
        <filter val="Вимога-накладна ІБ00-000098 від 27.02.2025 14:58:02_x000a_Списаны ТМЦ"/>
        <filter val="Вимога-накладна ІБ00-000104 від 27.02.2025 20:31:54_x000a_Списаны ТМЦ"/>
        <filter val="Списання товарів ІБ00-000069 від 27.02.2025 14:48:47_x000a_Списаны ТМЦ"/>
        <filter val="Списання товарів ІБ00-000070 від 27.02.2025 15:10:19_x000a_Списаны ТМЦ"/>
        <filter val="Списання товарів ІБ00-000071 від 27.02.2025 08:31:50_x000a_Списаны ТМЦ"/>
        <filter val="Списання товарів ІБ00-000072 від 28.02.2025 08:35:17_x000a_Списаны ТМЦ"/>
      </filters>
    </filterColumn>
  </autoFilter>
  <mergeCells count="164">
    <mergeCell ref="A79:D79"/>
    <mergeCell ref="E79:G79"/>
    <mergeCell ref="H79:J79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93"/>
  <sheetViews>
    <sheetView topLeftCell="A184" workbookViewId="0">
      <selection activeCell="H195" sqref="H195"/>
    </sheetView>
  </sheetViews>
  <sheetFormatPr defaultRowHeight="14.4" x14ac:dyDescent="0.3"/>
  <cols>
    <col min="2" max="4" width="22.6640625" customWidth="1"/>
    <col min="10" max="10" width="9.88671875" bestFit="1" customWidth="1"/>
  </cols>
  <sheetData>
    <row r="1" spans="1:12" x14ac:dyDescent="0.3">
      <c r="A1" s="86" t="s">
        <v>9</v>
      </c>
      <c r="B1" s="87" t="s">
        <v>10</v>
      </c>
      <c r="C1" s="87" t="s">
        <v>11</v>
      </c>
      <c r="D1" s="88" t="s">
        <v>12</v>
      </c>
      <c r="E1" s="89" t="s">
        <v>13</v>
      </c>
      <c r="F1" s="89"/>
      <c r="G1" s="89"/>
      <c r="H1" s="90" t="s">
        <v>14</v>
      </c>
      <c r="I1" s="90"/>
      <c r="J1" s="90"/>
      <c r="K1" s="87" t="s">
        <v>15</v>
      </c>
      <c r="L1" s="87"/>
    </row>
    <row r="2" spans="1:12" hidden="1" x14ac:dyDescent="0.3">
      <c r="A2" s="91"/>
      <c r="B2" s="92"/>
      <c r="C2" s="92"/>
      <c r="D2" s="93"/>
      <c r="E2" s="94" t="s">
        <v>16</v>
      </c>
      <c r="F2" s="95"/>
      <c r="G2" s="95"/>
      <c r="H2" s="96" t="s">
        <v>16</v>
      </c>
      <c r="I2" s="97"/>
      <c r="J2" s="97"/>
      <c r="K2" s="91"/>
      <c r="L2" s="98"/>
    </row>
    <row r="3" spans="1:12" ht="71.400000000000006" hidden="1" x14ac:dyDescent="0.3">
      <c r="A3" s="99" t="s">
        <v>141</v>
      </c>
      <c r="B3" s="100" t="s">
        <v>227</v>
      </c>
      <c r="C3" s="100" t="s">
        <v>228</v>
      </c>
      <c r="D3" s="100" t="s">
        <v>229</v>
      </c>
      <c r="E3" s="101" t="s">
        <v>22</v>
      </c>
      <c r="F3" s="102">
        <v>1089.5999999999999</v>
      </c>
      <c r="G3" s="102"/>
      <c r="H3" s="101" t="s">
        <v>23</v>
      </c>
      <c r="I3" s="103" t="s">
        <v>24</v>
      </c>
      <c r="J3" s="103"/>
      <c r="K3" s="104" t="s">
        <v>17</v>
      </c>
      <c r="L3" s="105">
        <v>147660.21</v>
      </c>
    </row>
    <row r="4" spans="1:12" ht="91.8" hidden="1" x14ac:dyDescent="0.3">
      <c r="A4" s="99" t="s">
        <v>141</v>
      </c>
      <c r="B4" s="100" t="s">
        <v>230</v>
      </c>
      <c r="C4" s="100" t="s">
        <v>231</v>
      </c>
      <c r="D4" s="100" t="s">
        <v>232</v>
      </c>
      <c r="E4" s="101" t="s">
        <v>22</v>
      </c>
      <c r="F4" s="102">
        <v>7428.9</v>
      </c>
      <c r="G4" s="102"/>
      <c r="H4" s="101" t="s">
        <v>23</v>
      </c>
      <c r="I4" s="103" t="s">
        <v>24</v>
      </c>
      <c r="J4" s="103"/>
      <c r="K4" s="104" t="s">
        <v>17</v>
      </c>
      <c r="L4" s="105">
        <v>155089.10999999999</v>
      </c>
    </row>
    <row r="5" spans="1:12" ht="91.8" hidden="1" x14ac:dyDescent="0.3">
      <c r="A5" s="99" t="s">
        <v>141</v>
      </c>
      <c r="B5" s="100" t="s">
        <v>233</v>
      </c>
      <c r="C5" s="100" t="s">
        <v>231</v>
      </c>
      <c r="D5" s="100" t="s">
        <v>232</v>
      </c>
      <c r="E5" s="101" t="s">
        <v>22</v>
      </c>
      <c r="F5" s="102">
        <v>178293.66</v>
      </c>
      <c r="G5" s="102"/>
      <c r="H5" s="101" t="s">
        <v>23</v>
      </c>
      <c r="I5" s="103" t="s">
        <v>24</v>
      </c>
      <c r="J5" s="103"/>
      <c r="K5" s="104" t="s">
        <v>17</v>
      </c>
      <c r="L5" s="105">
        <v>333382.77</v>
      </c>
    </row>
    <row r="6" spans="1:12" ht="71.400000000000006" hidden="1" x14ac:dyDescent="0.3">
      <c r="A6" s="99" t="s">
        <v>141</v>
      </c>
      <c r="B6" s="100" t="s">
        <v>234</v>
      </c>
      <c r="C6" s="100" t="s">
        <v>235</v>
      </c>
      <c r="D6" s="100" t="s">
        <v>236</v>
      </c>
      <c r="E6" s="101" t="s">
        <v>22</v>
      </c>
      <c r="F6" s="102">
        <v>5158.26</v>
      </c>
      <c r="G6" s="102"/>
      <c r="H6" s="101" t="s">
        <v>23</v>
      </c>
      <c r="I6" s="103" t="s">
        <v>24</v>
      </c>
      <c r="J6" s="103"/>
      <c r="K6" s="104" t="s">
        <v>17</v>
      </c>
      <c r="L6" s="105">
        <v>338541.03</v>
      </c>
    </row>
    <row r="7" spans="1:12" ht="61.2" hidden="1" x14ac:dyDescent="0.3">
      <c r="A7" s="99" t="s">
        <v>141</v>
      </c>
      <c r="B7" s="100" t="s">
        <v>237</v>
      </c>
      <c r="C7" s="100" t="s">
        <v>238</v>
      </c>
      <c r="D7" s="100" t="s">
        <v>236</v>
      </c>
      <c r="E7" s="101" t="s">
        <v>22</v>
      </c>
      <c r="F7" s="106">
        <v>853.9</v>
      </c>
      <c r="G7" s="106"/>
      <c r="H7" s="101" t="s">
        <v>23</v>
      </c>
      <c r="I7" s="103" t="s">
        <v>24</v>
      </c>
      <c r="J7" s="103"/>
      <c r="K7" s="104" t="s">
        <v>17</v>
      </c>
      <c r="L7" s="105">
        <v>339394.93</v>
      </c>
    </row>
    <row r="8" spans="1:12" ht="61.2" hidden="1" x14ac:dyDescent="0.3">
      <c r="A8" s="99" t="s">
        <v>141</v>
      </c>
      <c r="B8" s="100" t="s">
        <v>234</v>
      </c>
      <c r="C8" s="100" t="s">
        <v>238</v>
      </c>
      <c r="D8" s="100" t="s">
        <v>236</v>
      </c>
      <c r="E8" s="101" t="s">
        <v>22</v>
      </c>
      <c r="F8" s="102">
        <v>2802.27</v>
      </c>
      <c r="G8" s="102"/>
      <c r="H8" s="101" t="s">
        <v>23</v>
      </c>
      <c r="I8" s="103" t="s">
        <v>24</v>
      </c>
      <c r="J8" s="103"/>
      <c r="K8" s="104" t="s">
        <v>17</v>
      </c>
      <c r="L8" s="105">
        <v>342197.2</v>
      </c>
    </row>
    <row r="9" spans="1:12" ht="61.2" hidden="1" x14ac:dyDescent="0.3">
      <c r="A9" s="99" t="s">
        <v>141</v>
      </c>
      <c r="B9" s="100" t="s">
        <v>237</v>
      </c>
      <c r="C9" s="100" t="s">
        <v>239</v>
      </c>
      <c r="D9" s="100" t="s">
        <v>236</v>
      </c>
      <c r="E9" s="101" t="s">
        <v>22</v>
      </c>
      <c r="F9" s="106">
        <v>294.99</v>
      </c>
      <c r="G9" s="106"/>
      <c r="H9" s="101" t="s">
        <v>23</v>
      </c>
      <c r="I9" s="103" t="s">
        <v>24</v>
      </c>
      <c r="J9" s="103"/>
      <c r="K9" s="104" t="s">
        <v>17</v>
      </c>
      <c r="L9" s="105">
        <v>342492.19</v>
      </c>
    </row>
    <row r="10" spans="1:12" ht="61.2" hidden="1" x14ac:dyDescent="0.3">
      <c r="A10" s="99" t="s">
        <v>141</v>
      </c>
      <c r="B10" s="100" t="s">
        <v>237</v>
      </c>
      <c r="C10" s="100" t="s">
        <v>240</v>
      </c>
      <c r="D10" s="100" t="s">
        <v>236</v>
      </c>
      <c r="E10" s="101" t="s">
        <v>22</v>
      </c>
      <c r="F10" s="106">
        <v>257.43</v>
      </c>
      <c r="G10" s="106"/>
      <c r="H10" s="101" t="s">
        <v>23</v>
      </c>
      <c r="I10" s="103" t="s">
        <v>24</v>
      </c>
      <c r="J10" s="103"/>
      <c r="K10" s="104" t="s">
        <v>17</v>
      </c>
      <c r="L10" s="105">
        <v>342749.62</v>
      </c>
    </row>
    <row r="11" spans="1:12" ht="61.2" hidden="1" x14ac:dyDescent="0.3">
      <c r="A11" s="99" t="s">
        <v>141</v>
      </c>
      <c r="B11" s="100" t="s">
        <v>241</v>
      </c>
      <c r="C11" s="100" t="s">
        <v>242</v>
      </c>
      <c r="D11" s="100" t="s">
        <v>243</v>
      </c>
      <c r="E11" s="101" t="s">
        <v>22</v>
      </c>
      <c r="F11" s="102">
        <v>22212.5</v>
      </c>
      <c r="G11" s="102"/>
      <c r="H11" s="101" t="s">
        <v>23</v>
      </c>
      <c r="I11" s="103" t="s">
        <v>24</v>
      </c>
      <c r="J11" s="103"/>
      <c r="K11" s="104" t="s">
        <v>17</v>
      </c>
      <c r="L11" s="105">
        <v>364962.12</v>
      </c>
    </row>
    <row r="12" spans="1:12" ht="61.2" hidden="1" x14ac:dyDescent="0.3">
      <c r="A12" s="99" t="s">
        <v>141</v>
      </c>
      <c r="B12" s="100" t="s">
        <v>244</v>
      </c>
      <c r="C12" s="100" t="s">
        <v>245</v>
      </c>
      <c r="D12" s="100" t="s">
        <v>243</v>
      </c>
      <c r="E12" s="101" t="s">
        <v>22</v>
      </c>
      <c r="F12" s="102">
        <v>2762.86</v>
      </c>
      <c r="G12" s="102"/>
      <c r="H12" s="101" t="s">
        <v>23</v>
      </c>
      <c r="I12" s="103" t="s">
        <v>24</v>
      </c>
      <c r="J12" s="103"/>
      <c r="K12" s="104" t="s">
        <v>17</v>
      </c>
      <c r="L12" s="105">
        <v>367724.98</v>
      </c>
    </row>
    <row r="13" spans="1:12" ht="71.400000000000006" hidden="1" x14ac:dyDescent="0.3">
      <c r="A13" s="99" t="s">
        <v>141</v>
      </c>
      <c r="B13" s="100" t="s">
        <v>244</v>
      </c>
      <c r="C13" s="100" t="s">
        <v>246</v>
      </c>
      <c r="D13" s="100" t="s">
        <v>243</v>
      </c>
      <c r="E13" s="101" t="s">
        <v>22</v>
      </c>
      <c r="F13" s="106">
        <v>395.32</v>
      </c>
      <c r="G13" s="106"/>
      <c r="H13" s="101" t="s">
        <v>23</v>
      </c>
      <c r="I13" s="103" t="s">
        <v>24</v>
      </c>
      <c r="J13" s="103"/>
      <c r="K13" s="104" t="s">
        <v>17</v>
      </c>
      <c r="L13" s="105">
        <v>368120.3</v>
      </c>
    </row>
    <row r="14" spans="1:12" ht="81.599999999999994" hidden="1" x14ac:dyDescent="0.3">
      <c r="A14" s="99" t="s">
        <v>141</v>
      </c>
      <c r="B14" s="100" t="s">
        <v>247</v>
      </c>
      <c r="C14" s="100" t="s">
        <v>248</v>
      </c>
      <c r="D14" s="100" t="s">
        <v>249</v>
      </c>
      <c r="E14" s="101" t="s">
        <v>22</v>
      </c>
      <c r="F14" s="106">
        <v>273.33</v>
      </c>
      <c r="G14" s="106"/>
      <c r="H14" s="101" t="s">
        <v>23</v>
      </c>
      <c r="I14" s="103" t="s">
        <v>24</v>
      </c>
      <c r="J14" s="103"/>
      <c r="K14" s="104" t="s">
        <v>17</v>
      </c>
      <c r="L14" s="105">
        <v>368393.63</v>
      </c>
    </row>
    <row r="15" spans="1:12" ht="71.400000000000006" hidden="1" x14ac:dyDescent="0.3">
      <c r="A15" s="99" t="s">
        <v>145</v>
      </c>
      <c r="B15" s="100" t="s">
        <v>250</v>
      </c>
      <c r="C15" s="100" t="s">
        <v>251</v>
      </c>
      <c r="D15" s="100" t="s">
        <v>252</v>
      </c>
      <c r="E15" s="101" t="s">
        <v>22</v>
      </c>
      <c r="F15" s="106">
        <v>847.91</v>
      </c>
      <c r="G15" s="106"/>
      <c r="H15" s="101" t="s">
        <v>23</v>
      </c>
      <c r="I15" s="103" t="s">
        <v>24</v>
      </c>
      <c r="J15" s="103"/>
      <c r="K15" s="104" t="s">
        <v>17</v>
      </c>
      <c r="L15" s="105">
        <v>369241.54</v>
      </c>
    </row>
    <row r="16" spans="1:12" ht="71.400000000000006" hidden="1" x14ac:dyDescent="0.3">
      <c r="A16" s="99" t="s">
        <v>145</v>
      </c>
      <c r="B16" s="100" t="s">
        <v>253</v>
      </c>
      <c r="C16" s="100" t="s">
        <v>251</v>
      </c>
      <c r="D16" s="100" t="s">
        <v>252</v>
      </c>
      <c r="E16" s="101" t="s">
        <v>22</v>
      </c>
      <c r="F16" s="102">
        <v>20349.990000000002</v>
      </c>
      <c r="G16" s="102"/>
      <c r="H16" s="101" t="s">
        <v>23</v>
      </c>
      <c r="I16" s="103" t="s">
        <v>24</v>
      </c>
      <c r="J16" s="103"/>
      <c r="K16" s="104" t="s">
        <v>17</v>
      </c>
      <c r="L16" s="105">
        <v>389591.53</v>
      </c>
    </row>
    <row r="17" spans="1:12" ht="71.400000000000006" hidden="1" x14ac:dyDescent="0.3">
      <c r="A17" s="99" t="s">
        <v>145</v>
      </c>
      <c r="B17" s="100" t="s">
        <v>254</v>
      </c>
      <c r="C17" s="100" t="s">
        <v>255</v>
      </c>
      <c r="D17" s="100" t="s">
        <v>256</v>
      </c>
      <c r="E17" s="101" t="s">
        <v>22</v>
      </c>
      <c r="F17" s="102">
        <v>1529</v>
      </c>
      <c r="G17" s="102"/>
      <c r="H17" s="101" t="s">
        <v>23</v>
      </c>
      <c r="I17" s="103" t="s">
        <v>24</v>
      </c>
      <c r="J17" s="103"/>
      <c r="K17" s="104" t="s">
        <v>17</v>
      </c>
      <c r="L17" s="105">
        <v>391120.53</v>
      </c>
    </row>
    <row r="18" spans="1:12" ht="61.2" hidden="1" x14ac:dyDescent="0.3">
      <c r="A18" s="99" t="s">
        <v>145</v>
      </c>
      <c r="B18" s="100" t="s">
        <v>254</v>
      </c>
      <c r="C18" s="100" t="s">
        <v>257</v>
      </c>
      <c r="D18" s="100" t="s">
        <v>256</v>
      </c>
      <c r="E18" s="101" t="s">
        <v>22</v>
      </c>
      <c r="F18" s="102">
        <v>3463.54</v>
      </c>
      <c r="G18" s="102"/>
      <c r="H18" s="101" t="s">
        <v>23</v>
      </c>
      <c r="I18" s="103" t="s">
        <v>24</v>
      </c>
      <c r="J18" s="103"/>
      <c r="K18" s="104" t="s">
        <v>17</v>
      </c>
      <c r="L18" s="105">
        <v>394584.07</v>
      </c>
    </row>
    <row r="19" spans="1:12" ht="61.2" hidden="1" x14ac:dyDescent="0.3">
      <c r="A19" s="99" t="s">
        <v>145</v>
      </c>
      <c r="B19" s="100" t="s">
        <v>254</v>
      </c>
      <c r="C19" s="100" t="s">
        <v>258</v>
      </c>
      <c r="D19" s="100" t="s">
        <v>256</v>
      </c>
      <c r="E19" s="101" t="s">
        <v>22</v>
      </c>
      <c r="F19" s="102">
        <v>1670.63</v>
      </c>
      <c r="G19" s="102"/>
      <c r="H19" s="101" t="s">
        <v>23</v>
      </c>
      <c r="I19" s="103" t="s">
        <v>24</v>
      </c>
      <c r="J19" s="103"/>
      <c r="K19" s="104" t="s">
        <v>17</v>
      </c>
      <c r="L19" s="105">
        <v>396254.7</v>
      </c>
    </row>
    <row r="20" spans="1:12" ht="71.400000000000006" hidden="1" x14ac:dyDescent="0.3">
      <c r="A20" s="99" t="s">
        <v>145</v>
      </c>
      <c r="B20" s="100" t="s">
        <v>254</v>
      </c>
      <c r="C20" s="100" t="s">
        <v>259</v>
      </c>
      <c r="D20" s="100" t="s">
        <v>256</v>
      </c>
      <c r="E20" s="101" t="s">
        <v>22</v>
      </c>
      <c r="F20" s="102">
        <v>15578.33</v>
      </c>
      <c r="G20" s="102"/>
      <c r="H20" s="101" t="s">
        <v>23</v>
      </c>
      <c r="I20" s="103" t="s">
        <v>24</v>
      </c>
      <c r="J20" s="103"/>
      <c r="K20" s="104" t="s">
        <v>17</v>
      </c>
      <c r="L20" s="105">
        <v>411833.03</v>
      </c>
    </row>
    <row r="21" spans="1:12" ht="71.400000000000006" hidden="1" x14ac:dyDescent="0.3">
      <c r="A21" s="99" t="s">
        <v>145</v>
      </c>
      <c r="B21" s="100" t="s">
        <v>260</v>
      </c>
      <c r="C21" s="100" t="s">
        <v>255</v>
      </c>
      <c r="D21" s="100" t="s">
        <v>256</v>
      </c>
      <c r="E21" s="101" t="s">
        <v>22</v>
      </c>
      <c r="F21" s="106">
        <v>192.49</v>
      </c>
      <c r="G21" s="106"/>
      <c r="H21" s="101" t="s">
        <v>23</v>
      </c>
      <c r="I21" s="103" t="s">
        <v>24</v>
      </c>
      <c r="J21" s="103"/>
      <c r="K21" s="104" t="s">
        <v>17</v>
      </c>
      <c r="L21" s="105">
        <v>412025.52</v>
      </c>
    </row>
    <row r="22" spans="1:12" ht="61.2" hidden="1" x14ac:dyDescent="0.3">
      <c r="A22" s="99" t="s">
        <v>145</v>
      </c>
      <c r="B22" s="100" t="s">
        <v>260</v>
      </c>
      <c r="C22" s="100" t="s">
        <v>257</v>
      </c>
      <c r="D22" s="100" t="s">
        <v>256</v>
      </c>
      <c r="E22" s="101" t="s">
        <v>22</v>
      </c>
      <c r="F22" s="106">
        <v>436.03</v>
      </c>
      <c r="G22" s="106"/>
      <c r="H22" s="101" t="s">
        <v>23</v>
      </c>
      <c r="I22" s="103" t="s">
        <v>24</v>
      </c>
      <c r="J22" s="103"/>
      <c r="K22" s="104" t="s">
        <v>17</v>
      </c>
      <c r="L22" s="105">
        <v>412461.55</v>
      </c>
    </row>
    <row r="23" spans="1:12" ht="61.2" hidden="1" x14ac:dyDescent="0.3">
      <c r="A23" s="99" t="s">
        <v>145</v>
      </c>
      <c r="B23" s="100" t="s">
        <v>260</v>
      </c>
      <c r="C23" s="100" t="s">
        <v>258</v>
      </c>
      <c r="D23" s="100" t="s">
        <v>256</v>
      </c>
      <c r="E23" s="101" t="s">
        <v>22</v>
      </c>
      <c r="F23" s="106">
        <v>210.32</v>
      </c>
      <c r="G23" s="106"/>
      <c r="H23" s="101" t="s">
        <v>23</v>
      </c>
      <c r="I23" s="103" t="s">
        <v>24</v>
      </c>
      <c r="J23" s="103"/>
      <c r="K23" s="104" t="s">
        <v>17</v>
      </c>
      <c r="L23" s="105">
        <v>412671.87</v>
      </c>
    </row>
    <row r="24" spans="1:12" ht="71.400000000000006" hidden="1" x14ac:dyDescent="0.3">
      <c r="A24" s="99" t="s">
        <v>145</v>
      </c>
      <c r="B24" s="100" t="s">
        <v>261</v>
      </c>
      <c r="C24" s="100" t="s">
        <v>259</v>
      </c>
      <c r="D24" s="100" t="s">
        <v>256</v>
      </c>
      <c r="E24" s="101" t="s">
        <v>22</v>
      </c>
      <c r="F24" s="102">
        <v>1441.54</v>
      </c>
      <c r="G24" s="102"/>
      <c r="H24" s="101" t="s">
        <v>23</v>
      </c>
      <c r="I24" s="103" t="s">
        <v>24</v>
      </c>
      <c r="J24" s="103"/>
      <c r="K24" s="104" t="s">
        <v>17</v>
      </c>
      <c r="L24" s="105">
        <v>414113.41</v>
      </c>
    </row>
    <row r="25" spans="1:12" ht="71.400000000000006" hidden="1" x14ac:dyDescent="0.3">
      <c r="A25" s="99" t="s">
        <v>145</v>
      </c>
      <c r="B25" s="100" t="s">
        <v>260</v>
      </c>
      <c r="C25" s="100" t="s">
        <v>259</v>
      </c>
      <c r="D25" s="100" t="s">
        <v>256</v>
      </c>
      <c r="E25" s="101" t="s">
        <v>22</v>
      </c>
      <c r="F25" s="106">
        <v>519.62</v>
      </c>
      <c r="G25" s="106"/>
      <c r="H25" s="101" t="s">
        <v>23</v>
      </c>
      <c r="I25" s="103" t="s">
        <v>24</v>
      </c>
      <c r="J25" s="103"/>
      <c r="K25" s="104" t="s">
        <v>17</v>
      </c>
      <c r="L25" s="105">
        <v>414633.03</v>
      </c>
    </row>
    <row r="26" spans="1:12" ht="61.2" hidden="1" x14ac:dyDescent="0.3">
      <c r="A26" s="99" t="s">
        <v>262</v>
      </c>
      <c r="B26" s="100" t="s">
        <v>263</v>
      </c>
      <c r="C26" s="100" t="s">
        <v>264</v>
      </c>
      <c r="D26" s="100" t="s">
        <v>265</v>
      </c>
      <c r="E26" s="101" t="s">
        <v>22</v>
      </c>
      <c r="F26" s="102">
        <v>1646.58</v>
      </c>
      <c r="G26" s="102"/>
      <c r="H26" s="101" t="s">
        <v>23</v>
      </c>
      <c r="I26" s="103" t="s">
        <v>24</v>
      </c>
      <c r="J26" s="103"/>
      <c r="K26" s="104" t="s">
        <v>17</v>
      </c>
      <c r="L26" s="105">
        <v>416279.61</v>
      </c>
    </row>
    <row r="27" spans="1:12" ht="61.2" hidden="1" x14ac:dyDescent="0.3">
      <c r="A27" s="99" t="s">
        <v>262</v>
      </c>
      <c r="B27" s="100" t="s">
        <v>263</v>
      </c>
      <c r="C27" s="100" t="s">
        <v>266</v>
      </c>
      <c r="D27" s="100" t="s">
        <v>265</v>
      </c>
      <c r="E27" s="101" t="s">
        <v>22</v>
      </c>
      <c r="F27" s="102">
        <v>3066.88</v>
      </c>
      <c r="G27" s="102"/>
      <c r="H27" s="101" t="s">
        <v>23</v>
      </c>
      <c r="I27" s="103" t="s">
        <v>24</v>
      </c>
      <c r="J27" s="103"/>
      <c r="K27" s="104" t="s">
        <v>17</v>
      </c>
      <c r="L27" s="105">
        <v>419346.49</v>
      </c>
    </row>
    <row r="28" spans="1:12" ht="71.400000000000006" hidden="1" x14ac:dyDescent="0.3">
      <c r="A28" s="99" t="s">
        <v>267</v>
      </c>
      <c r="B28" s="100" t="s">
        <v>268</v>
      </c>
      <c r="C28" s="100" t="s">
        <v>269</v>
      </c>
      <c r="D28" s="100" t="s">
        <v>270</v>
      </c>
      <c r="E28" s="101" t="s">
        <v>22</v>
      </c>
      <c r="F28" s="102">
        <v>24564</v>
      </c>
      <c r="G28" s="102"/>
      <c r="H28" s="101" t="s">
        <v>23</v>
      </c>
      <c r="I28" s="103" t="s">
        <v>24</v>
      </c>
      <c r="J28" s="103"/>
      <c r="K28" s="104" t="s">
        <v>17</v>
      </c>
      <c r="L28" s="105">
        <v>443910.49</v>
      </c>
    </row>
    <row r="29" spans="1:12" ht="81.599999999999994" hidden="1" x14ac:dyDescent="0.3">
      <c r="A29" s="99" t="s">
        <v>267</v>
      </c>
      <c r="B29" s="100" t="s">
        <v>268</v>
      </c>
      <c r="C29" s="100" t="s">
        <v>271</v>
      </c>
      <c r="D29" s="100" t="s">
        <v>270</v>
      </c>
      <c r="E29" s="101" t="s">
        <v>22</v>
      </c>
      <c r="F29" s="102">
        <v>32775</v>
      </c>
      <c r="G29" s="102"/>
      <c r="H29" s="101" t="s">
        <v>23</v>
      </c>
      <c r="I29" s="103" t="s">
        <v>24</v>
      </c>
      <c r="J29" s="103"/>
      <c r="K29" s="104" t="s">
        <v>17</v>
      </c>
      <c r="L29" s="105">
        <v>476685.49</v>
      </c>
    </row>
    <row r="30" spans="1:12" ht="81.599999999999994" hidden="1" x14ac:dyDescent="0.3">
      <c r="A30" s="99" t="s">
        <v>272</v>
      </c>
      <c r="B30" s="100" t="s">
        <v>273</v>
      </c>
      <c r="C30" s="100" t="s">
        <v>274</v>
      </c>
      <c r="D30" s="100" t="s">
        <v>275</v>
      </c>
      <c r="E30" s="101" t="s">
        <v>22</v>
      </c>
      <c r="F30" s="106">
        <v>366.8</v>
      </c>
      <c r="G30" s="106"/>
      <c r="H30" s="101" t="s">
        <v>23</v>
      </c>
      <c r="I30" s="103" t="s">
        <v>24</v>
      </c>
      <c r="J30" s="103"/>
      <c r="K30" s="104" t="s">
        <v>17</v>
      </c>
      <c r="L30" s="105">
        <v>477052.29</v>
      </c>
    </row>
    <row r="31" spans="1:12" ht="61.2" hidden="1" x14ac:dyDescent="0.3">
      <c r="A31" s="99" t="s">
        <v>272</v>
      </c>
      <c r="B31" s="100" t="s">
        <v>273</v>
      </c>
      <c r="C31" s="100" t="s">
        <v>276</v>
      </c>
      <c r="D31" s="100" t="s">
        <v>275</v>
      </c>
      <c r="E31" s="101" t="s">
        <v>22</v>
      </c>
      <c r="F31" s="106">
        <v>261</v>
      </c>
      <c r="G31" s="106"/>
      <c r="H31" s="101" t="s">
        <v>23</v>
      </c>
      <c r="I31" s="103" t="s">
        <v>24</v>
      </c>
      <c r="J31" s="103"/>
      <c r="K31" s="104" t="s">
        <v>17</v>
      </c>
      <c r="L31" s="105">
        <v>477313.29</v>
      </c>
    </row>
    <row r="32" spans="1:12" ht="71.400000000000006" hidden="1" x14ac:dyDescent="0.3">
      <c r="A32" s="99" t="s">
        <v>272</v>
      </c>
      <c r="B32" s="100" t="s">
        <v>273</v>
      </c>
      <c r="C32" s="100" t="s">
        <v>277</v>
      </c>
      <c r="D32" s="100" t="s">
        <v>275</v>
      </c>
      <c r="E32" s="101" t="s">
        <v>22</v>
      </c>
      <c r="F32" s="106">
        <v>186.1</v>
      </c>
      <c r="G32" s="106"/>
      <c r="H32" s="101" t="s">
        <v>23</v>
      </c>
      <c r="I32" s="103" t="s">
        <v>24</v>
      </c>
      <c r="J32" s="103"/>
      <c r="K32" s="104" t="s">
        <v>17</v>
      </c>
      <c r="L32" s="105">
        <v>477499.39</v>
      </c>
    </row>
    <row r="33" spans="1:12" ht="61.2" hidden="1" x14ac:dyDescent="0.3">
      <c r="A33" s="99" t="s">
        <v>272</v>
      </c>
      <c r="B33" s="100" t="s">
        <v>273</v>
      </c>
      <c r="C33" s="100" t="s">
        <v>278</v>
      </c>
      <c r="D33" s="100" t="s">
        <v>275</v>
      </c>
      <c r="E33" s="101" t="s">
        <v>22</v>
      </c>
      <c r="F33" s="102">
        <v>9380</v>
      </c>
      <c r="G33" s="102"/>
      <c r="H33" s="101" t="s">
        <v>23</v>
      </c>
      <c r="I33" s="103" t="s">
        <v>24</v>
      </c>
      <c r="J33" s="103"/>
      <c r="K33" s="104" t="s">
        <v>17</v>
      </c>
      <c r="L33" s="105">
        <v>486879.39</v>
      </c>
    </row>
    <row r="34" spans="1:12" ht="71.400000000000006" hidden="1" x14ac:dyDescent="0.3">
      <c r="A34" s="99" t="s">
        <v>272</v>
      </c>
      <c r="B34" s="100" t="s">
        <v>273</v>
      </c>
      <c r="C34" s="100" t="s">
        <v>279</v>
      </c>
      <c r="D34" s="100" t="s">
        <v>275</v>
      </c>
      <c r="E34" s="101" t="s">
        <v>22</v>
      </c>
      <c r="F34" s="106">
        <v>202</v>
      </c>
      <c r="G34" s="106"/>
      <c r="H34" s="101" t="s">
        <v>23</v>
      </c>
      <c r="I34" s="103" t="s">
        <v>24</v>
      </c>
      <c r="J34" s="103"/>
      <c r="K34" s="104" t="s">
        <v>17</v>
      </c>
      <c r="L34" s="105">
        <v>487081.39</v>
      </c>
    </row>
    <row r="35" spans="1:12" ht="61.2" hidden="1" x14ac:dyDescent="0.3">
      <c r="A35" s="99" t="s">
        <v>272</v>
      </c>
      <c r="B35" s="100" t="s">
        <v>280</v>
      </c>
      <c r="C35" s="100" t="s">
        <v>281</v>
      </c>
      <c r="D35" s="100" t="s">
        <v>282</v>
      </c>
      <c r="E35" s="101" t="s">
        <v>22</v>
      </c>
      <c r="F35" s="106">
        <v>885</v>
      </c>
      <c r="G35" s="106"/>
      <c r="H35" s="101" t="s">
        <v>23</v>
      </c>
      <c r="I35" s="103" t="s">
        <v>24</v>
      </c>
      <c r="J35" s="103"/>
      <c r="K35" s="104" t="s">
        <v>17</v>
      </c>
      <c r="L35" s="105">
        <v>487966.39</v>
      </c>
    </row>
    <row r="36" spans="1:12" ht="71.400000000000006" hidden="1" x14ac:dyDescent="0.3">
      <c r="A36" s="99" t="s">
        <v>272</v>
      </c>
      <c r="B36" s="100" t="s">
        <v>283</v>
      </c>
      <c r="C36" s="100" t="s">
        <v>284</v>
      </c>
      <c r="D36" s="100" t="s">
        <v>285</v>
      </c>
      <c r="E36" s="101" t="s">
        <v>22</v>
      </c>
      <c r="F36" s="102">
        <v>1116.4000000000001</v>
      </c>
      <c r="G36" s="102"/>
      <c r="H36" s="101" t="s">
        <v>23</v>
      </c>
      <c r="I36" s="103" t="s">
        <v>24</v>
      </c>
      <c r="J36" s="103"/>
      <c r="K36" s="104" t="s">
        <v>17</v>
      </c>
      <c r="L36" s="105">
        <v>489082.79</v>
      </c>
    </row>
    <row r="37" spans="1:12" ht="61.2" hidden="1" x14ac:dyDescent="0.3">
      <c r="A37" s="99" t="s">
        <v>272</v>
      </c>
      <c r="B37" s="100" t="s">
        <v>283</v>
      </c>
      <c r="C37" s="100" t="s">
        <v>286</v>
      </c>
      <c r="D37" s="100" t="s">
        <v>285</v>
      </c>
      <c r="E37" s="101" t="s">
        <v>22</v>
      </c>
      <c r="F37" s="106">
        <v>418.2</v>
      </c>
      <c r="G37" s="106"/>
      <c r="H37" s="101" t="s">
        <v>23</v>
      </c>
      <c r="I37" s="103" t="s">
        <v>24</v>
      </c>
      <c r="J37" s="103"/>
      <c r="K37" s="104" t="s">
        <v>17</v>
      </c>
      <c r="L37" s="105">
        <v>489500.99</v>
      </c>
    </row>
    <row r="38" spans="1:12" ht="61.2" hidden="1" x14ac:dyDescent="0.3">
      <c r="A38" s="99" t="s">
        <v>272</v>
      </c>
      <c r="B38" s="100" t="s">
        <v>283</v>
      </c>
      <c r="C38" s="100" t="s">
        <v>287</v>
      </c>
      <c r="D38" s="100" t="s">
        <v>285</v>
      </c>
      <c r="E38" s="101" t="s">
        <v>22</v>
      </c>
      <c r="F38" s="106">
        <v>184.2</v>
      </c>
      <c r="G38" s="106"/>
      <c r="H38" s="101" t="s">
        <v>23</v>
      </c>
      <c r="I38" s="103" t="s">
        <v>24</v>
      </c>
      <c r="J38" s="103"/>
      <c r="K38" s="104" t="s">
        <v>17</v>
      </c>
      <c r="L38" s="105">
        <v>489685.19</v>
      </c>
    </row>
    <row r="39" spans="1:12" ht="61.2" hidden="1" x14ac:dyDescent="0.3">
      <c r="A39" s="99" t="s">
        <v>272</v>
      </c>
      <c r="B39" s="100" t="s">
        <v>283</v>
      </c>
      <c r="C39" s="100" t="s">
        <v>288</v>
      </c>
      <c r="D39" s="100" t="s">
        <v>285</v>
      </c>
      <c r="E39" s="101" t="s">
        <v>22</v>
      </c>
      <c r="F39" s="102">
        <v>3210</v>
      </c>
      <c r="G39" s="102"/>
      <c r="H39" s="101" t="s">
        <v>23</v>
      </c>
      <c r="I39" s="103" t="s">
        <v>24</v>
      </c>
      <c r="J39" s="103"/>
      <c r="K39" s="104" t="s">
        <v>17</v>
      </c>
      <c r="L39" s="105">
        <v>492895.19</v>
      </c>
    </row>
    <row r="40" spans="1:12" ht="81.599999999999994" hidden="1" x14ac:dyDescent="0.3">
      <c r="A40" s="99" t="s">
        <v>272</v>
      </c>
      <c r="B40" s="100" t="s">
        <v>283</v>
      </c>
      <c r="C40" s="100" t="s">
        <v>289</v>
      </c>
      <c r="D40" s="100" t="s">
        <v>285</v>
      </c>
      <c r="E40" s="101" t="s">
        <v>22</v>
      </c>
      <c r="F40" s="106">
        <v>874.1</v>
      </c>
      <c r="G40" s="106"/>
      <c r="H40" s="101" t="s">
        <v>23</v>
      </c>
      <c r="I40" s="103" t="s">
        <v>24</v>
      </c>
      <c r="J40" s="103"/>
      <c r="K40" s="104" t="s">
        <v>17</v>
      </c>
      <c r="L40" s="105">
        <v>493769.29</v>
      </c>
    </row>
    <row r="41" spans="1:12" ht="71.400000000000006" hidden="1" x14ac:dyDescent="0.3">
      <c r="A41" s="99" t="s">
        <v>272</v>
      </c>
      <c r="B41" s="100" t="s">
        <v>283</v>
      </c>
      <c r="C41" s="100" t="s">
        <v>290</v>
      </c>
      <c r="D41" s="100" t="s">
        <v>285</v>
      </c>
      <c r="E41" s="101" t="s">
        <v>22</v>
      </c>
      <c r="F41" s="102">
        <v>2562.1999999999998</v>
      </c>
      <c r="G41" s="102"/>
      <c r="H41" s="101" t="s">
        <v>23</v>
      </c>
      <c r="I41" s="103" t="s">
        <v>24</v>
      </c>
      <c r="J41" s="103"/>
      <c r="K41" s="104" t="s">
        <v>17</v>
      </c>
      <c r="L41" s="105">
        <v>496331.49</v>
      </c>
    </row>
    <row r="42" spans="1:12" ht="61.2" hidden="1" x14ac:dyDescent="0.3">
      <c r="A42" s="99" t="s">
        <v>272</v>
      </c>
      <c r="B42" s="100" t="s">
        <v>283</v>
      </c>
      <c r="C42" s="100" t="s">
        <v>291</v>
      </c>
      <c r="D42" s="100" t="s">
        <v>285</v>
      </c>
      <c r="E42" s="101" t="s">
        <v>22</v>
      </c>
      <c r="F42" s="106">
        <v>384.8</v>
      </c>
      <c r="G42" s="106"/>
      <c r="H42" s="101" t="s">
        <v>23</v>
      </c>
      <c r="I42" s="103" t="s">
        <v>24</v>
      </c>
      <c r="J42" s="103"/>
      <c r="K42" s="104" t="s">
        <v>17</v>
      </c>
      <c r="L42" s="105">
        <v>496716.29</v>
      </c>
    </row>
    <row r="43" spans="1:12" ht="61.2" hidden="1" x14ac:dyDescent="0.3">
      <c r="A43" s="99" t="s">
        <v>272</v>
      </c>
      <c r="B43" s="100" t="s">
        <v>283</v>
      </c>
      <c r="C43" s="100" t="s">
        <v>292</v>
      </c>
      <c r="D43" s="100" t="s">
        <v>285</v>
      </c>
      <c r="E43" s="101" t="s">
        <v>22</v>
      </c>
      <c r="F43" s="106">
        <v>347.1</v>
      </c>
      <c r="G43" s="106"/>
      <c r="H43" s="101" t="s">
        <v>23</v>
      </c>
      <c r="I43" s="103" t="s">
        <v>24</v>
      </c>
      <c r="J43" s="103"/>
      <c r="K43" s="104" t="s">
        <v>17</v>
      </c>
      <c r="L43" s="105">
        <v>497063.39</v>
      </c>
    </row>
    <row r="44" spans="1:12" ht="71.400000000000006" hidden="1" x14ac:dyDescent="0.3">
      <c r="A44" s="99" t="s">
        <v>293</v>
      </c>
      <c r="B44" s="100" t="s">
        <v>294</v>
      </c>
      <c r="C44" s="100" t="s">
        <v>295</v>
      </c>
      <c r="D44" s="100" t="s">
        <v>296</v>
      </c>
      <c r="E44" s="101" t="s">
        <v>22</v>
      </c>
      <c r="F44" s="102">
        <v>5611.5</v>
      </c>
      <c r="G44" s="102"/>
      <c r="H44" s="101" t="s">
        <v>23</v>
      </c>
      <c r="I44" s="103" t="s">
        <v>24</v>
      </c>
      <c r="J44" s="103"/>
      <c r="K44" s="104" t="s">
        <v>17</v>
      </c>
      <c r="L44" s="105">
        <v>502674.89</v>
      </c>
    </row>
    <row r="45" spans="1:12" ht="61.2" hidden="1" x14ac:dyDescent="0.3">
      <c r="A45" s="99" t="s">
        <v>293</v>
      </c>
      <c r="B45" s="100" t="s">
        <v>294</v>
      </c>
      <c r="C45" s="100" t="s">
        <v>297</v>
      </c>
      <c r="D45" s="100" t="s">
        <v>296</v>
      </c>
      <c r="E45" s="101" t="s">
        <v>22</v>
      </c>
      <c r="F45" s="102">
        <v>3519.32</v>
      </c>
      <c r="G45" s="102"/>
      <c r="H45" s="101" t="s">
        <v>23</v>
      </c>
      <c r="I45" s="103" t="s">
        <v>24</v>
      </c>
      <c r="J45" s="103"/>
      <c r="K45" s="104" t="s">
        <v>17</v>
      </c>
      <c r="L45" s="105">
        <v>506194.21</v>
      </c>
    </row>
    <row r="46" spans="1:12" ht="71.400000000000006" hidden="1" x14ac:dyDescent="0.3">
      <c r="A46" s="99" t="s">
        <v>293</v>
      </c>
      <c r="B46" s="100" t="s">
        <v>294</v>
      </c>
      <c r="C46" s="100" t="s">
        <v>298</v>
      </c>
      <c r="D46" s="100" t="s">
        <v>296</v>
      </c>
      <c r="E46" s="101" t="s">
        <v>22</v>
      </c>
      <c r="F46" s="106">
        <v>219.77</v>
      </c>
      <c r="G46" s="106"/>
      <c r="H46" s="101" t="s">
        <v>23</v>
      </c>
      <c r="I46" s="103" t="s">
        <v>24</v>
      </c>
      <c r="J46" s="103"/>
      <c r="K46" s="104" t="s">
        <v>17</v>
      </c>
      <c r="L46" s="105">
        <v>506413.98</v>
      </c>
    </row>
    <row r="47" spans="1:12" ht="71.400000000000006" hidden="1" x14ac:dyDescent="0.3">
      <c r="A47" s="99" t="s">
        <v>293</v>
      </c>
      <c r="B47" s="100" t="s">
        <v>294</v>
      </c>
      <c r="C47" s="100" t="s">
        <v>299</v>
      </c>
      <c r="D47" s="100" t="s">
        <v>296</v>
      </c>
      <c r="E47" s="101" t="s">
        <v>22</v>
      </c>
      <c r="F47" s="106">
        <v>69.73</v>
      </c>
      <c r="G47" s="106"/>
      <c r="H47" s="101" t="s">
        <v>23</v>
      </c>
      <c r="I47" s="103" t="s">
        <v>24</v>
      </c>
      <c r="J47" s="103"/>
      <c r="K47" s="104" t="s">
        <v>17</v>
      </c>
      <c r="L47" s="105">
        <v>506483.71</v>
      </c>
    </row>
    <row r="48" spans="1:12" ht="71.400000000000006" hidden="1" x14ac:dyDescent="0.3">
      <c r="A48" s="99" t="s">
        <v>293</v>
      </c>
      <c r="B48" s="100" t="s">
        <v>294</v>
      </c>
      <c r="C48" s="100" t="s">
        <v>300</v>
      </c>
      <c r="D48" s="100" t="s">
        <v>296</v>
      </c>
      <c r="E48" s="101" t="s">
        <v>22</v>
      </c>
      <c r="F48" s="106">
        <v>104.51</v>
      </c>
      <c r="G48" s="106"/>
      <c r="H48" s="101" t="s">
        <v>23</v>
      </c>
      <c r="I48" s="103" t="s">
        <v>24</v>
      </c>
      <c r="J48" s="103"/>
      <c r="K48" s="104" t="s">
        <v>17</v>
      </c>
      <c r="L48" s="105">
        <v>506588.22</v>
      </c>
    </row>
    <row r="49" spans="1:12" ht="61.2" hidden="1" x14ac:dyDescent="0.3">
      <c r="A49" s="99" t="s">
        <v>293</v>
      </c>
      <c r="B49" s="100" t="s">
        <v>294</v>
      </c>
      <c r="C49" s="100" t="s">
        <v>301</v>
      </c>
      <c r="D49" s="100" t="s">
        <v>296</v>
      </c>
      <c r="E49" s="101" t="s">
        <v>22</v>
      </c>
      <c r="F49" s="106">
        <v>713.08</v>
      </c>
      <c r="G49" s="106"/>
      <c r="H49" s="101" t="s">
        <v>23</v>
      </c>
      <c r="I49" s="103" t="s">
        <v>24</v>
      </c>
      <c r="J49" s="103"/>
      <c r="K49" s="104" t="s">
        <v>17</v>
      </c>
      <c r="L49" s="105">
        <v>507301.3</v>
      </c>
    </row>
    <row r="50" spans="1:12" ht="61.2" hidden="1" x14ac:dyDescent="0.3">
      <c r="A50" s="99" t="s">
        <v>293</v>
      </c>
      <c r="B50" s="100" t="s">
        <v>294</v>
      </c>
      <c r="C50" s="100" t="s">
        <v>302</v>
      </c>
      <c r="D50" s="100" t="s">
        <v>296</v>
      </c>
      <c r="E50" s="101" t="s">
        <v>22</v>
      </c>
      <c r="F50" s="106">
        <v>275.02</v>
      </c>
      <c r="G50" s="106"/>
      <c r="H50" s="101" t="s">
        <v>23</v>
      </c>
      <c r="I50" s="103" t="s">
        <v>24</v>
      </c>
      <c r="J50" s="103"/>
      <c r="K50" s="104" t="s">
        <v>17</v>
      </c>
      <c r="L50" s="105">
        <v>507576.32000000001</v>
      </c>
    </row>
    <row r="51" spans="1:12" ht="61.2" hidden="1" x14ac:dyDescent="0.3">
      <c r="A51" s="99" t="s">
        <v>293</v>
      </c>
      <c r="B51" s="100" t="s">
        <v>303</v>
      </c>
      <c r="C51" s="100" t="s">
        <v>304</v>
      </c>
      <c r="D51" s="100" t="s">
        <v>296</v>
      </c>
      <c r="E51" s="101" t="s">
        <v>22</v>
      </c>
      <c r="F51" s="102">
        <v>2667.13</v>
      </c>
      <c r="G51" s="102"/>
      <c r="H51" s="101" t="s">
        <v>23</v>
      </c>
      <c r="I51" s="103" t="s">
        <v>24</v>
      </c>
      <c r="J51" s="103"/>
      <c r="K51" s="104" t="s">
        <v>17</v>
      </c>
      <c r="L51" s="105">
        <v>510243.45</v>
      </c>
    </row>
    <row r="52" spans="1:12" ht="61.2" hidden="1" x14ac:dyDescent="0.3">
      <c r="A52" s="99" t="s">
        <v>293</v>
      </c>
      <c r="B52" s="100" t="s">
        <v>294</v>
      </c>
      <c r="C52" s="100" t="s">
        <v>304</v>
      </c>
      <c r="D52" s="100" t="s">
        <v>296</v>
      </c>
      <c r="E52" s="101" t="s">
        <v>22</v>
      </c>
      <c r="F52" s="106">
        <v>933.68</v>
      </c>
      <c r="G52" s="106"/>
      <c r="H52" s="101" t="s">
        <v>23</v>
      </c>
      <c r="I52" s="103" t="s">
        <v>24</v>
      </c>
      <c r="J52" s="103"/>
      <c r="K52" s="104" t="s">
        <v>17</v>
      </c>
      <c r="L52" s="105">
        <v>511177.13</v>
      </c>
    </row>
    <row r="53" spans="1:12" ht="71.400000000000006" hidden="1" x14ac:dyDescent="0.3">
      <c r="A53" s="99" t="s">
        <v>293</v>
      </c>
      <c r="B53" s="100" t="s">
        <v>305</v>
      </c>
      <c r="C53" s="100" t="s">
        <v>306</v>
      </c>
      <c r="D53" s="100" t="s">
        <v>307</v>
      </c>
      <c r="E53" s="101" t="s">
        <v>22</v>
      </c>
      <c r="F53" s="102">
        <v>1056</v>
      </c>
      <c r="G53" s="102"/>
      <c r="H53" s="101" t="s">
        <v>23</v>
      </c>
      <c r="I53" s="103" t="s">
        <v>24</v>
      </c>
      <c r="J53" s="103"/>
      <c r="K53" s="104" t="s">
        <v>17</v>
      </c>
      <c r="L53" s="105">
        <v>512233.13</v>
      </c>
    </row>
    <row r="54" spans="1:12" ht="71.400000000000006" hidden="1" x14ac:dyDescent="0.3">
      <c r="A54" s="99" t="s">
        <v>293</v>
      </c>
      <c r="B54" s="100" t="s">
        <v>305</v>
      </c>
      <c r="C54" s="100" t="s">
        <v>308</v>
      </c>
      <c r="D54" s="100" t="s">
        <v>307</v>
      </c>
      <c r="E54" s="101" t="s">
        <v>22</v>
      </c>
      <c r="F54" s="102">
        <v>1174</v>
      </c>
      <c r="G54" s="102"/>
      <c r="H54" s="101" t="s">
        <v>23</v>
      </c>
      <c r="I54" s="103" t="s">
        <v>24</v>
      </c>
      <c r="J54" s="103"/>
      <c r="K54" s="104" t="s">
        <v>17</v>
      </c>
      <c r="L54" s="105">
        <v>513407.13</v>
      </c>
    </row>
    <row r="55" spans="1:12" ht="61.2" hidden="1" x14ac:dyDescent="0.3">
      <c r="A55" s="99" t="s">
        <v>48</v>
      </c>
      <c r="B55" s="100" t="s">
        <v>309</v>
      </c>
      <c r="C55" s="100" t="s">
        <v>310</v>
      </c>
      <c r="D55" s="100" t="s">
        <v>311</v>
      </c>
      <c r="E55" s="101" t="s">
        <v>22</v>
      </c>
      <c r="F55" s="106">
        <v>41.6</v>
      </c>
      <c r="G55" s="106"/>
      <c r="H55" s="101" t="s">
        <v>23</v>
      </c>
      <c r="I55" s="103" t="s">
        <v>24</v>
      </c>
      <c r="J55" s="103"/>
      <c r="K55" s="104" t="s">
        <v>17</v>
      </c>
      <c r="L55" s="105">
        <v>513448.73</v>
      </c>
    </row>
    <row r="56" spans="1:12" ht="71.400000000000006" hidden="1" x14ac:dyDescent="0.3">
      <c r="A56" s="99" t="s">
        <v>48</v>
      </c>
      <c r="B56" s="100" t="s">
        <v>309</v>
      </c>
      <c r="C56" s="100" t="s">
        <v>312</v>
      </c>
      <c r="D56" s="100" t="s">
        <v>311</v>
      </c>
      <c r="E56" s="101" t="s">
        <v>22</v>
      </c>
      <c r="F56" s="106">
        <v>824</v>
      </c>
      <c r="G56" s="106"/>
      <c r="H56" s="101" t="s">
        <v>23</v>
      </c>
      <c r="I56" s="103" t="s">
        <v>24</v>
      </c>
      <c r="J56" s="103"/>
      <c r="K56" s="104" t="s">
        <v>17</v>
      </c>
      <c r="L56" s="105">
        <v>514272.73</v>
      </c>
    </row>
    <row r="57" spans="1:12" ht="81.599999999999994" hidden="1" x14ac:dyDescent="0.3">
      <c r="A57" s="99" t="s">
        <v>48</v>
      </c>
      <c r="B57" s="100" t="s">
        <v>309</v>
      </c>
      <c r="C57" s="100" t="s">
        <v>313</v>
      </c>
      <c r="D57" s="100" t="s">
        <v>311</v>
      </c>
      <c r="E57" s="101" t="s">
        <v>22</v>
      </c>
      <c r="F57" s="106">
        <v>488</v>
      </c>
      <c r="G57" s="106"/>
      <c r="H57" s="101" t="s">
        <v>23</v>
      </c>
      <c r="I57" s="103" t="s">
        <v>24</v>
      </c>
      <c r="J57" s="103"/>
      <c r="K57" s="104" t="s">
        <v>17</v>
      </c>
      <c r="L57" s="105">
        <v>514760.73</v>
      </c>
    </row>
    <row r="58" spans="1:12" ht="81.599999999999994" hidden="1" x14ac:dyDescent="0.3">
      <c r="A58" s="99" t="s">
        <v>48</v>
      </c>
      <c r="B58" s="100" t="s">
        <v>309</v>
      </c>
      <c r="C58" s="100" t="s">
        <v>314</v>
      </c>
      <c r="D58" s="100" t="s">
        <v>311</v>
      </c>
      <c r="E58" s="101" t="s">
        <v>22</v>
      </c>
      <c r="F58" s="106">
        <v>788</v>
      </c>
      <c r="G58" s="106"/>
      <c r="H58" s="101" t="s">
        <v>23</v>
      </c>
      <c r="I58" s="103" t="s">
        <v>24</v>
      </c>
      <c r="J58" s="103"/>
      <c r="K58" s="104" t="s">
        <v>17</v>
      </c>
      <c r="L58" s="105">
        <v>515548.73</v>
      </c>
    </row>
    <row r="59" spans="1:12" ht="71.400000000000006" hidden="1" x14ac:dyDescent="0.3">
      <c r="A59" s="99" t="s">
        <v>48</v>
      </c>
      <c r="B59" s="100" t="s">
        <v>309</v>
      </c>
      <c r="C59" s="100" t="s">
        <v>315</v>
      </c>
      <c r="D59" s="100" t="s">
        <v>311</v>
      </c>
      <c r="E59" s="101" t="s">
        <v>22</v>
      </c>
      <c r="F59" s="102">
        <v>4282.8</v>
      </c>
      <c r="G59" s="102"/>
      <c r="H59" s="101" t="s">
        <v>23</v>
      </c>
      <c r="I59" s="103" t="s">
        <v>24</v>
      </c>
      <c r="J59" s="103"/>
      <c r="K59" s="104" t="s">
        <v>17</v>
      </c>
      <c r="L59" s="105">
        <v>519831.53</v>
      </c>
    </row>
    <row r="60" spans="1:12" ht="71.400000000000006" hidden="1" x14ac:dyDescent="0.3">
      <c r="A60" s="99" t="s">
        <v>48</v>
      </c>
      <c r="B60" s="100" t="s">
        <v>316</v>
      </c>
      <c r="C60" s="100" t="s">
        <v>317</v>
      </c>
      <c r="D60" s="100" t="s">
        <v>311</v>
      </c>
      <c r="E60" s="101" t="s">
        <v>22</v>
      </c>
      <c r="F60" s="106">
        <v>28</v>
      </c>
      <c r="G60" s="106"/>
      <c r="H60" s="101" t="s">
        <v>23</v>
      </c>
      <c r="I60" s="103" t="s">
        <v>24</v>
      </c>
      <c r="J60" s="103"/>
      <c r="K60" s="104" t="s">
        <v>17</v>
      </c>
      <c r="L60" s="105">
        <v>519859.53</v>
      </c>
    </row>
    <row r="61" spans="1:12" ht="61.2" hidden="1" x14ac:dyDescent="0.3">
      <c r="A61" s="99" t="s">
        <v>48</v>
      </c>
      <c r="B61" s="100" t="s">
        <v>316</v>
      </c>
      <c r="C61" s="100" t="s">
        <v>318</v>
      </c>
      <c r="D61" s="100" t="s">
        <v>311</v>
      </c>
      <c r="E61" s="101" t="s">
        <v>22</v>
      </c>
      <c r="F61" s="106">
        <v>44.4</v>
      </c>
      <c r="G61" s="106"/>
      <c r="H61" s="101" t="s">
        <v>23</v>
      </c>
      <c r="I61" s="103" t="s">
        <v>24</v>
      </c>
      <c r="J61" s="103"/>
      <c r="K61" s="104" t="s">
        <v>17</v>
      </c>
      <c r="L61" s="105">
        <v>519903.93</v>
      </c>
    </row>
    <row r="62" spans="1:12" ht="71.400000000000006" hidden="1" x14ac:dyDescent="0.3">
      <c r="A62" s="99" t="s">
        <v>48</v>
      </c>
      <c r="B62" s="100" t="s">
        <v>316</v>
      </c>
      <c r="C62" s="100" t="s">
        <v>319</v>
      </c>
      <c r="D62" s="100" t="s">
        <v>311</v>
      </c>
      <c r="E62" s="101" t="s">
        <v>22</v>
      </c>
      <c r="F62" s="106">
        <v>55.2</v>
      </c>
      <c r="G62" s="106"/>
      <c r="H62" s="101" t="s">
        <v>23</v>
      </c>
      <c r="I62" s="103" t="s">
        <v>24</v>
      </c>
      <c r="J62" s="103"/>
      <c r="K62" s="104" t="s">
        <v>17</v>
      </c>
      <c r="L62" s="105">
        <v>519959.13</v>
      </c>
    </row>
    <row r="63" spans="1:12" ht="61.2" hidden="1" x14ac:dyDescent="0.3">
      <c r="A63" s="99" t="s">
        <v>48</v>
      </c>
      <c r="B63" s="100" t="s">
        <v>316</v>
      </c>
      <c r="C63" s="100" t="s">
        <v>320</v>
      </c>
      <c r="D63" s="100" t="s">
        <v>311</v>
      </c>
      <c r="E63" s="101" t="s">
        <v>22</v>
      </c>
      <c r="F63" s="102">
        <v>1645</v>
      </c>
      <c r="G63" s="102"/>
      <c r="H63" s="101" t="s">
        <v>23</v>
      </c>
      <c r="I63" s="103" t="s">
        <v>24</v>
      </c>
      <c r="J63" s="103"/>
      <c r="K63" s="104" t="s">
        <v>17</v>
      </c>
      <c r="L63" s="105">
        <v>521604.13</v>
      </c>
    </row>
    <row r="64" spans="1:12" ht="71.400000000000006" hidden="1" x14ac:dyDescent="0.3">
      <c r="A64" s="99" t="s">
        <v>48</v>
      </c>
      <c r="B64" s="100" t="s">
        <v>316</v>
      </c>
      <c r="C64" s="100" t="s">
        <v>321</v>
      </c>
      <c r="D64" s="100" t="s">
        <v>311</v>
      </c>
      <c r="E64" s="101" t="s">
        <v>22</v>
      </c>
      <c r="F64" s="106">
        <v>170</v>
      </c>
      <c r="G64" s="106"/>
      <c r="H64" s="101" t="s">
        <v>23</v>
      </c>
      <c r="I64" s="103" t="s">
        <v>24</v>
      </c>
      <c r="J64" s="103"/>
      <c r="K64" s="104" t="s">
        <v>17</v>
      </c>
      <c r="L64" s="105">
        <v>521774.13</v>
      </c>
    </row>
    <row r="65" spans="1:12" ht="71.400000000000006" hidden="1" x14ac:dyDescent="0.3">
      <c r="A65" s="99" t="s">
        <v>48</v>
      </c>
      <c r="B65" s="100" t="s">
        <v>316</v>
      </c>
      <c r="C65" s="100" t="s">
        <v>322</v>
      </c>
      <c r="D65" s="100" t="s">
        <v>311</v>
      </c>
      <c r="E65" s="101" t="s">
        <v>22</v>
      </c>
      <c r="F65" s="102">
        <v>6210</v>
      </c>
      <c r="G65" s="102"/>
      <c r="H65" s="101" t="s">
        <v>23</v>
      </c>
      <c r="I65" s="103" t="s">
        <v>24</v>
      </c>
      <c r="J65" s="103"/>
      <c r="K65" s="104" t="s">
        <v>17</v>
      </c>
      <c r="L65" s="105">
        <v>527984.13</v>
      </c>
    </row>
    <row r="66" spans="1:12" ht="61.2" hidden="1" x14ac:dyDescent="0.3">
      <c r="A66" s="99" t="s">
        <v>48</v>
      </c>
      <c r="B66" s="100" t="s">
        <v>316</v>
      </c>
      <c r="C66" s="100" t="s">
        <v>323</v>
      </c>
      <c r="D66" s="100" t="s">
        <v>311</v>
      </c>
      <c r="E66" s="101" t="s">
        <v>22</v>
      </c>
      <c r="F66" s="102">
        <v>3207.5</v>
      </c>
      <c r="G66" s="102"/>
      <c r="H66" s="101" t="s">
        <v>23</v>
      </c>
      <c r="I66" s="103" t="s">
        <v>24</v>
      </c>
      <c r="J66" s="103"/>
      <c r="K66" s="104" t="s">
        <v>17</v>
      </c>
      <c r="L66" s="105">
        <v>531191.63</v>
      </c>
    </row>
    <row r="67" spans="1:12" ht="61.2" hidden="1" x14ac:dyDescent="0.3">
      <c r="A67" s="99" t="s">
        <v>48</v>
      </c>
      <c r="B67" s="100" t="s">
        <v>316</v>
      </c>
      <c r="C67" s="100" t="s">
        <v>324</v>
      </c>
      <c r="D67" s="100" t="s">
        <v>311</v>
      </c>
      <c r="E67" s="101" t="s">
        <v>22</v>
      </c>
      <c r="F67" s="102">
        <v>18049.8</v>
      </c>
      <c r="G67" s="102"/>
      <c r="H67" s="101" t="s">
        <v>23</v>
      </c>
      <c r="I67" s="103" t="s">
        <v>24</v>
      </c>
      <c r="J67" s="103"/>
      <c r="K67" s="104" t="s">
        <v>17</v>
      </c>
      <c r="L67" s="105">
        <v>549241.43000000005</v>
      </c>
    </row>
    <row r="68" spans="1:12" ht="71.400000000000006" hidden="1" x14ac:dyDescent="0.3">
      <c r="A68" s="99" t="s">
        <v>48</v>
      </c>
      <c r="B68" s="100" t="s">
        <v>316</v>
      </c>
      <c r="C68" s="100" t="s">
        <v>325</v>
      </c>
      <c r="D68" s="100" t="s">
        <v>311</v>
      </c>
      <c r="E68" s="101" t="s">
        <v>22</v>
      </c>
      <c r="F68" s="102">
        <v>11778</v>
      </c>
      <c r="G68" s="102"/>
      <c r="H68" s="101" t="s">
        <v>23</v>
      </c>
      <c r="I68" s="103" t="s">
        <v>24</v>
      </c>
      <c r="J68" s="103"/>
      <c r="K68" s="104" t="s">
        <v>17</v>
      </c>
      <c r="L68" s="105">
        <v>561019.43000000005</v>
      </c>
    </row>
    <row r="69" spans="1:12" ht="71.400000000000006" hidden="1" x14ac:dyDescent="0.3">
      <c r="A69" s="99" t="s">
        <v>48</v>
      </c>
      <c r="B69" s="100" t="s">
        <v>316</v>
      </c>
      <c r="C69" s="100" t="s">
        <v>326</v>
      </c>
      <c r="D69" s="100" t="s">
        <v>311</v>
      </c>
      <c r="E69" s="101" t="s">
        <v>22</v>
      </c>
      <c r="F69" s="106">
        <v>616</v>
      </c>
      <c r="G69" s="106"/>
      <c r="H69" s="101" t="s">
        <v>23</v>
      </c>
      <c r="I69" s="103" t="s">
        <v>24</v>
      </c>
      <c r="J69" s="103"/>
      <c r="K69" s="104" t="s">
        <v>17</v>
      </c>
      <c r="L69" s="105">
        <v>561635.43000000005</v>
      </c>
    </row>
    <row r="70" spans="1:12" ht="71.400000000000006" hidden="1" x14ac:dyDescent="0.3">
      <c r="A70" s="99" t="s">
        <v>48</v>
      </c>
      <c r="B70" s="100" t="s">
        <v>316</v>
      </c>
      <c r="C70" s="100" t="s">
        <v>327</v>
      </c>
      <c r="D70" s="100" t="s">
        <v>311</v>
      </c>
      <c r="E70" s="101" t="s">
        <v>22</v>
      </c>
      <c r="F70" s="102">
        <v>39556.800000000003</v>
      </c>
      <c r="G70" s="102"/>
      <c r="H70" s="101" t="s">
        <v>23</v>
      </c>
      <c r="I70" s="103" t="s">
        <v>24</v>
      </c>
      <c r="J70" s="103"/>
      <c r="K70" s="104" t="s">
        <v>17</v>
      </c>
      <c r="L70" s="105">
        <v>601192.23</v>
      </c>
    </row>
    <row r="71" spans="1:12" ht="81.599999999999994" hidden="1" x14ac:dyDescent="0.3">
      <c r="A71" s="99" t="s">
        <v>48</v>
      </c>
      <c r="B71" s="100" t="s">
        <v>316</v>
      </c>
      <c r="C71" s="100" t="s">
        <v>328</v>
      </c>
      <c r="D71" s="100" t="s">
        <v>311</v>
      </c>
      <c r="E71" s="101" t="s">
        <v>22</v>
      </c>
      <c r="F71" s="102">
        <v>5548.2</v>
      </c>
      <c r="G71" s="102"/>
      <c r="H71" s="101" t="s">
        <v>23</v>
      </c>
      <c r="I71" s="103" t="s">
        <v>24</v>
      </c>
      <c r="J71" s="103"/>
      <c r="K71" s="104" t="s">
        <v>17</v>
      </c>
      <c r="L71" s="105">
        <v>606740.43000000005</v>
      </c>
    </row>
    <row r="72" spans="1:12" ht="61.2" hidden="1" x14ac:dyDescent="0.3">
      <c r="A72" s="99" t="s">
        <v>48</v>
      </c>
      <c r="B72" s="100" t="s">
        <v>316</v>
      </c>
      <c r="C72" s="100" t="s">
        <v>329</v>
      </c>
      <c r="D72" s="100" t="s">
        <v>311</v>
      </c>
      <c r="E72" s="101" t="s">
        <v>22</v>
      </c>
      <c r="F72" s="102">
        <v>26347.5</v>
      </c>
      <c r="G72" s="102"/>
      <c r="H72" s="101" t="s">
        <v>23</v>
      </c>
      <c r="I72" s="103" t="s">
        <v>24</v>
      </c>
      <c r="J72" s="103"/>
      <c r="K72" s="104" t="s">
        <v>17</v>
      </c>
      <c r="L72" s="105">
        <v>633087.93000000005</v>
      </c>
    </row>
    <row r="73" spans="1:12" ht="71.400000000000006" hidden="1" x14ac:dyDescent="0.3">
      <c r="A73" s="99" t="s">
        <v>48</v>
      </c>
      <c r="B73" s="100" t="s">
        <v>316</v>
      </c>
      <c r="C73" s="100" t="s">
        <v>330</v>
      </c>
      <c r="D73" s="100" t="s">
        <v>311</v>
      </c>
      <c r="E73" s="101" t="s">
        <v>22</v>
      </c>
      <c r="F73" s="102">
        <v>57840</v>
      </c>
      <c r="G73" s="102"/>
      <c r="H73" s="101" t="s">
        <v>23</v>
      </c>
      <c r="I73" s="103" t="s">
        <v>24</v>
      </c>
      <c r="J73" s="103"/>
      <c r="K73" s="104" t="s">
        <v>17</v>
      </c>
      <c r="L73" s="105">
        <v>690927.93</v>
      </c>
    </row>
    <row r="74" spans="1:12" ht="81.599999999999994" hidden="1" x14ac:dyDescent="0.3">
      <c r="A74" s="99" t="s">
        <v>48</v>
      </c>
      <c r="B74" s="100" t="s">
        <v>331</v>
      </c>
      <c r="C74" s="100" t="s">
        <v>332</v>
      </c>
      <c r="D74" s="100" t="s">
        <v>333</v>
      </c>
      <c r="E74" s="101" t="s">
        <v>22</v>
      </c>
      <c r="F74" s="106">
        <v>127.6</v>
      </c>
      <c r="G74" s="106"/>
      <c r="H74" s="101" t="s">
        <v>23</v>
      </c>
      <c r="I74" s="103" t="s">
        <v>24</v>
      </c>
      <c r="J74" s="103"/>
      <c r="K74" s="104" t="s">
        <v>17</v>
      </c>
      <c r="L74" s="105">
        <v>691055.53</v>
      </c>
    </row>
    <row r="75" spans="1:12" ht="71.400000000000006" hidden="1" x14ac:dyDescent="0.3">
      <c r="A75" s="99" t="s">
        <v>48</v>
      </c>
      <c r="B75" s="100" t="s">
        <v>331</v>
      </c>
      <c r="C75" s="100" t="s">
        <v>334</v>
      </c>
      <c r="D75" s="100" t="s">
        <v>333</v>
      </c>
      <c r="E75" s="101" t="s">
        <v>22</v>
      </c>
      <c r="F75" s="106">
        <v>875</v>
      </c>
      <c r="G75" s="106"/>
      <c r="H75" s="101" t="s">
        <v>23</v>
      </c>
      <c r="I75" s="103" t="s">
        <v>24</v>
      </c>
      <c r="J75" s="103"/>
      <c r="K75" s="104" t="s">
        <v>17</v>
      </c>
      <c r="L75" s="105">
        <v>691930.53</v>
      </c>
    </row>
    <row r="76" spans="1:12" ht="71.400000000000006" hidden="1" x14ac:dyDescent="0.3">
      <c r="A76" s="99" t="s">
        <v>48</v>
      </c>
      <c r="B76" s="100" t="s">
        <v>331</v>
      </c>
      <c r="C76" s="100" t="s">
        <v>335</v>
      </c>
      <c r="D76" s="100" t="s">
        <v>333</v>
      </c>
      <c r="E76" s="101" t="s">
        <v>22</v>
      </c>
      <c r="F76" s="106">
        <v>96.7</v>
      </c>
      <c r="G76" s="106"/>
      <c r="H76" s="101" t="s">
        <v>23</v>
      </c>
      <c r="I76" s="103" t="s">
        <v>24</v>
      </c>
      <c r="J76" s="103"/>
      <c r="K76" s="104" t="s">
        <v>17</v>
      </c>
      <c r="L76" s="105">
        <v>692027.23</v>
      </c>
    </row>
    <row r="77" spans="1:12" ht="71.400000000000006" hidden="1" x14ac:dyDescent="0.3">
      <c r="A77" s="99" t="s">
        <v>48</v>
      </c>
      <c r="B77" s="100" t="s">
        <v>331</v>
      </c>
      <c r="C77" s="100" t="s">
        <v>336</v>
      </c>
      <c r="D77" s="100" t="s">
        <v>333</v>
      </c>
      <c r="E77" s="101" t="s">
        <v>22</v>
      </c>
      <c r="F77" s="102">
        <v>2583</v>
      </c>
      <c r="G77" s="102"/>
      <c r="H77" s="101" t="s">
        <v>23</v>
      </c>
      <c r="I77" s="103" t="s">
        <v>24</v>
      </c>
      <c r="J77" s="103"/>
      <c r="K77" s="104" t="s">
        <v>17</v>
      </c>
      <c r="L77" s="105">
        <v>694610.23</v>
      </c>
    </row>
    <row r="78" spans="1:12" ht="61.2" hidden="1" x14ac:dyDescent="0.3">
      <c r="A78" s="99" t="s">
        <v>48</v>
      </c>
      <c r="B78" s="100" t="s">
        <v>331</v>
      </c>
      <c r="C78" s="100" t="s">
        <v>337</v>
      </c>
      <c r="D78" s="100" t="s">
        <v>333</v>
      </c>
      <c r="E78" s="101" t="s">
        <v>22</v>
      </c>
      <c r="F78" s="102">
        <v>1515</v>
      </c>
      <c r="G78" s="102"/>
      <c r="H78" s="101" t="s">
        <v>23</v>
      </c>
      <c r="I78" s="103" t="s">
        <v>24</v>
      </c>
      <c r="J78" s="103"/>
      <c r="K78" s="104" t="s">
        <v>17</v>
      </c>
      <c r="L78" s="105">
        <v>696125.23</v>
      </c>
    </row>
    <row r="79" spans="1:12" ht="61.2" hidden="1" x14ac:dyDescent="0.3">
      <c r="A79" s="99" t="s">
        <v>48</v>
      </c>
      <c r="B79" s="100" t="s">
        <v>331</v>
      </c>
      <c r="C79" s="100" t="s">
        <v>338</v>
      </c>
      <c r="D79" s="100" t="s">
        <v>333</v>
      </c>
      <c r="E79" s="101" t="s">
        <v>22</v>
      </c>
      <c r="F79" s="106">
        <v>97.7</v>
      </c>
      <c r="G79" s="106"/>
      <c r="H79" s="101" t="s">
        <v>23</v>
      </c>
      <c r="I79" s="103" t="s">
        <v>24</v>
      </c>
      <c r="J79" s="103"/>
      <c r="K79" s="104" t="s">
        <v>17</v>
      </c>
      <c r="L79" s="105">
        <v>696222.93</v>
      </c>
    </row>
    <row r="80" spans="1:12" ht="81.599999999999994" hidden="1" x14ac:dyDescent="0.3">
      <c r="A80" s="99" t="s">
        <v>48</v>
      </c>
      <c r="B80" s="100" t="s">
        <v>339</v>
      </c>
      <c r="C80" s="100" t="s">
        <v>332</v>
      </c>
      <c r="D80" s="100" t="s">
        <v>333</v>
      </c>
      <c r="E80" s="101" t="s">
        <v>22</v>
      </c>
      <c r="F80" s="106">
        <v>19.88</v>
      </c>
      <c r="G80" s="106"/>
      <c r="H80" s="101" t="s">
        <v>23</v>
      </c>
      <c r="I80" s="103" t="s">
        <v>24</v>
      </c>
      <c r="J80" s="103"/>
      <c r="K80" s="104" t="s">
        <v>17</v>
      </c>
      <c r="L80" s="105">
        <v>696242.81</v>
      </c>
    </row>
    <row r="81" spans="1:12" ht="71.400000000000006" hidden="1" x14ac:dyDescent="0.3">
      <c r="A81" s="99" t="s">
        <v>48</v>
      </c>
      <c r="B81" s="100" t="s">
        <v>339</v>
      </c>
      <c r="C81" s="100" t="s">
        <v>334</v>
      </c>
      <c r="D81" s="100" t="s">
        <v>333</v>
      </c>
      <c r="E81" s="101" t="s">
        <v>22</v>
      </c>
      <c r="F81" s="106">
        <v>136.37</v>
      </c>
      <c r="G81" s="106"/>
      <c r="H81" s="101" t="s">
        <v>23</v>
      </c>
      <c r="I81" s="103" t="s">
        <v>24</v>
      </c>
      <c r="J81" s="103"/>
      <c r="K81" s="104" t="s">
        <v>17</v>
      </c>
      <c r="L81" s="105">
        <v>696379.18</v>
      </c>
    </row>
    <row r="82" spans="1:12" ht="71.400000000000006" hidden="1" x14ac:dyDescent="0.3">
      <c r="A82" s="99" t="s">
        <v>48</v>
      </c>
      <c r="B82" s="100" t="s">
        <v>339</v>
      </c>
      <c r="C82" s="100" t="s">
        <v>335</v>
      </c>
      <c r="D82" s="100" t="s">
        <v>333</v>
      </c>
      <c r="E82" s="101" t="s">
        <v>22</v>
      </c>
      <c r="F82" s="106">
        <v>15.07</v>
      </c>
      <c r="G82" s="106"/>
      <c r="H82" s="101" t="s">
        <v>23</v>
      </c>
      <c r="I82" s="103" t="s">
        <v>24</v>
      </c>
      <c r="J82" s="103"/>
      <c r="K82" s="104" t="s">
        <v>17</v>
      </c>
      <c r="L82" s="105">
        <v>696394.25</v>
      </c>
    </row>
    <row r="83" spans="1:12" ht="71.400000000000006" hidden="1" x14ac:dyDescent="0.3">
      <c r="A83" s="99" t="s">
        <v>48</v>
      </c>
      <c r="B83" s="100" t="s">
        <v>339</v>
      </c>
      <c r="C83" s="100" t="s">
        <v>336</v>
      </c>
      <c r="D83" s="100" t="s">
        <v>333</v>
      </c>
      <c r="E83" s="101" t="s">
        <v>22</v>
      </c>
      <c r="F83" s="106">
        <v>402.56</v>
      </c>
      <c r="G83" s="106"/>
      <c r="H83" s="101" t="s">
        <v>23</v>
      </c>
      <c r="I83" s="103" t="s">
        <v>24</v>
      </c>
      <c r="J83" s="103"/>
      <c r="K83" s="104" t="s">
        <v>17</v>
      </c>
      <c r="L83" s="105">
        <v>696796.81</v>
      </c>
    </row>
    <row r="84" spans="1:12" ht="61.2" hidden="1" x14ac:dyDescent="0.3">
      <c r="A84" s="99" t="s">
        <v>48</v>
      </c>
      <c r="B84" s="100" t="s">
        <v>339</v>
      </c>
      <c r="C84" s="100" t="s">
        <v>337</v>
      </c>
      <c r="D84" s="100" t="s">
        <v>333</v>
      </c>
      <c r="E84" s="101" t="s">
        <v>22</v>
      </c>
      <c r="F84" s="106">
        <v>236.11</v>
      </c>
      <c r="G84" s="106"/>
      <c r="H84" s="101" t="s">
        <v>23</v>
      </c>
      <c r="I84" s="103" t="s">
        <v>24</v>
      </c>
      <c r="J84" s="103"/>
      <c r="K84" s="104" t="s">
        <v>17</v>
      </c>
      <c r="L84" s="105">
        <v>697032.92</v>
      </c>
    </row>
    <row r="85" spans="1:12" ht="61.2" hidden="1" x14ac:dyDescent="0.3">
      <c r="A85" s="99" t="s">
        <v>48</v>
      </c>
      <c r="B85" s="100" t="s">
        <v>339</v>
      </c>
      <c r="C85" s="100" t="s">
        <v>338</v>
      </c>
      <c r="D85" s="100" t="s">
        <v>333</v>
      </c>
      <c r="E85" s="101" t="s">
        <v>22</v>
      </c>
      <c r="F85" s="106">
        <v>15.22</v>
      </c>
      <c r="G85" s="106"/>
      <c r="H85" s="101" t="s">
        <v>23</v>
      </c>
      <c r="I85" s="103" t="s">
        <v>24</v>
      </c>
      <c r="J85" s="103"/>
      <c r="K85" s="104" t="s">
        <v>17</v>
      </c>
      <c r="L85" s="105">
        <v>697048.14</v>
      </c>
    </row>
    <row r="86" spans="1:12" ht="61.2" hidden="1" x14ac:dyDescent="0.3">
      <c r="A86" s="99" t="s">
        <v>53</v>
      </c>
      <c r="B86" s="100" t="s">
        <v>340</v>
      </c>
      <c r="C86" s="100" t="s">
        <v>341</v>
      </c>
      <c r="D86" s="100" t="s">
        <v>342</v>
      </c>
      <c r="E86" s="101" t="s">
        <v>22</v>
      </c>
      <c r="F86" s="106">
        <v>677.76</v>
      </c>
      <c r="G86" s="106"/>
      <c r="H86" s="101" t="s">
        <v>23</v>
      </c>
      <c r="I86" s="103" t="s">
        <v>24</v>
      </c>
      <c r="J86" s="103"/>
      <c r="K86" s="104" t="s">
        <v>17</v>
      </c>
      <c r="L86" s="105">
        <v>697725.9</v>
      </c>
    </row>
    <row r="87" spans="1:12" ht="61.2" hidden="1" x14ac:dyDescent="0.3">
      <c r="A87" s="99" t="s">
        <v>53</v>
      </c>
      <c r="B87" s="100" t="s">
        <v>343</v>
      </c>
      <c r="C87" s="100" t="s">
        <v>341</v>
      </c>
      <c r="D87" s="100" t="s">
        <v>342</v>
      </c>
      <c r="E87" s="101" t="s">
        <v>22</v>
      </c>
      <c r="F87" s="102">
        <v>35706.400000000001</v>
      </c>
      <c r="G87" s="102"/>
      <c r="H87" s="101" t="s">
        <v>23</v>
      </c>
      <c r="I87" s="103" t="s">
        <v>24</v>
      </c>
      <c r="J87" s="103"/>
      <c r="K87" s="104" t="s">
        <v>17</v>
      </c>
      <c r="L87" s="105">
        <v>733432.3</v>
      </c>
    </row>
    <row r="88" spans="1:12" ht="61.2" hidden="1" x14ac:dyDescent="0.3">
      <c r="A88" s="99" t="s">
        <v>53</v>
      </c>
      <c r="B88" s="100" t="s">
        <v>340</v>
      </c>
      <c r="C88" s="100" t="s">
        <v>344</v>
      </c>
      <c r="D88" s="100" t="s">
        <v>342</v>
      </c>
      <c r="E88" s="101" t="s">
        <v>22</v>
      </c>
      <c r="F88" s="106">
        <v>810</v>
      </c>
      <c r="G88" s="106"/>
      <c r="H88" s="101" t="s">
        <v>23</v>
      </c>
      <c r="I88" s="103" t="s">
        <v>24</v>
      </c>
      <c r="J88" s="103"/>
      <c r="K88" s="104" t="s">
        <v>17</v>
      </c>
      <c r="L88" s="105">
        <v>734242.3</v>
      </c>
    </row>
    <row r="89" spans="1:12" ht="61.2" hidden="1" x14ac:dyDescent="0.3">
      <c r="A89" s="99" t="s">
        <v>53</v>
      </c>
      <c r="B89" s="100" t="s">
        <v>345</v>
      </c>
      <c r="C89" s="100" t="s">
        <v>346</v>
      </c>
      <c r="D89" s="100" t="s">
        <v>347</v>
      </c>
      <c r="E89" s="101" t="s">
        <v>22</v>
      </c>
      <c r="F89" s="106">
        <v>9.73</v>
      </c>
      <c r="G89" s="106"/>
      <c r="H89" s="101" t="s">
        <v>23</v>
      </c>
      <c r="I89" s="103" t="s">
        <v>24</v>
      </c>
      <c r="J89" s="103"/>
      <c r="K89" s="104" t="s">
        <v>17</v>
      </c>
      <c r="L89" s="105">
        <v>734252.03</v>
      </c>
    </row>
    <row r="90" spans="1:12" ht="71.400000000000006" hidden="1" x14ac:dyDescent="0.3">
      <c r="A90" s="99" t="s">
        <v>53</v>
      </c>
      <c r="B90" s="100" t="s">
        <v>345</v>
      </c>
      <c r="C90" s="100" t="s">
        <v>348</v>
      </c>
      <c r="D90" s="100" t="s">
        <v>347</v>
      </c>
      <c r="E90" s="101" t="s">
        <v>22</v>
      </c>
      <c r="F90" s="106">
        <v>26.51</v>
      </c>
      <c r="G90" s="106"/>
      <c r="H90" s="101" t="s">
        <v>23</v>
      </c>
      <c r="I90" s="103" t="s">
        <v>24</v>
      </c>
      <c r="J90" s="103"/>
      <c r="K90" s="104" t="s">
        <v>17</v>
      </c>
      <c r="L90" s="105">
        <v>734278.54</v>
      </c>
    </row>
    <row r="91" spans="1:12" ht="61.2" hidden="1" x14ac:dyDescent="0.3">
      <c r="A91" s="99" t="s">
        <v>53</v>
      </c>
      <c r="B91" s="100" t="s">
        <v>345</v>
      </c>
      <c r="C91" s="100" t="s">
        <v>349</v>
      </c>
      <c r="D91" s="100" t="s">
        <v>347</v>
      </c>
      <c r="E91" s="101" t="s">
        <v>22</v>
      </c>
      <c r="F91" s="106">
        <v>77.11</v>
      </c>
      <c r="G91" s="106"/>
      <c r="H91" s="101" t="s">
        <v>23</v>
      </c>
      <c r="I91" s="103" t="s">
        <v>24</v>
      </c>
      <c r="J91" s="103"/>
      <c r="K91" s="104" t="s">
        <v>17</v>
      </c>
      <c r="L91" s="105">
        <v>734355.65</v>
      </c>
    </row>
    <row r="92" spans="1:12" ht="61.2" hidden="1" x14ac:dyDescent="0.3">
      <c r="A92" s="99" t="s">
        <v>53</v>
      </c>
      <c r="B92" s="100" t="s">
        <v>345</v>
      </c>
      <c r="C92" s="100" t="s">
        <v>350</v>
      </c>
      <c r="D92" s="100" t="s">
        <v>347</v>
      </c>
      <c r="E92" s="101" t="s">
        <v>22</v>
      </c>
      <c r="F92" s="106">
        <v>46.62</v>
      </c>
      <c r="G92" s="106"/>
      <c r="H92" s="101" t="s">
        <v>23</v>
      </c>
      <c r="I92" s="103" t="s">
        <v>24</v>
      </c>
      <c r="J92" s="103"/>
      <c r="K92" s="104" t="s">
        <v>17</v>
      </c>
      <c r="L92" s="105">
        <v>734402.27</v>
      </c>
    </row>
    <row r="93" spans="1:12" ht="61.2" hidden="1" x14ac:dyDescent="0.3">
      <c r="A93" s="99" t="s">
        <v>111</v>
      </c>
      <c r="B93" s="100" t="s">
        <v>351</v>
      </c>
      <c r="C93" s="100" t="s">
        <v>352</v>
      </c>
      <c r="D93" s="100" t="s">
        <v>353</v>
      </c>
      <c r="E93" s="101" t="s">
        <v>22</v>
      </c>
      <c r="F93" s="102">
        <v>1471.68</v>
      </c>
      <c r="G93" s="102"/>
      <c r="H93" s="101" t="s">
        <v>23</v>
      </c>
      <c r="I93" s="103" t="s">
        <v>24</v>
      </c>
      <c r="J93" s="103"/>
      <c r="K93" s="104" t="s">
        <v>17</v>
      </c>
      <c r="L93" s="105">
        <v>735873.95</v>
      </c>
    </row>
    <row r="94" spans="1:12" ht="71.400000000000006" hidden="1" x14ac:dyDescent="0.3">
      <c r="A94" s="99" t="s">
        <v>111</v>
      </c>
      <c r="B94" s="100" t="s">
        <v>351</v>
      </c>
      <c r="C94" s="100" t="s">
        <v>354</v>
      </c>
      <c r="D94" s="100" t="s">
        <v>353</v>
      </c>
      <c r="E94" s="101" t="s">
        <v>22</v>
      </c>
      <c r="F94" s="102">
        <v>1104.3900000000001</v>
      </c>
      <c r="G94" s="102"/>
      <c r="H94" s="101" t="s">
        <v>23</v>
      </c>
      <c r="I94" s="103" t="s">
        <v>24</v>
      </c>
      <c r="J94" s="103"/>
      <c r="K94" s="104" t="s">
        <v>17</v>
      </c>
      <c r="L94" s="105">
        <v>736978.34</v>
      </c>
    </row>
    <row r="95" spans="1:12" ht="71.400000000000006" hidden="1" x14ac:dyDescent="0.3">
      <c r="A95" s="99" t="s">
        <v>355</v>
      </c>
      <c r="B95" s="100" t="s">
        <v>356</v>
      </c>
      <c r="C95" s="100" t="s">
        <v>357</v>
      </c>
      <c r="D95" s="100" t="s">
        <v>358</v>
      </c>
      <c r="E95" s="101" t="s">
        <v>22</v>
      </c>
      <c r="F95" s="102">
        <v>9991.7099999999991</v>
      </c>
      <c r="G95" s="102"/>
      <c r="H95" s="101" t="s">
        <v>23</v>
      </c>
      <c r="I95" s="103" t="s">
        <v>24</v>
      </c>
      <c r="J95" s="103"/>
      <c r="K95" s="104" t="s">
        <v>17</v>
      </c>
      <c r="L95" s="105">
        <v>746970.05</v>
      </c>
    </row>
    <row r="96" spans="1:12" ht="71.400000000000006" hidden="1" x14ac:dyDescent="0.3">
      <c r="A96" s="99" t="s">
        <v>355</v>
      </c>
      <c r="B96" s="100" t="s">
        <v>359</v>
      </c>
      <c r="C96" s="100" t="s">
        <v>357</v>
      </c>
      <c r="D96" s="100" t="s">
        <v>360</v>
      </c>
      <c r="E96" s="101" t="s">
        <v>22</v>
      </c>
      <c r="F96" s="102">
        <v>17341.62</v>
      </c>
      <c r="G96" s="102"/>
      <c r="H96" s="101" t="s">
        <v>23</v>
      </c>
      <c r="I96" s="103" t="s">
        <v>24</v>
      </c>
      <c r="J96" s="103"/>
      <c r="K96" s="104" t="s">
        <v>17</v>
      </c>
      <c r="L96" s="105">
        <v>764311.67</v>
      </c>
    </row>
    <row r="97" spans="1:12" ht="71.400000000000006" hidden="1" x14ac:dyDescent="0.3">
      <c r="A97" s="99" t="s">
        <v>361</v>
      </c>
      <c r="B97" s="100" t="s">
        <v>362</v>
      </c>
      <c r="C97" s="100" t="s">
        <v>363</v>
      </c>
      <c r="D97" s="100" t="s">
        <v>364</v>
      </c>
      <c r="E97" s="101" t="s">
        <v>22</v>
      </c>
      <c r="F97" s="102">
        <v>1793.1</v>
      </c>
      <c r="G97" s="102"/>
      <c r="H97" s="101" t="s">
        <v>23</v>
      </c>
      <c r="I97" s="103" t="s">
        <v>24</v>
      </c>
      <c r="J97" s="103"/>
      <c r="K97" s="104" t="s">
        <v>17</v>
      </c>
      <c r="L97" s="105">
        <v>766104.77</v>
      </c>
    </row>
    <row r="98" spans="1:12" ht="71.400000000000006" hidden="1" x14ac:dyDescent="0.3">
      <c r="A98" s="99" t="s">
        <v>105</v>
      </c>
      <c r="B98" s="100" t="s">
        <v>365</v>
      </c>
      <c r="C98" s="100" t="s">
        <v>366</v>
      </c>
      <c r="D98" s="100" t="s">
        <v>367</v>
      </c>
      <c r="E98" s="101" t="s">
        <v>22</v>
      </c>
      <c r="F98" s="102">
        <v>9132</v>
      </c>
      <c r="G98" s="102"/>
      <c r="H98" s="101" t="s">
        <v>23</v>
      </c>
      <c r="I98" s="103" t="s">
        <v>24</v>
      </c>
      <c r="J98" s="103"/>
      <c r="K98" s="104" t="s">
        <v>17</v>
      </c>
      <c r="L98" s="105">
        <v>775236.77</v>
      </c>
    </row>
    <row r="99" spans="1:12" ht="81.599999999999994" hidden="1" x14ac:dyDescent="0.3">
      <c r="A99" s="99" t="s">
        <v>105</v>
      </c>
      <c r="B99" s="100" t="s">
        <v>368</v>
      </c>
      <c r="C99" s="100" t="s">
        <v>369</v>
      </c>
      <c r="D99" s="100" t="s">
        <v>367</v>
      </c>
      <c r="E99" s="101" t="s">
        <v>22</v>
      </c>
      <c r="F99" s="106">
        <v>903.68</v>
      </c>
      <c r="G99" s="106"/>
      <c r="H99" s="101" t="s">
        <v>23</v>
      </c>
      <c r="I99" s="103" t="s">
        <v>24</v>
      </c>
      <c r="J99" s="103"/>
      <c r="K99" s="104" t="s">
        <v>17</v>
      </c>
      <c r="L99" s="105">
        <v>776140.45</v>
      </c>
    </row>
    <row r="100" spans="1:12" ht="81.599999999999994" hidden="1" x14ac:dyDescent="0.3">
      <c r="A100" s="99" t="s">
        <v>105</v>
      </c>
      <c r="B100" s="100" t="s">
        <v>365</v>
      </c>
      <c r="C100" s="100" t="s">
        <v>369</v>
      </c>
      <c r="D100" s="100" t="s">
        <v>367</v>
      </c>
      <c r="E100" s="101" t="s">
        <v>22</v>
      </c>
      <c r="F100" s="102">
        <v>14896.32</v>
      </c>
      <c r="G100" s="102"/>
      <c r="H100" s="101" t="s">
        <v>23</v>
      </c>
      <c r="I100" s="103" t="s">
        <v>24</v>
      </c>
      <c r="J100" s="103"/>
      <c r="K100" s="104" t="s">
        <v>17</v>
      </c>
      <c r="L100" s="105">
        <v>791036.77</v>
      </c>
    </row>
    <row r="101" spans="1:12" ht="71.400000000000006" hidden="1" x14ac:dyDescent="0.3">
      <c r="A101" s="99" t="s">
        <v>105</v>
      </c>
      <c r="B101" s="100" t="s">
        <v>370</v>
      </c>
      <c r="C101" s="100" t="s">
        <v>366</v>
      </c>
      <c r="D101" s="100" t="s">
        <v>367</v>
      </c>
      <c r="E101" s="101" t="s">
        <v>22</v>
      </c>
      <c r="F101" s="106">
        <v>732.55</v>
      </c>
      <c r="G101" s="106"/>
      <c r="H101" s="101" t="s">
        <v>23</v>
      </c>
      <c r="I101" s="103" t="s">
        <v>24</v>
      </c>
      <c r="J101" s="103"/>
      <c r="K101" s="104" t="s">
        <v>17</v>
      </c>
      <c r="L101" s="105">
        <v>791769.32</v>
      </c>
    </row>
    <row r="102" spans="1:12" ht="81.599999999999994" hidden="1" x14ac:dyDescent="0.3">
      <c r="A102" s="99" t="s">
        <v>105</v>
      </c>
      <c r="B102" s="100" t="s">
        <v>370</v>
      </c>
      <c r="C102" s="100" t="s">
        <v>369</v>
      </c>
      <c r="D102" s="100" t="s">
        <v>367</v>
      </c>
      <c r="E102" s="101" t="s">
        <v>22</v>
      </c>
      <c r="F102" s="102">
        <v>1267.45</v>
      </c>
      <c r="G102" s="102"/>
      <c r="H102" s="101" t="s">
        <v>23</v>
      </c>
      <c r="I102" s="103" t="s">
        <v>24</v>
      </c>
      <c r="J102" s="103"/>
      <c r="K102" s="104" t="s">
        <v>17</v>
      </c>
      <c r="L102" s="105">
        <v>793036.77</v>
      </c>
    </row>
    <row r="103" spans="1:12" ht="61.2" hidden="1" x14ac:dyDescent="0.3">
      <c r="A103" s="99" t="s">
        <v>181</v>
      </c>
      <c r="B103" s="100" t="s">
        <v>371</v>
      </c>
      <c r="C103" s="100" t="s">
        <v>372</v>
      </c>
      <c r="D103" s="100" t="s">
        <v>373</v>
      </c>
      <c r="E103" s="101" t="s">
        <v>22</v>
      </c>
      <c r="F103" s="102">
        <v>1677.08</v>
      </c>
      <c r="G103" s="102"/>
      <c r="H103" s="101" t="s">
        <v>23</v>
      </c>
      <c r="I103" s="103" t="s">
        <v>24</v>
      </c>
      <c r="J103" s="103"/>
      <c r="K103" s="104" t="s">
        <v>17</v>
      </c>
      <c r="L103" s="105">
        <v>794713.85</v>
      </c>
    </row>
    <row r="104" spans="1:12" ht="71.400000000000006" hidden="1" x14ac:dyDescent="0.3">
      <c r="A104" s="99" t="s">
        <v>181</v>
      </c>
      <c r="B104" s="100" t="s">
        <v>374</v>
      </c>
      <c r="C104" s="100" t="s">
        <v>375</v>
      </c>
      <c r="D104" s="100" t="s">
        <v>376</v>
      </c>
      <c r="E104" s="101" t="s">
        <v>22</v>
      </c>
      <c r="F104" s="102">
        <v>1893.6</v>
      </c>
      <c r="G104" s="102"/>
      <c r="H104" s="101" t="s">
        <v>23</v>
      </c>
      <c r="I104" s="103" t="s">
        <v>24</v>
      </c>
      <c r="J104" s="103"/>
      <c r="K104" s="104" t="s">
        <v>17</v>
      </c>
      <c r="L104" s="105">
        <v>796607.45</v>
      </c>
    </row>
    <row r="105" spans="1:12" ht="61.2" hidden="1" x14ac:dyDescent="0.3">
      <c r="A105" s="99" t="s">
        <v>181</v>
      </c>
      <c r="B105" s="100" t="s">
        <v>374</v>
      </c>
      <c r="C105" s="100" t="s">
        <v>377</v>
      </c>
      <c r="D105" s="100" t="s">
        <v>376</v>
      </c>
      <c r="E105" s="101" t="s">
        <v>22</v>
      </c>
      <c r="F105" s="106">
        <v>390</v>
      </c>
      <c r="G105" s="106"/>
      <c r="H105" s="101" t="s">
        <v>23</v>
      </c>
      <c r="I105" s="103" t="s">
        <v>24</v>
      </c>
      <c r="J105" s="103"/>
      <c r="K105" s="104" t="s">
        <v>17</v>
      </c>
      <c r="L105" s="105">
        <v>796997.45</v>
      </c>
    </row>
    <row r="106" spans="1:12" ht="71.400000000000006" hidden="1" x14ac:dyDescent="0.3">
      <c r="A106" s="99" t="s">
        <v>181</v>
      </c>
      <c r="B106" s="100" t="s">
        <v>374</v>
      </c>
      <c r="C106" s="100" t="s">
        <v>378</v>
      </c>
      <c r="D106" s="100" t="s">
        <v>376</v>
      </c>
      <c r="E106" s="101" t="s">
        <v>22</v>
      </c>
      <c r="F106" s="102">
        <v>5080</v>
      </c>
      <c r="G106" s="102"/>
      <c r="H106" s="101" t="s">
        <v>23</v>
      </c>
      <c r="I106" s="103" t="s">
        <v>24</v>
      </c>
      <c r="J106" s="103"/>
      <c r="K106" s="104" t="s">
        <v>17</v>
      </c>
      <c r="L106" s="105">
        <v>802077.45</v>
      </c>
    </row>
    <row r="107" spans="1:12" ht="71.400000000000006" hidden="1" x14ac:dyDescent="0.3">
      <c r="A107" s="99" t="s">
        <v>181</v>
      </c>
      <c r="B107" s="100" t="s">
        <v>374</v>
      </c>
      <c r="C107" s="100" t="s">
        <v>379</v>
      </c>
      <c r="D107" s="100" t="s">
        <v>376</v>
      </c>
      <c r="E107" s="101" t="s">
        <v>22</v>
      </c>
      <c r="F107" s="106">
        <v>573.75</v>
      </c>
      <c r="G107" s="106"/>
      <c r="H107" s="101" t="s">
        <v>23</v>
      </c>
      <c r="I107" s="103" t="s">
        <v>24</v>
      </c>
      <c r="J107" s="103"/>
      <c r="K107" s="104" t="s">
        <v>17</v>
      </c>
      <c r="L107" s="105">
        <v>802651.2</v>
      </c>
    </row>
    <row r="108" spans="1:12" ht="81.599999999999994" hidden="1" x14ac:dyDescent="0.3">
      <c r="A108" s="99" t="s">
        <v>181</v>
      </c>
      <c r="B108" s="100" t="s">
        <v>374</v>
      </c>
      <c r="C108" s="100" t="s">
        <v>380</v>
      </c>
      <c r="D108" s="100" t="s">
        <v>376</v>
      </c>
      <c r="E108" s="101" t="s">
        <v>22</v>
      </c>
      <c r="F108" s="102">
        <v>7926</v>
      </c>
      <c r="G108" s="102"/>
      <c r="H108" s="101" t="s">
        <v>23</v>
      </c>
      <c r="I108" s="103" t="s">
        <v>24</v>
      </c>
      <c r="J108" s="103"/>
      <c r="K108" s="104" t="s">
        <v>17</v>
      </c>
      <c r="L108" s="105">
        <v>810577.2</v>
      </c>
    </row>
    <row r="109" spans="1:12" ht="61.2" hidden="1" x14ac:dyDescent="0.3">
      <c r="A109" s="99" t="s">
        <v>181</v>
      </c>
      <c r="B109" s="100" t="s">
        <v>374</v>
      </c>
      <c r="C109" s="100" t="s">
        <v>381</v>
      </c>
      <c r="D109" s="100" t="s">
        <v>376</v>
      </c>
      <c r="E109" s="101" t="s">
        <v>22</v>
      </c>
      <c r="F109" s="102">
        <v>4112.5</v>
      </c>
      <c r="G109" s="102"/>
      <c r="H109" s="101" t="s">
        <v>23</v>
      </c>
      <c r="I109" s="103" t="s">
        <v>24</v>
      </c>
      <c r="J109" s="103"/>
      <c r="K109" s="104" t="s">
        <v>17</v>
      </c>
      <c r="L109" s="105">
        <v>814689.7</v>
      </c>
    </row>
    <row r="110" spans="1:12" ht="61.2" hidden="1" x14ac:dyDescent="0.3">
      <c r="A110" s="99" t="s">
        <v>181</v>
      </c>
      <c r="B110" s="100" t="s">
        <v>374</v>
      </c>
      <c r="C110" s="100" t="s">
        <v>382</v>
      </c>
      <c r="D110" s="100" t="s">
        <v>376</v>
      </c>
      <c r="E110" s="101" t="s">
        <v>22</v>
      </c>
      <c r="F110" s="106">
        <v>386.7</v>
      </c>
      <c r="G110" s="106"/>
      <c r="H110" s="101" t="s">
        <v>23</v>
      </c>
      <c r="I110" s="103" t="s">
        <v>24</v>
      </c>
      <c r="J110" s="103"/>
      <c r="K110" s="104" t="s">
        <v>17</v>
      </c>
      <c r="L110" s="105">
        <v>815076.4</v>
      </c>
    </row>
    <row r="111" spans="1:12" ht="61.2" hidden="1" x14ac:dyDescent="0.3">
      <c r="A111" s="99" t="s">
        <v>181</v>
      </c>
      <c r="B111" s="100" t="s">
        <v>383</v>
      </c>
      <c r="C111" s="100" t="s">
        <v>384</v>
      </c>
      <c r="D111" s="100" t="s">
        <v>385</v>
      </c>
      <c r="E111" s="101" t="s">
        <v>22</v>
      </c>
      <c r="F111" s="102">
        <v>1896.96</v>
      </c>
      <c r="G111" s="102"/>
      <c r="H111" s="101" t="s">
        <v>23</v>
      </c>
      <c r="I111" s="103" t="s">
        <v>24</v>
      </c>
      <c r="J111" s="103"/>
      <c r="K111" s="104" t="s">
        <v>17</v>
      </c>
      <c r="L111" s="105">
        <v>816973.36</v>
      </c>
    </row>
    <row r="112" spans="1:12" ht="61.2" hidden="1" x14ac:dyDescent="0.3">
      <c r="A112" s="99" t="s">
        <v>181</v>
      </c>
      <c r="B112" s="100" t="s">
        <v>383</v>
      </c>
      <c r="C112" s="100" t="s">
        <v>386</v>
      </c>
      <c r="D112" s="100" t="s">
        <v>385</v>
      </c>
      <c r="E112" s="101" t="s">
        <v>22</v>
      </c>
      <c r="F112" s="106">
        <v>442.46</v>
      </c>
      <c r="G112" s="106"/>
      <c r="H112" s="101" t="s">
        <v>23</v>
      </c>
      <c r="I112" s="103" t="s">
        <v>24</v>
      </c>
      <c r="J112" s="103"/>
      <c r="K112" s="104" t="s">
        <v>17</v>
      </c>
      <c r="L112" s="105">
        <v>817415.82</v>
      </c>
    </row>
    <row r="113" spans="1:12" ht="61.2" hidden="1" x14ac:dyDescent="0.3">
      <c r="A113" s="99" t="s">
        <v>181</v>
      </c>
      <c r="B113" s="100" t="s">
        <v>383</v>
      </c>
      <c r="C113" s="100" t="s">
        <v>387</v>
      </c>
      <c r="D113" s="100" t="s">
        <v>385</v>
      </c>
      <c r="E113" s="101" t="s">
        <v>22</v>
      </c>
      <c r="F113" s="106">
        <v>992.36</v>
      </c>
      <c r="G113" s="106"/>
      <c r="H113" s="101" t="s">
        <v>23</v>
      </c>
      <c r="I113" s="103" t="s">
        <v>24</v>
      </c>
      <c r="J113" s="103"/>
      <c r="K113" s="104" t="s">
        <v>17</v>
      </c>
      <c r="L113" s="105">
        <v>818408.18</v>
      </c>
    </row>
    <row r="114" spans="1:12" ht="61.2" hidden="1" x14ac:dyDescent="0.3">
      <c r="A114" s="99" t="s">
        <v>181</v>
      </c>
      <c r="B114" s="100" t="s">
        <v>383</v>
      </c>
      <c r="C114" s="100" t="s">
        <v>388</v>
      </c>
      <c r="D114" s="100" t="s">
        <v>385</v>
      </c>
      <c r="E114" s="101" t="s">
        <v>22</v>
      </c>
      <c r="F114" s="106">
        <v>193.77</v>
      </c>
      <c r="G114" s="106"/>
      <c r="H114" s="101" t="s">
        <v>23</v>
      </c>
      <c r="I114" s="103" t="s">
        <v>24</v>
      </c>
      <c r="J114" s="103"/>
      <c r="K114" s="104" t="s">
        <v>17</v>
      </c>
      <c r="L114" s="105">
        <v>818601.95</v>
      </c>
    </row>
    <row r="115" spans="1:12" ht="61.2" hidden="1" x14ac:dyDescent="0.3">
      <c r="A115" s="99" t="s">
        <v>181</v>
      </c>
      <c r="B115" s="100" t="s">
        <v>383</v>
      </c>
      <c r="C115" s="100" t="s">
        <v>389</v>
      </c>
      <c r="D115" s="100" t="s">
        <v>385</v>
      </c>
      <c r="E115" s="101" t="s">
        <v>22</v>
      </c>
      <c r="F115" s="106">
        <v>432.37</v>
      </c>
      <c r="G115" s="106"/>
      <c r="H115" s="101" t="s">
        <v>23</v>
      </c>
      <c r="I115" s="103" t="s">
        <v>24</v>
      </c>
      <c r="J115" s="103"/>
      <c r="K115" s="104" t="s">
        <v>17</v>
      </c>
      <c r="L115" s="105">
        <v>819034.32</v>
      </c>
    </row>
    <row r="116" spans="1:12" ht="61.2" hidden="1" x14ac:dyDescent="0.3">
      <c r="A116" s="99" t="s">
        <v>181</v>
      </c>
      <c r="B116" s="100" t="s">
        <v>383</v>
      </c>
      <c r="C116" s="100" t="s">
        <v>390</v>
      </c>
      <c r="D116" s="100" t="s">
        <v>385</v>
      </c>
      <c r="E116" s="101" t="s">
        <v>22</v>
      </c>
      <c r="F116" s="106">
        <v>151.88</v>
      </c>
      <c r="G116" s="106"/>
      <c r="H116" s="101" t="s">
        <v>23</v>
      </c>
      <c r="I116" s="103" t="s">
        <v>24</v>
      </c>
      <c r="J116" s="103"/>
      <c r="K116" s="104" t="s">
        <v>17</v>
      </c>
      <c r="L116" s="105">
        <v>819186.2</v>
      </c>
    </row>
    <row r="117" spans="1:12" ht="61.2" hidden="1" x14ac:dyDescent="0.3">
      <c r="A117" s="99" t="s">
        <v>181</v>
      </c>
      <c r="B117" s="100" t="s">
        <v>383</v>
      </c>
      <c r="C117" s="100" t="s">
        <v>391</v>
      </c>
      <c r="D117" s="100" t="s">
        <v>385</v>
      </c>
      <c r="E117" s="101" t="s">
        <v>22</v>
      </c>
      <c r="F117" s="106">
        <v>314.89</v>
      </c>
      <c r="G117" s="106"/>
      <c r="H117" s="101" t="s">
        <v>23</v>
      </c>
      <c r="I117" s="103" t="s">
        <v>24</v>
      </c>
      <c r="J117" s="103"/>
      <c r="K117" s="104" t="s">
        <v>17</v>
      </c>
      <c r="L117" s="105">
        <v>819501.09</v>
      </c>
    </row>
    <row r="118" spans="1:12" ht="61.2" hidden="1" x14ac:dyDescent="0.3">
      <c r="A118" s="99" t="s">
        <v>181</v>
      </c>
      <c r="B118" s="100" t="s">
        <v>383</v>
      </c>
      <c r="C118" s="100" t="s">
        <v>392</v>
      </c>
      <c r="D118" s="100" t="s">
        <v>385</v>
      </c>
      <c r="E118" s="101" t="s">
        <v>22</v>
      </c>
      <c r="F118" s="106">
        <v>40.75</v>
      </c>
      <c r="G118" s="106"/>
      <c r="H118" s="101" t="s">
        <v>23</v>
      </c>
      <c r="I118" s="103" t="s">
        <v>24</v>
      </c>
      <c r="J118" s="103"/>
      <c r="K118" s="104" t="s">
        <v>17</v>
      </c>
      <c r="L118" s="105">
        <v>819541.84</v>
      </c>
    </row>
    <row r="119" spans="1:12" ht="71.400000000000006" x14ac:dyDescent="0.3">
      <c r="A119" s="99" t="s">
        <v>25</v>
      </c>
      <c r="B119" s="100" t="s">
        <v>393</v>
      </c>
      <c r="C119" s="100" t="s">
        <v>394</v>
      </c>
      <c r="D119" s="100" t="s">
        <v>235</v>
      </c>
      <c r="E119" s="101" t="s">
        <v>29</v>
      </c>
      <c r="F119" s="107" t="s">
        <v>24</v>
      </c>
      <c r="G119" s="107"/>
      <c r="H119" s="101" t="s">
        <v>22</v>
      </c>
      <c r="I119" s="108">
        <v>5158.26</v>
      </c>
      <c r="J119" s="108"/>
      <c r="K119" s="104" t="s">
        <v>17</v>
      </c>
      <c r="L119" s="105">
        <v>814383.58</v>
      </c>
    </row>
    <row r="120" spans="1:12" ht="71.400000000000006" hidden="1" x14ac:dyDescent="0.3">
      <c r="A120" s="99" t="s">
        <v>25</v>
      </c>
      <c r="B120" s="100" t="s">
        <v>395</v>
      </c>
      <c r="C120" s="100" t="s">
        <v>396</v>
      </c>
      <c r="D120" s="100" t="s">
        <v>397</v>
      </c>
      <c r="E120" s="101" t="s">
        <v>22</v>
      </c>
      <c r="F120" s="106">
        <v>325.45</v>
      </c>
      <c r="G120" s="106"/>
      <c r="H120" s="101" t="s">
        <v>23</v>
      </c>
      <c r="I120" s="103" t="s">
        <v>24</v>
      </c>
      <c r="J120" s="103"/>
      <c r="K120" s="104" t="s">
        <v>17</v>
      </c>
      <c r="L120" s="105">
        <v>814709.03</v>
      </c>
    </row>
    <row r="121" spans="1:12" ht="71.400000000000006" hidden="1" x14ac:dyDescent="0.3">
      <c r="A121" s="99" t="s">
        <v>25</v>
      </c>
      <c r="B121" s="100" t="s">
        <v>395</v>
      </c>
      <c r="C121" s="100" t="s">
        <v>398</v>
      </c>
      <c r="D121" s="100" t="s">
        <v>397</v>
      </c>
      <c r="E121" s="101" t="s">
        <v>22</v>
      </c>
      <c r="F121" s="102">
        <v>1274.75</v>
      </c>
      <c r="G121" s="102"/>
      <c r="H121" s="101" t="s">
        <v>23</v>
      </c>
      <c r="I121" s="103" t="s">
        <v>24</v>
      </c>
      <c r="J121" s="103"/>
      <c r="K121" s="104" t="s">
        <v>17</v>
      </c>
      <c r="L121" s="105">
        <v>815983.78</v>
      </c>
    </row>
    <row r="122" spans="1:12" ht="71.400000000000006" hidden="1" x14ac:dyDescent="0.3">
      <c r="A122" s="99" t="s">
        <v>25</v>
      </c>
      <c r="B122" s="100" t="s">
        <v>395</v>
      </c>
      <c r="C122" s="100" t="s">
        <v>399</v>
      </c>
      <c r="D122" s="100" t="s">
        <v>397</v>
      </c>
      <c r="E122" s="101" t="s">
        <v>22</v>
      </c>
      <c r="F122" s="106">
        <v>78.8</v>
      </c>
      <c r="G122" s="106"/>
      <c r="H122" s="101" t="s">
        <v>23</v>
      </c>
      <c r="I122" s="103" t="s">
        <v>24</v>
      </c>
      <c r="J122" s="103"/>
      <c r="K122" s="104" t="s">
        <v>17</v>
      </c>
      <c r="L122" s="105">
        <v>816062.58</v>
      </c>
    </row>
    <row r="123" spans="1:12" ht="71.400000000000006" hidden="1" x14ac:dyDescent="0.3">
      <c r="A123" s="99" t="s">
        <v>25</v>
      </c>
      <c r="B123" s="100" t="s">
        <v>395</v>
      </c>
      <c r="C123" s="100" t="s">
        <v>400</v>
      </c>
      <c r="D123" s="100" t="s">
        <v>397</v>
      </c>
      <c r="E123" s="101" t="s">
        <v>22</v>
      </c>
      <c r="F123" s="106">
        <v>125</v>
      </c>
      <c r="G123" s="106"/>
      <c r="H123" s="101" t="s">
        <v>23</v>
      </c>
      <c r="I123" s="103" t="s">
        <v>24</v>
      </c>
      <c r="J123" s="103"/>
      <c r="K123" s="104" t="s">
        <v>17</v>
      </c>
      <c r="L123" s="105">
        <v>816187.58</v>
      </c>
    </row>
    <row r="124" spans="1:12" ht="61.2" hidden="1" x14ac:dyDescent="0.3">
      <c r="A124" s="99" t="s">
        <v>25</v>
      </c>
      <c r="B124" s="100" t="s">
        <v>395</v>
      </c>
      <c r="C124" s="100" t="s">
        <v>401</v>
      </c>
      <c r="D124" s="100" t="s">
        <v>397</v>
      </c>
      <c r="E124" s="101" t="s">
        <v>22</v>
      </c>
      <c r="F124" s="102">
        <v>1474.25</v>
      </c>
      <c r="G124" s="102"/>
      <c r="H124" s="101" t="s">
        <v>23</v>
      </c>
      <c r="I124" s="103" t="s">
        <v>24</v>
      </c>
      <c r="J124" s="103"/>
      <c r="K124" s="104" t="s">
        <v>17</v>
      </c>
      <c r="L124" s="105">
        <v>817661.83</v>
      </c>
    </row>
    <row r="125" spans="1:12" ht="71.400000000000006" hidden="1" x14ac:dyDescent="0.3">
      <c r="A125" s="99" t="s">
        <v>25</v>
      </c>
      <c r="B125" s="100" t="s">
        <v>395</v>
      </c>
      <c r="C125" s="100" t="s">
        <v>402</v>
      </c>
      <c r="D125" s="100" t="s">
        <v>397</v>
      </c>
      <c r="E125" s="101" t="s">
        <v>22</v>
      </c>
      <c r="F125" s="106">
        <v>294.95</v>
      </c>
      <c r="G125" s="106"/>
      <c r="H125" s="101" t="s">
        <v>23</v>
      </c>
      <c r="I125" s="103" t="s">
        <v>24</v>
      </c>
      <c r="J125" s="103"/>
      <c r="K125" s="104" t="s">
        <v>17</v>
      </c>
      <c r="L125" s="105">
        <v>817956.78</v>
      </c>
    </row>
    <row r="126" spans="1:12" ht="71.400000000000006" hidden="1" x14ac:dyDescent="0.3">
      <c r="A126" s="99" t="s">
        <v>25</v>
      </c>
      <c r="B126" s="100" t="s">
        <v>403</v>
      </c>
      <c r="C126" s="100" t="s">
        <v>396</v>
      </c>
      <c r="D126" s="100" t="s">
        <v>397</v>
      </c>
      <c r="E126" s="101" t="s">
        <v>22</v>
      </c>
      <c r="F126" s="106">
        <v>51.92</v>
      </c>
      <c r="G126" s="106"/>
      <c r="H126" s="101" t="s">
        <v>23</v>
      </c>
      <c r="I126" s="103" t="s">
        <v>24</v>
      </c>
      <c r="J126" s="103"/>
      <c r="K126" s="104" t="s">
        <v>17</v>
      </c>
      <c r="L126" s="105">
        <v>818008.7</v>
      </c>
    </row>
    <row r="127" spans="1:12" ht="71.400000000000006" hidden="1" x14ac:dyDescent="0.3">
      <c r="A127" s="99" t="s">
        <v>25</v>
      </c>
      <c r="B127" s="100" t="s">
        <v>403</v>
      </c>
      <c r="C127" s="100" t="s">
        <v>398</v>
      </c>
      <c r="D127" s="100" t="s">
        <v>397</v>
      </c>
      <c r="E127" s="101" t="s">
        <v>22</v>
      </c>
      <c r="F127" s="106">
        <v>203.35</v>
      </c>
      <c r="G127" s="106"/>
      <c r="H127" s="101" t="s">
        <v>23</v>
      </c>
      <c r="I127" s="103" t="s">
        <v>24</v>
      </c>
      <c r="J127" s="103"/>
      <c r="K127" s="104" t="s">
        <v>17</v>
      </c>
      <c r="L127" s="105">
        <v>818212.05</v>
      </c>
    </row>
    <row r="128" spans="1:12" ht="71.400000000000006" hidden="1" x14ac:dyDescent="0.3">
      <c r="A128" s="99" t="s">
        <v>25</v>
      </c>
      <c r="B128" s="100" t="s">
        <v>403</v>
      </c>
      <c r="C128" s="100" t="s">
        <v>399</v>
      </c>
      <c r="D128" s="100" t="s">
        <v>397</v>
      </c>
      <c r="E128" s="101" t="s">
        <v>22</v>
      </c>
      <c r="F128" s="106">
        <v>12.57</v>
      </c>
      <c r="G128" s="106"/>
      <c r="H128" s="101" t="s">
        <v>23</v>
      </c>
      <c r="I128" s="103" t="s">
        <v>24</v>
      </c>
      <c r="J128" s="103"/>
      <c r="K128" s="104" t="s">
        <v>17</v>
      </c>
      <c r="L128" s="105">
        <v>818224.62</v>
      </c>
    </row>
    <row r="129" spans="1:12" ht="71.400000000000006" hidden="1" x14ac:dyDescent="0.3">
      <c r="A129" s="99" t="s">
        <v>25</v>
      </c>
      <c r="B129" s="100" t="s">
        <v>403</v>
      </c>
      <c r="C129" s="100" t="s">
        <v>400</v>
      </c>
      <c r="D129" s="100" t="s">
        <v>397</v>
      </c>
      <c r="E129" s="101" t="s">
        <v>22</v>
      </c>
      <c r="F129" s="106">
        <v>19.940000000000001</v>
      </c>
      <c r="G129" s="106"/>
      <c r="H129" s="101" t="s">
        <v>23</v>
      </c>
      <c r="I129" s="103" t="s">
        <v>24</v>
      </c>
      <c r="J129" s="103"/>
      <c r="K129" s="104" t="s">
        <v>17</v>
      </c>
      <c r="L129" s="105">
        <v>818244.56</v>
      </c>
    </row>
    <row r="130" spans="1:12" ht="61.2" hidden="1" x14ac:dyDescent="0.3">
      <c r="A130" s="99" t="s">
        <v>25</v>
      </c>
      <c r="B130" s="100" t="s">
        <v>403</v>
      </c>
      <c r="C130" s="100" t="s">
        <v>401</v>
      </c>
      <c r="D130" s="100" t="s">
        <v>397</v>
      </c>
      <c r="E130" s="101" t="s">
        <v>22</v>
      </c>
      <c r="F130" s="106">
        <v>235.17</v>
      </c>
      <c r="G130" s="106"/>
      <c r="H130" s="101" t="s">
        <v>23</v>
      </c>
      <c r="I130" s="103" t="s">
        <v>24</v>
      </c>
      <c r="J130" s="103"/>
      <c r="K130" s="104" t="s">
        <v>17</v>
      </c>
      <c r="L130" s="105">
        <v>818479.73</v>
      </c>
    </row>
    <row r="131" spans="1:12" ht="71.400000000000006" hidden="1" x14ac:dyDescent="0.3">
      <c r="A131" s="99" t="s">
        <v>25</v>
      </c>
      <c r="B131" s="100" t="s">
        <v>403</v>
      </c>
      <c r="C131" s="100" t="s">
        <v>402</v>
      </c>
      <c r="D131" s="100" t="s">
        <v>397</v>
      </c>
      <c r="E131" s="101" t="s">
        <v>22</v>
      </c>
      <c r="F131" s="106">
        <v>47.05</v>
      </c>
      <c r="G131" s="106"/>
      <c r="H131" s="101" t="s">
        <v>23</v>
      </c>
      <c r="I131" s="103" t="s">
        <v>24</v>
      </c>
      <c r="J131" s="103"/>
      <c r="K131" s="104" t="s">
        <v>17</v>
      </c>
      <c r="L131" s="105">
        <v>818526.78</v>
      </c>
    </row>
    <row r="132" spans="1:12" ht="81.599999999999994" x14ac:dyDescent="0.3">
      <c r="A132" s="99" t="s">
        <v>25</v>
      </c>
      <c r="B132" s="100" t="s">
        <v>404</v>
      </c>
      <c r="C132" s="100" t="s">
        <v>394</v>
      </c>
      <c r="D132" s="100" t="s">
        <v>405</v>
      </c>
      <c r="E132" s="101" t="s">
        <v>29</v>
      </c>
      <c r="F132" s="107" t="s">
        <v>24</v>
      </c>
      <c r="G132" s="107"/>
      <c r="H132" s="101" t="s">
        <v>22</v>
      </c>
      <c r="I132" s="108">
        <v>2721.74</v>
      </c>
      <c r="J132" s="108"/>
      <c r="K132" s="104" t="s">
        <v>17</v>
      </c>
      <c r="L132" s="105">
        <v>815805.04</v>
      </c>
    </row>
    <row r="133" spans="1:12" ht="61.2" x14ac:dyDescent="0.3">
      <c r="A133" s="99" t="s">
        <v>25</v>
      </c>
      <c r="B133" s="100" t="s">
        <v>404</v>
      </c>
      <c r="C133" s="100" t="s">
        <v>394</v>
      </c>
      <c r="D133" s="100" t="s">
        <v>406</v>
      </c>
      <c r="E133" s="101" t="s">
        <v>29</v>
      </c>
      <c r="F133" s="107" t="s">
        <v>24</v>
      </c>
      <c r="G133" s="107"/>
      <c r="H133" s="101" t="s">
        <v>22</v>
      </c>
      <c r="I133" s="108">
        <v>19186.330000000002</v>
      </c>
      <c r="J133" s="108"/>
      <c r="K133" s="104" t="s">
        <v>17</v>
      </c>
      <c r="L133" s="105">
        <v>796618.71</v>
      </c>
    </row>
    <row r="134" spans="1:12" ht="61.2" x14ac:dyDescent="0.3">
      <c r="A134" s="99" t="s">
        <v>25</v>
      </c>
      <c r="B134" s="100" t="s">
        <v>404</v>
      </c>
      <c r="C134" s="100" t="s">
        <v>394</v>
      </c>
      <c r="D134" s="100" t="s">
        <v>407</v>
      </c>
      <c r="E134" s="101" t="s">
        <v>29</v>
      </c>
      <c r="F134" s="107" t="s">
        <v>24</v>
      </c>
      <c r="G134" s="107"/>
      <c r="H134" s="101" t="s">
        <v>22</v>
      </c>
      <c r="I134" s="108">
        <v>1427.53</v>
      </c>
      <c r="J134" s="108"/>
      <c r="K134" s="104" t="s">
        <v>17</v>
      </c>
      <c r="L134" s="105">
        <v>795191.18</v>
      </c>
    </row>
    <row r="135" spans="1:12" ht="71.400000000000006" x14ac:dyDescent="0.3">
      <c r="A135" s="99" t="s">
        <v>25</v>
      </c>
      <c r="B135" s="100" t="s">
        <v>404</v>
      </c>
      <c r="C135" s="100" t="s">
        <v>394</v>
      </c>
      <c r="D135" s="100" t="s">
        <v>408</v>
      </c>
      <c r="E135" s="101" t="s">
        <v>29</v>
      </c>
      <c r="F135" s="107" t="s">
        <v>24</v>
      </c>
      <c r="G135" s="107"/>
      <c r="H135" s="101" t="s">
        <v>22</v>
      </c>
      <c r="I135" s="108">
        <v>4042.91</v>
      </c>
      <c r="J135" s="108"/>
      <c r="K135" s="104" t="s">
        <v>17</v>
      </c>
      <c r="L135" s="105">
        <v>791148.27</v>
      </c>
    </row>
    <row r="136" spans="1:12" ht="61.2" x14ac:dyDescent="0.3">
      <c r="A136" s="99" t="s">
        <v>25</v>
      </c>
      <c r="B136" s="100" t="s">
        <v>404</v>
      </c>
      <c r="C136" s="100" t="s">
        <v>394</v>
      </c>
      <c r="D136" s="100" t="s">
        <v>266</v>
      </c>
      <c r="E136" s="101" t="s">
        <v>29</v>
      </c>
      <c r="F136" s="107" t="s">
        <v>24</v>
      </c>
      <c r="G136" s="107"/>
      <c r="H136" s="101" t="s">
        <v>22</v>
      </c>
      <c r="I136" s="109">
        <v>3.07</v>
      </c>
      <c r="J136" s="109"/>
      <c r="K136" s="104" t="s">
        <v>17</v>
      </c>
      <c r="L136" s="105">
        <v>791145.2</v>
      </c>
    </row>
    <row r="137" spans="1:12" ht="61.2" x14ac:dyDescent="0.3">
      <c r="A137" s="99" t="s">
        <v>25</v>
      </c>
      <c r="B137" s="100" t="s">
        <v>404</v>
      </c>
      <c r="C137" s="100" t="s">
        <v>394</v>
      </c>
      <c r="D137" s="100" t="s">
        <v>281</v>
      </c>
      <c r="E137" s="101" t="s">
        <v>29</v>
      </c>
      <c r="F137" s="107" t="s">
        <v>24</v>
      </c>
      <c r="G137" s="107"/>
      <c r="H137" s="101" t="s">
        <v>22</v>
      </c>
      <c r="I137" s="109">
        <v>885</v>
      </c>
      <c r="J137" s="109"/>
      <c r="K137" s="104" t="s">
        <v>17</v>
      </c>
      <c r="L137" s="105">
        <v>790260.2</v>
      </c>
    </row>
    <row r="138" spans="1:12" ht="91.8" x14ac:dyDescent="0.3">
      <c r="A138" s="99" t="s">
        <v>25</v>
      </c>
      <c r="B138" s="100" t="s">
        <v>404</v>
      </c>
      <c r="C138" s="100" t="s">
        <v>394</v>
      </c>
      <c r="D138" s="100" t="s">
        <v>231</v>
      </c>
      <c r="E138" s="101" t="s">
        <v>29</v>
      </c>
      <c r="F138" s="107" t="s">
        <v>24</v>
      </c>
      <c r="G138" s="107"/>
      <c r="H138" s="101" t="s">
        <v>22</v>
      </c>
      <c r="I138" s="108">
        <v>185722.56</v>
      </c>
      <c r="J138" s="108"/>
      <c r="K138" s="104" t="s">
        <v>17</v>
      </c>
      <c r="L138" s="105">
        <v>604537.64</v>
      </c>
    </row>
    <row r="139" spans="1:12" ht="71.400000000000006" x14ac:dyDescent="0.3">
      <c r="A139" s="99" t="s">
        <v>25</v>
      </c>
      <c r="B139" s="100" t="s">
        <v>404</v>
      </c>
      <c r="C139" s="100" t="s">
        <v>394</v>
      </c>
      <c r="D139" s="100" t="s">
        <v>409</v>
      </c>
      <c r="E139" s="101" t="s">
        <v>29</v>
      </c>
      <c r="F139" s="107" t="s">
        <v>24</v>
      </c>
      <c r="G139" s="107"/>
      <c r="H139" s="101" t="s">
        <v>22</v>
      </c>
      <c r="I139" s="108">
        <v>1361.56</v>
      </c>
      <c r="J139" s="108"/>
      <c r="K139" s="104" t="s">
        <v>17</v>
      </c>
      <c r="L139" s="105">
        <v>603176.07999999996</v>
      </c>
    </row>
    <row r="140" spans="1:12" ht="61.2" x14ac:dyDescent="0.3">
      <c r="A140" s="99" t="s">
        <v>25</v>
      </c>
      <c r="B140" s="100" t="s">
        <v>404</v>
      </c>
      <c r="C140" s="100" t="s">
        <v>394</v>
      </c>
      <c r="D140" s="100" t="s">
        <v>410</v>
      </c>
      <c r="E140" s="101" t="s">
        <v>29</v>
      </c>
      <c r="F140" s="107" t="s">
        <v>24</v>
      </c>
      <c r="G140" s="107"/>
      <c r="H140" s="101" t="s">
        <v>22</v>
      </c>
      <c r="I140" s="109">
        <v>491.71</v>
      </c>
      <c r="J140" s="109"/>
      <c r="K140" s="104" t="s">
        <v>17</v>
      </c>
      <c r="L140" s="105">
        <v>602684.37</v>
      </c>
    </row>
    <row r="141" spans="1:12" ht="71.400000000000006" x14ac:dyDescent="0.3">
      <c r="A141" s="99" t="s">
        <v>25</v>
      </c>
      <c r="B141" s="100" t="s">
        <v>411</v>
      </c>
      <c r="C141" s="100" t="s">
        <v>394</v>
      </c>
      <c r="D141" s="100" t="s">
        <v>412</v>
      </c>
      <c r="E141" s="101" t="s">
        <v>29</v>
      </c>
      <c r="F141" s="107" t="s">
        <v>24</v>
      </c>
      <c r="G141" s="107"/>
      <c r="H141" s="101" t="s">
        <v>22</v>
      </c>
      <c r="I141" s="108">
        <v>7933.87</v>
      </c>
      <c r="J141" s="108"/>
      <c r="K141" s="104" t="s">
        <v>17</v>
      </c>
      <c r="L141" s="105">
        <v>594750.5</v>
      </c>
    </row>
    <row r="142" spans="1:12" ht="71.400000000000006" x14ac:dyDescent="0.3">
      <c r="A142" s="99" t="s">
        <v>25</v>
      </c>
      <c r="B142" s="100" t="s">
        <v>411</v>
      </c>
      <c r="C142" s="100" t="s">
        <v>394</v>
      </c>
      <c r="D142" s="100" t="s">
        <v>357</v>
      </c>
      <c r="E142" s="101" t="s">
        <v>29</v>
      </c>
      <c r="F142" s="107" t="s">
        <v>24</v>
      </c>
      <c r="G142" s="107"/>
      <c r="H142" s="101" t="s">
        <v>22</v>
      </c>
      <c r="I142" s="108">
        <v>27333.33</v>
      </c>
      <c r="J142" s="108"/>
      <c r="K142" s="104" t="s">
        <v>17</v>
      </c>
      <c r="L142" s="105">
        <v>567417.17000000004</v>
      </c>
    </row>
    <row r="143" spans="1:12" ht="61.2" x14ac:dyDescent="0.3">
      <c r="A143" s="99" t="s">
        <v>25</v>
      </c>
      <c r="B143" s="100" t="s">
        <v>413</v>
      </c>
      <c r="C143" s="100" t="s">
        <v>414</v>
      </c>
      <c r="D143" s="100" t="s">
        <v>415</v>
      </c>
      <c r="E143" s="101" t="s">
        <v>29</v>
      </c>
      <c r="F143" s="107" t="s">
        <v>24</v>
      </c>
      <c r="G143" s="107"/>
      <c r="H143" s="101" t="s">
        <v>22</v>
      </c>
      <c r="I143" s="109">
        <v>297.95999999999998</v>
      </c>
      <c r="J143" s="109"/>
      <c r="K143" s="104" t="s">
        <v>17</v>
      </c>
      <c r="L143" s="105">
        <v>567119.21</v>
      </c>
    </row>
    <row r="144" spans="1:12" ht="61.2" x14ac:dyDescent="0.3">
      <c r="A144" s="99" t="s">
        <v>25</v>
      </c>
      <c r="B144" s="100" t="s">
        <v>416</v>
      </c>
      <c r="C144" s="100" t="s">
        <v>394</v>
      </c>
      <c r="D144" s="100" t="s">
        <v>264</v>
      </c>
      <c r="E144" s="101" t="s">
        <v>29</v>
      </c>
      <c r="F144" s="107" t="s">
        <v>24</v>
      </c>
      <c r="G144" s="107"/>
      <c r="H144" s="101" t="s">
        <v>22</v>
      </c>
      <c r="I144" s="109">
        <v>795.11</v>
      </c>
      <c r="J144" s="109"/>
      <c r="K144" s="104" t="s">
        <v>17</v>
      </c>
      <c r="L144" s="105">
        <v>566324.1</v>
      </c>
    </row>
    <row r="145" spans="1:12" ht="61.2" x14ac:dyDescent="0.3">
      <c r="A145" s="99" t="s">
        <v>25</v>
      </c>
      <c r="B145" s="100" t="s">
        <v>416</v>
      </c>
      <c r="C145" s="100" t="s">
        <v>394</v>
      </c>
      <c r="D145" s="100" t="s">
        <v>352</v>
      </c>
      <c r="E145" s="101" t="s">
        <v>29</v>
      </c>
      <c r="F145" s="107" t="s">
        <v>24</v>
      </c>
      <c r="G145" s="107"/>
      <c r="H145" s="101" t="s">
        <v>22</v>
      </c>
      <c r="I145" s="108">
        <v>1471.68</v>
      </c>
      <c r="J145" s="108"/>
      <c r="K145" s="104" t="s">
        <v>17</v>
      </c>
      <c r="L145" s="105">
        <v>564852.42000000004</v>
      </c>
    </row>
    <row r="146" spans="1:12" ht="61.2" x14ac:dyDescent="0.3">
      <c r="A146" s="99" t="s">
        <v>25</v>
      </c>
      <c r="B146" s="100" t="s">
        <v>416</v>
      </c>
      <c r="C146" s="100" t="s">
        <v>394</v>
      </c>
      <c r="D146" s="100" t="s">
        <v>242</v>
      </c>
      <c r="E146" s="101" t="s">
        <v>29</v>
      </c>
      <c r="F146" s="107" t="s">
        <v>24</v>
      </c>
      <c r="G146" s="107"/>
      <c r="H146" s="101" t="s">
        <v>22</v>
      </c>
      <c r="I146" s="108">
        <v>17029.580000000002</v>
      </c>
      <c r="J146" s="108"/>
      <c r="K146" s="104" t="s">
        <v>17</v>
      </c>
      <c r="L146" s="105">
        <v>547822.84</v>
      </c>
    </row>
    <row r="147" spans="1:12" ht="61.2" x14ac:dyDescent="0.3">
      <c r="A147" s="99" t="s">
        <v>25</v>
      </c>
      <c r="B147" s="100" t="s">
        <v>416</v>
      </c>
      <c r="C147" s="100" t="s">
        <v>394</v>
      </c>
      <c r="D147" s="100" t="s">
        <v>257</v>
      </c>
      <c r="E147" s="101" t="s">
        <v>29</v>
      </c>
      <c r="F147" s="107" t="s">
        <v>24</v>
      </c>
      <c r="G147" s="107"/>
      <c r="H147" s="101" t="s">
        <v>22</v>
      </c>
      <c r="I147" s="109">
        <v>686.32</v>
      </c>
      <c r="J147" s="109"/>
      <c r="K147" s="104" t="s">
        <v>17</v>
      </c>
      <c r="L147" s="105">
        <v>547136.52</v>
      </c>
    </row>
    <row r="148" spans="1:12" ht="61.2" x14ac:dyDescent="0.3">
      <c r="A148" s="99" t="s">
        <v>25</v>
      </c>
      <c r="B148" s="100" t="s">
        <v>416</v>
      </c>
      <c r="C148" s="100" t="s">
        <v>394</v>
      </c>
      <c r="D148" s="100" t="s">
        <v>266</v>
      </c>
      <c r="E148" s="101" t="s">
        <v>29</v>
      </c>
      <c r="F148" s="107" t="s">
        <v>24</v>
      </c>
      <c r="G148" s="107"/>
      <c r="H148" s="101" t="s">
        <v>22</v>
      </c>
      <c r="I148" s="108">
        <v>1732.69</v>
      </c>
      <c r="J148" s="108"/>
      <c r="K148" s="104" t="s">
        <v>17</v>
      </c>
      <c r="L148" s="105">
        <v>545403.82999999996</v>
      </c>
    </row>
    <row r="149" spans="1:12" ht="61.2" x14ac:dyDescent="0.3">
      <c r="A149" s="99" t="s">
        <v>25</v>
      </c>
      <c r="B149" s="100" t="s">
        <v>416</v>
      </c>
      <c r="C149" s="100" t="s">
        <v>394</v>
      </c>
      <c r="D149" s="100" t="s">
        <v>417</v>
      </c>
      <c r="E149" s="101" t="s">
        <v>29</v>
      </c>
      <c r="F149" s="107" t="s">
        <v>24</v>
      </c>
      <c r="G149" s="107"/>
      <c r="H149" s="101" t="s">
        <v>22</v>
      </c>
      <c r="I149" s="109">
        <v>549.12</v>
      </c>
      <c r="J149" s="109"/>
      <c r="K149" s="104" t="s">
        <v>17</v>
      </c>
      <c r="L149" s="105">
        <v>544854.71</v>
      </c>
    </row>
    <row r="150" spans="1:12" ht="61.2" x14ac:dyDescent="0.3">
      <c r="A150" s="99" t="s">
        <v>25</v>
      </c>
      <c r="B150" s="100" t="s">
        <v>416</v>
      </c>
      <c r="C150" s="100" t="s">
        <v>394</v>
      </c>
      <c r="D150" s="100" t="s">
        <v>418</v>
      </c>
      <c r="E150" s="101" t="s">
        <v>29</v>
      </c>
      <c r="F150" s="107" t="s">
        <v>24</v>
      </c>
      <c r="G150" s="107"/>
      <c r="H150" s="101" t="s">
        <v>22</v>
      </c>
      <c r="I150" s="109">
        <v>115.3</v>
      </c>
      <c r="J150" s="109"/>
      <c r="K150" s="104" t="s">
        <v>17</v>
      </c>
      <c r="L150" s="105">
        <v>544739.41</v>
      </c>
    </row>
    <row r="151" spans="1:12" ht="71.400000000000006" x14ac:dyDescent="0.3">
      <c r="A151" s="99" t="s">
        <v>25</v>
      </c>
      <c r="B151" s="100" t="s">
        <v>416</v>
      </c>
      <c r="C151" s="100" t="s">
        <v>394</v>
      </c>
      <c r="D151" s="100" t="s">
        <v>290</v>
      </c>
      <c r="E151" s="101" t="s">
        <v>29</v>
      </c>
      <c r="F151" s="107" t="s">
        <v>24</v>
      </c>
      <c r="G151" s="107"/>
      <c r="H151" s="101" t="s">
        <v>22</v>
      </c>
      <c r="I151" s="109">
        <v>223.08</v>
      </c>
      <c r="J151" s="109"/>
      <c r="K151" s="104" t="s">
        <v>17</v>
      </c>
      <c r="L151" s="105">
        <v>544516.32999999996</v>
      </c>
    </row>
    <row r="152" spans="1:12" ht="61.2" x14ac:dyDescent="0.3">
      <c r="A152" s="99" t="s">
        <v>25</v>
      </c>
      <c r="B152" s="100" t="s">
        <v>416</v>
      </c>
      <c r="C152" s="100" t="s">
        <v>394</v>
      </c>
      <c r="D152" s="100" t="s">
        <v>419</v>
      </c>
      <c r="E152" s="101" t="s">
        <v>29</v>
      </c>
      <c r="F152" s="107" t="s">
        <v>24</v>
      </c>
      <c r="G152" s="107"/>
      <c r="H152" s="101" t="s">
        <v>22</v>
      </c>
      <c r="I152" s="109">
        <v>81.44</v>
      </c>
      <c r="J152" s="109"/>
      <c r="K152" s="104" t="s">
        <v>17</v>
      </c>
      <c r="L152" s="105">
        <v>544434.89</v>
      </c>
    </row>
    <row r="153" spans="1:12" ht="71.400000000000006" x14ac:dyDescent="0.3">
      <c r="A153" s="99" t="s">
        <v>25</v>
      </c>
      <c r="B153" s="100" t="s">
        <v>416</v>
      </c>
      <c r="C153" s="100" t="s">
        <v>394</v>
      </c>
      <c r="D153" s="100" t="s">
        <v>334</v>
      </c>
      <c r="E153" s="101" t="s">
        <v>29</v>
      </c>
      <c r="F153" s="107" t="s">
        <v>24</v>
      </c>
      <c r="G153" s="107"/>
      <c r="H153" s="101" t="s">
        <v>22</v>
      </c>
      <c r="I153" s="108">
        <v>1011.37</v>
      </c>
      <c r="J153" s="108"/>
      <c r="K153" s="104" t="s">
        <v>17</v>
      </c>
      <c r="L153" s="105">
        <v>543423.52</v>
      </c>
    </row>
    <row r="154" spans="1:12" ht="71.400000000000006" x14ac:dyDescent="0.3">
      <c r="A154" s="99" t="s">
        <v>25</v>
      </c>
      <c r="B154" s="100" t="s">
        <v>416</v>
      </c>
      <c r="C154" s="100" t="s">
        <v>394</v>
      </c>
      <c r="D154" s="100" t="s">
        <v>400</v>
      </c>
      <c r="E154" s="101" t="s">
        <v>29</v>
      </c>
      <c r="F154" s="107" t="s">
        <v>24</v>
      </c>
      <c r="G154" s="107"/>
      <c r="H154" s="101" t="s">
        <v>22</v>
      </c>
      <c r="I154" s="109">
        <v>144.94</v>
      </c>
      <c r="J154" s="109"/>
      <c r="K154" s="104" t="s">
        <v>17</v>
      </c>
      <c r="L154" s="105">
        <v>543278.57999999996</v>
      </c>
    </row>
    <row r="155" spans="1:12" ht="71.400000000000006" x14ac:dyDescent="0.3">
      <c r="A155" s="99" t="s">
        <v>25</v>
      </c>
      <c r="B155" s="100" t="s">
        <v>416</v>
      </c>
      <c r="C155" s="100" t="s">
        <v>394</v>
      </c>
      <c r="D155" s="100" t="s">
        <v>420</v>
      </c>
      <c r="E155" s="101" t="s">
        <v>29</v>
      </c>
      <c r="F155" s="107" t="s">
        <v>24</v>
      </c>
      <c r="G155" s="107"/>
      <c r="H155" s="101" t="s">
        <v>22</v>
      </c>
      <c r="I155" s="108">
        <v>3629.35</v>
      </c>
      <c r="J155" s="108"/>
      <c r="K155" s="104" t="s">
        <v>17</v>
      </c>
      <c r="L155" s="105">
        <v>539649.23</v>
      </c>
    </row>
    <row r="156" spans="1:12" ht="61.2" x14ac:dyDescent="0.3">
      <c r="A156" s="99" t="s">
        <v>25</v>
      </c>
      <c r="B156" s="100" t="s">
        <v>416</v>
      </c>
      <c r="C156" s="100" t="s">
        <v>394</v>
      </c>
      <c r="D156" s="100" t="s">
        <v>245</v>
      </c>
      <c r="E156" s="101" t="s">
        <v>29</v>
      </c>
      <c r="F156" s="107" t="s">
        <v>24</v>
      </c>
      <c r="G156" s="107"/>
      <c r="H156" s="101" t="s">
        <v>22</v>
      </c>
      <c r="I156" s="108">
        <v>1031.47</v>
      </c>
      <c r="J156" s="108"/>
      <c r="K156" s="104" t="s">
        <v>17</v>
      </c>
      <c r="L156" s="105">
        <v>538617.76</v>
      </c>
    </row>
    <row r="157" spans="1:12" ht="71.400000000000006" x14ac:dyDescent="0.3">
      <c r="A157" s="99" t="s">
        <v>25</v>
      </c>
      <c r="B157" s="100" t="s">
        <v>416</v>
      </c>
      <c r="C157" s="100" t="s">
        <v>394</v>
      </c>
      <c r="D157" s="100" t="s">
        <v>255</v>
      </c>
      <c r="E157" s="101" t="s">
        <v>29</v>
      </c>
      <c r="F157" s="107" t="s">
        <v>24</v>
      </c>
      <c r="G157" s="107"/>
      <c r="H157" s="101" t="s">
        <v>22</v>
      </c>
      <c r="I157" s="108">
        <v>1721.49</v>
      </c>
      <c r="J157" s="108"/>
      <c r="K157" s="104" t="s">
        <v>17</v>
      </c>
      <c r="L157" s="105">
        <v>536896.27</v>
      </c>
    </row>
    <row r="158" spans="1:12" ht="71.400000000000006" x14ac:dyDescent="0.3">
      <c r="A158" s="99" t="s">
        <v>25</v>
      </c>
      <c r="B158" s="100" t="s">
        <v>416</v>
      </c>
      <c r="C158" s="100" t="s">
        <v>394</v>
      </c>
      <c r="D158" s="100" t="s">
        <v>259</v>
      </c>
      <c r="E158" s="101" t="s">
        <v>29</v>
      </c>
      <c r="F158" s="107" t="s">
        <v>24</v>
      </c>
      <c r="G158" s="107"/>
      <c r="H158" s="101" t="s">
        <v>22</v>
      </c>
      <c r="I158" s="108">
        <v>17539.490000000002</v>
      </c>
      <c r="J158" s="108"/>
      <c r="K158" s="104" t="s">
        <v>17</v>
      </c>
      <c r="L158" s="105">
        <v>519356.78</v>
      </c>
    </row>
    <row r="159" spans="1:12" ht="71.400000000000006" x14ac:dyDescent="0.3">
      <c r="A159" s="99" t="s">
        <v>25</v>
      </c>
      <c r="B159" s="100" t="s">
        <v>416</v>
      </c>
      <c r="C159" s="100" t="s">
        <v>394</v>
      </c>
      <c r="D159" s="100" t="s">
        <v>421</v>
      </c>
      <c r="E159" s="101" t="s">
        <v>29</v>
      </c>
      <c r="F159" s="107" t="s">
        <v>24</v>
      </c>
      <c r="G159" s="107"/>
      <c r="H159" s="101" t="s">
        <v>22</v>
      </c>
      <c r="I159" s="108">
        <v>39556.800000000003</v>
      </c>
      <c r="J159" s="108"/>
      <c r="K159" s="104" t="s">
        <v>17</v>
      </c>
      <c r="L159" s="105">
        <v>479799.98</v>
      </c>
    </row>
    <row r="160" spans="1:12" ht="71.400000000000006" x14ac:dyDescent="0.3">
      <c r="A160" s="99" t="s">
        <v>25</v>
      </c>
      <c r="B160" s="100" t="s">
        <v>416</v>
      </c>
      <c r="C160" s="100" t="s">
        <v>394</v>
      </c>
      <c r="D160" s="100" t="s">
        <v>421</v>
      </c>
      <c r="E160" s="101" t="s">
        <v>29</v>
      </c>
      <c r="F160" s="107" t="s">
        <v>24</v>
      </c>
      <c r="G160" s="107"/>
      <c r="H160" s="101" t="s">
        <v>22</v>
      </c>
      <c r="I160" s="108">
        <v>15940.8</v>
      </c>
      <c r="J160" s="108"/>
      <c r="K160" s="104" t="s">
        <v>17</v>
      </c>
      <c r="L160" s="105">
        <v>463859.18</v>
      </c>
    </row>
    <row r="161" spans="1:12" ht="71.400000000000006" x14ac:dyDescent="0.3">
      <c r="A161" s="99" t="s">
        <v>25</v>
      </c>
      <c r="B161" s="100" t="s">
        <v>416</v>
      </c>
      <c r="C161" s="100" t="s">
        <v>394</v>
      </c>
      <c r="D161" s="100" t="s">
        <v>354</v>
      </c>
      <c r="E161" s="101" t="s">
        <v>29</v>
      </c>
      <c r="F161" s="107" t="s">
        <v>24</v>
      </c>
      <c r="G161" s="107"/>
      <c r="H161" s="101" t="s">
        <v>22</v>
      </c>
      <c r="I161" s="108">
        <v>1104.3900000000001</v>
      </c>
      <c r="J161" s="108"/>
      <c r="K161" s="104" t="s">
        <v>17</v>
      </c>
      <c r="L161" s="105">
        <v>462754.79</v>
      </c>
    </row>
    <row r="162" spans="1:12" ht="71.400000000000006" x14ac:dyDescent="0.3">
      <c r="A162" s="99" t="s">
        <v>25</v>
      </c>
      <c r="B162" s="100" t="s">
        <v>416</v>
      </c>
      <c r="C162" s="100" t="s">
        <v>394</v>
      </c>
      <c r="D162" s="100" t="s">
        <v>363</v>
      </c>
      <c r="E162" s="101" t="s">
        <v>29</v>
      </c>
      <c r="F162" s="107" t="s">
        <v>24</v>
      </c>
      <c r="G162" s="107"/>
      <c r="H162" s="101" t="s">
        <v>22</v>
      </c>
      <c r="I162" s="108">
        <v>1793.1</v>
      </c>
      <c r="J162" s="108"/>
      <c r="K162" s="104" t="s">
        <v>17</v>
      </c>
      <c r="L162" s="105">
        <v>460961.69</v>
      </c>
    </row>
    <row r="163" spans="1:12" ht="61.2" x14ac:dyDescent="0.3">
      <c r="A163" s="99" t="s">
        <v>25</v>
      </c>
      <c r="B163" s="100" t="s">
        <v>416</v>
      </c>
      <c r="C163" s="100" t="s">
        <v>394</v>
      </c>
      <c r="D163" s="100" t="s">
        <v>410</v>
      </c>
      <c r="E163" s="101" t="s">
        <v>29</v>
      </c>
      <c r="F163" s="107" t="s">
        <v>24</v>
      </c>
      <c r="G163" s="107"/>
      <c r="H163" s="101" t="s">
        <v>22</v>
      </c>
      <c r="I163" s="108">
        <v>9768.5499999999993</v>
      </c>
      <c r="J163" s="108"/>
      <c r="K163" s="104" t="s">
        <v>17</v>
      </c>
      <c r="L163" s="105">
        <v>451193.14</v>
      </c>
    </row>
    <row r="164" spans="1:12" ht="61.2" x14ac:dyDescent="0.3">
      <c r="A164" s="99" t="s">
        <v>25</v>
      </c>
      <c r="B164" s="100" t="s">
        <v>416</v>
      </c>
      <c r="C164" s="100" t="s">
        <v>394</v>
      </c>
      <c r="D164" s="100" t="s">
        <v>410</v>
      </c>
      <c r="E164" s="101" t="s">
        <v>29</v>
      </c>
      <c r="F164" s="107" t="s">
        <v>24</v>
      </c>
      <c r="G164" s="107"/>
      <c r="H164" s="101" t="s">
        <v>22</v>
      </c>
      <c r="I164" s="108">
        <v>1212.8699999999999</v>
      </c>
      <c r="J164" s="108"/>
      <c r="K164" s="104" t="s">
        <v>17</v>
      </c>
      <c r="L164" s="105">
        <v>449980.27</v>
      </c>
    </row>
    <row r="165" spans="1:12" ht="61.2" x14ac:dyDescent="0.3">
      <c r="A165" s="99" t="s">
        <v>25</v>
      </c>
      <c r="B165" s="100" t="s">
        <v>416</v>
      </c>
      <c r="C165" s="100" t="s">
        <v>394</v>
      </c>
      <c r="D165" s="100" t="s">
        <v>258</v>
      </c>
      <c r="E165" s="101" t="s">
        <v>29</v>
      </c>
      <c r="F165" s="107" t="s">
        <v>24</v>
      </c>
      <c r="G165" s="107"/>
      <c r="H165" s="101" t="s">
        <v>22</v>
      </c>
      <c r="I165" s="109">
        <v>102.6</v>
      </c>
      <c r="J165" s="109"/>
      <c r="K165" s="104" t="s">
        <v>17</v>
      </c>
      <c r="L165" s="105">
        <v>449877.67</v>
      </c>
    </row>
    <row r="166" spans="1:12" ht="61.2" x14ac:dyDescent="0.3">
      <c r="A166" s="99" t="s">
        <v>25</v>
      </c>
      <c r="B166" s="100" t="s">
        <v>422</v>
      </c>
      <c r="C166" s="100" t="s">
        <v>394</v>
      </c>
      <c r="D166" s="100" t="s">
        <v>264</v>
      </c>
      <c r="E166" s="101" t="s">
        <v>29</v>
      </c>
      <c r="F166" s="107" t="s">
        <v>24</v>
      </c>
      <c r="G166" s="107"/>
      <c r="H166" s="101" t="s">
        <v>22</v>
      </c>
      <c r="I166" s="109">
        <v>85.5</v>
      </c>
      <c r="J166" s="109"/>
      <c r="K166" s="104" t="s">
        <v>17</v>
      </c>
      <c r="L166" s="105">
        <v>449792.17</v>
      </c>
    </row>
    <row r="167" spans="1:12" ht="81.599999999999994" x14ac:dyDescent="0.3">
      <c r="A167" s="99" t="s">
        <v>25</v>
      </c>
      <c r="B167" s="100" t="s">
        <v>422</v>
      </c>
      <c r="C167" s="100" t="s">
        <v>394</v>
      </c>
      <c r="D167" s="100" t="s">
        <v>332</v>
      </c>
      <c r="E167" s="101" t="s">
        <v>29</v>
      </c>
      <c r="F167" s="107" t="s">
        <v>24</v>
      </c>
      <c r="G167" s="107"/>
      <c r="H167" s="101" t="s">
        <v>22</v>
      </c>
      <c r="I167" s="109">
        <v>3.69</v>
      </c>
      <c r="J167" s="109"/>
      <c r="K167" s="104" t="s">
        <v>17</v>
      </c>
      <c r="L167" s="105">
        <v>449788.48</v>
      </c>
    </row>
    <row r="168" spans="1:12" ht="61.2" x14ac:dyDescent="0.3">
      <c r="A168" s="99" t="s">
        <v>25</v>
      </c>
      <c r="B168" s="100" t="s">
        <v>422</v>
      </c>
      <c r="C168" s="100" t="s">
        <v>394</v>
      </c>
      <c r="D168" s="100" t="s">
        <v>242</v>
      </c>
      <c r="E168" s="101" t="s">
        <v>29</v>
      </c>
      <c r="F168" s="107" t="s">
        <v>24</v>
      </c>
      <c r="G168" s="107"/>
      <c r="H168" s="101" t="s">
        <v>22</v>
      </c>
      <c r="I168" s="108">
        <v>1925.08</v>
      </c>
      <c r="J168" s="108"/>
      <c r="K168" s="104" t="s">
        <v>17</v>
      </c>
      <c r="L168" s="105">
        <v>447863.4</v>
      </c>
    </row>
    <row r="169" spans="1:12" ht="61.2" x14ac:dyDescent="0.3">
      <c r="A169" s="99" t="s">
        <v>25</v>
      </c>
      <c r="B169" s="100" t="s">
        <v>422</v>
      </c>
      <c r="C169" s="100" t="s">
        <v>394</v>
      </c>
      <c r="D169" s="100" t="s">
        <v>406</v>
      </c>
      <c r="E169" s="101" t="s">
        <v>29</v>
      </c>
      <c r="F169" s="107" t="s">
        <v>24</v>
      </c>
      <c r="G169" s="107"/>
      <c r="H169" s="101" t="s">
        <v>22</v>
      </c>
      <c r="I169" s="109">
        <v>37.51</v>
      </c>
      <c r="J169" s="109"/>
      <c r="K169" s="104" t="s">
        <v>17</v>
      </c>
      <c r="L169" s="105">
        <v>447825.89</v>
      </c>
    </row>
    <row r="170" spans="1:12" ht="61.2" x14ac:dyDescent="0.3">
      <c r="A170" s="99" t="s">
        <v>25</v>
      </c>
      <c r="B170" s="100" t="s">
        <v>422</v>
      </c>
      <c r="C170" s="100" t="s">
        <v>394</v>
      </c>
      <c r="D170" s="100" t="s">
        <v>406</v>
      </c>
      <c r="E170" s="101" t="s">
        <v>29</v>
      </c>
      <c r="F170" s="107" t="s">
        <v>24</v>
      </c>
      <c r="G170" s="107"/>
      <c r="H170" s="101" t="s">
        <v>22</v>
      </c>
      <c r="I170" s="109">
        <v>255.05</v>
      </c>
      <c r="J170" s="109"/>
      <c r="K170" s="104" t="s">
        <v>17</v>
      </c>
      <c r="L170" s="105">
        <v>447570.84</v>
      </c>
    </row>
    <row r="171" spans="1:12" ht="61.2" x14ac:dyDescent="0.3">
      <c r="A171" s="99" t="s">
        <v>25</v>
      </c>
      <c r="B171" s="100" t="s">
        <v>422</v>
      </c>
      <c r="C171" s="100" t="s">
        <v>394</v>
      </c>
      <c r="D171" s="100" t="s">
        <v>266</v>
      </c>
      <c r="E171" s="101" t="s">
        <v>29</v>
      </c>
      <c r="F171" s="107" t="s">
        <v>24</v>
      </c>
      <c r="G171" s="107"/>
      <c r="H171" s="101" t="s">
        <v>22</v>
      </c>
      <c r="I171" s="109">
        <v>185.93</v>
      </c>
      <c r="J171" s="109"/>
      <c r="K171" s="104" t="s">
        <v>17</v>
      </c>
      <c r="L171" s="105">
        <v>447384.91</v>
      </c>
    </row>
    <row r="172" spans="1:12" ht="61.2" x14ac:dyDescent="0.3">
      <c r="A172" s="99" t="s">
        <v>25</v>
      </c>
      <c r="B172" s="100" t="s">
        <v>422</v>
      </c>
      <c r="C172" s="100" t="s">
        <v>394</v>
      </c>
      <c r="D172" s="100" t="s">
        <v>423</v>
      </c>
      <c r="E172" s="101" t="s">
        <v>29</v>
      </c>
      <c r="F172" s="107" t="s">
        <v>24</v>
      </c>
      <c r="G172" s="107"/>
      <c r="H172" s="101" t="s">
        <v>22</v>
      </c>
      <c r="I172" s="109">
        <v>183.15</v>
      </c>
      <c r="J172" s="109"/>
      <c r="K172" s="104" t="s">
        <v>17</v>
      </c>
      <c r="L172" s="105">
        <v>447201.76</v>
      </c>
    </row>
    <row r="173" spans="1:12" ht="61.2" x14ac:dyDescent="0.3">
      <c r="A173" s="99" t="s">
        <v>25</v>
      </c>
      <c r="B173" s="100" t="s">
        <v>422</v>
      </c>
      <c r="C173" s="100" t="s">
        <v>394</v>
      </c>
      <c r="D173" s="100" t="s">
        <v>350</v>
      </c>
      <c r="E173" s="101" t="s">
        <v>29</v>
      </c>
      <c r="F173" s="107" t="s">
        <v>24</v>
      </c>
      <c r="G173" s="107"/>
      <c r="H173" s="101" t="s">
        <v>22</v>
      </c>
      <c r="I173" s="109">
        <v>46.62</v>
      </c>
      <c r="J173" s="109"/>
      <c r="K173" s="104" t="s">
        <v>17</v>
      </c>
      <c r="L173" s="105">
        <v>447155.14</v>
      </c>
    </row>
    <row r="174" spans="1:12" ht="71.400000000000006" x14ac:dyDescent="0.3">
      <c r="A174" s="99" t="s">
        <v>25</v>
      </c>
      <c r="B174" s="100" t="s">
        <v>422</v>
      </c>
      <c r="C174" s="100" t="s">
        <v>394</v>
      </c>
      <c r="D174" s="100" t="s">
        <v>308</v>
      </c>
      <c r="E174" s="101" t="s">
        <v>29</v>
      </c>
      <c r="F174" s="107" t="s">
        <v>24</v>
      </c>
      <c r="G174" s="107"/>
      <c r="H174" s="101" t="s">
        <v>22</v>
      </c>
      <c r="I174" s="108">
        <v>1130.56</v>
      </c>
      <c r="J174" s="108"/>
      <c r="K174" s="104" t="s">
        <v>17</v>
      </c>
      <c r="L174" s="105">
        <v>446024.58</v>
      </c>
    </row>
    <row r="175" spans="1:12" ht="71.400000000000006" x14ac:dyDescent="0.3">
      <c r="A175" s="99" t="s">
        <v>25</v>
      </c>
      <c r="B175" s="100" t="s">
        <v>422</v>
      </c>
      <c r="C175" s="100" t="s">
        <v>394</v>
      </c>
      <c r="D175" s="100" t="s">
        <v>335</v>
      </c>
      <c r="E175" s="101" t="s">
        <v>29</v>
      </c>
      <c r="F175" s="107" t="s">
        <v>24</v>
      </c>
      <c r="G175" s="107"/>
      <c r="H175" s="101" t="s">
        <v>22</v>
      </c>
      <c r="I175" s="109">
        <v>55.89</v>
      </c>
      <c r="J175" s="109"/>
      <c r="K175" s="104" t="s">
        <v>17</v>
      </c>
      <c r="L175" s="105">
        <v>445968.69</v>
      </c>
    </row>
    <row r="176" spans="1:12" ht="71.400000000000006" x14ac:dyDescent="0.3">
      <c r="A176" s="99" t="s">
        <v>25</v>
      </c>
      <c r="B176" s="100" t="s">
        <v>422</v>
      </c>
      <c r="C176" s="100" t="s">
        <v>394</v>
      </c>
      <c r="D176" s="100" t="s">
        <v>336</v>
      </c>
      <c r="E176" s="101" t="s">
        <v>29</v>
      </c>
      <c r="F176" s="107" t="s">
        <v>24</v>
      </c>
      <c r="G176" s="107"/>
      <c r="H176" s="101" t="s">
        <v>22</v>
      </c>
      <c r="I176" s="108">
        <v>2930.33</v>
      </c>
      <c r="J176" s="108"/>
      <c r="K176" s="104" t="s">
        <v>17</v>
      </c>
      <c r="L176" s="105">
        <v>443038.36</v>
      </c>
    </row>
    <row r="177" spans="1:12" ht="61.2" x14ac:dyDescent="0.3">
      <c r="A177" s="99" t="s">
        <v>25</v>
      </c>
      <c r="B177" s="100" t="s">
        <v>422</v>
      </c>
      <c r="C177" s="100" t="s">
        <v>394</v>
      </c>
      <c r="D177" s="100" t="s">
        <v>337</v>
      </c>
      <c r="E177" s="101" t="s">
        <v>29</v>
      </c>
      <c r="F177" s="107" t="s">
        <v>24</v>
      </c>
      <c r="G177" s="107"/>
      <c r="H177" s="101" t="s">
        <v>22</v>
      </c>
      <c r="I177" s="108">
        <v>1751.11</v>
      </c>
      <c r="J177" s="108"/>
      <c r="K177" s="104" t="s">
        <v>17</v>
      </c>
      <c r="L177" s="105">
        <v>441287.25</v>
      </c>
    </row>
    <row r="178" spans="1:12" ht="61.2" x14ac:dyDescent="0.3">
      <c r="A178" s="99" t="s">
        <v>25</v>
      </c>
      <c r="B178" s="100" t="s">
        <v>422</v>
      </c>
      <c r="C178" s="100" t="s">
        <v>394</v>
      </c>
      <c r="D178" s="100" t="s">
        <v>401</v>
      </c>
      <c r="E178" s="101" t="s">
        <v>29</v>
      </c>
      <c r="F178" s="107" t="s">
        <v>24</v>
      </c>
      <c r="G178" s="107"/>
      <c r="H178" s="101" t="s">
        <v>22</v>
      </c>
      <c r="I178" s="109">
        <v>891.92</v>
      </c>
      <c r="J178" s="109"/>
      <c r="K178" s="104" t="s">
        <v>17</v>
      </c>
      <c r="L178" s="105">
        <v>440395.33</v>
      </c>
    </row>
    <row r="179" spans="1:12" ht="61.2" x14ac:dyDescent="0.3">
      <c r="A179" s="99" t="s">
        <v>25</v>
      </c>
      <c r="B179" s="100" t="s">
        <v>422</v>
      </c>
      <c r="C179" s="100" t="s">
        <v>394</v>
      </c>
      <c r="D179" s="100" t="s">
        <v>338</v>
      </c>
      <c r="E179" s="101" t="s">
        <v>29</v>
      </c>
      <c r="F179" s="107" t="s">
        <v>24</v>
      </c>
      <c r="G179" s="107"/>
      <c r="H179" s="101" t="s">
        <v>22</v>
      </c>
      <c r="I179" s="109">
        <v>54.99</v>
      </c>
      <c r="J179" s="109"/>
      <c r="K179" s="104" t="s">
        <v>17</v>
      </c>
      <c r="L179" s="105">
        <v>440340.34</v>
      </c>
    </row>
    <row r="180" spans="1:12" ht="71.400000000000006" x14ac:dyDescent="0.3">
      <c r="A180" s="99" t="s">
        <v>25</v>
      </c>
      <c r="B180" s="100" t="s">
        <v>422</v>
      </c>
      <c r="C180" s="100" t="s">
        <v>394</v>
      </c>
      <c r="D180" s="100" t="s">
        <v>306</v>
      </c>
      <c r="E180" s="101" t="s">
        <v>29</v>
      </c>
      <c r="F180" s="107" t="s">
        <v>24</v>
      </c>
      <c r="G180" s="107"/>
      <c r="H180" s="101" t="s">
        <v>22</v>
      </c>
      <c r="I180" s="109">
        <v>387.2</v>
      </c>
      <c r="J180" s="109"/>
      <c r="K180" s="104" t="s">
        <v>17</v>
      </c>
      <c r="L180" s="105">
        <v>439953.14</v>
      </c>
    </row>
    <row r="181" spans="1:12" ht="71.400000000000006" x14ac:dyDescent="0.3">
      <c r="A181" s="99" t="s">
        <v>25</v>
      </c>
      <c r="B181" s="100" t="s">
        <v>422</v>
      </c>
      <c r="C181" s="100" t="s">
        <v>394</v>
      </c>
      <c r="D181" s="100" t="s">
        <v>306</v>
      </c>
      <c r="E181" s="101" t="s">
        <v>29</v>
      </c>
      <c r="F181" s="107" t="s">
        <v>24</v>
      </c>
      <c r="G181" s="107"/>
      <c r="H181" s="101" t="s">
        <v>22</v>
      </c>
      <c r="I181" s="109">
        <v>387.2</v>
      </c>
      <c r="J181" s="109"/>
      <c r="K181" s="104" t="s">
        <v>17</v>
      </c>
      <c r="L181" s="105">
        <v>439565.94</v>
      </c>
    </row>
    <row r="182" spans="1:12" ht="71.400000000000006" x14ac:dyDescent="0.3">
      <c r="A182" s="99" t="s">
        <v>25</v>
      </c>
      <c r="B182" s="100" t="s">
        <v>422</v>
      </c>
      <c r="C182" s="100" t="s">
        <v>394</v>
      </c>
      <c r="D182" s="100" t="s">
        <v>306</v>
      </c>
      <c r="E182" s="101" t="s">
        <v>29</v>
      </c>
      <c r="F182" s="107" t="s">
        <v>24</v>
      </c>
      <c r="G182" s="107"/>
      <c r="H182" s="101" t="s">
        <v>22</v>
      </c>
      <c r="I182" s="109">
        <v>281.60000000000002</v>
      </c>
      <c r="J182" s="109"/>
      <c r="K182" s="104" t="s">
        <v>17</v>
      </c>
      <c r="L182" s="105">
        <v>439284.34</v>
      </c>
    </row>
    <row r="183" spans="1:12" ht="61.2" x14ac:dyDescent="0.3">
      <c r="A183" s="99" t="s">
        <v>25</v>
      </c>
      <c r="B183" s="100" t="s">
        <v>422</v>
      </c>
      <c r="C183" s="100" t="s">
        <v>394</v>
      </c>
      <c r="D183" s="100" t="s">
        <v>419</v>
      </c>
      <c r="E183" s="101" t="s">
        <v>29</v>
      </c>
      <c r="F183" s="107" t="s">
        <v>24</v>
      </c>
      <c r="G183" s="107"/>
      <c r="H183" s="101" t="s">
        <v>22</v>
      </c>
      <c r="I183" s="109">
        <v>12.21</v>
      </c>
      <c r="J183" s="109"/>
      <c r="K183" s="104" t="s">
        <v>17</v>
      </c>
      <c r="L183" s="105">
        <v>439272.13</v>
      </c>
    </row>
    <row r="184" spans="1:12" ht="71.400000000000006" x14ac:dyDescent="0.3">
      <c r="A184" s="99" t="s">
        <v>25</v>
      </c>
      <c r="B184" s="100" t="s">
        <v>422</v>
      </c>
      <c r="C184" s="100" t="s">
        <v>394</v>
      </c>
      <c r="D184" s="100" t="s">
        <v>348</v>
      </c>
      <c r="E184" s="101" t="s">
        <v>29</v>
      </c>
      <c r="F184" s="107" t="s">
        <v>24</v>
      </c>
      <c r="G184" s="107"/>
      <c r="H184" s="101" t="s">
        <v>22</v>
      </c>
      <c r="I184" s="109">
        <v>26.51</v>
      </c>
      <c r="J184" s="109"/>
      <c r="K184" s="104" t="s">
        <v>17</v>
      </c>
      <c r="L184" s="105">
        <v>439245.62</v>
      </c>
    </row>
    <row r="185" spans="1:12" ht="71.400000000000006" x14ac:dyDescent="0.3">
      <c r="A185" s="99" t="s">
        <v>25</v>
      </c>
      <c r="B185" s="100" t="s">
        <v>422</v>
      </c>
      <c r="C185" s="100" t="s">
        <v>394</v>
      </c>
      <c r="D185" s="100" t="s">
        <v>420</v>
      </c>
      <c r="E185" s="101" t="s">
        <v>29</v>
      </c>
      <c r="F185" s="107" t="s">
        <v>24</v>
      </c>
      <c r="G185" s="107"/>
      <c r="H185" s="101" t="s">
        <v>22</v>
      </c>
      <c r="I185" s="108">
        <v>1681.9</v>
      </c>
      <c r="J185" s="108"/>
      <c r="K185" s="104" t="s">
        <v>17</v>
      </c>
      <c r="L185" s="105">
        <v>437563.72</v>
      </c>
    </row>
    <row r="186" spans="1:12" ht="61.2" x14ac:dyDescent="0.3">
      <c r="A186" s="99" t="s">
        <v>25</v>
      </c>
      <c r="B186" s="100" t="s">
        <v>422</v>
      </c>
      <c r="C186" s="100" t="s">
        <v>394</v>
      </c>
      <c r="D186" s="100" t="s">
        <v>245</v>
      </c>
      <c r="E186" s="101" t="s">
        <v>29</v>
      </c>
      <c r="F186" s="107" t="s">
        <v>24</v>
      </c>
      <c r="G186" s="107"/>
      <c r="H186" s="101" t="s">
        <v>22</v>
      </c>
      <c r="I186" s="109">
        <v>92.1</v>
      </c>
      <c r="J186" s="109"/>
      <c r="K186" s="104" t="s">
        <v>17</v>
      </c>
      <c r="L186" s="105">
        <v>437471.62</v>
      </c>
    </row>
    <row r="187" spans="1:12" ht="61.2" x14ac:dyDescent="0.3">
      <c r="A187" s="99" t="s">
        <v>25</v>
      </c>
      <c r="B187" s="100" t="s">
        <v>422</v>
      </c>
      <c r="C187" s="100" t="s">
        <v>394</v>
      </c>
      <c r="D187" s="100" t="s">
        <v>245</v>
      </c>
      <c r="E187" s="101" t="s">
        <v>29</v>
      </c>
      <c r="F187" s="107" t="s">
        <v>24</v>
      </c>
      <c r="G187" s="107"/>
      <c r="H187" s="101" t="s">
        <v>22</v>
      </c>
      <c r="I187" s="108">
        <v>1639.29</v>
      </c>
      <c r="J187" s="108"/>
      <c r="K187" s="104" t="s">
        <v>17</v>
      </c>
      <c r="L187" s="105">
        <v>435832.33</v>
      </c>
    </row>
    <row r="188" spans="1:12" ht="61.2" x14ac:dyDescent="0.3">
      <c r="A188" s="99" t="s">
        <v>25</v>
      </c>
      <c r="B188" s="100" t="s">
        <v>422</v>
      </c>
      <c r="C188" s="100" t="s">
        <v>394</v>
      </c>
      <c r="D188" s="100" t="s">
        <v>258</v>
      </c>
      <c r="E188" s="101" t="s">
        <v>29</v>
      </c>
      <c r="F188" s="107" t="s">
        <v>24</v>
      </c>
      <c r="G188" s="107"/>
      <c r="H188" s="101" t="s">
        <v>22</v>
      </c>
      <c r="I188" s="108">
        <v>1778.35</v>
      </c>
      <c r="J188" s="108"/>
      <c r="K188" s="104" t="s">
        <v>17</v>
      </c>
      <c r="L188" s="105">
        <v>434053.98</v>
      </c>
    </row>
    <row r="189" spans="1:12" ht="71.400000000000006" hidden="1" x14ac:dyDescent="0.3">
      <c r="A189" s="99" t="s">
        <v>25</v>
      </c>
      <c r="B189" s="100" t="s">
        <v>424</v>
      </c>
      <c r="C189" s="100" t="s">
        <v>425</v>
      </c>
      <c r="D189" s="100" t="s">
        <v>426</v>
      </c>
      <c r="E189" s="101" t="s">
        <v>22</v>
      </c>
      <c r="F189" s="106">
        <v>195.45</v>
      </c>
      <c r="G189" s="106"/>
      <c r="H189" s="101" t="s">
        <v>23</v>
      </c>
      <c r="I189" s="103" t="s">
        <v>24</v>
      </c>
      <c r="J189" s="103"/>
      <c r="K189" s="104" t="s">
        <v>17</v>
      </c>
      <c r="L189" s="105">
        <v>434249.43</v>
      </c>
    </row>
    <row r="190" spans="1:12" ht="71.400000000000006" hidden="1" x14ac:dyDescent="0.3">
      <c r="A190" s="99" t="s">
        <v>25</v>
      </c>
      <c r="B190" s="100" t="s">
        <v>427</v>
      </c>
      <c r="C190" s="100" t="s">
        <v>428</v>
      </c>
      <c r="D190" s="100" t="s">
        <v>429</v>
      </c>
      <c r="E190" s="101" t="s">
        <v>22</v>
      </c>
      <c r="F190" s="102">
        <v>1150</v>
      </c>
      <c r="G190" s="102"/>
      <c r="H190" s="101" t="s">
        <v>23</v>
      </c>
      <c r="I190" s="103" t="s">
        <v>24</v>
      </c>
      <c r="J190" s="103"/>
      <c r="K190" s="104" t="s">
        <v>17</v>
      </c>
      <c r="L190" s="105">
        <v>435399.43</v>
      </c>
    </row>
    <row r="191" spans="1:12" hidden="1" x14ac:dyDescent="0.3">
      <c r="A191" s="110" t="s">
        <v>47</v>
      </c>
      <c r="B191" s="110"/>
      <c r="C191" s="110"/>
      <c r="D191" s="110"/>
      <c r="E191" s="111">
        <v>678459.88</v>
      </c>
      <c r="F191" s="111"/>
      <c r="G191" s="111"/>
      <c r="H191" s="111">
        <v>389631.06</v>
      </c>
      <c r="I191" s="111"/>
      <c r="J191" s="111"/>
      <c r="K191" s="112" t="s">
        <v>17</v>
      </c>
      <c r="L191" s="113">
        <v>435399.43</v>
      </c>
    </row>
    <row r="193" spans="10:10" x14ac:dyDescent="0.3">
      <c r="J193" s="29">
        <f>SUBTOTAL(9,I119:J188)*1.2</f>
        <v>467557.27199999976</v>
      </c>
    </row>
  </sheetData>
  <autoFilter ref="B1:D191">
    <filterColumn colId="0">
      <filters>
        <filter val="Вимога-накладна ІБ00-000135 від 28.02.2025 10:00:00_x000a_Списаны ТМЦ"/>
        <filter val="Вимога-накладна ІБ00-000136 від 28.02.2025 10:10:00_x000a_Списаны ТМЦ"/>
        <filter val="Вимога-накладна ІБ00-000137 від 28.02.2025 10:20:00_x000a_Списаны ТМЦ"/>
        <filter val="Вимога-накладна ІБ00-000138 від 28.02.2025 10:30:00_x000a_Списаны ТМЦ"/>
        <filter val="Вимога-накладна ІБ00-000139 від 28.02.2025 10:40:00_x000a_Списаны ТМЦ"/>
        <filter val="Списання товарів ІБ00-000083 від 28.02.2025 10:30:00_x000a_Списаны ТМЦ"/>
      </filters>
    </filterColumn>
  </autoFilter>
  <mergeCells count="388">
    <mergeCell ref="F190:G190"/>
    <mergeCell ref="I190:J190"/>
    <mergeCell ref="A191:D191"/>
    <mergeCell ref="E191:G191"/>
    <mergeCell ref="H191:J191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СВОД_ГЛОБИНО</vt:lpstr>
      <vt:lpstr>Глобине-2</vt:lpstr>
      <vt:lpstr>Котельна</vt:lpstr>
      <vt:lpstr>Насосна Градирня </vt:lpstr>
      <vt:lpstr>Пункт фасування</vt:lpstr>
      <vt:lpstr>Резервуар для зберігання</vt:lpstr>
      <vt:lpstr>Резервуарний парк</vt:lpstr>
      <vt:lpstr>СПК (Глобине)</vt:lpstr>
      <vt:lpstr>Цех екстракції (Глобине)</vt:lpstr>
      <vt:lpstr>Цех_Глобино</vt:lpstr>
      <vt:lpstr>!</vt:lpstr>
      <vt:lpstr>Турбіна 3</vt:lpstr>
      <vt:lpstr>Катеринопіль МХП</vt:lpstr>
      <vt:lpstr>Путрівка КМД</vt:lpstr>
      <vt:lpstr>Ретал ГПУ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2025-03-20T12:32:29Z</dcterms:modified>
</cp:coreProperties>
</file>
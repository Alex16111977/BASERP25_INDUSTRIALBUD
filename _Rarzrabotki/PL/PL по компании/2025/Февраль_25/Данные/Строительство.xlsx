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08" windowWidth="14808" windowHeight="8016" activeTab="2"/>
  </bookViews>
  <sheets>
    <sheet name="Акты" sheetId="1" r:id="rId1"/>
    <sheet name="ЦКС" sheetId="2" r:id="rId2"/>
    <sheet name="ЗП Глобино-2" sheetId="3" r:id="rId3"/>
  </sheets>
  <definedNames>
    <definedName name="_xlnm._FilterDatabase" localSheetId="0" hidden="1">Акты!$A$1:$I$48</definedName>
  </definedNames>
  <calcPr calcId="145621"/>
</workbook>
</file>

<file path=xl/calcChain.xml><?xml version="1.0" encoding="utf-8"?>
<calcChain xmlns="http://schemas.openxmlformats.org/spreadsheetml/2006/main">
  <c r="B31" i="3" l="1"/>
  <c r="N18" i="2" l="1"/>
  <c r="D18" i="2"/>
  <c r="N12" i="2"/>
  <c r="D12" i="2"/>
  <c r="D7" i="2"/>
  <c r="N7" i="2"/>
  <c r="D56" i="1" l="1"/>
  <c r="D55" i="1"/>
  <c r="D54" i="1"/>
  <c r="D53" i="1"/>
  <c r="D52" i="1"/>
  <c r="D51" i="1"/>
  <c r="D50" i="1"/>
  <c r="D48" i="1"/>
</calcChain>
</file>

<file path=xl/sharedStrings.xml><?xml version="1.0" encoding="utf-8"?>
<sst xmlns="http://schemas.openxmlformats.org/spreadsheetml/2006/main" count="566" uniqueCount="212">
  <si>
    <t>Дата</t>
  </si>
  <si>
    <t>Номер</t>
  </si>
  <si>
    <t>Контрагент</t>
  </si>
  <si>
    <t>Сума</t>
  </si>
  <si>
    <t>Валюта</t>
  </si>
  <si>
    <t>Підрозділ</t>
  </si>
  <si>
    <t>Організація</t>
  </si>
  <si>
    <t>Відповідальний</t>
  </si>
  <si>
    <t>Коментар</t>
  </si>
  <si>
    <t>05.02.2025 00:00:00</t>
  </si>
  <si>
    <t>ІБ00-000041</t>
  </si>
  <si>
    <t>АСТАРТА АГРО ПРОТЕЇН ТОВ</t>
  </si>
  <si>
    <t>грн</t>
  </si>
  <si>
    <t>Виробничий (Глобине-2)</t>
  </si>
  <si>
    <t>ТОВ "ІНДАСТРІАЛБУД"</t>
  </si>
  <si>
    <t>Хлань Елена</t>
  </si>
  <si>
    <t xml:space="preserve"> Акт 16/1.14-КБ (Котельня)</t>
  </si>
  <si>
    <t>ІБ00-000042</t>
  </si>
  <si>
    <t xml:space="preserve"> Акт 11/1.14-КМ (Котельня)</t>
  </si>
  <si>
    <t>ІБ00-000043</t>
  </si>
  <si>
    <t>Акт 18/1.3-КБ(Цех екстракції поз. 3 ГБ)</t>
  </si>
  <si>
    <t>ІБ00-000044</t>
  </si>
  <si>
    <t>Акт 23/1.3-КМ(Цех екстракції поз. 3 ГБ)</t>
  </si>
  <si>
    <t>ІБ00-000045</t>
  </si>
  <si>
    <t>Акт 1/1.5-КМ (насосна,градирня)</t>
  </si>
  <si>
    <t>ІБ00-000046</t>
  </si>
  <si>
    <t>Акт 4/1.4-КБ (резервуар для зберігання розчинника)</t>
  </si>
  <si>
    <t>ІБ00-000047</t>
  </si>
  <si>
    <t xml:space="preserve"> Акт 4/1.12-КБ (Резервуарний парк)</t>
  </si>
  <si>
    <t>ІБ00-000048</t>
  </si>
  <si>
    <t xml:space="preserve"> Акт 11/1.9-КБ (СПК)</t>
  </si>
  <si>
    <t>12.02.2025 00:00:00</t>
  </si>
  <si>
    <t>ІБ00-000049</t>
  </si>
  <si>
    <t>Акт 5/1.4-КБ (резервуар для зберігання розчинника)</t>
  </si>
  <si>
    <t>ІБ00-000050</t>
  </si>
  <si>
    <t>Акт 19/1.3-КБ(Цех екстракції поз. 3 ГБ)</t>
  </si>
  <si>
    <t>ІБ00-000051</t>
  </si>
  <si>
    <t xml:space="preserve"> Акт 12/1.9-КБ (СПК)</t>
  </si>
  <si>
    <t>ІБ00-000052</t>
  </si>
  <si>
    <t>Акт 24/1.3-КМ(Цех екстракції поз. 3 ГБ)</t>
  </si>
  <si>
    <t>ІБ00-000053</t>
  </si>
  <si>
    <t>Акт 25/1.3-КМ(Цех екстракції поз. 3 ГБ)</t>
  </si>
  <si>
    <t>ІБ00-000056</t>
  </si>
  <si>
    <t xml:space="preserve"> Акт 12/1.14-КМ (Котельня)</t>
  </si>
  <si>
    <t>17.02.2025 11:09:56</t>
  </si>
  <si>
    <t>ІБ00-000064</t>
  </si>
  <si>
    <t xml:space="preserve">КОМРАД ТРЕЙД  ТОВ </t>
  </si>
  <si>
    <t>Виробничий (Путрівка КМД)</t>
  </si>
  <si>
    <t>Акт 7 дата погоджена</t>
  </si>
  <si>
    <t>17.02.2025 11:10:27</t>
  </si>
  <si>
    <t>ІБ00-000065</t>
  </si>
  <si>
    <t>Акт 5</t>
  </si>
  <si>
    <t>19.02.2025 00:00:00</t>
  </si>
  <si>
    <t>ІБ00-000054</t>
  </si>
  <si>
    <t>Акт 2/1.5-КМ (насосна,градирня)</t>
  </si>
  <si>
    <t>19.02.2025 14:13:15</t>
  </si>
  <si>
    <t>ІБ00-000058</t>
  </si>
  <si>
    <t>Акт 20/1.3-КБ(Цех екстракції поз. 3 ГБ)</t>
  </si>
  <si>
    <t>19.02.2025 14:13:59</t>
  </si>
  <si>
    <t>ІБ00-000059</t>
  </si>
  <si>
    <t xml:space="preserve"> Акт 13/1.9-КБ (СПК)</t>
  </si>
  <si>
    <t>19.02.2025 14:14:49</t>
  </si>
  <si>
    <t>ІБ00-000060</t>
  </si>
  <si>
    <t>Акт 6/1.4-КБ (резервуар для зберігання розчинника)</t>
  </si>
  <si>
    <t>19.02.2025 14:17:32</t>
  </si>
  <si>
    <t>ІБ00-000061</t>
  </si>
  <si>
    <t xml:space="preserve"> Акт 13/1.14-КМ (Котельня)</t>
  </si>
  <si>
    <t>19.02.2025 14:18:45</t>
  </si>
  <si>
    <t>ІБ00-000062</t>
  </si>
  <si>
    <t xml:space="preserve"> Акт 6/1.12-КБ (Резервуарний парк)</t>
  </si>
  <si>
    <t>19.02.2025 14:36:05</t>
  </si>
  <si>
    <t>ІБ00-000063</t>
  </si>
  <si>
    <t>Акт 26/1.3-КМ(Цех екстракції поз. 3 ГБ)</t>
  </si>
  <si>
    <t>20.02.2025 12:06:47</t>
  </si>
  <si>
    <t>ІБ00-000069</t>
  </si>
  <si>
    <t>РЕТАЛ УКРАЇНА ТОВ</t>
  </si>
  <si>
    <t>Виробничий (Ретал ГПУ)</t>
  </si>
  <si>
    <t>Акт № 2 Договір підряду №28/07/22 від 28.07.2022  Счёт под оплату</t>
  </si>
  <si>
    <t>20.02.2025 12:07:27</t>
  </si>
  <si>
    <t>ІБ00-000070</t>
  </si>
  <si>
    <t>Акт № 1 (Ду 2)  Договір підряду №28/07/22 від 28.07.2022  Счёт под оплату</t>
  </si>
  <si>
    <t>21.02.2025 12:00:43</t>
  </si>
  <si>
    <t>ІБ00-000072</t>
  </si>
  <si>
    <t>КАТЕРИНОПІЛЬСЬКИЙ ЕЛЕВАТОР ТОВ</t>
  </si>
  <si>
    <t>Виробничий (Катеринопіль МХП)</t>
  </si>
  <si>
    <t>Акт 1</t>
  </si>
  <si>
    <t>24.02.2025 13:07:26</t>
  </si>
  <si>
    <t>ІБ00-000055</t>
  </si>
  <si>
    <t xml:space="preserve"> Акт 17/1.14-КБ (Котельня) мшп 5828,44</t>
  </si>
  <si>
    <t>24.02.2025 13:08:35</t>
  </si>
  <si>
    <t>ІБ00-000057</t>
  </si>
  <si>
    <t xml:space="preserve"> Акт 5/1.12-КБ (Резервуарний парк) мшп 2691,31</t>
  </si>
  <si>
    <t>24.02.2025 15:46:52</t>
  </si>
  <si>
    <t>ІБ00-000073</t>
  </si>
  <si>
    <t>Акт 27/1.3-КМ(Цех екстракції поз. 3 ГБ) МШП 10724,58</t>
  </si>
  <si>
    <t>24.02.2025 15:47:20</t>
  </si>
  <si>
    <t>ІБ00-000074</t>
  </si>
  <si>
    <t>Акт 28/1.3-КМ(Цех екстракції поз. 3 ГБ)</t>
  </si>
  <si>
    <t>24.02.2025 15:47:46</t>
  </si>
  <si>
    <t>ІБ00-000075</t>
  </si>
  <si>
    <t>Акт 29/1.3-КМ(Цех екстракції поз. 3 ГБ)</t>
  </si>
  <si>
    <t>24.02.2025 15:48:26</t>
  </si>
  <si>
    <t>ІБ00-000076</t>
  </si>
  <si>
    <t>Акт 30/1.3-КМ(Цех екстракції поз. 3 ГБ)</t>
  </si>
  <si>
    <t>24.02.2025 15:49:31</t>
  </si>
  <si>
    <t>ІБ00-000077</t>
  </si>
  <si>
    <t>Акт 31/1.3-КМ(Цех екстракції поз. 3 ГБ)</t>
  </si>
  <si>
    <t>24.02.2025 15:51:26</t>
  </si>
  <si>
    <t>ІБ00-000079</t>
  </si>
  <si>
    <t xml:space="preserve"> Акт 3/1.25 (Демонтажні роботи)</t>
  </si>
  <si>
    <t>24.02.2025 16:09:25</t>
  </si>
  <si>
    <t>ІБ00-000080</t>
  </si>
  <si>
    <t xml:space="preserve"> Акт 14/1.9-КБ (СПК) мшп 2247,26</t>
  </si>
  <si>
    <t>24.02.2025 16:09:59</t>
  </si>
  <si>
    <t>ІБ00-000081</t>
  </si>
  <si>
    <t>Акт 21/1.3-КБ(Цех екстракції поз. 3 ГБ)</t>
  </si>
  <si>
    <t>24.02.2025 16:10:38</t>
  </si>
  <si>
    <t>ІБ00-000082</t>
  </si>
  <si>
    <t xml:space="preserve"> Акт 7/1.12-КБ (Резервуарний парк) мшп 8463,77</t>
  </si>
  <si>
    <t>24.02.2025 16:11:42</t>
  </si>
  <si>
    <t>ІБ00-000083</t>
  </si>
  <si>
    <t xml:space="preserve"> Акт 18/1.14-КБ (Котельня)</t>
  </si>
  <si>
    <t>24.02.2025 16:12:26</t>
  </si>
  <si>
    <t>ІБ00-000084</t>
  </si>
  <si>
    <t xml:space="preserve"> Акт 14/1.14-КМ (Котельня) мшп 24 407,14</t>
  </si>
  <si>
    <t>25.02.2025 09:58:30</t>
  </si>
  <si>
    <t>ІБ00-000087</t>
  </si>
  <si>
    <t>Акт № 3 Договір підряду №28/07/22 від 28.07.2022  Счёт под оплату</t>
  </si>
  <si>
    <t>25.02.2025 09:59:10</t>
  </si>
  <si>
    <t>ІБ00-000088</t>
  </si>
  <si>
    <t>Акт № 2 (Ду 2)  Договір підряду №28/07/22 від 28.07.2022  Счёт под оплату</t>
  </si>
  <si>
    <t>25.02.2025 18:19:33</t>
  </si>
  <si>
    <t>ІБ00-000089</t>
  </si>
  <si>
    <t>Акт 2</t>
  </si>
  <si>
    <t>26.02.2025 10:06:33</t>
  </si>
  <si>
    <t>ІБ00-000085</t>
  </si>
  <si>
    <t>Акт 6</t>
  </si>
  <si>
    <t>26.02.2025 10:07:07</t>
  </si>
  <si>
    <t>ІБ00-000086</t>
  </si>
  <si>
    <t>Акт 8 дата погоджена</t>
  </si>
  <si>
    <t>28.02.2025 09:41:31</t>
  </si>
  <si>
    <t>ІБ00-000090</t>
  </si>
  <si>
    <t>ЗАПОРІЗЬКИЙ ОЛІЙНОЕКСТРАКЦІЙНИЙ ЗАВОД  ПРАТ</t>
  </si>
  <si>
    <t>Виробничий (Запоріж_Турбіна 3)</t>
  </si>
  <si>
    <t>акт 13</t>
  </si>
  <si>
    <t>28.02.2025 14:15:47</t>
  </si>
  <si>
    <t>ІБ00-000091</t>
  </si>
  <si>
    <t>Акт 3 (МШП списання 21021,66)</t>
  </si>
  <si>
    <t>Вид операції</t>
  </si>
  <si>
    <t>Склад</t>
  </si>
  <si>
    <t>Дата вх.</t>
  </si>
  <si>
    <t>Номер вх.</t>
  </si>
  <si>
    <t>Договір</t>
  </si>
  <si>
    <t>Документ розрахунків</t>
  </si>
  <si>
    <t>01.02.2025 18:10:26</t>
  </si>
  <si>
    <t>ІБ00-000559</t>
  </si>
  <si>
    <t>Покупка, комісія</t>
  </si>
  <si>
    <t>Цех екстракції (Глобине)</t>
  </si>
  <si>
    <t>ЦКС ТРЕЙД ТОВ</t>
  </si>
  <si>
    <t>31.01.2025</t>
  </si>
  <si>
    <t>50</t>
  </si>
  <si>
    <t>Договору 02/10-24П від 02.10.2024_Глобине 2</t>
  </si>
  <si>
    <t>Шостак Жанета</t>
  </si>
  <si>
    <t>04.02.2025 17:50:21</t>
  </si>
  <si>
    <t>ІБ00-000476</t>
  </si>
  <si>
    <t>04.02.2025</t>
  </si>
  <si>
    <t>60</t>
  </si>
  <si>
    <t>14.02.2025 23:30:07</t>
  </si>
  <si>
    <t>ІБ00-000658</t>
  </si>
  <si>
    <t>14.02.2025</t>
  </si>
  <si>
    <t>93</t>
  </si>
  <si>
    <t>21.02.2025 19:00:06</t>
  </si>
  <si>
    <t>ІБ00-000790</t>
  </si>
  <si>
    <t>21.02.2025</t>
  </si>
  <si>
    <t>109</t>
  </si>
  <si>
    <t>25.02.2025 18:20:06</t>
  </si>
  <si>
    <t>ІБ00-000789</t>
  </si>
  <si>
    <t>25.02.2025</t>
  </si>
  <si>
    <t>115</t>
  </si>
  <si>
    <t>Оригинал</t>
  </si>
  <si>
    <t>01.03.2025 18:17:10</t>
  </si>
  <si>
    <t>ІБ00-001063</t>
  </si>
  <si>
    <t>Глобине-2</t>
  </si>
  <si>
    <t>ІНДЕПТ СТІЛ ТОВ</t>
  </si>
  <si>
    <t>30</t>
  </si>
  <si>
    <t>Договір 24/09-24 від 24.09.2024(Глобине-2)</t>
  </si>
  <si>
    <t>Рахунок на оплату постачальника ІБ00-000446 від 07.01.2025 17:32:18</t>
  </si>
  <si>
    <t>01.03.2025 18:17:11</t>
  </si>
  <si>
    <t>ІБ00-001065</t>
  </si>
  <si>
    <t>32</t>
  </si>
  <si>
    <t>14.02.2025 18:35:21</t>
  </si>
  <si>
    <t>ІБ00-000575</t>
  </si>
  <si>
    <t>Катеринопіль МХП</t>
  </si>
  <si>
    <t>10</t>
  </si>
  <si>
    <t>Договор  26/01-М вiд 26.01.2025 МХП</t>
  </si>
  <si>
    <t>17.02.2025 23:45:01</t>
  </si>
  <si>
    <t>ІБ00-000634</t>
  </si>
  <si>
    <t>17.02.2025</t>
  </si>
  <si>
    <t>11</t>
  </si>
  <si>
    <t>Аулова Маргарита</t>
  </si>
  <si>
    <t>21.02.2025 18:26:03</t>
  </si>
  <si>
    <t>ІБ00-000747</t>
  </si>
  <si>
    <t>28</t>
  </si>
  <si>
    <t>Олексюк</t>
  </si>
  <si>
    <t>Кобринчук</t>
  </si>
  <si>
    <t>Козеев Р.</t>
  </si>
  <si>
    <t>Семенченко</t>
  </si>
  <si>
    <t>Прокопець</t>
  </si>
  <si>
    <t>Чурилович</t>
  </si>
  <si>
    <t>Мельникович</t>
  </si>
  <si>
    <t>Омельченко</t>
  </si>
  <si>
    <t>Дробат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</si>
</sst>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10"/>
      <color indexed="63"/>
      <name val="Arial"/>
      <family val="2"/>
      <charset val="204"/>
    </font>
    <font>
      <sz val="8"/>
      <color indexed="63"/>
      <name val="Arial"/>
      <family val="2"/>
    </font>
    <font>
      <sz val="11"/>
      <color rgb="FF7030A0"/>
      <name val="Calibri"/>
      <family val="2"/>
      <scheme val="minor"/>
    </font>
    <font>
      <b/>
      <sz val="8"/>
      <color rgb="FFFF0000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8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9" fillId="0" borderId="0"/>
    <xf numFmtId="0" fontId="7" fillId="0" borderId="0"/>
    <xf numFmtId="0" fontId="7" fillId="0" borderId="0"/>
  </cellStyleXfs>
  <cellXfs count="16">
    <xf numFmtId="0" fontId="0" fillId="0" borderId="0" xfId="0"/>
    <xf numFmtId="0" fontId="3" fillId="2" borderId="1" xfId="1" applyNumberFormat="1" applyFont="1" applyFill="1" applyBorder="1" applyAlignment="1">
      <alignment horizontal="left" vertical="top"/>
    </xf>
    <xf numFmtId="0" fontId="4" fillId="2" borderId="1" xfId="1" applyNumberFormat="1" applyFont="1" applyFill="1" applyBorder="1" applyAlignment="1">
      <alignment horizontal="left" vertical="top"/>
    </xf>
    <xf numFmtId="4" fontId="4" fillId="2" borderId="1" xfId="1" applyNumberFormat="1" applyFont="1" applyFill="1" applyBorder="1" applyAlignment="1">
      <alignment horizontal="right" vertical="top"/>
    </xf>
    <xf numFmtId="4" fontId="0" fillId="0" borderId="0" xfId="0" applyNumberFormat="1"/>
    <xf numFmtId="4" fontId="1" fillId="0" borderId="0" xfId="0" applyNumberFormat="1" applyFont="1"/>
    <xf numFmtId="4" fontId="5" fillId="0" borderId="0" xfId="0" applyNumberFormat="1" applyFont="1"/>
    <xf numFmtId="0" fontId="3" fillId="2" borderId="1" xfId="2" applyNumberFormat="1" applyFont="1" applyFill="1" applyBorder="1" applyAlignment="1">
      <alignment horizontal="left" vertical="top"/>
    </xf>
    <xf numFmtId="0" fontId="4" fillId="2" borderId="1" xfId="2" applyNumberFormat="1" applyFont="1" applyFill="1" applyBorder="1" applyAlignment="1">
      <alignment horizontal="left" vertical="top"/>
    </xf>
    <xf numFmtId="4" fontId="4" fillId="2" borderId="1" xfId="2" applyNumberFormat="1" applyFont="1" applyFill="1" applyBorder="1" applyAlignment="1">
      <alignment horizontal="right" vertical="top"/>
    </xf>
    <xf numFmtId="0" fontId="4" fillId="2" borderId="1" xfId="2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3" borderId="1" xfId="2" applyNumberFormat="1" applyFont="1" applyFill="1" applyBorder="1" applyAlignment="1">
      <alignment horizontal="left" vertical="top"/>
    </xf>
    <xf numFmtId="4" fontId="0" fillId="0" borderId="0" xfId="0" applyNumberFormat="1"/>
    <xf numFmtId="0" fontId="0" fillId="0" borderId="2" xfId="0" applyFill="1" applyBorder="1" applyAlignment="1">
      <alignment horizontal="center" vertical="center"/>
    </xf>
    <xf numFmtId="4" fontId="0" fillId="0" borderId="2" xfId="0" applyNumberFormat="1" applyFill="1" applyBorder="1" applyAlignment="1">
      <alignment horizontal="center" vertical="center"/>
    </xf>
  </cellXfs>
  <cellStyles count="8">
    <cellStyle name="Обычный" xfId="0" builtinId="0"/>
    <cellStyle name="Обычный 2" xfId="4"/>
    <cellStyle name="Обычный 2 2" xfId="6"/>
    <cellStyle name="Обычный 3" xfId="3"/>
    <cellStyle name="Обычный 4" xfId="5"/>
    <cellStyle name="Обычный 5" xfId="7"/>
    <cellStyle name="Обычный_Лист1" xfId="1"/>
    <cellStyle name="Обычный_ЦКС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6"/>
  <sheetViews>
    <sheetView topLeftCell="A44" workbookViewId="0">
      <selection activeCell="A58" sqref="A58"/>
    </sheetView>
  </sheetViews>
  <sheetFormatPr defaultRowHeight="14.4" x14ac:dyDescent="0.3"/>
  <cols>
    <col min="1" max="1" width="14" bestFit="1" customWidth="1"/>
    <col min="2" max="2" width="8.77734375" bestFit="1" customWidth="1"/>
    <col min="3" max="3" width="39.6640625" bestFit="1" customWidth="1"/>
    <col min="4" max="4" width="12.33203125" bestFit="1" customWidth="1"/>
    <col min="5" max="5" width="7.6640625" bestFit="1" customWidth="1"/>
    <col min="6" max="6" width="22.77734375" bestFit="1" customWidth="1"/>
    <col min="7" max="7" width="16.6640625" bestFit="1" customWidth="1"/>
    <col min="8" max="8" width="14.5546875" bestFit="1" customWidth="1"/>
    <col min="9" max="9" width="52.5546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3">
        <v>539434.19999999995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x14ac:dyDescent="0.3">
      <c r="A3" s="2" t="s">
        <v>9</v>
      </c>
      <c r="B3" s="2" t="s">
        <v>17</v>
      </c>
      <c r="C3" s="2" t="s">
        <v>11</v>
      </c>
      <c r="D3" s="3">
        <v>26944.63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18</v>
      </c>
    </row>
    <row r="4" spans="1:9" x14ac:dyDescent="0.3">
      <c r="A4" s="2" t="s">
        <v>9</v>
      </c>
      <c r="B4" s="2" t="s">
        <v>19</v>
      </c>
      <c r="C4" s="2" t="s">
        <v>11</v>
      </c>
      <c r="D4" s="3">
        <v>359413.1</v>
      </c>
      <c r="E4" s="2" t="s">
        <v>12</v>
      </c>
      <c r="F4" s="2" t="s">
        <v>13</v>
      </c>
      <c r="G4" s="2" t="s">
        <v>14</v>
      </c>
      <c r="H4" s="2" t="s">
        <v>15</v>
      </c>
      <c r="I4" s="2" t="s">
        <v>20</v>
      </c>
    </row>
    <row r="5" spans="1:9" x14ac:dyDescent="0.3">
      <c r="A5" s="2" t="s">
        <v>9</v>
      </c>
      <c r="B5" s="2" t="s">
        <v>21</v>
      </c>
      <c r="C5" s="2" t="s">
        <v>11</v>
      </c>
      <c r="D5" s="3">
        <v>1108248.05</v>
      </c>
      <c r="E5" s="2" t="s">
        <v>12</v>
      </c>
      <c r="F5" s="2" t="s">
        <v>13</v>
      </c>
      <c r="G5" s="2" t="s">
        <v>14</v>
      </c>
      <c r="H5" s="2" t="s">
        <v>15</v>
      </c>
      <c r="I5" s="2" t="s">
        <v>22</v>
      </c>
    </row>
    <row r="6" spans="1:9" x14ac:dyDescent="0.3">
      <c r="A6" s="2" t="s">
        <v>9</v>
      </c>
      <c r="B6" s="2" t="s">
        <v>23</v>
      </c>
      <c r="C6" s="2" t="s">
        <v>11</v>
      </c>
      <c r="D6" s="3">
        <v>442463.36</v>
      </c>
      <c r="E6" s="2" t="s">
        <v>12</v>
      </c>
      <c r="F6" s="2" t="s">
        <v>13</v>
      </c>
      <c r="G6" s="2" t="s">
        <v>14</v>
      </c>
      <c r="H6" s="2" t="s">
        <v>15</v>
      </c>
      <c r="I6" s="2" t="s">
        <v>24</v>
      </c>
    </row>
    <row r="7" spans="1:9" x14ac:dyDescent="0.3">
      <c r="A7" s="2" t="s">
        <v>9</v>
      </c>
      <c r="B7" s="2" t="s">
        <v>25</v>
      </c>
      <c r="C7" s="2" t="s">
        <v>11</v>
      </c>
      <c r="D7" s="3">
        <v>330004.78999999998</v>
      </c>
      <c r="E7" s="2" t="s">
        <v>12</v>
      </c>
      <c r="F7" s="2" t="s">
        <v>13</v>
      </c>
      <c r="G7" s="2" t="s">
        <v>14</v>
      </c>
      <c r="H7" s="2" t="s">
        <v>15</v>
      </c>
      <c r="I7" s="2" t="s">
        <v>26</v>
      </c>
    </row>
    <row r="8" spans="1:9" x14ac:dyDescent="0.3">
      <c r="A8" s="2" t="s">
        <v>9</v>
      </c>
      <c r="B8" s="2" t="s">
        <v>27</v>
      </c>
      <c r="C8" s="2" t="s">
        <v>11</v>
      </c>
      <c r="D8" s="3">
        <v>583261.72</v>
      </c>
      <c r="E8" s="2" t="s">
        <v>12</v>
      </c>
      <c r="F8" s="2" t="s">
        <v>13</v>
      </c>
      <c r="G8" s="2" t="s">
        <v>14</v>
      </c>
      <c r="H8" s="2" t="s">
        <v>15</v>
      </c>
      <c r="I8" s="2" t="s">
        <v>28</v>
      </c>
    </row>
    <row r="9" spans="1:9" x14ac:dyDescent="0.3">
      <c r="A9" s="2" t="s">
        <v>9</v>
      </c>
      <c r="B9" s="2" t="s">
        <v>29</v>
      </c>
      <c r="C9" s="2" t="s">
        <v>11</v>
      </c>
      <c r="D9" s="3">
        <v>1221495.49</v>
      </c>
      <c r="E9" s="2" t="s">
        <v>12</v>
      </c>
      <c r="F9" s="2" t="s">
        <v>13</v>
      </c>
      <c r="G9" s="2" t="s">
        <v>14</v>
      </c>
      <c r="H9" s="2" t="s">
        <v>15</v>
      </c>
      <c r="I9" s="2" t="s">
        <v>30</v>
      </c>
    </row>
    <row r="10" spans="1:9" x14ac:dyDescent="0.3">
      <c r="A10" s="2" t="s">
        <v>31</v>
      </c>
      <c r="B10" s="2" t="s">
        <v>32</v>
      </c>
      <c r="C10" s="2" t="s">
        <v>11</v>
      </c>
      <c r="D10" s="3">
        <v>563733.24</v>
      </c>
      <c r="E10" s="2" t="s">
        <v>12</v>
      </c>
      <c r="F10" s="2" t="s">
        <v>13</v>
      </c>
      <c r="G10" s="2" t="s">
        <v>14</v>
      </c>
      <c r="H10" s="2" t="s">
        <v>15</v>
      </c>
      <c r="I10" s="2" t="s">
        <v>33</v>
      </c>
    </row>
    <row r="11" spans="1:9" x14ac:dyDescent="0.3">
      <c r="A11" s="2" t="s">
        <v>31</v>
      </c>
      <c r="B11" s="2" t="s">
        <v>34</v>
      </c>
      <c r="C11" s="2" t="s">
        <v>11</v>
      </c>
      <c r="D11" s="3">
        <v>284344.74</v>
      </c>
      <c r="E11" s="2" t="s">
        <v>12</v>
      </c>
      <c r="F11" s="2" t="s">
        <v>13</v>
      </c>
      <c r="G11" s="2" t="s">
        <v>14</v>
      </c>
      <c r="H11" s="2" t="s">
        <v>15</v>
      </c>
      <c r="I11" s="2" t="s">
        <v>35</v>
      </c>
    </row>
    <row r="12" spans="1:9" x14ac:dyDescent="0.3">
      <c r="A12" s="2" t="s">
        <v>31</v>
      </c>
      <c r="B12" s="2" t="s">
        <v>36</v>
      </c>
      <c r="C12" s="2" t="s">
        <v>11</v>
      </c>
      <c r="D12" s="3">
        <v>403716.05</v>
      </c>
      <c r="E12" s="2" t="s">
        <v>12</v>
      </c>
      <c r="F12" s="2" t="s">
        <v>13</v>
      </c>
      <c r="G12" s="2" t="s">
        <v>14</v>
      </c>
      <c r="H12" s="2" t="s">
        <v>15</v>
      </c>
      <c r="I12" s="2" t="s">
        <v>37</v>
      </c>
    </row>
    <row r="13" spans="1:9" x14ac:dyDescent="0.3">
      <c r="A13" s="2" t="s">
        <v>31</v>
      </c>
      <c r="B13" s="2" t="s">
        <v>38</v>
      </c>
      <c r="C13" s="2" t="s">
        <v>11</v>
      </c>
      <c r="D13" s="3">
        <v>217571.18</v>
      </c>
      <c r="E13" s="2" t="s">
        <v>12</v>
      </c>
      <c r="F13" s="2" t="s">
        <v>13</v>
      </c>
      <c r="G13" s="2" t="s">
        <v>14</v>
      </c>
      <c r="H13" s="2" t="s">
        <v>15</v>
      </c>
      <c r="I13" s="2" t="s">
        <v>39</v>
      </c>
    </row>
    <row r="14" spans="1:9" x14ac:dyDescent="0.3">
      <c r="A14" s="2" t="s">
        <v>31</v>
      </c>
      <c r="B14" s="2" t="s">
        <v>40</v>
      </c>
      <c r="C14" s="2" t="s">
        <v>11</v>
      </c>
      <c r="D14" s="3">
        <v>196260.96</v>
      </c>
      <c r="E14" s="2" t="s">
        <v>12</v>
      </c>
      <c r="F14" s="2" t="s">
        <v>13</v>
      </c>
      <c r="G14" s="2" t="s">
        <v>14</v>
      </c>
      <c r="H14" s="2" t="s">
        <v>15</v>
      </c>
      <c r="I14" s="2" t="s">
        <v>41</v>
      </c>
    </row>
    <row r="15" spans="1:9" x14ac:dyDescent="0.3">
      <c r="A15" s="2" t="s">
        <v>31</v>
      </c>
      <c r="B15" s="2" t="s">
        <v>42</v>
      </c>
      <c r="C15" s="2" t="s">
        <v>11</v>
      </c>
      <c r="D15" s="3">
        <v>25782.58</v>
      </c>
      <c r="E15" s="2" t="s">
        <v>12</v>
      </c>
      <c r="F15" s="2" t="s">
        <v>13</v>
      </c>
      <c r="G15" s="2" t="s">
        <v>14</v>
      </c>
      <c r="H15" s="2" t="s">
        <v>15</v>
      </c>
      <c r="I15" s="2" t="s">
        <v>43</v>
      </c>
    </row>
    <row r="16" spans="1:9" x14ac:dyDescent="0.3">
      <c r="A16" s="2" t="s">
        <v>44</v>
      </c>
      <c r="B16" s="2" t="s">
        <v>45</v>
      </c>
      <c r="C16" s="2" t="s">
        <v>46</v>
      </c>
      <c r="D16" s="3">
        <v>436694.64</v>
      </c>
      <c r="E16" s="2" t="s">
        <v>12</v>
      </c>
      <c r="F16" s="2" t="s">
        <v>47</v>
      </c>
      <c r="G16" s="2" t="s">
        <v>14</v>
      </c>
      <c r="H16" s="2" t="s">
        <v>15</v>
      </c>
      <c r="I16" s="2" t="s">
        <v>48</v>
      </c>
    </row>
    <row r="17" spans="1:9" x14ac:dyDescent="0.3">
      <c r="A17" s="2" t="s">
        <v>49</v>
      </c>
      <c r="B17" s="2" t="s">
        <v>50</v>
      </c>
      <c r="C17" s="2" t="s">
        <v>46</v>
      </c>
      <c r="D17" s="3">
        <v>656721.15</v>
      </c>
      <c r="E17" s="2" t="s">
        <v>12</v>
      </c>
      <c r="F17" s="2" t="s">
        <v>47</v>
      </c>
      <c r="G17" s="2" t="s">
        <v>14</v>
      </c>
      <c r="H17" s="2" t="s">
        <v>15</v>
      </c>
      <c r="I17" s="2" t="s">
        <v>51</v>
      </c>
    </row>
    <row r="18" spans="1:9" x14ac:dyDescent="0.3">
      <c r="A18" s="2" t="s">
        <v>52</v>
      </c>
      <c r="B18" s="2" t="s">
        <v>53</v>
      </c>
      <c r="C18" s="2" t="s">
        <v>11</v>
      </c>
      <c r="D18" s="3">
        <v>117224.65</v>
      </c>
      <c r="E18" s="2" t="s">
        <v>12</v>
      </c>
      <c r="F18" s="2" t="s">
        <v>13</v>
      </c>
      <c r="G18" s="2" t="s">
        <v>14</v>
      </c>
      <c r="H18" s="2" t="s">
        <v>15</v>
      </c>
      <c r="I18" s="2" t="s">
        <v>54</v>
      </c>
    </row>
    <row r="19" spans="1:9" x14ac:dyDescent="0.3">
      <c r="A19" s="2" t="s">
        <v>55</v>
      </c>
      <c r="B19" s="2" t="s">
        <v>56</v>
      </c>
      <c r="C19" s="2" t="s">
        <v>11</v>
      </c>
      <c r="D19" s="3">
        <v>219799.34</v>
      </c>
      <c r="E19" s="2" t="s">
        <v>12</v>
      </c>
      <c r="F19" s="2" t="s">
        <v>13</v>
      </c>
      <c r="G19" s="2" t="s">
        <v>14</v>
      </c>
      <c r="H19" s="2" t="s">
        <v>15</v>
      </c>
      <c r="I19" s="2" t="s">
        <v>57</v>
      </c>
    </row>
    <row r="20" spans="1:9" x14ac:dyDescent="0.3">
      <c r="A20" s="2" t="s">
        <v>58</v>
      </c>
      <c r="B20" s="2" t="s">
        <v>59</v>
      </c>
      <c r="C20" s="2" t="s">
        <v>11</v>
      </c>
      <c r="D20" s="3">
        <v>248741.89</v>
      </c>
      <c r="E20" s="2" t="s">
        <v>12</v>
      </c>
      <c r="F20" s="2" t="s">
        <v>13</v>
      </c>
      <c r="G20" s="2" t="s">
        <v>14</v>
      </c>
      <c r="H20" s="2" t="s">
        <v>15</v>
      </c>
      <c r="I20" s="2" t="s">
        <v>60</v>
      </c>
    </row>
    <row r="21" spans="1:9" x14ac:dyDescent="0.3">
      <c r="A21" s="2" t="s">
        <v>61</v>
      </c>
      <c r="B21" s="2" t="s">
        <v>62</v>
      </c>
      <c r="C21" s="2" t="s">
        <v>11</v>
      </c>
      <c r="D21" s="3">
        <v>481763.12</v>
      </c>
      <c r="E21" s="2" t="s">
        <v>12</v>
      </c>
      <c r="F21" s="2" t="s">
        <v>13</v>
      </c>
      <c r="G21" s="2" t="s">
        <v>14</v>
      </c>
      <c r="H21" s="2" t="s">
        <v>15</v>
      </c>
      <c r="I21" s="2" t="s">
        <v>63</v>
      </c>
    </row>
    <row r="22" spans="1:9" x14ac:dyDescent="0.3">
      <c r="A22" s="2" t="s">
        <v>64</v>
      </c>
      <c r="B22" s="2" t="s">
        <v>65</v>
      </c>
      <c r="C22" s="2" t="s">
        <v>11</v>
      </c>
      <c r="D22" s="3">
        <v>104756.5</v>
      </c>
      <c r="E22" s="2" t="s">
        <v>12</v>
      </c>
      <c r="F22" s="2" t="s">
        <v>13</v>
      </c>
      <c r="G22" s="2" t="s">
        <v>14</v>
      </c>
      <c r="H22" s="2" t="s">
        <v>15</v>
      </c>
      <c r="I22" s="2" t="s">
        <v>66</v>
      </c>
    </row>
    <row r="23" spans="1:9" x14ac:dyDescent="0.3">
      <c r="A23" s="2" t="s">
        <v>67</v>
      </c>
      <c r="B23" s="2" t="s">
        <v>68</v>
      </c>
      <c r="C23" s="2" t="s">
        <v>11</v>
      </c>
      <c r="D23" s="3">
        <v>306825.48</v>
      </c>
      <c r="E23" s="2" t="s">
        <v>12</v>
      </c>
      <c r="F23" s="2" t="s">
        <v>13</v>
      </c>
      <c r="G23" s="2" t="s">
        <v>14</v>
      </c>
      <c r="H23" s="2" t="s">
        <v>15</v>
      </c>
      <c r="I23" s="2" t="s">
        <v>69</v>
      </c>
    </row>
    <row r="24" spans="1:9" x14ac:dyDescent="0.3">
      <c r="A24" s="2" t="s">
        <v>70</v>
      </c>
      <c r="B24" s="2" t="s">
        <v>71</v>
      </c>
      <c r="C24" s="2" t="s">
        <v>11</v>
      </c>
      <c r="D24" s="3">
        <v>1412046.05</v>
      </c>
      <c r="E24" s="2" t="s">
        <v>12</v>
      </c>
      <c r="F24" s="2" t="s">
        <v>13</v>
      </c>
      <c r="G24" s="2" t="s">
        <v>14</v>
      </c>
      <c r="H24" s="2" t="s">
        <v>15</v>
      </c>
      <c r="I24" s="2" t="s">
        <v>72</v>
      </c>
    </row>
    <row r="25" spans="1:9" x14ac:dyDescent="0.3">
      <c r="A25" s="2" t="s">
        <v>73</v>
      </c>
      <c r="B25" s="2" t="s">
        <v>74</v>
      </c>
      <c r="C25" s="2" t="s">
        <v>75</v>
      </c>
      <c r="D25" s="3">
        <v>644396.18000000005</v>
      </c>
      <c r="E25" s="2" t="s">
        <v>12</v>
      </c>
      <c r="F25" s="2" t="s">
        <v>76</v>
      </c>
      <c r="G25" s="2" t="s">
        <v>14</v>
      </c>
      <c r="H25" s="2" t="s">
        <v>15</v>
      </c>
      <c r="I25" s="2" t="s">
        <v>77</v>
      </c>
    </row>
    <row r="26" spans="1:9" x14ac:dyDescent="0.3">
      <c r="A26" s="2" t="s">
        <v>78</v>
      </c>
      <c r="B26" s="2" t="s">
        <v>79</v>
      </c>
      <c r="C26" s="2" t="s">
        <v>75</v>
      </c>
      <c r="D26" s="3">
        <v>543409.32999999996</v>
      </c>
      <c r="E26" s="2" t="s">
        <v>12</v>
      </c>
      <c r="F26" s="2" t="s">
        <v>76</v>
      </c>
      <c r="G26" s="2" t="s">
        <v>14</v>
      </c>
      <c r="H26" s="2" t="s">
        <v>15</v>
      </c>
      <c r="I26" s="2" t="s">
        <v>80</v>
      </c>
    </row>
    <row r="27" spans="1:9" x14ac:dyDescent="0.3">
      <c r="A27" s="2" t="s">
        <v>81</v>
      </c>
      <c r="B27" s="2" t="s">
        <v>82</v>
      </c>
      <c r="C27" s="2" t="s">
        <v>83</v>
      </c>
      <c r="D27" s="3">
        <v>2954265.23</v>
      </c>
      <c r="E27" s="2" t="s">
        <v>12</v>
      </c>
      <c r="F27" s="2" t="s">
        <v>84</v>
      </c>
      <c r="G27" s="2" t="s">
        <v>14</v>
      </c>
      <c r="H27" s="2" t="s">
        <v>15</v>
      </c>
      <c r="I27" s="2" t="s">
        <v>85</v>
      </c>
    </row>
    <row r="28" spans="1:9" x14ac:dyDescent="0.3">
      <c r="A28" s="2" t="s">
        <v>86</v>
      </c>
      <c r="B28" s="2" t="s">
        <v>87</v>
      </c>
      <c r="C28" s="2" t="s">
        <v>11</v>
      </c>
      <c r="D28" s="3">
        <v>437572.54</v>
      </c>
      <c r="E28" s="2" t="s">
        <v>12</v>
      </c>
      <c r="F28" s="2" t="s">
        <v>13</v>
      </c>
      <c r="G28" s="2" t="s">
        <v>14</v>
      </c>
      <c r="H28" s="2" t="s">
        <v>15</v>
      </c>
      <c r="I28" s="2" t="s">
        <v>88</v>
      </c>
    </row>
    <row r="29" spans="1:9" x14ac:dyDescent="0.3">
      <c r="A29" s="2" t="s">
        <v>89</v>
      </c>
      <c r="B29" s="2" t="s">
        <v>90</v>
      </c>
      <c r="C29" s="2" t="s">
        <v>11</v>
      </c>
      <c r="D29" s="3">
        <v>441565.85</v>
      </c>
      <c r="E29" s="2" t="s">
        <v>12</v>
      </c>
      <c r="F29" s="2" t="s">
        <v>13</v>
      </c>
      <c r="G29" s="2" t="s">
        <v>14</v>
      </c>
      <c r="H29" s="2" t="s">
        <v>15</v>
      </c>
      <c r="I29" s="2" t="s">
        <v>91</v>
      </c>
    </row>
    <row r="30" spans="1:9" x14ac:dyDescent="0.3">
      <c r="A30" s="2" t="s">
        <v>92</v>
      </c>
      <c r="B30" s="2" t="s">
        <v>93</v>
      </c>
      <c r="C30" s="2" t="s">
        <v>11</v>
      </c>
      <c r="D30" s="3">
        <v>160237.15</v>
      </c>
      <c r="E30" s="2" t="s">
        <v>12</v>
      </c>
      <c r="F30" s="2" t="s">
        <v>13</v>
      </c>
      <c r="G30" s="2" t="s">
        <v>14</v>
      </c>
      <c r="H30" s="2" t="s">
        <v>15</v>
      </c>
      <c r="I30" s="2" t="s">
        <v>94</v>
      </c>
    </row>
    <row r="31" spans="1:9" x14ac:dyDescent="0.3">
      <c r="A31" s="2" t="s">
        <v>95</v>
      </c>
      <c r="B31" s="2" t="s">
        <v>96</v>
      </c>
      <c r="C31" s="2" t="s">
        <v>11</v>
      </c>
      <c r="D31" s="3">
        <v>1579623.65</v>
      </c>
      <c r="E31" s="2" t="s">
        <v>12</v>
      </c>
      <c r="F31" s="2" t="s">
        <v>13</v>
      </c>
      <c r="G31" s="2" t="s">
        <v>14</v>
      </c>
      <c r="H31" s="2" t="s">
        <v>15</v>
      </c>
      <c r="I31" s="2" t="s">
        <v>97</v>
      </c>
    </row>
    <row r="32" spans="1:9" x14ac:dyDescent="0.3">
      <c r="A32" s="2" t="s">
        <v>98</v>
      </c>
      <c r="B32" s="2" t="s">
        <v>99</v>
      </c>
      <c r="C32" s="2" t="s">
        <v>11</v>
      </c>
      <c r="D32" s="3">
        <v>1253954.8799999999</v>
      </c>
      <c r="E32" s="2" t="s">
        <v>12</v>
      </c>
      <c r="F32" s="2" t="s">
        <v>13</v>
      </c>
      <c r="G32" s="2" t="s">
        <v>14</v>
      </c>
      <c r="H32" s="2" t="s">
        <v>15</v>
      </c>
      <c r="I32" s="2" t="s">
        <v>100</v>
      </c>
    </row>
    <row r="33" spans="1:9" x14ac:dyDescent="0.3">
      <c r="A33" s="2" t="s">
        <v>101</v>
      </c>
      <c r="B33" s="2" t="s">
        <v>102</v>
      </c>
      <c r="C33" s="2" t="s">
        <v>11</v>
      </c>
      <c r="D33" s="3">
        <v>1128820.04</v>
      </c>
      <c r="E33" s="2" t="s">
        <v>12</v>
      </c>
      <c r="F33" s="2" t="s">
        <v>13</v>
      </c>
      <c r="G33" s="2" t="s">
        <v>14</v>
      </c>
      <c r="H33" s="2" t="s">
        <v>15</v>
      </c>
      <c r="I33" s="2" t="s">
        <v>103</v>
      </c>
    </row>
    <row r="34" spans="1:9" x14ac:dyDescent="0.3">
      <c r="A34" s="2" t="s">
        <v>104</v>
      </c>
      <c r="B34" s="2" t="s">
        <v>105</v>
      </c>
      <c r="C34" s="2" t="s">
        <v>11</v>
      </c>
      <c r="D34" s="3">
        <v>1491610.94</v>
      </c>
      <c r="E34" s="2" t="s">
        <v>12</v>
      </c>
      <c r="F34" s="2" t="s">
        <v>13</v>
      </c>
      <c r="G34" s="2" t="s">
        <v>14</v>
      </c>
      <c r="H34" s="2" t="s">
        <v>15</v>
      </c>
      <c r="I34" s="2" t="s">
        <v>106</v>
      </c>
    </row>
    <row r="35" spans="1:9" x14ac:dyDescent="0.3">
      <c r="A35" s="2" t="s">
        <v>107</v>
      </c>
      <c r="B35" s="2" t="s">
        <v>108</v>
      </c>
      <c r="C35" s="2" t="s">
        <v>11</v>
      </c>
      <c r="D35" s="3">
        <v>260629.33</v>
      </c>
      <c r="E35" s="2" t="s">
        <v>12</v>
      </c>
      <c r="F35" s="2" t="s">
        <v>13</v>
      </c>
      <c r="G35" s="2" t="s">
        <v>14</v>
      </c>
      <c r="H35" s="2" t="s">
        <v>15</v>
      </c>
      <c r="I35" s="2" t="s">
        <v>109</v>
      </c>
    </row>
    <row r="36" spans="1:9" x14ac:dyDescent="0.3">
      <c r="A36" s="2" t="s">
        <v>110</v>
      </c>
      <c r="B36" s="2" t="s">
        <v>111</v>
      </c>
      <c r="C36" s="2" t="s">
        <v>11</v>
      </c>
      <c r="D36" s="3">
        <v>298598.24</v>
      </c>
      <c r="E36" s="2" t="s">
        <v>12</v>
      </c>
      <c r="F36" s="2" t="s">
        <v>13</v>
      </c>
      <c r="G36" s="2" t="s">
        <v>14</v>
      </c>
      <c r="H36" s="2" t="s">
        <v>15</v>
      </c>
      <c r="I36" s="2" t="s">
        <v>112</v>
      </c>
    </row>
    <row r="37" spans="1:9" x14ac:dyDescent="0.3">
      <c r="A37" s="2" t="s">
        <v>113</v>
      </c>
      <c r="B37" s="2" t="s">
        <v>114</v>
      </c>
      <c r="C37" s="2" t="s">
        <v>11</v>
      </c>
      <c r="D37" s="3">
        <v>154994.69</v>
      </c>
      <c r="E37" s="2" t="s">
        <v>12</v>
      </c>
      <c r="F37" s="2" t="s">
        <v>13</v>
      </c>
      <c r="G37" s="2" t="s">
        <v>14</v>
      </c>
      <c r="H37" s="2" t="s">
        <v>15</v>
      </c>
      <c r="I37" s="2" t="s">
        <v>115</v>
      </c>
    </row>
    <row r="38" spans="1:9" x14ac:dyDescent="0.3">
      <c r="A38" s="2" t="s">
        <v>116</v>
      </c>
      <c r="B38" s="2" t="s">
        <v>117</v>
      </c>
      <c r="C38" s="2" t="s">
        <v>11</v>
      </c>
      <c r="D38" s="3">
        <v>1029694.64</v>
      </c>
      <c r="E38" s="2" t="s">
        <v>12</v>
      </c>
      <c r="F38" s="2" t="s">
        <v>13</v>
      </c>
      <c r="G38" s="2" t="s">
        <v>14</v>
      </c>
      <c r="H38" s="2" t="s">
        <v>15</v>
      </c>
      <c r="I38" s="2" t="s">
        <v>118</v>
      </c>
    </row>
    <row r="39" spans="1:9" x14ac:dyDescent="0.3">
      <c r="A39" s="2" t="s">
        <v>119</v>
      </c>
      <c r="B39" s="2" t="s">
        <v>120</v>
      </c>
      <c r="C39" s="2" t="s">
        <v>11</v>
      </c>
      <c r="D39" s="3">
        <v>19283.939999999999</v>
      </c>
      <c r="E39" s="2" t="s">
        <v>12</v>
      </c>
      <c r="F39" s="2" t="s">
        <v>13</v>
      </c>
      <c r="G39" s="2" t="s">
        <v>14</v>
      </c>
      <c r="H39" s="2" t="s">
        <v>15</v>
      </c>
      <c r="I39" s="2" t="s">
        <v>121</v>
      </c>
    </row>
    <row r="40" spans="1:9" x14ac:dyDescent="0.3">
      <c r="A40" s="2" t="s">
        <v>122</v>
      </c>
      <c r="B40" s="2" t="s">
        <v>123</v>
      </c>
      <c r="C40" s="2" t="s">
        <v>11</v>
      </c>
      <c r="D40" s="3">
        <v>1434302.93</v>
      </c>
      <c r="E40" s="2" t="s">
        <v>12</v>
      </c>
      <c r="F40" s="2" t="s">
        <v>13</v>
      </c>
      <c r="G40" s="2" t="s">
        <v>14</v>
      </c>
      <c r="H40" s="2" t="s">
        <v>15</v>
      </c>
      <c r="I40" s="2" t="s">
        <v>124</v>
      </c>
    </row>
    <row r="41" spans="1:9" x14ac:dyDescent="0.3">
      <c r="A41" s="2" t="s">
        <v>125</v>
      </c>
      <c r="B41" s="2" t="s">
        <v>126</v>
      </c>
      <c r="C41" s="2" t="s">
        <v>75</v>
      </c>
      <c r="D41" s="3">
        <v>103078.37</v>
      </c>
      <c r="E41" s="2" t="s">
        <v>12</v>
      </c>
      <c r="F41" s="2" t="s">
        <v>76</v>
      </c>
      <c r="G41" s="2" t="s">
        <v>14</v>
      </c>
      <c r="H41" s="2" t="s">
        <v>15</v>
      </c>
      <c r="I41" s="2" t="s">
        <v>127</v>
      </c>
    </row>
    <row r="42" spans="1:9" x14ac:dyDescent="0.3">
      <c r="A42" s="2" t="s">
        <v>128</v>
      </c>
      <c r="B42" s="2" t="s">
        <v>129</v>
      </c>
      <c r="C42" s="2" t="s">
        <v>75</v>
      </c>
      <c r="D42" s="3">
        <v>86298.68</v>
      </c>
      <c r="E42" s="2" t="s">
        <v>12</v>
      </c>
      <c r="F42" s="2" t="s">
        <v>76</v>
      </c>
      <c r="G42" s="2" t="s">
        <v>14</v>
      </c>
      <c r="H42" s="2" t="s">
        <v>15</v>
      </c>
      <c r="I42" s="2" t="s">
        <v>130</v>
      </c>
    </row>
    <row r="43" spans="1:9" x14ac:dyDescent="0.3">
      <c r="A43" s="2" t="s">
        <v>131</v>
      </c>
      <c r="B43" s="2" t="s">
        <v>132</v>
      </c>
      <c r="C43" s="2" t="s">
        <v>83</v>
      </c>
      <c r="D43" s="3">
        <v>1082138.01</v>
      </c>
      <c r="E43" s="2" t="s">
        <v>12</v>
      </c>
      <c r="F43" s="2" t="s">
        <v>84</v>
      </c>
      <c r="G43" s="2" t="s">
        <v>14</v>
      </c>
      <c r="H43" s="2" t="s">
        <v>15</v>
      </c>
      <c r="I43" s="2" t="s">
        <v>133</v>
      </c>
    </row>
    <row r="44" spans="1:9" x14ac:dyDescent="0.3">
      <c r="A44" s="2" t="s">
        <v>134</v>
      </c>
      <c r="B44" s="2" t="s">
        <v>135</v>
      </c>
      <c r="C44" s="2" t="s">
        <v>46</v>
      </c>
      <c r="D44" s="3">
        <v>392617.3</v>
      </c>
      <c r="E44" s="2" t="s">
        <v>12</v>
      </c>
      <c r="F44" s="2" t="s">
        <v>47</v>
      </c>
      <c r="G44" s="2" t="s">
        <v>14</v>
      </c>
      <c r="H44" s="2" t="s">
        <v>15</v>
      </c>
      <c r="I44" s="2" t="s">
        <v>136</v>
      </c>
    </row>
    <row r="45" spans="1:9" x14ac:dyDescent="0.3">
      <c r="A45" s="2" t="s">
        <v>137</v>
      </c>
      <c r="B45" s="2" t="s">
        <v>138</v>
      </c>
      <c r="C45" s="2" t="s">
        <v>46</v>
      </c>
      <c r="D45" s="3">
        <v>1297888.4099999999</v>
      </c>
      <c r="E45" s="2" t="s">
        <v>12</v>
      </c>
      <c r="F45" s="2" t="s">
        <v>47</v>
      </c>
      <c r="G45" s="2" t="s">
        <v>14</v>
      </c>
      <c r="H45" s="2" t="s">
        <v>15</v>
      </c>
      <c r="I45" s="2" t="s">
        <v>139</v>
      </c>
    </row>
    <row r="46" spans="1:9" x14ac:dyDescent="0.3">
      <c r="A46" s="2" t="s">
        <v>140</v>
      </c>
      <c r="B46" s="2" t="s">
        <v>141</v>
      </c>
      <c r="C46" s="2" t="s">
        <v>142</v>
      </c>
      <c r="D46" s="3">
        <v>434676.07</v>
      </c>
      <c r="E46" s="2" t="s">
        <v>12</v>
      </c>
      <c r="F46" s="2" t="s">
        <v>143</v>
      </c>
      <c r="G46" s="2" t="s">
        <v>14</v>
      </c>
      <c r="H46" s="2" t="s">
        <v>15</v>
      </c>
      <c r="I46" s="2" t="s">
        <v>144</v>
      </c>
    </row>
    <row r="47" spans="1:9" x14ac:dyDescent="0.3">
      <c r="A47" s="2" t="s">
        <v>145</v>
      </c>
      <c r="B47" s="2" t="s">
        <v>146</v>
      </c>
      <c r="C47" s="2" t="s">
        <v>83</v>
      </c>
      <c r="D47" s="3">
        <v>593124.06000000006</v>
      </c>
      <c r="E47" s="2" t="s">
        <v>12</v>
      </c>
      <c r="F47" s="2" t="s">
        <v>84</v>
      </c>
      <c r="G47" s="2" t="s">
        <v>14</v>
      </c>
      <c r="H47" s="2" t="s">
        <v>15</v>
      </c>
      <c r="I47" s="2" t="s">
        <v>147</v>
      </c>
    </row>
    <row r="48" spans="1:9" x14ac:dyDescent="0.3">
      <c r="D48" s="5">
        <f>SUM(D2:D47)</f>
        <v>28110027.370000001</v>
      </c>
    </row>
    <row r="50" spans="4:6" x14ac:dyDescent="0.3">
      <c r="D50" s="4">
        <f>SUMIF($F$2:$F$47,F50,$D$2:$D$47)</f>
        <v>18884719.940000001</v>
      </c>
      <c r="F50" t="s">
        <v>13</v>
      </c>
    </row>
    <row r="51" spans="4:6" x14ac:dyDescent="0.3">
      <c r="D51" s="4">
        <f t="shared" ref="D51:D54" si="0">SUMIF($F$2:$F$47,F51,$D$2:$D$47)</f>
        <v>434676.07</v>
      </c>
      <c r="F51" t="s">
        <v>143</v>
      </c>
    </row>
    <row r="52" spans="4:6" x14ac:dyDescent="0.3">
      <c r="D52" s="4">
        <f t="shared" si="0"/>
        <v>4629527.3000000007</v>
      </c>
      <c r="F52" t="s">
        <v>84</v>
      </c>
    </row>
    <row r="53" spans="4:6" x14ac:dyDescent="0.3">
      <c r="D53" s="4">
        <f t="shared" si="0"/>
        <v>2783921.5</v>
      </c>
      <c r="F53" t="s">
        <v>47</v>
      </c>
    </row>
    <row r="54" spans="4:6" x14ac:dyDescent="0.3">
      <c r="D54" s="4">
        <f t="shared" si="0"/>
        <v>1377182.5599999998</v>
      </c>
      <c r="F54" t="s">
        <v>76</v>
      </c>
    </row>
    <row r="55" spans="4:6" x14ac:dyDescent="0.3">
      <c r="D55" s="5">
        <f>SUM(D50:D54)</f>
        <v>28110027.370000001</v>
      </c>
    </row>
    <row r="56" spans="4:6" x14ac:dyDescent="0.3">
      <c r="D56" s="6">
        <f>D55-D48</f>
        <v>0</v>
      </c>
    </row>
  </sheetData>
  <autoFilter ref="A1:I48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workbookViewId="0">
      <selection activeCell="G20" sqref="G20"/>
    </sheetView>
  </sheetViews>
  <sheetFormatPr defaultRowHeight="14.4" x14ac:dyDescent="0.3"/>
  <cols>
    <col min="1" max="1" width="14" bestFit="1" customWidth="1"/>
    <col min="2" max="2" width="8.77734375" bestFit="1" customWidth="1"/>
    <col min="3" max="3" width="12" bestFit="1" customWidth="1"/>
    <col min="4" max="4" width="11.33203125" bestFit="1" customWidth="1"/>
    <col min="5" max="5" width="7.6640625" bestFit="1" customWidth="1"/>
    <col min="6" max="6" width="17.33203125" bestFit="1" customWidth="1"/>
    <col min="7" max="7" width="12.33203125" bestFit="1" customWidth="1"/>
    <col min="8" max="8" width="8.109375" bestFit="1" customWidth="1"/>
    <col min="9" max="9" width="9.33203125" bestFit="1" customWidth="1"/>
    <col min="10" max="10" width="32" bestFit="1" customWidth="1"/>
    <col min="11" max="11" width="19.88671875" bestFit="1" customWidth="1"/>
    <col min="12" max="12" width="16.6640625" bestFit="1" customWidth="1"/>
    <col min="13" max="13" width="14.5546875" bestFit="1" customWidth="1"/>
    <col min="14" max="14" width="9.21875" bestFit="1" customWidth="1"/>
  </cols>
  <sheetData>
    <row r="1" spans="1:14" x14ac:dyDescent="0.3">
      <c r="A1" s="7" t="s">
        <v>0</v>
      </c>
      <c r="B1" s="7" t="s">
        <v>1</v>
      </c>
      <c r="C1" s="7" t="s">
        <v>148</v>
      </c>
      <c r="D1" s="7" t="s">
        <v>3</v>
      </c>
      <c r="E1" s="7" t="s">
        <v>4</v>
      </c>
      <c r="F1" s="7" t="s">
        <v>149</v>
      </c>
      <c r="G1" s="7" t="s">
        <v>2</v>
      </c>
      <c r="H1" s="7" t="s">
        <v>150</v>
      </c>
      <c r="I1" s="7" t="s">
        <v>151</v>
      </c>
      <c r="J1" s="7" t="s">
        <v>152</v>
      </c>
      <c r="K1" s="7" t="s">
        <v>153</v>
      </c>
      <c r="L1" s="7" t="s">
        <v>6</v>
      </c>
      <c r="M1" s="7" t="s">
        <v>7</v>
      </c>
      <c r="N1" s="7" t="s">
        <v>8</v>
      </c>
    </row>
    <row r="2" spans="1:14" x14ac:dyDescent="0.3">
      <c r="A2" s="8" t="s">
        <v>154</v>
      </c>
      <c r="B2" s="8" t="s">
        <v>155</v>
      </c>
      <c r="C2" s="8" t="s">
        <v>156</v>
      </c>
      <c r="D2" s="9">
        <v>550367.92000000004</v>
      </c>
      <c r="E2" s="8" t="s">
        <v>12</v>
      </c>
      <c r="F2" s="8" t="s">
        <v>157</v>
      </c>
      <c r="G2" s="8" t="s">
        <v>158</v>
      </c>
      <c r="H2" s="8" t="s">
        <v>159</v>
      </c>
      <c r="I2" s="8" t="s">
        <v>160</v>
      </c>
      <c r="J2" s="8" t="s">
        <v>161</v>
      </c>
      <c r="K2" s="8"/>
      <c r="L2" s="8" t="s">
        <v>14</v>
      </c>
      <c r="M2" s="8" t="s">
        <v>162</v>
      </c>
      <c r="N2" s="10">
        <v>19.655999999999999</v>
      </c>
    </row>
    <row r="3" spans="1:14" x14ac:dyDescent="0.3">
      <c r="A3" s="8" t="s">
        <v>163</v>
      </c>
      <c r="B3" s="8" t="s">
        <v>164</v>
      </c>
      <c r="C3" s="8" t="s">
        <v>156</v>
      </c>
      <c r="D3" s="9">
        <v>537599.93000000005</v>
      </c>
      <c r="E3" s="8" t="s">
        <v>12</v>
      </c>
      <c r="F3" s="8" t="s">
        <v>157</v>
      </c>
      <c r="G3" s="8" t="s">
        <v>158</v>
      </c>
      <c r="H3" s="8" t="s">
        <v>165</v>
      </c>
      <c r="I3" s="8" t="s">
        <v>166</v>
      </c>
      <c r="J3" s="8" t="s">
        <v>161</v>
      </c>
      <c r="K3" s="8"/>
      <c r="L3" s="8" t="s">
        <v>14</v>
      </c>
      <c r="M3" s="8" t="s">
        <v>162</v>
      </c>
      <c r="N3" s="10">
        <v>19.2</v>
      </c>
    </row>
    <row r="4" spans="1:14" x14ac:dyDescent="0.3">
      <c r="A4" s="8" t="s">
        <v>167</v>
      </c>
      <c r="B4" s="8" t="s">
        <v>168</v>
      </c>
      <c r="C4" s="8" t="s">
        <v>156</v>
      </c>
      <c r="D4" s="9">
        <v>465891.94</v>
      </c>
      <c r="E4" s="8" t="s">
        <v>12</v>
      </c>
      <c r="F4" s="8" t="s">
        <v>157</v>
      </c>
      <c r="G4" s="8" t="s">
        <v>158</v>
      </c>
      <c r="H4" s="8" t="s">
        <v>169</v>
      </c>
      <c r="I4" s="8" t="s">
        <v>170</v>
      </c>
      <c r="J4" s="8" t="s">
        <v>161</v>
      </c>
      <c r="K4" s="8"/>
      <c r="L4" s="8" t="s">
        <v>14</v>
      </c>
      <c r="M4" s="8" t="s">
        <v>15</v>
      </c>
      <c r="N4" s="10">
        <v>16.638999999999999</v>
      </c>
    </row>
    <row r="5" spans="1:14" x14ac:dyDescent="0.3">
      <c r="A5" s="8" t="s">
        <v>171</v>
      </c>
      <c r="B5" s="8" t="s">
        <v>172</v>
      </c>
      <c r="C5" s="8" t="s">
        <v>156</v>
      </c>
      <c r="D5" s="9">
        <v>465919.93</v>
      </c>
      <c r="E5" s="8" t="s">
        <v>12</v>
      </c>
      <c r="F5" s="8" t="s">
        <v>157</v>
      </c>
      <c r="G5" s="8" t="s">
        <v>158</v>
      </c>
      <c r="H5" s="8" t="s">
        <v>173</v>
      </c>
      <c r="I5" s="8" t="s">
        <v>174</v>
      </c>
      <c r="J5" s="8" t="s">
        <v>161</v>
      </c>
      <c r="K5" s="8"/>
      <c r="L5" s="8" t="s">
        <v>14</v>
      </c>
      <c r="M5" s="8" t="s">
        <v>162</v>
      </c>
      <c r="N5" s="10">
        <v>16.64</v>
      </c>
    </row>
    <row r="6" spans="1:14" x14ac:dyDescent="0.3">
      <c r="A6" s="8" t="s">
        <v>175</v>
      </c>
      <c r="B6" s="8" t="s">
        <v>176</v>
      </c>
      <c r="C6" s="8" t="s">
        <v>156</v>
      </c>
      <c r="D6" s="9">
        <v>344203.96</v>
      </c>
      <c r="E6" s="8" t="s">
        <v>12</v>
      </c>
      <c r="F6" s="8" t="s">
        <v>157</v>
      </c>
      <c r="G6" s="8" t="s">
        <v>158</v>
      </c>
      <c r="H6" s="8" t="s">
        <v>177</v>
      </c>
      <c r="I6" s="8" t="s">
        <v>178</v>
      </c>
      <c r="J6" s="8" t="s">
        <v>161</v>
      </c>
      <c r="K6" s="8"/>
      <c r="L6" s="8" t="s">
        <v>14</v>
      </c>
      <c r="M6" s="8" t="s">
        <v>162</v>
      </c>
      <c r="N6" s="10">
        <v>12.292999999999999</v>
      </c>
    </row>
    <row r="7" spans="1:14" x14ac:dyDescent="0.3">
      <c r="D7" s="4">
        <f>SUM(D2:D6)</f>
        <v>2363983.6800000002</v>
      </c>
      <c r="N7" s="11">
        <f>SUM(N2:N6)</f>
        <v>84.427999999999997</v>
      </c>
    </row>
    <row r="9" spans="1:14" x14ac:dyDescent="0.3">
      <c r="A9" s="7" t="s">
        <v>179</v>
      </c>
      <c r="B9" s="7" t="s">
        <v>0</v>
      </c>
      <c r="C9" s="7" t="s">
        <v>1</v>
      </c>
      <c r="D9" s="7" t="s">
        <v>148</v>
      </c>
      <c r="E9" s="7" t="s">
        <v>3</v>
      </c>
      <c r="F9" s="7" t="s">
        <v>4</v>
      </c>
      <c r="G9" s="7" t="s">
        <v>149</v>
      </c>
      <c r="H9" s="7" t="s">
        <v>2</v>
      </c>
      <c r="I9" s="7" t="s">
        <v>150</v>
      </c>
      <c r="J9" s="7" t="s">
        <v>151</v>
      </c>
      <c r="K9" s="7" t="s">
        <v>152</v>
      </c>
      <c r="L9" s="7" t="s">
        <v>153</v>
      </c>
      <c r="M9" s="7" t="s">
        <v>6</v>
      </c>
      <c r="N9" s="7" t="s">
        <v>7</v>
      </c>
    </row>
    <row r="10" spans="1:14" x14ac:dyDescent="0.3">
      <c r="A10" s="12" t="s">
        <v>180</v>
      </c>
      <c r="B10" s="8" t="s">
        <v>181</v>
      </c>
      <c r="C10" s="8" t="s">
        <v>156</v>
      </c>
      <c r="D10" s="9">
        <v>11475</v>
      </c>
      <c r="E10" s="8" t="s">
        <v>12</v>
      </c>
      <c r="F10" s="8" t="s">
        <v>182</v>
      </c>
      <c r="G10" s="8" t="s">
        <v>183</v>
      </c>
      <c r="H10" s="8" t="s">
        <v>173</v>
      </c>
      <c r="I10" s="8" t="s">
        <v>184</v>
      </c>
      <c r="J10" s="8" t="s">
        <v>185</v>
      </c>
      <c r="K10" s="8" t="s">
        <v>186</v>
      </c>
      <c r="L10" s="8" t="s">
        <v>14</v>
      </c>
      <c r="M10" s="8" t="s">
        <v>162</v>
      </c>
      <c r="N10" s="10">
        <v>0.51</v>
      </c>
    </row>
    <row r="11" spans="1:14" x14ac:dyDescent="0.3">
      <c r="A11" s="12" t="s">
        <v>187</v>
      </c>
      <c r="B11" s="8" t="s">
        <v>188</v>
      </c>
      <c r="C11" s="8" t="s">
        <v>156</v>
      </c>
      <c r="D11" s="9">
        <v>117204.31</v>
      </c>
      <c r="E11" s="8" t="s">
        <v>12</v>
      </c>
      <c r="F11" s="8" t="s">
        <v>182</v>
      </c>
      <c r="G11" s="8" t="s">
        <v>183</v>
      </c>
      <c r="H11" s="8" t="s">
        <v>173</v>
      </c>
      <c r="I11" s="8" t="s">
        <v>189</v>
      </c>
      <c r="J11" s="8" t="s">
        <v>185</v>
      </c>
      <c r="K11" s="8" t="s">
        <v>186</v>
      </c>
      <c r="L11" s="8" t="s">
        <v>14</v>
      </c>
      <c r="M11" s="8" t="s">
        <v>162</v>
      </c>
      <c r="N11" s="10">
        <v>1.5049999999999999</v>
      </c>
    </row>
    <row r="12" spans="1:14" x14ac:dyDescent="0.3">
      <c r="D12" s="4">
        <f>SUM(D10:D11)</f>
        <v>128679.31</v>
      </c>
      <c r="N12" s="11">
        <f>SUM(N10:N11)</f>
        <v>2.0149999999999997</v>
      </c>
    </row>
    <row r="14" spans="1:14" x14ac:dyDescent="0.3">
      <c r="A14" s="7" t="s">
        <v>0</v>
      </c>
      <c r="B14" s="7" t="s">
        <v>1</v>
      </c>
      <c r="C14" s="7" t="s">
        <v>148</v>
      </c>
      <c r="D14" s="7" t="s">
        <v>3</v>
      </c>
      <c r="E14" s="7" t="s">
        <v>4</v>
      </c>
      <c r="F14" s="7" t="s">
        <v>149</v>
      </c>
      <c r="G14" s="7" t="s">
        <v>2</v>
      </c>
      <c r="H14" s="7" t="s">
        <v>150</v>
      </c>
      <c r="I14" s="7" t="s">
        <v>151</v>
      </c>
      <c r="J14" s="7" t="s">
        <v>152</v>
      </c>
      <c r="K14" s="7" t="s">
        <v>153</v>
      </c>
      <c r="L14" s="7" t="s">
        <v>6</v>
      </c>
      <c r="M14" s="7" t="s">
        <v>7</v>
      </c>
      <c r="N14" s="7" t="s">
        <v>8</v>
      </c>
    </row>
    <row r="15" spans="1:14" x14ac:dyDescent="0.3">
      <c r="A15" s="8" t="s">
        <v>190</v>
      </c>
      <c r="B15" s="8" t="s">
        <v>191</v>
      </c>
      <c r="C15" s="8" t="s">
        <v>156</v>
      </c>
      <c r="D15" s="9">
        <v>363090</v>
      </c>
      <c r="E15" s="8" t="s">
        <v>12</v>
      </c>
      <c r="F15" s="8" t="s">
        <v>192</v>
      </c>
      <c r="G15" s="8" t="s">
        <v>183</v>
      </c>
      <c r="H15" s="8" t="s">
        <v>169</v>
      </c>
      <c r="I15" s="8" t="s">
        <v>193</v>
      </c>
      <c r="J15" s="8" t="s">
        <v>194</v>
      </c>
      <c r="K15" s="8"/>
      <c r="L15" s="8" t="s">
        <v>14</v>
      </c>
      <c r="M15" s="8" t="s">
        <v>162</v>
      </c>
      <c r="N15" s="10">
        <v>19.11</v>
      </c>
    </row>
    <row r="16" spans="1:14" x14ac:dyDescent="0.3">
      <c r="A16" s="8" t="s">
        <v>195</v>
      </c>
      <c r="B16" s="8" t="s">
        <v>196</v>
      </c>
      <c r="C16" s="8" t="s">
        <v>156</v>
      </c>
      <c r="D16" s="9">
        <v>258210</v>
      </c>
      <c r="E16" s="8" t="s">
        <v>12</v>
      </c>
      <c r="F16" s="8" t="s">
        <v>192</v>
      </c>
      <c r="G16" s="8" t="s">
        <v>183</v>
      </c>
      <c r="H16" s="8" t="s">
        <v>197</v>
      </c>
      <c r="I16" s="8" t="s">
        <v>198</v>
      </c>
      <c r="J16" s="8" t="s">
        <v>194</v>
      </c>
      <c r="K16" s="8"/>
      <c r="L16" s="8" t="s">
        <v>14</v>
      </c>
      <c r="M16" s="8" t="s">
        <v>199</v>
      </c>
      <c r="N16" s="10">
        <v>13.59</v>
      </c>
    </row>
    <row r="17" spans="1:14" x14ac:dyDescent="0.3">
      <c r="A17" s="8" t="s">
        <v>200</v>
      </c>
      <c r="B17" s="8" t="s">
        <v>201</v>
      </c>
      <c r="C17" s="8" t="s">
        <v>156</v>
      </c>
      <c r="D17" s="9">
        <v>240540</v>
      </c>
      <c r="E17" s="8" t="s">
        <v>12</v>
      </c>
      <c r="F17" s="8" t="s">
        <v>192</v>
      </c>
      <c r="G17" s="8" t="s">
        <v>183</v>
      </c>
      <c r="H17" s="8" t="s">
        <v>173</v>
      </c>
      <c r="I17" s="8" t="s">
        <v>202</v>
      </c>
      <c r="J17" s="8" t="s">
        <v>194</v>
      </c>
      <c r="K17" s="8"/>
      <c r="L17" s="8" t="s">
        <v>14</v>
      </c>
      <c r="M17" s="8" t="s">
        <v>162</v>
      </c>
      <c r="N17" s="10">
        <v>12.66</v>
      </c>
    </row>
    <row r="18" spans="1:14" x14ac:dyDescent="0.3">
      <c r="D18" s="4">
        <f>SUM(D15:D17)</f>
        <v>861840</v>
      </c>
      <c r="N18" s="11">
        <f>SUM(N15:N17)</f>
        <v>45.36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tabSelected="1" topLeftCell="A4" workbookViewId="0">
      <selection activeCell="B32" sqref="B32"/>
    </sheetView>
  </sheetViews>
  <sheetFormatPr defaultRowHeight="14.4" x14ac:dyDescent="0.3"/>
  <cols>
    <col min="1" max="1" width="12.77734375" bestFit="1" customWidth="1"/>
    <col min="2" max="2" width="12" bestFit="1" customWidth="1"/>
  </cols>
  <sheetData>
    <row r="1" spans="1:2" x14ac:dyDescent="0.3">
      <c r="A1" s="14" t="s">
        <v>203</v>
      </c>
      <c r="B1" s="15">
        <v>-6000</v>
      </c>
    </row>
    <row r="2" spans="1:2" x14ac:dyDescent="0.3">
      <c r="A2" s="14" t="s">
        <v>204</v>
      </c>
      <c r="B2" s="15">
        <v>-35760</v>
      </c>
    </row>
    <row r="3" spans="1:2" x14ac:dyDescent="0.3">
      <c r="A3" s="14" t="s">
        <v>205</v>
      </c>
      <c r="B3" s="15">
        <v>-39780</v>
      </c>
    </row>
    <row r="4" spans="1:2" x14ac:dyDescent="0.3">
      <c r="A4" s="14" t="s">
        <v>206</v>
      </c>
      <c r="B4" s="15">
        <v>-63306</v>
      </c>
    </row>
    <row r="5" spans="1:2" x14ac:dyDescent="0.3">
      <c r="A5" s="14" t="s">
        <v>207</v>
      </c>
      <c r="B5" s="15">
        <v>-31280</v>
      </c>
    </row>
    <row r="6" spans="1:2" x14ac:dyDescent="0.3">
      <c r="A6" s="14" t="s">
        <v>208</v>
      </c>
      <c r="B6" s="15">
        <v>-29428</v>
      </c>
    </row>
    <row r="7" spans="1:2" x14ac:dyDescent="0.3">
      <c r="A7" s="14" t="s">
        <v>204</v>
      </c>
      <c r="B7" s="15">
        <v>-20000</v>
      </c>
    </row>
    <row r="8" spans="1:2" x14ac:dyDescent="0.3">
      <c r="A8" s="14" t="s">
        <v>209</v>
      </c>
      <c r="B8" s="15">
        <v>-30870</v>
      </c>
    </row>
    <row r="9" spans="1:2" x14ac:dyDescent="0.3">
      <c r="A9" s="14" t="s">
        <v>203</v>
      </c>
      <c r="B9" s="15">
        <v>-26000</v>
      </c>
    </row>
    <row r="10" spans="1:2" x14ac:dyDescent="0.3">
      <c r="A10" s="14" t="s">
        <v>204</v>
      </c>
      <c r="B10" s="15">
        <v>-47940</v>
      </c>
    </row>
    <row r="11" spans="1:2" x14ac:dyDescent="0.3">
      <c r="A11" s="14" t="s">
        <v>210</v>
      </c>
      <c r="B11" s="15">
        <v>-2640</v>
      </c>
    </row>
    <row r="12" spans="1:2" x14ac:dyDescent="0.3">
      <c r="A12" s="14" t="s">
        <v>208</v>
      </c>
      <c r="B12" s="15">
        <v>-4070</v>
      </c>
    </row>
    <row r="13" spans="1:2" x14ac:dyDescent="0.3">
      <c r="A13" s="14" t="s">
        <v>207</v>
      </c>
      <c r="B13" s="15">
        <v>-31280</v>
      </c>
    </row>
    <row r="14" spans="1:2" x14ac:dyDescent="0.3">
      <c r="A14" s="14" t="s">
        <v>206</v>
      </c>
      <c r="B14" s="15">
        <v>-58188</v>
      </c>
    </row>
    <row r="15" spans="1:2" x14ac:dyDescent="0.3">
      <c r="A15" s="14" t="s">
        <v>205</v>
      </c>
      <c r="B15" s="15">
        <v>-22010</v>
      </c>
    </row>
    <row r="16" spans="1:2" x14ac:dyDescent="0.3">
      <c r="A16" s="14" t="s">
        <v>203</v>
      </c>
      <c r="B16" s="15">
        <v>-125300</v>
      </c>
    </row>
    <row r="17" spans="1:2" x14ac:dyDescent="0.3">
      <c r="A17" s="14" t="s">
        <v>204</v>
      </c>
      <c r="B17" s="15">
        <v>-142800</v>
      </c>
    </row>
    <row r="18" spans="1:2" x14ac:dyDescent="0.3">
      <c r="A18" s="14" t="s">
        <v>210</v>
      </c>
      <c r="B18" s="15">
        <v>-20060</v>
      </c>
    </row>
    <row r="19" spans="1:2" x14ac:dyDescent="0.3">
      <c r="A19" s="14" t="s">
        <v>210</v>
      </c>
      <c r="B19" s="15">
        <v>-28260</v>
      </c>
    </row>
    <row r="20" spans="1:2" x14ac:dyDescent="0.3">
      <c r="A20" s="14" t="s">
        <v>207</v>
      </c>
      <c r="B20" s="15">
        <v>-39190</v>
      </c>
    </row>
    <row r="21" spans="1:2" x14ac:dyDescent="0.3">
      <c r="A21" s="14" t="s">
        <v>204</v>
      </c>
      <c r="B21" s="15">
        <v>-103145</v>
      </c>
    </row>
    <row r="22" spans="1:2" x14ac:dyDescent="0.3">
      <c r="A22" s="14" t="s">
        <v>210</v>
      </c>
      <c r="B22" s="15">
        <v>-3488</v>
      </c>
    </row>
    <row r="23" spans="1:2" x14ac:dyDescent="0.3">
      <c r="A23" s="14" t="s">
        <v>207</v>
      </c>
      <c r="B23" s="15">
        <v>-27760</v>
      </c>
    </row>
    <row r="24" spans="1:2" x14ac:dyDescent="0.3">
      <c r="A24" s="14" t="s">
        <v>206</v>
      </c>
      <c r="B24" s="15">
        <v>-4082</v>
      </c>
    </row>
    <row r="25" spans="1:2" x14ac:dyDescent="0.3">
      <c r="A25" s="14" t="s">
        <v>205</v>
      </c>
      <c r="B25" s="15">
        <v>-51000</v>
      </c>
    </row>
    <row r="26" spans="1:2" x14ac:dyDescent="0.3">
      <c r="A26" s="14" t="s">
        <v>205</v>
      </c>
      <c r="B26" s="15">
        <v>-7250</v>
      </c>
    </row>
    <row r="27" spans="1:2" x14ac:dyDescent="0.3">
      <c r="A27" s="14" t="s">
        <v>204</v>
      </c>
      <c r="B27" s="15">
        <v>-50818</v>
      </c>
    </row>
    <row r="28" spans="1:2" x14ac:dyDescent="0.3">
      <c r="A28" s="14" t="s">
        <v>204</v>
      </c>
      <c r="B28" s="15">
        <v>-8300</v>
      </c>
    </row>
    <row r="29" spans="1:2" x14ac:dyDescent="0.3">
      <c r="A29" s="14" t="s">
        <v>208</v>
      </c>
      <c r="B29" s="15">
        <v>-43750</v>
      </c>
    </row>
    <row r="30" spans="1:2" x14ac:dyDescent="0.3">
      <c r="A30" s="14" t="s">
        <v>211</v>
      </c>
      <c r="B30" s="15">
        <v>-10730</v>
      </c>
    </row>
    <row r="31" spans="1:2" x14ac:dyDescent="0.3">
      <c r="B31" s="13">
        <f>SUM(B1:B30)</f>
        <v>-1114485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Акты</vt:lpstr>
      <vt:lpstr>ЦКС</vt:lpstr>
      <vt:lpstr>ЗП Глобино-2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2025-03-20T06:48:09Z</dcterms:modified>
</cp:coreProperties>
</file>